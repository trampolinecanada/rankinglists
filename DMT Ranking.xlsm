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321298B-92BD-3D47-BB48-E48B8DB0FD43}" xr6:coauthVersionLast="47" xr6:coauthVersionMax="47" xr10:uidLastSave="{00000000-0000-0000-0000-000000000000}"/>
  <bookViews>
    <workbookView xWindow="0" yWindow="660" windowWidth="30240" windowHeight="18980" tabRatio="500" xr2:uid="{00000000-000D-0000-FFFF-FFFF00000000}"/>
  </bookViews>
  <sheets>
    <sheet name="Info" sheetId="11" r:id="rId1"/>
    <sheet name="Senior-M" sheetId="47" r:id="rId2"/>
    <sheet name="Senior-W" sheetId="48" r:id="rId3"/>
    <sheet name="Development-M" sheetId="49" r:id="rId4"/>
    <sheet name="Development-W" sheetId="50" r:id="rId5"/>
    <sheet name="Junior-M" sheetId="51" r:id="rId6"/>
    <sheet name="Junior-W" sheetId="52" r:id="rId7"/>
  </sheets>
  <definedNames>
    <definedName name="_xlnm._FilterDatabase" localSheetId="3" hidden="1">'Development-M'!$A$1:$FP$1</definedName>
    <definedName name="_xlnm._FilterDatabase" localSheetId="4" hidden="1">'Development-W'!$A$1:$FP$1</definedName>
    <definedName name="_xlnm._FilterDatabase" localSheetId="5" hidden="1">'Junior-M'!$A$1:$FP$1</definedName>
    <definedName name="_xlnm._FilterDatabase" localSheetId="6" hidden="1">'Junior-W'!$A$1:$FP$1</definedName>
    <definedName name="_xlnm._FilterDatabase" localSheetId="1" hidden="1">'Senior-M'!$A$1:$FP$1</definedName>
    <definedName name="_xlnm._FilterDatabase" localSheetId="2" hidden="1">'Senior-W'!$A$1:$FP$1</definedName>
    <definedName name="_xleta.LARGE" hidden="1" xlm="1">#NAME?</definedName>
    <definedName name="_xleta.MAX" hidden="1" xlm="1">#NAME?</definedName>
    <definedName name="_xleta.MIN" hidden="1" xlm="1">#NAME?</definedName>
    <definedName name="_xleta.N" hidden="1" xlm="1">#NAME?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" i="50" l="1"/>
  <c r="I8" i="50"/>
  <c r="I11" i="50"/>
  <c r="I14" i="50"/>
  <c r="I15" i="50"/>
  <c r="I16" i="50"/>
  <c r="I17" i="50"/>
  <c r="I18" i="50"/>
  <c r="I19" i="50"/>
  <c r="I20" i="50"/>
  <c r="I21" i="50"/>
  <c r="I22" i="50"/>
  <c r="I23" i="50"/>
  <c r="I24" i="50"/>
  <c r="I25" i="50"/>
  <c r="I26" i="50"/>
  <c r="I27" i="50"/>
  <c r="I29" i="50"/>
  <c r="I30" i="50"/>
  <c r="I32" i="50"/>
  <c r="I33" i="50"/>
  <c r="I34" i="50"/>
  <c r="I35" i="50"/>
  <c r="I36" i="50"/>
  <c r="I37" i="50"/>
  <c r="I38" i="50"/>
  <c r="I39" i="50"/>
  <c r="I8" i="49"/>
  <c r="I9" i="49"/>
  <c r="I11" i="49"/>
  <c r="I14" i="49"/>
  <c r="I15" i="49"/>
  <c r="I16" i="49"/>
  <c r="I17" i="49"/>
  <c r="I19" i="49"/>
  <c r="I21" i="49"/>
  <c r="I22" i="49"/>
  <c r="I24" i="49"/>
  <c r="I25" i="49"/>
  <c r="I27" i="49"/>
  <c r="I28" i="49"/>
  <c r="I29" i="49"/>
  <c r="I30" i="49"/>
  <c r="I32" i="49"/>
  <c r="I37" i="49"/>
  <c r="AJ25" i="50" l="1"/>
  <c r="AK25" i="50"/>
  <c r="AL25" i="50"/>
  <c r="AM25" i="50"/>
  <c r="AN25" i="50"/>
  <c r="AO25" i="50"/>
  <c r="AP25" i="50"/>
  <c r="AQ25" i="50"/>
  <c r="AR25" i="50"/>
  <c r="AS25" i="50"/>
  <c r="AT25" i="50"/>
  <c r="BN25" i="50"/>
  <c r="EV25" i="50" s="1"/>
  <c r="FL25" i="50" s="1"/>
  <c r="BO25" i="50"/>
  <c r="EW25" i="50" s="1"/>
  <c r="BP25" i="50"/>
  <c r="EX25" i="50" s="1"/>
  <c r="BQ25" i="50"/>
  <c r="BR25" i="50"/>
  <c r="EZ25" i="50" s="1"/>
  <c r="BT25" i="50"/>
  <c r="FB25" i="50" s="1"/>
  <c r="BU25" i="50"/>
  <c r="FC25" i="50" s="1"/>
  <c r="BV25" i="50"/>
  <c r="FD25" i="50" s="1"/>
  <c r="BW25" i="50"/>
  <c r="FE25" i="50" s="1"/>
  <c r="BX25" i="50"/>
  <c r="FF25" i="50" s="1"/>
  <c r="BY25" i="50"/>
  <c r="FG25" i="50" s="1"/>
  <c r="CW25" i="50"/>
  <c r="CX25" i="50"/>
  <c r="DB25" i="50" s="1"/>
  <c r="DK25" i="50" s="1"/>
  <c r="CY25" i="50"/>
  <c r="CZ25" i="50"/>
  <c r="DA25" i="50"/>
  <c r="DC25" i="50"/>
  <c r="DD25" i="50"/>
  <c r="DE25" i="50"/>
  <c r="DF25" i="50"/>
  <c r="DJ25" i="50" s="1"/>
  <c r="DG25" i="50"/>
  <c r="DH25" i="50"/>
  <c r="DI25" i="50"/>
  <c r="EF25" i="50"/>
  <c r="EJ25" i="50" s="1"/>
  <c r="EG25" i="50"/>
  <c r="EK25" i="50" s="1"/>
  <c r="ET25" i="50" s="1"/>
  <c r="EH25" i="50"/>
  <c r="EI25" i="50"/>
  <c r="EL25" i="50"/>
  <c r="EM25" i="50"/>
  <c r="EN25" i="50"/>
  <c r="ER25" i="50" s="1"/>
  <c r="EO25" i="50"/>
  <c r="ES25" i="50" s="1"/>
  <c r="EP25" i="50"/>
  <c r="EQ25" i="50"/>
  <c r="EU25" i="50"/>
  <c r="EY25" i="50"/>
  <c r="AJ19" i="50"/>
  <c r="AK19" i="50"/>
  <c r="AL19" i="50"/>
  <c r="AM19" i="50"/>
  <c r="AN19" i="50"/>
  <c r="AO19" i="50"/>
  <c r="AP19" i="50"/>
  <c r="AQ19" i="50"/>
  <c r="AR19" i="50"/>
  <c r="AS19" i="50"/>
  <c r="AT19" i="50"/>
  <c r="BN19" i="50"/>
  <c r="EV19" i="50" s="1"/>
  <c r="BO19" i="50"/>
  <c r="EW19" i="50" s="1"/>
  <c r="BP19" i="50"/>
  <c r="EX19" i="50" s="1"/>
  <c r="BQ19" i="50"/>
  <c r="EY19" i="50" s="1"/>
  <c r="BR19" i="50"/>
  <c r="EZ19" i="50" s="1"/>
  <c r="FN19" i="50" s="1"/>
  <c r="BT19" i="50"/>
  <c r="FB19" i="50" s="1"/>
  <c r="BU19" i="50"/>
  <c r="BV19" i="50"/>
  <c r="FD19" i="50" s="1"/>
  <c r="BW19" i="50"/>
  <c r="FE19" i="50" s="1"/>
  <c r="BX19" i="50"/>
  <c r="FF19" i="50" s="1"/>
  <c r="CW19" i="50"/>
  <c r="DA19" i="50" s="1"/>
  <c r="CX19" i="50"/>
  <c r="DB19" i="50" s="1"/>
  <c r="DK19" i="50" s="1"/>
  <c r="CY19" i="50"/>
  <c r="CZ19" i="50"/>
  <c r="DC19" i="50"/>
  <c r="DD19" i="50"/>
  <c r="DE19" i="50"/>
  <c r="DI19" i="50" s="1"/>
  <c r="DF19" i="50"/>
  <c r="DJ19" i="50" s="1"/>
  <c r="DG19" i="50"/>
  <c r="DH19" i="50"/>
  <c r="EF19" i="50"/>
  <c r="EJ19" i="50" s="1"/>
  <c r="EG19" i="50"/>
  <c r="EK19" i="50" s="1"/>
  <c r="ET19" i="50" s="1"/>
  <c r="EH19" i="50"/>
  <c r="EI19" i="50"/>
  <c r="EL19" i="50"/>
  <c r="EM19" i="50"/>
  <c r="EN19" i="50"/>
  <c r="ER19" i="50" s="1"/>
  <c r="EO19" i="50"/>
  <c r="ES19" i="50" s="1"/>
  <c r="EP19" i="50"/>
  <c r="EQ19" i="50"/>
  <c r="EU19" i="50"/>
  <c r="AJ27" i="50"/>
  <c r="AK27" i="50"/>
  <c r="AL27" i="50"/>
  <c r="AM27" i="50"/>
  <c r="AN27" i="50"/>
  <c r="AP27" i="50"/>
  <c r="AQ27" i="50"/>
  <c r="AR27" i="50"/>
  <c r="AS27" i="50"/>
  <c r="AT27" i="50"/>
  <c r="BN27" i="50"/>
  <c r="EV27" i="50" s="1"/>
  <c r="BO27" i="50"/>
  <c r="BP27" i="50"/>
  <c r="EX27" i="50" s="1"/>
  <c r="BQ27" i="50"/>
  <c r="EY27" i="50" s="1"/>
  <c r="BR27" i="50"/>
  <c r="EZ27" i="50" s="1"/>
  <c r="FN27" i="50" s="1"/>
  <c r="BT27" i="50"/>
  <c r="FB27" i="50" s="1"/>
  <c r="BU27" i="50"/>
  <c r="FC27" i="50" s="1"/>
  <c r="BV27" i="50"/>
  <c r="FD27" i="50" s="1"/>
  <c r="BW27" i="50"/>
  <c r="FE27" i="50" s="1"/>
  <c r="BX27" i="50"/>
  <c r="FF27" i="50" s="1"/>
  <c r="CW27" i="50"/>
  <c r="DA27" i="50" s="1"/>
  <c r="CX27" i="50"/>
  <c r="DB27" i="50" s="1"/>
  <c r="DK27" i="50" s="1"/>
  <c r="CY27" i="50"/>
  <c r="CZ27" i="50"/>
  <c r="DC27" i="50"/>
  <c r="DD27" i="50"/>
  <c r="DE27" i="50"/>
  <c r="DI27" i="50" s="1"/>
  <c r="DF27" i="50"/>
  <c r="DJ27" i="50" s="1"/>
  <c r="DG27" i="50"/>
  <c r="DH27" i="50"/>
  <c r="EF27" i="50"/>
  <c r="EJ27" i="50" s="1"/>
  <c r="EG27" i="50"/>
  <c r="EK27" i="50" s="1"/>
  <c r="ET27" i="50" s="1"/>
  <c r="EH27" i="50"/>
  <c r="EI27" i="50"/>
  <c r="EL27" i="50"/>
  <c r="EM27" i="50"/>
  <c r="EN27" i="50"/>
  <c r="ER27" i="50" s="1"/>
  <c r="EO27" i="50"/>
  <c r="ES27" i="50" s="1"/>
  <c r="EP27" i="50"/>
  <c r="EQ27" i="50"/>
  <c r="EU27" i="50"/>
  <c r="AJ16" i="50"/>
  <c r="AK16" i="50"/>
  <c r="AL16" i="50"/>
  <c r="AM16" i="50"/>
  <c r="AN16" i="50"/>
  <c r="AO16" i="50"/>
  <c r="AP16" i="50"/>
  <c r="AQ16" i="50"/>
  <c r="AR16" i="50"/>
  <c r="AS16" i="50"/>
  <c r="AT16" i="50"/>
  <c r="BN16" i="50"/>
  <c r="EV16" i="50" s="1"/>
  <c r="BO16" i="50"/>
  <c r="BP16" i="50"/>
  <c r="BQ16" i="50"/>
  <c r="EY16" i="50" s="1"/>
  <c r="BR16" i="50"/>
  <c r="EZ16" i="50" s="1"/>
  <c r="FN16" i="50" s="1"/>
  <c r="BT16" i="50"/>
  <c r="FB16" i="50" s="1"/>
  <c r="BU16" i="50"/>
  <c r="FC16" i="50" s="1"/>
  <c r="BV16" i="50"/>
  <c r="FD16" i="50" s="1"/>
  <c r="BW16" i="50"/>
  <c r="FE16" i="50" s="1"/>
  <c r="BX16" i="50"/>
  <c r="FF16" i="50" s="1"/>
  <c r="CW16" i="50"/>
  <c r="DA16" i="50" s="1"/>
  <c r="CX16" i="50"/>
  <c r="DB16" i="50" s="1"/>
  <c r="DK16" i="50" s="1"/>
  <c r="CY16" i="50"/>
  <c r="CZ16" i="50"/>
  <c r="DC16" i="50"/>
  <c r="DD16" i="50"/>
  <c r="DE16" i="50"/>
  <c r="DI16" i="50" s="1"/>
  <c r="DF16" i="50"/>
  <c r="DG16" i="50"/>
  <c r="DH16" i="50"/>
  <c r="DJ16" i="50"/>
  <c r="EF16" i="50"/>
  <c r="EJ16" i="50" s="1"/>
  <c r="EG16" i="50"/>
  <c r="EK16" i="50" s="1"/>
  <c r="ET16" i="50" s="1"/>
  <c r="EH16" i="50"/>
  <c r="EI16" i="50"/>
  <c r="EL16" i="50"/>
  <c r="EM16" i="50"/>
  <c r="EN16" i="50"/>
  <c r="EO16" i="50"/>
  <c r="EP16" i="50"/>
  <c r="EQ16" i="50"/>
  <c r="ER16" i="50"/>
  <c r="ES16" i="50"/>
  <c r="EU16" i="50"/>
  <c r="EX16" i="50"/>
  <c r="AJ30" i="50"/>
  <c r="AK30" i="50"/>
  <c r="AL30" i="50"/>
  <c r="AM30" i="50"/>
  <c r="AN30" i="50"/>
  <c r="AP30" i="50"/>
  <c r="AQ30" i="50"/>
  <c r="AR30" i="50"/>
  <c r="AS30" i="50"/>
  <c r="AT30" i="50"/>
  <c r="BN30" i="50"/>
  <c r="EV30" i="50" s="1"/>
  <c r="FL30" i="50" s="1"/>
  <c r="BO30" i="50"/>
  <c r="EW30" i="50" s="1"/>
  <c r="BP30" i="50"/>
  <c r="EX30" i="50" s="1"/>
  <c r="BQ30" i="50"/>
  <c r="BR30" i="50"/>
  <c r="BT30" i="50"/>
  <c r="FB30" i="50" s="1"/>
  <c r="BU30" i="50"/>
  <c r="FC30" i="50" s="1"/>
  <c r="BV30" i="50"/>
  <c r="FD30" i="50" s="1"/>
  <c r="BW30" i="50"/>
  <c r="FE30" i="50" s="1"/>
  <c r="BX30" i="50"/>
  <c r="FF30" i="50" s="1"/>
  <c r="CW30" i="50"/>
  <c r="CX30" i="50"/>
  <c r="DB30" i="50" s="1"/>
  <c r="DK30" i="50" s="1"/>
  <c r="CY30" i="50"/>
  <c r="CZ30" i="50"/>
  <c r="DA30" i="50"/>
  <c r="DC30" i="50"/>
  <c r="DD30" i="50"/>
  <c r="DE30" i="50"/>
  <c r="DI30" i="50" s="1"/>
  <c r="DF30" i="50"/>
  <c r="DJ30" i="50" s="1"/>
  <c r="DG30" i="50"/>
  <c r="DH30" i="50"/>
  <c r="EF30" i="50"/>
  <c r="EJ30" i="50" s="1"/>
  <c r="EG30" i="50"/>
  <c r="EK30" i="50" s="1"/>
  <c r="ET30" i="50" s="1"/>
  <c r="EH30" i="50"/>
  <c r="EI30" i="50"/>
  <c r="EL30" i="50"/>
  <c r="EM30" i="50"/>
  <c r="EN30" i="50"/>
  <c r="ER30" i="50" s="1"/>
  <c r="EO30" i="50"/>
  <c r="ES30" i="50" s="1"/>
  <c r="EP30" i="50"/>
  <c r="EQ30" i="50"/>
  <c r="EU30" i="50"/>
  <c r="EY30" i="50"/>
  <c r="EZ30" i="50"/>
  <c r="FN30" i="50" s="1"/>
  <c r="AJ15" i="50"/>
  <c r="AK15" i="50"/>
  <c r="AL15" i="50"/>
  <c r="AM15" i="50"/>
  <c r="AN15" i="50"/>
  <c r="AP15" i="50"/>
  <c r="AQ15" i="50"/>
  <c r="AR15" i="50"/>
  <c r="AS15" i="50"/>
  <c r="AT15" i="50"/>
  <c r="AU15" i="50"/>
  <c r="BN15" i="50"/>
  <c r="EV15" i="50" s="1"/>
  <c r="FL15" i="50" s="1"/>
  <c r="BO15" i="50"/>
  <c r="EW15" i="50" s="1"/>
  <c r="BP15" i="50"/>
  <c r="EX15" i="50" s="1"/>
  <c r="BQ15" i="50"/>
  <c r="EY15" i="50" s="1"/>
  <c r="BR15" i="50"/>
  <c r="EZ15" i="50" s="1"/>
  <c r="FN15" i="50" s="1"/>
  <c r="BT15" i="50"/>
  <c r="FB15" i="50" s="1"/>
  <c r="BU15" i="50"/>
  <c r="BV15" i="50"/>
  <c r="FD15" i="50" s="1"/>
  <c r="BW15" i="50"/>
  <c r="FE15" i="50" s="1"/>
  <c r="BX15" i="50"/>
  <c r="FF15" i="50" s="1"/>
  <c r="CW15" i="50"/>
  <c r="CX15" i="50"/>
  <c r="DB15" i="50" s="1"/>
  <c r="DK15" i="50" s="1"/>
  <c r="CY15" i="50"/>
  <c r="CZ15" i="50"/>
  <c r="DA15" i="50"/>
  <c r="DC15" i="50"/>
  <c r="DD15" i="50"/>
  <c r="DE15" i="50"/>
  <c r="DI15" i="50" s="1"/>
  <c r="DF15" i="50"/>
  <c r="DJ15" i="50" s="1"/>
  <c r="DG15" i="50"/>
  <c r="DH15" i="50"/>
  <c r="EF15" i="50"/>
  <c r="EJ15" i="50" s="1"/>
  <c r="EG15" i="50"/>
  <c r="EH15" i="50"/>
  <c r="EI15" i="50"/>
  <c r="EK15" i="50"/>
  <c r="ET15" i="50" s="1"/>
  <c r="EL15" i="50"/>
  <c r="EM15" i="50"/>
  <c r="EN15" i="50"/>
  <c r="ER15" i="50" s="1"/>
  <c r="EO15" i="50"/>
  <c r="ES15" i="50" s="1"/>
  <c r="EP15" i="50"/>
  <c r="EQ15" i="50"/>
  <c r="EU15" i="50"/>
  <c r="AJ20" i="50"/>
  <c r="AK20" i="50"/>
  <c r="AL20" i="50"/>
  <c r="AM20" i="50"/>
  <c r="AN20" i="50"/>
  <c r="AP20" i="50"/>
  <c r="AQ20" i="50"/>
  <c r="AR20" i="50"/>
  <c r="AS20" i="50"/>
  <c r="AT20" i="50"/>
  <c r="BN20" i="50"/>
  <c r="EV20" i="50" s="1"/>
  <c r="BO20" i="50"/>
  <c r="BP20" i="50"/>
  <c r="EX20" i="50" s="1"/>
  <c r="BQ20" i="50"/>
  <c r="EY20" i="50" s="1"/>
  <c r="BR20" i="50"/>
  <c r="EZ20" i="50" s="1"/>
  <c r="FN20" i="50" s="1"/>
  <c r="BT20" i="50"/>
  <c r="FB20" i="50" s="1"/>
  <c r="BU20" i="50"/>
  <c r="FC20" i="50" s="1"/>
  <c r="BV20" i="50"/>
  <c r="FD20" i="50" s="1"/>
  <c r="BW20" i="50"/>
  <c r="BY20" i="50" s="1"/>
  <c r="FG20" i="50" s="1"/>
  <c r="BX20" i="50"/>
  <c r="FF20" i="50" s="1"/>
  <c r="CW20" i="50"/>
  <c r="DA20" i="50" s="1"/>
  <c r="CX20" i="50"/>
  <c r="DB20" i="50" s="1"/>
  <c r="DK20" i="50" s="1"/>
  <c r="CY20" i="50"/>
  <c r="CZ20" i="50"/>
  <c r="DC20" i="50"/>
  <c r="DD20" i="50"/>
  <c r="DE20" i="50"/>
  <c r="DI20" i="50" s="1"/>
  <c r="DF20" i="50"/>
  <c r="DJ20" i="50" s="1"/>
  <c r="DG20" i="50"/>
  <c r="DH20" i="50"/>
  <c r="EF20" i="50"/>
  <c r="EJ20" i="50" s="1"/>
  <c r="EG20" i="50"/>
  <c r="EK20" i="50" s="1"/>
  <c r="ET20" i="50" s="1"/>
  <c r="EH20" i="50"/>
  <c r="EI20" i="50"/>
  <c r="EL20" i="50"/>
  <c r="EM20" i="50"/>
  <c r="EN20" i="50"/>
  <c r="ER20" i="50" s="1"/>
  <c r="EO20" i="50"/>
  <c r="ES20" i="50" s="1"/>
  <c r="EP20" i="50"/>
  <c r="EQ20" i="50"/>
  <c r="EU20" i="50"/>
  <c r="AJ26" i="50"/>
  <c r="AK26" i="50"/>
  <c r="AL26" i="50"/>
  <c r="AM26" i="50"/>
  <c r="AN26" i="50"/>
  <c r="AP26" i="50"/>
  <c r="AQ26" i="50"/>
  <c r="AR26" i="50"/>
  <c r="AS26" i="50"/>
  <c r="AT26" i="50"/>
  <c r="BN26" i="50"/>
  <c r="EV26" i="50" s="1"/>
  <c r="FL26" i="50" s="1"/>
  <c r="BO26" i="50"/>
  <c r="BP26" i="50"/>
  <c r="EX26" i="50" s="1"/>
  <c r="BQ26" i="50"/>
  <c r="BR26" i="50"/>
  <c r="EZ26" i="50" s="1"/>
  <c r="BT26" i="50"/>
  <c r="FB26" i="50" s="1"/>
  <c r="BU26" i="50"/>
  <c r="BV26" i="50"/>
  <c r="FD26" i="50" s="1"/>
  <c r="BW26" i="50"/>
  <c r="FE26" i="50" s="1"/>
  <c r="BX26" i="50"/>
  <c r="FF26" i="50" s="1"/>
  <c r="CW26" i="50"/>
  <c r="DA26" i="50" s="1"/>
  <c r="CX26" i="50"/>
  <c r="DB26" i="50" s="1"/>
  <c r="DK26" i="50" s="1"/>
  <c r="CY26" i="50"/>
  <c r="CZ26" i="50"/>
  <c r="DC26" i="50"/>
  <c r="DD26" i="50"/>
  <c r="DE26" i="50"/>
  <c r="DI26" i="50" s="1"/>
  <c r="DF26" i="50"/>
  <c r="DJ26" i="50" s="1"/>
  <c r="DG26" i="50"/>
  <c r="DH26" i="50"/>
  <c r="EF26" i="50"/>
  <c r="EJ26" i="50" s="1"/>
  <c r="EG26" i="50"/>
  <c r="EK26" i="50" s="1"/>
  <c r="ET26" i="50" s="1"/>
  <c r="EH26" i="50"/>
  <c r="EI26" i="50"/>
  <c r="EL26" i="50"/>
  <c r="EM26" i="50"/>
  <c r="EN26" i="50"/>
  <c r="ER26" i="50" s="1"/>
  <c r="EO26" i="50"/>
  <c r="ES26" i="50" s="1"/>
  <c r="EP26" i="50"/>
  <c r="EQ26" i="50"/>
  <c r="EU26" i="50"/>
  <c r="EY26" i="50"/>
  <c r="FC26" i="50"/>
  <c r="AJ29" i="49"/>
  <c r="AK29" i="49"/>
  <c r="AL29" i="49"/>
  <c r="AM29" i="49"/>
  <c r="AN29" i="49"/>
  <c r="AP29" i="49"/>
  <c r="AQ29" i="49"/>
  <c r="AR29" i="49"/>
  <c r="AS29" i="49"/>
  <c r="AT29" i="49"/>
  <c r="BN29" i="49"/>
  <c r="EV29" i="49" s="1"/>
  <c r="FL29" i="49" s="1"/>
  <c r="BO29" i="49"/>
  <c r="BP29" i="49"/>
  <c r="EX29" i="49" s="1"/>
  <c r="BQ29" i="49"/>
  <c r="EY29" i="49" s="1"/>
  <c r="BR29" i="49"/>
  <c r="EZ29" i="49" s="1"/>
  <c r="BT29" i="49"/>
  <c r="FB29" i="49" s="1"/>
  <c r="BU29" i="49"/>
  <c r="BV29" i="49"/>
  <c r="FD29" i="49" s="1"/>
  <c r="BW29" i="49"/>
  <c r="FE29" i="49" s="1"/>
  <c r="BX29" i="49"/>
  <c r="FF29" i="49" s="1"/>
  <c r="CW29" i="49"/>
  <c r="CX29" i="49"/>
  <c r="DB29" i="49" s="1"/>
  <c r="DK29" i="49" s="1"/>
  <c r="CY29" i="49"/>
  <c r="CZ29" i="49"/>
  <c r="DA29" i="49"/>
  <c r="DC29" i="49"/>
  <c r="DD29" i="49"/>
  <c r="DE29" i="49"/>
  <c r="DI29" i="49" s="1"/>
  <c r="DF29" i="49"/>
  <c r="DJ29" i="49" s="1"/>
  <c r="DG29" i="49"/>
  <c r="DH29" i="49"/>
  <c r="EF29" i="49"/>
  <c r="EJ29" i="49" s="1"/>
  <c r="EG29" i="49"/>
  <c r="EH29" i="49"/>
  <c r="EI29" i="49"/>
  <c r="EK29" i="49"/>
  <c r="ET29" i="49" s="1"/>
  <c r="EL29" i="49"/>
  <c r="EM29" i="49"/>
  <c r="EN29" i="49"/>
  <c r="ER29" i="49" s="1"/>
  <c r="EO29" i="49"/>
  <c r="ES29" i="49" s="1"/>
  <c r="EP29" i="49"/>
  <c r="EQ29" i="49"/>
  <c r="EU29" i="49"/>
  <c r="FC29" i="49"/>
  <c r="AJ19" i="49"/>
  <c r="AK19" i="49"/>
  <c r="AL19" i="49"/>
  <c r="AM19" i="49"/>
  <c r="AO19" i="49" s="1"/>
  <c r="AN19" i="49"/>
  <c r="AP19" i="49"/>
  <c r="AQ19" i="49"/>
  <c r="AR19" i="49"/>
  <c r="AS19" i="49"/>
  <c r="AT19" i="49"/>
  <c r="BN19" i="49"/>
  <c r="EV19" i="49" s="1"/>
  <c r="BO19" i="49"/>
  <c r="BP19" i="49"/>
  <c r="EX19" i="49" s="1"/>
  <c r="BQ19" i="49"/>
  <c r="EY19" i="49" s="1"/>
  <c r="BR19" i="49"/>
  <c r="EZ19" i="49" s="1"/>
  <c r="FN19" i="49" s="1"/>
  <c r="BT19" i="49"/>
  <c r="FB19" i="49" s="1"/>
  <c r="BU19" i="49"/>
  <c r="BV19" i="49"/>
  <c r="FD19" i="49" s="1"/>
  <c r="BW19" i="49"/>
  <c r="FE19" i="49" s="1"/>
  <c r="BX19" i="49"/>
  <c r="FF19" i="49" s="1"/>
  <c r="CW19" i="49"/>
  <c r="DA19" i="49" s="1"/>
  <c r="CX19" i="49"/>
  <c r="DB19" i="49" s="1"/>
  <c r="DK19" i="49" s="1"/>
  <c r="CY19" i="49"/>
  <c r="CZ19" i="49"/>
  <c r="DC19" i="49"/>
  <c r="DD19" i="49"/>
  <c r="DE19" i="49"/>
  <c r="DI19" i="49" s="1"/>
  <c r="DF19" i="49"/>
  <c r="DJ19" i="49" s="1"/>
  <c r="DG19" i="49"/>
  <c r="DH19" i="49"/>
  <c r="EF19" i="49"/>
  <c r="EJ19" i="49" s="1"/>
  <c r="EG19" i="49"/>
  <c r="EK19" i="49" s="1"/>
  <c r="ET19" i="49" s="1"/>
  <c r="EH19" i="49"/>
  <c r="EI19" i="49"/>
  <c r="EL19" i="49"/>
  <c r="EM19" i="49"/>
  <c r="EN19" i="49"/>
  <c r="ER19" i="49" s="1"/>
  <c r="EO19" i="49"/>
  <c r="ES19" i="49" s="1"/>
  <c r="EP19" i="49"/>
  <c r="EQ19" i="49"/>
  <c r="EU19" i="49"/>
  <c r="AJ32" i="49"/>
  <c r="AK32" i="49"/>
  <c r="AL32" i="49"/>
  <c r="AM32" i="49"/>
  <c r="AN32" i="49"/>
  <c r="AP32" i="49"/>
  <c r="AQ32" i="49"/>
  <c r="AR32" i="49"/>
  <c r="AS32" i="49"/>
  <c r="AT32" i="49"/>
  <c r="BN32" i="49"/>
  <c r="EV32" i="49" s="1"/>
  <c r="BO32" i="49"/>
  <c r="BP32" i="49"/>
  <c r="EX32" i="49" s="1"/>
  <c r="BQ32" i="49"/>
  <c r="EY32" i="49" s="1"/>
  <c r="BR32" i="49"/>
  <c r="EZ32" i="49" s="1"/>
  <c r="FN32" i="49" s="1"/>
  <c r="BT32" i="49"/>
  <c r="FB32" i="49" s="1"/>
  <c r="BU32" i="49"/>
  <c r="FC32" i="49" s="1"/>
  <c r="BV32" i="49"/>
  <c r="FD32" i="49" s="1"/>
  <c r="BW32" i="49"/>
  <c r="FE32" i="49" s="1"/>
  <c r="BX32" i="49"/>
  <c r="FF32" i="49" s="1"/>
  <c r="CW32" i="49"/>
  <c r="DA32" i="49" s="1"/>
  <c r="CX32" i="49"/>
  <c r="DB32" i="49" s="1"/>
  <c r="DK32" i="49" s="1"/>
  <c r="CY32" i="49"/>
  <c r="CZ32" i="49"/>
  <c r="DC32" i="49"/>
  <c r="DD32" i="49"/>
  <c r="DE32" i="49"/>
  <c r="DF32" i="49"/>
  <c r="DJ32" i="49" s="1"/>
  <c r="DG32" i="49"/>
  <c r="DH32" i="49"/>
  <c r="DI32" i="49"/>
  <c r="EF32" i="49"/>
  <c r="EJ32" i="49" s="1"/>
  <c r="EG32" i="49"/>
  <c r="EK32" i="49" s="1"/>
  <c r="ET32" i="49" s="1"/>
  <c r="EH32" i="49"/>
  <c r="EI32" i="49"/>
  <c r="EL32" i="49"/>
  <c r="EM32" i="49"/>
  <c r="EN32" i="49"/>
  <c r="ER32" i="49" s="1"/>
  <c r="EO32" i="49"/>
  <c r="ES32" i="49" s="1"/>
  <c r="EP32" i="49"/>
  <c r="EQ32" i="49"/>
  <c r="EU32" i="49"/>
  <c r="AJ30" i="49"/>
  <c r="AK30" i="49"/>
  <c r="AL30" i="49"/>
  <c r="AM30" i="49"/>
  <c r="AN30" i="49"/>
  <c r="AP30" i="49"/>
  <c r="AQ30" i="49"/>
  <c r="AR30" i="49"/>
  <c r="AS30" i="49"/>
  <c r="AU30" i="49" s="1"/>
  <c r="AT30" i="49"/>
  <c r="BN30" i="49"/>
  <c r="EV30" i="49" s="1"/>
  <c r="BO30" i="49"/>
  <c r="BP30" i="49"/>
  <c r="EX30" i="49" s="1"/>
  <c r="BQ30" i="49"/>
  <c r="BR30" i="49"/>
  <c r="EZ30" i="49" s="1"/>
  <c r="FN30" i="49" s="1"/>
  <c r="BT30" i="49"/>
  <c r="FB30" i="49" s="1"/>
  <c r="BU30" i="49"/>
  <c r="FC30" i="49" s="1"/>
  <c r="BV30" i="49"/>
  <c r="FD30" i="49" s="1"/>
  <c r="BW30" i="49"/>
  <c r="FE30" i="49" s="1"/>
  <c r="BX30" i="49"/>
  <c r="FF30" i="49" s="1"/>
  <c r="CW30" i="49"/>
  <c r="DA30" i="49" s="1"/>
  <c r="CX30" i="49"/>
  <c r="DB30" i="49" s="1"/>
  <c r="DK30" i="49" s="1"/>
  <c r="CY30" i="49"/>
  <c r="CZ30" i="49"/>
  <c r="DC30" i="49"/>
  <c r="DD30" i="49"/>
  <c r="DE30" i="49"/>
  <c r="DI30" i="49" s="1"/>
  <c r="DF30" i="49"/>
  <c r="DJ30" i="49" s="1"/>
  <c r="DG30" i="49"/>
  <c r="DH30" i="49"/>
  <c r="EF30" i="49"/>
  <c r="EJ30" i="49" s="1"/>
  <c r="EG30" i="49"/>
  <c r="EK30" i="49" s="1"/>
  <c r="ET30" i="49" s="1"/>
  <c r="EH30" i="49"/>
  <c r="EI30" i="49"/>
  <c r="EL30" i="49"/>
  <c r="EM30" i="49"/>
  <c r="EN30" i="49"/>
  <c r="ER30" i="49" s="1"/>
  <c r="EO30" i="49"/>
  <c r="ES30" i="49" s="1"/>
  <c r="EP30" i="49"/>
  <c r="EQ30" i="49"/>
  <c r="EU30" i="49"/>
  <c r="EY30" i="49"/>
  <c r="AJ15" i="49"/>
  <c r="AK15" i="49"/>
  <c r="AL15" i="49"/>
  <c r="AM15" i="49"/>
  <c r="AN15" i="49"/>
  <c r="AP15" i="49"/>
  <c r="AQ15" i="49"/>
  <c r="AR15" i="49"/>
  <c r="AS15" i="49"/>
  <c r="AT15" i="49"/>
  <c r="BN15" i="49"/>
  <c r="EV15" i="49" s="1"/>
  <c r="FL15" i="49" s="1"/>
  <c r="BO15" i="49"/>
  <c r="EW15" i="49" s="1"/>
  <c r="BP15" i="49"/>
  <c r="EX15" i="49" s="1"/>
  <c r="BQ15" i="49"/>
  <c r="EY15" i="49" s="1"/>
  <c r="BR15" i="49"/>
  <c r="EZ15" i="49" s="1"/>
  <c r="FN15" i="49" s="1"/>
  <c r="BT15" i="49"/>
  <c r="FB15" i="49" s="1"/>
  <c r="BU15" i="49"/>
  <c r="FC15" i="49" s="1"/>
  <c r="BV15" i="49"/>
  <c r="FD15" i="49" s="1"/>
  <c r="BW15" i="49"/>
  <c r="FE15" i="49" s="1"/>
  <c r="BX15" i="49"/>
  <c r="FF15" i="49" s="1"/>
  <c r="CW15" i="49"/>
  <c r="DA15" i="49" s="1"/>
  <c r="CX15" i="49"/>
  <c r="DB15" i="49" s="1"/>
  <c r="DK15" i="49" s="1"/>
  <c r="CY15" i="49"/>
  <c r="CZ15" i="49"/>
  <c r="DC15" i="49"/>
  <c r="DD15" i="49"/>
  <c r="DE15" i="49"/>
  <c r="DI15" i="49" s="1"/>
  <c r="DF15" i="49"/>
  <c r="DJ15" i="49" s="1"/>
  <c r="DG15" i="49"/>
  <c r="DH15" i="49"/>
  <c r="EF15" i="49"/>
  <c r="EJ15" i="49" s="1"/>
  <c r="EG15" i="49"/>
  <c r="EK15" i="49" s="1"/>
  <c r="ET15" i="49" s="1"/>
  <c r="EH15" i="49"/>
  <c r="EI15" i="49"/>
  <c r="EL15" i="49"/>
  <c r="EM15" i="49"/>
  <c r="EN15" i="49"/>
  <c r="ER15" i="49" s="1"/>
  <c r="EO15" i="49"/>
  <c r="ES15" i="49" s="1"/>
  <c r="EP15" i="49"/>
  <c r="EQ15" i="49"/>
  <c r="EU15" i="49"/>
  <c r="AJ31" i="49"/>
  <c r="AK31" i="49"/>
  <c r="AL31" i="49"/>
  <c r="AM31" i="49"/>
  <c r="AN31" i="49"/>
  <c r="AP31" i="49"/>
  <c r="AQ31" i="49"/>
  <c r="AR31" i="49"/>
  <c r="AS31" i="49"/>
  <c r="AT31" i="49"/>
  <c r="BN31" i="49"/>
  <c r="EV31" i="49" s="1"/>
  <c r="FL31" i="49" s="1"/>
  <c r="BO31" i="49"/>
  <c r="EW31" i="49" s="1"/>
  <c r="BP31" i="49"/>
  <c r="EX31" i="49" s="1"/>
  <c r="BQ31" i="49"/>
  <c r="EY31" i="49" s="1"/>
  <c r="BR31" i="49"/>
  <c r="EZ31" i="49" s="1"/>
  <c r="FN31" i="49" s="1"/>
  <c r="BT31" i="49"/>
  <c r="FB31" i="49" s="1"/>
  <c r="BU31" i="49"/>
  <c r="BV31" i="49"/>
  <c r="FD31" i="49" s="1"/>
  <c r="BW31" i="49"/>
  <c r="FE31" i="49" s="1"/>
  <c r="BX31" i="49"/>
  <c r="FF31" i="49" s="1"/>
  <c r="CW31" i="49"/>
  <c r="DA31" i="49" s="1"/>
  <c r="CX31" i="49"/>
  <c r="DB31" i="49" s="1"/>
  <c r="DK31" i="49" s="1"/>
  <c r="CY31" i="49"/>
  <c r="CZ31" i="49"/>
  <c r="DC31" i="49"/>
  <c r="DD31" i="49"/>
  <c r="DE31" i="49"/>
  <c r="DI31" i="49" s="1"/>
  <c r="DF31" i="49"/>
  <c r="DJ31" i="49" s="1"/>
  <c r="DG31" i="49"/>
  <c r="DH31" i="49"/>
  <c r="EF31" i="49"/>
  <c r="EJ31" i="49" s="1"/>
  <c r="EG31" i="49"/>
  <c r="EK31" i="49" s="1"/>
  <c r="ET31" i="49" s="1"/>
  <c r="EH31" i="49"/>
  <c r="EI31" i="49"/>
  <c r="EL31" i="49"/>
  <c r="EM31" i="49"/>
  <c r="EN31" i="49"/>
  <c r="ER31" i="49" s="1"/>
  <c r="EO31" i="49"/>
  <c r="ES31" i="49" s="1"/>
  <c r="EP31" i="49"/>
  <c r="EQ31" i="49"/>
  <c r="EU31" i="49"/>
  <c r="AJ33" i="49"/>
  <c r="AK33" i="49"/>
  <c r="AL33" i="49"/>
  <c r="AM33" i="49"/>
  <c r="AN33" i="49"/>
  <c r="AP33" i="49"/>
  <c r="AQ33" i="49"/>
  <c r="AR33" i="49"/>
  <c r="AS33" i="49"/>
  <c r="AT33" i="49"/>
  <c r="BN33" i="49"/>
  <c r="EV33" i="49" s="1"/>
  <c r="BO33" i="49"/>
  <c r="BP33" i="49"/>
  <c r="EX33" i="49" s="1"/>
  <c r="BQ33" i="49"/>
  <c r="EY33" i="49" s="1"/>
  <c r="BR33" i="49"/>
  <c r="EZ33" i="49" s="1"/>
  <c r="FN33" i="49" s="1"/>
  <c r="BT33" i="49"/>
  <c r="FB33" i="49" s="1"/>
  <c r="BU33" i="49"/>
  <c r="FC33" i="49" s="1"/>
  <c r="BV33" i="49"/>
  <c r="FD33" i="49" s="1"/>
  <c r="BW33" i="49"/>
  <c r="FE33" i="49" s="1"/>
  <c r="BX33" i="49"/>
  <c r="FF33" i="49" s="1"/>
  <c r="BY33" i="49"/>
  <c r="FG33" i="49" s="1"/>
  <c r="CW33" i="49"/>
  <c r="DA33" i="49" s="1"/>
  <c r="CX33" i="49"/>
  <c r="DB33" i="49" s="1"/>
  <c r="DK33" i="49" s="1"/>
  <c r="CY33" i="49"/>
  <c r="CZ33" i="49"/>
  <c r="DC33" i="49"/>
  <c r="DD33" i="49"/>
  <c r="DE33" i="49"/>
  <c r="DI33" i="49" s="1"/>
  <c r="DF33" i="49"/>
  <c r="DJ33" i="49" s="1"/>
  <c r="DG33" i="49"/>
  <c r="DH33" i="49"/>
  <c r="EF33" i="49"/>
  <c r="EJ33" i="49" s="1"/>
  <c r="EG33" i="49"/>
  <c r="EK33" i="49" s="1"/>
  <c r="ET33" i="49" s="1"/>
  <c r="EH33" i="49"/>
  <c r="EI33" i="49"/>
  <c r="EL33" i="49"/>
  <c r="EM33" i="49"/>
  <c r="EN33" i="49"/>
  <c r="ER33" i="49" s="1"/>
  <c r="EO33" i="49"/>
  <c r="ES33" i="49" s="1"/>
  <c r="EP33" i="49"/>
  <c r="EQ33" i="49"/>
  <c r="EU33" i="49"/>
  <c r="AU25" i="50" l="1"/>
  <c r="AV25" i="50" s="1"/>
  <c r="AU16" i="50"/>
  <c r="BY27" i="50"/>
  <c r="FG27" i="50" s="1"/>
  <c r="FR25" i="50"/>
  <c r="FP27" i="50"/>
  <c r="AO30" i="49"/>
  <c r="BS15" i="49"/>
  <c r="FA15" i="49" s="1"/>
  <c r="AO31" i="49"/>
  <c r="BY15" i="49"/>
  <c r="FG15" i="49" s="1"/>
  <c r="AU32" i="49"/>
  <c r="BS27" i="50"/>
  <c r="FA27" i="50" s="1"/>
  <c r="FO27" i="50" s="1"/>
  <c r="FR26" i="50"/>
  <c r="FR30" i="50"/>
  <c r="AU26" i="50"/>
  <c r="F26" i="50" s="1"/>
  <c r="BY30" i="50"/>
  <c r="FG30" i="50" s="1"/>
  <c r="BY16" i="50"/>
  <c r="FG16" i="50" s="1"/>
  <c r="AU20" i="50"/>
  <c r="AO26" i="50"/>
  <c r="AU27" i="50"/>
  <c r="BS26" i="50"/>
  <c r="FA26" i="50" s="1"/>
  <c r="FO26" i="50" s="1"/>
  <c r="FS27" i="50"/>
  <c r="FE20" i="50"/>
  <c r="AO30" i="50"/>
  <c r="EW27" i="50"/>
  <c r="FM27" i="50" s="1"/>
  <c r="AO15" i="50"/>
  <c r="AU19" i="50"/>
  <c r="AV19" i="50" s="1"/>
  <c r="BS30" i="50"/>
  <c r="FA30" i="50" s="1"/>
  <c r="FO30" i="50" s="1"/>
  <c r="AV30" i="49"/>
  <c r="BS33" i="49"/>
  <c r="BZ33" i="49" s="1"/>
  <c r="FH33" i="49" s="1"/>
  <c r="BY31" i="49"/>
  <c r="FG31" i="49" s="1"/>
  <c r="BS32" i="49"/>
  <c r="FA32" i="49" s="1"/>
  <c r="FO32" i="49" s="1"/>
  <c r="FP32" i="49"/>
  <c r="BY19" i="49"/>
  <c r="FG19" i="49" s="1"/>
  <c r="AU15" i="49"/>
  <c r="AU29" i="49"/>
  <c r="BS29" i="49"/>
  <c r="BS30" i="49"/>
  <c r="BS19" i="49"/>
  <c r="FA19" i="49" s="1"/>
  <c r="FO19" i="49" s="1"/>
  <c r="AO29" i="49"/>
  <c r="AV29" i="49" s="1"/>
  <c r="AU31" i="49"/>
  <c r="BY32" i="49"/>
  <c r="FG32" i="49" s="1"/>
  <c r="FM15" i="50"/>
  <c r="FS26" i="50"/>
  <c r="EW26" i="50"/>
  <c r="FM26" i="50" s="1"/>
  <c r="BY26" i="50"/>
  <c r="FG26" i="50" s="1"/>
  <c r="BS19" i="50"/>
  <c r="FA19" i="50" s="1"/>
  <c r="FO19" i="50" s="1"/>
  <c r="FS30" i="50"/>
  <c r="BS15" i="50"/>
  <c r="FA15" i="50" s="1"/>
  <c r="FO15" i="50" s="1"/>
  <c r="BS25" i="50"/>
  <c r="J25" i="50" s="1"/>
  <c r="AV16" i="50"/>
  <c r="FM30" i="50"/>
  <c r="FP30" i="50"/>
  <c r="FM25" i="50"/>
  <c r="AU30" i="50"/>
  <c r="AO20" i="50"/>
  <c r="FS25" i="50"/>
  <c r="FL19" i="50"/>
  <c r="FM19" i="50"/>
  <c r="BS20" i="50"/>
  <c r="EW20" i="50"/>
  <c r="FM20" i="50" s="1"/>
  <c r="BY15" i="50"/>
  <c r="FG15" i="50" s="1"/>
  <c r="FC15" i="50"/>
  <c r="FL20" i="50"/>
  <c r="FP20" i="50"/>
  <c r="BS16" i="50"/>
  <c r="J16" i="50" s="1"/>
  <c r="EW16" i="50"/>
  <c r="FM16" i="50" s="1"/>
  <c r="FN26" i="50"/>
  <c r="FP26" i="50"/>
  <c r="FL16" i="50"/>
  <c r="FP16" i="50"/>
  <c r="AO27" i="50"/>
  <c r="BY19" i="50"/>
  <c r="FG19" i="50" s="1"/>
  <c r="FN25" i="50"/>
  <c r="FP25" i="50"/>
  <c r="FL27" i="50"/>
  <c r="FR27" i="50"/>
  <c r="FP15" i="50"/>
  <c r="FP19" i="50"/>
  <c r="J19" i="50"/>
  <c r="FC19" i="50"/>
  <c r="FA29" i="49"/>
  <c r="FO29" i="49" s="1"/>
  <c r="FM31" i="49"/>
  <c r="EW29" i="49"/>
  <c r="FM29" i="49" s="1"/>
  <c r="BY30" i="49"/>
  <c r="FG30" i="49" s="1"/>
  <c r="BY29" i="49"/>
  <c r="FG29" i="49" s="1"/>
  <c r="EW32" i="49"/>
  <c r="EW19" i="49"/>
  <c r="FM32" i="49"/>
  <c r="BS31" i="49"/>
  <c r="FA31" i="49" s="1"/>
  <c r="FO31" i="49" s="1"/>
  <c r="AO15" i="49"/>
  <c r="J15" i="49" s="1"/>
  <c r="FM15" i="49"/>
  <c r="AO32" i="49"/>
  <c r="AV32" i="49" s="1"/>
  <c r="AU19" i="49"/>
  <c r="AV19" i="49" s="1"/>
  <c r="FP15" i="49"/>
  <c r="AU33" i="49"/>
  <c r="AV31" i="49"/>
  <c r="FO15" i="49"/>
  <c r="AO33" i="49"/>
  <c r="FL32" i="49"/>
  <c r="FL33" i="49"/>
  <c r="FP33" i="49"/>
  <c r="FP31" i="49"/>
  <c r="FN29" i="49"/>
  <c r="FL30" i="49"/>
  <c r="FP30" i="49"/>
  <c r="FM19" i="49"/>
  <c r="FP19" i="49"/>
  <c r="FL19" i="49"/>
  <c r="FP29" i="49"/>
  <c r="FC31" i="49"/>
  <c r="EW30" i="49"/>
  <c r="FM30" i="49" s="1"/>
  <c r="EW33" i="49"/>
  <c r="FM33" i="49" s="1"/>
  <c r="FC19" i="49"/>
  <c r="G20" i="50" l="1"/>
  <c r="BZ27" i="50"/>
  <c r="FH27" i="50" s="1"/>
  <c r="AV30" i="50"/>
  <c r="BZ30" i="50"/>
  <c r="FH30" i="50" s="1"/>
  <c r="AV26" i="50"/>
  <c r="FA33" i="49"/>
  <c r="FO33" i="49" s="1"/>
  <c r="BZ15" i="49"/>
  <c r="FH15" i="49" s="1"/>
  <c r="F25" i="50"/>
  <c r="J26" i="50"/>
  <c r="K26" i="50" s="1"/>
  <c r="BZ26" i="50"/>
  <c r="FH26" i="50" s="1"/>
  <c r="FT30" i="50" s="1"/>
  <c r="AV20" i="50"/>
  <c r="FQ30" i="50"/>
  <c r="J30" i="50"/>
  <c r="L30" i="50" s="1"/>
  <c r="M30" i="50" s="1"/>
  <c r="G26" i="50"/>
  <c r="H26" i="50" s="1"/>
  <c r="A26" i="50" s="1" a="1"/>
  <c r="A26" i="50" s="1"/>
  <c r="J15" i="50"/>
  <c r="CA15" i="50" s="1"/>
  <c r="F30" i="50"/>
  <c r="AV15" i="50"/>
  <c r="BZ15" i="50"/>
  <c r="FH15" i="50" s="1"/>
  <c r="F19" i="50"/>
  <c r="G19" i="50"/>
  <c r="G30" i="50"/>
  <c r="FT27" i="50"/>
  <c r="G30" i="49"/>
  <c r="F29" i="49"/>
  <c r="BZ32" i="49"/>
  <c r="FH32" i="49" s="1"/>
  <c r="J29" i="49"/>
  <c r="L29" i="49" s="1"/>
  <c r="M29" i="49" s="1"/>
  <c r="G15" i="49"/>
  <c r="H15" i="49" s="1"/>
  <c r="BZ31" i="49"/>
  <c r="FH31" i="49" s="1"/>
  <c r="G33" i="49"/>
  <c r="G31" i="49"/>
  <c r="BZ19" i="49"/>
  <c r="FH19" i="49" s="1"/>
  <c r="J30" i="49"/>
  <c r="K30" i="49" s="1"/>
  <c r="J19" i="49"/>
  <c r="L19" i="49" s="1"/>
  <c r="M19" i="49" s="1"/>
  <c r="FA30" i="49"/>
  <c r="FO30" i="49" s="1"/>
  <c r="F15" i="49"/>
  <c r="F19" i="49"/>
  <c r="J32" i="49"/>
  <c r="CA32" i="49" s="1"/>
  <c r="J31" i="49"/>
  <c r="BZ30" i="49"/>
  <c r="FH30" i="49" s="1"/>
  <c r="AV15" i="49"/>
  <c r="F30" i="49"/>
  <c r="G19" i="49"/>
  <c r="H19" i="49" s="1"/>
  <c r="F31" i="49"/>
  <c r="G29" i="49"/>
  <c r="BZ25" i="50"/>
  <c r="FH25" i="50" s="1"/>
  <c r="FT25" i="50" s="1"/>
  <c r="FA25" i="50"/>
  <c r="FO25" i="50" s="1"/>
  <c r="FQ27" i="50"/>
  <c r="J20" i="50"/>
  <c r="N20" i="50" s="1"/>
  <c r="G25" i="50"/>
  <c r="FV27" i="50"/>
  <c r="K16" i="50"/>
  <c r="L16" i="50"/>
  <c r="M16" i="50" s="1"/>
  <c r="N16" i="50"/>
  <c r="CA16" i="50"/>
  <c r="N15" i="50"/>
  <c r="J27" i="50"/>
  <c r="AV27" i="50"/>
  <c r="F27" i="50"/>
  <c r="G27" i="50"/>
  <c r="H27" i="50" s="1"/>
  <c r="N19" i="50"/>
  <c r="CA19" i="50"/>
  <c r="L19" i="50"/>
  <c r="M19" i="50" s="1"/>
  <c r="K19" i="50"/>
  <c r="FA16" i="50"/>
  <c r="FO16" i="50" s="1"/>
  <c r="FQ26" i="50" s="1"/>
  <c r="BZ16" i="50"/>
  <c r="FH16" i="50" s="1"/>
  <c r="FA20" i="50"/>
  <c r="FO20" i="50" s="1"/>
  <c r="BZ20" i="50"/>
  <c r="FH20" i="50" s="1"/>
  <c r="F20" i="50"/>
  <c r="H20" i="50" s="1"/>
  <c r="K25" i="50"/>
  <c r="L25" i="50"/>
  <c r="M25" i="50" s="1"/>
  <c r="N25" i="50"/>
  <c r="CA25" i="50"/>
  <c r="FV30" i="50"/>
  <c r="F16" i="50"/>
  <c r="BZ19" i="50"/>
  <c r="FH19" i="50" s="1"/>
  <c r="G15" i="50"/>
  <c r="G16" i="50"/>
  <c r="F15" i="50"/>
  <c r="BZ29" i="49"/>
  <c r="FH29" i="49" s="1"/>
  <c r="AV33" i="49"/>
  <c r="G32" i="49"/>
  <c r="J33" i="49"/>
  <c r="L33" i="49" s="1"/>
  <c r="M33" i="49" s="1"/>
  <c r="F32" i="49"/>
  <c r="F33" i="49"/>
  <c r="CA29" i="49"/>
  <c r="N29" i="49"/>
  <c r="K29" i="49"/>
  <c r="CA15" i="49"/>
  <c r="N15" i="49"/>
  <c r="L15" i="49"/>
  <c r="M15" i="49" s="1"/>
  <c r="K15" i="49"/>
  <c r="N26" i="50" l="1"/>
  <c r="N30" i="50"/>
  <c r="CA26" i="50"/>
  <c r="L15" i="50"/>
  <c r="M15" i="50" s="1"/>
  <c r="K30" i="50"/>
  <c r="H30" i="50"/>
  <c r="A30" i="50" s="1" a="1"/>
  <c r="A30" i="50" s="1"/>
  <c r="CA30" i="50"/>
  <c r="FI30" i="50" s="1"/>
  <c r="H19" i="50"/>
  <c r="A19" i="50" s="1" a="1"/>
  <c r="A19" i="50" s="1"/>
  <c r="L26" i="50"/>
  <c r="M26" i="50" s="1"/>
  <c r="H16" i="50"/>
  <c r="A16" i="50" s="1" a="1"/>
  <c r="A16" i="50" s="1"/>
  <c r="H15" i="50"/>
  <c r="A15" i="50" s="1" a="1"/>
  <c r="A15" i="50" s="1"/>
  <c r="K15" i="50"/>
  <c r="H25" i="50"/>
  <c r="A25" i="50" s="1" a="1"/>
  <c r="A25" i="50" s="1"/>
  <c r="A20" i="50" a="1"/>
  <c r="A20" i="50" s="1"/>
  <c r="H29" i="49"/>
  <c r="A29" i="49" s="1" a="1"/>
  <c r="A29" i="49" s="1"/>
  <c r="CA30" i="49"/>
  <c r="FI30" i="49" s="1"/>
  <c r="H30" i="49"/>
  <c r="A30" i="49" s="1" a="1"/>
  <c r="A30" i="49" s="1"/>
  <c r="H32" i="49"/>
  <c r="A15" i="49" a="1"/>
  <c r="A15" i="49" s="1"/>
  <c r="L30" i="49"/>
  <c r="M30" i="49" s="1"/>
  <c r="L32" i="49"/>
  <c r="M32" i="49" s="1"/>
  <c r="K32" i="49"/>
  <c r="N30" i="49"/>
  <c r="CB30" i="49" s="1"/>
  <c r="FJ30" i="49" s="1"/>
  <c r="FV25" i="50"/>
  <c r="L20" i="50"/>
  <c r="M20" i="50" s="1"/>
  <c r="K20" i="50"/>
  <c r="FQ25" i="50"/>
  <c r="CA20" i="50"/>
  <c r="FI20" i="50" s="1"/>
  <c r="A19" i="49" a="1"/>
  <c r="A19" i="49" s="1"/>
  <c r="N33" i="49"/>
  <c r="N19" i="49"/>
  <c r="K19" i="49"/>
  <c r="CA19" i="49"/>
  <c r="FI19" i="49" s="1"/>
  <c r="L31" i="49"/>
  <c r="M31" i="49" s="1"/>
  <c r="N31" i="49"/>
  <c r="CA31" i="49"/>
  <c r="FI31" i="49" s="1"/>
  <c r="N32" i="49"/>
  <c r="CB32" i="49" s="1"/>
  <c r="FJ32" i="49" s="1"/>
  <c r="K31" i="49"/>
  <c r="A32" i="49" a="1"/>
  <c r="A32" i="49" s="1"/>
  <c r="CA33" i="49"/>
  <c r="FI33" i="49" s="1"/>
  <c r="K33" i="49"/>
  <c r="FI16" i="50"/>
  <c r="A27" i="50" a="1"/>
  <c r="A27" i="50" s="1"/>
  <c r="O16" i="50"/>
  <c r="CB16" i="50"/>
  <c r="FJ16" i="50" s="1"/>
  <c r="CB26" i="50"/>
  <c r="FJ26" i="50" s="1"/>
  <c r="O26" i="50"/>
  <c r="K27" i="50"/>
  <c r="L27" i="50"/>
  <c r="M27" i="50" s="1"/>
  <c r="N27" i="50"/>
  <c r="CA27" i="50"/>
  <c r="FI26" i="50"/>
  <c r="FI15" i="50"/>
  <c r="O20" i="50"/>
  <c r="CB20" i="50"/>
  <c r="FJ20" i="50" s="1"/>
  <c r="FI25" i="50"/>
  <c r="CB25" i="50"/>
  <c r="FJ25" i="50" s="1"/>
  <c r="O25" i="50"/>
  <c r="FI19" i="50"/>
  <c r="FT26" i="50"/>
  <c r="FV26" i="50"/>
  <c r="CB30" i="50"/>
  <c r="FJ30" i="50" s="1"/>
  <c r="O30" i="50"/>
  <c r="O19" i="50"/>
  <c r="CB19" i="50"/>
  <c r="FJ19" i="50" s="1"/>
  <c r="O15" i="50"/>
  <c r="CB15" i="50"/>
  <c r="FJ15" i="50" s="1"/>
  <c r="CB29" i="49"/>
  <c r="FJ29" i="49" s="1"/>
  <c r="O29" i="49"/>
  <c r="FI29" i="49"/>
  <c r="P29" i="49"/>
  <c r="CB33" i="49"/>
  <c r="FJ33" i="49" s="1"/>
  <c r="O33" i="49"/>
  <c r="FI32" i="49"/>
  <c r="CB15" i="49"/>
  <c r="FJ15" i="49" s="1"/>
  <c r="O15" i="49"/>
  <c r="FI15" i="49"/>
  <c r="P30" i="49" l="1"/>
  <c r="O30" i="49"/>
  <c r="P19" i="50"/>
  <c r="R19" i="50" s="1"/>
  <c r="FU26" i="50"/>
  <c r="FW26" i="50" s="1"/>
  <c r="FX26" i="50" s="1"/>
  <c r="O32" i="49"/>
  <c r="CB31" i="49"/>
  <c r="FJ31" i="49" s="1"/>
  <c r="O31" i="49"/>
  <c r="O19" i="49"/>
  <c r="CB19" i="49"/>
  <c r="P31" i="49"/>
  <c r="E31" i="49" s="1"/>
  <c r="P15" i="49"/>
  <c r="E15" i="49" s="1"/>
  <c r="E19" i="50"/>
  <c r="P26" i="50"/>
  <c r="E26" i="50" s="1"/>
  <c r="P30" i="50"/>
  <c r="E30" i="50" s="1"/>
  <c r="P16" i="50"/>
  <c r="E16" i="50" s="1"/>
  <c r="P25" i="50"/>
  <c r="O27" i="50"/>
  <c r="CB27" i="50"/>
  <c r="FJ27" i="50" s="1"/>
  <c r="FU25" i="50" s="1"/>
  <c r="FW25" i="50" s="1"/>
  <c r="FX25" i="50" s="1"/>
  <c r="P15" i="50"/>
  <c r="E15" i="50" s="1"/>
  <c r="FI27" i="50"/>
  <c r="FU30" i="50"/>
  <c r="FW30" i="50" s="1"/>
  <c r="FX30" i="50" s="1"/>
  <c r="P20" i="50"/>
  <c r="E29" i="49"/>
  <c r="R29" i="49"/>
  <c r="Q29" i="49"/>
  <c r="Q30" i="49"/>
  <c r="R30" i="49"/>
  <c r="P32" i="49"/>
  <c r="E30" i="49"/>
  <c r="P33" i="49"/>
  <c r="Q19" i="50" l="1"/>
  <c r="Q30" i="50"/>
  <c r="R31" i="49"/>
  <c r="Q31" i="49"/>
  <c r="R16" i="50"/>
  <c r="R30" i="50"/>
  <c r="FU27" i="50"/>
  <c r="FW27" i="50" s="1"/>
  <c r="FX27" i="50" s="1"/>
  <c r="Q26" i="50"/>
  <c r="R26" i="50"/>
  <c r="R15" i="49"/>
  <c r="Q15" i="49"/>
  <c r="FJ19" i="49"/>
  <c r="P19" i="49"/>
  <c r="Q16" i="50"/>
  <c r="Q20" i="50"/>
  <c r="R20" i="50"/>
  <c r="E20" i="50"/>
  <c r="R25" i="50"/>
  <c r="Q25" i="50"/>
  <c r="P27" i="50"/>
  <c r="Q15" i="50"/>
  <c r="R15" i="50"/>
  <c r="E25" i="50"/>
  <c r="R33" i="49"/>
  <c r="Q33" i="49"/>
  <c r="Q32" i="49"/>
  <c r="R32" i="49"/>
  <c r="E32" i="49"/>
  <c r="E33" i="49"/>
  <c r="E19" i="49" l="1"/>
  <c r="R19" i="49"/>
  <c r="Q19" i="49"/>
  <c r="Q27" i="50"/>
  <c r="R27" i="50"/>
  <c r="E27" i="50"/>
  <c r="EU6" i="52" l="1"/>
  <c r="EQ6" i="52"/>
  <c r="EP6" i="52"/>
  <c r="EO6" i="52"/>
  <c r="ES6" i="52" s="1"/>
  <c r="EN6" i="52"/>
  <c r="ER6" i="52" s="1"/>
  <c r="EM6" i="52"/>
  <c r="EL6" i="52"/>
  <c r="EI6" i="52"/>
  <c r="EH6" i="52"/>
  <c r="EG6" i="52"/>
  <c r="EK6" i="52" s="1"/>
  <c r="ET6" i="52" s="1"/>
  <c r="EF6" i="52"/>
  <c r="EJ6" i="52" s="1"/>
  <c r="DH6" i="52"/>
  <c r="DG6" i="52"/>
  <c r="DF6" i="52"/>
  <c r="DJ6" i="52" s="1"/>
  <c r="DE6" i="52"/>
  <c r="DI6" i="52" s="1"/>
  <c r="DD6" i="52"/>
  <c r="DC6" i="52"/>
  <c r="CZ6" i="52"/>
  <c r="CY6" i="52"/>
  <c r="CX6" i="52"/>
  <c r="DB6" i="52" s="1"/>
  <c r="CW6" i="52"/>
  <c r="DA6" i="52" s="1"/>
  <c r="BX6" i="52"/>
  <c r="FF6" i="52" s="1"/>
  <c r="BW6" i="52"/>
  <c r="FE6" i="52" s="1"/>
  <c r="BV6" i="52"/>
  <c r="FD6" i="52" s="1"/>
  <c r="BU6" i="52"/>
  <c r="BT6" i="52"/>
  <c r="FB6" i="52" s="1"/>
  <c r="BR6" i="52"/>
  <c r="EZ6" i="52" s="1"/>
  <c r="FN6" i="52" s="1"/>
  <c r="BQ6" i="52"/>
  <c r="EY6" i="52" s="1"/>
  <c r="BP6" i="52"/>
  <c r="EX6" i="52" s="1"/>
  <c r="BO6" i="52"/>
  <c r="EW6" i="52" s="1"/>
  <c r="BN6" i="52"/>
  <c r="EV6" i="52" s="1"/>
  <c r="AT6" i="52"/>
  <c r="AS6" i="52"/>
  <c r="AR6" i="52"/>
  <c r="AQ6" i="52"/>
  <c r="AU6" i="52" s="1"/>
  <c r="AP6" i="52"/>
  <c r="AN6" i="52"/>
  <c r="AM6" i="52"/>
  <c r="AL6" i="52"/>
  <c r="AK6" i="52"/>
  <c r="AJ6" i="52"/>
  <c r="EU7" i="52"/>
  <c r="EQ7" i="52"/>
  <c r="EP7" i="52"/>
  <c r="EO7" i="52"/>
  <c r="ES7" i="52" s="1"/>
  <c r="EN7" i="52"/>
  <c r="ER7" i="52" s="1"/>
  <c r="EM7" i="52"/>
  <c r="EL7" i="52"/>
  <c r="EI7" i="52"/>
  <c r="EH7" i="52"/>
  <c r="EG7" i="52"/>
  <c r="EK7" i="52" s="1"/>
  <c r="ET7" i="52" s="1"/>
  <c r="EF7" i="52"/>
  <c r="EJ7" i="52" s="1"/>
  <c r="DH7" i="52"/>
  <c r="DG7" i="52"/>
  <c r="DF7" i="52"/>
  <c r="DJ7" i="52" s="1"/>
  <c r="DE7" i="52"/>
  <c r="DI7" i="52" s="1"/>
  <c r="DD7" i="52"/>
  <c r="DC7" i="52"/>
  <c r="CZ7" i="52"/>
  <c r="CY7" i="52"/>
  <c r="CX7" i="52"/>
  <c r="DB7" i="52" s="1"/>
  <c r="DK7" i="52" s="1"/>
  <c r="CW7" i="52"/>
  <c r="DA7" i="52" s="1"/>
  <c r="BX7" i="52"/>
  <c r="FF7" i="52" s="1"/>
  <c r="BW7" i="52"/>
  <c r="FE7" i="52" s="1"/>
  <c r="BV7" i="52"/>
  <c r="FD7" i="52" s="1"/>
  <c r="BU7" i="52"/>
  <c r="BT7" i="52"/>
  <c r="FB7" i="52" s="1"/>
  <c r="BR7" i="52"/>
  <c r="EZ7" i="52" s="1"/>
  <c r="FN7" i="52" s="1"/>
  <c r="BQ7" i="52"/>
  <c r="EY7" i="52" s="1"/>
  <c r="BP7" i="52"/>
  <c r="EX7" i="52" s="1"/>
  <c r="BO7" i="52"/>
  <c r="EW7" i="52" s="1"/>
  <c r="BN7" i="52"/>
  <c r="EV7" i="52" s="1"/>
  <c r="FL7" i="52" s="1"/>
  <c r="AT7" i="52"/>
  <c r="AS7" i="52"/>
  <c r="AR7" i="52"/>
  <c r="AQ7" i="52"/>
  <c r="AP7" i="52"/>
  <c r="AN7" i="52"/>
  <c r="AM7" i="52"/>
  <c r="AL7" i="52"/>
  <c r="AK7" i="52"/>
  <c r="AJ7" i="52"/>
  <c r="EU5" i="52"/>
  <c r="EQ5" i="52"/>
  <c r="EP5" i="52"/>
  <c r="EO5" i="52"/>
  <c r="ES5" i="52" s="1"/>
  <c r="EN5" i="52"/>
  <c r="ER5" i="52" s="1"/>
  <c r="EM5" i="52"/>
  <c r="EL5" i="52"/>
  <c r="EI5" i="52"/>
  <c r="EH5" i="52"/>
  <c r="EG5" i="52"/>
  <c r="EK5" i="52" s="1"/>
  <c r="ET5" i="52" s="1"/>
  <c r="EF5" i="52"/>
  <c r="EJ5" i="52" s="1"/>
  <c r="DH5" i="52"/>
  <c r="DG5" i="52"/>
  <c r="DF5" i="52"/>
  <c r="DJ5" i="52" s="1"/>
  <c r="DE5" i="52"/>
  <c r="DI5" i="52" s="1"/>
  <c r="DD5" i="52"/>
  <c r="DC5" i="52"/>
  <c r="CZ5" i="52"/>
  <c r="CY5" i="52"/>
  <c r="CX5" i="52"/>
  <c r="DB5" i="52" s="1"/>
  <c r="DK5" i="52" s="1"/>
  <c r="CW5" i="52"/>
  <c r="DA5" i="52" s="1"/>
  <c r="BX5" i="52"/>
  <c r="FF5" i="52" s="1"/>
  <c r="BW5" i="52"/>
  <c r="FE5" i="52" s="1"/>
  <c r="BV5" i="52"/>
  <c r="FD5" i="52" s="1"/>
  <c r="BU5" i="52"/>
  <c r="FC5" i="52" s="1"/>
  <c r="BT5" i="52"/>
  <c r="FB5" i="52" s="1"/>
  <c r="BR5" i="52"/>
  <c r="EZ5" i="52" s="1"/>
  <c r="FN5" i="52" s="1"/>
  <c r="BQ5" i="52"/>
  <c r="EY5" i="52" s="1"/>
  <c r="BP5" i="52"/>
  <c r="EX5" i="52" s="1"/>
  <c r="BO5" i="52"/>
  <c r="EW5" i="52" s="1"/>
  <c r="BN5" i="52"/>
  <c r="EV5" i="52" s="1"/>
  <c r="FL5" i="52" s="1"/>
  <c r="AT5" i="52"/>
  <c r="AS5" i="52"/>
  <c r="AR5" i="52"/>
  <c r="AQ5" i="52"/>
  <c r="AP5" i="52"/>
  <c r="AN5" i="52"/>
  <c r="AM5" i="52"/>
  <c r="AL5" i="52"/>
  <c r="AK5" i="52"/>
  <c r="AJ5" i="52"/>
  <c r="EU4" i="52"/>
  <c r="ET4" i="52"/>
  <c r="EQ4" i="52"/>
  <c r="EP4" i="52"/>
  <c r="EO4" i="52"/>
  <c r="ES4" i="52" s="1"/>
  <c r="EN4" i="52"/>
  <c r="ER4" i="52" s="1"/>
  <c r="EM4" i="52"/>
  <c r="EL4" i="52"/>
  <c r="EI4" i="52"/>
  <c r="EH4" i="52"/>
  <c r="EG4" i="52"/>
  <c r="EK4" i="52" s="1"/>
  <c r="EF4" i="52"/>
  <c r="EJ4" i="52" s="1"/>
  <c r="DH4" i="52"/>
  <c r="DG4" i="52"/>
  <c r="DF4" i="52"/>
  <c r="DJ4" i="52" s="1"/>
  <c r="DE4" i="52"/>
  <c r="DI4" i="52" s="1"/>
  <c r="DD4" i="52"/>
  <c r="DC4" i="52"/>
  <c r="CZ4" i="52"/>
  <c r="CY4" i="52"/>
  <c r="CX4" i="52"/>
  <c r="DB4" i="52" s="1"/>
  <c r="DK4" i="52" s="1"/>
  <c r="CW4" i="52"/>
  <c r="DA4" i="52" s="1"/>
  <c r="BX4" i="52"/>
  <c r="FF4" i="52" s="1"/>
  <c r="BW4" i="52"/>
  <c r="FE4" i="52" s="1"/>
  <c r="BV4" i="52"/>
  <c r="FD4" i="52" s="1"/>
  <c r="BU4" i="52"/>
  <c r="FC4" i="52" s="1"/>
  <c r="BT4" i="52"/>
  <c r="FB4" i="52" s="1"/>
  <c r="BR4" i="52"/>
  <c r="EZ4" i="52" s="1"/>
  <c r="FN4" i="52" s="1"/>
  <c r="BQ4" i="52"/>
  <c r="EY4" i="52" s="1"/>
  <c r="BP4" i="52"/>
  <c r="EX4" i="52" s="1"/>
  <c r="BO4" i="52"/>
  <c r="EW4" i="52" s="1"/>
  <c r="BN4" i="52"/>
  <c r="EV4" i="52" s="1"/>
  <c r="AT4" i="52"/>
  <c r="AS4" i="52"/>
  <c r="AR4" i="52"/>
  <c r="AQ4" i="52"/>
  <c r="AP4" i="52"/>
  <c r="AN4" i="52"/>
  <c r="AM4" i="52"/>
  <c r="AL4" i="52"/>
  <c r="AK4" i="52"/>
  <c r="AO4" i="52" s="1"/>
  <c r="AJ4" i="52"/>
  <c r="EU8" i="51"/>
  <c r="EQ8" i="51"/>
  <c r="EP8" i="51"/>
  <c r="EO8" i="51"/>
  <c r="ES8" i="51" s="1"/>
  <c r="EN8" i="51"/>
  <c r="ER8" i="51" s="1"/>
  <c r="EM8" i="51"/>
  <c r="EL8" i="51"/>
  <c r="EI8" i="51"/>
  <c r="EH8" i="51"/>
  <c r="EG8" i="51"/>
  <c r="EF8" i="51"/>
  <c r="DH8" i="51"/>
  <c r="DG8" i="51"/>
  <c r="DF8" i="51"/>
  <c r="DJ8" i="51" s="1"/>
  <c r="DE8" i="51"/>
  <c r="DI8" i="51" s="1"/>
  <c r="DD8" i="51"/>
  <c r="DC8" i="51"/>
  <c r="CZ8" i="51"/>
  <c r="CY8" i="51"/>
  <c r="CX8" i="51"/>
  <c r="DB8" i="51" s="1"/>
  <c r="DK8" i="51" s="1"/>
  <c r="CW8" i="51"/>
  <c r="DA8" i="51" s="1"/>
  <c r="BX8" i="51"/>
  <c r="FF8" i="51" s="1"/>
  <c r="BW8" i="51"/>
  <c r="FE8" i="51" s="1"/>
  <c r="BV8" i="51"/>
  <c r="FD8" i="51" s="1"/>
  <c r="BU8" i="51"/>
  <c r="FC8" i="51" s="1"/>
  <c r="BT8" i="51"/>
  <c r="FB8" i="51" s="1"/>
  <c r="BR8" i="51"/>
  <c r="EZ8" i="51" s="1"/>
  <c r="FN8" i="51" s="1"/>
  <c r="BQ8" i="51"/>
  <c r="EY8" i="51" s="1"/>
  <c r="BP8" i="51"/>
  <c r="EX8" i="51" s="1"/>
  <c r="BO8" i="51"/>
  <c r="BN8" i="51"/>
  <c r="EV8" i="51" s="1"/>
  <c r="AT8" i="51"/>
  <c r="AS8" i="51"/>
  <c r="AR8" i="51"/>
  <c r="AQ8" i="51"/>
  <c r="AP8" i="51"/>
  <c r="AN8" i="51"/>
  <c r="AM8" i="51"/>
  <c r="AL8" i="51"/>
  <c r="AK8" i="51"/>
  <c r="AJ8" i="51"/>
  <c r="EU9" i="51"/>
  <c r="EQ9" i="51"/>
  <c r="EP9" i="51"/>
  <c r="EO9" i="51"/>
  <c r="EN9" i="51"/>
  <c r="ER9" i="51" s="1"/>
  <c r="EM9" i="51"/>
  <c r="EL9" i="51"/>
  <c r="EI9" i="51"/>
  <c r="EH9" i="51"/>
  <c r="EG9" i="51"/>
  <c r="EF9" i="51"/>
  <c r="EJ9" i="51" s="1"/>
  <c r="DH9" i="51"/>
  <c r="DG9" i="51"/>
  <c r="DF9" i="51"/>
  <c r="DJ9" i="51" s="1"/>
  <c r="DE9" i="51"/>
  <c r="DI9" i="51" s="1"/>
  <c r="DD9" i="51"/>
  <c r="DC9" i="51"/>
  <c r="CZ9" i="51"/>
  <c r="CY9" i="51"/>
  <c r="CX9" i="51"/>
  <c r="DB9" i="51" s="1"/>
  <c r="DK9" i="51" s="1"/>
  <c r="CW9" i="51"/>
  <c r="DA9" i="51" s="1"/>
  <c r="BX9" i="51"/>
  <c r="FF9" i="51" s="1"/>
  <c r="BW9" i="51"/>
  <c r="FE9" i="51" s="1"/>
  <c r="BV9" i="51"/>
  <c r="FD9" i="51" s="1"/>
  <c r="FR8" i="51" s="1"/>
  <c r="BU9" i="51"/>
  <c r="FC9" i="51" s="1"/>
  <c r="BT9" i="51"/>
  <c r="FB9" i="51" s="1"/>
  <c r="BR9" i="51"/>
  <c r="EZ9" i="51" s="1"/>
  <c r="FN9" i="51" s="1"/>
  <c r="BQ9" i="51"/>
  <c r="EY9" i="51" s="1"/>
  <c r="BP9" i="51"/>
  <c r="EX9" i="51" s="1"/>
  <c r="BO9" i="51"/>
  <c r="BN9" i="51"/>
  <c r="EV9" i="51" s="1"/>
  <c r="AT9" i="51"/>
  <c r="AS9" i="51"/>
  <c r="AR9" i="51"/>
  <c r="AQ9" i="51"/>
  <c r="AP9" i="51"/>
  <c r="AN9" i="51"/>
  <c r="AM9" i="51"/>
  <c r="AL9" i="51"/>
  <c r="AK9" i="51"/>
  <c r="AJ9" i="51"/>
  <c r="EU7" i="51"/>
  <c r="EQ7" i="51"/>
  <c r="EP7" i="51"/>
  <c r="EO7" i="51"/>
  <c r="ES7" i="51" s="1"/>
  <c r="EN7" i="51"/>
  <c r="ER7" i="51" s="1"/>
  <c r="EM7" i="51"/>
  <c r="EL7" i="51"/>
  <c r="EI7" i="51"/>
  <c r="EH7" i="51"/>
  <c r="EG7" i="51"/>
  <c r="EK7" i="51" s="1"/>
  <c r="ET7" i="51" s="1"/>
  <c r="EF7" i="51"/>
  <c r="EJ7" i="51" s="1"/>
  <c r="DH7" i="51"/>
  <c r="DG7" i="51"/>
  <c r="DF7" i="51"/>
  <c r="DJ7" i="51" s="1"/>
  <c r="DE7" i="51"/>
  <c r="DI7" i="51" s="1"/>
  <c r="DD7" i="51"/>
  <c r="DC7" i="51"/>
  <c r="CZ7" i="51"/>
  <c r="CY7" i="51"/>
  <c r="CX7" i="51"/>
  <c r="CW7" i="51"/>
  <c r="BX7" i="51"/>
  <c r="FF7" i="51" s="1"/>
  <c r="BW7" i="51"/>
  <c r="FE7" i="51" s="1"/>
  <c r="BV7" i="51"/>
  <c r="FD7" i="51" s="1"/>
  <c r="FR7" i="51" s="1"/>
  <c r="BU7" i="51"/>
  <c r="BT7" i="51"/>
  <c r="FB7" i="51" s="1"/>
  <c r="BR7" i="51"/>
  <c r="EZ7" i="51" s="1"/>
  <c r="FN7" i="51" s="1"/>
  <c r="BQ7" i="51"/>
  <c r="EY7" i="51" s="1"/>
  <c r="BP7" i="51"/>
  <c r="EX7" i="51" s="1"/>
  <c r="BO7" i="51"/>
  <c r="BN7" i="51"/>
  <c r="EV7" i="51" s="1"/>
  <c r="AT7" i="51"/>
  <c r="AS7" i="51"/>
  <c r="AR7" i="51"/>
  <c r="AQ7" i="51"/>
  <c r="AP7" i="51"/>
  <c r="AN7" i="51"/>
  <c r="AM7" i="51"/>
  <c r="AL7" i="51"/>
  <c r="AK7" i="51"/>
  <c r="AJ7" i="51"/>
  <c r="EU6" i="51"/>
  <c r="EQ6" i="51"/>
  <c r="EP6" i="51"/>
  <c r="EO6" i="51"/>
  <c r="ES6" i="51" s="1"/>
  <c r="EN6" i="51"/>
  <c r="ER6" i="51" s="1"/>
  <c r="EM6" i="51"/>
  <c r="EL6" i="51"/>
  <c r="EI6" i="51"/>
  <c r="EH6" i="51"/>
  <c r="EG6" i="51"/>
  <c r="EK6" i="51" s="1"/>
  <c r="ET6" i="51" s="1"/>
  <c r="EF6" i="51"/>
  <c r="EJ6" i="51" s="1"/>
  <c r="DH6" i="51"/>
  <c r="DG6" i="51"/>
  <c r="DF6" i="51"/>
  <c r="DJ6" i="51" s="1"/>
  <c r="DE6" i="51"/>
  <c r="DI6" i="51" s="1"/>
  <c r="DD6" i="51"/>
  <c r="DC6" i="51"/>
  <c r="CZ6" i="51"/>
  <c r="CY6" i="51"/>
  <c r="CX6" i="51"/>
  <c r="CW6" i="51"/>
  <c r="BX6" i="51"/>
  <c r="FF6" i="51" s="1"/>
  <c r="BW6" i="51"/>
  <c r="BV6" i="51"/>
  <c r="FD6" i="51" s="1"/>
  <c r="FR6" i="51" s="1"/>
  <c r="BU6" i="51"/>
  <c r="FC6" i="51" s="1"/>
  <c r="BT6" i="51"/>
  <c r="FB6" i="51" s="1"/>
  <c r="BR6" i="51"/>
  <c r="EZ6" i="51" s="1"/>
  <c r="FN6" i="51" s="1"/>
  <c r="BQ6" i="51"/>
  <c r="EY6" i="51" s="1"/>
  <c r="BP6" i="51"/>
  <c r="EX6" i="51" s="1"/>
  <c r="BO6" i="51"/>
  <c r="BN6" i="51"/>
  <c r="EV6" i="51" s="1"/>
  <c r="AT6" i="51"/>
  <c r="AS6" i="51"/>
  <c r="AR6" i="51"/>
  <c r="AQ6" i="51"/>
  <c r="AP6" i="51"/>
  <c r="AN6" i="51"/>
  <c r="AM6" i="51"/>
  <c r="AL6" i="51"/>
  <c r="AK6" i="51"/>
  <c r="AJ6" i="51"/>
  <c r="EU5" i="51"/>
  <c r="EQ5" i="51"/>
  <c r="EP5" i="51"/>
  <c r="EO5" i="51"/>
  <c r="ES5" i="51" s="1"/>
  <c r="EN5" i="51"/>
  <c r="ER5" i="51" s="1"/>
  <c r="EM5" i="51"/>
  <c r="EL5" i="51"/>
  <c r="EI5" i="51"/>
  <c r="EH5" i="51"/>
  <c r="EG5" i="51"/>
  <c r="EK5" i="51" s="1"/>
  <c r="ET5" i="51" s="1"/>
  <c r="EF5" i="51"/>
  <c r="EJ5" i="51" s="1"/>
  <c r="DH5" i="51"/>
  <c r="DG5" i="51"/>
  <c r="DF5" i="51"/>
  <c r="DJ5" i="51" s="1"/>
  <c r="DE5" i="51"/>
  <c r="DI5" i="51" s="1"/>
  <c r="DD5" i="51"/>
  <c r="DC5" i="51"/>
  <c r="CZ5" i="51"/>
  <c r="CY5" i="51"/>
  <c r="CX5" i="51"/>
  <c r="DB5" i="51" s="1"/>
  <c r="DK5" i="51" s="1"/>
  <c r="CW5" i="51"/>
  <c r="DA5" i="51" s="1"/>
  <c r="BX5" i="51"/>
  <c r="FF5" i="51" s="1"/>
  <c r="BW5" i="51"/>
  <c r="FE5" i="51" s="1"/>
  <c r="BV5" i="51"/>
  <c r="FD5" i="51" s="1"/>
  <c r="FR5" i="51" s="1"/>
  <c r="BU5" i="51"/>
  <c r="FC5" i="51" s="1"/>
  <c r="BT5" i="51"/>
  <c r="FB5" i="51" s="1"/>
  <c r="BR5" i="51"/>
  <c r="EZ5" i="51" s="1"/>
  <c r="FN5" i="51" s="1"/>
  <c r="BQ5" i="51"/>
  <c r="EY5" i="51" s="1"/>
  <c r="BP5" i="51"/>
  <c r="EX5" i="51" s="1"/>
  <c r="BO5" i="51"/>
  <c r="BN5" i="51"/>
  <c r="EV5" i="51" s="1"/>
  <c r="AT5" i="51"/>
  <c r="AS5" i="51"/>
  <c r="AR5" i="51"/>
  <c r="AQ5" i="51"/>
  <c r="AP5" i="51"/>
  <c r="AN5" i="51"/>
  <c r="AM5" i="51"/>
  <c r="AL5" i="51"/>
  <c r="AK5" i="51"/>
  <c r="AJ5" i="51"/>
  <c r="EU4" i="51"/>
  <c r="EQ4" i="51"/>
  <c r="EP4" i="51"/>
  <c r="EO4" i="51"/>
  <c r="ES4" i="51" s="1"/>
  <c r="EN4" i="51"/>
  <c r="ER4" i="51" s="1"/>
  <c r="EM4" i="51"/>
  <c r="EL4" i="51"/>
  <c r="EI4" i="51"/>
  <c r="EH4" i="51"/>
  <c r="EG4" i="51"/>
  <c r="EK4" i="51" s="1"/>
  <c r="ET4" i="51" s="1"/>
  <c r="EF4" i="51"/>
  <c r="EJ4" i="51" s="1"/>
  <c r="DH4" i="51"/>
  <c r="DG4" i="51"/>
  <c r="DF4" i="51"/>
  <c r="DJ4" i="51" s="1"/>
  <c r="DE4" i="51"/>
  <c r="DI4" i="51" s="1"/>
  <c r="DD4" i="51"/>
  <c r="DC4" i="51"/>
  <c r="CZ4" i="51"/>
  <c r="CY4" i="51"/>
  <c r="CX4" i="51"/>
  <c r="CW4" i="51"/>
  <c r="BX4" i="51"/>
  <c r="FF4" i="51" s="1"/>
  <c r="BW4" i="51"/>
  <c r="FE4" i="51" s="1"/>
  <c r="BV4" i="51"/>
  <c r="FD4" i="51" s="1"/>
  <c r="FR4" i="51" s="1"/>
  <c r="BU4" i="51"/>
  <c r="BT4" i="51"/>
  <c r="FB4" i="51" s="1"/>
  <c r="BR4" i="51"/>
  <c r="EZ4" i="51" s="1"/>
  <c r="FN4" i="51" s="1"/>
  <c r="BQ4" i="51"/>
  <c r="EY4" i="51" s="1"/>
  <c r="BP4" i="51"/>
  <c r="EX4" i="51" s="1"/>
  <c r="BO4" i="51"/>
  <c r="BN4" i="51"/>
  <c r="EV4" i="51" s="1"/>
  <c r="FL4" i="51" s="1"/>
  <c r="AT4" i="51"/>
  <c r="AS4" i="51"/>
  <c r="AR4" i="51"/>
  <c r="AQ4" i="51"/>
  <c r="AP4" i="51"/>
  <c r="AN4" i="51"/>
  <c r="AM4" i="51"/>
  <c r="AL4" i="51"/>
  <c r="AK4" i="51"/>
  <c r="AJ4" i="51"/>
  <c r="EU38" i="50"/>
  <c r="EQ38" i="50"/>
  <c r="EP38" i="50"/>
  <c r="EO38" i="50"/>
  <c r="ES38" i="50" s="1"/>
  <c r="EN38" i="50"/>
  <c r="ER38" i="50" s="1"/>
  <c r="EM38" i="50"/>
  <c r="EL38" i="50"/>
  <c r="EI38" i="50"/>
  <c r="EH38" i="50"/>
  <c r="EG38" i="50"/>
  <c r="EK38" i="50" s="1"/>
  <c r="ET38" i="50" s="1"/>
  <c r="EF38" i="50"/>
  <c r="EJ38" i="50" s="1"/>
  <c r="DH38" i="50"/>
  <c r="DG38" i="50"/>
  <c r="DF38" i="50"/>
  <c r="DJ38" i="50" s="1"/>
  <c r="DE38" i="50"/>
  <c r="DI38" i="50" s="1"/>
  <c r="DD38" i="50"/>
  <c r="DC38" i="50"/>
  <c r="CZ38" i="50"/>
  <c r="CY38" i="50"/>
  <c r="CX38" i="50"/>
  <c r="DB38" i="50" s="1"/>
  <c r="DK38" i="50" s="1"/>
  <c r="CW38" i="50"/>
  <c r="DA38" i="50" s="1"/>
  <c r="BX38" i="50"/>
  <c r="FF38" i="50" s="1"/>
  <c r="BW38" i="50"/>
  <c r="FE38" i="50" s="1"/>
  <c r="BV38" i="50"/>
  <c r="FD38" i="50" s="1"/>
  <c r="BU38" i="50"/>
  <c r="BT38" i="50"/>
  <c r="FB38" i="50" s="1"/>
  <c r="BR38" i="50"/>
  <c r="EZ38" i="50" s="1"/>
  <c r="FN38" i="50" s="1"/>
  <c r="BQ38" i="50"/>
  <c r="EY38" i="50" s="1"/>
  <c r="BP38" i="50"/>
  <c r="EX38" i="50" s="1"/>
  <c r="BO38" i="50"/>
  <c r="BS38" i="50" s="1"/>
  <c r="BN38" i="50"/>
  <c r="EV38" i="50" s="1"/>
  <c r="AT38" i="50"/>
  <c r="AS38" i="50"/>
  <c r="AR38" i="50"/>
  <c r="AQ38" i="50"/>
  <c r="AP38" i="50"/>
  <c r="AN38" i="50"/>
  <c r="AM38" i="50"/>
  <c r="AO38" i="50" s="1"/>
  <c r="AL38" i="50"/>
  <c r="AK38" i="50"/>
  <c r="AJ38" i="50"/>
  <c r="EU39" i="50"/>
  <c r="EQ39" i="50"/>
  <c r="EP39" i="50"/>
  <c r="EO39" i="50"/>
  <c r="ES39" i="50" s="1"/>
  <c r="EN39" i="50"/>
  <c r="ER39" i="50" s="1"/>
  <c r="EM39" i="50"/>
  <c r="EL39" i="50"/>
  <c r="EI39" i="50"/>
  <c r="EH39" i="50"/>
  <c r="EG39" i="50"/>
  <c r="EK39" i="50" s="1"/>
  <c r="ET39" i="50" s="1"/>
  <c r="EF39" i="50"/>
  <c r="EJ39" i="50" s="1"/>
  <c r="DH39" i="50"/>
  <c r="DG39" i="50"/>
  <c r="DF39" i="50"/>
  <c r="DJ39" i="50" s="1"/>
  <c r="DE39" i="50"/>
  <c r="DI39" i="50" s="1"/>
  <c r="DD39" i="50"/>
  <c r="DC39" i="50"/>
  <c r="CZ39" i="50"/>
  <c r="CY39" i="50"/>
  <c r="CX39" i="50"/>
  <c r="DB39" i="50" s="1"/>
  <c r="DK39" i="50" s="1"/>
  <c r="CW39" i="50"/>
  <c r="DA39" i="50" s="1"/>
  <c r="BX39" i="50"/>
  <c r="FF39" i="50" s="1"/>
  <c r="BW39" i="50"/>
  <c r="FE39" i="50" s="1"/>
  <c r="BV39" i="50"/>
  <c r="FD39" i="50" s="1"/>
  <c r="BU39" i="50"/>
  <c r="FC39" i="50" s="1"/>
  <c r="BT39" i="50"/>
  <c r="FB39" i="50" s="1"/>
  <c r="BR39" i="50"/>
  <c r="EZ39" i="50" s="1"/>
  <c r="FN39" i="50" s="1"/>
  <c r="BQ39" i="50"/>
  <c r="EY39" i="50" s="1"/>
  <c r="BP39" i="50"/>
  <c r="EX39" i="50" s="1"/>
  <c r="BO39" i="50"/>
  <c r="BN39" i="50"/>
  <c r="EV39" i="50" s="1"/>
  <c r="AT39" i="50"/>
  <c r="AS39" i="50"/>
  <c r="AR39" i="50"/>
  <c r="AQ39" i="50"/>
  <c r="AP39" i="50"/>
  <c r="AN39" i="50"/>
  <c r="AM39" i="50"/>
  <c r="AL39" i="50"/>
  <c r="AK39" i="50"/>
  <c r="AJ39" i="50"/>
  <c r="EU35" i="50"/>
  <c r="EQ35" i="50"/>
  <c r="EP35" i="50"/>
  <c r="EO35" i="50"/>
  <c r="ES35" i="50" s="1"/>
  <c r="EN35" i="50"/>
  <c r="ER35" i="50" s="1"/>
  <c r="EM35" i="50"/>
  <c r="EL35" i="50"/>
  <c r="EI35" i="50"/>
  <c r="EH35" i="50"/>
  <c r="EG35" i="50"/>
  <c r="EK35" i="50" s="1"/>
  <c r="ET35" i="50" s="1"/>
  <c r="EF35" i="50"/>
  <c r="EJ35" i="50" s="1"/>
  <c r="DH35" i="50"/>
  <c r="DG35" i="50"/>
  <c r="DF35" i="50"/>
  <c r="DJ35" i="50" s="1"/>
  <c r="DE35" i="50"/>
  <c r="DI35" i="50" s="1"/>
  <c r="DD35" i="50"/>
  <c r="DC35" i="50"/>
  <c r="CZ35" i="50"/>
  <c r="CY35" i="50"/>
  <c r="CX35" i="50"/>
  <c r="DB35" i="50" s="1"/>
  <c r="DK35" i="50" s="1"/>
  <c r="CW35" i="50"/>
  <c r="DA35" i="50" s="1"/>
  <c r="BX35" i="50"/>
  <c r="FF35" i="50" s="1"/>
  <c r="BW35" i="50"/>
  <c r="FE35" i="50" s="1"/>
  <c r="BV35" i="50"/>
  <c r="FD35" i="50" s="1"/>
  <c r="BU35" i="50"/>
  <c r="BT35" i="50"/>
  <c r="FB35" i="50" s="1"/>
  <c r="BR35" i="50"/>
  <c r="EZ35" i="50" s="1"/>
  <c r="FN35" i="50" s="1"/>
  <c r="BQ35" i="50"/>
  <c r="EY35" i="50" s="1"/>
  <c r="BP35" i="50"/>
  <c r="EX35" i="50" s="1"/>
  <c r="BO35" i="50"/>
  <c r="BN35" i="50"/>
  <c r="EV35" i="50" s="1"/>
  <c r="FL35" i="50" s="1"/>
  <c r="AT35" i="50"/>
  <c r="AS35" i="50"/>
  <c r="AR35" i="50"/>
  <c r="AQ35" i="50"/>
  <c r="AU35" i="50" s="1"/>
  <c r="AP35" i="50"/>
  <c r="AN35" i="50"/>
  <c r="AM35" i="50"/>
  <c r="AL35" i="50"/>
  <c r="AK35" i="50"/>
  <c r="AJ35" i="50"/>
  <c r="EU34" i="50"/>
  <c r="EQ34" i="50"/>
  <c r="EP34" i="50"/>
  <c r="EO34" i="50"/>
  <c r="ES34" i="50" s="1"/>
  <c r="EN34" i="50"/>
  <c r="ER34" i="50" s="1"/>
  <c r="EM34" i="50"/>
  <c r="EL34" i="50"/>
  <c r="EI34" i="50"/>
  <c r="EH34" i="50"/>
  <c r="EG34" i="50"/>
  <c r="EK34" i="50" s="1"/>
  <c r="ET34" i="50" s="1"/>
  <c r="EF34" i="50"/>
  <c r="EJ34" i="50" s="1"/>
  <c r="DH34" i="50"/>
  <c r="DG34" i="50"/>
  <c r="DF34" i="50"/>
  <c r="DJ34" i="50" s="1"/>
  <c r="DE34" i="50"/>
  <c r="DI34" i="50" s="1"/>
  <c r="DD34" i="50"/>
  <c r="DC34" i="50"/>
  <c r="CZ34" i="50"/>
  <c r="CY34" i="50"/>
  <c r="CX34" i="50"/>
  <c r="DB34" i="50" s="1"/>
  <c r="DK34" i="50" s="1"/>
  <c r="CW34" i="50"/>
  <c r="DA34" i="50" s="1"/>
  <c r="BX34" i="50"/>
  <c r="FF34" i="50" s="1"/>
  <c r="BW34" i="50"/>
  <c r="FE34" i="50" s="1"/>
  <c r="BV34" i="50"/>
  <c r="FD34" i="50" s="1"/>
  <c r="BU34" i="50"/>
  <c r="BT34" i="50"/>
  <c r="FB34" i="50" s="1"/>
  <c r="BR34" i="50"/>
  <c r="EZ34" i="50" s="1"/>
  <c r="FN34" i="50" s="1"/>
  <c r="BQ34" i="50"/>
  <c r="EY34" i="50" s="1"/>
  <c r="BP34" i="50"/>
  <c r="EX34" i="50" s="1"/>
  <c r="BO34" i="50"/>
  <c r="BS34" i="50" s="1"/>
  <c r="BN34" i="50"/>
  <c r="EV34" i="50" s="1"/>
  <c r="AT34" i="50"/>
  <c r="AS34" i="50"/>
  <c r="AR34" i="50"/>
  <c r="AQ34" i="50"/>
  <c r="AP34" i="50"/>
  <c r="AN34" i="50"/>
  <c r="AM34" i="50"/>
  <c r="AL34" i="50"/>
  <c r="AK34" i="50"/>
  <c r="AJ34" i="50"/>
  <c r="EU33" i="50"/>
  <c r="EQ33" i="50"/>
  <c r="EP33" i="50"/>
  <c r="EO33" i="50"/>
  <c r="ES33" i="50" s="1"/>
  <c r="EN33" i="50"/>
  <c r="ER33" i="50" s="1"/>
  <c r="EM33" i="50"/>
  <c r="EL33" i="50"/>
  <c r="EI33" i="50"/>
  <c r="EH33" i="50"/>
  <c r="EG33" i="50"/>
  <c r="EK33" i="50" s="1"/>
  <c r="ET33" i="50" s="1"/>
  <c r="EF33" i="50"/>
  <c r="EJ33" i="50" s="1"/>
  <c r="DH33" i="50"/>
  <c r="DG33" i="50"/>
  <c r="DF33" i="50"/>
  <c r="DJ33" i="50" s="1"/>
  <c r="DE33" i="50"/>
  <c r="DI33" i="50" s="1"/>
  <c r="DD33" i="50"/>
  <c r="DC33" i="50"/>
  <c r="CZ33" i="50"/>
  <c r="CY33" i="50"/>
  <c r="CX33" i="50"/>
  <c r="DB33" i="50" s="1"/>
  <c r="DK33" i="50" s="1"/>
  <c r="CW33" i="50"/>
  <c r="DA33" i="50" s="1"/>
  <c r="BX33" i="50"/>
  <c r="FF33" i="50" s="1"/>
  <c r="BW33" i="50"/>
  <c r="FE33" i="50" s="1"/>
  <c r="BV33" i="50"/>
  <c r="FD33" i="50" s="1"/>
  <c r="BU33" i="50"/>
  <c r="BT33" i="50"/>
  <c r="FB33" i="50" s="1"/>
  <c r="BR33" i="50"/>
  <c r="EZ33" i="50" s="1"/>
  <c r="FN33" i="50" s="1"/>
  <c r="BQ33" i="50"/>
  <c r="EY33" i="50" s="1"/>
  <c r="BP33" i="50"/>
  <c r="EX33" i="50" s="1"/>
  <c r="BO33" i="50"/>
  <c r="BN33" i="50"/>
  <c r="EV33" i="50" s="1"/>
  <c r="AT33" i="50"/>
  <c r="AS33" i="50"/>
  <c r="AR33" i="50"/>
  <c r="AQ33" i="50"/>
  <c r="AP33" i="50"/>
  <c r="AN33" i="50"/>
  <c r="AM33" i="50"/>
  <c r="AL33" i="50"/>
  <c r="AK33" i="50"/>
  <c r="AJ33" i="50"/>
  <c r="EU37" i="50"/>
  <c r="EQ37" i="50"/>
  <c r="EP37" i="50"/>
  <c r="EO37" i="50"/>
  <c r="ES37" i="50" s="1"/>
  <c r="EN37" i="50"/>
  <c r="ER37" i="50" s="1"/>
  <c r="EM37" i="50"/>
  <c r="EL37" i="50"/>
  <c r="EI37" i="50"/>
  <c r="EH37" i="50"/>
  <c r="EG37" i="50"/>
  <c r="EK37" i="50" s="1"/>
  <c r="ET37" i="50" s="1"/>
  <c r="EF37" i="50"/>
  <c r="EJ37" i="50" s="1"/>
  <c r="DH37" i="50"/>
  <c r="DG37" i="50"/>
  <c r="DF37" i="50"/>
  <c r="DJ37" i="50" s="1"/>
  <c r="DE37" i="50"/>
  <c r="DI37" i="50" s="1"/>
  <c r="DD37" i="50"/>
  <c r="DC37" i="50"/>
  <c r="CZ37" i="50"/>
  <c r="CY37" i="50"/>
  <c r="CX37" i="50"/>
  <c r="DB37" i="50" s="1"/>
  <c r="DK37" i="50" s="1"/>
  <c r="CW37" i="50"/>
  <c r="DA37" i="50" s="1"/>
  <c r="BX37" i="50"/>
  <c r="FF37" i="50" s="1"/>
  <c r="BW37" i="50"/>
  <c r="FE37" i="50" s="1"/>
  <c r="BV37" i="50"/>
  <c r="FD37" i="50" s="1"/>
  <c r="FR34" i="50" s="1"/>
  <c r="BU37" i="50"/>
  <c r="FC37" i="50" s="1"/>
  <c r="BT37" i="50"/>
  <c r="FB37" i="50" s="1"/>
  <c r="BR37" i="50"/>
  <c r="EZ37" i="50" s="1"/>
  <c r="FN37" i="50" s="1"/>
  <c r="BQ37" i="50"/>
  <c r="EY37" i="50" s="1"/>
  <c r="BP37" i="50"/>
  <c r="EX37" i="50" s="1"/>
  <c r="BO37" i="50"/>
  <c r="EW37" i="50" s="1"/>
  <c r="BN37" i="50"/>
  <c r="EV37" i="50" s="1"/>
  <c r="AT37" i="50"/>
  <c r="AS37" i="50"/>
  <c r="AR37" i="50"/>
  <c r="AQ37" i="50"/>
  <c r="AP37" i="50"/>
  <c r="AN37" i="50"/>
  <c r="AM37" i="50"/>
  <c r="AL37" i="50"/>
  <c r="AK37" i="50"/>
  <c r="AJ37" i="50"/>
  <c r="EU32" i="50"/>
  <c r="EQ32" i="50"/>
  <c r="EP32" i="50"/>
  <c r="EO32" i="50"/>
  <c r="ES32" i="50" s="1"/>
  <c r="EN32" i="50"/>
  <c r="ER32" i="50" s="1"/>
  <c r="EM32" i="50"/>
  <c r="EL32" i="50"/>
  <c r="EI32" i="50"/>
  <c r="EH32" i="50"/>
  <c r="EG32" i="50"/>
  <c r="EK32" i="50" s="1"/>
  <c r="ET32" i="50" s="1"/>
  <c r="EF32" i="50"/>
  <c r="EJ32" i="50" s="1"/>
  <c r="DH32" i="50"/>
  <c r="DG32" i="50"/>
  <c r="DF32" i="50"/>
  <c r="DJ32" i="50" s="1"/>
  <c r="DE32" i="50"/>
  <c r="DI32" i="50" s="1"/>
  <c r="DD32" i="50"/>
  <c r="DC32" i="50"/>
  <c r="CZ32" i="50"/>
  <c r="CY32" i="50"/>
  <c r="CX32" i="50"/>
  <c r="DB32" i="50" s="1"/>
  <c r="DK32" i="50" s="1"/>
  <c r="CW32" i="50"/>
  <c r="DA32" i="50" s="1"/>
  <c r="BX32" i="50"/>
  <c r="FF32" i="50" s="1"/>
  <c r="BW32" i="50"/>
  <c r="FE32" i="50" s="1"/>
  <c r="BV32" i="50"/>
  <c r="FD32" i="50" s="1"/>
  <c r="BU32" i="50"/>
  <c r="BT32" i="50"/>
  <c r="FB32" i="50" s="1"/>
  <c r="BR32" i="50"/>
  <c r="EZ32" i="50" s="1"/>
  <c r="BQ32" i="50"/>
  <c r="EY32" i="50" s="1"/>
  <c r="BP32" i="50"/>
  <c r="EX32" i="50" s="1"/>
  <c r="BO32" i="50"/>
  <c r="BN32" i="50"/>
  <c r="EV32" i="50" s="1"/>
  <c r="FL32" i="50" s="1"/>
  <c r="AT32" i="50"/>
  <c r="AS32" i="50"/>
  <c r="AR32" i="50"/>
  <c r="AQ32" i="50"/>
  <c r="AP32" i="50"/>
  <c r="AN32" i="50"/>
  <c r="AM32" i="50"/>
  <c r="AL32" i="50"/>
  <c r="AK32" i="50"/>
  <c r="AJ32" i="50"/>
  <c r="EU29" i="50"/>
  <c r="EQ29" i="50"/>
  <c r="EP29" i="50"/>
  <c r="EO29" i="50"/>
  <c r="ES29" i="50" s="1"/>
  <c r="EN29" i="50"/>
  <c r="ER29" i="50" s="1"/>
  <c r="EM29" i="50"/>
  <c r="EL29" i="50"/>
  <c r="EI29" i="50"/>
  <c r="EH29" i="50"/>
  <c r="EG29" i="50"/>
  <c r="EK29" i="50" s="1"/>
  <c r="ET29" i="50" s="1"/>
  <c r="EF29" i="50"/>
  <c r="EJ29" i="50" s="1"/>
  <c r="DH29" i="50"/>
  <c r="DG29" i="50"/>
  <c r="DF29" i="50"/>
  <c r="DJ29" i="50" s="1"/>
  <c r="DE29" i="50"/>
  <c r="DI29" i="50" s="1"/>
  <c r="DD29" i="50"/>
  <c r="DC29" i="50"/>
  <c r="CZ29" i="50"/>
  <c r="CY29" i="50"/>
  <c r="CX29" i="50"/>
  <c r="DB29" i="50" s="1"/>
  <c r="DK29" i="50" s="1"/>
  <c r="CW29" i="50"/>
  <c r="DA29" i="50" s="1"/>
  <c r="BX29" i="50"/>
  <c r="FF29" i="50" s="1"/>
  <c r="BW29" i="50"/>
  <c r="FE29" i="50" s="1"/>
  <c r="BV29" i="50"/>
  <c r="FD29" i="50" s="1"/>
  <c r="BU29" i="50"/>
  <c r="BT29" i="50"/>
  <c r="FB29" i="50" s="1"/>
  <c r="BR29" i="50"/>
  <c r="EZ29" i="50" s="1"/>
  <c r="BQ29" i="50"/>
  <c r="EY29" i="50" s="1"/>
  <c r="BP29" i="50"/>
  <c r="EX29" i="50" s="1"/>
  <c r="BO29" i="50"/>
  <c r="EW29" i="50" s="1"/>
  <c r="BN29" i="50"/>
  <c r="EV29" i="50" s="1"/>
  <c r="FL29" i="50" s="1"/>
  <c r="AT29" i="50"/>
  <c r="AS29" i="50"/>
  <c r="AR29" i="50"/>
  <c r="AQ29" i="50"/>
  <c r="AP29" i="50"/>
  <c r="AN29" i="50"/>
  <c r="AM29" i="50"/>
  <c r="AL29" i="50"/>
  <c r="AK29" i="50"/>
  <c r="AJ29" i="50"/>
  <c r="EU28" i="50"/>
  <c r="EQ28" i="50"/>
  <c r="EP28" i="50"/>
  <c r="EO28" i="50"/>
  <c r="ES28" i="50" s="1"/>
  <c r="EN28" i="50"/>
  <c r="ER28" i="50" s="1"/>
  <c r="EM28" i="50"/>
  <c r="EL28" i="50"/>
  <c r="EI28" i="50"/>
  <c r="EH28" i="50"/>
  <c r="EG28" i="50"/>
  <c r="EK28" i="50" s="1"/>
  <c r="ET28" i="50" s="1"/>
  <c r="EF28" i="50"/>
  <c r="EJ28" i="50" s="1"/>
  <c r="DH28" i="50"/>
  <c r="DG28" i="50"/>
  <c r="DF28" i="50"/>
  <c r="DJ28" i="50" s="1"/>
  <c r="DE28" i="50"/>
  <c r="DI28" i="50" s="1"/>
  <c r="DD28" i="50"/>
  <c r="DC28" i="50"/>
  <c r="CZ28" i="50"/>
  <c r="CY28" i="50"/>
  <c r="CX28" i="50"/>
  <c r="DB28" i="50" s="1"/>
  <c r="DK28" i="50" s="1"/>
  <c r="CW28" i="50"/>
  <c r="DA28" i="50" s="1"/>
  <c r="BX28" i="50"/>
  <c r="FF28" i="50" s="1"/>
  <c r="BW28" i="50"/>
  <c r="FE28" i="50" s="1"/>
  <c r="BV28" i="50"/>
  <c r="FD28" i="50" s="1"/>
  <c r="BU28" i="50"/>
  <c r="FC28" i="50" s="1"/>
  <c r="BT28" i="50"/>
  <c r="FB28" i="50" s="1"/>
  <c r="BR28" i="50"/>
  <c r="EZ28" i="50" s="1"/>
  <c r="BQ28" i="50"/>
  <c r="EY28" i="50" s="1"/>
  <c r="BP28" i="50"/>
  <c r="EX28" i="50" s="1"/>
  <c r="BO28" i="50"/>
  <c r="BN28" i="50"/>
  <c r="EV28" i="50" s="1"/>
  <c r="AT28" i="50"/>
  <c r="AS28" i="50"/>
  <c r="AR28" i="50"/>
  <c r="AQ28" i="50"/>
  <c r="AP28" i="50"/>
  <c r="AN28" i="50"/>
  <c r="AM28" i="50"/>
  <c r="AL28" i="50"/>
  <c r="AK28" i="50"/>
  <c r="AJ28" i="50"/>
  <c r="EU23" i="50"/>
  <c r="EQ23" i="50"/>
  <c r="EP23" i="50"/>
  <c r="EO23" i="50"/>
  <c r="ES23" i="50" s="1"/>
  <c r="EN23" i="50"/>
  <c r="ER23" i="50" s="1"/>
  <c r="EM23" i="50"/>
  <c r="EL23" i="50"/>
  <c r="EI23" i="50"/>
  <c r="EH23" i="50"/>
  <c r="EG23" i="50"/>
  <c r="EK23" i="50" s="1"/>
  <c r="ET23" i="50" s="1"/>
  <c r="EF23" i="50"/>
  <c r="EJ23" i="50" s="1"/>
  <c r="DH23" i="50"/>
  <c r="DG23" i="50"/>
  <c r="DF23" i="50"/>
  <c r="DJ23" i="50" s="1"/>
  <c r="DE23" i="50"/>
  <c r="DI23" i="50" s="1"/>
  <c r="DD23" i="50"/>
  <c r="DC23" i="50"/>
  <c r="CZ23" i="50"/>
  <c r="CY23" i="50"/>
  <c r="CX23" i="50"/>
  <c r="DB23" i="50" s="1"/>
  <c r="DK23" i="50" s="1"/>
  <c r="CW23" i="50"/>
  <c r="DA23" i="50" s="1"/>
  <c r="BX23" i="50"/>
  <c r="FF23" i="50" s="1"/>
  <c r="BW23" i="50"/>
  <c r="FE23" i="50" s="1"/>
  <c r="BV23" i="50"/>
  <c r="FD23" i="50" s="1"/>
  <c r="BU23" i="50"/>
  <c r="BT23" i="50"/>
  <c r="FB23" i="50" s="1"/>
  <c r="BR23" i="50"/>
  <c r="EZ23" i="50" s="1"/>
  <c r="FN23" i="50" s="1"/>
  <c r="BQ23" i="50"/>
  <c r="EY23" i="50" s="1"/>
  <c r="BP23" i="50"/>
  <c r="EX23" i="50" s="1"/>
  <c r="BO23" i="50"/>
  <c r="BN23" i="50"/>
  <c r="EV23" i="50" s="1"/>
  <c r="AT23" i="50"/>
  <c r="AS23" i="50"/>
  <c r="AR23" i="50"/>
  <c r="AQ23" i="50"/>
  <c r="AP23" i="50"/>
  <c r="AN23" i="50"/>
  <c r="AM23" i="50"/>
  <c r="AL23" i="50"/>
  <c r="AK23" i="50"/>
  <c r="AJ23" i="50"/>
  <c r="EU36" i="50"/>
  <c r="EQ36" i="50"/>
  <c r="EP36" i="50"/>
  <c r="EO36" i="50"/>
  <c r="ES36" i="50" s="1"/>
  <c r="EN36" i="50"/>
  <c r="ER36" i="50" s="1"/>
  <c r="EM36" i="50"/>
  <c r="EL36" i="50"/>
  <c r="EI36" i="50"/>
  <c r="EH36" i="50"/>
  <c r="EG36" i="50"/>
  <c r="EK36" i="50" s="1"/>
  <c r="ET36" i="50" s="1"/>
  <c r="EF36" i="50"/>
  <c r="EJ36" i="50" s="1"/>
  <c r="DH36" i="50"/>
  <c r="DG36" i="50"/>
  <c r="DF36" i="50"/>
  <c r="DJ36" i="50" s="1"/>
  <c r="DE36" i="50"/>
  <c r="DI36" i="50" s="1"/>
  <c r="DD36" i="50"/>
  <c r="DC36" i="50"/>
  <c r="CZ36" i="50"/>
  <c r="CY36" i="50"/>
  <c r="CX36" i="50"/>
  <c r="DB36" i="50" s="1"/>
  <c r="DK36" i="50" s="1"/>
  <c r="CW36" i="50"/>
  <c r="DA36" i="50" s="1"/>
  <c r="BX36" i="50"/>
  <c r="FF36" i="50" s="1"/>
  <c r="BW36" i="50"/>
  <c r="FE36" i="50" s="1"/>
  <c r="BV36" i="50"/>
  <c r="FD36" i="50" s="1"/>
  <c r="BU36" i="50"/>
  <c r="FC36" i="50" s="1"/>
  <c r="BT36" i="50"/>
  <c r="FB36" i="50" s="1"/>
  <c r="BR36" i="50"/>
  <c r="EZ36" i="50" s="1"/>
  <c r="FN36" i="50" s="1"/>
  <c r="BQ36" i="50"/>
  <c r="BP36" i="50"/>
  <c r="EX36" i="50" s="1"/>
  <c r="BO36" i="50"/>
  <c r="EW36" i="50" s="1"/>
  <c r="BN36" i="50"/>
  <c r="EV36" i="50" s="1"/>
  <c r="AT36" i="50"/>
  <c r="AS36" i="50"/>
  <c r="AR36" i="50"/>
  <c r="AQ36" i="50"/>
  <c r="AP36" i="50"/>
  <c r="AN36" i="50"/>
  <c r="AM36" i="50"/>
  <c r="AL36" i="50"/>
  <c r="AK36" i="50"/>
  <c r="AJ36" i="50"/>
  <c r="EU21" i="50"/>
  <c r="EQ21" i="50"/>
  <c r="EP21" i="50"/>
  <c r="EO21" i="50"/>
  <c r="ES21" i="50" s="1"/>
  <c r="EN21" i="50"/>
  <c r="ER21" i="50" s="1"/>
  <c r="EM21" i="50"/>
  <c r="EL21" i="50"/>
  <c r="EI21" i="50"/>
  <c r="EH21" i="50"/>
  <c r="EG21" i="50"/>
  <c r="EK21" i="50" s="1"/>
  <c r="ET21" i="50" s="1"/>
  <c r="EF21" i="50"/>
  <c r="EJ21" i="50" s="1"/>
  <c r="DH21" i="50"/>
  <c r="DG21" i="50"/>
  <c r="DF21" i="50"/>
  <c r="DJ21" i="50" s="1"/>
  <c r="DE21" i="50"/>
  <c r="DI21" i="50" s="1"/>
  <c r="DD21" i="50"/>
  <c r="DC21" i="50"/>
  <c r="CZ21" i="50"/>
  <c r="CY21" i="50"/>
  <c r="CX21" i="50"/>
  <c r="DB21" i="50" s="1"/>
  <c r="DK21" i="50" s="1"/>
  <c r="CW21" i="50"/>
  <c r="DA21" i="50" s="1"/>
  <c r="BX21" i="50"/>
  <c r="FF21" i="50" s="1"/>
  <c r="BW21" i="50"/>
  <c r="FE21" i="50" s="1"/>
  <c r="BV21" i="50"/>
  <c r="FD21" i="50" s="1"/>
  <c r="FR20" i="50" s="1"/>
  <c r="BU21" i="50"/>
  <c r="FC21" i="50" s="1"/>
  <c r="BT21" i="50"/>
  <c r="FB21" i="50" s="1"/>
  <c r="BR21" i="50"/>
  <c r="EZ21" i="50" s="1"/>
  <c r="BQ21" i="50"/>
  <c r="EY21" i="50" s="1"/>
  <c r="BP21" i="50"/>
  <c r="EX21" i="50" s="1"/>
  <c r="BO21" i="50"/>
  <c r="BN21" i="50"/>
  <c r="EV21" i="50" s="1"/>
  <c r="FL21" i="50" s="1"/>
  <c r="AT21" i="50"/>
  <c r="AS21" i="50"/>
  <c r="AR21" i="50"/>
  <c r="AQ21" i="50"/>
  <c r="AP21" i="50"/>
  <c r="AN21" i="50"/>
  <c r="AM21" i="50"/>
  <c r="AL21" i="50"/>
  <c r="AK21" i="50"/>
  <c r="AJ21" i="50"/>
  <c r="EU22" i="50"/>
  <c r="EQ22" i="50"/>
  <c r="EP22" i="50"/>
  <c r="EO22" i="50"/>
  <c r="ES22" i="50" s="1"/>
  <c r="EN22" i="50"/>
  <c r="ER22" i="50" s="1"/>
  <c r="EM22" i="50"/>
  <c r="EL22" i="50"/>
  <c r="EI22" i="50"/>
  <c r="EH22" i="50"/>
  <c r="EG22" i="50"/>
  <c r="EK22" i="50" s="1"/>
  <c r="ET22" i="50" s="1"/>
  <c r="EF22" i="50"/>
  <c r="EJ22" i="50" s="1"/>
  <c r="DH22" i="50"/>
  <c r="DG22" i="50"/>
  <c r="DF22" i="50"/>
  <c r="DJ22" i="50" s="1"/>
  <c r="DE22" i="50"/>
  <c r="DI22" i="50" s="1"/>
  <c r="DD22" i="50"/>
  <c r="DC22" i="50"/>
  <c r="CZ22" i="50"/>
  <c r="CY22" i="50"/>
  <c r="CX22" i="50"/>
  <c r="DB22" i="50" s="1"/>
  <c r="DK22" i="50" s="1"/>
  <c r="CW22" i="50"/>
  <c r="DA22" i="50" s="1"/>
  <c r="BX22" i="50"/>
  <c r="FF22" i="50" s="1"/>
  <c r="BW22" i="50"/>
  <c r="FE22" i="50" s="1"/>
  <c r="BV22" i="50"/>
  <c r="FD22" i="50" s="1"/>
  <c r="FR19" i="50" s="1"/>
  <c r="BU22" i="50"/>
  <c r="FC22" i="50" s="1"/>
  <c r="BT22" i="50"/>
  <c r="FB22" i="50" s="1"/>
  <c r="BR22" i="50"/>
  <c r="EZ22" i="50" s="1"/>
  <c r="FN22" i="50" s="1"/>
  <c r="BQ22" i="50"/>
  <c r="EY22" i="50" s="1"/>
  <c r="BP22" i="50"/>
  <c r="EX22" i="50" s="1"/>
  <c r="BO22" i="50"/>
  <c r="BN22" i="50"/>
  <c r="EV22" i="50" s="1"/>
  <c r="AT22" i="50"/>
  <c r="AS22" i="50"/>
  <c r="AR22" i="50"/>
  <c r="AQ22" i="50"/>
  <c r="AP22" i="50"/>
  <c r="AN22" i="50"/>
  <c r="AM22" i="50"/>
  <c r="AL22" i="50"/>
  <c r="AK22" i="50"/>
  <c r="AJ22" i="50"/>
  <c r="EU24" i="50"/>
  <c r="EQ24" i="50"/>
  <c r="EP24" i="50"/>
  <c r="EO24" i="50"/>
  <c r="ES24" i="50" s="1"/>
  <c r="EN24" i="50"/>
  <c r="ER24" i="50" s="1"/>
  <c r="EM24" i="50"/>
  <c r="EL24" i="50"/>
  <c r="EI24" i="50"/>
  <c r="EH24" i="50"/>
  <c r="EG24" i="50"/>
  <c r="EK24" i="50" s="1"/>
  <c r="ET24" i="50" s="1"/>
  <c r="EF24" i="50"/>
  <c r="EJ24" i="50" s="1"/>
  <c r="DH24" i="50"/>
  <c r="DG24" i="50"/>
  <c r="DF24" i="50"/>
  <c r="DJ24" i="50" s="1"/>
  <c r="DE24" i="50"/>
  <c r="DI24" i="50" s="1"/>
  <c r="DD24" i="50"/>
  <c r="DC24" i="50"/>
  <c r="CZ24" i="50"/>
  <c r="CY24" i="50"/>
  <c r="CX24" i="50"/>
  <c r="DB24" i="50" s="1"/>
  <c r="DK24" i="50" s="1"/>
  <c r="CW24" i="50"/>
  <c r="DA24" i="50" s="1"/>
  <c r="BX24" i="50"/>
  <c r="FF24" i="50" s="1"/>
  <c r="BW24" i="50"/>
  <c r="FE24" i="50" s="1"/>
  <c r="BV24" i="50"/>
  <c r="FD24" i="50" s="1"/>
  <c r="BU24" i="50"/>
  <c r="BT24" i="50"/>
  <c r="FB24" i="50" s="1"/>
  <c r="BR24" i="50"/>
  <c r="EZ24" i="50" s="1"/>
  <c r="FN24" i="50" s="1"/>
  <c r="BQ24" i="50"/>
  <c r="EY24" i="50" s="1"/>
  <c r="BP24" i="50"/>
  <c r="EX24" i="50" s="1"/>
  <c r="BO24" i="50"/>
  <c r="BN24" i="50"/>
  <c r="EV24" i="50" s="1"/>
  <c r="AT24" i="50"/>
  <c r="AS24" i="50"/>
  <c r="AR24" i="50"/>
  <c r="AQ24" i="50"/>
  <c r="AP24" i="50"/>
  <c r="AN24" i="50"/>
  <c r="AM24" i="50"/>
  <c r="AL24" i="50"/>
  <c r="AK24" i="50"/>
  <c r="AJ24" i="50"/>
  <c r="EU18" i="50"/>
  <c r="EQ18" i="50"/>
  <c r="EP18" i="50"/>
  <c r="EO18" i="50"/>
  <c r="ES18" i="50" s="1"/>
  <c r="EN18" i="50"/>
  <c r="ER18" i="50" s="1"/>
  <c r="EM18" i="50"/>
  <c r="EL18" i="50"/>
  <c r="EI18" i="50"/>
  <c r="EH18" i="50"/>
  <c r="EG18" i="50"/>
  <c r="EF18" i="50"/>
  <c r="DH18" i="50"/>
  <c r="DG18" i="50"/>
  <c r="DF18" i="50"/>
  <c r="DJ18" i="50" s="1"/>
  <c r="DE18" i="50"/>
  <c r="DI18" i="50" s="1"/>
  <c r="DD18" i="50"/>
  <c r="DC18" i="50"/>
  <c r="CZ18" i="50"/>
  <c r="CY18" i="50"/>
  <c r="CX18" i="50"/>
  <c r="DB18" i="50" s="1"/>
  <c r="DK18" i="50" s="1"/>
  <c r="CW18" i="50"/>
  <c r="DA18" i="50" s="1"/>
  <c r="BX18" i="50"/>
  <c r="FF18" i="50" s="1"/>
  <c r="BW18" i="50"/>
  <c r="FE18" i="50" s="1"/>
  <c r="BV18" i="50"/>
  <c r="FD18" i="50" s="1"/>
  <c r="BU18" i="50"/>
  <c r="BT18" i="50"/>
  <c r="FB18" i="50" s="1"/>
  <c r="BR18" i="50"/>
  <c r="EZ18" i="50" s="1"/>
  <c r="FN18" i="50" s="1"/>
  <c r="BQ18" i="50"/>
  <c r="EY18" i="50" s="1"/>
  <c r="BP18" i="50"/>
  <c r="EX18" i="50" s="1"/>
  <c r="BO18" i="50"/>
  <c r="BN18" i="50"/>
  <c r="EV18" i="50" s="1"/>
  <c r="AT18" i="50"/>
  <c r="AS18" i="50"/>
  <c r="AR18" i="50"/>
  <c r="AQ18" i="50"/>
  <c r="AP18" i="50"/>
  <c r="AN18" i="50"/>
  <c r="AM18" i="50"/>
  <c r="AL18" i="50"/>
  <c r="AK18" i="50"/>
  <c r="AJ18" i="50"/>
  <c r="EU17" i="50"/>
  <c r="EQ17" i="50"/>
  <c r="EP17" i="50"/>
  <c r="EO17" i="50"/>
  <c r="ES17" i="50" s="1"/>
  <c r="EN17" i="50"/>
  <c r="ER17" i="50" s="1"/>
  <c r="EM17" i="50"/>
  <c r="EL17" i="50"/>
  <c r="EI17" i="50"/>
  <c r="EH17" i="50"/>
  <c r="EG17" i="50"/>
  <c r="EK17" i="50" s="1"/>
  <c r="ET17" i="50" s="1"/>
  <c r="EF17" i="50"/>
  <c r="EJ17" i="50" s="1"/>
  <c r="DH17" i="50"/>
  <c r="DG17" i="50"/>
  <c r="DF17" i="50"/>
  <c r="DJ17" i="50" s="1"/>
  <c r="DE17" i="50"/>
  <c r="DI17" i="50" s="1"/>
  <c r="DD17" i="50"/>
  <c r="DC17" i="50"/>
  <c r="CZ17" i="50"/>
  <c r="CY17" i="50"/>
  <c r="CX17" i="50"/>
  <c r="DB17" i="50" s="1"/>
  <c r="DK17" i="50" s="1"/>
  <c r="CW17" i="50"/>
  <c r="DA17" i="50" s="1"/>
  <c r="BX17" i="50"/>
  <c r="FF17" i="50" s="1"/>
  <c r="BW17" i="50"/>
  <c r="FE17" i="50" s="1"/>
  <c r="BV17" i="50"/>
  <c r="FD17" i="50" s="1"/>
  <c r="BU17" i="50"/>
  <c r="BT17" i="50"/>
  <c r="FB17" i="50" s="1"/>
  <c r="BR17" i="50"/>
  <c r="EZ17" i="50" s="1"/>
  <c r="FN17" i="50" s="1"/>
  <c r="BQ17" i="50"/>
  <c r="EY17" i="50" s="1"/>
  <c r="BP17" i="50"/>
  <c r="EX17" i="50" s="1"/>
  <c r="BO17" i="50"/>
  <c r="BN17" i="50"/>
  <c r="EV17" i="50" s="1"/>
  <c r="AT17" i="50"/>
  <c r="AS17" i="50"/>
  <c r="AR17" i="50"/>
  <c r="AQ17" i="50"/>
  <c r="AP17" i="50"/>
  <c r="AN17" i="50"/>
  <c r="AM17" i="50"/>
  <c r="AL17" i="50"/>
  <c r="AK17" i="50"/>
  <c r="AJ17" i="50"/>
  <c r="FR15" i="50"/>
  <c r="EU14" i="50"/>
  <c r="EQ14" i="50"/>
  <c r="EP14" i="50"/>
  <c r="EO14" i="50"/>
  <c r="ES14" i="50" s="1"/>
  <c r="EN14" i="50"/>
  <c r="ER14" i="50" s="1"/>
  <c r="EM14" i="50"/>
  <c r="EL14" i="50"/>
  <c r="EI14" i="50"/>
  <c r="EH14" i="50"/>
  <c r="EG14" i="50"/>
  <c r="EK14" i="50" s="1"/>
  <c r="ET14" i="50" s="1"/>
  <c r="EF14" i="50"/>
  <c r="EJ14" i="50" s="1"/>
  <c r="DH14" i="50"/>
  <c r="DG14" i="50"/>
  <c r="DF14" i="50"/>
  <c r="DJ14" i="50" s="1"/>
  <c r="DE14" i="50"/>
  <c r="DI14" i="50" s="1"/>
  <c r="DD14" i="50"/>
  <c r="DC14" i="50"/>
  <c r="CZ14" i="50"/>
  <c r="CY14" i="50"/>
  <c r="CX14" i="50"/>
  <c r="DB14" i="50" s="1"/>
  <c r="DK14" i="50" s="1"/>
  <c r="CW14" i="50"/>
  <c r="DA14" i="50" s="1"/>
  <c r="BX14" i="50"/>
  <c r="FF14" i="50" s="1"/>
  <c r="BW14" i="50"/>
  <c r="FE14" i="50" s="1"/>
  <c r="BV14" i="50"/>
  <c r="FD14" i="50" s="1"/>
  <c r="BU14" i="50"/>
  <c r="FC14" i="50" s="1"/>
  <c r="BT14" i="50"/>
  <c r="FB14" i="50" s="1"/>
  <c r="BR14" i="50"/>
  <c r="EZ14" i="50" s="1"/>
  <c r="FN14" i="50" s="1"/>
  <c r="BQ14" i="50"/>
  <c r="EY14" i="50" s="1"/>
  <c r="BP14" i="50"/>
  <c r="EX14" i="50" s="1"/>
  <c r="BO14" i="50"/>
  <c r="BN14" i="50"/>
  <c r="EV14" i="50" s="1"/>
  <c r="AT14" i="50"/>
  <c r="AS14" i="50"/>
  <c r="AR14" i="50"/>
  <c r="AQ14" i="50"/>
  <c r="AP14" i="50"/>
  <c r="AN14" i="50"/>
  <c r="AM14" i="50"/>
  <c r="AL14" i="50"/>
  <c r="AK14" i="50"/>
  <c r="AJ14" i="50"/>
  <c r="EU31" i="50"/>
  <c r="EQ31" i="50"/>
  <c r="EP31" i="50"/>
  <c r="EO31" i="50"/>
  <c r="ES31" i="50" s="1"/>
  <c r="EN31" i="50"/>
  <c r="ER31" i="50" s="1"/>
  <c r="EM31" i="50"/>
  <c r="EL31" i="50"/>
  <c r="EI31" i="50"/>
  <c r="EH31" i="50"/>
  <c r="EG31" i="50"/>
  <c r="EK31" i="50" s="1"/>
  <c r="ET31" i="50" s="1"/>
  <c r="EF31" i="50"/>
  <c r="EJ31" i="50" s="1"/>
  <c r="DH31" i="50"/>
  <c r="DG31" i="50"/>
  <c r="DF31" i="50"/>
  <c r="DJ31" i="50" s="1"/>
  <c r="DE31" i="50"/>
  <c r="DI31" i="50" s="1"/>
  <c r="DD31" i="50"/>
  <c r="DC31" i="50"/>
  <c r="CZ31" i="50"/>
  <c r="CY31" i="50"/>
  <c r="CX31" i="50"/>
  <c r="DB31" i="50" s="1"/>
  <c r="DK31" i="50" s="1"/>
  <c r="CW31" i="50"/>
  <c r="DA31" i="50" s="1"/>
  <c r="BX31" i="50"/>
  <c r="FF31" i="50" s="1"/>
  <c r="BW31" i="50"/>
  <c r="FE31" i="50" s="1"/>
  <c r="BV31" i="50"/>
  <c r="FD31" i="50" s="1"/>
  <c r="BU31" i="50"/>
  <c r="BT31" i="50"/>
  <c r="FB31" i="50" s="1"/>
  <c r="BR31" i="50"/>
  <c r="EZ31" i="50" s="1"/>
  <c r="FN31" i="50" s="1"/>
  <c r="BQ31" i="50"/>
  <c r="EY31" i="50" s="1"/>
  <c r="BP31" i="50"/>
  <c r="EX31" i="50" s="1"/>
  <c r="BO31" i="50"/>
  <c r="BN31" i="50"/>
  <c r="EV31" i="50" s="1"/>
  <c r="AT31" i="50"/>
  <c r="AS31" i="50"/>
  <c r="AR31" i="50"/>
  <c r="AQ31" i="50"/>
  <c r="AP31" i="50"/>
  <c r="AN31" i="50"/>
  <c r="AM31" i="50"/>
  <c r="AL31" i="50"/>
  <c r="AK31" i="50"/>
  <c r="AJ31" i="50"/>
  <c r="EU12" i="50"/>
  <c r="EQ12" i="50"/>
  <c r="EP12" i="50"/>
  <c r="EO12" i="50"/>
  <c r="ES12" i="50" s="1"/>
  <c r="EN12" i="50"/>
  <c r="ER12" i="50" s="1"/>
  <c r="EM12" i="50"/>
  <c r="EL12" i="50"/>
  <c r="EI12" i="50"/>
  <c r="EH12" i="50"/>
  <c r="EG12" i="50"/>
  <c r="EF12" i="50"/>
  <c r="DH12" i="50"/>
  <c r="DG12" i="50"/>
  <c r="DF12" i="50"/>
  <c r="DJ12" i="50" s="1"/>
  <c r="DE12" i="50"/>
  <c r="DI12" i="50" s="1"/>
  <c r="DD12" i="50"/>
  <c r="DC12" i="50"/>
  <c r="CZ12" i="50"/>
  <c r="CY12" i="50"/>
  <c r="CX12" i="50"/>
  <c r="DB12" i="50" s="1"/>
  <c r="DK12" i="50" s="1"/>
  <c r="CW12" i="50"/>
  <c r="DA12" i="50" s="1"/>
  <c r="BX12" i="50"/>
  <c r="FF12" i="50" s="1"/>
  <c r="BW12" i="50"/>
  <c r="FE12" i="50" s="1"/>
  <c r="BV12" i="50"/>
  <c r="FD12" i="50" s="1"/>
  <c r="BU12" i="50"/>
  <c r="BT12" i="50"/>
  <c r="FB12" i="50" s="1"/>
  <c r="BR12" i="50"/>
  <c r="EZ12" i="50" s="1"/>
  <c r="FN12" i="50" s="1"/>
  <c r="BQ12" i="50"/>
  <c r="EY12" i="50" s="1"/>
  <c r="BP12" i="50"/>
  <c r="EX12" i="50" s="1"/>
  <c r="BO12" i="50"/>
  <c r="BN12" i="50"/>
  <c r="EV12" i="50" s="1"/>
  <c r="AT12" i="50"/>
  <c r="AS12" i="50"/>
  <c r="AR12" i="50"/>
  <c r="AQ12" i="50"/>
  <c r="AP12" i="50"/>
  <c r="AN12" i="50"/>
  <c r="AM12" i="50"/>
  <c r="AL12" i="50"/>
  <c r="AK12" i="50"/>
  <c r="AJ12" i="50"/>
  <c r="EU13" i="50"/>
  <c r="EQ13" i="50"/>
  <c r="EP13" i="50"/>
  <c r="EO13" i="50"/>
  <c r="ES13" i="50" s="1"/>
  <c r="EN13" i="50"/>
  <c r="ER13" i="50" s="1"/>
  <c r="EM13" i="50"/>
  <c r="EL13" i="50"/>
  <c r="EI13" i="50"/>
  <c r="EH13" i="50"/>
  <c r="EG13" i="50"/>
  <c r="EF13" i="50"/>
  <c r="DH13" i="50"/>
  <c r="DG13" i="50"/>
  <c r="DF13" i="50"/>
  <c r="DJ13" i="50" s="1"/>
  <c r="DE13" i="50"/>
  <c r="DI13" i="50" s="1"/>
  <c r="DD13" i="50"/>
  <c r="DC13" i="50"/>
  <c r="CZ13" i="50"/>
  <c r="CY13" i="50"/>
  <c r="CX13" i="50"/>
  <c r="DB13" i="50" s="1"/>
  <c r="DK13" i="50" s="1"/>
  <c r="CW13" i="50"/>
  <c r="DA13" i="50" s="1"/>
  <c r="BX13" i="50"/>
  <c r="FF13" i="50" s="1"/>
  <c r="BW13" i="50"/>
  <c r="BV13" i="50"/>
  <c r="FD13" i="50" s="1"/>
  <c r="BU13" i="50"/>
  <c r="FC13" i="50" s="1"/>
  <c r="BT13" i="50"/>
  <c r="FB13" i="50" s="1"/>
  <c r="BR13" i="50"/>
  <c r="EZ13" i="50" s="1"/>
  <c r="FN13" i="50" s="1"/>
  <c r="BQ13" i="50"/>
  <c r="EY13" i="50" s="1"/>
  <c r="BP13" i="50"/>
  <c r="EX13" i="50" s="1"/>
  <c r="BO13" i="50"/>
  <c r="EW13" i="50" s="1"/>
  <c r="BN13" i="50"/>
  <c r="EV13" i="50" s="1"/>
  <c r="AT13" i="50"/>
  <c r="AS13" i="50"/>
  <c r="AR13" i="50"/>
  <c r="AQ13" i="50"/>
  <c r="AP13" i="50"/>
  <c r="AN13" i="50"/>
  <c r="AM13" i="50"/>
  <c r="AL13" i="50"/>
  <c r="AK13" i="50"/>
  <c r="AJ13" i="50"/>
  <c r="EU11" i="50"/>
  <c r="EQ11" i="50"/>
  <c r="EP11" i="50"/>
  <c r="EO11" i="50"/>
  <c r="ES11" i="50" s="1"/>
  <c r="EN11" i="50"/>
  <c r="ER11" i="50" s="1"/>
  <c r="EM11" i="50"/>
  <c r="EL11" i="50"/>
  <c r="EI11" i="50"/>
  <c r="EH11" i="50"/>
  <c r="EG11" i="50"/>
  <c r="EF11" i="50"/>
  <c r="DH11" i="50"/>
  <c r="DG11" i="50"/>
  <c r="DF11" i="50"/>
  <c r="DJ11" i="50" s="1"/>
  <c r="DE11" i="50"/>
  <c r="DI11" i="50" s="1"/>
  <c r="DD11" i="50"/>
  <c r="DC11" i="50"/>
  <c r="CZ11" i="50"/>
  <c r="CY11" i="50"/>
  <c r="CX11" i="50"/>
  <c r="DB11" i="50" s="1"/>
  <c r="DK11" i="50" s="1"/>
  <c r="CW11" i="50"/>
  <c r="DA11" i="50" s="1"/>
  <c r="BX11" i="50"/>
  <c r="FF11" i="50" s="1"/>
  <c r="BW11" i="50"/>
  <c r="FE11" i="50" s="1"/>
  <c r="BV11" i="50"/>
  <c r="FD11" i="50" s="1"/>
  <c r="FR11" i="50" s="1"/>
  <c r="BU11" i="50"/>
  <c r="BT11" i="50"/>
  <c r="FB11" i="50" s="1"/>
  <c r="BR11" i="50"/>
  <c r="EZ11" i="50" s="1"/>
  <c r="FN11" i="50" s="1"/>
  <c r="BQ11" i="50"/>
  <c r="EY11" i="50" s="1"/>
  <c r="BP11" i="50"/>
  <c r="EX11" i="50" s="1"/>
  <c r="BO11" i="50"/>
  <c r="BN11" i="50"/>
  <c r="EV11" i="50" s="1"/>
  <c r="AT11" i="50"/>
  <c r="AS11" i="50"/>
  <c r="AR11" i="50"/>
  <c r="AQ11" i="50"/>
  <c r="AP11" i="50"/>
  <c r="AN11" i="50"/>
  <c r="AM11" i="50"/>
  <c r="AL11" i="50"/>
  <c r="AK11" i="50"/>
  <c r="AJ11" i="50"/>
  <c r="EU10" i="50"/>
  <c r="EQ10" i="50"/>
  <c r="EP10" i="50"/>
  <c r="EO10" i="50"/>
  <c r="ES10" i="50" s="1"/>
  <c r="EN10" i="50"/>
  <c r="ER10" i="50" s="1"/>
  <c r="EM10" i="50"/>
  <c r="EL10" i="50"/>
  <c r="EI10" i="50"/>
  <c r="EH10" i="50"/>
  <c r="EG10" i="50"/>
  <c r="EF10" i="50"/>
  <c r="DH10" i="50"/>
  <c r="DG10" i="50"/>
  <c r="DF10" i="50"/>
  <c r="DJ10" i="50" s="1"/>
  <c r="DE10" i="50"/>
  <c r="DI10" i="50" s="1"/>
  <c r="DD10" i="50"/>
  <c r="DC10" i="50"/>
  <c r="CZ10" i="50"/>
  <c r="CY10" i="50"/>
  <c r="CX10" i="50"/>
  <c r="DB10" i="50" s="1"/>
  <c r="DK10" i="50" s="1"/>
  <c r="CW10" i="50"/>
  <c r="DA10" i="50" s="1"/>
  <c r="BX10" i="50"/>
  <c r="FF10" i="50" s="1"/>
  <c r="BW10" i="50"/>
  <c r="FE10" i="50" s="1"/>
  <c r="BV10" i="50"/>
  <c r="FD10" i="50" s="1"/>
  <c r="BU10" i="50"/>
  <c r="FC10" i="50" s="1"/>
  <c r="BT10" i="50"/>
  <c r="FB10" i="50" s="1"/>
  <c r="BR10" i="50"/>
  <c r="EZ10" i="50" s="1"/>
  <c r="FN10" i="50" s="1"/>
  <c r="BQ10" i="50"/>
  <c r="EY10" i="50" s="1"/>
  <c r="BP10" i="50"/>
  <c r="EX10" i="50" s="1"/>
  <c r="BO10" i="50"/>
  <c r="BN10" i="50"/>
  <c r="EV10" i="50" s="1"/>
  <c r="AT10" i="50"/>
  <c r="AS10" i="50"/>
  <c r="AR10" i="50"/>
  <c r="AQ10" i="50"/>
  <c r="AP10" i="50"/>
  <c r="AN10" i="50"/>
  <c r="AM10" i="50"/>
  <c r="AL10" i="50"/>
  <c r="AK10" i="50"/>
  <c r="AJ10" i="50"/>
  <c r="EU9" i="50"/>
  <c r="EQ9" i="50"/>
  <c r="EP9" i="50"/>
  <c r="EO9" i="50"/>
  <c r="ES9" i="50" s="1"/>
  <c r="EN9" i="50"/>
  <c r="EM9" i="50"/>
  <c r="EL9" i="50"/>
  <c r="EI9" i="50"/>
  <c r="EH9" i="50"/>
  <c r="EG9" i="50"/>
  <c r="EF9" i="50"/>
  <c r="DH9" i="50"/>
  <c r="DG9" i="50"/>
  <c r="DF9" i="50"/>
  <c r="DJ9" i="50" s="1"/>
  <c r="DE9" i="50"/>
  <c r="DI9" i="50" s="1"/>
  <c r="DD9" i="50"/>
  <c r="DC9" i="50"/>
  <c r="CZ9" i="50"/>
  <c r="CY9" i="50"/>
  <c r="CX9" i="50"/>
  <c r="DB9" i="50" s="1"/>
  <c r="DK9" i="50" s="1"/>
  <c r="CW9" i="50"/>
  <c r="DA9" i="50" s="1"/>
  <c r="BX9" i="50"/>
  <c r="FF9" i="50" s="1"/>
  <c r="BW9" i="50"/>
  <c r="FE9" i="50" s="1"/>
  <c r="BV9" i="50"/>
  <c r="FD9" i="50" s="1"/>
  <c r="BU9" i="50"/>
  <c r="FC9" i="50" s="1"/>
  <c r="BT9" i="50"/>
  <c r="FB9" i="50" s="1"/>
  <c r="BR9" i="50"/>
  <c r="EZ9" i="50" s="1"/>
  <c r="FN9" i="50" s="1"/>
  <c r="BQ9" i="50"/>
  <c r="EY9" i="50" s="1"/>
  <c r="BP9" i="50"/>
  <c r="EX9" i="50" s="1"/>
  <c r="BO9" i="50"/>
  <c r="BN9" i="50"/>
  <c r="EV9" i="50" s="1"/>
  <c r="FL9" i="50" s="1"/>
  <c r="AT9" i="50"/>
  <c r="AS9" i="50"/>
  <c r="AR9" i="50"/>
  <c r="AQ9" i="50"/>
  <c r="AP9" i="50"/>
  <c r="AN9" i="50"/>
  <c r="AM9" i="50"/>
  <c r="AL9" i="50"/>
  <c r="AK9" i="50"/>
  <c r="AJ9" i="50"/>
  <c r="EU8" i="50"/>
  <c r="EQ8" i="50"/>
  <c r="EP8" i="50"/>
  <c r="EO8" i="50"/>
  <c r="EN8" i="50"/>
  <c r="EM8" i="50"/>
  <c r="EL8" i="50"/>
  <c r="EI8" i="50"/>
  <c r="EH8" i="50"/>
  <c r="EG8" i="50"/>
  <c r="EF8" i="50"/>
  <c r="DH8" i="50"/>
  <c r="DG8" i="50"/>
  <c r="DF8" i="50"/>
  <c r="DJ8" i="50" s="1"/>
  <c r="DE8" i="50"/>
  <c r="DI8" i="50" s="1"/>
  <c r="DD8" i="50"/>
  <c r="DC8" i="50"/>
  <c r="CZ8" i="50"/>
  <c r="CY8" i="50"/>
  <c r="CX8" i="50"/>
  <c r="DB8" i="50" s="1"/>
  <c r="DK8" i="50" s="1"/>
  <c r="CW8" i="50"/>
  <c r="DA8" i="50" s="1"/>
  <c r="BX8" i="50"/>
  <c r="FF8" i="50" s="1"/>
  <c r="BW8" i="50"/>
  <c r="FE8" i="50" s="1"/>
  <c r="BV8" i="50"/>
  <c r="FD8" i="50" s="1"/>
  <c r="FR8" i="50" s="1"/>
  <c r="BU8" i="50"/>
  <c r="BT8" i="50"/>
  <c r="FB8" i="50" s="1"/>
  <c r="BR8" i="50"/>
  <c r="EZ8" i="50" s="1"/>
  <c r="FN8" i="50" s="1"/>
  <c r="BQ8" i="50"/>
  <c r="EY8" i="50" s="1"/>
  <c r="BP8" i="50"/>
  <c r="EX8" i="50" s="1"/>
  <c r="BO8" i="50"/>
  <c r="EW8" i="50" s="1"/>
  <c r="BN8" i="50"/>
  <c r="EV8" i="50" s="1"/>
  <c r="AT8" i="50"/>
  <c r="AS8" i="50"/>
  <c r="AR8" i="50"/>
  <c r="AQ8" i="50"/>
  <c r="AP8" i="50"/>
  <c r="AN8" i="50"/>
  <c r="AM8" i="50"/>
  <c r="AL8" i="50"/>
  <c r="AK8" i="50"/>
  <c r="AJ8" i="50"/>
  <c r="EU7" i="50"/>
  <c r="EQ7" i="50"/>
  <c r="EP7" i="50"/>
  <c r="EO7" i="50"/>
  <c r="ES7" i="50" s="1"/>
  <c r="EN7" i="50"/>
  <c r="ER7" i="50" s="1"/>
  <c r="EM7" i="50"/>
  <c r="EL7" i="50"/>
  <c r="EI7" i="50"/>
  <c r="EH7" i="50"/>
  <c r="EG7" i="50"/>
  <c r="EF7" i="50"/>
  <c r="DH7" i="50"/>
  <c r="DG7" i="50"/>
  <c r="DF7" i="50"/>
  <c r="DJ7" i="50" s="1"/>
  <c r="DE7" i="50"/>
  <c r="DI7" i="50" s="1"/>
  <c r="DD7" i="50"/>
  <c r="DC7" i="50"/>
  <c r="CZ7" i="50"/>
  <c r="CY7" i="50"/>
  <c r="CX7" i="50"/>
  <c r="DB7" i="50" s="1"/>
  <c r="CW7" i="50"/>
  <c r="DA7" i="50" s="1"/>
  <c r="BX7" i="50"/>
  <c r="FF7" i="50" s="1"/>
  <c r="BW7" i="50"/>
  <c r="BV7" i="50"/>
  <c r="FD7" i="50" s="1"/>
  <c r="BU7" i="50"/>
  <c r="FC7" i="50" s="1"/>
  <c r="BT7" i="50"/>
  <c r="FB7" i="50" s="1"/>
  <c r="BR7" i="50"/>
  <c r="EZ7" i="50" s="1"/>
  <c r="FN7" i="50" s="1"/>
  <c r="BQ7" i="50"/>
  <c r="EY7" i="50" s="1"/>
  <c r="BP7" i="50"/>
  <c r="EX7" i="50" s="1"/>
  <c r="BO7" i="50"/>
  <c r="BN7" i="50"/>
  <c r="EV7" i="50" s="1"/>
  <c r="FL7" i="50" s="1"/>
  <c r="AT7" i="50"/>
  <c r="AS7" i="50"/>
  <c r="AR7" i="50"/>
  <c r="AQ7" i="50"/>
  <c r="AP7" i="50"/>
  <c r="AN7" i="50"/>
  <c r="AM7" i="50"/>
  <c r="AL7" i="50"/>
  <c r="AK7" i="50"/>
  <c r="AJ7" i="50"/>
  <c r="EU6" i="50"/>
  <c r="EQ6" i="50"/>
  <c r="EP6" i="50"/>
  <c r="EO6" i="50"/>
  <c r="ES6" i="50" s="1"/>
  <c r="EN6" i="50"/>
  <c r="ER6" i="50" s="1"/>
  <c r="EM6" i="50"/>
  <c r="EL6" i="50"/>
  <c r="EI6" i="50"/>
  <c r="EH6" i="50"/>
  <c r="EG6" i="50"/>
  <c r="EK6" i="50" s="1"/>
  <c r="ET6" i="50" s="1"/>
  <c r="EF6" i="50"/>
  <c r="EJ6" i="50" s="1"/>
  <c r="DH6" i="50"/>
  <c r="DG6" i="50"/>
  <c r="DF6" i="50"/>
  <c r="DJ6" i="50" s="1"/>
  <c r="DE6" i="50"/>
  <c r="DI6" i="50" s="1"/>
  <c r="DD6" i="50"/>
  <c r="DC6" i="50"/>
  <c r="CZ6" i="50"/>
  <c r="CY6" i="50"/>
  <c r="CX6" i="50"/>
  <c r="DB6" i="50" s="1"/>
  <c r="DK6" i="50" s="1"/>
  <c r="CW6" i="50"/>
  <c r="BX6" i="50"/>
  <c r="FF6" i="50" s="1"/>
  <c r="BW6" i="50"/>
  <c r="FE6" i="50" s="1"/>
  <c r="BV6" i="50"/>
  <c r="FD6" i="50" s="1"/>
  <c r="FR6" i="50" s="1"/>
  <c r="BU6" i="50"/>
  <c r="FC6" i="50" s="1"/>
  <c r="BT6" i="50"/>
  <c r="FB6" i="50" s="1"/>
  <c r="BR6" i="50"/>
  <c r="EZ6" i="50" s="1"/>
  <c r="FN6" i="50" s="1"/>
  <c r="BQ6" i="50"/>
  <c r="EY6" i="50" s="1"/>
  <c r="BP6" i="50"/>
  <c r="EX6" i="50" s="1"/>
  <c r="BO6" i="50"/>
  <c r="BN6" i="50"/>
  <c r="EV6" i="50" s="1"/>
  <c r="FL6" i="50" s="1"/>
  <c r="AT6" i="50"/>
  <c r="AS6" i="50"/>
  <c r="AR6" i="50"/>
  <c r="AQ6" i="50"/>
  <c r="AP6" i="50"/>
  <c r="AN6" i="50"/>
  <c r="AM6" i="50"/>
  <c r="AL6" i="50"/>
  <c r="AK6" i="50"/>
  <c r="AJ6" i="50"/>
  <c r="EU4" i="50"/>
  <c r="EQ4" i="50"/>
  <c r="EP4" i="50"/>
  <c r="EO4" i="50"/>
  <c r="ES4" i="50" s="1"/>
  <c r="EN4" i="50"/>
  <c r="ER4" i="50" s="1"/>
  <c r="EM4" i="50"/>
  <c r="EL4" i="50"/>
  <c r="EI4" i="50"/>
  <c r="EH4" i="50"/>
  <c r="EG4" i="50"/>
  <c r="EK4" i="50" s="1"/>
  <c r="ET4" i="50" s="1"/>
  <c r="EF4" i="50"/>
  <c r="EJ4" i="50" s="1"/>
  <c r="DH4" i="50"/>
  <c r="DG4" i="50"/>
  <c r="DF4" i="50"/>
  <c r="DJ4" i="50" s="1"/>
  <c r="DE4" i="50"/>
  <c r="DI4" i="50" s="1"/>
  <c r="DD4" i="50"/>
  <c r="DC4" i="50"/>
  <c r="CZ4" i="50"/>
  <c r="CY4" i="50"/>
  <c r="CX4" i="50"/>
  <c r="CW4" i="50"/>
  <c r="BX4" i="50"/>
  <c r="FF4" i="50" s="1"/>
  <c r="BW4" i="50"/>
  <c r="FE4" i="50" s="1"/>
  <c r="BV4" i="50"/>
  <c r="FD4" i="50" s="1"/>
  <c r="BU4" i="50"/>
  <c r="FC4" i="50" s="1"/>
  <c r="BT4" i="50"/>
  <c r="FB4" i="50" s="1"/>
  <c r="BR4" i="50"/>
  <c r="EZ4" i="50" s="1"/>
  <c r="FN4" i="50" s="1"/>
  <c r="BQ4" i="50"/>
  <c r="EY4" i="50" s="1"/>
  <c r="BP4" i="50"/>
  <c r="EX4" i="50" s="1"/>
  <c r="BO4" i="50"/>
  <c r="BN4" i="50"/>
  <c r="EV4" i="50" s="1"/>
  <c r="AT4" i="50"/>
  <c r="AS4" i="50"/>
  <c r="AR4" i="50"/>
  <c r="AQ4" i="50"/>
  <c r="AP4" i="50"/>
  <c r="AN4" i="50"/>
  <c r="AM4" i="50"/>
  <c r="AL4" i="50"/>
  <c r="AK4" i="50"/>
  <c r="AJ4" i="50"/>
  <c r="EU5" i="50"/>
  <c r="EQ5" i="50"/>
  <c r="EP5" i="50"/>
  <c r="EO5" i="50"/>
  <c r="EN5" i="50"/>
  <c r="EM5" i="50"/>
  <c r="EL5" i="50"/>
  <c r="EI5" i="50"/>
  <c r="EH5" i="50"/>
  <c r="EG5" i="50"/>
  <c r="EF5" i="50"/>
  <c r="DH5" i="50"/>
  <c r="DG5" i="50"/>
  <c r="DF5" i="50"/>
  <c r="DJ5" i="50" s="1"/>
  <c r="DE5" i="50"/>
  <c r="DI5" i="50" s="1"/>
  <c r="DD5" i="50"/>
  <c r="DC5" i="50"/>
  <c r="CZ5" i="50"/>
  <c r="CY5" i="50"/>
  <c r="CX5" i="50"/>
  <c r="DB5" i="50" s="1"/>
  <c r="DK5" i="50" s="1"/>
  <c r="CW5" i="50"/>
  <c r="DA5" i="50" s="1"/>
  <c r="BX5" i="50"/>
  <c r="FF5" i="50" s="1"/>
  <c r="BW5" i="50"/>
  <c r="FE5" i="50" s="1"/>
  <c r="BV5" i="50"/>
  <c r="FD5" i="50" s="1"/>
  <c r="BU5" i="50"/>
  <c r="BT5" i="50"/>
  <c r="FB5" i="50" s="1"/>
  <c r="BR5" i="50"/>
  <c r="EZ5" i="50" s="1"/>
  <c r="BQ5" i="50"/>
  <c r="EY5" i="50" s="1"/>
  <c r="BP5" i="50"/>
  <c r="EX5" i="50" s="1"/>
  <c r="BO5" i="50"/>
  <c r="EW5" i="50" s="1"/>
  <c r="BN5" i="50"/>
  <c r="EV5" i="50" s="1"/>
  <c r="FL5" i="50" s="1"/>
  <c r="AT5" i="50"/>
  <c r="AS5" i="50"/>
  <c r="AR5" i="50"/>
  <c r="AQ5" i="50"/>
  <c r="AP5" i="50"/>
  <c r="AN5" i="50"/>
  <c r="AM5" i="50"/>
  <c r="AL5" i="50"/>
  <c r="AK5" i="50"/>
  <c r="AJ5" i="50"/>
  <c r="EU38" i="49"/>
  <c r="EQ38" i="49"/>
  <c r="EP38" i="49"/>
  <c r="EO38" i="49"/>
  <c r="ES38" i="49" s="1"/>
  <c r="EN38" i="49"/>
  <c r="ER38" i="49" s="1"/>
  <c r="EM38" i="49"/>
  <c r="EL38" i="49"/>
  <c r="EI38" i="49"/>
  <c r="EH38" i="49"/>
  <c r="EG38" i="49"/>
  <c r="EK38" i="49" s="1"/>
  <c r="ET38" i="49" s="1"/>
  <c r="EF38" i="49"/>
  <c r="EJ38" i="49" s="1"/>
  <c r="DH38" i="49"/>
  <c r="DG38" i="49"/>
  <c r="DF38" i="49"/>
  <c r="DJ38" i="49" s="1"/>
  <c r="DE38" i="49"/>
  <c r="DI38" i="49" s="1"/>
  <c r="DD38" i="49"/>
  <c r="DC38" i="49"/>
  <c r="CZ38" i="49"/>
  <c r="CY38" i="49"/>
  <c r="CX38" i="49"/>
  <c r="DB38" i="49" s="1"/>
  <c r="DK38" i="49" s="1"/>
  <c r="CW38" i="49"/>
  <c r="DA38" i="49" s="1"/>
  <c r="BX38" i="49"/>
  <c r="FF38" i="49" s="1"/>
  <c r="BW38" i="49"/>
  <c r="FE38" i="49" s="1"/>
  <c r="BV38" i="49"/>
  <c r="FD38" i="49" s="1"/>
  <c r="BU38" i="49"/>
  <c r="BT38" i="49"/>
  <c r="FB38" i="49" s="1"/>
  <c r="BR38" i="49"/>
  <c r="EZ38" i="49" s="1"/>
  <c r="BQ38" i="49"/>
  <c r="EY38" i="49" s="1"/>
  <c r="BP38" i="49"/>
  <c r="EX38" i="49" s="1"/>
  <c r="BO38" i="49"/>
  <c r="EW38" i="49" s="1"/>
  <c r="BN38" i="49"/>
  <c r="EV38" i="49" s="1"/>
  <c r="FL38" i="49" s="1"/>
  <c r="AT38" i="49"/>
  <c r="AS38" i="49"/>
  <c r="AR38" i="49"/>
  <c r="AQ38" i="49"/>
  <c r="AP38" i="49"/>
  <c r="AN38" i="49"/>
  <c r="AM38" i="49"/>
  <c r="AL38" i="49"/>
  <c r="AK38" i="49"/>
  <c r="AJ38" i="49"/>
  <c r="EU28" i="49"/>
  <c r="ET28" i="49"/>
  <c r="EQ28" i="49"/>
  <c r="EP28" i="49"/>
  <c r="EO28" i="49"/>
  <c r="ES28" i="49" s="1"/>
  <c r="EN28" i="49"/>
  <c r="ER28" i="49" s="1"/>
  <c r="EM28" i="49"/>
  <c r="EL28" i="49"/>
  <c r="EI28" i="49"/>
  <c r="EH28" i="49"/>
  <c r="EG28" i="49"/>
  <c r="EK28" i="49" s="1"/>
  <c r="EF28" i="49"/>
  <c r="EJ28" i="49" s="1"/>
  <c r="DH28" i="49"/>
  <c r="DG28" i="49"/>
  <c r="DF28" i="49"/>
  <c r="DJ28" i="49" s="1"/>
  <c r="DE28" i="49"/>
  <c r="DI28" i="49" s="1"/>
  <c r="DD28" i="49"/>
  <c r="DC28" i="49"/>
  <c r="CZ28" i="49"/>
  <c r="CY28" i="49"/>
  <c r="CX28" i="49"/>
  <c r="DB28" i="49" s="1"/>
  <c r="DK28" i="49" s="1"/>
  <c r="CW28" i="49"/>
  <c r="DA28" i="49" s="1"/>
  <c r="BX28" i="49"/>
  <c r="FF28" i="49" s="1"/>
  <c r="BW28" i="49"/>
  <c r="FE28" i="49" s="1"/>
  <c r="BV28" i="49"/>
  <c r="FD28" i="49" s="1"/>
  <c r="BU28" i="49"/>
  <c r="FC28" i="49" s="1"/>
  <c r="BT28" i="49"/>
  <c r="FB28" i="49" s="1"/>
  <c r="BR28" i="49"/>
  <c r="EZ28" i="49" s="1"/>
  <c r="FN28" i="49" s="1"/>
  <c r="BQ28" i="49"/>
  <c r="EY28" i="49" s="1"/>
  <c r="BP28" i="49"/>
  <c r="EX28" i="49" s="1"/>
  <c r="BO28" i="49"/>
  <c r="EW28" i="49" s="1"/>
  <c r="BN28" i="49"/>
  <c r="EV28" i="49" s="1"/>
  <c r="AT28" i="49"/>
  <c r="AS28" i="49"/>
  <c r="AR28" i="49"/>
  <c r="AQ28" i="49"/>
  <c r="AP28" i="49"/>
  <c r="AN28" i="49"/>
  <c r="AM28" i="49"/>
  <c r="AL28" i="49"/>
  <c r="AK28" i="49"/>
  <c r="AJ28" i="49"/>
  <c r="EU36" i="49"/>
  <c r="ET36" i="49"/>
  <c r="ER36" i="49"/>
  <c r="EQ36" i="49"/>
  <c r="EP36" i="49"/>
  <c r="EO36" i="49"/>
  <c r="ES36" i="49" s="1"/>
  <c r="EN36" i="49"/>
  <c r="EM36" i="49"/>
  <c r="EL36" i="49"/>
  <c r="EI36" i="49"/>
  <c r="EH36" i="49"/>
  <c r="EG36" i="49"/>
  <c r="EK36" i="49" s="1"/>
  <c r="EF36" i="49"/>
  <c r="EJ36" i="49" s="1"/>
  <c r="DK36" i="49"/>
  <c r="DH36" i="49"/>
  <c r="DG36" i="49"/>
  <c r="DF36" i="49"/>
  <c r="DJ36" i="49" s="1"/>
  <c r="DE36" i="49"/>
  <c r="DI36" i="49" s="1"/>
  <c r="DD36" i="49"/>
  <c r="DC36" i="49"/>
  <c r="CZ36" i="49"/>
  <c r="CY36" i="49"/>
  <c r="CX36" i="49"/>
  <c r="DB36" i="49" s="1"/>
  <c r="CW36" i="49"/>
  <c r="DA36" i="49" s="1"/>
  <c r="BX36" i="49"/>
  <c r="FF36" i="49" s="1"/>
  <c r="BW36" i="49"/>
  <c r="FE36" i="49" s="1"/>
  <c r="BV36" i="49"/>
  <c r="FD36" i="49" s="1"/>
  <c r="FR36" i="49" s="1"/>
  <c r="BU36" i="49"/>
  <c r="BT36" i="49"/>
  <c r="FB36" i="49" s="1"/>
  <c r="BR36" i="49"/>
  <c r="EZ36" i="49" s="1"/>
  <c r="FN36" i="49" s="1"/>
  <c r="BQ36" i="49"/>
  <c r="EY36" i="49" s="1"/>
  <c r="BP36" i="49"/>
  <c r="EX36" i="49" s="1"/>
  <c r="BO36" i="49"/>
  <c r="BN36" i="49"/>
  <c r="EV36" i="49" s="1"/>
  <c r="AT36" i="49"/>
  <c r="AS36" i="49"/>
  <c r="AR36" i="49"/>
  <c r="AQ36" i="49"/>
  <c r="AP36" i="49"/>
  <c r="AN36" i="49"/>
  <c r="AM36" i="49"/>
  <c r="AL36" i="49"/>
  <c r="AK36" i="49"/>
  <c r="AJ36" i="49"/>
  <c r="EU27" i="49"/>
  <c r="EQ27" i="49"/>
  <c r="EP27" i="49"/>
  <c r="EO27" i="49"/>
  <c r="ES27" i="49" s="1"/>
  <c r="EN27" i="49"/>
  <c r="ER27" i="49" s="1"/>
  <c r="EM27" i="49"/>
  <c r="EL27" i="49"/>
  <c r="EI27" i="49"/>
  <c r="EH27" i="49"/>
  <c r="EG27" i="49"/>
  <c r="EK27" i="49" s="1"/>
  <c r="ET27" i="49" s="1"/>
  <c r="EF27" i="49"/>
  <c r="EJ27" i="49" s="1"/>
  <c r="DH27" i="49"/>
  <c r="DG27" i="49"/>
  <c r="DF27" i="49"/>
  <c r="DJ27" i="49" s="1"/>
  <c r="DE27" i="49"/>
  <c r="DI27" i="49" s="1"/>
  <c r="DD27" i="49"/>
  <c r="DC27" i="49"/>
  <c r="CZ27" i="49"/>
  <c r="CY27" i="49"/>
  <c r="CX27" i="49"/>
  <c r="DB27" i="49" s="1"/>
  <c r="DK27" i="49" s="1"/>
  <c r="CW27" i="49"/>
  <c r="DA27" i="49" s="1"/>
  <c r="BX27" i="49"/>
  <c r="FF27" i="49" s="1"/>
  <c r="BW27" i="49"/>
  <c r="FE27" i="49" s="1"/>
  <c r="BV27" i="49"/>
  <c r="FD27" i="49" s="1"/>
  <c r="BU27" i="49"/>
  <c r="BT27" i="49"/>
  <c r="FB27" i="49" s="1"/>
  <c r="BR27" i="49"/>
  <c r="EZ27" i="49" s="1"/>
  <c r="BQ27" i="49"/>
  <c r="BP27" i="49"/>
  <c r="EX27" i="49" s="1"/>
  <c r="BO27" i="49"/>
  <c r="EW27" i="49" s="1"/>
  <c r="BN27" i="49"/>
  <c r="EV27" i="49" s="1"/>
  <c r="FL27" i="49" s="1"/>
  <c r="AT27" i="49"/>
  <c r="AS27" i="49"/>
  <c r="AR27" i="49"/>
  <c r="AQ27" i="49"/>
  <c r="AP27" i="49"/>
  <c r="AN27" i="49"/>
  <c r="AM27" i="49"/>
  <c r="AL27" i="49"/>
  <c r="AK27" i="49"/>
  <c r="AO27" i="49" s="1"/>
  <c r="AJ27" i="49"/>
  <c r="EU26" i="49"/>
  <c r="ER26" i="49"/>
  <c r="EQ26" i="49"/>
  <c r="EP26" i="49"/>
  <c r="EO26" i="49"/>
  <c r="ES26" i="49" s="1"/>
  <c r="EN26" i="49"/>
  <c r="EM26" i="49"/>
  <c r="EL26" i="49"/>
  <c r="EI26" i="49"/>
  <c r="EH26" i="49"/>
  <c r="EG26" i="49"/>
  <c r="EK26" i="49" s="1"/>
  <c r="ET26" i="49" s="1"/>
  <c r="EF26" i="49"/>
  <c r="EJ26" i="49" s="1"/>
  <c r="DH26" i="49"/>
  <c r="DG26" i="49"/>
  <c r="DF26" i="49"/>
  <c r="DJ26" i="49" s="1"/>
  <c r="DE26" i="49"/>
  <c r="DI26" i="49" s="1"/>
  <c r="DD26" i="49"/>
  <c r="DC26" i="49"/>
  <c r="CZ26" i="49"/>
  <c r="CY26" i="49"/>
  <c r="CX26" i="49"/>
  <c r="DB26" i="49" s="1"/>
  <c r="DK26" i="49" s="1"/>
  <c r="CW26" i="49"/>
  <c r="DA26" i="49" s="1"/>
  <c r="BX26" i="49"/>
  <c r="FF26" i="49" s="1"/>
  <c r="BW26" i="49"/>
  <c r="FE26" i="49" s="1"/>
  <c r="BV26" i="49"/>
  <c r="FD26" i="49" s="1"/>
  <c r="BU26" i="49"/>
  <c r="BY26" i="49" s="1"/>
  <c r="FG26" i="49" s="1"/>
  <c r="BT26" i="49"/>
  <c r="FB26" i="49" s="1"/>
  <c r="BR26" i="49"/>
  <c r="EZ26" i="49" s="1"/>
  <c r="FN26" i="49" s="1"/>
  <c r="BQ26" i="49"/>
  <c r="EY26" i="49" s="1"/>
  <c r="BP26" i="49"/>
  <c r="EX26" i="49" s="1"/>
  <c r="BO26" i="49"/>
  <c r="EW26" i="49" s="1"/>
  <c r="BN26" i="49"/>
  <c r="EV26" i="49" s="1"/>
  <c r="AT26" i="49"/>
  <c r="AS26" i="49"/>
  <c r="AR26" i="49"/>
  <c r="AQ26" i="49"/>
  <c r="AP26" i="49"/>
  <c r="AN26" i="49"/>
  <c r="AM26" i="49"/>
  <c r="AL26" i="49"/>
  <c r="AK26" i="49"/>
  <c r="AJ26" i="49"/>
  <c r="EV22" i="49"/>
  <c r="FL22" i="49" s="1"/>
  <c r="EU22" i="49"/>
  <c r="EQ22" i="49"/>
  <c r="EP22" i="49"/>
  <c r="EO22" i="49"/>
  <c r="ES22" i="49" s="1"/>
  <c r="EN22" i="49"/>
  <c r="ER22" i="49" s="1"/>
  <c r="EM22" i="49"/>
  <c r="EL22" i="49"/>
  <c r="EI22" i="49"/>
  <c r="EH22" i="49"/>
  <c r="EG22" i="49"/>
  <c r="EK22" i="49" s="1"/>
  <c r="ET22" i="49" s="1"/>
  <c r="EF22" i="49"/>
  <c r="EJ22" i="49" s="1"/>
  <c r="DH22" i="49"/>
  <c r="DG22" i="49"/>
  <c r="DF22" i="49"/>
  <c r="DJ22" i="49" s="1"/>
  <c r="DE22" i="49"/>
  <c r="DI22" i="49" s="1"/>
  <c r="DD22" i="49"/>
  <c r="DC22" i="49"/>
  <c r="CZ22" i="49"/>
  <c r="CY22" i="49"/>
  <c r="CX22" i="49"/>
  <c r="DB22" i="49" s="1"/>
  <c r="DK22" i="49" s="1"/>
  <c r="CW22" i="49"/>
  <c r="DA22" i="49" s="1"/>
  <c r="BX22" i="49"/>
  <c r="FF22" i="49" s="1"/>
  <c r="BW22" i="49"/>
  <c r="FE22" i="49" s="1"/>
  <c r="BV22" i="49"/>
  <c r="FD22" i="49" s="1"/>
  <c r="BU22" i="49"/>
  <c r="FC22" i="49" s="1"/>
  <c r="BT22" i="49"/>
  <c r="FB22" i="49" s="1"/>
  <c r="BR22" i="49"/>
  <c r="EZ22" i="49" s="1"/>
  <c r="BQ22" i="49"/>
  <c r="EY22" i="49" s="1"/>
  <c r="BP22" i="49"/>
  <c r="EX22" i="49" s="1"/>
  <c r="BO22" i="49"/>
  <c r="EW22" i="49" s="1"/>
  <c r="BN22" i="49"/>
  <c r="AT22" i="49"/>
  <c r="AS22" i="49"/>
  <c r="AR22" i="49"/>
  <c r="AQ22" i="49"/>
  <c r="AP22" i="49"/>
  <c r="AN22" i="49"/>
  <c r="AM22" i="49"/>
  <c r="AL22" i="49"/>
  <c r="AK22" i="49"/>
  <c r="AJ22" i="49"/>
  <c r="EU35" i="49"/>
  <c r="EQ35" i="49"/>
  <c r="EP35" i="49"/>
  <c r="EO35" i="49"/>
  <c r="ES35" i="49" s="1"/>
  <c r="EN35" i="49"/>
  <c r="ER35" i="49" s="1"/>
  <c r="EM35" i="49"/>
  <c r="EL35" i="49"/>
  <c r="EI35" i="49"/>
  <c r="EH35" i="49"/>
  <c r="EG35" i="49"/>
  <c r="EK35" i="49" s="1"/>
  <c r="ET35" i="49" s="1"/>
  <c r="EF35" i="49"/>
  <c r="EJ35" i="49" s="1"/>
  <c r="DH35" i="49"/>
  <c r="DG35" i="49"/>
  <c r="DF35" i="49"/>
  <c r="DJ35" i="49" s="1"/>
  <c r="DE35" i="49"/>
  <c r="DI35" i="49" s="1"/>
  <c r="DD35" i="49"/>
  <c r="DC35" i="49"/>
  <c r="CZ35" i="49"/>
  <c r="CY35" i="49"/>
  <c r="CX35" i="49"/>
  <c r="DB35" i="49" s="1"/>
  <c r="DK35" i="49" s="1"/>
  <c r="CW35" i="49"/>
  <c r="DA35" i="49" s="1"/>
  <c r="BX35" i="49"/>
  <c r="FF35" i="49" s="1"/>
  <c r="BW35" i="49"/>
  <c r="BV35" i="49"/>
  <c r="FD35" i="49" s="1"/>
  <c r="FR32" i="49" s="1"/>
  <c r="BU35" i="49"/>
  <c r="FC35" i="49" s="1"/>
  <c r="BT35" i="49"/>
  <c r="FB35" i="49" s="1"/>
  <c r="BR35" i="49"/>
  <c r="EZ35" i="49" s="1"/>
  <c r="FN35" i="49" s="1"/>
  <c r="BQ35" i="49"/>
  <c r="EY35" i="49" s="1"/>
  <c r="BP35" i="49"/>
  <c r="EX35" i="49" s="1"/>
  <c r="BO35" i="49"/>
  <c r="BN35" i="49"/>
  <c r="EV35" i="49" s="1"/>
  <c r="AT35" i="49"/>
  <c r="AS35" i="49"/>
  <c r="AR35" i="49"/>
  <c r="AQ35" i="49"/>
  <c r="AP35" i="49"/>
  <c r="AN35" i="49"/>
  <c r="AM35" i="49"/>
  <c r="AL35" i="49"/>
  <c r="AK35" i="49"/>
  <c r="AJ35" i="49"/>
  <c r="EU21" i="49"/>
  <c r="EQ21" i="49"/>
  <c r="EP21" i="49"/>
  <c r="EO21" i="49"/>
  <c r="ES21" i="49" s="1"/>
  <c r="EN21" i="49"/>
  <c r="ER21" i="49" s="1"/>
  <c r="EM21" i="49"/>
  <c r="EL21" i="49"/>
  <c r="EI21" i="49"/>
  <c r="EH21" i="49"/>
  <c r="EG21" i="49"/>
  <c r="EK21" i="49" s="1"/>
  <c r="ET21" i="49" s="1"/>
  <c r="EF21" i="49"/>
  <c r="EJ21" i="49" s="1"/>
  <c r="DK21" i="49"/>
  <c r="DH21" i="49"/>
  <c r="DG21" i="49"/>
  <c r="DF21" i="49"/>
  <c r="DJ21" i="49" s="1"/>
  <c r="DE21" i="49"/>
  <c r="DI21" i="49" s="1"/>
  <c r="DD21" i="49"/>
  <c r="DC21" i="49"/>
  <c r="CZ21" i="49"/>
  <c r="CY21" i="49"/>
  <c r="CX21" i="49"/>
  <c r="DB21" i="49" s="1"/>
  <c r="CW21" i="49"/>
  <c r="DA21" i="49" s="1"/>
  <c r="BX21" i="49"/>
  <c r="FF21" i="49" s="1"/>
  <c r="BW21" i="49"/>
  <c r="FE21" i="49" s="1"/>
  <c r="BV21" i="49"/>
  <c r="FD21" i="49" s="1"/>
  <c r="FR31" i="49" s="1"/>
  <c r="BU21" i="49"/>
  <c r="BT21" i="49"/>
  <c r="FB21" i="49" s="1"/>
  <c r="BR21" i="49"/>
  <c r="EZ21" i="49" s="1"/>
  <c r="FN21" i="49" s="1"/>
  <c r="BQ21" i="49"/>
  <c r="EY21" i="49" s="1"/>
  <c r="BP21" i="49"/>
  <c r="EX21" i="49" s="1"/>
  <c r="BO21" i="49"/>
  <c r="BN21" i="49"/>
  <c r="EV21" i="49" s="1"/>
  <c r="AT21" i="49"/>
  <c r="AS21" i="49"/>
  <c r="AR21" i="49"/>
  <c r="AQ21" i="49"/>
  <c r="AP21" i="49"/>
  <c r="AN21" i="49"/>
  <c r="AM21" i="49"/>
  <c r="AL21" i="49"/>
  <c r="AK21" i="49"/>
  <c r="AJ21" i="49"/>
  <c r="EU34" i="49"/>
  <c r="EQ34" i="49"/>
  <c r="EP34" i="49"/>
  <c r="EO34" i="49"/>
  <c r="ES34" i="49" s="1"/>
  <c r="EN34" i="49"/>
  <c r="ER34" i="49" s="1"/>
  <c r="EM34" i="49"/>
  <c r="EL34" i="49"/>
  <c r="EI34" i="49"/>
  <c r="EH34" i="49"/>
  <c r="EG34" i="49"/>
  <c r="EK34" i="49" s="1"/>
  <c r="ET34" i="49" s="1"/>
  <c r="EF34" i="49"/>
  <c r="EJ34" i="49" s="1"/>
  <c r="DH34" i="49"/>
  <c r="DG34" i="49"/>
  <c r="DF34" i="49"/>
  <c r="DJ34" i="49" s="1"/>
  <c r="DE34" i="49"/>
  <c r="DI34" i="49" s="1"/>
  <c r="DD34" i="49"/>
  <c r="DC34" i="49"/>
  <c r="CZ34" i="49"/>
  <c r="CY34" i="49"/>
  <c r="CX34" i="49"/>
  <c r="DB34" i="49" s="1"/>
  <c r="DK34" i="49" s="1"/>
  <c r="CW34" i="49"/>
  <c r="DA34" i="49" s="1"/>
  <c r="BX34" i="49"/>
  <c r="FF34" i="49" s="1"/>
  <c r="BW34" i="49"/>
  <c r="FE34" i="49" s="1"/>
  <c r="BV34" i="49"/>
  <c r="FD34" i="49" s="1"/>
  <c r="BU34" i="49"/>
  <c r="BT34" i="49"/>
  <c r="FB34" i="49" s="1"/>
  <c r="BR34" i="49"/>
  <c r="EZ34" i="49" s="1"/>
  <c r="FN34" i="49" s="1"/>
  <c r="BQ34" i="49"/>
  <c r="EY34" i="49" s="1"/>
  <c r="BP34" i="49"/>
  <c r="EX34" i="49" s="1"/>
  <c r="BO34" i="49"/>
  <c r="EW34" i="49" s="1"/>
  <c r="BN34" i="49"/>
  <c r="EV34" i="49" s="1"/>
  <c r="AT34" i="49"/>
  <c r="AS34" i="49"/>
  <c r="AR34" i="49"/>
  <c r="AQ34" i="49"/>
  <c r="AP34" i="49"/>
  <c r="AN34" i="49"/>
  <c r="AM34" i="49"/>
  <c r="AL34" i="49"/>
  <c r="AK34" i="49"/>
  <c r="AJ34" i="49"/>
  <c r="EU37" i="49"/>
  <c r="EQ37" i="49"/>
  <c r="EP37" i="49"/>
  <c r="EO37" i="49"/>
  <c r="ES37" i="49" s="1"/>
  <c r="EN37" i="49"/>
  <c r="ER37" i="49" s="1"/>
  <c r="EM37" i="49"/>
  <c r="EL37" i="49"/>
  <c r="EI37" i="49"/>
  <c r="EH37" i="49"/>
  <c r="EG37" i="49"/>
  <c r="EK37" i="49" s="1"/>
  <c r="ET37" i="49" s="1"/>
  <c r="EF37" i="49"/>
  <c r="EJ37" i="49" s="1"/>
  <c r="DH37" i="49"/>
  <c r="DG37" i="49"/>
  <c r="DF37" i="49"/>
  <c r="DJ37" i="49" s="1"/>
  <c r="DE37" i="49"/>
  <c r="DI37" i="49" s="1"/>
  <c r="DD37" i="49"/>
  <c r="DC37" i="49"/>
  <c r="CZ37" i="49"/>
  <c r="CY37" i="49"/>
  <c r="CX37" i="49"/>
  <c r="DB37" i="49" s="1"/>
  <c r="DK37" i="49" s="1"/>
  <c r="CW37" i="49"/>
  <c r="DA37" i="49" s="1"/>
  <c r="BX37" i="49"/>
  <c r="FF37" i="49" s="1"/>
  <c r="BW37" i="49"/>
  <c r="FE37" i="49" s="1"/>
  <c r="BV37" i="49"/>
  <c r="FD37" i="49" s="1"/>
  <c r="BU37" i="49"/>
  <c r="BT37" i="49"/>
  <c r="FB37" i="49" s="1"/>
  <c r="BR37" i="49"/>
  <c r="EZ37" i="49" s="1"/>
  <c r="FN37" i="49" s="1"/>
  <c r="BQ37" i="49"/>
  <c r="EY37" i="49" s="1"/>
  <c r="BP37" i="49"/>
  <c r="EX37" i="49" s="1"/>
  <c r="BO37" i="49"/>
  <c r="BN37" i="49"/>
  <c r="EV37" i="49" s="1"/>
  <c r="AT37" i="49"/>
  <c r="AS37" i="49"/>
  <c r="AR37" i="49"/>
  <c r="AQ37" i="49"/>
  <c r="AP37" i="49"/>
  <c r="AN37" i="49"/>
  <c r="AM37" i="49"/>
  <c r="AL37" i="49"/>
  <c r="AK37" i="49"/>
  <c r="AJ37" i="49"/>
  <c r="EU25" i="49"/>
  <c r="EQ25" i="49"/>
  <c r="EP25" i="49"/>
  <c r="EO25" i="49"/>
  <c r="ES25" i="49" s="1"/>
  <c r="EN25" i="49"/>
  <c r="ER25" i="49" s="1"/>
  <c r="EM25" i="49"/>
  <c r="EL25" i="49"/>
  <c r="EI25" i="49"/>
  <c r="EH25" i="49"/>
  <c r="EG25" i="49"/>
  <c r="EK25" i="49" s="1"/>
  <c r="ET25" i="49" s="1"/>
  <c r="EF25" i="49"/>
  <c r="EJ25" i="49" s="1"/>
  <c r="DH25" i="49"/>
  <c r="DG25" i="49"/>
  <c r="DF25" i="49"/>
  <c r="DJ25" i="49" s="1"/>
  <c r="DE25" i="49"/>
  <c r="DI25" i="49" s="1"/>
  <c r="DD25" i="49"/>
  <c r="DC25" i="49"/>
  <c r="CZ25" i="49"/>
  <c r="CY25" i="49"/>
  <c r="CX25" i="49"/>
  <c r="DB25" i="49" s="1"/>
  <c r="DK25" i="49" s="1"/>
  <c r="CW25" i="49"/>
  <c r="DA25" i="49" s="1"/>
  <c r="BX25" i="49"/>
  <c r="FF25" i="49" s="1"/>
  <c r="BW25" i="49"/>
  <c r="FE25" i="49" s="1"/>
  <c r="BV25" i="49"/>
  <c r="FD25" i="49" s="1"/>
  <c r="BU25" i="49"/>
  <c r="BT25" i="49"/>
  <c r="FB25" i="49" s="1"/>
  <c r="BR25" i="49"/>
  <c r="EZ25" i="49" s="1"/>
  <c r="FN25" i="49" s="1"/>
  <c r="BQ25" i="49"/>
  <c r="EY25" i="49" s="1"/>
  <c r="BP25" i="49"/>
  <c r="EX25" i="49" s="1"/>
  <c r="BO25" i="49"/>
  <c r="BS25" i="49" s="1"/>
  <c r="BN25" i="49"/>
  <c r="EV25" i="49" s="1"/>
  <c r="AT25" i="49"/>
  <c r="AS25" i="49"/>
  <c r="AU25" i="49" s="1"/>
  <c r="AR25" i="49"/>
  <c r="AQ25" i="49"/>
  <c r="AP25" i="49"/>
  <c r="AN25" i="49"/>
  <c r="AM25" i="49"/>
  <c r="AL25" i="49"/>
  <c r="AK25" i="49"/>
  <c r="AJ25" i="49"/>
  <c r="EU16" i="49"/>
  <c r="EQ16" i="49"/>
  <c r="EP16" i="49"/>
  <c r="EO16" i="49"/>
  <c r="ES16" i="49" s="1"/>
  <c r="EN16" i="49"/>
  <c r="ER16" i="49" s="1"/>
  <c r="EM16" i="49"/>
  <c r="EL16" i="49"/>
  <c r="EI16" i="49"/>
  <c r="EH16" i="49"/>
  <c r="EG16" i="49"/>
  <c r="EK16" i="49" s="1"/>
  <c r="ET16" i="49" s="1"/>
  <c r="EF16" i="49"/>
  <c r="EJ16" i="49" s="1"/>
  <c r="DH16" i="49"/>
  <c r="DG16" i="49"/>
  <c r="DF16" i="49"/>
  <c r="DJ16" i="49" s="1"/>
  <c r="DE16" i="49"/>
  <c r="DI16" i="49" s="1"/>
  <c r="DD16" i="49"/>
  <c r="DC16" i="49"/>
  <c r="CZ16" i="49"/>
  <c r="CY16" i="49"/>
  <c r="CX16" i="49"/>
  <c r="DB16" i="49" s="1"/>
  <c r="DK16" i="49" s="1"/>
  <c r="CW16" i="49"/>
  <c r="DA16" i="49" s="1"/>
  <c r="BX16" i="49"/>
  <c r="FF16" i="49" s="1"/>
  <c r="BW16" i="49"/>
  <c r="FE16" i="49" s="1"/>
  <c r="BV16" i="49"/>
  <c r="FD16" i="49" s="1"/>
  <c r="BU16" i="49"/>
  <c r="FC16" i="49" s="1"/>
  <c r="BT16" i="49"/>
  <c r="FB16" i="49" s="1"/>
  <c r="BR16" i="49"/>
  <c r="EZ16" i="49" s="1"/>
  <c r="FN16" i="49" s="1"/>
  <c r="BQ16" i="49"/>
  <c r="BP16" i="49"/>
  <c r="EX16" i="49" s="1"/>
  <c r="BO16" i="49"/>
  <c r="EW16" i="49" s="1"/>
  <c r="BN16" i="49"/>
  <c r="EV16" i="49" s="1"/>
  <c r="AT16" i="49"/>
  <c r="AS16" i="49"/>
  <c r="AR16" i="49"/>
  <c r="AQ16" i="49"/>
  <c r="AP16" i="49"/>
  <c r="AN16" i="49"/>
  <c r="AM16" i="49"/>
  <c r="AL16" i="49"/>
  <c r="AK16" i="49"/>
  <c r="AJ16" i="49"/>
  <c r="EU24" i="49"/>
  <c r="EQ24" i="49"/>
  <c r="EP24" i="49"/>
  <c r="EO24" i="49"/>
  <c r="ES24" i="49" s="1"/>
  <c r="EN24" i="49"/>
  <c r="ER24" i="49" s="1"/>
  <c r="EM24" i="49"/>
  <c r="EL24" i="49"/>
  <c r="EI24" i="49"/>
  <c r="EH24" i="49"/>
  <c r="EG24" i="49"/>
  <c r="EK24" i="49" s="1"/>
  <c r="ET24" i="49" s="1"/>
  <c r="EF24" i="49"/>
  <c r="EJ24" i="49" s="1"/>
  <c r="DH24" i="49"/>
  <c r="DG24" i="49"/>
  <c r="DF24" i="49"/>
  <c r="DJ24" i="49" s="1"/>
  <c r="DE24" i="49"/>
  <c r="DI24" i="49" s="1"/>
  <c r="DD24" i="49"/>
  <c r="DC24" i="49"/>
  <c r="CZ24" i="49"/>
  <c r="CY24" i="49"/>
  <c r="CX24" i="49"/>
  <c r="DB24" i="49" s="1"/>
  <c r="DK24" i="49" s="1"/>
  <c r="CW24" i="49"/>
  <c r="DA24" i="49" s="1"/>
  <c r="BX24" i="49"/>
  <c r="FF24" i="49" s="1"/>
  <c r="BW24" i="49"/>
  <c r="FE24" i="49" s="1"/>
  <c r="BV24" i="49"/>
  <c r="FD24" i="49" s="1"/>
  <c r="BU24" i="49"/>
  <c r="BT24" i="49"/>
  <c r="FB24" i="49" s="1"/>
  <c r="BR24" i="49"/>
  <c r="EZ24" i="49" s="1"/>
  <c r="FN24" i="49" s="1"/>
  <c r="BQ24" i="49"/>
  <c r="EY24" i="49" s="1"/>
  <c r="BP24" i="49"/>
  <c r="EX24" i="49" s="1"/>
  <c r="BO24" i="49"/>
  <c r="BN24" i="49"/>
  <c r="EV24" i="49" s="1"/>
  <c r="FL24" i="49" s="1"/>
  <c r="AT24" i="49"/>
  <c r="AS24" i="49"/>
  <c r="AR24" i="49"/>
  <c r="AQ24" i="49"/>
  <c r="AP24" i="49"/>
  <c r="AN24" i="49"/>
  <c r="AM24" i="49"/>
  <c r="AL24" i="49"/>
  <c r="AK24" i="49"/>
  <c r="AJ24" i="49"/>
  <c r="EU18" i="49"/>
  <c r="EQ18" i="49"/>
  <c r="EP18" i="49"/>
  <c r="EO18" i="49"/>
  <c r="ES18" i="49" s="1"/>
  <c r="EN18" i="49"/>
  <c r="ER18" i="49" s="1"/>
  <c r="EM18" i="49"/>
  <c r="EL18" i="49"/>
  <c r="EI18" i="49"/>
  <c r="EH18" i="49"/>
  <c r="EG18" i="49"/>
  <c r="EK18" i="49" s="1"/>
  <c r="ET18" i="49" s="1"/>
  <c r="EF18" i="49"/>
  <c r="EJ18" i="49" s="1"/>
  <c r="DH18" i="49"/>
  <c r="DG18" i="49"/>
  <c r="DF18" i="49"/>
  <c r="DJ18" i="49" s="1"/>
  <c r="DE18" i="49"/>
  <c r="DI18" i="49" s="1"/>
  <c r="DD18" i="49"/>
  <c r="DC18" i="49"/>
  <c r="CZ18" i="49"/>
  <c r="CY18" i="49"/>
  <c r="CX18" i="49"/>
  <c r="DB18" i="49" s="1"/>
  <c r="DK18" i="49" s="1"/>
  <c r="CW18" i="49"/>
  <c r="DA18" i="49" s="1"/>
  <c r="BX18" i="49"/>
  <c r="FF18" i="49" s="1"/>
  <c r="BW18" i="49"/>
  <c r="FE18" i="49" s="1"/>
  <c r="BV18" i="49"/>
  <c r="FD18" i="49" s="1"/>
  <c r="FR18" i="49" s="1"/>
  <c r="BU18" i="49"/>
  <c r="BT18" i="49"/>
  <c r="FB18" i="49" s="1"/>
  <c r="BR18" i="49"/>
  <c r="EZ18" i="49" s="1"/>
  <c r="FN18" i="49" s="1"/>
  <c r="BQ18" i="49"/>
  <c r="EY18" i="49" s="1"/>
  <c r="BP18" i="49"/>
  <c r="EX18" i="49" s="1"/>
  <c r="BO18" i="49"/>
  <c r="BN18" i="49"/>
  <c r="EV18" i="49" s="1"/>
  <c r="AT18" i="49"/>
  <c r="AS18" i="49"/>
  <c r="AR18" i="49"/>
  <c r="AQ18" i="49"/>
  <c r="AP18" i="49"/>
  <c r="AN18" i="49"/>
  <c r="AM18" i="49"/>
  <c r="AL18" i="49"/>
  <c r="AK18" i="49"/>
  <c r="AJ18" i="49"/>
  <c r="EU14" i="49"/>
  <c r="EQ14" i="49"/>
  <c r="EP14" i="49"/>
  <c r="EO14" i="49"/>
  <c r="ES14" i="49" s="1"/>
  <c r="EN14" i="49"/>
  <c r="ER14" i="49" s="1"/>
  <c r="EM14" i="49"/>
  <c r="EL14" i="49"/>
  <c r="EI14" i="49"/>
  <c r="EH14" i="49"/>
  <c r="EG14" i="49"/>
  <c r="EF14" i="49"/>
  <c r="DH14" i="49"/>
  <c r="DG14" i="49"/>
  <c r="DF14" i="49"/>
  <c r="DJ14" i="49" s="1"/>
  <c r="DE14" i="49"/>
  <c r="DI14" i="49" s="1"/>
  <c r="DD14" i="49"/>
  <c r="DC14" i="49"/>
  <c r="CZ14" i="49"/>
  <c r="CY14" i="49"/>
  <c r="CX14" i="49"/>
  <c r="DB14" i="49" s="1"/>
  <c r="DK14" i="49" s="1"/>
  <c r="CW14" i="49"/>
  <c r="DA14" i="49" s="1"/>
  <c r="BX14" i="49"/>
  <c r="FF14" i="49" s="1"/>
  <c r="BW14" i="49"/>
  <c r="FE14" i="49" s="1"/>
  <c r="BV14" i="49"/>
  <c r="FD14" i="49" s="1"/>
  <c r="BU14" i="49"/>
  <c r="BT14" i="49"/>
  <c r="FB14" i="49" s="1"/>
  <c r="BR14" i="49"/>
  <c r="EZ14" i="49" s="1"/>
  <c r="FN14" i="49" s="1"/>
  <c r="BQ14" i="49"/>
  <c r="EY14" i="49" s="1"/>
  <c r="BP14" i="49"/>
  <c r="EX14" i="49" s="1"/>
  <c r="BO14" i="49"/>
  <c r="EW14" i="49" s="1"/>
  <c r="BN14" i="49"/>
  <c r="EV14" i="49" s="1"/>
  <c r="AT14" i="49"/>
  <c r="AS14" i="49"/>
  <c r="AR14" i="49"/>
  <c r="AQ14" i="49"/>
  <c r="AP14" i="49"/>
  <c r="AN14" i="49"/>
  <c r="AM14" i="49"/>
  <c r="AL14" i="49"/>
  <c r="AK14" i="49"/>
  <c r="AJ14" i="49"/>
  <c r="EU17" i="49"/>
  <c r="EQ17" i="49"/>
  <c r="EP17" i="49"/>
  <c r="EO17" i="49"/>
  <c r="ES17" i="49" s="1"/>
  <c r="EN17" i="49"/>
  <c r="ER17" i="49" s="1"/>
  <c r="EM17" i="49"/>
  <c r="EL17" i="49"/>
  <c r="EI17" i="49"/>
  <c r="EH17" i="49"/>
  <c r="EG17" i="49"/>
  <c r="EK17" i="49" s="1"/>
  <c r="ET17" i="49" s="1"/>
  <c r="EF17" i="49"/>
  <c r="EJ17" i="49" s="1"/>
  <c r="DH17" i="49"/>
  <c r="DG17" i="49"/>
  <c r="DF17" i="49"/>
  <c r="DJ17" i="49" s="1"/>
  <c r="DE17" i="49"/>
  <c r="DI17" i="49" s="1"/>
  <c r="DD17" i="49"/>
  <c r="DC17" i="49"/>
  <c r="CZ17" i="49"/>
  <c r="CY17" i="49"/>
  <c r="CX17" i="49"/>
  <c r="DB17" i="49" s="1"/>
  <c r="DK17" i="49" s="1"/>
  <c r="CW17" i="49"/>
  <c r="DA17" i="49" s="1"/>
  <c r="BX17" i="49"/>
  <c r="FF17" i="49" s="1"/>
  <c r="BW17" i="49"/>
  <c r="FE17" i="49" s="1"/>
  <c r="BV17" i="49"/>
  <c r="FD17" i="49" s="1"/>
  <c r="BU17" i="49"/>
  <c r="FC17" i="49" s="1"/>
  <c r="BT17" i="49"/>
  <c r="FB17" i="49" s="1"/>
  <c r="BR17" i="49"/>
  <c r="EZ17" i="49" s="1"/>
  <c r="FN17" i="49" s="1"/>
  <c r="BQ17" i="49"/>
  <c r="BP17" i="49"/>
  <c r="EX17" i="49" s="1"/>
  <c r="BO17" i="49"/>
  <c r="EW17" i="49" s="1"/>
  <c r="BN17" i="49"/>
  <c r="EV17" i="49" s="1"/>
  <c r="AT17" i="49"/>
  <c r="AS17" i="49"/>
  <c r="AR17" i="49"/>
  <c r="AQ17" i="49"/>
  <c r="AP17" i="49"/>
  <c r="AN17" i="49"/>
  <c r="AM17" i="49"/>
  <c r="AL17" i="49"/>
  <c r="AK17" i="49"/>
  <c r="AO17" i="49" s="1"/>
  <c r="AJ17" i="49"/>
  <c r="EU23" i="49"/>
  <c r="EQ23" i="49"/>
  <c r="EP23" i="49"/>
  <c r="EO23" i="49"/>
  <c r="ES23" i="49" s="1"/>
  <c r="EN23" i="49"/>
  <c r="ER23" i="49" s="1"/>
  <c r="EM23" i="49"/>
  <c r="EL23" i="49"/>
  <c r="EI23" i="49"/>
  <c r="EH23" i="49"/>
  <c r="EG23" i="49"/>
  <c r="EK23" i="49" s="1"/>
  <c r="ET23" i="49" s="1"/>
  <c r="EF23" i="49"/>
  <c r="EJ23" i="49" s="1"/>
  <c r="DH23" i="49"/>
  <c r="DG23" i="49"/>
  <c r="DF23" i="49"/>
  <c r="DJ23" i="49" s="1"/>
  <c r="DE23" i="49"/>
  <c r="DI23" i="49" s="1"/>
  <c r="DD23" i="49"/>
  <c r="DC23" i="49"/>
  <c r="CZ23" i="49"/>
  <c r="CY23" i="49"/>
  <c r="CX23" i="49"/>
  <c r="DB23" i="49" s="1"/>
  <c r="DK23" i="49" s="1"/>
  <c r="CW23" i="49"/>
  <c r="DA23" i="49" s="1"/>
  <c r="BX23" i="49"/>
  <c r="FF23" i="49" s="1"/>
  <c r="BW23" i="49"/>
  <c r="FE23" i="49" s="1"/>
  <c r="BV23" i="49"/>
  <c r="FD23" i="49" s="1"/>
  <c r="BU23" i="49"/>
  <c r="FC23" i="49" s="1"/>
  <c r="BT23" i="49"/>
  <c r="FB23" i="49" s="1"/>
  <c r="BR23" i="49"/>
  <c r="EZ23" i="49" s="1"/>
  <c r="FN23" i="49" s="1"/>
  <c r="BQ23" i="49"/>
  <c r="BP23" i="49"/>
  <c r="EX23" i="49" s="1"/>
  <c r="BO23" i="49"/>
  <c r="EW23" i="49" s="1"/>
  <c r="BN23" i="49"/>
  <c r="EV23" i="49" s="1"/>
  <c r="AT23" i="49"/>
  <c r="AS23" i="49"/>
  <c r="AR23" i="49"/>
  <c r="AQ23" i="49"/>
  <c r="AP23" i="49"/>
  <c r="AN23" i="49"/>
  <c r="AM23" i="49"/>
  <c r="AL23" i="49"/>
  <c r="AK23" i="49"/>
  <c r="AJ23" i="49"/>
  <c r="EU11" i="49"/>
  <c r="EQ11" i="49"/>
  <c r="EP11" i="49"/>
  <c r="EO11" i="49"/>
  <c r="ES11" i="49" s="1"/>
  <c r="EN11" i="49"/>
  <c r="ER11" i="49" s="1"/>
  <c r="EM11" i="49"/>
  <c r="EL11" i="49"/>
  <c r="EI11" i="49"/>
  <c r="EH11" i="49"/>
  <c r="EG11" i="49"/>
  <c r="EF11" i="49"/>
  <c r="DH11" i="49"/>
  <c r="DG11" i="49"/>
  <c r="DF11" i="49"/>
  <c r="DJ11" i="49" s="1"/>
  <c r="DE11" i="49"/>
  <c r="DI11" i="49" s="1"/>
  <c r="DD11" i="49"/>
  <c r="DC11" i="49"/>
  <c r="CZ11" i="49"/>
  <c r="CY11" i="49"/>
  <c r="CX11" i="49"/>
  <c r="DB11" i="49" s="1"/>
  <c r="DK11" i="49" s="1"/>
  <c r="CW11" i="49"/>
  <c r="DA11" i="49" s="1"/>
  <c r="BX11" i="49"/>
  <c r="FF11" i="49" s="1"/>
  <c r="BW11" i="49"/>
  <c r="FE11" i="49" s="1"/>
  <c r="BV11" i="49"/>
  <c r="FD11" i="49" s="1"/>
  <c r="FR14" i="49" s="1"/>
  <c r="BU11" i="49"/>
  <c r="FC11" i="49" s="1"/>
  <c r="BT11" i="49"/>
  <c r="FB11" i="49" s="1"/>
  <c r="BR11" i="49"/>
  <c r="EZ11" i="49" s="1"/>
  <c r="BQ11" i="49"/>
  <c r="EY11" i="49" s="1"/>
  <c r="BP11" i="49"/>
  <c r="EX11" i="49" s="1"/>
  <c r="BO11" i="49"/>
  <c r="BS11" i="49" s="1"/>
  <c r="BN11" i="49"/>
  <c r="EV11" i="49" s="1"/>
  <c r="FL11" i="49" s="1"/>
  <c r="AT11" i="49"/>
  <c r="AS11" i="49"/>
  <c r="AR11" i="49"/>
  <c r="AQ11" i="49"/>
  <c r="AP11" i="49"/>
  <c r="AN11" i="49"/>
  <c r="AM11" i="49"/>
  <c r="AL11" i="49"/>
  <c r="AK11" i="49"/>
  <c r="AJ11" i="49"/>
  <c r="EU20" i="49"/>
  <c r="EQ20" i="49"/>
  <c r="EP20" i="49"/>
  <c r="EO20" i="49"/>
  <c r="ES20" i="49" s="1"/>
  <c r="EN20" i="49"/>
  <c r="ER20" i="49" s="1"/>
  <c r="EM20" i="49"/>
  <c r="EL20" i="49"/>
  <c r="EI20" i="49"/>
  <c r="EH20" i="49"/>
  <c r="EG20" i="49"/>
  <c r="EK20" i="49" s="1"/>
  <c r="ET20" i="49" s="1"/>
  <c r="EF20" i="49"/>
  <c r="DH20" i="49"/>
  <c r="DG20" i="49"/>
  <c r="DF20" i="49"/>
  <c r="DJ20" i="49" s="1"/>
  <c r="DE20" i="49"/>
  <c r="DI20" i="49" s="1"/>
  <c r="DD20" i="49"/>
  <c r="DC20" i="49"/>
  <c r="CZ20" i="49"/>
  <c r="CY20" i="49"/>
  <c r="CX20" i="49"/>
  <c r="DB20" i="49" s="1"/>
  <c r="DK20" i="49" s="1"/>
  <c r="CW20" i="49"/>
  <c r="DA20" i="49" s="1"/>
  <c r="BX20" i="49"/>
  <c r="FF20" i="49" s="1"/>
  <c r="BW20" i="49"/>
  <c r="FE20" i="49" s="1"/>
  <c r="BV20" i="49"/>
  <c r="FD20" i="49" s="1"/>
  <c r="BU20" i="49"/>
  <c r="BT20" i="49"/>
  <c r="FB20" i="49" s="1"/>
  <c r="BR20" i="49"/>
  <c r="EZ20" i="49" s="1"/>
  <c r="FN20" i="49" s="1"/>
  <c r="BQ20" i="49"/>
  <c r="EY20" i="49" s="1"/>
  <c r="BP20" i="49"/>
  <c r="EX20" i="49" s="1"/>
  <c r="BO20" i="49"/>
  <c r="EW20" i="49" s="1"/>
  <c r="BN20" i="49"/>
  <c r="EV20" i="49" s="1"/>
  <c r="AT20" i="49"/>
  <c r="AS20" i="49"/>
  <c r="AR20" i="49"/>
  <c r="AQ20" i="49"/>
  <c r="AP20" i="49"/>
  <c r="AN20" i="49"/>
  <c r="AM20" i="49"/>
  <c r="AL20" i="49"/>
  <c r="AK20" i="49"/>
  <c r="AJ20" i="49"/>
  <c r="EU9" i="49"/>
  <c r="EQ9" i="49"/>
  <c r="EP9" i="49"/>
  <c r="EO9" i="49"/>
  <c r="ES9" i="49" s="1"/>
  <c r="EN9" i="49"/>
  <c r="EM9" i="49"/>
  <c r="EL9" i="49"/>
  <c r="EI9" i="49"/>
  <c r="EH9" i="49"/>
  <c r="EG9" i="49"/>
  <c r="EF9" i="49"/>
  <c r="DH9" i="49"/>
  <c r="DG9" i="49"/>
  <c r="DF9" i="49"/>
  <c r="DJ9" i="49" s="1"/>
  <c r="DE9" i="49"/>
  <c r="DI9" i="49" s="1"/>
  <c r="DD9" i="49"/>
  <c r="DC9" i="49"/>
  <c r="CZ9" i="49"/>
  <c r="CY9" i="49"/>
  <c r="CX9" i="49"/>
  <c r="DB9" i="49" s="1"/>
  <c r="DK9" i="49" s="1"/>
  <c r="CW9" i="49"/>
  <c r="DA9" i="49" s="1"/>
  <c r="BX9" i="49"/>
  <c r="FF9" i="49" s="1"/>
  <c r="BW9" i="49"/>
  <c r="FE9" i="49" s="1"/>
  <c r="BV9" i="49"/>
  <c r="FD9" i="49" s="1"/>
  <c r="BU9" i="49"/>
  <c r="BT9" i="49"/>
  <c r="FB9" i="49" s="1"/>
  <c r="BR9" i="49"/>
  <c r="EZ9" i="49" s="1"/>
  <c r="FN9" i="49" s="1"/>
  <c r="BQ9" i="49"/>
  <c r="BP9" i="49"/>
  <c r="EX9" i="49" s="1"/>
  <c r="BO9" i="49"/>
  <c r="EW9" i="49" s="1"/>
  <c r="BN9" i="49"/>
  <c r="EV9" i="49" s="1"/>
  <c r="FL9" i="49" s="1"/>
  <c r="AT9" i="49"/>
  <c r="AS9" i="49"/>
  <c r="AR9" i="49"/>
  <c r="AQ9" i="49"/>
  <c r="AP9" i="49"/>
  <c r="AN9" i="49"/>
  <c r="AM9" i="49"/>
  <c r="AL9" i="49"/>
  <c r="AK9" i="49"/>
  <c r="AJ9" i="49"/>
  <c r="EU12" i="49"/>
  <c r="EQ12" i="49"/>
  <c r="EP12" i="49"/>
  <c r="EO12" i="49"/>
  <c r="ES12" i="49" s="1"/>
  <c r="EN12" i="49"/>
  <c r="ER12" i="49" s="1"/>
  <c r="EM12" i="49"/>
  <c r="EL12" i="49"/>
  <c r="EI12" i="49"/>
  <c r="EH12" i="49"/>
  <c r="EG12" i="49"/>
  <c r="EK12" i="49" s="1"/>
  <c r="ET12" i="49" s="1"/>
  <c r="EF12" i="49"/>
  <c r="EJ12" i="49" s="1"/>
  <c r="DJ12" i="49"/>
  <c r="DH12" i="49"/>
  <c r="DG12" i="49"/>
  <c r="DF12" i="49"/>
  <c r="DE12" i="49"/>
  <c r="DI12" i="49" s="1"/>
  <c r="DD12" i="49"/>
  <c r="DC12" i="49"/>
  <c r="CZ12" i="49"/>
  <c r="CY12" i="49"/>
  <c r="CX12" i="49"/>
  <c r="DB12" i="49" s="1"/>
  <c r="DK12" i="49" s="1"/>
  <c r="CW12" i="49"/>
  <c r="DA12" i="49" s="1"/>
  <c r="BX12" i="49"/>
  <c r="FF12" i="49" s="1"/>
  <c r="BW12" i="49"/>
  <c r="BV12" i="49"/>
  <c r="FD12" i="49" s="1"/>
  <c r="BU12" i="49"/>
  <c r="FC12" i="49" s="1"/>
  <c r="BT12" i="49"/>
  <c r="FB12" i="49" s="1"/>
  <c r="BR12" i="49"/>
  <c r="EZ12" i="49" s="1"/>
  <c r="FN12" i="49" s="1"/>
  <c r="BQ12" i="49"/>
  <c r="EY12" i="49" s="1"/>
  <c r="BP12" i="49"/>
  <c r="EX12" i="49" s="1"/>
  <c r="BO12" i="49"/>
  <c r="EW12" i="49" s="1"/>
  <c r="BN12" i="49"/>
  <c r="EV12" i="49" s="1"/>
  <c r="FL12" i="49" s="1"/>
  <c r="AT12" i="49"/>
  <c r="AS12" i="49"/>
  <c r="AR12" i="49"/>
  <c r="AQ12" i="49"/>
  <c r="AP12" i="49"/>
  <c r="AN12" i="49"/>
  <c r="AM12" i="49"/>
  <c r="AL12" i="49"/>
  <c r="AK12" i="49"/>
  <c r="AJ12" i="49"/>
  <c r="EU8" i="49"/>
  <c r="EQ8" i="49"/>
  <c r="EP8" i="49"/>
  <c r="EO8" i="49"/>
  <c r="ES8" i="49" s="1"/>
  <c r="EN8" i="49"/>
  <c r="ER8" i="49" s="1"/>
  <c r="EM8" i="49"/>
  <c r="EL8" i="49"/>
  <c r="EI8" i="49"/>
  <c r="EH8" i="49"/>
  <c r="EG8" i="49"/>
  <c r="EF8" i="49"/>
  <c r="DH8" i="49"/>
  <c r="DG8" i="49"/>
  <c r="DF8" i="49"/>
  <c r="DJ8" i="49" s="1"/>
  <c r="DE8" i="49"/>
  <c r="DI8" i="49" s="1"/>
  <c r="DD8" i="49"/>
  <c r="DC8" i="49"/>
  <c r="CZ8" i="49"/>
  <c r="CY8" i="49"/>
  <c r="CX8" i="49"/>
  <c r="DB8" i="49" s="1"/>
  <c r="DK8" i="49" s="1"/>
  <c r="CW8" i="49"/>
  <c r="DA8" i="49" s="1"/>
  <c r="BX8" i="49"/>
  <c r="FF8" i="49" s="1"/>
  <c r="BW8" i="49"/>
  <c r="FE8" i="49" s="1"/>
  <c r="BV8" i="49"/>
  <c r="FD8" i="49" s="1"/>
  <c r="BU8" i="49"/>
  <c r="BT8" i="49"/>
  <c r="FB8" i="49" s="1"/>
  <c r="BR8" i="49"/>
  <c r="EZ8" i="49" s="1"/>
  <c r="FN8" i="49" s="1"/>
  <c r="BQ8" i="49"/>
  <c r="EY8" i="49" s="1"/>
  <c r="BP8" i="49"/>
  <c r="EX8" i="49" s="1"/>
  <c r="BO8" i="49"/>
  <c r="EW8" i="49" s="1"/>
  <c r="BN8" i="49"/>
  <c r="EV8" i="49" s="1"/>
  <c r="AT8" i="49"/>
  <c r="AS8" i="49"/>
  <c r="AR8" i="49"/>
  <c r="AQ8" i="49"/>
  <c r="AP8" i="49"/>
  <c r="AN8" i="49"/>
  <c r="AM8" i="49"/>
  <c r="AL8" i="49"/>
  <c r="AK8" i="49"/>
  <c r="AJ8" i="49"/>
  <c r="EU6" i="49"/>
  <c r="EQ6" i="49"/>
  <c r="EP6" i="49"/>
  <c r="EO6" i="49"/>
  <c r="ES6" i="49" s="1"/>
  <c r="EN6" i="49"/>
  <c r="ER6" i="49" s="1"/>
  <c r="EM6" i="49"/>
  <c r="EL6" i="49"/>
  <c r="EI6" i="49"/>
  <c r="EH6" i="49"/>
  <c r="EG6" i="49"/>
  <c r="EF6" i="49"/>
  <c r="EJ6" i="49" s="1"/>
  <c r="DH6" i="49"/>
  <c r="DG6" i="49"/>
  <c r="DF6" i="49"/>
  <c r="DJ6" i="49" s="1"/>
  <c r="DE6" i="49"/>
  <c r="DI6" i="49" s="1"/>
  <c r="DD6" i="49"/>
  <c r="DC6" i="49"/>
  <c r="CZ6" i="49"/>
  <c r="CY6" i="49"/>
  <c r="CX6" i="49"/>
  <c r="DB6" i="49" s="1"/>
  <c r="DK6" i="49" s="1"/>
  <c r="CW6" i="49"/>
  <c r="DA6" i="49" s="1"/>
  <c r="BX6" i="49"/>
  <c r="FF6" i="49" s="1"/>
  <c r="BW6" i="49"/>
  <c r="FE6" i="49" s="1"/>
  <c r="BV6" i="49"/>
  <c r="FD6" i="49" s="1"/>
  <c r="BU6" i="49"/>
  <c r="FC6" i="49" s="1"/>
  <c r="BT6" i="49"/>
  <c r="FB6" i="49" s="1"/>
  <c r="BR6" i="49"/>
  <c r="EZ6" i="49" s="1"/>
  <c r="FN6" i="49" s="1"/>
  <c r="BQ6" i="49"/>
  <c r="EY6" i="49" s="1"/>
  <c r="BP6" i="49"/>
  <c r="EX6" i="49" s="1"/>
  <c r="BO6" i="49"/>
  <c r="BN6" i="49"/>
  <c r="EV6" i="49" s="1"/>
  <c r="FL6" i="49" s="1"/>
  <c r="AT6" i="49"/>
  <c r="AS6" i="49"/>
  <c r="AR6" i="49"/>
  <c r="AQ6" i="49"/>
  <c r="AP6" i="49"/>
  <c r="AN6" i="49"/>
  <c r="AM6" i="49"/>
  <c r="AL6" i="49"/>
  <c r="AK6" i="49"/>
  <c r="AJ6" i="49"/>
  <c r="EU13" i="49"/>
  <c r="EQ13" i="49"/>
  <c r="EP13" i="49"/>
  <c r="EO13" i="49"/>
  <c r="EN13" i="49"/>
  <c r="ER13" i="49" s="1"/>
  <c r="EM13" i="49"/>
  <c r="EL13" i="49"/>
  <c r="EI13" i="49"/>
  <c r="EH13" i="49"/>
  <c r="EG13" i="49"/>
  <c r="EF13" i="49"/>
  <c r="DH13" i="49"/>
  <c r="DG13" i="49"/>
  <c r="DF13" i="49"/>
  <c r="DJ13" i="49" s="1"/>
  <c r="DE13" i="49"/>
  <c r="DI13" i="49" s="1"/>
  <c r="DD13" i="49"/>
  <c r="DC13" i="49"/>
  <c r="CZ13" i="49"/>
  <c r="CY13" i="49"/>
  <c r="CX13" i="49"/>
  <c r="DB13" i="49" s="1"/>
  <c r="DK13" i="49" s="1"/>
  <c r="CW13" i="49"/>
  <c r="DA13" i="49" s="1"/>
  <c r="BX13" i="49"/>
  <c r="FF13" i="49" s="1"/>
  <c r="BW13" i="49"/>
  <c r="FE13" i="49" s="1"/>
  <c r="BV13" i="49"/>
  <c r="FD13" i="49" s="1"/>
  <c r="BU13" i="49"/>
  <c r="BT13" i="49"/>
  <c r="FB13" i="49" s="1"/>
  <c r="BR13" i="49"/>
  <c r="EZ13" i="49" s="1"/>
  <c r="FN13" i="49" s="1"/>
  <c r="BQ13" i="49"/>
  <c r="EY13" i="49" s="1"/>
  <c r="BP13" i="49"/>
  <c r="EX13" i="49" s="1"/>
  <c r="BO13" i="49"/>
  <c r="BN13" i="49"/>
  <c r="EV13" i="49" s="1"/>
  <c r="AT13" i="49"/>
  <c r="AS13" i="49"/>
  <c r="AR13" i="49"/>
  <c r="AQ13" i="49"/>
  <c r="AP13" i="49"/>
  <c r="AN13" i="49"/>
  <c r="AM13" i="49"/>
  <c r="AL13" i="49"/>
  <c r="AK13" i="49"/>
  <c r="AJ13" i="49"/>
  <c r="EU7" i="49"/>
  <c r="EQ7" i="49"/>
  <c r="EP7" i="49"/>
  <c r="EO7" i="49"/>
  <c r="ES7" i="49" s="1"/>
  <c r="EN7" i="49"/>
  <c r="ER7" i="49" s="1"/>
  <c r="EM7" i="49"/>
  <c r="EL7" i="49"/>
  <c r="EI7" i="49"/>
  <c r="EH7" i="49"/>
  <c r="EG7" i="49"/>
  <c r="EK7" i="49" s="1"/>
  <c r="ET7" i="49" s="1"/>
  <c r="EF7" i="49"/>
  <c r="EJ7" i="49" s="1"/>
  <c r="DH7" i="49"/>
  <c r="DG7" i="49"/>
  <c r="DF7" i="49"/>
  <c r="DJ7" i="49" s="1"/>
  <c r="DE7" i="49"/>
  <c r="DI7" i="49" s="1"/>
  <c r="DD7" i="49"/>
  <c r="DC7" i="49"/>
  <c r="CZ7" i="49"/>
  <c r="CY7" i="49"/>
  <c r="CX7" i="49"/>
  <c r="DB7" i="49" s="1"/>
  <c r="CW7" i="49"/>
  <c r="BX7" i="49"/>
  <c r="FF7" i="49" s="1"/>
  <c r="BW7" i="49"/>
  <c r="FE7" i="49" s="1"/>
  <c r="BV7" i="49"/>
  <c r="FD7" i="49" s="1"/>
  <c r="BU7" i="49"/>
  <c r="FC7" i="49" s="1"/>
  <c r="BT7" i="49"/>
  <c r="FB7" i="49" s="1"/>
  <c r="BR7" i="49"/>
  <c r="EZ7" i="49" s="1"/>
  <c r="FN7" i="49" s="1"/>
  <c r="BQ7" i="49"/>
  <c r="BP7" i="49"/>
  <c r="EX7" i="49" s="1"/>
  <c r="BO7" i="49"/>
  <c r="EW7" i="49" s="1"/>
  <c r="BN7" i="49"/>
  <c r="EV7" i="49" s="1"/>
  <c r="FL7" i="49" s="1"/>
  <c r="AT7" i="49"/>
  <c r="AS7" i="49"/>
  <c r="AR7" i="49"/>
  <c r="AQ7" i="49"/>
  <c r="AP7" i="49"/>
  <c r="AN7" i="49"/>
  <c r="AM7" i="49"/>
  <c r="AL7" i="49"/>
  <c r="AK7" i="49"/>
  <c r="AJ7" i="49"/>
  <c r="EU10" i="49"/>
  <c r="EQ10" i="49"/>
  <c r="EP10" i="49"/>
  <c r="EO10" i="49"/>
  <c r="ES10" i="49" s="1"/>
  <c r="EN10" i="49"/>
  <c r="ER10" i="49" s="1"/>
  <c r="EM10" i="49"/>
  <c r="EL10" i="49"/>
  <c r="EI10" i="49"/>
  <c r="EH10" i="49"/>
  <c r="EG10" i="49"/>
  <c r="EF10" i="49"/>
  <c r="DH10" i="49"/>
  <c r="DG10" i="49"/>
  <c r="DF10" i="49"/>
  <c r="DJ10" i="49" s="1"/>
  <c r="DE10" i="49"/>
  <c r="DI10" i="49" s="1"/>
  <c r="DD10" i="49"/>
  <c r="DC10" i="49"/>
  <c r="CZ10" i="49"/>
  <c r="CY10" i="49"/>
  <c r="CX10" i="49"/>
  <c r="CW10" i="49"/>
  <c r="BX10" i="49"/>
  <c r="FF10" i="49" s="1"/>
  <c r="BW10" i="49"/>
  <c r="FE10" i="49" s="1"/>
  <c r="BV10" i="49"/>
  <c r="FD10" i="49" s="1"/>
  <c r="BU10" i="49"/>
  <c r="BT10" i="49"/>
  <c r="FB10" i="49" s="1"/>
  <c r="BR10" i="49"/>
  <c r="EZ10" i="49" s="1"/>
  <c r="BQ10" i="49"/>
  <c r="EY10" i="49" s="1"/>
  <c r="BP10" i="49"/>
  <c r="EX10" i="49" s="1"/>
  <c r="BO10" i="49"/>
  <c r="BN10" i="49"/>
  <c r="EV10" i="49" s="1"/>
  <c r="FL10" i="49" s="1"/>
  <c r="AT10" i="49"/>
  <c r="AS10" i="49"/>
  <c r="AR10" i="49"/>
  <c r="AQ10" i="49"/>
  <c r="AP10" i="49"/>
  <c r="AN10" i="49"/>
  <c r="AM10" i="49"/>
  <c r="AL10" i="49"/>
  <c r="AK10" i="49"/>
  <c r="AJ10" i="49"/>
  <c r="FE5" i="49"/>
  <c r="EU5" i="49"/>
  <c r="EQ5" i="49"/>
  <c r="EP5" i="49"/>
  <c r="EO5" i="49"/>
  <c r="ES5" i="49" s="1"/>
  <c r="EN5" i="49"/>
  <c r="ER5" i="49" s="1"/>
  <c r="EM5" i="49"/>
  <c r="EL5" i="49"/>
  <c r="EI5" i="49"/>
  <c r="EH5" i="49"/>
  <c r="EG5" i="49"/>
  <c r="EK5" i="49" s="1"/>
  <c r="ET5" i="49" s="1"/>
  <c r="EF5" i="49"/>
  <c r="EJ5" i="49" s="1"/>
  <c r="DH5" i="49"/>
  <c r="DG5" i="49"/>
  <c r="DF5" i="49"/>
  <c r="DJ5" i="49" s="1"/>
  <c r="DE5" i="49"/>
  <c r="DI5" i="49" s="1"/>
  <c r="DD5" i="49"/>
  <c r="DC5" i="49"/>
  <c r="CZ5" i="49"/>
  <c r="CY5" i="49"/>
  <c r="CX5" i="49"/>
  <c r="DB5" i="49" s="1"/>
  <c r="CW5" i="49"/>
  <c r="BX5" i="49"/>
  <c r="FF5" i="49" s="1"/>
  <c r="BW5" i="49"/>
  <c r="BV5" i="49"/>
  <c r="FD5" i="49" s="1"/>
  <c r="BU5" i="49"/>
  <c r="FC5" i="49" s="1"/>
  <c r="BT5" i="49"/>
  <c r="FB5" i="49" s="1"/>
  <c r="BR5" i="49"/>
  <c r="EZ5" i="49" s="1"/>
  <c r="BQ5" i="49"/>
  <c r="EY5" i="49" s="1"/>
  <c r="BP5" i="49"/>
  <c r="EX5" i="49" s="1"/>
  <c r="BO5" i="49"/>
  <c r="BN5" i="49"/>
  <c r="EV5" i="49" s="1"/>
  <c r="AT5" i="49"/>
  <c r="AS5" i="49"/>
  <c r="AR5" i="49"/>
  <c r="AQ5" i="49"/>
  <c r="AP5" i="49"/>
  <c r="AN5" i="49"/>
  <c r="AM5" i="49"/>
  <c r="AL5" i="49"/>
  <c r="AK5" i="49"/>
  <c r="AJ5" i="49"/>
  <c r="EU4" i="49"/>
  <c r="EQ4" i="49"/>
  <c r="EP4" i="49"/>
  <c r="EO4" i="49"/>
  <c r="ES4" i="49" s="1"/>
  <c r="EN4" i="49"/>
  <c r="ER4" i="49" s="1"/>
  <c r="EM4" i="49"/>
  <c r="EL4" i="49"/>
  <c r="EI4" i="49"/>
  <c r="EH4" i="49"/>
  <c r="EG4" i="49"/>
  <c r="EK4" i="49" s="1"/>
  <c r="ET4" i="49" s="1"/>
  <c r="EF4" i="49"/>
  <c r="EJ4" i="49" s="1"/>
  <c r="DH4" i="49"/>
  <c r="DG4" i="49"/>
  <c r="DF4" i="49"/>
  <c r="DJ4" i="49" s="1"/>
  <c r="DE4" i="49"/>
  <c r="DI4" i="49" s="1"/>
  <c r="DD4" i="49"/>
  <c r="DC4" i="49"/>
  <c r="CZ4" i="49"/>
  <c r="CY4" i="49"/>
  <c r="CX4" i="49"/>
  <c r="CW4" i="49"/>
  <c r="DA4" i="49" s="1"/>
  <c r="BX4" i="49"/>
  <c r="FF4" i="49" s="1"/>
  <c r="BW4" i="49"/>
  <c r="FE4" i="49" s="1"/>
  <c r="BV4" i="49"/>
  <c r="FD4" i="49" s="1"/>
  <c r="FR4" i="49" s="1"/>
  <c r="BU4" i="49"/>
  <c r="FC4" i="49" s="1"/>
  <c r="BT4" i="49"/>
  <c r="FB4" i="49" s="1"/>
  <c r="BR4" i="49"/>
  <c r="EZ4" i="49" s="1"/>
  <c r="FN4" i="49" s="1"/>
  <c r="BQ4" i="49"/>
  <c r="EY4" i="49" s="1"/>
  <c r="BP4" i="49"/>
  <c r="EX4" i="49" s="1"/>
  <c r="BO4" i="49"/>
  <c r="EW4" i="49" s="1"/>
  <c r="BN4" i="49"/>
  <c r="EV4" i="49" s="1"/>
  <c r="FL4" i="49" s="1"/>
  <c r="AT4" i="49"/>
  <c r="AS4" i="49"/>
  <c r="AR4" i="49"/>
  <c r="AQ4" i="49"/>
  <c r="AP4" i="49"/>
  <c r="AN4" i="49"/>
  <c r="AM4" i="49"/>
  <c r="AL4" i="49"/>
  <c r="AK4" i="49"/>
  <c r="AJ4" i="49"/>
  <c r="EU25" i="48"/>
  <c r="EQ25" i="48"/>
  <c r="EP25" i="48"/>
  <c r="EO25" i="48"/>
  <c r="ES25" i="48" s="1"/>
  <c r="EN25" i="48"/>
  <c r="ER25" i="48" s="1"/>
  <c r="EM25" i="48"/>
  <c r="EL25" i="48"/>
  <c r="EI25" i="48"/>
  <c r="EH25" i="48"/>
  <c r="EG25" i="48"/>
  <c r="EK25" i="48" s="1"/>
  <c r="ET25" i="48" s="1"/>
  <c r="EF25" i="48"/>
  <c r="EJ25" i="48" s="1"/>
  <c r="DH25" i="48"/>
  <c r="DG25" i="48"/>
  <c r="DF25" i="48"/>
  <c r="DJ25" i="48" s="1"/>
  <c r="DE25" i="48"/>
  <c r="DI25" i="48" s="1"/>
  <c r="DD25" i="48"/>
  <c r="DC25" i="48"/>
  <c r="CZ25" i="48"/>
  <c r="CY25" i="48"/>
  <c r="CX25" i="48"/>
  <c r="DB25" i="48" s="1"/>
  <c r="DK25" i="48" s="1"/>
  <c r="CW25" i="48"/>
  <c r="DA25" i="48" s="1"/>
  <c r="BX25" i="48"/>
  <c r="FF25" i="48" s="1"/>
  <c r="BW25" i="48"/>
  <c r="FE25" i="48" s="1"/>
  <c r="BV25" i="48"/>
  <c r="FD25" i="48" s="1"/>
  <c r="BU25" i="48"/>
  <c r="BT25" i="48"/>
  <c r="FB25" i="48" s="1"/>
  <c r="BR25" i="48"/>
  <c r="EZ25" i="48" s="1"/>
  <c r="BQ25" i="48"/>
  <c r="EY25" i="48" s="1"/>
  <c r="BP25" i="48"/>
  <c r="EX25" i="48" s="1"/>
  <c r="BO25" i="48"/>
  <c r="BN25" i="48"/>
  <c r="EV25" i="48" s="1"/>
  <c r="FL25" i="48" s="1"/>
  <c r="AT25" i="48"/>
  <c r="AS25" i="48"/>
  <c r="AR25" i="48"/>
  <c r="AQ25" i="48"/>
  <c r="AP25" i="48"/>
  <c r="AN25" i="48"/>
  <c r="AM25" i="48"/>
  <c r="AL25" i="48"/>
  <c r="AK25" i="48"/>
  <c r="AJ25" i="48"/>
  <c r="EW23" i="48"/>
  <c r="EU23" i="48"/>
  <c r="EQ23" i="48"/>
  <c r="EP23" i="48"/>
  <c r="EO23" i="48"/>
  <c r="ES23" i="48" s="1"/>
  <c r="EN23" i="48"/>
  <c r="ER23" i="48" s="1"/>
  <c r="EM23" i="48"/>
  <c r="EL23" i="48"/>
  <c r="EI23" i="48"/>
  <c r="EH23" i="48"/>
  <c r="EG23" i="48"/>
  <c r="EK23" i="48" s="1"/>
  <c r="ET23" i="48" s="1"/>
  <c r="EF23" i="48"/>
  <c r="EJ23" i="48" s="1"/>
  <c r="DH23" i="48"/>
  <c r="DG23" i="48"/>
  <c r="DF23" i="48"/>
  <c r="DJ23" i="48" s="1"/>
  <c r="DE23" i="48"/>
  <c r="DI23" i="48" s="1"/>
  <c r="DD23" i="48"/>
  <c r="DC23" i="48"/>
  <c r="CZ23" i="48"/>
  <c r="CY23" i="48"/>
  <c r="CX23" i="48"/>
  <c r="DB23" i="48" s="1"/>
  <c r="DK23" i="48" s="1"/>
  <c r="CW23" i="48"/>
  <c r="DA23" i="48" s="1"/>
  <c r="BX23" i="48"/>
  <c r="FF23" i="48" s="1"/>
  <c r="BW23" i="48"/>
  <c r="FE23" i="48" s="1"/>
  <c r="BV23" i="48"/>
  <c r="FD23" i="48" s="1"/>
  <c r="BU23" i="48"/>
  <c r="FC23" i="48" s="1"/>
  <c r="BT23" i="48"/>
  <c r="FB23" i="48" s="1"/>
  <c r="BR23" i="48"/>
  <c r="EZ23" i="48" s="1"/>
  <c r="FN23" i="48" s="1"/>
  <c r="BQ23" i="48"/>
  <c r="EY23" i="48" s="1"/>
  <c r="BP23" i="48"/>
  <c r="EX23" i="48" s="1"/>
  <c r="BO23" i="48"/>
  <c r="BN23" i="48"/>
  <c r="EV23" i="48" s="1"/>
  <c r="AT23" i="48"/>
  <c r="AS23" i="48"/>
  <c r="AR23" i="48"/>
  <c r="AQ23" i="48"/>
  <c r="AP23" i="48"/>
  <c r="AN23" i="48"/>
  <c r="AM23" i="48"/>
  <c r="AL23" i="48"/>
  <c r="AK23" i="48"/>
  <c r="AJ23" i="48"/>
  <c r="EU20" i="48"/>
  <c r="EQ20" i="48"/>
  <c r="EP20" i="48"/>
  <c r="EO20" i="48"/>
  <c r="ES20" i="48" s="1"/>
  <c r="EN20" i="48"/>
  <c r="ER20" i="48" s="1"/>
  <c r="EM20" i="48"/>
  <c r="EL20" i="48"/>
  <c r="EI20" i="48"/>
  <c r="EH20" i="48"/>
  <c r="EG20" i="48"/>
  <c r="EK20" i="48" s="1"/>
  <c r="ET20" i="48" s="1"/>
  <c r="EF20" i="48"/>
  <c r="EJ20" i="48" s="1"/>
  <c r="DH20" i="48"/>
  <c r="DG20" i="48"/>
  <c r="DF20" i="48"/>
  <c r="DJ20" i="48" s="1"/>
  <c r="DE20" i="48"/>
  <c r="DI20" i="48" s="1"/>
  <c r="DD20" i="48"/>
  <c r="DC20" i="48"/>
  <c r="CZ20" i="48"/>
  <c r="CY20" i="48"/>
  <c r="CX20" i="48"/>
  <c r="DB20" i="48" s="1"/>
  <c r="DK20" i="48" s="1"/>
  <c r="CW20" i="48"/>
  <c r="DA20" i="48" s="1"/>
  <c r="BX20" i="48"/>
  <c r="FF20" i="48" s="1"/>
  <c r="BW20" i="48"/>
  <c r="FE20" i="48" s="1"/>
  <c r="BV20" i="48"/>
  <c r="FD20" i="48" s="1"/>
  <c r="BU20" i="48"/>
  <c r="FC20" i="48" s="1"/>
  <c r="BT20" i="48"/>
  <c r="FB20" i="48" s="1"/>
  <c r="BR20" i="48"/>
  <c r="EZ20" i="48" s="1"/>
  <c r="FN20" i="48" s="1"/>
  <c r="BQ20" i="48"/>
  <c r="BP20" i="48"/>
  <c r="EX20" i="48" s="1"/>
  <c r="BO20" i="48"/>
  <c r="EW20" i="48" s="1"/>
  <c r="BN20" i="48"/>
  <c r="EV20" i="48" s="1"/>
  <c r="FL20" i="48" s="1"/>
  <c r="AT20" i="48"/>
  <c r="AS20" i="48"/>
  <c r="AR20" i="48"/>
  <c r="AQ20" i="48"/>
  <c r="AP20" i="48"/>
  <c r="AN20" i="48"/>
  <c r="AM20" i="48"/>
  <c r="AL20" i="48"/>
  <c r="AK20" i="48"/>
  <c r="AJ20" i="48"/>
  <c r="EU24" i="48"/>
  <c r="EQ24" i="48"/>
  <c r="EP24" i="48"/>
  <c r="EO24" i="48"/>
  <c r="ES24" i="48" s="1"/>
  <c r="EN24" i="48"/>
  <c r="ER24" i="48" s="1"/>
  <c r="EM24" i="48"/>
  <c r="EL24" i="48"/>
  <c r="EI24" i="48"/>
  <c r="EH24" i="48"/>
  <c r="EG24" i="48"/>
  <c r="EK24" i="48" s="1"/>
  <c r="ET24" i="48" s="1"/>
  <c r="EF24" i="48"/>
  <c r="EJ24" i="48" s="1"/>
  <c r="DH24" i="48"/>
  <c r="DG24" i="48"/>
  <c r="DF24" i="48"/>
  <c r="DJ24" i="48" s="1"/>
  <c r="DE24" i="48"/>
  <c r="DI24" i="48" s="1"/>
  <c r="DD24" i="48"/>
  <c r="DC24" i="48"/>
  <c r="CZ24" i="48"/>
  <c r="CY24" i="48"/>
  <c r="CX24" i="48"/>
  <c r="DB24" i="48" s="1"/>
  <c r="DK24" i="48" s="1"/>
  <c r="CW24" i="48"/>
  <c r="DA24" i="48" s="1"/>
  <c r="BX24" i="48"/>
  <c r="FF24" i="48" s="1"/>
  <c r="BW24" i="48"/>
  <c r="FE24" i="48" s="1"/>
  <c r="BV24" i="48"/>
  <c r="FD24" i="48" s="1"/>
  <c r="BU24" i="48"/>
  <c r="BT24" i="48"/>
  <c r="FB24" i="48" s="1"/>
  <c r="BR24" i="48"/>
  <c r="EZ24" i="48" s="1"/>
  <c r="BQ24" i="48"/>
  <c r="EY24" i="48" s="1"/>
  <c r="BP24" i="48"/>
  <c r="EX24" i="48" s="1"/>
  <c r="BO24" i="48"/>
  <c r="BN24" i="48"/>
  <c r="EV24" i="48" s="1"/>
  <c r="FL24" i="48" s="1"/>
  <c r="AT24" i="48"/>
  <c r="AS24" i="48"/>
  <c r="AR24" i="48"/>
  <c r="AQ24" i="48"/>
  <c r="AP24" i="48"/>
  <c r="AN24" i="48"/>
  <c r="AM24" i="48"/>
  <c r="AL24" i="48"/>
  <c r="AK24" i="48"/>
  <c r="AJ24" i="48"/>
  <c r="EU22" i="48"/>
  <c r="EQ22" i="48"/>
  <c r="EP22" i="48"/>
  <c r="EO22" i="48"/>
  <c r="ES22" i="48" s="1"/>
  <c r="EN22" i="48"/>
  <c r="ER22" i="48" s="1"/>
  <c r="EM22" i="48"/>
  <c r="EL22" i="48"/>
  <c r="EI22" i="48"/>
  <c r="EH22" i="48"/>
  <c r="EG22" i="48"/>
  <c r="EK22" i="48" s="1"/>
  <c r="ET22" i="48" s="1"/>
  <c r="EF22" i="48"/>
  <c r="EJ22" i="48" s="1"/>
  <c r="DH22" i="48"/>
  <c r="DG22" i="48"/>
  <c r="DF22" i="48"/>
  <c r="DJ22" i="48" s="1"/>
  <c r="DE22" i="48"/>
  <c r="DI22" i="48" s="1"/>
  <c r="DD22" i="48"/>
  <c r="DC22" i="48"/>
  <c r="CZ22" i="48"/>
  <c r="CY22" i="48"/>
  <c r="CX22" i="48"/>
  <c r="DB22" i="48" s="1"/>
  <c r="DK22" i="48" s="1"/>
  <c r="CW22" i="48"/>
  <c r="DA22" i="48" s="1"/>
  <c r="BX22" i="48"/>
  <c r="FF22" i="48" s="1"/>
  <c r="BW22" i="48"/>
  <c r="FE22" i="48" s="1"/>
  <c r="BV22" i="48"/>
  <c r="FD22" i="48" s="1"/>
  <c r="BU22" i="48"/>
  <c r="BT22" i="48"/>
  <c r="FB22" i="48" s="1"/>
  <c r="BR22" i="48"/>
  <c r="EZ22" i="48" s="1"/>
  <c r="FN22" i="48" s="1"/>
  <c r="BQ22" i="48"/>
  <c r="EY22" i="48" s="1"/>
  <c r="BP22" i="48"/>
  <c r="EX22" i="48" s="1"/>
  <c r="BO22" i="48"/>
  <c r="BN22" i="48"/>
  <c r="EV22" i="48" s="1"/>
  <c r="AT22" i="48"/>
  <c r="AS22" i="48"/>
  <c r="AR22" i="48"/>
  <c r="AQ22" i="48"/>
  <c r="AP22" i="48"/>
  <c r="AN22" i="48"/>
  <c r="AM22" i="48"/>
  <c r="AL22" i="48"/>
  <c r="AK22" i="48"/>
  <c r="AJ22" i="48"/>
  <c r="EU21" i="48"/>
  <c r="EQ21" i="48"/>
  <c r="EP21" i="48"/>
  <c r="EO21" i="48"/>
  <c r="ES21" i="48" s="1"/>
  <c r="EN21" i="48"/>
  <c r="ER21" i="48" s="1"/>
  <c r="EM21" i="48"/>
  <c r="EL21" i="48"/>
  <c r="EI21" i="48"/>
  <c r="EH21" i="48"/>
  <c r="EG21" i="48"/>
  <c r="EK21" i="48" s="1"/>
  <c r="ET21" i="48" s="1"/>
  <c r="EF21" i="48"/>
  <c r="EJ21" i="48" s="1"/>
  <c r="DH21" i="48"/>
  <c r="DG21" i="48"/>
  <c r="DF21" i="48"/>
  <c r="DJ21" i="48" s="1"/>
  <c r="DE21" i="48"/>
  <c r="DI21" i="48" s="1"/>
  <c r="DD21" i="48"/>
  <c r="DC21" i="48"/>
  <c r="CZ21" i="48"/>
  <c r="CY21" i="48"/>
  <c r="CX21" i="48"/>
  <c r="DB21" i="48" s="1"/>
  <c r="DK21" i="48" s="1"/>
  <c r="CW21" i="48"/>
  <c r="DA21" i="48" s="1"/>
  <c r="BX21" i="48"/>
  <c r="FF21" i="48" s="1"/>
  <c r="BW21" i="48"/>
  <c r="FE21" i="48" s="1"/>
  <c r="BV21" i="48"/>
  <c r="FD21" i="48" s="1"/>
  <c r="FR20" i="48" s="1"/>
  <c r="BU21" i="48"/>
  <c r="BT21" i="48"/>
  <c r="FB21" i="48" s="1"/>
  <c r="BR21" i="48"/>
  <c r="EZ21" i="48" s="1"/>
  <c r="FN21" i="48" s="1"/>
  <c r="BQ21" i="48"/>
  <c r="BP21" i="48"/>
  <c r="EX21" i="48" s="1"/>
  <c r="BO21" i="48"/>
  <c r="EW21" i="48" s="1"/>
  <c r="BN21" i="48"/>
  <c r="EV21" i="48" s="1"/>
  <c r="AT21" i="48"/>
  <c r="AS21" i="48"/>
  <c r="AR21" i="48"/>
  <c r="AQ21" i="48"/>
  <c r="AP21" i="48"/>
  <c r="AN21" i="48"/>
  <c r="AM21" i="48"/>
  <c r="AL21" i="48"/>
  <c r="AK21" i="48"/>
  <c r="AJ21" i="48"/>
  <c r="EU17" i="48"/>
  <c r="EQ17" i="48"/>
  <c r="EP17" i="48"/>
  <c r="EO17" i="48"/>
  <c r="ES17" i="48" s="1"/>
  <c r="EN17" i="48"/>
  <c r="ER17" i="48" s="1"/>
  <c r="EM17" i="48"/>
  <c r="EL17" i="48"/>
  <c r="EI17" i="48"/>
  <c r="EH17" i="48"/>
  <c r="EG17" i="48"/>
  <c r="EK17" i="48" s="1"/>
  <c r="ET17" i="48" s="1"/>
  <c r="EF17" i="48"/>
  <c r="EJ17" i="48" s="1"/>
  <c r="DH17" i="48"/>
  <c r="DG17" i="48"/>
  <c r="DF17" i="48"/>
  <c r="DJ17" i="48" s="1"/>
  <c r="DE17" i="48"/>
  <c r="DI17" i="48" s="1"/>
  <c r="DD17" i="48"/>
  <c r="DC17" i="48"/>
  <c r="CZ17" i="48"/>
  <c r="CY17" i="48"/>
  <c r="CX17" i="48"/>
  <c r="DB17" i="48" s="1"/>
  <c r="DK17" i="48" s="1"/>
  <c r="CW17" i="48"/>
  <c r="DA17" i="48" s="1"/>
  <c r="BX17" i="48"/>
  <c r="FF17" i="48" s="1"/>
  <c r="BW17" i="48"/>
  <c r="FE17" i="48" s="1"/>
  <c r="BV17" i="48"/>
  <c r="FD17" i="48" s="1"/>
  <c r="BU17" i="48"/>
  <c r="FC17" i="48" s="1"/>
  <c r="BT17" i="48"/>
  <c r="FB17" i="48" s="1"/>
  <c r="BR17" i="48"/>
  <c r="EZ17" i="48" s="1"/>
  <c r="FN17" i="48" s="1"/>
  <c r="BQ17" i="48"/>
  <c r="EY17" i="48" s="1"/>
  <c r="BP17" i="48"/>
  <c r="EX17" i="48" s="1"/>
  <c r="BO17" i="48"/>
  <c r="EW17" i="48" s="1"/>
  <c r="BN17" i="48"/>
  <c r="EV17" i="48" s="1"/>
  <c r="AT17" i="48"/>
  <c r="AS17" i="48"/>
  <c r="AR17" i="48"/>
  <c r="AQ17" i="48"/>
  <c r="AP17" i="48"/>
  <c r="AN17" i="48"/>
  <c r="AM17" i="48"/>
  <c r="AL17" i="48"/>
  <c r="AK17" i="48"/>
  <c r="AJ17" i="48"/>
  <c r="EU16" i="48"/>
  <c r="EQ16" i="48"/>
  <c r="EP16" i="48"/>
  <c r="EO16" i="48"/>
  <c r="ES16" i="48" s="1"/>
  <c r="EN16" i="48"/>
  <c r="ER16" i="48" s="1"/>
  <c r="EM16" i="48"/>
  <c r="EL16" i="48"/>
  <c r="EI16" i="48"/>
  <c r="EH16" i="48"/>
  <c r="EG16" i="48"/>
  <c r="EF16" i="48"/>
  <c r="DH16" i="48"/>
  <c r="DG16" i="48"/>
  <c r="DF16" i="48"/>
  <c r="DJ16" i="48" s="1"/>
  <c r="DE16" i="48"/>
  <c r="DI16" i="48" s="1"/>
  <c r="DD16" i="48"/>
  <c r="DC16" i="48"/>
  <c r="CZ16" i="48"/>
  <c r="CY16" i="48"/>
  <c r="CX16" i="48"/>
  <c r="DB16" i="48" s="1"/>
  <c r="DK16" i="48" s="1"/>
  <c r="CW16" i="48"/>
  <c r="DA16" i="48" s="1"/>
  <c r="BX16" i="48"/>
  <c r="FF16" i="48" s="1"/>
  <c r="BW16" i="48"/>
  <c r="FE16" i="48" s="1"/>
  <c r="BV16" i="48"/>
  <c r="FD16" i="48" s="1"/>
  <c r="BU16" i="48"/>
  <c r="BT16" i="48"/>
  <c r="FB16" i="48" s="1"/>
  <c r="BR16" i="48"/>
  <c r="EZ16" i="48" s="1"/>
  <c r="FN16" i="48" s="1"/>
  <c r="BQ16" i="48"/>
  <c r="EY16" i="48" s="1"/>
  <c r="BP16" i="48"/>
  <c r="EX16" i="48" s="1"/>
  <c r="BO16" i="48"/>
  <c r="EW16" i="48" s="1"/>
  <c r="BN16" i="48"/>
  <c r="EV16" i="48" s="1"/>
  <c r="AT16" i="48"/>
  <c r="AS16" i="48"/>
  <c r="AR16" i="48"/>
  <c r="AQ16" i="48"/>
  <c r="AP16" i="48"/>
  <c r="AN16" i="48"/>
  <c r="AM16" i="48"/>
  <c r="AL16" i="48"/>
  <c r="AK16" i="48"/>
  <c r="AJ16" i="48"/>
  <c r="EU12" i="48"/>
  <c r="EQ12" i="48"/>
  <c r="EP12" i="48"/>
  <c r="EO12" i="48"/>
  <c r="ES12" i="48" s="1"/>
  <c r="EN12" i="48"/>
  <c r="ER12" i="48" s="1"/>
  <c r="EM12" i="48"/>
  <c r="EL12" i="48"/>
  <c r="EI12" i="48"/>
  <c r="EH12" i="48"/>
  <c r="EG12" i="48"/>
  <c r="EK12" i="48" s="1"/>
  <c r="ET12" i="48" s="1"/>
  <c r="EF12" i="48"/>
  <c r="EJ12" i="48" s="1"/>
  <c r="DH12" i="48"/>
  <c r="DG12" i="48"/>
  <c r="DF12" i="48"/>
  <c r="DJ12" i="48" s="1"/>
  <c r="DE12" i="48"/>
  <c r="DI12" i="48" s="1"/>
  <c r="DD12" i="48"/>
  <c r="DC12" i="48"/>
  <c r="CZ12" i="48"/>
  <c r="CY12" i="48"/>
  <c r="CX12" i="48"/>
  <c r="DB12" i="48" s="1"/>
  <c r="DK12" i="48" s="1"/>
  <c r="CW12" i="48"/>
  <c r="DA12" i="48" s="1"/>
  <c r="BX12" i="48"/>
  <c r="FF12" i="48" s="1"/>
  <c r="BW12" i="48"/>
  <c r="FE12" i="48" s="1"/>
  <c r="BV12" i="48"/>
  <c r="FD12" i="48" s="1"/>
  <c r="BU12" i="48"/>
  <c r="BT12" i="48"/>
  <c r="FB12" i="48" s="1"/>
  <c r="BR12" i="48"/>
  <c r="EZ12" i="48" s="1"/>
  <c r="FN12" i="48" s="1"/>
  <c r="BQ12" i="48"/>
  <c r="EY12" i="48" s="1"/>
  <c r="BP12" i="48"/>
  <c r="EX12" i="48" s="1"/>
  <c r="BO12" i="48"/>
  <c r="EW12" i="48" s="1"/>
  <c r="BN12" i="48"/>
  <c r="EV12" i="48" s="1"/>
  <c r="AT12" i="48"/>
  <c r="AS12" i="48"/>
  <c r="AR12" i="48"/>
  <c r="AQ12" i="48"/>
  <c r="AP12" i="48"/>
  <c r="AN12" i="48"/>
  <c r="AM12" i="48"/>
  <c r="AL12" i="48"/>
  <c r="AK12" i="48"/>
  <c r="AJ12" i="48"/>
  <c r="EU18" i="48"/>
  <c r="EQ18" i="48"/>
  <c r="EP18" i="48"/>
  <c r="EO18" i="48"/>
  <c r="ES18" i="48" s="1"/>
  <c r="EN18" i="48"/>
  <c r="ER18" i="48" s="1"/>
  <c r="EM18" i="48"/>
  <c r="EL18" i="48"/>
  <c r="EI18" i="48"/>
  <c r="EH18" i="48"/>
  <c r="EG18" i="48"/>
  <c r="EF18" i="48"/>
  <c r="DH18" i="48"/>
  <c r="DG18" i="48"/>
  <c r="DF18" i="48"/>
  <c r="DJ18" i="48" s="1"/>
  <c r="DE18" i="48"/>
  <c r="DI18" i="48" s="1"/>
  <c r="DD18" i="48"/>
  <c r="DC18" i="48"/>
  <c r="CZ18" i="48"/>
  <c r="CY18" i="48"/>
  <c r="CX18" i="48"/>
  <c r="DB18" i="48" s="1"/>
  <c r="DK18" i="48" s="1"/>
  <c r="CW18" i="48"/>
  <c r="DA18" i="48" s="1"/>
  <c r="BX18" i="48"/>
  <c r="FF18" i="48" s="1"/>
  <c r="BW18" i="48"/>
  <c r="FE18" i="48" s="1"/>
  <c r="BV18" i="48"/>
  <c r="FD18" i="48" s="1"/>
  <c r="BU18" i="48"/>
  <c r="FC18" i="48" s="1"/>
  <c r="BT18" i="48"/>
  <c r="FB18" i="48" s="1"/>
  <c r="BR18" i="48"/>
  <c r="EZ18" i="48" s="1"/>
  <c r="FN18" i="48" s="1"/>
  <c r="BQ18" i="48"/>
  <c r="EY18" i="48" s="1"/>
  <c r="BP18" i="48"/>
  <c r="EX18" i="48" s="1"/>
  <c r="BO18" i="48"/>
  <c r="EW18" i="48" s="1"/>
  <c r="BN18" i="48"/>
  <c r="EV18" i="48" s="1"/>
  <c r="AT18" i="48"/>
  <c r="AS18" i="48"/>
  <c r="AR18" i="48"/>
  <c r="AQ18" i="48"/>
  <c r="AP18" i="48"/>
  <c r="AN18" i="48"/>
  <c r="AM18" i="48"/>
  <c r="AL18" i="48"/>
  <c r="AK18" i="48"/>
  <c r="AJ18" i="48"/>
  <c r="EU13" i="48"/>
  <c r="EQ13" i="48"/>
  <c r="EP13" i="48"/>
  <c r="EO13" i="48"/>
  <c r="EN13" i="48"/>
  <c r="ER13" i="48" s="1"/>
  <c r="EM13" i="48"/>
  <c r="EL13" i="48"/>
  <c r="EI13" i="48"/>
  <c r="EH13" i="48"/>
  <c r="EG13" i="48"/>
  <c r="EF13" i="48"/>
  <c r="DH13" i="48"/>
  <c r="DG13" i="48"/>
  <c r="DF13" i="48"/>
  <c r="DJ13" i="48" s="1"/>
  <c r="DE13" i="48"/>
  <c r="DI13" i="48" s="1"/>
  <c r="DD13" i="48"/>
  <c r="DC13" i="48"/>
  <c r="CZ13" i="48"/>
  <c r="CY13" i="48"/>
  <c r="CX13" i="48"/>
  <c r="DB13" i="48" s="1"/>
  <c r="DK13" i="48" s="1"/>
  <c r="CW13" i="48"/>
  <c r="DA13" i="48" s="1"/>
  <c r="BX13" i="48"/>
  <c r="FF13" i="48" s="1"/>
  <c r="BW13" i="48"/>
  <c r="FE13" i="48" s="1"/>
  <c r="BV13" i="48"/>
  <c r="FD13" i="48" s="1"/>
  <c r="BU13" i="48"/>
  <c r="FC13" i="48" s="1"/>
  <c r="BT13" i="48"/>
  <c r="FB13" i="48" s="1"/>
  <c r="BR13" i="48"/>
  <c r="EZ13" i="48" s="1"/>
  <c r="FN13" i="48" s="1"/>
  <c r="BQ13" i="48"/>
  <c r="EY13" i="48" s="1"/>
  <c r="BP13" i="48"/>
  <c r="EX13" i="48" s="1"/>
  <c r="BO13" i="48"/>
  <c r="EW13" i="48" s="1"/>
  <c r="BN13" i="48"/>
  <c r="EV13" i="48" s="1"/>
  <c r="AT13" i="48"/>
  <c r="AS13" i="48"/>
  <c r="AR13" i="48"/>
  <c r="AQ13" i="48"/>
  <c r="AP13" i="48"/>
  <c r="AN13" i="48"/>
  <c r="AM13" i="48"/>
  <c r="AL13" i="48"/>
  <c r="AK13" i="48"/>
  <c r="AJ13" i="48"/>
  <c r="EU15" i="48"/>
  <c r="EQ15" i="48"/>
  <c r="EP15" i="48"/>
  <c r="EO15" i="48"/>
  <c r="ES15" i="48" s="1"/>
  <c r="EN15" i="48"/>
  <c r="ER15" i="48" s="1"/>
  <c r="EM15" i="48"/>
  <c r="EL15" i="48"/>
  <c r="EI15" i="48"/>
  <c r="EH15" i="48"/>
  <c r="EG15" i="48"/>
  <c r="EK15" i="48" s="1"/>
  <c r="ET15" i="48" s="1"/>
  <c r="EF15" i="48"/>
  <c r="EJ15" i="48" s="1"/>
  <c r="DH15" i="48"/>
  <c r="DG15" i="48"/>
  <c r="DF15" i="48"/>
  <c r="DJ15" i="48" s="1"/>
  <c r="DE15" i="48"/>
  <c r="DI15" i="48" s="1"/>
  <c r="DD15" i="48"/>
  <c r="DC15" i="48"/>
  <c r="CZ15" i="48"/>
  <c r="CY15" i="48"/>
  <c r="CX15" i="48"/>
  <c r="DB15" i="48" s="1"/>
  <c r="DK15" i="48" s="1"/>
  <c r="CW15" i="48"/>
  <c r="DA15" i="48" s="1"/>
  <c r="BX15" i="48"/>
  <c r="FF15" i="48" s="1"/>
  <c r="BW15" i="48"/>
  <c r="BV15" i="48"/>
  <c r="FD15" i="48" s="1"/>
  <c r="BU15" i="48"/>
  <c r="FC15" i="48" s="1"/>
  <c r="BT15" i="48"/>
  <c r="FB15" i="48" s="1"/>
  <c r="BR15" i="48"/>
  <c r="EZ15" i="48" s="1"/>
  <c r="FN15" i="48" s="1"/>
  <c r="BQ15" i="48"/>
  <c r="BP15" i="48"/>
  <c r="EX15" i="48" s="1"/>
  <c r="BO15" i="48"/>
  <c r="EW15" i="48" s="1"/>
  <c r="BN15" i="48"/>
  <c r="EV15" i="48" s="1"/>
  <c r="AT15" i="48"/>
  <c r="AS15" i="48"/>
  <c r="AR15" i="48"/>
  <c r="AQ15" i="48"/>
  <c r="AP15" i="48"/>
  <c r="AN15" i="48"/>
  <c r="AM15" i="48"/>
  <c r="AL15" i="48"/>
  <c r="AK15" i="48"/>
  <c r="AJ15" i="48"/>
  <c r="EU14" i="48"/>
  <c r="EQ14" i="48"/>
  <c r="EP14" i="48"/>
  <c r="EO14" i="48"/>
  <c r="ES14" i="48" s="1"/>
  <c r="EN14" i="48"/>
  <c r="ER14" i="48" s="1"/>
  <c r="EM14" i="48"/>
  <c r="EL14" i="48"/>
  <c r="EI14" i="48"/>
  <c r="EH14" i="48"/>
  <c r="EG14" i="48"/>
  <c r="EK14" i="48" s="1"/>
  <c r="ET14" i="48" s="1"/>
  <c r="EF14" i="48"/>
  <c r="EJ14" i="48" s="1"/>
  <c r="DH14" i="48"/>
  <c r="DG14" i="48"/>
  <c r="DF14" i="48"/>
  <c r="DJ14" i="48" s="1"/>
  <c r="DE14" i="48"/>
  <c r="DI14" i="48" s="1"/>
  <c r="DD14" i="48"/>
  <c r="DC14" i="48"/>
  <c r="CZ14" i="48"/>
  <c r="CY14" i="48"/>
  <c r="CX14" i="48"/>
  <c r="DB14" i="48" s="1"/>
  <c r="DK14" i="48" s="1"/>
  <c r="CW14" i="48"/>
  <c r="DA14" i="48" s="1"/>
  <c r="BX14" i="48"/>
  <c r="FF14" i="48" s="1"/>
  <c r="BW14" i="48"/>
  <c r="FE14" i="48" s="1"/>
  <c r="BV14" i="48"/>
  <c r="FD14" i="48" s="1"/>
  <c r="BU14" i="48"/>
  <c r="FC14" i="48" s="1"/>
  <c r="BT14" i="48"/>
  <c r="FB14" i="48" s="1"/>
  <c r="BR14" i="48"/>
  <c r="EZ14" i="48" s="1"/>
  <c r="FN14" i="48" s="1"/>
  <c r="BQ14" i="48"/>
  <c r="EY14" i="48" s="1"/>
  <c r="BP14" i="48"/>
  <c r="EX14" i="48" s="1"/>
  <c r="BO14" i="48"/>
  <c r="BN14" i="48"/>
  <c r="EV14" i="48" s="1"/>
  <c r="FL14" i="48" s="1"/>
  <c r="AT14" i="48"/>
  <c r="AS14" i="48"/>
  <c r="AR14" i="48"/>
  <c r="AQ14" i="48"/>
  <c r="AP14" i="48"/>
  <c r="AN14" i="48"/>
  <c r="AM14" i="48"/>
  <c r="AL14" i="48"/>
  <c r="AK14" i="48"/>
  <c r="AJ14" i="48"/>
  <c r="EU19" i="48"/>
  <c r="EQ19" i="48"/>
  <c r="EP19" i="48"/>
  <c r="EO19" i="48"/>
  <c r="ES19" i="48" s="1"/>
  <c r="EN19" i="48"/>
  <c r="ER19" i="48" s="1"/>
  <c r="EM19" i="48"/>
  <c r="EL19" i="48"/>
  <c r="EI19" i="48"/>
  <c r="EH19" i="48"/>
  <c r="EG19" i="48"/>
  <c r="EK19" i="48" s="1"/>
  <c r="ET19" i="48" s="1"/>
  <c r="EF19" i="48"/>
  <c r="EJ19" i="48" s="1"/>
  <c r="DH19" i="48"/>
  <c r="DG19" i="48"/>
  <c r="DF19" i="48"/>
  <c r="DJ19" i="48" s="1"/>
  <c r="DE19" i="48"/>
  <c r="DI19" i="48" s="1"/>
  <c r="DD19" i="48"/>
  <c r="DC19" i="48"/>
  <c r="CZ19" i="48"/>
  <c r="CY19" i="48"/>
  <c r="CX19" i="48"/>
  <c r="DB19" i="48" s="1"/>
  <c r="DK19" i="48" s="1"/>
  <c r="CW19" i="48"/>
  <c r="DA19" i="48" s="1"/>
  <c r="BX19" i="48"/>
  <c r="FF19" i="48" s="1"/>
  <c r="BW19" i="48"/>
  <c r="FE19" i="48" s="1"/>
  <c r="BV19" i="48"/>
  <c r="FD19" i="48" s="1"/>
  <c r="BU19" i="48"/>
  <c r="BT19" i="48"/>
  <c r="FB19" i="48" s="1"/>
  <c r="BR19" i="48"/>
  <c r="EZ19" i="48" s="1"/>
  <c r="FN19" i="48" s="1"/>
  <c r="BQ19" i="48"/>
  <c r="EY19" i="48" s="1"/>
  <c r="BP19" i="48"/>
  <c r="EX19" i="48" s="1"/>
  <c r="BO19" i="48"/>
  <c r="EW19" i="48" s="1"/>
  <c r="BN19" i="48"/>
  <c r="EV19" i="48" s="1"/>
  <c r="AT19" i="48"/>
  <c r="AS19" i="48"/>
  <c r="AR19" i="48"/>
  <c r="AQ19" i="48"/>
  <c r="AP19" i="48"/>
  <c r="AN19" i="48"/>
  <c r="AM19" i="48"/>
  <c r="AL19" i="48"/>
  <c r="AK19" i="48"/>
  <c r="AJ19" i="48"/>
  <c r="EU10" i="48"/>
  <c r="EQ10" i="48"/>
  <c r="EP10" i="48"/>
  <c r="EO10" i="48"/>
  <c r="ES10" i="48" s="1"/>
  <c r="EN10" i="48"/>
  <c r="ER10" i="48" s="1"/>
  <c r="EM10" i="48"/>
  <c r="EL10" i="48"/>
  <c r="EI10" i="48"/>
  <c r="EH10" i="48"/>
  <c r="EG10" i="48"/>
  <c r="EK10" i="48" s="1"/>
  <c r="ET10" i="48" s="1"/>
  <c r="EF10" i="48"/>
  <c r="EJ10" i="48" s="1"/>
  <c r="DH10" i="48"/>
  <c r="DG10" i="48"/>
  <c r="DF10" i="48"/>
  <c r="DJ10" i="48" s="1"/>
  <c r="DE10" i="48"/>
  <c r="DI10" i="48" s="1"/>
  <c r="DD10" i="48"/>
  <c r="DC10" i="48"/>
  <c r="CZ10" i="48"/>
  <c r="CY10" i="48"/>
  <c r="CX10" i="48"/>
  <c r="DB10" i="48" s="1"/>
  <c r="DK10" i="48" s="1"/>
  <c r="CW10" i="48"/>
  <c r="DA10" i="48" s="1"/>
  <c r="BX10" i="48"/>
  <c r="FF10" i="48" s="1"/>
  <c r="BW10" i="48"/>
  <c r="FE10" i="48" s="1"/>
  <c r="BV10" i="48"/>
  <c r="FD10" i="48" s="1"/>
  <c r="BU10" i="48"/>
  <c r="BT10" i="48"/>
  <c r="FB10" i="48" s="1"/>
  <c r="BR10" i="48"/>
  <c r="EZ10" i="48" s="1"/>
  <c r="FN10" i="48" s="1"/>
  <c r="BQ10" i="48"/>
  <c r="EY10" i="48" s="1"/>
  <c r="BP10" i="48"/>
  <c r="EX10" i="48" s="1"/>
  <c r="BO10" i="48"/>
  <c r="BN10" i="48"/>
  <c r="EV10" i="48" s="1"/>
  <c r="FL10" i="48" s="1"/>
  <c r="AT10" i="48"/>
  <c r="AS10" i="48"/>
  <c r="AR10" i="48"/>
  <c r="AQ10" i="48"/>
  <c r="AP10" i="48"/>
  <c r="AN10" i="48"/>
  <c r="AM10" i="48"/>
  <c r="AL10" i="48"/>
  <c r="AK10" i="48"/>
  <c r="AJ10" i="48"/>
  <c r="EU11" i="48"/>
  <c r="EQ11" i="48"/>
  <c r="EP11" i="48"/>
  <c r="EO11" i="48"/>
  <c r="ES11" i="48" s="1"/>
  <c r="EN11" i="48"/>
  <c r="ER11" i="48" s="1"/>
  <c r="EM11" i="48"/>
  <c r="EL11" i="48"/>
  <c r="EI11" i="48"/>
  <c r="EH11" i="48"/>
  <c r="EG11" i="48"/>
  <c r="EK11" i="48" s="1"/>
  <c r="ET11" i="48" s="1"/>
  <c r="EF11" i="48"/>
  <c r="EJ11" i="48" s="1"/>
  <c r="DH11" i="48"/>
  <c r="DG11" i="48"/>
  <c r="DF11" i="48"/>
  <c r="DJ11" i="48" s="1"/>
  <c r="DE11" i="48"/>
  <c r="DI11" i="48" s="1"/>
  <c r="DD11" i="48"/>
  <c r="DC11" i="48"/>
  <c r="CZ11" i="48"/>
  <c r="CY11" i="48"/>
  <c r="CX11" i="48"/>
  <c r="DB11" i="48" s="1"/>
  <c r="DK11" i="48" s="1"/>
  <c r="CW11" i="48"/>
  <c r="DA11" i="48" s="1"/>
  <c r="BX11" i="48"/>
  <c r="FF11" i="48" s="1"/>
  <c r="BW11" i="48"/>
  <c r="FE11" i="48" s="1"/>
  <c r="BV11" i="48"/>
  <c r="FD11" i="48" s="1"/>
  <c r="BU11" i="48"/>
  <c r="BT11" i="48"/>
  <c r="FB11" i="48" s="1"/>
  <c r="BR11" i="48"/>
  <c r="EZ11" i="48" s="1"/>
  <c r="BQ11" i="48"/>
  <c r="EY11" i="48" s="1"/>
  <c r="BP11" i="48"/>
  <c r="EX11" i="48" s="1"/>
  <c r="BO11" i="48"/>
  <c r="EW11" i="48" s="1"/>
  <c r="BN11" i="48"/>
  <c r="EV11" i="48" s="1"/>
  <c r="FL11" i="48" s="1"/>
  <c r="AT11" i="48"/>
  <c r="AS11" i="48"/>
  <c r="AR11" i="48"/>
  <c r="AQ11" i="48"/>
  <c r="AP11" i="48"/>
  <c r="AN11" i="48"/>
  <c r="AM11" i="48"/>
  <c r="AL11" i="48"/>
  <c r="AK11" i="48"/>
  <c r="AJ11" i="48"/>
  <c r="EU9" i="48"/>
  <c r="EQ9" i="48"/>
  <c r="EP9" i="48"/>
  <c r="EO9" i="48"/>
  <c r="ES9" i="48" s="1"/>
  <c r="EN9" i="48"/>
  <c r="ER9" i="48" s="1"/>
  <c r="EM9" i="48"/>
  <c r="EL9" i="48"/>
  <c r="EI9" i="48"/>
  <c r="EH9" i="48"/>
  <c r="EG9" i="48"/>
  <c r="EF9" i="48"/>
  <c r="EJ9" i="48" s="1"/>
  <c r="DH9" i="48"/>
  <c r="DG9" i="48"/>
  <c r="DF9" i="48"/>
  <c r="DJ9" i="48" s="1"/>
  <c r="DE9" i="48"/>
  <c r="DI9" i="48" s="1"/>
  <c r="DD9" i="48"/>
  <c r="DC9" i="48"/>
  <c r="CZ9" i="48"/>
  <c r="CY9" i="48"/>
  <c r="CX9" i="48"/>
  <c r="DB9" i="48" s="1"/>
  <c r="DK9" i="48" s="1"/>
  <c r="CW9" i="48"/>
  <c r="DA9" i="48" s="1"/>
  <c r="BX9" i="48"/>
  <c r="FF9" i="48" s="1"/>
  <c r="BW9" i="48"/>
  <c r="FE9" i="48" s="1"/>
  <c r="BV9" i="48"/>
  <c r="FD9" i="48" s="1"/>
  <c r="BU9" i="48"/>
  <c r="BT9" i="48"/>
  <c r="FB9" i="48" s="1"/>
  <c r="BR9" i="48"/>
  <c r="EZ9" i="48" s="1"/>
  <c r="BQ9" i="48"/>
  <c r="EY9" i="48" s="1"/>
  <c r="BP9" i="48"/>
  <c r="EX9" i="48" s="1"/>
  <c r="BO9" i="48"/>
  <c r="EW9" i="48" s="1"/>
  <c r="BN9" i="48"/>
  <c r="EV9" i="48" s="1"/>
  <c r="FL9" i="48" s="1"/>
  <c r="AT9" i="48"/>
  <c r="AS9" i="48"/>
  <c r="AR9" i="48"/>
  <c r="AQ9" i="48"/>
  <c r="AP9" i="48"/>
  <c r="AN9" i="48"/>
  <c r="AM9" i="48"/>
  <c r="AL9" i="48"/>
  <c r="AK9" i="48"/>
  <c r="AJ9" i="48"/>
  <c r="EU8" i="48"/>
  <c r="EQ8" i="48"/>
  <c r="EP8" i="48"/>
  <c r="EO8" i="48"/>
  <c r="ES8" i="48" s="1"/>
  <c r="EN8" i="48"/>
  <c r="ER8" i="48" s="1"/>
  <c r="EM8" i="48"/>
  <c r="EL8" i="48"/>
  <c r="EI8" i="48"/>
  <c r="EH8" i="48"/>
  <c r="EG8" i="48"/>
  <c r="EK8" i="48" s="1"/>
  <c r="ET8" i="48" s="1"/>
  <c r="EF8" i="48"/>
  <c r="EJ8" i="48" s="1"/>
  <c r="DH8" i="48"/>
  <c r="DG8" i="48"/>
  <c r="DF8" i="48"/>
  <c r="DJ8" i="48" s="1"/>
  <c r="DE8" i="48"/>
  <c r="DI8" i="48" s="1"/>
  <c r="DD8" i="48"/>
  <c r="DC8" i="48"/>
  <c r="CZ8" i="48"/>
  <c r="CY8" i="48"/>
  <c r="CX8" i="48"/>
  <c r="DB8" i="48" s="1"/>
  <c r="DK8" i="48" s="1"/>
  <c r="CW8" i="48"/>
  <c r="DA8" i="48" s="1"/>
  <c r="BX8" i="48"/>
  <c r="FF8" i="48" s="1"/>
  <c r="BW8" i="48"/>
  <c r="FE8" i="48" s="1"/>
  <c r="BV8" i="48"/>
  <c r="FD8" i="48" s="1"/>
  <c r="BU8" i="48"/>
  <c r="BT8" i="48"/>
  <c r="FB8" i="48" s="1"/>
  <c r="BR8" i="48"/>
  <c r="EZ8" i="48" s="1"/>
  <c r="FN8" i="48" s="1"/>
  <c r="BQ8" i="48"/>
  <c r="EY8" i="48" s="1"/>
  <c r="BP8" i="48"/>
  <c r="EX8" i="48" s="1"/>
  <c r="BO8" i="48"/>
  <c r="BN8" i="48"/>
  <c r="EV8" i="48" s="1"/>
  <c r="FL8" i="48" s="1"/>
  <c r="AT8" i="48"/>
  <c r="AS8" i="48"/>
  <c r="AR8" i="48"/>
  <c r="AQ8" i="48"/>
  <c r="AP8" i="48"/>
  <c r="AN8" i="48"/>
  <c r="AM8" i="48"/>
  <c r="AL8" i="48"/>
  <c r="AK8" i="48"/>
  <c r="AO8" i="48" s="1"/>
  <c r="AJ8" i="48"/>
  <c r="EU5" i="48"/>
  <c r="EQ5" i="48"/>
  <c r="EP5" i="48"/>
  <c r="EO5" i="48"/>
  <c r="ES5" i="48" s="1"/>
  <c r="EN5" i="48"/>
  <c r="ER5" i="48" s="1"/>
  <c r="EM5" i="48"/>
  <c r="EL5" i="48"/>
  <c r="EI5" i="48"/>
  <c r="EH5" i="48"/>
  <c r="EG5" i="48"/>
  <c r="EK5" i="48" s="1"/>
  <c r="ET5" i="48" s="1"/>
  <c r="EF5" i="48"/>
  <c r="EJ5" i="48" s="1"/>
  <c r="DH5" i="48"/>
  <c r="DG5" i="48"/>
  <c r="DF5" i="48"/>
  <c r="DJ5" i="48" s="1"/>
  <c r="DE5" i="48"/>
  <c r="DI5" i="48" s="1"/>
  <c r="DD5" i="48"/>
  <c r="DC5" i="48"/>
  <c r="CZ5" i="48"/>
  <c r="CY5" i="48"/>
  <c r="CX5" i="48"/>
  <c r="CW5" i="48"/>
  <c r="BX5" i="48"/>
  <c r="FF5" i="48" s="1"/>
  <c r="BW5" i="48"/>
  <c r="BV5" i="48"/>
  <c r="FD5" i="48" s="1"/>
  <c r="BU5" i="48"/>
  <c r="FC5" i="48" s="1"/>
  <c r="BT5" i="48"/>
  <c r="FB5" i="48" s="1"/>
  <c r="BR5" i="48"/>
  <c r="EZ5" i="48" s="1"/>
  <c r="FN5" i="48" s="1"/>
  <c r="BQ5" i="48"/>
  <c r="EY5" i="48" s="1"/>
  <c r="BP5" i="48"/>
  <c r="EX5" i="48" s="1"/>
  <c r="BO5" i="48"/>
  <c r="BN5" i="48"/>
  <c r="EV5" i="48" s="1"/>
  <c r="FL5" i="48" s="1"/>
  <c r="AT5" i="48"/>
  <c r="AS5" i="48"/>
  <c r="AR5" i="48"/>
  <c r="AQ5" i="48"/>
  <c r="AP5" i="48"/>
  <c r="AN5" i="48"/>
  <c r="AM5" i="48"/>
  <c r="AL5" i="48"/>
  <c r="AK5" i="48"/>
  <c r="AJ5" i="48"/>
  <c r="EU6" i="48"/>
  <c r="EQ6" i="48"/>
  <c r="EP6" i="48"/>
  <c r="EO6" i="48"/>
  <c r="ES6" i="48" s="1"/>
  <c r="EN6" i="48"/>
  <c r="ER6" i="48" s="1"/>
  <c r="EM6" i="48"/>
  <c r="EL6" i="48"/>
  <c r="EI6" i="48"/>
  <c r="EH6" i="48"/>
  <c r="EG6" i="48"/>
  <c r="EK6" i="48" s="1"/>
  <c r="ET6" i="48" s="1"/>
  <c r="EF6" i="48"/>
  <c r="EJ6" i="48" s="1"/>
  <c r="DH6" i="48"/>
  <c r="DG6" i="48"/>
  <c r="DF6" i="48"/>
  <c r="DJ6" i="48" s="1"/>
  <c r="DE6" i="48"/>
  <c r="DI6" i="48" s="1"/>
  <c r="DD6" i="48"/>
  <c r="DC6" i="48"/>
  <c r="CZ6" i="48"/>
  <c r="CY6" i="48"/>
  <c r="CX6" i="48"/>
  <c r="CW6" i="48"/>
  <c r="BX6" i="48"/>
  <c r="FF6" i="48" s="1"/>
  <c r="BW6" i="48"/>
  <c r="FE6" i="48" s="1"/>
  <c r="BV6" i="48"/>
  <c r="FD6" i="48" s="1"/>
  <c r="FR6" i="48" s="1"/>
  <c r="BU6" i="48"/>
  <c r="BY6" i="48" s="1"/>
  <c r="FG6" i="48" s="1"/>
  <c r="BT6" i="48"/>
  <c r="FB6" i="48" s="1"/>
  <c r="BR6" i="48"/>
  <c r="EZ6" i="48" s="1"/>
  <c r="FN6" i="48" s="1"/>
  <c r="BQ6" i="48"/>
  <c r="BP6" i="48"/>
  <c r="EX6" i="48" s="1"/>
  <c r="BO6" i="48"/>
  <c r="EW6" i="48" s="1"/>
  <c r="BN6" i="48"/>
  <c r="EV6" i="48" s="1"/>
  <c r="AT6" i="48"/>
  <c r="AS6" i="48"/>
  <c r="AR6" i="48"/>
  <c r="AQ6" i="48"/>
  <c r="AP6" i="48"/>
  <c r="AN6" i="48"/>
  <c r="AM6" i="48"/>
  <c r="AL6" i="48"/>
  <c r="AK6" i="48"/>
  <c r="AJ6" i="48"/>
  <c r="EU7" i="48"/>
  <c r="ER7" i="48"/>
  <c r="EQ7" i="48"/>
  <c r="EP7" i="48"/>
  <c r="EO7" i="48"/>
  <c r="ES7" i="48" s="1"/>
  <c r="EN7" i="48"/>
  <c r="EM7" i="48"/>
  <c r="EL7" i="48"/>
  <c r="EI7" i="48"/>
  <c r="EH7" i="48"/>
  <c r="EG7" i="48"/>
  <c r="EK7" i="48" s="1"/>
  <c r="ET7" i="48" s="1"/>
  <c r="EF7" i="48"/>
  <c r="EJ7" i="48" s="1"/>
  <c r="DH7" i="48"/>
  <c r="DG7" i="48"/>
  <c r="DF7" i="48"/>
  <c r="DE7" i="48"/>
  <c r="DI7" i="48" s="1"/>
  <c r="DD7" i="48"/>
  <c r="DC7" i="48"/>
  <c r="CZ7" i="48"/>
  <c r="CY7" i="48"/>
  <c r="CX7" i="48"/>
  <c r="CW7" i="48"/>
  <c r="BX7" i="48"/>
  <c r="FF7" i="48" s="1"/>
  <c r="BW7" i="48"/>
  <c r="FE7" i="48" s="1"/>
  <c r="BV7" i="48"/>
  <c r="FD7" i="48" s="1"/>
  <c r="FR5" i="48" s="1"/>
  <c r="BU7" i="48"/>
  <c r="FC7" i="48" s="1"/>
  <c r="BT7" i="48"/>
  <c r="FB7" i="48" s="1"/>
  <c r="BR7" i="48"/>
  <c r="EZ7" i="48" s="1"/>
  <c r="FN7" i="48" s="1"/>
  <c r="BQ7" i="48"/>
  <c r="EY7" i="48" s="1"/>
  <c r="BP7" i="48"/>
  <c r="EX7" i="48" s="1"/>
  <c r="BO7" i="48"/>
  <c r="BN7" i="48"/>
  <c r="EV7" i="48" s="1"/>
  <c r="AT7" i="48"/>
  <c r="AS7" i="48"/>
  <c r="AR7" i="48"/>
  <c r="AQ7" i="48"/>
  <c r="AP7" i="48"/>
  <c r="AN7" i="48"/>
  <c r="AM7" i="48"/>
  <c r="AL7" i="48"/>
  <c r="AK7" i="48"/>
  <c r="AJ7" i="48"/>
  <c r="EU4" i="48"/>
  <c r="EQ4" i="48"/>
  <c r="EP4" i="48"/>
  <c r="EO4" i="48"/>
  <c r="ES4" i="48" s="1"/>
  <c r="EN4" i="48"/>
  <c r="ER4" i="48" s="1"/>
  <c r="EM4" i="48"/>
  <c r="EL4" i="48"/>
  <c r="EI4" i="48"/>
  <c r="EH4" i="48"/>
  <c r="EG4" i="48"/>
  <c r="EK4" i="48" s="1"/>
  <c r="ET4" i="48" s="1"/>
  <c r="EF4" i="48"/>
  <c r="EJ4" i="48" s="1"/>
  <c r="DH4" i="48"/>
  <c r="DG4" i="48"/>
  <c r="DF4" i="48"/>
  <c r="DJ4" i="48" s="1"/>
  <c r="DE4" i="48"/>
  <c r="DI4" i="48" s="1"/>
  <c r="DD4" i="48"/>
  <c r="DC4" i="48"/>
  <c r="CZ4" i="48"/>
  <c r="CY4" i="48"/>
  <c r="CX4" i="48"/>
  <c r="CW4" i="48"/>
  <c r="BX4" i="48"/>
  <c r="FF4" i="48" s="1"/>
  <c r="BW4" i="48"/>
  <c r="FE4" i="48" s="1"/>
  <c r="BV4" i="48"/>
  <c r="FD4" i="48" s="1"/>
  <c r="FR4" i="48" s="1"/>
  <c r="BU4" i="48"/>
  <c r="BT4" i="48"/>
  <c r="FB4" i="48" s="1"/>
  <c r="BR4" i="48"/>
  <c r="EZ4" i="48" s="1"/>
  <c r="FN4" i="48" s="1"/>
  <c r="BQ4" i="48"/>
  <c r="EY4" i="48" s="1"/>
  <c r="BP4" i="48"/>
  <c r="EX4" i="48" s="1"/>
  <c r="BO4" i="48"/>
  <c r="EW4" i="48" s="1"/>
  <c r="BN4" i="48"/>
  <c r="EV4" i="48" s="1"/>
  <c r="AT4" i="48"/>
  <c r="AS4" i="48"/>
  <c r="AR4" i="48"/>
  <c r="AQ4" i="48"/>
  <c r="AP4" i="48"/>
  <c r="AN4" i="48"/>
  <c r="AM4" i="48"/>
  <c r="AL4" i="48"/>
  <c r="AK4" i="48"/>
  <c r="AJ4" i="48"/>
  <c r="DA4" i="51" l="1"/>
  <c r="BS8" i="51"/>
  <c r="AO6" i="51"/>
  <c r="FR33" i="50"/>
  <c r="EJ7" i="50"/>
  <c r="EK18" i="50"/>
  <c r="EK10" i="50"/>
  <c r="ET10" i="50" s="1"/>
  <c r="ER9" i="50"/>
  <c r="AU22" i="50"/>
  <c r="BS32" i="50"/>
  <c r="FA32" i="50" s="1"/>
  <c r="ES5" i="50"/>
  <c r="AO34" i="50"/>
  <c r="AO10" i="50"/>
  <c r="BY11" i="50"/>
  <c r="FG11" i="50" s="1"/>
  <c r="EK13" i="50"/>
  <c r="ET13" i="50" s="1"/>
  <c r="AU18" i="50"/>
  <c r="AU17" i="50"/>
  <c r="FR8" i="49"/>
  <c r="AU5" i="49"/>
  <c r="DA5" i="49"/>
  <c r="DB4" i="49"/>
  <c r="FP34" i="49"/>
  <c r="BS17" i="49"/>
  <c r="DK4" i="49"/>
  <c r="FS16" i="49"/>
  <c r="BY24" i="49"/>
  <c r="FG24" i="49" s="1"/>
  <c r="EJ11" i="49"/>
  <c r="BS5" i="49"/>
  <c r="FA5" i="49" s="1"/>
  <c r="AO9" i="49"/>
  <c r="EJ14" i="49"/>
  <c r="AO6" i="49"/>
  <c r="EK14" i="49"/>
  <c r="ET14" i="49" s="1"/>
  <c r="AU19" i="48"/>
  <c r="DA4" i="48"/>
  <c r="DB7" i="48"/>
  <c r="FR17" i="48"/>
  <c r="FR18" i="48"/>
  <c r="FR19" i="48"/>
  <c r="DB4" i="48"/>
  <c r="DK4" i="48" s="1"/>
  <c r="EK18" i="48"/>
  <c r="EK16" i="48"/>
  <c r="FR6" i="52"/>
  <c r="AO5" i="52"/>
  <c r="FS5" i="52"/>
  <c r="AU4" i="52"/>
  <c r="AO7" i="52"/>
  <c r="AO8" i="51"/>
  <c r="J8" i="51" s="1"/>
  <c r="AO4" i="51"/>
  <c r="AO12" i="50"/>
  <c r="EJ18" i="50"/>
  <c r="EJ5" i="50"/>
  <c r="FR5" i="50"/>
  <c r="AO18" i="50"/>
  <c r="BS24" i="50"/>
  <c r="FA24" i="50" s="1"/>
  <c r="FO24" i="50" s="1"/>
  <c r="BS22" i="50"/>
  <c r="FA22" i="50" s="1"/>
  <c r="FO22" i="50" s="1"/>
  <c r="ER5" i="50"/>
  <c r="AO17" i="50"/>
  <c r="J17" i="50" s="1"/>
  <c r="FS28" i="50"/>
  <c r="FR17" i="50"/>
  <c r="BS7" i="50"/>
  <c r="FA7" i="50" s="1"/>
  <c r="FO7" i="50" s="1"/>
  <c r="BY28" i="50"/>
  <c r="FG28" i="50" s="1"/>
  <c r="FR18" i="50"/>
  <c r="FR24" i="50"/>
  <c r="FR22" i="50"/>
  <c r="FR23" i="50"/>
  <c r="FR31" i="50"/>
  <c r="FR28" i="50"/>
  <c r="BY29" i="50"/>
  <c r="FG29" i="50" s="1"/>
  <c r="BS5" i="50"/>
  <c r="FA5" i="50" s="1"/>
  <c r="FO5" i="50" s="1"/>
  <c r="FR29" i="50"/>
  <c r="FR37" i="50"/>
  <c r="AO4" i="50"/>
  <c r="FR4" i="50"/>
  <c r="FR35" i="50"/>
  <c r="EJ11" i="50"/>
  <c r="AU28" i="50"/>
  <c r="AU5" i="50"/>
  <c r="AU4" i="50"/>
  <c r="DA4" i="50"/>
  <c r="BS17" i="50"/>
  <c r="AU37" i="50"/>
  <c r="AO39" i="50"/>
  <c r="AV39" i="50" s="1"/>
  <c r="AU11" i="50"/>
  <c r="AV11" i="50" s="1"/>
  <c r="AU13" i="50"/>
  <c r="FR14" i="50"/>
  <c r="EK10" i="49"/>
  <c r="ET10" i="49" s="1"/>
  <c r="BS21" i="49"/>
  <c r="FA21" i="49" s="1"/>
  <c r="FO21" i="49" s="1"/>
  <c r="BS23" i="49"/>
  <c r="FS23" i="49"/>
  <c r="BY21" i="49"/>
  <c r="FG21" i="49" s="1"/>
  <c r="BY13" i="49"/>
  <c r="FG13" i="49" s="1"/>
  <c r="FR9" i="49"/>
  <c r="EJ9" i="49"/>
  <c r="AO10" i="49"/>
  <c r="EK9" i="49"/>
  <c r="ET9" i="49" s="1"/>
  <c r="EJ10" i="49"/>
  <c r="AU37" i="49"/>
  <c r="FR25" i="49"/>
  <c r="BY20" i="49"/>
  <c r="FG20" i="49" s="1"/>
  <c r="AU16" i="49"/>
  <c r="AO21" i="49"/>
  <c r="FC21" i="49"/>
  <c r="FR15" i="49"/>
  <c r="FR23" i="49"/>
  <c r="FS22" i="49"/>
  <c r="FR33" i="49"/>
  <c r="FR22" i="49"/>
  <c r="FR34" i="49"/>
  <c r="FR26" i="49"/>
  <c r="FR27" i="49"/>
  <c r="AO7" i="49"/>
  <c r="FS28" i="49"/>
  <c r="FR17" i="49"/>
  <c r="FR37" i="49"/>
  <c r="FR28" i="49"/>
  <c r="AO38" i="49"/>
  <c r="EK6" i="49"/>
  <c r="ET6" i="49" s="1"/>
  <c r="BS9" i="49"/>
  <c r="FA9" i="49" s="1"/>
  <c r="BY17" i="49"/>
  <c r="FG17" i="49" s="1"/>
  <c r="FR10" i="49"/>
  <c r="BY12" i="49"/>
  <c r="FG12" i="49" s="1"/>
  <c r="EW25" i="49"/>
  <c r="FM25" i="49" s="1"/>
  <c r="AU26" i="49"/>
  <c r="BY28" i="49"/>
  <c r="FG28" i="49" s="1"/>
  <c r="AU6" i="49"/>
  <c r="EK8" i="49"/>
  <c r="ET8" i="49" s="1"/>
  <c r="BY9" i="49"/>
  <c r="FG9" i="49" s="1"/>
  <c r="FR19" i="49"/>
  <c r="FR24" i="49"/>
  <c r="AO16" i="49"/>
  <c r="FR20" i="49"/>
  <c r="AU12" i="49"/>
  <c r="FR12" i="49"/>
  <c r="BS36" i="49"/>
  <c r="AO20" i="49"/>
  <c r="EW11" i="49"/>
  <c r="FM11" i="49" s="1"/>
  <c r="AO18" i="48"/>
  <c r="BY21" i="48"/>
  <c r="FG21" i="48" s="1"/>
  <c r="BY25" i="48"/>
  <c r="FG25" i="48" s="1"/>
  <c r="BY14" i="48"/>
  <c r="FG14" i="48" s="1"/>
  <c r="FR13" i="48"/>
  <c r="DA7" i="48"/>
  <c r="BS15" i="48"/>
  <c r="FA15" i="48" s="1"/>
  <c r="FR23" i="48"/>
  <c r="DJ7" i="48"/>
  <c r="AU13" i="48"/>
  <c r="AU18" i="48"/>
  <c r="FC21" i="48"/>
  <c r="BS10" i="48"/>
  <c r="FA10" i="48" s="1"/>
  <c r="FO10" i="48" s="1"/>
  <c r="AU25" i="48"/>
  <c r="AV25" i="48" s="1"/>
  <c r="BS9" i="48"/>
  <c r="FA9" i="48" s="1"/>
  <c r="FO9" i="48" s="1"/>
  <c r="FR24" i="48"/>
  <c r="FR7" i="48"/>
  <c r="FR12" i="48"/>
  <c r="FP7" i="48"/>
  <c r="BY5" i="48"/>
  <c r="FG5" i="48" s="1"/>
  <c r="EK9" i="48"/>
  <c r="ET9" i="48" s="1"/>
  <c r="FR15" i="48"/>
  <c r="DK7" i="48"/>
  <c r="EK13" i="48"/>
  <c r="ET13" i="48" s="1"/>
  <c r="FR16" i="48"/>
  <c r="EJ18" i="48"/>
  <c r="BY7" i="52"/>
  <c r="FG7" i="52" s="1"/>
  <c r="AU7" i="52"/>
  <c r="FM6" i="52"/>
  <c r="AU5" i="52"/>
  <c r="AV5" i="52" s="1"/>
  <c r="AO6" i="52"/>
  <c r="AV6" i="52" s="1"/>
  <c r="FL6" i="52"/>
  <c r="FP6" i="52"/>
  <c r="FS4" i="52"/>
  <c r="BS6" i="52"/>
  <c r="BS4" i="52"/>
  <c r="FA4" i="52" s="1"/>
  <c r="FO4" i="52" s="1"/>
  <c r="BS7" i="52"/>
  <c r="FM5" i="52"/>
  <c r="FC7" i="52"/>
  <c r="FS6" i="52" s="1"/>
  <c r="DA7" i="51"/>
  <c r="DB4" i="51"/>
  <c r="DK4" i="51" s="1"/>
  <c r="BY6" i="51"/>
  <c r="FG6" i="51" s="1"/>
  <c r="EW8" i="51"/>
  <c r="FS5" i="51"/>
  <c r="BS7" i="51"/>
  <c r="FA7" i="51" s="1"/>
  <c r="FO7" i="51" s="1"/>
  <c r="AU5" i="51"/>
  <c r="FP8" i="51"/>
  <c r="FL8" i="51"/>
  <c r="DA6" i="51"/>
  <c r="EK9" i="51"/>
  <c r="ET9" i="51" s="1"/>
  <c r="AU6" i="51"/>
  <c r="AV6" i="51" s="1"/>
  <c r="AU9" i="51"/>
  <c r="BY5" i="51"/>
  <c r="FG5" i="51" s="1"/>
  <c r="AO7" i="51"/>
  <c r="FE6" i="51"/>
  <c r="FS6" i="51" s="1"/>
  <c r="DB6" i="51"/>
  <c r="DK6" i="51" s="1"/>
  <c r="FM8" i="51"/>
  <c r="FS8" i="51"/>
  <c r="BY9" i="51"/>
  <c r="FG9" i="51" s="1"/>
  <c r="BY4" i="51"/>
  <c r="FG4" i="51" s="1"/>
  <c r="BS6" i="51"/>
  <c r="EW7" i="51"/>
  <c r="DB7" i="51"/>
  <c r="DK7" i="51" s="1"/>
  <c r="AO9" i="51"/>
  <c r="ES9" i="51"/>
  <c r="EJ8" i="51"/>
  <c r="AU7" i="51"/>
  <c r="EK8" i="51"/>
  <c r="ET8" i="51" s="1"/>
  <c r="AO5" i="51"/>
  <c r="AU8" i="51"/>
  <c r="AV8" i="51" s="1"/>
  <c r="EK11" i="50"/>
  <c r="ET11" i="50" s="1"/>
  <c r="EJ13" i="50"/>
  <c r="EK5" i="50"/>
  <c r="ET5" i="50" s="1"/>
  <c r="ET18" i="50"/>
  <c r="EK7" i="50"/>
  <c r="ET7" i="50" s="1"/>
  <c r="EJ8" i="50"/>
  <c r="EJ9" i="50"/>
  <c r="EK8" i="50"/>
  <c r="ET8" i="50" s="1"/>
  <c r="EK9" i="50"/>
  <c r="ET9" i="50" s="1"/>
  <c r="EJ10" i="50"/>
  <c r="DB4" i="50"/>
  <c r="DK4" i="50" s="1"/>
  <c r="BS29" i="50"/>
  <c r="FA29" i="50" s="1"/>
  <c r="FO29" i="50" s="1"/>
  <c r="EW38" i="50"/>
  <c r="FM13" i="50"/>
  <c r="BY39" i="50"/>
  <c r="FG39" i="50" s="1"/>
  <c r="EW17" i="50"/>
  <c r="FM17" i="50" s="1"/>
  <c r="BS36" i="50"/>
  <c r="FA36" i="50" s="1"/>
  <c r="BY33" i="50"/>
  <c r="FG33" i="50" s="1"/>
  <c r="EW34" i="50"/>
  <c r="FM34" i="50" s="1"/>
  <c r="BS35" i="50"/>
  <c r="FA35" i="50" s="1"/>
  <c r="BY21" i="50"/>
  <c r="FG21" i="50" s="1"/>
  <c r="AO7" i="50"/>
  <c r="AO21" i="50"/>
  <c r="AU29" i="50"/>
  <c r="AO37" i="50"/>
  <c r="AO35" i="50"/>
  <c r="AU7" i="50"/>
  <c r="AV7" i="50" s="1"/>
  <c r="AO8" i="50"/>
  <c r="AO9" i="50"/>
  <c r="J9" i="50" s="1"/>
  <c r="AO31" i="50"/>
  <c r="AO36" i="50"/>
  <c r="AU32" i="50"/>
  <c r="AO33" i="50"/>
  <c r="FS21" i="50"/>
  <c r="AO11" i="50"/>
  <c r="FP35" i="50"/>
  <c r="AO5" i="50"/>
  <c r="AV5" i="50" s="1"/>
  <c r="AO14" i="50"/>
  <c r="AU23" i="50"/>
  <c r="AU39" i="50"/>
  <c r="FL36" i="50"/>
  <c r="FP36" i="50"/>
  <c r="FP38" i="50"/>
  <c r="FL38" i="50"/>
  <c r="FM38" i="50"/>
  <c r="FL34" i="50"/>
  <c r="FP34" i="50"/>
  <c r="FM29" i="50"/>
  <c r="FS19" i="50"/>
  <c r="BY38" i="50"/>
  <c r="FG38" i="50" s="1"/>
  <c r="AO23" i="50"/>
  <c r="AO6" i="50"/>
  <c r="FP7" i="50"/>
  <c r="ER8" i="50"/>
  <c r="BS12" i="50"/>
  <c r="FA12" i="50" s="1"/>
  <c r="FO12" i="50" s="1"/>
  <c r="AU14" i="50"/>
  <c r="BY18" i="50"/>
  <c r="FG18" i="50" s="1"/>
  <c r="EW24" i="50"/>
  <c r="FM24" i="50" s="1"/>
  <c r="FS6" i="50"/>
  <c r="FP31" i="50"/>
  <c r="AO32" i="50"/>
  <c r="AU38" i="50"/>
  <c r="ES8" i="50"/>
  <c r="FS15" i="50"/>
  <c r="FS20" i="50"/>
  <c r="FM36" i="50"/>
  <c r="AO29" i="50"/>
  <c r="AV29" i="50" s="1"/>
  <c r="FC33" i="50"/>
  <c r="BY4" i="50"/>
  <c r="FG4" i="50" s="1"/>
  <c r="AU6" i="50"/>
  <c r="DA6" i="50"/>
  <c r="AU9" i="50"/>
  <c r="FC11" i="50"/>
  <c r="FS11" i="50" s="1"/>
  <c r="AU31" i="50"/>
  <c r="BS14" i="50"/>
  <c r="FA14" i="50" s="1"/>
  <c r="FO14" i="50" s="1"/>
  <c r="BY37" i="50"/>
  <c r="FG37" i="50" s="1"/>
  <c r="AU33" i="50"/>
  <c r="FC38" i="50"/>
  <c r="EW32" i="50"/>
  <c r="FM32" i="50" s="1"/>
  <c r="FS38" i="50"/>
  <c r="AU8" i="50"/>
  <c r="EJ12" i="50"/>
  <c r="FP18" i="50"/>
  <c r="FC18" i="50"/>
  <c r="FS17" i="50" s="1"/>
  <c r="AU36" i="50"/>
  <c r="AO28" i="50"/>
  <c r="AV28" i="50" s="1"/>
  <c r="AU12" i="50"/>
  <c r="AV12" i="50" s="1"/>
  <c r="EK12" i="50"/>
  <c r="ET12" i="50" s="1"/>
  <c r="BY17" i="50"/>
  <c r="FG17" i="50" s="1"/>
  <c r="AU21" i="50"/>
  <c r="BS4" i="50"/>
  <c r="FA4" i="50" s="1"/>
  <c r="FO4" i="50" s="1"/>
  <c r="BS9" i="50"/>
  <c r="FA9" i="50" s="1"/>
  <c r="FO9" i="50" s="1"/>
  <c r="AO13" i="50"/>
  <c r="BY14" i="50"/>
  <c r="FG14" i="50" s="1"/>
  <c r="BY22" i="50"/>
  <c r="FG22" i="50" s="1"/>
  <c r="FC29" i="50"/>
  <c r="BS37" i="50"/>
  <c r="F37" i="50" s="1"/>
  <c r="AV18" i="50"/>
  <c r="AU10" i="50"/>
  <c r="AV10" i="50" s="1"/>
  <c r="AO24" i="50"/>
  <c r="J24" i="50" s="1"/>
  <c r="BS23" i="50"/>
  <c r="FA23" i="50" s="1"/>
  <c r="FO23" i="50" s="1"/>
  <c r="EW35" i="50"/>
  <c r="FM35" i="50" s="1"/>
  <c r="ER9" i="49"/>
  <c r="ES13" i="49"/>
  <c r="EK13" i="49"/>
  <c r="ET13" i="49" s="1"/>
  <c r="EK11" i="49"/>
  <c r="ET11" i="49" s="1"/>
  <c r="EJ8" i="49"/>
  <c r="DK5" i="49"/>
  <c r="DA7" i="49"/>
  <c r="FC13" i="49"/>
  <c r="BS22" i="49"/>
  <c r="FA22" i="49" s="1"/>
  <c r="FO22" i="49" s="1"/>
  <c r="FC24" i="49"/>
  <c r="FS24" i="49" s="1"/>
  <c r="BS16" i="49"/>
  <c r="FA16" i="49" s="1"/>
  <c r="BS27" i="49"/>
  <c r="FA27" i="49" s="1"/>
  <c r="BY10" i="49"/>
  <c r="FG10" i="49" s="1"/>
  <c r="BS7" i="49"/>
  <c r="EY9" i="49"/>
  <c r="EY23" i="49"/>
  <c r="BS34" i="49"/>
  <c r="BS4" i="49"/>
  <c r="FA4" i="49" s="1"/>
  <c r="FO4" i="49" s="1"/>
  <c r="FP10" i="49"/>
  <c r="BY5" i="49"/>
  <c r="FG5" i="49" s="1"/>
  <c r="EW5" i="49"/>
  <c r="FM5" i="49" s="1"/>
  <c r="BS6" i="49"/>
  <c r="FA6" i="49" s="1"/>
  <c r="FO6" i="49" s="1"/>
  <c r="AU9" i="49"/>
  <c r="AV9" i="49" s="1"/>
  <c r="FM16" i="49"/>
  <c r="AO37" i="49"/>
  <c r="AO35" i="49"/>
  <c r="FL34" i="49"/>
  <c r="AO14" i="49"/>
  <c r="AU13" i="49"/>
  <c r="AO34" i="49"/>
  <c r="FM20" i="49"/>
  <c r="AU14" i="49"/>
  <c r="AO18" i="49"/>
  <c r="AO28" i="49"/>
  <c r="AU21" i="49"/>
  <c r="FP26" i="49"/>
  <c r="AU36" i="49"/>
  <c r="FM27" i="49"/>
  <c r="FP23" i="49"/>
  <c r="FL23" i="49"/>
  <c r="FM23" i="49"/>
  <c r="FL5" i="49"/>
  <c r="FS31" i="49"/>
  <c r="AU4" i="49"/>
  <c r="FE12" i="49"/>
  <c r="FS11" i="49" s="1"/>
  <c r="FC9" i="49"/>
  <c r="FS9" i="49" s="1"/>
  <c r="BS26" i="49"/>
  <c r="FA26" i="49" s="1"/>
  <c r="FO26" i="49" s="1"/>
  <c r="EY27" i="49"/>
  <c r="BS38" i="49"/>
  <c r="FA38" i="49" s="1"/>
  <c r="FO38" i="49" s="1"/>
  <c r="FC10" i="49"/>
  <c r="FS6" i="49" s="1"/>
  <c r="AO8" i="49"/>
  <c r="DK7" i="49"/>
  <c r="AO13" i="49"/>
  <c r="EW6" i="49"/>
  <c r="FM6" i="49" s="1"/>
  <c r="FM8" i="49"/>
  <c r="AU18" i="49"/>
  <c r="FP36" i="49"/>
  <c r="FM34" i="49"/>
  <c r="BY6" i="49"/>
  <c r="BS12" i="49"/>
  <c r="FA12" i="49" s="1"/>
  <c r="FO12" i="49" s="1"/>
  <c r="FC26" i="49"/>
  <c r="FS5" i="49"/>
  <c r="DB10" i="49"/>
  <c r="DK10" i="49" s="1"/>
  <c r="FS7" i="49"/>
  <c r="AU8" i="49"/>
  <c r="BS20" i="49"/>
  <c r="AO23" i="49"/>
  <c r="AO24" i="49"/>
  <c r="BY16" i="49"/>
  <c r="FG16" i="49" s="1"/>
  <c r="AU38" i="49"/>
  <c r="FM38" i="49"/>
  <c r="EJ13" i="49"/>
  <c r="AO11" i="49"/>
  <c r="FS33" i="49"/>
  <c r="AO4" i="49"/>
  <c r="BY7" i="49"/>
  <c r="FG7" i="49" s="1"/>
  <c r="FS19" i="49"/>
  <c r="EW36" i="49"/>
  <c r="FM36" i="49" s="1"/>
  <c r="AU28" i="49"/>
  <c r="AO5" i="49"/>
  <c r="EY7" i="49"/>
  <c r="AU20" i="49"/>
  <c r="AU23" i="49"/>
  <c r="FS15" i="49"/>
  <c r="AU17" i="49"/>
  <c r="AV17" i="49" s="1"/>
  <c r="AU24" i="49"/>
  <c r="FP24" i="49"/>
  <c r="AO25" i="49"/>
  <c r="J25" i="49" s="1"/>
  <c r="AU7" i="49"/>
  <c r="AV7" i="49" s="1"/>
  <c r="BY23" i="49"/>
  <c r="FG23" i="49" s="1"/>
  <c r="BS14" i="49"/>
  <c r="FA14" i="49" s="1"/>
  <c r="FO14" i="49" s="1"/>
  <c r="FM4" i="49"/>
  <c r="FP6" i="49"/>
  <c r="BY11" i="49"/>
  <c r="FG11" i="49" s="1"/>
  <c r="BY4" i="49"/>
  <c r="FG4" i="49" s="1"/>
  <c r="EJ20" i="49"/>
  <c r="FL36" i="49"/>
  <c r="ES13" i="48"/>
  <c r="EJ13" i="48"/>
  <c r="ET18" i="48"/>
  <c r="EJ16" i="48"/>
  <c r="ET16" i="48"/>
  <c r="BY8" i="48"/>
  <c r="FG8" i="48" s="1"/>
  <c r="BS16" i="48"/>
  <c r="FA16" i="48" s="1"/>
  <c r="FO16" i="48" s="1"/>
  <c r="FP19" i="48"/>
  <c r="EW10" i="48"/>
  <c r="FM10" i="48" s="1"/>
  <c r="FC6" i="48"/>
  <c r="FS6" i="48" s="1"/>
  <c r="BY23" i="48"/>
  <c r="FG23" i="48" s="1"/>
  <c r="FE5" i="48"/>
  <c r="FS7" i="48" s="1"/>
  <c r="BS12" i="48"/>
  <c r="FA12" i="48" s="1"/>
  <c r="FO12" i="48" s="1"/>
  <c r="AU14" i="48"/>
  <c r="AO15" i="48"/>
  <c r="AO23" i="48"/>
  <c r="AO19" i="48"/>
  <c r="AV19" i="48" s="1"/>
  <c r="FL19" i="48"/>
  <c r="AU10" i="48"/>
  <c r="AU22" i="48"/>
  <c r="AO7" i="48"/>
  <c r="AU16" i="48"/>
  <c r="AU23" i="48"/>
  <c r="AO24" i="48"/>
  <c r="AO9" i="48"/>
  <c r="FM19" i="48"/>
  <c r="FM18" i="48"/>
  <c r="AU20" i="48"/>
  <c r="AU15" i="48"/>
  <c r="AO14" i="48"/>
  <c r="AU5" i="48"/>
  <c r="FP9" i="48"/>
  <c r="AU7" i="48"/>
  <c r="FN9" i="48"/>
  <c r="AO12" i="48"/>
  <c r="AO21" i="48"/>
  <c r="FP25" i="48"/>
  <c r="AO10" i="48"/>
  <c r="AU21" i="48"/>
  <c r="FS23" i="48"/>
  <c r="FL17" i="48"/>
  <c r="FP17" i="48"/>
  <c r="FP21" i="48"/>
  <c r="FM21" i="48"/>
  <c r="FL21" i="48"/>
  <c r="FN24" i="48"/>
  <c r="FP24" i="48"/>
  <c r="FN11" i="48"/>
  <c r="FP11" i="48"/>
  <c r="AO6" i="48"/>
  <c r="EY15" i="48"/>
  <c r="BS18" i="48"/>
  <c r="FA18" i="48" s="1"/>
  <c r="FO18" i="48" s="1"/>
  <c r="FM16" i="48"/>
  <c r="BS23" i="48"/>
  <c r="FA23" i="48" s="1"/>
  <c r="FO23" i="48" s="1"/>
  <c r="AO25" i="48"/>
  <c r="DB6" i="48"/>
  <c r="DK6" i="48" s="1"/>
  <c r="FM9" i="48"/>
  <c r="AU11" i="48"/>
  <c r="AU24" i="48"/>
  <c r="DA5" i="48"/>
  <c r="AO13" i="48"/>
  <c r="AV13" i="48" s="1"/>
  <c r="AO20" i="48"/>
  <c r="FC25" i="48"/>
  <c r="FS25" i="48" s="1"/>
  <c r="AO4" i="48"/>
  <c r="DA6" i="48"/>
  <c r="DB5" i="48"/>
  <c r="DK5" i="48" s="1"/>
  <c r="AU9" i="48"/>
  <c r="AU12" i="48"/>
  <c r="AO17" i="48"/>
  <c r="FM13" i="48"/>
  <c r="FN25" i="48"/>
  <c r="BS11" i="48"/>
  <c r="BY13" i="48"/>
  <c r="FG13" i="48" s="1"/>
  <c r="BY20" i="48"/>
  <c r="FG20" i="48" s="1"/>
  <c r="AO22" i="48"/>
  <c r="AU4" i="48"/>
  <c r="AU8" i="48"/>
  <c r="AV8" i="48" s="1"/>
  <c r="FP8" i="48"/>
  <c r="AO5" i="48"/>
  <c r="FP10" i="48"/>
  <c r="AO16" i="48"/>
  <c r="FP23" i="48"/>
  <c r="G4" i="52"/>
  <c r="F6" i="52"/>
  <c r="BY5" i="52"/>
  <c r="FG5" i="52" s="1"/>
  <c r="FM7" i="52"/>
  <c r="FR4" i="52"/>
  <c r="FC6" i="52"/>
  <c r="BY6" i="52"/>
  <c r="FG6" i="52" s="1"/>
  <c r="FM4" i="52"/>
  <c r="FP7" i="52"/>
  <c r="FR7" i="52"/>
  <c r="FP5" i="52"/>
  <c r="FR5" i="52"/>
  <c r="AV4" i="52"/>
  <c r="J4" i="52"/>
  <c r="FP4" i="52"/>
  <c r="FL4" i="52"/>
  <c r="DK6" i="52"/>
  <c r="BS5" i="52"/>
  <c r="BY4" i="52"/>
  <c r="FG4" i="52" s="1"/>
  <c r="FP5" i="51"/>
  <c r="FL5" i="51"/>
  <c r="BS5" i="51"/>
  <c r="EW5" i="51"/>
  <c r="FM5" i="51" s="1"/>
  <c r="J6" i="51"/>
  <c r="FP4" i="51"/>
  <c r="FP7" i="51"/>
  <c r="FM7" i="51"/>
  <c r="FL7" i="51"/>
  <c r="FA6" i="51"/>
  <c r="FO6" i="51" s="1"/>
  <c r="FA8" i="51"/>
  <c r="FO8" i="51" s="1"/>
  <c r="FL9" i="51"/>
  <c r="FP9" i="51"/>
  <c r="FR9" i="51"/>
  <c r="BS4" i="51"/>
  <c r="J4" i="51" s="1"/>
  <c r="EW4" i="51"/>
  <c r="FM4" i="51" s="1"/>
  <c r="FS9" i="51"/>
  <c r="FP6" i="51"/>
  <c r="FL6" i="51"/>
  <c r="EW9" i="51"/>
  <c r="FM9" i="51" s="1"/>
  <c r="BS9" i="51"/>
  <c r="BY8" i="51"/>
  <c r="FG8" i="51" s="1"/>
  <c r="EW6" i="51"/>
  <c r="FM6" i="51" s="1"/>
  <c r="AU4" i="51"/>
  <c r="FC4" i="51"/>
  <c r="FS4" i="51" s="1"/>
  <c r="FC7" i="51"/>
  <c r="FS7" i="51" s="1"/>
  <c r="BY7" i="51"/>
  <c r="FG7" i="51" s="1"/>
  <c r="F38" i="50"/>
  <c r="AV38" i="50"/>
  <c r="J38" i="50"/>
  <c r="G38" i="50"/>
  <c r="H38" i="50" s="1"/>
  <c r="FP5" i="50"/>
  <c r="FN5" i="50"/>
  <c r="FR9" i="50"/>
  <c r="FS9" i="50"/>
  <c r="FP4" i="50"/>
  <c r="FL4" i="50"/>
  <c r="FS10" i="50"/>
  <c r="FR7" i="50"/>
  <c r="FR10" i="50"/>
  <c r="FL14" i="50"/>
  <c r="FP22" i="50"/>
  <c r="FL22" i="50"/>
  <c r="EW33" i="50"/>
  <c r="FM33" i="50" s="1"/>
  <c r="BS33" i="50"/>
  <c r="EW6" i="50"/>
  <c r="FM6" i="50" s="1"/>
  <c r="BS6" i="50"/>
  <c r="FE7" i="50"/>
  <c r="FS7" i="50" s="1"/>
  <c r="BY7" i="50"/>
  <c r="FM8" i="50"/>
  <c r="FL8" i="50"/>
  <c r="BY31" i="50"/>
  <c r="FG31" i="50" s="1"/>
  <c r="FC31" i="50"/>
  <c r="FS14" i="50" s="1"/>
  <c r="EW14" i="50"/>
  <c r="FM14" i="50" s="1"/>
  <c r="EW22" i="50"/>
  <c r="FM22" i="50" s="1"/>
  <c r="FA34" i="50"/>
  <c r="FO34" i="50" s="1"/>
  <c r="FP32" i="50"/>
  <c r="FO32" i="50"/>
  <c r="FN32" i="50"/>
  <c r="BZ38" i="50"/>
  <c r="FH38" i="50" s="1"/>
  <c r="FA38" i="50"/>
  <c r="FO38" i="50" s="1"/>
  <c r="FL11" i="50"/>
  <c r="FP11" i="50"/>
  <c r="FR36" i="50"/>
  <c r="FM5" i="50"/>
  <c r="BS18" i="50"/>
  <c r="EW18" i="50"/>
  <c r="FM18" i="50" s="1"/>
  <c r="FL24" i="50"/>
  <c r="FP24" i="50"/>
  <c r="BZ17" i="50"/>
  <c r="FH17" i="50" s="1"/>
  <c r="FT16" i="50" s="1"/>
  <c r="FA17" i="50"/>
  <c r="FO17" i="50" s="1"/>
  <c r="BY10" i="50"/>
  <c r="FG10" i="50" s="1"/>
  <c r="EW4" i="50"/>
  <c r="FM4" i="50" s="1"/>
  <c r="FP6" i="50"/>
  <c r="FC8" i="50"/>
  <c r="FS8" i="50" s="1"/>
  <c r="BY8" i="50"/>
  <c r="FG8" i="50" s="1"/>
  <c r="FC17" i="50"/>
  <c r="FS16" i="50" s="1"/>
  <c r="BS13" i="50"/>
  <c r="BY12" i="50"/>
  <c r="FG12" i="50" s="1"/>
  <c r="FC12" i="50"/>
  <c r="J34" i="50"/>
  <c r="FP10" i="50"/>
  <c r="FL10" i="50"/>
  <c r="FL31" i="50"/>
  <c r="FP14" i="50"/>
  <c r="FN21" i="50"/>
  <c r="FN28" i="50"/>
  <c r="FL28" i="50"/>
  <c r="FP28" i="50"/>
  <c r="FC5" i="50"/>
  <c r="FS4" i="50" s="1"/>
  <c r="BY5" i="50"/>
  <c r="FG5" i="50" s="1"/>
  <c r="FR13" i="50"/>
  <c r="BY6" i="50"/>
  <c r="FG6" i="50" s="1"/>
  <c r="DK7" i="50"/>
  <c r="EW10" i="50"/>
  <c r="FM10" i="50" s="1"/>
  <c r="BS10" i="50"/>
  <c r="FP13" i="50"/>
  <c r="FL13" i="50"/>
  <c r="BS31" i="50"/>
  <c r="EW31" i="50"/>
  <c r="FM31" i="50" s="1"/>
  <c r="FR16" i="50"/>
  <c r="FP37" i="50"/>
  <c r="FL37" i="50"/>
  <c r="FC34" i="50"/>
  <c r="FS36" i="50" s="1"/>
  <c r="BY34" i="50"/>
  <c r="FG34" i="50" s="1"/>
  <c r="FP9" i="50"/>
  <c r="FR12" i="50"/>
  <c r="FP23" i="50"/>
  <c r="FL23" i="50"/>
  <c r="FP8" i="50"/>
  <c r="FE13" i="50"/>
  <c r="BY13" i="50"/>
  <c r="FG13" i="50" s="1"/>
  <c r="FP12" i="50"/>
  <c r="FL12" i="50"/>
  <c r="FR38" i="50"/>
  <c r="FL17" i="50"/>
  <c r="FP17" i="50"/>
  <c r="FL18" i="50"/>
  <c r="FR39" i="50"/>
  <c r="BY9" i="50"/>
  <c r="EW23" i="50"/>
  <c r="FM23" i="50" s="1"/>
  <c r="FN29" i="50"/>
  <c r="FL33" i="50"/>
  <c r="FP33" i="50"/>
  <c r="FC24" i="50"/>
  <c r="BY24" i="50"/>
  <c r="FG24" i="50" s="1"/>
  <c r="AO22" i="50"/>
  <c r="FR32" i="50"/>
  <c r="FL39" i="50"/>
  <c r="FP39" i="50"/>
  <c r="BZ29" i="50"/>
  <c r="FH29" i="50" s="1"/>
  <c r="FR21" i="50"/>
  <c r="FO35" i="50"/>
  <c r="EW11" i="50"/>
  <c r="FM11" i="50" s="1"/>
  <c r="BS11" i="50"/>
  <c r="J11" i="50" s="1"/>
  <c r="EW28" i="50"/>
  <c r="FM28" i="50" s="1"/>
  <c r="BS28" i="50"/>
  <c r="FS39" i="50"/>
  <c r="EW12" i="50"/>
  <c r="FM12" i="50" s="1"/>
  <c r="EW9" i="50"/>
  <c r="FM9" i="50" s="1"/>
  <c r="BY36" i="50"/>
  <c r="FG36" i="50" s="1"/>
  <c r="FP29" i="50"/>
  <c r="EW7" i="50"/>
  <c r="FM7" i="50" s="1"/>
  <c r="EW21" i="50"/>
  <c r="FM21" i="50" s="1"/>
  <c r="BS21" i="50"/>
  <c r="EY36" i="50"/>
  <c r="BS8" i="50"/>
  <c r="FM37" i="50"/>
  <c r="FP21" i="50"/>
  <c r="AU34" i="50"/>
  <c r="AV34" i="50" s="1"/>
  <c r="EW39" i="50"/>
  <c r="FM39" i="50" s="1"/>
  <c r="BS39" i="50"/>
  <c r="FC23" i="50"/>
  <c r="BY23" i="50"/>
  <c r="FG23" i="50" s="1"/>
  <c r="AU24" i="50"/>
  <c r="FC35" i="50"/>
  <c r="FS37" i="50" s="1"/>
  <c r="BY35" i="50"/>
  <c r="F35" i="50" s="1"/>
  <c r="FC32" i="50"/>
  <c r="BY32" i="50"/>
  <c r="FR35" i="49"/>
  <c r="AV23" i="49"/>
  <c r="J34" i="49"/>
  <c r="FP5" i="49"/>
  <c r="FO5" i="49"/>
  <c r="FN5" i="49"/>
  <c r="AV5" i="49"/>
  <c r="J5" i="49"/>
  <c r="FL26" i="49"/>
  <c r="FR6" i="49"/>
  <c r="FP14" i="49"/>
  <c r="FM14" i="49"/>
  <c r="BY37" i="49"/>
  <c r="FG37" i="49" s="1"/>
  <c r="FC37" i="49"/>
  <c r="FS29" i="49" s="1"/>
  <c r="FC34" i="49"/>
  <c r="FS30" i="49" s="1"/>
  <c r="BY34" i="49"/>
  <c r="FG34" i="49" s="1"/>
  <c r="FA36" i="49"/>
  <c r="FO36" i="49" s="1"/>
  <c r="FC8" i="49"/>
  <c r="BY8" i="49"/>
  <c r="FG8" i="49" s="1"/>
  <c r="FR13" i="49"/>
  <c r="FP17" i="49"/>
  <c r="FM17" i="49"/>
  <c r="FL17" i="49"/>
  <c r="FR21" i="49"/>
  <c r="FR29" i="49"/>
  <c r="FR30" i="49"/>
  <c r="FP12" i="49"/>
  <c r="FN10" i="49"/>
  <c r="J20" i="49"/>
  <c r="FP20" i="49"/>
  <c r="FL20" i="49"/>
  <c r="FP25" i="49"/>
  <c r="FL25" i="49"/>
  <c r="BY38" i="49"/>
  <c r="FG38" i="49" s="1"/>
  <c r="FC38" i="49"/>
  <c r="FS38" i="49" s="1"/>
  <c r="FR11" i="49"/>
  <c r="FP11" i="49"/>
  <c r="FN11" i="49"/>
  <c r="EY17" i="49"/>
  <c r="FL14" i="49"/>
  <c r="FA25" i="49"/>
  <c r="FO25" i="49" s="1"/>
  <c r="BZ12" i="49"/>
  <c r="FH12" i="49" s="1"/>
  <c r="AV16" i="49"/>
  <c r="J16" i="49"/>
  <c r="BZ17" i="49"/>
  <c r="FH17" i="49" s="1"/>
  <c r="FA17" i="49"/>
  <c r="FA11" i="49"/>
  <c r="FO11" i="49" s="1"/>
  <c r="FS4" i="49"/>
  <c r="FP7" i="49"/>
  <c r="FM12" i="49"/>
  <c r="FP21" i="49"/>
  <c r="FL21" i="49"/>
  <c r="FM22" i="49"/>
  <c r="FR5" i="49"/>
  <c r="BS8" i="49"/>
  <c r="FP8" i="49"/>
  <c r="FL8" i="49"/>
  <c r="FL37" i="49"/>
  <c r="FP37" i="49"/>
  <c r="FN22" i="49"/>
  <c r="FP22" i="49"/>
  <c r="FP13" i="49"/>
  <c r="FL13" i="49"/>
  <c r="FP4" i="49"/>
  <c r="FR7" i="49"/>
  <c r="FA20" i="49"/>
  <c r="FO20" i="49" s="1"/>
  <c r="FC20" i="49"/>
  <c r="FP18" i="49"/>
  <c r="FL18" i="49"/>
  <c r="FC25" i="49"/>
  <c r="BY25" i="49"/>
  <c r="FG25" i="49" s="1"/>
  <c r="EW37" i="49"/>
  <c r="FM37" i="49" s="1"/>
  <c r="BS37" i="49"/>
  <c r="FE35" i="49"/>
  <c r="FS32" i="49" s="1"/>
  <c r="BY35" i="49"/>
  <c r="FG35" i="49" s="1"/>
  <c r="EW13" i="49"/>
  <c r="FM13" i="49" s="1"/>
  <c r="BS13" i="49"/>
  <c r="J27" i="49"/>
  <c r="AU10" i="49"/>
  <c r="FM7" i="49"/>
  <c r="J17" i="49"/>
  <c r="FR16" i="49"/>
  <c r="J21" i="49"/>
  <c r="EW21" i="49"/>
  <c r="FM21" i="49" s="1"/>
  <c r="AU35" i="49"/>
  <c r="AU27" i="49"/>
  <c r="AO12" i="49"/>
  <c r="FC14" i="49"/>
  <c r="FS17" i="49" s="1"/>
  <c r="BY14" i="49"/>
  <c r="FG14" i="49" s="1"/>
  <c r="FP27" i="49"/>
  <c r="FN27" i="49"/>
  <c r="AO26" i="49"/>
  <c r="FC36" i="49"/>
  <c r="FS36" i="49" s="1"/>
  <c r="BY36" i="49"/>
  <c r="FG36" i="49" s="1"/>
  <c r="FM28" i="49"/>
  <c r="EW18" i="49"/>
  <c r="FM18" i="49" s="1"/>
  <c r="BS18" i="49"/>
  <c r="FL35" i="49"/>
  <c r="FP35" i="49"/>
  <c r="FL28" i="49"/>
  <c r="FP28" i="49"/>
  <c r="FP38" i="49"/>
  <c r="FN38" i="49"/>
  <c r="FM9" i="49"/>
  <c r="FP9" i="49"/>
  <c r="FP16" i="49"/>
  <c r="FL16" i="49"/>
  <c r="EW35" i="49"/>
  <c r="FM35" i="49" s="1"/>
  <c r="BS35" i="49"/>
  <c r="FR38" i="49"/>
  <c r="DA10" i="49"/>
  <c r="AO22" i="49"/>
  <c r="EW10" i="49"/>
  <c r="FM10" i="49" s="1"/>
  <c r="BS10" i="49"/>
  <c r="J10" i="49" s="1"/>
  <c r="AU11" i="49"/>
  <c r="EY16" i="49"/>
  <c r="FC18" i="49"/>
  <c r="FS18" i="49" s="1"/>
  <c r="BY18" i="49"/>
  <c r="FG18" i="49" s="1"/>
  <c r="AU34" i="49"/>
  <c r="FC27" i="49"/>
  <c r="BY27" i="49"/>
  <c r="FG27" i="49" s="1"/>
  <c r="FM26" i="49"/>
  <c r="EW24" i="49"/>
  <c r="FM24" i="49" s="1"/>
  <c r="BS24" i="49"/>
  <c r="AU22" i="49"/>
  <c r="AO36" i="49"/>
  <c r="BY22" i="49"/>
  <c r="FG22" i="49" s="1"/>
  <c r="BS28" i="49"/>
  <c r="FR11" i="48"/>
  <c r="FR8" i="48"/>
  <c r="FP6" i="48"/>
  <c r="FL6" i="48"/>
  <c r="BS4" i="48"/>
  <c r="FC12" i="48"/>
  <c r="FS17" i="48" s="1"/>
  <c r="BY12" i="48"/>
  <c r="FG12" i="48" s="1"/>
  <c r="BS14" i="48"/>
  <c r="EW14" i="48"/>
  <c r="FM14" i="48" s="1"/>
  <c r="FM12" i="48"/>
  <c r="FL12" i="48"/>
  <c r="FP12" i="48"/>
  <c r="FP15" i="48"/>
  <c r="FM15" i="48"/>
  <c r="FL15" i="48"/>
  <c r="FC8" i="48"/>
  <c r="FS8" i="48" s="1"/>
  <c r="FR10" i="48"/>
  <c r="FC10" i="48"/>
  <c r="BY10" i="48"/>
  <c r="FP14" i="48"/>
  <c r="BS20" i="48"/>
  <c r="EY20" i="48"/>
  <c r="BS5" i="48"/>
  <c r="EW5" i="48"/>
  <c r="FM5" i="48" s="1"/>
  <c r="FR22" i="48"/>
  <c r="FR25" i="48"/>
  <c r="FP16" i="48"/>
  <c r="FL16" i="48"/>
  <c r="FC19" i="48"/>
  <c r="FS19" i="48" s="1"/>
  <c r="BY19" i="48"/>
  <c r="FG19" i="48" s="1"/>
  <c r="BS21" i="48"/>
  <c r="EY21" i="48"/>
  <c r="FC24" i="48"/>
  <c r="BY24" i="48"/>
  <c r="FG24" i="48" s="1"/>
  <c r="BS7" i="48"/>
  <c r="EW7" i="48"/>
  <c r="FM7" i="48" s="1"/>
  <c r="FM6" i="48"/>
  <c r="FC9" i="48"/>
  <c r="FS9" i="48" s="1"/>
  <c r="BY9" i="48"/>
  <c r="FG9" i="48" s="1"/>
  <c r="FR14" i="48"/>
  <c r="FP13" i="48"/>
  <c r="FL13" i="48"/>
  <c r="FC11" i="48"/>
  <c r="BY11" i="48"/>
  <c r="FG11" i="48" s="1"/>
  <c r="FR9" i="48"/>
  <c r="FL7" i="48"/>
  <c r="FP4" i="48"/>
  <c r="FL4" i="48"/>
  <c r="FS5" i="48"/>
  <c r="FM20" i="48"/>
  <c r="FC4" i="48"/>
  <c r="FS4" i="48" s="1"/>
  <c r="BY4" i="48"/>
  <c r="FG4" i="48" s="1"/>
  <c r="EY6" i="48"/>
  <c r="BS6" i="48"/>
  <c r="FM11" i="48"/>
  <c r="FE15" i="48"/>
  <c r="FS14" i="48" s="1"/>
  <c r="BY15" i="48"/>
  <c r="FG15" i="48" s="1"/>
  <c r="FM4" i="48"/>
  <c r="BY7" i="48"/>
  <c r="FG7" i="48" s="1"/>
  <c r="FS20" i="48"/>
  <c r="FP18" i="48"/>
  <c r="FL18" i="48"/>
  <c r="EW22" i="48"/>
  <c r="FM22" i="48" s="1"/>
  <c r="BS22" i="48"/>
  <c r="AU17" i="48"/>
  <c r="FM17" i="48"/>
  <c r="FP22" i="48"/>
  <c r="FL22" i="48"/>
  <c r="FL23" i="48"/>
  <c r="FP5" i="48"/>
  <c r="BS8" i="48"/>
  <c r="J8" i="48" s="1"/>
  <c r="EW8" i="48"/>
  <c r="FM8" i="48" s="1"/>
  <c r="AU6" i="48"/>
  <c r="BS19" i="48"/>
  <c r="BY17" i="48"/>
  <c r="FG17" i="48" s="1"/>
  <c r="BS13" i="48"/>
  <c r="FP20" i="48"/>
  <c r="FS13" i="48"/>
  <c r="FR21" i="48"/>
  <c r="FM23" i="48"/>
  <c r="AO11" i="48"/>
  <c r="EW24" i="48"/>
  <c r="FM24" i="48" s="1"/>
  <c r="BS24" i="48"/>
  <c r="BY18" i="48"/>
  <c r="FC16" i="48"/>
  <c r="FS18" i="48" s="1"/>
  <c r="BY16" i="48"/>
  <c r="FG16" i="48" s="1"/>
  <c r="EW25" i="48"/>
  <c r="FM25" i="48" s="1"/>
  <c r="BS25" i="48"/>
  <c r="FC22" i="48"/>
  <c r="BY22" i="48"/>
  <c r="FG22" i="48" s="1"/>
  <c r="BS17" i="48"/>
  <c r="EF6" i="47"/>
  <c r="EJ6" i="47" s="1"/>
  <c r="EG6" i="47"/>
  <c r="EK6" i="47" s="1"/>
  <c r="ET6" i="47" s="1"/>
  <c r="EH6" i="47"/>
  <c r="EI6" i="47"/>
  <c r="EL6" i="47"/>
  <c r="EM6" i="47"/>
  <c r="EN6" i="47"/>
  <c r="ER6" i="47" s="1"/>
  <c r="EO6" i="47"/>
  <c r="ES6" i="47" s="1"/>
  <c r="EP6" i="47"/>
  <c r="EQ6" i="47"/>
  <c r="EF7" i="47"/>
  <c r="EJ7" i="47" s="1"/>
  <c r="EG7" i="47"/>
  <c r="EK7" i="47" s="1"/>
  <c r="ET7" i="47" s="1"/>
  <c r="EH7" i="47"/>
  <c r="EI7" i="47"/>
  <c r="EL7" i="47"/>
  <c r="EM7" i="47"/>
  <c r="EN7" i="47"/>
  <c r="ER7" i="47" s="1"/>
  <c r="EO7" i="47"/>
  <c r="ES7" i="47" s="1"/>
  <c r="EP7" i="47"/>
  <c r="EQ7" i="47"/>
  <c r="EF8" i="47"/>
  <c r="EJ8" i="47" s="1"/>
  <c r="EG8" i="47"/>
  <c r="EK8" i="47" s="1"/>
  <c r="ET8" i="47" s="1"/>
  <c r="EH8" i="47"/>
  <c r="EI8" i="47"/>
  <c r="EL8" i="47"/>
  <c r="EM8" i="47"/>
  <c r="EN8" i="47"/>
  <c r="ER8" i="47" s="1"/>
  <c r="EO8" i="47"/>
  <c r="ES8" i="47" s="1"/>
  <c r="EP8" i="47"/>
  <c r="EQ8" i="47"/>
  <c r="EF5" i="47"/>
  <c r="EG5" i="47"/>
  <c r="EH5" i="47"/>
  <c r="EI5" i="47"/>
  <c r="EL5" i="47"/>
  <c r="EM5" i="47"/>
  <c r="EN5" i="47"/>
  <c r="EO5" i="47"/>
  <c r="EP5" i="47"/>
  <c r="EQ5" i="47"/>
  <c r="EF13" i="47"/>
  <c r="EG13" i="47"/>
  <c r="EH13" i="47"/>
  <c r="EI13" i="47"/>
  <c r="EL13" i="47"/>
  <c r="EM13" i="47"/>
  <c r="EN13" i="47"/>
  <c r="ER13" i="47" s="1"/>
  <c r="EO13" i="47"/>
  <c r="ES13" i="47" s="1"/>
  <c r="EP13" i="47"/>
  <c r="EQ13" i="47"/>
  <c r="EF9" i="47"/>
  <c r="EJ9" i="47" s="1"/>
  <c r="EG9" i="47"/>
  <c r="EK9" i="47" s="1"/>
  <c r="ET9" i="47" s="1"/>
  <c r="EH9" i="47"/>
  <c r="EI9" i="47"/>
  <c r="EL9" i="47"/>
  <c r="EM9" i="47"/>
  <c r="EN9" i="47"/>
  <c r="ER9" i="47" s="1"/>
  <c r="EO9" i="47"/>
  <c r="ES9" i="47" s="1"/>
  <c r="EP9" i="47"/>
  <c r="EQ9" i="47"/>
  <c r="EF11" i="47"/>
  <c r="EJ11" i="47" s="1"/>
  <c r="EG11" i="47"/>
  <c r="EK11" i="47" s="1"/>
  <c r="ET11" i="47" s="1"/>
  <c r="EH11" i="47"/>
  <c r="EI11" i="47"/>
  <c r="EL11" i="47"/>
  <c r="EM11" i="47"/>
  <c r="EN11" i="47"/>
  <c r="ER11" i="47" s="1"/>
  <c r="EO11" i="47"/>
  <c r="ES11" i="47" s="1"/>
  <c r="EP11" i="47"/>
  <c r="EQ11" i="47"/>
  <c r="EF12" i="47"/>
  <c r="EJ12" i="47" s="1"/>
  <c r="EG12" i="47"/>
  <c r="EK12" i="47" s="1"/>
  <c r="ET12" i="47" s="1"/>
  <c r="EH12" i="47"/>
  <c r="EI12" i="47"/>
  <c r="EL12" i="47"/>
  <c r="EM12" i="47"/>
  <c r="EN12" i="47"/>
  <c r="ER12" i="47" s="1"/>
  <c r="EO12" i="47"/>
  <c r="ES12" i="47" s="1"/>
  <c r="EP12" i="47"/>
  <c r="EQ12" i="47"/>
  <c r="EF15" i="47"/>
  <c r="EG15" i="47"/>
  <c r="EH15" i="47"/>
  <c r="EI15" i="47"/>
  <c r="EL15" i="47"/>
  <c r="EM15" i="47"/>
  <c r="EN15" i="47"/>
  <c r="ER15" i="47" s="1"/>
  <c r="EO15" i="47"/>
  <c r="ES15" i="47" s="1"/>
  <c r="EP15" i="47"/>
  <c r="EQ15" i="47"/>
  <c r="EF10" i="47"/>
  <c r="EJ10" i="47" s="1"/>
  <c r="EG10" i="47"/>
  <c r="EK10" i="47" s="1"/>
  <c r="ET10" i="47" s="1"/>
  <c r="EH10" i="47"/>
  <c r="EI10" i="47"/>
  <c r="EL10" i="47"/>
  <c r="EM10" i="47"/>
  <c r="EN10" i="47"/>
  <c r="ER10" i="47" s="1"/>
  <c r="EO10" i="47"/>
  <c r="ES10" i="47" s="1"/>
  <c r="EP10" i="47"/>
  <c r="EQ10" i="47"/>
  <c r="EF14" i="47"/>
  <c r="EJ14" i="47" s="1"/>
  <c r="EG14" i="47"/>
  <c r="EK14" i="47" s="1"/>
  <c r="ET14" i="47" s="1"/>
  <c r="EH14" i="47"/>
  <c r="EI14" i="47"/>
  <c r="EL14" i="47"/>
  <c r="EM14" i="47"/>
  <c r="EN14" i="47"/>
  <c r="ER14" i="47" s="1"/>
  <c r="EO14" i="47"/>
  <c r="ES14" i="47" s="1"/>
  <c r="EP14" i="47"/>
  <c r="EQ14" i="47"/>
  <c r="EF18" i="47"/>
  <c r="EJ18" i="47" s="1"/>
  <c r="EG18" i="47"/>
  <c r="EK18" i="47" s="1"/>
  <c r="ET18" i="47" s="1"/>
  <c r="EH18" i="47"/>
  <c r="EI18" i="47"/>
  <c r="EL18" i="47"/>
  <c r="EM18" i="47"/>
  <c r="EN18" i="47"/>
  <c r="ER18" i="47" s="1"/>
  <c r="EO18" i="47"/>
  <c r="ES18" i="47" s="1"/>
  <c r="EP18" i="47"/>
  <c r="EQ18" i="47"/>
  <c r="EF19" i="47"/>
  <c r="EJ19" i="47" s="1"/>
  <c r="EG19" i="47"/>
  <c r="EK19" i="47" s="1"/>
  <c r="ET19" i="47" s="1"/>
  <c r="EH19" i="47"/>
  <c r="EI19" i="47"/>
  <c r="EL19" i="47"/>
  <c r="EM19" i="47"/>
  <c r="EN19" i="47"/>
  <c r="ER19" i="47" s="1"/>
  <c r="EO19" i="47"/>
  <c r="ES19" i="47" s="1"/>
  <c r="EP19" i="47"/>
  <c r="EQ19" i="47"/>
  <c r="EF17" i="47"/>
  <c r="EJ17" i="47" s="1"/>
  <c r="EG17" i="47"/>
  <c r="EK17" i="47" s="1"/>
  <c r="ET17" i="47" s="1"/>
  <c r="EH17" i="47"/>
  <c r="EI17" i="47"/>
  <c r="EL17" i="47"/>
  <c r="EM17" i="47"/>
  <c r="EN17" i="47"/>
  <c r="ER17" i="47" s="1"/>
  <c r="EO17" i="47"/>
  <c r="ES17" i="47" s="1"/>
  <c r="EP17" i="47"/>
  <c r="EQ17" i="47"/>
  <c r="EF27" i="47"/>
  <c r="EJ27" i="47" s="1"/>
  <c r="EG27" i="47"/>
  <c r="EK27" i="47" s="1"/>
  <c r="ET27" i="47" s="1"/>
  <c r="EH27" i="47"/>
  <c r="EI27" i="47"/>
  <c r="EL27" i="47"/>
  <c r="EM27" i="47"/>
  <c r="EN27" i="47"/>
  <c r="ER27" i="47" s="1"/>
  <c r="EO27" i="47"/>
  <c r="ES27" i="47" s="1"/>
  <c r="EP27" i="47"/>
  <c r="EQ27" i="47"/>
  <c r="EF16" i="47"/>
  <c r="EJ16" i="47" s="1"/>
  <c r="EG16" i="47"/>
  <c r="EK16" i="47" s="1"/>
  <c r="ET16" i="47" s="1"/>
  <c r="EH16" i="47"/>
  <c r="EI16" i="47"/>
  <c r="EL16" i="47"/>
  <c r="EM16" i="47"/>
  <c r="EN16" i="47"/>
  <c r="ER16" i="47" s="1"/>
  <c r="EO16" i="47"/>
  <c r="ES16" i="47" s="1"/>
  <c r="EP16" i="47"/>
  <c r="EQ16" i="47"/>
  <c r="EF21" i="47"/>
  <c r="EJ21" i="47" s="1"/>
  <c r="EG21" i="47"/>
  <c r="EK21" i="47" s="1"/>
  <c r="ET21" i="47" s="1"/>
  <c r="EH21" i="47"/>
  <c r="EI21" i="47"/>
  <c r="EL21" i="47"/>
  <c r="EM21" i="47"/>
  <c r="EN21" i="47"/>
  <c r="ER21" i="47" s="1"/>
  <c r="EO21" i="47"/>
  <c r="ES21" i="47" s="1"/>
  <c r="EP21" i="47"/>
  <c r="EQ21" i="47"/>
  <c r="EF22" i="47"/>
  <c r="EJ22" i="47" s="1"/>
  <c r="EG22" i="47"/>
  <c r="EK22" i="47" s="1"/>
  <c r="ET22" i="47" s="1"/>
  <c r="EH22" i="47"/>
  <c r="EI22" i="47"/>
  <c r="EL22" i="47"/>
  <c r="EM22" i="47"/>
  <c r="EN22" i="47"/>
  <c r="ER22" i="47" s="1"/>
  <c r="EO22" i="47"/>
  <c r="ES22" i="47" s="1"/>
  <c r="EP22" i="47"/>
  <c r="EQ22" i="47"/>
  <c r="EF23" i="47"/>
  <c r="EJ23" i="47" s="1"/>
  <c r="EG23" i="47"/>
  <c r="EK23" i="47" s="1"/>
  <c r="ET23" i="47" s="1"/>
  <c r="EH23" i="47"/>
  <c r="EI23" i="47"/>
  <c r="EL23" i="47"/>
  <c r="EM23" i="47"/>
  <c r="EN23" i="47"/>
  <c r="ER23" i="47" s="1"/>
  <c r="EO23" i="47"/>
  <c r="ES23" i="47" s="1"/>
  <c r="EP23" i="47"/>
  <c r="EQ23" i="47"/>
  <c r="EF24" i="47"/>
  <c r="EJ24" i="47" s="1"/>
  <c r="EG24" i="47"/>
  <c r="EK24" i="47" s="1"/>
  <c r="ET24" i="47" s="1"/>
  <c r="EH24" i="47"/>
  <c r="EI24" i="47"/>
  <c r="EL24" i="47"/>
  <c r="EM24" i="47"/>
  <c r="EN24" i="47"/>
  <c r="ER24" i="47" s="1"/>
  <c r="EO24" i="47"/>
  <c r="ES24" i="47" s="1"/>
  <c r="EP24" i="47"/>
  <c r="EQ24" i="47"/>
  <c r="EF25" i="47"/>
  <c r="EJ25" i="47" s="1"/>
  <c r="EG25" i="47"/>
  <c r="EK25" i="47" s="1"/>
  <c r="ET25" i="47" s="1"/>
  <c r="EH25" i="47"/>
  <c r="EI25" i="47"/>
  <c r="EL25" i="47"/>
  <c r="EM25" i="47"/>
  <c r="EN25" i="47"/>
  <c r="ER25" i="47" s="1"/>
  <c r="EO25" i="47"/>
  <c r="ES25" i="47" s="1"/>
  <c r="EP25" i="47"/>
  <c r="EQ25" i="47"/>
  <c r="EF20" i="47"/>
  <c r="EJ20" i="47" s="1"/>
  <c r="EG20" i="47"/>
  <c r="EK20" i="47" s="1"/>
  <c r="ET20" i="47" s="1"/>
  <c r="EH20" i="47"/>
  <c r="EI20" i="47"/>
  <c r="EL20" i="47"/>
  <c r="EM20" i="47"/>
  <c r="EN20" i="47"/>
  <c r="ER20" i="47" s="1"/>
  <c r="EO20" i="47"/>
  <c r="ES20" i="47" s="1"/>
  <c r="EP20" i="47"/>
  <c r="EQ20" i="47"/>
  <c r="EF26" i="47"/>
  <c r="EJ26" i="47" s="1"/>
  <c r="EG26" i="47"/>
  <c r="EK26" i="47" s="1"/>
  <c r="ET26" i="47" s="1"/>
  <c r="EH26" i="47"/>
  <c r="EI26" i="47"/>
  <c r="EL26" i="47"/>
  <c r="EM26" i="47"/>
  <c r="EN26" i="47"/>
  <c r="ER26" i="47" s="1"/>
  <c r="EO26" i="47"/>
  <c r="ES26" i="47" s="1"/>
  <c r="EP26" i="47"/>
  <c r="EQ26" i="47"/>
  <c r="EF28" i="47"/>
  <c r="EJ28" i="47" s="1"/>
  <c r="EG28" i="47"/>
  <c r="EK28" i="47" s="1"/>
  <c r="ET28" i="47" s="1"/>
  <c r="EH28" i="47"/>
  <c r="EI28" i="47"/>
  <c r="EL28" i="47"/>
  <c r="EM28" i="47"/>
  <c r="EN28" i="47"/>
  <c r="ER28" i="47" s="1"/>
  <c r="EO28" i="47"/>
  <c r="ES28" i="47" s="1"/>
  <c r="EP28" i="47"/>
  <c r="EQ28" i="47"/>
  <c r="EF29" i="47"/>
  <c r="EJ29" i="47" s="1"/>
  <c r="EG29" i="47"/>
  <c r="EK29" i="47" s="1"/>
  <c r="ET29" i="47" s="1"/>
  <c r="EH29" i="47"/>
  <c r="EI29" i="47"/>
  <c r="EL29" i="47"/>
  <c r="EM29" i="47"/>
  <c r="EN29" i="47"/>
  <c r="ER29" i="47" s="1"/>
  <c r="EO29" i="47"/>
  <c r="ES29" i="47" s="1"/>
  <c r="EP29" i="47"/>
  <c r="EQ29" i="47"/>
  <c r="EF30" i="47"/>
  <c r="EJ30" i="47" s="1"/>
  <c r="EG30" i="47"/>
  <c r="EK30" i="47" s="1"/>
  <c r="ET30" i="47" s="1"/>
  <c r="EH30" i="47"/>
  <c r="EI30" i="47"/>
  <c r="EL30" i="47"/>
  <c r="EM30" i="47"/>
  <c r="EN30" i="47"/>
  <c r="ER30" i="47" s="1"/>
  <c r="EO30" i="47"/>
  <c r="ES30" i="47" s="1"/>
  <c r="EP30" i="47"/>
  <c r="EQ30" i="47"/>
  <c r="EF31" i="47"/>
  <c r="EJ31" i="47" s="1"/>
  <c r="EG31" i="47"/>
  <c r="EK31" i="47" s="1"/>
  <c r="ET31" i="47" s="1"/>
  <c r="EH31" i="47"/>
  <c r="EI31" i="47"/>
  <c r="EL31" i="47"/>
  <c r="EM31" i="47"/>
  <c r="EN31" i="47"/>
  <c r="ER31" i="47" s="1"/>
  <c r="EO31" i="47"/>
  <c r="ES31" i="47" s="1"/>
  <c r="EP31" i="47"/>
  <c r="EQ31" i="47"/>
  <c r="CW6" i="47"/>
  <c r="DA6" i="47" s="1"/>
  <c r="CX6" i="47"/>
  <c r="CY6" i="47"/>
  <c r="CZ6" i="47"/>
  <c r="DC6" i="47"/>
  <c r="DD6" i="47"/>
  <c r="DE6" i="47"/>
  <c r="DI6" i="47" s="1"/>
  <c r="DF6" i="47"/>
  <c r="DJ6" i="47" s="1"/>
  <c r="DG6" i="47"/>
  <c r="DH6" i="47"/>
  <c r="CW7" i="47"/>
  <c r="CX7" i="47"/>
  <c r="CY7" i="47"/>
  <c r="CZ7" i="47"/>
  <c r="DC7" i="47"/>
  <c r="DD7" i="47"/>
  <c r="DE7" i="47"/>
  <c r="DI7" i="47" s="1"/>
  <c r="DF7" i="47"/>
  <c r="DJ7" i="47" s="1"/>
  <c r="DG7" i="47"/>
  <c r="DH7" i="47"/>
  <c r="CW8" i="47"/>
  <c r="CX8" i="47"/>
  <c r="CY8" i="47"/>
  <c r="CZ8" i="47"/>
  <c r="DC8" i="47"/>
  <c r="DD8" i="47"/>
  <c r="DE8" i="47"/>
  <c r="DI8" i="47" s="1"/>
  <c r="DF8" i="47"/>
  <c r="DJ8" i="47" s="1"/>
  <c r="DG8" i="47"/>
  <c r="DH8" i="47"/>
  <c r="CW5" i="47"/>
  <c r="DA5" i="47" s="1"/>
  <c r="CX5" i="47"/>
  <c r="DB5" i="47" s="1"/>
  <c r="CY5" i="47"/>
  <c r="CZ5" i="47"/>
  <c r="DC5" i="47"/>
  <c r="DD5" i="47"/>
  <c r="DE5" i="47"/>
  <c r="DI5" i="47" s="1"/>
  <c r="DF5" i="47"/>
  <c r="DJ5" i="47" s="1"/>
  <c r="DG5" i="47"/>
  <c r="DH5" i="47"/>
  <c r="CW13" i="47"/>
  <c r="DA13" i="47" s="1"/>
  <c r="CX13" i="47"/>
  <c r="DB13" i="47" s="1"/>
  <c r="CY13" i="47"/>
  <c r="CZ13" i="47"/>
  <c r="DC13" i="47"/>
  <c r="DD13" i="47"/>
  <c r="DE13" i="47"/>
  <c r="DI13" i="47" s="1"/>
  <c r="DF13" i="47"/>
  <c r="DJ13" i="47" s="1"/>
  <c r="DG13" i="47"/>
  <c r="DH13" i="47"/>
  <c r="CW9" i="47"/>
  <c r="DA9" i="47" s="1"/>
  <c r="CX9" i="47"/>
  <c r="DB9" i="47" s="1"/>
  <c r="CY9" i="47"/>
  <c r="CZ9" i="47"/>
  <c r="DC9" i="47"/>
  <c r="DD9" i="47"/>
  <c r="DE9" i="47"/>
  <c r="DI9" i="47" s="1"/>
  <c r="DF9" i="47"/>
  <c r="DJ9" i="47" s="1"/>
  <c r="DG9" i="47"/>
  <c r="DH9" i="47"/>
  <c r="CW11" i="47"/>
  <c r="DA11" i="47" s="1"/>
  <c r="CX11" i="47"/>
  <c r="DB11" i="47" s="1"/>
  <c r="CY11" i="47"/>
  <c r="CZ11" i="47"/>
  <c r="DC11" i="47"/>
  <c r="DD11" i="47"/>
  <c r="DE11" i="47"/>
  <c r="DI11" i="47" s="1"/>
  <c r="DF11" i="47"/>
  <c r="DJ11" i="47" s="1"/>
  <c r="DG11" i="47"/>
  <c r="DH11" i="47"/>
  <c r="CW12" i="47"/>
  <c r="DA12" i="47" s="1"/>
  <c r="CX12" i="47"/>
  <c r="DB12" i="47" s="1"/>
  <c r="CY12" i="47"/>
  <c r="CZ12" i="47"/>
  <c r="DC12" i="47"/>
  <c r="DD12" i="47"/>
  <c r="DE12" i="47"/>
  <c r="DI12" i="47" s="1"/>
  <c r="DF12" i="47"/>
  <c r="DJ12" i="47" s="1"/>
  <c r="DG12" i="47"/>
  <c r="DH12" i="47"/>
  <c r="CW15" i="47"/>
  <c r="DA15" i="47" s="1"/>
  <c r="CX15" i="47"/>
  <c r="DB15" i="47" s="1"/>
  <c r="CY15" i="47"/>
  <c r="CZ15" i="47"/>
  <c r="DC15" i="47"/>
  <c r="DD15" i="47"/>
  <c r="DE15" i="47"/>
  <c r="DI15" i="47" s="1"/>
  <c r="DF15" i="47"/>
  <c r="DJ15" i="47" s="1"/>
  <c r="DG15" i="47"/>
  <c r="DH15" i="47"/>
  <c r="CW10" i="47"/>
  <c r="DA10" i="47" s="1"/>
  <c r="CX10" i="47"/>
  <c r="DB10" i="47" s="1"/>
  <c r="CY10" i="47"/>
  <c r="CZ10" i="47"/>
  <c r="DC10" i="47"/>
  <c r="DD10" i="47"/>
  <c r="DE10" i="47"/>
  <c r="DI10" i="47" s="1"/>
  <c r="DF10" i="47"/>
  <c r="DJ10" i="47" s="1"/>
  <c r="DG10" i="47"/>
  <c r="DH10" i="47"/>
  <c r="CW14" i="47"/>
  <c r="CX14" i="47"/>
  <c r="CY14" i="47"/>
  <c r="CZ14" i="47"/>
  <c r="DA14" i="47"/>
  <c r="DB14" i="47"/>
  <c r="DC14" i="47"/>
  <c r="DD14" i="47"/>
  <c r="DE14" i="47"/>
  <c r="DI14" i="47" s="1"/>
  <c r="DF14" i="47"/>
  <c r="DJ14" i="47" s="1"/>
  <c r="DG14" i="47"/>
  <c r="DH14" i="47"/>
  <c r="CW18" i="47"/>
  <c r="DA18" i="47" s="1"/>
  <c r="CX18" i="47"/>
  <c r="DB18" i="47" s="1"/>
  <c r="CY18" i="47"/>
  <c r="CZ18" i="47"/>
  <c r="DC18" i="47"/>
  <c r="DD18" i="47"/>
  <c r="DE18" i="47"/>
  <c r="DI18" i="47" s="1"/>
  <c r="DF18" i="47"/>
  <c r="DJ18" i="47" s="1"/>
  <c r="DG18" i="47"/>
  <c r="DH18" i="47"/>
  <c r="CW19" i="47"/>
  <c r="DA19" i="47" s="1"/>
  <c r="CX19" i="47"/>
  <c r="DB19" i="47" s="1"/>
  <c r="CY19" i="47"/>
  <c r="CZ19" i="47"/>
  <c r="DC19" i="47"/>
  <c r="DD19" i="47"/>
  <c r="DE19" i="47"/>
  <c r="DI19" i="47" s="1"/>
  <c r="DF19" i="47"/>
  <c r="DJ19" i="47" s="1"/>
  <c r="DG19" i="47"/>
  <c r="DH19" i="47"/>
  <c r="CW17" i="47"/>
  <c r="DA17" i="47" s="1"/>
  <c r="CX17" i="47"/>
  <c r="DB17" i="47" s="1"/>
  <c r="CY17" i="47"/>
  <c r="CZ17" i="47"/>
  <c r="DC17" i="47"/>
  <c r="DD17" i="47"/>
  <c r="DE17" i="47"/>
  <c r="DI17" i="47" s="1"/>
  <c r="DF17" i="47"/>
  <c r="DJ17" i="47" s="1"/>
  <c r="DG17" i="47"/>
  <c r="DH17" i="47"/>
  <c r="CW27" i="47"/>
  <c r="DA27" i="47" s="1"/>
  <c r="CX27" i="47"/>
  <c r="CY27" i="47"/>
  <c r="CZ27" i="47"/>
  <c r="DC27" i="47"/>
  <c r="DD27" i="47"/>
  <c r="DE27" i="47"/>
  <c r="DI27" i="47" s="1"/>
  <c r="DF27" i="47"/>
  <c r="DJ27" i="47" s="1"/>
  <c r="DG27" i="47"/>
  <c r="DH27" i="47"/>
  <c r="CW16" i="47"/>
  <c r="DA16" i="47" s="1"/>
  <c r="CX16" i="47"/>
  <c r="CY16" i="47"/>
  <c r="CZ16" i="47"/>
  <c r="DC16" i="47"/>
  <c r="DD16" i="47"/>
  <c r="DE16" i="47"/>
  <c r="DI16" i="47" s="1"/>
  <c r="DF16" i="47"/>
  <c r="DJ16" i="47" s="1"/>
  <c r="DG16" i="47"/>
  <c r="DH16" i="47"/>
  <c r="CW21" i="47"/>
  <c r="DA21" i="47" s="1"/>
  <c r="CX21" i="47"/>
  <c r="CY21" i="47"/>
  <c r="CZ21" i="47"/>
  <c r="DC21" i="47"/>
  <c r="DD21" i="47"/>
  <c r="DE21" i="47"/>
  <c r="DI21" i="47" s="1"/>
  <c r="DF21" i="47"/>
  <c r="DJ21" i="47" s="1"/>
  <c r="DG21" i="47"/>
  <c r="DH21" i="47"/>
  <c r="CW22" i="47"/>
  <c r="DA22" i="47" s="1"/>
  <c r="CX22" i="47"/>
  <c r="CY22" i="47"/>
  <c r="CZ22" i="47"/>
  <c r="DC22" i="47"/>
  <c r="DD22" i="47"/>
  <c r="DE22" i="47"/>
  <c r="DI22" i="47" s="1"/>
  <c r="DF22" i="47"/>
  <c r="DJ22" i="47" s="1"/>
  <c r="DG22" i="47"/>
  <c r="DH22" i="47"/>
  <c r="CW23" i="47"/>
  <c r="DA23" i="47" s="1"/>
  <c r="CX23" i="47"/>
  <c r="DB23" i="47" s="1"/>
  <c r="CY23" i="47"/>
  <c r="CZ23" i="47"/>
  <c r="DC23" i="47"/>
  <c r="DD23" i="47"/>
  <c r="DE23" i="47"/>
  <c r="DI23" i="47" s="1"/>
  <c r="DF23" i="47"/>
  <c r="DJ23" i="47" s="1"/>
  <c r="DG23" i="47"/>
  <c r="DH23" i="47"/>
  <c r="CW24" i="47"/>
  <c r="DA24" i="47" s="1"/>
  <c r="CX24" i="47"/>
  <c r="DB24" i="47" s="1"/>
  <c r="CY24" i="47"/>
  <c r="CZ24" i="47"/>
  <c r="DC24" i="47"/>
  <c r="DD24" i="47"/>
  <c r="DE24" i="47"/>
  <c r="DI24" i="47" s="1"/>
  <c r="DF24" i="47"/>
  <c r="DJ24" i="47" s="1"/>
  <c r="DG24" i="47"/>
  <c r="DH24" i="47"/>
  <c r="CW25" i="47"/>
  <c r="DA25" i="47" s="1"/>
  <c r="CX25" i="47"/>
  <c r="DB25" i="47" s="1"/>
  <c r="CY25" i="47"/>
  <c r="CZ25" i="47"/>
  <c r="DC25" i="47"/>
  <c r="DD25" i="47"/>
  <c r="DE25" i="47"/>
  <c r="DI25" i="47" s="1"/>
  <c r="DF25" i="47"/>
  <c r="DJ25" i="47" s="1"/>
  <c r="DG25" i="47"/>
  <c r="DH25" i="47"/>
  <c r="CW20" i="47"/>
  <c r="DA20" i="47" s="1"/>
  <c r="CX20" i="47"/>
  <c r="DB20" i="47" s="1"/>
  <c r="CY20" i="47"/>
  <c r="CZ20" i="47"/>
  <c r="DC20" i="47"/>
  <c r="DD20" i="47"/>
  <c r="DE20" i="47"/>
  <c r="DI20" i="47" s="1"/>
  <c r="DF20" i="47"/>
  <c r="DJ20" i="47" s="1"/>
  <c r="DG20" i="47"/>
  <c r="DH20" i="47"/>
  <c r="CW26" i="47"/>
  <c r="DA26" i="47" s="1"/>
  <c r="CX26" i="47"/>
  <c r="DB26" i="47" s="1"/>
  <c r="CY26" i="47"/>
  <c r="CZ26" i="47"/>
  <c r="DC26" i="47"/>
  <c r="DD26" i="47"/>
  <c r="DE26" i="47"/>
  <c r="DI26" i="47" s="1"/>
  <c r="DF26" i="47"/>
  <c r="DJ26" i="47" s="1"/>
  <c r="DG26" i="47"/>
  <c r="DH26" i="47"/>
  <c r="CW28" i="47"/>
  <c r="DA28" i="47" s="1"/>
  <c r="CX28" i="47"/>
  <c r="DB28" i="47" s="1"/>
  <c r="CY28" i="47"/>
  <c r="CZ28" i="47"/>
  <c r="DC28" i="47"/>
  <c r="DD28" i="47"/>
  <c r="DE28" i="47"/>
  <c r="DI28" i="47" s="1"/>
  <c r="DF28" i="47"/>
  <c r="DJ28" i="47" s="1"/>
  <c r="DG28" i="47"/>
  <c r="DH28" i="47"/>
  <c r="CW29" i="47"/>
  <c r="DA29" i="47" s="1"/>
  <c r="CX29" i="47"/>
  <c r="DB29" i="47" s="1"/>
  <c r="CY29" i="47"/>
  <c r="CZ29" i="47"/>
  <c r="DC29" i="47"/>
  <c r="DD29" i="47"/>
  <c r="DE29" i="47"/>
  <c r="DI29" i="47" s="1"/>
  <c r="DF29" i="47"/>
  <c r="DJ29" i="47" s="1"/>
  <c r="DG29" i="47"/>
  <c r="DH29" i="47"/>
  <c r="CW30" i="47"/>
  <c r="DA30" i="47" s="1"/>
  <c r="CX30" i="47"/>
  <c r="DB30" i="47" s="1"/>
  <c r="CY30" i="47"/>
  <c r="CZ30" i="47"/>
  <c r="DC30" i="47"/>
  <c r="DD30" i="47"/>
  <c r="DE30" i="47"/>
  <c r="DI30" i="47" s="1"/>
  <c r="DF30" i="47"/>
  <c r="DJ30" i="47" s="1"/>
  <c r="DG30" i="47"/>
  <c r="DH30" i="47"/>
  <c r="CW31" i="47"/>
  <c r="DA31" i="47" s="1"/>
  <c r="CX31" i="47"/>
  <c r="DB31" i="47" s="1"/>
  <c r="CY31" i="47"/>
  <c r="CZ31" i="47"/>
  <c r="DC31" i="47"/>
  <c r="DD31" i="47"/>
  <c r="DE31" i="47"/>
  <c r="DI31" i="47" s="1"/>
  <c r="DF31" i="47"/>
  <c r="DJ31" i="47" s="1"/>
  <c r="DG31" i="47"/>
  <c r="DH31" i="47"/>
  <c r="EQ4" i="47"/>
  <c r="EP4" i="47"/>
  <c r="EO4" i="47"/>
  <c r="ES4" i="47" s="1"/>
  <c r="EN4" i="47"/>
  <c r="ER4" i="47" s="1"/>
  <c r="EM4" i="47"/>
  <c r="EL4" i="47"/>
  <c r="EI4" i="47"/>
  <c r="EH4" i="47"/>
  <c r="EG4" i="47"/>
  <c r="EK4" i="47" s="1"/>
  <c r="ET4" i="47" s="1"/>
  <c r="EF4" i="47"/>
  <c r="EJ4" i="47" s="1"/>
  <c r="CZ4" i="47"/>
  <c r="DD4" i="47"/>
  <c r="DF4" i="47"/>
  <c r="DJ4" i="47" s="1"/>
  <c r="DH4" i="47"/>
  <c r="DG4" i="47"/>
  <c r="DE4" i="47"/>
  <c r="DI4" i="47" s="1"/>
  <c r="DC4" i="47"/>
  <c r="CY4" i="47"/>
  <c r="CX4" i="47"/>
  <c r="CW4" i="47"/>
  <c r="DA4" i="47" s="1"/>
  <c r="BN4" i="47"/>
  <c r="EV4" i="47" s="1"/>
  <c r="FL4" i="47" s="1"/>
  <c r="EU4" i="47"/>
  <c r="EU6" i="47"/>
  <c r="EU7" i="47"/>
  <c r="EU8" i="47"/>
  <c r="EU5" i="47"/>
  <c r="EU13" i="47"/>
  <c r="EU9" i="47"/>
  <c r="EU11" i="47"/>
  <c r="EU12" i="47"/>
  <c r="EU15" i="47"/>
  <c r="EU10" i="47"/>
  <c r="EU14" i="47"/>
  <c r="EU18" i="47"/>
  <c r="EU19" i="47"/>
  <c r="EU17" i="47"/>
  <c r="EU27" i="47"/>
  <c r="EU16" i="47"/>
  <c r="EU21" i="47"/>
  <c r="EU22" i="47"/>
  <c r="EU23" i="47"/>
  <c r="EU24" i="47"/>
  <c r="EU25" i="47"/>
  <c r="EU20" i="47"/>
  <c r="EU26" i="47"/>
  <c r="EU28" i="47"/>
  <c r="EU29" i="47"/>
  <c r="EU30" i="47"/>
  <c r="EU31" i="47"/>
  <c r="AJ6" i="47"/>
  <c r="AK6" i="47"/>
  <c r="AL6" i="47"/>
  <c r="AM6" i="47"/>
  <c r="AN6" i="47"/>
  <c r="AP6" i="47"/>
  <c r="AQ6" i="47"/>
  <c r="AR6" i="47"/>
  <c r="AS6" i="47"/>
  <c r="AT6" i="47"/>
  <c r="AJ7" i="47"/>
  <c r="AK7" i="47"/>
  <c r="AL7" i="47"/>
  <c r="AM7" i="47"/>
  <c r="AN7" i="47"/>
  <c r="AP7" i="47"/>
  <c r="AQ7" i="47"/>
  <c r="AR7" i="47"/>
  <c r="AS7" i="47"/>
  <c r="AT7" i="47"/>
  <c r="AJ8" i="47"/>
  <c r="AK8" i="47"/>
  <c r="AL8" i="47"/>
  <c r="AM8" i="47"/>
  <c r="AN8" i="47"/>
  <c r="AP8" i="47"/>
  <c r="AQ8" i="47"/>
  <c r="AR8" i="47"/>
  <c r="AS8" i="47"/>
  <c r="AT8" i="47"/>
  <c r="AJ5" i="47"/>
  <c r="AK5" i="47"/>
  <c r="AL5" i="47"/>
  <c r="AM5" i="47"/>
  <c r="AN5" i="47"/>
  <c r="AP5" i="47"/>
  <c r="AQ5" i="47"/>
  <c r="AR5" i="47"/>
  <c r="AS5" i="47"/>
  <c r="AT5" i="47"/>
  <c r="AJ13" i="47"/>
  <c r="AK13" i="47"/>
  <c r="AL13" i="47"/>
  <c r="AM13" i="47"/>
  <c r="AN13" i="47"/>
  <c r="AP13" i="47"/>
  <c r="AQ13" i="47"/>
  <c r="AR13" i="47"/>
  <c r="AS13" i="47"/>
  <c r="AT13" i="47"/>
  <c r="AJ9" i="47"/>
  <c r="AK9" i="47"/>
  <c r="AL9" i="47"/>
  <c r="AM9" i="47"/>
  <c r="AN9" i="47"/>
  <c r="AP9" i="47"/>
  <c r="AQ9" i="47"/>
  <c r="AR9" i="47"/>
  <c r="AS9" i="47"/>
  <c r="AT9" i="47"/>
  <c r="AJ11" i="47"/>
  <c r="AK11" i="47"/>
  <c r="AL11" i="47"/>
  <c r="AM11" i="47"/>
  <c r="AN11" i="47"/>
  <c r="AP11" i="47"/>
  <c r="AQ11" i="47"/>
  <c r="AR11" i="47"/>
  <c r="AS11" i="47"/>
  <c r="AT11" i="47"/>
  <c r="AJ12" i="47"/>
  <c r="AK12" i="47"/>
  <c r="AL12" i="47"/>
  <c r="AM12" i="47"/>
  <c r="AN12" i="47"/>
  <c r="AP12" i="47"/>
  <c r="AQ12" i="47"/>
  <c r="AR12" i="47"/>
  <c r="AS12" i="47"/>
  <c r="AT12" i="47"/>
  <c r="AJ15" i="47"/>
  <c r="AK15" i="47"/>
  <c r="AL15" i="47"/>
  <c r="AM15" i="47"/>
  <c r="AN15" i="47"/>
  <c r="AP15" i="47"/>
  <c r="AQ15" i="47"/>
  <c r="AR15" i="47"/>
  <c r="AS15" i="47"/>
  <c r="AT15" i="47"/>
  <c r="AJ10" i="47"/>
  <c r="AK10" i="47"/>
  <c r="AL10" i="47"/>
  <c r="AM10" i="47"/>
  <c r="AN10" i="47"/>
  <c r="AP10" i="47"/>
  <c r="AQ10" i="47"/>
  <c r="AR10" i="47"/>
  <c r="AS10" i="47"/>
  <c r="AT10" i="47"/>
  <c r="AJ14" i="47"/>
  <c r="AK14" i="47"/>
  <c r="AL14" i="47"/>
  <c r="AM14" i="47"/>
  <c r="AN14" i="47"/>
  <c r="AP14" i="47"/>
  <c r="AQ14" i="47"/>
  <c r="AR14" i="47"/>
  <c r="AS14" i="47"/>
  <c r="AT14" i="47"/>
  <c r="AJ18" i="47"/>
  <c r="AK18" i="47"/>
  <c r="AL18" i="47"/>
  <c r="AM18" i="47"/>
  <c r="AN18" i="47"/>
  <c r="AP18" i="47"/>
  <c r="AQ18" i="47"/>
  <c r="AR18" i="47"/>
  <c r="AS18" i="47"/>
  <c r="AT18" i="47"/>
  <c r="AJ19" i="47"/>
  <c r="AK19" i="47"/>
  <c r="AL19" i="47"/>
  <c r="AM19" i="47"/>
  <c r="AN19" i="47"/>
  <c r="AP19" i="47"/>
  <c r="AQ19" i="47"/>
  <c r="AR19" i="47"/>
  <c r="AS19" i="47"/>
  <c r="AT19" i="47"/>
  <c r="AJ17" i="47"/>
  <c r="AK17" i="47"/>
  <c r="AL17" i="47"/>
  <c r="AM17" i="47"/>
  <c r="AN17" i="47"/>
  <c r="AP17" i="47"/>
  <c r="AQ17" i="47"/>
  <c r="AR17" i="47"/>
  <c r="AS17" i="47"/>
  <c r="AT17" i="47"/>
  <c r="AJ27" i="47"/>
  <c r="AK27" i="47"/>
  <c r="AL27" i="47"/>
  <c r="AM27" i="47"/>
  <c r="AN27" i="47"/>
  <c r="AP27" i="47"/>
  <c r="AQ27" i="47"/>
  <c r="AR27" i="47"/>
  <c r="AS27" i="47"/>
  <c r="AT27" i="47"/>
  <c r="AJ16" i="47"/>
  <c r="AK16" i="47"/>
  <c r="AL16" i="47"/>
  <c r="AM16" i="47"/>
  <c r="AN16" i="47"/>
  <c r="AP16" i="47"/>
  <c r="AQ16" i="47"/>
  <c r="AR16" i="47"/>
  <c r="AS16" i="47"/>
  <c r="AT16" i="47"/>
  <c r="AJ21" i="47"/>
  <c r="AK21" i="47"/>
  <c r="AL21" i="47"/>
  <c r="AM21" i="47"/>
  <c r="AN21" i="47"/>
  <c r="AP21" i="47"/>
  <c r="AQ21" i="47"/>
  <c r="AR21" i="47"/>
  <c r="AS21" i="47"/>
  <c r="AT21" i="47"/>
  <c r="AJ22" i="47"/>
  <c r="AK22" i="47"/>
  <c r="AL22" i="47"/>
  <c r="AM22" i="47"/>
  <c r="AN22" i="47"/>
  <c r="AP22" i="47"/>
  <c r="AQ22" i="47"/>
  <c r="AR22" i="47"/>
  <c r="AS22" i="47"/>
  <c r="AT22" i="47"/>
  <c r="AJ23" i="47"/>
  <c r="AK23" i="47"/>
  <c r="AL23" i="47"/>
  <c r="AM23" i="47"/>
  <c r="AN23" i="47"/>
  <c r="AP23" i="47"/>
  <c r="AQ23" i="47"/>
  <c r="AR23" i="47"/>
  <c r="AS23" i="47"/>
  <c r="AT23" i="47"/>
  <c r="AJ24" i="47"/>
  <c r="AK24" i="47"/>
  <c r="AL24" i="47"/>
  <c r="AM24" i="47"/>
  <c r="AN24" i="47"/>
  <c r="AP24" i="47"/>
  <c r="AQ24" i="47"/>
  <c r="AR24" i="47"/>
  <c r="AS24" i="47"/>
  <c r="AT24" i="47"/>
  <c r="AJ25" i="47"/>
  <c r="AK25" i="47"/>
  <c r="AL25" i="47"/>
  <c r="AM25" i="47"/>
  <c r="AN25" i="47"/>
  <c r="AP25" i="47"/>
  <c r="AQ25" i="47"/>
  <c r="AR25" i="47"/>
  <c r="AS25" i="47"/>
  <c r="AT25" i="47"/>
  <c r="AJ20" i="47"/>
  <c r="AK20" i="47"/>
  <c r="AL20" i="47"/>
  <c r="AM20" i="47"/>
  <c r="AN20" i="47"/>
  <c r="AP20" i="47"/>
  <c r="AQ20" i="47"/>
  <c r="AR20" i="47"/>
  <c r="AS20" i="47"/>
  <c r="AT20" i="47"/>
  <c r="AJ26" i="47"/>
  <c r="AK26" i="47"/>
  <c r="AL26" i="47"/>
  <c r="AM26" i="47"/>
  <c r="AN26" i="47"/>
  <c r="AP26" i="47"/>
  <c r="AQ26" i="47"/>
  <c r="AR26" i="47"/>
  <c r="AS26" i="47"/>
  <c r="AT26" i="47"/>
  <c r="AJ28" i="47"/>
  <c r="AK28" i="47"/>
  <c r="AL28" i="47"/>
  <c r="AM28" i="47"/>
  <c r="AN28" i="47"/>
  <c r="AP28" i="47"/>
  <c r="AQ28" i="47"/>
  <c r="AR28" i="47"/>
  <c r="AS28" i="47"/>
  <c r="AT28" i="47"/>
  <c r="AJ29" i="47"/>
  <c r="AK29" i="47"/>
  <c r="AL29" i="47"/>
  <c r="AM29" i="47"/>
  <c r="AN29" i="47"/>
  <c r="AP29" i="47"/>
  <c r="AQ29" i="47"/>
  <c r="AR29" i="47"/>
  <c r="AS29" i="47"/>
  <c r="AT29" i="47"/>
  <c r="AJ30" i="47"/>
  <c r="AK30" i="47"/>
  <c r="AL30" i="47"/>
  <c r="AM30" i="47"/>
  <c r="AN30" i="47"/>
  <c r="AP30" i="47"/>
  <c r="AQ30" i="47"/>
  <c r="AR30" i="47"/>
  <c r="AS30" i="47"/>
  <c r="AT30" i="47"/>
  <c r="AJ31" i="47"/>
  <c r="AK31" i="47"/>
  <c r="AL31" i="47"/>
  <c r="AM31" i="47"/>
  <c r="AN31" i="47"/>
  <c r="AP31" i="47"/>
  <c r="AQ31" i="47"/>
  <c r="AR31" i="47"/>
  <c r="AS31" i="47"/>
  <c r="AT31" i="47"/>
  <c r="AT4" i="47"/>
  <c r="AS4" i="47"/>
  <c r="AR4" i="47"/>
  <c r="AQ4" i="47"/>
  <c r="AP4" i="47"/>
  <c r="AN4" i="47"/>
  <c r="AM4" i="47"/>
  <c r="AL4" i="47"/>
  <c r="AK4" i="47"/>
  <c r="AJ4" i="47"/>
  <c r="BX4" i="47"/>
  <c r="FF4" i="47" s="1"/>
  <c r="BR4" i="47"/>
  <c r="EZ4" i="47" s="1"/>
  <c r="FN4" i="47" s="1"/>
  <c r="BN6" i="47"/>
  <c r="EV6" i="47" s="1"/>
  <c r="FL6" i="47" s="1"/>
  <c r="BO6" i="47"/>
  <c r="EW6" i="47" s="1"/>
  <c r="BP6" i="47"/>
  <c r="EX6" i="47" s="1"/>
  <c r="BQ6" i="47"/>
  <c r="EY6" i="47" s="1"/>
  <c r="BR6" i="47"/>
  <c r="EZ6" i="47" s="1"/>
  <c r="FN6" i="47" s="1"/>
  <c r="BT6" i="47"/>
  <c r="FB6" i="47" s="1"/>
  <c r="BU6" i="47"/>
  <c r="FC6" i="47" s="1"/>
  <c r="BV6" i="47"/>
  <c r="FD6" i="47" s="1"/>
  <c r="BW6" i="47"/>
  <c r="FE6" i="47" s="1"/>
  <c r="BX6" i="47"/>
  <c r="FF6" i="47" s="1"/>
  <c r="BN7" i="47"/>
  <c r="EV7" i="47" s="1"/>
  <c r="BO7" i="47"/>
  <c r="EW7" i="47" s="1"/>
  <c r="BP7" i="47"/>
  <c r="EX7" i="47" s="1"/>
  <c r="BQ7" i="47"/>
  <c r="EY7" i="47" s="1"/>
  <c r="BR7" i="47"/>
  <c r="EZ7" i="47" s="1"/>
  <c r="FN7" i="47" s="1"/>
  <c r="BT7" i="47"/>
  <c r="FB7" i="47" s="1"/>
  <c r="BU7" i="47"/>
  <c r="FC7" i="47" s="1"/>
  <c r="BV7" i="47"/>
  <c r="FD7" i="47" s="1"/>
  <c r="BW7" i="47"/>
  <c r="FE7" i="47" s="1"/>
  <c r="BX7" i="47"/>
  <c r="FF7" i="47" s="1"/>
  <c r="BN8" i="47"/>
  <c r="EV8" i="47" s="1"/>
  <c r="FL8" i="47" s="1"/>
  <c r="BO8" i="47"/>
  <c r="EW8" i="47" s="1"/>
  <c r="BP8" i="47"/>
  <c r="EX8" i="47" s="1"/>
  <c r="BQ8" i="47"/>
  <c r="EY8" i="47" s="1"/>
  <c r="BR8" i="47"/>
  <c r="EZ8" i="47" s="1"/>
  <c r="FN8" i="47" s="1"/>
  <c r="BT8" i="47"/>
  <c r="FB8" i="47" s="1"/>
  <c r="BU8" i="47"/>
  <c r="FC8" i="47" s="1"/>
  <c r="BV8" i="47"/>
  <c r="FD8" i="47" s="1"/>
  <c r="BW8" i="47"/>
  <c r="FE8" i="47" s="1"/>
  <c r="BX8" i="47"/>
  <c r="FF8" i="47" s="1"/>
  <c r="BN5" i="47"/>
  <c r="EV5" i="47" s="1"/>
  <c r="FL5" i="47" s="1"/>
  <c r="BO5" i="47"/>
  <c r="EW5" i="47" s="1"/>
  <c r="BP5" i="47"/>
  <c r="EX5" i="47" s="1"/>
  <c r="BQ5" i="47"/>
  <c r="EY5" i="47" s="1"/>
  <c r="BR5" i="47"/>
  <c r="EZ5" i="47" s="1"/>
  <c r="FN5" i="47" s="1"/>
  <c r="BT5" i="47"/>
  <c r="FB5" i="47" s="1"/>
  <c r="BU5" i="47"/>
  <c r="FC5" i="47" s="1"/>
  <c r="BV5" i="47"/>
  <c r="FD5" i="47" s="1"/>
  <c r="BW5" i="47"/>
  <c r="FE5" i="47" s="1"/>
  <c r="BX5" i="47"/>
  <c r="FF5" i="47" s="1"/>
  <c r="BN13" i="47"/>
  <c r="EV13" i="47" s="1"/>
  <c r="BO13" i="47"/>
  <c r="EW13" i="47" s="1"/>
  <c r="BP13" i="47"/>
  <c r="EX13" i="47" s="1"/>
  <c r="BQ13" i="47"/>
  <c r="BR13" i="47"/>
  <c r="EZ13" i="47" s="1"/>
  <c r="FN13" i="47" s="1"/>
  <c r="BT13" i="47"/>
  <c r="FB13" i="47" s="1"/>
  <c r="BU13" i="47"/>
  <c r="FC13" i="47" s="1"/>
  <c r="BV13" i="47"/>
  <c r="FD13" i="47" s="1"/>
  <c r="BW13" i="47"/>
  <c r="FE13" i="47" s="1"/>
  <c r="BX13" i="47"/>
  <c r="FF13" i="47" s="1"/>
  <c r="BN9" i="47"/>
  <c r="EV9" i="47" s="1"/>
  <c r="FL9" i="47" s="1"/>
  <c r="BO9" i="47"/>
  <c r="EW9" i="47" s="1"/>
  <c r="BP9" i="47"/>
  <c r="EX9" i="47" s="1"/>
  <c r="BQ9" i="47"/>
  <c r="EY9" i="47" s="1"/>
  <c r="BR9" i="47"/>
  <c r="EZ9" i="47" s="1"/>
  <c r="FN9" i="47" s="1"/>
  <c r="BT9" i="47"/>
  <c r="FB9" i="47" s="1"/>
  <c r="BU9" i="47"/>
  <c r="FC9" i="47" s="1"/>
  <c r="BV9" i="47"/>
  <c r="FD9" i="47" s="1"/>
  <c r="BW9" i="47"/>
  <c r="BX9" i="47"/>
  <c r="FF9" i="47" s="1"/>
  <c r="BN11" i="47"/>
  <c r="EV11" i="47" s="1"/>
  <c r="BO11" i="47"/>
  <c r="EW11" i="47" s="1"/>
  <c r="BP11" i="47"/>
  <c r="EX11" i="47" s="1"/>
  <c r="BQ11" i="47"/>
  <c r="EY11" i="47" s="1"/>
  <c r="BR11" i="47"/>
  <c r="EZ11" i="47" s="1"/>
  <c r="FN11" i="47" s="1"/>
  <c r="BT11" i="47"/>
  <c r="FB11" i="47" s="1"/>
  <c r="BU11" i="47"/>
  <c r="FC11" i="47" s="1"/>
  <c r="BV11" i="47"/>
  <c r="FD11" i="47" s="1"/>
  <c r="FR11" i="47" s="1"/>
  <c r="BW11" i="47"/>
  <c r="FE11" i="47" s="1"/>
  <c r="BX11" i="47"/>
  <c r="FF11" i="47" s="1"/>
  <c r="BN12" i="47"/>
  <c r="EV12" i="47" s="1"/>
  <c r="BO12" i="47"/>
  <c r="EW12" i="47" s="1"/>
  <c r="BP12" i="47"/>
  <c r="EX12" i="47" s="1"/>
  <c r="BQ12" i="47"/>
  <c r="EY12" i="47" s="1"/>
  <c r="BR12" i="47"/>
  <c r="EZ12" i="47" s="1"/>
  <c r="FN12" i="47" s="1"/>
  <c r="BT12" i="47"/>
  <c r="FB12" i="47" s="1"/>
  <c r="BU12" i="47"/>
  <c r="FC12" i="47" s="1"/>
  <c r="BV12" i="47"/>
  <c r="FD12" i="47" s="1"/>
  <c r="FR12" i="47" s="1"/>
  <c r="BW12" i="47"/>
  <c r="FE12" i="47" s="1"/>
  <c r="BX12" i="47"/>
  <c r="FF12" i="47" s="1"/>
  <c r="BN15" i="47"/>
  <c r="EV15" i="47" s="1"/>
  <c r="FL15" i="47" s="1"/>
  <c r="BO15" i="47"/>
  <c r="EW15" i="47" s="1"/>
  <c r="BP15" i="47"/>
  <c r="EX15" i="47" s="1"/>
  <c r="BQ15" i="47"/>
  <c r="EY15" i="47" s="1"/>
  <c r="BR15" i="47"/>
  <c r="EZ15" i="47" s="1"/>
  <c r="FN15" i="47" s="1"/>
  <c r="BT15" i="47"/>
  <c r="FB15" i="47" s="1"/>
  <c r="BU15" i="47"/>
  <c r="FC15" i="47" s="1"/>
  <c r="BV15" i="47"/>
  <c r="FD15" i="47" s="1"/>
  <c r="BW15" i="47"/>
  <c r="FE15" i="47" s="1"/>
  <c r="BX15" i="47"/>
  <c r="FF15" i="47" s="1"/>
  <c r="BN10" i="47"/>
  <c r="EV10" i="47" s="1"/>
  <c r="FL10" i="47" s="1"/>
  <c r="BO10" i="47"/>
  <c r="EW10" i="47" s="1"/>
  <c r="BP10" i="47"/>
  <c r="EX10" i="47" s="1"/>
  <c r="BQ10" i="47"/>
  <c r="EY10" i="47" s="1"/>
  <c r="BR10" i="47"/>
  <c r="EZ10" i="47" s="1"/>
  <c r="FN10" i="47" s="1"/>
  <c r="BT10" i="47"/>
  <c r="FB10" i="47" s="1"/>
  <c r="BU10" i="47"/>
  <c r="FC10" i="47" s="1"/>
  <c r="BV10" i="47"/>
  <c r="FD10" i="47" s="1"/>
  <c r="BW10" i="47"/>
  <c r="FE10" i="47" s="1"/>
  <c r="BX10" i="47"/>
  <c r="FF10" i="47" s="1"/>
  <c r="BN14" i="47"/>
  <c r="EV14" i="47" s="1"/>
  <c r="FL14" i="47" s="1"/>
  <c r="BO14" i="47"/>
  <c r="EW14" i="47" s="1"/>
  <c r="BP14" i="47"/>
  <c r="EX14" i="47" s="1"/>
  <c r="BQ14" i="47"/>
  <c r="EY14" i="47" s="1"/>
  <c r="BR14" i="47"/>
  <c r="EZ14" i="47" s="1"/>
  <c r="FN14" i="47" s="1"/>
  <c r="BT14" i="47"/>
  <c r="FB14" i="47" s="1"/>
  <c r="BU14" i="47"/>
  <c r="FC14" i="47" s="1"/>
  <c r="BV14" i="47"/>
  <c r="FD14" i="47" s="1"/>
  <c r="BW14" i="47"/>
  <c r="FE14" i="47" s="1"/>
  <c r="BX14" i="47"/>
  <c r="FF14" i="47" s="1"/>
  <c r="BN18" i="47"/>
  <c r="EV18" i="47" s="1"/>
  <c r="FL18" i="47" s="1"/>
  <c r="BO18" i="47"/>
  <c r="EW18" i="47" s="1"/>
  <c r="BP18" i="47"/>
  <c r="EX18" i="47" s="1"/>
  <c r="BQ18" i="47"/>
  <c r="EY18" i="47" s="1"/>
  <c r="BR18" i="47"/>
  <c r="EZ18" i="47" s="1"/>
  <c r="BT18" i="47"/>
  <c r="FB18" i="47" s="1"/>
  <c r="BU18" i="47"/>
  <c r="FC18" i="47" s="1"/>
  <c r="BV18" i="47"/>
  <c r="FD18" i="47" s="1"/>
  <c r="BW18" i="47"/>
  <c r="FE18" i="47" s="1"/>
  <c r="BX18" i="47"/>
  <c r="FF18" i="47" s="1"/>
  <c r="BN19" i="47"/>
  <c r="EV19" i="47" s="1"/>
  <c r="FL19" i="47" s="1"/>
  <c r="BO19" i="47"/>
  <c r="EW19" i="47" s="1"/>
  <c r="BP19" i="47"/>
  <c r="EX19" i="47" s="1"/>
  <c r="BQ19" i="47"/>
  <c r="EY19" i="47" s="1"/>
  <c r="BR19" i="47"/>
  <c r="EZ19" i="47" s="1"/>
  <c r="BT19" i="47"/>
  <c r="FB19" i="47" s="1"/>
  <c r="BU19" i="47"/>
  <c r="FC19" i="47" s="1"/>
  <c r="BV19" i="47"/>
  <c r="FD19" i="47" s="1"/>
  <c r="FR17" i="47" s="1"/>
  <c r="BW19" i="47"/>
  <c r="FE19" i="47" s="1"/>
  <c r="BX19" i="47"/>
  <c r="FF19" i="47" s="1"/>
  <c r="BN17" i="47"/>
  <c r="EV17" i="47" s="1"/>
  <c r="BO17" i="47"/>
  <c r="EW17" i="47" s="1"/>
  <c r="BP17" i="47"/>
  <c r="EX17" i="47" s="1"/>
  <c r="BQ17" i="47"/>
  <c r="EY17" i="47" s="1"/>
  <c r="BR17" i="47"/>
  <c r="EZ17" i="47" s="1"/>
  <c r="FN17" i="47" s="1"/>
  <c r="BT17" i="47"/>
  <c r="FB17" i="47" s="1"/>
  <c r="BU17" i="47"/>
  <c r="BV17" i="47"/>
  <c r="FD17" i="47" s="1"/>
  <c r="BW17" i="47"/>
  <c r="FE17" i="47" s="1"/>
  <c r="BX17" i="47"/>
  <c r="FF17" i="47" s="1"/>
  <c r="BN27" i="47"/>
  <c r="EV27" i="47" s="1"/>
  <c r="FL27" i="47" s="1"/>
  <c r="BO27" i="47"/>
  <c r="EW27" i="47" s="1"/>
  <c r="BP27" i="47"/>
  <c r="EX27" i="47" s="1"/>
  <c r="BQ27" i="47"/>
  <c r="EY27" i="47" s="1"/>
  <c r="BR27" i="47"/>
  <c r="EZ27" i="47" s="1"/>
  <c r="BT27" i="47"/>
  <c r="FB27" i="47" s="1"/>
  <c r="BU27" i="47"/>
  <c r="FC27" i="47" s="1"/>
  <c r="BV27" i="47"/>
  <c r="FD27" i="47" s="1"/>
  <c r="BW27" i="47"/>
  <c r="FE27" i="47" s="1"/>
  <c r="BX27" i="47"/>
  <c r="FF27" i="47" s="1"/>
  <c r="BN16" i="47"/>
  <c r="EV16" i="47" s="1"/>
  <c r="FL16" i="47" s="1"/>
  <c r="BO16" i="47"/>
  <c r="EW16" i="47" s="1"/>
  <c r="BP16" i="47"/>
  <c r="EX16" i="47" s="1"/>
  <c r="BQ16" i="47"/>
  <c r="EY16" i="47" s="1"/>
  <c r="BR16" i="47"/>
  <c r="EZ16" i="47" s="1"/>
  <c r="FN16" i="47" s="1"/>
  <c r="BT16" i="47"/>
  <c r="FB16" i="47" s="1"/>
  <c r="BU16" i="47"/>
  <c r="FC16" i="47" s="1"/>
  <c r="BV16" i="47"/>
  <c r="FD16" i="47" s="1"/>
  <c r="BW16" i="47"/>
  <c r="FE16" i="47" s="1"/>
  <c r="BX16" i="47"/>
  <c r="FF16" i="47" s="1"/>
  <c r="BN21" i="47"/>
  <c r="EV21" i="47" s="1"/>
  <c r="BO21" i="47"/>
  <c r="EW21" i="47" s="1"/>
  <c r="BP21" i="47"/>
  <c r="EX21" i="47" s="1"/>
  <c r="BQ21" i="47"/>
  <c r="EY21" i="47" s="1"/>
  <c r="BR21" i="47"/>
  <c r="EZ21" i="47" s="1"/>
  <c r="FN21" i="47" s="1"/>
  <c r="BT21" i="47"/>
  <c r="FB21" i="47" s="1"/>
  <c r="BU21" i="47"/>
  <c r="FC21" i="47" s="1"/>
  <c r="BV21" i="47"/>
  <c r="FD21" i="47" s="1"/>
  <c r="FR21" i="47" s="1"/>
  <c r="BW21" i="47"/>
  <c r="FE21" i="47" s="1"/>
  <c r="BX21" i="47"/>
  <c r="FF21" i="47" s="1"/>
  <c r="BN22" i="47"/>
  <c r="EV22" i="47" s="1"/>
  <c r="FL22" i="47" s="1"/>
  <c r="BO22" i="47"/>
  <c r="EW22" i="47" s="1"/>
  <c r="BP22" i="47"/>
  <c r="EX22" i="47" s="1"/>
  <c r="BQ22" i="47"/>
  <c r="EY22" i="47" s="1"/>
  <c r="BR22" i="47"/>
  <c r="EZ22" i="47" s="1"/>
  <c r="FN22" i="47" s="1"/>
  <c r="BT22" i="47"/>
  <c r="FB22" i="47" s="1"/>
  <c r="BU22" i="47"/>
  <c r="FC22" i="47" s="1"/>
  <c r="BV22" i="47"/>
  <c r="FD22" i="47" s="1"/>
  <c r="FR22" i="47" s="1"/>
  <c r="BW22" i="47"/>
  <c r="FE22" i="47" s="1"/>
  <c r="BX22" i="47"/>
  <c r="FF22" i="47" s="1"/>
  <c r="BN23" i="47"/>
  <c r="EV23" i="47" s="1"/>
  <c r="FL23" i="47" s="1"/>
  <c r="BO23" i="47"/>
  <c r="EW23" i="47" s="1"/>
  <c r="BP23" i="47"/>
  <c r="EX23" i="47" s="1"/>
  <c r="BQ23" i="47"/>
  <c r="EY23" i="47" s="1"/>
  <c r="BR23" i="47"/>
  <c r="EZ23" i="47" s="1"/>
  <c r="FN23" i="47" s="1"/>
  <c r="BT23" i="47"/>
  <c r="FB23" i="47" s="1"/>
  <c r="BU23" i="47"/>
  <c r="FC23" i="47" s="1"/>
  <c r="BV23" i="47"/>
  <c r="FD23" i="47" s="1"/>
  <c r="BW23" i="47"/>
  <c r="FE23" i="47" s="1"/>
  <c r="BX23" i="47"/>
  <c r="FF23" i="47" s="1"/>
  <c r="BN24" i="47"/>
  <c r="EV24" i="47" s="1"/>
  <c r="FL24" i="47" s="1"/>
  <c r="BO24" i="47"/>
  <c r="EW24" i="47" s="1"/>
  <c r="BP24" i="47"/>
  <c r="EX24" i="47" s="1"/>
  <c r="BQ24" i="47"/>
  <c r="EY24" i="47" s="1"/>
  <c r="BR24" i="47"/>
  <c r="EZ24" i="47" s="1"/>
  <c r="FN24" i="47" s="1"/>
  <c r="BT24" i="47"/>
  <c r="FB24" i="47" s="1"/>
  <c r="BU24" i="47"/>
  <c r="FC24" i="47" s="1"/>
  <c r="BV24" i="47"/>
  <c r="FD24" i="47" s="1"/>
  <c r="FR24" i="47" s="1"/>
  <c r="BW24" i="47"/>
  <c r="BX24" i="47"/>
  <c r="FF24" i="47" s="1"/>
  <c r="BN25" i="47"/>
  <c r="EV25" i="47" s="1"/>
  <c r="BO25" i="47"/>
  <c r="EW25" i="47" s="1"/>
  <c r="BP25" i="47"/>
  <c r="EX25" i="47" s="1"/>
  <c r="BQ25" i="47"/>
  <c r="EY25" i="47" s="1"/>
  <c r="BR25" i="47"/>
  <c r="EZ25" i="47" s="1"/>
  <c r="FN25" i="47" s="1"/>
  <c r="BT25" i="47"/>
  <c r="FB25" i="47" s="1"/>
  <c r="BU25" i="47"/>
  <c r="FC25" i="47" s="1"/>
  <c r="BV25" i="47"/>
  <c r="FD25" i="47" s="1"/>
  <c r="FR25" i="47" s="1"/>
  <c r="BW25" i="47"/>
  <c r="FE25" i="47" s="1"/>
  <c r="BX25" i="47"/>
  <c r="FF25" i="47" s="1"/>
  <c r="BN20" i="47"/>
  <c r="EV20" i="47" s="1"/>
  <c r="FL20" i="47" s="1"/>
  <c r="BO20" i="47"/>
  <c r="EW20" i="47" s="1"/>
  <c r="BP20" i="47"/>
  <c r="EX20" i="47" s="1"/>
  <c r="BQ20" i="47"/>
  <c r="EY20" i="47" s="1"/>
  <c r="BR20" i="47"/>
  <c r="EZ20" i="47" s="1"/>
  <c r="BT20" i="47"/>
  <c r="FB20" i="47" s="1"/>
  <c r="BU20" i="47"/>
  <c r="FC20" i="47" s="1"/>
  <c r="BV20" i="47"/>
  <c r="FD20" i="47" s="1"/>
  <c r="BW20" i="47"/>
  <c r="FE20" i="47" s="1"/>
  <c r="BX20" i="47"/>
  <c r="FF20" i="47" s="1"/>
  <c r="BN26" i="47"/>
  <c r="EV26" i="47" s="1"/>
  <c r="BO26" i="47"/>
  <c r="EW26" i="47" s="1"/>
  <c r="BP26" i="47"/>
  <c r="EX26" i="47" s="1"/>
  <c r="BQ26" i="47"/>
  <c r="EY26" i="47" s="1"/>
  <c r="BR26" i="47"/>
  <c r="EZ26" i="47" s="1"/>
  <c r="FN26" i="47" s="1"/>
  <c r="BT26" i="47"/>
  <c r="FB26" i="47" s="1"/>
  <c r="BU26" i="47"/>
  <c r="FC26" i="47" s="1"/>
  <c r="BV26" i="47"/>
  <c r="FD26" i="47" s="1"/>
  <c r="BW26" i="47"/>
  <c r="FE26" i="47" s="1"/>
  <c r="BX26" i="47"/>
  <c r="FF26" i="47" s="1"/>
  <c r="BN28" i="47"/>
  <c r="EV28" i="47" s="1"/>
  <c r="FL28" i="47" s="1"/>
  <c r="BO28" i="47"/>
  <c r="EW28" i="47" s="1"/>
  <c r="BP28" i="47"/>
  <c r="EX28" i="47" s="1"/>
  <c r="BQ28" i="47"/>
  <c r="EY28" i="47" s="1"/>
  <c r="BR28" i="47"/>
  <c r="EZ28" i="47" s="1"/>
  <c r="BT28" i="47"/>
  <c r="FB28" i="47" s="1"/>
  <c r="BU28" i="47"/>
  <c r="FC28" i="47" s="1"/>
  <c r="BV28" i="47"/>
  <c r="FD28" i="47" s="1"/>
  <c r="FR28" i="47" s="1"/>
  <c r="BW28" i="47"/>
  <c r="FE28" i="47" s="1"/>
  <c r="BX28" i="47"/>
  <c r="FF28" i="47" s="1"/>
  <c r="BN29" i="47"/>
  <c r="EV29" i="47" s="1"/>
  <c r="BO29" i="47"/>
  <c r="EW29" i="47" s="1"/>
  <c r="BP29" i="47"/>
  <c r="EX29" i="47" s="1"/>
  <c r="BQ29" i="47"/>
  <c r="EY29" i="47" s="1"/>
  <c r="BR29" i="47"/>
  <c r="EZ29" i="47" s="1"/>
  <c r="FN29" i="47" s="1"/>
  <c r="BT29" i="47"/>
  <c r="FB29" i="47" s="1"/>
  <c r="BU29" i="47"/>
  <c r="FC29" i="47" s="1"/>
  <c r="BV29" i="47"/>
  <c r="FD29" i="47" s="1"/>
  <c r="FR29" i="47" s="1"/>
  <c r="BW29" i="47"/>
  <c r="FE29" i="47" s="1"/>
  <c r="BX29" i="47"/>
  <c r="FF29" i="47" s="1"/>
  <c r="BN30" i="47"/>
  <c r="EV30" i="47" s="1"/>
  <c r="BO30" i="47"/>
  <c r="EW30" i="47" s="1"/>
  <c r="BP30" i="47"/>
  <c r="EX30" i="47" s="1"/>
  <c r="BQ30" i="47"/>
  <c r="EY30" i="47" s="1"/>
  <c r="BR30" i="47"/>
  <c r="EZ30" i="47" s="1"/>
  <c r="FN30" i="47" s="1"/>
  <c r="BT30" i="47"/>
  <c r="FB30" i="47" s="1"/>
  <c r="BU30" i="47"/>
  <c r="FC30" i="47" s="1"/>
  <c r="BV30" i="47"/>
  <c r="FD30" i="47" s="1"/>
  <c r="BW30" i="47"/>
  <c r="FE30" i="47" s="1"/>
  <c r="BX30" i="47"/>
  <c r="FF30" i="47" s="1"/>
  <c r="BN31" i="47"/>
  <c r="EV31" i="47" s="1"/>
  <c r="FL31" i="47" s="1"/>
  <c r="BO31" i="47"/>
  <c r="EW31" i="47" s="1"/>
  <c r="BP31" i="47"/>
  <c r="EX31" i="47" s="1"/>
  <c r="BQ31" i="47"/>
  <c r="EY31" i="47" s="1"/>
  <c r="BR31" i="47"/>
  <c r="EZ31" i="47" s="1"/>
  <c r="FN31" i="47" s="1"/>
  <c r="BT31" i="47"/>
  <c r="FB31" i="47" s="1"/>
  <c r="BU31" i="47"/>
  <c r="FC31" i="47" s="1"/>
  <c r="BV31" i="47"/>
  <c r="FD31" i="47" s="1"/>
  <c r="FR31" i="47" s="1"/>
  <c r="BW31" i="47"/>
  <c r="BX31" i="47"/>
  <c r="FF31" i="47" s="1"/>
  <c r="BV4" i="47"/>
  <c r="FD4" i="47" s="1"/>
  <c r="BT4" i="47"/>
  <c r="FB4" i="47" s="1"/>
  <c r="BP4" i="47"/>
  <c r="EX4" i="47" s="1"/>
  <c r="BO4" i="47"/>
  <c r="EW4" i="47" s="1"/>
  <c r="BW4" i="47"/>
  <c r="FE4" i="47" s="1"/>
  <c r="BU4" i="47"/>
  <c r="FC4" i="47" s="1"/>
  <c r="BQ4" i="47"/>
  <c r="EY4" i="47" s="1"/>
  <c r="I6" i="52" l="1"/>
  <c r="J6" i="52"/>
  <c r="AV9" i="51"/>
  <c r="L8" i="51"/>
  <c r="M8" i="51" s="1"/>
  <c r="K8" i="51"/>
  <c r="N8" i="51"/>
  <c r="J36" i="50"/>
  <c r="F17" i="50"/>
  <c r="G4" i="50"/>
  <c r="J23" i="50"/>
  <c r="AV37" i="50"/>
  <c r="FS13" i="50"/>
  <c r="AV13" i="50"/>
  <c r="AV24" i="50"/>
  <c r="J5" i="50"/>
  <c r="J32" i="50"/>
  <c r="FQ24" i="50"/>
  <c r="AV31" i="50"/>
  <c r="AV6" i="50"/>
  <c r="AV14" i="50"/>
  <c r="FS34" i="50"/>
  <c r="AV17" i="50"/>
  <c r="FS31" i="50"/>
  <c r="FS35" i="50"/>
  <c r="G29" i="50"/>
  <c r="BZ5" i="50"/>
  <c r="FH5" i="50" s="1"/>
  <c r="AV21" i="50"/>
  <c r="FQ23" i="50"/>
  <c r="J6" i="50"/>
  <c r="AV6" i="49"/>
  <c r="FS10" i="49"/>
  <c r="FS13" i="49"/>
  <c r="BZ23" i="49"/>
  <c r="FH23" i="49" s="1"/>
  <c r="FT23" i="49" s="1"/>
  <c r="BZ26" i="49"/>
  <c r="FH26" i="49" s="1"/>
  <c r="FT26" i="49" s="1"/>
  <c r="J6" i="49"/>
  <c r="FO16" i="49"/>
  <c r="FQ22" i="49"/>
  <c r="AV37" i="49"/>
  <c r="G4" i="49"/>
  <c r="FS37" i="49"/>
  <c r="BZ34" i="49"/>
  <c r="FH34" i="49" s="1"/>
  <c r="FT30" i="49" s="1"/>
  <c r="FQ25" i="49"/>
  <c r="FA23" i="49"/>
  <c r="FO23" i="49" s="1"/>
  <c r="FQ15" i="49" s="1"/>
  <c r="AV38" i="49"/>
  <c r="G23" i="49"/>
  <c r="BZ9" i="49"/>
  <c r="FH9" i="49" s="1"/>
  <c r="AV20" i="49"/>
  <c r="AV14" i="49"/>
  <c r="BZ7" i="49"/>
  <c r="FH7" i="49" s="1"/>
  <c r="FT7" i="49" s="1"/>
  <c r="J23" i="49"/>
  <c r="BZ21" i="49"/>
  <c r="FH21" i="49" s="1"/>
  <c r="G5" i="49"/>
  <c r="FO27" i="49"/>
  <c r="FQ27" i="49" s="1"/>
  <c r="I25" i="48"/>
  <c r="AV12" i="48"/>
  <c r="AV7" i="48"/>
  <c r="AV4" i="48"/>
  <c r="FS10" i="48"/>
  <c r="AV18" i="48"/>
  <c r="J7" i="48"/>
  <c r="FR14" i="47"/>
  <c r="AV7" i="52"/>
  <c r="BZ7" i="52"/>
  <c r="FH7" i="52" s="1"/>
  <c r="F7" i="52"/>
  <c r="FS7" i="52"/>
  <c r="BZ8" i="51"/>
  <c r="FH8" i="51" s="1"/>
  <c r="BZ6" i="51"/>
  <c r="FH6" i="51" s="1"/>
  <c r="G37" i="50"/>
  <c r="H37" i="50" s="1"/>
  <c r="BZ37" i="50"/>
  <c r="FH37" i="50" s="1"/>
  <c r="FA37" i="50"/>
  <c r="FO37" i="50" s="1"/>
  <c r="FQ37" i="50" s="1"/>
  <c r="FQ32" i="50"/>
  <c r="AV23" i="50"/>
  <c r="G9" i="50"/>
  <c r="J4" i="50"/>
  <c r="N4" i="50" s="1"/>
  <c r="G17" i="50"/>
  <c r="AV32" i="50"/>
  <c r="F5" i="50"/>
  <c r="FT29" i="50"/>
  <c r="FS32" i="50"/>
  <c r="FS29" i="50"/>
  <c r="J37" i="50"/>
  <c r="L37" i="50" s="1"/>
  <c r="M37" i="50" s="1"/>
  <c r="J12" i="50"/>
  <c r="N12" i="50" s="1"/>
  <c r="BZ22" i="50"/>
  <c r="FH22" i="50" s="1"/>
  <c r="F13" i="50"/>
  <c r="FV29" i="50"/>
  <c r="FS12" i="50"/>
  <c r="FS18" i="50"/>
  <c r="FS24" i="50"/>
  <c r="G18" i="50"/>
  <c r="AV8" i="50"/>
  <c r="FS33" i="50"/>
  <c r="FS5" i="50"/>
  <c r="J7" i="50"/>
  <c r="L7" i="50" s="1"/>
  <c r="M7" i="50" s="1"/>
  <c r="AV4" i="50"/>
  <c r="FS22" i="50"/>
  <c r="FS23" i="50"/>
  <c r="FQ29" i="50"/>
  <c r="FO36" i="50"/>
  <c r="FQ36" i="50" s="1"/>
  <c r="G7" i="50"/>
  <c r="AV13" i="49"/>
  <c r="BZ20" i="49"/>
  <c r="FH20" i="49" s="1"/>
  <c r="FV20" i="49" s="1"/>
  <c r="AV8" i="49"/>
  <c r="FA7" i="49"/>
  <c r="FO7" i="49" s="1"/>
  <c r="FQ7" i="49" s="1"/>
  <c r="FO9" i="49"/>
  <c r="FQ9" i="49" s="1"/>
  <c r="J14" i="49"/>
  <c r="J38" i="49"/>
  <c r="AV28" i="49"/>
  <c r="J24" i="49"/>
  <c r="FS35" i="49"/>
  <c r="FS27" i="49"/>
  <c r="FS21" i="49"/>
  <c r="FS25" i="49"/>
  <c r="FT15" i="49"/>
  <c r="F9" i="49"/>
  <c r="FA34" i="49"/>
  <c r="FO34" i="49" s="1"/>
  <c r="FQ34" i="49" s="1"/>
  <c r="F5" i="49"/>
  <c r="F7" i="49"/>
  <c r="J28" i="49"/>
  <c r="N28" i="49" s="1"/>
  <c r="FQ20" i="49"/>
  <c r="G9" i="49"/>
  <c r="J4" i="49"/>
  <c r="N4" i="49" s="1"/>
  <c r="J9" i="49"/>
  <c r="K9" i="49" s="1"/>
  <c r="FS14" i="49"/>
  <c r="FV26" i="49"/>
  <c r="BZ16" i="49"/>
  <c r="FH16" i="49" s="1"/>
  <c r="FV16" i="49" s="1"/>
  <c r="BZ5" i="49"/>
  <c r="FH5" i="49" s="1"/>
  <c r="FT5" i="49" s="1"/>
  <c r="FS34" i="49"/>
  <c r="FS26" i="49"/>
  <c r="G21" i="49"/>
  <c r="FQ26" i="49"/>
  <c r="BZ4" i="49"/>
  <c r="FH4" i="49" s="1"/>
  <c r="FT4" i="49" s="1"/>
  <c r="FS20" i="49"/>
  <c r="FS12" i="49"/>
  <c r="FS8" i="49"/>
  <c r="FS16" i="48"/>
  <c r="J23" i="48"/>
  <c r="K23" i="48" s="1"/>
  <c r="J16" i="48"/>
  <c r="L16" i="48" s="1"/>
  <c r="M16" i="48" s="1"/>
  <c r="AV15" i="48"/>
  <c r="FQ16" i="48"/>
  <c r="FS21" i="48"/>
  <c r="AV5" i="48"/>
  <c r="G19" i="48"/>
  <c r="J10" i="48"/>
  <c r="CA10" i="48" s="1"/>
  <c r="AV14" i="48"/>
  <c r="AV20" i="48"/>
  <c r="AV9" i="48"/>
  <c r="L10" i="48"/>
  <c r="M10" i="48" s="1"/>
  <c r="J14" i="48"/>
  <c r="L14" i="48" s="1"/>
  <c r="M14" i="48" s="1"/>
  <c r="AV21" i="48"/>
  <c r="FS22" i="48"/>
  <c r="J5" i="48"/>
  <c r="G10" i="48"/>
  <c r="J4" i="48"/>
  <c r="K4" i="48" s="1"/>
  <c r="J15" i="48"/>
  <c r="L15" i="48" s="1"/>
  <c r="M15" i="48" s="1"/>
  <c r="FS11" i="48"/>
  <c r="FS12" i="48"/>
  <c r="BZ12" i="48"/>
  <c r="FH12" i="48" s="1"/>
  <c r="FS15" i="48"/>
  <c r="AV10" i="48"/>
  <c r="FS24" i="48"/>
  <c r="FR13" i="47"/>
  <c r="FM16" i="47"/>
  <c r="FM7" i="47"/>
  <c r="FR10" i="47"/>
  <c r="FS25" i="47"/>
  <c r="FR7" i="47"/>
  <c r="FR15" i="47"/>
  <c r="FR8" i="47"/>
  <c r="FR26" i="47"/>
  <c r="FR19" i="47"/>
  <c r="FR5" i="47"/>
  <c r="FR16" i="47"/>
  <c r="FA7" i="52"/>
  <c r="FO7" i="52" s="1"/>
  <c r="I7" i="52"/>
  <c r="G7" i="52"/>
  <c r="FA6" i="52"/>
  <c r="FO6" i="52" s="1"/>
  <c r="FQ6" i="52" s="1"/>
  <c r="BZ6" i="52"/>
  <c r="FH6" i="52" s="1"/>
  <c r="FT7" i="52" s="1"/>
  <c r="FT6" i="52"/>
  <c r="J7" i="52"/>
  <c r="G5" i="52"/>
  <c r="I7" i="51"/>
  <c r="I5" i="51"/>
  <c r="F5" i="51"/>
  <c r="J7" i="51"/>
  <c r="K7" i="51" s="1"/>
  <c r="G5" i="51"/>
  <c r="AV5" i="51"/>
  <c r="AV7" i="51"/>
  <c r="BZ7" i="51"/>
  <c r="FH7" i="51" s="1"/>
  <c r="FT7" i="51" s="1"/>
  <c r="G6" i="51"/>
  <c r="I4" i="51"/>
  <c r="I6" i="51"/>
  <c r="FQ6" i="51"/>
  <c r="F6" i="51"/>
  <c r="G9" i="51"/>
  <c r="F7" i="51"/>
  <c r="CA8" i="51"/>
  <c r="FI8" i="51" s="1"/>
  <c r="G7" i="51"/>
  <c r="G12" i="50"/>
  <c r="J14" i="50"/>
  <c r="N14" i="50" s="1"/>
  <c r="G33" i="50"/>
  <c r="F31" i="50"/>
  <c r="BZ14" i="50"/>
  <c r="FH14" i="50" s="1"/>
  <c r="BZ12" i="50"/>
  <c r="FH12" i="50" s="1"/>
  <c r="G24" i="50"/>
  <c r="BZ36" i="50"/>
  <c r="FH36" i="50" s="1"/>
  <c r="FQ15" i="50"/>
  <c r="J35" i="50"/>
  <c r="F14" i="50"/>
  <c r="AV33" i="50"/>
  <c r="G14" i="50"/>
  <c r="F8" i="50"/>
  <c r="J29" i="50"/>
  <c r="F36" i="50"/>
  <c r="F9" i="50"/>
  <c r="F29" i="50"/>
  <c r="FV16" i="50"/>
  <c r="AV35" i="50"/>
  <c r="FQ19" i="50"/>
  <c r="F28" i="50"/>
  <c r="G11" i="50"/>
  <c r="AV9" i="50"/>
  <c r="AV36" i="50"/>
  <c r="F11" i="50"/>
  <c r="FQ16" i="50"/>
  <c r="FQ34" i="50"/>
  <c r="F24" i="50"/>
  <c r="F34" i="50"/>
  <c r="G5" i="50"/>
  <c r="H5" i="50" s="1"/>
  <c r="F4" i="50"/>
  <c r="BZ24" i="50"/>
  <c r="FH24" i="50" s="1"/>
  <c r="G34" i="50"/>
  <c r="BZ4" i="50"/>
  <c r="FH4" i="50" s="1"/>
  <c r="J31" i="50"/>
  <c r="L31" i="50" s="1"/>
  <c r="M31" i="50" s="1"/>
  <c r="G28" i="50"/>
  <c r="FQ7" i="50"/>
  <c r="G8" i="50"/>
  <c r="H8" i="50" s="1"/>
  <c r="FQ22" i="50"/>
  <c r="F20" i="49"/>
  <c r="G27" i="49"/>
  <c r="FQ4" i="49"/>
  <c r="G16" i="49"/>
  <c r="FQ5" i="49"/>
  <c r="F16" i="49"/>
  <c r="J7" i="49"/>
  <c r="CA7" i="49" s="1"/>
  <c r="G7" i="49"/>
  <c r="F24" i="49"/>
  <c r="F17" i="49"/>
  <c r="G17" i="49"/>
  <c r="AV18" i="49"/>
  <c r="AV11" i="49"/>
  <c r="F21" i="49"/>
  <c r="AV21" i="49"/>
  <c r="AV25" i="49"/>
  <c r="FQ14" i="49"/>
  <c r="FO17" i="49"/>
  <c r="FQ16" i="49"/>
  <c r="BZ6" i="49"/>
  <c r="FH6" i="49" s="1"/>
  <c r="FG6" i="49"/>
  <c r="AV24" i="49"/>
  <c r="FQ38" i="49"/>
  <c r="F35" i="49"/>
  <c r="BZ36" i="49"/>
  <c r="FH36" i="49" s="1"/>
  <c r="FT36" i="49" s="1"/>
  <c r="AV35" i="49"/>
  <c r="J11" i="49"/>
  <c r="K11" i="49" s="1"/>
  <c r="BZ38" i="49"/>
  <c r="FH38" i="49" s="1"/>
  <c r="FT38" i="49" s="1"/>
  <c r="F8" i="49"/>
  <c r="FQ11" i="49"/>
  <c r="FQ21" i="49"/>
  <c r="F11" i="49"/>
  <c r="AV4" i="49"/>
  <c r="F6" i="49"/>
  <c r="FV30" i="49"/>
  <c r="G11" i="49"/>
  <c r="H11" i="49" s="1"/>
  <c r="F4" i="49"/>
  <c r="G6" i="49"/>
  <c r="FV15" i="49"/>
  <c r="FV5" i="49"/>
  <c r="FQ30" i="49"/>
  <c r="BZ11" i="49"/>
  <c r="FH11" i="49" s="1"/>
  <c r="FT11" i="49" s="1"/>
  <c r="BZ25" i="49"/>
  <c r="FH25" i="49" s="1"/>
  <c r="G20" i="49"/>
  <c r="F14" i="49"/>
  <c r="F23" i="49"/>
  <c r="FQ17" i="49"/>
  <c r="F6" i="48"/>
  <c r="G5" i="48"/>
  <c r="G25" i="48"/>
  <c r="J18" i="48"/>
  <c r="L18" i="48" s="1"/>
  <c r="M18" i="48" s="1"/>
  <c r="BZ11" i="48"/>
  <c r="FH11" i="48" s="1"/>
  <c r="FQ18" i="48"/>
  <c r="G23" i="48"/>
  <c r="FO15" i="48"/>
  <c r="N10" i="48"/>
  <c r="CB10" i="48" s="1"/>
  <c r="FJ10" i="48" s="1"/>
  <c r="BZ23" i="48"/>
  <c r="FH23" i="48" s="1"/>
  <c r="BZ15" i="48"/>
  <c r="FH15" i="48" s="1"/>
  <c r="I18" i="48"/>
  <c r="G24" i="48"/>
  <c r="I23" i="48"/>
  <c r="J9" i="48"/>
  <c r="CA9" i="48" s="1"/>
  <c r="AV16" i="48"/>
  <c r="F23" i="48"/>
  <c r="AV24" i="48"/>
  <c r="AV23" i="48"/>
  <c r="AV22" i="48"/>
  <c r="J12" i="48"/>
  <c r="CA12" i="48" s="1"/>
  <c r="F16" i="48"/>
  <c r="G16" i="48"/>
  <c r="I6" i="48"/>
  <c r="FQ9" i="48"/>
  <c r="F5" i="48"/>
  <c r="AV6" i="48"/>
  <c r="I5" i="48"/>
  <c r="J20" i="48"/>
  <c r="CA20" i="48" s="1"/>
  <c r="G18" i="48"/>
  <c r="F20" i="48"/>
  <c r="I12" i="48"/>
  <c r="BZ9" i="48"/>
  <c r="FH9" i="48" s="1"/>
  <c r="F18" i="48"/>
  <c r="G20" i="48"/>
  <c r="F10" i="48"/>
  <c r="BZ10" i="48"/>
  <c r="FH10" i="48" s="1"/>
  <c r="FV10" i="48" s="1"/>
  <c r="F12" i="48"/>
  <c r="G12" i="48"/>
  <c r="FA11" i="48"/>
  <c r="FO11" i="48" s="1"/>
  <c r="FQ10" i="48" s="1"/>
  <c r="I22" i="48"/>
  <c r="G14" i="48"/>
  <c r="I24" i="48"/>
  <c r="F13" i="48"/>
  <c r="G6" i="48"/>
  <c r="F9" i="48"/>
  <c r="I14" i="48"/>
  <c r="J24" i="48"/>
  <c r="L24" i="48" s="1"/>
  <c r="M24" i="48" s="1"/>
  <c r="G9" i="48"/>
  <c r="F5" i="52"/>
  <c r="CA6" i="52"/>
  <c r="N6" i="52"/>
  <c r="L6" i="52"/>
  <c r="M6" i="52" s="1"/>
  <c r="K6" i="52"/>
  <c r="CA4" i="52"/>
  <c r="N4" i="52"/>
  <c r="L4" i="52"/>
  <c r="M4" i="52" s="1"/>
  <c r="K4" i="52"/>
  <c r="F4" i="52"/>
  <c r="FQ4" i="52"/>
  <c r="I4" i="52"/>
  <c r="I5" i="52"/>
  <c r="J5" i="52"/>
  <c r="BZ4" i="52"/>
  <c r="FH4" i="52" s="1"/>
  <c r="FV7" i="52"/>
  <c r="G6" i="52"/>
  <c r="H6" i="52" s="1"/>
  <c r="BZ5" i="52"/>
  <c r="FH5" i="52" s="1"/>
  <c r="FA5" i="52"/>
  <c r="FO5" i="52" s="1"/>
  <c r="FQ5" i="52" s="1"/>
  <c r="FQ7" i="51"/>
  <c r="G8" i="51"/>
  <c r="F8" i="51"/>
  <c r="L6" i="51"/>
  <c r="M6" i="51" s="1"/>
  <c r="K6" i="51"/>
  <c r="N6" i="51"/>
  <c r="CA6" i="51"/>
  <c r="F9" i="51"/>
  <c r="FA5" i="51"/>
  <c r="FO5" i="51" s="1"/>
  <c r="FQ5" i="51" s="1"/>
  <c r="BZ5" i="51"/>
  <c r="FH5" i="51" s="1"/>
  <c r="J5" i="51"/>
  <c r="FV7" i="51"/>
  <c r="F4" i="51"/>
  <c r="BZ4" i="51"/>
  <c r="FH4" i="51" s="1"/>
  <c r="FA4" i="51"/>
  <c r="FO4" i="51" s="1"/>
  <c r="FQ4" i="51" s="1"/>
  <c r="AV4" i="51"/>
  <c r="G4" i="51"/>
  <c r="I8" i="51"/>
  <c r="FA9" i="51"/>
  <c r="FO9" i="51" s="1"/>
  <c r="FQ8" i="51" s="1"/>
  <c r="BZ9" i="51"/>
  <c r="FH9" i="51" s="1"/>
  <c r="FV9" i="51" s="1"/>
  <c r="L4" i="51"/>
  <c r="M4" i="51" s="1"/>
  <c r="K4" i="51"/>
  <c r="N4" i="51"/>
  <c r="CA4" i="51"/>
  <c r="J9" i="51"/>
  <c r="I9" i="51"/>
  <c r="FT6" i="51"/>
  <c r="FV6" i="51"/>
  <c r="CB8" i="51"/>
  <c r="FJ8" i="51" s="1"/>
  <c r="O8" i="51"/>
  <c r="J21" i="50"/>
  <c r="FA21" i="50"/>
  <c r="FO21" i="50" s="1"/>
  <c r="FQ20" i="50" s="1"/>
  <c r="BZ21" i="50"/>
  <c r="FH21" i="50" s="1"/>
  <c r="FG32" i="50"/>
  <c r="G32" i="50"/>
  <c r="F32" i="50"/>
  <c r="FA39" i="50"/>
  <c r="FO39" i="50" s="1"/>
  <c r="FQ38" i="50" s="1"/>
  <c r="BZ39" i="50"/>
  <c r="FH39" i="50" s="1"/>
  <c r="FV39" i="50" s="1"/>
  <c r="N5" i="50"/>
  <c r="CA5" i="50"/>
  <c r="K5" i="50"/>
  <c r="L5" i="50"/>
  <c r="M5" i="50" s="1"/>
  <c r="F39" i="50"/>
  <c r="G39" i="50"/>
  <c r="H39" i="50" s="1"/>
  <c r="F23" i="50"/>
  <c r="BZ23" i="50"/>
  <c r="FH23" i="50" s="1"/>
  <c r="FQ5" i="50"/>
  <c r="BZ13" i="50"/>
  <c r="FH13" i="50" s="1"/>
  <c r="FV13" i="50" s="1"/>
  <c r="FA13" i="50"/>
  <c r="FO13" i="50" s="1"/>
  <c r="FQ12" i="50" s="1"/>
  <c r="BZ18" i="50"/>
  <c r="FH18" i="50" s="1"/>
  <c r="FV18" i="50" s="1"/>
  <c r="FA18" i="50"/>
  <c r="FO18" i="50" s="1"/>
  <c r="FQ17" i="50" s="1"/>
  <c r="J18" i="50"/>
  <c r="G13" i="50"/>
  <c r="J39" i="50"/>
  <c r="G23" i="50"/>
  <c r="F18" i="50"/>
  <c r="CA9" i="50"/>
  <c r="L9" i="50"/>
  <c r="M9" i="50" s="1"/>
  <c r="K9" i="50"/>
  <c r="N9" i="50"/>
  <c r="CA34" i="50"/>
  <c r="L34" i="50"/>
  <c r="M34" i="50" s="1"/>
  <c r="N34" i="50"/>
  <c r="K34" i="50"/>
  <c r="L4" i="50"/>
  <c r="M4" i="50" s="1"/>
  <c r="G31" i="50"/>
  <c r="J13" i="50"/>
  <c r="A38" i="50" a="1"/>
  <c r="A38" i="50" s="1"/>
  <c r="J22" i="50"/>
  <c r="G22" i="50"/>
  <c r="H22" i="50" s="1"/>
  <c r="F22" i="50"/>
  <c r="AV22" i="50"/>
  <c r="FV19" i="50"/>
  <c r="FT19" i="50"/>
  <c r="FQ9" i="50"/>
  <c r="N6" i="50"/>
  <c r="CA6" i="50"/>
  <c r="L6" i="50"/>
  <c r="M6" i="50" s="1"/>
  <c r="K6" i="50"/>
  <c r="N38" i="50"/>
  <c r="CA38" i="50"/>
  <c r="L38" i="50"/>
  <c r="M38" i="50" s="1"/>
  <c r="K38" i="50"/>
  <c r="CA17" i="50"/>
  <c r="N17" i="50"/>
  <c r="L17" i="50"/>
  <c r="M17" i="50" s="1"/>
  <c r="K17" i="50"/>
  <c r="CA31" i="50"/>
  <c r="K31" i="50"/>
  <c r="G21" i="50"/>
  <c r="BZ8" i="50"/>
  <c r="FH8" i="50" s="1"/>
  <c r="J8" i="50"/>
  <c r="FA8" i="50"/>
  <c r="FO8" i="50" s="1"/>
  <c r="FQ8" i="50" s="1"/>
  <c r="G36" i="50"/>
  <c r="FG9" i="50"/>
  <c r="BZ9" i="50"/>
  <c r="FH9" i="50" s="1"/>
  <c r="FA10" i="50"/>
  <c r="FO10" i="50" s="1"/>
  <c r="FQ10" i="50" s="1"/>
  <c r="BZ10" i="50"/>
  <c r="FH10" i="50" s="1"/>
  <c r="J10" i="50"/>
  <c r="BZ28" i="50"/>
  <c r="FH28" i="50" s="1"/>
  <c r="FA28" i="50"/>
  <c r="FO28" i="50" s="1"/>
  <c r="F10" i="50"/>
  <c r="CA36" i="50"/>
  <c r="N36" i="50"/>
  <c r="L36" i="50"/>
  <c r="M36" i="50" s="1"/>
  <c r="K36" i="50"/>
  <c r="FA11" i="50"/>
  <c r="FO11" i="50" s="1"/>
  <c r="FQ11" i="50" s="1"/>
  <c r="BZ11" i="50"/>
  <c r="FH11" i="50" s="1"/>
  <c r="G10" i="50"/>
  <c r="F7" i="50"/>
  <c r="BZ32" i="50"/>
  <c r="FH32" i="50" s="1"/>
  <c r="FV32" i="50" s="1"/>
  <c r="BZ33" i="50"/>
  <c r="FH33" i="50" s="1"/>
  <c r="FA33" i="50"/>
  <c r="FO33" i="50" s="1"/>
  <c r="FQ35" i="50" s="1"/>
  <c r="J33" i="50"/>
  <c r="J28" i="50"/>
  <c r="F21" i="50"/>
  <c r="CA24" i="50"/>
  <c r="N24" i="50"/>
  <c r="L24" i="50"/>
  <c r="M24" i="50" s="1"/>
  <c r="K24" i="50"/>
  <c r="CA32" i="50"/>
  <c r="N32" i="50"/>
  <c r="K32" i="50"/>
  <c r="L32" i="50"/>
  <c r="M32" i="50" s="1"/>
  <c r="N23" i="50"/>
  <c r="L23" i="50"/>
  <c r="M23" i="50" s="1"/>
  <c r="CA23" i="50"/>
  <c r="K23" i="50"/>
  <c r="F6" i="50"/>
  <c r="BZ31" i="50"/>
  <c r="FH31" i="50" s="1"/>
  <c r="FA31" i="50"/>
  <c r="FO31" i="50" s="1"/>
  <c r="FQ14" i="50" s="1"/>
  <c r="F12" i="50"/>
  <c r="BZ6" i="50"/>
  <c r="FH6" i="50" s="1"/>
  <c r="FA6" i="50"/>
  <c r="FO6" i="50" s="1"/>
  <c r="FQ6" i="50" s="1"/>
  <c r="L11" i="50"/>
  <c r="M11" i="50" s="1"/>
  <c r="K11" i="50"/>
  <c r="CA11" i="50"/>
  <c r="N11" i="50"/>
  <c r="FG35" i="50"/>
  <c r="BZ35" i="50"/>
  <c r="FH35" i="50" s="1"/>
  <c r="FQ4" i="50"/>
  <c r="FG7" i="50"/>
  <c r="BZ7" i="50"/>
  <c r="FH7" i="50" s="1"/>
  <c r="F33" i="50"/>
  <c r="G35" i="50"/>
  <c r="A37" i="50" a="1"/>
  <c r="A37" i="50" s="1"/>
  <c r="G6" i="50"/>
  <c r="N29" i="50"/>
  <c r="CA29" i="50"/>
  <c r="K29" i="50"/>
  <c r="L29" i="50"/>
  <c r="M29" i="50" s="1"/>
  <c r="BZ34" i="50"/>
  <c r="FH34" i="50" s="1"/>
  <c r="FV34" i="50" s="1"/>
  <c r="CA10" i="49"/>
  <c r="K10" i="49"/>
  <c r="L10" i="49"/>
  <c r="M10" i="49" s="1"/>
  <c r="N10" i="49"/>
  <c r="BZ37" i="49"/>
  <c r="FH37" i="49" s="1"/>
  <c r="FA37" i="49"/>
  <c r="FO37" i="49" s="1"/>
  <c r="FQ29" i="49" s="1"/>
  <c r="BZ35" i="49"/>
  <c r="FH35" i="49" s="1"/>
  <c r="FA35" i="49"/>
  <c r="FO35" i="49" s="1"/>
  <c r="FQ32" i="49" s="1"/>
  <c r="FA13" i="49"/>
  <c r="FO13" i="49" s="1"/>
  <c r="BZ13" i="49"/>
  <c r="FH13" i="49" s="1"/>
  <c r="FV13" i="49" s="1"/>
  <c r="J13" i="49"/>
  <c r="N5" i="49"/>
  <c r="CA5" i="49"/>
  <c r="L5" i="49"/>
  <c r="M5" i="49" s="1"/>
  <c r="K5" i="49"/>
  <c r="FQ33" i="49"/>
  <c r="FA28" i="49"/>
  <c r="FO28" i="49" s="1"/>
  <c r="BZ28" i="49"/>
  <c r="FH28" i="49" s="1"/>
  <c r="G37" i="49"/>
  <c r="F18" i="49"/>
  <c r="AV10" i="49"/>
  <c r="BZ18" i="49"/>
  <c r="FH18" i="49" s="1"/>
  <c r="FA18" i="49"/>
  <c r="FO18" i="49" s="1"/>
  <c r="FQ18" i="49" s="1"/>
  <c r="J18" i="49"/>
  <c r="G18" i="49"/>
  <c r="CA14" i="49"/>
  <c r="N14" i="49"/>
  <c r="L14" i="49"/>
  <c r="M14" i="49" s="1"/>
  <c r="K14" i="49"/>
  <c r="G34" i="49"/>
  <c r="J26" i="49"/>
  <c r="F26" i="49"/>
  <c r="AV26" i="49"/>
  <c r="G26" i="49"/>
  <c r="FV31" i="49"/>
  <c r="FT31" i="49"/>
  <c r="CA27" i="49"/>
  <c r="N27" i="49"/>
  <c r="L27" i="49"/>
  <c r="M27" i="49" s="1"/>
  <c r="K27" i="49"/>
  <c r="J35" i="49"/>
  <c r="AV34" i="49"/>
  <c r="BZ8" i="49"/>
  <c r="FH8" i="49" s="1"/>
  <c r="J8" i="49"/>
  <c r="FA8" i="49"/>
  <c r="FO8" i="49" s="1"/>
  <c r="J37" i="49"/>
  <c r="K24" i="49"/>
  <c r="CA24" i="49"/>
  <c r="N24" i="49"/>
  <c r="L24" i="49"/>
  <c r="M24" i="49" s="1"/>
  <c r="F34" i="49"/>
  <c r="G25" i="49"/>
  <c r="H25" i="49" s="1"/>
  <c r="CA34" i="49"/>
  <c r="L34" i="49"/>
  <c r="M34" i="49" s="1"/>
  <c r="N34" i="49"/>
  <c r="K34" i="49"/>
  <c r="BZ27" i="49"/>
  <c r="FH27" i="49" s="1"/>
  <c r="AV27" i="49"/>
  <c r="F13" i="49"/>
  <c r="N38" i="49"/>
  <c r="L38" i="49"/>
  <c r="M38" i="49" s="1"/>
  <c r="K38" i="49"/>
  <c r="CA38" i="49"/>
  <c r="BZ22" i="49"/>
  <c r="FH22" i="49" s="1"/>
  <c r="BZ10" i="49"/>
  <c r="FH10" i="49" s="1"/>
  <c r="FA10" i="49"/>
  <c r="FO10" i="49" s="1"/>
  <c r="FQ6" i="49" s="1"/>
  <c r="L28" i="49"/>
  <c r="M28" i="49" s="1"/>
  <c r="K28" i="49"/>
  <c r="CA28" i="49"/>
  <c r="L6" i="49"/>
  <c r="M6" i="49" s="1"/>
  <c r="K6" i="49"/>
  <c r="N6" i="49"/>
  <c r="CA6" i="49"/>
  <c r="CA16" i="49"/>
  <c r="K16" i="49"/>
  <c r="N16" i="49"/>
  <c r="L16" i="49"/>
  <c r="M16" i="49" s="1"/>
  <c r="CA23" i="49"/>
  <c r="N23" i="49"/>
  <c r="L23" i="49"/>
  <c r="M23" i="49" s="1"/>
  <c r="K23" i="49"/>
  <c r="G10" i="49"/>
  <c r="L17" i="49"/>
  <c r="M17" i="49" s="1"/>
  <c r="CA17" i="49"/>
  <c r="N17" i="49"/>
  <c r="K17" i="49"/>
  <c r="J12" i="49"/>
  <c r="G12" i="49"/>
  <c r="AV12" i="49"/>
  <c r="F12" i="49"/>
  <c r="FQ12" i="49"/>
  <c r="F27" i="49"/>
  <c r="G13" i="49"/>
  <c r="F38" i="49"/>
  <c r="F28" i="49"/>
  <c r="FT12" i="49"/>
  <c r="FV12" i="49"/>
  <c r="N25" i="49"/>
  <c r="L25" i="49"/>
  <c r="M25" i="49" s="1"/>
  <c r="CA25" i="49"/>
  <c r="K25" i="49"/>
  <c r="FV11" i="49"/>
  <c r="FQ31" i="49"/>
  <c r="G8" i="49"/>
  <c r="H8" i="49" s="1"/>
  <c r="F37" i="49"/>
  <c r="FT34" i="49"/>
  <c r="FV34" i="49"/>
  <c r="G35" i="49"/>
  <c r="L9" i="49"/>
  <c r="M9" i="49" s="1"/>
  <c r="BZ14" i="49"/>
  <c r="FH14" i="49" s="1"/>
  <c r="G38" i="49"/>
  <c r="G28" i="49"/>
  <c r="K20" i="49"/>
  <c r="N20" i="49"/>
  <c r="L20" i="49"/>
  <c r="M20" i="49" s="1"/>
  <c r="CA20" i="49"/>
  <c r="AV22" i="49"/>
  <c r="G22" i="49"/>
  <c r="F22" i="49"/>
  <c r="J22" i="49"/>
  <c r="F10" i="49"/>
  <c r="AV36" i="49"/>
  <c r="J36" i="49"/>
  <c r="G36" i="49"/>
  <c r="F36" i="49"/>
  <c r="F25" i="49"/>
  <c r="G14" i="49"/>
  <c r="H14" i="49" s="1"/>
  <c r="BZ24" i="49"/>
  <c r="FH24" i="49" s="1"/>
  <c r="G24" i="49"/>
  <c r="FA24" i="49"/>
  <c r="FO24" i="49" s="1"/>
  <c r="FQ19" i="49" s="1"/>
  <c r="FV4" i="49"/>
  <c r="FQ36" i="49"/>
  <c r="N21" i="49"/>
  <c r="L21" i="49"/>
  <c r="M21" i="49" s="1"/>
  <c r="K21" i="49"/>
  <c r="CA21" i="49"/>
  <c r="FV7" i="49"/>
  <c r="CA4" i="49"/>
  <c r="N23" i="48"/>
  <c r="L23" i="48"/>
  <c r="M23" i="48" s="1"/>
  <c r="CA23" i="48"/>
  <c r="I15" i="48"/>
  <c r="G15" i="48"/>
  <c r="CA8" i="48"/>
  <c r="N8" i="48"/>
  <c r="L8" i="48"/>
  <c r="M8" i="48" s="1"/>
  <c r="K8" i="48"/>
  <c r="F24" i="48"/>
  <c r="BZ21" i="48"/>
  <c r="FH21" i="48" s="1"/>
  <c r="FA21" i="48"/>
  <c r="FO21" i="48" s="1"/>
  <c r="K5" i="48"/>
  <c r="L5" i="48"/>
  <c r="M5" i="48" s="1"/>
  <c r="N5" i="48"/>
  <c r="CA5" i="48"/>
  <c r="BZ6" i="48"/>
  <c r="FH6" i="48" s="1"/>
  <c r="FA6" i="48"/>
  <c r="FO6" i="48" s="1"/>
  <c r="FQ6" i="48" s="1"/>
  <c r="J6" i="48"/>
  <c r="I7" i="48"/>
  <c r="FA5" i="48"/>
  <c r="FO5" i="48" s="1"/>
  <c r="BZ5" i="48"/>
  <c r="FH5" i="48" s="1"/>
  <c r="FA14" i="48"/>
  <c r="FO14" i="48" s="1"/>
  <c r="BZ14" i="48"/>
  <c r="FH14" i="48" s="1"/>
  <c r="I19" i="48"/>
  <c r="F4" i="48"/>
  <c r="G17" i="48"/>
  <c r="AV17" i="48"/>
  <c r="N4" i="48"/>
  <c r="L4" i="48"/>
  <c r="M4" i="48" s="1"/>
  <c r="FA24" i="48"/>
  <c r="FO24" i="48" s="1"/>
  <c r="BZ24" i="48"/>
  <c r="FH24" i="48" s="1"/>
  <c r="FA17" i="48"/>
  <c r="FO17" i="48" s="1"/>
  <c r="FQ17" i="48" s="1"/>
  <c r="BZ17" i="48"/>
  <c r="FH17" i="48" s="1"/>
  <c r="FV17" i="48" s="1"/>
  <c r="J17" i="48"/>
  <c r="FA22" i="48"/>
  <c r="FO22" i="48" s="1"/>
  <c r="J22" i="48"/>
  <c r="BZ22" i="48"/>
  <c r="FH22" i="48" s="1"/>
  <c r="F19" i="48"/>
  <c r="G4" i="48"/>
  <c r="BZ13" i="48"/>
  <c r="FH13" i="48" s="1"/>
  <c r="FA13" i="48"/>
  <c r="FO13" i="48" s="1"/>
  <c r="J13" i="48"/>
  <c r="CA15" i="48"/>
  <c r="N15" i="48"/>
  <c r="I13" i="48"/>
  <c r="F17" i="48"/>
  <c r="I17" i="48"/>
  <c r="G22" i="48"/>
  <c r="FA8" i="48"/>
  <c r="FO8" i="48" s="1"/>
  <c r="FQ8" i="48" s="1"/>
  <c r="BZ8" i="48"/>
  <c r="FH8" i="48" s="1"/>
  <c r="L7" i="48"/>
  <c r="M7" i="48" s="1"/>
  <c r="K7" i="48"/>
  <c r="CA7" i="48"/>
  <c r="N7" i="48"/>
  <c r="G8" i="48"/>
  <c r="F7" i="48"/>
  <c r="G21" i="48"/>
  <c r="BZ7" i="48"/>
  <c r="FH7" i="48" s="1"/>
  <c r="FA7" i="48"/>
  <c r="FO7" i="48" s="1"/>
  <c r="FG10" i="48"/>
  <c r="I10" i="48"/>
  <c r="G13" i="48"/>
  <c r="F15" i="48"/>
  <c r="O10" i="48"/>
  <c r="FI10" i="48"/>
  <c r="FG18" i="48"/>
  <c r="BZ18" i="48"/>
  <c r="FH18" i="48" s="1"/>
  <c r="J11" i="48"/>
  <c r="F11" i="48"/>
  <c r="AV11" i="48"/>
  <c r="I11" i="48"/>
  <c r="G11" i="48"/>
  <c r="G7" i="48"/>
  <c r="I8" i="48"/>
  <c r="I16" i="48"/>
  <c r="I21" i="48"/>
  <c r="BZ16" i="48"/>
  <c r="FH16" i="48" s="1"/>
  <c r="I9" i="48"/>
  <c r="FA20" i="48"/>
  <c r="FO20" i="48" s="1"/>
  <c r="FQ23" i="48" s="1"/>
  <c r="BZ20" i="48"/>
  <c r="FH20" i="48" s="1"/>
  <c r="I20" i="48"/>
  <c r="FQ24" i="48"/>
  <c r="I4" i="48"/>
  <c r="K18" i="48"/>
  <c r="CA18" i="48"/>
  <c r="BZ19" i="48"/>
  <c r="FH19" i="48" s="1"/>
  <c r="FA19" i="48"/>
  <c r="FO19" i="48" s="1"/>
  <c r="FQ12" i="48" s="1"/>
  <c r="J19" i="48"/>
  <c r="BZ25" i="48"/>
  <c r="FH25" i="48" s="1"/>
  <c r="FA25" i="48"/>
  <c r="FO25" i="48" s="1"/>
  <c r="FQ25" i="48" s="1"/>
  <c r="J25" i="48"/>
  <c r="F22" i="48"/>
  <c r="J21" i="48"/>
  <c r="F8" i="48"/>
  <c r="N16" i="48"/>
  <c r="K16" i="48"/>
  <c r="CA16" i="48"/>
  <c r="F25" i="48"/>
  <c r="H25" i="48" s="1"/>
  <c r="A25" i="48" s="1" a="1"/>
  <c r="A25" i="48" s="1"/>
  <c r="F21" i="48"/>
  <c r="F14" i="48"/>
  <c r="BZ4" i="48"/>
  <c r="FH4" i="48" s="1"/>
  <c r="FA4" i="48"/>
  <c r="FO4" i="48" s="1"/>
  <c r="FQ4" i="48" s="1"/>
  <c r="ES5" i="47"/>
  <c r="ER5" i="47"/>
  <c r="FS29" i="47"/>
  <c r="EK15" i="47"/>
  <c r="FM24" i="47"/>
  <c r="FP19" i="47"/>
  <c r="FP13" i="47"/>
  <c r="FM4" i="47"/>
  <c r="FS13" i="47"/>
  <c r="FP30" i="47"/>
  <c r="FM31" i="47"/>
  <c r="FP12" i="47"/>
  <c r="FS7" i="47"/>
  <c r="FS15" i="47"/>
  <c r="FM19" i="47"/>
  <c r="FP28" i="47"/>
  <c r="EK5" i="47"/>
  <c r="ET5" i="47" s="1"/>
  <c r="ET15" i="47"/>
  <c r="FM12" i="47"/>
  <c r="FM28" i="47"/>
  <c r="FS26" i="47"/>
  <c r="FS19" i="47"/>
  <c r="FS27" i="47"/>
  <c r="FP31" i="47"/>
  <c r="FM26" i="47"/>
  <c r="FP18" i="47"/>
  <c r="FM21" i="47"/>
  <c r="FM8" i="47"/>
  <c r="FL30" i="47"/>
  <c r="DK10" i="47"/>
  <c r="DK26" i="47"/>
  <c r="DK15" i="47"/>
  <c r="DK28" i="47"/>
  <c r="FL13" i="47"/>
  <c r="FM30" i="47"/>
  <c r="EJ13" i="47"/>
  <c r="EJ5" i="47"/>
  <c r="FP8" i="47"/>
  <c r="EK13" i="47"/>
  <c r="ET13" i="47" s="1"/>
  <c r="FP22" i="47"/>
  <c r="FM6" i="47"/>
  <c r="DB21" i="47"/>
  <c r="FP7" i="47"/>
  <c r="FS22" i="47"/>
  <c r="FP24" i="47"/>
  <c r="FN28" i="47"/>
  <c r="FP21" i="47"/>
  <c r="FM20" i="47"/>
  <c r="DK20" i="47"/>
  <c r="DK12" i="47"/>
  <c r="FP15" i="47"/>
  <c r="DB7" i="47"/>
  <c r="DK29" i="47"/>
  <c r="FS28" i="47"/>
  <c r="FP4" i="47"/>
  <c r="DK19" i="47"/>
  <c r="FP26" i="47"/>
  <c r="DK23" i="47"/>
  <c r="DK13" i="47"/>
  <c r="DK5" i="47"/>
  <c r="FM15" i="47"/>
  <c r="DK25" i="47"/>
  <c r="DK11" i="47"/>
  <c r="DK14" i="47"/>
  <c r="FM27" i="47"/>
  <c r="FS21" i="47"/>
  <c r="DK30" i="47"/>
  <c r="DB22" i="47"/>
  <c r="DK9" i="47"/>
  <c r="FS5" i="47"/>
  <c r="FM17" i="47"/>
  <c r="FS16" i="47"/>
  <c r="FM14" i="47"/>
  <c r="FM9" i="47"/>
  <c r="DB27" i="47"/>
  <c r="DB6" i="47"/>
  <c r="FL26" i="47"/>
  <c r="FL21" i="47"/>
  <c r="DB16" i="47"/>
  <c r="DK17" i="47"/>
  <c r="FP10" i="47"/>
  <c r="FM10" i="47"/>
  <c r="FM23" i="47"/>
  <c r="FM13" i="47"/>
  <c r="FP16" i="47"/>
  <c r="FL12" i="47"/>
  <c r="FL7" i="47"/>
  <c r="EJ15" i="47"/>
  <c r="FS14" i="47"/>
  <c r="DK18" i="47"/>
  <c r="DK31" i="47"/>
  <c r="FS11" i="47"/>
  <c r="DB4" i="47"/>
  <c r="FS8" i="47"/>
  <c r="DK24" i="47"/>
  <c r="FS12" i="47"/>
  <c r="FM29" i="47"/>
  <c r="FS20" i="47"/>
  <c r="FP14" i="47"/>
  <c r="FS6" i="47"/>
  <c r="FM22" i="47"/>
  <c r="FM5" i="47"/>
  <c r="DA8" i="47"/>
  <c r="DA7" i="47"/>
  <c r="DB8" i="47"/>
  <c r="FR23" i="47"/>
  <c r="FR9" i="47"/>
  <c r="FM25" i="47"/>
  <c r="FM11" i="47"/>
  <c r="FS30" i="47"/>
  <c r="FN20" i="47"/>
  <c r="FP20" i="47"/>
  <c r="FS23" i="47"/>
  <c r="FP27" i="47"/>
  <c r="FN27" i="47"/>
  <c r="FL17" i="47"/>
  <c r="FP17" i="47"/>
  <c r="FL11" i="47"/>
  <c r="FP11" i="47"/>
  <c r="FR30" i="47"/>
  <c r="FS4" i="47"/>
  <c r="FR4" i="47"/>
  <c r="FL25" i="47"/>
  <c r="FP25" i="47"/>
  <c r="FR27" i="47"/>
  <c r="FR20" i="47"/>
  <c r="FR6" i="47"/>
  <c r="FN18" i="47"/>
  <c r="FP9" i="47"/>
  <c r="FP29" i="47"/>
  <c r="FM18" i="47"/>
  <c r="FP5" i="47"/>
  <c r="FL29" i="47"/>
  <c r="FP23" i="47"/>
  <c r="FN19" i="47"/>
  <c r="FR18" i="47"/>
  <c r="FP6" i="47"/>
  <c r="AO6" i="47"/>
  <c r="AO29" i="47"/>
  <c r="AO25" i="47"/>
  <c r="AO18" i="47"/>
  <c r="BY31" i="47"/>
  <c r="FG31" i="47" s="1"/>
  <c r="BY24" i="47"/>
  <c r="FG24" i="47" s="1"/>
  <c r="BY9" i="47"/>
  <c r="FG9" i="47" s="1"/>
  <c r="AU21" i="47"/>
  <c r="AU25" i="47"/>
  <c r="AU4" i="47"/>
  <c r="AU31" i="47"/>
  <c r="AO26" i="47"/>
  <c r="AU19" i="47"/>
  <c r="AO16" i="47"/>
  <c r="AO30" i="47"/>
  <c r="BS13" i="47"/>
  <c r="FA13" i="47" s="1"/>
  <c r="AU16" i="47"/>
  <c r="AO14" i="47"/>
  <c r="AO31" i="47"/>
  <c r="AU28" i="47"/>
  <c r="AU8" i="47"/>
  <c r="AO28" i="47"/>
  <c r="AU11" i="47"/>
  <c r="AO17" i="47"/>
  <c r="EY13" i="47"/>
  <c r="AO10" i="47"/>
  <c r="AU5" i="47"/>
  <c r="AU12" i="47"/>
  <c r="AU6" i="47"/>
  <c r="AV6" i="47" s="1"/>
  <c r="BY17" i="47"/>
  <c r="FG17" i="47" s="1"/>
  <c r="AO22" i="47"/>
  <c r="AU13" i="47"/>
  <c r="FE31" i="47"/>
  <c r="FS31" i="47" s="1"/>
  <c r="FE24" i="47"/>
  <c r="FS24" i="47" s="1"/>
  <c r="FC17" i="47"/>
  <c r="FS18" i="47" s="1"/>
  <c r="FE9" i="47"/>
  <c r="FS10" i="47" s="1"/>
  <c r="AO27" i="47"/>
  <c r="BS20" i="47"/>
  <c r="FA20" i="47" s="1"/>
  <c r="FO20" i="47" s="1"/>
  <c r="BS12" i="47"/>
  <c r="FA12" i="47" s="1"/>
  <c r="FO12" i="47" s="1"/>
  <c r="AU20" i="47"/>
  <c r="AU22" i="47"/>
  <c r="AO24" i="47"/>
  <c r="AU30" i="47"/>
  <c r="AU10" i="47"/>
  <c r="AO21" i="47"/>
  <c r="AU7" i="47"/>
  <c r="AU26" i="47"/>
  <c r="AO7" i="47"/>
  <c r="AU24" i="47"/>
  <c r="AO23" i="47"/>
  <c r="AU18" i="47"/>
  <c r="AO11" i="47"/>
  <c r="AO9" i="47"/>
  <c r="AU29" i="47"/>
  <c r="AU17" i="47"/>
  <c r="AU15" i="47"/>
  <c r="AO12" i="47"/>
  <c r="AO8" i="47"/>
  <c r="AU23" i="47"/>
  <c r="AO4" i="47"/>
  <c r="AO20" i="47"/>
  <c r="AO19" i="47"/>
  <c r="AU14" i="47"/>
  <c r="AO13" i="47"/>
  <c r="AU27" i="47"/>
  <c r="AO15" i="47"/>
  <c r="AU9" i="47"/>
  <c r="AO5" i="47"/>
  <c r="BS30" i="47"/>
  <c r="BY28" i="47"/>
  <c r="FG28" i="47" s="1"/>
  <c r="BS17" i="47"/>
  <c r="BY18" i="47"/>
  <c r="FG18" i="47" s="1"/>
  <c r="BS29" i="47"/>
  <c r="FA29" i="47" s="1"/>
  <c r="FO29" i="47" s="1"/>
  <c r="BS23" i="47"/>
  <c r="FA23" i="47" s="1"/>
  <c r="FO23" i="47" s="1"/>
  <c r="BS18" i="47"/>
  <c r="BY10" i="47"/>
  <c r="FG10" i="47" s="1"/>
  <c r="BS14" i="47"/>
  <c r="BY26" i="47"/>
  <c r="FG26" i="47" s="1"/>
  <c r="BY16" i="47"/>
  <c r="FG16" i="47" s="1"/>
  <c r="BY15" i="47"/>
  <c r="FG15" i="47" s="1"/>
  <c r="BY7" i="47"/>
  <c r="FG7" i="47" s="1"/>
  <c r="BY19" i="47"/>
  <c r="FG19" i="47" s="1"/>
  <c r="BY11" i="47"/>
  <c r="FG11" i="47" s="1"/>
  <c r="BS24" i="47"/>
  <c r="BS9" i="47"/>
  <c r="BS4" i="47"/>
  <c r="FA4" i="47" s="1"/>
  <c r="FO4" i="47" s="1"/>
  <c r="BY29" i="47"/>
  <c r="FG29" i="47" s="1"/>
  <c r="BY22" i="47"/>
  <c r="FG22" i="47" s="1"/>
  <c r="BY14" i="47"/>
  <c r="FG14" i="47" s="1"/>
  <c r="BY5" i="47"/>
  <c r="FG5" i="47" s="1"/>
  <c r="BY30" i="47"/>
  <c r="FG30" i="47" s="1"/>
  <c r="BY20" i="47"/>
  <c r="BY27" i="47"/>
  <c r="BY12" i="47"/>
  <c r="FG12" i="47" s="1"/>
  <c r="BY6" i="47"/>
  <c r="FG6" i="47" s="1"/>
  <c r="BS25" i="47"/>
  <c r="BS11" i="47"/>
  <c r="FA11" i="47" s="1"/>
  <c r="FO11" i="47" s="1"/>
  <c r="BY23" i="47"/>
  <c r="FG23" i="47" s="1"/>
  <c r="BY13" i="47"/>
  <c r="BS10" i="47"/>
  <c r="FA10" i="47" s="1"/>
  <c r="FO10" i="47" s="1"/>
  <c r="BS22" i="47"/>
  <c r="FA22" i="47" s="1"/>
  <c r="FO22" i="47" s="1"/>
  <c r="BS5" i="47"/>
  <c r="FA5" i="47" s="1"/>
  <c r="FO5" i="47" s="1"/>
  <c r="BS21" i="47"/>
  <c r="FA21" i="47" s="1"/>
  <c r="FO21" i="47" s="1"/>
  <c r="BS28" i="47"/>
  <c r="FA28" i="47" s="1"/>
  <c r="FO28" i="47" s="1"/>
  <c r="BS27" i="47"/>
  <c r="FA27" i="47" s="1"/>
  <c r="FO27" i="47" s="1"/>
  <c r="BS6" i="47"/>
  <c r="FA6" i="47" s="1"/>
  <c r="FO6" i="47" s="1"/>
  <c r="BS8" i="47"/>
  <c r="FA8" i="47" s="1"/>
  <c r="FO8" i="47" s="1"/>
  <c r="BY21" i="47"/>
  <c r="FG21" i="47" s="1"/>
  <c r="BY8" i="47"/>
  <c r="FG8" i="47" s="1"/>
  <c r="BS31" i="47"/>
  <c r="BS26" i="47"/>
  <c r="FA26" i="47" s="1"/>
  <c r="FO26" i="47" s="1"/>
  <c r="BS16" i="47"/>
  <c r="BS19" i="47"/>
  <c r="FA19" i="47" s="1"/>
  <c r="FO19" i="47" s="1"/>
  <c r="BS15" i="47"/>
  <c r="FA15" i="47" s="1"/>
  <c r="FO15" i="47" s="1"/>
  <c r="BS7" i="47"/>
  <c r="FA7" i="47" s="1"/>
  <c r="FO7" i="47" s="1"/>
  <c r="BY4" i="47"/>
  <c r="BY25" i="47"/>
  <c r="FG25" i="47" s="1"/>
  <c r="H7" i="52" l="1"/>
  <c r="H36" i="50"/>
  <c r="CA4" i="50"/>
  <c r="H14" i="50"/>
  <c r="K4" i="50"/>
  <c r="H29" i="50"/>
  <c r="FT34" i="50"/>
  <c r="H24" i="50"/>
  <c r="H34" i="50"/>
  <c r="H11" i="50"/>
  <c r="H32" i="50"/>
  <c r="A32" i="50" s="1" a="1"/>
  <c r="A32" i="50" s="1"/>
  <c r="FQ31" i="50"/>
  <c r="FV5" i="50"/>
  <c r="H35" i="50"/>
  <c r="A35" i="50" s="1" a="1"/>
  <c r="A35" i="50" s="1"/>
  <c r="A29" i="50" a="1"/>
  <c r="A29" i="50" s="1"/>
  <c r="H33" i="50"/>
  <c r="H18" i="50"/>
  <c r="H17" i="50"/>
  <c r="A17" i="50" s="1" a="1"/>
  <c r="A17" i="50" s="1"/>
  <c r="A18" i="50" a="1"/>
  <c r="A18" i="50" s="1"/>
  <c r="H21" i="50"/>
  <c r="A21" i="50" s="1" a="1"/>
  <c r="A21" i="50" s="1"/>
  <c r="H23" i="50"/>
  <c r="A23" i="50" s="1" a="1"/>
  <c r="A23" i="50" s="1"/>
  <c r="CA7" i="50"/>
  <c r="FI7" i="50" s="1"/>
  <c r="H17" i="49"/>
  <c r="L7" i="49"/>
  <c r="M7" i="49" s="1"/>
  <c r="K4" i="49"/>
  <c r="N7" i="49"/>
  <c r="H24" i="49"/>
  <c r="L4" i="49"/>
  <c r="M4" i="49" s="1"/>
  <c r="K7" i="49"/>
  <c r="H37" i="49"/>
  <c r="FV23" i="49"/>
  <c r="H27" i="49"/>
  <c r="A27" i="49" s="1" a="1"/>
  <c r="A27" i="49" s="1"/>
  <c r="H21" i="49"/>
  <c r="A21" i="49" s="1" a="1"/>
  <c r="A21" i="49" s="1"/>
  <c r="H22" i="49"/>
  <c r="A22" i="49" s="1" a="1"/>
  <c r="A22" i="49" s="1"/>
  <c r="FV36" i="49"/>
  <c r="FQ8" i="49"/>
  <c r="H9" i="49"/>
  <c r="A9" i="49" s="1" a="1"/>
  <c r="A9" i="49" s="1"/>
  <c r="H28" i="49"/>
  <c r="H16" i="49"/>
  <c r="A16" i="49" s="1" a="1"/>
  <c r="A16" i="49" s="1"/>
  <c r="FQ13" i="48"/>
  <c r="FT10" i="48"/>
  <c r="FQ21" i="48"/>
  <c r="H14" i="48"/>
  <c r="A14" i="48" s="1" a="1"/>
  <c r="A14" i="48" s="1"/>
  <c r="FQ28" i="47"/>
  <c r="FS9" i="47"/>
  <c r="FQ22" i="47"/>
  <c r="FQ6" i="47"/>
  <c r="FQ7" i="52"/>
  <c r="FV6" i="52"/>
  <c r="FQ9" i="51"/>
  <c r="CA7" i="51"/>
  <c r="L7" i="51"/>
  <c r="M7" i="51" s="1"/>
  <c r="N7" i="51"/>
  <c r="O7" i="51" s="1"/>
  <c r="FT9" i="51"/>
  <c r="K37" i="50"/>
  <c r="FT24" i="50"/>
  <c r="FV24" i="50"/>
  <c r="FV4" i="50"/>
  <c r="FT28" i="50"/>
  <c r="FV28" i="50"/>
  <c r="A33" i="50" a="1"/>
  <c r="A33" i="50" s="1"/>
  <c r="FQ33" i="50"/>
  <c r="K12" i="50"/>
  <c r="FT23" i="50"/>
  <c r="FV23" i="50"/>
  <c r="FQ13" i="50"/>
  <c r="FT4" i="50"/>
  <c r="CA37" i="50"/>
  <c r="FI37" i="50" s="1"/>
  <c r="L12" i="50"/>
  <c r="M12" i="50" s="1"/>
  <c r="FQ18" i="50"/>
  <c r="FT21" i="50"/>
  <c r="FT39" i="50"/>
  <c r="N37" i="50"/>
  <c r="O37" i="50" s="1"/>
  <c r="CA12" i="50"/>
  <c r="FI12" i="50" s="1"/>
  <c r="L14" i="50"/>
  <c r="M14" i="50" s="1"/>
  <c r="N7" i="50"/>
  <c r="FQ28" i="50"/>
  <c r="FT32" i="50"/>
  <c r="N31" i="50"/>
  <c r="CB31" i="50" s="1"/>
  <c r="FJ31" i="50" s="1"/>
  <c r="FT18" i="50"/>
  <c r="K14" i="50"/>
  <c r="FT13" i="50"/>
  <c r="FQ21" i="50"/>
  <c r="FQ39" i="50"/>
  <c r="CA14" i="50"/>
  <c r="FI14" i="50" s="1"/>
  <c r="K7" i="50"/>
  <c r="A17" i="49" a="1"/>
  <c r="A17" i="49" s="1"/>
  <c r="L11" i="49"/>
  <c r="M11" i="49" s="1"/>
  <c r="N11" i="49"/>
  <c r="CB11" i="49" s="1"/>
  <c r="FJ11" i="49" s="1"/>
  <c r="CA11" i="49"/>
  <c r="CA9" i="49"/>
  <c r="FI9" i="49" s="1"/>
  <c r="N9" i="49"/>
  <c r="O9" i="49" s="1"/>
  <c r="FQ10" i="49"/>
  <c r="FT20" i="49"/>
  <c r="FQ13" i="49"/>
  <c r="FT13" i="49"/>
  <c r="FT21" i="49"/>
  <c r="FT25" i="49"/>
  <c r="FV25" i="49"/>
  <c r="FT28" i="49"/>
  <c r="FV28" i="49"/>
  <c r="FT24" i="49"/>
  <c r="FV24" i="49"/>
  <c r="FQ37" i="49"/>
  <c r="FQ28" i="49"/>
  <c r="FT27" i="49"/>
  <c r="FV27" i="49"/>
  <c r="FQ24" i="49"/>
  <c r="FT22" i="49"/>
  <c r="FV22" i="49"/>
  <c r="FQ23" i="49"/>
  <c r="FT16" i="49"/>
  <c r="FQ35" i="49"/>
  <c r="FQ14" i="48"/>
  <c r="FQ20" i="48"/>
  <c r="H23" i="48"/>
  <c r="A23" i="48" s="1" a="1"/>
  <c r="A23" i="48" s="1"/>
  <c r="CA14" i="48"/>
  <c r="K14" i="48"/>
  <c r="N14" i="48"/>
  <c r="CB14" i="48" s="1"/>
  <c r="FJ14" i="48" s="1"/>
  <c r="K10" i="48"/>
  <c r="E10" i="48" s="1"/>
  <c r="N18" i="48"/>
  <c r="O18" i="48" s="1"/>
  <c r="FQ5" i="48"/>
  <c r="FT11" i="48"/>
  <c r="FQ11" i="48"/>
  <c r="K15" i="48"/>
  <c r="K12" i="48"/>
  <c r="FT14" i="48"/>
  <c r="FQ19" i="48"/>
  <c r="FQ22" i="48"/>
  <c r="CA4" i="48"/>
  <c r="FI4" i="48" s="1"/>
  <c r="N12" i="48"/>
  <c r="CB12" i="48" s="1"/>
  <c r="FJ12" i="48" s="1"/>
  <c r="FQ15" i="48"/>
  <c r="FQ7" i="48"/>
  <c r="FT17" i="48"/>
  <c r="FS17" i="47"/>
  <c r="N7" i="52"/>
  <c r="K7" i="52"/>
  <c r="L7" i="52"/>
  <c r="M7" i="52" s="1"/>
  <c r="CA7" i="52"/>
  <c r="H5" i="52"/>
  <c r="H4" i="52"/>
  <c r="H5" i="51"/>
  <c r="H7" i="51"/>
  <c r="H9" i="51"/>
  <c r="P8" i="51"/>
  <c r="E8" i="51" s="1"/>
  <c r="H6" i="51"/>
  <c r="H4" i="51"/>
  <c r="A4" i="51" s="1" a="1"/>
  <c r="A4" i="51" s="1"/>
  <c r="A24" i="50" a="1"/>
  <c r="A24" i="50" s="1"/>
  <c r="A36" i="50" a="1"/>
  <c r="A36" i="50" s="1"/>
  <c r="A14" i="50" a="1"/>
  <c r="A14" i="50" s="1"/>
  <c r="A39" i="50" a="1"/>
  <c r="A39" i="50" s="1"/>
  <c r="FV21" i="50"/>
  <c r="FT15" i="50"/>
  <c r="FV15" i="50"/>
  <c r="CA35" i="50"/>
  <c r="FI35" i="50" s="1"/>
  <c r="K35" i="50"/>
  <c r="N35" i="50"/>
  <c r="L35" i="50"/>
  <c r="M35" i="50" s="1"/>
  <c r="A22" i="50" a="1"/>
  <c r="A22" i="50" s="1"/>
  <c r="A34" i="50" a="1"/>
  <c r="A34" i="50" s="1"/>
  <c r="FT5" i="50"/>
  <c r="A11" i="49" a="1"/>
  <c r="A11" i="49" s="1"/>
  <c r="A24" i="49" a="1"/>
  <c r="A24" i="49" s="1"/>
  <c r="A37" i="49" a="1"/>
  <c r="A37" i="49" s="1"/>
  <c r="A14" i="49" a="1"/>
  <c r="A14" i="49" s="1"/>
  <c r="FT14" i="49"/>
  <c r="FV14" i="49"/>
  <c r="FV38" i="49"/>
  <c r="FV21" i="49"/>
  <c r="FT9" i="49"/>
  <c r="FV9" i="49"/>
  <c r="H6" i="48"/>
  <c r="H12" i="48"/>
  <c r="H18" i="48"/>
  <c r="A18" i="48" s="1" a="1"/>
  <c r="A18" i="48" s="1"/>
  <c r="FT24" i="48"/>
  <c r="FV24" i="48"/>
  <c r="H16" i="48"/>
  <c r="A16" i="48" s="1" a="1"/>
  <c r="A16" i="48" s="1"/>
  <c r="I10" i="50" s="1"/>
  <c r="H10" i="50" s="1"/>
  <c r="K9" i="48"/>
  <c r="N9" i="48"/>
  <c r="O9" i="48" s="1"/>
  <c r="FV14" i="48"/>
  <c r="L9" i="48"/>
  <c r="M9" i="48" s="1"/>
  <c r="P10" i="48"/>
  <c r="Q10" i="48" s="1"/>
  <c r="H20" i="48"/>
  <c r="A20" i="48" s="1" a="1"/>
  <c r="A20" i="48" s="1"/>
  <c r="H5" i="48"/>
  <c r="CA24" i="48"/>
  <c r="L12" i="48"/>
  <c r="M12" i="48" s="1"/>
  <c r="N24" i="48"/>
  <c r="CB24" i="48" s="1"/>
  <c r="FJ24" i="48" s="1"/>
  <c r="H24" i="48"/>
  <c r="A24" i="48" s="1" a="1"/>
  <c r="A24" i="48" s="1"/>
  <c r="K20" i="48"/>
  <c r="H9" i="48"/>
  <c r="L20" i="48"/>
  <c r="M20" i="48" s="1"/>
  <c r="N20" i="48"/>
  <c r="CB20" i="48" s="1"/>
  <c r="FJ20" i="48" s="1"/>
  <c r="H7" i="48"/>
  <c r="FT9" i="48"/>
  <c r="FV9" i="48"/>
  <c r="FV11" i="48"/>
  <c r="H10" i="48"/>
  <c r="H19" i="48"/>
  <c r="H13" i="48"/>
  <c r="H11" i="48"/>
  <c r="K24" i="48"/>
  <c r="H8" i="48"/>
  <c r="L5" i="52"/>
  <c r="M5" i="52" s="1"/>
  <c r="K5" i="52"/>
  <c r="N5" i="52"/>
  <c r="CA5" i="52"/>
  <c r="O4" i="52"/>
  <c r="CB4" i="52"/>
  <c r="FJ4" i="52" s="1"/>
  <c r="CB6" i="52"/>
  <c r="FJ6" i="52" s="1"/>
  <c r="O6" i="52"/>
  <c r="FI4" i="52"/>
  <c r="FI6" i="52"/>
  <c r="FT5" i="52"/>
  <c r="FV5" i="52"/>
  <c r="FT4" i="52"/>
  <c r="FV4" i="52"/>
  <c r="O4" i="51"/>
  <c r="CB4" i="51"/>
  <c r="FJ4" i="51" s="1"/>
  <c r="FT4" i="51"/>
  <c r="FV4" i="51"/>
  <c r="FT5" i="51"/>
  <c r="FV5" i="51"/>
  <c r="K5" i="51"/>
  <c r="N5" i="51"/>
  <c r="L5" i="51"/>
  <c r="M5" i="51" s="1"/>
  <c r="CA5" i="51"/>
  <c r="FI6" i="51"/>
  <c r="H8" i="51"/>
  <c r="A8" i="51" s="1" a="1"/>
  <c r="A8" i="51" s="1"/>
  <c r="FI4" i="51"/>
  <c r="FI7" i="51"/>
  <c r="FT8" i="51"/>
  <c r="FV8" i="51"/>
  <c r="CB6" i="51"/>
  <c r="FJ6" i="51" s="1"/>
  <c r="O6" i="51"/>
  <c r="K9" i="51"/>
  <c r="N9" i="51"/>
  <c r="L9" i="51"/>
  <c r="M9" i="51" s="1"/>
  <c r="CA9" i="51"/>
  <c r="CB36" i="50"/>
  <c r="FJ36" i="50" s="1"/>
  <c r="O36" i="50"/>
  <c r="O11" i="50"/>
  <c r="CB11" i="50"/>
  <c r="FJ11" i="50" s="1"/>
  <c r="FI36" i="50"/>
  <c r="CB34" i="50"/>
  <c r="FJ34" i="50" s="1"/>
  <c r="O34" i="50"/>
  <c r="FI24" i="50"/>
  <c r="CB9" i="50"/>
  <c r="FJ9" i="50" s="1"/>
  <c r="O9" i="50"/>
  <c r="N18" i="50"/>
  <c r="L18" i="50"/>
  <c r="M18" i="50" s="1"/>
  <c r="K18" i="50"/>
  <c r="CA18" i="50"/>
  <c r="FT14" i="50"/>
  <c r="FV14" i="50"/>
  <c r="O12" i="50"/>
  <c r="CB12" i="50"/>
  <c r="FJ12" i="50" s="1"/>
  <c r="CA13" i="50"/>
  <c r="N13" i="50"/>
  <c r="L13" i="50"/>
  <c r="M13" i="50" s="1"/>
  <c r="K13" i="50"/>
  <c r="FV37" i="50"/>
  <c r="FT37" i="50"/>
  <c r="FT11" i="50"/>
  <c r="FV11" i="50"/>
  <c r="N10" i="50"/>
  <c r="L10" i="50"/>
  <c r="M10" i="50" s="1"/>
  <c r="CA10" i="50"/>
  <c r="K10" i="50"/>
  <c r="CA8" i="50"/>
  <c r="N8" i="50"/>
  <c r="L8" i="50"/>
  <c r="M8" i="50" s="1"/>
  <c r="K8" i="50"/>
  <c r="L22" i="50"/>
  <c r="M22" i="50" s="1"/>
  <c r="K22" i="50"/>
  <c r="N22" i="50"/>
  <c r="CA22" i="50"/>
  <c r="FT38" i="50"/>
  <c r="FV38" i="50"/>
  <c r="FT36" i="50"/>
  <c r="FV36" i="50"/>
  <c r="K39" i="50"/>
  <c r="CA39" i="50"/>
  <c r="N39" i="50"/>
  <c r="L39" i="50"/>
  <c r="M39" i="50" s="1"/>
  <c r="CB38" i="50"/>
  <c r="FJ38" i="50" s="1"/>
  <c r="O38" i="50"/>
  <c r="FI9" i="50"/>
  <c r="FT20" i="50"/>
  <c r="FV20" i="50"/>
  <c r="N33" i="50"/>
  <c r="CA33" i="50"/>
  <c r="L33" i="50"/>
  <c r="M33" i="50" s="1"/>
  <c r="K33" i="50"/>
  <c r="FT10" i="50"/>
  <c r="FV10" i="50"/>
  <c r="FT8" i="50"/>
  <c r="FV8" i="50"/>
  <c r="FI6" i="50"/>
  <c r="FT12" i="50"/>
  <c r="FV12" i="50"/>
  <c r="FI5" i="50"/>
  <c r="K21" i="50"/>
  <c r="CA21" i="50"/>
  <c r="L21" i="50"/>
  <c r="M21" i="50" s="1"/>
  <c r="N21" i="50"/>
  <c r="CB14" i="50"/>
  <c r="FJ14" i="50" s="1"/>
  <c r="O14" i="50"/>
  <c r="FT22" i="50"/>
  <c r="FV22" i="50"/>
  <c r="FT7" i="50"/>
  <c r="FV7" i="50"/>
  <c r="O24" i="50"/>
  <c r="CB24" i="50"/>
  <c r="FJ24" i="50" s="1"/>
  <c r="FI38" i="50"/>
  <c r="K28" i="50"/>
  <c r="CA28" i="50"/>
  <c r="N28" i="50"/>
  <c r="L28" i="50"/>
  <c r="M28" i="50" s="1"/>
  <c r="CB17" i="50"/>
  <c r="FJ17" i="50" s="1"/>
  <c r="O17" i="50"/>
  <c r="O23" i="50"/>
  <c r="CB23" i="50"/>
  <c r="FJ23" i="50" s="1"/>
  <c r="FT31" i="50"/>
  <c r="FV31" i="50"/>
  <c r="FI17" i="50"/>
  <c r="FT17" i="50"/>
  <c r="FV17" i="50"/>
  <c r="O32" i="50"/>
  <c r="CB32" i="50"/>
  <c r="FJ32" i="50" s="1"/>
  <c r="CB6" i="50"/>
  <c r="FJ6" i="50" s="1"/>
  <c r="O6" i="50"/>
  <c r="CB5" i="50"/>
  <c r="FJ5" i="50" s="1"/>
  <c r="O5" i="50"/>
  <c r="FI31" i="50"/>
  <c r="FI11" i="50"/>
  <c r="FT33" i="50"/>
  <c r="FV33" i="50"/>
  <c r="FI34" i="50"/>
  <c r="FI23" i="50"/>
  <c r="FT9" i="50"/>
  <c r="FV9" i="50"/>
  <c r="FI29" i="50"/>
  <c r="CB29" i="50"/>
  <c r="FJ29" i="50" s="1"/>
  <c r="FU29" i="50" s="1"/>
  <c r="FW29" i="50" s="1"/>
  <c r="FX29" i="50" s="1"/>
  <c r="O29" i="50"/>
  <c r="FT6" i="50"/>
  <c r="FV6" i="50"/>
  <c r="FI4" i="50"/>
  <c r="FI32" i="50"/>
  <c r="FV35" i="50"/>
  <c r="FT35" i="50"/>
  <c r="CB4" i="50"/>
  <c r="FJ4" i="50" s="1"/>
  <c r="O4" i="50"/>
  <c r="FT6" i="49"/>
  <c r="FV6" i="49"/>
  <c r="FT17" i="49"/>
  <c r="FV17" i="49"/>
  <c r="CB17" i="49"/>
  <c r="FJ17" i="49" s="1"/>
  <c r="O17" i="49"/>
  <c r="CB7" i="49"/>
  <c r="FJ7" i="49" s="1"/>
  <c r="O7" i="49"/>
  <c r="L26" i="49"/>
  <c r="M26" i="49" s="1"/>
  <c r="K26" i="49"/>
  <c r="CA26" i="49"/>
  <c r="N26" i="49"/>
  <c r="L13" i="49"/>
  <c r="M13" i="49" s="1"/>
  <c r="N13" i="49"/>
  <c r="K13" i="49"/>
  <c r="CA13" i="49"/>
  <c r="FI21" i="49"/>
  <c r="FT37" i="49"/>
  <c r="FV37" i="49"/>
  <c r="FT8" i="49"/>
  <c r="FV8" i="49"/>
  <c r="CB4" i="49"/>
  <c r="FJ4" i="49" s="1"/>
  <c r="O4" i="49"/>
  <c r="FI17" i="49"/>
  <c r="FI7" i="49"/>
  <c r="CB6" i="49"/>
  <c r="FJ6" i="49" s="1"/>
  <c r="O6" i="49"/>
  <c r="FI38" i="49"/>
  <c r="FI27" i="49"/>
  <c r="CB9" i="49"/>
  <c r="FJ9" i="49" s="1"/>
  <c r="A25" i="49" a="1"/>
  <c r="A25" i="49" s="1"/>
  <c r="FT18" i="49"/>
  <c r="FV18" i="49"/>
  <c r="FT32" i="49"/>
  <c r="FV32" i="49"/>
  <c r="FT33" i="49"/>
  <c r="FV33" i="49"/>
  <c r="CB24" i="49"/>
  <c r="FJ24" i="49" s="1"/>
  <c r="O24" i="49"/>
  <c r="O14" i="49"/>
  <c r="CB14" i="49"/>
  <c r="FJ14" i="49" s="1"/>
  <c r="O20" i="49"/>
  <c r="CB20" i="49"/>
  <c r="FJ20" i="49" s="1"/>
  <c r="FI23" i="49"/>
  <c r="FI24" i="49"/>
  <c r="FI14" i="49"/>
  <c r="FI5" i="49"/>
  <c r="FI16" i="49"/>
  <c r="CB34" i="49"/>
  <c r="FJ34" i="49" s="1"/>
  <c r="O34" i="49"/>
  <c r="FT19" i="49"/>
  <c r="FV19" i="49"/>
  <c r="FI6" i="49"/>
  <c r="FI34" i="49"/>
  <c r="N18" i="49"/>
  <c r="L18" i="49"/>
  <c r="M18" i="49" s="1"/>
  <c r="K18" i="49"/>
  <c r="CA18" i="49"/>
  <c r="FI4" i="49"/>
  <c r="CA8" i="49"/>
  <c r="K8" i="49"/>
  <c r="N8" i="49"/>
  <c r="L8" i="49"/>
  <c r="M8" i="49" s="1"/>
  <c r="A8" i="49" a="1"/>
  <c r="A8" i="49" s="1"/>
  <c r="CB5" i="49"/>
  <c r="FJ5" i="49" s="1"/>
  <c r="O5" i="49"/>
  <c r="N35" i="49"/>
  <c r="CA35" i="49"/>
  <c r="L35" i="49"/>
  <c r="M35" i="49" s="1"/>
  <c r="K35" i="49"/>
  <c r="O27" i="49"/>
  <c r="CB27" i="49"/>
  <c r="FJ27" i="49" s="1"/>
  <c r="CB21" i="49"/>
  <c r="FJ21" i="49" s="1"/>
  <c r="O21" i="49"/>
  <c r="FI25" i="49"/>
  <c r="CB38" i="49"/>
  <c r="FJ38" i="49" s="1"/>
  <c r="O38" i="49"/>
  <c r="FT10" i="49"/>
  <c r="FV10" i="49"/>
  <c r="FT29" i="49"/>
  <c r="FV29" i="49"/>
  <c r="CA36" i="49"/>
  <c r="N36" i="49"/>
  <c r="L36" i="49"/>
  <c r="M36" i="49" s="1"/>
  <c r="K36" i="49"/>
  <c r="O25" i="49"/>
  <c r="CB25" i="49"/>
  <c r="FJ25" i="49" s="1"/>
  <c r="FI28" i="49"/>
  <c r="CA37" i="49"/>
  <c r="L37" i="49"/>
  <c r="M37" i="49" s="1"/>
  <c r="K37" i="49"/>
  <c r="N37" i="49"/>
  <c r="FI10" i="49"/>
  <c r="FI20" i="49"/>
  <c r="CB28" i="49"/>
  <c r="FJ28" i="49" s="1"/>
  <c r="O28" i="49"/>
  <c r="CB10" i="49"/>
  <c r="FJ10" i="49" s="1"/>
  <c r="O10" i="49"/>
  <c r="CB23" i="49"/>
  <c r="FJ23" i="49" s="1"/>
  <c r="FU23" i="49" s="1"/>
  <c r="FW23" i="49" s="1"/>
  <c r="O23" i="49"/>
  <c r="FI11" i="49"/>
  <c r="CA22" i="49"/>
  <c r="K22" i="49"/>
  <c r="N22" i="49"/>
  <c r="L22" i="49"/>
  <c r="M22" i="49" s="1"/>
  <c r="A28" i="49" a="1"/>
  <c r="A28" i="49" s="1"/>
  <c r="L12" i="49"/>
  <c r="M12" i="49" s="1"/>
  <c r="K12" i="49"/>
  <c r="N12" i="49"/>
  <c r="CA12" i="49"/>
  <c r="CB16" i="49"/>
  <c r="FJ16" i="49" s="1"/>
  <c r="O16" i="49"/>
  <c r="FT35" i="49"/>
  <c r="FV35" i="49"/>
  <c r="FI20" i="48"/>
  <c r="CA25" i="48"/>
  <c r="L25" i="48"/>
  <c r="M25" i="48" s="1"/>
  <c r="K25" i="48"/>
  <c r="N25" i="48"/>
  <c r="CA19" i="48"/>
  <c r="N19" i="48"/>
  <c r="K19" i="48"/>
  <c r="L19" i="48"/>
  <c r="M19" i="48" s="1"/>
  <c r="FT23" i="48"/>
  <c r="FV23" i="48"/>
  <c r="FT7" i="48"/>
  <c r="FV7" i="48"/>
  <c r="N11" i="48"/>
  <c r="CA11" i="48"/>
  <c r="L11" i="48"/>
  <c r="M11" i="48" s="1"/>
  <c r="K11" i="48"/>
  <c r="FV5" i="48"/>
  <c r="FT5" i="48"/>
  <c r="N22" i="48"/>
  <c r="L22" i="48"/>
  <c r="M22" i="48" s="1"/>
  <c r="K22" i="48"/>
  <c r="CA22" i="48"/>
  <c r="FI5" i="48"/>
  <c r="FT16" i="48"/>
  <c r="FV16" i="48"/>
  <c r="FT8" i="48"/>
  <c r="FV8" i="48"/>
  <c r="O4" i="48"/>
  <c r="CB4" i="48"/>
  <c r="FJ4" i="48" s="1"/>
  <c r="CB5" i="48"/>
  <c r="FJ5" i="48" s="1"/>
  <c r="O5" i="48"/>
  <c r="FI16" i="48"/>
  <c r="FI8" i="48"/>
  <c r="FI23" i="48"/>
  <c r="FI7" i="48"/>
  <c r="FT12" i="48"/>
  <c r="FV12" i="48"/>
  <c r="FI15" i="48"/>
  <c r="FI9" i="48"/>
  <c r="R10" i="48"/>
  <c r="FV15" i="48"/>
  <c r="FT15" i="48"/>
  <c r="FI12" i="48"/>
  <c r="O15" i="48"/>
  <c r="CB15" i="48"/>
  <c r="FJ15" i="48" s="1"/>
  <c r="O12" i="48"/>
  <c r="H21" i="48"/>
  <c r="A21" i="48" s="1" a="1"/>
  <c r="A21" i="48" s="1"/>
  <c r="H4" i="48"/>
  <c r="FT22" i="48"/>
  <c r="FV22" i="48"/>
  <c r="H17" i="48"/>
  <c r="A17" i="48" s="1" a="1"/>
  <c r="A17" i="48" s="1"/>
  <c r="CA6" i="48"/>
  <c r="L6" i="48"/>
  <c r="M6" i="48" s="1"/>
  <c r="N6" i="48"/>
  <c r="K6" i="48"/>
  <c r="O7" i="48"/>
  <c r="CB7" i="48"/>
  <c r="FJ7" i="48" s="1"/>
  <c r="O14" i="48"/>
  <c r="FT21" i="48"/>
  <c r="FV21" i="48"/>
  <c r="N13" i="48"/>
  <c r="K13" i="48"/>
  <c r="L13" i="48"/>
  <c r="M13" i="48" s="1"/>
  <c r="CA13" i="48"/>
  <c r="FI24" i="48"/>
  <c r="FV4" i="48"/>
  <c r="FT4" i="48"/>
  <c r="FT20" i="48"/>
  <c r="FV20" i="48"/>
  <c r="O23" i="48"/>
  <c r="CB23" i="48"/>
  <c r="FJ23" i="48" s="1"/>
  <c r="FT13" i="48"/>
  <c r="FV13" i="48"/>
  <c r="FT25" i="48"/>
  <c r="FV25" i="48"/>
  <c r="FT18" i="48"/>
  <c r="FV18" i="48"/>
  <c r="K17" i="48"/>
  <c r="CA17" i="48"/>
  <c r="N17" i="48"/>
  <c r="L17" i="48"/>
  <c r="M17" i="48" s="1"/>
  <c r="CB9" i="48"/>
  <c r="FJ9" i="48" s="1"/>
  <c r="FT19" i="48"/>
  <c r="FV19" i="48"/>
  <c r="O8" i="48"/>
  <c r="CB8" i="48"/>
  <c r="FJ8" i="48" s="1"/>
  <c r="FI18" i="48"/>
  <c r="H22" i="48"/>
  <c r="A22" i="48" s="1" a="1"/>
  <c r="A22" i="48" s="1"/>
  <c r="O16" i="48"/>
  <c r="CB16" i="48"/>
  <c r="FJ16" i="48" s="1"/>
  <c r="N21" i="48"/>
  <c r="CA21" i="48"/>
  <c r="L21" i="48"/>
  <c r="M21" i="48" s="1"/>
  <c r="K21" i="48"/>
  <c r="FI14" i="48"/>
  <c r="FV6" i="48"/>
  <c r="FT6" i="48"/>
  <c r="H15" i="48"/>
  <c r="F24" i="47"/>
  <c r="I24" i="47"/>
  <c r="I27" i="47"/>
  <c r="F27" i="47"/>
  <c r="I20" i="47"/>
  <c r="F20" i="47"/>
  <c r="I5" i="47"/>
  <c r="F5" i="47"/>
  <c r="I11" i="47"/>
  <c r="F11" i="47"/>
  <c r="I23" i="47"/>
  <c r="F23" i="47"/>
  <c r="I31" i="47"/>
  <c r="F31" i="47"/>
  <c r="I18" i="47"/>
  <c r="F18" i="47"/>
  <c r="I10" i="47"/>
  <c r="F10" i="47"/>
  <c r="I9" i="47"/>
  <c r="F9" i="47"/>
  <c r="I17" i="47"/>
  <c r="F17" i="47"/>
  <c r="F19" i="47"/>
  <c r="I19" i="47"/>
  <c r="I21" i="47"/>
  <c r="F21" i="47"/>
  <c r="F22" i="47"/>
  <c r="I22" i="47"/>
  <c r="F25" i="47"/>
  <c r="I25" i="47"/>
  <c r="F16" i="47"/>
  <c r="I16" i="47"/>
  <c r="F15" i="47"/>
  <c r="I15" i="47"/>
  <c r="I4" i="47"/>
  <c r="F4" i="47"/>
  <c r="F14" i="47"/>
  <c r="I14" i="47"/>
  <c r="I8" i="47"/>
  <c r="F8" i="47"/>
  <c r="I29" i="47"/>
  <c r="F29" i="47"/>
  <c r="I26" i="47"/>
  <c r="F26" i="47"/>
  <c r="I13" i="47"/>
  <c r="F13" i="47"/>
  <c r="F28" i="47"/>
  <c r="I28" i="47"/>
  <c r="I7" i="47"/>
  <c r="F7" i="47"/>
  <c r="F12" i="47"/>
  <c r="I12" i="47"/>
  <c r="I30" i="47"/>
  <c r="F30" i="47"/>
  <c r="F6" i="47"/>
  <c r="I6" i="47"/>
  <c r="FQ4" i="47"/>
  <c r="FQ7" i="47"/>
  <c r="FQ21" i="47"/>
  <c r="FQ5" i="47"/>
  <c r="FQ23" i="47"/>
  <c r="FQ19" i="47"/>
  <c r="FQ8" i="47"/>
  <c r="FQ27" i="47"/>
  <c r="AV29" i="47"/>
  <c r="FQ12" i="47"/>
  <c r="G19" i="47"/>
  <c r="G14" i="47"/>
  <c r="H14" i="47" s="1"/>
  <c r="A14" i="47" s="1" a="1"/>
  <c r="A14" i="47" s="1"/>
  <c r="G25" i="47"/>
  <c r="G24" i="47"/>
  <c r="G21" i="47"/>
  <c r="G6" i="47"/>
  <c r="DK21" i="47"/>
  <c r="G23" i="47"/>
  <c r="G31" i="47"/>
  <c r="G18" i="47"/>
  <c r="FQ29" i="47"/>
  <c r="G22" i="47"/>
  <c r="G30" i="47"/>
  <c r="G5" i="47"/>
  <c r="G10" i="47"/>
  <c r="G7" i="47"/>
  <c r="H7" i="47" s="1"/>
  <c r="FQ26" i="47"/>
  <c r="FO13" i="47"/>
  <c r="DK16" i="47"/>
  <c r="DK7" i="47"/>
  <c r="DK6" i="47"/>
  <c r="DK27" i="47"/>
  <c r="DK8" i="47"/>
  <c r="G15" i="47"/>
  <c r="G8" i="47"/>
  <c r="G27" i="47"/>
  <c r="G17" i="47"/>
  <c r="G13" i="47"/>
  <c r="G28" i="47"/>
  <c r="G20" i="47"/>
  <c r="G4" i="47"/>
  <c r="G29" i="47"/>
  <c r="DK4" i="47"/>
  <c r="G16" i="47"/>
  <c r="G9" i="47"/>
  <c r="G26" i="47"/>
  <c r="G11" i="47"/>
  <c r="G12" i="47"/>
  <c r="DK22" i="47"/>
  <c r="FQ11" i="47"/>
  <c r="AV16" i="47"/>
  <c r="AV25" i="47"/>
  <c r="AV18" i="47"/>
  <c r="AV21" i="47"/>
  <c r="AV22" i="47"/>
  <c r="AV31" i="47"/>
  <c r="AV9" i="47"/>
  <c r="AV24" i="47"/>
  <c r="AV26" i="47"/>
  <c r="AV30" i="47"/>
  <c r="AV28" i="47"/>
  <c r="J13" i="47"/>
  <c r="AV8" i="47"/>
  <c r="AV14" i="47"/>
  <c r="BZ17" i="47"/>
  <c r="FH17" i="47" s="1"/>
  <c r="AV19" i="47"/>
  <c r="AV17" i="47"/>
  <c r="AV27" i="47"/>
  <c r="AV12" i="47"/>
  <c r="J29" i="47"/>
  <c r="AV20" i="47"/>
  <c r="AV10" i="47"/>
  <c r="J26" i="47"/>
  <c r="AV13" i="47"/>
  <c r="J11" i="47"/>
  <c r="AV5" i="47"/>
  <c r="AV11" i="47"/>
  <c r="BZ31" i="47"/>
  <c r="FH31" i="47" s="1"/>
  <c r="FA31" i="47"/>
  <c r="FO31" i="47" s="1"/>
  <c r="FQ31" i="47" s="1"/>
  <c r="BZ4" i="47"/>
  <c r="FH4" i="47" s="1"/>
  <c r="FG4" i="47"/>
  <c r="BZ18" i="47"/>
  <c r="FH18" i="47" s="1"/>
  <c r="FA18" i="47"/>
  <c r="FO18" i="47" s="1"/>
  <c r="J14" i="47"/>
  <c r="FA14" i="47"/>
  <c r="FO14" i="47" s="1"/>
  <c r="FQ15" i="47" s="1"/>
  <c r="J30" i="47"/>
  <c r="FA30" i="47"/>
  <c r="FO30" i="47" s="1"/>
  <c r="FQ30" i="47" s="1"/>
  <c r="BZ9" i="47"/>
  <c r="FH9" i="47" s="1"/>
  <c r="FA9" i="47"/>
  <c r="FO9" i="47" s="1"/>
  <c r="FQ10" i="47" s="1"/>
  <c r="BZ24" i="47"/>
  <c r="FH24" i="47" s="1"/>
  <c r="FA24" i="47"/>
  <c r="FO24" i="47" s="1"/>
  <c r="FQ24" i="47" s="1"/>
  <c r="J18" i="47"/>
  <c r="BZ13" i="47"/>
  <c r="FH13" i="47" s="1"/>
  <c r="FG13" i="47"/>
  <c r="J16" i="47"/>
  <c r="CA16" i="47" s="1"/>
  <c r="FA16" i="47"/>
  <c r="FO16" i="47" s="1"/>
  <c r="FQ20" i="47" s="1"/>
  <c r="J17" i="47"/>
  <c r="FA17" i="47"/>
  <c r="FO17" i="47" s="1"/>
  <c r="J25" i="47"/>
  <c r="FA25" i="47"/>
  <c r="FO25" i="47" s="1"/>
  <c r="FQ25" i="47" s="1"/>
  <c r="FG27" i="47"/>
  <c r="J19" i="47"/>
  <c r="BZ20" i="47"/>
  <c r="FH20" i="47" s="1"/>
  <c r="FG20" i="47"/>
  <c r="AV23" i="47"/>
  <c r="AV7" i="47"/>
  <c r="J7" i="47"/>
  <c r="CA7" i="47" s="1"/>
  <c r="J23" i="47"/>
  <c r="J12" i="47"/>
  <c r="AV15" i="47"/>
  <c r="J31" i="47"/>
  <c r="BZ30" i="47"/>
  <c r="FH30" i="47" s="1"/>
  <c r="J20" i="47"/>
  <c r="AV4" i="47"/>
  <c r="J4" i="47"/>
  <c r="CA4" i="47" s="1"/>
  <c r="BZ22" i="47"/>
  <c r="FH22" i="47" s="1"/>
  <c r="BZ25" i="47"/>
  <c r="FH25" i="47" s="1"/>
  <c r="BZ12" i="47"/>
  <c r="FH12" i="47" s="1"/>
  <c r="BZ21" i="47"/>
  <c r="FH21" i="47" s="1"/>
  <c r="BZ14" i="47"/>
  <c r="FH14" i="47" s="1"/>
  <c r="J6" i="47"/>
  <c r="CA6" i="47" s="1"/>
  <c r="J8" i="47"/>
  <c r="BZ10" i="47"/>
  <c r="FH10" i="47" s="1"/>
  <c r="J9" i="47"/>
  <c r="BZ26" i="47"/>
  <c r="FH26" i="47" s="1"/>
  <c r="BZ23" i="47"/>
  <c r="FH23" i="47" s="1"/>
  <c r="BZ29" i="47"/>
  <c r="FH29" i="47" s="1"/>
  <c r="J28" i="47"/>
  <c r="BZ6" i="47"/>
  <c r="FH6" i="47" s="1"/>
  <c r="J24" i="47"/>
  <c r="J27" i="47"/>
  <c r="CA27" i="47" s="1"/>
  <c r="BZ11" i="47"/>
  <c r="FH11" i="47" s="1"/>
  <c r="BZ27" i="47"/>
  <c r="FH27" i="47" s="1"/>
  <c r="J5" i="47"/>
  <c r="J10" i="47"/>
  <c r="BZ15" i="47"/>
  <c r="FH15" i="47" s="1"/>
  <c r="BZ16" i="47"/>
  <c r="FH16" i="47" s="1"/>
  <c r="BZ8" i="47"/>
  <c r="FH8" i="47" s="1"/>
  <c r="J15" i="47"/>
  <c r="BZ19" i="47"/>
  <c r="FH19" i="47" s="1"/>
  <c r="J22" i="47"/>
  <c r="CA22" i="47" s="1"/>
  <c r="J21" i="47"/>
  <c r="BZ5" i="47"/>
  <c r="FH5" i="47" s="1"/>
  <c r="BZ28" i="47"/>
  <c r="FH28" i="47" s="1"/>
  <c r="BZ7" i="47"/>
  <c r="FH7" i="47" s="1"/>
  <c r="CB7" i="51" l="1"/>
  <c r="FJ7" i="51" s="1"/>
  <c r="R8" i="51"/>
  <c r="FU24" i="50"/>
  <c r="FW24" i="50" s="1"/>
  <c r="FX24" i="50" s="1"/>
  <c r="FU23" i="50"/>
  <c r="FW23" i="50" s="1"/>
  <c r="FX23" i="50" s="1"/>
  <c r="CB37" i="50"/>
  <c r="FJ37" i="50" s="1"/>
  <c r="O11" i="49"/>
  <c r="FU28" i="49"/>
  <c r="FW28" i="49" s="1"/>
  <c r="FX28" i="49" s="1"/>
  <c r="FX23" i="49"/>
  <c r="FU27" i="49"/>
  <c r="FW27" i="49" s="1"/>
  <c r="FX27" i="49" s="1"/>
  <c r="FU24" i="49"/>
  <c r="FW24" i="49" s="1"/>
  <c r="FX24" i="49" s="1"/>
  <c r="CB18" i="48"/>
  <c r="FJ18" i="48" s="1"/>
  <c r="I13" i="50"/>
  <c r="H13" i="50" s="1"/>
  <c r="A13" i="50" s="1" a="1"/>
  <c r="A13" i="50" s="1"/>
  <c r="I31" i="50"/>
  <c r="H31" i="50" s="1"/>
  <c r="A31" i="50" s="1" a="1"/>
  <c r="A31" i="50" s="1"/>
  <c r="I28" i="50"/>
  <c r="H28" i="50" s="1"/>
  <c r="A28" i="50" s="1" a="1"/>
  <c r="A28" i="50" s="1"/>
  <c r="I12" i="50"/>
  <c r="H12" i="50" s="1"/>
  <c r="A12" i="50" s="1" a="1"/>
  <c r="A12" i="50" s="1"/>
  <c r="I12" i="49"/>
  <c r="H12" i="49" s="1"/>
  <c r="A12" i="49" s="1" a="1"/>
  <c r="A12" i="49" s="1"/>
  <c r="H26" i="47"/>
  <c r="FU4" i="52"/>
  <c r="FW4" i="52" s="1"/>
  <c r="FX4" i="52" s="1"/>
  <c r="Q8" i="51"/>
  <c r="O31" i="50"/>
  <c r="O7" i="50"/>
  <c r="CB7" i="50"/>
  <c r="P37" i="50"/>
  <c r="Q37" i="50" s="1"/>
  <c r="FU7" i="49"/>
  <c r="FW7" i="49" s="1"/>
  <c r="FX7" i="49" s="1"/>
  <c r="FU25" i="49"/>
  <c r="FW25" i="49" s="1"/>
  <c r="FX25" i="49" s="1"/>
  <c r="P23" i="49"/>
  <c r="FU4" i="48"/>
  <c r="FW4" i="48" s="1"/>
  <c r="FX4" i="48" s="1"/>
  <c r="P15" i="48"/>
  <c r="Q15" i="48" s="1"/>
  <c r="FU16" i="48"/>
  <c r="FW16" i="48" s="1"/>
  <c r="FX16" i="48" s="1"/>
  <c r="H16" i="47"/>
  <c r="A16" i="47" s="1" a="1"/>
  <c r="A16" i="47" s="1"/>
  <c r="FQ18" i="47"/>
  <c r="FQ9" i="47"/>
  <c r="FQ16" i="47"/>
  <c r="H28" i="47"/>
  <c r="A28" i="47" s="1" a="1"/>
  <c r="A28" i="47" s="1"/>
  <c r="H10" i="47"/>
  <c r="H19" i="47"/>
  <c r="A19" i="47" s="1" a="1"/>
  <c r="A19" i="47" s="1"/>
  <c r="H13" i="47"/>
  <c r="FQ17" i="47"/>
  <c r="FQ13" i="47"/>
  <c r="H18" i="47"/>
  <c r="A18" i="47" s="1" a="1"/>
  <c r="A18" i="47" s="1"/>
  <c r="FQ14" i="47"/>
  <c r="FI7" i="52"/>
  <c r="FU7" i="52" s="1"/>
  <c r="FW7" i="52" s="1"/>
  <c r="FX7" i="52" s="1"/>
  <c r="CB7" i="52"/>
  <c r="FJ7" i="52" s="1"/>
  <c r="O7" i="52"/>
  <c r="P4" i="51"/>
  <c r="E4" i="51" s="1"/>
  <c r="FU4" i="51"/>
  <c r="FW4" i="51" s="1"/>
  <c r="FX4" i="51" s="1"/>
  <c r="FU7" i="51"/>
  <c r="FW7" i="51" s="1"/>
  <c r="FX7" i="51" s="1"/>
  <c r="P6" i="51"/>
  <c r="E6" i="51" s="1"/>
  <c r="P12" i="50"/>
  <c r="R12" i="50" s="1"/>
  <c r="CB35" i="50"/>
  <c r="O35" i="50"/>
  <c r="P4" i="50"/>
  <c r="E4" i="50" s="1"/>
  <c r="E37" i="50"/>
  <c r="FU32" i="50"/>
  <c r="FW32" i="50" s="1"/>
  <c r="FX32" i="50" s="1"/>
  <c r="E12" i="50"/>
  <c r="P32" i="50"/>
  <c r="E32" i="50" s="1"/>
  <c r="P17" i="50"/>
  <c r="Q17" i="50" s="1"/>
  <c r="FU11" i="50"/>
  <c r="FW11" i="50" s="1"/>
  <c r="FX11" i="50" s="1"/>
  <c r="FU4" i="50"/>
  <c r="FW4" i="50" s="1"/>
  <c r="FX4" i="50" s="1"/>
  <c r="P23" i="50"/>
  <c r="E23" i="50" s="1"/>
  <c r="FU6" i="50"/>
  <c r="FW6" i="50" s="1"/>
  <c r="FX6" i="50" s="1"/>
  <c r="P11" i="50"/>
  <c r="R11" i="50" s="1"/>
  <c r="FU15" i="50"/>
  <c r="FW15" i="50" s="1"/>
  <c r="FX15" i="50" s="1"/>
  <c r="FU36" i="50"/>
  <c r="FW36" i="50" s="1"/>
  <c r="FX36" i="50" s="1"/>
  <c r="FU9" i="50"/>
  <c r="FW9" i="50" s="1"/>
  <c r="FX9" i="50" s="1"/>
  <c r="P34" i="50"/>
  <c r="R34" i="50" s="1"/>
  <c r="FU14" i="50"/>
  <c r="FW14" i="50" s="1"/>
  <c r="FX14" i="50" s="1"/>
  <c r="FU14" i="49"/>
  <c r="FW14" i="49" s="1"/>
  <c r="FX14" i="49" s="1"/>
  <c r="P25" i="49"/>
  <c r="R25" i="49" s="1"/>
  <c r="P11" i="49"/>
  <c r="E11" i="49" s="1"/>
  <c r="FU17" i="49"/>
  <c r="FW17" i="49" s="1"/>
  <c r="FX17" i="49" s="1"/>
  <c r="FU6" i="49"/>
  <c r="FW6" i="49" s="1"/>
  <c r="FX6" i="49" s="1"/>
  <c r="FU16" i="49"/>
  <c r="FW16" i="49" s="1"/>
  <c r="FX16" i="49" s="1"/>
  <c r="P21" i="49"/>
  <c r="R21" i="49" s="1"/>
  <c r="FU21" i="49"/>
  <c r="FW21" i="49" s="1"/>
  <c r="FX21" i="49" s="1"/>
  <c r="FU30" i="49"/>
  <c r="FW30" i="49" s="1"/>
  <c r="FX30" i="49" s="1"/>
  <c r="FU19" i="49"/>
  <c r="FW19" i="49" s="1"/>
  <c r="FX19" i="49" s="1"/>
  <c r="P38" i="49"/>
  <c r="E38" i="49" s="1"/>
  <c r="P9" i="49"/>
  <c r="E9" i="49" s="1"/>
  <c r="P4" i="49"/>
  <c r="E4" i="49" s="1"/>
  <c r="P20" i="49"/>
  <c r="R20" i="49" s="1"/>
  <c r="FU9" i="49"/>
  <c r="FW9" i="49" s="1"/>
  <c r="FX9" i="49" s="1"/>
  <c r="P5" i="49"/>
  <c r="E5" i="49" s="1"/>
  <c r="P10" i="49"/>
  <c r="E10" i="49" s="1"/>
  <c r="O24" i="48"/>
  <c r="FU23" i="48"/>
  <c r="FW23" i="48" s="1"/>
  <c r="FX23" i="48" s="1"/>
  <c r="FU5" i="48"/>
  <c r="FW5" i="48" s="1"/>
  <c r="FX5" i="48" s="1"/>
  <c r="FU9" i="48"/>
  <c r="FW9" i="48" s="1"/>
  <c r="FX9" i="48" s="1"/>
  <c r="FU7" i="48"/>
  <c r="FW7" i="48" s="1"/>
  <c r="FX7" i="48" s="1"/>
  <c r="O20" i="48"/>
  <c r="P16" i="48"/>
  <c r="Q16" i="48" s="1"/>
  <c r="FU8" i="48"/>
  <c r="FW8" i="48" s="1"/>
  <c r="FX8" i="48" s="1"/>
  <c r="FU24" i="48"/>
  <c r="FW24" i="48" s="1"/>
  <c r="FX24" i="48" s="1"/>
  <c r="P4" i="48"/>
  <c r="R4" i="48" s="1"/>
  <c r="P20" i="48"/>
  <c r="R20" i="48" s="1"/>
  <c r="P7" i="48"/>
  <c r="E7" i="48" s="1"/>
  <c r="P24" i="48"/>
  <c r="P6" i="52"/>
  <c r="CB5" i="52"/>
  <c r="FJ5" i="52" s="1"/>
  <c r="O5" i="52"/>
  <c r="P4" i="52"/>
  <c r="FI5" i="52"/>
  <c r="O5" i="51"/>
  <c r="CB5" i="51"/>
  <c r="FJ5" i="51" s="1"/>
  <c r="Q6" i="51"/>
  <c r="FU6" i="51"/>
  <c r="FW6" i="51" s="1"/>
  <c r="FX6" i="51" s="1"/>
  <c r="P7" i="51"/>
  <c r="E7" i="51" s="1"/>
  <c r="FI9" i="51"/>
  <c r="FI5" i="51"/>
  <c r="CB9" i="51"/>
  <c r="FJ9" i="51" s="1"/>
  <c r="FU9" i="51" s="1"/>
  <c r="FW9" i="51" s="1"/>
  <c r="FX9" i="51" s="1"/>
  <c r="O9" i="51"/>
  <c r="FI28" i="50"/>
  <c r="P9" i="50"/>
  <c r="E9" i="50" s="1"/>
  <c r="FI33" i="50"/>
  <c r="FI21" i="50"/>
  <c r="P38" i="50"/>
  <c r="E38" i="50" s="1"/>
  <c r="O33" i="50"/>
  <c r="CB33" i="50"/>
  <c r="FJ33" i="50" s="1"/>
  <c r="FI22" i="50"/>
  <c r="FI10" i="50"/>
  <c r="P10" i="50"/>
  <c r="E10" i="50" s="1"/>
  <c r="FI18" i="50"/>
  <c r="FU5" i="50"/>
  <c r="FW5" i="50" s="1"/>
  <c r="FX5" i="50" s="1"/>
  <c r="P5" i="50"/>
  <c r="E5" i="50" s="1"/>
  <c r="O22" i="50"/>
  <c r="CB22" i="50"/>
  <c r="FJ22" i="50" s="1"/>
  <c r="P24" i="50"/>
  <c r="E24" i="50" s="1"/>
  <c r="CB39" i="50"/>
  <c r="FJ39" i="50" s="1"/>
  <c r="O39" i="50"/>
  <c r="O10" i="50"/>
  <c r="CB10" i="50"/>
  <c r="FJ10" i="50" s="1"/>
  <c r="CB13" i="50"/>
  <c r="FJ13" i="50" s="1"/>
  <c r="O13" i="50"/>
  <c r="FI8" i="50"/>
  <c r="P14" i="50"/>
  <c r="E14" i="50" s="1"/>
  <c r="P29" i="50"/>
  <c r="Q11" i="50"/>
  <c r="FI39" i="50"/>
  <c r="FI13" i="50"/>
  <c r="O18" i="50"/>
  <c r="CB18" i="50"/>
  <c r="FJ18" i="50" s="1"/>
  <c r="CB21" i="50"/>
  <c r="FJ21" i="50" s="1"/>
  <c r="FU21" i="50" s="1"/>
  <c r="FW21" i="50" s="1"/>
  <c r="FX21" i="50" s="1"/>
  <c r="O21" i="50"/>
  <c r="FU16" i="50"/>
  <c r="FW16" i="50" s="1"/>
  <c r="FX16" i="50" s="1"/>
  <c r="P6" i="50"/>
  <c r="P31" i="50"/>
  <c r="E31" i="50" s="1"/>
  <c r="FU34" i="50"/>
  <c r="FW34" i="50" s="1"/>
  <c r="FX34" i="50" s="1"/>
  <c r="P36" i="50"/>
  <c r="O8" i="50"/>
  <c r="CB8" i="50"/>
  <c r="FJ8" i="50" s="1"/>
  <c r="CB28" i="50"/>
  <c r="FJ28" i="50" s="1"/>
  <c r="O28" i="50"/>
  <c r="Q23" i="49"/>
  <c r="R23" i="49"/>
  <c r="FI37" i="49"/>
  <c r="FI35" i="49"/>
  <c r="FI22" i="49"/>
  <c r="FU38" i="49"/>
  <c r="FW38" i="49" s="1"/>
  <c r="FX38" i="49" s="1"/>
  <c r="P16" i="49"/>
  <c r="FU5" i="49"/>
  <c r="FW5" i="49" s="1"/>
  <c r="FX5" i="49" s="1"/>
  <c r="P7" i="49"/>
  <c r="FI13" i="49"/>
  <c r="P28" i="49"/>
  <c r="E28" i="49" s="1"/>
  <c r="FI18" i="49"/>
  <c r="O18" i="49"/>
  <c r="CB18" i="49"/>
  <c r="FJ18" i="49" s="1"/>
  <c r="P17" i="49"/>
  <c r="CB12" i="49"/>
  <c r="FJ12" i="49" s="1"/>
  <c r="O12" i="49"/>
  <c r="O36" i="49"/>
  <c r="CB36" i="49"/>
  <c r="FJ36" i="49" s="1"/>
  <c r="O8" i="49"/>
  <c r="CB8" i="49"/>
  <c r="FJ8" i="49" s="1"/>
  <c r="P14" i="49"/>
  <c r="FU4" i="49"/>
  <c r="FW4" i="49" s="1"/>
  <c r="FX4" i="49" s="1"/>
  <c r="CB26" i="49"/>
  <c r="FJ26" i="49" s="1"/>
  <c r="O26" i="49"/>
  <c r="CB35" i="49"/>
  <c r="FJ35" i="49" s="1"/>
  <c r="O35" i="49"/>
  <c r="FU20" i="49"/>
  <c r="FW20" i="49" s="1"/>
  <c r="FX20" i="49" s="1"/>
  <c r="Q25" i="49"/>
  <c r="O13" i="49"/>
  <c r="CB13" i="49"/>
  <c r="FJ13" i="49" s="1"/>
  <c r="CB37" i="49"/>
  <c r="FJ37" i="49" s="1"/>
  <c r="O37" i="49"/>
  <c r="FI36" i="49"/>
  <c r="CB22" i="49"/>
  <c r="FJ22" i="49" s="1"/>
  <c r="O22" i="49"/>
  <c r="FI12" i="49"/>
  <c r="FI8" i="49"/>
  <c r="P27" i="49"/>
  <c r="FI26" i="49"/>
  <c r="P34" i="49"/>
  <c r="E23" i="49"/>
  <c r="FU31" i="49"/>
  <c r="FW31" i="49" s="1"/>
  <c r="FX31" i="49" s="1"/>
  <c r="P6" i="49"/>
  <c r="FU15" i="49"/>
  <c r="FW15" i="49" s="1"/>
  <c r="FX15" i="49" s="1"/>
  <c r="P24" i="49"/>
  <c r="CB25" i="48"/>
  <c r="FJ25" i="48" s="1"/>
  <c r="O25" i="48"/>
  <c r="P8" i="48"/>
  <c r="E8" i="48" s="1"/>
  <c r="O6" i="48"/>
  <c r="CB6" i="48"/>
  <c r="FJ6" i="48" s="1"/>
  <c r="FI11" i="48"/>
  <c r="O11" i="48"/>
  <c r="CB11" i="48"/>
  <c r="FJ11" i="48" s="1"/>
  <c r="FI6" i="48"/>
  <c r="P14" i="48"/>
  <c r="FI17" i="48"/>
  <c r="P5" i="48"/>
  <c r="E5" i="48" s="1"/>
  <c r="FU18" i="48"/>
  <c r="FW18" i="48" s="1"/>
  <c r="FX18" i="48" s="1"/>
  <c r="FI13" i="48"/>
  <c r="P9" i="48"/>
  <c r="E9" i="48" s="1"/>
  <c r="FI22" i="48"/>
  <c r="FI25" i="48"/>
  <c r="P12" i="48"/>
  <c r="P23" i="48"/>
  <c r="O19" i="48"/>
  <c r="CB19" i="48"/>
  <c r="FJ19" i="48" s="1"/>
  <c r="O22" i="48"/>
  <c r="CB22" i="48"/>
  <c r="FJ22" i="48" s="1"/>
  <c r="FI21" i="48"/>
  <c r="CB21" i="48"/>
  <c r="FJ21" i="48" s="1"/>
  <c r="FU20" i="48" s="1"/>
  <c r="FW20" i="48" s="1"/>
  <c r="FX20" i="48" s="1"/>
  <c r="O21" i="48"/>
  <c r="O17" i="48"/>
  <c r="CB17" i="48"/>
  <c r="FJ17" i="48" s="1"/>
  <c r="FU17" i="48" s="1"/>
  <c r="FW17" i="48" s="1"/>
  <c r="FX17" i="48" s="1"/>
  <c r="P18" i="48"/>
  <c r="E18" i="48" s="1"/>
  <c r="O13" i="48"/>
  <c r="CB13" i="48"/>
  <c r="FJ13" i="48" s="1"/>
  <c r="FI19" i="48"/>
  <c r="H20" i="47"/>
  <c r="A20" i="47" s="1" a="1"/>
  <c r="A20" i="47" s="1"/>
  <c r="H17" i="47"/>
  <c r="A17" i="47" s="1" a="1"/>
  <c r="A17" i="47" s="1"/>
  <c r="H15" i="47"/>
  <c r="H24" i="47"/>
  <c r="A24" i="47" s="1" a="1"/>
  <c r="A24" i="47" s="1"/>
  <c r="H25" i="47"/>
  <c r="H27" i="47"/>
  <c r="A27" i="47" s="1" a="1"/>
  <c r="A27" i="47" s="1"/>
  <c r="H5" i="47"/>
  <c r="H11" i="47"/>
  <c r="H12" i="47"/>
  <c r="H30" i="47"/>
  <c r="A30" i="47" s="1" a="1"/>
  <c r="A30" i="47" s="1"/>
  <c r="H22" i="47"/>
  <c r="A22" i="47" s="1" a="1"/>
  <c r="A22" i="47" s="1"/>
  <c r="H8" i="47"/>
  <c r="H31" i="47"/>
  <c r="A31" i="47" s="1" a="1"/>
  <c r="A31" i="47" s="1"/>
  <c r="H23" i="47"/>
  <c r="A23" i="47" s="1" a="1"/>
  <c r="A23" i="47" s="1"/>
  <c r="H9" i="47"/>
  <c r="H6" i="47"/>
  <c r="H21" i="47"/>
  <c r="A21" i="47" s="1" a="1"/>
  <c r="A21" i="47" s="1"/>
  <c r="H29" i="47"/>
  <c r="A29" i="47" s="1" a="1"/>
  <c r="A29" i="47" s="1"/>
  <c r="H4" i="47"/>
  <c r="L28" i="47"/>
  <c r="M28" i="47" s="1"/>
  <c r="N28" i="47"/>
  <c r="CA28" i="47"/>
  <c r="FI28" i="47" s="1"/>
  <c r="N20" i="47"/>
  <c r="L20" i="47"/>
  <c r="M20" i="47" s="1"/>
  <c r="CA20" i="47"/>
  <c r="FI20" i="47" s="1"/>
  <c r="N9" i="47"/>
  <c r="L9" i="47"/>
  <c r="M9" i="47" s="1"/>
  <c r="CA9" i="47"/>
  <c r="FI9" i="47" s="1"/>
  <c r="N31" i="47"/>
  <c r="L31" i="47"/>
  <c r="M31" i="47" s="1"/>
  <c r="CA31" i="47"/>
  <c r="FI31" i="47" s="1"/>
  <c r="L25" i="47"/>
  <c r="M25" i="47" s="1"/>
  <c r="N25" i="47"/>
  <c r="CA25" i="47"/>
  <c r="N7" i="47"/>
  <c r="L7" i="47"/>
  <c r="M7" i="47" s="1"/>
  <c r="L15" i="47"/>
  <c r="M15" i="47" s="1"/>
  <c r="N15" i="47"/>
  <c r="CA15" i="47"/>
  <c r="FI15" i="47" s="1"/>
  <c r="L17" i="47"/>
  <c r="M17" i="47" s="1"/>
  <c r="N17" i="47"/>
  <c r="CA17" i="47"/>
  <c r="FI17" i="47" s="1"/>
  <c r="N16" i="47"/>
  <c r="L16" i="47"/>
  <c r="M16" i="47" s="1"/>
  <c r="L4" i="47"/>
  <c r="M4" i="47" s="1"/>
  <c r="N4" i="47"/>
  <c r="N19" i="47"/>
  <c r="L19" i="47"/>
  <c r="M19" i="47" s="1"/>
  <c r="CA19" i="47"/>
  <c r="FI19" i="47" s="1"/>
  <c r="N11" i="47"/>
  <c r="L11" i="47"/>
  <c r="M11" i="47" s="1"/>
  <c r="CA11" i="47"/>
  <c r="N14" i="47"/>
  <c r="L14" i="47"/>
  <c r="M14" i="47" s="1"/>
  <c r="CA14" i="47"/>
  <c r="FI14" i="47" s="1"/>
  <c r="L29" i="47"/>
  <c r="M29" i="47" s="1"/>
  <c r="N29" i="47"/>
  <c r="CA29" i="47"/>
  <c r="FI29" i="47" s="1"/>
  <c r="N10" i="47"/>
  <c r="L10" i="47"/>
  <c r="M10" i="47" s="1"/>
  <c r="CA10" i="47"/>
  <c r="FI10" i="47" s="1"/>
  <c r="N5" i="47"/>
  <c r="L5" i="47"/>
  <c r="M5" i="47" s="1"/>
  <c r="CA5" i="47"/>
  <c r="FI5" i="47" s="1"/>
  <c r="L21" i="47"/>
  <c r="M21" i="47" s="1"/>
  <c r="N21" i="47"/>
  <c r="N26" i="47"/>
  <c r="L26" i="47"/>
  <c r="M26" i="47" s="1"/>
  <c r="CA26" i="47"/>
  <c r="FI26" i="47" s="1"/>
  <c r="N8" i="47"/>
  <c r="L8" i="47"/>
  <c r="M8" i="47" s="1"/>
  <c r="N6" i="47"/>
  <c r="L6" i="47"/>
  <c r="M6" i="47" s="1"/>
  <c r="N27" i="47"/>
  <c r="L27" i="47"/>
  <c r="M27" i="47" s="1"/>
  <c r="N18" i="47"/>
  <c r="L18" i="47"/>
  <c r="M18" i="47" s="1"/>
  <c r="CA18" i="47"/>
  <c r="FI18" i="47" s="1"/>
  <c r="CA8" i="47"/>
  <c r="FI8" i="47" s="1"/>
  <c r="N13" i="47"/>
  <c r="L13" i="47"/>
  <c r="M13" i="47" s="1"/>
  <c r="CA13" i="47"/>
  <c r="FI13" i="47" s="1"/>
  <c r="L22" i="47"/>
  <c r="M22" i="47" s="1"/>
  <c r="N22" i="47"/>
  <c r="N30" i="47"/>
  <c r="L30" i="47"/>
  <c r="M30" i="47" s="1"/>
  <c r="CA30" i="47"/>
  <c r="FI30" i="47" s="1"/>
  <c r="N12" i="47"/>
  <c r="L12" i="47"/>
  <c r="M12" i="47" s="1"/>
  <c r="CA12" i="47"/>
  <c r="FI12" i="47" s="1"/>
  <c r="N23" i="47"/>
  <c r="L23" i="47"/>
  <c r="M23" i="47" s="1"/>
  <c r="CA23" i="47"/>
  <c r="FI23" i="47" s="1"/>
  <c r="N24" i="47"/>
  <c r="L24" i="47"/>
  <c r="M24" i="47" s="1"/>
  <c r="CA24" i="47"/>
  <c r="FI24" i="47" s="1"/>
  <c r="CA21" i="47"/>
  <c r="FI21" i="47" s="1"/>
  <c r="K23" i="47"/>
  <c r="K8" i="47"/>
  <c r="K27" i="47"/>
  <c r="FI27" i="47"/>
  <c r="K17" i="47"/>
  <c r="K25" i="47"/>
  <c r="FI25" i="47"/>
  <c r="FT8" i="47"/>
  <c r="FV8" i="47"/>
  <c r="K14" i="47"/>
  <c r="FV17" i="47"/>
  <c r="FT17" i="47"/>
  <c r="K16" i="47"/>
  <c r="FI16" i="47"/>
  <c r="K24" i="47"/>
  <c r="FT4" i="47"/>
  <c r="FV4" i="47"/>
  <c r="FT7" i="47"/>
  <c r="FV7" i="47"/>
  <c r="FT9" i="47"/>
  <c r="FV9" i="47"/>
  <c r="K19" i="47"/>
  <c r="FT29" i="47"/>
  <c r="FV29" i="47"/>
  <c r="K11" i="47"/>
  <c r="FI11" i="47"/>
  <c r="FT19" i="47"/>
  <c r="FV19" i="47"/>
  <c r="FT11" i="47"/>
  <c r="FV11" i="47"/>
  <c r="K15" i="47"/>
  <c r="FT5" i="47"/>
  <c r="FV5" i="47"/>
  <c r="FT31" i="47"/>
  <c r="FV31" i="47"/>
  <c r="FT18" i="47"/>
  <c r="FV18" i="47"/>
  <c r="FT12" i="47"/>
  <c r="FV12" i="47"/>
  <c r="FT20" i="47"/>
  <c r="FV20" i="47"/>
  <c r="K31" i="47"/>
  <c r="FT13" i="47"/>
  <c r="FV13" i="47"/>
  <c r="FT10" i="47"/>
  <c r="FV10" i="47"/>
  <c r="FT14" i="47"/>
  <c r="FV14" i="47"/>
  <c r="K7" i="47"/>
  <c r="FI7" i="47"/>
  <c r="K6" i="47"/>
  <c r="FI6" i="47"/>
  <c r="FV15" i="47"/>
  <c r="FT15" i="47"/>
  <c r="K28" i="47"/>
  <c r="K18" i="47"/>
  <c r="FT26" i="47"/>
  <c r="FV26" i="47"/>
  <c r="FT24" i="47"/>
  <c r="FV24" i="47"/>
  <c r="FT25" i="47"/>
  <c r="FV25" i="47"/>
  <c r="K10" i="47"/>
  <c r="K12" i="47"/>
  <c r="K21" i="47"/>
  <c r="K4" i="47"/>
  <c r="FI4" i="47"/>
  <c r="K29" i="47"/>
  <c r="K22" i="47"/>
  <c r="FI22" i="47"/>
  <c r="FT16" i="47"/>
  <c r="FV16" i="47"/>
  <c r="K20" i="47"/>
  <c r="FV21" i="47"/>
  <c r="FT21" i="47"/>
  <c r="FT30" i="47"/>
  <c r="FV30" i="47"/>
  <c r="FT6" i="47"/>
  <c r="FV6" i="47"/>
  <c r="FT28" i="47"/>
  <c r="FV28" i="47"/>
  <c r="FT23" i="47"/>
  <c r="FV23" i="47"/>
  <c r="FT27" i="47"/>
  <c r="FV27" i="47"/>
  <c r="FT22" i="47"/>
  <c r="FV22" i="47"/>
  <c r="K5" i="47"/>
  <c r="K9" i="47"/>
  <c r="K30" i="47"/>
  <c r="K26" i="47"/>
  <c r="K13" i="47"/>
  <c r="A26" i="47" a="1"/>
  <c r="A26" i="47" s="1"/>
  <c r="A25" i="47" a="1"/>
  <c r="A25" i="47" s="1"/>
  <c r="R37" i="50" l="1"/>
  <c r="FU13" i="50"/>
  <c r="FW13" i="50" s="1"/>
  <c r="FX13" i="50" s="1"/>
  <c r="FU33" i="50"/>
  <c r="FW33" i="50" s="1"/>
  <c r="FX33" i="50" s="1"/>
  <c r="FU39" i="50"/>
  <c r="FW39" i="50" s="1"/>
  <c r="FX39" i="50" s="1"/>
  <c r="Q12" i="50"/>
  <c r="FU18" i="50"/>
  <c r="FW18" i="50" s="1"/>
  <c r="FX18" i="50" s="1"/>
  <c r="FU35" i="49"/>
  <c r="FW35" i="49" s="1"/>
  <c r="FX35" i="49" s="1"/>
  <c r="FU13" i="49"/>
  <c r="FW13" i="49" s="1"/>
  <c r="FX13" i="49" s="1"/>
  <c r="FU37" i="49"/>
  <c r="FW37" i="49" s="1"/>
  <c r="FX37" i="49" s="1"/>
  <c r="E15" i="48"/>
  <c r="FU13" i="48"/>
  <c r="FW13" i="48" s="1"/>
  <c r="FX13" i="48" s="1"/>
  <c r="E24" i="48"/>
  <c r="FU14" i="48"/>
  <c r="FW14" i="48" s="1"/>
  <c r="FX14" i="48" s="1"/>
  <c r="R15" i="48"/>
  <c r="I20" i="49"/>
  <c r="H20" i="49" s="1"/>
  <c r="A20" i="49" s="1" a="1"/>
  <c r="A20" i="49" s="1"/>
  <c r="I33" i="49"/>
  <c r="H33" i="49" s="1"/>
  <c r="A33" i="49" s="1" a="1"/>
  <c r="A33" i="49" s="1"/>
  <c r="I23" i="49"/>
  <c r="H23" i="49" s="1"/>
  <c r="A23" i="49" s="1" a="1"/>
  <c r="A23" i="49" s="1"/>
  <c r="I35" i="49"/>
  <c r="H35" i="49" s="1"/>
  <c r="A35" i="49" s="1" a="1"/>
  <c r="A35" i="49" s="1"/>
  <c r="I36" i="49"/>
  <c r="H36" i="49" s="1"/>
  <c r="A36" i="49" s="1" a="1"/>
  <c r="A36" i="49" s="1"/>
  <c r="I38" i="49"/>
  <c r="H38" i="49" s="1"/>
  <c r="A38" i="49" s="1" a="1"/>
  <c r="A38" i="49" s="1"/>
  <c r="I34" i="49"/>
  <c r="H34" i="49" s="1"/>
  <c r="A34" i="49" s="1" a="1"/>
  <c r="A34" i="49" s="1"/>
  <c r="I31" i="49"/>
  <c r="H31" i="49" s="1"/>
  <c r="A31" i="49" s="1" a="1"/>
  <c r="A31" i="49" s="1"/>
  <c r="I18" i="49"/>
  <c r="H18" i="49" s="1"/>
  <c r="A18" i="49" s="1" a="1"/>
  <c r="A18" i="49" s="1"/>
  <c r="I26" i="49"/>
  <c r="H26" i="49" s="1"/>
  <c r="A26" i="49" s="1" a="1"/>
  <c r="A26" i="49" s="1"/>
  <c r="Q4" i="51"/>
  <c r="R6" i="51"/>
  <c r="R4" i="51"/>
  <c r="FU22" i="50"/>
  <c r="FW22" i="50" s="1"/>
  <c r="FX22" i="50" s="1"/>
  <c r="P33" i="50"/>
  <c r="R33" i="50" s="1"/>
  <c r="Q4" i="50"/>
  <c r="R4" i="50"/>
  <c r="FJ7" i="50"/>
  <c r="FU7" i="50" s="1"/>
  <c r="FW7" i="50" s="1"/>
  <c r="FX7" i="50" s="1"/>
  <c r="P7" i="50"/>
  <c r="E7" i="50" s="1"/>
  <c r="FU31" i="50"/>
  <c r="FW31" i="50" s="1"/>
  <c r="FX31" i="50" s="1"/>
  <c r="FU28" i="50"/>
  <c r="FW28" i="50" s="1"/>
  <c r="FX28" i="50" s="1"/>
  <c r="Q11" i="49"/>
  <c r="R11" i="49"/>
  <c r="FU12" i="49"/>
  <c r="FW12" i="49" s="1"/>
  <c r="FX12" i="49" s="1"/>
  <c r="E20" i="49"/>
  <c r="Q20" i="49"/>
  <c r="FU26" i="49"/>
  <c r="FW26" i="49" s="1"/>
  <c r="FX26" i="49" s="1"/>
  <c r="E25" i="49"/>
  <c r="FU22" i="49"/>
  <c r="FW22" i="49" s="1"/>
  <c r="FX22" i="49" s="1"/>
  <c r="Q24" i="48"/>
  <c r="FU22" i="48"/>
  <c r="FW22" i="48" s="1"/>
  <c r="FX22" i="48" s="1"/>
  <c r="FU10" i="48"/>
  <c r="FW10" i="48" s="1"/>
  <c r="FX10" i="48" s="1"/>
  <c r="FU11" i="48"/>
  <c r="FW11" i="48" s="1"/>
  <c r="FX11" i="48" s="1"/>
  <c r="FU6" i="52"/>
  <c r="FW6" i="52" s="1"/>
  <c r="FX6" i="52" s="1"/>
  <c r="P7" i="52"/>
  <c r="P5" i="52"/>
  <c r="E5" i="52" s="1"/>
  <c r="FU5" i="51"/>
  <c r="FW5" i="51" s="1"/>
  <c r="FX5" i="51" s="1"/>
  <c r="E17" i="50"/>
  <c r="R17" i="50"/>
  <c r="Q32" i="50"/>
  <c r="R32" i="50"/>
  <c r="R23" i="50"/>
  <c r="Q23" i="50"/>
  <c r="FJ35" i="50"/>
  <c r="FU37" i="50" s="1"/>
  <c r="FW37" i="50" s="1"/>
  <c r="FX37" i="50" s="1"/>
  <c r="P35" i="50"/>
  <c r="E34" i="50"/>
  <c r="FU12" i="50"/>
  <c r="FW12" i="50" s="1"/>
  <c r="FX12" i="50" s="1"/>
  <c r="FU17" i="50"/>
  <c r="FW17" i="50" s="1"/>
  <c r="FX17" i="50" s="1"/>
  <c r="P13" i="50"/>
  <c r="E13" i="50" s="1"/>
  <c r="FU10" i="50"/>
  <c r="FW10" i="50" s="1"/>
  <c r="FX10" i="50" s="1"/>
  <c r="FU38" i="50"/>
  <c r="FW38" i="50" s="1"/>
  <c r="FX38" i="50" s="1"/>
  <c r="Q34" i="50"/>
  <c r="FU20" i="50"/>
  <c r="FW20" i="50" s="1"/>
  <c r="FX20" i="50" s="1"/>
  <c r="E11" i="50"/>
  <c r="P28" i="50"/>
  <c r="E28" i="50" s="1"/>
  <c r="P8" i="50"/>
  <c r="R8" i="50" s="1"/>
  <c r="P12" i="49"/>
  <c r="E12" i="49" s="1"/>
  <c r="R5" i="49"/>
  <c r="Q5" i="49"/>
  <c r="Q10" i="49"/>
  <c r="R10" i="49"/>
  <c r="E21" i="49"/>
  <c r="Q21" i="49"/>
  <c r="P37" i="49"/>
  <c r="R37" i="49" s="1"/>
  <c r="Q38" i="49"/>
  <c r="R4" i="49"/>
  <c r="P26" i="49"/>
  <c r="E26" i="49" s="1"/>
  <c r="R38" i="49"/>
  <c r="R9" i="49"/>
  <c r="Q4" i="49"/>
  <c r="P8" i="49"/>
  <c r="Q8" i="49" s="1"/>
  <c r="FU18" i="49"/>
  <c r="FW18" i="49" s="1"/>
  <c r="FX18" i="49" s="1"/>
  <c r="P13" i="49"/>
  <c r="E13" i="49" s="1"/>
  <c r="Q9" i="49"/>
  <c r="P36" i="49"/>
  <c r="E36" i="49" s="1"/>
  <c r="FU32" i="49"/>
  <c r="FW32" i="49" s="1"/>
  <c r="FX32" i="49" s="1"/>
  <c r="P22" i="48"/>
  <c r="E22" i="48" s="1"/>
  <c r="E4" i="48"/>
  <c r="E16" i="48"/>
  <c r="R16" i="48"/>
  <c r="P25" i="48"/>
  <c r="Q25" i="48" s="1"/>
  <c r="Q4" i="48"/>
  <c r="R24" i="48"/>
  <c r="FU6" i="48"/>
  <c r="FW6" i="48" s="1"/>
  <c r="FX6" i="48" s="1"/>
  <c r="Q7" i="48"/>
  <c r="R7" i="48"/>
  <c r="Q20" i="48"/>
  <c r="E20" i="48"/>
  <c r="P19" i="48"/>
  <c r="Q19" i="48" s="1"/>
  <c r="FU21" i="48"/>
  <c r="FW21" i="48" s="1"/>
  <c r="FX21" i="48" s="1"/>
  <c r="FU15" i="48"/>
  <c r="FW15" i="48" s="1"/>
  <c r="FX15" i="48" s="1"/>
  <c r="P17" i="48"/>
  <c r="E17" i="48" s="1"/>
  <c r="P11" i="48"/>
  <c r="E11" i="48" s="1"/>
  <c r="Q4" i="52"/>
  <c r="R4" i="52"/>
  <c r="E4" i="52"/>
  <c r="R6" i="52"/>
  <c r="Q6" i="52"/>
  <c r="E6" i="52"/>
  <c r="FU5" i="52"/>
  <c r="FW5" i="52" s="1"/>
  <c r="FX5" i="52" s="1"/>
  <c r="P5" i="51"/>
  <c r="R7" i="51"/>
  <c r="Q7" i="51"/>
  <c r="FU8" i="51"/>
  <c r="FW8" i="51" s="1"/>
  <c r="FX8" i="51" s="1"/>
  <c r="P9" i="51"/>
  <c r="E9" i="51" s="1"/>
  <c r="R38" i="50"/>
  <c r="Q38" i="50"/>
  <c r="R5" i="50"/>
  <c r="Q5" i="50"/>
  <c r="R31" i="50"/>
  <c r="Q31" i="50"/>
  <c r="Q24" i="50"/>
  <c r="R24" i="50"/>
  <c r="P21" i="50"/>
  <c r="E21" i="50" s="1"/>
  <c r="R36" i="50"/>
  <c r="Q36" i="50"/>
  <c r="E36" i="50"/>
  <c r="FU35" i="50"/>
  <c r="FW35" i="50" s="1"/>
  <c r="FX35" i="50" s="1"/>
  <c r="R6" i="50"/>
  <c r="Q6" i="50"/>
  <c r="R10" i="50"/>
  <c r="Q10" i="50"/>
  <c r="R14" i="50"/>
  <c r="Q14" i="50"/>
  <c r="FU19" i="50"/>
  <c r="FW19" i="50" s="1"/>
  <c r="FX19" i="50" s="1"/>
  <c r="P18" i="50"/>
  <c r="P39" i="50"/>
  <c r="R29" i="50"/>
  <c r="Q29" i="50"/>
  <c r="E29" i="50"/>
  <c r="Q9" i="50"/>
  <c r="R9" i="50"/>
  <c r="FU8" i="50"/>
  <c r="FW8" i="50" s="1"/>
  <c r="FX8" i="50" s="1"/>
  <c r="P22" i="50"/>
  <c r="E6" i="50"/>
  <c r="FU29" i="49"/>
  <c r="FW29" i="49" s="1"/>
  <c r="FX29" i="49" s="1"/>
  <c r="FU34" i="49"/>
  <c r="FW34" i="49" s="1"/>
  <c r="FX34" i="49" s="1"/>
  <c r="R24" i="49"/>
  <c r="Q24" i="49"/>
  <c r="E24" i="49"/>
  <c r="FU8" i="49"/>
  <c r="FW8" i="49" s="1"/>
  <c r="FX8" i="49" s="1"/>
  <c r="FU10" i="49"/>
  <c r="FW10" i="49" s="1"/>
  <c r="FX10" i="49" s="1"/>
  <c r="P18" i="49"/>
  <c r="Q14" i="49"/>
  <c r="R14" i="49"/>
  <c r="E14" i="49"/>
  <c r="R6" i="49"/>
  <c r="Q6" i="49"/>
  <c r="R16" i="49"/>
  <c r="Q16" i="49"/>
  <c r="R26" i="49"/>
  <c r="R27" i="49"/>
  <c r="Q27" i="49"/>
  <c r="R7" i="49"/>
  <c r="Q7" i="49"/>
  <c r="E7" i="49"/>
  <c r="E27" i="49"/>
  <c r="FU36" i="49"/>
  <c r="FW36" i="49" s="1"/>
  <c r="FX36" i="49" s="1"/>
  <c r="E6" i="49"/>
  <c r="R34" i="49"/>
  <c r="Q34" i="49"/>
  <c r="FU33" i="49"/>
  <c r="FW33" i="49" s="1"/>
  <c r="FX33" i="49" s="1"/>
  <c r="P22" i="49"/>
  <c r="E16" i="49"/>
  <c r="FU11" i="49"/>
  <c r="FW11" i="49" s="1"/>
  <c r="FX11" i="49" s="1"/>
  <c r="P35" i="49"/>
  <c r="R12" i="49"/>
  <c r="Q12" i="49"/>
  <c r="Q28" i="49"/>
  <c r="R28" i="49"/>
  <c r="R17" i="49"/>
  <c r="Q17" i="49"/>
  <c r="E17" i="49"/>
  <c r="E34" i="49"/>
  <c r="P21" i="48"/>
  <c r="R23" i="48"/>
  <c r="Q23" i="48"/>
  <c r="R5" i="48"/>
  <c r="Q5" i="48"/>
  <c r="R14" i="48"/>
  <c r="Q14" i="48"/>
  <c r="Q8" i="48"/>
  <c r="R8" i="48"/>
  <c r="R12" i="48"/>
  <c r="Q12" i="48"/>
  <c r="Q22" i="48"/>
  <c r="E12" i="48"/>
  <c r="R18" i="48"/>
  <c r="Q18" i="48"/>
  <c r="Q9" i="48"/>
  <c r="R9" i="48"/>
  <c r="FU12" i="48"/>
  <c r="FW12" i="48" s="1"/>
  <c r="FX12" i="48" s="1"/>
  <c r="E14" i="48"/>
  <c r="P6" i="48"/>
  <c r="P13" i="48"/>
  <c r="FU25" i="48"/>
  <c r="FW25" i="48" s="1"/>
  <c r="FX25" i="48" s="1"/>
  <c r="E23" i="48"/>
  <c r="FU19" i="48"/>
  <c r="FW19" i="48" s="1"/>
  <c r="FX19" i="48" s="1"/>
  <c r="CB27" i="47"/>
  <c r="O27" i="47"/>
  <c r="CB6" i="47"/>
  <c r="O6" i="47"/>
  <c r="CB30" i="47"/>
  <c r="FJ30" i="47" s="1"/>
  <c r="FU30" i="47" s="1"/>
  <c r="FW30" i="47" s="1"/>
  <c r="FX30" i="47" s="1"/>
  <c r="O30" i="47"/>
  <c r="CB29" i="47"/>
  <c r="FJ29" i="47" s="1"/>
  <c r="FU29" i="47" s="1"/>
  <c r="FW29" i="47" s="1"/>
  <c r="FX29" i="47" s="1"/>
  <c r="O29" i="47"/>
  <c r="CB16" i="47"/>
  <c r="O16" i="47"/>
  <c r="CB31" i="47"/>
  <c r="O31" i="47"/>
  <c r="CB22" i="47"/>
  <c r="FJ22" i="47" s="1"/>
  <c r="FU22" i="47" s="1"/>
  <c r="FW22" i="47" s="1"/>
  <c r="FX22" i="47" s="1"/>
  <c r="O22" i="47"/>
  <c r="CB8" i="47"/>
  <c r="O8" i="47"/>
  <c r="CB4" i="47"/>
  <c r="FJ4" i="47" s="1"/>
  <c r="FU4" i="47" s="1"/>
  <c r="FW4" i="47" s="1"/>
  <c r="FX4" i="47" s="1"/>
  <c r="O4" i="47"/>
  <c r="CB10" i="47"/>
  <c r="FJ10" i="47" s="1"/>
  <c r="O10" i="47"/>
  <c r="CB26" i="47"/>
  <c r="FJ26" i="47" s="1"/>
  <c r="O26" i="47"/>
  <c r="CB13" i="47"/>
  <c r="FJ13" i="47" s="1"/>
  <c r="O13" i="47"/>
  <c r="CB20" i="47"/>
  <c r="FJ20" i="47" s="1"/>
  <c r="O20" i="47"/>
  <c r="CB19" i="47"/>
  <c r="FJ19" i="47" s="1"/>
  <c r="O19" i="47"/>
  <c r="CB24" i="47"/>
  <c r="FJ24" i="47" s="1"/>
  <c r="FU24" i="47" s="1"/>
  <c r="FW24" i="47" s="1"/>
  <c r="FX24" i="47" s="1"/>
  <c r="O24" i="47"/>
  <c r="CB11" i="47"/>
  <c r="P11" i="47" s="1"/>
  <c r="R11" i="47" s="1"/>
  <c r="O11" i="47"/>
  <c r="CB9" i="47"/>
  <c r="FJ9" i="47" s="1"/>
  <c r="FU10" i="47" s="1"/>
  <c r="FW10" i="47" s="1"/>
  <c r="FX10" i="47" s="1"/>
  <c r="O9" i="47"/>
  <c r="CB14" i="47"/>
  <c r="FJ14" i="47" s="1"/>
  <c r="O14" i="47"/>
  <c r="CB21" i="47"/>
  <c r="FJ21" i="47" s="1"/>
  <c r="FU21" i="47" s="1"/>
  <c r="FW21" i="47" s="1"/>
  <c r="FX21" i="47" s="1"/>
  <c r="O21" i="47"/>
  <c r="CB7" i="47"/>
  <c r="O7" i="47"/>
  <c r="CB28" i="47"/>
  <c r="O28" i="47"/>
  <c r="CB25" i="47"/>
  <c r="FJ25" i="47" s="1"/>
  <c r="FU25" i="47" s="1"/>
  <c r="FW25" i="47" s="1"/>
  <c r="FX25" i="47" s="1"/>
  <c r="O25" i="47"/>
  <c r="CB12" i="47"/>
  <c r="FJ12" i="47" s="1"/>
  <c r="FU12" i="47" s="1"/>
  <c r="FW12" i="47" s="1"/>
  <c r="FX12" i="47" s="1"/>
  <c r="O12" i="47"/>
  <c r="CB17" i="47"/>
  <c r="FJ17" i="47" s="1"/>
  <c r="O17" i="47"/>
  <c r="CB15" i="47"/>
  <c r="FJ15" i="47" s="1"/>
  <c r="O15" i="47"/>
  <c r="CB23" i="47"/>
  <c r="O23" i="47"/>
  <c r="CB18" i="47"/>
  <c r="FJ18" i="47" s="1"/>
  <c r="O18" i="47"/>
  <c r="CB5" i="47"/>
  <c r="O5" i="47"/>
  <c r="E33" i="50" l="1"/>
  <c r="Q33" i="50"/>
  <c r="E37" i="49"/>
  <c r="R17" i="48"/>
  <c r="R22" i="48"/>
  <c r="FU13" i="47"/>
  <c r="FW13" i="47" s="1"/>
  <c r="FX13" i="47" s="1"/>
  <c r="FU18" i="47"/>
  <c r="FW18" i="47" s="1"/>
  <c r="FX18" i="47" s="1"/>
  <c r="Q5" i="52"/>
  <c r="R5" i="52"/>
  <c r="R7" i="50"/>
  <c r="Q7" i="50"/>
  <c r="FU17" i="47"/>
  <c r="FW17" i="47" s="1"/>
  <c r="FX17" i="47" s="1"/>
  <c r="FU26" i="47"/>
  <c r="FW26" i="47" s="1"/>
  <c r="FX26" i="47" s="1"/>
  <c r="FU15" i="47"/>
  <c r="FW15" i="47" s="1"/>
  <c r="FX15" i="47" s="1"/>
  <c r="FU14" i="47"/>
  <c r="FW14" i="47" s="1"/>
  <c r="FX14" i="47" s="1"/>
  <c r="FU9" i="47"/>
  <c r="FW9" i="47" s="1"/>
  <c r="FX9" i="47" s="1"/>
  <c r="E7" i="52"/>
  <c r="R7" i="52"/>
  <c r="Q7" i="52"/>
  <c r="R13" i="50"/>
  <c r="R35" i="50"/>
  <c r="Q35" i="50"/>
  <c r="E35" i="50"/>
  <c r="Q13" i="50"/>
  <c r="R28" i="50"/>
  <c r="Q8" i="50"/>
  <c r="Q28" i="50"/>
  <c r="E8" i="50"/>
  <c r="R36" i="49"/>
  <c r="Q37" i="49"/>
  <c r="Q26" i="49"/>
  <c r="Q36" i="49"/>
  <c r="Q13" i="49"/>
  <c r="R13" i="49"/>
  <c r="R8" i="49"/>
  <c r="E8" i="49"/>
  <c r="E25" i="48"/>
  <c r="R25" i="48"/>
  <c r="R19" i="48"/>
  <c r="Q17" i="48"/>
  <c r="R11" i="48"/>
  <c r="E19" i="48"/>
  <c r="Q11" i="48"/>
  <c r="A5" i="52" a="1"/>
  <c r="A5" i="52" s="1"/>
  <c r="Q5" i="51"/>
  <c r="R5" i="51"/>
  <c r="E5" i="51"/>
  <c r="Q9" i="51"/>
  <c r="R9" i="51"/>
  <c r="R22" i="50"/>
  <c r="Q22" i="50"/>
  <c r="E22" i="50"/>
  <c r="Q18" i="50"/>
  <c r="R18" i="50"/>
  <c r="E18" i="50"/>
  <c r="R39" i="50"/>
  <c r="Q39" i="50"/>
  <c r="E39" i="50"/>
  <c r="R21" i="50"/>
  <c r="Q21" i="50"/>
  <c r="R35" i="49"/>
  <c r="Q35" i="49"/>
  <c r="Q18" i="49"/>
  <c r="R18" i="49"/>
  <c r="E18" i="49"/>
  <c r="R22" i="49"/>
  <c r="Q22" i="49"/>
  <c r="E22" i="49"/>
  <c r="E35" i="49"/>
  <c r="R6" i="48"/>
  <c r="Q6" i="48"/>
  <c r="R21" i="48"/>
  <c r="Q21" i="48"/>
  <c r="E21" i="48"/>
  <c r="Q13" i="48"/>
  <c r="R13" i="48"/>
  <c r="E13" i="48"/>
  <c r="E6" i="48"/>
  <c r="A19" i="48" s="1" a="1"/>
  <c r="A19" i="48" s="1"/>
  <c r="FJ11" i="47"/>
  <c r="FU11" i="47" s="1"/>
  <c r="FW11" i="47" s="1"/>
  <c r="FX11" i="47" s="1"/>
  <c r="P9" i="47"/>
  <c r="R9" i="47" s="1"/>
  <c r="P25" i="47"/>
  <c r="R25" i="47" s="1"/>
  <c r="P21" i="47"/>
  <c r="R21" i="47" s="1"/>
  <c r="P29" i="47"/>
  <c r="E29" i="47" s="1"/>
  <c r="P10" i="47"/>
  <c r="E10" i="47" s="1"/>
  <c r="P13" i="47"/>
  <c r="R13" i="47" s="1"/>
  <c r="P18" i="47"/>
  <c r="R18" i="47" s="1"/>
  <c r="P22" i="47"/>
  <c r="R22" i="47" s="1"/>
  <c r="P12" i="47"/>
  <c r="R12" i="47" s="1"/>
  <c r="E13" i="47"/>
  <c r="P19" i="47"/>
  <c r="R19" i="47" s="1"/>
  <c r="P26" i="47"/>
  <c r="R26" i="47" s="1"/>
  <c r="P17" i="47"/>
  <c r="R17" i="47" s="1"/>
  <c r="FJ27" i="47"/>
  <c r="FU19" i="47" s="1"/>
  <c r="FW19" i="47" s="1"/>
  <c r="FX19" i="47" s="1"/>
  <c r="P27" i="47"/>
  <c r="FJ16" i="47"/>
  <c r="FU20" i="47" s="1"/>
  <c r="FW20" i="47" s="1"/>
  <c r="FX20" i="47" s="1"/>
  <c r="P16" i="47"/>
  <c r="P15" i="47"/>
  <c r="E15" i="47" s="1"/>
  <c r="FJ5" i="47"/>
  <c r="P5" i="47"/>
  <c r="P30" i="47"/>
  <c r="R30" i="47" s="1"/>
  <c r="FJ6" i="47"/>
  <c r="FU5" i="47" s="1"/>
  <c r="FW5" i="47" s="1"/>
  <c r="FX5" i="47" s="1"/>
  <c r="P6" i="47"/>
  <c r="E6" i="47" s="1"/>
  <c r="P31" i="47"/>
  <c r="FJ31" i="47"/>
  <c r="FU31" i="47" s="1"/>
  <c r="FW31" i="47" s="1"/>
  <c r="FX31" i="47" s="1"/>
  <c r="FJ7" i="47"/>
  <c r="P7" i="47"/>
  <c r="FJ8" i="47"/>
  <c r="P8" i="47"/>
  <c r="P24" i="47"/>
  <c r="R24" i="47" s="1"/>
  <c r="P20" i="47"/>
  <c r="P4" i="47"/>
  <c r="R4" i="47" s="1"/>
  <c r="P14" i="47"/>
  <c r="R14" i="47" s="1"/>
  <c r="FJ23" i="47"/>
  <c r="FU23" i="47" s="1"/>
  <c r="FW23" i="47" s="1"/>
  <c r="FX23" i="47" s="1"/>
  <c r="P23" i="47"/>
  <c r="FJ28" i="47"/>
  <c r="FU28" i="47" s="1"/>
  <c r="FW28" i="47" s="1"/>
  <c r="FX28" i="47" s="1"/>
  <c r="P28" i="47"/>
  <c r="E25" i="47"/>
  <c r="Q11" i="47"/>
  <c r="E11" i="47"/>
  <c r="A13" i="47" a="1"/>
  <c r="A13" i="47" s="1"/>
  <c r="A15" i="47" a="1"/>
  <c r="A15" i="47" s="1"/>
  <c r="A13" i="48" l="1" a="1"/>
  <c r="A13" i="48" s="1"/>
  <c r="I9" i="50" s="1"/>
  <c r="H9" i="50" s="1"/>
  <c r="I10" i="49"/>
  <c r="H10" i="49" s="1"/>
  <c r="A10" i="49" s="1" a="1"/>
  <c r="A10" i="49" s="1"/>
  <c r="I13" i="49"/>
  <c r="H13" i="49" s="1"/>
  <c r="A13" i="49" s="1" a="1"/>
  <c r="A13" i="49" s="1"/>
  <c r="Q29" i="47"/>
  <c r="Q10" i="47"/>
  <c r="Q25" i="47"/>
  <c r="R10" i="47"/>
  <c r="Q13" i="47"/>
  <c r="FU6" i="47"/>
  <c r="FW6" i="47" s="1"/>
  <c r="FX6" i="47" s="1"/>
  <c r="A12" i="48" a="1"/>
  <c r="A12" i="48" s="1"/>
  <c r="A7" i="48" a="1"/>
  <c r="A7" i="48" s="1"/>
  <c r="A9" i="48" a="1"/>
  <c r="A9" i="48" s="1"/>
  <c r="I7" i="50" s="1"/>
  <c r="H7" i="50" s="1"/>
  <c r="E9" i="47"/>
  <c r="Q9" i="47"/>
  <c r="FU8" i="47"/>
  <c r="FW8" i="47" s="1"/>
  <c r="FX8" i="47" s="1"/>
  <c r="E24" i="47"/>
  <c r="FU16" i="47"/>
  <c r="FW16" i="47" s="1"/>
  <c r="FX16" i="47" s="1"/>
  <c r="FU7" i="47"/>
  <c r="FW7" i="47" s="1"/>
  <c r="FX7" i="47" s="1"/>
  <c r="Q21" i="47"/>
  <c r="FU27" i="47"/>
  <c r="FW27" i="47" s="1"/>
  <c r="FX27" i="47" s="1"/>
  <c r="A6" i="52" a="1"/>
  <c r="A6" i="52" s="1"/>
  <c r="A4" i="52" a="1"/>
  <c r="A4" i="52" s="1"/>
  <c r="A7" i="52" a="1"/>
  <c r="A7" i="52" s="1"/>
  <c r="A5" i="51" a="1"/>
  <c r="A5" i="51" s="1"/>
  <c r="A6" i="51" a="1"/>
  <c r="A6" i="51" s="1"/>
  <c r="A7" i="51" a="1"/>
  <c r="A7" i="51" s="1"/>
  <c r="A9" i="51" a="1"/>
  <c r="A9" i="51" s="1"/>
  <c r="A6" i="48" a="1"/>
  <c r="A6" i="48" s="1"/>
  <c r="I4" i="50" s="1"/>
  <c r="H4" i="50" s="1"/>
  <c r="A4" i="48" a="1"/>
  <c r="A4" i="48" s="1"/>
  <c r="A10" i="48" a="1"/>
  <c r="A10" i="48" s="1"/>
  <c r="A15" i="48" a="1"/>
  <c r="A15" i="48" s="1"/>
  <c r="A11" i="48" a="1"/>
  <c r="A11" i="48" s="1"/>
  <c r="A5" i="48" a="1"/>
  <c r="A5" i="48" s="1"/>
  <c r="A8" i="48" a="1"/>
  <c r="A8" i="48" s="1"/>
  <c r="R29" i="47"/>
  <c r="E22" i="47"/>
  <c r="E26" i="47"/>
  <c r="Q19" i="47"/>
  <c r="E30" i="47"/>
  <c r="E4" i="47"/>
  <c r="E19" i="47"/>
  <c r="Q22" i="47"/>
  <c r="Q18" i="47"/>
  <c r="E12" i="47"/>
  <c r="Q26" i="47"/>
  <c r="Q12" i="47"/>
  <c r="Q30" i="47"/>
  <c r="E18" i="47"/>
  <c r="E21" i="47"/>
  <c r="Q24" i="47"/>
  <c r="E17" i="47"/>
  <c r="Q17" i="47"/>
  <c r="R5" i="47"/>
  <c r="Q5" i="47"/>
  <c r="R20" i="47"/>
  <c r="Q20" i="47"/>
  <c r="R16" i="47"/>
  <c r="Q16" i="47"/>
  <c r="E16" i="47"/>
  <c r="R8" i="47"/>
  <c r="Q8" i="47"/>
  <c r="R27" i="47"/>
  <c r="Q27" i="47"/>
  <c r="R7" i="47"/>
  <c r="Q7" i="47"/>
  <c r="Q4" i="47"/>
  <c r="E5" i="47"/>
  <c r="R28" i="47"/>
  <c r="Q28" i="47"/>
  <c r="E28" i="47"/>
  <c r="R31" i="47"/>
  <c r="Q31" i="47"/>
  <c r="E20" i="47"/>
  <c r="E27" i="47"/>
  <c r="E14" i="47"/>
  <c r="R6" i="47"/>
  <c r="Q6" i="47"/>
  <c r="E8" i="47"/>
  <c r="R15" i="47"/>
  <c r="Q15" i="47"/>
  <c r="Q14" i="47"/>
  <c r="R23" i="47"/>
  <c r="Q23" i="47"/>
  <c r="E23" i="47"/>
  <c r="E31" i="47"/>
  <c r="E7" i="47"/>
  <c r="I6" i="50" l="1"/>
  <c r="H6" i="50" s="1"/>
  <c r="A6" i="50" s="1" a="1"/>
  <c r="A6" i="50" s="1"/>
  <c r="A7" i="50" a="1"/>
  <c r="A7" i="50" s="1"/>
  <c r="A4" i="50" a="1"/>
  <c r="A4" i="50" s="1"/>
  <c r="A12" i="47" a="1"/>
  <c r="A12" i="47" s="1"/>
  <c r="A7" i="47" a="1"/>
  <c r="A7" i="47" s="1"/>
  <c r="C35" i="11"/>
  <c r="D35" i="11"/>
  <c r="D34" i="11"/>
  <c r="C36" i="11"/>
  <c r="D36" i="11"/>
  <c r="C37" i="11"/>
  <c r="D37" i="11"/>
  <c r="C34" i="11"/>
  <c r="C31" i="11"/>
  <c r="D30" i="11"/>
  <c r="D31" i="11"/>
  <c r="C30" i="11"/>
  <c r="C32" i="11"/>
  <c r="D32" i="11"/>
  <c r="C33" i="11"/>
  <c r="D33" i="11"/>
  <c r="C15" i="11"/>
  <c r="D15" i="11"/>
  <c r="C16" i="11"/>
  <c r="D16" i="11"/>
  <c r="C17" i="11"/>
  <c r="D17" i="11"/>
  <c r="C11" i="11"/>
  <c r="D10" i="11"/>
  <c r="D11" i="11"/>
  <c r="C10" i="11"/>
  <c r="C12" i="11"/>
  <c r="D12" i="11"/>
  <c r="C13" i="11"/>
  <c r="D13" i="11"/>
  <c r="C14" i="11"/>
  <c r="D14" i="11"/>
  <c r="A9" i="47" a="1"/>
  <c r="A9" i="47" s="1"/>
  <c r="A4" i="47" a="1"/>
  <c r="A4" i="47" s="1"/>
  <c r="A8" i="47" a="1"/>
  <c r="A8" i="47" s="1"/>
  <c r="A5" i="47" a="1"/>
  <c r="A5" i="47" s="1"/>
  <c r="A11" i="47" a="1"/>
  <c r="A11" i="47" s="1"/>
  <c r="A6" i="47" a="1"/>
  <c r="A6" i="47" s="1"/>
  <c r="A10" i="47" a="1"/>
  <c r="A10" i="47" s="1"/>
  <c r="I6" i="49" s="1"/>
  <c r="H6" i="49" s="1"/>
  <c r="A9" i="50" l="1" a="1"/>
  <c r="A9" i="50" s="1"/>
  <c r="A8" i="50" a="1"/>
  <c r="A8" i="50" s="1"/>
  <c r="A11" i="50" a="1"/>
  <c r="A11" i="50" s="1"/>
  <c r="A5" i="50" a="1"/>
  <c r="A5" i="50" s="1"/>
  <c r="A10" i="50" a="1"/>
  <c r="A10" i="50" s="1"/>
  <c r="I7" i="49"/>
  <c r="H7" i="49" s="1"/>
  <c r="A7" i="49" s="1" a="1"/>
  <c r="A7" i="49" s="1"/>
  <c r="I4" i="49"/>
  <c r="H4" i="49" s="1"/>
  <c r="A4" i="49" s="1" a="1"/>
  <c r="A4" i="49" s="1"/>
  <c r="I5" i="49"/>
  <c r="H5" i="49" s="1"/>
  <c r="A5" i="49" s="1" a="1"/>
  <c r="A5" i="49" s="1"/>
  <c r="A6" i="49" a="1"/>
  <c r="A6" i="49" s="1"/>
  <c r="C3" i="11"/>
  <c r="D2" i="11"/>
  <c r="D3" i="11"/>
  <c r="C2" i="11"/>
  <c r="C4" i="11"/>
  <c r="D4" i="11"/>
  <c r="C5" i="11"/>
  <c r="D5" i="11"/>
  <c r="C6" i="11"/>
  <c r="D6" i="11"/>
  <c r="C7" i="11"/>
  <c r="D7" i="11"/>
  <c r="C8" i="11"/>
  <c r="D8" i="11"/>
  <c r="C9" i="11"/>
  <c r="D9" i="11"/>
  <c r="C24" i="11" l="1"/>
  <c r="C26" i="11"/>
  <c r="C27" i="11"/>
  <c r="D27" i="11"/>
  <c r="D28" i="11"/>
  <c r="D26" i="11"/>
  <c r="C25" i="11"/>
  <c r="D25" i="11"/>
  <c r="D29" i="11"/>
  <c r="C28" i="11"/>
  <c r="C29" i="11"/>
  <c r="D24" i="11"/>
  <c r="C19" i="11"/>
  <c r="C18" i="11"/>
  <c r="D21" i="11"/>
  <c r="D23" i="11"/>
  <c r="C20" i="11"/>
  <c r="C21" i="11"/>
  <c r="D22" i="11"/>
  <c r="D18" i="11"/>
  <c r="D19" i="11"/>
  <c r="D20" i="11"/>
  <c r="C22" i="11"/>
  <c r="C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<sst xmlns="http://schemas.openxmlformats.org/spreadsheetml/2006/main" count="1724" uniqueCount="190">
  <si>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</si>
  <si>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</si>
  <si>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</si>
  <si>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</si>
  <si>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</si>
  <si>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</si>
  <si>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</si>
  <si>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</si>
  <si>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</si>
  <si>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</si>
  <si>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International Difference</t>
  </si>
  <si>
    <t>EX</t>
  </si>
  <si>
    <t>Total</t>
  </si>
  <si>
    <t>Prelim</t>
  </si>
  <si>
    <t>Athlete</t>
  </si>
  <si>
    <t>Penalty</t>
  </si>
  <si>
    <t>Location</t>
  </si>
  <si>
    <t>Routine</t>
  </si>
  <si>
    <t>Show data entry cells</t>
  </si>
  <si>
    <t>Hide data entry cells</t>
  </si>
  <si>
    <t>Sort names into correct order</t>
  </si>
  <si>
    <t>Team Members:</t>
  </si>
  <si>
    <t>Member</t>
  </si>
  <si>
    <t>Last Updated: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</si>
  <si>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</si>
  <si>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</si>
  <si>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</si>
  <si>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</si>
  <si>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</si>
  <si>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</si>
  <si>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</si>
  <si>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</si>
  <si>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</si>
  <si>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</si>
  <si>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</si>
  <si>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Remove athlete:</t>
  </si>
  <si>
    <t>Delete oldest international competitions</t>
  </si>
  <si>
    <t>FLYNN, Gabby</t>
  </si>
  <si>
    <t>ZUREK, Nolan</t>
  </si>
  <si>
    <t>Worlds Eligible</t>
  </si>
  <si>
    <t>DODD, Gavin</t>
  </si>
  <si>
    <t>SOEHN, Kalena</t>
  </si>
  <si>
    <t>MEYER, Jeremy</t>
  </si>
  <si>
    <t>THOMPSON, Derek</t>
  </si>
  <si>
    <t>VIAU, Nathan</t>
  </si>
  <si>
    <t>MALLAIS, Rylan</t>
  </si>
  <si>
    <t>CYMAN, Cody</t>
  </si>
  <si>
    <t>D'HONDT, Luke</t>
  </si>
  <si>
    <t>2025 Nationals</t>
  </si>
  <si>
    <t>2025 3rd Domestic Trial</t>
  </si>
  <si>
    <t>2025 Worlds (Nov 9)</t>
  </si>
  <si>
    <t>2025 WAGC (Nov 16)</t>
  </si>
  <si>
    <t>Elite Canada Preparation</t>
  </si>
  <si>
    <t>Senior-M</t>
  </si>
  <si>
    <t>Senior-W</t>
  </si>
  <si>
    <t>BERKENBOSCH, Bence</t>
  </si>
  <si>
    <t>BLOOM, Tristan</t>
  </si>
  <si>
    <t>OUGHTRED, Max</t>
  </si>
  <si>
    <t>NELSON, Cooper</t>
  </si>
  <si>
    <t>ANDERSEN, Travis</t>
  </si>
  <si>
    <t>MORRISON, Xavier</t>
  </si>
  <si>
    <t>LANQUETIN, Yannick</t>
  </si>
  <si>
    <t>COUTURE, Joey</t>
  </si>
  <si>
    <t>SCOTT, Ethan</t>
  </si>
  <si>
    <t>On Senior Team</t>
  </si>
  <si>
    <t>Development-M</t>
  </si>
  <si>
    <t>Development-W</t>
  </si>
  <si>
    <t>KUZNAK, Sienna</t>
  </si>
  <si>
    <t>LEPORÉ, Amylia</t>
  </si>
  <si>
    <t>SCHMIDT, Jordyn</t>
  </si>
  <si>
    <t>GOOD, Hayden</t>
  </si>
  <si>
    <t>ALDOUS, Addison</t>
  </si>
  <si>
    <t>Junior-M</t>
  </si>
  <si>
    <t>Junior-W</t>
  </si>
  <si>
    <t>RENOU, Brayden</t>
  </si>
  <si>
    <t>JENKINSON, Bentley</t>
  </si>
  <si>
    <t>NS</t>
  </si>
  <si>
    <t>MOBORG, Reese</t>
  </si>
  <si>
    <t>LUPISH, Kieran</t>
  </si>
  <si>
    <t>ROBERTSON, Griffyn</t>
  </si>
  <si>
    <t>ARMSTRONG, Mark</t>
  </si>
  <si>
    <t>GIBBS, Gavin</t>
  </si>
  <si>
    <t>WEHAGE, Connor</t>
  </si>
  <si>
    <t>SK</t>
  </si>
  <si>
    <t>HARBO, Owen</t>
  </si>
  <si>
    <t>KOCAK, Jonas</t>
  </si>
  <si>
    <t>MERCIER, Loïc</t>
  </si>
  <si>
    <t>NEUFELD, Simon</t>
  </si>
  <si>
    <t>CANN, Jackson</t>
  </si>
  <si>
    <t>PEDERSEN, Mitchel</t>
  </si>
  <si>
    <t>PINSK, Benjamin</t>
  </si>
  <si>
    <t>MB</t>
  </si>
  <si>
    <t>BING-L'HEUREUX, Noah</t>
  </si>
  <si>
    <t>DYKMAN, Matvey</t>
  </si>
  <si>
    <t>MANCINI, Michael</t>
  </si>
  <si>
    <t>National Team DD and Score</t>
  </si>
  <si>
    <t>Best Prelim</t>
  </si>
  <si>
    <t>Best International Diff</t>
  </si>
  <si>
    <t>Potential Injury Score</t>
  </si>
  <si>
    <t>Q1 Pass 1</t>
  </si>
  <si>
    <t>Q1 Pass 2</t>
  </si>
  <si>
    <t>F1</t>
  </si>
  <si>
    <t>F2</t>
  </si>
  <si>
    <t>Prelim DD</t>
  </si>
  <si>
    <t>Finals DD</t>
  </si>
  <si>
    <t>Finals</t>
  </si>
  <si>
    <t>Q1</t>
  </si>
  <si>
    <t>Q2</t>
  </si>
  <si>
    <t>Q1 DD</t>
  </si>
  <si>
    <t>Bonus</t>
  </si>
  <si>
    <t>Best Pass</t>
  </si>
  <si>
    <t>2nd Best
Pass</t>
  </si>
  <si>
    <t>Pass 1</t>
  </si>
  <si>
    <t>Pass 2</t>
  </si>
  <si>
    <t>Pass 3</t>
  </si>
  <si>
    <t>Pass 4</t>
  </si>
  <si>
    <t>Pass 1 DD</t>
  </si>
  <si>
    <t>Pass 2 DD</t>
  </si>
  <si>
    <t>Pass 3 DD</t>
  </si>
  <si>
    <t>Pass 4 DD</t>
  </si>
  <si>
    <t>Pass</t>
  </si>
  <si>
    <t>Q2 DD</t>
  </si>
  <si>
    <t>F1 DD</t>
  </si>
  <si>
    <t>F2 DD</t>
  </si>
  <si>
    <t>Performance Score</t>
  </si>
  <si>
    <t>Performance DD</t>
  </si>
  <si>
    <t>HOWELL, Kayla</t>
  </si>
  <si>
    <t>OLSEN, Brooklyn</t>
  </si>
  <si>
    <t>WILL, Rebecca</t>
  </si>
  <si>
    <t>DION, Amélia</t>
  </si>
  <si>
    <t>WAX, Sophie</t>
  </si>
  <si>
    <t>DODD, Kristina</t>
  </si>
  <si>
    <t>PARHAR, Jasmine</t>
  </si>
  <si>
    <t>KWASNIAK, Alicja</t>
  </si>
  <si>
    <t>SCHMIDT, Makena</t>
  </si>
  <si>
    <t>PHANEUF, Zoe</t>
  </si>
  <si>
    <t>PEPPER, Emily</t>
  </si>
  <si>
    <t>ANGST, Caelyn</t>
  </si>
  <si>
    <t>DEOBALD, Addis</t>
  </si>
  <si>
    <t>PEPPER, Nix</t>
  </si>
  <si>
    <t>DALGETTY, McKayla</t>
  </si>
  <si>
    <t>BESSADI, Kella</t>
  </si>
  <si>
    <t>MCCONNELL, Jocelyn</t>
  </si>
  <si>
    <t>CHRISTIE, Emily</t>
  </si>
  <si>
    <t>BISHOP, Brody</t>
  </si>
  <si>
    <t>MICHALSKI, Rylan</t>
  </si>
  <si>
    <t>PETERS, Lane</t>
  </si>
  <si>
    <t>KISKO, Roman</t>
  </si>
  <si>
    <t>WYGIERA, Liam</t>
  </si>
  <si>
    <t>VAN ESSEN, Oliver</t>
  </si>
  <si>
    <t>VANDEN HOVEN, Tristan</t>
  </si>
  <si>
    <t>HADD, Benjamin</t>
  </si>
  <si>
    <t>GLAWACKI, Oskar</t>
  </si>
  <si>
    <t>KOCHYLEMA, Jacob</t>
  </si>
  <si>
    <t>BONDY, Philippe</t>
  </si>
  <si>
    <t>RITCHIE, Owen</t>
  </si>
  <si>
    <t>WILSON, Carter</t>
  </si>
  <si>
    <t>TAYLOR, Kyle</t>
  </si>
  <si>
    <t>LEE-McMEEKEN, Brooklyn</t>
  </si>
  <si>
    <t>ULMER, Lily-ann</t>
  </si>
  <si>
    <t>BERG, Katie</t>
  </si>
  <si>
    <t>JEAN-LOUIS, Jayda</t>
  </si>
  <si>
    <t>ALBERT, Audrey</t>
  </si>
  <si>
    <t>VAN BALKOM, Marlee</t>
  </si>
  <si>
    <t>CHEW, Makena</t>
  </si>
  <si>
    <t>GRIFFITHS, Ella</t>
  </si>
  <si>
    <t>FLETCHER-BOSTWICK, Aja</t>
  </si>
  <si>
    <t>NOVOTNY, Ella</t>
  </si>
  <si>
    <t>LEARY, Addison</t>
  </si>
  <si>
    <t>GRANT, Sienna</t>
  </si>
  <si>
    <t>MOUNTAIN, Dani</t>
  </si>
  <si>
    <t>GOODMAN, Fleur</t>
  </si>
  <si>
    <t>MATHIEU, Angéline</t>
  </si>
  <si>
    <t>STEFURA, Kenadie</t>
  </si>
  <si>
    <t>OLDFIELD, Isla</t>
  </si>
  <si>
    <t>TOSH, Megan</t>
  </si>
  <si>
    <t>WIEBE, Meghan</t>
  </si>
  <si>
    <t>SKJODT, Sophie</t>
  </si>
  <si>
    <t>MITCHELL, Halle</t>
  </si>
  <si>
    <t>KWAN, Sienna</t>
  </si>
  <si>
    <t>SAWATZKY, Kait</t>
  </si>
  <si>
    <t>BRASSART, Lola-Rose</t>
  </si>
  <si>
    <t/>
  </si>
  <si>
    <t>MILLIN, Declan</t>
  </si>
  <si>
    <t>GORMICK, Liam</t>
  </si>
  <si>
    <t>MACINTOSH, Braxton</t>
  </si>
  <si>
    <t>TOLOSA, Kaizen</t>
  </si>
  <si>
    <t>MACDOUGALL, Kira</t>
  </si>
  <si>
    <t>SANDERSON, Aurora</t>
  </si>
  <si>
    <t>BILO, 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</si>
</sst>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8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4" fillId="0" borderId="0" xfId="0" applyNumberFormat="1" applyFont="1"/>
    <xf numFmtId="0" fontId="12" fillId="5" borderId="0" xfId="0" applyFont="1" applyFill="1"/>
    <xf numFmtId="0" fontId="7" fillId="6" borderId="0" xfId="0" applyFont="1" applyFill="1"/>
    <xf numFmtId="164" fontId="13" fillId="2" borderId="1" xfId="0" applyNumberFormat="1" applyFont="1" applyFill="1" applyBorder="1" applyAlignment="1" applyProtection="1">
      <alignment horizontal="center"/>
      <protection locked="0"/>
    </xf>
    <xf numFmtId="164" fontId="13" fillId="3" borderId="1" xfId="0" applyNumberFormat="1" applyFont="1" applyFill="1" applyBorder="1" applyAlignment="1" applyProtection="1">
      <alignment horizontal="center"/>
      <protection locked="0"/>
    </xf>
    <xf numFmtId="0" fontId="11" fillId="0" borderId="0" xfId="0" applyFont="1"/>
    <xf numFmtId="0" fontId="14" fillId="8" borderId="0" xfId="0" applyFont="1" applyFill="1"/>
    <xf numFmtId="0" fontId="1" fillId="9" borderId="0" xfId="0" applyFont="1" applyFill="1"/>
    <xf numFmtId="0" fontId="15" fillId="10" borderId="0" xfId="0" applyFont="1" applyFill="1"/>
    <xf numFmtId="0" fontId="16" fillId="4" borderId="0" xfId="0" applyFont="1" applyFill="1"/>
    <xf numFmtId="0" fontId="0" fillId="0" borderId="0" xfId="0" applyAlignment="1">
      <alignment horizontal="center"/>
    </xf>
    <xf numFmtId="164" fontId="0" fillId="2" borderId="0" xfId="0" applyNumberFormat="1" applyFill="1" applyAlignment="1">
      <alignment horizontal="center"/>
    </xf>
    <xf numFmtId="164" fontId="12" fillId="5" borderId="0" xfId="0" applyNumberFormat="1" applyFont="1" applyFill="1" applyAlignment="1" applyProtection="1">
      <alignment horizontal="center"/>
      <protection locked="0"/>
    </xf>
    <xf numFmtId="164" fontId="1" fillId="9" borderId="0" xfId="0" applyNumberFormat="1" applyFont="1" applyFill="1" applyAlignment="1" applyProtection="1">
      <alignment horizontal="center"/>
      <protection locked="0"/>
    </xf>
    <xf numFmtId="164" fontId="16" fillId="4" borderId="0" xfId="0" applyNumberFormat="1" applyFont="1" applyFill="1" applyAlignment="1" applyProtection="1">
      <alignment horizontal="center"/>
      <protection locked="0"/>
    </xf>
    <xf numFmtId="164" fontId="7" fillId="6" borderId="0" xfId="0" applyNumberFormat="1" applyFont="1" applyFill="1" applyAlignment="1" applyProtection="1">
      <alignment horizontal="center"/>
      <protection locked="0"/>
    </xf>
    <xf numFmtId="164" fontId="15" fillId="10" borderId="0" xfId="0" applyNumberFormat="1" applyFont="1" applyFill="1" applyAlignment="1" applyProtection="1">
      <alignment horizontal="center"/>
      <protection locked="0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7" fillId="11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7" fillId="12" borderId="0" xfId="0" applyFont="1" applyFill="1" applyAlignment="1">
      <alignment horizontal="center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14" fillId="8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4" fillId="2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17" fillId="12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17" fillId="11" borderId="0" xfId="0" applyFont="1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7" borderId="0" xfId="0" applyFont="1" applyFill="1" applyAlignment="1" applyProtection="1">
      <alignment horizontal="center"/>
      <protection locked="0"/>
    </xf>
    <xf numFmtId="0" fontId="17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268"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E6C6FB"/>
      <color rgb="FFB4C6E7"/>
      <color rgb="FFFFF3CC"/>
      <color rgb="FFFFD1AD"/>
      <color rgb="FFFF03FD"/>
      <color rgb="FFFFBFFE"/>
      <color rgb="FFFFB5B7"/>
      <color rgb="FFFF7000"/>
      <color rgb="FF9C0006"/>
      <color rgb="FFFF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43</xdr:row>
          <xdr:rowOff>12700</xdr:rowOff>
        </xdr:from>
        <xdr:to>
          <xdr:col>4</xdr:col>
          <xdr:colOff>495300</xdr:colOff>
          <xdr:row>43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4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21</v>
      </c>
      <c r="B1" t="s">
        <v>1</v>
      </c>
      <c r="C1" t="s">
        <v>22</v>
      </c>
      <c r="D1" s="26" t="s">
        <v>9</v>
      </c>
    </row>
    <row r="2" spans="1:6" x14ac:dyDescent="0.2">
      <c r="A2" s="5" t="s">
        <v>53</v>
      </c>
      <c r="B2" s="5">
        <v>1</v>
      </c>
      <c r="C2" s="5" t="str">
        <f>IF(B2&gt;MAX('Senior-M'!A:A),"",INDEX('Senior-M'!B:B,MATCH(B2,'Senior-M'!A:A,0)))</f>
        <v>DODD, Gavin</v>
      </c>
      <c r="D2" s="13" t="str">
        <f>IF(B2&gt;MAX('Senior-M'!A:A),"",INDEX('Senior-M'!H:H,MATCH(B2,'Senior-M'!A:A,0)))</f>
        <v>Worlds Team</v>
      </c>
      <c r="E2" s="11"/>
      <c r="F2" s="11"/>
    </row>
    <row r="3" spans="1:6" x14ac:dyDescent="0.2">
      <c r="A3" s="5"/>
      <c r="B3" s="5">
        <v>2</v>
      </c>
      <c r="C3" s="5" t="str">
        <f>IF(B3&gt;MAX('Senior-M'!A:A),"",INDEX('Senior-M'!B:B,MATCH(B3,'Senior-M'!A:A,0)))</f>
        <v>MEYER, Jeremy</v>
      </c>
      <c r="D3" s="13" t="str">
        <f>IF(B3&gt;MAX('Senior-M'!A:A),"",INDEX('Senior-M'!H:H,MATCH(B3,'Senior-M'!A:A,0)))</f>
        <v>Worlds Team</v>
      </c>
      <c r="E3" s="11"/>
      <c r="F3" s="11"/>
    </row>
    <row r="4" spans="1:6" x14ac:dyDescent="0.2">
      <c r="A4" s="5"/>
      <c r="B4" s="5">
        <v>3</v>
      </c>
      <c r="C4" s="5" t="str">
        <f>IF(B4&gt;MAX('Senior-M'!A:A),"",INDEX('Senior-M'!B:B,MATCH(B4,'Senior-M'!A:A,0)))</f>
        <v>LUPISH, Kieran</v>
      </c>
      <c r="D4" s="13" t="str">
        <f>IF(B4&gt;MAX('Senior-M'!A:A),"",INDEX('Senior-M'!H:H,MATCH(B4,'Senior-M'!A:A,0)))</f>
        <v>Worlds Team</v>
      </c>
      <c r="E4" s="11"/>
      <c r="F4" s="11"/>
    </row>
    <row r="5" spans="1:6" x14ac:dyDescent="0.2">
      <c r="A5" s="5"/>
      <c r="B5" s="5">
        <v>4</v>
      </c>
      <c r="C5" s="5" t="str">
        <f>IF(B5&gt;MAX('Senior-M'!A:A),"",INDEX('Senior-M'!B:B,MATCH(B5,'Senior-M'!A:A,0)))</f>
        <v>BLOOM, Tristan</v>
      </c>
      <c r="D5" s="13" t="str">
        <f>IF(B5&gt;MAX('Senior-M'!A:A),"",INDEX('Senior-M'!H:H,MATCH(B5,'Senior-M'!A:A,0)))</f>
        <v>Worlds Team</v>
      </c>
    </row>
    <row r="6" spans="1:6" x14ac:dyDescent="0.2">
      <c r="A6" s="5"/>
      <c r="B6" s="5">
        <v>5</v>
      </c>
      <c r="C6" s="5" t="str">
        <f>IF(B6&gt;MAX('Senior-M'!A:A),"",INDEX('Senior-M'!B:B,MATCH(B6,'Senior-M'!A:A,0)))</f>
        <v>ROBERTSON, Griffyn</v>
      </c>
      <c r="D6" s="13" t="str">
        <f>IF(B6&gt;MAX('Senior-M'!A:A),"",INDEX('Senior-M'!H:H,MATCH(B6,'Senior-M'!A:A,0)))</f>
        <v>Worlds Team</v>
      </c>
    </row>
    <row r="7" spans="1:6" x14ac:dyDescent="0.2">
      <c r="A7" s="5"/>
      <c r="B7" s="5">
        <v>6</v>
      </c>
      <c r="C7" s="5" t="str">
        <f>IF(B7&gt;MAX('Senior-M'!A:A),"",INDEX('Senior-M'!B:B,MATCH(B7,'Senior-M'!A:A,0)))</f>
        <v>ZUREK, Nolan</v>
      </c>
      <c r="D7" s="13" t="str">
        <f>IF(B7&gt;MAX('Senior-M'!A:A),"",INDEX('Senior-M'!H:H,MATCH(B7,'Senior-M'!A:A,0)))</f>
        <v>Worlds Team</v>
      </c>
    </row>
    <row r="8" spans="1:6" x14ac:dyDescent="0.2">
      <c r="A8" s="5"/>
      <c r="B8" s="5">
        <v>7</v>
      </c>
      <c r="C8" s="5" t="str">
        <f>IF(B8&gt;MAX('Senior-M'!A:A),"",INDEX('Senior-M'!B:B,MATCH(B8,'Senior-M'!A:A,0)))</f>
        <v>GIBBS, Gavin</v>
      </c>
      <c r="D8" s="13" t="str">
        <f>IF(B8&gt;MAX('Senior-M'!A:A),"",INDEX('Senior-M'!H:H,MATCH(B8,'Senior-M'!A:A,0)))</f>
        <v>Worlds Team</v>
      </c>
    </row>
    <row r="9" spans="1:6" x14ac:dyDescent="0.2">
      <c r="A9" s="5"/>
      <c r="B9" s="5">
        <v>8</v>
      </c>
      <c r="C9" s="5" t="str">
        <f>IF(B9&gt;MAX('Senior-M'!A:A),"",INDEX('Senior-M'!B:B,MATCH(B9,'Senior-M'!A:A,0)))</f>
        <v>COUTURE, Joey</v>
      </c>
      <c r="D9" s="13" t="str">
        <f>IF(B9&gt;MAX('Senior-M'!A:A),"",INDEX('Senior-M'!H:H,MATCH(B9,'Senior-M'!A:A,0)))</f>
        <v>National Team</v>
      </c>
    </row>
    <row r="10" spans="1:6" x14ac:dyDescent="0.2">
      <c r="A10" s="6" t="s">
        <v>54</v>
      </c>
      <c r="B10" s="6">
        <v>1</v>
      </c>
      <c r="C10" s="6" t="str">
        <f>IF(B2&gt;MAX('Senior-W'!A:A),"",INDEX('Senior-W'!B:B,MATCH(B2,'Senior-W'!A:A,0)))</f>
        <v>FLYNN, Gabby</v>
      </c>
      <c r="D10" s="12" t="str">
        <f>IF(B2&gt;MAX('Senior-W'!A:A),"",INDEX('Senior-W'!H:H,MATCH(B2,'Senior-W'!A:A,0)))</f>
        <v>Worlds Team</v>
      </c>
    </row>
    <row r="11" spans="1:6" x14ac:dyDescent="0.2">
      <c r="A11" s="6"/>
      <c r="B11" s="6">
        <v>2</v>
      </c>
      <c r="C11" s="6" t="str">
        <f>IF(B3&gt;MAX('Senior-W'!A:A),"",INDEX('Senior-W'!B:B,MATCH(B3,'Senior-W'!A:A,0)))</f>
        <v>SOEHN, Kalena</v>
      </c>
      <c r="D11" s="12" t="str">
        <f>IF(B3&gt;MAX('Senior-W'!A:A),"",INDEX('Senior-W'!H:H,MATCH(B3,'Senior-W'!A:A,0)))</f>
        <v>Worlds Team</v>
      </c>
    </row>
    <row r="12" spans="1:6" x14ac:dyDescent="0.2">
      <c r="A12" s="6"/>
      <c r="B12" s="6">
        <v>3</v>
      </c>
      <c r="C12" s="6" t="str">
        <f>IF(B4&gt;MAX('Senior-W'!A:A),"",INDEX('Senior-W'!B:B,MATCH(B4,'Senior-W'!A:A,0)))</f>
        <v>KUZNAK, Sienna</v>
      </c>
      <c r="D12" s="12" t="str">
        <f>IF(B4&gt;MAX('Senior-W'!A:A),"",INDEX('Senior-W'!H:H,MATCH(B4,'Senior-W'!A:A,0)))</f>
        <v>Worlds Team</v>
      </c>
    </row>
    <row r="13" spans="1:6" x14ac:dyDescent="0.2">
      <c r="A13" s="6"/>
      <c r="B13" s="6">
        <v>4</v>
      </c>
      <c r="C13" s="6" t="str">
        <f>IF(B5&gt;MAX('Senior-W'!A:A),"",INDEX('Senior-W'!B:B,MATCH(B5,'Senior-W'!A:A,0)))</f>
        <v>HOWELL, Kayla</v>
      </c>
      <c r="D13" s="12" t="str">
        <f>IF(B5&gt;MAX('Senior-W'!A:A),"",INDEX('Senior-W'!H:H,MATCH(B5,'Senior-W'!A:A,0)))</f>
        <v>Worlds Team</v>
      </c>
    </row>
    <row r="14" spans="1:6" x14ac:dyDescent="0.2">
      <c r="A14" s="6"/>
      <c r="B14" s="6">
        <v>5</v>
      </c>
      <c r="C14" s="6" t="str">
        <f>IF(B6&gt;MAX('Senior-W'!A:A),"",INDEX('Senior-W'!B:B,MATCH(B6,'Senior-W'!A:A,0)))</f>
        <v>SCHMIDT, Jordyn</v>
      </c>
      <c r="D14" s="12" t="str">
        <f>IF(B6&gt;MAX('Senior-W'!A:A),"",INDEX('Senior-W'!H:H,MATCH(B6,'Senior-W'!A:A,0)))</f>
        <v>Worlds Team</v>
      </c>
    </row>
    <row r="15" spans="1:6" x14ac:dyDescent="0.2">
      <c r="A15" s="6"/>
      <c r="B15" s="6">
        <v>6</v>
      </c>
      <c r="C15" s="6" t="str">
        <f>IF(B7&gt;MAX('Senior-W'!A:A),"",INDEX('Senior-W'!B:B,MATCH(B7,'Senior-W'!A:A,0)))</f>
        <v>OLSEN, Brooklyn</v>
      </c>
      <c r="D15" s="12" t="str">
        <f>IF(B7&gt;MAX('Senior-W'!A:A),"",INDEX('Senior-W'!H:H,MATCH(B7,'Senior-W'!A:A,0)))</f>
        <v>Worlds Team</v>
      </c>
    </row>
    <row r="16" spans="1:6" x14ac:dyDescent="0.2">
      <c r="A16" s="6"/>
      <c r="B16" s="6">
        <v>7</v>
      </c>
      <c r="C16" s="6" t="str">
        <f>IF(B8&gt;MAX('Senior-W'!A:A),"",INDEX('Senior-W'!B:B,MATCH(B8,'Senior-W'!A:A,0)))</f>
        <v>DION, Amélia</v>
      </c>
      <c r="D16" s="12" t="str">
        <f>IF(B8&gt;MAX('Senior-W'!A:A),"",INDEX('Senior-W'!H:H,MATCH(B8,'Senior-W'!A:A,0)))</f>
        <v>Worlds Team</v>
      </c>
    </row>
    <row r="17" spans="1:4" x14ac:dyDescent="0.2">
      <c r="A17" s="6"/>
      <c r="B17" s="6">
        <v>8</v>
      </c>
      <c r="C17" s="6" t="str">
        <f>IF(B9&gt;MAX('Senior-W'!A:A),"",INDEX('Senior-W'!B:B,MATCH(B9,'Senior-W'!A:A,0)))</f>
        <v>WILL, Rebecca</v>
      </c>
      <c r="D17" s="12" t="str">
        <f>IF(B9&gt;MAX('Senior-W'!A:A),"",INDEX('Senior-W'!H:H,MATCH(B9,'Senior-W'!A:A,0)))</f>
        <v>Worlds Team</v>
      </c>
    </row>
    <row r="18" spans="1:4" hidden="1" x14ac:dyDescent="0.2">
      <c r="A18" s="5" t="s">
        <v>65</v>
      </c>
      <c r="B18" s="5">
        <v>1</v>
      </c>
      <c r="C18" s="5" t="str">
        <f>IF(B2&gt;MAX('Development-M'!A:A),"",INDEX('Development-M'!B:B,MATCH(B2,'Development-M'!A:A,0)))</f>
        <v/>
      </c>
      <c r="D18" s="13" t="str">
        <f>IF(B2&gt;MAX('Development-M'!A:A),"",INDEX('Development-M'!H:H,MATCH(B2,'Development-M'!A:A,0)))</f>
        <v/>
      </c>
    </row>
    <row r="19" spans="1:4" hidden="1" x14ac:dyDescent="0.2">
      <c r="A19" s="5"/>
      <c r="B19" s="5">
        <v>2</v>
      </c>
      <c r="C19" s="5" t="str">
        <f>IF(B3&gt;MAX('Development-M'!A:A),"",INDEX('Development-M'!B:B,MATCH(B3,'Development-M'!A:A,0)))</f>
        <v/>
      </c>
      <c r="D19" s="13" t="str">
        <f>IF(B3&gt;MAX('Development-M'!A:A),"",INDEX('Development-M'!H:H,MATCH(B3,'Development-M'!A:A,0)))</f>
        <v/>
      </c>
    </row>
    <row r="20" spans="1:4" hidden="1" x14ac:dyDescent="0.2">
      <c r="A20" s="5"/>
      <c r="B20" s="5">
        <v>3</v>
      </c>
      <c r="C20" s="5" t="str">
        <f>IF(B4&gt;MAX('Development-M'!A:A),"",INDEX('Development-M'!B:B,MATCH(B4,'Development-M'!A:A,0)))</f>
        <v/>
      </c>
      <c r="D20" s="13" t="str">
        <f>IF(B4&gt;MAX('Development-M'!A:A),"",INDEX('Development-M'!H:H,MATCH(B4,'Development-M'!A:A,0)))</f>
        <v/>
      </c>
    </row>
    <row r="21" spans="1:4" hidden="1" x14ac:dyDescent="0.2">
      <c r="A21" s="5"/>
      <c r="B21" s="5">
        <v>4</v>
      </c>
      <c r="C21" s="5" t="str">
        <f>IF(B5&gt;MAX('Development-M'!A:A),"",INDEX('Development-M'!B:B,MATCH(B5,'Development-M'!A:A,0)))</f>
        <v/>
      </c>
      <c r="D21" s="13" t="str">
        <f>IF(B5&gt;MAX('Development-M'!A:A),"",INDEX('Development-M'!H:H,MATCH(B5,'Development-M'!A:A,0)))</f>
        <v/>
      </c>
    </row>
    <row r="22" spans="1:4" hidden="1" x14ac:dyDescent="0.2">
      <c r="A22" s="5"/>
      <c r="B22" s="5">
        <v>5</v>
      </c>
      <c r="C22" s="5" t="str">
        <f>IF(B6&gt;MAX('Development-M'!A:A),"",INDEX('Development-M'!B:B,MATCH(B6,'Development-M'!A:A,0)))</f>
        <v/>
      </c>
      <c r="D22" s="13" t="str">
        <f>IF(B6&gt;MAX('Development-M'!A:A),"",INDEX('Development-M'!H:H,MATCH(B6,'Development-M'!A:A,0)))</f>
        <v/>
      </c>
    </row>
    <row r="23" spans="1:4" hidden="1" x14ac:dyDescent="0.2">
      <c r="A23" s="5"/>
      <c r="B23" s="5">
        <v>6</v>
      </c>
      <c r="C23" s="5" t="str">
        <f>IF(B7&gt;MAX('Development-M'!A:A),"",INDEX('Development-M'!B:B,MATCH(B7,'Development-M'!A:A,0)))</f>
        <v/>
      </c>
      <c r="D23" s="13" t="str">
        <f>IF(B7&gt;MAX('Development-M'!A:A),"",INDEX('Development-M'!H:H,MATCH(B7,'Development-M'!A:A,0)))</f>
        <v/>
      </c>
    </row>
    <row r="24" spans="1:4" x14ac:dyDescent="0.2">
      <c r="A24" s="6" t="s">
        <v>66</v>
      </c>
      <c r="B24" s="6">
        <v>1</v>
      </c>
      <c r="C24" s="6" t="str">
        <f>IF(B2&gt;MAX('Development-W'!A:A),"",INDEX('Development-W'!B:B,MATCH(B2,'Development-W'!A:A,0)))</f>
        <v>LEE-McMEEKEN, Brooklyn</v>
      </c>
      <c r="D24" s="12" t="str">
        <f>IF(B2&gt;MAX('Development-W'!A:A),"",INDEX('Development-W'!H:H,MATCH(B2,'Development-W'!A:A,0)))</f>
        <v>National Team</v>
      </c>
    </row>
    <row r="25" spans="1:4" x14ac:dyDescent="0.2">
      <c r="A25" s="6"/>
      <c r="B25" s="6">
        <v>2</v>
      </c>
      <c r="C25" s="6" t="str">
        <f>IF(B3&gt;MAX('Development-W'!A:A),"",INDEX('Development-W'!B:B,MATCH(B3,'Development-W'!A:A,0)))</f>
        <v>GOOD, Hayden</v>
      </c>
      <c r="D25" s="12" t="str">
        <f>IF(B3&gt;MAX('Development-W'!A:A),"",INDEX('Development-W'!H:H,MATCH(B3,'Development-W'!A:A,0)))</f>
        <v>National Team</v>
      </c>
    </row>
    <row r="26" spans="1:4" x14ac:dyDescent="0.2">
      <c r="A26" s="6"/>
      <c r="B26" s="6">
        <v>3</v>
      </c>
      <c r="C26" s="6" t="str">
        <f>IF(B4&gt;MAX('Development-W'!A:A),"",INDEX('Development-W'!B:B,MATCH(B4,'Development-W'!A:A,0)))</f>
        <v>KWASNIAK, Alicja</v>
      </c>
      <c r="D26" s="12" t="str">
        <f>IF(B4&gt;MAX('Development-W'!A:A),"",INDEX('Development-W'!H:H,MATCH(B4,'Development-W'!A:A,0)))</f>
        <v>National Team</v>
      </c>
    </row>
    <row r="27" spans="1:4" x14ac:dyDescent="0.2">
      <c r="A27" s="6"/>
      <c r="B27" s="6">
        <v>4</v>
      </c>
      <c r="C27" s="6" t="str">
        <f>IF(B5&gt;MAX('Development-W'!A:A),"",INDEX('Development-W'!B:B,MATCH(B5,'Development-W'!A:A,0)))</f>
        <v>PEPPER, Emily</v>
      </c>
      <c r="D27" s="12" t="str">
        <f>IF(B5&gt;MAX('Development-W'!A:A),"",INDEX('Development-W'!H:H,MATCH(B5,'Development-W'!A:A,0)))</f>
        <v>National Team</v>
      </c>
    </row>
    <row r="28" spans="1:4" x14ac:dyDescent="0.2">
      <c r="A28" s="6"/>
      <c r="B28" s="6">
        <v>5</v>
      </c>
      <c r="C28" s="6" t="str">
        <f>IF(B6&gt;MAX('Development-W'!A:A),"",INDEX('Development-W'!B:B,MATCH(B6,'Development-W'!A:A,0)))</f>
        <v>LEPORÉ, Amylia</v>
      </c>
      <c r="D28" s="12" t="str">
        <f>IF(B6&gt;MAX('Development-W'!A:A),"",INDEX('Development-W'!H:H,MATCH(B6,'Development-W'!A:A,0)))</f>
        <v>National Team</v>
      </c>
    </row>
    <row r="29" spans="1:4" hidden="1" x14ac:dyDescent="0.2">
      <c r="A29" s="6"/>
      <c r="B29" s="6">
        <v>6</v>
      </c>
      <c r="C29" s="6" t="str">
        <f>IF(B7&gt;MAX('Development-W'!A:A),"",INDEX('Development-W'!B:B,MATCH(B7,'Development-W'!A:A,0)))</f>
        <v/>
      </c>
      <c r="D29" s="12" t="str">
        <f>IF(B7&gt;MAX('Development-W'!A:A),"",INDEX('Development-W'!H:H,MATCH(B7,'Development-W'!A:A,0)))</f>
        <v/>
      </c>
    </row>
    <row r="30" spans="1:4" hidden="1" x14ac:dyDescent="0.2">
      <c r="A30" s="5" t="s">
        <v>72</v>
      </c>
      <c r="B30" s="5">
        <v>1</v>
      </c>
      <c r="C30" s="5" t="str">
        <f>IF(B2&gt;MAX('Junior-M'!A:A),"",INDEX('Junior-M'!B:B,MATCH(B2,'Junior-M'!A:A,0)))</f>
        <v/>
      </c>
      <c r="D30" s="13" t="str">
        <f>IF(B2&gt;MAX('Junior-M'!A:A),"",INDEX('Junior-M'!H:H,MATCH(B2,'Junior-M'!A:A,0)))</f>
        <v/>
      </c>
    </row>
    <row r="31" spans="1:4" hidden="1" x14ac:dyDescent="0.2">
      <c r="A31" s="5"/>
      <c r="B31" s="5">
        <v>2</v>
      </c>
      <c r="C31" s="5" t="str">
        <f>IF(B3&gt;MAX('Junior-M'!A:A),"",INDEX('Junior-M'!B:B,MATCH(B3,'Junior-M'!A:A,0)))</f>
        <v/>
      </c>
      <c r="D31" s="13" t="str">
        <f>IF(B3&gt;MAX('Junior-M'!A:A),"",INDEX('Junior-M'!H:H,MATCH(B3,'Junior-M'!A:A,0)))</f>
        <v/>
      </c>
    </row>
    <row r="32" spans="1:4" hidden="1" x14ac:dyDescent="0.2">
      <c r="A32" s="5"/>
      <c r="B32" s="5">
        <v>3</v>
      </c>
      <c r="C32" s="5" t="str">
        <f>IF(B4&gt;MAX('Junior-M'!A:A),"",INDEX('Junior-M'!B:B,MATCH(B4,'Junior-M'!A:A,0)))</f>
        <v/>
      </c>
      <c r="D32" s="13" t="str">
        <f>IF(B4&gt;MAX('Junior-M'!A:A),"",INDEX('Junior-M'!H:H,MATCH(B4,'Junior-M'!A:A,0)))</f>
        <v/>
      </c>
    </row>
    <row r="33" spans="1:5" hidden="1" x14ac:dyDescent="0.2">
      <c r="A33" s="5"/>
      <c r="B33" s="5">
        <v>4</v>
      </c>
      <c r="C33" s="5" t="str">
        <f>IF(B5&gt;MAX('Junior-M'!A:A),"",INDEX('Junior-M'!B:B,MATCH(B5,'Junior-M'!A:A,0)))</f>
        <v/>
      </c>
      <c r="D33" s="13" t="str">
        <f>IF(B5&gt;MAX('Junior-M'!A:A),"",INDEX('Junior-M'!H:H,MATCH(B5,'Junior-M'!A:A,0)))</f>
        <v/>
      </c>
    </row>
    <row r="34" spans="1:5" hidden="1" x14ac:dyDescent="0.2">
      <c r="A34" s="6" t="s">
        <v>73</v>
      </c>
      <c r="B34" s="6">
        <v>1</v>
      </c>
      <c r="C34" s="6" t="str">
        <f>IF(B2&gt;MAX('Junior-W'!A:A),"",INDEX('Junior-W'!B:B,MATCH(B2,'Junior-W'!A:A,0)))</f>
        <v/>
      </c>
      <c r="D34" s="12" t="str">
        <f>IF(B2&gt;MAX('Junior-W'!A:A),"",INDEX('Junior-W'!H:H,MATCH(B2,'Junior-W'!A:A,0)))</f>
        <v/>
      </c>
    </row>
    <row r="35" spans="1:5" hidden="1" x14ac:dyDescent="0.2">
      <c r="A35" s="6"/>
      <c r="B35" s="6">
        <v>2</v>
      </c>
      <c r="C35" s="6" t="str">
        <f>IF(B3&gt;MAX('Junior-W'!A:A),"",INDEX('Junior-W'!B:B,MATCH(B3,'Junior-W'!A:A,0)))</f>
        <v/>
      </c>
      <c r="D35" s="12" t="str">
        <f>IF(B3&gt;MAX('Junior-W'!A:A),"",INDEX('Junior-W'!H:H,MATCH(B3,'Junior-W'!A:A,0)))</f>
        <v/>
      </c>
    </row>
    <row r="36" spans="1:5" hidden="1" x14ac:dyDescent="0.2">
      <c r="A36" s="6"/>
      <c r="B36" s="6">
        <v>3</v>
      </c>
      <c r="C36" s="6" t="str">
        <f>IF(B4&gt;MAX('Junior-W'!A:A),"",INDEX('Junior-W'!B:B,MATCH(B4,'Junior-W'!A:A,0)))</f>
        <v/>
      </c>
      <c r="D36" s="12" t="str">
        <f>IF(B4&gt;MAX('Junior-W'!A:A),"",INDEX('Junior-W'!H:H,MATCH(B4,'Junior-W'!A:A,0)))</f>
        <v/>
      </c>
    </row>
    <row r="37" spans="1:5" hidden="1" x14ac:dyDescent="0.2">
      <c r="A37" s="6"/>
      <c r="B37" s="6">
        <v>4</v>
      </c>
      <c r="C37" s="6" t="str">
        <f>IF(B5&gt;MAX('Junior-W'!A:A),"",INDEX('Junior-W'!B:B,MATCH(B5,'Junior-W'!A:A,0)))</f>
        <v/>
      </c>
      <c r="D37" s="12" t="str">
        <f>IF(B5&gt;MAX('Junior-W'!A:A),"",INDEX('Junior-W'!H:H,MATCH(B5,'Junior-W'!A:A,0)))</f>
        <v/>
      </c>
    </row>
    <row r="38" spans="1:5" x14ac:dyDescent="0.2">
      <c r="D38" s="26"/>
    </row>
    <row r="39" spans="1:5" x14ac:dyDescent="0.2">
      <c r="B39" t="s">
        <v>20</v>
      </c>
    </row>
    <row r="40" spans="1:5" x14ac:dyDescent="0.2">
      <c r="B40" t="s">
        <v>18</v>
      </c>
    </row>
    <row r="41" spans="1:5" x14ac:dyDescent="0.2">
      <c r="B41" t="s">
        <v>19</v>
      </c>
    </row>
    <row r="42" spans="1:5" x14ac:dyDescent="0.2">
      <c r="B42" s="11" t="s">
        <v>34</v>
      </c>
      <c r="D42" t="s">
        <v>32</v>
      </c>
    </row>
    <row r="43" spans="1:5" x14ac:dyDescent="0.2">
      <c r="B43" s="11" t="s">
        <v>35</v>
      </c>
      <c r="D43" t="s">
        <v>32</v>
      </c>
      <c r="E43" t="s">
        <v>32</v>
      </c>
    </row>
    <row r="44" spans="1:5" x14ac:dyDescent="0.2">
      <c r="B44" t="s">
        <v>33</v>
      </c>
    </row>
    <row r="45" spans="1:5" x14ac:dyDescent="0.2">
      <c r="B45" t="s">
        <v>36</v>
      </c>
    </row>
    <row r="46" spans="1:5" x14ac:dyDescent="0.2">
      <c r="A46" t="s">
        <v>23</v>
      </c>
      <c r="B46" s="45">
        <v>46094</v>
      </c>
      <c r="C46" s="45"/>
    </row>
    <row r="47" spans="1:5" x14ac:dyDescent="0.2">
      <c r="B47" t="s">
        <v>52</v>
      </c>
    </row>
  </sheetData>
  <sheetProtection formatCells="0" formatColumns="0" formatRows="0"/>
  <mergeCells count="1">
    <mergeCell ref="B46:C46"/>
  </mergeCells>
  <conditionalFormatting sqref="D2:D37">
    <cfRule type="containsText" dxfId="267" priority="1" operator="containsText" text="No DD">
      <formula>NOT(ISERROR(SEARCH("No DD",D2)))</formula>
    </cfRule>
    <cfRule type="containsText" dxfId="266" priority="5" operator="containsText" text="Performance">
      <formula>NOT(ISERROR(SEARCH("Performance",D2)))</formula>
    </cfRule>
    <cfRule type="containsText" dxfId="265" priority="6" operator="containsText" text="Worlds Team">
      <formula>NOT(ISERROR(SEARCH("Worlds Team",D2)))</formula>
    </cfRule>
    <cfRule type="containsText" dxfId="26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" xr:uid="{D08F591B-E1ED-7A40-99FD-CEC4A428C792}">
      <formula1>"Select,Senior-M, Senior-W,Development-M,Development-W,Junior-M,Junior-W"</formula1>
    </dataValidation>
    <dataValidation type="list" allowBlank="1" showInputMessage="1" showErrorMessage="1" sqref="E43" xr:uid="{34EE6C87-AAA8-A345-8399-C87931D9699B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43</xdr:row>
                    <xdr:rowOff>12700</xdr:rowOff>
                  </from>
                  <to>
                    <xdr:col>4</xdr:col>
                    <xdr:colOff>495300</xdr:colOff>
                    <xdr:row>43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B3599-E056-F84C-847B-86A479E28074}">
  <sheetPr codeName="Sheet19"/>
  <dimension ref="A1:FX4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58" t="s">
        <v>1</v>
      </c>
      <c r="B1" s="58" t="s">
        <v>14</v>
      </c>
      <c r="C1" s="58" t="s">
        <v>0</v>
      </c>
      <c r="D1" s="58" t="s">
        <v>31</v>
      </c>
      <c r="E1" s="58" t="s">
        <v>2</v>
      </c>
      <c r="F1" s="59" t="s">
        <v>95</v>
      </c>
      <c r="G1" s="59" t="s">
        <v>8</v>
      </c>
      <c r="H1" s="58" t="s">
        <v>9</v>
      </c>
      <c r="I1" s="59" t="s">
        <v>39</v>
      </c>
      <c r="J1" s="56" t="s">
        <v>96</v>
      </c>
      <c r="K1" s="55" t="s">
        <v>16</v>
      </c>
      <c r="L1" s="56" t="s">
        <v>110</v>
      </c>
      <c r="M1" s="55" t="s">
        <v>16</v>
      </c>
      <c r="N1" s="56" t="s">
        <v>111</v>
      </c>
      <c r="O1" s="55" t="s">
        <v>16</v>
      </c>
      <c r="P1" s="57" t="s">
        <v>10</v>
      </c>
      <c r="Q1" s="55" t="s">
        <v>17</v>
      </c>
      <c r="R1" s="55" t="s">
        <v>16</v>
      </c>
      <c r="S1" s="52" t="s">
        <v>48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49" t="s">
        <v>49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3" t="s">
        <v>97</v>
      </c>
      <c r="CB1" s="53"/>
      <c r="CC1" s="52" t="s">
        <v>50</v>
      </c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49" t="s">
        <v>51</v>
      </c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  <c r="EU1" s="49" t="s">
        <v>98</v>
      </c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49"/>
      <c r="FH1" s="49"/>
      <c r="FI1" s="49"/>
      <c r="FJ1" s="49"/>
      <c r="FK1" s="49"/>
      <c r="FL1" s="49"/>
      <c r="FM1" s="49"/>
      <c r="FN1" s="49"/>
      <c r="FO1" s="49"/>
      <c r="FP1" s="49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58"/>
      <c r="B2" s="58"/>
      <c r="C2" s="58"/>
      <c r="D2" s="58"/>
      <c r="E2" s="58"/>
      <c r="F2" s="59"/>
      <c r="G2" s="59"/>
      <c r="H2" s="58"/>
      <c r="I2" s="59"/>
      <c r="J2" s="56"/>
      <c r="K2" s="55"/>
      <c r="L2" s="56"/>
      <c r="M2" s="55"/>
      <c r="N2" s="55"/>
      <c r="O2" s="55"/>
      <c r="P2" s="57"/>
      <c r="Q2" s="55"/>
      <c r="R2" s="55"/>
      <c r="S2" s="50" t="s">
        <v>99</v>
      </c>
      <c r="T2" s="50"/>
      <c r="U2" s="50"/>
      <c r="V2" s="50"/>
      <c r="W2" s="50" t="s">
        <v>100</v>
      </c>
      <c r="X2" s="50"/>
      <c r="Y2" s="50"/>
      <c r="Z2" s="50"/>
      <c r="AA2" s="50" t="s">
        <v>101</v>
      </c>
      <c r="AB2" s="50"/>
      <c r="AC2" s="50"/>
      <c r="AD2" s="50"/>
      <c r="AE2" s="51" t="s">
        <v>102</v>
      </c>
      <c r="AF2" s="51"/>
      <c r="AG2" s="51"/>
      <c r="AH2" s="51"/>
      <c r="AI2" s="13"/>
      <c r="AJ2" s="13" t="s">
        <v>116</v>
      </c>
      <c r="AK2" s="13" t="s">
        <v>112</v>
      </c>
      <c r="AL2" s="13" t="s">
        <v>117</v>
      </c>
      <c r="AM2" s="13" t="s">
        <v>113</v>
      </c>
      <c r="AN2" s="13" t="s">
        <v>103</v>
      </c>
      <c r="AO2" s="13" t="s">
        <v>13</v>
      </c>
      <c r="AP2" s="13" t="s">
        <v>118</v>
      </c>
      <c r="AQ2" s="13" t="s">
        <v>114</v>
      </c>
      <c r="AR2" s="13" t="s">
        <v>119</v>
      </c>
      <c r="AS2" s="13" t="s">
        <v>115</v>
      </c>
      <c r="AT2" s="13" t="s">
        <v>104</v>
      </c>
      <c r="AU2" s="13" t="s">
        <v>105</v>
      </c>
      <c r="AV2" s="13" t="s">
        <v>12</v>
      </c>
      <c r="AW2" s="46" t="s">
        <v>99</v>
      </c>
      <c r="AX2" s="46"/>
      <c r="AY2" s="46"/>
      <c r="AZ2" s="46"/>
      <c r="BA2" s="46" t="s">
        <v>100</v>
      </c>
      <c r="BB2" s="46"/>
      <c r="BC2" s="46"/>
      <c r="BD2" s="46"/>
      <c r="BE2" s="46" t="s">
        <v>101</v>
      </c>
      <c r="BF2" s="46"/>
      <c r="BG2" s="46"/>
      <c r="BH2" s="46"/>
      <c r="BI2" s="48" t="s">
        <v>102</v>
      </c>
      <c r="BJ2" s="48"/>
      <c r="BK2" s="48"/>
      <c r="BL2" s="48"/>
      <c r="BM2" s="12"/>
      <c r="BN2" s="12" t="s">
        <v>116</v>
      </c>
      <c r="BO2" s="12" t="s">
        <v>112</v>
      </c>
      <c r="BP2" s="12" t="s">
        <v>117</v>
      </c>
      <c r="BQ2" s="12" t="s">
        <v>113</v>
      </c>
      <c r="BR2" s="12" t="s">
        <v>103</v>
      </c>
      <c r="BS2" s="12" t="s">
        <v>13</v>
      </c>
      <c r="BT2" s="12" t="s">
        <v>118</v>
      </c>
      <c r="BU2" s="12" t="s">
        <v>114</v>
      </c>
      <c r="BV2" s="12" t="s">
        <v>119</v>
      </c>
      <c r="BW2" s="12" t="s">
        <v>115</v>
      </c>
      <c r="BX2" s="12" t="s">
        <v>104</v>
      </c>
      <c r="BY2" s="12" t="s">
        <v>105</v>
      </c>
      <c r="BZ2" s="12" t="s">
        <v>12</v>
      </c>
      <c r="CA2" s="33" t="s">
        <v>106</v>
      </c>
      <c r="CB2" s="33" t="s">
        <v>120</v>
      </c>
      <c r="CC2" s="50" t="s">
        <v>99</v>
      </c>
      <c r="CD2" s="50"/>
      <c r="CE2" s="50"/>
      <c r="CF2" s="50"/>
      <c r="CG2" s="50" t="s">
        <v>100</v>
      </c>
      <c r="CH2" s="50"/>
      <c r="CI2" s="50"/>
      <c r="CJ2" s="50"/>
      <c r="CK2" s="50" t="s">
        <v>107</v>
      </c>
      <c r="CL2" s="50"/>
      <c r="CM2" s="50"/>
      <c r="CN2" s="50"/>
      <c r="CO2" s="50" t="s">
        <v>101</v>
      </c>
      <c r="CP2" s="50"/>
      <c r="CQ2" s="50"/>
      <c r="CR2" s="50"/>
      <c r="CS2" s="54" t="s">
        <v>102</v>
      </c>
      <c r="CT2" s="54"/>
      <c r="CU2" s="54"/>
      <c r="CV2" s="54"/>
      <c r="CW2" s="13" t="s">
        <v>116</v>
      </c>
      <c r="CX2" s="13" t="s">
        <v>112</v>
      </c>
      <c r="CY2" s="13" t="s">
        <v>117</v>
      </c>
      <c r="CZ2" s="13" t="s">
        <v>113</v>
      </c>
      <c r="DA2" s="13" t="s">
        <v>108</v>
      </c>
      <c r="DB2" s="13" t="s">
        <v>106</v>
      </c>
      <c r="DC2" s="13" t="s">
        <v>121</v>
      </c>
      <c r="DD2" s="13" t="s">
        <v>107</v>
      </c>
      <c r="DE2" s="13" t="s">
        <v>122</v>
      </c>
      <c r="DF2" s="13" t="s">
        <v>101</v>
      </c>
      <c r="DG2" s="13" t="s">
        <v>123</v>
      </c>
      <c r="DH2" s="13" t="s">
        <v>102</v>
      </c>
      <c r="DI2" s="13" t="s">
        <v>104</v>
      </c>
      <c r="DJ2" s="13" t="s">
        <v>105</v>
      </c>
      <c r="DK2" s="13" t="s">
        <v>12</v>
      </c>
      <c r="DL2" s="46" t="s">
        <v>99</v>
      </c>
      <c r="DM2" s="46"/>
      <c r="DN2" s="46"/>
      <c r="DO2" s="46"/>
      <c r="DP2" s="46" t="s">
        <v>100</v>
      </c>
      <c r="DQ2" s="46"/>
      <c r="DR2" s="46"/>
      <c r="DS2" s="46"/>
      <c r="DT2" s="46" t="s">
        <v>107</v>
      </c>
      <c r="DU2" s="46"/>
      <c r="DV2" s="46"/>
      <c r="DW2" s="46"/>
      <c r="DX2" s="46" t="s">
        <v>101</v>
      </c>
      <c r="DY2" s="46"/>
      <c r="DZ2" s="46"/>
      <c r="EA2" s="46"/>
      <c r="EB2" s="48" t="s">
        <v>102</v>
      </c>
      <c r="EC2" s="48"/>
      <c r="ED2" s="48"/>
      <c r="EE2" s="48"/>
      <c r="EF2" s="12" t="s">
        <v>116</v>
      </c>
      <c r="EG2" s="12" t="s">
        <v>112</v>
      </c>
      <c r="EH2" s="12" t="s">
        <v>117</v>
      </c>
      <c r="EI2" s="12" t="s">
        <v>113</v>
      </c>
      <c r="EJ2" s="12" t="s">
        <v>108</v>
      </c>
      <c r="EK2" s="12" t="s">
        <v>106</v>
      </c>
      <c r="EL2" s="12" t="s">
        <v>121</v>
      </c>
      <c r="EM2" s="12" t="s">
        <v>107</v>
      </c>
      <c r="EN2" s="12" t="s">
        <v>122</v>
      </c>
      <c r="EO2" s="12" t="s">
        <v>101</v>
      </c>
      <c r="EP2" s="12" t="s">
        <v>123</v>
      </c>
      <c r="EQ2" s="12" t="s">
        <v>102</v>
      </c>
      <c r="ER2" s="12" t="s">
        <v>104</v>
      </c>
      <c r="ES2" s="12" t="s">
        <v>105</v>
      </c>
      <c r="ET2" s="12" t="s">
        <v>12</v>
      </c>
      <c r="EU2" s="46" t="s">
        <v>99</v>
      </c>
      <c r="EV2" s="46"/>
      <c r="EW2" s="46"/>
      <c r="EX2" s="46"/>
      <c r="EY2" s="46" t="s">
        <v>100</v>
      </c>
      <c r="EZ2" s="46"/>
      <c r="FA2" s="46"/>
      <c r="FB2" s="46"/>
      <c r="FC2" s="46" t="s">
        <v>101</v>
      </c>
      <c r="FD2" s="46"/>
      <c r="FE2" s="46"/>
      <c r="FF2" s="46"/>
      <c r="FG2" s="47" t="s">
        <v>102</v>
      </c>
      <c r="FH2" s="47"/>
      <c r="FI2" s="47"/>
      <c r="FJ2" s="47"/>
      <c r="FK2" s="12"/>
      <c r="FL2" s="12" t="s">
        <v>116</v>
      </c>
      <c r="FM2" s="12" t="s">
        <v>112</v>
      </c>
      <c r="FN2" s="12" t="s">
        <v>117</v>
      </c>
      <c r="FO2" s="12" t="s">
        <v>113</v>
      </c>
      <c r="FP2" s="12" t="s">
        <v>103</v>
      </c>
      <c r="FQ2" s="12" t="s">
        <v>13</v>
      </c>
      <c r="FR2" s="12" t="s">
        <v>118</v>
      </c>
      <c r="FS2" s="12" t="s">
        <v>114</v>
      </c>
      <c r="FT2" s="12" t="s">
        <v>119</v>
      </c>
      <c r="FU2" s="12" t="s">
        <v>115</v>
      </c>
      <c r="FV2" s="12" t="s">
        <v>104</v>
      </c>
      <c r="FW2" s="12" t="s">
        <v>105</v>
      </c>
      <c r="FX2" s="12" t="s">
        <v>12</v>
      </c>
    </row>
    <row r="3" spans="1:180" x14ac:dyDescent="0.2">
      <c r="A3" s="58"/>
      <c r="B3" s="58"/>
      <c r="C3" s="58"/>
      <c r="D3" s="58"/>
      <c r="E3" s="58"/>
      <c r="F3" s="59"/>
      <c r="G3" s="59"/>
      <c r="H3" s="58"/>
      <c r="I3" s="59"/>
      <c r="J3" s="56"/>
      <c r="K3" s="55"/>
      <c r="L3" s="56"/>
      <c r="M3" s="55"/>
      <c r="N3" s="55"/>
      <c r="O3" s="55"/>
      <c r="P3" s="57"/>
      <c r="Q3" s="55"/>
      <c r="R3" s="55"/>
      <c r="S3" s="13" t="s">
        <v>11</v>
      </c>
      <c r="T3" s="13" t="s">
        <v>7</v>
      </c>
      <c r="U3" s="13" t="s">
        <v>15</v>
      </c>
      <c r="V3" s="13" t="s">
        <v>109</v>
      </c>
      <c r="W3" s="13" t="s">
        <v>11</v>
      </c>
      <c r="X3" s="13" t="s">
        <v>7</v>
      </c>
      <c r="Y3" s="13" t="s">
        <v>15</v>
      </c>
      <c r="Z3" s="13" t="s">
        <v>109</v>
      </c>
      <c r="AA3" s="13" t="s">
        <v>11</v>
      </c>
      <c r="AB3" s="13" t="s">
        <v>7</v>
      </c>
      <c r="AC3" s="13" t="s">
        <v>15</v>
      </c>
      <c r="AD3" s="13" t="s">
        <v>109</v>
      </c>
      <c r="AE3" s="35" t="s">
        <v>11</v>
      </c>
      <c r="AF3" s="35" t="s">
        <v>7</v>
      </c>
      <c r="AG3" s="35" t="s">
        <v>15</v>
      </c>
      <c r="AH3" s="35" t="s">
        <v>109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109</v>
      </c>
      <c r="BA3" s="12" t="s">
        <v>11</v>
      </c>
      <c r="BB3" s="12" t="s">
        <v>7</v>
      </c>
      <c r="BC3" s="12" t="s">
        <v>15</v>
      </c>
      <c r="BD3" s="12" t="s">
        <v>109</v>
      </c>
      <c r="BE3" s="12" t="s">
        <v>11</v>
      </c>
      <c r="BF3" s="12" t="s">
        <v>7</v>
      </c>
      <c r="BG3" s="12" t="s">
        <v>15</v>
      </c>
      <c r="BH3" s="12" t="s">
        <v>109</v>
      </c>
      <c r="BI3" s="36" t="s">
        <v>11</v>
      </c>
      <c r="BJ3" s="36" t="s">
        <v>7</v>
      </c>
      <c r="BK3" s="36" t="s">
        <v>15</v>
      </c>
      <c r="BL3" s="36" t="s">
        <v>109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109</v>
      </c>
      <c r="CG3" s="13" t="s">
        <v>11</v>
      </c>
      <c r="CH3" s="13" t="s">
        <v>7</v>
      </c>
      <c r="CI3" s="13" t="s">
        <v>15</v>
      </c>
      <c r="CJ3" s="13" t="s">
        <v>109</v>
      </c>
      <c r="CK3" s="13" t="s">
        <v>11</v>
      </c>
      <c r="CL3" s="13" t="s">
        <v>7</v>
      </c>
      <c r="CM3" s="13" t="s">
        <v>15</v>
      </c>
      <c r="CN3" s="13" t="s">
        <v>109</v>
      </c>
      <c r="CO3" s="13" t="s">
        <v>11</v>
      </c>
      <c r="CP3" s="13" t="s">
        <v>7</v>
      </c>
      <c r="CQ3" s="13" t="s">
        <v>15</v>
      </c>
      <c r="CR3" s="13" t="s">
        <v>109</v>
      </c>
      <c r="CS3" s="37" t="s">
        <v>11</v>
      </c>
      <c r="CT3" s="37" t="s">
        <v>7</v>
      </c>
      <c r="CU3" s="37" t="s">
        <v>15</v>
      </c>
      <c r="CV3" s="37" t="s">
        <v>109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109</v>
      </c>
      <c r="DP3" s="12" t="s">
        <v>11</v>
      </c>
      <c r="DQ3" s="12" t="s">
        <v>7</v>
      </c>
      <c r="DR3" s="12" t="s">
        <v>15</v>
      </c>
      <c r="DS3" s="12" t="s">
        <v>109</v>
      </c>
      <c r="DT3" s="12" t="s">
        <v>11</v>
      </c>
      <c r="DU3" s="12" t="s">
        <v>7</v>
      </c>
      <c r="DV3" s="12" t="s">
        <v>15</v>
      </c>
      <c r="DW3" s="12" t="s">
        <v>109</v>
      </c>
      <c r="DX3" s="12" t="s">
        <v>11</v>
      </c>
      <c r="DY3" s="12" t="s">
        <v>7</v>
      </c>
      <c r="DZ3" s="12" t="s">
        <v>15</v>
      </c>
      <c r="EA3" s="12" t="s">
        <v>109</v>
      </c>
      <c r="EB3" s="36" t="s">
        <v>11</v>
      </c>
      <c r="EC3" s="36" t="s">
        <v>7</v>
      </c>
      <c r="ED3" s="36" t="s">
        <v>15</v>
      </c>
      <c r="EE3" s="36" t="s">
        <v>109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109</v>
      </c>
      <c r="EY3" s="12" t="s">
        <v>11</v>
      </c>
      <c r="EZ3" s="12" t="s">
        <v>7</v>
      </c>
      <c r="FA3" s="12" t="s">
        <v>15</v>
      </c>
      <c r="FB3" s="12" t="s">
        <v>109</v>
      </c>
      <c r="FC3" s="12" t="s">
        <v>11</v>
      </c>
      <c r="FD3" s="12" t="s">
        <v>7</v>
      </c>
      <c r="FE3" s="12" t="s">
        <v>15</v>
      </c>
      <c r="FF3" s="12" t="s">
        <v>109</v>
      </c>
      <c r="FG3" s="38" t="s">
        <v>11</v>
      </c>
      <c r="FH3" s="38" t="s">
        <v>7</v>
      </c>
      <c r="FI3" s="38" t="s">
        <v>15</v>
      </c>
      <c r="FJ3" s="38" t="s">
        <v>109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4" t="s">
        <v>40</v>
      </c>
      <c r="C4" s="3" t="s">
        <v>5</v>
      </c>
      <c r="D4" s="3">
        <v>2003</v>
      </c>
      <c r="E4" s="8">
        <f t="shared" ref="E4:E31" si="0">SUM(J4:P4)+SUM(J4:M4)*0.0000001+SUM(J4)*0.0000000000001</f>
        <v>116.90000872000574</v>
      </c>
      <c r="F4" s="2" t="str">
        <f t="shared" ref="F4:F31" si="1">IF(OR(AND(AO4&lt;&gt;"",AO4&gt;=AV$37,AN4&gt;=AV$34),AND(AU4&lt;&gt;"",AU4&gt;=AV$37,AT4&gt;=AV$34),AND(BS4&lt;&gt;"",BS4&gt;=BZ$37,BR4&gt;=BZ$34),AND(BY4&lt;&gt;"",BY4&gt;=BZ$37,BX4&gt;=BZ$34),AND(DB4&lt;&gt;"",DB4&gt;=DK$37,DA4&gt;=DK$34),AND(DJ4&lt;&gt;"",DJ4&gt;=DK$37,DI4&gt;=DK$34),AND(EK4&lt;&gt;"",EK4&gt;=ET$37,EJ4&gt;=ET$34),AND(ES4&lt;&gt;"",ES4&gt;=ET$37,ER4&gt;=ET$34)),"P","")</f>
        <v>P</v>
      </c>
      <c r="G4" s="2" t="str">
        <f t="shared" ref="G4:G31" si="2">IF(OR(AND(AO4&lt;&gt;"",AO4&gt;=AV$37),AND(AU4&lt;&gt;"",AU4&gt;=AV$37),AND(BS4&lt;&gt;"",BS4&gt;=BZ$37),AND(BY4&lt;&gt;"",BY4&gt;=BZ$37),AND(DB4&lt;&gt;"",DB4&gt;=DK$37),AND(DJ4&lt;&gt;"",DJ4&gt;=DK$37),AND(EK4&lt;&gt;"",EK4&gt;=ET$37),AND(ES4&lt;&gt;"",ES4&gt;=ET$37)),"P","")</f>
        <v>P</v>
      </c>
      <c r="H4" s="26" t="str">
        <f t="shared" ref="H4:H31" si="3">IF(AND(G4="P",F4=""),"No DD",IF(OR(AND(AK4&lt;&gt;"",AK4&gt;=AV$39,AJ4&gt;=AV$36),AND(AM4&lt;&gt;"",AM4&gt;=AV$39,AL4&gt;=AV$36),AND(AQ4&lt;&gt;"",AQ4&gt;=AV$39,AP4&gt;=AV$36),AND(AS4&lt;&gt;"",AS4&gt;=AV$39,AR4&gt;=AV$36),AND(BO4&lt;&gt;"",BO4&gt;=BZ$39,BN4&gt;=BZ$36),AND(BQ4&lt;&gt;"",BQ4&gt;=BZ$39,BP4&gt;=BZ$36),AND(BV4&lt;&gt;"",BV4&gt;=BZ$39,BU4&gt;=BZ$36),AND(BX4&lt;&gt;"",BX4&gt;=BZ$39,BW4&gt;=BZ$36),AND(CX4&lt;&gt;"",CX4&gt;=DK$39,CW4&gt;=DK$36),AND(CZ4&lt;&gt;"",CZ4&gt;=DK$39,CY4&gt;=DK$36),AND(DD4&lt;&gt;"",DD4&gt;=DK$39,DC4&gt;=DK$36),AND(DF4&lt;&gt;"",DF4&gt;=DK$39,DE4&gt;=DK$36),AND(DH4&lt;&gt;"",DH4&gt;=DK$39,DG4&gt;=DK$36),AND(EG4&lt;&gt;"",EG4&gt;=ET$39,EF4&gt;=ET$36),AND(EI4&lt;&gt;"",EI4&gt;=ET$39,EH4&gt;=ET$36),AND(EM4&lt;&gt;"",EM4&gt;=ET$39,EL4&gt;=ET$36),AND(EO4&lt;&gt;"",EO4&gt;=ET$39,EN4&gt;=ET$36),AND(EQ4&lt;&gt;"",EQ4&gt;=ET$39,EP4&gt;=ET$36)),"Performance",IF(I4="P","Worlds Team",IF(F4="P","National Team",""))))</f>
        <v>Worlds Team</v>
      </c>
      <c r="I4" s="2" t="str">
        <f t="shared" ref="I4:I31" si="4">IF(OR(AND(AO4&lt;&gt;"",AO4&gt;=AV$38,AN4&gt;=AV$35),AND(AU4&lt;&gt;"",AU4&gt;=AV$38,AT4&gt;=AV$35),AND(BS4&lt;&gt;"",BS4&gt;=BZ$38,BR4&gt;=BZ$35),AND(BY4&lt;&gt;"",BY4&gt;=BZ$38,BX4&gt;=BZ$35),AND(DB4&lt;&gt;"",DB4&gt;=DK$38,DA4&gt;=DK$35),AND(DJ4&lt;&gt;"",DJ4&gt;=DK$38,DI4&gt;=DK$35),AND(EK4&lt;&gt;"",EK4&gt;=ET$38,EJ4&gt;=ET$35),AND(ES4&lt;&gt;"",ES4&gt;=ET$38,ER4&gt;=ET$35)),"P","")</f>
        <v>P</v>
      </c>
      <c r="J4" s="7">
        <f t="shared" ref="J4:J31" si="5">IF(COUNT(AO4,BS4)&gt;0,MAX(AO4,BS4),0)</f>
        <v>57.400000000000006</v>
      </c>
      <c r="K4" s="7" t="str">
        <f t="shared" ref="K4:K31" si="6">IF(J4=0,"",IF(J4=BS4,$AW$1,IF(J4=AO4,$S$1,"")))</f>
        <v>2025 Nationals</v>
      </c>
      <c r="L4" s="7">
        <f>IF(J4=AO4,IF(COUNT(AQ4,AS4,BO4,BQ4,BU4,BW4)&gt;1,LARGE((AQ4,AS4,BO4,BQ4,BU4,BW4),1),0),IF(COUNT(AK4,AM4,AQ4,AS4,BU4,BW4)&gt;1,LARGE((AK4,AM4,AQ4,AS4,BU4,BW4),1),0))</f>
        <v>29.8</v>
      </c>
      <c r="M4" s="7" t="str">
        <f t="shared" ref="M4:M31" si="7">IF(L4=0,"",IF(OR(L4=BO4,L4=BQ4,L4=BU4,L4=BW4),$AW$1,IF(OR(L4=AK4,L4=AM4,L4=AQ4,L4=AS4),$S$1,"")))</f>
        <v>2025 3rd Domestic Trial</v>
      </c>
      <c r="N4" s="7">
        <f>IF(J4=AO4,IF(COUNT(AQ4,AS4,BO4,BQ4,BU4,BW4)&gt;1,LARGE((AQ4,AS4,BO4,BQ4,BU4,BW4),2),0),IF(COUNT(AK4,AM4,AQ4,AS4,BU4,BW4)&gt;1,LARGE((AK4,AM4,AQ4,AS4,BU4,BW4),2),0))</f>
        <v>29.700000000000003</v>
      </c>
      <c r="O4" s="7" t="str">
        <f t="shared" ref="O4:O31" si="8">IF(N4=0,"",IF(OR(N4=BO4,N4=BQ4,N4=BU4,N4=BW4),$AW$1,IF(OR(N4=AK4,N4=AM4,N4=AQ4,N4=AS4),$S$1,"")))</f>
        <v>2025 3rd Domestic Trial</v>
      </c>
      <c r="P4" s="7" t="str">
        <f t="shared" ref="P4:P31" si="9">IF(MAX(CA4:CB4)&gt;0,MAX(CA4:CB4),"")</f>
        <v/>
      </c>
      <c r="Q4" s="10" t="str">
        <f t="shared" ref="Q4:Q31" si="10">IF(P4="","",IF(P4=CA4,"("&amp;CA$2&amp;")",IF(P4=CB4,"("&amp;CB$2&amp;")")))</f>
        <v/>
      </c>
      <c r="R4" s="7" t="str">
        <f t="shared" ref="R4:R31" si="11">IF(P4="","",IF(P4=CA4,IF(P4+MAX(J4,0)=EK4,$DL$1,IF(P4+MAX(J4,0)=DB4,$CC$1)),IF(P4=CB4,IF(P4+MAX(N4,0)=MAX(EG4,EI4,EM4,EO4,EQ4),$DL$1,IF(P4+MAX(N4,0)=MAX(CX4,CZ4,DD4,DF4,DH4),$CC$1)))))</f>
        <v/>
      </c>
      <c r="S4" s="39">
        <v>19.100000000000001</v>
      </c>
      <c r="T4" s="39">
        <v>8.8000000000000007</v>
      </c>
      <c r="U4" s="39">
        <v>0</v>
      </c>
      <c r="V4" s="39">
        <v>0.3</v>
      </c>
      <c r="W4" s="39">
        <v>18.399999999999999</v>
      </c>
      <c r="X4" s="39">
        <v>10.8</v>
      </c>
      <c r="Y4" s="39">
        <v>0.6</v>
      </c>
      <c r="Z4" s="39">
        <v>0.6</v>
      </c>
      <c r="AA4" s="39">
        <v>19</v>
      </c>
      <c r="AB4" s="39">
        <v>8.8000000000000007</v>
      </c>
      <c r="AC4" s="39">
        <v>0.2</v>
      </c>
      <c r="AD4" s="39">
        <v>0.3</v>
      </c>
      <c r="AE4" s="39">
        <v>18.7</v>
      </c>
      <c r="AF4" s="39">
        <v>10.8</v>
      </c>
      <c r="AG4" s="39">
        <v>0.6</v>
      </c>
      <c r="AH4" s="39">
        <v>0.6</v>
      </c>
      <c r="AI4" s="19"/>
      <c r="AJ4" s="42">
        <f t="shared" ref="AJ4:AJ31" si="12">IF(T4="","",T4)</f>
        <v>8.8000000000000007</v>
      </c>
      <c r="AK4" s="42">
        <f t="shared" ref="AK4:AK31" si="13">IF(S4="","",S4+T4+V4-U4)</f>
        <v>28.200000000000003</v>
      </c>
      <c r="AL4" s="42">
        <f t="shared" ref="AL4:AL31" si="14">IF(X4="","",X4)</f>
        <v>10.8</v>
      </c>
      <c r="AM4" s="42">
        <f t="shared" ref="AM4:AM31" si="15">IF(W4="","",W4+X4+Z4-Y4)</f>
        <v>29.2</v>
      </c>
      <c r="AN4" s="27">
        <f t="shared" ref="AN4:AN31" si="16">IF(SUM(T4,X4)&gt;0,SUM(T4,X4),"")</f>
        <v>19.600000000000001</v>
      </c>
      <c r="AO4" s="27">
        <f t="shared" ref="AO4:AO31" si="17">IF(SUM(AK4,AM4)&gt;0,SUM(AK4,AM4),"")</f>
        <v>57.400000000000006</v>
      </c>
      <c r="AP4" s="27">
        <f t="shared" ref="AP4:AP31" si="18">IF(AB4="","",AB4)</f>
        <v>8.8000000000000007</v>
      </c>
      <c r="AQ4" s="27">
        <f t="shared" ref="AQ4:AQ31" si="19">IF(AA4="","",AA4+AB4+AD4-AC4)</f>
        <v>27.900000000000002</v>
      </c>
      <c r="AR4" s="27">
        <f t="shared" ref="AR4:AR31" si="20">IF(AF4="","",AF4)</f>
        <v>10.8</v>
      </c>
      <c r="AS4" s="27">
        <f t="shared" ref="AS4:AS31" si="21">IF(AE4="","",AE4+AF4+AH4-AG4)</f>
        <v>29.5</v>
      </c>
      <c r="AT4" s="27">
        <f t="shared" ref="AT4:AT31" si="22">IF(SUM(AB4,AF4)&gt;0,SUM(AB4,AF4),"")</f>
        <v>19.600000000000001</v>
      </c>
      <c r="AU4" s="27">
        <f t="shared" ref="AU4:AU31" si="23">IF(SUM(AQ4,AS4)&gt;0,SUM(AQ4,AS4),"")</f>
        <v>57.400000000000006</v>
      </c>
      <c r="AV4" s="27">
        <f t="shared" ref="AV4:AV31" si="24">IF(SUM(AO4,AU4)&gt;0,SUM(AO4,AU4),"")</f>
        <v>114.80000000000001</v>
      </c>
      <c r="AW4" s="15">
        <v>18.8</v>
      </c>
      <c r="AX4" s="15">
        <v>9.1999999999999993</v>
      </c>
      <c r="AY4" s="15">
        <v>1</v>
      </c>
      <c r="AZ4" s="15">
        <v>0.3</v>
      </c>
      <c r="BA4" s="15">
        <v>19</v>
      </c>
      <c r="BB4" s="15">
        <v>10.8</v>
      </c>
      <c r="BC4" s="15">
        <v>0.6</v>
      </c>
      <c r="BD4" s="15">
        <v>0.6</v>
      </c>
      <c r="BE4" s="15">
        <v>19.3</v>
      </c>
      <c r="BF4" s="15">
        <v>10</v>
      </c>
      <c r="BG4" s="15">
        <v>0.2</v>
      </c>
      <c r="BH4" s="15">
        <v>0.6</v>
      </c>
      <c r="BI4" s="15">
        <v>19</v>
      </c>
      <c r="BJ4" s="15">
        <v>9.6</v>
      </c>
      <c r="BK4" s="15">
        <v>0</v>
      </c>
      <c r="BL4" s="15">
        <v>0.3</v>
      </c>
      <c r="BM4" s="20"/>
      <c r="BN4" s="43">
        <f t="shared" ref="BN4:BN31" si="25">IF(AX4="","",AX4)</f>
        <v>9.1999999999999993</v>
      </c>
      <c r="BO4" s="43">
        <f t="shared" ref="BO4:BO31" si="26">IF(AW4="","",AW4+AX4+AZ4-AY4)</f>
        <v>27.3</v>
      </c>
      <c r="BP4" s="43">
        <f t="shared" ref="BP4:BP31" si="27">IF(BB4="","",BB4)</f>
        <v>10.8</v>
      </c>
      <c r="BQ4" s="43">
        <f t="shared" ref="BQ4:BQ31" si="28">IF(BA4="","",BA4+BB4+BD4-BC4)</f>
        <v>29.8</v>
      </c>
      <c r="BR4" s="10">
        <f t="shared" ref="BR4:BR31" si="29">IF(SUM(AX4,BB4)&gt;0,SUM(AX4,BB4),"")</f>
        <v>20</v>
      </c>
      <c r="BS4" s="10">
        <f t="shared" ref="BS4:BS31" si="30">IF(SUM(BO4,BQ4)&gt;0,SUM(BO4,BQ4),"")</f>
        <v>57.1</v>
      </c>
      <c r="BT4" s="10">
        <f t="shared" ref="BT4:BT31" si="31">IF(BF4="","",BF4)</f>
        <v>10</v>
      </c>
      <c r="BU4" s="10">
        <f t="shared" ref="BU4:BU31" si="32">IF(BE4="","",BE4+BF4+BH4-BG4)</f>
        <v>29.700000000000003</v>
      </c>
      <c r="BV4" s="10">
        <f t="shared" ref="BV4:BV31" si="33">IF(BJ4="","",BJ4)</f>
        <v>9.6</v>
      </c>
      <c r="BW4" s="10">
        <f t="shared" ref="BW4:BW31" si="34">IF(BI4="","",BI4+BJ4+BL4-BK4)</f>
        <v>28.900000000000002</v>
      </c>
      <c r="BX4" s="10">
        <f t="shared" ref="BX4:BX31" si="35">IF(SUM(BF4,BJ4)&gt;0,SUM(BF4,BJ4),"")</f>
        <v>19.600000000000001</v>
      </c>
      <c r="BY4" s="10">
        <f t="shared" ref="BY4:BY31" si="36">IF(SUM(BU4,BW4)&gt;0,SUM(BU4,BW4),"")</f>
        <v>58.600000000000009</v>
      </c>
      <c r="BZ4" s="10">
        <f t="shared" ref="BZ4:BZ31" si="37">IF(SUM(BS4,BY4)&gt;0,SUM(BS4,BY4),"")</f>
        <v>115.70000000000002</v>
      </c>
      <c r="CA4" s="34" t="str">
        <f t="shared" ref="CA4:CA31" si="38">IF(MAX(DB4,EK4)-IF(J4="",0,J4)&gt;0.001,MAX(DB4,EK4)-IF(J4="",0,J4),"")</f>
        <v/>
      </c>
      <c r="CB4" s="34" t="str">
        <f t="shared" ref="CB4:CB31" si="39">IF(MAX(CX4,CZ4,DD4,DF4,DH4,EG4,EI4,EM4,EO4)-IF(N4="",0,N4)&gt;0.001,MAX(CX4,CZ4,DD4,DF4,DH4,EG4,EI4,EM4,EO4)-IF(N4="",0,N4),"")</f>
        <v/>
      </c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 t="str">
        <f t="shared" ref="CW4:CW31" si="40">IF(CD4="","",CD4)</f>
        <v/>
      </c>
      <c r="CX4" s="27" t="str">
        <f t="shared" ref="CX4:CX31" si="41">IF(CC4="","",CC4+CD4+CF4-CE4)</f>
        <v/>
      </c>
      <c r="CY4" s="27" t="str">
        <f t="shared" ref="CY4:CY31" si="42">IF(CH4="","",CH4)</f>
        <v/>
      </c>
      <c r="CZ4" s="27" t="str">
        <f t="shared" ref="CZ4:CZ31" si="43">IF(CG4="","",CG4+CH4+CJ4-CI4)</f>
        <v/>
      </c>
      <c r="DA4" s="27" t="str">
        <f t="shared" ref="DA4:DA31" si="44">IF(CW4="","",SUM(CW4,CY4))</f>
        <v/>
      </c>
      <c r="DB4" s="27" t="str">
        <f t="shared" ref="DB4:DB31" si="45">IF(CX4="","",SUM(CX4,CZ4))</f>
        <v/>
      </c>
      <c r="DC4" s="27" t="str">
        <f t="shared" ref="DC4:DC31" si="46">IF(CL4="","",CL4)</f>
        <v/>
      </c>
      <c r="DD4" s="27" t="str">
        <f t="shared" ref="DD4:DD31" si="47">IF(CK4="","",CK4+CL4+CN4-CM4)</f>
        <v/>
      </c>
      <c r="DE4" s="27" t="str">
        <f t="shared" ref="DE4:DE31" si="48">IF(CP4="","",CP4)</f>
        <v/>
      </c>
      <c r="DF4" s="27" t="str">
        <f t="shared" ref="DF4:DF31" si="49">IF(CO4="","",CO4+CP4+CR4-CQ4)</f>
        <v/>
      </c>
      <c r="DG4" s="27" t="str">
        <f t="shared" ref="DG4:DG31" si="50">IF(CT4="","",CT4)</f>
        <v/>
      </c>
      <c r="DH4" s="27" t="str">
        <f t="shared" ref="DH4:DH31" si="51">IF(CS4="","",CS4+CT4+CV4-CU4)</f>
        <v/>
      </c>
      <c r="DI4" s="27" t="str">
        <f t="shared" ref="DI4:DI31" si="52">IF(DE4="","",SUM(DE4,DG4))</f>
        <v/>
      </c>
      <c r="DJ4" s="27" t="str">
        <f t="shared" ref="DJ4:DJ31" si="53">IF(DF4="","",SUM(DF4,DH4))</f>
        <v/>
      </c>
      <c r="DK4" s="27" t="str">
        <f t="shared" ref="DK4:DK31" si="54">IF(DB4="","",SUM(DB4,DD4,DH4))</f>
        <v/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31" si="55">IF(DM4="","",DM4)</f>
        <v/>
      </c>
      <c r="EG4" s="10" t="str">
        <f t="shared" ref="EG4:EG31" si="56">IF(DL4="","",DL4+DM4+DO4-DN4)</f>
        <v/>
      </c>
      <c r="EH4" s="10" t="str">
        <f t="shared" ref="EH4:EH31" si="57">IF(DQ4="","",DQ4)</f>
        <v/>
      </c>
      <c r="EI4" s="10" t="str">
        <f t="shared" ref="EI4:EI31" si="58">IF(DP4="","",DP4+DQ4+DS4-DR4)</f>
        <v/>
      </c>
      <c r="EJ4" s="10" t="str">
        <f t="shared" ref="EJ4:EJ31" si="59">IF(EF4="","",SUM(EF4,EH4))</f>
        <v/>
      </c>
      <c r="EK4" s="10" t="str">
        <f t="shared" ref="EK4:EK31" si="60">IF(EG4="","",SUM(EG4,EI4))</f>
        <v/>
      </c>
      <c r="EL4" s="10" t="str">
        <f t="shared" ref="EL4:EL31" si="61">IF(DU4="","",DU4)</f>
        <v/>
      </c>
      <c r="EM4" s="10" t="str">
        <f t="shared" ref="EM4:EM31" si="62">IF(DT4="","",DT4+DU4+DW4-DV4)</f>
        <v/>
      </c>
      <c r="EN4" s="10" t="str">
        <f t="shared" ref="EN4:EN31" si="63">IF(DY4="","",DY4)</f>
        <v/>
      </c>
      <c r="EO4" s="10" t="str">
        <f t="shared" ref="EO4:EO31" si="64">IF(DX4="","",DX4+DY4+EA4-DZ4)</f>
        <v/>
      </c>
      <c r="EP4" s="10" t="str">
        <f t="shared" ref="EP4:EP31" si="65">IF(EC4="","",EC4)</f>
        <v/>
      </c>
      <c r="EQ4" s="10" t="str">
        <f t="shared" ref="EQ4:EQ31" si="66">IF(EB4="","",EB4+EC4+EE4-ED4)</f>
        <v/>
      </c>
      <c r="ER4" s="10" t="str">
        <f t="shared" ref="ER4:ER31" si="67">IF(EN4="","",SUM(EN4,EP4))</f>
        <v/>
      </c>
      <c r="ES4" s="10" t="str">
        <f t="shared" ref="ES4:ES31" si="68">IF(EO4="","",SUM(EO4,EQ4))</f>
        <v/>
      </c>
      <c r="ET4" s="10" t="str">
        <f t="shared" ref="ET4:ET31" si="69">IF(EK4="","",SUM(EK4,EM4,EQ4))</f>
        <v/>
      </c>
      <c r="EU4" s="44">
        <f t="shared" ref="EU4:EU31" si="70">IF(BM4="P",IF(AI4="P",AW4,AW4*0.8),(S4+AW4)/2)</f>
        <v>18.950000000000003</v>
      </c>
      <c r="EV4" s="44">
        <f t="shared" ref="EV4:EV31" si="71">IF(BN4="P",IF(AJ4="P",AX4,AX4*0.8),(T4+AX4)/2)</f>
        <v>9</v>
      </c>
      <c r="EW4" s="44">
        <f t="shared" ref="EW4:EW31" si="72">IF(BO4="P",IF(AK4="P",AY4,AY4*0.8),(U4+AY4)/2)</f>
        <v>0.5</v>
      </c>
      <c r="EX4" s="44">
        <f t="shared" ref="EX4:EX31" si="73">IF(BP4="P",IF(AL4="P",AZ4,AZ4*0.8),(V4+AZ4)/2)</f>
        <v>0.3</v>
      </c>
      <c r="EY4" s="44">
        <f t="shared" ref="EY4:EY31" si="74">IF(BQ4="P",IF(AM4="P",BA4,BA4*0.8),(W4+BA4)/2)</f>
        <v>18.7</v>
      </c>
      <c r="EZ4" s="44">
        <f t="shared" ref="EZ4:EZ31" si="75">IF(BR4="P",IF(AN4="P",BB4,BB4*0.8),(X4+BB4)/2)</f>
        <v>10.8</v>
      </c>
      <c r="FA4" s="44">
        <f t="shared" ref="FA4:FA31" si="76">IF(BS4="P",IF(AO4="P",BC4,BC4*0.8),(Y4+BC4)/2)</f>
        <v>0.6</v>
      </c>
      <c r="FB4" s="44">
        <f t="shared" ref="FB4:FB31" si="77">IF(BT4="P",IF(AP4="P",BD4,BD4*0.8),(Z4+BD4)/2)</f>
        <v>0.6</v>
      </c>
      <c r="FC4" s="44">
        <f t="shared" ref="FC4:FC31" si="78">IF(BU4="P",IF(AQ4="P",BE4,BE4*0.8),(AA4+BE4)/2)</f>
        <v>19.149999999999999</v>
      </c>
      <c r="FD4" s="44">
        <f t="shared" ref="FD4:FD31" si="79">IF(BV4="P",IF(AR4="P",BF4,BF4*0.8),(AB4+BF4)/2)</f>
        <v>9.4</v>
      </c>
      <c r="FE4" s="44">
        <f t="shared" ref="FE4:FE31" si="80">IF(BW4="P",IF(AS4="P",BG4,BG4*0.8),(AC4+BG4)/2)</f>
        <v>0.2</v>
      </c>
      <c r="FF4" s="44">
        <f t="shared" ref="FF4:FF31" si="81">IF(BX4="P",IF(AT4="P",BH4,BH4*0.8),(AD4+BH4)/2)</f>
        <v>0.44999999999999996</v>
      </c>
      <c r="FG4" s="44">
        <f t="shared" ref="FG4:FG31" si="82">IF(BY4="P",IF(AU4="P",BI4,BI4*0.8),(AE4+BI4)/2)</f>
        <v>18.850000000000001</v>
      </c>
      <c r="FH4" s="44">
        <f t="shared" ref="FH4:FH31" si="83">IF(BZ4="P",IF(AV4="P",BJ4,BJ4*0.8),(AF4+BJ4)/2)</f>
        <v>10.199999999999999</v>
      </c>
      <c r="FI4" s="44">
        <f t="shared" ref="FI4:FI31" si="84">IF(CA4="P",IF(AW4="P",BK4,BK4*0.8),(AG4+BK4)/2)</f>
        <v>0.3</v>
      </c>
      <c r="FJ4" s="44">
        <f t="shared" ref="FJ4:FJ31" si="85">IF(CB4="P",IF(AX4="P",BL4,BL4*0.8),(AH4+BL4)/2)</f>
        <v>0.44999999999999996</v>
      </c>
      <c r="FK4" s="20" t="s">
        <v>29</v>
      </c>
      <c r="FL4" s="10">
        <f t="shared" ref="FL4:FL31" si="86">IF(EV4="","",EV4)</f>
        <v>9</v>
      </c>
      <c r="FM4" s="10">
        <f t="shared" ref="FM4:FM31" si="87">IF(EU4="","",EU4+EV4+EX4-EW4)</f>
        <v>27.750000000000004</v>
      </c>
      <c r="FN4" s="10">
        <f t="shared" ref="FN4:FN31" si="88">IF(EZ4="","",EZ4)</f>
        <v>10.8</v>
      </c>
      <c r="FO4" s="10">
        <f t="shared" ref="FO4:FO31" si="89">IF(EY4="","",EY4+EZ4+FB4-FA4)</f>
        <v>29.5</v>
      </c>
      <c r="FP4" s="10">
        <f t="shared" ref="FP4:FP31" si="90">IF(SUM(EV4,EZ4)&gt;0,SUM(EV4,EZ4),"")</f>
        <v>19.8</v>
      </c>
      <c r="FQ4" s="10">
        <f>IF(SUM(FM4,FO4)&gt;0,SUM(FM4,FO4),"")</f>
        <v>57.25</v>
      </c>
      <c r="FR4" s="10">
        <f>IF(FD4="","",FD4)</f>
        <v>9.4</v>
      </c>
      <c r="FS4" s="10">
        <f>IF(FC4="","",FC4+FD4+FF4-FE4)</f>
        <v>28.799999999999997</v>
      </c>
      <c r="FT4" s="10">
        <f>IF(FH4="","",FH4)</f>
        <v>10.199999999999999</v>
      </c>
      <c r="FU4" s="10">
        <f>IF(FG4="","",FG4+FH4+FJ4-FI4)</f>
        <v>29.2</v>
      </c>
      <c r="FV4" s="10">
        <f>IF(SUM(FD4,FH4)&gt;0,SUM(FD4,FH4),"")</f>
        <v>19.600000000000001</v>
      </c>
      <c r="FW4" s="10">
        <f t="shared" ref="FW4:FW31" si="91">IF(SUM(FS4,FU4)&gt;0,SUM(FS4,FU4),"")</f>
        <v>58</v>
      </c>
      <c r="FX4" s="10">
        <f t="shared" ref="FX4:FX31" si="92">IF(SUM(FQ4,FW4)&gt;0,SUM(FQ4,FW4),"")</f>
        <v>115.25</v>
      </c>
    </row>
    <row r="5" spans="1:180" x14ac:dyDescent="0.2">
      <c r="A5" s="3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4" t="s">
        <v>42</v>
      </c>
      <c r="C5" s="3" t="s">
        <v>4</v>
      </c>
      <c r="D5" s="3">
        <v>2004</v>
      </c>
      <c r="E5" s="8">
        <f t="shared" si="0"/>
        <v>110.70000828000543</v>
      </c>
      <c r="F5" s="2" t="str">
        <f t="shared" si="1"/>
        <v>P</v>
      </c>
      <c r="G5" s="2" t="str">
        <f t="shared" si="2"/>
        <v>P</v>
      </c>
      <c r="H5" s="26" t="str">
        <f t="shared" si="3"/>
        <v>Worlds Team</v>
      </c>
      <c r="I5" s="2" t="str">
        <f t="shared" si="4"/>
        <v>P</v>
      </c>
      <c r="J5" s="7">
        <f t="shared" si="5"/>
        <v>54.4</v>
      </c>
      <c r="K5" s="7" t="str">
        <f t="shared" si="6"/>
        <v>2025 Nationals</v>
      </c>
      <c r="L5" s="7">
        <f>IF(J5=AO5,IF(COUNT(AQ5,AS5,BO5,BQ5,BU5,BW5)&gt;1,LARGE((AQ5,AS5,BO5,BQ5,BU5,BW5),1),0),IF(COUNT(AK5,AM5,AQ5,AS5,BU5,BW5)&gt;1,LARGE((AK5,AM5,AQ5,AS5,BU5,BW5),1),0))</f>
        <v>28.400000000000002</v>
      </c>
      <c r="M5" s="7" t="str">
        <f t="shared" si="7"/>
        <v>2025 3rd Domestic Trial</v>
      </c>
      <c r="N5" s="7">
        <f>IF(J5=AO5,IF(COUNT(AQ5,AS5,BO5,BQ5,BU5,BW5)&gt;1,LARGE((AQ5,AS5,BO5,BQ5,BU5,BW5),2),0),IF(COUNT(AK5,AM5,AQ5,AS5,BU5,BW5)&gt;1,LARGE((AK5,AM5,AQ5,AS5,BU5,BW5),2),0))</f>
        <v>27</v>
      </c>
      <c r="O5" s="7" t="str">
        <f t="shared" si="8"/>
        <v>2025 Nationals</v>
      </c>
      <c r="P5" s="7">
        <f t="shared" si="9"/>
        <v>0.89999999999999858</v>
      </c>
      <c r="Q5" s="10" t="str">
        <f t="shared" si="10"/>
        <v>(Pass)</v>
      </c>
      <c r="R5" s="7" t="str">
        <f t="shared" si="11"/>
        <v>2025 WAGC (Nov 16)</v>
      </c>
      <c r="S5" s="39">
        <v>19</v>
      </c>
      <c r="T5" s="39">
        <v>8.4</v>
      </c>
      <c r="U5" s="39">
        <v>0</v>
      </c>
      <c r="V5" s="39">
        <v>0</v>
      </c>
      <c r="W5" s="39">
        <v>18</v>
      </c>
      <c r="X5" s="39">
        <v>8.6999999999999993</v>
      </c>
      <c r="Y5" s="39">
        <v>0</v>
      </c>
      <c r="Z5" s="39">
        <v>0.3</v>
      </c>
      <c r="AA5" s="39">
        <v>18.7</v>
      </c>
      <c r="AB5" s="39">
        <v>8.4</v>
      </c>
      <c r="AC5" s="39">
        <v>1</v>
      </c>
      <c r="AD5" s="39">
        <v>0</v>
      </c>
      <c r="AE5" s="39">
        <v>18.2</v>
      </c>
      <c r="AF5" s="39">
        <v>8.6999999999999993</v>
      </c>
      <c r="AG5" s="39">
        <v>0.2</v>
      </c>
      <c r="AH5" s="39">
        <v>0.3</v>
      </c>
      <c r="AI5" s="19"/>
      <c r="AJ5" s="42">
        <f t="shared" si="12"/>
        <v>8.4</v>
      </c>
      <c r="AK5" s="42">
        <f t="shared" si="13"/>
        <v>27.4</v>
      </c>
      <c r="AL5" s="42">
        <f t="shared" si="14"/>
        <v>8.6999999999999993</v>
      </c>
      <c r="AM5" s="42">
        <f t="shared" si="15"/>
        <v>27</v>
      </c>
      <c r="AN5" s="27">
        <f t="shared" si="16"/>
        <v>17.100000000000001</v>
      </c>
      <c r="AO5" s="27">
        <f t="shared" si="17"/>
        <v>54.4</v>
      </c>
      <c r="AP5" s="27">
        <f t="shared" si="18"/>
        <v>8.4</v>
      </c>
      <c r="AQ5" s="27">
        <f t="shared" si="19"/>
        <v>26.1</v>
      </c>
      <c r="AR5" s="27">
        <f t="shared" si="20"/>
        <v>8.6999999999999993</v>
      </c>
      <c r="AS5" s="27">
        <f t="shared" si="21"/>
        <v>27</v>
      </c>
      <c r="AT5" s="27">
        <f t="shared" si="22"/>
        <v>17.100000000000001</v>
      </c>
      <c r="AU5" s="27">
        <f t="shared" si="23"/>
        <v>53.1</v>
      </c>
      <c r="AV5" s="27">
        <f t="shared" si="24"/>
        <v>107.5</v>
      </c>
      <c r="AW5" s="15">
        <v>15.7</v>
      </c>
      <c r="AX5" s="15">
        <v>4</v>
      </c>
      <c r="AY5" s="15">
        <v>0</v>
      </c>
      <c r="AZ5" s="15">
        <v>0</v>
      </c>
      <c r="BA5" s="15">
        <v>18.600000000000001</v>
      </c>
      <c r="BB5" s="15">
        <v>9.5</v>
      </c>
      <c r="BC5" s="15">
        <v>0</v>
      </c>
      <c r="BD5" s="15">
        <v>0.3</v>
      </c>
      <c r="BE5" s="15">
        <v>15.3</v>
      </c>
      <c r="BF5" s="15">
        <v>3.2</v>
      </c>
      <c r="BG5" s="15">
        <v>0</v>
      </c>
      <c r="BH5" s="15">
        <v>0</v>
      </c>
      <c r="BI5" s="15">
        <v>15.1</v>
      </c>
      <c r="BJ5" s="15">
        <v>5.0999999999999996</v>
      </c>
      <c r="BK5" s="15">
        <v>0</v>
      </c>
      <c r="BL5" s="15">
        <v>0.3</v>
      </c>
      <c r="BM5" s="20"/>
      <c r="BN5" s="43">
        <f t="shared" si="25"/>
        <v>4</v>
      </c>
      <c r="BO5" s="43">
        <f t="shared" si="26"/>
        <v>19.7</v>
      </c>
      <c r="BP5" s="43">
        <f t="shared" si="27"/>
        <v>9.5</v>
      </c>
      <c r="BQ5" s="43">
        <f t="shared" si="28"/>
        <v>28.400000000000002</v>
      </c>
      <c r="BR5" s="10">
        <f t="shared" si="29"/>
        <v>13.5</v>
      </c>
      <c r="BS5" s="10">
        <f t="shared" si="30"/>
        <v>48.1</v>
      </c>
      <c r="BT5" s="10">
        <f t="shared" si="31"/>
        <v>3.2</v>
      </c>
      <c r="BU5" s="10">
        <f t="shared" si="32"/>
        <v>18.5</v>
      </c>
      <c r="BV5" s="10">
        <f t="shared" si="33"/>
        <v>5.0999999999999996</v>
      </c>
      <c r="BW5" s="10">
        <f t="shared" si="34"/>
        <v>20.5</v>
      </c>
      <c r="BX5" s="10">
        <f t="shared" si="35"/>
        <v>8.3000000000000007</v>
      </c>
      <c r="BY5" s="10">
        <f t="shared" si="36"/>
        <v>39</v>
      </c>
      <c r="BZ5" s="10">
        <f t="shared" si="37"/>
        <v>87.1</v>
      </c>
      <c r="CA5" s="34" t="str">
        <f t="shared" si="38"/>
        <v/>
      </c>
      <c r="CB5" s="34">
        <f t="shared" si="39"/>
        <v>0.89999999999999858</v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40"/>
        <v/>
      </c>
      <c r="CX5" s="27" t="str">
        <f t="shared" si="41"/>
        <v/>
      </c>
      <c r="CY5" s="27" t="str">
        <f t="shared" si="42"/>
        <v/>
      </c>
      <c r="CZ5" s="27" t="str">
        <f t="shared" si="43"/>
        <v/>
      </c>
      <c r="DA5" s="27" t="str">
        <f t="shared" si="44"/>
        <v/>
      </c>
      <c r="DB5" s="27" t="str">
        <f t="shared" si="45"/>
        <v/>
      </c>
      <c r="DC5" s="27" t="str">
        <f t="shared" si="46"/>
        <v/>
      </c>
      <c r="DD5" s="27" t="str">
        <f t="shared" si="47"/>
        <v/>
      </c>
      <c r="DE5" s="27" t="str">
        <f t="shared" si="48"/>
        <v/>
      </c>
      <c r="DF5" s="27" t="str">
        <f t="shared" si="49"/>
        <v/>
      </c>
      <c r="DG5" s="27" t="str">
        <f t="shared" si="50"/>
        <v/>
      </c>
      <c r="DH5" s="27" t="str">
        <f t="shared" si="51"/>
        <v/>
      </c>
      <c r="DI5" s="27" t="str">
        <f t="shared" si="52"/>
        <v/>
      </c>
      <c r="DJ5" s="27" t="str">
        <f t="shared" si="53"/>
        <v/>
      </c>
      <c r="DK5" s="27" t="str">
        <f t="shared" si="54"/>
        <v/>
      </c>
      <c r="DL5" s="15">
        <v>18.600000000000001</v>
      </c>
      <c r="DM5" s="15">
        <v>8.4</v>
      </c>
      <c r="DN5" s="15">
        <v>0</v>
      </c>
      <c r="DO5" s="15">
        <v>0</v>
      </c>
      <c r="DP5" s="15">
        <v>18.2</v>
      </c>
      <c r="DQ5" s="15">
        <v>8.6999999999999993</v>
      </c>
      <c r="DR5" s="15">
        <v>0.8</v>
      </c>
      <c r="DS5" s="15">
        <v>0</v>
      </c>
      <c r="DT5" s="15"/>
      <c r="DU5" s="15"/>
      <c r="DV5" s="15"/>
      <c r="DW5" s="15"/>
      <c r="DX5" s="15">
        <v>18.399999999999999</v>
      </c>
      <c r="DY5" s="15">
        <v>9.5</v>
      </c>
      <c r="DZ5" s="15">
        <v>0</v>
      </c>
      <c r="EA5" s="15">
        <v>0</v>
      </c>
      <c r="EB5" s="15">
        <v>18.399999999999999</v>
      </c>
      <c r="EC5" s="15">
        <v>7.6</v>
      </c>
      <c r="ED5" s="15">
        <v>0.8</v>
      </c>
      <c r="EE5" s="15">
        <v>0</v>
      </c>
      <c r="EF5" s="10">
        <f t="shared" si="55"/>
        <v>8.4</v>
      </c>
      <c r="EG5" s="10">
        <f t="shared" si="56"/>
        <v>27</v>
      </c>
      <c r="EH5" s="10">
        <f t="shared" si="57"/>
        <v>8.6999999999999993</v>
      </c>
      <c r="EI5" s="10">
        <f t="shared" si="58"/>
        <v>26.099999999999998</v>
      </c>
      <c r="EJ5" s="10">
        <f t="shared" si="59"/>
        <v>17.100000000000001</v>
      </c>
      <c r="EK5" s="10">
        <f t="shared" si="60"/>
        <v>53.099999999999994</v>
      </c>
      <c r="EL5" s="10" t="str">
        <f t="shared" si="61"/>
        <v/>
      </c>
      <c r="EM5" s="10" t="str">
        <f t="shared" si="62"/>
        <v/>
      </c>
      <c r="EN5" s="10">
        <f t="shared" si="63"/>
        <v>9.5</v>
      </c>
      <c r="EO5" s="10">
        <f t="shared" si="64"/>
        <v>27.9</v>
      </c>
      <c r="EP5" s="10">
        <f t="shared" si="65"/>
        <v>7.6</v>
      </c>
      <c r="EQ5" s="10">
        <f t="shared" si="66"/>
        <v>25.2</v>
      </c>
      <c r="ER5" s="10">
        <f t="shared" si="67"/>
        <v>17.100000000000001</v>
      </c>
      <c r="ES5" s="10">
        <f t="shared" si="68"/>
        <v>53.099999999999994</v>
      </c>
      <c r="ET5" s="10">
        <f t="shared" si="69"/>
        <v>78.3</v>
      </c>
      <c r="EU5" s="44">
        <f t="shared" si="70"/>
        <v>17.350000000000001</v>
      </c>
      <c r="EV5" s="44">
        <f t="shared" si="71"/>
        <v>6.2</v>
      </c>
      <c r="EW5" s="44">
        <f t="shared" si="72"/>
        <v>0</v>
      </c>
      <c r="EX5" s="44">
        <f t="shared" si="73"/>
        <v>0</v>
      </c>
      <c r="EY5" s="44">
        <f t="shared" si="74"/>
        <v>18.3</v>
      </c>
      <c r="EZ5" s="44">
        <f t="shared" si="75"/>
        <v>9.1</v>
      </c>
      <c r="FA5" s="44">
        <f t="shared" si="76"/>
        <v>0</v>
      </c>
      <c r="FB5" s="44">
        <f t="shared" si="77"/>
        <v>0.3</v>
      </c>
      <c r="FC5" s="44">
        <f t="shared" si="78"/>
        <v>17</v>
      </c>
      <c r="FD5" s="44">
        <f t="shared" si="79"/>
        <v>5.8000000000000007</v>
      </c>
      <c r="FE5" s="44">
        <f t="shared" si="80"/>
        <v>0.5</v>
      </c>
      <c r="FF5" s="44">
        <f t="shared" si="81"/>
        <v>0</v>
      </c>
      <c r="FG5" s="44">
        <f t="shared" si="82"/>
        <v>16.649999999999999</v>
      </c>
      <c r="FH5" s="44">
        <f t="shared" si="83"/>
        <v>6.8999999999999995</v>
      </c>
      <c r="FI5" s="44">
        <f t="shared" si="84"/>
        <v>0.1</v>
      </c>
      <c r="FJ5" s="44">
        <f t="shared" si="85"/>
        <v>0.3</v>
      </c>
      <c r="FK5" s="20" t="s">
        <v>29</v>
      </c>
      <c r="FL5" s="10">
        <f t="shared" si="86"/>
        <v>6.2</v>
      </c>
      <c r="FM5" s="10">
        <f t="shared" si="87"/>
        <v>23.55</v>
      </c>
      <c r="FN5" s="10">
        <f t="shared" si="88"/>
        <v>9.1</v>
      </c>
      <c r="FO5" s="10">
        <f t="shared" si="89"/>
        <v>27.7</v>
      </c>
      <c r="FP5" s="10">
        <f t="shared" si="90"/>
        <v>15.3</v>
      </c>
      <c r="FQ5" s="10">
        <f t="shared" ref="FQ5:FQ31" si="93">IF(SUM(FM5,FO5)&gt;0,SUM(FM5,FO5),"")</f>
        <v>51.25</v>
      </c>
      <c r="FR5" s="10">
        <f t="shared" ref="FR5:FR31" si="94">IF(FD5="","",FD5)</f>
        <v>5.8000000000000007</v>
      </c>
      <c r="FS5" s="10">
        <f t="shared" ref="FS5:FS31" si="95">IF(FC5="","",FC5+FD5+FF5-FE5)</f>
        <v>22.3</v>
      </c>
      <c r="FT5" s="10">
        <f t="shared" ref="FT5:FT31" si="96">IF(FH5="","",FH5)</f>
        <v>6.8999999999999995</v>
      </c>
      <c r="FU5" s="10">
        <f t="shared" ref="FU5:FU31" si="97">IF(FG5="","",FG5+FH5+FJ5-FI5)</f>
        <v>23.749999999999996</v>
      </c>
      <c r="FV5" s="10">
        <f t="shared" ref="FV5:FV31" si="98">IF(SUM(FD5,FH5)&gt;0,SUM(FD5,FH5),"")</f>
        <v>12.7</v>
      </c>
      <c r="FW5" s="10">
        <f t="shared" si="91"/>
        <v>46.05</v>
      </c>
      <c r="FX5" s="10">
        <f t="shared" si="92"/>
        <v>97.3</v>
      </c>
    </row>
    <row r="6" spans="1:180" x14ac:dyDescent="0.2">
      <c r="A6" s="3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4" t="s">
        <v>78</v>
      </c>
      <c r="C6" s="3" t="s">
        <v>3</v>
      </c>
      <c r="D6" s="3">
        <v>2003</v>
      </c>
      <c r="E6" s="8">
        <f t="shared" si="0"/>
        <v>110.00000824000537</v>
      </c>
      <c r="F6" s="2" t="str">
        <f t="shared" si="1"/>
        <v>P</v>
      </c>
      <c r="G6" s="2" t="str">
        <f t="shared" si="2"/>
        <v>P</v>
      </c>
      <c r="H6" s="26" t="str">
        <f t="shared" si="3"/>
        <v>Worlds Team</v>
      </c>
      <c r="I6" s="2" t="str">
        <f t="shared" si="4"/>
        <v>P</v>
      </c>
      <c r="J6" s="7">
        <f t="shared" si="5"/>
        <v>53.699999999999996</v>
      </c>
      <c r="K6" s="7" t="str">
        <f t="shared" si="6"/>
        <v>2025 3rd Domestic Trial</v>
      </c>
      <c r="L6" s="7">
        <f>IF(J6=AO6,IF(COUNT(AQ6,AS6,BO6,BQ6,BU6,BW6)&gt;1,LARGE((AQ6,AS6,BO6,BQ6,BU6,BW6),1),0),IF(COUNT(AK6,AM6,AQ6,AS6,BU6,BW6)&gt;1,LARGE((AK6,AM6,AQ6,AS6,BU6,BW6),1),0))</f>
        <v>28.7</v>
      </c>
      <c r="M6" s="7" t="str">
        <f t="shared" si="7"/>
        <v>2025 3rd Domestic Trial</v>
      </c>
      <c r="N6" s="7">
        <f>IF(J6=AO6,IF(COUNT(AQ6,AS6,BO6,BQ6,BU6,BW6)&gt;1,LARGE((AQ6,AS6,BO6,BQ6,BU6,BW6),2),0),IF(COUNT(AK6,AM6,AQ6,AS6,BU6,BW6)&gt;1,LARGE((AK6,AM6,AQ6,AS6,BU6,BW6),2),0))</f>
        <v>27.6</v>
      </c>
      <c r="O6" s="7" t="str">
        <f t="shared" si="8"/>
        <v>2025 3rd Domestic Trial</v>
      </c>
      <c r="P6" s="7" t="str">
        <f t="shared" si="9"/>
        <v/>
      </c>
      <c r="Q6" s="10" t="str">
        <f t="shared" si="10"/>
        <v/>
      </c>
      <c r="R6" s="7" t="str">
        <f t="shared" si="11"/>
        <v/>
      </c>
      <c r="S6" s="39">
        <v>17</v>
      </c>
      <c r="T6" s="39">
        <v>4.5</v>
      </c>
      <c r="U6" s="39">
        <v>1.8</v>
      </c>
      <c r="V6" s="39">
        <v>0</v>
      </c>
      <c r="W6" s="39">
        <v>18.100000000000001</v>
      </c>
      <c r="X6" s="39">
        <v>8.4</v>
      </c>
      <c r="Y6" s="39">
        <v>1</v>
      </c>
      <c r="Z6" s="39">
        <v>0.3</v>
      </c>
      <c r="AA6" s="39"/>
      <c r="AB6" s="39"/>
      <c r="AC6" s="39"/>
      <c r="AD6" s="39"/>
      <c r="AE6" s="39"/>
      <c r="AF6" s="39"/>
      <c r="AG6" s="39"/>
      <c r="AH6" s="39"/>
      <c r="AI6" s="19"/>
      <c r="AJ6" s="42">
        <f t="shared" si="12"/>
        <v>4.5</v>
      </c>
      <c r="AK6" s="42">
        <f t="shared" si="13"/>
        <v>19.7</v>
      </c>
      <c r="AL6" s="42">
        <f t="shared" si="14"/>
        <v>8.4</v>
      </c>
      <c r="AM6" s="42">
        <f t="shared" si="15"/>
        <v>25.8</v>
      </c>
      <c r="AN6" s="27">
        <f t="shared" si="16"/>
        <v>12.9</v>
      </c>
      <c r="AO6" s="27">
        <f t="shared" si="17"/>
        <v>45.5</v>
      </c>
      <c r="AP6" s="27" t="str">
        <f t="shared" si="18"/>
        <v/>
      </c>
      <c r="AQ6" s="27" t="str">
        <f t="shared" si="19"/>
        <v/>
      </c>
      <c r="AR6" s="27" t="str">
        <f t="shared" si="20"/>
        <v/>
      </c>
      <c r="AS6" s="27" t="str">
        <f t="shared" si="21"/>
        <v/>
      </c>
      <c r="AT6" s="27" t="str">
        <f t="shared" si="22"/>
        <v/>
      </c>
      <c r="AU6" s="27" t="str">
        <f t="shared" si="23"/>
        <v/>
      </c>
      <c r="AV6" s="27">
        <f t="shared" si="24"/>
        <v>45.5</v>
      </c>
      <c r="AW6" s="15">
        <v>17.2</v>
      </c>
      <c r="AX6" s="15">
        <v>9.1999999999999993</v>
      </c>
      <c r="AY6" s="15">
        <v>0.8</v>
      </c>
      <c r="AZ6" s="15">
        <v>0.3</v>
      </c>
      <c r="BA6" s="15">
        <v>18.899999999999999</v>
      </c>
      <c r="BB6" s="15">
        <v>9.1999999999999993</v>
      </c>
      <c r="BC6" s="15">
        <v>0.6</v>
      </c>
      <c r="BD6" s="15">
        <v>0.3</v>
      </c>
      <c r="BE6" s="15">
        <v>19.2</v>
      </c>
      <c r="BF6" s="15">
        <v>8.4</v>
      </c>
      <c r="BG6" s="15">
        <v>0</v>
      </c>
      <c r="BH6" s="15">
        <v>0</v>
      </c>
      <c r="BI6" s="15">
        <v>18.899999999999999</v>
      </c>
      <c r="BJ6" s="15">
        <v>10</v>
      </c>
      <c r="BK6" s="15">
        <v>0.8</v>
      </c>
      <c r="BL6" s="15">
        <v>0.6</v>
      </c>
      <c r="BM6" s="20"/>
      <c r="BN6" s="43">
        <f t="shared" si="25"/>
        <v>9.1999999999999993</v>
      </c>
      <c r="BO6" s="43">
        <f t="shared" si="26"/>
        <v>25.9</v>
      </c>
      <c r="BP6" s="43">
        <f t="shared" si="27"/>
        <v>9.1999999999999993</v>
      </c>
      <c r="BQ6" s="43">
        <f t="shared" si="28"/>
        <v>27.799999999999997</v>
      </c>
      <c r="BR6" s="10">
        <f t="shared" si="29"/>
        <v>18.399999999999999</v>
      </c>
      <c r="BS6" s="10">
        <f t="shared" si="30"/>
        <v>53.699999999999996</v>
      </c>
      <c r="BT6" s="10">
        <f t="shared" si="31"/>
        <v>8.4</v>
      </c>
      <c r="BU6" s="10">
        <f t="shared" si="32"/>
        <v>27.6</v>
      </c>
      <c r="BV6" s="10">
        <f t="shared" si="33"/>
        <v>10</v>
      </c>
      <c r="BW6" s="10">
        <f t="shared" si="34"/>
        <v>28.7</v>
      </c>
      <c r="BX6" s="10">
        <f t="shared" si="35"/>
        <v>18.399999999999999</v>
      </c>
      <c r="BY6" s="10">
        <f t="shared" si="36"/>
        <v>56.3</v>
      </c>
      <c r="BZ6" s="10">
        <f t="shared" si="37"/>
        <v>110</v>
      </c>
      <c r="CA6" s="34" t="str">
        <f t="shared" si="38"/>
        <v/>
      </c>
      <c r="CB6" s="34" t="str">
        <f t="shared" si="39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40"/>
        <v/>
      </c>
      <c r="CX6" s="27" t="str">
        <f t="shared" si="41"/>
        <v/>
      </c>
      <c r="CY6" s="27" t="str">
        <f t="shared" si="42"/>
        <v/>
      </c>
      <c r="CZ6" s="27" t="str">
        <f t="shared" si="43"/>
        <v/>
      </c>
      <c r="DA6" s="27" t="str">
        <f t="shared" si="44"/>
        <v/>
      </c>
      <c r="DB6" s="27" t="str">
        <f t="shared" si="45"/>
        <v/>
      </c>
      <c r="DC6" s="27" t="str">
        <f t="shared" si="46"/>
        <v/>
      </c>
      <c r="DD6" s="27" t="str">
        <f t="shared" si="47"/>
        <v/>
      </c>
      <c r="DE6" s="27" t="str">
        <f t="shared" si="48"/>
        <v/>
      </c>
      <c r="DF6" s="27" t="str">
        <f t="shared" si="49"/>
        <v/>
      </c>
      <c r="DG6" s="27" t="str">
        <f t="shared" si="50"/>
        <v/>
      </c>
      <c r="DH6" s="27" t="str">
        <f t="shared" si="51"/>
        <v/>
      </c>
      <c r="DI6" s="27" t="str">
        <f t="shared" si="52"/>
        <v/>
      </c>
      <c r="DJ6" s="27" t="str">
        <f t="shared" si="53"/>
        <v/>
      </c>
      <c r="DK6" s="27" t="str">
        <f t="shared" si="54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5"/>
        <v/>
      </c>
      <c r="EG6" s="10" t="str">
        <f t="shared" si="56"/>
        <v/>
      </c>
      <c r="EH6" s="10" t="str">
        <f t="shared" si="57"/>
        <v/>
      </c>
      <c r="EI6" s="10" t="str">
        <f t="shared" si="58"/>
        <v/>
      </c>
      <c r="EJ6" s="10" t="str">
        <f t="shared" si="59"/>
        <v/>
      </c>
      <c r="EK6" s="10" t="str">
        <f t="shared" si="60"/>
        <v/>
      </c>
      <c r="EL6" s="10" t="str">
        <f t="shared" si="61"/>
        <v/>
      </c>
      <c r="EM6" s="10" t="str">
        <f t="shared" si="62"/>
        <v/>
      </c>
      <c r="EN6" s="10" t="str">
        <f t="shared" si="63"/>
        <v/>
      </c>
      <c r="EO6" s="10" t="str">
        <f t="shared" si="64"/>
        <v/>
      </c>
      <c r="EP6" s="10" t="str">
        <f t="shared" si="65"/>
        <v/>
      </c>
      <c r="EQ6" s="10" t="str">
        <f t="shared" si="66"/>
        <v/>
      </c>
      <c r="ER6" s="10" t="str">
        <f t="shared" si="67"/>
        <v/>
      </c>
      <c r="ES6" s="10" t="str">
        <f t="shared" si="68"/>
        <v/>
      </c>
      <c r="ET6" s="10" t="str">
        <f t="shared" si="69"/>
        <v/>
      </c>
      <c r="EU6" s="44">
        <f t="shared" si="70"/>
        <v>17.100000000000001</v>
      </c>
      <c r="EV6" s="44">
        <f t="shared" si="71"/>
        <v>6.85</v>
      </c>
      <c r="EW6" s="44">
        <f t="shared" si="72"/>
        <v>1.3</v>
      </c>
      <c r="EX6" s="44">
        <f t="shared" si="73"/>
        <v>0.15</v>
      </c>
      <c r="EY6" s="44">
        <f t="shared" si="74"/>
        <v>18.5</v>
      </c>
      <c r="EZ6" s="44">
        <f t="shared" si="75"/>
        <v>8.8000000000000007</v>
      </c>
      <c r="FA6" s="44">
        <f t="shared" si="76"/>
        <v>0.8</v>
      </c>
      <c r="FB6" s="44">
        <f t="shared" si="77"/>
        <v>0.3</v>
      </c>
      <c r="FC6" s="44">
        <f t="shared" si="78"/>
        <v>9.6</v>
      </c>
      <c r="FD6" s="44">
        <f t="shared" si="79"/>
        <v>4.2</v>
      </c>
      <c r="FE6" s="44">
        <f t="shared" si="80"/>
        <v>0</v>
      </c>
      <c r="FF6" s="44">
        <f t="shared" si="81"/>
        <v>0</v>
      </c>
      <c r="FG6" s="44">
        <f t="shared" si="82"/>
        <v>9.4499999999999993</v>
      </c>
      <c r="FH6" s="44">
        <f t="shared" si="83"/>
        <v>5</v>
      </c>
      <c r="FI6" s="44">
        <f t="shared" si="84"/>
        <v>0.4</v>
      </c>
      <c r="FJ6" s="44">
        <f t="shared" si="85"/>
        <v>0.3</v>
      </c>
      <c r="FK6" s="20" t="s">
        <v>29</v>
      </c>
      <c r="FL6" s="10">
        <f t="shared" si="86"/>
        <v>6.85</v>
      </c>
      <c r="FM6" s="10">
        <f t="shared" si="87"/>
        <v>22.8</v>
      </c>
      <c r="FN6" s="10">
        <f t="shared" si="88"/>
        <v>8.8000000000000007</v>
      </c>
      <c r="FO6" s="10">
        <f t="shared" si="89"/>
        <v>26.8</v>
      </c>
      <c r="FP6" s="10">
        <f t="shared" si="90"/>
        <v>15.65</v>
      </c>
      <c r="FQ6" s="10">
        <f t="shared" si="93"/>
        <v>49.6</v>
      </c>
      <c r="FR6" s="10">
        <f t="shared" si="94"/>
        <v>4.2</v>
      </c>
      <c r="FS6" s="10">
        <f t="shared" si="95"/>
        <v>13.8</v>
      </c>
      <c r="FT6" s="10">
        <f t="shared" si="96"/>
        <v>5</v>
      </c>
      <c r="FU6" s="10">
        <f t="shared" si="97"/>
        <v>14.35</v>
      </c>
      <c r="FV6" s="10">
        <f t="shared" si="98"/>
        <v>9.1999999999999993</v>
      </c>
      <c r="FW6" s="10">
        <f t="shared" si="91"/>
        <v>28.15</v>
      </c>
      <c r="FX6" s="10">
        <f t="shared" si="92"/>
        <v>77.75</v>
      </c>
    </row>
    <row r="7" spans="1:180" x14ac:dyDescent="0.2">
      <c r="A7" s="3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4" t="s">
        <v>56</v>
      </c>
      <c r="C7" s="3" t="s">
        <v>4</v>
      </c>
      <c r="D7" s="3">
        <v>2008</v>
      </c>
      <c r="E7" s="8">
        <f t="shared" si="0"/>
        <v>109.20000812000535</v>
      </c>
      <c r="F7" s="2" t="str">
        <f t="shared" si="1"/>
        <v>P</v>
      </c>
      <c r="G7" s="2" t="str">
        <f t="shared" si="2"/>
        <v>P</v>
      </c>
      <c r="H7" s="26" t="str">
        <f t="shared" si="3"/>
        <v>Worlds Team</v>
      </c>
      <c r="I7" s="2" t="str">
        <f t="shared" si="4"/>
        <v>P</v>
      </c>
      <c r="J7" s="7">
        <f t="shared" si="5"/>
        <v>53.599999999999994</v>
      </c>
      <c r="K7" s="7" t="str">
        <f t="shared" si="6"/>
        <v>2025 3rd Domestic Trial</v>
      </c>
      <c r="L7" s="7">
        <f>IF(J7=AO7,IF(COUNT(AQ7,AS7,BO7,BQ7,BU7,BW7)&gt;1,LARGE((AQ7,AS7,BO7,BQ7,BU7,BW7),1),0),IF(COUNT(AK7,AM7,AQ7,AS7,BU7,BW7)&gt;1,LARGE((AK7,AM7,AQ7,AS7,BU7,BW7),1),0))</f>
        <v>27.6</v>
      </c>
      <c r="M7" s="7" t="str">
        <f t="shared" si="7"/>
        <v>2025 3rd Domestic Trial</v>
      </c>
      <c r="N7" s="7">
        <f>IF(J7=AO7,IF(COUNT(AQ7,AS7,BO7,BQ7,BU7,BW7)&gt;1,LARGE((AQ7,AS7,BO7,BQ7,BU7,BW7),2),0),IF(COUNT(AK7,AM7,AQ7,AS7,BU7,BW7)&gt;1,LARGE((AK7,AM7,AQ7,AS7,BU7,BW7),2),0))</f>
        <v>27.5</v>
      </c>
      <c r="O7" s="7" t="str">
        <f t="shared" si="8"/>
        <v>2025 3rd Domestic Trial</v>
      </c>
      <c r="P7" s="7">
        <f t="shared" si="9"/>
        <v>0.5</v>
      </c>
      <c r="Q7" s="10" t="str">
        <f t="shared" si="10"/>
        <v>(Pass)</v>
      </c>
      <c r="R7" s="7" t="str">
        <f t="shared" si="11"/>
        <v>2025 Worlds (Nov 9)</v>
      </c>
      <c r="S7" s="39">
        <v>19.100000000000001</v>
      </c>
      <c r="T7" s="39">
        <v>8.4</v>
      </c>
      <c r="U7" s="39">
        <v>0</v>
      </c>
      <c r="V7" s="39">
        <v>0</v>
      </c>
      <c r="W7" s="39">
        <v>18.600000000000001</v>
      </c>
      <c r="X7" s="39">
        <v>7.3</v>
      </c>
      <c r="Y7" s="39">
        <v>0</v>
      </c>
      <c r="Z7" s="39">
        <v>0</v>
      </c>
      <c r="AA7" s="39">
        <v>18.7</v>
      </c>
      <c r="AB7" s="39">
        <v>7.6</v>
      </c>
      <c r="AC7" s="39">
        <v>0</v>
      </c>
      <c r="AD7" s="39">
        <v>0</v>
      </c>
      <c r="AE7" s="39">
        <v>15.1</v>
      </c>
      <c r="AF7" s="39">
        <v>5.0999999999999996</v>
      </c>
      <c r="AG7" s="39">
        <v>0</v>
      </c>
      <c r="AH7" s="39">
        <v>0.3</v>
      </c>
      <c r="AI7" s="19"/>
      <c r="AJ7" s="42">
        <f t="shared" si="12"/>
        <v>8.4</v>
      </c>
      <c r="AK7" s="42">
        <f t="shared" si="13"/>
        <v>27.5</v>
      </c>
      <c r="AL7" s="42">
        <f t="shared" si="14"/>
        <v>7.3</v>
      </c>
      <c r="AM7" s="42">
        <f t="shared" si="15"/>
        <v>25.900000000000002</v>
      </c>
      <c r="AN7" s="27">
        <f t="shared" si="16"/>
        <v>15.7</v>
      </c>
      <c r="AO7" s="27">
        <f t="shared" si="17"/>
        <v>53.400000000000006</v>
      </c>
      <c r="AP7" s="27">
        <f t="shared" si="18"/>
        <v>7.6</v>
      </c>
      <c r="AQ7" s="27">
        <f t="shared" si="19"/>
        <v>26.299999999999997</v>
      </c>
      <c r="AR7" s="27">
        <f t="shared" si="20"/>
        <v>5.0999999999999996</v>
      </c>
      <c r="AS7" s="27">
        <f t="shared" si="21"/>
        <v>20.5</v>
      </c>
      <c r="AT7" s="27">
        <f t="shared" si="22"/>
        <v>12.7</v>
      </c>
      <c r="AU7" s="27">
        <f t="shared" si="23"/>
        <v>46.8</v>
      </c>
      <c r="AV7" s="27">
        <f t="shared" si="24"/>
        <v>100.2</v>
      </c>
      <c r="AW7" s="15">
        <v>19</v>
      </c>
      <c r="AX7" s="15">
        <v>8.4</v>
      </c>
      <c r="AY7" s="15">
        <v>0.6</v>
      </c>
      <c r="AZ7" s="15">
        <v>0</v>
      </c>
      <c r="BA7" s="15">
        <v>18.7</v>
      </c>
      <c r="BB7" s="15">
        <v>8.1</v>
      </c>
      <c r="BC7" s="15">
        <v>0</v>
      </c>
      <c r="BD7" s="15">
        <v>0</v>
      </c>
      <c r="BE7" s="15">
        <v>19.100000000000001</v>
      </c>
      <c r="BF7" s="15">
        <v>8.4</v>
      </c>
      <c r="BG7" s="15">
        <v>0</v>
      </c>
      <c r="BH7" s="15">
        <v>0</v>
      </c>
      <c r="BI7" s="15">
        <v>18.600000000000001</v>
      </c>
      <c r="BJ7" s="15">
        <v>8.9</v>
      </c>
      <c r="BK7" s="15">
        <v>0.2</v>
      </c>
      <c r="BL7" s="15">
        <v>0.3</v>
      </c>
      <c r="BM7" s="20"/>
      <c r="BN7" s="43">
        <f t="shared" si="25"/>
        <v>8.4</v>
      </c>
      <c r="BO7" s="43">
        <f t="shared" si="26"/>
        <v>26.799999999999997</v>
      </c>
      <c r="BP7" s="43">
        <f t="shared" si="27"/>
        <v>8.1</v>
      </c>
      <c r="BQ7" s="43">
        <f t="shared" si="28"/>
        <v>26.799999999999997</v>
      </c>
      <c r="BR7" s="10">
        <f t="shared" si="29"/>
        <v>16.5</v>
      </c>
      <c r="BS7" s="10">
        <f t="shared" si="30"/>
        <v>53.599999999999994</v>
      </c>
      <c r="BT7" s="10">
        <f t="shared" si="31"/>
        <v>8.4</v>
      </c>
      <c r="BU7" s="10">
        <f t="shared" si="32"/>
        <v>27.5</v>
      </c>
      <c r="BV7" s="10">
        <f t="shared" si="33"/>
        <v>8.9</v>
      </c>
      <c r="BW7" s="10">
        <f t="shared" si="34"/>
        <v>27.6</v>
      </c>
      <c r="BX7" s="10">
        <f t="shared" si="35"/>
        <v>17.3</v>
      </c>
      <c r="BY7" s="10">
        <f t="shared" si="36"/>
        <v>55.1</v>
      </c>
      <c r="BZ7" s="10">
        <f t="shared" si="37"/>
        <v>108.69999999999999</v>
      </c>
      <c r="CA7" s="34">
        <f t="shared" si="38"/>
        <v>0.20000000000000284</v>
      </c>
      <c r="CB7" s="34">
        <f t="shared" si="39"/>
        <v>0.5</v>
      </c>
      <c r="CC7" s="14">
        <v>18.399999999999999</v>
      </c>
      <c r="CD7" s="14">
        <v>9.5</v>
      </c>
      <c r="CE7" s="14">
        <v>0</v>
      </c>
      <c r="CF7" s="14">
        <v>0</v>
      </c>
      <c r="CG7" s="14">
        <v>18.2</v>
      </c>
      <c r="CH7" s="14">
        <v>8.5</v>
      </c>
      <c r="CI7" s="14">
        <v>0.8</v>
      </c>
      <c r="CJ7" s="14">
        <v>0</v>
      </c>
      <c r="CK7" s="14">
        <v>18.2</v>
      </c>
      <c r="CL7" s="14">
        <v>10.4</v>
      </c>
      <c r="CM7" s="14">
        <v>0.6</v>
      </c>
      <c r="CN7" s="14">
        <v>0</v>
      </c>
      <c r="CO7" s="14"/>
      <c r="CP7" s="14"/>
      <c r="CQ7" s="14"/>
      <c r="CR7" s="14"/>
      <c r="CS7" s="14"/>
      <c r="CT7" s="14"/>
      <c r="CU7" s="14"/>
      <c r="CV7" s="14"/>
      <c r="CW7" s="27">
        <f t="shared" si="40"/>
        <v>9.5</v>
      </c>
      <c r="CX7" s="27">
        <f t="shared" si="41"/>
        <v>27.9</v>
      </c>
      <c r="CY7" s="27">
        <f t="shared" si="42"/>
        <v>8.5</v>
      </c>
      <c r="CZ7" s="27">
        <f t="shared" si="43"/>
        <v>25.9</v>
      </c>
      <c r="DA7" s="27">
        <f t="shared" si="44"/>
        <v>18</v>
      </c>
      <c r="DB7" s="27">
        <f t="shared" si="45"/>
        <v>53.8</v>
      </c>
      <c r="DC7" s="27">
        <f t="shared" si="46"/>
        <v>10.4</v>
      </c>
      <c r="DD7" s="27">
        <f t="shared" si="47"/>
        <v>28</v>
      </c>
      <c r="DE7" s="27" t="str">
        <f t="shared" si="48"/>
        <v/>
      </c>
      <c r="DF7" s="27" t="str">
        <f t="shared" si="49"/>
        <v/>
      </c>
      <c r="DG7" s="27" t="str">
        <f t="shared" si="50"/>
        <v/>
      </c>
      <c r="DH7" s="27" t="str">
        <f t="shared" si="51"/>
        <v/>
      </c>
      <c r="DI7" s="27" t="str">
        <f t="shared" si="52"/>
        <v/>
      </c>
      <c r="DJ7" s="27" t="str">
        <f t="shared" si="53"/>
        <v/>
      </c>
      <c r="DK7" s="27">
        <f t="shared" si="54"/>
        <v>81.8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5"/>
        <v/>
      </c>
      <c r="EG7" s="10" t="str">
        <f t="shared" si="56"/>
        <v/>
      </c>
      <c r="EH7" s="10" t="str">
        <f t="shared" si="57"/>
        <v/>
      </c>
      <c r="EI7" s="10" t="str">
        <f t="shared" si="58"/>
        <v/>
      </c>
      <c r="EJ7" s="10" t="str">
        <f t="shared" si="59"/>
        <v/>
      </c>
      <c r="EK7" s="10" t="str">
        <f t="shared" si="60"/>
        <v/>
      </c>
      <c r="EL7" s="10" t="str">
        <f t="shared" si="61"/>
        <v/>
      </c>
      <c r="EM7" s="10" t="str">
        <f t="shared" si="62"/>
        <v/>
      </c>
      <c r="EN7" s="10" t="str">
        <f t="shared" si="63"/>
        <v/>
      </c>
      <c r="EO7" s="10" t="str">
        <f t="shared" si="64"/>
        <v/>
      </c>
      <c r="EP7" s="10" t="str">
        <f t="shared" si="65"/>
        <v/>
      </c>
      <c r="EQ7" s="10" t="str">
        <f t="shared" si="66"/>
        <v/>
      </c>
      <c r="ER7" s="10" t="str">
        <f t="shared" si="67"/>
        <v/>
      </c>
      <c r="ES7" s="10" t="str">
        <f t="shared" si="68"/>
        <v/>
      </c>
      <c r="ET7" s="10" t="str">
        <f t="shared" si="69"/>
        <v/>
      </c>
      <c r="EU7" s="44">
        <f t="shared" si="70"/>
        <v>19.05</v>
      </c>
      <c r="EV7" s="44">
        <f t="shared" si="71"/>
        <v>8.4</v>
      </c>
      <c r="EW7" s="44">
        <f t="shared" si="72"/>
        <v>0.3</v>
      </c>
      <c r="EX7" s="44">
        <f t="shared" si="73"/>
        <v>0</v>
      </c>
      <c r="EY7" s="44">
        <f t="shared" si="74"/>
        <v>18.649999999999999</v>
      </c>
      <c r="EZ7" s="44">
        <f t="shared" si="75"/>
        <v>7.6999999999999993</v>
      </c>
      <c r="FA7" s="44">
        <f t="shared" si="76"/>
        <v>0</v>
      </c>
      <c r="FB7" s="44">
        <f t="shared" si="77"/>
        <v>0</v>
      </c>
      <c r="FC7" s="44">
        <f t="shared" si="78"/>
        <v>18.899999999999999</v>
      </c>
      <c r="FD7" s="44">
        <f t="shared" si="79"/>
        <v>8</v>
      </c>
      <c r="FE7" s="44">
        <f t="shared" si="80"/>
        <v>0</v>
      </c>
      <c r="FF7" s="44">
        <f t="shared" si="81"/>
        <v>0</v>
      </c>
      <c r="FG7" s="44">
        <f t="shared" si="82"/>
        <v>16.850000000000001</v>
      </c>
      <c r="FH7" s="44">
        <f t="shared" si="83"/>
        <v>7</v>
      </c>
      <c r="FI7" s="44">
        <f t="shared" si="84"/>
        <v>0.1</v>
      </c>
      <c r="FJ7" s="44">
        <f t="shared" si="85"/>
        <v>0.3</v>
      </c>
      <c r="FK7" s="20" t="s">
        <v>29</v>
      </c>
      <c r="FL7" s="10">
        <f t="shared" si="86"/>
        <v>8.4</v>
      </c>
      <c r="FM7" s="10">
        <f t="shared" si="87"/>
        <v>27.150000000000002</v>
      </c>
      <c r="FN7" s="10">
        <f t="shared" si="88"/>
        <v>7.6999999999999993</v>
      </c>
      <c r="FO7" s="10">
        <f t="shared" si="89"/>
        <v>26.349999999999998</v>
      </c>
      <c r="FP7" s="10">
        <f t="shared" si="90"/>
        <v>16.100000000000001</v>
      </c>
      <c r="FQ7" s="10">
        <f t="shared" si="93"/>
        <v>53.5</v>
      </c>
      <c r="FR7" s="10">
        <f t="shared" si="94"/>
        <v>8</v>
      </c>
      <c r="FS7" s="10">
        <f t="shared" si="95"/>
        <v>26.9</v>
      </c>
      <c r="FT7" s="10">
        <f t="shared" si="96"/>
        <v>7</v>
      </c>
      <c r="FU7" s="10">
        <f t="shared" si="97"/>
        <v>24.05</v>
      </c>
      <c r="FV7" s="10">
        <f t="shared" si="98"/>
        <v>15</v>
      </c>
      <c r="FW7" s="10">
        <f t="shared" si="91"/>
        <v>50.95</v>
      </c>
      <c r="FX7" s="10">
        <f t="shared" si="92"/>
        <v>104.45</v>
      </c>
    </row>
    <row r="8" spans="1:180" x14ac:dyDescent="0.2">
      <c r="A8" s="3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4" t="s">
        <v>79</v>
      </c>
      <c r="C8" s="3" t="s">
        <v>4</v>
      </c>
      <c r="D8" s="3">
        <v>2007</v>
      </c>
      <c r="E8" s="8">
        <f t="shared" si="0"/>
        <v>108.00000808000533</v>
      </c>
      <c r="F8" s="2" t="str">
        <f t="shared" si="1"/>
        <v>P</v>
      </c>
      <c r="G8" s="2" t="str">
        <f t="shared" si="2"/>
        <v>P</v>
      </c>
      <c r="H8" s="26" t="str">
        <f t="shared" si="3"/>
        <v>Worlds Team</v>
      </c>
      <c r="I8" s="2" t="str">
        <f t="shared" si="4"/>
        <v>P</v>
      </c>
      <c r="J8" s="7">
        <f t="shared" si="5"/>
        <v>53.2</v>
      </c>
      <c r="K8" s="7" t="str">
        <f t="shared" si="6"/>
        <v>2025 3rd Domestic Trial</v>
      </c>
      <c r="L8" s="7">
        <f>IF(J8=AO8,IF(COUNT(AQ8,AS8,BO8,BQ8,BU8,BW8)&gt;1,LARGE((AQ8,AS8,BO8,BQ8,BU8,BW8),1),0),IF(COUNT(AK8,AM8,AQ8,AS8,BU8,BW8)&gt;1,LARGE((AK8,AM8,AQ8,AS8,BU8,BW8),1),0))</f>
        <v>27.6</v>
      </c>
      <c r="M8" s="7" t="str">
        <f t="shared" si="7"/>
        <v>2025 3rd Domestic Trial</v>
      </c>
      <c r="N8" s="7">
        <f>IF(J8=AO8,IF(COUNT(AQ8,AS8,BO8,BQ8,BU8,BW8)&gt;1,LARGE((AQ8,AS8,BO8,BQ8,BU8,BW8),2),0),IF(COUNT(AK8,AM8,AQ8,AS8,BU8,BW8)&gt;1,LARGE((AK8,AM8,AQ8,AS8,BU8,BW8),2),0))</f>
        <v>27.2</v>
      </c>
      <c r="O8" s="7" t="str">
        <f t="shared" si="8"/>
        <v>2025 Nationals</v>
      </c>
      <c r="P8" s="7" t="str">
        <f t="shared" si="9"/>
        <v/>
      </c>
      <c r="Q8" s="10" t="str">
        <f t="shared" si="10"/>
        <v/>
      </c>
      <c r="R8" s="7" t="str">
        <f t="shared" si="11"/>
        <v/>
      </c>
      <c r="S8" s="39">
        <v>19</v>
      </c>
      <c r="T8" s="39">
        <v>8.4</v>
      </c>
      <c r="U8" s="39">
        <v>0.2</v>
      </c>
      <c r="V8" s="39">
        <v>0</v>
      </c>
      <c r="W8" s="39">
        <v>18.2</v>
      </c>
      <c r="X8" s="39">
        <v>7.7</v>
      </c>
      <c r="Y8" s="39">
        <v>0</v>
      </c>
      <c r="Z8" s="39">
        <v>0</v>
      </c>
      <c r="AA8" s="39">
        <v>18.7</v>
      </c>
      <c r="AB8" s="39">
        <v>8.4</v>
      </c>
      <c r="AC8" s="39">
        <v>0.8</v>
      </c>
      <c r="AD8" s="39">
        <v>0</v>
      </c>
      <c r="AE8" s="39">
        <v>18.5</v>
      </c>
      <c r="AF8" s="39">
        <v>7.7</v>
      </c>
      <c r="AG8" s="39">
        <v>0.2</v>
      </c>
      <c r="AH8" s="39">
        <v>0</v>
      </c>
      <c r="AI8" s="19"/>
      <c r="AJ8" s="42">
        <f t="shared" si="12"/>
        <v>8.4</v>
      </c>
      <c r="AK8" s="42">
        <f t="shared" si="13"/>
        <v>27.2</v>
      </c>
      <c r="AL8" s="42">
        <f t="shared" si="14"/>
        <v>7.7</v>
      </c>
      <c r="AM8" s="42">
        <f t="shared" si="15"/>
        <v>25.9</v>
      </c>
      <c r="AN8" s="27">
        <f t="shared" si="16"/>
        <v>16.100000000000001</v>
      </c>
      <c r="AO8" s="27">
        <f t="shared" si="17"/>
        <v>53.099999999999994</v>
      </c>
      <c r="AP8" s="27">
        <f t="shared" si="18"/>
        <v>8.4</v>
      </c>
      <c r="AQ8" s="27">
        <f t="shared" si="19"/>
        <v>26.3</v>
      </c>
      <c r="AR8" s="27">
        <f t="shared" si="20"/>
        <v>7.7</v>
      </c>
      <c r="AS8" s="27">
        <f t="shared" si="21"/>
        <v>26</v>
      </c>
      <c r="AT8" s="27">
        <f t="shared" si="22"/>
        <v>16.100000000000001</v>
      </c>
      <c r="AU8" s="27">
        <f t="shared" si="23"/>
        <v>52.3</v>
      </c>
      <c r="AV8" s="27">
        <f t="shared" si="24"/>
        <v>105.39999999999999</v>
      </c>
      <c r="AW8" s="15">
        <v>19.100000000000001</v>
      </c>
      <c r="AX8" s="15">
        <v>8</v>
      </c>
      <c r="AY8" s="15">
        <v>0</v>
      </c>
      <c r="AZ8" s="15">
        <v>0.3</v>
      </c>
      <c r="BA8" s="15">
        <v>18.8</v>
      </c>
      <c r="BB8" s="15">
        <v>7.6</v>
      </c>
      <c r="BC8" s="15">
        <v>0.6</v>
      </c>
      <c r="BD8" s="15">
        <v>0</v>
      </c>
      <c r="BE8" s="15">
        <v>18.899999999999999</v>
      </c>
      <c r="BF8" s="15">
        <v>8</v>
      </c>
      <c r="BG8" s="15">
        <v>0.2</v>
      </c>
      <c r="BH8" s="15">
        <v>0.3</v>
      </c>
      <c r="BI8" s="15">
        <v>19.2</v>
      </c>
      <c r="BJ8" s="15">
        <v>8.4</v>
      </c>
      <c r="BK8" s="15">
        <v>0</v>
      </c>
      <c r="BL8" s="15">
        <v>0</v>
      </c>
      <c r="BM8" s="20"/>
      <c r="BN8" s="43">
        <f t="shared" si="25"/>
        <v>8</v>
      </c>
      <c r="BO8" s="43">
        <f t="shared" si="26"/>
        <v>27.400000000000002</v>
      </c>
      <c r="BP8" s="43">
        <f t="shared" si="27"/>
        <v>7.6</v>
      </c>
      <c r="BQ8" s="43">
        <f t="shared" si="28"/>
        <v>25.799999999999997</v>
      </c>
      <c r="BR8" s="10">
        <f t="shared" si="29"/>
        <v>15.6</v>
      </c>
      <c r="BS8" s="10">
        <f t="shared" si="30"/>
        <v>53.2</v>
      </c>
      <c r="BT8" s="10">
        <f t="shared" si="31"/>
        <v>8</v>
      </c>
      <c r="BU8" s="10">
        <f t="shared" si="32"/>
        <v>27</v>
      </c>
      <c r="BV8" s="10">
        <f t="shared" si="33"/>
        <v>8.4</v>
      </c>
      <c r="BW8" s="10">
        <f t="shared" si="34"/>
        <v>27.6</v>
      </c>
      <c r="BX8" s="10">
        <f t="shared" si="35"/>
        <v>16.399999999999999</v>
      </c>
      <c r="BY8" s="10">
        <f t="shared" si="36"/>
        <v>54.6</v>
      </c>
      <c r="BZ8" s="10">
        <f t="shared" si="37"/>
        <v>107.80000000000001</v>
      </c>
      <c r="CA8" s="34" t="str">
        <f t="shared" si="38"/>
        <v/>
      </c>
      <c r="CB8" s="34" t="str">
        <f t="shared" si="39"/>
        <v/>
      </c>
      <c r="CC8" s="14">
        <v>15.5</v>
      </c>
      <c r="CD8" s="14">
        <v>4</v>
      </c>
      <c r="CE8" s="14">
        <v>0</v>
      </c>
      <c r="CF8" s="14">
        <v>0</v>
      </c>
      <c r="CG8" s="14">
        <v>18</v>
      </c>
      <c r="CH8" s="14">
        <v>9.5</v>
      </c>
      <c r="CI8" s="14">
        <v>0.8</v>
      </c>
      <c r="CJ8" s="14">
        <v>0</v>
      </c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>
        <f t="shared" si="40"/>
        <v>4</v>
      </c>
      <c r="CX8" s="27">
        <f t="shared" si="41"/>
        <v>19.5</v>
      </c>
      <c r="CY8" s="27">
        <f t="shared" si="42"/>
        <v>9.5</v>
      </c>
      <c r="CZ8" s="27">
        <f t="shared" si="43"/>
        <v>26.7</v>
      </c>
      <c r="DA8" s="27">
        <f t="shared" si="44"/>
        <v>13.5</v>
      </c>
      <c r="DB8" s="27">
        <f t="shared" si="45"/>
        <v>46.2</v>
      </c>
      <c r="DC8" s="27" t="str">
        <f t="shared" si="46"/>
        <v/>
      </c>
      <c r="DD8" s="27" t="str">
        <f t="shared" si="47"/>
        <v/>
      </c>
      <c r="DE8" s="27" t="str">
        <f t="shared" si="48"/>
        <v/>
      </c>
      <c r="DF8" s="27" t="str">
        <f t="shared" si="49"/>
        <v/>
      </c>
      <c r="DG8" s="27" t="str">
        <f t="shared" si="50"/>
        <v/>
      </c>
      <c r="DH8" s="27" t="str">
        <f t="shared" si="51"/>
        <v/>
      </c>
      <c r="DI8" s="27" t="str">
        <f t="shared" si="52"/>
        <v/>
      </c>
      <c r="DJ8" s="27" t="str">
        <f t="shared" si="53"/>
        <v/>
      </c>
      <c r="DK8" s="27">
        <f t="shared" si="54"/>
        <v>46.2</v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5"/>
        <v/>
      </c>
      <c r="EG8" s="10" t="str">
        <f t="shared" si="56"/>
        <v/>
      </c>
      <c r="EH8" s="10" t="str">
        <f t="shared" si="57"/>
        <v/>
      </c>
      <c r="EI8" s="10" t="str">
        <f t="shared" si="58"/>
        <v/>
      </c>
      <c r="EJ8" s="10" t="str">
        <f t="shared" si="59"/>
        <v/>
      </c>
      <c r="EK8" s="10" t="str">
        <f t="shared" si="60"/>
        <v/>
      </c>
      <c r="EL8" s="10" t="str">
        <f t="shared" si="61"/>
        <v/>
      </c>
      <c r="EM8" s="10" t="str">
        <f t="shared" si="62"/>
        <v/>
      </c>
      <c r="EN8" s="10" t="str">
        <f t="shared" si="63"/>
        <v/>
      </c>
      <c r="EO8" s="10" t="str">
        <f t="shared" si="64"/>
        <v/>
      </c>
      <c r="EP8" s="10" t="str">
        <f t="shared" si="65"/>
        <v/>
      </c>
      <c r="EQ8" s="10" t="str">
        <f t="shared" si="66"/>
        <v/>
      </c>
      <c r="ER8" s="10" t="str">
        <f t="shared" si="67"/>
        <v/>
      </c>
      <c r="ES8" s="10" t="str">
        <f t="shared" si="68"/>
        <v/>
      </c>
      <c r="ET8" s="10" t="str">
        <f t="shared" si="69"/>
        <v/>
      </c>
      <c r="EU8" s="44">
        <f t="shared" si="70"/>
        <v>19.05</v>
      </c>
      <c r="EV8" s="44">
        <f t="shared" si="71"/>
        <v>8.1999999999999993</v>
      </c>
      <c r="EW8" s="44">
        <f t="shared" si="72"/>
        <v>0.1</v>
      </c>
      <c r="EX8" s="44">
        <f t="shared" si="73"/>
        <v>0.15</v>
      </c>
      <c r="EY8" s="44">
        <f t="shared" si="74"/>
        <v>18.5</v>
      </c>
      <c r="EZ8" s="44">
        <f t="shared" si="75"/>
        <v>7.65</v>
      </c>
      <c r="FA8" s="44">
        <f t="shared" si="76"/>
        <v>0.3</v>
      </c>
      <c r="FB8" s="44">
        <f t="shared" si="77"/>
        <v>0</v>
      </c>
      <c r="FC8" s="44">
        <f t="shared" si="78"/>
        <v>18.799999999999997</v>
      </c>
      <c r="FD8" s="44">
        <f t="shared" si="79"/>
        <v>8.1999999999999993</v>
      </c>
      <c r="FE8" s="44">
        <f t="shared" si="80"/>
        <v>0.5</v>
      </c>
      <c r="FF8" s="44">
        <f t="shared" si="81"/>
        <v>0.15</v>
      </c>
      <c r="FG8" s="44">
        <f t="shared" si="82"/>
        <v>18.850000000000001</v>
      </c>
      <c r="FH8" s="44">
        <f t="shared" si="83"/>
        <v>8.0500000000000007</v>
      </c>
      <c r="FI8" s="44">
        <f t="shared" si="84"/>
        <v>0.1</v>
      </c>
      <c r="FJ8" s="44">
        <f t="shared" si="85"/>
        <v>0</v>
      </c>
      <c r="FK8" s="20" t="s">
        <v>29</v>
      </c>
      <c r="FL8" s="10">
        <f t="shared" si="86"/>
        <v>8.1999999999999993</v>
      </c>
      <c r="FM8" s="10">
        <f t="shared" si="87"/>
        <v>27.299999999999997</v>
      </c>
      <c r="FN8" s="10">
        <f t="shared" si="88"/>
        <v>7.65</v>
      </c>
      <c r="FO8" s="10">
        <f t="shared" si="89"/>
        <v>25.849999999999998</v>
      </c>
      <c r="FP8" s="10">
        <f t="shared" si="90"/>
        <v>15.85</v>
      </c>
      <c r="FQ8" s="10">
        <f t="shared" si="93"/>
        <v>53.149999999999991</v>
      </c>
      <c r="FR8" s="10">
        <f t="shared" si="94"/>
        <v>8.1999999999999993</v>
      </c>
      <c r="FS8" s="10">
        <f t="shared" si="95"/>
        <v>26.649999999999995</v>
      </c>
      <c r="FT8" s="10">
        <f t="shared" si="96"/>
        <v>8.0500000000000007</v>
      </c>
      <c r="FU8" s="10">
        <f t="shared" si="97"/>
        <v>26.8</v>
      </c>
      <c r="FV8" s="10">
        <f t="shared" si="98"/>
        <v>16.25</v>
      </c>
      <c r="FW8" s="10">
        <f t="shared" si="91"/>
        <v>53.449999999999996</v>
      </c>
      <c r="FX8" s="10">
        <f t="shared" si="92"/>
        <v>106.6</v>
      </c>
    </row>
    <row r="9" spans="1:180" x14ac:dyDescent="0.2">
      <c r="A9" s="3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4" t="s">
        <v>38</v>
      </c>
      <c r="C9" s="3" t="s">
        <v>4</v>
      </c>
      <c r="D9" s="3">
        <v>2003</v>
      </c>
      <c r="E9" s="8">
        <f t="shared" si="0"/>
        <v>107.20000806000533</v>
      </c>
      <c r="F9" s="2" t="str">
        <f t="shared" si="1"/>
        <v>P</v>
      </c>
      <c r="G9" s="2" t="str">
        <f t="shared" si="2"/>
        <v>P</v>
      </c>
      <c r="H9" s="26" t="str">
        <f t="shared" si="3"/>
        <v>Worlds Team</v>
      </c>
      <c r="I9" s="2" t="str">
        <f t="shared" si="4"/>
        <v>P</v>
      </c>
      <c r="J9" s="7">
        <f t="shared" si="5"/>
        <v>53.300000000000004</v>
      </c>
      <c r="K9" s="7" t="str">
        <f t="shared" si="6"/>
        <v>2025 Nationals</v>
      </c>
      <c r="L9" s="7">
        <f>IF(J9=AO9,IF(COUNT(AQ9,AS9,BO9,BQ9,BU9,BW9)&gt;1,LARGE((AQ9,AS9,BO9,BQ9,BU9,BW9),1),0),IF(COUNT(AK9,AM9,AQ9,AS9,BU9,BW9)&gt;1,LARGE((AK9,AM9,AQ9,AS9,BU9,BW9),1),0))</f>
        <v>27.3</v>
      </c>
      <c r="M9" s="7" t="str">
        <f t="shared" si="7"/>
        <v>2025 Nationals</v>
      </c>
      <c r="N9" s="7">
        <f>IF(J9=AO9,IF(COUNT(AQ9,AS9,BO9,BQ9,BU9,BW9)&gt;1,LARGE((AQ9,AS9,BO9,BQ9,BU9,BW9),2),0),IF(COUNT(AK9,AM9,AQ9,AS9,BU9,BW9)&gt;1,LARGE((AK9,AM9,AQ9,AS9,BU9,BW9),2),0))</f>
        <v>26.599999999999998</v>
      </c>
      <c r="O9" s="7" t="str">
        <f t="shared" si="8"/>
        <v>2025 Nationals</v>
      </c>
      <c r="P9" s="7" t="str">
        <f t="shared" si="9"/>
        <v/>
      </c>
      <c r="Q9" s="10" t="str">
        <f t="shared" si="10"/>
        <v/>
      </c>
      <c r="R9" s="7" t="str">
        <f t="shared" si="11"/>
        <v/>
      </c>
      <c r="S9" s="39">
        <v>18.2</v>
      </c>
      <c r="T9" s="39">
        <v>8.4</v>
      </c>
      <c r="U9" s="39">
        <v>0</v>
      </c>
      <c r="V9" s="39">
        <v>0.3</v>
      </c>
      <c r="W9" s="39">
        <v>18.5</v>
      </c>
      <c r="X9" s="39">
        <v>7.6</v>
      </c>
      <c r="Y9" s="39">
        <v>0</v>
      </c>
      <c r="Z9" s="39">
        <v>0.3</v>
      </c>
      <c r="AA9" s="39">
        <v>18.600000000000001</v>
      </c>
      <c r="AB9" s="39">
        <v>8.4</v>
      </c>
      <c r="AC9" s="39">
        <v>0</v>
      </c>
      <c r="AD9" s="39">
        <v>0.3</v>
      </c>
      <c r="AE9" s="39">
        <v>18.7</v>
      </c>
      <c r="AF9" s="39">
        <v>7.6</v>
      </c>
      <c r="AG9" s="39">
        <v>0</v>
      </c>
      <c r="AH9" s="39">
        <v>0.3</v>
      </c>
      <c r="AI9" s="19"/>
      <c r="AJ9" s="42">
        <f t="shared" si="12"/>
        <v>8.4</v>
      </c>
      <c r="AK9" s="42">
        <f t="shared" si="13"/>
        <v>26.900000000000002</v>
      </c>
      <c r="AL9" s="42">
        <f t="shared" si="14"/>
        <v>7.6</v>
      </c>
      <c r="AM9" s="42">
        <f t="shared" si="15"/>
        <v>26.400000000000002</v>
      </c>
      <c r="AN9" s="27">
        <f t="shared" si="16"/>
        <v>16</v>
      </c>
      <c r="AO9" s="27">
        <f t="shared" si="17"/>
        <v>53.300000000000004</v>
      </c>
      <c r="AP9" s="27">
        <f t="shared" si="18"/>
        <v>8.4</v>
      </c>
      <c r="AQ9" s="27">
        <f t="shared" si="19"/>
        <v>27.3</v>
      </c>
      <c r="AR9" s="27">
        <f t="shared" si="20"/>
        <v>7.6</v>
      </c>
      <c r="AS9" s="27">
        <f t="shared" si="21"/>
        <v>26.599999999999998</v>
      </c>
      <c r="AT9" s="27">
        <f t="shared" si="22"/>
        <v>16</v>
      </c>
      <c r="AU9" s="27">
        <f t="shared" si="23"/>
        <v>53.9</v>
      </c>
      <c r="AV9" s="27">
        <f t="shared" si="24"/>
        <v>107.2</v>
      </c>
      <c r="AW9" s="15">
        <v>18.600000000000001</v>
      </c>
      <c r="AX9" s="15">
        <v>7.2</v>
      </c>
      <c r="AY9" s="15">
        <v>0.6</v>
      </c>
      <c r="AZ9" s="15">
        <v>0</v>
      </c>
      <c r="BA9" s="15">
        <v>18.7</v>
      </c>
      <c r="BB9" s="15">
        <v>7.2</v>
      </c>
      <c r="BC9" s="15">
        <v>0.2</v>
      </c>
      <c r="BD9" s="15">
        <v>0</v>
      </c>
      <c r="BE9" s="15">
        <v>18.600000000000001</v>
      </c>
      <c r="BF9" s="15">
        <v>6.8</v>
      </c>
      <c r="BG9" s="15">
        <v>0</v>
      </c>
      <c r="BH9" s="15">
        <v>0</v>
      </c>
      <c r="BI9" s="15">
        <v>18.7</v>
      </c>
      <c r="BJ9" s="15">
        <v>7.6</v>
      </c>
      <c r="BK9" s="15">
        <v>0.2</v>
      </c>
      <c r="BL9" s="15">
        <v>0</v>
      </c>
      <c r="BM9" s="20"/>
      <c r="BN9" s="43">
        <f t="shared" si="25"/>
        <v>7.2</v>
      </c>
      <c r="BO9" s="43">
        <f t="shared" si="26"/>
        <v>25.2</v>
      </c>
      <c r="BP9" s="43">
        <f t="shared" si="27"/>
        <v>7.2</v>
      </c>
      <c r="BQ9" s="43">
        <f t="shared" si="28"/>
        <v>25.7</v>
      </c>
      <c r="BR9" s="10">
        <f t="shared" si="29"/>
        <v>14.4</v>
      </c>
      <c r="BS9" s="10">
        <f t="shared" si="30"/>
        <v>50.9</v>
      </c>
      <c r="BT9" s="10">
        <f t="shared" si="31"/>
        <v>6.8</v>
      </c>
      <c r="BU9" s="10">
        <f t="shared" si="32"/>
        <v>25.400000000000002</v>
      </c>
      <c r="BV9" s="10">
        <f t="shared" si="33"/>
        <v>7.6</v>
      </c>
      <c r="BW9" s="10">
        <f t="shared" si="34"/>
        <v>26.099999999999998</v>
      </c>
      <c r="BX9" s="10">
        <f t="shared" si="35"/>
        <v>14.399999999999999</v>
      </c>
      <c r="BY9" s="10">
        <f t="shared" si="36"/>
        <v>51.5</v>
      </c>
      <c r="BZ9" s="10">
        <f t="shared" si="37"/>
        <v>102.4</v>
      </c>
      <c r="CA9" s="34" t="str">
        <f t="shared" si="38"/>
        <v/>
      </c>
      <c r="CB9" s="34" t="str">
        <f t="shared" si="39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40"/>
        <v/>
      </c>
      <c r="CX9" s="27" t="str">
        <f t="shared" si="41"/>
        <v/>
      </c>
      <c r="CY9" s="27" t="str">
        <f t="shared" si="42"/>
        <v/>
      </c>
      <c r="CZ9" s="27" t="str">
        <f t="shared" si="43"/>
        <v/>
      </c>
      <c r="DA9" s="27" t="str">
        <f t="shared" si="44"/>
        <v/>
      </c>
      <c r="DB9" s="27" t="str">
        <f t="shared" si="45"/>
        <v/>
      </c>
      <c r="DC9" s="27" t="str">
        <f t="shared" si="46"/>
        <v/>
      </c>
      <c r="DD9" s="27" t="str">
        <f t="shared" si="47"/>
        <v/>
      </c>
      <c r="DE9" s="27" t="str">
        <f t="shared" si="48"/>
        <v/>
      </c>
      <c r="DF9" s="27" t="str">
        <f t="shared" si="49"/>
        <v/>
      </c>
      <c r="DG9" s="27" t="str">
        <f t="shared" si="50"/>
        <v/>
      </c>
      <c r="DH9" s="27" t="str">
        <f t="shared" si="51"/>
        <v/>
      </c>
      <c r="DI9" s="27" t="str">
        <f t="shared" si="52"/>
        <v/>
      </c>
      <c r="DJ9" s="27" t="str">
        <f t="shared" si="53"/>
        <v/>
      </c>
      <c r="DK9" s="27" t="str">
        <f t="shared" si="54"/>
        <v/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5"/>
        <v/>
      </c>
      <c r="EG9" s="10" t="str">
        <f t="shared" si="56"/>
        <v/>
      </c>
      <c r="EH9" s="10" t="str">
        <f t="shared" si="57"/>
        <v/>
      </c>
      <c r="EI9" s="10" t="str">
        <f t="shared" si="58"/>
        <v/>
      </c>
      <c r="EJ9" s="10" t="str">
        <f t="shared" si="59"/>
        <v/>
      </c>
      <c r="EK9" s="10" t="str">
        <f t="shared" si="60"/>
        <v/>
      </c>
      <c r="EL9" s="10" t="str">
        <f t="shared" si="61"/>
        <v/>
      </c>
      <c r="EM9" s="10" t="str">
        <f t="shared" si="62"/>
        <v/>
      </c>
      <c r="EN9" s="10" t="str">
        <f t="shared" si="63"/>
        <v/>
      </c>
      <c r="EO9" s="10" t="str">
        <f t="shared" si="64"/>
        <v/>
      </c>
      <c r="EP9" s="10" t="str">
        <f t="shared" si="65"/>
        <v/>
      </c>
      <c r="EQ9" s="10" t="str">
        <f t="shared" si="66"/>
        <v/>
      </c>
      <c r="ER9" s="10" t="str">
        <f t="shared" si="67"/>
        <v/>
      </c>
      <c r="ES9" s="10" t="str">
        <f t="shared" si="68"/>
        <v/>
      </c>
      <c r="ET9" s="10" t="str">
        <f t="shared" si="69"/>
        <v/>
      </c>
      <c r="EU9" s="44">
        <f t="shared" si="70"/>
        <v>18.399999999999999</v>
      </c>
      <c r="EV9" s="44">
        <f t="shared" si="71"/>
        <v>7.8000000000000007</v>
      </c>
      <c r="EW9" s="44">
        <f t="shared" si="72"/>
        <v>0.3</v>
      </c>
      <c r="EX9" s="44">
        <f t="shared" si="73"/>
        <v>0.15</v>
      </c>
      <c r="EY9" s="44">
        <f t="shared" si="74"/>
        <v>18.600000000000001</v>
      </c>
      <c r="EZ9" s="44">
        <f t="shared" si="75"/>
        <v>7.4</v>
      </c>
      <c r="FA9" s="44">
        <f t="shared" si="76"/>
        <v>0.1</v>
      </c>
      <c r="FB9" s="44">
        <f t="shared" si="77"/>
        <v>0.15</v>
      </c>
      <c r="FC9" s="44">
        <f t="shared" si="78"/>
        <v>18.600000000000001</v>
      </c>
      <c r="FD9" s="44">
        <f t="shared" si="79"/>
        <v>7.6</v>
      </c>
      <c r="FE9" s="44">
        <f t="shared" si="80"/>
        <v>0</v>
      </c>
      <c r="FF9" s="44">
        <f t="shared" si="81"/>
        <v>0.15</v>
      </c>
      <c r="FG9" s="44">
        <f t="shared" si="82"/>
        <v>18.7</v>
      </c>
      <c r="FH9" s="44">
        <f t="shared" si="83"/>
        <v>7.6</v>
      </c>
      <c r="FI9" s="44">
        <f t="shared" si="84"/>
        <v>0.1</v>
      </c>
      <c r="FJ9" s="44">
        <f t="shared" si="85"/>
        <v>0.15</v>
      </c>
      <c r="FK9" s="20" t="s">
        <v>29</v>
      </c>
      <c r="FL9" s="10">
        <f t="shared" si="86"/>
        <v>7.8000000000000007</v>
      </c>
      <c r="FM9" s="10">
        <f t="shared" si="87"/>
        <v>26.049999999999997</v>
      </c>
      <c r="FN9" s="10">
        <f t="shared" si="88"/>
        <v>7.4</v>
      </c>
      <c r="FO9" s="10">
        <f t="shared" si="89"/>
        <v>26.049999999999997</v>
      </c>
      <c r="FP9" s="10">
        <f t="shared" si="90"/>
        <v>15.200000000000001</v>
      </c>
      <c r="FQ9" s="10">
        <f t="shared" si="93"/>
        <v>52.099999999999994</v>
      </c>
      <c r="FR9" s="10">
        <f t="shared" si="94"/>
        <v>7.6</v>
      </c>
      <c r="FS9" s="10">
        <f t="shared" si="95"/>
        <v>26.35</v>
      </c>
      <c r="FT9" s="10">
        <f t="shared" si="96"/>
        <v>7.6</v>
      </c>
      <c r="FU9" s="10">
        <f t="shared" si="97"/>
        <v>26.349999999999994</v>
      </c>
      <c r="FV9" s="10">
        <f t="shared" si="98"/>
        <v>15.2</v>
      </c>
      <c r="FW9" s="10">
        <f t="shared" si="91"/>
        <v>52.699999999999996</v>
      </c>
      <c r="FX9" s="10">
        <f t="shared" si="92"/>
        <v>104.79999999999998</v>
      </c>
    </row>
    <row r="10" spans="1:180" x14ac:dyDescent="0.2">
      <c r="A10" s="3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4" t="s">
        <v>81</v>
      </c>
      <c r="C10" s="3" t="s">
        <v>4</v>
      </c>
      <c r="D10" s="3">
        <v>2008</v>
      </c>
      <c r="E10" s="8">
        <f t="shared" si="0"/>
        <v>106.20000801000531</v>
      </c>
      <c r="F10" s="2" t="str">
        <f t="shared" si="1"/>
        <v>P</v>
      </c>
      <c r="G10" s="2" t="str">
        <f t="shared" si="2"/>
        <v>P</v>
      </c>
      <c r="H10" s="26" t="str">
        <f t="shared" si="3"/>
        <v>Worlds Team</v>
      </c>
      <c r="I10" s="2" t="str">
        <f t="shared" si="4"/>
        <v>P</v>
      </c>
      <c r="J10" s="7">
        <f t="shared" si="5"/>
        <v>53.2</v>
      </c>
      <c r="K10" s="7" t="str">
        <f t="shared" si="6"/>
        <v>2025 3rd Domestic Trial</v>
      </c>
      <c r="L10" s="7">
        <f>IF(J10=AO10,IF(COUNT(AQ10,AS10,BO10,BQ10,BU10,BW10)&gt;1,LARGE((AQ10,AS10,BO10,BQ10,BU10,BW10),1),0),IF(COUNT(AK10,AM10,AQ10,AS10,BU10,BW10)&gt;1,LARGE((AK10,AM10,AQ10,AS10,BU10,BW10),1),0))</f>
        <v>26.9</v>
      </c>
      <c r="M10" s="7" t="str">
        <f t="shared" si="7"/>
        <v>2025 3rd Domestic Trial</v>
      </c>
      <c r="N10" s="7">
        <f>IF(J10=AO10,IF(COUNT(AQ10,AS10,BO10,BQ10,BU10,BW10)&gt;1,LARGE((AQ10,AS10,BO10,BQ10,BU10,BW10),2),0),IF(COUNT(AK10,AM10,AQ10,AS10,BU10,BW10)&gt;1,LARGE((AK10,AM10,AQ10,AS10,BU10,BW10),2),0))</f>
        <v>26.1</v>
      </c>
      <c r="O10" s="7" t="str">
        <f t="shared" si="8"/>
        <v>2025 3rd Domestic Trial</v>
      </c>
      <c r="P10" s="7" t="str">
        <f t="shared" si="9"/>
        <v/>
      </c>
      <c r="Q10" s="10" t="str">
        <f t="shared" si="10"/>
        <v/>
      </c>
      <c r="R10" s="7" t="str">
        <f t="shared" si="11"/>
        <v/>
      </c>
      <c r="S10" s="39">
        <v>15.4</v>
      </c>
      <c r="T10" s="39">
        <v>2.8</v>
      </c>
      <c r="U10" s="39">
        <v>0</v>
      </c>
      <c r="V10" s="39">
        <v>0</v>
      </c>
      <c r="W10" s="39">
        <v>18.100000000000001</v>
      </c>
      <c r="X10" s="39">
        <v>8</v>
      </c>
      <c r="Y10" s="39">
        <v>0.6</v>
      </c>
      <c r="Z10" s="39">
        <v>0</v>
      </c>
      <c r="AA10" s="39"/>
      <c r="AB10" s="39"/>
      <c r="AC10" s="39"/>
      <c r="AD10" s="39"/>
      <c r="AE10" s="39"/>
      <c r="AF10" s="39"/>
      <c r="AG10" s="39"/>
      <c r="AH10" s="39"/>
      <c r="AI10" s="19"/>
      <c r="AJ10" s="42">
        <f t="shared" si="12"/>
        <v>2.8</v>
      </c>
      <c r="AK10" s="42">
        <f t="shared" si="13"/>
        <v>18.2</v>
      </c>
      <c r="AL10" s="42">
        <f t="shared" si="14"/>
        <v>8</v>
      </c>
      <c r="AM10" s="42">
        <f t="shared" si="15"/>
        <v>25.5</v>
      </c>
      <c r="AN10" s="27">
        <f t="shared" si="16"/>
        <v>10.8</v>
      </c>
      <c r="AO10" s="27">
        <f t="shared" si="17"/>
        <v>43.7</v>
      </c>
      <c r="AP10" s="27" t="str">
        <f t="shared" si="18"/>
        <v/>
      </c>
      <c r="AQ10" s="27" t="str">
        <f t="shared" si="19"/>
        <v/>
      </c>
      <c r="AR10" s="27" t="str">
        <f t="shared" si="20"/>
        <v/>
      </c>
      <c r="AS10" s="27" t="str">
        <f t="shared" si="21"/>
        <v/>
      </c>
      <c r="AT10" s="27" t="str">
        <f t="shared" si="22"/>
        <v/>
      </c>
      <c r="AU10" s="27" t="str">
        <f t="shared" si="23"/>
        <v/>
      </c>
      <c r="AV10" s="27">
        <f t="shared" si="24"/>
        <v>43.7</v>
      </c>
      <c r="AW10" s="15">
        <v>18.3</v>
      </c>
      <c r="AX10" s="15">
        <v>8.8000000000000007</v>
      </c>
      <c r="AY10" s="15">
        <v>0.6</v>
      </c>
      <c r="AZ10" s="15">
        <v>0.3</v>
      </c>
      <c r="BA10" s="15">
        <v>18.600000000000001</v>
      </c>
      <c r="BB10" s="15">
        <v>8.4</v>
      </c>
      <c r="BC10" s="15">
        <v>0.6</v>
      </c>
      <c r="BD10" s="15">
        <v>0</v>
      </c>
      <c r="BE10" s="15">
        <v>18.600000000000001</v>
      </c>
      <c r="BF10" s="15">
        <v>8.4</v>
      </c>
      <c r="BG10" s="15">
        <v>0.9</v>
      </c>
      <c r="BH10" s="15">
        <v>0</v>
      </c>
      <c r="BI10" s="15">
        <v>18.5</v>
      </c>
      <c r="BJ10" s="15">
        <v>8.4</v>
      </c>
      <c r="BK10" s="15">
        <v>0</v>
      </c>
      <c r="BL10" s="15">
        <v>0</v>
      </c>
      <c r="BM10" s="20"/>
      <c r="BN10" s="43">
        <f t="shared" si="25"/>
        <v>8.8000000000000007</v>
      </c>
      <c r="BO10" s="43">
        <f t="shared" si="26"/>
        <v>26.8</v>
      </c>
      <c r="BP10" s="43">
        <f t="shared" si="27"/>
        <v>8.4</v>
      </c>
      <c r="BQ10" s="43">
        <f t="shared" si="28"/>
        <v>26.4</v>
      </c>
      <c r="BR10" s="10">
        <f t="shared" si="29"/>
        <v>17.200000000000003</v>
      </c>
      <c r="BS10" s="10">
        <f t="shared" si="30"/>
        <v>53.2</v>
      </c>
      <c r="BT10" s="10">
        <f t="shared" si="31"/>
        <v>8.4</v>
      </c>
      <c r="BU10" s="10">
        <f t="shared" si="32"/>
        <v>26.1</v>
      </c>
      <c r="BV10" s="10">
        <f t="shared" si="33"/>
        <v>8.4</v>
      </c>
      <c r="BW10" s="10">
        <f t="shared" si="34"/>
        <v>26.9</v>
      </c>
      <c r="BX10" s="10">
        <f t="shared" si="35"/>
        <v>16.8</v>
      </c>
      <c r="BY10" s="10">
        <f t="shared" si="36"/>
        <v>53</v>
      </c>
      <c r="BZ10" s="10">
        <f t="shared" si="37"/>
        <v>106.2</v>
      </c>
      <c r="CA10" s="34" t="str">
        <f t="shared" si="38"/>
        <v/>
      </c>
      <c r="CB10" s="34" t="str">
        <f t="shared" si="39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40"/>
        <v/>
      </c>
      <c r="CX10" s="27" t="str">
        <f t="shared" si="41"/>
        <v/>
      </c>
      <c r="CY10" s="27" t="str">
        <f t="shared" si="42"/>
        <v/>
      </c>
      <c r="CZ10" s="27" t="str">
        <f t="shared" si="43"/>
        <v/>
      </c>
      <c r="DA10" s="27" t="str">
        <f t="shared" si="44"/>
        <v/>
      </c>
      <c r="DB10" s="27" t="str">
        <f t="shared" si="45"/>
        <v/>
      </c>
      <c r="DC10" s="27" t="str">
        <f t="shared" si="46"/>
        <v/>
      </c>
      <c r="DD10" s="27" t="str">
        <f t="shared" si="47"/>
        <v/>
      </c>
      <c r="DE10" s="27" t="str">
        <f t="shared" si="48"/>
        <v/>
      </c>
      <c r="DF10" s="27" t="str">
        <f t="shared" si="49"/>
        <v/>
      </c>
      <c r="DG10" s="27" t="str">
        <f t="shared" si="50"/>
        <v/>
      </c>
      <c r="DH10" s="27" t="str">
        <f t="shared" si="51"/>
        <v/>
      </c>
      <c r="DI10" s="27" t="str">
        <f t="shared" si="52"/>
        <v/>
      </c>
      <c r="DJ10" s="27" t="str">
        <f t="shared" si="53"/>
        <v/>
      </c>
      <c r="DK10" s="27" t="str">
        <f t="shared" si="54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5"/>
        <v/>
      </c>
      <c r="EG10" s="10" t="str">
        <f t="shared" si="56"/>
        <v/>
      </c>
      <c r="EH10" s="10" t="str">
        <f t="shared" si="57"/>
        <v/>
      </c>
      <c r="EI10" s="10" t="str">
        <f t="shared" si="58"/>
        <v/>
      </c>
      <c r="EJ10" s="10" t="str">
        <f t="shared" si="59"/>
        <v/>
      </c>
      <c r="EK10" s="10" t="str">
        <f t="shared" si="60"/>
        <v/>
      </c>
      <c r="EL10" s="10" t="str">
        <f t="shared" si="61"/>
        <v/>
      </c>
      <c r="EM10" s="10" t="str">
        <f t="shared" si="62"/>
        <v/>
      </c>
      <c r="EN10" s="10" t="str">
        <f t="shared" si="63"/>
        <v/>
      </c>
      <c r="EO10" s="10" t="str">
        <f t="shared" si="64"/>
        <v/>
      </c>
      <c r="EP10" s="10" t="str">
        <f t="shared" si="65"/>
        <v/>
      </c>
      <c r="EQ10" s="10" t="str">
        <f t="shared" si="66"/>
        <v/>
      </c>
      <c r="ER10" s="10" t="str">
        <f t="shared" si="67"/>
        <v/>
      </c>
      <c r="ES10" s="10" t="str">
        <f t="shared" si="68"/>
        <v/>
      </c>
      <c r="ET10" s="10" t="str">
        <f t="shared" si="69"/>
        <v/>
      </c>
      <c r="EU10" s="44">
        <f t="shared" si="70"/>
        <v>16.850000000000001</v>
      </c>
      <c r="EV10" s="44">
        <f t="shared" si="71"/>
        <v>5.8000000000000007</v>
      </c>
      <c r="EW10" s="44">
        <f t="shared" si="72"/>
        <v>0.3</v>
      </c>
      <c r="EX10" s="44">
        <f t="shared" si="73"/>
        <v>0.15</v>
      </c>
      <c r="EY10" s="44">
        <f t="shared" si="74"/>
        <v>18.350000000000001</v>
      </c>
      <c r="EZ10" s="44">
        <f t="shared" si="75"/>
        <v>8.1999999999999993</v>
      </c>
      <c r="FA10" s="44">
        <f t="shared" si="76"/>
        <v>0.6</v>
      </c>
      <c r="FB10" s="44">
        <f t="shared" si="77"/>
        <v>0</v>
      </c>
      <c r="FC10" s="44">
        <f t="shared" si="78"/>
        <v>9.3000000000000007</v>
      </c>
      <c r="FD10" s="44">
        <f t="shared" si="79"/>
        <v>4.2</v>
      </c>
      <c r="FE10" s="44">
        <f t="shared" si="80"/>
        <v>0.45</v>
      </c>
      <c r="FF10" s="44">
        <f t="shared" si="81"/>
        <v>0</v>
      </c>
      <c r="FG10" s="44">
        <f t="shared" si="82"/>
        <v>9.25</v>
      </c>
      <c r="FH10" s="44">
        <f t="shared" si="83"/>
        <v>4.2</v>
      </c>
      <c r="FI10" s="44">
        <f t="shared" si="84"/>
        <v>0</v>
      </c>
      <c r="FJ10" s="44">
        <f t="shared" si="85"/>
        <v>0</v>
      </c>
      <c r="FK10" s="20" t="s">
        <v>29</v>
      </c>
      <c r="FL10" s="10">
        <f t="shared" si="86"/>
        <v>5.8000000000000007</v>
      </c>
      <c r="FM10" s="10">
        <f t="shared" si="87"/>
        <v>22.5</v>
      </c>
      <c r="FN10" s="10">
        <f t="shared" si="88"/>
        <v>8.1999999999999993</v>
      </c>
      <c r="FO10" s="10">
        <f t="shared" si="89"/>
        <v>25.95</v>
      </c>
      <c r="FP10" s="10">
        <f t="shared" si="90"/>
        <v>14</v>
      </c>
      <c r="FQ10" s="10">
        <f t="shared" si="93"/>
        <v>48.45</v>
      </c>
      <c r="FR10" s="10">
        <f t="shared" si="94"/>
        <v>4.2</v>
      </c>
      <c r="FS10" s="10">
        <f t="shared" si="95"/>
        <v>13.05</v>
      </c>
      <c r="FT10" s="10">
        <f t="shared" si="96"/>
        <v>4.2</v>
      </c>
      <c r="FU10" s="10">
        <f t="shared" si="97"/>
        <v>13.45</v>
      </c>
      <c r="FV10" s="10">
        <f t="shared" si="98"/>
        <v>8.4</v>
      </c>
      <c r="FW10" s="10">
        <f t="shared" si="91"/>
        <v>26.5</v>
      </c>
      <c r="FX10" s="10">
        <f t="shared" si="92"/>
        <v>74.95</v>
      </c>
    </row>
    <row r="11" spans="1:180" x14ac:dyDescent="0.2">
      <c r="A11" s="3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4" t="s">
        <v>62</v>
      </c>
      <c r="C11" s="3" t="s">
        <v>4</v>
      </c>
      <c r="D11" s="3">
        <v>2005</v>
      </c>
      <c r="E11" s="8">
        <f t="shared" si="0"/>
        <v>105.20000788000523</v>
      </c>
      <c r="F11" s="2" t="str">
        <f t="shared" si="1"/>
        <v>P</v>
      </c>
      <c r="G11" s="2" t="str">
        <f t="shared" si="2"/>
        <v>P</v>
      </c>
      <c r="H11" s="26" t="str">
        <f t="shared" si="3"/>
        <v>National Team</v>
      </c>
      <c r="I11" s="2" t="str">
        <f t="shared" si="4"/>
        <v/>
      </c>
      <c r="J11" s="7">
        <f t="shared" si="5"/>
        <v>52.2</v>
      </c>
      <c r="K11" s="7" t="str">
        <f t="shared" si="6"/>
        <v>2025 Nationals</v>
      </c>
      <c r="L11" s="7">
        <f>IF(J11=AO11,IF(COUNT(AQ11,AS11,BO11,BQ11,BU11,BW11)&gt;1,LARGE((AQ11,AS11,BO11,BQ11,BU11,BW11),1),0),IF(COUNT(AK11,AM11,AQ11,AS11,BU11,BW11)&gt;1,LARGE((AK11,AM11,AQ11,AS11,BU11,BW11),1),0))</f>
        <v>26.6</v>
      </c>
      <c r="M11" s="7" t="str">
        <f t="shared" si="7"/>
        <v>2025 Nationals</v>
      </c>
      <c r="N11" s="7">
        <f>IF(J11=AO11,IF(COUNT(AQ11,AS11,BO11,BQ11,BU11,BW11)&gt;1,LARGE((AQ11,AS11,BO11,BQ11,BU11,BW11),2),0),IF(COUNT(AK11,AM11,AQ11,AS11,BU11,BW11)&gt;1,LARGE((AK11,AM11,AQ11,AS11,BU11,BW11),2),0))</f>
        <v>26.400000000000002</v>
      </c>
      <c r="O11" s="7" t="str">
        <f t="shared" si="8"/>
        <v>2025 3rd Domestic Trial</v>
      </c>
      <c r="P11" s="7" t="str">
        <f t="shared" si="9"/>
        <v/>
      </c>
      <c r="Q11" s="10" t="str">
        <f t="shared" si="10"/>
        <v/>
      </c>
      <c r="R11" s="7" t="str">
        <f t="shared" si="11"/>
        <v/>
      </c>
      <c r="S11" s="39">
        <v>18.8</v>
      </c>
      <c r="T11" s="39">
        <v>8.4</v>
      </c>
      <c r="U11" s="39">
        <v>0</v>
      </c>
      <c r="V11" s="39">
        <v>0</v>
      </c>
      <c r="W11" s="39">
        <v>16.8</v>
      </c>
      <c r="X11" s="39">
        <v>8.1</v>
      </c>
      <c r="Y11" s="39">
        <v>0.2</v>
      </c>
      <c r="Z11" s="39">
        <v>0.3</v>
      </c>
      <c r="AA11" s="39">
        <v>16.3</v>
      </c>
      <c r="AB11" s="39">
        <v>7.6</v>
      </c>
      <c r="AC11" s="39">
        <v>1</v>
      </c>
      <c r="AD11" s="39">
        <v>0</v>
      </c>
      <c r="AE11" s="39">
        <v>18.399999999999999</v>
      </c>
      <c r="AF11" s="39">
        <v>8.1</v>
      </c>
      <c r="AG11" s="39">
        <v>0.2</v>
      </c>
      <c r="AH11" s="39">
        <v>0.3</v>
      </c>
      <c r="AI11" s="19"/>
      <c r="AJ11" s="42">
        <f t="shared" si="12"/>
        <v>8.4</v>
      </c>
      <c r="AK11" s="42">
        <f t="shared" si="13"/>
        <v>27.200000000000003</v>
      </c>
      <c r="AL11" s="42">
        <f t="shared" si="14"/>
        <v>8.1</v>
      </c>
      <c r="AM11" s="42">
        <f t="shared" si="15"/>
        <v>25</v>
      </c>
      <c r="AN11" s="27">
        <f t="shared" si="16"/>
        <v>16.5</v>
      </c>
      <c r="AO11" s="27">
        <f t="shared" si="17"/>
        <v>52.2</v>
      </c>
      <c r="AP11" s="27">
        <f t="shared" si="18"/>
        <v>7.6</v>
      </c>
      <c r="AQ11" s="27">
        <f t="shared" si="19"/>
        <v>22.9</v>
      </c>
      <c r="AR11" s="27">
        <f t="shared" si="20"/>
        <v>8.1</v>
      </c>
      <c r="AS11" s="27">
        <f t="shared" si="21"/>
        <v>26.6</v>
      </c>
      <c r="AT11" s="27">
        <f t="shared" si="22"/>
        <v>15.7</v>
      </c>
      <c r="AU11" s="27">
        <f t="shared" si="23"/>
        <v>49.5</v>
      </c>
      <c r="AV11" s="27">
        <f t="shared" si="24"/>
        <v>101.7</v>
      </c>
      <c r="AW11" s="15">
        <v>18.7</v>
      </c>
      <c r="AX11" s="15">
        <v>8.4</v>
      </c>
      <c r="AY11" s="15">
        <v>0.8</v>
      </c>
      <c r="AZ11" s="15">
        <v>0</v>
      </c>
      <c r="BA11" s="15">
        <v>16.899999999999999</v>
      </c>
      <c r="BB11" s="15">
        <v>8.1</v>
      </c>
      <c r="BC11" s="15">
        <v>0.8</v>
      </c>
      <c r="BD11" s="15">
        <v>0</v>
      </c>
      <c r="BE11" s="15">
        <v>18.8</v>
      </c>
      <c r="BF11" s="15">
        <v>8.4</v>
      </c>
      <c r="BG11" s="15">
        <v>0.8</v>
      </c>
      <c r="BH11" s="15">
        <v>0</v>
      </c>
      <c r="BI11" s="15">
        <v>18.8</v>
      </c>
      <c r="BJ11" s="15">
        <v>8.1</v>
      </c>
      <c r="BK11" s="15">
        <v>0.8</v>
      </c>
      <c r="BL11" s="15">
        <v>0</v>
      </c>
      <c r="BM11" s="20"/>
      <c r="BN11" s="43">
        <f t="shared" si="25"/>
        <v>8.4</v>
      </c>
      <c r="BO11" s="43">
        <f t="shared" si="26"/>
        <v>26.3</v>
      </c>
      <c r="BP11" s="43">
        <f t="shared" si="27"/>
        <v>8.1</v>
      </c>
      <c r="BQ11" s="43">
        <f t="shared" si="28"/>
        <v>24.2</v>
      </c>
      <c r="BR11" s="10">
        <f t="shared" si="29"/>
        <v>16.5</v>
      </c>
      <c r="BS11" s="10">
        <f t="shared" si="30"/>
        <v>50.5</v>
      </c>
      <c r="BT11" s="10">
        <f t="shared" si="31"/>
        <v>8.4</v>
      </c>
      <c r="BU11" s="10">
        <f t="shared" si="32"/>
        <v>26.400000000000002</v>
      </c>
      <c r="BV11" s="10">
        <f t="shared" si="33"/>
        <v>8.1</v>
      </c>
      <c r="BW11" s="10">
        <f t="shared" si="34"/>
        <v>26.099999999999998</v>
      </c>
      <c r="BX11" s="10">
        <f t="shared" si="35"/>
        <v>16.5</v>
      </c>
      <c r="BY11" s="10">
        <f t="shared" si="36"/>
        <v>52.5</v>
      </c>
      <c r="BZ11" s="10">
        <f t="shared" si="37"/>
        <v>103</v>
      </c>
      <c r="CA11" s="34" t="str">
        <f t="shared" si="38"/>
        <v/>
      </c>
      <c r="CB11" s="34" t="str">
        <f t="shared" si="39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40"/>
        <v/>
      </c>
      <c r="CX11" s="27" t="str">
        <f t="shared" si="41"/>
        <v/>
      </c>
      <c r="CY11" s="27" t="str">
        <f t="shared" si="42"/>
        <v/>
      </c>
      <c r="CZ11" s="27" t="str">
        <f t="shared" si="43"/>
        <v/>
      </c>
      <c r="DA11" s="27" t="str">
        <f t="shared" si="44"/>
        <v/>
      </c>
      <c r="DB11" s="27" t="str">
        <f t="shared" si="45"/>
        <v/>
      </c>
      <c r="DC11" s="27" t="str">
        <f t="shared" si="46"/>
        <v/>
      </c>
      <c r="DD11" s="27" t="str">
        <f t="shared" si="47"/>
        <v/>
      </c>
      <c r="DE11" s="27" t="str">
        <f t="shared" si="48"/>
        <v/>
      </c>
      <c r="DF11" s="27" t="str">
        <f t="shared" si="49"/>
        <v/>
      </c>
      <c r="DG11" s="27" t="str">
        <f t="shared" si="50"/>
        <v/>
      </c>
      <c r="DH11" s="27" t="str">
        <f t="shared" si="51"/>
        <v/>
      </c>
      <c r="DI11" s="27" t="str">
        <f t="shared" si="52"/>
        <v/>
      </c>
      <c r="DJ11" s="27" t="str">
        <f t="shared" si="53"/>
        <v/>
      </c>
      <c r="DK11" s="27" t="str">
        <f t="shared" si="54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5"/>
        <v/>
      </c>
      <c r="EG11" s="10" t="str">
        <f t="shared" si="56"/>
        <v/>
      </c>
      <c r="EH11" s="10" t="str">
        <f t="shared" si="57"/>
        <v/>
      </c>
      <c r="EI11" s="10" t="str">
        <f t="shared" si="58"/>
        <v/>
      </c>
      <c r="EJ11" s="10" t="str">
        <f t="shared" si="59"/>
        <v/>
      </c>
      <c r="EK11" s="10" t="str">
        <f t="shared" si="60"/>
        <v/>
      </c>
      <c r="EL11" s="10" t="str">
        <f t="shared" si="61"/>
        <v/>
      </c>
      <c r="EM11" s="10" t="str">
        <f t="shared" si="62"/>
        <v/>
      </c>
      <c r="EN11" s="10" t="str">
        <f t="shared" si="63"/>
        <v/>
      </c>
      <c r="EO11" s="10" t="str">
        <f t="shared" si="64"/>
        <v/>
      </c>
      <c r="EP11" s="10" t="str">
        <f t="shared" si="65"/>
        <v/>
      </c>
      <c r="EQ11" s="10" t="str">
        <f t="shared" si="66"/>
        <v/>
      </c>
      <c r="ER11" s="10" t="str">
        <f t="shared" si="67"/>
        <v/>
      </c>
      <c r="ES11" s="10" t="str">
        <f t="shared" si="68"/>
        <v/>
      </c>
      <c r="ET11" s="10" t="str">
        <f t="shared" si="69"/>
        <v/>
      </c>
      <c r="EU11" s="44">
        <f t="shared" si="70"/>
        <v>18.75</v>
      </c>
      <c r="EV11" s="44">
        <f t="shared" si="71"/>
        <v>8.4</v>
      </c>
      <c r="EW11" s="44">
        <f t="shared" si="72"/>
        <v>0.4</v>
      </c>
      <c r="EX11" s="44">
        <f t="shared" si="73"/>
        <v>0</v>
      </c>
      <c r="EY11" s="44">
        <f t="shared" si="74"/>
        <v>16.850000000000001</v>
      </c>
      <c r="EZ11" s="44">
        <f t="shared" si="75"/>
        <v>8.1</v>
      </c>
      <c r="FA11" s="44">
        <f t="shared" si="76"/>
        <v>0.5</v>
      </c>
      <c r="FB11" s="44">
        <f t="shared" si="77"/>
        <v>0.15</v>
      </c>
      <c r="FC11" s="44">
        <f t="shared" si="78"/>
        <v>17.55</v>
      </c>
      <c r="FD11" s="44">
        <f t="shared" si="79"/>
        <v>8</v>
      </c>
      <c r="FE11" s="44">
        <f t="shared" si="80"/>
        <v>0.9</v>
      </c>
      <c r="FF11" s="44">
        <f t="shared" si="81"/>
        <v>0</v>
      </c>
      <c r="FG11" s="44">
        <f t="shared" si="82"/>
        <v>18.600000000000001</v>
      </c>
      <c r="FH11" s="44">
        <f t="shared" si="83"/>
        <v>8.1</v>
      </c>
      <c r="FI11" s="44">
        <f t="shared" si="84"/>
        <v>0.5</v>
      </c>
      <c r="FJ11" s="44">
        <f t="shared" si="85"/>
        <v>0.15</v>
      </c>
      <c r="FK11" s="20" t="s">
        <v>29</v>
      </c>
      <c r="FL11" s="10">
        <f t="shared" si="86"/>
        <v>8.4</v>
      </c>
      <c r="FM11" s="10">
        <f t="shared" si="87"/>
        <v>26.75</v>
      </c>
      <c r="FN11" s="10">
        <f t="shared" si="88"/>
        <v>8.1</v>
      </c>
      <c r="FO11" s="10">
        <f t="shared" si="89"/>
        <v>24.6</v>
      </c>
      <c r="FP11" s="10">
        <f t="shared" si="90"/>
        <v>16.5</v>
      </c>
      <c r="FQ11" s="10">
        <f t="shared" si="93"/>
        <v>51.35</v>
      </c>
      <c r="FR11" s="10">
        <f t="shared" si="94"/>
        <v>8</v>
      </c>
      <c r="FS11" s="10">
        <f t="shared" si="95"/>
        <v>24.650000000000002</v>
      </c>
      <c r="FT11" s="10">
        <f t="shared" si="96"/>
        <v>8.1</v>
      </c>
      <c r="FU11" s="10">
        <f t="shared" si="97"/>
        <v>26.35</v>
      </c>
      <c r="FV11" s="10">
        <f t="shared" si="98"/>
        <v>16.100000000000001</v>
      </c>
      <c r="FW11" s="10">
        <f t="shared" si="91"/>
        <v>51</v>
      </c>
      <c r="FX11" s="10">
        <f t="shared" si="92"/>
        <v>102.35</v>
      </c>
    </row>
    <row r="12" spans="1:180" x14ac:dyDescent="0.2">
      <c r="A12" s="3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4" t="s">
        <v>80</v>
      </c>
      <c r="C12" s="3" t="s">
        <v>4</v>
      </c>
      <c r="D12" s="3">
        <v>1994</v>
      </c>
      <c r="E12" s="8">
        <f t="shared" si="0"/>
        <v>103.50000778000509</v>
      </c>
      <c r="F12" s="2" t="str">
        <f t="shared" si="1"/>
        <v>P</v>
      </c>
      <c r="G12" s="2" t="str">
        <f t="shared" si="2"/>
        <v>P</v>
      </c>
      <c r="H12" s="26" t="str">
        <f t="shared" si="3"/>
        <v>National Team</v>
      </c>
      <c r="I12" s="2" t="str">
        <f t="shared" si="4"/>
        <v/>
      </c>
      <c r="J12" s="7">
        <f t="shared" si="5"/>
        <v>50.9</v>
      </c>
      <c r="K12" s="7" t="str">
        <f t="shared" si="6"/>
        <v>2025 3rd Domestic Trial</v>
      </c>
      <c r="L12" s="7">
        <f>IF(J12=AO12,IF(COUNT(AQ12,AS12,BO12,BQ12,BU12,BW12)&gt;1,LARGE((AQ12,AS12,BO12,BQ12,BU12,BW12),1),0),IF(COUNT(AK12,AM12,AQ12,AS12,BU12,BW12)&gt;1,LARGE((AK12,AM12,AQ12,AS12,BU12,BW12),1),0))</f>
        <v>26.900000000000002</v>
      </c>
      <c r="M12" s="7" t="str">
        <f t="shared" si="7"/>
        <v>2025 3rd Domestic Trial</v>
      </c>
      <c r="N12" s="7">
        <f>IF(J12=AO12,IF(COUNT(AQ12,AS12,BO12,BQ12,BU12,BW12)&gt;1,LARGE((AQ12,AS12,BO12,BQ12,BU12,BW12),2),0),IF(COUNT(AK12,AM12,AQ12,AS12,BU12,BW12)&gt;1,LARGE((AK12,AM12,AQ12,AS12,BU12,BW12),2),0))</f>
        <v>25.699999999999996</v>
      </c>
      <c r="O12" s="7" t="str">
        <f t="shared" si="8"/>
        <v>2025 3rd Domestic Trial</v>
      </c>
      <c r="P12" s="7" t="str">
        <f t="shared" si="9"/>
        <v/>
      </c>
      <c r="Q12" s="10" t="str">
        <f t="shared" si="10"/>
        <v/>
      </c>
      <c r="R12" s="7" t="str">
        <f t="shared" si="11"/>
        <v/>
      </c>
      <c r="S12" s="39">
        <v>18.5</v>
      </c>
      <c r="T12" s="39">
        <v>7.6</v>
      </c>
      <c r="U12" s="39">
        <v>0.8</v>
      </c>
      <c r="V12" s="39">
        <v>0</v>
      </c>
      <c r="W12" s="39">
        <v>17.8</v>
      </c>
      <c r="X12" s="39">
        <v>6.8</v>
      </c>
      <c r="Y12" s="39">
        <v>0</v>
      </c>
      <c r="Z12" s="39">
        <v>0</v>
      </c>
      <c r="AA12" s="39"/>
      <c r="AB12" s="39"/>
      <c r="AC12" s="39"/>
      <c r="AD12" s="39"/>
      <c r="AE12" s="39"/>
      <c r="AF12" s="39"/>
      <c r="AG12" s="39"/>
      <c r="AH12" s="39"/>
      <c r="AI12" s="19"/>
      <c r="AJ12" s="42">
        <f t="shared" si="12"/>
        <v>7.6</v>
      </c>
      <c r="AK12" s="42">
        <f t="shared" si="13"/>
        <v>25.3</v>
      </c>
      <c r="AL12" s="42">
        <f t="shared" si="14"/>
        <v>6.8</v>
      </c>
      <c r="AM12" s="42">
        <f t="shared" si="15"/>
        <v>24.6</v>
      </c>
      <c r="AN12" s="27">
        <f t="shared" si="16"/>
        <v>14.399999999999999</v>
      </c>
      <c r="AO12" s="27">
        <f t="shared" si="17"/>
        <v>49.900000000000006</v>
      </c>
      <c r="AP12" s="27" t="str">
        <f t="shared" si="18"/>
        <v/>
      </c>
      <c r="AQ12" s="27" t="str">
        <f t="shared" si="19"/>
        <v/>
      </c>
      <c r="AR12" s="27" t="str">
        <f t="shared" si="20"/>
        <v/>
      </c>
      <c r="AS12" s="27" t="str">
        <f t="shared" si="21"/>
        <v/>
      </c>
      <c r="AT12" s="27" t="str">
        <f t="shared" si="22"/>
        <v/>
      </c>
      <c r="AU12" s="27" t="str">
        <f t="shared" si="23"/>
        <v/>
      </c>
      <c r="AV12" s="27">
        <f t="shared" si="24"/>
        <v>49.900000000000006</v>
      </c>
      <c r="AW12" s="15">
        <v>18.899999999999999</v>
      </c>
      <c r="AX12" s="15">
        <v>7.6</v>
      </c>
      <c r="AY12" s="15">
        <v>0.6</v>
      </c>
      <c r="AZ12" s="15">
        <v>0</v>
      </c>
      <c r="BA12" s="15">
        <v>18.399999999999999</v>
      </c>
      <c r="BB12" s="15">
        <v>6.8</v>
      </c>
      <c r="BC12" s="15">
        <v>0.2</v>
      </c>
      <c r="BD12" s="15">
        <v>0</v>
      </c>
      <c r="BE12" s="15">
        <v>18.7</v>
      </c>
      <c r="BF12" s="15">
        <v>7.6</v>
      </c>
      <c r="BG12" s="15">
        <v>0.6</v>
      </c>
      <c r="BH12" s="15">
        <v>0</v>
      </c>
      <c r="BI12" s="15">
        <v>18.2</v>
      </c>
      <c r="BJ12" s="15">
        <v>8.4</v>
      </c>
      <c r="BK12" s="15">
        <v>0</v>
      </c>
      <c r="BL12" s="15">
        <v>0.3</v>
      </c>
      <c r="BM12" s="20"/>
      <c r="BN12" s="43">
        <f t="shared" si="25"/>
        <v>7.6</v>
      </c>
      <c r="BO12" s="43">
        <f t="shared" si="26"/>
        <v>25.9</v>
      </c>
      <c r="BP12" s="43">
        <f t="shared" si="27"/>
        <v>6.8</v>
      </c>
      <c r="BQ12" s="43">
        <f t="shared" si="28"/>
        <v>25</v>
      </c>
      <c r="BR12" s="10">
        <f t="shared" si="29"/>
        <v>14.399999999999999</v>
      </c>
      <c r="BS12" s="10">
        <f t="shared" si="30"/>
        <v>50.9</v>
      </c>
      <c r="BT12" s="10">
        <f t="shared" si="31"/>
        <v>7.6</v>
      </c>
      <c r="BU12" s="10">
        <f t="shared" si="32"/>
        <v>25.699999999999996</v>
      </c>
      <c r="BV12" s="10">
        <f t="shared" si="33"/>
        <v>8.4</v>
      </c>
      <c r="BW12" s="10">
        <f t="shared" si="34"/>
        <v>26.900000000000002</v>
      </c>
      <c r="BX12" s="10">
        <f t="shared" si="35"/>
        <v>16</v>
      </c>
      <c r="BY12" s="10">
        <f t="shared" si="36"/>
        <v>52.599999999999994</v>
      </c>
      <c r="BZ12" s="10">
        <f t="shared" si="37"/>
        <v>103.5</v>
      </c>
      <c r="CA12" s="34" t="str">
        <f t="shared" si="38"/>
        <v/>
      </c>
      <c r="CB12" s="34" t="str">
        <f t="shared" si="39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40"/>
        <v/>
      </c>
      <c r="CX12" s="27" t="str">
        <f t="shared" si="41"/>
        <v/>
      </c>
      <c r="CY12" s="27" t="str">
        <f t="shared" si="42"/>
        <v/>
      </c>
      <c r="CZ12" s="27" t="str">
        <f t="shared" si="43"/>
        <v/>
      </c>
      <c r="DA12" s="27" t="str">
        <f t="shared" si="44"/>
        <v/>
      </c>
      <c r="DB12" s="27" t="str">
        <f t="shared" si="45"/>
        <v/>
      </c>
      <c r="DC12" s="27" t="str">
        <f t="shared" si="46"/>
        <v/>
      </c>
      <c r="DD12" s="27" t="str">
        <f t="shared" si="47"/>
        <v/>
      </c>
      <c r="DE12" s="27" t="str">
        <f t="shared" si="48"/>
        <v/>
      </c>
      <c r="DF12" s="27" t="str">
        <f t="shared" si="49"/>
        <v/>
      </c>
      <c r="DG12" s="27" t="str">
        <f t="shared" si="50"/>
        <v/>
      </c>
      <c r="DH12" s="27" t="str">
        <f t="shared" si="51"/>
        <v/>
      </c>
      <c r="DI12" s="27" t="str">
        <f t="shared" si="52"/>
        <v/>
      </c>
      <c r="DJ12" s="27" t="str">
        <f t="shared" si="53"/>
        <v/>
      </c>
      <c r="DK12" s="27" t="str">
        <f t="shared" si="54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5"/>
        <v/>
      </c>
      <c r="EG12" s="10" t="str">
        <f t="shared" si="56"/>
        <v/>
      </c>
      <c r="EH12" s="10" t="str">
        <f t="shared" si="57"/>
        <v/>
      </c>
      <c r="EI12" s="10" t="str">
        <f t="shared" si="58"/>
        <v/>
      </c>
      <c r="EJ12" s="10" t="str">
        <f t="shared" si="59"/>
        <v/>
      </c>
      <c r="EK12" s="10" t="str">
        <f t="shared" si="60"/>
        <v/>
      </c>
      <c r="EL12" s="10" t="str">
        <f t="shared" si="61"/>
        <v/>
      </c>
      <c r="EM12" s="10" t="str">
        <f t="shared" si="62"/>
        <v/>
      </c>
      <c r="EN12" s="10" t="str">
        <f t="shared" si="63"/>
        <v/>
      </c>
      <c r="EO12" s="10" t="str">
        <f t="shared" si="64"/>
        <v/>
      </c>
      <c r="EP12" s="10" t="str">
        <f t="shared" si="65"/>
        <v/>
      </c>
      <c r="EQ12" s="10" t="str">
        <f t="shared" si="66"/>
        <v/>
      </c>
      <c r="ER12" s="10" t="str">
        <f t="shared" si="67"/>
        <v/>
      </c>
      <c r="ES12" s="10" t="str">
        <f t="shared" si="68"/>
        <v/>
      </c>
      <c r="ET12" s="10" t="str">
        <f t="shared" si="69"/>
        <v/>
      </c>
      <c r="EU12" s="44">
        <f t="shared" si="70"/>
        <v>18.7</v>
      </c>
      <c r="EV12" s="44">
        <f t="shared" si="71"/>
        <v>7.6</v>
      </c>
      <c r="EW12" s="44">
        <f t="shared" si="72"/>
        <v>0.7</v>
      </c>
      <c r="EX12" s="44">
        <f t="shared" si="73"/>
        <v>0</v>
      </c>
      <c r="EY12" s="44">
        <f t="shared" si="74"/>
        <v>18.100000000000001</v>
      </c>
      <c r="EZ12" s="44">
        <f t="shared" si="75"/>
        <v>6.8</v>
      </c>
      <c r="FA12" s="44">
        <f t="shared" si="76"/>
        <v>0.1</v>
      </c>
      <c r="FB12" s="44">
        <f t="shared" si="77"/>
        <v>0</v>
      </c>
      <c r="FC12" s="44">
        <f t="shared" si="78"/>
        <v>9.35</v>
      </c>
      <c r="FD12" s="44">
        <f t="shared" si="79"/>
        <v>3.8</v>
      </c>
      <c r="FE12" s="44">
        <f t="shared" si="80"/>
        <v>0.3</v>
      </c>
      <c r="FF12" s="44">
        <f t="shared" si="81"/>
        <v>0</v>
      </c>
      <c r="FG12" s="44">
        <f t="shared" si="82"/>
        <v>9.1</v>
      </c>
      <c r="FH12" s="44">
        <f t="shared" si="83"/>
        <v>4.2</v>
      </c>
      <c r="FI12" s="44">
        <f t="shared" si="84"/>
        <v>0</v>
      </c>
      <c r="FJ12" s="44">
        <f t="shared" si="85"/>
        <v>0.15</v>
      </c>
      <c r="FK12" s="20" t="s">
        <v>29</v>
      </c>
      <c r="FL12" s="10">
        <f t="shared" si="86"/>
        <v>7.6</v>
      </c>
      <c r="FM12" s="10">
        <f t="shared" si="87"/>
        <v>25.599999999999998</v>
      </c>
      <c r="FN12" s="10">
        <f t="shared" si="88"/>
        <v>6.8</v>
      </c>
      <c r="FO12" s="10">
        <f t="shared" si="89"/>
        <v>24.8</v>
      </c>
      <c r="FP12" s="10">
        <f t="shared" si="90"/>
        <v>14.399999999999999</v>
      </c>
      <c r="FQ12" s="10">
        <f t="shared" si="93"/>
        <v>50.4</v>
      </c>
      <c r="FR12" s="10">
        <f t="shared" si="94"/>
        <v>3.8</v>
      </c>
      <c r="FS12" s="10">
        <f t="shared" si="95"/>
        <v>12.849999999999998</v>
      </c>
      <c r="FT12" s="10">
        <f t="shared" si="96"/>
        <v>4.2</v>
      </c>
      <c r="FU12" s="10">
        <f t="shared" si="97"/>
        <v>13.450000000000001</v>
      </c>
      <c r="FV12" s="10">
        <f t="shared" si="98"/>
        <v>8</v>
      </c>
      <c r="FW12" s="10">
        <f t="shared" si="91"/>
        <v>26.299999999999997</v>
      </c>
      <c r="FX12" s="10">
        <f t="shared" si="92"/>
        <v>76.699999999999989</v>
      </c>
    </row>
    <row r="13" spans="1:180" x14ac:dyDescent="0.2">
      <c r="A13" s="3" t="str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/>
      </c>
      <c r="B13" s="4" t="s">
        <v>45</v>
      </c>
      <c r="C13" s="3" t="s">
        <v>5</v>
      </c>
      <c r="D13" s="3">
        <v>2005</v>
      </c>
      <c r="E13" s="8">
        <f t="shared" si="0"/>
        <v>102.10000761000505</v>
      </c>
      <c r="F13" s="2" t="str">
        <f t="shared" si="1"/>
        <v/>
      </c>
      <c r="G13" s="2" t="str">
        <f t="shared" si="2"/>
        <v/>
      </c>
      <c r="H13" s="26" t="str">
        <f t="shared" si="3"/>
        <v/>
      </c>
      <c r="I13" s="2" t="str">
        <f t="shared" si="4"/>
        <v/>
      </c>
      <c r="J13" s="7">
        <f t="shared" si="5"/>
        <v>50.400000000000006</v>
      </c>
      <c r="K13" s="7" t="str">
        <f t="shared" si="6"/>
        <v>2025 Nationals</v>
      </c>
      <c r="L13" s="7">
        <f>IF(J13=AO13,IF(COUNT(AQ13,AS13,BO13,BQ13,BU13,BW13)&gt;1,LARGE((AQ13,AS13,BO13,BQ13,BU13,BW13),1),0),IF(COUNT(AK13,AM13,AQ13,AS13,BU13,BW13)&gt;1,LARGE((AK13,AM13,AQ13,AS13,BU13,BW13),1),0))</f>
        <v>25.700000000000003</v>
      </c>
      <c r="M13" s="7" t="str">
        <f t="shared" si="7"/>
        <v>2025 Nationals</v>
      </c>
      <c r="N13" s="7">
        <f>IF(J13=AO13,IF(COUNT(AQ13,AS13,BO13,BQ13,BU13,BW13)&gt;1,LARGE((AQ13,AS13,BO13,BQ13,BU13,BW13),2),0),IF(COUNT(AK13,AM13,AQ13,AS13,BU13,BW13)&gt;1,LARGE((AK13,AM13,AQ13,AS13,BU13,BW13),2),0))</f>
        <v>23.5</v>
      </c>
      <c r="O13" s="7" t="str">
        <f t="shared" si="8"/>
        <v>2025 3rd Domestic Trial</v>
      </c>
      <c r="P13" s="7">
        <f t="shared" si="9"/>
        <v>2.5</v>
      </c>
      <c r="Q13" s="10" t="str">
        <f t="shared" si="10"/>
        <v>(Pass)</v>
      </c>
      <c r="R13" s="7" t="str">
        <f t="shared" si="11"/>
        <v>2025 WAGC (Nov 16)</v>
      </c>
      <c r="S13" s="39">
        <v>18.2</v>
      </c>
      <c r="T13" s="39">
        <v>8.5</v>
      </c>
      <c r="U13" s="39">
        <v>0.8</v>
      </c>
      <c r="V13" s="39">
        <v>0.3</v>
      </c>
      <c r="W13" s="39">
        <v>18.2</v>
      </c>
      <c r="X13" s="39">
        <v>6.4</v>
      </c>
      <c r="Y13" s="39">
        <v>0.4</v>
      </c>
      <c r="Z13" s="39">
        <v>0</v>
      </c>
      <c r="AA13" s="39">
        <v>0</v>
      </c>
      <c r="AB13" s="39">
        <v>0</v>
      </c>
      <c r="AC13" s="39">
        <v>0</v>
      </c>
      <c r="AD13" s="39">
        <v>0</v>
      </c>
      <c r="AE13" s="39">
        <v>18.100000000000001</v>
      </c>
      <c r="AF13" s="39">
        <v>7.6</v>
      </c>
      <c r="AG13" s="39">
        <v>0</v>
      </c>
      <c r="AH13" s="39">
        <v>0</v>
      </c>
      <c r="AI13" s="19"/>
      <c r="AJ13" s="42">
        <f t="shared" si="12"/>
        <v>8.5</v>
      </c>
      <c r="AK13" s="42">
        <f t="shared" si="13"/>
        <v>26.2</v>
      </c>
      <c r="AL13" s="42">
        <f t="shared" si="14"/>
        <v>6.4</v>
      </c>
      <c r="AM13" s="42">
        <f t="shared" si="15"/>
        <v>24.200000000000003</v>
      </c>
      <c r="AN13" s="27">
        <f t="shared" si="16"/>
        <v>14.9</v>
      </c>
      <c r="AO13" s="27">
        <f t="shared" si="17"/>
        <v>50.400000000000006</v>
      </c>
      <c r="AP13" s="27">
        <f t="shared" si="18"/>
        <v>0</v>
      </c>
      <c r="AQ13" s="27">
        <f t="shared" si="19"/>
        <v>0</v>
      </c>
      <c r="AR13" s="27">
        <f t="shared" si="20"/>
        <v>7.6</v>
      </c>
      <c r="AS13" s="27">
        <f t="shared" si="21"/>
        <v>25.700000000000003</v>
      </c>
      <c r="AT13" s="27">
        <f t="shared" si="22"/>
        <v>7.6</v>
      </c>
      <c r="AU13" s="27">
        <f t="shared" si="23"/>
        <v>25.700000000000003</v>
      </c>
      <c r="AV13" s="27">
        <f t="shared" si="24"/>
        <v>76.100000000000009</v>
      </c>
      <c r="AW13" s="15">
        <v>18.5</v>
      </c>
      <c r="AX13" s="15">
        <v>6.4</v>
      </c>
      <c r="AY13" s="15">
        <v>1.4</v>
      </c>
      <c r="AZ13" s="15">
        <v>0</v>
      </c>
      <c r="BA13" s="15">
        <v>15.4</v>
      </c>
      <c r="BB13" s="15">
        <v>3.2</v>
      </c>
      <c r="BC13" s="15">
        <v>0</v>
      </c>
      <c r="BD13" s="15">
        <v>0</v>
      </c>
      <c r="BE13" s="15"/>
      <c r="BF13" s="15"/>
      <c r="BG13" s="15"/>
      <c r="BH13" s="15"/>
      <c r="BI13" s="15"/>
      <c r="BJ13" s="15"/>
      <c r="BK13" s="15"/>
      <c r="BL13" s="15"/>
      <c r="BM13" s="20"/>
      <c r="BN13" s="43">
        <f t="shared" si="25"/>
        <v>6.4</v>
      </c>
      <c r="BO13" s="43">
        <f t="shared" si="26"/>
        <v>23.5</v>
      </c>
      <c r="BP13" s="43">
        <f t="shared" si="27"/>
        <v>3.2</v>
      </c>
      <c r="BQ13" s="43">
        <f t="shared" si="28"/>
        <v>18.600000000000001</v>
      </c>
      <c r="BR13" s="10">
        <f t="shared" si="29"/>
        <v>9.6000000000000014</v>
      </c>
      <c r="BS13" s="10">
        <f t="shared" si="30"/>
        <v>42.1</v>
      </c>
      <c r="BT13" s="10" t="str">
        <f t="shared" si="31"/>
        <v/>
      </c>
      <c r="BU13" s="10" t="str">
        <f t="shared" si="32"/>
        <v/>
      </c>
      <c r="BV13" s="10" t="str">
        <f t="shared" si="33"/>
        <v/>
      </c>
      <c r="BW13" s="10" t="str">
        <f t="shared" si="34"/>
        <v/>
      </c>
      <c r="BX13" s="10" t="str">
        <f t="shared" si="35"/>
        <v/>
      </c>
      <c r="BY13" s="10" t="str">
        <f t="shared" si="36"/>
        <v/>
      </c>
      <c r="BZ13" s="10">
        <f t="shared" si="37"/>
        <v>42.1</v>
      </c>
      <c r="CA13" s="34">
        <f t="shared" si="38"/>
        <v>1.0999999999999943</v>
      </c>
      <c r="CB13" s="34">
        <f t="shared" si="39"/>
        <v>2.5</v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40"/>
        <v/>
      </c>
      <c r="CX13" s="27" t="str">
        <f t="shared" si="41"/>
        <v/>
      </c>
      <c r="CY13" s="27" t="str">
        <f t="shared" si="42"/>
        <v/>
      </c>
      <c r="CZ13" s="27" t="str">
        <f t="shared" si="43"/>
        <v/>
      </c>
      <c r="DA13" s="27" t="str">
        <f t="shared" si="44"/>
        <v/>
      </c>
      <c r="DB13" s="27" t="str">
        <f t="shared" si="45"/>
        <v/>
      </c>
      <c r="DC13" s="27" t="str">
        <f t="shared" si="46"/>
        <v/>
      </c>
      <c r="DD13" s="27" t="str">
        <f t="shared" si="47"/>
        <v/>
      </c>
      <c r="DE13" s="27" t="str">
        <f t="shared" si="48"/>
        <v/>
      </c>
      <c r="DF13" s="27" t="str">
        <f t="shared" si="49"/>
        <v/>
      </c>
      <c r="DG13" s="27" t="str">
        <f t="shared" si="50"/>
        <v/>
      </c>
      <c r="DH13" s="27" t="str">
        <f t="shared" si="51"/>
        <v/>
      </c>
      <c r="DI13" s="27" t="str">
        <f t="shared" si="52"/>
        <v/>
      </c>
      <c r="DJ13" s="27" t="str">
        <f t="shared" si="53"/>
        <v/>
      </c>
      <c r="DK13" s="27" t="str">
        <f t="shared" si="54"/>
        <v/>
      </c>
      <c r="DL13" s="15">
        <v>18.600000000000001</v>
      </c>
      <c r="DM13" s="15">
        <v>8</v>
      </c>
      <c r="DN13" s="15">
        <v>0.6</v>
      </c>
      <c r="DO13" s="15">
        <v>0</v>
      </c>
      <c r="DP13" s="15">
        <v>17.7</v>
      </c>
      <c r="DQ13" s="15">
        <v>8</v>
      </c>
      <c r="DR13" s="15">
        <v>0.2</v>
      </c>
      <c r="DS13" s="15">
        <v>0</v>
      </c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>
        <f t="shared" si="55"/>
        <v>8</v>
      </c>
      <c r="EG13" s="10">
        <f t="shared" si="56"/>
        <v>26</v>
      </c>
      <c r="EH13" s="10">
        <f t="shared" si="57"/>
        <v>8</v>
      </c>
      <c r="EI13" s="10">
        <f t="shared" si="58"/>
        <v>25.5</v>
      </c>
      <c r="EJ13" s="10">
        <f t="shared" si="59"/>
        <v>16</v>
      </c>
      <c r="EK13" s="10">
        <f t="shared" si="60"/>
        <v>51.5</v>
      </c>
      <c r="EL13" s="10" t="str">
        <f t="shared" si="61"/>
        <v/>
      </c>
      <c r="EM13" s="10" t="str">
        <f t="shared" si="62"/>
        <v/>
      </c>
      <c r="EN13" s="10" t="str">
        <f t="shared" si="63"/>
        <v/>
      </c>
      <c r="EO13" s="10" t="str">
        <f t="shared" si="64"/>
        <v/>
      </c>
      <c r="EP13" s="10" t="str">
        <f t="shared" si="65"/>
        <v/>
      </c>
      <c r="EQ13" s="10" t="str">
        <f t="shared" si="66"/>
        <v/>
      </c>
      <c r="ER13" s="10" t="str">
        <f t="shared" si="67"/>
        <v/>
      </c>
      <c r="ES13" s="10" t="str">
        <f t="shared" si="68"/>
        <v/>
      </c>
      <c r="ET13" s="10">
        <f t="shared" si="69"/>
        <v>51.5</v>
      </c>
      <c r="EU13" s="44">
        <f t="shared" si="70"/>
        <v>18.350000000000001</v>
      </c>
      <c r="EV13" s="44">
        <f t="shared" si="71"/>
        <v>7.45</v>
      </c>
      <c r="EW13" s="44">
        <f t="shared" si="72"/>
        <v>1.1000000000000001</v>
      </c>
      <c r="EX13" s="44">
        <f t="shared" si="73"/>
        <v>0.15</v>
      </c>
      <c r="EY13" s="44">
        <f t="shared" si="74"/>
        <v>16.8</v>
      </c>
      <c r="EZ13" s="44">
        <f t="shared" si="75"/>
        <v>4.8000000000000007</v>
      </c>
      <c r="FA13" s="44">
        <f t="shared" si="76"/>
        <v>0.2</v>
      </c>
      <c r="FB13" s="44">
        <f t="shared" si="77"/>
        <v>0</v>
      </c>
      <c r="FC13" s="44">
        <f t="shared" si="78"/>
        <v>0</v>
      </c>
      <c r="FD13" s="44">
        <f t="shared" si="79"/>
        <v>0</v>
      </c>
      <c r="FE13" s="44">
        <f t="shared" si="80"/>
        <v>0</v>
      </c>
      <c r="FF13" s="44">
        <f t="shared" si="81"/>
        <v>0</v>
      </c>
      <c r="FG13" s="44">
        <f t="shared" si="82"/>
        <v>9.0500000000000007</v>
      </c>
      <c r="FH13" s="44">
        <f t="shared" si="83"/>
        <v>3.8</v>
      </c>
      <c r="FI13" s="44">
        <f t="shared" si="84"/>
        <v>0</v>
      </c>
      <c r="FJ13" s="44">
        <f t="shared" si="85"/>
        <v>0</v>
      </c>
      <c r="FK13" s="20" t="s">
        <v>29</v>
      </c>
      <c r="FL13" s="10">
        <f t="shared" si="86"/>
        <v>7.45</v>
      </c>
      <c r="FM13" s="10">
        <f t="shared" si="87"/>
        <v>24.849999999999998</v>
      </c>
      <c r="FN13" s="10">
        <f t="shared" si="88"/>
        <v>4.8000000000000007</v>
      </c>
      <c r="FO13" s="10">
        <f t="shared" si="89"/>
        <v>21.400000000000002</v>
      </c>
      <c r="FP13" s="10">
        <f t="shared" si="90"/>
        <v>12.25</v>
      </c>
      <c r="FQ13" s="10">
        <f t="shared" si="93"/>
        <v>46.25</v>
      </c>
      <c r="FR13" s="10">
        <f t="shared" si="94"/>
        <v>0</v>
      </c>
      <c r="FS13" s="10">
        <f t="shared" si="95"/>
        <v>0</v>
      </c>
      <c r="FT13" s="10">
        <f t="shared" si="96"/>
        <v>3.8</v>
      </c>
      <c r="FU13" s="10">
        <f t="shared" si="97"/>
        <v>12.850000000000001</v>
      </c>
      <c r="FV13" s="10">
        <f t="shared" si="98"/>
        <v>3.8</v>
      </c>
      <c r="FW13" s="10">
        <f t="shared" si="91"/>
        <v>12.850000000000001</v>
      </c>
      <c r="FX13" s="10">
        <f t="shared" si="92"/>
        <v>59.1</v>
      </c>
    </row>
    <row r="14" spans="1:180" x14ac:dyDescent="0.2">
      <c r="A14" s="3" t="str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/>
      </c>
      <c r="B14" s="4" t="s">
        <v>82</v>
      </c>
      <c r="C14" s="3" t="s">
        <v>83</v>
      </c>
      <c r="D14" s="3">
        <v>2007</v>
      </c>
      <c r="E14" s="8">
        <f t="shared" si="0"/>
        <v>101.30000760000506</v>
      </c>
      <c r="F14" s="2" t="str">
        <f t="shared" si="1"/>
        <v/>
      </c>
      <c r="G14" s="2" t="str">
        <f t="shared" si="2"/>
        <v/>
      </c>
      <c r="H14" s="26" t="str">
        <f t="shared" si="3"/>
        <v/>
      </c>
      <c r="I14" s="2" t="str">
        <f t="shared" si="4"/>
        <v/>
      </c>
      <c r="J14" s="7">
        <f t="shared" si="5"/>
        <v>50.6</v>
      </c>
      <c r="K14" s="7" t="str">
        <f t="shared" si="6"/>
        <v>2025 Nationals</v>
      </c>
      <c r="L14" s="7">
        <f>IF(J14=AO14,IF(COUNT(AQ14,AS14,BO14,BQ14,BU14,BW14)&gt;1,LARGE((AQ14,AS14,BO14,BQ14,BU14,BW14),1),0),IF(COUNT(AK14,AM14,AQ14,AS14,BU14,BW14)&gt;1,LARGE((AK14,AM14,AQ14,AS14,BU14,BW14),1),0))</f>
        <v>25.400000000000002</v>
      </c>
      <c r="M14" s="7" t="str">
        <f t="shared" si="7"/>
        <v>2025 Nationals</v>
      </c>
      <c r="N14" s="7">
        <f>IF(J14=AO14,IF(COUNT(AQ14,AS14,BO14,BQ14,BU14,BW14)&gt;1,LARGE((AQ14,AS14,BO14,BQ14,BU14,BW14),2),0),IF(COUNT(AK14,AM14,AQ14,AS14,BU14,BW14)&gt;1,LARGE((AK14,AM14,AQ14,AS14,BU14,BW14),2),0))</f>
        <v>25.3</v>
      </c>
      <c r="O14" s="7" t="str">
        <f t="shared" si="8"/>
        <v>2025 3rd Domestic Trial</v>
      </c>
      <c r="P14" s="7" t="str">
        <f t="shared" si="9"/>
        <v/>
      </c>
      <c r="Q14" s="10" t="str">
        <f t="shared" si="10"/>
        <v/>
      </c>
      <c r="R14" s="7" t="str">
        <f t="shared" si="11"/>
        <v/>
      </c>
      <c r="S14" s="39">
        <v>18.600000000000001</v>
      </c>
      <c r="T14" s="39">
        <v>7.2</v>
      </c>
      <c r="U14" s="39">
        <v>0.2</v>
      </c>
      <c r="V14" s="39">
        <v>0</v>
      </c>
      <c r="W14" s="39">
        <v>18.399999999999999</v>
      </c>
      <c r="X14" s="39">
        <v>6.8</v>
      </c>
      <c r="Y14" s="39">
        <v>0.2</v>
      </c>
      <c r="Z14" s="39">
        <v>0</v>
      </c>
      <c r="AA14" s="39">
        <v>18.600000000000001</v>
      </c>
      <c r="AB14" s="39">
        <v>6.8</v>
      </c>
      <c r="AC14" s="39">
        <v>0</v>
      </c>
      <c r="AD14" s="39">
        <v>0</v>
      </c>
      <c r="AE14" s="39">
        <v>18.5</v>
      </c>
      <c r="AF14" s="39">
        <v>6.8</v>
      </c>
      <c r="AG14" s="39">
        <v>0.6</v>
      </c>
      <c r="AH14" s="39">
        <v>0</v>
      </c>
      <c r="AI14" s="19"/>
      <c r="AJ14" s="42">
        <f t="shared" si="12"/>
        <v>7.2</v>
      </c>
      <c r="AK14" s="42">
        <f t="shared" si="13"/>
        <v>25.6</v>
      </c>
      <c r="AL14" s="42">
        <f t="shared" si="14"/>
        <v>6.8</v>
      </c>
      <c r="AM14" s="42">
        <f t="shared" si="15"/>
        <v>25</v>
      </c>
      <c r="AN14" s="27">
        <f t="shared" si="16"/>
        <v>14</v>
      </c>
      <c r="AO14" s="27">
        <f t="shared" si="17"/>
        <v>50.6</v>
      </c>
      <c r="AP14" s="27">
        <f t="shared" si="18"/>
        <v>6.8</v>
      </c>
      <c r="AQ14" s="27">
        <f t="shared" si="19"/>
        <v>25.400000000000002</v>
      </c>
      <c r="AR14" s="27">
        <f t="shared" si="20"/>
        <v>6.8</v>
      </c>
      <c r="AS14" s="27">
        <f t="shared" si="21"/>
        <v>24.7</v>
      </c>
      <c r="AT14" s="27">
        <f t="shared" si="22"/>
        <v>13.6</v>
      </c>
      <c r="AU14" s="27">
        <f t="shared" si="23"/>
        <v>50.1</v>
      </c>
      <c r="AV14" s="27">
        <f t="shared" si="24"/>
        <v>100.7</v>
      </c>
      <c r="AW14" s="15">
        <v>18.3</v>
      </c>
      <c r="AX14" s="15">
        <v>7.2</v>
      </c>
      <c r="AY14" s="15">
        <v>0.2</v>
      </c>
      <c r="AZ14" s="15">
        <v>0</v>
      </c>
      <c r="BA14" s="15">
        <v>18.100000000000001</v>
      </c>
      <c r="BB14" s="15">
        <v>6.8</v>
      </c>
      <c r="BC14" s="15">
        <v>0.2</v>
      </c>
      <c r="BD14" s="15">
        <v>0</v>
      </c>
      <c r="BE14" s="15">
        <v>18.100000000000001</v>
      </c>
      <c r="BF14" s="15">
        <v>7.2</v>
      </c>
      <c r="BG14" s="15">
        <v>0.2</v>
      </c>
      <c r="BH14" s="15">
        <v>0</v>
      </c>
      <c r="BI14" s="15">
        <v>18</v>
      </c>
      <c r="BJ14" s="15">
        <v>6</v>
      </c>
      <c r="BK14" s="15">
        <v>1</v>
      </c>
      <c r="BL14" s="15">
        <v>0</v>
      </c>
      <c r="BM14" s="20"/>
      <c r="BN14" s="43">
        <f t="shared" si="25"/>
        <v>7.2</v>
      </c>
      <c r="BO14" s="43">
        <f t="shared" si="26"/>
        <v>25.3</v>
      </c>
      <c r="BP14" s="43">
        <f t="shared" si="27"/>
        <v>6.8</v>
      </c>
      <c r="BQ14" s="43">
        <f t="shared" si="28"/>
        <v>24.700000000000003</v>
      </c>
      <c r="BR14" s="10">
        <f t="shared" si="29"/>
        <v>14</v>
      </c>
      <c r="BS14" s="10">
        <f t="shared" si="30"/>
        <v>50</v>
      </c>
      <c r="BT14" s="10">
        <f t="shared" si="31"/>
        <v>7.2</v>
      </c>
      <c r="BU14" s="10">
        <f t="shared" si="32"/>
        <v>25.1</v>
      </c>
      <c r="BV14" s="10">
        <f t="shared" si="33"/>
        <v>6</v>
      </c>
      <c r="BW14" s="10">
        <f t="shared" si="34"/>
        <v>23</v>
      </c>
      <c r="BX14" s="10">
        <f t="shared" si="35"/>
        <v>13.2</v>
      </c>
      <c r="BY14" s="10">
        <f t="shared" si="36"/>
        <v>48.1</v>
      </c>
      <c r="BZ14" s="10">
        <f t="shared" si="37"/>
        <v>98.1</v>
      </c>
      <c r="CA14" s="34" t="str">
        <f t="shared" si="38"/>
        <v/>
      </c>
      <c r="CB14" s="34" t="str">
        <f t="shared" si="39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40"/>
        <v/>
      </c>
      <c r="CX14" s="27" t="str">
        <f t="shared" si="41"/>
        <v/>
      </c>
      <c r="CY14" s="27" t="str">
        <f t="shared" si="42"/>
        <v/>
      </c>
      <c r="CZ14" s="27" t="str">
        <f t="shared" si="43"/>
        <v/>
      </c>
      <c r="DA14" s="27" t="str">
        <f t="shared" si="44"/>
        <v/>
      </c>
      <c r="DB14" s="27" t="str">
        <f t="shared" si="45"/>
        <v/>
      </c>
      <c r="DC14" s="27" t="str">
        <f t="shared" si="46"/>
        <v/>
      </c>
      <c r="DD14" s="27" t="str">
        <f t="shared" si="47"/>
        <v/>
      </c>
      <c r="DE14" s="27" t="str">
        <f t="shared" si="48"/>
        <v/>
      </c>
      <c r="DF14" s="27" t="str">
        <f t="shared" si="49"/>
        <v/>
      </c>
      <c r="DG14" s="27" t="str">
        <f t="shared" si="50"/>
        <v/>
      </c>
      <c r="DH14" s="27" t="str">
        <f t="shared" si="51"/>
        <v/>
      </c>
      <c r="DI14" s="27" t="str">
        <f t="shared" si="52"/>
        <v/>
      </c>
      <c r="DJ14" s="27" t="str">
        <f t="shared" si="53"/>
        <v/>
      </c>
      <c r="DK14" s="27" t="str">
        <f t="shared" si="54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5"/>
        <v/>
      </c>
      <c r="EG14" s="10" t="str">
        <f t="shared" si="56"/>
        <v/>
      </c>
      <c r="EH14" s="10" t="str">
        <f t="shared" si="57"/>
        <v/>
      </c>
      <c r="EI14" s="10" t="str">
        <f t="shared" si="58"/>
        <v/>
      </c>
      <c r="EJ14" s="10" t="str">
        <f t="shared" si="59"/>
        <v/>
      </c>
      <c r="EK14" s="10" t="str">
        <f t="shared" si="60"/>
        <v/>
      </c>
      <c r="EL14" s="10" t="str">
        <f t="shared" si="61"/>
        <v/>
      </c>
      <c r="EM14" s="10" t="str">
        <f t="shared" si="62"/>
        <v/>
      </c>
      <c r="EN14" s="10" t="str">
        <f t="shared" si="63"/>
        <v/>
      </c>
      <c r="EO14" s="10" t="str">
        <f t="shared" si="64"/>
        <v/>
      </c>
      <c r="EP14" s="10" t="str">
        <f t="shared" si="65"/>
        <v/>
      </c>
      <c r="EQ14" s="10" t="str">
        <f t="shared" si="66"/>
        <v/>
      </c>
      <c r="ER14" s="10" t="str">
        <f t="shared" si="67"/>
        <v/>
      </c>
      <c r="ES14" s="10" t="str">
        <f t="shared" si="68"/>
        <v/>
      </c>
      <c r="ET14" s="10" t="str">
        <f t="shared" si="69"/>
        <v/>
      </c>
      <c r="EU14" s="44">
        <f t="shared" si="70"/>
        <v>18.450000000000003</v>
      </c>
      <c r="EV14" s="44">
        <f t="shared" si="71"/>
        <v>7.2</v>
      </c>
      <c r="EW14" s="44">
        <f t="shared" si="72"/>
        <v>0.2</v>
      </c>
      <c r="EX14" s="44">
        <f t="shared" si="73"/>
        <v>0</v>
      </c>
      <c r="EY14" s="44">
        <f t="shared" si="74"/>
        <v>18.25</v>
      </c>
      <c r="EZ14" s="44">
        <f t="shared" si="75"/>
        <v>6.8</v>
      </c>
      <c r="FA14" s="44">
        <f t="shared" si="76"/>
        <v>0.2</v>
      </c>
      <c r="FB14" s="44">
        <f t="shared" si="77"/>
        <v>0</v>
      </c>
      <c r="FC14" s="44">
        <f t="shared" si="78"/>
        <v>18.350000000000001</v>
      </c>
      <c r="FD14" s="44">
        <f t="shared" si="79"/>
        <v>7</v>
      </c>
      <c r="FE14" s="44">
        <f t="shared" si="80"/>
        <v>0.1</v>
      </c>
      <c r="FF14" s="44">
        <f t="shared" si="81"/>
        <v>0</v>
      </c>
      <c r="FG14" s="44">
        <f t="shared" si="82"/>
        <v>18.25</v>
      </c>
      <c r="FH14" s="44">
        <f t="shared" si="83"/>
        <v>6.4</v>
      </c>
      <c r="FI14" s="44">
        <f t="shared" si="84"/>
        <v>0.8</v>
      </c>
      <c r="FJ14" s="44">
        <f t="shared" si="85"/>
        <v>0</v>
      </c>
      <c r="FK14" s="20" t="s">
        <v>29</v>
      </c>
      <c r="FL14" s="10">
        <f t="shared" si="86"/>
        <v>7.2</v>
      </c>
      <c r="FM14" s="10">
        <f t="shared" si="87"/>
        <v>25.450000000000003</v>
      </c>
      <c r="FN14" s="10">
        <f t="shared" si="88"/>
        <v>6.8</v>
      </c>
      <c r="FO14" s="10">
        <f t="shared" si="89"/>
        <v>24.85</v>
      </c>
      <c r="FP14" s="10">
        <f t="shared" si="90"/>
        <v>14</v>
      </c>
      <c r="FQ14" s="10">
        <f t="shared" si="93"/>
        <v>50.300000000000004</v>
      </c>
      <c r="FR14" s="10">
        <f t="shared" si="94"/>
        <v>7</v>
      </c>
      <c r="FS14" s="10">
        <f t="shared" si="95"/>
        <v>25.25</v>
      </c>
      <c r="FT14" s="10">
        <f t="shared" si="96"/>
        <v>6.4</v>
      </c>
      <c r="FU14" s="10">
        <f t="shared" si="97"/>
        <v>23.849999999999998</v>
      </c>
      <c r="FV14" s="10">
        <f t="shared" si="98"/>
        <v>13.4</v>
      </c>
      <c r="FW14" s="10">
        <f t="shared" si="91"/>
        <v>49.099999999999994</v>
      </c>
      <c r="FX14" s="10">
        <f t="shared" si="92"/>
        <v>99.4</v>
      </c>
    </row>
    <row r="15" spans="1:180" x14ac:dyDescent="0.2">
      <c r="A15" s="3" t="str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/>
      </c>
      <c r="B15" s="4" t="s">
        <v>44</v>
      </c>
      <c r="C15" s="3" t="s">
        <v>6</v>
      </c>
      <c r="D15" s="3">
        <v>2006</v>
      </c>
      <c r="E15" s="8">
        <f t="shared" si="0"/>
        <v>99.70000723000463</v>
      </c>
      <c r="F15" s="2" t="str">
        <f t="shared" si="1"/>
        <v/>
      </c>
      <c r="G15" s="2" t="str">
        <f t="shared" si="2"/>
        <v/>
      </c>
      <c r="H15" s="26" t="str">
        <f t="shared" si="3"/>
        <v/>
      </c>
      <c r="I15" s="2" t="str">
        <f t="shared" si="4"/>
        <v/>
      </c>
      <c r="J15" s="7">
        <f t="shared" si="5"/>
        <v>46.5</v>
      </c>
      <c r="K15" s="7" t="str">
        <f t="shared" si="6"/>
        <v>2025 3rd Domestic Trial</v>
      </c>
      <c r="L15" s="7">
        <f>IF(J15=AO15,IF(COUNT(AQ15,AS15,BO15,BQ15,BU15,BW15)&gt;1,LARGE((AQ15,AS15,BO15,BQ15,BU15,BW15),1),0),IF(COUNT(AK15,AM15,AQ15,AS15,BU15,BW15)&gt;1,LARGE((AK15,AM15,AQ15,AS15,BU15,BW15),1),0))</f>
        <v>25.8</v>
      </c>
      <c r="M15" s="7" t="str">
        <f t="shared" si="7"/>
        <v>2025 Nationals</v>
      </c>
      <c r="N15" s="7">
        <f>IF(J15=AO15,IF(COUNT(AQ15,AS15,BO15,BQ15,BU15,BW15)&gt;1,LARGE((AQ15,AS15,BO15,BQ15,BU15,BW15),2),0),IF(COUNT(AK15,AM15,AQ15,AS15,BU15,BW15)&gt;1,LARGE((AK15,AM15,AQ15,AS15,BU15,BW15),2),0))</f>
        <v>19</v>
      </c>
      <c r="O15" s="7" t="str">
        <f t="shared" si="8"/>
        <v>2025 Nationals</v>
      </c>
      <c r="P15" s="7">
        <f t="shared" si="9"/>
        <v>8.3999999999999986</v>
      </c>
      <c r="Q15" s="10" t="str">
        <f t="shared" si="10"/>
        <v>(Pass)</v>
      </c>
      <c r="R15" s="7" t="str">
        <f t="shared" si="11"/>
        <v>2025 WAGC (Nov 16)</v>
      </c>
      <c r="S15" s="39">
        <v>18.2</v>
      </c>
      <c r="T15" s="39">
        <v>8.4</v>
      </c>
      <c r="U15" s="39">
        <v>0.8</v>
      </c>
      <c r="V15" s="39">
        <v>0</v>
      </c>
      <c r="W15" s="39">
        <v>15.4</v>
      </c>
      <c r="X15" s="39">
        <v>3.6</v>
      </c>
      <c r="Y15" s="39">
        <v>0</v>
      </c>
      <c r="Z15" s="39">
        <v>0</v>
      </c>
      <c r="AA15" s="39"/>
      <c r="AB15" s="39"/>
      <c r="AC15" s="39"/>
      <c r="AD15" s="39"/>
      <c r="AE15" s="39"/>
      <c r="AF15" s="39"/>
      <c r="AG15" s="39"/>
      <c r="AH15" s="39"/>
      <c r="AI15" s="19"/>
      <c r="AJ15" s="42">
        <f t="shared" si="12"/>
        <v>8.4</v>
      </c>
      <c r="AK15" s="42">
        <f t="shared" si="13"/>
        <v>25.8</v>
      </c>
      <c r="AL15" s="42">
        <f t="shared" si="14"/>
        <v>3.6</v>
      </c>
      <c r="AM15" s="42">
        <f t="shared" si="15"/>
        <v>19</v>
      </c>
      <c r="AN15" s="27">
        <f t="shared" si="16"/>
        <v>12</v>
      </c>
      <c r="AO15" s="27">
        <f t="shared" si="17"/>
        <v>44.8</v>
      </c>
      <c r="AP15" s="27" t="str">
        <f t="shared" si="18"/>
        <v/>
      </c>
      <c r="AQ15" s="27" t="str">
        <f t="shared" si="19"/>
        <v/>
      </c>
      <c r="AR15" s="27" t="str">
        <f t="shared" si="20"/>
        <v/>
      </c>
      <c r="AS15" s="27" t="str">
        <f t="shared" si="21"/>
        <v/>
      </c>
      <c r="AT15" s="27" t="str">
        <f t="shared" si="22"/>
        <v/>
      </c>
      <c r="AU15" s="27" t="str">
        <f t="shared" si="23"/>
        <v/>
      </c>
      <c r="AV15" s="27">
        <f t="shared" si="24"/>
        <v>44.8</v>
      </c>
      <c r="AW15" s="15">
        <v>19</v>
      </c>
      <c r="AX15" s="15">
        <v>8.4</v>
      </c>
      <c r="AY15" s="15">
        <v>0</v>
      </c>
      <c r="AZ15" s="15">
        <v>0</v>
      </c>
      <c r="BA15" s="15">
        <v>15.5</v>
      </c>
      <c r="BB15" s="15">
        <v>3.6</v>
      </c>
      <c r="BC15" s="15">
        <v>0</v>
      </c>
      <c r="BD15" s="15">
        <v>0</v>
      </c>
      <c r="BE15" s="15"/>
      <c r="BF15" s="15"/>
      <c r="BG15" s="15"/>
      <c r="BH15" s="15"/>
      <c r="BI15" s="15"/>
      <c r="BJ15" s="15"/>
      <c r="BK15" s="15"/>
      <c r="BL15" s="15"/>
      <c r="BM15" s="20"/>
      <c r="BN15" s="43">
        <f t="shared" si="25"/>
        <v>8.4</v>
      </c>
      <c r="BO15" s="43">
        <f t="shared" si="26"/>
        <v>27.4</v>
      </c>
      <c r="BP15" s="43">
        <f t="shared" si="27"/>
        <v>3.6</v>
      </c>
      <c r="BQ15" s="43">
        <f t="shared" si="28"/>
        <v>19.100000000000001</v>
      </c>
      <c r="BR15" s="10">
        <f t="shared" si="29"/>
        <v>12</v>
      </c>
      <c r="BS15" s="10">
        <f t="shared" si="30"/>
        <v>46.5</v>
      </c>
      <c r="BT15" s="10" t="str">
        <f t="shared" si="31"/>
        <v/>
      </c>
      <c r="BU15" s="10" t="str">
        <f t="shared" si="32"/>
        <v/>
      </c>
      <c r="BV15" s="10" t="str">
        <f t="shared" si="33"/>
        <v/>
      </c>
      <c r="BW15" s="10" t="str">
        <f t="shared" si="34"/>
        <v/>
      </c>
      <c r="BX15" s="10" t="str">
        <f t="shared" si="35"/>
        <v/>
      </c>
      <c r="BY15" s="10" t="str">
        <f t="shared" si="36"/>
        <v/>
      </c>
      <c r="BZ15" s="10">
        <f t="shared" si="37"/>
        <v>46.5</v>
      </c>
      <c r="CA15" s="34" t="str">
        <f t="shared" si="38"/>
        <v/>
      </c>
      <c r="CB15" s="34">
        <f t="shared" si="39"/>
        <v>8.3999999999999986</v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40"/>
        <v/>
      </c>
      <c r="CX15" s="27" t="str">
        <f t="shared" si="41"/>
        <v/>
      </c>
      <c r="CY15" s="27" t="str">
        <f t="shared" si="42"/>
        <v/>
      </c>
      <c r="CZ15" s="27" t="str">
        <f t="shared" si="43"/>
        <v/>
      </c>
      <c r="DA15" s="27" t="str">
        <f t="shared" si="44"/>
        <v/>
      </c>
      <c r="DB15" s="27" t="str">
        <f t="shared" si="45"/>
        <v/>
      </c>
      <c r="DC15" s="27" t="str">
        <f t="shared" si="46"/>
        <v/>
      </c>
      <c r="DD15" s="27" t="str">
        <f t="shared" si="47"/>
        <v/>
      </c>
      <c r="DE15" s="27" t="str">
        <f t="shared" si="48"/>
        <v/>
      </c>
      <c r="DF15" s="27" t="str">
        <f t="shared" si="49"/>
        <v/>
      </c>
      <c r="DG15" s="27" t="str">
        <f t="shared" si="50"/>
        <v/>
      </c>
      <c r="DH15" s="27" t="str">
        <f t="shared" si="51"/>
        <v/>
      </c>
      <c r="DI15" s="27" t="str">
        <f t="shared" si="52"/>
        <v/>
      </c>
      <c r="DJ15" s="27" t="str">
        <f t="shared" si="53"/>
        <v/>
      </c>
      <c r="DK15" s="27" t="str">
        <f t="shared" si="54"/>
        <v/>
      </c>
      <c r="DL15" s="15">
        <v>19</v>
      </c>
      <c r="DM15" s="15">
        <v>8.4</v>
      </c>
      <c r="DN15" s="15">
        <v>0</v>
      </c>
      <c r="DO15" s="15">
        <v>0</v>
      </c>
      <c r="DP15" s="15">
        <v>15.2</v>
      </c>
      <c r="DQ15" s="15">
        <v>3.6</v>
      </c>
      <c r="DR15" s="15">
        <v>0</v>
      </c>
      <c r="DS15" s="15">
        <v>0</v>
      </c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>
        <f t="shared" si="55"/>
        <v>8.4</v>
      </c>
      <c r="EG15" s="10">
        <f t="shared" si="56"/>
        <v>27.4</v>
      </c>
      <c r="EH15" s="10">
        <f t="shared" si="57"/>
        <v>3.6</v>
      </c>
      <c r="EI15" s="10">
        <f t="shared" si="58"/>
        <v>18.8</v>
      </c>
      <c r="EJ15" s="10">
        <f t="shared" si="59"/>
        <v>12</v>
      </c>
      <c r="EK15" s="10">
        <f t="shared" si="60"/>
        <v>46.2</v>
      </c>
      <c r="EL15" s="10" t="str">
        <f t="shared" si="61"/>
        <v/>
      </c>
      <c r="EM15" s="10" t="str">
        <f t="shared" si="62"/>
        <v/>
      </c>
      <c r="EN15" s="10" t="str">
        <f t="shared" si="63"/>
        <v/>
      </c>
      <c r="EO15" s="10" t="str">
        <f t="shared" si="64"/>
        <v/>
      </c>
      <c r="EP15" s="10" t="str">
        <f t="shared" si="65"/>
        <v/>
      </c>
      <c r="EQ15" s="10" t="str">
        <f t="shared" si="66"/>
        <v/>
      </c>
      <c r="ER15" s="10" t="str">
        <f t="shared" si="67"/>
        <v/>
      </c>
      <c r="ES15" s="10" t="str">
        <f t="shared" si="68"/>
        <v/>
      </c>
      <c r="ET15" s="10">
        <f t="shared" si="69"/>
        <v>46.2</v>
      </c>
      <c r="EU15" s="44">
        <f t="shared" si="70"/>
        <v>18.600000000000001</v>
      </c>
      <c r="EV15" s="44">
        <f t="shared" si="71"/>
        <v>8.4</v>
      </c>
      <c r="EW15" s="44">
        <f t="shared" si="72"/>
        <v>0.4</v>
      </c>
      <c r="EX15" s="44">
        <f t="shared" si="73"/>
        <v>0</v>
      </c>
      <c r="EY15" s="44">
        <f t="shared" si="74"/>
        <v>15.45</v>
      </c>
      <c r="EZ15" s="44">
        <f t="shared" si="75"/>
        <v>3.6</v>
      </c>
      <c r="FA15" s="44">
        <f t="shared" si="76"/>
        <v>0</v>
      </c>
      <c r="FB15" s="44">
        <f t="shared" si="77"/>
        <v>0</v>
      </c>
      <c r="FC15" s="44">
        <f t="shared" si="78"/>
        <v>0</v>
      </c>
      <c r="FD15" s="44">
        <f t="shared" si="79"/>
        <v>0</v>
      </c>
      <c r="FE15" s="44">
        <f t="shared" si="80"/>
        <v>0</v>
      </c>
      <c r="FF15" s="44">
        <f t="shared" si="81"/>
        <v>0</v>
      </c>
      <c r="FG15" s="44">
        <f t="shared" si="82"/>
        <v>0</v>
      </c>
      <c r="FH15" s="44">
        <f t="shared" si="83"/>
        <v>0</v>
      </c>
      <c r="FI15" s="44">
        <f t="shared" si="84"/>
        <v>0</v>
      </c>
      <c r="FJ15" s="44">
        <f t="shared" si="85"/>
        <v>0</v>
      </c>
      <c r="FK15" s="20" t="s">
        <v>29</v>
      </c>
      <c r="FL15" s="10">
        <f t="shared" si="86"/>
        <v>8.4</v>
      </c>
      <c r="FM15" s="10">
        <f t="shared" si="87"/>
        <v>26.6</v>
      </c>
      <c r="FN15" s="10">
        <f t="shared" si="88"/>
        <v>3.6</v>
      </c>
      <c r="FO15" s="10">
        <f t="shared" si="89"/>
        <v>19.05</v>
      </c>
      <c r="FP15" s="10">
        <f t="shared" si="90"/>
        <v>12</v>
      </c>
      <c r="FQ15" s="10">
        <f t="shared" si="93"/>
        <v>45.650000000000006</v>
      </c>
      <c r="FR15" s="10">
        <f t="shared" si="94"/>
        <v>0</v>
      </c>
      <c r="FS15" s="10">
        <f t="shared" si="95"/>
        <v>0</v>
      </c>
      <c r="FT15" s="10">
        <f t="shared" si="96"/>
        <v>0</v>
      </c>
      <c r="FU15" s="10">
        <f t="shared" si="97"/>
        <v>0</v>
      </c>
      <c r="FV15" s="10" t="str">
        <f t="shared" si="98"/>
        <v/>
      </c>
      <c r="FW15" s="10" t="str">
        <f t="shared" si="91"/>
        <v/>
      </c>
      <c r="FX15" s="10">
        <f t="shared" si="92"/>
        <v>45.650000000000006</v>
      </c>
    </row>
    <row r="16" spans="1:180" x14ac:dyDescent="0.2">
      <c r="A16" s="3" t="str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/>
      </c>
      <c r="B16" s="4" t="s">
        <v>87</v>
      </c>
      <c r="C16" s="3" t="s">
        <v>4</v>
      </c>
      <c r="D16" s="3">
        <v>2004</v>
      </c>
      <c r="E16" s="8">
        <f t="shared" si="0"/>
        <v>96.300007625004824</v>
      </c>
      <c r="F16" s="2" t="str">
        <f t="shared" si="1"/>
        <v/>
      </c>
      <c r="G16" s="2" t="str">
        <f t="shared" si="2"/>
        <v/>
      </c>
      <c r="H16" s="26" t="str">
        <f t="shared" si="3"/>
        <v/>
      </c>
      <c r="I16" s="2" t="str">
        <f t="shared" si="4"/>
        <v/>
      </c>
      <c r="J16" s="7">
        <f t="shared" si="5"/>
        <v>48.150000000000006</v>
      </c>
      <c r="K16" s="7" t="str">
        <f t="shared" si="6"/>
        <v>2025 3rd Domestic Trial</v>
      </c>
      <c r="L16" s="7">
        <f>IF(J16=AO16,IF(COUNT(AQ16,AS16,BO16,BQ16,BU16,BW16)&gt;1,LARGE((AQ16,AS16,BO16,BQ16,BU16,BW16),1),0),IF(COUNT(AK16,AM16,AQ16,AS16,BU16,BW16)&gt;1,LARGE((AK16,AM16,AQ16,AS16,BU16,BW16),1),0))</f>
        <v>28.100000000000005</v>
      </c>
      <c r="M16" s="7" t="str">
        <f t="shared" si="7"/>
        <v>2025 3rd Domestic Trial</v>
      </c>
      <c r="N16" s="7">
        <f>IF(J16=AO16,IF(COUNT(AQ16,AS16,BO16,BQ16,BU16,BW16)&gt;1,LARGE((AQ16,AS16,BO16,BQ16,BU16,BW16),2),0),IF(COUNT(AK16,AM16,AQ16,AS16,BU16,BW16)&gt;1,LARGE((AK16,AM16,AQ16,AS16,BU16,BW16),2),0))</f>
        <v>20.05</v>
      </c>
      <c r="O16" s="7" t="str">
        <f t="shared" si="8"/>
        <v>2025 3rd Domestic Trial</v>
      </c>
      <c r="P16" s="7" t="str">
        <f t="shared" si="9"/>
        <v/>
      </c>
      <c r="Q16" s="10" t="str">
        <f t="shared" si="10"/>
        <v/>
      </c>
      <c r="R16" s="7" t="str">
        <f t="shared" si="11"/>
        <v/>
      </c>
      <c r="S16" s="39">
        <v>16.25</v>
      </c>
      <c r="T16" s="39">
        <v>3.8</v>
      </c>
      <c r="U16" s="39">
        <v>0</v>
      </c>
      <c r="V16" s="39">
        <v>0</v>
      </c>
      <c r="W16" s="39">
        <v>18.450000000000003</v>
      </c>
      <c r="X16" s="39">
        <v>9.6</v>
      </c>
      <c r="Y16" s="39">
        <v>0.4</v>
      </c>
      <c r="Z16" s="39">
        <v>0.44999999999999996</v>
      </c>
      <c r="AA16" s="39">
        <v>9.1999999999999993</v>
      </c>
      <c r="AB16" s="39">
        <v>4.45</v>
      </c>
      <c r="AC16" s="39">
        <v>0.4</v>
      </c>
      <c r="AD16" s="39">
        <v>0.15</v>
      </c>
      <c r="AE16" s="39">
        <v>9.5500000000000007</v>
      </c>
      <c r="AF16" s="39">
        <v>4.5999999999999996</v>
      </c>
      <c r="AG16" s="39">
        <v>0.1</v>
      </c>
      <c r="AH16" s="39">
        <v>0.15</v>
      </c>
      <c r="AI16" s="19" t="s">
        <v>29</v>
      </c>
      <c r="AJ16" s="42">
        <f t="shared" si="12"/>
        <v>3.8</v>
      </c>
      <c r="AK16" s="42">
        <f t="shared" si="13"/>
        <v>20.05</v>
      </c>
      <c r="AL16" s="42">
        <f t="shared" si="14"/>
        <v>9.6</v>
      </c>
      <c r="AM16" s="42">
        <f t="shared" si="15"/>
        <v>28.100000000000005</v>
      </c>
      <c r="AN16" s="27">
        <f t="shared" si="16"/>
        <v>13.399999999999999</v>
      </c>
      <c r="AO16" s="27">
        <f t="shared" si="17"/>
        <v>48.150000000000006</v>
      </c>
      <c r="AP16" s="27">
        <f t="shared" si="18"/>
        <v>4.45</v>
      </c>
      <c r="AQ16" s="27">
        <f t="shared" si="19"/>
        <v>13.399999999999999</v>
      </c>
      <c r="AR16" s="27">
        <f t="shared" si="20"/>
        <v>4.5999999999999996</v>
      </c>
      <c r="AS16" s="27">
        <f t="shared" si="21"/>
        <v>14.200000000000001</v>
      </c>
      <c r="AT16" s="27">
        <f t="shared" si="22"/>
        <v>9.0500000000000007</v>
      </c>
      <c r="AU16" s="27">
        <f t="shared" si="23"/>
        <v>27.6</v>
      </c>
      <c r="AV16" s="27">
        <f t="shared" si="24"/>
        <v>75.75</v>
      </c>
      <c r="AW16" s="15">
        <v>16.25</v>
      </c>
      <c r="AX16" s="15">
        <v>3.8</v>
      </c>
      <c r="AY16" s="15">
        <v>0</v>
      </c>
      <c r="AZ16" s="15">
        <v>0</v>
      </c>
      <c r="BA16" s="15">
        <v>18.450000000000003</v>
      </c>
      <c r="BB16" s="15">
        <v>9.6</v>
      </c>
      <c r="BC16" s="15">
        <v>0.4</v>
      </c>
      <c r="BD16" s="15">
        <v>0.44999999999999996</v>
      </c>
      <c r="BE16" s="15">
        <v>9.1999999999999993</v>
      </c>
      <c r="BF16" s="15">
        <v>4.45</v>
      </c>
      <c r="BG16" s="15">
        <v>0.4</v>
      </c>
      <c r="BH16" s="15">
        <v>0.15</v>
      </c>
      <c r="BI16" s="15">
        <v>9.5500000000000007</v>
      </c>
      <c r="BJ16" s="15">
        <v>4.5999999999999996</v>
      </c>
      <c r="BK16" s="15">
        <v>0.1</v>
      </c>
      <c r="BL16" s="15">
        <v>0.15</v>
      </c>
      <c r="BM16" s="20" t="s">
        <v>29</v>
      </c>
      <c r="BN16" s="43">
        <f t="shared" si="25"/>
        <v>3.8</v>
      </c>
      <c r="BO16" s="43">
        <f t="shared" si="26"/>
        <v>20.05</v>
      </c>
      <c r="BP16" s="43">
        <f t="shared" si="27"/>
        <v>9.6</v>
      </c>
      <c r="BQ16" s="43">
        <f t="shared" si="28"/>
        <v>28.100000000000005</v>
      </c>
      <c r="BR16" s="10">
        <f t="shared" si="29"/>
        <v>13.399999999999999</v>
      </c>
      <c r="BS16" s="10">
        <f t="shared" si="30"/>
        <v>48.150000000000006</v>
      </c>
      <c r="BT16" s="10">
        <f t="shared" si="31"/>
        <v>4.45</v>
      </c>
      <c r="BU16" s="10">
        <f t="shared" si="32"/>
        <v>13.399999999999999</v>
      </c>
      <c r="BV16" s="10">
        <f t="shared" si="33"/>
        <v>4.5999999999999996</v>
      </c>
      <c r="BW16" s="10">
        <f t="shared" si="34"/>
        <v>14.200000000000001</v>
      </c>
      <c r="BX16" s="10">
        <f t="shared" si="35"/>
        <v>9.0500000000000007</v>
      </c>
      <c r="BY16" s="10">
        <f t="shared" si="36"/>
        <v>27.6</v>
      </c>
      <c r="BZ16" s="10">
        <f t="shared" si="37"/>
        <v>75.75</v>
      </c>
      <c r="CA16" s="34" t="str">
        <f t="shared" si="38"/>
        <v/>
      </c>
      <c r="CB16" s="34" t="str">
        <f t="shared" si="39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40"/>
        <v/>
      </c>
      <c r="CX16" s="27" t="str">
        <f t="shared" si="41"/>
        <v/>
      </c>
      <c r="CY16" s="27" t="str">
        <f t="shared" si="42"/>
        <v/>
      </c>
      <c r="CZ16" s="27" t="str">
        <f t="shared" si="43"/>
        <v/>
      </c>
      <c r="DA16" s="27" t="str">
        <f t="shared" si="44"/>
        <v/>
      </c>
      <c r="DB16" s="27" t="str">
        <f t="shared" si="45"/>
        <v/>
      </c>
      <c r="DC16" s="27" t="str">
        <f t="shared" si="46"/>
        <v/>
      </c>
      <c r="DD16" s="27" t="str">
        <f t="shared" si="47"/>
        <v/>
      </c>
      <c r="DE16" s="27" t="str">
        <f t="shared" si="48"/>
        <v/>
      </c>
      <c r="DF16" s="27" t="str">
        <f t="shared" si="49"/>
        <v/>
      </c>
      <c r="DG16" s="27" t="str">
        <f t="shared" si="50"/>
        <v/>
      </c>
      <c r="DH16" s="27" t="str">
        <f t="shared" si="51"/>
        <v/>
      </c>
      <c r="DI16" s="27" t="str">
        <f t="shared" si="52"/>
        <v/>
      </c>
      <c r="DJ16" s="27" t="str">
        <f t="shared" si="53"/>
        <v/>
      </c>
      <c r="DK16" s="27" t="str">
        <f t="shared" si="54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5"/>
        <v/>
      </c>
      <c r="EG16" s="10" t="str">
        <f t="shared" si="56"/>
        <v/>
      </c>
      <c r="EH16" s="10" t="str">
        <f t="shared" si="57"/>
        <v/>
      </c>
      <c r="EI16" s="10" t="str">
        <f t="shared" si="58"/>
        <v/>
      </c>
      <c r="EJ16" s="10" t="str">
        <f t="shared" si="59"/>
        <v/>
      </c>
      <c r="EK16" s="10" t="str">
        <f t="shared" si="60"/>
        <v/>
      </c>
      <c r="EL16" s="10" t="str">
        <f t="shared" si="61"/>
        <v/>
      </c>
      <c r="EM16" s="10" t="str">
        <f t="shared" si="62"/>
        <v/>
      </c>
      <c r="EN16" s="10" t="str">
        <f t="shared" si="63"/>
        <v/>
      </c>
      <c r="EO16" s="10" t="str">
        <f t="shared" si="64"/>
        <v/>
      </c>
      <c r="EP16" s="10" t="str">
        <f t="shared" si="65"/>
        <v/>
      </c>
      <c r="EQ16" s="10" t="str">
        <f t="shared" si="66"/>
        <v/>
      </c>
      <c r="ER16" s="10" t="str">
        <f t="shared" si="67"/>
        <v/>
      </c>
      <c r="ES16" s="10" t="str">
        <f t="shared" si="68"/>
        <v/>
      </c>
      <c r="ET16" s="10" t="str">
        <f t="shared" si="69"/>
        <v/>
      </c>
      <c r="EU16" s="44">
        <f t="shared" si="70"/>
        <v>16.25</v>
      </c>
      <c r="EV16" s="44">
        <f t="shared" si="71"/>
        <v>3.8</v>
      </c>
      <c r="EW16" s="44">
        <f t="shared" si="72"/>
        <v>0</v>
      </c>
      <c r="EX16" s="44">
        <f t="shared" si="73"/>
        <v>0</v>
      </c>
      <c r="EY16" s="44">
        <f t="shared" si="74"/>
        <v>18.450000000000003</v>
      </c>
      <c r="EZ16" s="44">
        <f t="shared" si="75"/>
        <v>9.6</v>
      </c>
      <c r="FA16" s="44">
        <f t="shared" si="76"/>
        <v>0.4</v>
      </c>
      <c r="FB16" s="44">
        <f t="shared" si="77"/>
        <v>0.44999999999999996</v>
      </c>
      <c r="FC16" s="44">
        <f t="shared" si="78"/>
        <v>9.1999999999999993</v>
      </c>
      <c r="FD16" s="44">
        <f t="shared" si="79"/>
        <v>4.45</v>
      </c>
      <c r="FE16" s="44">
        <f t="shared" si="80"/>
        <v>0.4</v>
      </c>
      <c r="FF16" s="44">
        <f t="shared" si="81"/>
        <v>0.15</v>
      </c>
      <c r="FG16" s="44">
        <f t="shared" si="82"/>
        <v>9.5500000000000007</v>
      </c>
      <c r="FH16" s="44">
        <f t="shared" si="83"/>
        <v>4.5999999999999996</v>
      </c>
      <c r="FI16" s="44">
        <f t="shared" si="84"/>
        <v>0.1</v>
      </c>
      <c r="FJ16" s="44">
        <f t="shared" si="85"/>
        <v>0.15</v>
      </c>
      <c r="FK16" s="20" t="s">
        <v>29</v>
      </c>
      <c r="FL16" s="10">
        <f t="shared" si="86"/>
        <v>3.8</v>
      </c>
      <c r="FM16" s="10">
        <f t="shared" si="87"/>
        <v>20.05</v>
      </c>
      <c r="FN16" s="10">
        <f t="shared" si="88"/>
        <v>9.6</v>
      </c>
      <c r="FO16" s="10">
        <f t="shared" si="89"/>
        <v>28.100000000000005</v>
      </c>
      <c r="FP16" s="10">
        <f t="shared" si="90"/>
        <v>13.399999999999999</v>
      </c>
      <c r="FQ16" s="10">
        <f t="shared" si="93"/>
        <v>48.150000000000006</v>
      </c>
      <c r="FR16" s="10">
        <f t="shared" si="94"/>
        <v>4.45</v>
      </c>
      <c r="FS16" s="10">
        <f t="shared" si="95"/>
        <v>13.399999999999999</v>
      </c>
      <c r="FT16" s="10">
        <f t="shared" si="96"/>
        <v>4.5999999999999996</v>
      </c>
      <c r="FU16" s="10">
        <f t="shared" si="97"/>
        <v>14.200000000000001</v>
      </c>
      <c r="FV16" s="10">
        <f t="shared" si="98"/>
        <v>9.0500000000000007</v>
      </c>
      <c r="FW16" s="10">
        <f t="shared" si="91"/>
        <v>27.6</v>
      </c>
      <c r="FX16" s="10">
        <f t="shared" si="92"/>
        <v>75.75</v>
      </c>
    </row>
    <row r="17" spans="1:180" x14ac:dyDescent="0.2">
      <c r="A17" s="3" t="str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/>
      </c>
      <c r="B17" s="4" t="s">
        <v>85</v>
      </c>
      <c r="C17" s="3" t="s">
        <v>5</v>
      </c>
      <c r="D17" s="3">
        <v>2008</v>
      </c>
      <c r="E17" s="8">
        <f t="shared" si="0"/>
        <v>95.000007300005009</v>
      </c>
      <c r="F17" s="2" t="str">
        <f t="shared" si="1"/>
        <v/>
      </c>
      <c r="G17" s="2" t="str">
        <f t="shared" si="2"/>
        <v/>
      </c>
      <c r="H17" s="26" t="str">
        <f t="shared" si="3"/>
        <v/>
      </c>
      <c r="I17" s="2" t="str">
        <f t="shared" si="4"/>
        <v/>
      </c>
      <c r="J17" s="7">
        <f t="shared" si="5"/>
        <v>50.099999999999994</v>
      </c>
      <c r="K17" s="7" t="str">
        <f t="shared" si="6"/>
        <v>2025 Nationals</v>
      </c>
      <c r="L17" s="7">
        <f>IF(J17=AO17,IF(COUNT(AQ17,AS17,BO17,BQ17,BU17,BW17)&gt;1,LARGE((AQ17,AS17,BO17,BQ17,BU17,BW17),1),0),IF(COUNT(AK17,AM17,AQ17,AS17,BU17,BW17)&gt;1,LARGE((AK17,AM17,AQ17,AS17,BU17,BW17),1),0))</f>
        <v>22.9</v>
      </c>
      <c r="M17" s="7" t="str">
        <f t="shared" si="7"/>
        <v>2025 Nationals</v>
      </c>
      <c r="N17" s="7">
        <f>IF(J17=AO17,IF(COUNT(AQ17,AS17,BO17,BQ17,BU17,BW17)&gt;1,LARGE((AQ17,AS17,BO17,BQ17,BU17,BW17),2),0),IF(COUNT(AK17,AM17,AQ17,AS17,BU17,BW17)&gt;1,LARGE((AK17,AM17,AQ17,AS17,BU17,BW17),2),0))</f>
        <v>22</v>
      </c>
      <c r="O17" s="7" t="str">
        <f t="shared" si="8"/>
        <v>2025 Nationals</v>
      </c>
      <c r="P17" s="7" t="str">
        <f t="shared" si="9"/>
        <v/>
      </c>
      <c r="Q17" s="10" t="str">
        <f t="shared" si="10"/>
        <v/>
      </c>
      <c r="R17" s="7" t="str">
        <f t="shared" si="11"/>
        <v/>
      </c>
      <c r="S17" s="39">
        <v>18.899999999999999</v>
      </c>
      <c r="T17" s="39">
        <v>7.2</v>
      </c>
      <c r="U17" s="39">
        <v>0.2</v>
      </c>
      <c r="V17" s="39">
        <v>0</v>
      </c>
      <c r="W17" s="39">
        <v>18.399999999999999</v>
      </c>
      <c r="X17" s="39">
        <v>6.8</v>
      </c>
      <c r="Y17" s="39">
        <v>1</v>
      </c>
      <c r="Z17" s="39">
        <v>0</v>
      </c>
      <c r="AA17" s="39">
        <v>17.8</v>
      </c>
      <c r="AB17" s="39">
        <v>5.2</v>
      </c>
      <c r="AC17" s="39">
        <v>1</v>
      </c>
      <c r="AD17" s="39">
        <v>0</v>
      </c>
      <c r="AE17" s="39">
        <v>16.5</v>
      </c>
      <c r="AF17" s="39">
        <v>7.2</v>
      </c>
      <c r="AG17" s="39">
        <v>0.8</v>
      </c>
      <c r="AH17" s="39">
        <v>0</v>
      </c>
      <c r="AI17" s="19"/>
      <c r="AJ17" s="42">
        <f t="shared" si="12"/>
        <v>7.2</v>
      </c>
      <c r="AK17" s="42">
        <f t="shared" si="13"/>
        <v>25.9</v>
      </c>
      <c r="AL17" s="42">
        <f t="shared" si="14"/>
        <v>6.8</v>
      </c>
      <c r="AM17" s="42">
        <f t="shared" si="15"/>
        <v>24.2</v>
      </c>
      <c r="AN17" s="27">
        <f t="shared" si="16"/>
        <v>14</v>
      </c>
      <c r="AO17" s="27">
        <f t="shared" si="17"/>
        <v>50.099999999999994</v>
      </c>
      <c r="AP17" s="27">
        <f t="shared" si="18"/>
        <v>5.2</v>
      </c>
      <c r="AQ17" s="27">
        <f t="shared" si="19"/>
        <v>22</v>
      </c>
      <c r="AR17" s="27">
        <f t="shared" si="20"/>
        <v>7.2</v>
      </c>
      <c r="AS17" s="27">
        <f t="shared" si="21"/>
        <v>22.9</v>
      </c>
      <c r="AT17" s="27">
        <f t="shared" si="22"/>
        <v>12.4</v>
      </c>
      <c r="AU17" s="27">
        <f t="shared" si="23"/>
        <v>44.9</v>
      </c>
      <c r="AV17" s="27">
        <f t="shared" si="24"/>
        <v>95</v>
      </c>
      <c r="AW17" s="15">
        <v>17.399999999999999</v>
      </c>
      <c r="AX17" s="15">
        <v>6</v>
      </c>
      <c r="AY17" s="15">
        <v>1.8</v>
      </c>
      <c r="AZ17" s="15">
        <v>0</v>
      </c>
      <c r="BA17" s="15">
        <v>15.4</v>
      </c>
      <c r="BB17" s="15">
        <v>2.4</v>
      </c>
      <c r="BC17" s="15">
        <v>0</v>
      </c>
      <c r="BD17" s="15">
        <v>0</v>
      </c>
      <c r="BE17" s="15"/>
      <c r="BF17" s="15"/>
      <c r="BG17" s="15"/>
      <c r="BH17" s="15"/>
      <c r="BI17" s="15"/>
      <c r="BJ17" s="15"/>
      <c r="BK17" s="15"/>
      <c r="BL17" s="15"/>
      <c r="BM17" s="20"/>
      <c r="BN17" s="43">
        <f t="shared" si="25"/>
        <v>6</v>
      </c>
      <c r="BO17" s="43">
        <f t="shared" si="26"/>
        <v>21.599999999999998</v>
      </c>
      <c r="BP17" s="43">
        <f t="shared" si="27"/>
        <v>2.4</v>
      </c>
      <c r="BQ17" s="43">
        <f t="shared" si="28"/>
        <v>17.8</v>
      </c>
      <c r="BR17" s="10">
        <f t="shared" si="29"/>
        <v>8.4</v>
      </c>
      <c r="BS17" s="10">
        <f t="shared" si="30"/>
        <v>39.4</v>
      </c>
      <c r="BT17" s="10" t="str">
        <f t="shared" si="31"/>
        <v/>
      </c>
      <c r="BU17" s="10" t="str">
        <f t="shared" si="32"/>
        <v/>
      </c>
      <c r="BV17" s="10" t="str">
        <f t="shared" si="33"/>
        <v/>
      </c>
      <c r="BW17" s="10" t="str">
        <f t="shared" si="34"/>
        <v/>
      </c>
      <c r="BX17" s="10" t="str">
        <f t="shared" si="35"/>
        <v/>
      </c>
      <c r="BY17" s="10" t="str">
        <f t="shared" si="36"/>
        <v/>
      </c>
      <c r="BZ17" s="10">
        <f t="shared" si="37"/>
        <v>39.4</v>
      </c>
      <c r="CA17" s="34" t="str">
        <f t="shared" si="38"/>
        <v/>
      </c>
      <c r="CB17" s="34" t="str">
        <f t="shared" si="39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40"/>
        <v/>
      </c>
      <c r="CX17" s="27" t="str">
        <f t="shared" si="41"/>
        <v/>
      </c>
      <c r="CY17" s="27" t="str">
        <f t="shared" si="42"/>
        <v/>
      </c>
      <c r="CZ17" s="27" t="str">
        <f t="shared" si="43"/>
        <v/>
      </c>
      <c r="DA17" s="27" t="str">
        <f t="shared" si="44"/>
        <v/>
      </c>
      <c r="DB17" s="27" t="str">
        <f t="shared" si="45"/>
        <v/>
      </c>
      <c r="DC17" s="27" t="str">
        <f t="shared" si="46"/>
        <v/>
      </c>
      <c r="DD17" s="27" t="str">
        <f t="shared" si="47"/>
        <v/>
      </c>
      <c r="DE17" s="27" t="str">
        <f t="shared" si="48"/>
        <v/>
      </c>
      <c r="DF17" s="27" t="str">
        <f t="shared" si="49"/>
        <v/>
      </c>
      <c r="DG17" s="27" t="str">
        <f t="shared" si="50"/>
        <v/>
      </c>
      <c r="DH17" s="27" t="str">
        <f t="shared" si="51"/>
        <v/>
      </c>
      <c r="DI17" s="27" t="str">
        <f t="shared" si="52"/>
        <v/>
      </c>
      <c r="DJ17" s="27" t="str">
        <f t="shared" si="53"/>
        <v/>
      </c>
      <c r="DK17" s="27" t="str">
        <f t="shared" si="54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5"/>
        <v/>
      </c>
      <c r="EG17" s="10" t="str">
        <f t="shared" si="56"/>
        <v/>
      </c>
      <c r="EH17" s="10" t="str">
        <f t="shared" si="57"/>
        <v/>
      </c>
      <c r="EI17" s="10" t="str">
        <f t="shared" si="58"/>
        <v/>
      </c>
      <c r="EJ17" s="10" t="str">
        <f t="shared" si="59"/>
        <v/>
      </c>
      <c r="EK17" s="10" t="str">
        <f t="shared" si="60"/>
        <v/>
      </c>
      <c r="EL17" s="10" t="str">
        <f t="shared" si="61"/>
        <v/>
      </c>
      <c r="EM17" s="10" t="str">
        <f t="shared" si="62"/>
        <v/>
      </c>
      <c r="EN17" s="10" t="str">
        <f t="shared" si="63"/>
        <v/>
      </c>
      <c r="EO17" s="10" t="str">
        <f t="shared" si="64"/>
        <v/>
      </c>
      <c r="EP17" s="10" t="str">
        <f t="shared" si="65"/>
        <v/>
      </c>
      <c r="EQ17" s="10" t="str">
        <f t="shared" si="66"/>
        <v/>
      </c>
      <c r="ER17" s="10" t="str">
        <f t="shared" si="67"/>
        <v/>
      </c>
      <c r="ES17" s="10" t="str">
        <f t="shared" si="68"/>
        <v/>
      </c>
      <c r="ET17" s="10" t="str">
        <f t="shared" si="69"/>
        <v/>
      </c>
      <c r="EU17" s="44">
        <f t="shared" si="70"/>
        <v>18.149999999999999</v>
      </c>
      <c r="EV17" s="44">
        <f t="shared" si="71"/>
        <v>6.6</v>
      </c>
      <c r="EW17" s="44">
        <f t="shared" si="72"/>
        <v>1</v>
      </c>
      <c r="EX17" s="44">
        <f t="shared" si="73"/>
        <v>0</v>
      </c>
      <c r="EY17" s="44">
        <f t="shared" si="74"/>
        <v>16.899999999999999</v>
      </c>
      <c r="EZ17" s="44">
        <f t="shared" si="75"/>
        <v>4.5999999999999996</v>
      </c>
      <c r="FA17" s="44">
        <f t="shared" si="76"/>
        <v>0.5</v>
      </c>
      <c r="FB17" s="44">
        <f t="shared" si="77"/>
        <v>0</v>
      </c>
      <c r="FC17" s="44">
        <f t="shared" si="78"/>
        <v>8.9</v>
      </c>
      <c r="FD17" s="44">
        <f t="shared" si="79"/>
        <v>2.6</v>
      </c>
      <c r="FE17" s="44">
        <f t="shared" si="80"/>
        <v>0.5</v>
      </c>
      <c r="FF17" s="44">
        <f t="shared" si="81"/>
        <v>0</v>
      </c>
      <c r="FG17" s="44">
        <f t="shared" si="82"/>
        <v>8.25</v>
      </c>
      <c r="FH17" s="44">
        <f t="shared" si="83"/>
        <v>3.6</v>
      </c>
      <c r="FI17" s="44">
        <f t="shared" si="84"/>
        <v>0.4</v>
      </c>
      <c r="FJ17" s="44">
        <f t="shared" si="85"/>
        <v>0</v>
      </c>
      <c r="FK17" s="20" t="s">
        <v>29</v>
      </c>
      <c r="FL17" s="10">
        <f t="shared" si="86"/>
        <v>6.6</v>
      </c>
      <c r="FM17" s="10">
        <f t="shared" si="87"/>
        <v>23.75</v>
      </c>
      <c r="FN17" s="10">
        <f t="shared" si="88"/>
        <v>4.5999999999999996</v>
      </c>
      <c r="FO17" s="10">
        <f t="shared" si="89"/>
        <v>21</v>
      </c>
      <c r="FP17" s="10">
        <f t="shared" si="90"/>
        <v>11.2</v>
      </c>
      <c r="FQ17" s="10">
        <f t="shared" si="93"/>
        <v>44.75</v>
      </c>
      <c r="FR17" s="10">
        <f t="shared" si="94"/>
        <v>2.6</v>
      </c>
      <c r="FS17" s="10">
        <f t="shared" si="95"/>
        <v>11</v>
      </c>
      <c r="FT17" s="10">
        <f t="shared" si="96"/>
        <v>3.6</v>
      </c>
      <c r="FU17" s="10">
        <f t="shared" si="97"/>
        <v>11.45</v>
      </c>
      <c r="FV17" s="10">
        <f t="shared" si="98"/>
        <v>6.2</v>
      </c>
      <c r="FW17" s="10">
        <f t="shared" si="91"/>
        <v>22.45</v>
      </c>
      <c r="FX17" s="10">
        <f t="shared" si="92"/>
        <v>67.2</v>
      </c>
    </row>
    <row r="18" spans="1:180" x14ac:dyDescent="0.2">
      <c r="A18" s="3" t="str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/>
      </c>
      <c r="B18" s="4" t="s">
        <v>43</v>
      </c>
      <c r="C18" s="3" t="s">
        <v>3</v>
      </c>
      <c r="D18" s="3">
        <v>2005</v>
      </c>
      <c r="E18" s="8">
        <f t="shared" si="0"/>
        <v>94.700007650005119</v>
      </c>
      <c r="F18" s="2" t="str">
        <f t="shared" si="1"/>
        <v/>
      </c>
      <c r="G18" s="2" t="str">
        <f t="shared" si="2"/>
        <v/>
      </c>
      <c r="H18" s="26" t="str">
        <f t="shared" si="3"/>
        <v/>
      </c>
      <c r="I18" s="2" t="str">
        <f t="shared" si="4"/>
        <v/>
      </c>
      <c r="J18" s="7">
        <f t="shared" si="5"/>
        <v>51.2</v>
      </c>
      <c r="K18" s="7" t="str">
        <f t="shared" si="6"/>
        <v>2025 Nationals</v>
      </c>
      <c r="L18" s="7">
        <f>IF(J18=AO18,IF(COUNT(AQ18,AS18,BO18,BQ18,BU18,BW18)&gt;1,LARGE((AQ18,AS18,BO18,BQ18,BU18,BW18),1),0),IF(COUNT(AK18,AM18,AQ18,AS18,BU18,BW18)&gt;1,LARGE((AK18,AM18,AQ18,AS18,BU18,BW18),1),0))</f>
        <v>25.3</v>
      </c>
      <c r="M18" s="7" t="str">
        <f t="shared" si="7"/>
        <v>2025 Nationals</v>
      </c>
      <c r="N18" s="7">
        <f>IF(J18=AO18,IF(COUNT(AQ18,AS18,BO18,BQ18,BU18,BW18)&gt;1,LARGE((AQ18,AS18,BO18,BQ18,BU18,BW18),2),0),IF(COUNT(AK18,AM18,AQ18,AS18,BU18,BW18)&gt;1,LARGE((AK18,AM18,AQ18,AS18,BU18,BW18),2),0))</f>
        <v>18.2</v>
      </c>
      <c r="O18" s="7" t="str">
        <f t="shared" si="8"/>
        <v>2025 Nationals</v>
      </c>
      <c r="P18" s="7" t="str">
        <f t="shared" si="9"/>
        <v/>
      </c>
      <c r="Q18" s="10" t="str">
        <f t="shared" si="10"/>
        <v/>
      </c>
      <c r="R18" s="7" t="str">
        <f t="shared" si="11"/>
        <v/>
      </c>
      <c r="S18" s="39">
        <v>18.8</v>
      </c>
      <c r="T18" s="39">
        <v>8</v>
      </c>
      <c r="U18" s="39">
        <v>0</v>
      </c>
      <c r="V18" s="39">
        <v>0.3</v>
      </c>
      <c r="W18" s="39">
        <v>18.100000000000001</v>
      </c>
      <c r="X18" s="39">
        <v>6.8</v>
      </c>
      <c r="Y18" s="39">
        <v>0.8</v>
      </c>
      <c r="Z18" s="39">
        <v>0</v>
      </c>
      <c r="AA18" s="39">
        <v>15.4</v>
      </c>
      <c r="AB18" s="39">
        <v>2.8</v>
      </c>
      <c r="AC18" s="39">
        <v>0</v>
      </c>
      <c r="AD18" s="39">
        <v>0</v>
      </c>
      <c r="AE18" s="39">
        <v>18.7</v>
      </c>
      <c r="AF18" s="39">
        <v>6.8</v>
      </c>
      <c r="AG18" s="39">
        <v>0.2</v>
      </c>
      <c r="AH18" s="39">
        <v>0</v>
      </c>
      <c r="AI18" s="19"/>
      <c r="AJ18" s="42">
        <f t="shared" si="12"/>
        <v>8</v>
      </c>
      <c r="AK18" s="42">
        <f t="shared" si="13"/>
        <v>27.1</v>
      </c>
      <c r="AL18" s="42">
        <f t="shared" si="14"/>
        <v>6.8</v>
      </c>
      <c r="AM18" s="42">
        <f t="shared" si="15"/>
        <v>24.1</v>
      </c>
      <c r="AN18" s="27">
        <f t="shared" si="16"/>
        <v>14.8</v>
      </c>
      <c r="AO18" s="27">
        <f t="shared" si="17"/>
        <v>51.2</v>
      </c>
      <c r="AP18" s="27">
        <f t="shared" si="18"/>
        <v>2.8</v>
      </c>
      <c r="AQ18" s="27">
        <f t="shared" si="19"/>
        <v>18.2</v>
      </c>
      <c r="AR18" s="27">
        <f t="shared" si="20"/>
        <v>6.8</v>
      </c>
      <c r="AS18" s="27">
        <f t="shared" si="21"/>
        <v>25.3</v>
      </c>
      <c r="AT18" s="27">
        <f t="shared" si="22"/>
        <v>9.6</v>
      </c>
      <c r="AU18" s="27">
        <f t="shared" si="23"/>
        <v>43.5</v>
      </c>
      <c r="AV18" s="27">
        <f t="shared" si="24"/>
        <v>94.7</v>
      </c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20"/>
      <c r="BN18" s="43" t="str">
        <f t="shared" si="25"/>
        <v/>
      </c>
      <c r="BO18" s="43" t="str">
        <f t="shared" si="26"/>
        <v/>
      </c>
      <c r="BP18" s="43" t="str">
        <f t="shared" si="27"/>
        <v/>
      </c>
      <c r="BQ18" s="43" t="str">
        <f t="shared" si="28"/>
        <v/>
      </c>
      <c r="BR18" s="10" t="str">
        <f t="shared" si="29"/>
        <v/>
      </c>
      <c r="BS18" s="10" t="str">
        <f t="shared" si="30"/>
        <v/>
      </c>
      <c r="BT18" s="10" t="str">
        <f t="shared" si="31"/>
        <v/>
      </c>
      <c r="BU18" s="10" t="str">
        <f t="shared" si="32"/>
        <v/>
      </c>
      <c r="BV18" s="10" t="str">
        <f t="shared" si="33"/>
        <v/>
      </c>
      <c r="BW18" s="10" t="str">
        <f t="shared" si="34"/>
        <v/>
      </c>
      <c r="BX18" s="10" t="str">
        <f t="shared" si="35"/>
        <v/>
      </c>
      <c r="BY18" s="10" t="str">
        <f t="shared" si="36"/>
        <v/>
      </c>
      <c r="BZ18" s="10" t="str">
        <f t="shared" si="37"/>
        <v/>
      </c>
      <c r="CA18" s="34" t="str">
        <f t="shared" si="38"/>
        <v/>
      </c>
      <c r="CB18" s="34" t="str">
        <f t="shared" si="39"/>
        <v/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40"/>
        <v/>
      </c>
      <c r="CX18" s="27" t="str">
        <f t="shared" si="41"/>
        <v/>
      </c>
      <c r="CY18" s="27" t="str">
        <f t="shared" si="42"/>
        <v/>
      </c>
      <c r="CZ18" s="27" t="str">
        <f t="shared" si="43"/>
        <v/>
      </c>
      <c r="DA18" s="27" t="str">
        <f t="shared" si="44"/>
        <v/>
      </c>
      <c r="DB18" s="27" t="str">
        <f t="shared" si="45"/>
        <v/>
      </c>
      <c r="DC18" s="27" t="str">
        <f t="shared" si="46"/>
        <v/>
      </c>
      <c r="DD18" s="27" t="str">
        <f t="shared" si="47"/>
        <v/>
      </c>
      <c r="DE18" s="27" t="str">
        <f t="shared" si="48"/>
        <v/>
      </c>
      <c r="DF18" s="27" t="str">
        <f t="shared" si="49"/>
        <v/>
      </c>
      <c r="DG18" s="27" t="str">
        <f t="shared" si="50"/>
        <v/>
      </c>
      <c r="DH18" s="27" t="str">
        <f t="shared" si="51"/>
        <v/>
      </c>
      <c r="DI18" s="27" t="str">
        <f t="shared" si="52"/>
        <v/>
      </c>
      <c r="DJ18" s="27" t="str">
        <f t="shared" si="53"/>
        <v/>
      </c>
      <c r="DK18" s="27" t="str">
        <f t="shared" si="54"/>
        <v/>
      </c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 t="str">
        <f t="shared" si="55"/>
        <v/>
      </c>
      <c r="EG18" s="10" t="str">
        <f t="shared" si="56"/>
        <v/>
      </c>
      <c r="EH18" s="10" t="str">
        <f t="shared" si="57"/>
        <v/>
      </c>
      <c r="EI18" s="10" t="str">
        <f t="shared" si="58"/>
        <v/>
      </c>
      <c r="EJ18" s="10" t="str">
        <f t="shared" si="59"/>
        <v/>
      </c>
      <c r="EK18" s="10" t="str">
        <f t="shared" si="60"/>
        <v/>
      </c>
      <c r="EL18" s="10" t="str">
        <f t="shared" si="61"/>
        <v/>
      </c>
      <c r="EM18" s="10" t="str">
        <f t="shared" si="62"/>
        <v/>
      </c>
      <c r="EN18" s="10" t="str">
        <f t="shared" si="63"/>
        <v/>
      </c>
      <c r="EO18" s="10" t="str">
        <f t="shared" si="64"/>
        <v/>
      </c>
      <c r="EP18" s="10" t="str">
        <f t="shared" si="65"/>
        <v/>
      </c>
      <c r="EQ18" s="10" t="str">
        <f t="shared" si="66"/>
        <v/>
      </c>
      <c r="ER18" s="10" t="str">
        <f t="shared" si="67"/>
        <v/>
      </c>
      <c r="ES18" s="10" t="str">
        <f t="shared" si="68"/>
        <v/>
      </c>
      <c r="ET18" s="10" t="str">
        <f t="shared" si="69"/>
        <v/>
      </c>
      <c r="EU18" s="44">
        <f t="shared" si="70"/>
        <v>9.4</v>
      </c>
      <c r="EV18" s="44">
        <f t="shared" si="71"/>
        <v>4</v>
      </c>
      <c r="EW18" s="44">
        <f t="shared" si="72"/>
        <v>0</v>
      </c>
      <c r="EX18" s="44">
        <f t="shared" si="73"/>
        <v>0.15</v>
      </c>
      <c r="EY18" s="44">
        <f t="shared" si="74"/>
        <v>9.0500000000000007</v>
      </c>
      <c r="EZ18" s="44">
        <f t="shared" si="75"/>
        <v>3.4</v>
      </c>
      <c r="FA18" s="44">
        <f t="shared" si="76"/>
        <v>0.4</v>
      </c>
      <c r="FB18" s="44">
        <f t="shared" si="77"/>
        <v>0</v>
      </c>
      <c r="FC18" s="44">
        <f t="shared" si="78"/>
        <v>7.7</v>
      </c>
      <c r="FD18" s="44">
        <f t="shared" si="79"/>
        <v>1.4</v>
      </c>
      <c r="FE18" s="44">
        <f t="shared" si="80"/>
        <v>0</v>
      </c>
      <c r="FF18" s="44">
        <f t="shared" si="81"/>
        <v>0</v>
      </c>
      <c r="FG18" s="44">
        <f t="shared" si="82"/>
        <v>9.35</v>
      </c>
      <c r="FH18" s="44">
        <f t="shared" si="83"/>
        <v>3.4</v>
      </c>
      <c r="FI18" s="44">
        <f t="shared" si="84"/>
        <v>0.1</v>
      </c>
      <c r="FJ18" s="44">
        <f t="shared" si="85"/>
        <v>0</v>
      </c>
      <c r="FK18" s="20" t="s">
        <v>29</v>
      </c>
      <c r="FL18" s="10">
        <f t="shared" si="86"/>
        <v>4</v>
      </c>
      <c r="FM18" s="10">
        <f t="shared" si="87"/>
        <v>13.55</v>
      </c>
      <c r="FN18" s="10">
        <f t="shared" si="88"/>
        <v>3.4</v>
      </c>
      <c r="FO18" s="10">
        <f t="shared" si="89"/>
        <v>12.05</v>
      </c>
      <c r="FP18" s="10">
        <f t="shared" si="90"/>
        <v>7.4</v>
      </c>
      <c r="FQ18" s="10">
        <f t="shared" si="93"/>
        <v>25.6</v>
      </c>
      <c r="FR18" s="10">
        <f t="shared" si="94"/>
        <v>1.4</v>
      </c>
      <c r="FS18" s="10">
        <f t="shared" si="95"/>
        <v>9.1</v>
      </c>
      <c r="FT18" s="10">
        <f t="shared" si="96"/>
        <v>3.4</v>
      </c>
      <c r="FU18" s="10">
        <f t="shared" si="97"/>
        <v>12.65</v>
      </c>
      <c r="FV18" s="10">
        <f t="shared" si="98"/>
        <v>4.8</v>
      </c>
      <c r="FW18" s="10">
        <f t="shared" si="91"/>
        <v>21.75</v>
      </c>
      <c r="FX18" s="10">
        <f t="shared" si="92"/>
        <v>47.35</v>
      </c>
    </row>
    <row r="19" spans="1:180" x14ac:dyDescent="0.2">
      <c r="A19" s="3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4" t="s">
        <v>84</v>
      </c>
      <c r="C19" s="3" t="s">
        <v>5</v>
      </c>
      <c r="D19" s="3">
        <v>2007</v>
      </c>
      <c r="E19" s="8">
        <f t="shared" si="0"/>
        <v>90.100006950004598</v>
      </c>
      <c r="F19" s="2" t="str">
        <f t="shared" si="1"/>
        <v/>
      </c>
      <c r="G19" s="2" t="str">
        <f t="shared" si="2"/>
        <v/>
      </c>
      <c r="H19" s="26" t="str">
        <f t="shared" si="3"/>
        <v/>
      </c>
      <c r="I19" s="2" t="str">
        <f t="shared" si="4"/>
        <v/>
      </c>
      <c r="J19" s="7">
        <f t="shared" si="5"/>
        <v>46.1</v>
      </c>
      <c r="K19" s="7" t="str">
        <f t="shared" si="6"/>
        <v>2025 Nationals</v>
      </c>
      <c r="L19" s="7">
        <f>IF(J19=AO19,IF(COUNT(AQ19,AS19,BO19,BQ19,BU19,BW19)&gt;1,LARGE((AQ19,AS19,BO19,BQ19,BU19,BW19),1),0),IF(COUNT(AK19,AM19,AQ19,AS19,BU19,BW19)&gt;1,LARGE((AK19,AM19,AQ19,AS19,BU19,BW19),1),0))</f>
        <v>23.4</v>
      </c>
      <c r="M19" s="7" t="str">
        <f t="shared" si="7"/>
        <v>2025 3rd Domestic Trial</v>
      </c>
      <c r="N19" s="7">
        <f>IF(J19=AO19,IF(COUNT(AQ19,AS19,BO19,BQ19,BU19,BW19)&gt;1,LARGE((AQ19,AS19,BO19,BQ19,BU19,BW19),2),0),IF(COUNT(AK19,AM19,AQ19,AS19,BU19,BW19)&gt;1,LARGE((AK19,AM19,AQ19,AS19,BU19,BW19),2),0))</f>
        <v>20.6</v>
      </c>
      <c r="O19" s="7" t="str">
        <f t="shared" si="8"/>
        <v>2025 3rd Domestic Trial</v>
      </c>
      <c r="P19" s="7" t="str">
        <f t="shared" si="9"/>
        <v/>
      </c>
      <c r="Q19" s="10" t="str">
        <f t="shared" si="10"/>
        <v/>
      </c>
      <c r="R19" s="7" t="str">
        <f t="shared" si="11"/>
        <v/>
      </c>
      <c r="S19" s="39">
        <v>18.3</v>
      </c>
      <c r="T19" s="39">
        <v>9.3000000000000007</v>
      </c>
      <c r="U19" s="39">
        <v>0.2</v>
      </c>
      <c r="V19" s="39">
        <v>0.3</v>
      </c>
      <c r="W19" s="39">
        <v>15.6</v>
      </c>
      <c r="X19" s="39">
        <v>2.8</v>
      </c>
      <c r="Y19" s="39">
        <v>0</v>
      </c>
      <c r="Z19" s="39">
        <v>0</v>
      </c>
      <c r="AA19" s="39"/>
      <c r="AB19" s="39"/>
      <c r="AC19" s="39"/>
      <c r="AD19" s="39"/>
      <c r="AE19" s="39"/>
      <c r="AF19" s="39"/>
      <c r="AG19" s="39"/>
      <c r="AH19" s="39"/>
      <c r="AI19" s="19"/>
      <c r="AJ19" s="42">
        <f t="shared" si="12"/>
        <v>9.3000000000000007</v>
      </c>
      <c r="AK19" s="42">
        <f t="shared" si="13"/>
        <v>27.700000000000003</v>
      </c>
      <c r="AL19" s="42">
        <f t="shared" si="14"/>
        <v>2.8</v>
      </c>
      <c r="AM19" s="42">
        <f t="shared" si="15"/>
        <v>18.399999999999999</v>
      </c>
      <c r="AN19" s="27">
        <f t="shared" si="16"/>
        <v>12.100000000000001</v>
      </c>
      <c r="AO19" s="27">
        <f t="shared" si="17"/>
        <v>46.1</v>
      </c>
      <c r="AP19" s="27" t="str">
        <f t="shared" si="18"/>
        <v/>
      </c>
      <c r="AQ19" s="27" t="str">
        <f t="shared" si="19"/>
        <v/>
      </c>
      <c r="AR19" s="27" t="str">
        <f t="shared" si="20"/>
        <v/>
      </c>
      <c r="AS19" s="27" t="str">
        <f t="shared" si="21"/>
        <v/>
      </c>
      <c r="AT19" s="27" t="str">
        <f t="shared" si="22"/>
        <v/>
      </c>
      <c r="AU19" s="27" t="str">
        <f t="shared" si="23"/>
        <v/>
      </c>
      <c r="AV19" s="27">
        <f t="shared" si="24"/>
        <v>46.1</v>
      </c>
      <c r="AW19" s="15">
        <v>15.5</v>
      </c>
      <c r="AX19" s="15">
        <v>4.8</v>
      </c>
      <c r="AY19" s="15">
        <v>0</v>
      </c>
      <c r="AZ19" s="15">
        <v>0.3</v>
      </c>
      <c r="BA19" s="15">
        <v>16.8</v>
      </c>
      <c r="BB19" s="15">
        <v>7.6</v>
      </c>
      <c r="BC19" s="15">
        <v>1</v>
      </c>
      <c r="BD19" s="15">
        <v>0</v>
      </c>
      <c r="BE19" s="15"/>
      <c r="BF19" s="15"/>
      <c r="BG19" s="15"/>
      <c r="BH19" s="15"/>
      <c r="BI19" s="15"/>
      <c r="BJ19" s="15"/>
      <c r="BK19" s="15"/>
      <c r="BL19" s="15"/>
      <c r="BM19" s="20"/>
      <c r="BN19" s="43">
        <f t="shared" si="25"/>
        <v>4.8</v>
      </c>
      <c r="BO19" s="43">
        <f t="shared" si="26"/>
        <v>20.6</v>
      </c>
      <c r="BP19" s="43">
        <f t="shared" si="27"/>
        <v>7.6</v>
      </c>
      <c r="BQ19" s="43">
        <f t="shared" si="28"/>
        <v>23.4</v>
      </c>
      <c r="BR19" s="10">
        <f t="shared" si="29"/>
        <v>12.399999999999999</v>
      </c>
      <c r="BS19" s="10">
        <f t="shared" si="30"/>
        <v>44</v>
      </c>
      <c r="BT19" s="10" t="str">
        <f t="shared" si="31"/>
        <v/>
      </c>
      <c r="BU19" s="10" t="str">
        <f t="shared" si="32"/>
        <v/>
      </c>
      <c r="BV19" s="10" t="str">
        <f t="shared" si="33"/>
        <v/>
      </c>
      <c r="BW19" s="10" t="str">
        <f t="shared" si="34"/>
        <v/>
      </c>
      <c r="BX19" s="10" t="str">
        <f t="shared" si="35"/>
        <v/>
      </c>
      <c r="BY19" s="10" t="str">
        <f t="shared" si="36"/>
        <v/>
      </c>
      <c r="BZ19" s="10">
        <f t="shared" si="37"/>
        <v>44</v>
      </c>
      <c r="CA19" s="34" t="str">
        <f t="shared" si="38"/>
        <v/>
      </c>
      <c r="CB19" s="34" t="str">
        <f t="shared" si="39"/>
        <v/>
      </c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27" t="str">
        <f t="shared" si="40"/>
        <v/>
      </c>
      <c r="CX19" s="27" t="str">
        <f t="shared" si="41"/>
        <v/>
      </c>
      <c r="CY19" s="27" t="str">
        <f t="shared" si="42"/>
        <v/>
      </c>
      <c r="CZ19" s="27" t="str">
        <f t="shared" si="43"/>
        <v/>
      </c>
      <c r="DA19" s="27" t="str">
        <f t="shared" si="44"/>
        <v/>
      </c>
      <c r="DB19" s="27" t="str">
        <f t="shared" si="45"/>
        <v/>
      </c>
      <c r="DC19" s="27" t="str">
        <f t="shared" si="46"/>
        <v/>
      </c>
      <c r="DD19" s="27" t="str">
        <f t="shared" si="47"/>
        <v/>
      </c>
      <c r="DE19" s="27" t="str">
        <f t="shared" si="48"/>
        <v/>
      </c>
      <c r="DF19" s="27" t="str">
        <f t="shared" si="49"/>
        <v/>
      </c>
      <c r="DG19" s="27" t="str">
        <f t="shared" si="50"/>
        <v/>
      </c>
      <c r="DH19" s="27" t="str">
        <f t="shared" si="51"/>
        <v/>
      </c>
      <c r="DI19" s="27" t="str">
        <f t="shared" si="52"/>
        <v/>
      </c>
      <c r="DJ19" s="27" t="str">
        <f t="shared" si="53"/>
        <v/>
      </c>
      <c r="DK19" s="27" t="str">
        <f t="shared" si="54"/>
        <v/>
      </c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0" t="str">
        <f t="shared" si="55"/>
        <v/>
      </c>
      <c r="EG19" s="10" t="str">
        <f t="shared" si="56"/>
        <v/>
      </c>
      <c r="EH19" s="10" t="str">
        <f t="shared" si="57"/>
        <v/>
      </c>
      <c r="EI19" s="10" t="str">
        <f t="shared" si="58"/>
        <v/>
      </c>
      <c r="EJ19" s="10" t="str">
        <f t="shared" si="59"/>
        <v/>
      </c>
      <c r="EK19" s="10" t="str">
        <f t="shared" si="60"/>
        <v/>
      </c>
      <c r="EL19" s="10" t="str">
        <f t="shared" si="61"/>
        <v/>
      </c>
      <c r="EM19" s="10" t="str">
        <f t="shared" si="62"/>
        <v/>
      </c>
      <c r="EN19" s="10" t="str">
        <f t="shared" si="63"/>
        <v/>
      </c>
      <c r="EO19" s="10" t="str">
        <f t="shared" si="64"/>
        <v/>
      </c>
      <c r="EP19" s="10" t="str">
        <f t="shared" si="65"/>
        <v/>
      </c>
      <c r="EQ19" s="10" t="str">
        <f t="shared" si="66"/>
        <v/>
      </c>
      <c r="ER19" s="10" t="str">
        <f t="shared" si="67"/>
        <v/>
      </c>
      <c r="ES19" s="10" t="str">
        <f t="shared" si="68"/>
        <v/>
      </c>
      <c r="ET19" s="10" t="str">
        <f t="shared" si="69"/>
        <v/>
      </c>
      <c r="EU19" s="44">
        <f t="shared" si="70"/>
        <v>16.899999999999999</v>
      </c>
      <c r="EV19" s="44">
        <f t="shared" si="71"/>
        <v>7.0500000000000007</v>
      </c>
      <c r="EW19" s="44">
        <f t="shared" si="72"/>
        <v>0.1</v>
      </c>
      <c r="EX19" s="44">
        <f t="shared" si="73"/>
        <v>0.3</v>
      </c>
      <c r="EY19" s="44">
        <f t="shared" si="74"/>
        <v>16.2</v>
      </c>
      <c r="EZ19" s="44">
        <f t="shared" si="75"/>
        <v>5.1999999999999993</v>
      </c>
      <c r="FA19" s="44">
        <f t="shared" si="76"/>
        <v>0.5</v>
      </c>
      <c r="FB19" s="44">
        <f t="shared" si="77"/>
        <v>0</v>
      </c>
      <c r="FC19" s="44">
        <f t="shared" si="78"/>
        <v>0</v>
      </c>
      <c r="FD19" s="44">
        <f t="shared" si="79"/>
        <v>0</v>
      </c>
      <c r="FE19" s="44">
        <f t="shared" si="80"/>
        <v>0</v>
      </c>
      <c r="FF19" s="44">
        <f t="shared" si="81"/>
        <v>0</v>
      </c>
      <c r="FG19" s="44">
        <f t="shared" si="82"/>
        <v>0</v>
      </c>
      <c r="FH19" s="44">
        <f t="shared" si="83"/>
        <v>0</v>
      </c>
      <c r="FI19" s="44">
        <f t="shared" si="84"/>
        <v>0</v>
      </c>
      <c r="FJ19" s="44">
        <f t="shared" si="85"/>
        <v>0</v>
      </c>
      <c r="FK19" s="20" t="s">
        <v>29</v>
      </c>
      <c r="FL19" s="10">
        <f t="shared" si="86"/>
        <v>7.0500000000000007</v>
      </c>
      <c r="FM19" s="10">
        <f t="shared" si="87"/>
        <v>24.15</v>
      </c>
      <c r="FN19" s="10">
        <f t="shared" si="88"/>
        <v>5.1999999999999993</v>
      </c>
      <c r="FO19" s="10">
        <f t="shared" si="89"/>
        <v>20.9</v>
      </c>
      <c r="FP19" s="10">
        <f t="shared" si="90"/>
        <v>12.25</v>
      </c>
      <c r="FQ19" s="10">
        <f t="shared" si="93"/>
        <v>45.05</v>
      </c>
      <c r="FR19" s="10">
        <f t="shared" si="94"/>
        <v>0</v>
      </c>
      <c r="FS19" s="10">
        <f t="shared" si="95"/>
        <v>0</v>
      </c>
      <c r="FT19" s="10">
        <f t="shared" si="96"/>
        <v>0</v>
      </c>
      <c r="FU19" s="10">
        <f t="shared" si="97"/>
        <v>0</v>
      </c>
      <c r="FV19" s="10" t="str">
        <f t="shared" si="98"/>
        <v/>
      </c>
      <c r="FW19" s="10" t="str">
        <f t="shared" si="91"/>
        <v/>
      </c>
      <c r="FX19" s="10">
        <f t="shared" si="92"/>
        <v>45.05</v>
      </c>
    </row>
    <row r="20" spans="1:180" x14ac:dyDescent="0.2">
      <c r="A20" s="3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4" t="s">
        <v>90</v>
      </c>
      <c r="C20" s="3" t="s">
        <v>91</v>
      </c>
      <c r="D20" s="3">
        <v>2005</v>
      </c>
      <c r="E20" s="8">
        <f t="shared" si="0"/>
        <v>88.300006990004519</v>
      </c>
      <c r="F20" s="2" t="str">
        <f t="shared" si="1"/>
        <v/>
      </c>
      <c r="G20" s="2" t="str">
        <f t="shared" si="2"/>
        <v/>
      </c>
      <c r="H20" s="26" t="str">
        <f t="shared" si="3"/>
        <v/>
      </c>
      <c r="I20" s="2" t="str">
        <f t="shared" si="4"/>
        <v/>
      </c>
      <c r="J20" s="7">
        <f t="shared" si="5"/>
        <v>45.1</v>
      </c>
      <c r="K20" s="7" t="str">
        <f t="shared" si="6"/>
        <v>2025 3rd Domestic Trial</v>
      </c>
      <c r="L20" s="7">
        <f>IF(J20=AO20,IF(COUNT(AQ20,AS20,BO20,BQ20,BU20,BW20)&gt;1,LARGE((AQ20,AS20,BO20,BQ20,BU20,BW20),1),0),IF(COUNT(AK20,AM20,AQ20,AS20,BU20,BW20)&gt;1,LARGE((AK20,AM20,AQ20,AS20,BU20,BW20),1),0))</f>
        <v>24.8</v>
      </c>
      <c r="M20" s="7" t="str">
        <f t="shared" si="7"/>
        <v>2025 Nationals</v>
      </c>
      <c r="N20" s="7">
        <f>IF(J20=AO20,IF(COUNT(AQ20,AS20,BO20,BQ20,BU20,BW20)&gt;1,LARGE((AQ20,AS20,BO20,BQ20,BU20,BW20),2),0),IF(COUNT(AK20,AM20,AQ20,AS20,BU20,BW20)&gt;1,LARGE((AK20,AM20,AQ20,AS20,BU20,BW20),2),0))</f>
        <v>18.399999999999999</v>
      </c>
      <c r="O20" s="7" t="str">
        <f t="shared" si="8"/>
        <v>2025 Nationals</v>
      </c>
      <c r="P20" s="7" t="str">
        <f t="shared" si="9"/>
        <v/>
      </c>
      <c r="Q20" s="10" t="str">
        <f t="shared" si="10"/>
        <v/>
      </c>
      <c r="R20" s="7" t="str">
        <f t="shared" si="11"/>
        <v/>
      </c>
      <c r="S20" s="39">
        <v>16.7</v>
      </c>
      <c r="T20" s="39">
        <v>8</v>
      </c>
      <c r="U20" s="39">
        <v>0.2</v>
      </c>
      <c r="V20" s="39">
        <v>0.3</v>
      </c>
      <c r="W20" s="39">
        <v>15.2</v>
      </c>
      <c r="X20" s="39">
        <v>3.2</v>
      </c>
      <c r="Y20" s="39">
        <v>0</v>
      </c>
      <c r="Z20" s="39">
        <v>0</v>
      </c>
      <c r="AA20" s="39"/>
      <c r="AB20" s="39"/>
      <c r="AC20" s="39"/>
      <c r="AD20" s="39"/>
      <c r="AE20" s="39"/>
      <c r="AF20" s="39"/>
      <c r="AG20" s="39"/>
      <c r="AH20" s="39"/>
      <c r="AI20" s="19"/>
      <c r="AJ20" s="42">
        <f t="shared" si="12"/>
        <v>8</v>
      </c>
      <c r="AK20" s="42">
        <f t="shared" si="13"/>
        <v>24.8</v>
      </c>
      <c r="AL20" s="42">
        <f t="shared" si="14"/>
        <v>3.2</v>
      </c>
      <c r="AM20" s="42">
        <f t="shared" si="15"/>
        <v>18.399999999999999</v>
      </c>
      <c r="AN20" s="27">
        <f t="shared" si="16"/>
        <v>11.2</v>
      </c>
      <c r="AO20" s="27">
        <f t="shared" si="17"/>
        <v>43.2</v>
      </c>
      <c r="AP20" s="27" t="str">
        <f t="shared" si="18"/>
        <v/>
      </c>
      <c r="AQ20" s="27" t="str">
        <f t="shared" si="19"/>
        <v/>
      </c>
      <c r="AR20" s="27" t="str">
        <f t="shared" si="20"/>
        <v/>
      </c>
      <c r="AS20" s="27" t="str">
        <f t="shared" si="21"/>
        <v/>
      </c>
      <c r="AT20" s="27" t="str">
        <f t="shared" si="22"/>
        <v/>
      </c>
      <c r="AU20" s="27" t="str">
        <f t="shared" si="23"/>
        <v/>
      </c>
      <c r="AV20" s="27">
        <f t="shared" si="24"/>
        <v>43.2</v>
      </c>
      <c r="AW20" s="15">
        <v>18.8</v>
      </c>
      <c r="AX20" s="15">
        <v>8</v>
      </c>
      <c r="AY20" s="15">
        <v>0.2</v>
      </c>
      <c r="AZ20" s="15">
        <v>0</v>
      </c>
      <c r="BA20" s="15">
        <v>15.3</v>
      </c>
      <c r="BB20" s="15">
        <v>3.2</v>
      </c>
      <c r="BC20" s="15">
        <v>0</v>
      </c>
      <c r="BD20" s="15">
        <v>0</v>
      </c>
      <c r="BE20" s="15"/>
      <c r="BF20" s="15"/>
      <c r="BG20" s="15"/>
      <c r="BH20" s="15"/>
      <c r="BI20" s="15"/>
      <c r="BJ20" s="15"/>
      <c r="BK20" s="15"/>
      <c r="BL20" s="15"/>
      <c r="BM20" s="20"/>
      <c r="BN20" s="43">
        <f t="shared" si="25"/>
        <v>8</v>
      </c>
      <c r="BO20" s="43">
        <f t="shared" si="26"/>
        <v>26.6</v>
      </c>
      <c r="BP20" s="43">
        <f t="shared" si="27"/>
        <v>3.2</v>
      </c>
      <c r="BQ20" s="43">
        <f t="shared" si="28"/>
        <v>18.5</v>
      </c>
      <c r="BR20" s="10">
        <f t="shared" si="29"/>
        <v>11.2</v>
      </c>
      <c r="BS20" s="10">
        <f t="shared" si="30"/>
        <v>45.1</v>
      </c>
      <c r="BT20" s="10" t="str">
        <f t="shared" si="31"/>
        <v/>
      </c>
      <c r="BU20" s="10" t="str">
        <f t="shared" si="32"/>
        <v/>
      </c>
      <c r="BV20" s="10" t="str">
        <f t="shared" si="33"/>
        <v/>
      </c>
      <c r="BW20" s="10" t="str">
        <f t="shared" si="34"/>
        <v/>
      </c>
      <c r="BX20" s="10" t="str">
        <f t="shared" si="35"/>
        <v/>
      </c>
      <c r="BY20" s="10" t="str">
        <f t="shared" si="36"/>
        <v/>
      </c>
      <c r="BZ20" s="10">
        <f t="shared" si="37"/>
        <v>45.1</v>
      </c>
      <c r="CA20" s="34" t="str">
        <f t="shared" si="38"/>
        <v/>
      </c>
      <c r="CB20" s="34" t="str">
        <f t="shared" si="39"/>
        <v/>
      </c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27" t="str">
        <f t="shared" si="40"/>
        <v/>
      </c>
      <c r="CX20" s="27" t="str">
        <f t="shared" si="41"/>
        <v/>
      </c>
      <c r="CY20" s="27" t="str">
        <f t="shared" si="42"/>
        <v/>
      </c>
      <c r="CZ20" s="27" t="str">
        <f t="shared" si="43"/>
        <v/>
      </c>
      <c r="DA20" s="27" t="str">
        <f t="shared" si="44"/>
        <v/>
      </c>
      <c r="DB20" s="27" t="str">
        <f t="shared" si="45"/>
        <v/>
      </c>
      <c r="DC20" s="27" t="str">
        <f t="shared" si="46"/>
        <v/>
      </c>
      <c r="DD20" s="27" t="str">
        <f t="shared" si="47"/>
        <v/>
      </c>
      <c r="DE20" s="27" t="str">
        <f t="shared" si="48"/>
        <v/>
      </c>
      <c r="DF20" s="27" t="str">
        <f t="shared" si="49"/>
        <v/>
      </c>
      <c r="DG20" s="27" t="str">
        <f t="shared" si="50"/>
        <v/>
      </c>
      <c r="DH20" s="27" t="str">
        <f t="shared" si="51"/>
        <v/>
      </c>
      <c r="DI20" s="27" t="str">
        <f t="shared" si="52"/>
        <v/>
      </c>
      <c r="DJ20" s="27" t="str">
        <f t="shared" si="53"/>
        <v/>
      </c>
      <c r="DK20" s="27" t="str">
        <f t="shared" si="54"/>
        <v/>
      </c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0" t="str">
        <f t="shared" si="55"/>
        <v/>
      </c>
      <c r="EG20" s="10" t="str">
        <f t="shared" si="56"/>
        <v/>
      </c>
      <c r="EH20" s="10" t="str">
        <f t="shared" si="57"/>
        <v/>
      </c>
      <c r="EI20" s="10" t="str">
        <f t="shared" si="58"/>
        <v/>
      </c>
      <c r="EJ20" s="10" t="str">
        <f t="shared" si="59"/>
        <v/>
      </c>
      <c r="EK20" s="10" t="str">
        <f t="shared" si="60"/>
        <v/>
      </c>
      <c r="EL20" s="10" t="str">
        <f t="shared" si="61"/>
        <v/>
      </c>
      <c r="EM20" s="10" t="str">
        <f t="shared" si="62"/>
        <v/>
      </c>
      <c r="EN20" s="10" t="str">
        <f t="shared" si="63"/>
        <v/>
      </c>
      <c r="EO20" s="10" t="str">
        <f t="shared" si="64"/>
        <v/>
      </c>
      <c r="EP20" s="10" t="str">
        <f t="shared" si="65"/>
        <v/>
      </c>
      <c r="EQ20" s="10" t="str">
        <f t="shared" si="66"/>
        <v/>
      </c>
      <c r="ER20" s="10" t="str">
        <f t="shared" si="67"/>
        <v/>
      </c>
      <c r="ES20" s="10" t="str">
        <f t="shared" si="68"/>
        <v/>
      </c>
      <c r="ET20" s="10" t="str">
        <f t="shared" si="69"/>
        <v/>
      </c>
      <c r="EU20" s="44">
        <f t="shared" si="70"/>
        <v>17.75</v>
      </c>
      <c r="EV20" s="44">
        <f t="shared" si="71"/>
        <v>8</v>
      </c>
      <c r="EW20" s="44">
        <f t="shared" si="72"/>
        <v>0.2</v>
      </c>
      <c r="EX20" s="44">
        <f t="shared" si="73"/>
        <v>0.15</v>
      </c>
      <c r="EY20" s="44">
        <f t="shared" si="74"/>
        <v>15.25</v>
      </c>
      <c r="EZ20" s="44">
        <f t="shared" si="75"/>
        <v>3.2</v>
      </c>
      <c r="FA20" s="44">
        <f t="shared" si="76"/>
        <v>0</v>
      </c>
      <c r="FB20" s="44">
        <f t="shared" si="77"/>
        <v>0</v>
      </c>
      <c r="FC20" s="44">
        <f t="shared" si="78"/>
        <v>0</v>
      </c>
      <c r="FD20" s="44">
        <f t="shared" si="79"/>
        <v>0</v>
      </c>
      <c r="FE20" s="44">
        <f t="shared" si="80"/>
        <v>0</v>
      </c>
      <c r="FF20" s="44">
        <f t="shared" si="81"/>
        <v>0</v>
      </c>
      <c r="FG20" s="44">
        <f t="shared" si="82"/>
        <v>0</v>
      </c>
      <c r="FH20" s="44">
        <f t="shared" si="83"/>
        <v>0</v>
      </c>
      <c r="FI20" s="44">
        <f t="shared" si="84"/>
        <v>0</v>
      </c>
      <c r="FJ20" s="44">
        <f t="shared" si="85"/>
        <v>0</v>
      </c>
      <c r="FK20" s="20" t="s">
        <v>29</v>
      </c>
      <c r="FL20" s="10">
        <f t="shared" si="86"/>
        <v>8</v>
      </c>
      <c r="FM20" s="10">
        <f t="shared" si="87"/>
        <v>25.7</v>
      </c>
      <c r="FN20" s="10">
        <f t="shared" si="88"/>
        <v>3.2</v>
      </c>
      <c r="FO20" s="10">
        <f t="shared" si="89"/>
        <v>18.45</v>
      </c>
      <c r="FP20" s="10">
        <f t="shared" si="90"/>
        <v>11.2</v>
      </c>
      <c r="FQ20" s="10">
        <f t="shared" si="93"/>
        <v>44.15</v>
      </c>
      <c r="FR20" s="10">
        <f t="shared" si="94"/>
        <v>0</v>
      </c>
      <c r="FS20" s="10">
        <f t="shared" si="95"/>
        <v>0</v>
      </c>
      <c r="FT20" s="10">
        <f t="shared" si="96"/>
        <v>0</v>
      </c>
      <c r="FU20" s="10">
        <f t="shared" si="97"/>
        <v>0</v>
      </c>
      <c r="FV20" s="10" t="str">
        <f t="shared" si="98"/>
        <v/>
      </c>
      <c r="FW20" s="10" t="str">
        <f t="shared" si="91"/>
        <v/>
      </c>
      <c r="FX20" s="10">
        <f t="shared" si="92"/>
        <v>44.15</v>
      </c>
    </row>
    <row r="21" spans="1:180" x14ac:dyDescent="0.2">
      <c r="A21" s="3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4" t="s">
        <v>55</v>
      </c>
      <c r="C21" s="3" t="s">
        <v>5</v>
      </c>
      <c r="D21" s="3">
        <v>2006</v>
      </c>
      <c r="E21" s="8">
        <f t="shared" si="0"/>
        <v>49.900004990004987</v>
      </c>
      <c r="F21" s="2" t="str">
        <f t="shared" si="1"/>
        <v/>
      </c>
      <c r="G21" s="2" t="str">
        <f t="shared" si="2"/>
        <v/>
      </c>
      <c r="H21" s="26" t="str">
        <f t="shared" si="3"/>
        <v/>
      </c>
      <c r="I21" s="2" t="str">
        <f t="shared" si="4"/>
        <v/>
      </c>
      <c r="J21" s="7">
        <f t="shared" si="5"/>
        <v>49.9</v>
      </c>
      <c r="K21" s="7" t="str">
        <f t="shared" si="6"/>
        <v>2025 Nationals</v>
      </c>
      <c r="L21" s="7">
        <f>IF(J21=AO21,IF(COUNT(AQ21,AS21,BO21,BQ21,BU21,BW21)&gt;1,LARGE((AQ21,AS21,BO21,BQ21,BU21,BW21),1),0),IF(COUNT(AK21,AM21,AQ21,AS21,BU21,BW21)&gt;1,LARGE((AK21,AM21,AQ21,AS21,BU21,BW21),1),0))</f>
        <v>0</v>
      </c>
      <c r="M21" s="7" t="str">
        <f t="shared" si="7"/>
        <v/>
      </c>
      <c r="N21" s="7">
        <f>IF(J21=AO21,IF(COUNT(AQ21,AS21,BO21,BQ21,BU21,BW21)&gt;1,LARGE((AQ21,AS21,BO21,BQ21,BU21,BW21),2),0),IF(COUNT(AK21,AM21,AQ21,AS21,BU21,BW21)&gt;1,LARGE((AK21,AM21,AQ21,AS21,BU21,BW21),2),0))</f>
        <v>0</v>
      </c>
      <c r="O21" s="7" t="str">
        <f t="shared" si="8"/>
        <v/>
      </c>
      <c r="P21" s="7" t="str">
        <f t="shared" si="9"/>
        <v/>
      </c>
      <c r="Q21" s="10" t="str">
        <f t="shared" si="10"/>
        <v/>
      </c>
      <c r="R21" s="7" t="str">
        <f t="shared" si="11"/>
        <v/>
      </c>
      <c r="S21" s="39">
        <v>18.2</v>
      </c>
      <c r="T21" s="39">
        <v>8</v>
      </c>
      <c r="U21" s="39">
        <v>0.8</v>
      </c>
      <c r="V21" s="39">
        <v>0</v>
      </c>
      <c r="W21" s="39">
        <v>18</v>
      </c>
      <c r="X21" s="39">
        <v>7.3</v>
      </c>
      <c r="Y21" s="39">
        <v>0.8</v>
      </c>
      <c r="Z21" s="39">
        <v>0</v>
      </c>
      <c r="AA21" s="39"/>
      <c r="AB21" s="39"/>
      <c r="AC21" s="39"/>
      <c r="AD21" s="39"/>
      <c r="AE21" s="39"/>
      <c r="AF21" s="39"/>
      <c r="AG21" s="39"/>
      <c r="AH21" s="39"/>
      <c r="AI21" s="19"/>
      <c r="AJ21" s="42">
        <f t="shared" si="12"/>
        <v>8</v>
      </c>
      <c r="AK21" s="42">
        <f t="shared" si="13"/>
        <v>25.4</v>
      </c>
      <c r="AL21" s="42">
        <f t="shared" si="14"/>
        <v>7.3</v>
      </c>
      <c r="AM21" s="42">
        <f t="shared" si="15"/>
        <v>24.5</v>
      </c>
      <c r="AN21" s="27">
        <f t="shared" si="16"/>
        <v>15.3</v>
      </c>
      <c r="AO21" s="27">
        <f t="shared" si="17"/>
        <v>49.9</v>
      </c>
      <c r="AP21" s="27" t="str">
        <f t="shared" si="18"/>
        <v/>
      </c>
      <c r="AQ21" s="27" t="str">
        <f t="shared" si="19"/>
        <v/>
      </c>
      <c r="AR21" s="27" t="str">
        <f t="shared" si="20"/>
        <v/>
      </c>
      <c r="AS21" s="27" t="str">
        <f t="shared" si="21"/>
        <v/>
      </c>
      <c r="AT21" s="27" t="str">
        <f t="shared" si="22"/>
        <v/>
      </c>
      <c r="AU21" s="27" t="str">
        <f t="shared" si="23"/>
        <v/>
      </c>
      <c r="AV21" s="27">
        <f t="shared" si="24"/>
        <v>49.9</v>
      </c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20"/>
      <c r="BN21" s="43" t="str">
        <f t="shared" si="25"/>
        <v/>
      </c>
      <c r="BO21" s="43" t="str">
        <f t="shared" si="26"/>
        <v/>
      </c>
      <c r="BP21" s="43" t="str">
        <f t="shared" si="27"/>
        <v/>
      </c>
      <c r="BQ21" s="43" t="str">
        <f t="shared" si="28"/>
        <v/>
      </c>
      <c r="BR21" s="10" t="str">
        <f t="shared" si="29"/>
        <v/>
      </c>
      <c r="BS21" s="10" t="str">
        <f t="shared" si="30"/>
        <v/>
      </c>
      <c r="BT21" s="10" t="str">
        <f t="shared" si="31"/>
        <v/>
      </c>
      <c r="BU21" s="10" t="str">
        <f t="shared" si="32"/>
        <v/>
      </c>
      <c r="BV21" s="10" t="str">
        <f t="shared" si="33"/>
        <v/>
      </c>
      <c r="BW21" s="10" t="str">
        <f t="shared" si="34"/>
        <v/>
      </c>
      <c r="BX21" s="10" t="str">
        <f t="shared" si="35"/>
        <v/>
      </c>
      <c r="BY21" s="10" t="str">
        <f t="shared" si="36"/>
        <v/>
      </c>
      <c r="BZ21" s="10" t="str">
        <f t="shared" si="37"/>
        <v/>
      </c>
      <c r="CA21" s="34" t="str">
        <f t="shared" si="38"/>
        <v/>
      </c>
      <c r="CB21" s="34" t="str">
        <f t="shared" si="39"/>
        <v/>
      </c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27" t="str">
        <f t="shared" si="40"/>
        <v/>
      </c>
      <c r="CX21" s="27" t="str">
        <f t="shared" si="41"/>
        <v/>
      </c>
      <c r="CY21" s="27" t="str">
        <f t="shared" si="42"/>
        <v/>
      </c>
      <c r="CZ21" s="27" t="str">
        <f t="shared" si="43"/>
        <v/>
      </c>
      <c r="DA21" s="27" t="str">
        <f t="shared" si="44"/>
        <v/>
      </c>
      <c r="DB21" s="27" t="str">
        <f t="shared" si="45"/>
        <v/>
      </c>
      <c r="DC21" s="27" t="str">
        <f t="shared" si="46"/>
        <v/>
      </c>
      <c r="DD21" s="27" t="str">
        <f t="shared" si="47"/>
        <v/>
      </c>
      <c r="DE21" s="27" t="str">
        <f t="shared" si="48"/>
        <v/>
      </c>
      <c r="DF21" s="27" t="str">
        <f t="shared" si="49"/>
        <v/>
      </c>
      <c r="DG21" s="27" t="str">
        <f t="shared" si="50"/>
        <v/>
      </c>
      <c r="DH21" s="27" t="str">
        <f t="shared" si="51"/>
        <v/>
      </c>
      <c r="DI21" s="27" t="str">
        <f t="shared" si="52"/>
        <v/>
      </c>
      <c r="DJ21" s="27" t="str">
        <f t="shared" si="53"/>
        <v/>
      </c>
      <c r="DK21" s="27" t="str">
        <f t="shared" si="54"/>
        <v/>
      </c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0" t="str">
        <f t="shared" si="55"/>
        <v/>
      </c>
      <c r="EG21" s="10" t="str">
        <f t="shared" si="56"/>
        <v/>
      </c>
      <c r="EH21" s="10" t="str">
        <f t="shared" si="57"/>
        <v/>
      </c>
      <c r="EI21" s="10" t="str">
        <f t="shared" si="58"/>
        <v/>
      </c>
      <c r="EJ21" s="10" t="str">
        <f t="shared" si="59"/>
        <v/>
      </c>
      <c r="EK21" s="10" t="str">
        <f t="shared" si="60"/>
        <v/>
      </c>
      <c r="EL21" s="10" t="str">
        <f t="shared" si="61"/>
        <v/>
      </c>
      <c r="EM21" s="10" t="str">
        <f t="shared" si="62"/>
        <v/>
      </c>
      <c r="EN21" s="10" t="str">
        <f t="shared" si="63"/>
        <v/>
      </c>
      <c r="EO21" s="10" t="str">
        <f t="shared" si="64"/>
        <v/>
      </c>
      <c r="EP21" s="10" t="str">
        <f t="shared" si="65"/>
        <v/>
      </c>
      <c r="EQ21" s="10" t="str">
        <f t="shared" si="66"/>
        <v/>
      </c>
      <c r="ER21" s="10" t="str">
        <f t="shared" si="67"/>
        <v/>
      </c>
      <c r="ES21" s="10" t="str">
        <f t="shared" si="68"/>
        <v/>
      </c>
      <c r="ET21" s="10" t="str">
        <f t="shared" si="69"/>
        <v/>
      </c>
      <c r="EU21" s="44">
        <f t="shared" si="70"/>
        <v>9.1</v>
      </c>
      <c r="EV21" s="44">
        <f t="shared" si="71"/>
        <v>4</v>
      </c>
      <c r="EW21" s="44">
        <f t="shared" si="72"/>
        <v>0.4</v>
      </c>
      <c r="EX21" s="44">
        <f t="shared" si="73"/>
        <v>0</v>
      </c>
      <c r="EY21" s="44">
        <f t="shared" si="74"/>
        <v>9</v>
      </c>
      <c r="EZ21" s="44">
        <f t="shared" si="75"/>
        <v>3.65</v>
      </c>
      <c r="FA21" s="44">
        <f t="shared" si="76"/>
        <v>0.4</v>
      </c>
      <c r="FB21" s="44">
        <f t="shared" si="77"/>
        <v>0</v>
      </c>
      <c r="FC21" s="44">
        <f t="shared" si="78"/>
        <v>0</v>
      </c>
      <c r="FD21" s="44">
        <f t="shared" si="79"/>
        <v>0</v>
      </c>
      <c r="FE21" s="44">
        <f t="shared" si="80"/>
        <v>0</v>
      </c>
      <c r="FF21" s="44">
        <f t="shared" si="81"/>
        <v>0</v>
      </c>
      <c r="FG21" s="44">
        <f t="shared" si="82"/>
        <v>0</v>
      </c>
      <c r="FH21" s="44">
        <f t="shared" si="83"/>
        <v>0</v>
      </c>
      <c r="FI21" s="44">
        <f t="shared" si="84"/>
        <v>0</v>
      </c>
      <c r="FJ21" s="44">
        <f t="shared" si="85"/>
        <v>0</v>
      </c>
      <c r="FK21" s="20" t="s">
        <v>29</v>
      </c>
      <c r="FL21" s="10">
        <f t="shared" si="86"/>
        <v>4</v>
      </c>
      <c r="FM21" s="10">
        <f t="shared" si="87"/>
        <v>12.7</v>
      </c>
      <c r="FN21" s="10">
        <f t="shared" si="88"/>
        <v>3.65</v>
      </c>
      <c r="FO21" s="10">
        <f t="shared" si="89"/>
        <v>12.25</v>
      </c>
      <c r="FP21" s="10">
        <f t="shared" si="90"/>
        <v>7.65</v>
      </c>
      <c r="FQ21" s="10">
        <f t="shared" si="93"/>
        <v>24.95</v>
      </c>
      <c r="FR21" s="10">
        <f t="shared" si="94"/>
        <v>0</v>
      </c>
      <c r="FS21" s="10">
        <f t="shared" si="95"/>
        <v>0</v>
      </c>
      <c r="FT21" s="10">
        <f t="shared" si="96"/>
        <v>0</v>
      </c>
      <c r="FU21" s="10">
        <f t="shared" si="97"/>
        <v>0</v>
      </c>
      <c r="FV21" s="10" t="str">
        <f t="shared" si="98"/>
        <v/>
      </c>
      <c r="FW21" s="10" t="str">
        <f t="shared" si="91"/>
        <v/>
      </c>
      <c r="FX21" s="10">
        <f t="shared" si="92"/>
        <v>24.95</v>
      </c>
    </row>
    <row r="22" spans="1:180" x14ac:dyDescent="0.2">
      <c r="A22" s="3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4" t="s">
        <v>88</v>
      </c>
      <c r="C22" s="3" t="s">
        <v>5</v>
      </c>
      <c r="D22" s="3">
        <v>2007</v>
      </c>
      <c r="E22" s="8">
        <f t="shared" si="0"/>
        <v>48.800004880004877</v>
      </c>
      <c r="F22" s="2" t="str">
        <f t="shared" si="1"/>
        <v/>
      </c>
      <c r="G22" s="2" t="str">
        <f t="shared" si="2"/>
        <v/>
      </c>
      <c r="H22" s="26" t="str">
        <f t="shared" si="3"/>
        <v/>
      </c>
      <c r="I22" s="2" t="str">
        <f t="shared" si="4"/>
        <v/>
      </c>
      <c r="J22" s="7">
        <f t="shared" si="5"/>
        <v>48.8</v>
      </c>
      <c r="K22" s="7" t="str">
        <f t="shared" si="6"/>
        <v>2025 Nationals</v>
      </c>
      <c r="L22" s="7">
        <f>IF(J22=AO22,IF(COUNT(AQ22,AS22,BO22,BQ22,BU22,BW22)&gt;1,LARGE((AQ22,AS22,BO22,BQ22,BU22,BW22),1),0),IF(COUNT(AK22,AM22,AQ22,AS22,BU22,BW22)&gt;1,LARGE((AK22,AM22,AQ22,AS22,BU22,BW22),1),0))</f>
        <v>0</v>
      </c>
      <c r="M22" s="7" t="str">
        <f t="shared" si="7"/>
        <v/>
      </c>
      <c r="N22" s="7">
        <f>IF(J22=AO22,IF(COUNT(AQ22,AS22,BO22,BQ22,BU22,BW22)&gt;1,LARGE((AQ22,AS22,BO22,BQ22,BU22,BW22),2),0),IF(COUNT(AK22,AM22,AQ22,AS22,BU22,BW22)&gt;1,LARGE((AK22,AM22,AQ22,AS22,BU22,BW22),2),0))</f>
        <v>0</v>
      </c>
      <c r="O22" s="7" t="str">
        <f t="shared" si="8"/>
        <v/>
      </c>
      <c r="P22" s="7" t="str">
        <f t="shared" si="9"/>
        <v/>
      </c>
      <c r="Q22" s="10" t="str">
        <f t="shared" si="10"/>
        <v/>
      </c>
      <c r="R22" s="7" t="str">
        <f t="shared" si="11"/>
        <v/>
      </c>
      <c r="S22" s="39">
        <v>18.600000000000001</v>
      </c>
      <c r="T22" s="39">
        <v>7.2</v>
      </c>
      <c r="U22" s="39">
        <v>0.2</v>
      </c>
      <c r="V22" s="39">
        <v>0</v>
      </c>
      <c r="W22" s="39">
        <v>18</v>
      </c>
      <c r="X22" s="39">
        <v>6</v>
      </c>
      <c r="Y22" s="39">
        <v>0.8</v>
      </c>
      <c r="Z22" s="39">
        <v>0</v>
      </c>
      <c r="AA22" s="39"/>
      <c r="AB22" s="39"/>
      <c r="AC22" s="39"/>
      <c r="AD22" s="39"/>
      <c r="AE22" s="39"/>
      <c r="AF22" s="39"/>
      <c r="AG22" s="39"/>
      <c r="AH22" s="39"/>
      <c r="AI22" s="19"/>
      <c r="AJ22" s="42">
        <f t="shared" si="12"/>
        <v>7.2</v>
      </c>
      <c r="AK22" s="42">
        <f t="shared" si="13"/>
        <v>25.6</v>
      </c>
      <c r="AL22" s="42">
        <f t="shared" si="14"/>
        <v>6</v>
      </c>
      <c r="AM22" s="42">
        <f t="shared" si="15"/>
        <v>23.2</v>
      </c>
      <c r="AN22" s="27">
        <f t="shared" si="16"/>
        <v>13.2</v>
      </c>
      <c r="AO22" s="27">
        <f t="shared" si="17"/>
        <v>48.8</v>
      </c>
      <c r="AP22" s="27" t="str">
        <f t="shared" si="18"/>
        <v/>
      </c>
      <c r="AQ22" s="27" t="str">
        <f t="shared" si="19"/>
        <v/>
      </c>
      <c r="AR22" s="27" t="str">
        <f t="shared" si="20"/>
        <v/>
      </c>
      <c r="AS22" s="27" t="str">
        <f t="shared" si="21"/>
        <v/>
      </c>
      <c r="AT22" s="27" t="str">
        <f t="shared" si="22"/>
        <v/>
      </c>
      <c r="AU22" s="27" t="str">
        <f t="shared" si="23"/>
        <v/>
      </c>
      <c r="AV22" s="27">
        <f t="shared" si="24"/>
        <v>48.8</v>
      </c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20"/>
      <c r="BN22" s="43" t="str">
        <f t="shared" si="25"/>
        <v/>
      </c>
      <c r="BO22" s="43" t="str">
        <f t="shared" si="26"/>
        <v/>
      </c>
      <c r="BP22" s="43" t="str">
        <f t="shared" si="27"/>
        <v/>
      </c>
      <c r="BQ22" s="43" t="str">
        <f t="shared" si="28"/>
        <v/>
      </c>
      <c r="BR22" s="10" t="str">
        <f t="shared" si="29"/>
        <v/>
      </c>
      <c r="BS22" s="10" t="str">
        <f t="shared" si="30"/>
        <v/>
      </c>
      <c r="BT22" s="10" t="str">
        <f t="shared" si="31"/>
        <v/>
      </c>
      <c r="BU22" s="10" t="str">
        <f t="shared" si="32"/>
        <v/>
      </c>
      <c r="BV22" s="10" t="str">
        <f t="shared" si="33"/>
        <v/>
      </c>
      <c r="BW22" s="10" t="str">
        <f t="shared" si="34"/>
        <v/>
      </c>
      <c r="BX22" s="10" t="str">
        <f t="shared" si="35"/>
        <v/>
      </c>
      <c r="BY22" s="10" t="str">
        <f t="shared" si="36"/>
        <v/>
      </c>
      <c r="BZ22" s="10" t="str">
        <f t="shared" si="37"/>
        <v/>
      </c>
      <c r="CA22" s="34" t="str">
        <f t="shared" si="38"/>
        <v/>
      </c>
      <c r="CB22" s="34" t="str">
        <f t="shared" si="39"/>
        <v/>
      </c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27" t="str">
        <f t="shared" si="40"/>
        <v/>
      </c>
      <c r="CX22" s="27" t="str">
        <f t="shared" si="41"/>
        <v/>
      </c>
      <c r="CY22" s="27" t="str">
        <f t="shared" si="42"/>
        <v/>
      </c>
      <c r="CZ22" s="27" t="str">
        <f t="shared" si="43"/>
        <v/>
      </c>
      <c r="DA22" s="27" t="str">
        <f t="shared" si="44"/>
        <v/>
      </c>
      <c r="DB22" s="27" t="str">
        <f t="shared" si="45"/>
        <v/>
      </c>
      <c r="DC22" s="27" t="str">
        <f t="shared" si="46"/>
        <v/>
      </c>
      <c r="DD22" s="27" t="str">
        <f t="shared" si="47"/>
        <v/>
      </c>
      <c r="DE22" s="27" t="str">
        <f t="shared" si="48"/>
        <v/>
      </c>
      <c r="DF22" s="27" t="str">
        <f t="shared" si="49"/>
        <v/>
      </c>
      <c r="DG22" s="27" t="str">
        <f t="shared" si="50"/>
        <v/>
      </c>
      <c r="DH22" s="27" t="str">
        <f t="shared" si="51"/>
        <v/>
      </c>
      <c r="DI22" s="27" t="str">
        <f t="shared" si="52"/>
        <v/>
      </c>
      <c r="DJ22" s="27" t="str">
        <f t="shared" si="53"/>
        <v/>
      </c>
      <c r="DK22" s="27" t="str">
        <f t="shared" si="54"/>
        <v/>
      </c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0" t="str">
        <f t="shared" si="55"/>
        <v/>
      </c>
      <c r="EG22" s="10" t="str">
        <f t="shared" si="56"/>
        <v/>
      </c>
      <c r="EH22" s="10" t="str">
        <f t="shared" si="57"/>
        <v/>
      </c>
      <c r="EI22" s="10" t="str">
        <f t="shared" si="58"/>
        <v/>
      </c>
      <c r="EJ22" s="10" t="str">
        <f t="shared" si="59"/>
        <v/>
      </c>
      <c r="EK22" s="10" t="str">
        <f t="shared" si="60"/>
        <v/>
      </c>
      <c r="EL22" s="10" t="str">
        <f t="shared" si="61"/>
        <v/>
      </c>
      <c r="EM22" s="10" t="str">
        <f t="shared" si="62"/>
        <v/>
      </c>
      <c r="EN22" s="10" t="str">
        <f t="shared" si="63"/>
        <v/>
      </c>
      <c r="EO22" s="10" t="str">
        <f t="shared" si="64"/>
        <v/>
      </c>
      <c r="EP22" s="10" t="str">
        <f t="shared" si="65"/>
        <v/>
      </c>
      <c r="EQ22" s="10" t="str">
        <f t="shared" si="66"/>
        <v/>
      </c>
      <c r="ER22" s="10" t="str">
        <f t="shared" si="67"/>
        <v/>
      </c>
      <c r="ES22" s="10" t="str">
        <f t="shared" si="68"/>
        <v/>
      </c>
      <c r="ET22" s="10" t="str">
        <f t="shared" si="69"/>
        <v/>
      </c>
      <c r="EU22" s="44">
        <f t="shared" si="70"/>
        <v>9.3000000000000007</v>
      </c>
      <c r="EV22" s="44">
        <f t="shared" si="71"/>
        <v>3.6</v>
      </c>
      <c r="EW22" s="44">
        <f t="shared" si="72"/>
        <v>0.1</v>
      </c>
      <c r="EX22" s="44">
        <f t="shared" si="73"/>
        <v>0</v>
      </c>
      <c r="EY22" s="44">
        <f t="shared" si="74"/>
        <v>9</v>
      </c>
      <c r="EZ22" s="44">
        <f t="shared" si="75"/>
        <v>3</v>
      </c>
      <c r="FA22" s="44">
        <f t="shared" si="76"/>
        <v>0.4</v>
      </c>
      <c r="FB22" s="44">
        <f t="shared" si="77"/>
        <v>0</v>
      </c>
      <c r="FC22" s="44">
        <f t="shared" si="78"/>
        <v>0</v>
      </c>
      <c r="FD22" s="44">
        <f t="shared" si="79"/>
        <v>0</v>
      </c>
      <c r="FE22" s="44">
        <f t="shared" si="80"/>
        <v>0</v>
      </c>
      <c r="FF22" s="44">
        <f t="shared" si="81"/>
        <v>0</v>
      </c>
      <c r="FG22" s="44">
        <f t="shared" si="82"/>
        <v>0</v>
      </c>
      <c r="FH22" s="44">
        <f t="shared" si="83"/>
        <v>0</v>
      </c>
      <c r="FI22" s="44">
        <f t="shared" si="84"/>
        <v>0</v>
      </c>
      <c r="FJ22" s="44">
        <f t="shared" si="85"/>
        <v>0</v>
      </c>
      <c r="FK22" s="20" t="s">
        <v>29</v>
      </c>
      <c r="FL22" s="10">
        <f t="shared" si="86"/>
        <v>3.6</v>
      </c>
      <c r="FM22" s="10">
        <f t="shared" si="87"/>
        <v>12.8</v>
      </c>
      <c r="FN22" s="10">
        <f t="shared" si="88"/>
        <v>3</v>
      </c>
      <c r="FO22" s="10">
        <f t="shared" si="89"/>
        <v>11.6</v>
      </c>
      <c r="FP22" s="10">
        <f t="shared" si="90"/>
        <v>6.6</v>
      </c>
      <c r="FQ22" s="10">
        <f t="shared" si="93"/>
        <v>24.4</v>
      </c>
      <c r="FR22" s="10">
        <f t="shared" si="94"/>
        <v>0</v>
      </c>
      <c r="FS22" s="10">
        <f t="shared" si="95"/>
        <v>0</v>
      </c>
      <c r="FT22" s="10">
        <f t="shared" si="96"/>
        <v>0</v>
      </c>
      <c r="FU22" s="10">
        <f t="shared" si="97"/>
        <v>0</v>
      </c>
      <c r="FV22" s="10" t="str">
        <f t="shared" si="98"/>
        <v/>
      </c>
      <c r="FW22" s="10" t="str">
        <f t="shared" si="91"/>
        <v/>
      </c>
      <c r="FX22" s="10">
        <f t="shared" si="92"/>
        <v>24.4</v>
      </c>
    </row>
    <row r="23" spans="1:180" x14ac:dyDescent="0.2">
      <c r="A23" s="3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4" t="s">
        <v>89</v>
      </c>
      <c r="C23" s="3" t="s">
        <v>4</v>
      </c>
      <c r="D23" s="3">
        <v>2002</v>
      </c>
      <c r="E23" s="8">
        <f t="shared" si="0"/>
        <v>45.000004500004501</v>
      </c>
      <c r="F23" s="2" t="str">
        <f t="shared" si="1"/>
        <v/>
      </c>
      <c r="G23" s="2" t="str">
        <f t="shared" si="2"/>
        <v/>
      </c>
      <c r="H23" s="26" t="str">
        <f t="shared" si="3"/>
        <v/>
      </c>
      <c r="I23" s="2" t="str">
        <f t="shared" si="4"/>
        <v/>
      </c>
      <c r="J23" s="7">
        <f t="shared" si="5"/>
        <v>45</v>
      </c>
      <c r="K23" s="7" t="str">
        <f t="shared" si="6"/>
        <v>2025 Nationals</v>
      </c>
      <c r="L23" s="7">
        <f>IF(J23=AO23,IF(COUNT(AQ23,AS23,BO23,BQ23,BU23,BW23)&gt;1,LARGE((AQ23,AS23,BO23,BQ23,BU23,BW23),1),0),IF(COUNT(AK23,AM23,AQ23,AS23,BU23,BW23)&gt;1,LARGE((AK23,AM23,AQ23,AS23,BU23,BW23),1),0))</f>
        <v>0</v>
      </c>
      <c r="M23" s="7" t="str">
        <f t="shared" si="7"/>
        <v/>
      </c>
      <c r="N23" s="7">
        <f>IF(J23=AO23,IF(COUNT(AQ23,AS23,BO23,BQ23,BU23,BW23)&gt;1,LARGE((AQ23,AS23,BO23,BQ23,BU23,BW23),2),0),IF(COUNT(AK23,AM23,AQ23,AS23,BU23,BW23)&gt;1,LARGE((AK23,AM23,AQ23,AS23,BU23,BW23),2),0))</f>
        <v>0</v>
      </c>
      <c r="O23" s="7" t="str">
        <f t="shared" si="8"/>
        <v/>
      </c>
      <c r="P23" s="7" t="str">
        <f t="shared" si="9"/>
        <v/>
      </c>
      <c r="Q23" s="10" t="str">
        <f t="shared" si="10"/>
        <v/>
      </c>
      <c r="R23" s="7" t="str">
        <f t="shared" si="11"/>
        <v/>
      </c>
      <c r="S23" s="39">
        <v>18.399999999999999</v>
      </c>
      <c r="T23" s="39">
        <v>8.4</v>
      </c>
      <c r="U23" s="39">
        <v>0.8</v>
      </c>
      <c r="V23" s="39">
        <v>0</v>
      </c>
      <c r="W23" s="39">
        <v>15.4</v>
      </c>
      <c r="X23" s="39">
        <v>3.6</v>
      </c>
      <c r="Y23" s="39">
        <v>0</v>
      </c>
      <c r="Z23" s="39">
        <v>0</v>
      </c>
      <c r="AA23" s="39"/>
      <c r="AB23" s="39"/>
      <c r="AC23" s="39"/>
      <c r="AD23" s="39"/>
      <c r="AE23" s="39"/>
      <c r="AF23" s="39"/>
      <c r="AG23" s="39"/>
      <c r="AH23" s="39"/>
      <c r="AI23" s="19"/>
      <c r="AJ23" s="42">
        <f t="shared" si="12"/>
        <v>8.4</v>
      </c>
      <c r="AK23" s="42">
        <f t="shared" si="13"/>
        <v>25.999999999999996</v>
      </c>
      <c r="AL23" s="42">
        <f t="shared" si="14"/>
        <v>3.6</v>
      </c>
      <c r="AM23" s="42">
        <f t="shared" si="15"/>
        <v>19</v>
      </c>
      <c r="AN23" s="27">
        <f t="shared" si="16"/>
        <v>12</v>
      </c>
      <c r="AO23" s="27">
        <f t="shared" si="17"/>
        <v>45</v>
      </c>
      <c r="AP23" s="27" t="str">
        <f t="shared" si="18"/>
        <v/>
      </c>
      <c r="AQ23" s="27" t="str">
        <f t="shared" si="19"/>
        <v/>
      </c>
      <c r="AR23" s="27" t="str">
        <f t="shared" si="20"/>
        <v/>
      </c>
      <c r="AS23" s="27" t="str">
        <f t="shared" si="21"/>
        <v/>
      </c>
      <c r="AT23" s="27" t="str">
        <f t="shared" si="22"/>
        <v/>
      </c>
      <c r="AU23" s="27" t="str">
        <f t="shared" si="23"/>
        <v/>
      </c>
      <c r="AV23" s="27">
        <f t="shared" si="24"/>
        <v>45</v>
      </c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20"/>
      <c r="BN23" s="43" t="str">
        <f t="shared" si="25"/>
        <v/>
      </c>
      <c r="BO23" s="43" t="str">
        <f t="shared" si="26"/>
        <v/>
      </c>
      <c r="BP23" s="43" t="str">
        <f t="shared" si="27"/>
        <v/>
      </c>
      <c r="BQ23" s="43" t="str">
        <f t="shared" si="28"/>
        <v/>
      </c>
      <c r="BR23" s="10" t="str">
        <f t="shared" si="29"/>
        <v/>
      </c>
      <c r="BS23" s="10" t="str">
        <f t="shared" si="30"/>
        <v/>
      </c>
      <c r="BT23" s="10" t="str">
        <f t="shared" si="31"/>
        <v/>
      </c>
      <c r="BU23" s="10" t="str">
        <f t="shared" si="32"/>
        <v/>
      </c>
      <c r="BV23" s="10" t="str">
        <f t="shared" si="33"/>
        <v/>
      </c>
      <c r="BW23" s="10" t="str">
        <f t="shared" si="34"/>
        <v/>
      </c>
      <c r="BX23" s="10" t="str">
        <f t="shared" si="35"/>
        <v/>
      </c>
      <c r="BY23" s="10" t="str">
        <f t="shared" si="36"/>
        <v/>
      </c>
      <c r="BZ23" s="10" t="str">
        <f t="shared" si="37"/>
        <v/>
      </c>
      <c r="CA23" s="34" t="str">
        <f t="shared" si="38"/>
        <v/>
      </c>
      <c r="CB23" s="34" t="str">
        <f t="shared" si="39"/>
        <v/>
      </c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27" t="str">
        <f t="shared" si="40"/>
        <v/>
      </c>
      <c r="CX23" s="27" t="str">
        <f t="shared" si="41"/>
        <v/>
      </c>
      <c r="CY23" s="27" t="str">
        <f t="shared" si="42"/>
        <v/>
      </c>
      <c r="CZ23" s="27" t="str">
        <f t="shared" si="43"/>
        <v/>
      </c>
      <c r="DA23" s="27" t="str">
        <f t="shared" si="44"/>
        <v/>
      </c>
      <c r="DB23" s="27" t="str">
        <f t="shared" si="45"/>
        <v/>
      </c>
      <c r="DC23" s="27" t="str">
        <f t="shared" si="46"/>
        <v/>
      </c>
      <c r="DD23" s="27" t="str">
        <f t="shared" si="47"/>
        <v/>
      </c>
      <c r="DE23" s="27" t="str">
        <f t="shared" si="48"/>
        <v/>
      </c>
      <c r="DF23" s="27" t="str">
        <f t="shared" si="49"/>
        <v/>
      </c>
      <c r="DG23" s="27" t="str">
        <f t="shared" si="50"/>
        <v/>
      </c>
      <c r="DH23" s="27" t="str">
        <f t="shared" si="51"/>
        <v/>
      </c>
      <c r="DI23" s="27" t="str">
        <f t="shared" si="52"/>
        <v/>
      </c>
      <c r="DJ23" s="27" t="str">
        <f t="shared" si="53"/>
        <v/>
      </c>
      <c r="DK23" s="27" t="str">
        <f t="shared" si="54"/>
        <v/>
      </c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0" t="str">
        <f t="shared" si="55"/>
        <v/>
      </c>
      <c r="EG23" s="10" t="str">
        <f t="shared" si="56"/>
        <v/>
      </c>
      <c r="EH23" s="10" t="str">
        <f t="shared" si="57"/>
        <v/>
      </c>
      <c r="EI23" s="10" t="str">
        <f t="shared" si="58"/>
        <v/>
      </c>
      <c r="EJ23" s="10" t="str">
        <f t="shared" si="59"/>
        <v/>
      </c>
      <c r="EK23" s="10" t="str">
        <f t="shared" si="60"/>
        <v/>
      </c>
      <c r="EL23" s="10" t="str">
        <f t="shared" si="61"/>
        <v/>
      </c>
      <c r="EM23" s="10" t="str">
        <f t="shared" si="62"/>
        <v/>
      </c>
      <c r="EN23" s="10" t="str">
        <f t="shared" si="63"/>
        <v/>
      </c>
      <c r="EO23" s="10" t="str">
        <f t="shared" si="64"/>
        <v/>
      </c>
      <c r="EP23" s="10" t="str">
        <f t="shared" si="65"/>
        <v/>
      </c>
      <c r="EQ23" s="10" t="str">
        <f t="shared" si="66"/>
        <v/>
      </c>
      <c r="ER23" s="10" t="str">
        <f t="shared" si="67"/>
        <v/>
      </c>
      <c r="ES23" s="10" t="str">
        <f t="shared" si="68"/>
        <v/>
      </c>
      <c r="ET23" s="10" t="str">
        <f t="shared" si="69"/>
        <v/>
      </c>
      <c r="EU23" s="44">
        <f t="shared" si="70"/>
        <v>9.1999999999999993</v>
      </c>
      <c r="EV23" s="44">
        <f t="shared" si="71"/>
        <v>4.2</v>
      </c>
      <c r="EW23" s="44">
        <f t="shared" si="72"/>
        <v>0.4</v>
      </c>
      <c r="EX23" s="44">
        <f t="shared" si="73"/>
        <v>0</v>
      </c>
      <c r="EY23" s="44">
        <f t="shared" si="74"/>
        <v>7.7</v>
      </c>
      <c r="EZ23" s="44">
        <f t="shared" si="75"/>
        <v>1.8</v>
      </c>
      <c r="FA23" s="44">
        <f t="shared" si="76"/>
        <v>0</v>
      </c>
      <c r="FB23" s="44">
        <f t="shared" si="77"/>
        <v>0</v>
      </c>
      <c r="FC23" s="44">
        <f t="shared" si="78"/>
        <v>0</v>
      </c>
      <c r="FD23" s="44">
        <f t="shared" si="79"/>
        <v>0</v>
      </c>
      <c r="FE23" s="44">
        <f t="shared" si="80"/>
        <v>0</v>
      </c>
      <c r="FF23" s="44">
        <f t="shared" si="81"/>
        <v>0</v>
      </c>
      <c r="FG23" s="44">
        <f t="shared" si="82"/>
        <v>0</v>
      </c>
      <c r="FH23" s="44">
        <f t="shared" si="83"/>
        <v>0</v>
      </c>
      <c r="FI23" s="44">
        <f t="shared" si="84"/>
        <v>0</v>
      </c>
      <c r="FJ23" s="44">
        <f t="shared" si="85"/>
        <v>0</v>
      </c>
      <c r="FK23" s="20" t="s">
        <v>29</v>
      </c>
      <c r="FL23" s="10">
        <f t="shared" si="86"/>
        <v>4.2</v>
      </c>
      <c r="FM23" s="10">
        <f t="shared" si="87"/>
        <v>12.999999999999998</v>
      </c>
      <c r="FN23" s="10">
        <f t="shared" si="88"/>
        <v>1.8</v>
      </c>
      <c r="FO23" s="10">
        <f t="shared" si="89"/>
        <v>9.5</v>
      </c>
      <c r="FP23" s="10">
        <f t="shared" si="90"/>
        <v>6</v>
      </c>
      <c r="FQ23" s="10">
        <f t="shared" si="93"/>
        <v>22.5</v>
      </c>
      <c r="FR23" s="10">
        <f t="shared" si="94"/>
        <v>0</v>
      </c>
      <c r="FS23" s="10">
        <f t="shared" si="95"/>
        <v>0</v>
      </c>
      <c r="FT23" s="10">
        <f t="shared" si="96"/>
        <v>0</v>
      </c>
      <c r="FU23" s="10">
        <f t="shared" si="97"/>
        <v>0</v>
      </c>
      <c r="FV23" s="10" t="str">
        <f t="shared" si="98"/>
        <v/>
      </c>
      <c r="FW23" s="10" t="str">
        <f t="shared" si="91"/>
        <v/>
      </c>
      <c r="FX23" s="10">
        <f t="shared" si="92"/>
        <v>22.5</v>
      </c>
    </row>
    <row r="24" spans="1:180" x14ac:dyDescent="0.2">
      <c r="A24" s="3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4" t="s">
        <v>63</v>
      </c>
      <c r="C24" s="3" t="s">
        <v>5</v>
      </c>
      <c r="D24" s="3">
        <v>2007</v>
      </c>
      <c r="E24" s="8">
        <f t="shared" si="0"/>
        <v>44.900004490004491</v>
      </c>
      <c r="F24" s="2" t="str">
        <f t="shared" si="1"/>
        <v/>
      </c>
      <c r="G24" s="2" t="str">
        <f t="shared" si="2"/>
        <v/>
      </c>
      <c r="H24" s="26" t="str">
        <f t="shared" si="3"/>
        <v/>
      </c>
      <c r="I24" s="2" t="str">
        <f t="shared" si="4"/>
        <v/>
      </c>
      <c r="J24" s="7">
        <f t="shared" si="5"/>
        <v>44.9</v>
      </c>
      <c r="K24" s="7" t="str">
        <f t="shared" si="6"/>
        <v>2025 Nationals</v>
      </c>
      <c r="L24" s="7">
        <f>IF(J24=AO24,IF(COUNT(AQ24,AS24,BO24,BQ24,BU24,BW24)&gt;1,LARGE((AQ24,AS24,BO24,BQ24,BU24,BW24),1),0),IF(COUNT(AK24,AM24,AQ24,AS24,BU24,BW24)&gt;1,LARGE((AK24,AM24,AQ24,AS24,BU24,BW24),1),0))</f>
        <v>0</v>
      </c>
      <c r="M24" s="7" t="str">
        <f t="shared" si="7"/>
        <v/>
      </c>
      <c r="N24" s="7">
        <f>IF(J24=AO24,IF(COUNT(AQ24,AS24,BO24,BQ24,BU24,BW24)&gt;1,LARGE((AQ24,AS24,BO24,BQ24,BU24,BW24),2),0),IF(COUNT(AK24,AM24,AQ24,AS24,BU24,BW24)&gt;1,LARGE((AK24,AM24,AQ24,AS24,BU24,BW24),2),0))</f>
        <v>0</v>
      </c>
      <c r="O24" s="7" t="str">
        <f t="shared" si="8"/>
        <v/>
      </c>
      <c r="P24" s="7" t="str">
        <f t="shared" si="9"/>
        <v/>
      </c>
      <c r="Q24" s="10" t="str">
        <f t="shared" si="10"/>
        <v/>
      </c>
      <c r="R24" s="7" t="str">
        <f t="shared" si="11"/>
        <v/>
      </c>
      <c r="S24" s="39">
        <v>16.8</v>
      </c>
      <c r="T24" s="39">
        <v>6.8</v>
      </c>
      <c r="U24" s="39">
        <v>0.8</v>
      </c>
      <c r="V24" s="39">
        <v>0</v>
      </c>
      <c r="W24" s="39">
        <v>18.3</v>
      </c>
      <c r="X24" s="39">
        <v>5.6</v>
      </c>
      <c r="Y24" s="39">
        <v>1.8</v>
      </c>
      <c r="Z24" s="39">
        <v>0</v>
      </c>
      <c r="AA24" s="39"/>
      <c r="AB24" s="39"/>
      <c r="AC24" s="39"/>
      <c r="AD24" s="39"/>
      <c r="AE24" s="39"/>
      <c r="AF24" s="39"/>
      <c r="AG24" s="39"/>
      <c r="AH24" s="39"/>
      <c r="AI24" s="19"/>
      <c r="AJ24" s="42">
        <f t="shared" si="12"/>
        <v>6.8</v>
      </c>
      <c r="AK24" s="42">
        <f t="shared" si="13"/>
        <v>22.8</v>
      </c>
      <c r="AL24" s="42">
        <f t="shared" si="14"/>
        <v>5.6</v>
      </c>
      <c r="AM24" s="42">
        <f t="shared" si="15"/>
        <v>22.099999999999998</v>
      </c>
      <c r="AN24" s="27">
        <f t="shared" si="16"/>
        <v>12.399999999999999</v>
      </c>
      <c r="AO24" s="27">
        <f t="shared" si="17"/>
        <v>44.9</v>
      </c>
      <c r="AP24" s="27" t="str">
        <f t="shared" si="18"/>
        <v/>
      </c>
      <c r="AQ24" s="27" t="str">
        <f t="shared" si="19"/>
        <v/>
      </c>
      <c r="AR24" s="27" t="str">
        <f t="shared" si="20"/>
        <v/>
      </c>
      <c r="AS24" s="27" t="str">
        <f t="shared" si="21"/>
        <v/>
      </c>
      <c r="AT24" s="27" t="str">
        <f t="shared" si="22"/>
        <v/>
      </c>
      <c r="AU24" s="27" t="str">
        <f t="shared" si="23"/>
        <v/>
      </c>
      <c r="AV24" s="27">
        <f t="shared" si="24"/>
        <v>44.9</v>
      </c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20"/>
      <c r="BN24" s="43" t="str">
        <f t="shared" si="25"/>
        <v/>
      </c>
      <c r="BO24" s="43" t="str">
        <f t="shared" si="26"/>
        <v/>
      </c>
      <c r="BP24" s="43" t="str">
        <f t="shared" si="27"/>
        <v/>
      </c>
      <c r="BQ24" s="43" t="str">
        <f t="shared" si="28"/>
        <v/>
      </c>
      <c r="BR24" s="10" t="str">
        <f t="shared" si="29"/>
        <v/>
      </c>
      <c r="BS24" s="10" t="str">
        <f t="shared" si="30"/>
        <v/>
      </c>
      <c r="BT24" s="10" t="str">
        <f t="shared" si="31"/>
        <v/>
      </c>
      <c r="BU24" s="10" t="str">
        <f t="shared" si="32"/>
        <v/>
      </c>
      <c r="BV24" s="10" t="str">
        <f t="shared" si="33"/>
        <v/>
      </c>
      <c r="BW24" s="10" t="str">
        <f t="shared" si="34"/>
        <v/>
      </c>
      <c r="BX24" s="10" t="str">
        <f t="shared" si="35"/>
        <v/>
      </c>
      <c r="BY24" s="10" t="str">
        <f t="shared" si="36"/>
        <v/>
      </c>
      <c r="BZ24" s="10" t="str">
        <f t="shared" si="37"/>
        <v/>
      </c>
      <c r="CA24" s="34" t="str">
        <f t="shared" si="38"/>
        <v/>
      </c>
      <c r="CB24" s="34" t="str">
        <f t="shared" si="39"/>
        <v/>
      </c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27" t="str">
        <f t="shared" si="40"/>
        <v/>
      </c>
      <c r="CX24" s="27" t="str">
        <f t="shared" si="41"/>
        <v/>
      </c>
      <c r="CY24" s="27" t="str">
        <f t="shared" si="42"/>
        <v/>
      </c>
      <c r="CZ24" s="27" t="str">
        <f t="shared" si="43"/>
        <v/>
      </c>
      <c r="DA24" s="27" t="str">
        <f t="shared" si="44"/>
        <v/>
      </c>
      <c r="DB24" s="27" t="str">
        <f t="shared" si="45"/>
        <v/>
      </c>
      <c r="DC24" s="27" t="str">
        <f t="shared" si="46"/>
        <v/>
      </c>
      <c r="DD24" s="27" t="str">
        <f t="shared" si="47"/>
        <v/>
      </c>
      <c r="DE24" s="27" t="str">
        <f t="shared" si="48"/>
        <v/>
      </c>
      <c r="DF24" s="27" t="str">
        <f t="shared" si="49"/>
        <v/>
      </c>
      <c r="DG24" s="27" t="str">
        <f t="shared" si="50"/>
        <v/>
      </c>
      <c r="DH24" s="27" t="str">
        <f t="shared" si="51"/>
        <v/>
      </c>
      <c r="DI24" s="27" t="str">
        <f t="shared" si="52"/>
        <v/>
      </c>
      <c r="DJ24" s="27" t="str">
        <f t="shared" si="53"/>
        <v/>
      </c>
      <c r="DK24" s="27" t="str">
        <f t="shared" si="54"/>
        <v/>
      </c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0" t="str">
        <f t="shared" si="55"/>
        <v/>
      </c>
      <c r="EG24" s="10" t="str">
        <f t="shared" si="56"/>
        <v/>
      </c>
      <c r="EH24" s="10" t="str">
        <f t="shared" si="57"/>
        <v/>
      </c>
      <c r="EI24" s="10" t="str">
        <f t="shared" si="58"/>
        <v/>
      </c>
      <c r="EJ24" s="10" t="str">
        <f t="shared" si="59"/>
        <v/>
      </c>
      <c r="EK24" s="10" t="str">
        <f t="shared" si="60"/>
        <v/>
      </c>
      <c r="EL24" s="10" t="str">
        <f t="shared" si="61"/>
        <v/>
      </c>
      <c r="EM24" s="10" t="str">
        <f t="shared" si="62"/>
        <v/>
      </c>
      <c r="EN24" s="10" t="str">
        <f t="shared" si="63"/>
        <v/>
      </c>
      <c r="EO24" s="10" t="str">
        <f t="shared" si="64"/>
        <v/>
      </c>
      <c r="EP24" s="10" t="str">
        <f t="shared" si="65"/>
        <v/>
      </c>
      <c r="EQ24" s="10" t="str">
        <f t="shared" si="66"/>
        <v/>
      </c>
      <c r="ER24" s="10" t="str">
        <f t="shared" si="67"/>
        <v/>
      </c>
      <c r="ES24" s="10" t="str">
        <f t="shared" si="68"/>
        <v/>
      </c>
      <c r="ET24" s="10" t="str">
        <f t="shared" si="69"/>
        <v/>
      </c>
      <c r="EU24" s="44">
        <f t="shared" si="70"/>
        <v>8.4</v>
      </c>
      <c r="EV24" s="44">
        <f t="shared" si="71"/>
        <v>3.4</v>
      </c>
      <c r="EW24" s="44">
        <f t="shared" si="72"/>
        <v>0.4</v>
      </c>
      <c r="EX24" s="44">
        <f t="shared" si="73"/>
        <v>0</v>
      </c>
      <c r="EY24" s="44">
        <f t="shared" si="74"/>
        <v>9.15</v>
      </c>
      <c r="EZ24" s="44">
        <f t="shared" si="75"/>
        <v>2.8</v>
      </c>
      <c r="FA24" s="44">
        <f t="shared" si="76"/>
        <v>0.9</v>
      </c>
      <c r="FB24" s="44">
        <f t="shared" si="77"/>
        <v>0</v>
      </c>
      <c r="FC24" s="44">
        <f t="shared" si="78"/>
        <v>0</v>
      </c>
      <c r="FD24" s="44">
        <f t="shared" si="79"/>
        <v>0</v>
      </c>
      <c r="FE24" s="44">
        <f t="shared" si="80"/>
        <v>0</v>
      </c>
      <c r="FF24" s="44">
        <f t="shared" si="81"/>
        <v>0</v>
      </c>
      <c r="FG24" s="44">
        <f t="shared" si="82"/>
        <v>0</v>
      </c>
      <c r="FH24" s="44">
        <f t="shared" si="83"/>
        <v>0</v>
      </c>
      <c r="FI24" s="44">
        <f t="shared" si="84"/>
        <v>0</v>
      </c>
      <c r="FJ24" s="44">
        <f t="shared" si="85"/>
        <v>0</v>
      </c>
      <c r="FK24" s="20" t="s">
        <v>29</v>
      </c>
      <c r="FL24" s="10">
        <f t="shared" si="86"/>
        <v>3.4</v>
      </c>
      <c r="FM24" s="10">
        <f t="shared" si="87"/>
        <v>11.4</v>
      </c>
      <c r="FN24" s="10">
        <f t="shared" si="88"/>
        <v>2.8</v>
      </c>
      <c r="FO24" s="10">
        <f t="shared" si="89"/>
        <v>11.049999999999999</v>
      </c>
      <c r="FP24" s="10">
        <f t="shared" si="90"/>
        <v>6.1999999999999993</v>
      </c>
      <c r="FQ24" s="10">
        <f t="shared" si="93"/>
        <v>22.45</v>
      </c>
      <c r="FR24" s="10">
        <f t="shared" si="94"/>
        <v>0</v>
      </c>
      <c r="FS24" s="10">
        <f t="shared" si="95"/>
        <v>0</v>
      </c>
      <c r="FT24" s="10">
        <f t="shared" si="96"/>
        <v>0</v>
      </c>
      <c r="FU24" s="10">
        <f t="shared" si="97"/>
        <v>0</v>
      </c>
      <c r="FV24" s="10" t="str">
        <f t="shared" si="98"/>
        <v/>
      </c>
      <c r="FW24" s="10" t="str">
        <f t="shared" si="91"/>
        <v/>
      </c>
      <c r="FX24" s="10">
        <f t="shared" si="92"/>
        <v>22.45</v>
      </c>
    </row>
    <row r="25" spans="1:180" x14ac:dyDescent="0.2">
      <c r="A25" s="3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4" t="s">
        <v>47</v>
      </c>
      <c r="C25" s="3" t="s">
        <v>4</v>
      </c>
      <c r="D25" s="3">
        <v>2007</v>
      </c>
      <c r="E25" s="8">
        <f t="shared" si="0"/>
        <v>44.400004440004437</v>
      </c>
      <c r="F25" s="2" t="str">
        <f t="shared" si="1"/>
        <v/>
      </c>
      <c r="G25" s="2" t="str">
        <f t="shared" si="2"/>
        <v/>
      </c>
      <c r="H25" s="26" t="str">
        <f t="shared" si="3"/>
        <v/>
      </c>
      <c r="I25" s="2" t="str">
        <f t="shared" si="4"/>
        <v/>
      </c>
      <c r="J25" s="7">
        <f t="shared" si="5"/>
        <v>44.4</v>
      </c>
      <c r="K25" s="7" t="str">
        <f t="shared" si="6"/>
        <v>2025 3rd Domestic Trial</v>
      </c>
      <c r="L25" s="7">
        <f>IF(J25=AO25,IF(COUNT(AQ25,AS25,BO25,BQ25,BU25,BW25)&gt;1,LARGE((AQ25,AS25,BO25,BQ25,BU25,BW25),1),0),IF(COUNT(AK25,AM25,AQ25,AS25,BU25,BW25)&gt;1,LARGE((AK25,AM25,AQ25,AS25,BU25,BW25),1),0))</f>
        <v>0</v>
      </c>
      <c r="M25" s="7" t="str">
        <f t="shared" si="7"/>
        <v/>
      </c>
      <c r="N25" s="7">
        <f>IF(J25=AO25,IF(COUNT(AQ25,AS25,BO25,BQ25,BU25,BW25)&gt;1,LARGE((AQ25,AS25,BO25,BQ25,BU25,BW25),2),0),IF(COUNT(AK25,AM25,AQ25,AS25,BU25,BW25)&gt;1,LARGE((AK25,AM25,AQ25,AS25,BU25,BW25),2),0))</f>
        <v>0</v>
      </c>
      <c r="O25" s="7" t="str">
        <f t="shared" si="8"/>
        <v/>
      </c>
      <c r="P25" s="7" t="str">
        <f t="shared" si="9"/>
        <v/>
      </c>
      <c r="Q25" s="10" t="str">
        <f t="shared" si="10"/>
        <v/>
      </c>
      <c r="R25" s="7" t="str">
        <f t="shared" si="11"/>
        <v/>
      </c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19"/>
      <c r="AJ25" s="42" t="str">
        <f t="shared" si="12"/>
        <v/>
      </c>
      <c r="AK25" s="42" t="str">
        <f t="shared" si="13"/>
        <v/>
      </c>
      <c r="AL25" s="42" t="str">
        <f t="shared" si="14"/>
        <v/>
      </c>
      <c r="AM25" s="42" t="str">
        <f t="shared" si="15"/>
        <v/>
      </c>
      <c r="AN25" s="27" t="str">
        <f t="shared" si="16"/>
        <v/>
      </c>
      <c r="AO25" s="27" t="str">
        <f t="shared" si="17"/>
        <v/>
      </c>
      <c r="AP25" s="27" t="str">
        <f t="shared" si="18"/>
        <v/>
      </c>
      <c r="AQ25" s="27" t="str">
        <f t="shared" si="19"/>
        <v/>
      </c>
      <c r="AR25" s="27" t="str">
        <f t="shared" si="20"/>
        <v/>
      </c>
      <c r="AS25" s="27" t="str">
        <f t="shared" si="21"/>
        <v/>
      </c>
      <c r="AT25" s="27" t="str">
        <f t="shared" si="22"/>
        <v/>
      </c>
      <c r="AU25" s="27" t="str">
        <f t="shared" si="23"/>
        <v/>
      </c>
      <c r="AV25" s="27" t="str">
        <f t="shared" si="24"/>
        <v/>
      </c>
      <c r="AW25" s="15">
        <v>18.8</v>
      </c>
      <c r="AX25" s="15">
        <v>8</v>
      </c>
      <c r="AY25" s="15">
        <v>0.8</v>
      </c>
      <c r="AZ25" s="15">
        <v>0</v>
      </c>
      <c r="BA25" s="15">
        <v>15.2</v>
      </c>
      <c r="BB25" s="15">
        <v>3.2</v>
      </c>
      <c r="BC25" s="15">
        <v>0</v>
      </c>
      <c r="BD25" s="15">
        <v>0</v>
      </c>
      <c r="BE25" s="15"/>
      <c r="BF25" s="15"/>
      <c r="BG25" s="15"/>
      <c r="BH25" s="15"/>
      <c r="BI25" s="15"/>
      <c r="BJ25" s="15"/>
      <c r="BK25" s="15"/>
      <c r="BL25" s="15"/>
      <c r="BM25" s="20"/>
      <c r="BN25" s="43">
        <f t="shared" si="25"/>
        <v>8</v>
      </c>
      <c r="BO25" s="43">
        <f t="shared" si="26"/>
        <v>26</v>
      </c>
      <c r="BP25" s="43">
        <f t="shared" si="27"/>
        <v>3.2</v>
      </c>
      <c r="BQ25" s="43">
        <f t="shared" si="28"/>
        <v>18.399999999999999</v>
      </c>
      <c r="BR25" s="10">
        <f t="shared" si="29"/>
        <v>11.2</v>
      </c>
      <c r="BS25" s="10">
        <f t="shared" si="30"/>
        <v>44.4</v>
      </c>
      <c r="BT25" s="10" t="str">
        <f t="shared" si="31"/>
        <v/>
      </c>
      <c r="BU25" s="10" t="str">
        <f t="shared" si="32"/>
        <v/>
      </c>
      <c r="BV25" s="10" t="str">
        <f t="shared" si="33"/>
        <v/>
      </c>
      <c r="BW25" s="10" t="str">
        <f t="shared" si="34"/>
        <v/>
      </c>
      <c r="BX25" s="10" t="str">
        <f t="shared" si="35"/>
        <v/>
      </c>
      <c r="BY25" s="10" t="str">
        <f t="shared" si="36"/>
        <v/>
      </c>
      <c r="BZ25" s="10">
        <f t="shared" si="37"/>
        <v>44.4</v>
      </c>
      <c r="CA25" s="34" t="str">
        <f t="shared" si="38"/>
        <v/>
      </c>
      <c r="CB25" s="34" t="str">
        <f t="shared" si="39"/>
        <v/>
      </c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27" t="str">
        <f t="shared" si="40"/>
        <v/>
      </c>
      <c r="CX25" s="27" t="str">
        <f t="shared" si="41"/>
        <v/>
      </c>
      <c r="CY25" s="27" t="str">
        <f t="shared" si="42"/>
        <v/>
      </c>
      <c r="CZ25" s="27" t="str">
        <f t="shared" si="43"/>
        <v/>
      </c>
      <c r="DA25" s="27" t="str">
        <f t="shared" si="44"/>
        <v/>
      </c>
      <c r="DB25" s="27" t="str">
        <f t="shared" si="45"/>
        <v/>
      </c>
      <c r="DC25" s="27" t="str">
        <f t="shared" si="46"/>
        <v/>
      </c>
      <c r="DD25" s="27" t="str">
        <f t="shared" si="47"/>
        <v/>
      </c>
      <c r="DE25" s="27" t="str">
        <f t="shared" si="48"/>
        <v/>
      </c>
      <c r="DF25" s="27" t="str">
        <f t="shared" si="49"/>
        <v/>
      </c>
      <c r="DG25" s="27" t="str">
        <f t="shared" si="50"/>
        <v/>
      </c>
      <c r="DH25" s="27" t="str">
        <f t="shared" si="51"/>
        <v/>
      </c>
      <c r="DI25" s="27" t="str">
        <f t="shared" si="52"/>
        <v/>
      </c>
      <c r="DJ25" s="27" t="str">
        <f t="shared" si="53"/>
        <v/>
      </c>
      <c r="DK25" s="27" t="str">
        <f t="shared" si="54"/>
        <v/>
      </c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0" t="str">
        <f t="shared" si="55"/>
        <v/>
      </c>
      <c r="EG25" s="10" t="str">
        <f t="shared" si="56"/>
        <v/>
      </c>
      <c r="EH25" s="10" t="str">
        <f t="shared" si="57"/>
        <v/>
      </c>
      <c r="EI25" s="10" t="str">
        <f t="shared" si="58"/>
        <v/>
      </c>
      <c r="EJ25" s="10" t="str">
        <f t="shared" si="59"/>
        <v/>
      </c>
      <c r="EK25" s="10" t="str">
        <f t="shared" si="60"/>
        <v/>
      </c>
      <c r="EL25" s="10" t="str">
        <f t="shared" si="61"/>
        <v/>
      </c>
      <c r="EM25" s="10" t="str">
        <f t="shared" si="62"/>
        <v/>
      </c>
      <c r="EN25" s="10" t="str">
        <f t="shared" si="63"/>
        <v/>
      </c>
      <c r="EO25" s="10" t="str">
        <f t="shared" si="64"/>
        <v/>
      </c>
      <c r="EP25" s="10" t="str">
        <f t="shared" si="65"/>
        <v/>
      </c>
      <c r="EQ25" s="10" t="str">
        <f t="shared" si="66"/>
        <v/>
      </c>
      <c r="ER25" s="10" t="str">
        <f t="shared" si="67"/>
        <v/>
      </c>
      <c r="ES25" s="10" t="str">
        <f t="shared" si="68"/>
        <v/>
      </c>
      <c r="ET25" s="10" t="str">
        <f t="shared" si="69"/>
        <v/>
      </c>
      <c r="EU25" s="44">
        <f t="shared" si="70"/>
        <v>9.4</v>
      </c>
      <c r="EV25" s="44">
        <f t="shared" si="71"/>
        <v>4</v>
      </c>
      <c r="EW25" s="44">
        <f t="shared" si="72"/>
        <v>0.4</v>
      </c>
      <c r="EX25" s="44">
        <f t="shared" si="73"/>
        <v>0</v>
      </c>
      <c r="EY25" s="44">
        <f t="shared" si="74"/>
        <v>7.6</v>
      </c>
      <c r="EZ25" s="44">
        <f t="shared" si="75"/>
        <v>1.6</v>
      </c>
      <c r="FA25" s="44">
        <f t="shared" si="76"/>
        <v>0</v>
      </c>
      <c r="FB25" s="44">
        <f t="shared" si="77"/>
        <v>0</v>
      </c>
      <c r="FC25" s="44">
        <f t="shared" si="78"/>
        <v>0</v>
      </c>
      <c r="FD25" s="44">
        <f t="shared" si="79"/>
        <v>0</v>
      </c>
      <c r="FE25" s="44">
        <f t="shared" si="80"/>
        <v>0</v>
      </c>
      <c r="FF25" s="44">
        <f t="shared" si="81"/>
        <v>0</v>
      </c>
      <c r="FG25" s="44">
        <f t="shared" si="82"/>
        <v>0</v>
      </c>
      <c r="FH25" s="44">
        <f t="shared" si="83"/>
        <v>0</v>
      </c>
      <c r="FI25" s="44">
        <f t="shared" si="84"/>
        <v>0</v>
      </c>
      <c r="FJ25" s="44">
        <f t="shared" si="85"/>
        <v>0</v>
      </c>
      <c r="FK25" s="20" t="s">
        <v>29</v>
      </c>
      <c r="FL25" s="10">
        <f t="shared" si="86"/>
        <v>4</v>
      </c>
      <c r="FM25" s="10">
        <f t="shared" si="87"/>
        <v>13</v>
      </c>
      <c r="FN25" s="10">
        <f t="shared" si="88"/>
        <v>1.6</v>
      </c>
      <c r="FO25" s="10">
        <f t="shared" si="89"/>
        <v>9.1999999999999993</v>
      </c>
      <c r="FP25" s="10">
        <f t="shared" si="90"/>
        <v>5.6</v>
      </c>
      <c r="FQ25" s="10">
        <f t="shared" si="93"/>
        <v>22.2</v>
      </c>
      <c r="FR25" s="10">
        <f t="shared" si="94"/>
        <v>0</v>
      </c>
      <c r="FS25" s="10">
        <f t="shared" si="95"/>
        <v>0</v>
      </c>
      <c r="FT25" s="10">
        <f t="shared" si="96"/>
        <v>0</v>
      </c>
      <c r="FU25" s="10">
        <f t="shared" si="97"/>
        <v>0</v>
      </c>
      <c r="FV25" s="10" t="str">
        <f t="shared" si="98"/>
        <v/>
      </c>
      <c r="FW25" s="10" t="str">
        <f t="shared" si="91"/>
        <v/>
      </c>
      <c r="FX25" s="10">
        <f t="shared" si="92"/>
        <v>22.2</v>
      </c>
    </row>
    <row r="26" spans="1:180" x14ac:dyDescent="0.2">
      <c r="A26" s="3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4" t="s">
        <v>92</v>
      </c>
      <c r="C26" s="3" t="s">
        <v>4</v>
      </c>
      <c r="D26" s="3">
        <v>2008</v>
      </c>
      <c r="E26" s="8">
        <f t="shared" si="0"/>
        <v>38.900003890003887</v>
      </c>
      <c r="F26" s="2" t="str">
        <f t="shared" si="1"/>
        <v/>
      </c>
      <c r="G26" s="2" t="str">
        <f t="shared" si="2"/>
        <v/>
      </c>
      <c r="H26" s="26" t="str">
        <f t="shared" si="3"/>
        <v/>
      </c>
      <c r="I26" s="2" t="str">
        <f t="shared" si="4"/>
        <v/>
      </c>
      <c r="J26" s="7">
        <f t="shared" si="5"/>
        <v>38.9</v>
      </c>
      <c r="K26" s="7" t="str">
        <f t="shared" si="6"/>
        <v>2025 Nationals</v>
      </c>
      <c r="L26" s="7">
        <f>IF(J26=AO26,IF(COUNT(AQ26,AS26,BO26,BQ26,BU26,BW26)&gt;1,LARGE((AQ26,AS26,BO26,BQ26,BU26,BW26),1),0),IF(COUNT(AK26,AM26,AQ26,AS26,BU26,BW26)&gt;1,LARGE((AK26,AM26,AQ26,AS26,BU26,BW26),1),0))</f>
        <v>0</v>
      </c>
      <c r="M26" s="7" t="str">
        <f t="shared" si="7"/>
        <v/>
      </c>
      <c r="N26" s="7">
        <f>IF(J26=AO26,IF(COUNT(AQ26,AS26,BO26,BQ26,BU26,BW26)&gt;1,LARGE((AQ26,AS26,BO26,BQ26,BU26,BW26),2),0),IF(COUNT(AK26,AM26,AQ26,AS26,BU26,BW26)&gt;1,LARGE((AK26,AM26,AQ26,AS26,BU26,BW26),2),0))</f>
        <v>0</v>
      </c>
      <c r="O26" s="7" t="str">
        <f t="shared" si="8"/>
        <v/>
      </c>
      <c r="P26" s="7" t="str">
        <f t="shared" si="9"/>
        <v/>
      </c>
      <c r="Q26" s="10" t="str">
        <f t="shared" si="10"/>
        <v/>
      </c>
      <c r="R26" s="7" t="str">
        <f t="shared" si="11"/>
        <v/>
      </c>
      <c r="S26" s="39">
        <v>15.2</v>
      </c>
      <c r="T26" s="39">
        <v>3.2</v>
      </c>
      <c r="U26" s="39">
        <v>0</v>
      </c>
      <c r="V26" s="39">
        <v>0</v>
      </c>
      <c r="W26" s="39">
        <v>15.4</v>
      </c>
      <c r="X26" s="39">
        <v>4.8</v>
      </c>
      <c r="Y26" s="39">
        <v>0</v>
      </c>
      <c r="Z26" s="39">
        <v>0.3</v>
      </c>
      <c r="AA26" s="39"/>
      <c r="AB26" s="39"/>
      <c r="AC26" s="39"/>
      <c r="AD26" s="39"/>
      <c r="AE26" s="39"/>
      <c r="AF26" s="39"/>
      <c r="AG26" s="39"/>
      <c r="AH26" s="39"/>
      <c r="AI26" s="19"/>
      <c r="AJ26" s="42">
        <f t="shared" si="12"/>
        <v>3.2</v>
      </c>
      <c r="AK26" s="42">
        <f t="shared" si="13"/>
        <v>18.399999999999999</v>
      </c>
      <c r="AL26" s="42">
        <f t="shared" si="14"/>
        <v>4.8</v>
      </c>
      <c r="AM26" s="42">
        <f t="shared" si="15"/>
        <v>20.5</v>
      </c>
      <c r="AN26" s="27">
        <f t="shared" si="16"/>
        <v>8</v>
      </c>
      <c r="AO26" s="27">
        <f t="shared" si="17"/>
        <v>38.9</v>
      </c>
      <c r="AP26" s="27" t="str">
        <f t="shared" si="18"/>
        <v/>
      </c>
      <c r="AQ26" s="27" t="str">
        <f t="shared" si="19"/>
        <v/>
      </c>
      <c r="AR26" s="27" t="str">
        <f t="shared" si="20"/>
        <v/>
      </c>
      <c r="AS26" s="27" t="str">
        <f t="shared" si="21"/>
        <v/>
      </c>
      <c r="AT26" s="27" t="str">
        <f t="shared" si="22"/>
        <v/>
      </c>
      <c r="AU26" s="27" t="str">
        <f t="shared" si="23"/>
        <v/>
      </c>
      <c r="AV26" s="27">
        <f t="shared" si="24"/>
        <v>38.9</v>
      </c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20"/>
      <c r="BN26" s="43" t="str">
        <f t="shared" si="25"/>
        <v/>
      </c>
      <c r="BO26" s="43" t="str">
        <f t="shared" si="26"/>
        <v/>
      </c>
      <c r="BP26" s="43" t="str">
        <f t="shared" si="27"/>
        <v/>
      </c>
      <c r="BQ26" s="43" t="str">
        <f t="shared" si="28"/>
        <v/>
      </c>
      <c r="BR26" s="10" t="str">
        <f t="shared" si="29"/>
        <v/>
      </c>
      <c r="BS26" s="10" t="str">
        <f t="shared" si="30"/>
        <v/>
      </c>
      <c r="BT26" s="10" t="str">
        <f t="shared" si="31"/>
        <v/>
      </c>
      <c r="BU26" s="10" t="str">
        <f t="shared" si="32"/>
        <v/>
      </c>
      <c r="BV26" s="10" t="str">
        <f t="shared" si="33"/>
        <v/>
      </c>
      <c r="BW26" s="10" t="str">
        <f t="shared" si="34"/>
        <v/>
      </c>
      <c r="BX26" s="10" t="str">
        <f t="shared" si="35"/>
        <v/>
      </c>
      <c r="BY26" s="10" t="str">
        <f t="shared" si="36"/>
        <v/>
      </c>
      <c r="BZ26" s="10" t="str">
        <f t="shared" si="37"/>
        <v/>
      </c>
      <c r="CA26" s="34" t="str">
        <f t="shared" si="38"/>
        <v/>
      </c>
      <c r="CB26" s="34" t="str">
        <f t="shared" si="39"/>
        <v/>
      </c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27" t="str">
        <f t="shared" si="40"/>
        <v/>
      </c>
      <c r="CX26" s="27" t="str">
        <f t="shared" si="41"/>
        <v/>
      </c>
      <c r="CY26" s="27" t="str">
        <f t="shared" si="42"/>
        <v/>
      </c>
      <c r="CZ26" s="27" t="str">
        <f t="shared" si="43"/>
        <v/>
      </c>
      <c r="DA26" s="27" t="str">
        <f t="shared" si="44"/>
        <v/>
      </c>
      <c r="DB26" s="27" t="str">
        <f t="shared" si="45"/>
        <v/>
      </c>
      <c r="DC26" s="27" t="str">
        <f t="shared" si="46"/>
        <v/>
      </c>
      <c r="DD26" s="27" t="str">
        <f t="shared" si="47"/>
        <v/>
      </c>
      <c r="DE26" s="27" t="str">
        <f t="shared" si="48"/>
        <v/>
      </c>
      <c r="DF26" s="27" t="str">
        <f t="shared" si="49"/>
        <v/>
      </c>
      <c r="DG26" s="27" t="str">
        <f t="shared" si="50"/>
        <v/>
      </c>
      <c r="DH26" s="27" t="str">
        <f t="shared" si="51"/>
        <v/>
      </c>
      <c r="DI26" s="27" t="str">
        <f t="shared" si="52"/>
        <v/>
      </c>
      <c r="DJ26" s="27" t="str">
        <f t="shared" si="53"/>
        <v/>
      </c>
      <c r="DK26" s="27" t="str">
        <f t="shared" si="54"/>
        <v/>
      </c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0" t="str">
        <f t="shared" si="55"/>
        <v/>
      </c>
      <c r="EG26" s="10" t="str">
        <f t="shared" si="56"/>
        <v/>
      </c>
      <c r="EH26" s="10" t="str">
        <f t="shared" si="57"/>
        <v/>
      </c>
      <c r="EI26" s="10" t="str">
        <f t="shared" si="58"/>
        <v/>
      </c>
      <c r="EJ26" s="10" t="str">
        <f t="shared" si="59"/>
        <v/>
      </c>
      <c r="EK26" s="10" t="str">
        <f t="shared" si="60"/>
        <v/>
      </c>
      <c r="EL26" s="10" t="str">
        <f t="shared" si="61"/>
        <v/>
      </c>
      <c r="EM26" s="10" t="str">
        <f t="shared" si="62"/>
        <v/>
      </c>
      <c r="EN26" s="10" t="str">
        <f t="shared" si="63"/>
        <v/>
      </c>
      <c r="EO26" s="10" t="str">
        <f t="shared" si="64"/>
        <v/>
      </c>
      <c r="EP26" s="10" t="str">
        <f t="shared" si="65"/>
        <v/>
      </c>
      <c r="EQ26" s="10" t="str">
        <f t="shared" si="66"/>
        <v/>
      </c>
      <c r="ER26" s="10" t="str">
        <f t="shared" si="67"/>
        <v/>
      </c>
      <c r="ES26" s="10" t="str">
        <f t="shared" si="68"/>
        <v/>
      </c>
      <c r="ET26" s="10" t="str">
        <f t="shared" si="69"/>
        <v/>
      </c>
      <c r="EU26" s="44">
        <f t="shared" si="70"/>
        <v>7.6</v>
      </c>
      <c r="EV26" s="44">
        <f t="shared" si="71"/>
        <v>1.6</v>
      </c>
      <c r="EW26" s="44">
        <f t="shared" si="72"/>
        <v>0</v>
      </c>
      <c r="EX26" s="44">
        <f t="shared" si="73"/>
        <v>0</v>
      </c>
      <c r="EY26" s="44">
        <f t="shared" si="74"/>
        <v>7.7</v>
      </c>
      <c r="EZ26" s="44">
        <f t="shared" si="75"/>
        <v>2.4</v>
      </c>
      <c r="FA26" s="44">
        <f t="shared" si="76"/>
        <v>0</v>
      </c>
      <c r="FB26" s="44">
        <f t="shared" si="77"/>
        <v>0.15</v>
      </c>
      <c r="FC26" s="44">
        <f t="shared" si="78"/>
        <v>0</v>
      </c>
      <c r="FD26" s="44">
        <f t="shared" si="79"/>
        <v>0</v>
      </c>
      <c r="FE26" s="44">
        <f t="shared" si="80"/>
        <v>0</v>
      </c>
      <c r="FF26" s="44">
        <f t="shared" si="81"/>
        <v>0</v>
      </c>
      <c r="FG26" s="44">
        <f t="shared" si="82"/>
        <v>0</v>
      </c>
      <c r="FH26" s="44">
        <f t="shared" si="83"/>
        <v>0</v>
      </c>
      <c r="FI26" s="44">
        <f t="shared" si="84"/>
        <v>0</v>
      </c>
      <c r="FJ26" s="44">
        <f t="shared" si="85"/>
        <v>0</v>
      </c>
      <c r="FK26" s="20" t="s">
        <v>29</v>
      </c>
      <c r="FL26" s="10">
        <f t="shared" si="86"/>
        <v>1.6</v>
      </c>
      <c r="FM26" s="10">
        <f t="shared" si="87"/>
        <v>9.1999999999999993</v>
      </c>
      <c r="FN26" s="10">
        <f t="shared" si="88"/>
        <v>2.4</v>
      </c>
      <c r="FO26" s="10">
        <f t="shared" si="89"/>
        <v>10.25</v>
      </c>
      <c r="FP26" s="10">
        <f t="shared" si="90"/>
        <v>4</v>
      </c>
      <c r="FQ26" s="10">
        <f t="shared" si="93"/>
        <v>19.45</v>
      </c>
      <c r="FR26" s="10">
        <f t="shared" si="94"/>
        <v>0</v>
      </c>
      <c r="FS26" s="10">
        <f t="shared" si="95"/>
        <v>0</v>
      </c>
      <c r="FT26" s="10">
        <f t="shared" si="96"/>
        <v>0</v>
      </c>
      <c r="FU26" s="10">
        <f t="shared" si="97"/>
        <v>0</v>
      </c>
      <c r="FV26" s="10" t="str">
        <f t="shared" si="98"/>
        <v/>
      </c>
      <c r="FW26" s="10" t="str">
        <f t="shared" si="91"/>
        <v/>
      </c>
      <c r="FX26" s="10">
        <f t="shared" si="92"/>
        <v>19.45</v>
      </c>
    </row>
    <row r="27" spans="1:180" x14ac:dyDescent="0.2">
      <c r="A27" s="3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4" t="s">
        <v>86</v>
      </c>
      <c r="C27" s="3" t="s">
        <v>6</v>
      </c>
      <c r="D27" s="3">
        <v>2004</v>
      </c>
      <c r="E27" s="8">
        <f t="shared" si="0"/>
        <v>36.30000363000363</v>
      </c>
      <c r="F27" s="2" t="str">
        <f t="shared" si="1"/>
        <v/>
      </c>
      <c r="G27" s="2" t="str">
        <f t="shared" si="2"/>
        <v/>
      </c>
      <c r="H27" s="26" t="str">
        <f t="shared" si="3"/>
        <v/>
      </c>
      <c r="I27" s="2" t="str">
        <f t="shared" si="4"/>
        <v/>
      </c>
      <c r="J27" s="7">
        <f t="shared" si="5"/>
        <v>36.299999999999997</v>
      </c>
      <c r="K27" s="7" t="str">
        <f t="shared" si="6"/>
        <v>2025 Nationals</v>
      </c>
      <c r="L27" s="7">
        <f>IF(J27=AO27,IF(COUNT(AQ27,AS27,BO27,BQ27,BU27,BW27)&gt;1,LARGE((AQ27,AS27,BO27,BQ27,BU27,BW27),1),0),IF(COUNT(AK27,AM27,AQ27,AS27,BU27,BW27)&gt;1,LARGE((AK27,AM27,AQ27,AS27,BU27,BW27),1),0))</f>
        <v>0</v>
      </c>
      <c r="M27" s="7" t="str">
        <f t="shared" si="7"/>
        <v/>
      </c>
      <c r="N27" s="7">
        <f>IF(J27=AO27,IF(COUNT(AQ27,AS27,BO27,BQ27,BU27,BW27)&gt;1,LARGE((AQ27,AS27,BO27,BQ27,BU27,BW27),2),0),IF(COUNT(AK27,AM27,AQ27,AS27,BU27,BW27)&gt;1,LARGE((AK27,AM27,AQ27,AS27,BU27,BW27),2),0))</f>
        <v>0</v>
      </c>
      <c r="O27" s="7" t="str">
        <f t="shared" si="8"/>
        <v/>
      </c>
      <c r="P27" s="7" t="str">
        <f t="shared" si="9"/>
        <v/>
      </c>
      <c r="Q27" s="10" t="str">
        <f t="shared" si="10"/>
        <v/>
      </c>
      <c r="R27" s="7" t="str">
        <f t="shared" si="11"/>
        <v/>
      </c>
      <c r="S27" s="39">
        <v>15.7</v>
      </c>
      <c r="T27" s="39">
        <v>2.4</v>
      </c>
      <c r="U27" s="39">
        <v>0</v>
      </c>
      <c r="V27" s="39">
        <v>0</v>
      </c>
      <c r="W27" s="39">
        <v>15.4</v>
      </c>
      <c r="X27" s="39">
        <v>2.8</v>
      </c>
      <c r="Y27" s="39">
        <v>0</v>
      </c>
      <c r="Z27" s="39">
        <v>0</v>
      </c>
      <c r="AA27" s="39"/>
      <c r="AB27" s="39"/>
      <c r="AC27" s="39"/>
      <c r="AD27" s="39"/>
      <c r="AE27" s="39"/>
      <c r="AF27" s="39"/>
      <c r="AG27" s="39"/>
      <c r="AH27" s="39"/>
      <c r="AI27" s="19"/>
      <c r="AJ27" s="42">
        <f t="shared" si="12"/>
        <v>2.4</v>
      </c>
      <c r="AK27" s="42">
        <f t="shared" si="13"/>
        <v>18.099999999999998</v>
      </c>
      <c r="AL27" s="42">
        <f t="shared" si="14"/>
        <v>2.8</v>
      </c>
      <c r="AM27" s="42">
        <f t="shared" si="15"/>
        <v>18.2</v>
      </c>
      <c r="AN27" s="27">
        <f t="shared" si="16"/>
        <v>5.1999999999999993</v>
      </c>
      <c r="AO27" s="27">
        <f t="shared" si="17"/>
        <v>36.299999999999997</v>
      </c>
      <c r="AP27" s="27" t="str">
        <f t="shared" si="18"/>
        <v/>
      </c>
      <c r="AQ27" s="27" t="str">
        <f t="shared" si="19"/>
        <v/>
      </c>
      <c r="AR27" s="27" t="str">
        <f t="shared" si="20"/>
        <v/>
      </c>
      <c r="AS27" s="27" t="str">
        <f t="shared" si="21"/>
        <v/>
      </c>
      <c r="AT27" s="27" t="str">
        <f t="shared" si="22"/>
        <v/>
      </c>
      <c r="AU27" s="27" t="str">
        <f t="shared" si="23"/>
        <v/>
      </c>
      <c r="AV27" s="27">
        <f t="shared" si="24"/>
        <v>36.299999999999997</v>
      </c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20"/>
      <c r="BN27" s="43" t="str">
        <f t="shared" si="25"/>
        <v/>
      </c>
      <c r="BO27" s="43" t="str">
        <f t="shared" si="26"/>
        <v/>
      </c>
      <c r="BP27" s="43" t="str">
        <f t="shared" si="27"/>
        <v/>
      </c>
      <c r="BQ27" s="43" t="str">
        <f t="shared" si="28"/>
        <v/>
      </c>
      <c r="BR27" s="10" t="str">
        <f t="shared" si="29"/>
        <v/>
      </c>
      <c r="BS27" s="10" t="str">
        <f t="shared" si="30"/>
        <v/>
      </c>
      <c r="BT27" s="10" t="str">
        <f t="shared" si="31"/>
        <v/>
      </c>
      <c r="BU27" s="10" t="str">
        <f t="shared" si="32"/>
        <v/>
      </c>
      <c r="BV27" s="10" t="str">
        <f t="shared" si="33"/>
        <v/>
      </c>
      <c r="BW27" s="10" t="str">
        <f t="shared" si="34"/>
        <v/>
      </c>
      <c r="BX27" s="10" t="str">
        <f t="shared" si="35"/>
        <v/>
      </c>
      <c r="BY27" s="10" t="str">
        <f t="shared" si="36"/>
        <v/>
      </c>
      <c r="BZ27" s="10" t="str">
        <f t="shared" si="37"/>
        <v/>
      </c>
      <c r="CA27" s="34" t="str">
        <f t="shared" si="38"/>
        <v/>
      </c>
      <c r="CB27" s="34" t="str">
        <f t="shared" si="39"/>
        <v/>
      </c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27" t="str">
        <f t="shared" si="40"/>
        <v/>
      </c>
      <c r="CX27" s="27" t="str">
        <f t="shared" si="41"/>
        <v/>
      </c>
      <c r="CY27" s="27" t="str">
        <f t="shared" si="42"/>
        <v/>
      </c>
      <c r="CZ27" s="27" t="str">
        <f t="shared" si="43"/>
        <v/>
      </c>
      <c r="DA27" s="27" t="str">
        <f t="shared" si="44"/>
        <v/>
      </c>
      <c r="DB27" s="27" t="str">
        <f t="shared" si="45"/>
        <v/>
      </c>
      <c r="DC27" s="27" t="str">
        <f t="shared" si="46"/>
        <v/>
      </c>
      <c r="DD27" s="27" t="str">
        <f t="shared" si="47"/>
        <v/>
      </c>
      <c r="DE27" s="27" t="str">
        <f t="shared" si="48"/>
        <v/>
      </c>
      <c r="DF27" s="27" t="str">
        <f t="shared" si="49"/>
        <v/>
      </c>
      <c r="DG27" s="27" t="str">
        <f t="shared" si="50"/>
        <v/>
      </c>
      <c r="DH27" s="27" t="str">
        <f t="shared" si="51"/>
        <v/>
      </c>
      <c r="DI27" s="27" t="str">
        <f t="shared" si="52"/>
        <v/>
      </c>
      <c r="DJ27" s="27" t="str">
        <f t="shared" si="53"/>
        <v/>
      </c>
      <c r="DK27" s="27" t="str">
        <f t="shared" si="54"/>
        <v/>
      </c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0" t="str">
        <f t="shared" si="55"/>
        <v/>
      </c>
      <c r="EG27" s="10" t="str">
        <f t="shared" si="56"/>
        <v/>
      </c>
      <c r="EH27" s="10" t="str">
        <f t="shared" si="57"/>
        <v/>
      </c>
      <c r="EI27" s="10" t="str">
        <f t="shared" si="58"/>
        <v/>
      </c>
      <c r="EJ27" s="10" t="str">
        <f t="shared" si="59"/>
        <v/>
      </c>
      <c r="EK27" s="10" t="str">
        <f t="shared" si="60"/>
        <v/>
      </c>
      <c r="EL27" s="10" t="str">
        <f t="shared" si="61"/>
        <v/>
      </c>
      <c r="EM27" s="10" t="str">
        <f t="shared" si="62"/>
        <v/>
      </c>
      <c r="EN27" s="10" t="str">
        <f t="shared" si="63"/>
        <v/>
      </c>
      <c r="EO27" s="10" t="str">
        <f t="shared" si="64"/>
        <v/>
      </c>
      <c r="EP27" s="10" t="str">
        <f t="shared" si="65"/>
        <v/>
      </c>
      <c r="EQ27" s="10" t="str">
        <f t="shared" si="66"/>
        <v/>
      </c>
      <c r="ER27" s="10" t="str">
        <f t="shared" si="67"/>
        <v/>
      </c>
      <c r="ES27" s="10" t="str">
        <f t="shared" si="68"/>
        <v/>
      </c>
      <c r="ET27" s="10" t="str">
        <f t="shared" si="69"/>
        <v/>
      </c>
      <c r="EU27" s="44">
        <f t="shared" si="70"/>
        <v>7.85</v>
      </c>
      <c r="EV27" s="44">
        <f t="shared" si="71"/>
        <v>1.2</v>
      </c>
      <c r="EW27" s="44">
        <f t="shared" si="72"/>
        <v>0</v>
      </c>
      <c r="EX27" s="44">
        <f t="shared" si="73"/>
        <v>0</v>
      </c>
      <c r="EY27" s="44">
        <f t="shared" si="74"/>
        <v>7.7</v>
      </c>
      <c r="EZ27" s="44">
        <f t="shared" si="75"/>
        <v>1.4</v>
      </c>
      <c r="FA27" s="44">
        <f t="shared" si="76"/>
        <v>0</v>
      </c>
      <c r="FB27" s="44">
        <f t="shared" si="77"/>
        <v>0</v>
      </c>
      <c r="FC27" s="44">
        <f t="shared" si="78"/>
        <v>0</v>
      </c>
      <c r="FD27" s="44">
        <f t="shared" si="79"/>
        <v>0</v>
      </c>
      <c r="FE27" s="44">
        <f t="shared" si="80"/>
        <v>0</v>
      </c>
      <c r="FF27" s="44">
        <f t="shared" si="81"/>
        <v>0</v>
      </c>
      <c r="FG27" s="44">
        <f t="shared" si="82"/>
        <v>0</v>
      </c>
      <c r="FH27" s="44">
        <f t="shared" si="83"/>
        <v>0</v>
      </c>
      <c r="FI27" s="44">
        <f t="shared" si="84"/>
        <v>0</v>
      </c>
      <c r="FJ27" s="44">
        <f t="shared" si="85"/>
        <v>0</v>
      </c>
      <c r="FK27" s="20" t="s">
        <v>29</v>
      </c>
      <c r="FL27" s="10">
        <f t="shared" si="86"/>
        <v>1.2</v>
      </c>
      <c r="FM27" s="10">
        <f t="shared" si="87"/>
        <v>9.0499999999999989</v>
      </c>
      <c r="FN27" s="10">
        <f t="shared" si="88"/>
        <v>1.4</v>
      </c>
      <c r="FO27" s="10">
        <f t="shared" si="89"/>
        <v>9.1</v>
      </c>
      <c r="FP27" s="10">
        <f t="shared" si="90"/>
        <v>2.5999999999999996</v>
      </c>
      <c r="FQ27" s="10">
        <f t="shared" si="93"/>
        <v>18.149999999999999</v>
      </c>
      <c r="FR27" s="10">
        <f t="shared" si="94"/>
        <v>0</v>
      </c>
      <c r="FS27" s="10">
        <f t="shared" si="95"/>
        <v>0</v>
      </c>
      <c r="FT27" s="10">
        <f t="shared" si="96"/>
        <v>0</v>
      </c>
      <c r="FU27" s="10">
        <f t="shared" si="97"/>
        <v>0</v>
      </c>
      <c r="FV27" s="10" t="str">
        <f t="shared" si="98"/>
        <v/>
      </c>
      <c r="FW27" s="10" t="str">
        <f t="shared" si="91"/>
        <v/>
      </c>
      <c r="FX27" s="10">
        <f t="shared" si="92"/>
        <v>18.149999999999999</v>
      </c>
    </row>
    <row r="28" spans="1:180" x14ac:dyDescent="0.2">
      <c r="A28" s="3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4" t="s">
        <v>93</v>
      </c>
      <c r="C28" s="3" t="s">
        <v>5</v>
      </c>
      <c r="D28" s="3">
        <v>2003</v>
      </c>
      <c r="E28" s="8">
        <f t="shared" si="0"/>
        <v>17.900001790001788</v>
      </c>
      <c r="F28" s="2" t="str">
        <f t="shared" si="1"/>
        <v/>
      </c>
      <c r="G28" s="2" t="str">
        <f t="shared" si="2"/>
        <v/>
      </c>
      <c r="H28" s="26" t="str">
        <f t="shared" si="3"/>
        <v/>
      </c>
      <c r="I28" s="2" t="str">
        <f t="shared" si="4"/>
        <v/>
      </c>
      <c r="J28" s="7">
        <f t="shared" si="5"/>
        <v>17.899999999999999</v>
      </c>
      <c r="K28" s="7" t="str">
        <f t="shared" si="6"/>
        <v>2025 Nationals</v>
      </c>
      <c r="L28" s="7">
        <f>IF(J28=AO28,IF(COUNT(AQ28,AS28,BO28,BQ28,BU28,BW28)&gt;1,LARGE((AQ28,AS28,BO28,BQ28,BU28,BW28),1),0),IF(COUNT(AK28,AM28,AQ28,AS28,BU28,BW28)&gt;1,LARGE((AK28,AM28,AQ28,AS28,BU28,BW28),1),0))</f>
        <v>0</v>
      </c>
      <c r="M28" s="7" t="str">
        <f t="shared" si="7"/>
        <v/>
      </c>
      <c r="N28" s="7">
        <f>IF(J28=AO28,IF(COUNT(AQ28,AS28,BO28,BQ28,BU28,BW28)&gt;1,LARGE((AQ28,AS28,BO28,BQ28,BU28,BW28),2),0),IF(COUNT(AK28,AM28,AQ28,AS28,BU28,BW28)&gt;1,LARGE((AK28,AM28,AQ28,AS28,BU28,BW28),2),0))</f>
        <v>0</v>
      </c>
      <c r="O28" s="7" t="str">
        <f t="shared" si="8"/>
        <v/>
      </c>
      <c r="P28" s="7" t="str">
        <f t="shared" si="9"/>
        <v/>
      </c>
      <c r="Q28" s="10" t="str">
        <f t="shared" si="10"/>
        <v/>
      </c>
      <c r="R28" s="7" t="str">
        <f t="shared" si="11"/>
        <v/>
      </c>
      <c r="S28" s="39">
        <v>15.5</v>
      </c>
      <c r="T28" s="39">
        <v>2.4</v>
      </c>
      <c r="U28" s="39">
        <v>0</v>
      </c>
      <c r="V28" s="39">
        <v>0</v>
      </c>
      <c r="W28" s="39">
        <v>0</v>
      </c>
      <c r="X28" s="39">
        <v>0</v>
      </c>
      <c r="Y28" s="39">
        <v>0</v>
      </c>
      <c r="Z28" s="39">
        <v>0</v>
      </c>
      <c r="AA28" s="39"/>
      <c r="AB28" s="39"/>
      <c r="AC28" s="39"/>
      <c r="AD28" s="39"/>
      <c r="AE28" s="39"/>
      <c r="AF28" s="39"/>
      <c r="AG28" s="39"/>
      <c r="AH28" s="39"/>
      <c r="AI28" s="19"/>
      <c r="AJ28" s="42">
        <f t="shared" si="12"/>
        <v>2.4</v>
      </c>
      <c r="AK28" s="42">
        <f t="shared" si="13"/>
        <v>17.899999999999999</v>
      </c>
      <c r="AL28" s="42">
        <f t="shared" si="14"/>
        <v>0</v>
      </c>
      <c r="AM28" s="42">
        <f t="shared" si="15"/>
        <v>0</v>
      </c>
      <c r="AN28" s="27">
        <f t="shared" si="16"/>
        <v>2.4</v>
      </c>
      <c r="AO28" s="27">
        <f t="shared" si="17"/>
        <v>17.899999999999999</v>
      </c>
      <c r="AP28" s="27" t="str">
        <f t="shared" si="18"/>
        <v/>
      </c>
      <c r="AQ28" s="27" t="str">
        <f t="shared" si="19"/>
        <v/>
      </c>
      <c r="AR28" s="27" t="str">
        <f t="shared" si="20"/>
        <v/>
      </c>
      <c r="AS28" s="27" t="str">
        <f t="shared" si="21"/>
        <v/>
      </c>
      <c r="AT28" s="27" t="str">
        <f t="shared" si="22"/>
        <v/>
      </c>
      <c r="AU28" s="27" t="str">
        <f t="shared" si="23"/>
        <v/>
      </c>
      <c r="AV28" s="27">
        <f t="shared" si="24"/>
        <v>17.899999999999999</v>
      </c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20"/>
      <c r="BN28" s="43" t="str">
        <f t="shared" si="25"/>
        <v/>
      </c>
      <c r="BO28" s="43" t="str">
        <f t="shared" si="26"/>
        <v/>
      </c>
      <c r="BP28" s="43" t="str">
        <f t="shared" si="27"/>
        <v/>
      </c>
      <c r="BQ28" s="43" t="str">
        <f t="shared" si="28"/>
        <v/>
      </c>
      <c r="BR28" s="10" t="str">
        <f t="shared" si="29"/>
        <v/>
      </c>
      <c r="BS28" s="10" t="str">
        <f t="shared" si="30"/>
        <v/>
      </c>
      <c r="BT28" s="10" t="str">
        <f t="shared" si="31"/>
        <v/>
      </c>
      <c r="BU28" s="10" t="str">
        <f t="shared" si="32"/>
        <v/>
      </c>
      <c r="BV28" s="10" t="str">
        <f t="shared" si="33"/>
        <v/>
      </c>
      <c r="BW28" s="10" t="str">
        <f t="shared" si="34"/>
        <v/>
      </c>
      <c r="BX28" s="10" t="str">
        <f t="shared" si="35"/>
        <v/>
      </c>
      <c r="BY28" s="10" t="str">
        <f t="shared" si="36"/>
        <v/>
      </c>
      <c r="BZ28" s="10" t="str">
        <f t="shared" si="37"/>
        <v/>
      </c>
      <c r="CA28" s="34" t="str">
        <f t="shared" si="38"/>
        <v/>
      </c>
      <c r="CB28" s="34" t="str">
        <f t="shared" si="39"/>
        <v/>
      </c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27" t="str">
        <f t="shared" si="40"/>
        <v/>
      </c>
      <c r="CX28" s="27" t="str">
        <f t="shared" si="41"/>
        <v/>
      </c>
      <c r="CY28" s="27" t="str">
        <f t="shared" si="42"/>
        <v/>
      </c>
      <c r="CZ28" s="27" t="str">
        <f t="shared" si="43"/>
        <v/>
      </c>
      <c r="DA28" s="27" t="str">
        <f t="shared" si="44"/>
        <v/>
      </c>
      <c r="DB28" s="27" t="str">
        <f t="shared" si="45"/>
        <v/>
      </c>
      <c r="DC28" s="27" t="str">
        <f t="shared" si="46"/>
        <v/>
      </c>
      <c r="DD28" s="27" t="str">
        <f t="shared" si="47"/>
        <v/>
      </c>
      <c r="DE28" s="27" t="str">
        <f t="shared" si="48"/>
        <v/>
      </c>
      <c r="DF28" s="27" t="str">
        <f t="shared" si="49"/>
        <v/>
      </c>
      <c r="DG28" s="27" t="str">
        <f t="shared" si="50"/>
        <v/>
      </c>
      <c r="DH28" s="27" t="str">
        <f t="shared" si="51"/>
        <v/>
      </c>
      <c r="DI28" s="27" t="str">
        <f t="shared" si="52"/>
        <v/>
      </c>
      <c r="DJ28" s="27" t="str">
        <f t="shared" si="53"/>
        <v/>
      </c>
      <c r="DK28" s="27" t="str">
        <f t="shared" si="54"/>
        <v/>
      </c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0" t="str">
        <f t="shared" si="55"/>
        <v/>
      </c>
      <c r="EG28" s="10" t="str">
        <f t="shared" si="56"/>
        <v/>
      </c>
      <c r="EH28" s="10" t="str">
        <f t="shared" si="57"/>
        <v/>
      </c>
      <c r="EI28" s="10" t="str">
        <f t="shared" si="58"/>
        <v/>
      </c>
      <c r="EJ28" s="10" t="str">
        <f t="shared" si="59"/>
        <v/>
      </c>
      <c r="EK28" s="10" t="str">
        <f t="shared" si="60"/>
        <v/>
      </c>
      <c r="EL28" s="10" t="str">
        <f t="shared" si="61"/>
        <v/>
      </c>
      <c r="EM28" s="10" t="str">
        <f t="shared" si="62"/>
        <v/>
      </c>
      <c r="EN28" s="10" t="str">
        <f t="shared" si="63"/>
        <v/>
      </c>
      <c r="EO28" s="10" t="str">
        <f t="shared" si="64"/>
        <v/>
      </c>
      <c r="EP28" s="10" t="str">
        <f t="shared" si="65"/>
        <v/>
      </c>
      <c r="EQ28" s="10" t="str">
        <f t="shared" si="66"/>
        <v/>
      </c>
      <c r="ER28" s="10" t="str">
        <f t="shared" si="67"/>
        <v/>
      </c>
      <c r="ES28" s="10" t="str">
        <f t="shared" si="68"/>
        <v/>
      </c>
      <c r="ET28" s="10" t="str">
        <f t="shared" si="69"/>
        <v/>
      </c>
      <c r="EU28" s="44">
        <f t="shared" si="70"/>
        <v>7.75</v>
      </c>
      <c r="EV28" s="44">
        <f t="shared" si="71"/>
        <v>1.2</v>
      </c>
      <c r="EW28" s="44">
        <f t="shared" si="72"/>
        <v>0</v>
      </c>
      <c r="EX28" s="44">
        <f t="shared" si="73"/>
        <v>0</v>
      </c>
      <c r="EY28" s="44">
        <f t="shared" si="74"/>
        <v>0</v>
      </c>
      <c r="EZ28" s="44">
        <f t="shared" si="75"/>
        <v>0</v>
      </c>
      <c r="FA28" s="44">
        <f t="shared" si="76"/>
        <v>0</v>
      </c>
      <c r="FB28" s="44">
        <f t="shared" si="77"/>
        <v>0</v>
      </c>
      <c r="FC28" s="44">
        <f t="shared" si="78"/>
        <v>0</v>
      </c>
      <c r="FD28" s="44">
        <f t="shared" si="79"/>
        <v>0</v>
      </c>
      <c r="FE28" s="44">
        <f t="shared" si="80"/>
        <v>0</v>
      </c>
      <c r="FF28" s="44">
        <f t="shared" si="81"/>
        <v>0</v>
      </c>
      <c r="FG28" s="44">
        <f t="shared" si="82"/>
        <v>0</v>
      </c>
      <c r="FH28" s="44">
        <f t="shared" si="83"/>
        <v>0</v>
      </c>
      <c r="FI28" s="44">
        <f t="shared" si="84"/>
        <v>0</v>
      </c>
      <c r="FJ28" s="44">
        <f t="shared" si="85"/>
        <v>0</v>
      </c>
      <c r="FK28" s="20" t="s">
        <v>29</v>
      </c>
      <c r="FL28" s="10">
        <f t="shared" si="86"/>
        <v>1.2</v>
      </c>
      <c r="FM28" s="10">
        <f t="shared" si="87"/>
        <v>8.9499999999999993</v>
      </c>
      <c r="FN28" s="10">
        <f t="shared" si="88"/>
        <v>0</v>
      </c>
      <c r="FO28" s="10">
        <f t="shared" si="89"/>
        <v>0</v>
      </c>
      <c r="FP28" s="10">
        <f t="shared" si="90"/>
        <v>1.2</v>
      </c>
      <c r="FQ28" s="10">
        <f t="shared" si="93"/>
        <v>8.9499999999999993</v>
      </c>
      <c r="FR28" s="10">
        <f t="shared" si="94"/>
        <v>0</v>
      </c>
      <c r="FS28" s="10">
        <f t="shared" si="95"/>
        <v>0</v>
      </c>
      <c r="FT28" s="10">
        <f t="shared" si="96"/>
        <v>0</v>
      </c>
      <c r="FU28" s="10">
        <f t="shared" si="97"/>
        <v>0</v>
      </c>
      <c r="FV28" s="10" t="str">
        <f t="shared" si="98"/>
        <v/>
      </c>
      <c r="FW28" s="10" t="str">
        <f t="shared" si="91"/>
        <v/>
      </c>
      <c r="FX28" s="10">
        <f t="shared" si="92"/>
        <v>8.9499999999999993</v>
      </c>
    </row>
    <row r="29" spans="1:180" x14ac:dyDescent="0.2">
      <c r="A29" s="3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4" t="s">
        <v>46</v>
      </c>
      <c r="C29" s="3" t="s">
        <v>4</v>
      </c>
      <c r="D29" s="3">
        <v>2007</v>
      </c>
      <c r="E29" s="8">
        <f t="shared" si="0"/>
        <v>0</v>
      </c>
      <c r="F29" s="2" t="str">
        <f t="shared" si="1"/>
        <v/>
      </c>
      <c r="G29" s="2" t="str">
        <f t="shared" si="2"/>
        <v/>
      </c>
      <c r="H29" s="26" t="str">
        <f t="shared" si="3"/>
        <v/>
      </c>
      <c r="I29" s="2" t="str">
        <f t="shared" si="4"/>
        <v/>
      </c>
      <c r="J29" s="7">
        <f t="shared" si="5"/>
        <v>0</v>
      </c>
      <c r="K29" s="7" t="str">
        <f t="shared" si="6"/>
        <v/>
      </c>
      <c r="L29" s="7">
        <f>IF(J29=AO29,IF(COUNT(AQ29,AS29,BO29,BQ29,BU29,BW29)&gt;1,LARGE((AQ29,AS29,BO29,BQ29,BU29,BW29),1),0),IF(COUNT(AK29,AM29,AQ29,AS29,BU29,BW29)&gt;1,LARGE((AK29,AM29,AQ29,AS29,BU29,BW29),1),0))</f>
        <v>0</v>
      </c>
      <c r="M29" s="7" t="str">
        <f t="shared" si="7"/>
        <v/>
      </c>
      <c r="N29" s="7">
        <f>IF(J29=AO29,IF(COUNT(AQ29,AS29,BO29,BQ29,BU29,BW29)&gt;1,LARGE((AQ29,AS29,BO29,BQ29,BU29,BW29),2),0),IF(COUNT(AK29,AM29,AQ29,AS29,BU29,BW29)&gt;1,LARGE((AK29,AM29,AQ29,AS29,BU29,BW29),2),0))</f>
        <v>0</v>
      </c>
      <c r="O29" s="7" t="str">
        <f t="shared" si="8"/>
        <v/>
      </c>
      <c r="P29" s="7" t="str">
        <f t="shared" si="9"/>
        <v/>
      </c>
      <c r="Q29" s="10" t="str">
        <f t="shared" si="10"/>
        <v/>
      </c>
      <c r="R29" s="7" t="str">
        <f t="shared" si="11"/>
        <v/>
      </c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19"/>
      <c r="AJ29" s="42" t="str">
        <f t="shared" si="12"/>
        <v/>
      </c>
      <c r="AK29" s="42" t="str">
        <f t="shared" si="13"/>
        <v/>
      </c>
      <c r="AL29" s="42" t="str">
        <f t="shared" si="14"/>
        <v/>
      </c>
      <c r="AM29" s="42" t="str">
        <f t="shared" si="15"/>
        <v/>
      </c>
      <c r="AN29" s="27" t="str">
        <f t="shared" si="16"/>
        <v/>
      </c>
      <c r="AO29" s="27" t="str">
        <f t="shared" si="17"/>
        <v/>
      </c>
      <c r="AP29" s="27" t="str">
        <f t="shared" si="18"/>
        <v/>
      </c>
      <c r="AQ29" s="27" t="str">
        <f t="shared" si="19"/>
        <v/>
      </c>
      <c r="AR29" s="27" t="str">
        <f t="shared" si="20"/>
        <v/>
      </c>
      <c r="AS29" s="27" t="str">
        <f t="shared" si="21"/>
        <v/>
      </c>
      <c r="AT29" s="27" t="str">
        <f t="shared" si="22"/>
        <v/>
      </c>
      <c r="AU29" s="27" t="str">
        <f t="shared" si="23"/>
        <v/>
      </c>
      <c r="AV29" s="27" t="str">
        <f t="shared" si="24"/>
        <v/>
      </c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20"/>
      <c r="BN29" s="43" t="str">
        <f t="shared" si="25"/>
        <v/>
      </c>
      <c r="BO29" s="43" t="str">
        <f t="shared" si="26"/>
        <v/>
      </c>
      <c r="BP29" s="43" t="str">
        <f t="shared" si="27"/>
        <v/>
      </c>
      <c r="BQ29" s="43" t="str">
        <f t="shared" si="28"/>
        <v/>
      </c>
      <c r="BR29" s="10" t="str">
        <f t="shared" si="29"/>
        <v/>
      </c>
      <c r="BS29" s="10" t="str">
        <f t="shared" si="30"/>
        <v/>
      </c>
      <c r="BT29" s="10" t="str">
        <f t="shared" si="31"/>
        <v/>
      </c>
      <c r="BU29" s="10" t="str">
        <f t="shared" si="32"/>
        <v/>
      </c>
      <c r="BV29" s="10" t="str">
        <f t="shared" si="33"/>
        <v/>
      </c>
      <c r="BW29" s="10" t="str">
        <f t="shared" si="34"/>
        <v/>
      </c>
      <c r="BX29" s="10" t="str">
        <f t="shared" si="35"/>
        <v/>
      </c>
      <c r="BY29" s="10" t="str">
        <f t="shared" si="36"/>
        <v/>
      </c>
      <c r="BZ29" s="10" t="str">
        <f t="shared" si="37"/>
        <v/>
      </c>
      <c r="CA29" s="34" t="str">
        <f t="shared" si="38"/>
        <v/>
      </c>
      <c r="CB29" s="34" t="str">
        <f t="shared" si="39"/>
        <v/>
      </c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27" t="str">
        <f t="shared" si="40"/>
        <v/>
      </c>
      <c r="CX29" s="27" t="str">
        <f t="shared" si="41"/>
        <v/>
      </c>
      <c r="CY29" s="27" t="str">
        <f t="shared" si="42"/>
        <v/>
      </c>
      <c r="CZ29" s="27" t="str">
        <f t="shared" si="43"/>
        <v/>
      </c>
      <c r="DA29" s="27" t="str">
        <f t="shared" si="44"/>
        <v/>
      </c>
      <c r="DB29" s="27" t="str">
        <f t="shared" si="45"/>
        <v/>
      </c>
      <c r="DC29" s="27" t="str">
        <f t="shared" si="46"/>
        <v/>
      </c>
      <c r="DD29" s="27" t="str">
        <f t="shared" si="47"/>
        <v/>
      </c>
      <c r="DE29" s="27" t="str">
        <f t="shared" si="48"/>
        <v/>
      </c>
      <c r="DF29" s="27" t="str">
        <f t="shared" si="49"/>
        <v/>
      </c>
      <c r="DG29" s="27" t="str">
        <f t="shared" si="50"/>
        <v/>
      </c>
      <c r="DH29" s="27" t="str">
        <f t="shared" si="51"/>
        <v/>
      </c>
      <c r="DI29" s="27" t="str">
        <f t="shared" si="52"/>
        <v/>
      </c>
      <c r="DJ29" s="27" t="str">
        <f t="shared" si="53"/>
        <v/>
      </c>
      <c r="DK29" s="27" t="str">
        <f t="shared" si="54"/>
        <v/>
      </c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0" t="str">
        <f t="shared" si="55"/>
        <v/>
      </c>
      <c r="EG29" s="10" t="str">
        <f t="shared" si="56"/>
        <v/>
      </c>
      <c r="EH29" s="10" t="str">
        <f t="shared" si="57"/>
        <v/>
      </c>
      <c r="EI29" s="10" t="str">
        <f t="shared" si="58"/>
        <v/>
      </c>
      <c r="EJ29" s="10" t="str">
        <f t="shared" si="59"/>
        <v/>
      </c>
      <c r="EK29" s="10" t="str">
        <f t="shared" si="60"/>
        <v/>
      </c>
      <c r="EL29" s="10" t="str">
        <f t="shared" si="61"/>
        <v/>
      </c>
      <c r="EM29" s="10" t="str">
        <f t="shared" si="62"/>
        <v/>
      </c>
      <c r="EN29" s="10" t="str">
        <f t="shared" si="63"/>
        <v/>
      </c>
      <c r="EO29" s="10" t="str">
        <f t="shared" si="64"/>
        <v/>
      </c>
      <c r="EP29" s="10" t="str">
        <f t="shared" si="65"/>
        <v/>
      </c>
      <c r="EQ29" s="10" t="str">
        <f t="shared" si="66"/>
        <v/>
      </c>
      <c r="ER29" s="10" t="str">
        <f t="shared" si="67"/>
        <v/>
      </c>
      <c r="ES29" s="10" t="str">
        <f t="shared" si="68"/>
        <v/>
      </c>
      <c r="ET29" s="10" t="str">
        <f t="shared" si="69"/>
        <v/>
      </c>
      <c r="EU29" s="44">
        <f t="shared" si="70"/>
        <v>0</v>
      </c>
      <c r="EV29" s="44">
        <f t="shared" si="71"/>
        <v>0</v>
      </c>
      <c r="EW29" s="44">
        <f t="shared" si="72"/>
        <v>0</v>
      </c>
      <c r="EX29" s="44">
        <f t="shared" si="73"/>
        <v>0</v>
      </c>
      <c r="EY29" s="44">
        <f t="shared" si="74"/>
        <v>0</v>
      </c>
      <c r="EZ29" s="44">
        <f t="shared" si="75"/>
        <v>0</v>
      </c>
      <c r="FA29" s="44">
        <f t="shared" si="76"/>
        <v>0</v>
      </c>
      <c r="FB29" s="44">
        <f t="shared" si="77"/>
        <v>0</v>
      </c>
      <c r="FC29" s="44">
        <f t="shared" si="78"/>
        <v>0</v>
      </c>
      <c r="FD29" s="44">
        <f t="shared" si="79"/>
        <v>0</v>
      </c>
      <c r="FE29" s="44">
        <f t="shared" si="80"/>
        <v>0</v>
      </c>
      <c r="FF29" s="44">
        <f t="shared" si="81"/>
        <v>0</v>
      </c>
      <c r="FG29" s="44">
        <f t="shared" si="82"/>
        <v>0</v>
      </c>
      <c r="FH29" s="44">
        <f t="shared" si="83"/>
        <v>0</v>
      </c>
      <c r="FI29" s="44">
        <f t="shared" si="84"/>
        <v>0</v>
      </c>
      <c r="FJ29" s="44">
        <f t="shared" si="85"/>
        <v>0</v>
      </c>
      <c r="FK29" s="20" t="s">
        <v>29</v>
      </c>
      <c r="FL29" s="10">
        <f t="shared" si="86"/>
        <v>0</v>
      </c>
      <c r="FM29" s="10">
        <f t="shared" si="87"/>
        <v>0</v>
      </c>
      <c r="FN29" s="10">
        <f t="shared" si="88"/>
        <v>0</v>
      </c>
      <c r="FO29" s="10">
        <f t="shared" si="89"/>
        <v>0</v>
      </c>
      <c r="FP29" s="10" t="str">
        <f t="shared" si="90"/>
        <v/>
      </c>
      <c r="FQ29" s="10" t="str">
        <f t="shared" si="93"/>
        <v/>
      </c>
      <c r="FR29" s="10">
        <f t="shared" si="94"/>
        <v>0</v>
      </c>
      <c r="FS29" s="10">
        <f t="shared" si="95"/>
        <v>0</v>
      </c>
      <c r="FT29" s="10">
        <f t="shared" si="96"/>
        <v>0</v>
      </c>
      <c r="FU29" s="10">
        <f t="shared" si="97"/>
        <v>0</v>
      </c>
      <c r="FV29" s="10" t="str">
        <f t="shared" si="98"/>
        <v/>
      </c>
      <c r="FW29" s="10" t="str">
        <f t="shared" si="91"/>
        <v/>
      </c>
      <c r="FX29" s="10" t="str">
        <f t="shared" si="92"/>
        <v/>
      </c>
    </row>
    <row r="30" spans="1:180" x14ac:dyDescent="0.2">
      <c r="A30" s="3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4" t="s">
        <v>94</v>
      </c>
      <c r="C30" s="3" t="s">
        <v>3</v>
      </c>
      <c r="D30" s="3">
        <v>2000</v>
      </c>
      <c r="E30" s="8">
        <f t="shared" si="0"/>
        <v>0</v>
      </c>
      <c r="F30" s="2" t="str">
        <f t="shared" si="1"/>
        <v/>
      </c>
      <c r="G30" s="2" t="str">
        <f t="shared" si="2"/>
        <v/>
      </c>
      <c r="H30" s="26" t="str">
        <f t="shared" si="3"/>
        <v/>
      </c>
      <c r="I30" s="2" t="str">
        <f t="shared" si="4"/>
        <v/>
      </c>
      <c r="J30" s="7">
        <f t="shared" si="5"/>
        <v>0</v>
      </c>
      <c r="K30" s="7" t="str">
        <f t="shared" si="6"/>
        <v/>
      </c>
      <c r="L30" s="7">
        <f>IF(J30=AO30,IF(COUNT(AQ30,AS30,BO30,BQ30,BU30,BW30)&gt;1,LARGE((AQ30,AS30,BO30,BQ30,BU30,BW30),1),0),IF(COUNT(AK30,AM30,AQ30,AS30,BU30,BW30)&gt;1,LARGE((AK30,AM30,AQ30,AS30,BU30,BW30),1),0))</f>
        <v>0</v>
      </c>
      <c r="M30" s="7" t="str">
        <f t="shared" si="7"/>
        <v/>
      </c>
      <c r="N30" s="7">
        <f>IF(J30=AO30,IF(COUNT(AQ30,AS30,BO30,BQ30,BU30,BW30)&gt;1,LARGE((AQ30,AS30,BO30,BQ30,BU30,BW30),2),0),IF(COUNT(AK30,AM30,AQ30,AS30,BU30,BW30)&gt;1,LARGE((AK30,AM30,AQ30,AS30,BU30,BW30),2),0))</f>
        <v>0</v>
      </c>
      <c r="O30" s="7" t="str">
        <f t="shared" si="8"/>
        <v/>
      </c>
      <c r="P30" s="7" t="str">
        <f t="shared" si="9"/>
        <v/>
      </c>
      <c r="Q30" s="10" t="str">
        <f t="shared" si="10"/>
        <v/>
      </c>
      <c r="R30" s="7" t="str">
        <f t="shared" si="11"/>
        <v/>
      </c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19"/>
      <c r="AJ30" s="42" t="str">
        <f t="shared" si="12"/>
        <v/>
      </c>
      <c r="AK30" s="42" t="str">
        <f t="shared" si="13"/>
        <v/>
      </c>
      <c r="AL30" s="42" t="str">
        <f t="shared" si="14"/>
        <v/>
      </c>
      <c r="AM30" s="42" t="str">
        <f t="shared" si="15"/>
        <v/>
      </c>
      <c r="AN30" s="27" t="str">
        <f t="shared" si="16"/>
        <v/>
      </c>
      <c r="AO30" s="27" t="str">
        <f t="shared" si="17"/>
        <v/>
      </c>
      <c r="AP30" s="27" t="str">
        <f t="shared" si="18"/>
        <v/>
      </c>
      <c r="AQ30" s="27" t="str">
        <f t="shared" si="19"/>
        <v/>
      </c>
      <c r="AR30" s="27" t="str">
        <f t="shared" si="20"/>
        <v/>
      </c>
      <c r="AS30" s="27" t="str">
        <f t="shared" si="21"/>
        <v/>
      </c>
      <c r="AT30" s="27" t="str">
        <f t="shared" si="22"/>
        <v/>
      </c>
      <c r="AU30" s="27" t="str">
        <f t="shared" si="23"/>
        <v/>
      </c>
      <c r="AV30" s="27" t="str">
        <f t="shared" si="24"/>
        <v/>
      </c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20"/>
      <c r="BN30" s="43" t="str">
        <f t="shared" si="25"/>
        <v/>
      </c>
      <c r="BO30" s="43" t="str">
        <f t="shared" si="26"/>
        <v/>
      </c>
      <c r="BP30" s="43" t="str">
        <f t="shared" si="27"/>
        <v/>
      </c>
      <c r="BQ30" s="43" t="str">
        <f t="shared" si="28"/>
        <v/>
      </c>
      <c r="BR30" s="10" t="str">
        <f t="shared" si="29"/>
        <v/>
      </c>
      <c r="BS30" s="10" t="str">
        <f t="shared" si="30"/>
        <v/>
      </c>
      <c r="BT30" s="10" t="str">
        <f t="shared" si="31"/>
        <v/>
      </c>
      <c r="BU30" s="10" t="str">
        <f t="shared" si="32"/>
        <v/>
      </c>
      <c r="BV30" s="10" t="str">
        <f t="shared" si="33"/>
        <v/>
      </c>
      <c r="BW30" s="10" t="str">
        <f t="shared" si="34"/>
        <v/>
      </c>
      <c r="BX30" s="10" t="str">
        <f t="shared" si="35"/>
        <v/>
      </c>
      <c r="BY30" s="10" t="str">
        <f t="shared" si="36"/>
        <v/>
      </c>
      <c r="BZ30" s="10" t="str">
        <f t="shared" si="37"/>
        <v/>
      </c>
      <c r="CA30" s="34" t="str">
        <f t="shared" si="38"/>
        <v/>
      </c>
      <c r="CB30" s="34" t="str">
        <f t="shared" si="39"/>
        <v/>
      </c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27" t="str">
        <f t="shared" si="40"/>
        <v/>
      </c>
      <c r="CX30" s="27" t="str">
        <f t="shared" si="41"/>
        <v/>
      </c>
      <c r="CY30" s="27" t="str">
        <f t="shared" si="42"/>
        <v/>
      </c>
      <c r="CZ30" s="27" t="str">
        <f t="shared" si="43"/>
        <v/>
      </c>
      <c r="DA30" s="27" t="str">
        <f t="shared" si="44"/>
        <v/>
      </c>
      <c r="DB30" s="27" t="str">
        <f t="shared" si="45"/>
        <v/>
      </c>
      <c r="DC30" s="27" t="str">
        <f t="shared" si="46"/>
        <v/>
      </c>
      <c r="DD30" s="27" t="str">
        <f t="shared" si="47"/>
        <v/>
      </c>
      <c r="DE30" s="27" t="str">
        <f t="shared" si="48"/>
        <v/>
      </c>
      <c r="DF30" s="27" t="str">
        <f t="shared" si="49"/>
        <v/>
      </c>
      <c r="DG30" s="27" t="str">
        <f t="shared" si="50"/>
        <v/>
      </c>
      <c r="DH30" s="27" t="str">
        <f t="shared" si="51"/>
        <v/>
      </c>
      <c r="DI30" s="27" t="str">
        <f t="shared" si="52"/>
        <v/>
      </c>
      <c r="DJ30" s="27" t="str">
        <f t="shared" si="53"/>
        <v/>
      </c>
      <c r="DK30" s="27" t="str">
        <f t="shared" si="54"/>
        <v/>
      </c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0" t="str">
        <f t="shared" si="55"/>
        <v/>
      </c>
      <c r="EG30" s="10" t="str">
        <f t="shared" si="56"/>
        <v/>
      </c>
      <c r="EH30" s="10" t="str">
        <f t="shared" si="57"/>
        <v/>
      </c>
      <c r="EI30" s="10" t="str">
        <f t="shared" si="58"/>
        <v/>
      </c>
      <c r="EJ30" s="10" t="str">
        <f t="shared" si="59"/>
        <v/>
      </c>
      <c r="EK30" s="10" t="str">
        <f t="shared" si="60"/>
        <v/>
      </c>
      <c r="EL30" s="10" t="str">
        <f t="shared" si="61"/>
        <v/>
      </c>
      <c r="EM30" s="10" t="str">
        <f t="shared" si="62"/>
        <v/>
      </c>
      <c r="EN30" s="10" t="str">
        <f t="shared" si="63"/>
        <v/>
      </c>
      <c r="EO30" s="10" t="str">
        <f t="shared" si="64"/>
        <v/>
      </c>
      <c r="EP30" s="10" t="str">
        <f t="shared" si="65"/>
        <v/>
      </c>
      <c r="EQ30" s="10" t="str">
        <f t="shared" si="66"/>
        <v/>
      </c>
      <c r="ER30" s="10" t="str">
        <f t="shared" si="67"/>
        <v/>
      </c>
      <c r="ES30" s="10" t="str">
        <f t="shared" si="68"/>
        <v/>
      </c>
      <c r="ET30" s="10" t="str">
        <f t="shared" si="69"/>
        <v/>
      </c>
      <c r="EU30" s="44">
        <f t="shared" si="70"/>
        <v>0</v>
      </c>
      <c r="EV30" s="44">
        <f t="shared" si="71"/>
        <v>0</v>
      </c>
      <c r="EW30" s="44">
        <f t="shared" si="72"/>
        <v>0</v>
      </c>
      <c r="EX30" s="44">
        <f t="shared" si="73"/>
        <v>0</v>
      </c>
      <c r="EY30" s="44">
        <f t="shared" si="74"/>
        <v>0</v>
      </c>
      <c r="EZ30" s="44">
        <f t="shared" si="75"/>
        <v>0</v>
      </c>
      <c r="FA30" s="44">
        <f t="shared" si="76"/>
        <v>0</v>
      </c>
      <c r="FB30" s="44">
        <f t="shared" si="77"/>
        <v>0</v>
      </c>
      <c r="FC30" s="44">
        <f t="shared" si="78"/>
        <v>0</v>
      </c>
      <c r="FD30" s="44">
        <f t="shared" si="79"/>
        <v>0</v>
      </c>
      <c r="FE30" s="44">
        <f t="shared" si="80"/>
        <v>0</v>
      </c>
      <c r="FF30" s="44">
        <f t="shared" si="81"/>
        <v>0</v>
      </c>
      <c r="FG30" s="44">
        <f t="shared" si="82"/>
        <v>0</v>
      </c>
      <c r="FH30" s="44">
        <f t="shared" si="83"/>
        <v>0</v>
      </c>
      <c r="FI30" s="44">
        <f t="shared" si="84"/>
        <v>0</v>
      </c>
      <c r="FJ30" s="44">
        <f t="shared" si="85"/>
        <v>0</v>
      </c>
      <c r="FK30" s="20" t="s">
        <v>29</v>
      </c>
      <c r="FL30" s="10">
        <f t="shared" si="86"/>
        <v>0</v>
      </c>
      <c r="FM30" s="10">
        <f t="shared" si="87"/>
        <v>0</v>
      </c>
      <c r="FN30" s="10">
        <f t="shared" si="88"/>
        <v>0</v>
      </c>
      <c r="FO30" s="10">
        <f t="shared" si="89"/>
        <v>0</v>
      </c>
      <c r="FP30" s="10" t="str">
        <f t="shared" si="90"/>
        <v/>
      </c>
      <c r="FQ30" s="10" t="str">
        <f t="shared" si="93"/>
        <v/>
      </c>
      <c r="FR30" s="10">
        <f t="shared" si="94"/>
        <v>0</v>
      </c>
      <c r="FS30" s="10">
        <f t="shared" si="95"/>
        <v>0</v>
      </c>
      <c r="FT30" s="10">
        <f t="shared" si="96"/>
        <v>0</v>
      </c>
      <c r="FU30" s="10">
        <f t="shared" si="97"/>
        <v>0</v>
      </c>
      <c r="FV30" s="10" t="str">
        <f t="shared" si="98"/>
        <v/>
      </c>
      <c r="FW30" s="10" t="str">
        <f t="shared" si="91"/>
        <v/>
      </c>
      <c r="FX30" s="10" t="str">
        <f t="shared" si="92"/>
        <v/>
      </c>
    </row>
    <row r="31" spans="1:180" x14ac:dyDescent="0.2">
      <c r="A31" s="3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4" t="s">
        <v>59</v>
      </c>
      <c r="C31" s="3" t="s">
        <v>5</v>
      </c>
      <c r="D31" s="3">
        <v>2004</v>
      </c>
      <c r="E31" s="8">
        <f t="shared" si="0"/>
        <v>0</v>
      </c>
      <c r="F31" s="2" t="str">
        <f t="shared" si="1"/>
        <v/>
      </c>
      <c r="G31" s="2" t="str">
        <f t="shared" si="2"/>
        <v/>
      </c>
      <c r="H31" s="26" t="str">
        <f t="shared" si="3"/>
        <v/>
      </c>
      <c r="I31" s="2" t="str">
        <f t="shared" si="4"/>
        <v/>
      </c>
      <c r="J31" s="7">
        <f t="shared" si="5"/>
        <v>0</v>
      </c>
      <c r="K31" s="7" t="str">
        <f t="shared" si="6"/>
        <v/>
      </c>
      <c r="L31" s="7">
        <f>IF(J31=AO31,IF(COUNT(AQ31,AS31,BO31,BQ31,BU31,BW31)&gt;1,LARGE((AQ31,AS31,BO31,BQ31,BU31,BW31),1),0),IF(COUNT(AK31,AM31,AQ31,AS31,BU31,BW31)&gt;1,LARGE((AK31,AM31,AQ31,AS31,BU31,BW31),1),0))</f>
        <v>0</v>
      </c>
      <c r="M31" s="7" t="str">
        <f t="shared" si="7"/>
        <v/>
      </c>
      <c r="N31" s="7">
        <f>IF(J31=AO31,IF(COUNT(AQ31,AS31,BO31,BQ31,BU31,BW31)&gt;1,LARGE((AQ31,AS31,BO31,BQ31,BU31,BW31),2),0),IF(COUNT(AK31,AM31,AQ31,AS31,BU31,BW31)&gt;1,LARGE((AK31,AM31,AQ31,AS31,BU31,BW31),2),0))</f>
        <v>0</v>
      </c>
      <c r="O31" s="7" t="str">
        <f t="shared" si="8"/>
        <v/>
      </c>
      <c r="P31" s="7" t="str">
        <f t="shared" si="9"/>
        <v/>
      </c>
      <c r="Q31" s="10" t="str">
        <f t="shared" si="10"/>
        <v/>
      </c>
      <c r="R31" s="7" t="str">
        <f t="shared" si="11"/>
        <v/>
      </c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19"/>
      <c r="AJ31" s="42" t="str">
        <f t="shared" si="12"/>
        <v/>
      </c>
      <c r="AK31" s="42" t="str">
        <f t="shared" si="13"/>
        <v/>
      </c>
      <c r="AL31" s="42" t="str">
        <f t="shared" si="14"/>
        <v/>
      </c>
      <c r="AM31" s="42" t="str">
        <f t="shared" si="15"/>
        <v/>
      </c>
      <c r="AN31" s="27" t="str">
        <f t="shared" si="16"/>
        <v/>
      </c>
      <c r="AO31" s="27" t="str">
        <f t="shared" si="17"/>
        <v/>
      </c>
      <c r="AP31" s="27" t="str">
        <f t="shared" si="18"/>
        <v/>
      </c>
      <c r="AQ31" s="27" t="str">
        <f t="shared" si="19"/>
        <v/>
      </c>
      <c r="AR31" s="27" t="str">
        <f t="shared" si="20"/>
        <v/>
      </c>
      <c r="AS31" s="27" t="str">
        <f t="shared" si="21"/>
        <v/>
      </c>
      <c r="AT31" s="27" t="str">
        <f t="shared" si="22"/>
        <v/>
      </c>
      <c r="AU31" s="27" t="str">
        <f t="shared" si="23"/>
        <v/>
      </c>
      <c r="AV31" s="27" t="str">
        <f t="shared" si="24"/>
        <v/>
      </c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20"/>
      <c r="BN31" s="43" t="str">
        <f t="shared" si="25"/>
        <v/>
      </c>
      <c r="BO31" s="43" t="str">
        <f t="shared" si="26"/>
        <v/>
      </c>
      <c r="BP31" s="43" t="str">
        <f t="shared" si="27"/>
        <v/>
      </c>
      <c r="BQ31" s="43" t="str">
        <f t="shared" si="28"/>
        <v/>
      </c>
      <c r="BR31" s="10" t="str">
        <f t="shared" si="29"/>
        <v/>
      </c>
      <c r="BS31" s="10" t="str">
        <f t="shared" si="30"/>
        <v/>
      </c>
      <c r="BT31" s="10" t="str">
        <f t="shared" si="31"/>
        <v/>
      </c>
      <c r="BU31" s="10" t="str">
        <f t="shared" si="32"/>
        <v/>
      </c>
      <c r="BV31" s="10" t="str">
        <f t="shared" si="33"/>
        <v/>
      </c>
      <c r="BW31" s="10" t="str">
        <f t="shared" si="34"/>
        <v/>
      </c>
      <c r="BX31" s="10" t="str">
        <f t="shared" si="35"/>
        <v/>
      </c>
      <c r="BY31" s="10" t="str">
        <f t="shared" si="36"/>
        <v/>
      </c>
      <c r="BZ31" s="10" t="str">
        <f t="shared" si="37"/>
        <v/>
      </c>
      <c r="CA31" s="34" t="str">
        <f t="shared" si="38"/>
        <v/>
      </c>
      <c r="CB31" s="34" t="str">
        <f t="shared" si="39"/>
        <v/>
      </c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27" t="str">
        <f t="shared" si="40"/>
        <v/>
      </c>
      <c r="CX31" s="27" t="str">
        <f t="shared" si="41"/>
        <v/>
      </c>
      <c r="CY31" s="27" t="str">
        <f t="shared" si="42"/>
        <v/>
      </c>
      <c r="CZ31" s="27" t="str">
        <f t="shared" si="43"/>
        <v/>
      </c>
      <c r="DA31" s="27" t="str">
        <f t="shared" si="44"/>
        <v/>
      </c>
      <c r="DB31" s="27" t="str">
        <f t="shared" si="45"/>
        <v/>
      </c>
      <c r="DC31" s="27" t="str">
        <f t="shared" si="46"/>
        <v/>
      </c>
      <c r="DD31" s="27" t="str">
        <f t="shared" si="47"/>
        <v/>
      </c>
      <c r="DE31" s="27" t="str">
        <f t="shared" si="48"/>
        <v/>
      </c>
      <c r="DF31" s="27" t="str">
        <f t="shared" si="49"/>
        <v/>
      </c>
      <c r="DG31" s="27" t="str">
        <f t="shared" si="50"/>
        <v/>
      </c>
      <c r="DH31" s="27" t="str">
        <f t="shared" si="51"/>
        <v/>
      </c>
      <c r="DI31" s="27" t="str">
        <f t="shared" si="52"/>
        <v/>
      </c>
      <c r="DJ31" s="27" t="str">
        <f t="shared" si="53"/>
        <v/>
      </c>
      <c r="DK31" s="27" t="str">
        <f t="shared" si="54"/>
        <v/>
      </c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0" t="str">
        <f t="shared" si="55"/>
        <v/>
      </c>
      <c r="EG31" s="10" t="str">
        <f t="shared" si="56"/>
        <v/>
      </c>
      <c r="EH31" s="10" t="str">
        <f t="shared" si="57"/>
        <v/>
      </c>
      <c r="EI31" s="10" t="str">
        <f t="shared" si="58"/>
        <v/>
      </c>
      <c r="EJ31" s="10" t="str">
        <f t="shared" si="59"/>
        <v/>
      </c>
      <c r="EK31" s="10" t="str">
        <f t="shared" si="60"/>
        <v/>
      </c>
      <c r="EL31" s="10" t="str">
        <f t="shared" si="61"/>
        <v/>
      </c>
      <c r="EM31" s="10" t="str">
        <f t="shared" si="62"/>
        <v/>
      </c>
      <c r="EN31" s="10" t="str">
        <f t="shared" si="63"/>
        <v/>
      </c>
      <c r="EO31" s="10" t="str">
        <f t="shared" si="64"/>
        <v/>
      </c>
      <c r="EP31" s="10" t="str">
        <f t="shared" si="65"/>
        <v/>
      </c>
      <c r="EQ31" s="10" t="str">
        <f t="shared" si="66"/>
        <v/>
      </c>
      <c r="ER31" s="10" t="str">
        <f t="shared" si="67"/>
        <v/>
      </c>
      <c r="ES31" s="10" t="str">
        <f t="shared" si="68"/>
        <v/>
      </c>
      <c r="ET31" s="10" t="str">
        <f t="shared" si="69"/>
        <v/>
      </c>
      <c r="EU31" s="44">
        <f t="shared" si="70"/>
        <v>0</v>
      </c>
      <c r="EV31" s="44">
        <f t="shared" si="71"/>
        <v>0</v>
      </c>
      <c r="EW31" s="44">
        <f t="shared" si="72"/>
        <v>0</v>
      </c>
      <c r="EX31" s="44">
        <f t="shared" si="73"/>
        <v>0</v>
      </c>
      <c r="EY31" s="44">
        <f t="shared" si="74"/>
        <v>0</v>
      </c>
      <c r="EZ31" s="44">
        <f t="shared" si="75"/>
        <v>0</v>
      </c>
      <c r="FA31" s="44">
        <f t="shared" si="76"/>
        <v>0</v>
      </c>
      <c r="FB31" s="44">
        <f t="shared" si="77"/>
        <v>0</v>
      </c>
      <c r="FC31" s="44">
        <f t="shared" si="78"/>
        <v>0</v>
      </c>
      <c r="FD31" s="44">
        <f t="shared" si="79"/>
        <v>0</v>
      </c>
      <c r="FE31" s="44">
        <f t="shared" si="80"/>
        <v>0</v>
      </c>
      <c r="FF31" s="44">
        <f t="shared" si="81"/>
        <v>0</v>
      </c>
      <c r="FG31" s="44">
        <f t="shared" si="82"/>
        <v>0</v>
      </c>
      <c r="FH31" s="44">
        <f t="shared" si="83"/>
        <v>0</v>
      </c>
      <c r="FI31" s="44">
        <f t="shared" si="84"/>
        <v>0</v>
      </c>
      <c r="FJ31" s="44">
        <f t="shared" si="85"/>
        <v>0</v>
      </c>
      <c r="FK31" s="20" t="s">
        <v>29</v>
      </c>
      <c r="FL31" s="10">
        <f t="shared" si="86"/>
        <v>0</v>
      </c>
      <c r="FM31" s="10">
        <f t="shared" si="87"/>
        <v>0</v>
      </c>
      <c r="FN31" s="10">
        <f t="shared" si="88"/>
        <v>0</v>
      </c>
      <c r="FO31" s="10">
        <f t="shared" si="89"/>
        <v>0</v>
      </c>
      <c r="FP31" s="10" t="str">
        <f t="shared" si="90"/>
        <v/>
      </c>
      <c r="FQ31" s="10" t="str">
        <f t="shared" si="93"/>
        <v/>
      </c>
      <c r="FR31" s="10">
        <f t="shared" si="94"/>
        <v>0</v>
      </c>
      <c r="FS31" s="10">
        <f t="shared" si="95"/>
        <v>0</v>
      </c>
      <c r="FT31" s="10">
        <f t="shared" si="96"/>
        <v>0</v>
      </c>
      <c r="FU31" s="10">
        <f t="shared" si="97"/>
        <v>0</v>
      </c>
      <c r="FV31" s="10" t="str">
        <f t="shared" si="98"/>
        <v/>
      </c>
      <c r="FW31" s="10" t="str">
        <f t="shared" si="91"/>
        <v/>
      </c>
      <c r="FX31" s="10" t="str">
        <f t="shared" si="92"/>
        <v/>
      </c>
    </row>
    <row r="32" spans="1:180" ht="17" x14ac:dyDescent="0.2">
      <c r="P32" s="9"/>
      <c r="Q32" s="9"/>
      <c r="R32" s="9"/>
    </row>
    <row r="33" spans="1:150" ht="17" x14ac:dyDescent="0.2">
      <c r="P33" s="9"/>
      <c r="Q33" s="9"/>
      <c r="R33" s="9"/>
    </row>
    <row r="34" spans="1:150" ht="17" x14ac:dyDescent="0.2">
      <c r="B34" s="17" t="s">
        <v>27</v>
      </c>
      <c r="P34" s="9"/>
      <c r="Q34" s="9"/>
      <c r="R34" s="9"/>
      <c r="AV34" s="28">
        <v>15.6</v>
      </c>
      <c r="BZ34" s="28">
        <v>15.6</v>
      </c>
      <c r="CW34" s="3"/>
      <c r="CX34" s="3"/>
      <c r="CY34" s="3"/>
      <c r="CZ34" s="3"/>
      <c r="DA34" s="3"/>
      <c r="DK34" s="28">
        <v>15.6</v>
      </c>
      <c r="EF34" s="3"/>
      <c r="EG34" s="3"/>
      <c r="EH34" s="3"/>
      <c r="EI34" s="3"/>
      <c r="EJ34" s="3"/>
      <c r="EK34" s="3"/>
      <c r="EL34" s="3"/>
      <c r="ET34" s="28">
        <v>15.6</v>
      </c>
    </row>
    <row r="35" spans="1:150" ht="17" x14ac:dyDescent="0.2">
      <c r="B35" s="22" t="s">
        <v>26</v>
      </c>
      <c r="P35" s="9"/>
      <c r="Q35" s="9"/>
      <c r="R35" s="9"/>
      <c r="AV35" s="40">
        <v>16</v>
      </c>
      <c r="BZ35" s="40">
        <v>16</v>
      </c>
      <c r="CW35" s="3"/>
      <c r="CX35" s="3"/>
      <c r="CY35" s="3"/>
      <c r="CZ35" s="3"/>
      <c r="DA35" s="3"/>
      <c r="DK35" s="40">
        <v>16</v>
      </c>
      <c r="EF35" s="3"/>
      <c r="EG35" s="3"/>
      <c r="EH35" s="3"/>
      <c r="EI35" s="3"/>
      <c r="EJ35" s="3"/>
      <c r="EK35" s="3"/>
      <c r="EL35" s="3"/>
      <c r="ET35" s="40">
        <v>16</v>
      </c>
    </row>
    <row r="36" spans="1:150" ht="17" x14ac:dyDescent="0.2">
      <c r="A36" s="4"/>
      <c r="B36" s="23" t="s">
        <v>125</v>
      </c>
      <c r="C36" s="16"/>
      <c r="P36" s="9"/>
      <c r="Q36" s="9"/>
      <c r="R36" s="9"/>
      <c r="AV36" s="29">
        <v>17.2</v>
      </c>
      <c r="BZ36" s="29">
        <v>17.2</v>
      </c>
      <c r="CW36" s="3"/>
      <c r="CX36" s="3"/>
      <c r="CY36" s="3"/>
      <c r="CZ36" s="3"/>
      <c r="DA36" s="3"/>
      <c r="DK36" s="29">
        <v>17.2</v>
      </c>
      <c r="EF36" s="3"/>
      <c r="EG36" s="3"/>
      <c r="EH36" s="3"/>
      <c r="EI36" s="3"/>
      <c r="EJ36" s="3"/>
      <c r="EK36" s="3"/>
      <c r="EL36" s="3"/>
      <c r="ET36" s="29">
        <v>17.2</v>
      </c>
    </row>
    <row r="37" spans="1:150" ht="17" x14ac:dyDescent="0.2">
      <c r="A37" s="4"/>
      <c r="B37" s="25" t="s">
        <v>24</v>
      </c>
      <c r="C37" s="16"/>
      <c r="P37" s="9"/>
      <c r="Q37" s="9"/>
      <c r="R37" s="9"/>
      <c r="AV37" s="30">
        <v>52</v>
      </c>
      <c r="BZ37" s="30">
        <v>52</v>
      </c>
      <c r="CW37" s="3"/>
      <c r="CX37" s="3"/>
      <c r="CY37" s="3"/>
      <c r="CZ37" s="3"/>
      <c r="DA37" s="3"/>
      <c r="DK37" s="30">
        <v>52</v>
      </c>
      <c r="EF37" s="3"/>
      <c r="EG37" s="3"/>
      <c r="EH37" s="3"/>
      <c r="EI37" s="3"/>
      <c r="EJ37" s="3"/>
      <c r="EK37" s="3"/>
      <c r="EL37" s="3"/>
      <c r="ET37" s="30">
        <v>52</v>
      </c>
    </row>
    <row r="38" spans="1:150" ht="17" x14ac:dyDescent="0.2">
      <c r="A38" s="4"/>
      <c r="B38" s="18" t="s">
        <v>25</v>
      </c>
      <c r="C38" s="16"/>
      <c r="P38" s="9"/>
      <c r="Q38" s="9"/>
      <c r="R38" s="9"/>
      <c r="AV38" s="31">
        <v>53</v>
      </c>
      <c r="BZ38" s="31">
        <v>53</v>
      </c>
      <c r="CW38" s="3"/>
      <c r="CX38" s="3"/>
      <c r="CY38" s="3"/>
      <c r="CZ38" s="3"/>
      <c r="DA38" s="3"/>
      <c r="DK38" s="31">
        <v>53</v>
      </c>
      <c r="EF38" s="3"/>
      <c r="EG38" s="3"/>
      <c r="EH38" s="3"/>
      <c r="EI38" s="3"/>
      <c r="EJ38" s="3"/>
      <c r="EK38" s="3"/>
      <c r="EL38" s="3"/>
      <c r="ET38" s="31">
        <v>53</v>
      </c>
    </row>
    <row r="39" spans="1:150" ht="17" x14ac:dyDescent="0.2">
      <c r="A39" s="4"/>
      <c r="B39" s="24" t="s">
        <v>124</v>
      </c>
      <c r="C39" s="16"/>
      <c r="P39" s="9"/>
      <c r="Q39" s="9"/>
      <c r="R39" s="9"/>
      <c r="AV39" s="32">
        <v>54.2</v>
      </c>
      <c r="BZ39" s="32">
        <v>54.2</v>
      </c>
      <c r="CW39" s="3"/>
      <c r="CX39" s="3"/>
      <c r="CY39" s="3"/>
      <c r="CZ39" s="3"/>
      <c r="DA39" s="3"/>
      <c r="DK39" s="32">
        <v>54.2</v>
      </c>
      <c r="EF39" s="3"/>
      <c r="EG39" s="3"/>
      <c r="EH39" s="3"/>
      <c r="EI39" s="3"/>
      <c r="EJ39" s="3"/>
      <c r="EK39" s="3"/>
      <c r="EL39" s="3"/>
      <c r="ET39" s="32">
        <v>54.2</v>
      </c>
    </row>
    <row r="40" spans="1:150" x14ac:dyDescent="0.2">
      <c r="B40" s="21" t="s">
        <v>30</v>
      </c>
      <c r="C40" s="1"/>
    </row>
    <row r="41" spans="1:150" x14ac:dyDescent="0.2">
      <c r="A41" s="4"/>
      <c r="B41" s="4"/>
      <c r="C41" s="16"/>
    </row>
    <row r="42" spans="1:150" x14ac:dyDescent="0.2">
      <c r="A42" s="4"/>
      <c r="B42" s="4"/>
      <c r="C42" s="16"/>
    </row>
    <row r="43" spans="1:150" x14ac:dyDescent="0.2">
      <c r="A43" s="4"/>
      <c r="B43" s="4"/>
      <c r="C43" s="16"/>
    </row>
    <row r="44" spans="1:150" x14ac:dyDescent="0.2">
      <c r="A44" s="4"/>
      <c r="B44" s="4"/>
      <c r="C44" s="4"/>
    </row>
    <row r="47" spans="1:150" x14ac:dyDescent="0.2">
      <c r="B47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31">
      <sortCondition descending="1" ref="F1:F32"/>
    </sortState>
  </autoFilter>
  <mergeCells count="46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DL1:ET1"/>
    <mergeCell ref="M1:M3"/>
    <mergeCell ref="N1:N3"/>
    <mergeCell ref="O1:O3"/>
    <mergeCell ref="P1:P3"/>
    <mergeCell ref="Q1:Q3"/>
    <mergeCell ref="R1:R3"/>
    <mergeCell ref="DT2:DW2"/>
    <mergeCell ref="CC2:CF2"/>
    <mergeCell ref="CG2:CJ2"/>
    <mergeCell ref="DL2:DO2"/>
    <mergeCell ref="DP2:DS2"/>
    <mergeCell ref="EU1:FP1"/>
    <mergeCell ref="S2:V2"/>
    <mergeCell ref="W2:Z2"/>
    <mergeCell ref="AA2:AD2"/>
    <mergeCell ref="AE2:AH2"/>
    <mergeCell ref="AW2:AZ2"/>
    <mergeCell ref="BA2:BD2"/>
    <mergeCell ref="BE2:BH2"/>
    <mergeCell ref="BI2:BL2"/>
    <mergeCell ref="S1:AV1"/>
    <mergeCell ref="AW1:BZ1"/>
    <mergeCell ref="CA1:CB1"/>
    <mergeCell ref="CC1:DK1"/>
    <mergeCell ref="CK2:CN2"/>
    <mergeCell ref="CO2:CR2"/>
    <mergeCell ref="CS2:CV2"/>
    <mergeCell ref="EU2:EX2"/>
    <mergeCell ref="EY2:FB2"/>
    <mergeCell ref="FC2:FF2"/>
    <mergeCell ref="FG2:FJ2"/>
    <mergeCell ref="DX2:EA2"/>
    <mergeCell ref="EB2:EE2"/>
  </mergeCells>
  <conditionalFormatting sqref="A4:A1048576">
    <cfRule type="expression" dxfId="263" priority="34" stopIfTrue="1">
      <formula>IF(A4&gt;8,1,0)</formula>
    </cfRule>
    <cfRule type="expression" dxfId="262" priority="35" stopIfTrue="1">
      <formula>AND(G4="P",F4="")</formula>
    </cfRule>
  </conditionalFormatting>
  <conditionalFormatting sqref="H1:H1048576">
    <cfRule type="containsText" dxfId="261" priority="36" stopIfTrue="1" operator="containsText" text="National Team">
      <formula>NOT(ISERROR(SEARCH("National Team",H1)))</formula>
    </cfRule>
    <cfRule type="containsText" dxfId="260" priority="37" stopIfTrue="1" operator="containsText" text="Worlds Team">
      <formula>NOT(ISERROR(SEARCH("Worlds Team",H1)))</formula>
    </cfRule>
    <cfRule type="containsText" dxfId="259" priority="38" operator="containsText" text="Performance">
      <formula>NOT(ISERROR(SEARCH("Performance",H1)))</formula>
    </cfRule>
    <cfRule type="containsText" dxfId="258" priority="64" stopIfTrue="1" operator="containsText" text="No DD">
      <formula>NOT(ISERROR(SEARCH("No DD",H1)))</formula>
    </cfRule>
  </conditionalFormatting>
  <conditionalFormatting sqref="S4:AV31">
    <cfRule type="expression" dxfId="257" priority="65" stopIfTrue="1">
      <formula>IF($AI4&lt;&gt;"",1,0)</formula>
    </cfRule>
  </conditionalFormatting>
  <conditionalFormatting sqref="AW4:BZ31">
    <cfRule type="expression" dxfId="256" priority="69" stopIfTrue="1">
      <formula>IF($BM4&lt;&gt;"",1,0)</formula>
    </cfRule>
  </conditionalFormatting>
  <conditionalFormatting sqref="M1:M1048576 O1:O1048576 K1:K1048576">
    <cfRule type="expression" dxfId="255" priority="176055" stopIfTrue="1">
      <formula>IF(K1=$AW$1,1,0)</formula>
    </cfRule>
    <cfRule type="expression" dxfId="254" priority="176056" stopIfTrue="1">
      <formula>IF(K1=$S$1,1,0)</formula>
    </cfRule>
  </conditionalFormatting>
  <conditionalFormatting sqref="AJ1:AJ1048576 BN1:BN1048576">
    <cfRule type="cellIs" dxfId="253" priority="176041" stopIfTrue="1" operator="between">
      <formula>AV$36-0.00001</formula>
      <formula>1000</formula>
    </cfRule>
  </conditionalFormatting>
  <conditionalFormatting sqref="AN1:AN1048576 BR1:BR1048576">
    <cfRule type="cellIs" dxfId="252" priority="70" operator="between">
      <formula>AV$34-0.00001</formula>
      <formula>AV$35-0.00001</formula>
    </cfRule>
    <cfRule type="cellIs" dxfId="251" priority="176040" operator="between">
      <formula>AV$35-0.00001</formula>
      <formula>1000</formula>
    </cfRule>
  </conditionalFormatting>
  <conditionalFormatting sqref="AT1:AT1048576 BX1:BX1048576">
    <cfRule type="cellIs" dxfId="250" priority="28" operator="between">
      <formula>AV$35-0.00001</formula>
      <formula>1000</formula>
    </cfRule>
    <cfRule type="cellIs" dxfId="249" priority="29" stopIfTrue="1" operator="between">
      <formula>AV$34-0.00001</formula>
      <formula>AV$35-0.00001</formula>
    </cfRule>
  </conditionalFormatting>
  <conditionalFormatting sqref="AL1:AL1048576 BP1:BP1048576">
    <cfRule type="cellIs" dxfId="248" priority="25" operator="between">
      <formula>AV$36-0.00001</formula>
      <formula>1000</formula>
    </cfRule>
  </conditionalFormatting>
  <conditionalFormatting sqref="AP1:AP1048576 BT1:BT1048576">
    <cfRule type="cellIs" dxfId="247" priority="24" operator="between">
      <formula>AV$36-0.00001</formula>
      <formula>1000</formula>
    </cfRule>
  </conditionalFormatting>
  <conditionalFormatting sqref="AR1:AR1048576 BV1:BV1048576">
    <cfRule type="cellIs" dxfId="246" priority="23" operator="between">
      <formula>AV$36-0.00001</formula>
      <formula>1000</formula>
    </cfRule>
  </conditionalFormatting>
  <conditionalFormatting sqref="AK1:AK1048576 BO1:BO1048576">
    <cfRule type="cellIs" dxfId="245" priority="176214" operator="between">
      <formula>AV$39-0.00001</formula>
      <formula>1000</formula>
    </cfRule>
  </conditionalFormatting>
  <conditionalFormatting sqref="AO1:AO1048576 BS1:BS1048576">
    <cfRule type="cellIs" dxfId="244" priority="176232" operator="between">
      <formula>AV$37-0.00001</formula>
      <formula>AV$38-0.00001</formula>
    </cfRule>
    <cfRule type="cellIs" dxfId="243" priority="176233" operator="between">
      <formula>AV$38-0.00001</formula>
      <formula>1000</formula>
    </cfRule>
  </conditionalFormatting>
  <conditionalFormatting sqref="AU1:AU1048576 BY1:BY1048576">
    <cfRule type="cellIs" dxfId="242" priority="176256" stopIfTrue="1" operator="between">
      <formula>AV$38-0.00001</formula>
      <formula>1000</formula>
    </cfRule>
    <cfRule type="cellIs" dxfId="241" priority="176257" operator="between">
      <formula>AV$37-0.00001</formula>
      <formula>AV$38-0.00001</formula>
    </cfRule>
  </conditionalFormatting>
  <conditionalFormatting sqref="AM1:AM1048576 BQ1:BQ1048576">
    <cfRule type="cellIs" dxfId="240" priority="19" stopIfTrue="1" operator="between">
      <formula>AV$39-0.00001</formula>
      <formula>1000</formula>
    </cfRule>
    <cfRule type="cellIs" dxfId="239" priority="176286" operator="between">
      <formula>AT$39-0.00001</formula>
      <formula>#REF!-0.00001</formula>
    </cfRule>
  </conditionalFormatting>
  <conditionalFormatting sqref="AQ1:AQ1048576 BU1:BU1048576">
    <cfRule type="cellIs" dxfId="238" priority="20" stopIfTrue="1" operator="between">
      <formula>AV$39-0.00001</formula>
      <formula>1000</formula>
    </cfRule>
  </conditionalFormatting>
  <conditionalFormatting sqref="AS1:AS1048576 BW1:BW1048576">
    <cfRule type="cellIs" dxfId="237" priority="21" stopIfTrue="1" operator="between">
      <formula>AV$39-0.00001</formula>
      <formula>1000</formula>
    </cfRule>
  </conditionalFormatting>
  <conditionalFormatting sqref="CW1:CW1048576 EF1:EF1048576">
    <cfRule type="cellIs" dxfId="236" priority="12" operator="between">
      <formula>DK$36-0.00001</formula>
      <formula>1000</formula>
    </cfRule>
  </conditionalFormatting>
  <conditionalFormatting sqref="CX1:CX1048576 EG1:EG1048576">
    <cfRule type="cellIs" dxfId="235" priority="17" operator="between">
      <formula>DK$39-0.00001</formula>
      <formula>1000</formula>
    </cfRule>
  </conditionalFormatting>
  <conditionalFormatting sqref="DA1:DA1048576 EJ1:EJ1048576">
    <cfRule type="cellIs" dxfId="234" priority="3" stopIfTrue="1" operator="between">
      <formula>DK$34-0.00001</formula>
      <formula>DK$35-0.00001</formula>
    </cfRule>
    <cfRule type="cellIs" dxfId="233" priority="16" operator="between">
      <formula>DK$35-0.00001</formula>
      <formula>1000</formula>
    </cfRule>
  </conditionalFormatting>
  <conditionalFormatting sqref="DB1:DB1048576 EK1:EK1048576">
    <cfRule type="cellIs" dxfId="232" priority="13" operator="between">
      <formula>DK$37-0.00001</formula>
      <formula>DK$38-0.00001</formula>
    </cfRule>
    <cfRule type="cellIs" dxfId="231" priority="14" stopIfTrue="1" operator="between">
      <formula>DK$38-0.00001</formula>
      <formula>1000</formula>
    </cfRule>
  </conditionalFormatting>
  <conditionalFormatting sqref="CY1:CY1048576 EH1:EH1048576">
    <cfRule type="cellIs" dxfId="230" priority="10" stopIfTrue="1" operator="between">
      <formula>DK$36-0.00001</formula>
      <formula>1000</formula>
    </cfRule>
  </conditionalFormatting>
  <conditionalFormatting sqref="DC1:DC1048576 EL1:EL1048576">
    <cfRule type="cellIs" dxfId="229" priority="11" operator="between">
      <formula>DK$36-0.00001</formula>
      <formula>1000</formula>
    </cfRule>
  </conditionalFormatting>
  <conditionalFormatting sqref="DE1:DE1048576 EN1:EN1048576">
    <cfRule type="cellIs" dxfId="228" priority="9" operator="between">
      <formula>DK$36-0.00001</formula>
      <formula>1000</formula>
    </cfRule>
  </conditionalFormatting>
  <conditionalFormatting sqref="DG1:DG1048576 EP1:EP1048576">
    <cfRule type="cellIs" dxfId="227" priority="18" stopIfTrue="1" operator="between">
      <formula>DK$36-0.00001</formula>
      <formula>1000</formula>
    </cfRule>
  </conditionalFormatting>
  <conditionalFormatting sqref="CZ1:CZ1048576 EI1:EI1048576">
    <cfRule type="cellIs" dxfId="226" priority="5" stopIfTrue="1" operator="between">
      <formula>DK$39-0.00001</formula>
      <formula>1000</formula>
    </cfRule>
  </conditionalFormatting>
  <conditionalFormatting sqref="DD1:DD1048576 EM1:EM1048576">
    <cfRule type="cellIs" dxfId="225" priority="6" operator="between">
      <formula>DK$39-0.00001</formula>
      <formula>1000</formula>
    </cfRule>
  </conditionalFormatting>
  <conditionalFormatting sqref="DF1:DF1048576 EO1:EO1048576">
    <cfRule type="cellIs" dxfId="224" priority="8" operator="between">
      <formula>DK$39-0.00001</formula>
      <formula>1000</formula>
    </cfRule>
  </conditionalFormatting>
  <conditionalFormatting sqref="DH1:DH1048576 EQ1:EQ1048576">
    <cfRule type="cellIs" dxfId="223" priority="7" operator="between">
      <formula>DK$39-0.00001</formula>
      <formula>1000</formula>
    </cfRule>
  </conditionalFormatting>
  <conditionalFormatting sqref="DI1:DI1048576 ER1:ER1048576">
    <cfRule type="cellIs" dxfId="222" priority="4" operator="between">
      <formula>DK$35-0.00001</formula>
      <formula>1000</formula>
    </cfRule>
    <cfRule type="cellIs" dxfId="221" priority="15" operator="between">
      <formula>DK$34-0.00001</formula>
      <formula>DK$35-0.00001</formula>
    </cfRule>
  </conditionalFormatting>
  <conditionalFormatting sqref="DJ1:DJ1048576 ES1:ES1048576">
    <cfRule type="cellIs" dxfId="220" priority="1" operator="between">
      <formula>DK$37-0.00001</formula>
      <formula>DK$38-0.00001</formula>
    </cfRule>
    <cfRule type="cellIs" dxfId="219" priority="2" operator="between">
      <formula>DK$38-0.00001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B541-C0DC-3E49-A43F-A3040ECF78F9}">
  <sheetPr codeName="Sheet20"/>
  <dimension ref="A1:FX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58" t="s">
        <v>1</v>
      </c>
      <c r="B1" s="58" t="s">
        <v>14</v>
      </c>
      <c r="C1" s="58" t="s">
        <v>0</v>
      </c>
      <c r="D1" s="58" t="s">
        <v>31</v>
      </c>
      <c r="E1" s="58" t="s">
        <v>2</v>
      </c>
      <c r="F1" s="59" t="s">
        <v>95</v>
      </c>
      <c r="G1" s="59" t="s">
        <v>8</v>
      </c>
      <c r="H1" s="58" t="s">
        <v>9</v>
      </c>
      <c r="I1" s="59" t="s">
        <v>39</v>
      </c>
      <c r="J1" s="56" t="s">
        <v>96</v>
      </c>
      <c r="K1" s="55" t="s">
        <v>16</v>
      </c>
      <c r="L1" s="56" t="s">
        <v>110</v>
      </c>
      <c r="M1" s="55" t="s">
        <v>16</v>
      </c>
      <c r="N1" s="56" t="s">
        <v>111</v>
      </c>
      <c r="O1" s="55" t="s">
        <v>16</v>
      </c>
      <c r="P1" s="57" t="s">
        <v>10</v>
      </c>
      <c r="Q1" s="55" t="s">
        <v>17</v>
      </c>
      <c r="R1" s="55" t="s">
        <v>16</v>
      </c>
      <c r="S1" s="52" t="s">
        <v>48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49" t="s">
        <v>49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3" t="s">
        <v>97</v>
      </c>
      <c r="CB1" s="53"/>
      <c r="CC1" s="52" t="s">
        <v>50</v>
      </c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49" t="s">
        <v>51</v>
      </c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  <c r="EU1" s="49" t="s">
        <v>98</v>
      </c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49"/>
      <c r="FH1" s="49"/>
      <c r="FI1" s="49"/>
      <c r="FJ1" s="49"/>
      <c r="FK1" s="49"/>
      <c r="FL1" s="49"/>
      <c r="FM1" s="49"/>
      <c r="FN1" s="49"/>
      <c r="FO1" s="49"/>
      <c r="FP1" s="49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58"/>
      <c r="B2" s="58"/>
      <c r="C2" s="58"/>
      <c r="D2" s="58"/>
      <c r="E2" s="58"/>
      <c r="F2" s="59"/>
      <c r="G2" s="59"/>
      <c r="H2" s="58"/>
      <c r="I2" s="59"/>
      <c r="J2" s="56"/>
      <c r="K2" s="55"/>
      <c r="L2" s="56"/>
      <c r="M2" s="55"/>
      <c r="N2" s="55"/>
      <c r="O2" s="55"/>
      <c r="P2" s="57"/>
      <c r="Q2" s="55"/>
      <c r="R2" s="55"/>
      <c r="S2" s="50" t="s">
        <v>99</v>
      </c>
      <c r="T2" s="50"/>
      <c r="U2" s="50"/>
      <c r="V2" s="50"/>
      <c r="W2" s="50" t="s">
        <v>100</v>
      </c>
      <c r="X2" s="50"/>
      <c r="Y2" s="50"/>
      <c r="Z2" s="50"/>
      <c r="AA2" s="50" t="s">
        <v>101</v>
      </c>
      <c r="AB2" s="50"/>
      <c r="AC2" s="50"/>
      <c r="AD2" s="50"/>
      <c r="AE2" s="51" t="s">
        <v>102</v>
      </c>
      <c r="AF2" s="51"/>
      <c r="AG2" s="51"/>
      <c r="AH2" s="51"/>
      <c r="AI2" s="13"/>
      <c r="AJ2" s="13" t="s">
        <v>116</v>
      </c>
      <c r="AK2" s="13" t="s">
        <v>112</v>
      </c>
      <c r="AL2" s="13" t="s">
        <v>117</v>
      </c>
      <c r="AM2" s="13" t="s">
        <v>113</v>
      </c>
      <c r="AN2" s="13" t="s">
        <v>103</v>
      </c>
      <c r="AO2" s="13" t="s">
        <v>13</v>
      </c>
      <c r="AP2" s="13" t="s">
        <v>118</v>
      </c>
      <c r="AQ2" s="13" t="s">
        <v>114</v>
      </c>
      <c r="AR2" s="13" t="s">
        <v>119</v>
      </c>
      <c r="AS2" s="13" t="s">
        <v>115</v>
      </c>
      <c r="AT2" s="13" t="s">
        <v>104</v>
      </c>
      <c r="AU2" s="13" t="s">
        <v>105</v>
      </c>
      <c r="AV2" s="13" t="s">
        <v>12</v>
      </c>
      <c r="AW2" s="46" t="s">
        <v>99</v>
      </c>
      <c r="AX2" s="46"/>
      <c r="AY2" s="46"/>
      <c r="AZ2" s="46"/>
      <c r="BA2" s="46" t="s">
        <v>100</v>
      </c>
      <c r="BB2" s="46"/>
      <c r="BC2" s="46"/>
      <c r="BD2" s="46"/>
      <c r="BE2" s="46" t="s">
        <v>101</v>
      </c>
      <c r="BF2" s="46"/>
      <c r="BG2" s="46"/>
      <c r="BH2" s="46"/>
      <c r="BI2" s="48" t="s">
        <v>102</v>
      </c>
      <c r="BJ2" s="48"/>
      <c r="BK2" s="48"/>
      <c r="BL2" s="48"/>
      <c r="BM2" s="12"/>
      <c r="BN2" s="12" t="s">
        <v>116</v>
      </c>
      <c r="BO2" s="12" t="s">
        <v>112</v>
      </c>
      <c r="BP2" s="12" t="s">
        <v>117</v>
      </c>
      <c r="BQ2" s="12" t="s">
        <v>113</v>
      </c>
      <c r="BR2" s="12" t="s">
        <v>103</v>
      </c>
      <c r="BS2" s="12" t="s">
        <v>13</v>
      </c>
      <c r="BT2" s="12" t="s">
        <v>118</v>
      </c>
      <c r="BU2" s="12" t="s">
        <v>114</v>
      </c>
      <c r="BV2" s="12" t="s">
        <v>119</v>
      </c>
      <c r="BW2" s="12" t="s">
        <v>115</v>
      </c>
      <c r="BX2" s="12" t="s">
        <v>104</v>
      </c>
      <c r="BY2" s="12" t="s">
        <v>105</v>
      </c>
      <c r="BZ2" s="12" t="s">
        <v>12</v>
      </c>
      <c r="CA2" s="33" t="s">
        <v>106</v>
      </c>
      <c r="CB2" s="33" t="s">
        <v>120</v>
      </c>
      <c r="CC2" s="50" t="s">
        <v>99</v>
      </c>
      <c r="CD2" s="50"/>
      <c r="CE2" s="50"/>
      <c r="CF2" s="50"/>
      <c r="CG2" s="50" t="s">
        <v>100</v>
      </c>
      <c r="CH2" s="50"/>
      <c r="CI2" s="50"/>
      <c r="CJ2" s="50"/>
      <c r="CK2" s="50" t="s">
        <v>107</v>
      </c>
      <c r="CL2" s="50"/>
      <c r="CM2" s="50"/>
      <c r="CN2" s="50"/>
      <c r="CO2" s="50" t="s">
        <v>101</v>
      </c>
      <c r="CP2" s="50"/>
      <c r="CQ2" s="50"/>
      <c r="CR2" s="50"/>
      <c r="CS2" s="54" t="s">
        <v>102</v>
      </c>
      <c r="CT2" s="54"/>
      <c r="CU2" s="54"/>
      <c r="CV2" s="54"/>
      <c r="CW2" s="13" t="s">
        <v>116</v>
      </c>
      <c r="CX2" s="13" t="s">
        <v>112</v>
      </c>
      <c r="CY2" s="13" t="s">
        <v>117</v>
      </c>
      <c r="CZ2" s="13" t="s">
        <v>113</v>
      </c>
      <c r="DA2" s="13" t="s">
        <v>108</v>
      </c>
      <c r="DB2" s="13" t="s">
        <v>106</v>
      </c>
      <c r="DC2" s="13" t="s">
        <v>121</v>
      </c>
      <c r="DD2" s="13" t="s">
        <v>107</v>
      </c>
      <c r="DE2" s="13" t="s">
        <v>122</v>
      </c>
      <c r="DF2" s="13" t="s">
        <v>101</v>
      </c>
      <c r="DG2" s="13" t="s">
        <v>123</v>
      </c>
      <c r="DH2" s="13" t="s">
        <v>102</v>
      </c>
      <c r="DI2" s="13" t="s">
        <v>104</v>
      </c>
      <c r="DJ2" s="13" t="s">
        <v>105</v>
      </c>
      <c r="DK2" s="13" t="s">
        <v>12</v>
      </c>
      <c r="DL2" s="46" t="s">
        <v>99</v>
      </c>
      <c r="DM2" s="46"/>
      <c r="DN2" s="46"/>
      <c r="DO2" s="46"/>
      <c r="DP2" s="46" t="s">
        <v>100</v>
      </c>
      <c r="DQ2" s="46"/>
      <c r="DR2" s="46"/>
      <c r="DS2" s="46"/>
      <c r="DT2" s="46" t="s">
        <v>107</v>
      </c>
      <c r="DU2" s="46"/>
      <c r="DV2" s="46"/>
      <c r="DW2" s="46"/>
      <c r="DX2" s="46" t="s">
        <v>101</v>
      </c>
      <c r="DY2" s="46"/>
      <c r="DZ2" s="46"/>
      <c r="EA2" s="46"/>
      <c r="EB2" s="48" t="s">
        <v>102</v>
      </c>
      <c r="EC2" s="48"/>
      <c r="ED2" s="48"/>
      <c r="EE2" s="48"/>
      <c r="EF2" s="12" t="s">
        <v>116</v>
      </c>
      <c r="EG2" s="12" t="s">
        <v>112</v>
      </c>
      <c r="EH2" s="12" t="s">
        <v>117</v>
      </c>
      <c r="EI2" s="12" t="s">
        <v>113</v>
      </c>
      <c r="EJ2" s="12" t="s">
        <v>108</v>
      </c>
      <c r="EK2" s="12" t="s">
        <v>106</v>
      </c>
      <c r="EL2" s="12" t="s">
        <v>121</v>
      </c>
      <c r="EM2" s="12" t="s">
        <v>107</v>
      </c>
      <c r="EN2" s="12" t="s">
        <v>122</v>
      </c>
      <c r="EO2" s="12" t="s">
        <v>101</v>
      </c>
      <c r="EP2" s="12" t="s">
        <v>123</v>
      </c>
      <c r="EQ2" s="12" t="s">
        <v>102</v>
      </c>
      <c r="ER2" s="12" t="s">
        <v>104</v>
      </c>
      <c r="ES2" s="12" t="s">
        <v>105</v>
      </c>
      <c r="ET2" s="12" t="s">
        <v>12</v>
      </c>
      <c r="EU2" s="46" t="s">
        <v>99</v>
      </c>
      <c r="EV2" s="46"/>
      <c r="EW2" s="46"/>
      <c r="EX2" s="46"/>
      <c r="EY2" s="46" t="s">
        <v>100</v>
      </c>
      <c r="EZ2" s="46"/>
      <c r="FA2" s="46"/>
      <c r="FB2" s="46"/>
      <c r="FC2" s="46" t="s">
        <v>101</v>
      </c>
      <c r="FD2" s="46"/>
      <c r="FE2" s="46"/>
      <c r="FF2" s="46"/>
      <c r="FG2" s="47" t="s">
        <v>102</v>
      </c>
      <c r="FH2" s="47"/>
      <c r="FI2" s="47"/>
      <c r="FJ2" s="47"/>
      <c r="FK2" s="12"/>
      <c r="FL2" s="12" t="s">
        <v>116</v>
      </c>
      <c r="FM2" s="12" t="s">
        <v>112</v>
      </c>
      <c r="FN2" s="12" t="s">
        <v>117</v>
      </c>
      <c r="FO2" s="12" t="s">
        <v>113</v>
      </c>
      <c r="FP2" s="12" t="s">
        <v>103</v>
      </c>
      <c r="FQ2" s="12" t="s">
        <v>13</v>
      </c>
      <c r="FR2" s="12" t="s">
        <v>118</v>
      </c>
      <c r="FS2" s="12" t="s">
        <v>114</v>
      </c>
      <c r="FT2" s="12" t="s">
        <v>119</v>
      </c>
      <c r="FU2" s="12" t="s">
        <v>115</v>
      </c>
      <c r="FV2" s="12" t="s">
        <v>104</v>
      </c>
      <c r="FW2" s="12" t="s">
        <v>105</v>
      </c>
      <c r="FX2" s="12" t="s">
        <v>12</v>
      </c>
    </row>
    <row r="3" spans="1:180" x14ac:dyDescent="0.2">
      <c r="A3" s="58"/>
      <c r="B3" s="58"/>
      <c r="C3" s="58"/>
      <c r="D3" s="58"/>
      <c r="E3" s="58"/>
      <c r="F3" s="59"/>
      <c r="G3" s="59"/>
      <c r="H3" s="58"/>
      <c r="I3" s="59"/>
      <c r="J3" s="56"/>
      <c r="K3" s="55"/>
      <c r="L3" s="56"/>
      <c r="M3" s="55"/>
      <c r="N3" s="55"/>
      <c r="O3" s="55"/>
      <c r="P3" s="57"/>
      <c r="Q3" s="55"/>
      <c r="R3" s="55"/>
      <c r="S3" s="13" t="s">
        <v>11</v>
      </c>
      <c r="T3" s="13" t="s">
        <v>7</v>
      </c>
      <c r="U3" s="13" t="s">
        <v>15</v>
      </c>
      <c r="V3" s="13" t="s">
        <v>109</v>
      </c>
      <c r="W3" s="13" t="s">
        <v>11</v>
      </c>
      <c r="X3" s="13" t="s">
        <v>7</v>
      </c>
      <c r="Y3" s="13" t="s">
        <v>15</v>
      </c>
      <c r="Z3" s="13" t="s">
        <v>109</v>
      </c>
      <c r="AA3" s="13" t="s">
        <v>11</v>
      </c>
      <c r="AB3" s="13" t="s">
        <v>7</v>
      </c>
      <c r="AC3" s="13" t="s">
        <v>15</v>
      </c>
      <c r="AD3" s="13" t="s">
        <v>109</v>
      </c>
      <c r="AE3" s="35" t="s">
        <v>11</v>
      </c>
      <c r="AF3" s="35" t="s">
        <v>7</v>
      </c>
      <c r="AG3" s="35" t="s">
        <v>15</v>
      </c>
      <c r="AH3" s="35" t="s">
        <v>109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109</v>
      </c>
      <c r="BA3" s="12" t="s">
        <v>11</v>
      </c>
      <c r="BB3" s="12" t="s">
        <v>7</v>
      </c>
      <c r="BC3" s="12" t="s">
        <v>15</v>
      </c>
      <c r="BD3" s="12" t="s">
        <v>109</v>
      </c>
      <c r="BE3" s="12" t="s">
        <v>11</v>
      </c>
      <c r="BF3" s="12" t="s">
        <v>7</v>
      </c>
      <c r="BG3" s="12" t="s">
        <v>15</v>
      </c>
      <c r="BH3" s="12" t="s">
        <v>109</v>
      </c>
      <c r="BI3" s="36" t="s">
        <v>11</v>
      </c>
      <c r="BJ3" s="36" t="s">
        <v>7</v>
      </c>
      <c r="BK3" s="36" t="s">
        <v>15</v>
      </c>
      <c r="BL3" s="36" t="s">
        <v>109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109</v>
      </c>
      <c r="CG3" s="13" t="s">
        <v>11</v>
      </c>
      <c r="CH3" s="13" t="s">
        <v>7</v>
      </c>
      <c r="CI3" s="13" t="s">
        <v>15</v>
      </c>
      <c r="CJ3" s="13" t="s">
        <v>109</v>
      </c>
      <c r="CK3" s="13" t="s">
        <v>11</v>
      </c>
      <c r="CL3" s="13" t="s">
        <v>7</v>
      </c>
      <c r="CM3" s="13" t="s">
        <v>15</v>
      </c>
      <c r="CN3" s="13" t="s">
        <v>109</v>
      </c>
      <c r="CO3" s="13" t="s">
        <v>11</v>
      </c>
      <c r="CP3" s="13" t="s">
        <v>7</v>
      </c>
      <c r="CQ3" s="13" t="s">
        <v>15</v>
      </c>
      <c r="CR3" s="13" t="s">
        <v>109</v>
      </c>
      <c r="CS3" s="37" t="s">
        <v>11</v>
      </c>
      <c r="CT3" s="37" t="s">
        <v>7</v>
      </c>
      <c r="CU3" s="37" t="s">
        <v>15</v>
      </c>
      <c r="CV3" s="37" t="s">
        <v>109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109</v>
      </c>
      <c r="DP3" s="12" t="s">
        <v>11</v>
      </c>
      <c r="DQ3" s="12" t="s">
        <v>7</v>
      </c>
      <c r="DR3" s="12" t="s">
        <v>15</v>
      </c>
      <c r="DS3" s="12" t="s">
        <v>109</v>
      </c>
      <c r="DT3" s="12" t="s">
        <v>11</v>
      </c>
      <c r="DU3" s="12" t="s">
        <v>7</v>
      </c>
      <c r="DV3" s="12" t="s">
        <v>15</v>
      </c>
      <c r="DW3" s="12" t="s">
        <v>109</v>
      </c>
      <c r="DX3" s="12" t="s">
        <v>11</v>
      </c>
      <c r="DY3" s="12" t="s">
        <v>7</v>
      </c>
      <c r="DZ3" s="12" t="s">
        <v>15</v>
      </c>
      <c r="EA3" s="12" t="s">
        <v>109</v>
      </c>
      <c r="EB3" s="36" t="s">
        <v>11</v>
      </c>
      <c r="EC3" s="36" t="s">
        <v>7</v>
      </c>
      <c r="ED3" s="36" t="s">
        <v>15</v>
      </c>
      <c r="EE3" s="36" t="s">
        <v>109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109</v>
      </c>
      <c r="EY3" s="12" t="s">
        <v>11</v>
      </c>
      <c r="EZ3" s="12" t="s">
        <v>7</v>
      </c>
      <c r="FA3" s="12" t="s">
        <v>15</v>
      </c>
      <c r="FB3" s="12" t="s">
        <v>109</v>
      </c>
      <c r="FC3" s="12" t="s">
        <v>11</v>
      </c>
      <c r="FD3" s="12" t="s">
        <v>7</v>
      </c>
      <c r="FE3" s="12" t="s">
        <v>15</v>
      </c>
      <c r="FF3" s="12" t="s">
        <v>109</v>
      </c>
      <c r="FG3" s="38" t="s">
        <v>11</v>
      </c>
      <c r="FH3" s="38" t="s">
        <v>7</v>
      </c>
      <c r="FI3" s="38" t="s">
        <v>15</v>
      </c>
      <c r="FJ3" s="38" t="s">
        <v>109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4" t="s">
        <v>37</v>
      </c>
      <c r="C4" s="3" t="s">
        <v>5</v>
      </c>
      <c r="D4" s="3">
        <v>2001</v>
      </c>
      <c r="E4" s="8">
        <f t="shared" ref="E4:E25" si="0">SUM(J4:P4)+SUM(J4:M4)*0.0000001+SUM(J4)*0.0000000000001</f>
        <v>106.20000797000525</v>
      </c>
      <c r="F4" s="2" t="str">
        <f t="shared" ref="F4:F25" si="1">IF(OR(AND(AO4&lt;&gt;"",AO4&gt;=AV$31,AN4&gt;=AV$28),AND(AU4&lt;&gt;"",AU4&gt;=AV$31,AT4&gt;=AV$28),AND(BS4&lt;&gt;"",BS4&gt;=BZ$31,BR4&gt;=BZ$28),AND(BY4&lt;&gt;"",BY4&gt;=BZ$31,BX4&gt;=BZ$28),AND(DB4&lt;&gt;"",DB4&gt;=DK$31,DA4&gt;=DK$28),AND(DJ4&lt;&gt;"",DJ4&gt;=DK$31,DI4&gt;=DK$28),AND(EK4&lt;&gt;"",EK4&gt;=ET$31,EJ4&gt;=ET$28),AND(ES4&lt;&gt;"",ES4&gt;=ET$31,ER4&gt;=ET$28)),"P","")</f>
        <v>P</v>
      </c>
      <c r="G4" s="2" t="str">
        <f t="shared" ref="G4:G25" si="2">IF(OR(AND(AO4&lt;&gt;"",AO4&gt;=AV$31),AND(AU4&lt;&gt;"",AU4&gt;=AV$31),AND(BS4&lt;&gt;"",BS4&gt;=BZ$31),AND(BY4&lt;&gt;"",BY4&gt;=BZ$31),AND(DB4&lt;&gt;"",DB4&gt;=DK$31),AND(DJ4&lt;&gt;"",DJ4&gt;=DK$31),AND(EK4&lt;&gt;"",EK4&gt;=ET$31),AND(ES4&lt;&gt;"",ES4&gt;=ET$31)),"P","")</f>
        <v>P</v>
      </c>
      <c r="H4" s="26" t="str">
        <f t="shared" ref="H4:H25" si="3">IF(AND(G4="P",F4=""),"No DD",IF(OR(AND(AK4&lt;&gt;"",AK4&gt;=AV$33,AJ4&gt;=AV$30),AND(AM4&lt;&gt;"",AM4&gt;=AV$33,AL4&gt;=AV$30),AND(AQ4&lt;&gt;"",AQ4&gt;=AV$33,AP4&gt;=AV$30),AND(AS4&lt;&gt;"",AS4&gt;=AV$33,AR4&gt;=AV$30),AND(BO4&lt;&gt;"",BO4&gt;=BZ$33,BN4&gt;=BZ$30),AND(BQ4&lt;&gt;"",BQ4&gt;=BZ$33,BP4&gt;=BZ$30),AND(BV4&lt;&gt;"",BV4&gt;=BZ$33,BU4&gt;=BZ$30),AND(BX4&lt;&gt;"",BX4&gt;=BZ$33,BW4&gt;=BZ$30),AND(CX4&lt;&gt;"",CX4&gt;=DK$33,CW4&gt;=DK$30),AND(CZ4&lt;&gt;"",CZ4&gt;=DK$33,CY4&gt;=DK$30),AND(DD4&lt;&gt;"",DD4&gt;=DK$33,DC4&gt;=DK$30),AND(DF4&lt;&gt;"",DF4&gt;=DK$33,DE4&gt;=DK$30),AND(DH4&lt;&gt;"",DH4&gt;=DK$33,DG4&gt;=DK$30),AND(EG4&lt;&gt;"",EG4&gt;=ET$33,EF4&gt;=ET$30),AND(EI4&lt;&gt;"",EI4&gt;=ET$33,EH4&gt;=ET$30),AND(EM4&lt;&gt;"",EM4&gt;=ET$33,EL4&gt;=ET$30),AND(EO4&lt;&gt;"",EO4&gt;=ET$33,EN4&gt;=ET$30),AND(EQ4&lt;&gt;"",EQ4&gt;=ET$33,EP4&gt;=ET$30)),"Performance",IF(I4="P","Worlds Team",IF(F4="P","National Team",""))))</f>
        <v>Worlds Team</v>
      </c>
      <c r="I4" s="2" t="str">
        <f t="shared" ref="I4:I25" si="4">IF(OR(AND(AO4&lt;&gt;"",AO4&gt;=AV$32,AN4&gt;=AV$29),AND(AU4&lt;&gt;"",AU4&gt;=AV$32,AT4&gt;=AV$29),AND(BS4&lt;&gt;"",BS4&gt;=BZ$32,BR4&gt;=BZ$29),AND(BY4&lt;&gt;"",BY4&gt;=BZ$32,BX4&gt;=BZ$29),AND(DB4&lt;&gt;"",DB4&gt;=DK$32,DA4&gt;=DK$29),AND(DJ4&lt;&gt;"",DJ4&gt;=DK$32,DI4&gt;=DK$29),AND(EK4&lt;&gt;"",EK4&gt;=ET$32,EJ4&gt;=ET$29),AND(ES4&lt;&gt;"",ES4&gt;=ET$32,ER4&gt;=ET$29)),"P","")</f>
        <v>P</v>
      </c>
      <c r="J4" s="7">
        <f t="shared" ref="J4:J25" si="5">IF(COUNT(AO4,BS4)&gt;0,MAX(AO4,BS4),0)</f>
        <v>52.5</v>
      </c>
      <c r="K4" s="7" t="str">
        <f t="shared" ref="K4:K25" si="6">IF(J4=0,"",IF(J4=BS4,$AW$1,IF(J4=AO4,$S$1,"")))</f>
        <v>2025 3rd Domestic Trial</v>
      </c>
      <c r="L4" s="7">
        <f>IF(J4=AO4,IF(COUNT(AQ4,AS4,BO4,BQ4,BU4,BW4)&gt;1,LARGE((AQ4,AS4,BO4,BQ4,BU4,BW4),1),0),IF(COUNT(AK4,AM4,AQ4,AS4,BU4,BW4)&gt;1,LARGE((AK4,AM4,AQ4,AS4,BU4,BW4),1),0))</f>
        <v>27.200000000000003</v>
      </c>
      <c r="M4" s="7" t="str">
        <f t="shared" ref="M4:M25" si="7">IF(L4=0,"",IF(OR(L4=BO4,L4=BQ4,L4=BU4,L4=BW4),$AW$1,IF(OR(L4=AK4,L4=AM4,L4=AQ4,L4=AS4),$S$1,"")))</f>
        <v>2025 Nationals</v>
      </c>
      <c r="N4" s="7">
        <f>IF(J4=AO4,IF(COUNT(AQ4,AS4,BO4,BQ4,BU4,BW4)&gt;1,LARGE((AQ4,AS4,BO4,BQ4,BU4,BW4),2),0),IF(COUNT(AK4,AM4,AQ4,AS4,BU4,BW4)&gt;1,LARGE((AK4,AM4,AQ4,AS4,BU4,BW4),2),0))</f>
        <v>26.5</v>
      </c>
      <c r="O4" s="7" t="str">
        <f t="shared" ref="O4:O25" si="8">IF(N4=0,"",IF(OR(N4=BO4,N4=BQ4,N4=BU4,N4=BW4),$AW$1,IF(OR(N4=AK4,N4=AM4,N4=AQ4,N4=AS4),$S$1,"")))</f>
        <v>2025 Nationals</v>
      </c>
      <c r="P4" s="7" t="str">
        <f t="shared" ref="P4:P25" si="9">IF(MAX(CA4:CB4)&gt;0,MAX(CA4:CB4),"")</f>
        <v/>
      </c>
      <c r="Q4" s="10" t="str">
        <f t="shared" ref="Q4:Q25" si="10">IF(P4="","",IF(P4=CA4,"("&amp;CA$2&amp;")",IF(P4=CB4,"("&amp;CB$2&amp;")")))</f>
        <v/>
      </c>
      <c r="R4" s="7" t="str">
        <f t="shared" ref="R4:R25" si="11">IF(P4="","",IF(P4=CA4,IF(P4+MAX(J4,0)=EK4,$DL$1,IF(P4+MAX(J4,0)=DB4,$CC$1)),IF(P4=CB4,IF(P4+MAX(N4,0)=MAX(EG4,EI4,EM4,EO4,EQ4),$DL$1,IF(P4+MAX(N4,0)=MAX(CX4,CZ4,DD4,DF4,DH4),$CC$1)))))</f>
        <v/>
      </c>
      <c r="S4" s="39">
        <v>19</v>
      </c>
      <c r="T4" s="39">
        <v>7.2</v>
      </c>
      <c r="U4" s="39">
        <v>0</v>
      </c>
      <c r="V4" s="39">
        <v>0.3</v>
      </c>
      <c r="W4" s="39">
        <v>17.899999999999999</v>
      </c>
      <c r="X4" s="39">
        <v>6.8</v>
      </c>
      <c r="Y4" s="39">
        <v>0.8</v>
      </c>
      <c r="Z4" s="39">
        <v>0.3</v>
      </c>
      <c r="AA4" s="39">
        <v>18.8</v>
      </c>
      <c r="AB4" s="39">
        <v>8.4</v>
      </c>
      <c r="AC4" s="39">
        <v>0.6</v>
      </c>
      <c r="AD4" s="39">
        <v>0.6</v>
      </c>
      <c r="AE4" s="39">
        <v>18.600000000000001</v>
      </c>
      <c r="AF4" s="39">
        <v>6.8</v>
      </c>
      <c r="AG4" s="39">
        <v>0.2</v>
      </c>
      <c r="AH4" s="39">
        <v>0.3</v>
      </c>
      <c r="AI4" s="19"/>
      <c r="AJ4" s="42">
        <f t="shared" ref="AJ4:AJ25" si="12">IF(T4="","",T4)</f>
        <v>7.2</v>
      </c>
      <c r="AK4" s="42">
        <f t="shared" ref="AK4:AK25" si="13">IF(S4="","",S4+T4+V4-U4)</f>
        <v>26.5</v>
      </c>
      <c r="AL4" s="42">
        <f t="shared" ref="AL4:AL25" si="14">IF(X4="","",X4)</f>
        <v>6.8</v>
      </c>
      <c r="AM4" s="42">
        <f t="shared" ref="AM4:AM25" si="15">IF(W4="","",W4+X4+Z4-Y4)</f>
        <v>24.2</v>
      </c>
      <c r="AN4" s="27">
        <f t="shared" ref="AN4:AN25" si="16">IF(SUM(T4,X4)&gt;0,SUM(T4,X4),"")</f>
        <v>14</v>
      </c>
      <c r="AO4" s="27">
        <f t="shared" ref="AO4:AO25" si="17">IF(SUM(AK4,AM4)&gt;0,SUM(AK4,AM4),"")</f>
        <v>50.7</v>
      </c>
      <c r="AP4" s="27">
        <f t="shared" ref="AP4:AP25" si="18">IF(AB4="","",AB4)</f>
        <v>8.4</v>
      </c>
      <c r="AQ4" s="27">
        <f t="shared" ref="AQ4:AQ25" si="19">IF(AA4="","",AA4+AB4+AD4-AC4)</f>
        <v>27.200000000000003</v>
      </c>
      <c r="AR4" s="27">
        <f t="shared" ref="AR4:AR25" si="20">IF(AF4="","",AF4)</f>
        <v>6.8</v>
      </c>
      <c r="AS4" s="27">
        <f t="shared" ref="AS4:AS25" si="21">IF(AE4="","",AE4+AF4+AH4-AG4)</f>
        <v>25.500000000000004</v>
      </c>
      <c r="AT4" s="27">
        <f t="shared" ref="AT4:AT25" si="22">IF(SUM(AB4,AF4)&gt;0,SUM(AB4,AF4),"")</f>
        <v>15.2</v>
      </c>
      <c r="AU4" s="27">
        <f t="shared" ref="AU4:AU25" si="23">IF(SUM(AQ4,AS4)&gt;0,SUM(AQ4,AS4),"")</f>
        <v>52.7</v>
      </c>
      <c r="AV4" s="27">
        <f t="shared" ref="AV4:AV25" si="24">IF(SUM(AO4,AU4)&gt;0,SUM(AO4,AU4),"")</f>
        <v>103.4</v>
      </c>
      <c r="AW4" s="15">
        <v>19</v>
      </c>
      <c r="AX4" s="15">
        <v>7.2</v>
      </c>
      <c r="AY4" s="15">
        <v>0.6</v>
      </c>
      <c r="AZ4" s="15">
        <v>0.3</v>
      </c>
      <c r="BA4" s="15">
        <v>18.899999999999999</v>
      </c>
      <c r="BB4" s="15">
        <v>7.6</v>
      </c>
      <c r="BC4" s="15">
        <v>0.2</v>
      </c>
      <c r="BD4" s="15">
        <v>0.3</v>
      </c>
      <c r="BE4" s="15">
        <v>18.8</v>
      </c>
      <c r="BF4" s="15">
        <v>7.2</v>
      </c>
      <c r="BG4" s="15">
        <v>0.2</v>
      </c>
      <c r="BH4" s="15">
        <v>0.3</v>
      </c>
      <c r="BI4" s="15">
        <v>15.3</v>
      </c>
      <c r="BJ4" s="15">
        <v>3.2</v>
      </c>
      <c r="BK4" s="15">
        <v>0</v>
      </c>
      <c r="BL4" s="15">
        <v>0.3</v>
      </c>
      <c r="BM4" s="20"/>
      <c r="BN4" s="43">
        <f t="shared" ref="BN4:BN25" si="25">IF(AX4="","",AX4)</f>
        <v>7.2</v>
      </c>
      <c r="BO4" s="43">
        <f t="shared" ref="BO4:BO25" si="26">IF(AW4="","",AW4+AX4+AZ4-AY4)</f>
        <v>25.9</v>
      </c>
      <c r="BP4" s="43">
        <f t="shared" ref="BP4:BP25" si="27">IF(BB4="","",BB4)</f>
        <v>7.6</v>
      </c>
      <c r="BQ4" s="43">
        <f t="shared" ref="BQ4:BQ25" si="28">IF(BA4="","",BA4+BB4+BD4-BC4)</f>
        <v>26.6</v>
      </c>
      <c r="BR4" s="10">
        <f t="shared" ref="BR4:BR25" si="29">IF(SUM(AX4,BB4)&gt;0,SUM(AX4,BB4),"")</f>
        <v>14.8</v>
      </c>
      <c r="BS4" s="10">
        <f t="shared" ref="BS4:BS25" si="30">IF(SUM(BO4,BQ4)&gt;0,SUM(BO4,BQ4),"")</f>
        <v>52.5</v>
      </c>
      <c r="BT4" s="10">
        <f t="shared" ref="BT4:BT25" si="31">IF(BF4="","",BF4)</f>
        <v>7.2</v>
      </c>
      <c r="BU4" s="10">
        <f t="shared" ref="BU4:BU25" si="32">IF(BE4="","",BE4+BF4+BH4-BG4)</f>
        <v>26.1</v>
      </c>
      <c r="BV4" s="10">
        <f t="shared" ref="BV4:BV25" si="33">IF(BJ4="","",BJ4)</f>
        <v>3.2</v>
      </c>
      <c r="BW4" s="10">
        <f t="shared" ref="BW4:BW25" si="34">IF(BI4="","",BI4+BJ4+BL4-BK4)</f>
        <v>18.8</v>
      </c>
      <c r="BX4" s="10">
        <f t="shared" ref="BX4:BX25" si="35">IF(SUM(BF4,BJ4)&gt;0,SUM(BF4,BJ4),"")</f>
        <v>10.4</v>
      </c>
      <c r="BY4" s="10">
        <f t="shared" ref="BY4:BY25" si="36">IF(SUM(BU4,BW4)&gt;0,SUM(BU4,BW4),"")</f>
        <v>44.900000000000006</v>
      </c>
      <c r="BZ4" s="10">
        <f t="shared" ref="BZ4:BZ25" si="37">IF(SUM(BS4,BY4)&gt;0,SUM(BS4,BY4),"")</f>
        <v>97.4</v>
      </c>
      <c r="CA4" s="34" t="str">
        <f t="shared" ref="CA4:CA25" si="38">IF(MAX(DB4,EK4)-IF(J4="",0,J4)&gt;0.001,MAX(DB4,EK4)-IF(J4="",0,J4),"")</f>
        <v/>
      </c>
      <c r="CB4" s="34" t="str">
        <f t="shared" ref="CB4:CB25" si="39">IF(MAX(CX4,CZ4,DD4,DF4,DH4,EG4,EI4,EM4,EO4)-IF(N4="",0,N4)&gt;0.001,MAX(CX4,CZ4,DD4,DF4,DH4,EG4,EI4,EM4,EO4)-IF(N4="",0,N4),"")</f>
        <v/>
      </c>
      <c r="CC4" s="14">
        <v>18.399999999999999</v>
      </c>
      <c r="CD4" s="14">
        <v>7.2</v>
      </c>
      <c r="CE4" s="14">
        <v>0.2</v>
      </c>
      <c r="CF4" s="14">
        <v>0</v>
      </c>
      <c r="CG4" s="14">
        <v>18.600000000000001</v>
      </c>
      <c r="CH4" s="14">
        <v>6.8</v>
      </c>
      <c r="CI4" s="14">
        <v>0</v>
      </c>
      <c r="CJ4" s="14">
        <v>0</v>
      </c>
      <c r="CK4" s="14">
        <v>15.4</v>
      </c>
      <c r="CL4" s="14">
        <v>4</v>
      </c>
      <c r="CM4" s="14">
        <v>0</v>
      </c>
      <c r="CN4" s="14">
        <v>0</v>
      </c>
      <c r="CO4" s="14"/>
      <c r="CP4" s="14"/>
      <c r="CQ4" s="14"/>
      <c r="CR4" s="14"/>
      <c r="CS4" s="14"/>
      <c r="CT4" s="14"/>
      <c r="CU4" s="14"/>
      <c r="CV4" s="14"/>
      <c r="CW4" s="27">
        <f t="shared" ref="CW4:CW25" si="40">IF(CD4="","",CD4)</f>
        <v>7.2</v>
      </c>
      <c r="CX4" s="27">
        <f t="shared" ref="CX4:CX25" si="41">IF(CC4="","",CC4+CD4+CF4-CE4)</f>
        <v>25.4</v>
      </c>
      <c r="CY4" s="27">
        <f t="shared" ref="CY4:CY25" si="42">IF(CH4="","",CH4)</f>
        <v>6.8</v>
      </c>
      <c r="CZ4" s="27">
        <f t="shared" ref="CZ4:CZ25" si="43">IF(CG4="","",CG4+CH4+CJ4-CI4)</f>
        <v>25.400000000000002</v>
      </c>
      <c r="DA4" s="27">
        <f t="shared" ref="DA4:DA25" si="44">IF(CW4="","",SUM(CW4,CY4))</f>
        <v>14</v>
      </c>
      <c r="DB4" s="27">
        <f t="shared" ref="DB4:DB25" si="45">IF(CX4="","",SUM(CX4,CZ4))</f>
        <v>50.8</v>
      </c>
      <c r="DC4" s="27">
        <f t="shared" ref="DC4:DC25" si="46">IF(CL4="","",CL4)</f>
        <v>4</v>
      </c>
      <c r="DD4" s="27">
        <f t="shared" ref="DD4:DD25" si="47">IF(CK4="","",CK4+CL4+CN4-CM4)</f>
        <v>19.399999999999999</v>
      </c>
      <c r="DE4" s="27" t="str">
        <f t="shared" ref="DE4:DE25" si="48">IF(CP4="","",CP4)</f>
        <v/>
      </c>
      <c r="DF4" s="27" t="str">
        <f t="shared" ref="DF4:DF25" si="49">IF(CO4="","",CO4+CP4+CR4-CQ4)</f>
        <v/>
      </c>
      <c r="DG4" s="27" t="str">
        <f t="shared" ref="DG4:DG25" si="50">IF(CT4="","",CT4)</f>
        <v/>
      </c>
      <c r="DH4" s="27" t="str">
        <f t="shared" ref="DH4:DH25" si="51">IF(CS4="","",CS4+CT4+CV4-CU4)</f>
        <v/>
      </c>
      <c r="DI4" s="27" t="str">
        <f t="shared" ref="DI4:DI25" si="52">IF(DE4="","",SUM(DE4,DG4))</f>
        <v/>
      </c>
      <c r="DJ4" s="27" t="str">
        <f t="shared" ref="DJ4:DJ25" si="53">IF(DF4="","",SUM(DF4,DH4))</f>
        <v/>
      </c>
      <c r="DK4" s="27">
        <f t="shared" ref="DK4:DK25" si="54">IF(DB4="","",SUM(DB4,DD4,DH4))</f>
        <v>70.199999999999989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25" si="55">IF(DM4="","",DM4)</f>
        <v/>
      </c>
      <c r="EG4" s="10" t="str">
        <f t="shared" ref="EG4:EG25" si="56">IF(DL4="","",DL4+DM4+DO4-DN4)</f>
        <v/>
      </c>
      <c r="EH4" s="10" t="str">
        <f t="shared" ref="EH4:EH25" si="57">IF(DQ4="","",DQ4)</f>
        <v/>
      </c>
      <c r="EI4" s="10" t="str">
        <f t="shared" ref="EI4:EI25" si="58">IF(DP4="","",DP4+DQ4+DS4-DR4)</f>
        <v/>
      </c>
      <c r="EJ4" s="10" t="str">
        <f t="shared" ref="EJ4:EJ25" si="59">IF(EF4="","",SUM(EF4,EH4))</f>
        <v/>
      </c>
      <c r="EK4" s="10" t="str">
        <f t="shared" ref="EK4:EK25" si="60">IF(EG4="","",SUM(EG4,EI4))</f>
        <v/>
      </c>
      <c r="EL4" s="10" t="str">
        <f t="shared" ref="EL4:EL25" si="61">IF(DU4="","",DU4)</f>
        <v/>
      </c>
      <c r="EM4" s="10" t="str">
        <f t="shared" ref="EM4:EM25" si="62">IF(DT4="","",DT4+DU4+DW4-DV4)</f>
        <v/>
      </c>
      <c r="EN4" s="10" t="str">
        <f t="shared" ref="EN4:EN25" si="63">IF(DY4="","",DY4)</f>
        <v/>
      </c>
      <c r="EO4" s="10" t="str">
        <f t="shared" ref="EO4:EO25" si="64">IF(DX4="","",DX4+DY4+EA4-DZ4)</f>
        <v/>
      </c>
      <c r="EP4" s="10" t="str">
        <f t="shared" ref="EP4:EP25" si="65">IF(EC4="","",EC4)</f>
        <v/>
      </c>
      <c r="EQ4" s="10" t="str">
        <f t="shared" ref="EQ4:EQ25" si="66">IF(EB4="","",EB4+EC4+EE4-ED4)</f>
        <v/>
      </c>
      <c r="ER4" s="10" t="str">
        <f t="shared" ref="ER4:ER25" si="67">IF(EN4="","",SUM(EN4,EP4))</f>
        <v/>
      </c>
      <c r="ES4" s="10" t="str">
        <f t="shared" ref="ES4:ES25" si="68">IF(EO4="","",SUM(EO4,EQ4))</f>
        <v/>
      </c>
      <c r="ET4" s="10" t="str">
        <f t="shared" ref="ET4:ET25" si="69">IF(EK4="","",SUM(EK4,EM4,EQ4))</f>
        <v/>
      </c>
      <c r="EU4" s="44">
        <f t="shared" ref="EU4:EU25" si="70">IF(BM4="P",IF(AI4="P",AW4,AW4*0.8),(S4+AW4)/2)</f>
        <v>19</v>
      </c>
      <c r="EV4" s="44">
        <f t="shared" ref="EV4:EV25" si="71">IF(BN4="P",IF(AJ4="P",AX4,AX4*0.8),(T4+AX4)/2)</f>
        <v>7.2</v>
      </c>
      <c r="EW4" s="44">
        <f t="shared" ref="EW4:EW25" si="72">IF(BO4="P",IF(AK4="P",AY4,AY4*0.8),(U4+AY4)/2)</f>
        <v>0.3</v>
      </c>
      <c r="EX4" s="44">
        <f t="shared" ref="EX4:EX25" si="73">IF(BP4="P",IF(AL4="P",AZ4,AZ4*0.8),(V4+AZ4)/2)</f>
        <v>0.3</v>
      </c>
      <c r="EY4" s="44">
        <f t="shared" ref="EY4:EY25" si="74">IF(BQ4="P",IF(AM4="P",BA4,BA4*0.8),(W4+BA4)/2)</f>
        <v>18.399999999999999</v>
      </c>
      <c r="EZ4" s="44">
        <f t="shared" ref="EZ4:EZ25" si="75">IF(BR4="P",IF(AN4="P",BB4,BB4*0.8),(X4+BB4)/2)</f>
        <v>7.1999999999999993</v>
      </c>
      <c r="FA4" s="44">
        <f t="shared" ref="FA4:FA25" si="76">IF(BS4="P",IF(AO4="P",BC4,BC4*0.8),(Y4+BC4)/2)</f>
        <v>0.5</v>
      </c>
      <c r="FB4" s="44">
        <f t="shared" ref="FB4:FB25" si="77">IF(BT4="P",IF(AP4="P",BD4,BD4*0.8),(Z4+BD4)/2)</f>
        <v>0.3</v>
      </c>
      <c r="FC4" s="44">
        <f t="shared" ref="FC4:FC25" si="78">IF(BU4="P",IF(AQ4="P",BE4,BE4*0.8),(AA4+BE4)/2)</f>
        <v>18.8</v>
      </c>
      <c r="FD4" s="44">
        <f t="shared" ref="FD4:FD25" si="79">IF(BV4="P",IF(AR4="P",BF4,BF4*0.8),(AB4+BF4)/2)</f>
        <v>7.8000000000000007</v>
      </c>
      <c r="FE4" s="44">
        <f t="shared" ref="FE4:FE25" si="80">IF(BW4="P",IF(AS4="P",BG4,BG4*0.8),(AC4+BG4)/2)</f>
        <v>0.4</v>
      </c>
      <c r="FF4" s="44">
        <f t="shared" ref="FF4:FF25" si="81">IF(BX4="P",IF(AT4="P",BH4,BH4*0.8),(AD4+BH4)/2)</f>
        <v>0.44999999999999996</v>
      </c>
      <c r="FG4" s="44">
        <f t="shared" ref="FG4:FG25" si="82">IF(BY4="P",IF(AU4="P",BI4,BI4*0.8),(AE4+BI4)/2)</f>
        <v>16.950000000000003</v>
      </c>
      <c r="FH4" s="44">
        <f t="shared" ref="FH4:FH25" si="83">IF(BZ4="P",IF(AV4="P",BJ4,BJ4*0.8),(AF4+BJ4)/2)</f>
        <v>5</v>
      </c>
      <c r="FI4" s="44">
        <f t="shared" ref="FI4:FI25" si="84">IF(CA4="P",IF(AW4="P",BK4,BK4*0.8),(AG4+BK4)/2)</f>
        <v>0.1</v>
      </c>
      <c r="FJ4" s="44">
        <f t="shared" ref="FJ4:FJ25" si="85">IF(CB4="P",IF(AX4="P",BL4,BL4*0.8),(AH4+BL4)/2)</f>
        <v>0.3</v>
      </c>
      <c r="FK4" s="20" t="s">
        <v>29</v>
      </c>
      <c r="FL4" s="10">
        <f t="shared" ref="FL4:FL25" si="86">IF(EV4="","",EV4)</f>
        <v>7.2</v>
      </c>
      <c r="FM4" s="10">
        <f t="shared" ref="FM4:FM25" si="87">IF(EU4="","",EU4+EV4+EX4-EW4)</f>
        <v>26.2</v>
      </c>
      <c r="FN4" s="10">
        <f t="shared" ref="FN4:FN25" si="88">IF(EZ4="","",EZ4)</f>
        <v>7.1999999999999993</v>
      </c>
      <c r="FO4" s="10">
        <f t="shared" ref="FO4:FO25" si="89">IF(EY4="","",EY4+EZ4+FB4-FA4)</f>
        <v>25.4</v>
      </c>
      <c r="FP4" s="10">
        <f t="shared" ref="FP4:FP25" si="90">IF(SUM(EV4,EZ4)&gt;0,SUM(EV4,EZ4),"")</f>
        <v>14.399999999999999</v>
      </c>
      <c r="FQ4" s="10">
        <f>IF(SUM(FM4,FO4)&gt;0,SUM(FM4,FO4),"")</f>
        <v>51.599999999999994</v>
      </c>
      <c r="FR4" s="10">
        <f>IF(FD4="","",FD4)</f>
        <v>7.8000000000000007</v>
      </c>
      <c r="FS4" s="10">
        <f>IF(FC4="","",FC4+FD4+FF4-FE4)</f>
        <v>26.650000000000002</v>
      </c>
      <c r="FT4" s="10">
        <f>IF(FH4="","",FH4)</f>
        <v>5</v>
      </c>
      <c r="FU4" s="10">
        <f>IF(FG4="","",FG4+FH4+FJ4-FI4)</f>
        <v>22.150000000000002</v>
      </c>
      <c r="FV4" s="10">
        <f>IF(SUM(FD4,FH4)&gt;0,SUM(FD4,FH4),"")</f>
        <v>12.8</v>
      </c>
      <c r="FW4" s="10">
        <f t="shared" ref="FW4:FW25" si="91">IF(SUM(FS4,FU4)&gt;0,SUM(FS4,FU4),"")</f>
        <v>48.800000000000004</v>
      </c>
      <c r="FX4" s="10">
        <f t="shared" ref="FX4:FX25" si="92">IF(SUM(FQ4,FW4)&gt;0,SUM(FQ4,FW4),"")</f>
        <v>100.4</v>
      </c>
    </row>
    <row r="5" spans="1:180" x14ac:dyDescent="0.2">
      <c r="A5" s="3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4" t="s">
        <v>41</v>
      </c>
      <c r="C5" s="3" t="s">
        <v>4</v>
      </c>
      <c r="D5" s="3">
        <v>1999</v>
      </c>
      <c r="E5" s="8">
        <f t="shared" si="0"/>
        <v>104.15000784000517</v>
      </c>
      <c r="F5" s="2" t="str">
        <f t="shared" si="1"/>
        <v>P</v>
      </c>
      <c r="G5" s="2" t="str">
        <f t="shared" si="2"/>
        <v>P</v>
      </c>
      <c r="H5" s="26" t="str">
        <f t="shared" si="3"/>
        <v>Worlds Team</v>
      </c>
      <c r="I5" s="2" t="str">
        <f t="shared" si="4"/>
        <v>P</v>
      </c>
      <c r="J5" s="7">
        <f t="shared" si="5"/>
        <v>51.7</v>
      </c>
      <c r="K5" s="7" t="str">
        <f t="shared" si="6"/>
        <v>2025 Nationals</v>
      </c>
      <c r="L5" s="7">
        <f>IF(J5=AO5,IF(COUNT(AQ5,AS5,BO5,BQ5,BU5,BW5)&gt;1,LARGE((AQ5,AS5,BO5,BQ5,BU5,BW5),1),0),IF(COUNT(AK5,AM5,AQ5,AS5,BU5,BW5)&gt;1,LARGE((AK5,AM5,AQ5,AS5,BU5,BW5),1),0))</f>
        <v>26.7</v>
      </c>
      <c r="M5" s="7" t="str">
        <f t="shared" si="7"/>
        <v>2025 Nationals</v>
      </c>
      <c r="N5" s="7">
        <f>IF(J5=AO5,IF(COUNT(AQ5,AS5,BO5,BQ5,BU5,BW5)&gt;1,LARGE((AQ5,AS5,BO5,BQ5,BU5,BW5),2),0),IF(COUNT(AK5,AM5,AQ5,AS5,BU5,BW5)&gt;1,LARGE((AK5,AM5,AQ5,AS5,BU5,BW5),2),0))</f>
        <v>25.75</v>
      </c>
      <c r="O5" s="7" t="str">
        <f t="shared" si="8"/>
        <v>2025 3rd Domestic Trial</v>
      </c>
      <c r="P5" s="7" t="str">
        <f t="shared" si="9"/>
        <v/>
      </c>
      <c r="Q5" s="10" t="str">
        <f t="shared" si="10"/>
        <v/>
      </c>
      <c r="R5" s="7" t="str">
        <f t="shared" si="11"/>
        <v/>
      </c>
      <c r="S5" s="39">
        <v>18.5</v>
      </c>
      <c r="T5" s="39">
        <v>7.2</v>
      </c>
      <c r="U5" s="39">
        <v>0.2</v>
      </c>
      <c r="V5" s="39">
        <v>0.3</v>
      </c>
      <c r="W5" s="39">
        <v>18.8</v>
      </c>
      <c r="X5" s="39">
        <v>6.8</v>
      </c>
      <c r="Y5" s="39">
        <v>0</v>
      </c>
      <c r="Z5" s="39">
        <v>0.3</v>
      </c>
      <c r="AA5" s="39">
        <v>19.2</v>
      </c>
      <c r="AB5" s="39">
        <v>7.2</v>
      </c>
      <c r="AC5" s="39">
        <v>0</v>
      </c>
      <c r="AD5" s="39">
        <v>0.3</v>
      </c>
      <c r="AE5" s="39">
        <v>18.600000000000001</v>
      </c>
      <c r="AF5" s="39">
        <v>3.2</v>
      </c>
      <c r="AG5" s="39">
        <v>1.6</v>
      </c>
      <c r="AH5" s="39">
        <v>0.3</v>
      </c>
      <c r="AI5" s="19"/>
      <c r="AJ5" s="42">
        <f t="shared" si="12"/>
        <v>7.2</v>
      </c>
      <c r="AK5" s="42">
        <f t="shared" si="13"/>
        <v>25.8</v>
      </c>
      <c r="AL5" s="42">
        <f t="shared" si="14"/>
        <v>6.8</v>
      </c>
      <c r="AM5" s="42">
        <f t="shared" si="15"/>
        <v>25.900000000000002</v>
      </c>
      <c r="AN5" s="27">
        <f t="shared" si="16"/>
        <v>14</v>
      </c>
      <c r="AO5" s="27">
        <f t="shared" si="17"/>
        <v>51.7</v>
      </c>
      <c r="AP5" s="27">
        <f t="shared" si="18"/>
        <v>7.2</v>
      </c>
      <c r="AQ5" s="27">
        <f t="shared" si="19"/>
        <v>26.7</v>
      </c>
      <c r="AR5" s="27">
        <f t="shared" si="20"/>
        <v>3.2</v>
      </c>
      <c r="AS5" s="27">
        <f t="shared" si="21"/>
        <v>20.5</v>
      </c>
      <c r="AT5" s="27">
        <f t="shared" si="22"/>
        <v>10.4</v>
      </c>
      <c r="AU5" s="27">
        <f t="shared" si="23"/>
        <v>47.2</v>
      </c>
      <c r="AV5" s="27">
        <f t="shared" si="24"/>
        <v>98.9</v>
      </c>
      <c r="AW5" s="15">
        <v>18.350000000000001</v>
      </c>
      <c r="AX5" s="15">
        <v>6.2</v>
      </c>
      <c r="AY5" s="15">
        <v>0.2</v>
      </c>
      <c r="AZ5" s="15">
        <v>0.3</v>
      </c>
      <c r="BA5" s="15">
        <v>19</v>
      </c>
      <c r="BB5" s="15">
        <v>6.6</v>
      </c>
      <c r="BC5" s="15">
        <v>0</v>
      </c>
      <c r="BD5" s="15">
        <v>0.15</v>
      </c>
      <c r="BE5" s="15">
        <v>18.799999999999997</v>
      </c>
      <c r="BF5" s="15">
        <v>6.6</v>
      </c>
      <c r="BG5" s="15">
        <v>0</v>
      </c>
      <c r="BH5" s="15">
        <v>0.3</v>
      </c>
      <c r="BI5" s="15">
        <v>18.55</v>
      </c>
      <c r="BJ5" s="15">
        <v>4.4000000000000004</v>
      </c>
      <c r="BK5" s="15">
        <v>0.9</v>
      </c>
      <c r="BL5" s="15">
        <v>0.15</v>
      </c>
      <c r="BM5" s="20" t="s">
        <v>29</v>
      </c>
      <c r="BN5" s="43">
        <f t="shared" si="25"/>
        <v>6.2</v>
      </c>
      <c r="BO5" s="43">
        <f t="shared" si="26"/>
        <v>24.650000000000002</v>
      </c>
      <c r="BP5" s="43">
        <f t="shared" si="27"/>
        <v>6.6</v>
      </c>
      <c r="BQ5" s="43">
        <f t="shared" si="28"/>
        <v>25.75</v>
      </c>
      <c r="BR5" s="10">
        <f t="shared" si="29"/>
        <v>12.8</v>
      </c>
      <c r="BS5" s="10">
        <f t="shared" si="30"/>
        <v>50.400000000000006</v>
      </c>
      <c r="BT5" s="10">
        <f t="shared" si="31"/>
        <v>6.6</v>
      </c>
      <c r="BU5" s="10">
        <f t="shared" si="32"/>
        <v>25.7</v>
      </c>
      <c r="BV5" s="10">
        <f t="shared" si="33"/>
        <v>4.4000000000000004</v>
      </c>
      <c r="BW5" s="10">
        <f t="shared" si="34"/>
        <v>22.200000000000003</v>
      </c>
      <c r="BX5" s="10">
        <f t="shared" si="35"/>
        <v>11</v>
      </c>
      <c r="BY5" s="10">
        <f t="shared" si="36"/>
        <v>47.900000000000006</v>
      </c>
      <c r="BZ5" s="10">
        <f t="shared" si="37"/>
        <v>98.300000000000011</v>
      </c>
      <c r="CA5" s="34" t="str">
        <f t="shared" si="38"/>
        <v/>
      </c>
      <c r="CB5" s="34" t="str">
        <f t="shared" si="39"/>
        <v/>
      </c>
      <c r="CC5" s="14">
        <v>15.1</v>
      </c>
      <c r="CD5" s="14">
        <v>3.2</v>
      </c>
      <c r="CE5" s="14">
        <v>0</v>
      </c>
      <c r="CF5" s="14">
        <v>0</v>
      </c>
      <c r="CG5" s="14">
        <v>18.7</v>
      </c>
      <c r="CH5" s="14">
        <v>6.4</v>
      </c>
      <c r="CI5" s="14">
        <v>0</v>
      </c>
      <c r="CJ5" s="14">
        <v>0</v>
      </c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>
        <f t="shared" si="40"/>
        <v>3.2</v>
      </c>
      <c r="CX5" s="27">
        <f t="shared" si="41"/>
        <v>18.3</v>
      </c>
      <c r="CY5" s="27">
        <f t="shared" si="42"/>
        <v>6.4</v>
      </c>
      <c r="CZ5" s="27">
        <f t="shared" si="43"/>
        <v>25.1</v>
      </c>
      <c r="DA5" s="27">
        <f t="shared" si="44"/>
        <v>9.6000000000000014</v>
      </c>
      <c r="DB5" s="27">
        <f t="shared" si="45"/>
        <v>43.400000000000006</v>
      </c>
      <c r="DC5" s="27" t="str">
        <f t="shared" si="46"/>
        <v/>
      </c>
      <c r="DD5" s="27" t="str">
        <f t="shared" si="47"/>
        <v/>
      </c>
      <c r="DE5" s="27" t="str">
        <f t="shared" si="48"/>
        <v/>
      </c>
      <c r="DF5" s="27" t="str">
        <f t="shared" si="49"/>
        <v/>
      </c>
      <c r="DG5" s="27" t="str">
        <f t="shared" si="50"/>
        <v/>
      </c>
      <c r="DH5" s="27" t="str">
        <f t="shared" si="51"/>
        <v/>
      </c>
      <c r="DI5" s="27" t="str">
        <f t="shared" si="52"/>
        <v/>
      </c>
      <c r="DJ5" s="27" t="str">
        <f t="shared" si="53"/>
        <v/>
      </c>
      <c r="DK5" s="27">
        <f t="shared" si="54"/>
        <v>43.400000000000006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5"/>
        <v/>
      </c>
      <c r="EG5" s="10" t="str">
        <f t="shared" si="56"/>
        <v/>
      </c>
      <c r="EH5" s="10" t="str">
        <f t="shared" si="57"/>
        <v/>
      </c>
      <c r="EI5" s="10" t="str">
        <f t="shared" si="58"/>
        <v/>
      </c>
      <c r="EJ5" s="10" t="str">
        <f t="shared" si="59"/>
        <v/>
      </c>
      <c r="EK5" s="10" t="str">
        <f t="shared" si="60"/>
        <v/>
      </c>
      <c r="EL5" s="10" t="str">
        <f t="shared" si="61"/>
        <v/>
      </c>
      <c r="EM5" s="10" t="str">
        <f t="shared" si="62"/>
        <v/>
      </c>
      <c r="EN5" s="10" t="str">
        <f t="shared" si="63"/>
        <v/>
      </c>
      <c r="EO5" s="10" t="str">
        <f t="shared" si="64"/>
        <v/>
      </c>
      <c r="EP5" s="10" t="str">
        <f t="shared" si="65"/>
        <v/>
      </c>
      <c r="EQ5" s="10" t="str">
        <f t="shared" si="66"/>
        <v/>
      </c>
      <c r="ER5" s="10" t="str">
        <f t="shared" si="67"/>
        <v/>
      </c>
      <c r="ES5" s="10" t="str">
        <f t="shared" si="68"/>
        <v/>
      </c>
      <c r="ET5" s="10" t="str">
        <f t="shared" si="69"/>
        <v/>
      </c>
      <c r="EU5" s="44">
        <f t="shared" si="70"/>
        <v>14.680000000000001</v>
      </c>
      <c r="EV5" s="44">
        <f t="shared" si="71"/>
        <v>6.7</v>
      </c>
      <c r="EW5" s="44">
        <f t="shared" si="72"/>
        <v>0.2</v>
      </c>
      <c r="EX5" s="44">
        <f t="shared" si="73"/>
        <v>0.3</v>
      </c>
      <c r="EY5" s="44">
        <f t="shared" si="74"/>
        <v>18.899999999999999</v>
      </c>
      <c r="EZ5" s="44">
        <f t="shared" si="75"/>
        <v>6.6999999999999993</v>
      </c>
      <c r="FA5" s="44">
        <f t="shared" si="76"/>
        <v>0</v>
      </c>
      <c r="FB5" s="44">
        <f t="shared" si="77"/>
        <v>0.22499999999999998</v>
      </c>
      <c r="FC5" s="44">
        <f t="shared" si="78"/>
        <v>19</v>
      </c>
      <c r="FD5" s="44">
        <f t="shared" si="79"/>
        <v>6.9</v>
      </c>
      <c r="FE5" s="44">
        <f t="shared" si="80"/>
        <v>0</v>
      </c>
      <c r="FF5" s="44">
        <f t="shared" si="81"/>
        <v>0.3</v>
      </c>
      <c r="FG5" s="44">
        <f t="shared" si="82"/>
        <v>18.575000000000003</v>
      </c>
      <c r="FH5" s="44">
        <f t="shared" si="83"/>
        <v>3.8000000000000003</v>
      </c>
      <c r="FI5" s="44">
        <f t="shared" si="84"/>
        <v>1.25</v>
      </c>
      <c r="FJ5" s="44">
        <f t="shared" si="85"/>
        <v>0.22499999999999998</v>
      </c>
      <c r="FK5" s="20" t="s">
        <v>29</v>
      </c>
      <c r="FL5" s="10">
        <f t="shared" si="86"/>
        <v>6.7</v>
      </c>
      <c r="FM5" s="10">
        <f t="shared" si="87"/>
        <v>21.480000000000004</v>
      </c>
      <c r="FN5" s="10">
        <f t="shared" si="88"/>
        <v>6.6999999999999993</v>
      </c>
      <c r="FO5" s="10">
        <f t="shared" si="89"/>
        <v>25.824999999999999</v>
      </c>
      <c r="FP5" s="10">
        <f t="shared" si="90"/>
        <v>13.399999999999999</v>
      </c>
      <c r="FQ5" s="10">
        <f t="shared" ref="FQ5:FQ25" si="93">IF(SUM(FM5,FO5)&gt;0,SUM(FM5,FO5),"")</f>
        <v>47.305000000000007</v>
      </c>
      <c r="FR5" s="10">
        <f t="shared" ref="FR5:FR25" si="94">IF(FD5="","",FD5)</f>
        <v>6.9</v>
      </c>
      <c r="FS5" s="10">
        <f t="shared" ref="FS5:FS25" si="95">IF(FC5="","",FC5+FD5+FF5-FE5)</f>
        <v>26.2</v>
      </c>
      <c r="FT5" s="10">
        <f t="shared" ref="FT5:FT25" si="96">IF(FH5="","",FH5)</f>
        <v>3.8000000000000003</v>
      </c>
      <c r="FU5" s="10">
        <f t="shared" ref="FU5:FU25" si="97">IF(FG5="","",FG5+FH5+FJ5-FI5)</f>
        <v>21.350000000000005</v>
      </c>
      <c r="FV5" s="10">
        <f t="shared" ref="FV5:FV25" si="98">IF(SUM(FD5,FH5)&gt;0,SUM(FD5,FH5),"")</f>
        <v>10.700000000000001</v>
      </c>
      <c r="FW5" s="10">
        <f t="shared" si="91"/>
        <v>47.550000000000004</v>
      </c>
      <c r="FX5" s="10">
        <f t="shared" si="92"/>
        <v>94.855000000000018</v>
      </c>
    </row>
    <row r="6" spans="1:180" x14ac:dyDescent="0.2">
      <c r="A6" s="3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4" t="s">
        <v>67</v>
      </c>
      <c r="C6" s="3" t="s">
        <v>5</v>
      </c>
      <c r="D6" s="3">
        <v>2007</v>
      </c>
      <c r="E6" s="8">
        <f t="shared" si="0"/>
        <v>104.10000781000518</v>
      </c>
      <c r="F6" s="2" t="str">
        <f t="shared" si="1"/>
        <v>P</v>
      </c>
      <c r="G6" s="2" t="str">
        <f t="shared" si="2"/>
        <v>P</v>
      </c>
      <c r="H6" s="26" t="str">
        <f t="shared" si="3"/>
        <v>Worlds Team</v>
      </c>
      <c r="I6" s="2" t="str">
        <f t="shared" si="4"/>
        <v>P</v>
      </c>
      <c r="J6" s="7">
        <f t="shared" si="5"/>
        <v>51.7</v>
      </c>
      <c r="K6" s="7" t="str">
        <f t="shared" si="6"/>
        <v>2025 Nationals</v>
      </c>
      <c r="L6" s="7">
        <f>IF(J6=AO6,IF(COUNT(AQ6,AS6,BO6,BQ6,BU6,BW6)&gt;1,LARGE((AQ6,AS6,BO6,BQ6,BU6,BW6),1),0),IF(COUNT(AK6,AM6,AQ6,AS6,BU6,BW6)&gt;1,LARGE((AK6,AM6,AQ6,AS6,BU6,BW6),1),0))</f>
        <v>26.400000000000002</v>
      </c>
      <c r="M6" s="7" t="str">
        <f t="shared" si="7"/>
        <v>2025 3rd Domestic Trial</v>
      </c>
      <c r="N6" s="7">
        <f>IF(J6=AO6,IF(COUNT(AQ6,AS6,BO6,BQ6,BU6,BW6)&gt;1,LARGE((AQ6,AS6,BO6,BQ6,BU6,BW6),2),0),IF(COUNT(AK6,AM6,AQ6,AS6,BU6,BW6)&gt;1,LARGE((AK6,AM6,AQ6,AS6,BU6,BW6),2),0))</f>
        <v>26</v>
      </c>
      <c r="O6" s="7" t="str">
        <f t="shared" si="8"/>
        <v>2025 Nationals</v>
      </c>
      <c r="P6" s="7" t="str">
        <f t="shared" si="9"/>
        <v/>
      </c>
      <c r="Q6" s="10" t="str">
        <f t="shared" si="10"/>
        <v/>
      </c>
      <c r="R6" s="7" t="str">
        <f t="shared" si="11"/>
        <v/>
      </c>
      <c r="S6" s="39">
        <v>19.100000000000001</v>
      </c>
      <c r="T6" s="39">
        <v>7.2</v>
      </c>
      <c r="U6" s="39">
        <v>0</v>
      </c>
      <c r="V6" s="39">
        <v>0.3</v>
      </c>
      <c r="W6" s="39">
        <v>19.100000000000001</v>
      </c>
      <c r="X6" s="39">
        <v>6</v>
      </c>
      <c r="Y6" s="39">
        <v>0</v>
      </c>
      <c r="Z6" s="39">
        <v>0</v>
      </c>
      <c r="AA6" s="39">
        <v>19.100000000000001</v>
      </c>
      <c r="AB6" s="39">
        <v>7.2</v>
      </c>
      <c r="AC6" s="39">
        <v>0.6</v>
      </c>
      <c r="AD6" s="39">
        <v>0.3</v>
      </c>
      <c r="AE6" s="39">
        <v>18.399999999999999</v>
      </c>
      <c r="AF6" s="39">
        <v>5.2</v>
      </c>
      <c r="AG6" s="39">
        <v>0</v>
      </c>
      <c r="AH6" s="39">
        <v>0.3</v>
      </c>
      <c r="AI6" s="19"/>
      <c r="AJ6" s="42">
        <f t="shared" si="12"/>
        <v>7.2</v>
      </c>
      <c r="AK6" s="42">
        <f t="shared" si="13"/>
        <v>26.6</v>
      </c>
      <c r="AL6" s="42">
        <f t="shared" si="14"/>
        <v>6</v>
      </c>
      <c r="AM6" s="42">
        <f t="shared" si="15"/>
        <v>25.1</v>
      </c>
      <c r="AN6" s="27">
        <f t="shared" si="16"/>
        <v>13.2</v>
      </c>
      <c r="AO6" s="27">
        <f t="shared" si="17"/>
        <v>51.7</v>
      </c>
      <c r="AP6" s="27">
        <f t="shared" si="18"/>
        <v>7.2</v>
      </c>
      <c r="AQ6" s="27">
        <f t="shared" si="19"/>
        <v>26</v>
      </c>
      <c r="AR6" s="27">
        <f t="shared" si="20"/>
        <v>5.2</v>
      </c>
      <c r="AS6" s="27">
        <f t="shared" si="21"/>
        <v>23.9</v>
      </c>
      <c r="AT6" s="27">
        <f t="shared" si="22"/>
        <v>12.4</v>
      </c>
      <c r="AU6" s="27">
        <f t="shared" si="23"/>
        <v>49.9</v>
      </c>
      <c r="AV6" s="27">
        <f t="shared" si="24"/>
        <v>101.6</v>
      </c>
      <c r="AW6" s="15">
        <v>19.2</v>
      </c>
      <c r="AX6" s="15">
        <v>5.2</v>
      </c>
      <c r="AY6" s="15">
        <v>0</v>
      </c>
      <c r="AZ6" s="15">
        <v>0</v>
      </c>
      <c r="BA6" s="15">
        <v>19.100000000000001</v>
      </c>
      <c r="BB6" s="15">
        <v>6</v>
      </c>
      <c r="BC6" s="15">
        <v>0</v>
      </c>
      <c r="BD6" s="15">
        <v>0</v>
      </c>
      <c r="BE6" s="15">
        <v>16.899999999999999</v>
      </c>
      <c r="BF6" s="15">
        <v>6.4</v>
      </c>
      <c r="BG6" s="15">
        <v>1</v>
      </c>
      <c r="BH6" s="15">
        <v>0.3</v>
      </c>
      <c r="BI6" s="15">
        <v>19.3</v>
      </c>
      <c r="BJ6" s="15">
        <v>6.8</v>
      </c>
      <c r="BK6" s="15">
        <v>0</v>
      </c>
      <c r="BL6" s="15">
        <v>0.3</v>
      </c>
      <c r="BM6" s="20"/>
      <c r="BN6" s="43">
        <f t="shared" si="25"/>
        <v>5.2</v>
      </c>
      <c r="BO6" s="43">
        <f t="shared" si="26"/>
        <v>24.4</v>
      </c>
      <c r="BP6" s="43">
        <f t="shared" si="27"/>
        <v>6</v>
      </c>
      <c r="BQ6" s="43">
        <f t="shared" si="28"/>
        <v>25.1</v>
      </c>
      <c r="BR6" s="10">
        <f t="shared" si="29"/>
        <v>11.2</v>
      </c>
      <c r="BS6" s="10">
        <f t="shared" si="30"/>
        <v>49.5</v>
      </c>
      <c r="BT6" s="10">
        <f t="shared" si="31"/>
        <v>6.4</v>
      </c>
      <c r="BU6" s="10">
        <f t="shared" si="32"/>
        <v>22.599999999999998</v>
      </c>
      <c r="BV6" s="10">
        <f t="shared" si="33"/>
        <v>6.8</v>
      </c>
      <c r="BW6" s="10">
        <f t="shared" si="34"/>
        <v>26.400000000000002</v>
      </c>
      <c r="BX6" s="10">
        <f t="shared" si="35"/>
        <v>13.2</v>
      </c>
      <c r="BY6" s="10">
        <f t="shared" si="36"/>
        <v>49</v>
      </c>
      <c r="BZ6" s="10">
        <f t="shared" si="37"/>
        <v>98.5</v>
      </c>
      <c r="CA6" s="34" t="str">
        <f t="shared" si="38"/>
        <v/>
      </c>
      <c r="CB6" s="34" t="str">
        <f t="shared" si="39"/>
        <v/>
      </c>
      <c r="CC6" s="14">
        <v>18.600000000000001</v>
      </c>
      <c r="CD6" s="14">
        <v>5.6</v>
      </c>
      <c r="CE6" s="14">
        <v>0</v>
      </c>
      <c r="CF6" s="14">
        <v>0</v>
      </c>
      <c r="CG6" s="14">
        <v>18.600000000000001</v>
      </c>
      <c r="CH6" s="14">
        <v>6.8</v>
      </c>
      <c r="CI6" s="14">
        <v>0.2</v>
      </c>
      <c r="CJ6" s="14">
        <v>0</v>
      </c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>
        <f t="shared" si="40"/>
        <v>5.6</v>
      </c>
      <c r="CX6" s="27">
        <f t="shared" si="41"/>
        <v>24.200000000000003</v>
      </c>
      <c r="CY6" s="27">
        <f t="shared" si="42"/>
        <v>6.8</v>
      </c>
      <c r="CZ6" s="27">
        <f t="shared" si="43"/>
        <v>25.200000000000003</v>
      </c>
      <c r="DA6" s="27">
        <f t="shared" si="44"/>
        <v>12.399999999999999</v>
      </c>
      <c r="DB6" s="27">
        <f t="shared" si="45"/>
        <v>49.400000000000006</v>
      </c>
      <c r="DC6" s="27" t="str">
        <f t="shared" si="46"/>
        <v/>
      </c>
      <c r="DD6" s="27" t="str">
        <f t="shared" si="47"/>
        <v/>
      </c>
      <c r="DE6" s="27" t="str">
        <f t="shared" si="48"/>
        <v/>
      </c>
      <c r="DF6" s="27" t="str">
        <f t="shared" si="49"/>
        <v/>
      </c>
      <c r="DG6" s="27" t="str">
        <f t="shared" si="50"/>
        <v/>
      </c>
      <c r="DH6" s="27" t="str">
        <f t="shared" si="51"/>
        <v/>
      </c>
      <c r="DI6" s="27" t="str">
        <f t="shared" si="52"/>
        <v/>
      </c>
      <c r="DJ6" s="27" t="str">
        <f t="shared" si="53"/>
        <v/>
      </c>
      <c r="DK6" s="27">
        <f t="shared" si="54"/>
        <v>49.400000000000006</v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5"/>
        <v/>
      </c>
      <c r="EG6" s="10" t="str">
        <f t="shared" si="56"/>
        <v/>
      </c>
      <c r="EH6" s="10" t="str">
        <f t="shared" si="57"/>
        <v/>
      </c>
      <c r="EI6" s="10" t="str">
        <f t="shared" si="58"/>
        <v/>
      </c>
      <c r="EJ6" s="10" t="str">
        <f t="shared" si="59"/>
        <v/>
      </c>
      <c r="EK6" s="10" t="str">
        <f t="shared" si="60"/>
        <v/>
      </c>
      <c r="EL6" s="10" t="str">
        <f t="shared" si="61"/>
        <v/>
      </c>
      <c r="EM6" s="10" t="str">
        <f t="shared" si="62"/>
        <v/>
      </c>
      <c r="EN6" s="10" t="str">
        <f t="shared" si="63"/>
        <v/>
      </c>
      <c r="EO6" s="10" t="str">
        <f t="shared" si="64"/>
        <v/>
      </c>
      <c r="EP6" s="10" t="str">
        <f t="shared" si="65"/>
        <v/>
      </c>
      <c r="EQ6" s="10" t="str">
        <f t="shared" si="66"/>
        <v/>
      </c>
      <c r="ER6" s="10" t="str">
        <f t="shared" si="67"/>
        <v/>
      </c>
      <c r="ES6" s="10" t="str">
        <f t="shared" si="68"/>
        <v/>
      </c>
      <c r="ET6" s="10" t="str">
        <f t="shared" si="69"/>
        <v/>
      </c>
      <c r="EU6" s="44">
        <f t="shared" si="70"/>
        <v>19.149999999999999</v>
      </c>
      <c r="EV6" s="44">
        <f t="shared" si="71"/>
        <v>6.2</v>
      </c>
      <c r="EW6" s="44">
        <f t="shared" si="72"/>
        <v>0</v>
      </c>
      <c r="EX6" s="44">
        <f t="shared" si="73"/>
        <v>0.15</v>
      </c>
      <c r="EY6" s="44">
        <f t="shared" si="74"/>
        <v>19.100000000000001</v>
      </c>
      <c r="EZ6" s="44">
        <f t="shared" si="75"/>
        <v>6</v>
      </c>
      <c r="FA6" s="44">
        <f t="shared" si="76"/>
        <v>0</v>
      </c>
      <c r="FB6" s="44">
        <f t="shared" si="77"/>
        <v>0</v>
      </c>
      <c r="FC6" s="44">
        <f t="shared" si="78"/>
        <v>18</v>
      </c>
      <c r="FD6" s="44">
        <f t="shared" si="79"/>
        <v>6.8000000000000007</v>
      </c>
      <c r="FE6" s="44">
        <f t="shared" si="80"/>
        <v>0.8</v>
      </c>
      <c r="FF6" s="44">
        <f t="shared" si="81"/>
        <v>0.3</v>
      </c>
      <c r="FG6" s="44">
        <f t="shared" si="82"/>
        <v>18.850000000000001</v>
      </c>
      <c r="FH6" s="44">
        <f t="shared" si="83"/>
        <v>6</v>
      </c>
      <c r="FI6" s="44">
        <f t="shared" si="84"/>
        <v>0</v>
      </c>
      <c r="FJ6" s="44">
        <f t="shared" si="85"/>
        <v>0.3</v>
      </c>
      <c r="FK6" s="20" t="s">
        <v>29</v>
      </c>
      <c r="FL6" s="10">
        <f t="shared" si="86"/>
        <v>6.2</v>
      </c>
      <c r="FM6" s="10">
        <f t="shared" si="87"/>
        <v>25.499999999999996</v>
      </c>
      <c r="FN6" s="10">
        <f t="shared" si="88"/>
        <v>6</v>
      </c>
      <c r="FO6" s="10">
        <f t="shared" si="89"/>
        <v>25.1</v>
      </c>
      <c r="FP6" s="10">
        <f t="shared" si="90"/>
        <v>12.2</v>
      </c>
      <c r="FQ6" s="10">
        <f t="shared" si="93"/>
        <v>50.599999999999994</v>
      </c>
      <c r="FR6" s="10">
        <f t="shared" si="94"/>
        <v>6.8000000000000007</v>
      </c>
      <c r="FS6" s="10">
        <f t="shared" si="95"/>
        <v>24.3</v>
      </c>
      <c r="FT6" s="10">
        <f t="shared" si="96"/>
        <v>6</v>
      </c>
      <c r="FU6" s="10">
        <f t="shared" si="97"/>
        <v>25.150000000000002</v>
      </c>
      <c r="FV6" s="10">
        <f t="shared" si="98"/>
        <v>12.8</v>
      </c>
      <c r="FW6" s="10">
        <f t="shared" si="91"/>
        <v>49.45</v>
      </c>
      <c r="FX6" s="10">
        <f t="shared" si="92"/>
        <v>100.05</v>
      </c>
    </row>
    <row r="7" spans="1:180" x14ac:dyDescent="0.2">
      <c r="A7" s="3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4" t="s">
        <v>126</v>
      </c>
      <c r="C7" s="3" t="s">
        <v>5</v>
      </c>
      <c r="D7" s="3">
        <v>2004</v>
      </c>
      <c r="E7" s="8">
        <f t="shared" si="0"/>
        <v>102.30000739000479</v>
      </c>
      <c r="F7" s="2" t="str">
        <f t="shared" si="1"/>
        <v>P</v>
      </c>
      <c r="G7" s="2" t="str">
        <f t="shared" si="2"/>
        <v>P</v>
      </c>
      <c r="H7" s="26" t="str">
        <f t="shared" si="3"/>
        <v>Worlds Team</v>
      </c>
      <c r="I7" s="2" t="str">
        <f t="shared" si="4"/>
        <v>P</v>
      </c>
      <c r="J7" s="7">
        <f t="shared" si="5"/>
        <v>48</v>
      </c>
      <c r="K7" s="7" t="str">
        <f t="shared" si="6"/>
        <v>2025 3rd Domestic Trial</v>
      </c>
      <c r="L7" s="7">
        <f>IF(J7=AO7,IF(COUNT(AQ7,AS7,BO7,BQ7,BU7,BW7)&gt;1,LARGE((AQ7,AS7,BO7,BQ7,BU7,BW7),1),0),IF(COUNT(AK7,AM7,AQ7,AS7,BU7,BW7)&gt;1,LARGE((AK7,AM7,AQ7,AS7,BU7,BW7),1),0))</f>
        <v>25.900000000000002</v>
      </c>
      <c r="M7" s="7" t="str">
        <f t="shared" si="7"/>
        <v>2025 3rd Domestic Trial</v>
      </c>
      <c r="N7" s="7">
        <f>IF(J7=AO7,IF(COUNT(AQ7,AS7,BO7,BQ7,BU7,BW7)&gt;1,LARGE((AQ7,AS7,BO7,BQ7,BU7,BW7),2),0),IF(COUNT(AK7,AM7,AQ7,AS7,BU7,BW7)&gt;1,LARGE((AK7,AM7,AQ7,AS7,BU7,BW7),2),0))</f>
        <v>25.8</v>
      </c>
      <c r="O7" s="7" t="str">
        <f t="shared" si="8"/>
        <v>2025 Nationals</v>
      </c>
      <c r="P7" s="7">
        <f t="shared" si="9"/>
        <v>2.5999999999999943</v>
      </c>
      <c r="Q7" s="10" t="str">
        <f t="shared" si="10"/>
        <v>(Q1)</v>
      </c>
      <c r="R7" s="7" t="str">
        <f t="shared" si="11"/>
        <v>2025 Worlds (Nov 9)</v>
      </c>
      <c r="S7" s="39">
        <v>15.7</v>
      </c>
      <c r="T7" s="39">
        <v>2.4</v>
      </c>
      <c r="U7" s="39">
        <v>0</v>
      </c>
      <c r="V7" s="39">
        <v>0</v>
      </c>
      <c r="W7" s="39">
        <v>18.3</v>
      </c>
      <c r="X7" s="39">
        <v>7.2</v>
      </c>
      <c r="Y7" s="39">
        <v>0</v>
      </c>
      <c r="Z7" s="39">
        <v>0.3</v>
      </c>
      <c r="AA7" s="39"/>
      <c r="AB7" s="39"/>
      <c r="AC7" s="39"/>
      <c r="AD7" s="39"/>
      <c r="AE7" s="39"/>
      <c r="AF7" s="39"/>
      <c r="AG7" s="39"/>
      <c r="AH7" s="39"/>
      <c r="AI7" s="19"/>
      <c r="AJ7" s="42">
        <f t="shared" si="12"/>
        <v>2.4</v>
      </c>
      <c r="AK7" s="42">
        <f t="shared" si="13"/>
        <v>18.099999999999998</v>
      </c>
      <c r="AL7" s="42">
        <f t="shared" si="14"/>
        <v>7.2</v>
      </c>
      <c r="AM7" s="42">
        <f t="shared" si="15"/>
        <v>25.8</v>
      </c>
      <c r="AN7" s="27">
        <f t="shared" si="16"/>
        <v>9.6</v>
      </c>
      <c r="AO7" s="27">
        <f t="shared" si="17"/>
        <v>43.9</v>
      </c>
      <c r="AP7" s="27" t="str">
        <f t="shared" si="18"/>
        <v/>
      </c>
      <c r="AQ7" s="27" t="str">
        <f t="shared" si="19"/>
        <v/>
      </c>
      <c r="AR7" s="27" t="str">
        <f t="shared" si="20"/>
        <v/>
      </c>
      <c r="AS7" s="27" t="str">
        <f t="shared" si="21"/>
        <v/>
      </c>
      <c r="AT7" s="27" t="str">
        <f t="shared" si="22"/>
        <v/>
      </c>
      <c r="AU7" s="27" t="str">
        <f t="shared" si="23"/>
        <v/>
      </c>
      <c r="AV7" s="27">
        <f t="shared" si="24"/>
        <v>43.9</v>
      </c>
      <c r="AW7" s="15">
        <v>18.899999999999999</v>
      </c>
      <c r="AX7" s="15">
        <v>5.6</v>
      </c>
      <c r="AY7" s="15">
        <v>0.6</v>
      </c>
      <c r="AZ7" s="15">
        <v>0</v>
      </c>
      <c r="BA7" s="15">
        <v>18.899999999999999</v>
      </c>
      <c r="BB7" s="15">
        <v>6</v>
      </c>
      <c r="BC7" s="15">
        <v>0.8</v>
      </c>
      <c r="BD7" s="15">
        <v>0</v>
      </c>
      <c r="BE7" s="15">
        <v>19</v>
      </c>
      <c r="BF7" s="15">
        <v>6.4</v>
      </c>
      <c r="BG7" s="15">
        <v>0.2</v>
      </c>
      <c r="BH7" s="15">
        <v>0</v>
      </c>
      <c r="BI7" s="15">
        <v>19</v>
      </c>
      <c r="BJ7" s="15">
        <v>6.8</v>
      </c>
      <c r="BK7" s="15">
        <v>0.2</v>
      </c>
      <c r="BL7" s="15">
        <v>0.3</v>
      </c>
      <c r="BM7" s="20"/>
      <c r="BN7" s="43">
        <f t="shared" si="25"/>
        <v>5.6</v>
      </c>
      <c r="BO7" s="43">
        <f t="shared" si="26"/>
        <v>23.9</v>
      </c>
      <c r="BP7" s="43">
        <f t="shared" si="27"/>
        <v>6</v>
      </c>
      <c r="BQ7" s="43">
        <f t="shared" si="28"/>
        <v>24.099999999999998</v>
      </c>
      <c r="BR7" s="10">
        <f t="shared" si="29"/>
        <v>11.6</v>
      </c>
      <c r="BS7" s="10">
        <f t="shared" si="30"/>
        <v>48</v>
      </c>
      <c r="BT7" s="10">
        <f t="shared" si="31"/>
        <v>6.4</v>
      </c>
      <c r="BU7" s="10">
        <f t="shared" si="32"/>
        <v>25.2</v>
      </c>
      <c r="BV7" s="10">
        <f t="shared" si="33"/>
        <v>6.8</v>
      </c>
      <c r="BW7" s="10">
        <f t="shared" si="34"/>
        <v>25.900000000000002</v>
      </c>
      <c r="BX7" s="10">
        <f t="shared" si="35"/>
        <v>13.2</v>
      </c>
      <c r="BY7" s="10">
        <f t="shared" si="36"/>
        <v>51.1</v>
      </c>
      <c r="BZ7" s="10">
        <f t="shared" si="37"/>
        <v>99.1</v>
      </c>
      <c r="CA7" s="34">
        <f t="shared" si="38"/>
        <v>2.5999999999999943</v>
      </c>
      <c r="CB7" s="34">
        <f t="shared" si="39"/>
        <v>0.19999999999999929</v>
      </c>
      <c r="CC7" s="14">
        <v>18.899999999999999</v>
      </c>
      <c r="CD7" s="14">
        <v>6</v>
      </c>
      <c r="CE7" s="14">
        <v>0</v>
      </c>
      <c r="CF7" s="14">
        <v>0</v>
      </c>
      <c r="CG7" s="14">
        <v>18.5</v>
      </c>
      <c r="CH7" s="14">
        <v>7.2</v>
      </c>
      <c r="CI7" s="14">
        <v>0</v>
      </c>
      <c r="CJ7" s="14">
        <v>0</v>
      </c>
      <c r="CK7" s="14">
        <v>18.3</v>
      </c>
      <c r="CL7" s="14">
        <v>7.2</v>
      </c>
      <c r="CM7" s="14">
        <v>0.6</v>
      </c>
      <c r="CN7" s="14">
        <v>0</v>
      </c>
      <c r="CO7" s="14">
        <v>18.8</v>
      </c>
      <c r="CP7" s="14">
        <v>7.2</v>
      </c>
      <c r="CQ7" s="14">
        <v>0</v>
      </c>
      <c r="CR7" s="14">
        <v>0</v>
      </c>
      <c r="CS7" s="14"/>
      <c r="CT7" s="14"/>
      <c r="CU7" s="14"/>
      <c r="CV7" s="14"/>
      <c r="CW7" s="27">
        <f t="shared" si="40"/>
        <v>6</v>
      </c>
      <c r="CX7" s="27">
        <f t="shared" si="41"/>
        <v>24.9</v>
      </c>
      <c r="CY7" s="27">
        <f t="shared" si="42"/>
        <v>7.2</v>
      </c>
      <c r="CZ7" s="27">
        <f t="shared" si="43"/>
        <v>25.7</v>
      </c>
      <c r="DA7" s="27">
        <f t="shared" si="44"/>
        <v>13.2</v>
      </c>
      <c r="DB7" s="27">
        <f t="shared" si="45"/>
        <v>50.599999999999994</v>
      </c>
      <c r="DC7" s="27">
        <f t="shared" si="46"/>
        <v>7.2</v>
      </c>
      <c r="DD7" s="27">
        <f t="shared" si="47"/>
        <v>24.9</v>
      </c>
      <c r="DE7" s="27">
        <f t="shared" si="48"/>
        <v>7.2</v>
      </c>
      <c r="DF7" s="27">
        <f t="shared" si="49"/>
        <v>26</v>
      </c>
      <c r="DG7" s="27" t="str">
        <f t="shared" si="50"/>
        <v/>
      </c>
      <c r="DH7" s="27" t="str">
        <f t="shared" si="51"/>
        <v/>
      </c>
      <c r="DI7" s="27">
        <f t="shared" si="52"/>
        <v>7.2</v>
      </c>
      <c r="DJ7" s="27">
        <f t="shared" si="53"/>
        <v>26</v>
      </c>
      <c r="DK7" s="27">
        <f t="shared" si="54"/>
        <v>75.5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5"/>
        <v/>
      </c>
      <c r="EG7" s="10" t="str">
        <f t="shared" si="56"/>
        <v/>
      </c>
      <c r="EH7" s="10" t="str">
        <f t="shared" si="57"/>
        <v/>
      </c>
      <c r="EI7" s="10" t="str">
        <f t="shared" si="58"/>
        <v/>
      </c>
      <c r="EJ7" s="10" t="str">
        <f t="shared" si="59"/>
        <v/>
      </c>
      <c r="EK7" s="10" t="str">
        <f t="shared" si="60"/>
        <v/>
      </c>
      <c r="EL7" s="10" t="str">
        <f t="shared" si="61"/>
        <v/>
      </c>
      <c r="EM7" s="10" t="str">
        <f t="shared" si="62"/>
        <v/>
      </c>
      <c r="EN7" s="10" t="str">
        <f t="shared" si="63"/>
        <v/>
      </c>
      <c r="EO7" s="10" t="str">
        <f t="shared" si="64"/>
        <v/>
      </c>
      <c r="EP7" s="10" t="str">
        <f t="shared" si="65"/>
        <v/>
      </c>
      <c r="EQ7" s="10" t="str">
        <f t="shared" si="66"/>
        <v/>
      </c>
      <c r="ER7" s="10" t="str">
        <f t="shared" si="67"/>
        <v/>
      </c>
      <c r="ES7" s="10" t="str">
        <f t="shared" si="68"/>
        <v/>
      </c>
      <c r="ET7" s="10" t="str">
        <f t="shared" si="69"/>
        <v/>
      </c>
      <c r="EU7" s="44">
        <f t="shared" si="70"/>
        <v>17.299999999999997</v>
      </c>
      <c r="EV7" s="44">
        <f t="shared" si="71"/>
        <v>4</v>
      </c>
      <c r="EW7" s="44">
        <f t="shared" si="72"/>
        <v>0.3</v>
      </c>
      <c r="EX7" s="44">
        <f t="shared" si="73"/>
        <v>0</v>
      </c>
      <c r="EY7" s="44">
        <f t="shared" si="74"/>
        <v>18.600000000000001</v>
      </c>
      <c r="EZ7" s="44">
        <f t="shared" si="75"/>
        <v>6.6</v>
      </c>
      <c r="FA7" s="44">
        <f t="shared" si="76"/>
        <v>0.4</v>
      </c>
      <c r="FB7" s="44">
        <f t="shared" si="77"/>
        <v>0.15</v>
      </c>
      <c r="FC7" s="44">
        <f t="shared" si="78"/>
        <v>9.5</v>
      </c>
      <c r="FD7" s="44">
        <f t="shared" si="79"/>
        <v>3.2</v>
      </c>
      <c r="FE7" s="44">
        <f t="shared" si="80"/>
        <v>0.1</v>
      </c>
      <c r="FF7" s="44">
        <f t="shared" si="81"/>
        <v>0</v>
      </c>
      <c r="FG7" s="44">
        <f t="shared" si="82"/>
        <v>9.5</v>
      </c>
      <c r="FH7" s="44">
        <f t="shared" si="83"/>
        <v>3.4</v>
      </c>
      <c r="FI7" s="44">
        <f t="shared" si="84"/>
        <v>0.1</v>
      </c>
      <c r="FJ7" s="44">
        <f t="shared" si="85"/>
        <v>0.15</v>
      </c>
      <c r="FK7" s="20" t="s">
        <v>29</v>
      </c>
      <c r="FL7" s="10">
        <f t="shared" si="86"/>
        <v>4</v>
      </c>
      <c r="FM7" s="10">
        <f t="shared" si="87"/>
        <v>20.999999999999996</v>
      </c>
      <c r="FN7" s="10">
        <f t="shared" si="88"/>
        <v>6.6</v>
      </c>
      <c r="FO7" s="10">
        <f t="shared" si="89"/>
        <v>24.950000000000003</v>
      </c>
      <c r="FP7" s="10">
        <f t="shared" si="90"/>
        <v>10.6</v>
      </c>
      <c r="FQ7" s="10">
        <f t="shared" si="93"/>
        <v>45.95</v>
      </c>
      <c r="FR7" s="10">
        <f t="shared" si="94"/>
        <v>3.2</v>
      </c>
      <c r="FS7" s="10">
        <f t="shared" si="95"/>
        <v>12.6</v>
      </c>
      <c r="FT7" s="10">
        <f t="shared" si="96"/>
        <v>3.4</v>
      </c>
      <c r="FU7" s="10">
        <f t="shared" si="97"/>
        <v>12.950000000000001</v>
      </c>
      <c r="FV7" s="10">
        <f t="shared" si="98"/>
        <v>6.6</v>
      </c>
      <c r="FW7" s="10">
        <f t="shared" si="91"/>
        <v>25.55</v>
      </c>
      <c r="FX7" s="10">
        <f t="shared" si="92"/>
        <v>71.5</v>
      </c>
    </row>
    <row r="8" spans="1:180" x14ac:dyDescent="0.2">
      <c r="A8" s="3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4" t="s">
        <v>69</v>
      </c>
      <c r="C8" s="3" t="s">
        <v>5</v>
      </c>
      <c r="D8" s="3">
        <v>2008</v>
      </c>
      <c r="E8" s="8">
        <f t="shared" si="0"/>
        <v>101.30000756000494</v>
      </c>
      <c r="F8" s="2" t="str">
        <f t="shared" si="1"/>
        <v>P</v>
      </c>
      <c r="G8" s="2" t="str">
        <f t="shared" si="2"/>
        <v>P</v>
      </c>
      <c r="H8" s="26" t="str">
        <f t="shared" si="3"/>
        <v>Worlds Team</v>
      </c>
      <c r="I8" s="2" t="str">
        <f t="shared" si="4"/>
        <v>P</v>
      </c>
      <c r="J8" s="7">
        <f t="shared" si="5"/>
        <v>49.5</v>
      </c>
      <c r="K8" s="7" t="str">
        <f t="shared" si="6"/>
        <v>2025 Nationals</v>
      </c>
      <c r="L8" s="7">
        <f>IF(J8=AO8,IF(COUNT(AQ8,AS8,BO8,BQ8,BU8,BW8)&gt;1,LARGE((AQ8,AS8,BO8,BQ8,BU8,BW8),1),0),IF(COUNT(AK8,AM8,AQ8,AS8,BU8,BW8)&gt;1,LARGE((AK8,AM8,AQ8,AS8,BU8,BW8),1),0))</f>
        <v>26.1</v>
      </c>
      <c r="M8" s="7" t="str">
        <f t="shared" si="7"/>
        <v>2025 Nationals</v>
      </c>
      <c r="N8" s="7">
        <f>IF(J8=AO8,IF(COUNT(AQ8,AS8,BO8,BQ8,BU8,BW8)&gt;1,LARGE((AQ8,AS8,BO8,BQ8,BU8,BW8),2),0),IF(COUNT(AK8,AM8,AQ8,AS8,BU8,BW8)&gt;1,LARGE((AK8,AM8,AQ8,AS8,BU8,BW8),2),0))</f>
        <v>25.7</v>
      </c>
      <c r="O8" s="7" t="str">
        <f t="shared" si="8"/>
        <v>2025 3rd Domestic Trial</v>
      </c>
      <c r="P8" s="7" t="str">
        <f t="shared" si="9"/>
        <v/>
      </c>
      <c r="Q8" s="10" t="str">
        <f t="shared" si="10"/>
        <v/>
      </c>
      <c r="R8" s="7" t="str">
        <f t="shared" si="11"/>
        <v/>
      </c>
      <c r="S8" s="39">
        <v>18.5</v>
      </c>
      <c r="T8" s="39">
        <v>6</v>
      </c>
      <c r="U8" s="39">
        <v>0.2</v>
      </c>
      <c r="V8" s="39">
        <v>0.3</v>
      </c>
      <c r="W8" s="39">
        <v>18.7</v>
      </c>
      <c r="X8" s="39">
        <v>6.4</v>
      </c>
      <c r="Y8" s="39">
        <v>0.2</v>
      </c>
      <c r="Z8" s="39">
        <v>0</v>
      </c>
      <c r="AA8" s="39">
        <v>18.600000000000001</v>
      </c>
      <c r="AB8" s="39">
        <v>7.2</v>
      </c>
      <c r="AC8" s="39">
        <v>0</v>
      </c>
      <c r="AD8" s="39">
        <v>0.3</v>
      </c>
      <c r="AE8" s="39">
        <v>18.3</v>
      </c>
      <c r="AF8" s="39">
        <v>6.8</v>
      </c>
      <c r="AG8" s="39">
        <v>0.2</v>
      </c>
      <c r="AH8" s="39">
        <v>0.3</v>
      </c>
      <c r="AI8" s="19"/>
      <c r="AJ8" s="42">
        <f t="shared" si="12"/>
        <v>6</v>
      </c>
      <c r="AK8" s="42">
        <f t="shared" si="13"/>
        <v>24.6</v>
      </c>
      <c r="AL8" s="42">
        <f t="shared" si="14"/>
        <v>6.4</v>
      </c>
      <c r="AM8" s="42">
        <f t="shared" si="15"/>
        <v>24.900000000000002</v>
      </c>
      <c r="AN8" s="27">
        <f t="shared" si="16"/>
        <v>12.4</v>
      </c>
      <c r="AO8" s="27">
        <f t="shared" si="17"/>
        <v>49.5</v>
      </c>
      <c r="AP8" s="27">
        <f t="shared" si="18"/>
        <v>7.2</v>
      </c>
      <c r="AQ8" s="27">
        <f t="shared" si="19"/>
        <v>26.1</v>
      </c>
      <c r="AR8" s="27">
        <f t="shared" si="20"/>
        <v>6.8</v>
      </c>
      <c r="AS8" s="27">
        <f t="shared" si="21"/>
        <v>25.200000000000003</v>
      </c>
      <c r="AT8" s="27">
        <f t="shared" si="22"/>
        <v>14</v>
      </c>
      <c r="AU8" s="27">
        <f t="shared" si="23"/>
        <v>51.300000000000004</v>
      </c>
      <c r="AV8" s="27">
        <f t="shared" si="24"/>
        <v>100.80000000000001</v>
      </c>
      <c r="AW8" s="15">
        <v>18.8</v>
      </c>
      <c r="AX8" s="15">
        <v>6.4</v>
      </c>
      <c r="AY8" s="15">
        <v>0</v>
      </c>
      <c r="AZ8" s="15">
        <v>0.3</v>
      </c>
      <c r="BA8" s="15">
        <v>18.399999999999999</v>
      </c>
      <c r="BB8" s="15">
        <v>6</v>
      </c>
      <c r="BC8" s="15">
        <v>1</v>
      </c>
      <c r="BD8" s="15">
        <v>0</v>
      </c>
      <c r="BE8" s="15">
        <v>18.8</v>
      </c>
      <c r="BF8" s="15">
        <v>7.2</v>
      </c>
      <c r="BG8" s="15">
        <v>0.6</v>
      </c>
      <c r="BH8" s="15">
        <v>0.3</v>
      </c>
      <c r="BI8" s="15">
        <v>18.7</v>
      </c>
      <c r="BJ8" s="15">
        <v>6.4</v>
      </c>
      <c r="BK8" s="15">
        <v>0</v>
      </c>
      <c r="BL8" s="15">
        <v>0.3</v>
      </c>
      <c r="BM8" s="20"/>
      <c r="BN8" s="43">
        <f t="shared" si="25"/>
        <v>6.4</v>
      </c>
      <c r="BO8" s="43">
        <f t="shared" si="26"/>
        <v>25.500000000000004</v>
      </c>
      <c r="BP8" s="43">
        <f t="shared" si="27"/>
        <v>6</v>
      </c>
      <c r="BQ8" s="43">
        <f t="shared" si="28"/>
        <v>23.4</v>
      </c>
      <c r="BR8" s="10">
        <f t="shared" si="29"/>
        <v>12.4</v>
      </c>
      <c r="BS8" s="10">
        <f t="shared" si="30"/>
        <v>48.900000000000006</v>
      </c>
      <c r="BT8" s="10">
        <f t="shared" si="31"/>
        <v>7.2</v>
      </c>
      <c r="BU8" s="10">
        <f t="shared" si="32"/>
        <v>25.7</v>
      </c>
      <c r="BV8" s="10">
        <f t="shared" si="33"/>
        <v>6.4</v>
      </c>
      <c r="BW8" s="10">
        <f t="shared" si="34"/>
        <v>25.400000000000002</v>
      </c>
      <c r="BX8" s="10">
        <f t="shared" si="35"/>
        <v>13.600000000000001</v>
      </c>
      <c r="BY8" s="10">
        <f t="shared" si="36"/>
        <v>51.1</v>
      </c>
      <c r="BZ8" s="10">
        <f t="shared" si="37"/>
        <v>100</v>
      </c>
      <c r="CA8" s="34" t="str">
        <f t="shared" si="38"/>
        <v/>
      </c>
      <c r="CB8" s="34" t="str">
        <f t="shared" si="39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40"/>
        <v/>
      </c>
      <c r="CX8" s="27" t="str">
        <f t="shared" si="41"/>
        <v/>
      </c>
      <c r="CY8" s="27" t="str">
        <f t="shared" si="42"/>
        <v/>
      </c>
      <c r="CZ8" s="27" t="str">
        <f t="shared" si="43"/>
        <v/>
      </c>
      <c r="DA8" s="27" t="str">
        <f t="shared" si="44"/>
        <v/>
      </c>
      <c r="DB8" s="27" t="str">
        <f t="shared" si="45"/>
        <v/>
      </c>
      <c r="DC8" s="27" t="str">
        <f t="shared" si="46"/>
        <v/>
      </c>
      <c r="DD8" s="27" t="str">
        <f t="shared" si="47"/>
        <v/>
      </c>
      <c r="DE8" s="27" t="str">
        <f t="shared" si="48"/>
        <v/>
      </c>
      <c r="DF8" s="27" t="str">
        <f t="shared" si="49"/>
        <v/>
      </c>
      <c r="DG8" s="27" t="str">
        <f t="shared" si="50"/>
        <v/>
      </c>
      <c r="DH8" s="27" t="str">
        <f t="shared" si="51"/>
        <v/>
      </c>
      <c r="DI8" s="27" t="str">
        <f t="shared" si="52"/>
        <v/>
      </c>
      <c r="DJ8" s="27" t="str">
        <f t="shared" si="53"/>
        <v/>
      </c>
      <c r="DK8" s="27" t="str">
        <f t="shared" si="54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5"/>
        <v/>
      </c>
      <c r="EG8" s="10" t="str">
        <f t="shared" si="56"/>
        <v/>
      </c>
      <c r="EH8" s="10" t="str">
        <f t="shared" si="57"/>
        <v/>
      </c>
      <c r="EI8" s="10" t="str">
        <f t="shared" si="58"/>
        <v/>
      </c>
      <c r="EJ8" s="10" t="str">
        <f t="shared" si="59"/>
        <v/>
      </c>
      <c r="EK8" s="10" t="str">
        <f t="shared" si="60"/>
        <v/>
      </c>
      <c r="EL8" s="10" t="str">
        <f t="shared" si="61"/>
        <v/>
      </c>
      <c r="EM8" s="10" t="str">
        <f t="shared" si="62"/>
        <v/>
      </c>
      <c r="EN8" s="10" t="str">
        <f t="shared" si="63"/>
        <v/>
      </c>
      <c r="EO8" s="10" t="str">
        <f t="shared" si="64"/>
        <v/>
      </c>
      <c r="EP8" s="10" t="str">
        <f t="shared" si="65"/>
        <v/>
      </c>
      <c r="EQ8" s="10" t="str">
        <f t="shared" si="66"/>
        <v/>
      </c>
      <c r="ER8" s="10" t="str">
        <f t="shared" si="67"/>
        <v/>
      </c>
      <c r="ES8" s="10" t="str">
        <f t="shared" si="68"/>
        <v/>
      </c>
      <c r="ET8" s="10" t="str">
        <f t="shared" si="69"/>
        <v/>
      </c>
      <c r="EU8" s="44">
        <f t="shared" si="70"/>
        <v>18.649999999999999</v>
      </c>
      <c r="EV8" s="44">
        <f t="shared" si="71"/>
        <v>6.2</v>
      </c>
      <c r="EW8" s="44">
        <f t="shared" si="72"/>
        <v>0.1</v>
      </c>
      <c r="EX8" s="44">
        <f t="shared" si="73"/>
        <v>0.3</v>
      </c>
      <c r="EY8" s="44">
        <f t="shared" si="74"/>
        <v>18.549999999999997</v>
      </c>
      <c r="EZ8" s="44">
        <f t="shared" si="75"/>
        <v>6.2</v>
      </c>
      <c r="FA8" s="44">
        <f t="shared" si="76"/>
        <v>0.6</v>
      </c>
      <c r="FB8" s="44">
        <f t="shared" si="77"/>
        <v>0</v>
      </c>
      <c r="FC8" s="44">
        <f t="shared" si="78"/>
        <v>18.700000000000003</v>
      </c>
      <c r="FD8" s="44">
        <f t="shared" si="79"/>
        <v>7.2</v>
      </c>
      <c r="FE8" s="44">
        <f t="shared" si="80"/>
        <v>0.3</v>
      </c>
      <c r="FF8" s="44">
        <f t="shared" si="81"/>
        <v>0.3</v>
      </c>
      <c r="FG8" s="44">
        <f t="shared" si="82"/>
        <v>18.5</v>
      </c>
      <c r="FH8" s="44">
        <f t="shared" si="83"/>
        <v>6.6</v>
      </c>
      <c r="FI8" s="44">
        <f t="shared" si="84"/>
        <v>0.1</v>
      </c>
      <c r="FJ8" s="44">
        <f t="shared" si="85"/>
        <v>0.3</v>
      </c>
      <c r="FK8" s="20" t="s">
        <v>29</v>
      </c>
      <c r="FL8" s="10">
        <f t="shared" si="86"/>
        <v>6.2</v>
      </c>
      <c r="FM8" s="10">
        <f t="shared" si="87"/>
        <v>25.049999999999997</v>
      </c>
      <c r="FN8" s="10">
        <f t="shared" si="88"/>
        <v>6.2</v>
      </c>
      <c r="FO8" s="10">
        <f t="shared" si="89"/>
        <v>24.149999999999995</v>
      </c>
      <c r="FP8" s="10">
        <f t="shared" si="90"/>
        <v>12.4</v>
      </c>
      <c r="FQ8" s="10">
        <f t="shared" si="93"/>
        <v>49.199999999999989</v>
      </c>
      <c r="FR8" s="10">
        <f t="shared" si="94"/>
        <v>7.2</v>
      </c>
      <c r="FS8" s="10">
        <f t="shared" si="95"/>
        <v>25.900000000000002</v>
      </c>
      <c r="FT8" s="10">
        <f t="shared" si="96"/>
        <v>6.6</v>
      </c>
      <c r="FU8" s="10">
        <f t="shared" si="97"/>
        <v>25.3</v>
      </c>
      <c r="FV8" s="10">
        <f t="shared" si="98"/>
        <v>13.8</v>
      </c>
      <c r="FW8" s="10">
        <f t="shared" si="91"/>
        <v>51.2</v>
      </c>
      <c r="FX8" s="10">
        <f t="shared" si="92"/>
        <v>100.39999999999999</v>
      </c>
    </row>
    <row r="9" spans="1:180" x14ac:dyDescent="0.2">
      <c r="A9" s="3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4" t="s">
        <v>127</v>
      </c>
      <c r="C9" s="3" t="s">
        <v>4</v>
      </c>
      <c r="D9" s="3">
        <v>2005</v>
      </c>
      <c r="E9" s="8">
        <f t="shared" si="0"/>
        <v>99.550007495004962</v>
      </c>
      <c r="F9" s="2" t="str">
        <f t="shared" si="1"/>
        <v>P</v>
      </c>
      <c r="G9" s="2" t="str">
        <f t="shared" si="2"/>
        <v>P</v>
      </c>
      <c r="H9" s="26" t="str">
        <f t="shared" si="3"/>
        <v>Worlds Team</v>
      </c>
      <c r="I9" s="2" t="str">
        <f t="shared" si="4"/>
        <v>P</v>
      </c>
      <c r="J9" s="7">
        <f t="shared" si="5"/>
        <v>49.650000000000006</v>
      </c>
      <c r="K9" s="7" t="str">
        <f t="shared" si="6"/>
        <v>2025 Nationals</v>
      </c>
      <c r="L9" s="7">
        <f>IF(J9=AO9,IF(COUNT(AQ9,AS9,BO9,BQ9,BU9,BW9)&gt;1,LARGE((AQ9,AS9,BO9,BQ9,BU9,BW9),1),0),IF(COUNT(AK9,AM9,AQ9,AS9,BU9,BW9)&gt;1,LARGE((AK9,AM9,AQ9,AS9,BU9,BW9),1),0))</f>
        <v>25.3</v>
      </c>
      <c r="M9" s="7" t="str">
        <f t="shared" si="7"/>
        <v>2025 Nationals</v>
      </c>
      <c r="N9" s="7">
        <f>IF(J9=AO9,IF(COUNT(AQ9,AS9,BO9,BQ9,BU9,BW9)&gt;1,LARGE((AQ9,AS9,BO9,BQ9,BU9,BW9),2),0),IF(COUNT(AK9,AM9,AQ9,AS9,BU9,BW9)&gt;1,LARGE((AK9,AM9,AQ9,AS9,BU9,BW9),2),0))</f>
        <v>24.599999999999998</v>
      </c>
      <c r="O9" s="7" t="str">
        <f t="shared" si="8"/>
        <v>2025 Nationals</v>
      </c>
      <c r="P9" s="7" t="str">
        <f t="shared" si="9"/>
        <v/>
      </c>
      <c r="Q9" s="10" t="str">
        <f t="shared" si="10"/>
        <v/>
      </c>
      <c r="R9" s="7" t="str">
        <f t="shared" si="11"/>
        <v/>
      </c>
      <c r="S9" s="39">
        <v>18.549999999999997</v>
      </c>
      <c r="T9" s="39">
        <v>6.4</v>
      </c>
      <c r="U9" s="39">
        <v>0.4</v>
      </c>
      <c r="V9" s="39">
        <v>0.3</v>
      </c>
      <c r="W9" s="39">
        <v>18.8</v>
      </c>
      <c r="X9" s="39">
        <v>6.4</v>
      </c>
      <c r="Y9" s="39">
        <v>0.4</v>
      </c>
      <c r="Z9" s="39">
        <v>0</v>
      </c>
      <c r="AA9" s="39">
        <v>18.399999999999999</v>
      </c>
      <c r="AB9" s="39">
        <v>6.8</v>
      </c>
      <c r="AC9" s="39">
        <v>0.2</v>
      </c>
      <c r="AD9" s="39">
        <v>0.3</v>
      </c>
      <c r="AE9" s="39">
        <v>18.5</v>
      </c>
      <c r="AF9" s="39">
        <v>6.4</v>
      </c>
      <c r="AG9" s="39">
        <v>0.3</v>
      </c>
      <c r="AH9" s="39">
        <v>0</v>
      </c>
      <c r="AI9" s="19" t="s">
        <v>29</v>
      </c>
      <c r="AJ9" s="42">
        <f t="shared" si="12"/>
        <v>6.4</v>
      </c>
      <c r="AK9" s="42">
        <f t="shared" si="13"/>
        <v>24.849999999999998</v>
      </c>
      <c r="AL9" s="42">
        <f t="shared" si="14"/>
        <v>6.4</v>
      </c>
      <c r="AM9" s="42">
        <f t="shared" si="15"/>
        <v>24.800000000000004</v>
      </c>
      <c r="AN9" s="27">
        <f t="shared" si="16"/>
        <v>12.8</v>
      </c>
      <c r="AO9" s="27">
        <f t="shared" si="17"/>
        <v>49.650000000000006</v>
      </c>
      <c r="AP9" s="27">
        <f t="shared" si="18"/>
        <v>6.8</v>
      </c>
      <c r="AQ9" s="27">
        <f t="shared" si="19"/>
        <v>25.3</v>
      </c>
      <c r="AR9" s="27">
        <f t="shared" si="20"/>
        <v>6.4</v>
      </c>
      <c r="AS9" s="27">
        <f t="shared" si="21"/>
        <v>24.599999999999998</v>
      </c>
      <c r="AT9" s="27">
        <f t="shared" si="22"/>
        <v>13.2</v>
      </c>
      <c r="AU9" s="27">
        <f t="shared" si="23"/>
        <v>49.9</v>
      </c>
      <c r="AV9" s="27">
        <f t="shared" si="24"/>
        <v>99.550000000000011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3" t="str">
        <f t="shared" si="25"/>
        <v/>
      </c>
      <c r="BO9" s="43" t="str">
        <f t="shared" si="26"/>
        <v/>
      </c>
      <c r="BP9" s="43" t="str">
        <f t="shared" si="27"/>
        <v/>
      </c>
      <c r="BQ9" s="43" t="str">
        <f t="shared" si="28"/>
        <v/>
      </c>
      <c r="BR9" s="10" t="str">
        <f t="shared" si="29"/>
        <v/>
      </c>
      <c r="BS9" s="10" t="str">
        <f t="shared" si="30"/>
        <v/>
      </c>
      <c r="BT9" s="10" t="str">
        <f t="shared" si="31"/>
        <v/>
      </c>
      <c r="BU9" s="10" t="str">
        <f t="shared" si="32"/>
        <v/>
      </c>
      <c r="BV9" s="10" t="str">
        <f t="shared" si="33"/>
        <v/>
      </c>
      <c r="BW9" s="10" t="str">
        <f t="shared" si="34"/>
        <v/>
      </c>
      <c r="BX9" s="10" t="str">
        <f t="shared" si="35"/>
        <v/>
      </c>
      <c r="BY9" s="10" t="str">
        <f t="shared" si="36"/>
        <v/>
      </c>
      <c r="BZ9" s="10" t="str">
        <f t="shared" si="37"/>
        <v/>
      </c>
      <c r="CA9" s="34" t="str">
        <f t="shared" si="38"/>
        <v/>
      </c>
      <c r="CB9" s="34" t="str">
        <f t="shared" si="39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40"/>
        <v/>
      </c>
      <c r="CX9" s="27" t="str">
        <f t="shared" si="41"/>
        <v/>
      </c>
      <c r="CY9" s="27" t="str">
        <f t="shared" si="42"/>
        <v/>
      </c>
      <c r="CZ9" s="27" t="str">
        <f t="shared" si="43"/>
        <v/>
      </c>
      <c r="DA9" s="27" t="str">
        <f t="shared" si="44"/>
        <v/>
      </c>
      <c r="DB9" s="27" t="str">
        <f t="shared" si="45"/>
        <v/>
      </c>
      <c r="DC9" s="27" t="str">
        <f t="shared" si="46"/>
        <v/>
      </c>
      <c r="DD9" s="27" t="str">
        <f t="shared" si="47"/>
        <v/>
      </c>
      <c r="DE9" s="27" t="str">
        <f t="shared" si="48"/>
        <v/>
      </c>
      <c r="DF9" s="27" t="str">
        <f t="shared" si="49"/>
        <v/>
      </c>
      <c r="DG9" s="27" t="str">
        <f t="shared" si="50"/>
        <v/>
      </c>
      <c r="DH9" s="27" t="str">
        <f t="shared" si="51"/>
        <v/>
      </c>
      <c r="DI9" s="27" t="str">
        <f t="shared" si="52"/>
        <v/>
      </c>
      <c r="DJ9" s="27" t="str">
        <f t="shared" si="53"/>
        <v/>
      </c>
      <c r="DK9" s="27" t="str">
        <f t="shared" si="54"/>
        <v/>
      </c>
      <c r="DL9" s="15">
        <v>18</v>
      </c>
      <c r="DM9" s="15">
        <v>6.4</v>
      </c>
      <c r="DN9" s="15">
        <v>0.2</v>
      </c>
      <c r="DO9" s="15">
        <v>0</v>
      </c>
      <c r="DP9" s="15">
        <v>18.399999999999999</v>
      </c>
      <c r="DQ9" s="15">
        <v>5.2</v>
      </c>
      <c r="DR9" s="15">
        <v>1</v>
      </c>
      <c r="DS9" s="15">
        <v>0</v>
      </c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>
        <f t="shared" si="55"/>
        <v>6.4</v>
      </c>
      <c r="EG9" s="10">
        <f t="shared" si="56"/>
        <v>24.2</v>
      </c>
      <c r="EH9" s="10">
        <f t="shared" si="57"/>
        <v>5.2</v>
      </c>
      <c r="EI9" s="10">
        <f t="shared" si="58"/>
        <v>22.599999999999998</v>
      </c>
      <c r="EJ9" s="10">
        <f t="shared" si="59"/>
        <v>11.600000000000001</v>
      </c>
      <c r="EK9" s="10">
        <f t="shared" si="60"/>
        <v>46.8</v>
      </c>
      <c r="EL9" s="10" t="str">
        <f t="shared" si="61"/>
        <v/>
      </c>
      <c r="EM9" s="10" t="str">
        <f t="shared" si="62"/>
        <v/>
      </c>
      <c r="EN9" s="10" t="str">
        <f t="shared" si="63"/>
        <v/>
      </c>
      <c r="EO9" s="10" t="str">
        <f t="shared" si="64"/>
        <v/>
      </c>
      <c r="EP9" s="10" t="str">
        <f t="shared" si="65"/>
        <v/>
      </c>
      <c r="EQ9" s="10" t="str">
        <f t="shared" si="66"/>
        <v/>
      </c>
      <c r="ER9" s="10" t="str">
        <f t="shared" si="67"/>
        <v/>
      </c>
      <c r="ES9" s="10" t="str">
        <f t="shared" si="68"/>
        <v/>
      </c>
      <c r="ET9" s="10">
        <f t="shared" si="69"/>
        <v>46.8</v>
      </c>
      <c r="EU9" s="44">
        <f t="shared" si="70"/>
        <v>9.2749999999999986</v>
      </c>
      <c r="EV9" s="44">
        <f t="shared" si="71"/>
        <v>3.2</v>
      </c>
      <c r="EW9" s="44">
        <f t="shared" si="72"/>
        <v>0.2</v>
      </c>
      <c r="EX9" s="44">
        <f t="shared" si="73"/>
        <v>0.15</v>
      </c>
      <c r="EY9" s="44">
        <f t="shared" si="74"/>
        <v>9.4</v>
      </c>
      <c r="EZ9" s="44">
        <f t="shared" si="75"/>
        <v>3.2</v>
      </c>
      <c r="FA9" s="44">
        <f t="shared" si="76"/>
        <v>0.2</v>
      </c>
      <c r="FB9" s="44">
        <f t="shared" si="77"/>
        <v>0</v>
      </c>
      <c r="FC9" s="44">
        <f t="shared" si="78"/>
        <v>9.1999999999999993</v>
      </c>
      <c r="FD9" s="44">
        <f t="shared" si="79"/>
        <v>3.4</v>
      </c>
      <c r="FE9" s="44">
        <f t="shared" si="80"/>
        <v>0.1</v>
      </c>
      <c r="FF9" s="44">
        <f t="shared" si="81"/>
        <v>0.15</v>
      </c>
      <c r="FG9" s="44">
        <f t="shared" si="82"/>
        <v>9.25</v>
      </c>
      <c r="FH9" s="44">
        <f t="shared" si="83"/>
        <v>3.2</v>
      </c>
      <c r="FI9" s="44">
        <f t="shared" si="84"/>
        <v>0.15</v>
      </c>
      <c r="FJ9" s="44">
        <f t="shared" si="85"/>
        <v>0</v>
      </c>
      <c r="FK9" s="20" t="s">
        <v>29</v>
      </c>
      <c r="FL9" s="10">
        <f t="shared" si="86"/>
        <v>3.2</v>
      </c>
      <c r="FM9" s="10">
        <f t="shared" si="87"/>
        <v>12.424999999999999</v>
      </c>
      <c r="FN9" s="10">
        <f t="shared" si="88"/>
        <v>3.2</v>
      </c>
      <c r="FO9" s="10">
        <f t="shared" si="89"/>
        <v>12.400000000000002</v>
      </c>
      <c r="FP9" s="10">
        <f t="shared" si="90"/>
        <v>6.4</v>
      </c>
      <c r="FQ9" s="10">
        <f t="shared" si="93"/>
        <v>24.825000000000003</v>
      </c>
      <c r="FR9" s="10">
        <f t="shared" si="94"/>
        <v>3.4</v>
      </c>
      <c r="FS9" s="10">
        <f t="shared" si="95"/>
        <v>12.65</v>
      </c>
      <c r="FT9" s="10">
        <f t="shared" si="96"/>
        <v>3.2</v>
      </c>
      <c r="FU9" s="10">
        <f t="shared" si="97"/>
        <v>12.299999999999999</v>
      </c>
      <c r="FV9" s="10">
        <f t="shared" si="98"/>
        <v>6.6</v>
      </c>
      <c r="FW9" s="10">
        <f t="shared" si="91"/>
        <v>24.95</v>
      </c>
      <c r="FX9" s="10">
        <f t="shared" si="92"/>
        <v>49.775000000000006</v>
      </c>
    </row>
    <row r="10" spans="1:180" x14ac:dyDescent="0.2">
      <c r="A10" s="3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4" t="s">
        <v>129</v>
      </c>
      <c r="C10" s="3" t="s">
        <v>6</v>
      </c>
      <c r="D10" s="3">
        <v>2002</v>
      </c>
      <c r="E10" s="8">
        <f t="shared" si="0"/>
        <v>98.300007390004907</v>
      </c>
      <c r="F10" s="2" t="str">
        <f t="shared" si="1"/>
        <v>P</v>
      </c>
      <c r="G10" s="2" t="str">
        <f t="shared" si="2"/>
        <v>P</v>
      </c>
      <c r="H10" s="26" t="str">
        <f t="shared" si="3"/>
        <v>Worlds Team</v>
      </c>
      <c r="I10" s="2" t="str">
        <f t="shared" si="4"/>
        <v>P</v>
      </c>
      <c r="J10" s="7">
        <f t="shared" si="5"/>
        <v>49</v>
      </c>
      <c r="K10" s="7" t="str">
        <f t="shared" si="6"/>
        <v>2025 Nationals</v>
      </c>
      <c r="L10" s="7">
        <f>IF(J10=AO10,IF(COUNT(AQ10,AS10,BO10,BQ10,BU10,BW10)&gt;1,LARGE((AQ10,AS10,BO10,BQ10,BU10,BW10),1),0),IF(COUNT(AK10,AM10,AQ10,AS10,BU10,BW10)&gt;1,LARGE((AK10,AM10,AQ10,AS10,BU10,BW10),1),0))</f>
        <v>24.900000000000002</v>
      </c>
      <c r="M10" s="7" t="str">
        <f t="shared" si="7"/>
        <v>2025 3rd Domestic Trial</v>
      </c>
      <c r="N10" s="7">
        <f>IF(J10=AO10,IF(COUNT(AQ10,AS10,BO10,BQ10,BU10,BW10)&gt;1,LARGE((AQ10,AS10,BO10,BQ10,BU10,BW10),2),0),IF(COUNT(AK10,AM10,AQ10,AS10,BU10,BW10)&gt;1,LARGE((AK10,AM10,AQ10,AS10,BU10,BW10),2),0))</f>
        <v>24.4</v>
      </c>
      <c r="O10" s="7" t="str">
        <f t="shared" si="8"/>
        <v>2025 3rd Domestic Trial</v>
      </c>
      <c r="P10" s="7" t="str">
        <f t="shared" si="9"/>
        <v/>
      </c>
      <c r="Q10" s="10" t="str">
        <f t="shared" si="10"/>
        <v/>
      </c>
      <c r="R10" s="7" t="str">
        <f t="shared" si="11"/>
        <v/>
      </c>
      <c r="S10" s="39">
        <v>18.8</v>
      </c>
      <c r="T10" s="39">
        <v>6</v>
      </c>
      <c r="U10" s="39">
        <v>0.2</v>
      </c>
      <c r="V10" s="39">
        <v>0.3</v>
      </c>
      <c r="W10" s="39">
        <v>18.7</v>
      </c>
      <c r="X10" s="39">
        <v>5.6</v>
      </c>
      <c r="Y10" s="39">
        <v>0.2</v>
      </c>
      <c r="Z10" s="39">
        <v>0</v>
      </c>
      <c r="AA10" s="39">
        <v>18.600000000000001</v>
      </c>
      <c r="AB10" s="39">
        <v>6</v>
      </c>
      <c r="AC10" s="39">
        <v>0.8</v>
      </c>
      <c r="AD10" s="39">
        <v>0.3</v>
      </c>
      <c r="AE10" s="39">
        <v>18.7</v>
      </c>
      <c r="AF10" s="39">
        <v>5.6</v>
      </c>
      <c r="AG10" s="39">
        <v>0</v>
      </c>
      <c r="AH10" s="39">
        <v>0</v>
      </c>
      <c r="AI10" s="19"/>
      <c r="AJ10" s="42">
        <f t="shared" si="12"/>
        <v>6</v>
      </c>
      <c r="AK10" s="42">
        <f t="shared" si="13"/>
        <v>24.900000000000002</v>
      </c>
      <c r="AL10" s="42">
        <f t="shared" si="14"/>
        <v>5.6</v>
      </c>
      <c r="AM10" s="42">
        <f t="shared" si="15"/>
        <v>24.099999999999998</v>
      </c>
      <c r="AN10" s="27">
        <f t="shared" si="16"/>
        <v>11.6</v>
      </c>
      <c r="AO10" s="27">
        <f t="shared" si="17"/>
        <v>49</v>
      </c>
      <c r="AP10" s="27">
        <f t="shared" si="18"/>
        <v>6</v>
      </c>
      <c r="AQ10" s="27">
        <f t="shared" si="19"/>
        <v>24.1</v>
      </c>
      <c r="AR10" s="27">
        <f t="shared" si="20"/>
        <v>5.6</v>
      </c>
      <c r="AS10" s="27">
        <f t="shared" si="21"/>
        <v>24.299999999999997</v>
      </c>
      <c r="AT10" s="27">
        <f t="shared" si="22"/>
        <v>11.6</v>
      </c>
      <c r="AU10" s="27">
        <f t="shared" si="23"/>
        <v>48.4</v>
      </c>
      <c r="AV10" s="27">
        <f t="shared" si="24"/>
        <v>97.4</v>
      </c>
      <c r="AW10" s="15">
        <v>18.3</v>
      </c>
      <c r="AX10" s="15">
        <v>6.4</v>
      </c>
      <c r="AY10" s="15">
        <v>1</v>
      </c>
      <c r="AZ10" s="15">
        <v>0.3</v>
      </c>
      <c r="BA10" s="15">
        <v>18.600000000000001</v>
      </c>
      <c r="BB10" s="15">
        <v>6.8</v>
      </c>
      <c r="BC10" s="15">
        <v>0.8</v>
      </c>
      <c r="BD10" s="15">
        <v>0.3</v>
      </c>
      <c r="BE10" s="15">
        <v>18.5</v>
      </c>
      <c r="BF10" s="15">
        <v>6.4</v>
      </c>
      <c r="BG10" s="15">
        <v>0.8</v>
      </c>
      <c r="BH10" s="15">
        <v>0.3</v>
      </c>
      <c r="BI10" s="15">
        <v>18.7</v>
      </c>
      <c r="BJ10" s="15">
        <v>6</v>
      </c>
      <c r="BK10" s="15">
        <v>1</v>
      </c>
      <c r="BL10" s="15">
        <v>0</v>
      </c>
      <c r="BM10" s="20"/>
      <c r="BN10" s="43">
        <f t="shared" si="25"/>
        <v>6.4</v>
      </c>
      <c r="BO10" s="43">
        <f t="shared" si="26"/>
        <v>24.000000000000004</v>
      </c>
      <c r="BP10" s="43">
        <f t="shared" si="27"/>
        <v>6.8</v>
      </c>
      <c r="BQ10" s="43">
        <f t="shared" si="28"/>
        <v>24.900000000000002</v>
      </c>
      <c r="BR10" s="10">
        <f t="shared" si="29"/>
        <v>13.2</v>
      </c>
      <c r="BS10" s="10">
        <f t="shared" si="30"/>
        <v>48.900000000000006</v>
      </c>
      <c r="BT10" s="10">
        <f t="shared" si="31"/>
        <v>6.4</v>
      </c>
      <c r="BU10" s="10">
        <f t="shared" si="32"/>
        <v>24.4</v>
      </c>
      <c r="BV10" s="10">
        <f t="shared" si="33"/>
        <v>6</v>
      </c>
      <c r="BW10" s="10">
        <f t="shared" si="34"/>
        <v>23.7</v>
      </c>
      <c r="BX10" s="10">
        <f t="shared" si="35"/>
        <v>12.4</v>
      </c>
      <c r="BY10" s="10">
        <f t="shared" si="36"/>
        <v>48.099999999999994</v>
      </c>
      <c r="BZ10" s="10">
        <f t="shared" si="37"/>
        <v>97</v>
      </c>
      <c r="CA10" s="34" t="str">
        <f t="shared" si="38"/>
        <v/>
      </c>
      <c r="CB10" s="34" t="str">
        <f t="shared" si="39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40"/>
        <v/>
      </c>
      <c r="CX10" s="27" t="str">
        <f t="shared" si="41"/>
        <v/>
      </c>
      <c r="CY10" s="27" t="str">
        <f t="shared" si="42"/>
        <v/>
      </c>
      <c r="CZ10" s="27" t="str">
        <f t="shared" si="43"/>
        <v/>
      </c>
      <c r="DA10" s="27" t="str">
        <f t="shared" si="44"/>
        <v/>
      </c>
      <c r="DB10" s="27" t="str">
        <f t="shared" si="45"/>
        <v/>
      </c>
      <c r="DC10" s="27" t="str">
        <f t="shared" si="46"/>
        <v/>
      </c>
      <c r="DD10" s="27" t="str">
        <f t="shared" si="47"/>
        <v/>
      </c>
      <c r="DE10" s="27" t="str">
        <f t="shared" si="48"/>
        <v/>
      </c>
      <c r="DF10" s="27" t="str">
        <f t="shared" si="49"/>
        <v/>
      </c>
      <c r="DG10" s="27" t="str">
        <f t="shared" si="50"/>
        <v/>
      </c>
      <c r="DH10" s="27" t="str">
        <f t="shared" si="51"/>
        <v/>
      </c>
      <c r="DI10" s="27" t="str">
        <f t="shared" si="52"/>
        <v/>
      </c>
      <c r="DJ10" s="27" t="str">
        <f t="shared" si="53"/>
        <v/>
      </c>
      <c r="DK10" s="27" t="str">
        <f t="shared" si="54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5"/>
        <v/>
      </c>
      <c r="EG10" s="10" t="str">
        <f t="shared" si="56"/>
        <v/>
      </c>
      <c r="EH10" s="10" t="str">
        <f t="shared" si="57"/>
        <v/>
      </c>
      <c r="EI10" s="10" t="str">
        <f t="shared" si="58"/>
        <v/>
      </c>
      <c r="EJ10" s="10" t="str">
        <f t="shared" si="59"/>
        <v/>
      </c>
      <c r="EK10" s="10" t="str">
        <f t="shared" si="60"/>
        <v/>
      </c>
      <c r="EL10" s="10" t="str">
        <f t="shared" si="61"/>
        <v/>
      </c>
      <c r="EM10" s="10" t="str">
        <f t="shared" si="62"/>
        <v/>
      </c>
      <c r="EN10" s="10" t="str">
        <f t="shared" si="63"/>
        <v/>
      </c>
      <c r="EO10" s="10" t="str">
        <f t="shared" si="64"/>
        <v/>
      </c>
      <c r="EP10" s="10" t="str">
        <f t="shared" si="65"/>
        <v/>
      </c>
      <c r="EQ10" s="10" t="str">
        <f t="shared" si="66"/>
        <v/>
      </c>
      <c r="ER10" s="10" t="str">
        <f t="shared" si="67"/>
        <v/>
      </c>
      <c r="ES10" s="10" t="str">
        <f t="shared" si="68"/>
        <v/>
      </c>
      <c r="ET10" s="10" t="str">
        <f t="shared" si="69"/>
        <v/>
      </c>
      <c r="EU10" s="44">
        <f t="shared" si="70"/>
        <v>18.55</v>
      </c>
      <c r="EV10" s="44">
        <f t="shared" si="71"/>
        <v>6.2</v>
      </c>
      <c r="EW10" s="44">
        <f t="shared" si="72"/>
        <v>0.6</v>
      </c>
      <c r="EX10" s="44">
        <f t="shared" si="73"/>
        <v>0.3</v>
      </c>
      <c r="EY10" s="44">
        <f t="shared" si="74"/>
        <v>18.649999999999999</v>
      </c>
      <c r="EZ10" s="44">
        <f t="shared" si="75"/>
        <v>6.1999999999999993</v>
      </c>
      <c r="FA10" s="44">
        <f t="shared" si="76"/>
        <v>0.5</v>
      </c>
      <c r="FB10" s="44">
        <f t="shared" si="77"/>
        <v>0.15</v>
      </c>
      <c r="FC10" s="44">
        <f t="shared" si="78"/>
        <v>18.55</v>
      </c>
      <c r="FD10" s="44">
        <f t="shared" si="79"/>
        <v>6.2</v>
      </c>
      <c r="FE10" s="44">
        <f t="shared" si="80"/>
        <v>0.8</v>
      </c>
      <c r="FF10" s="44">
        <f t="shared" si="81"/>
        <v>0.3</v>
      </c>
      <c r="FG10" s="44">
        <f t="shared" si="82"/>
        <v>18.7</v>
      </c>
      <c r="FH10" s="44">
        <f t="shared" si="83"/>
        <v>5.8</v>
      </c>
      <c r="FI10" s="44">
        <f t="shared" si="84"/>
        <v>0.5</v>
      </c>
      <c r="FJ10" s="44">
        <f t="shared" si="85"/>
        <v>0</v>
      </c>
      <c r="FK10" s="20" t="s">
        <v>29</v>
      </c>
      <c r="FL10" s="10">
        <f t="shared" si="86"/>
        <v>6.2</v>
      </c>
      <c r="FM10" s="10">
        <f t="shared" si="87"/>
        <v>24.45</v>
      </c>
      <c r="FN10" s="10">
        <f t="shared" si="88"/>
        <v>6.1999999999999993</v>
      </c>
      <c r="FO10" s="10">
        <f t="shared" si="89"/>
        <v>24.499999999999996</v>
      </c>
      <c r="FP10" s="10">
        <f t="shared" si="90"/>
        <v>12.399999999999999</v>
      </c>
      <c r="FQ10" s="10">
        <f t="shared" si="93"/>
        <v>48.949999999999996</v>
      </c>
      <c r="FR10" s="10">
        <f t="shared" si="94"/>
        <v>6.2</v>
      </c>
      <c r="FS10" s="10">
        <f t="shared" si="95"/>
        <v>24.25</v>
      </c>
      <c r="FT10" s="10">
        <f t="shared" si="96"/>
        <v>5.8</v>
      </c>
      <c r="FU10" s="10">
        <f t="shared" si="97"/>
        <v>24</v>
      </c>
      <c r="FV10" s="10">
        <f t="shared" si="98"/>
        <v>12</v>
      </c>
      <c r="FW10" s="10">
        <f t="shared" si="91"/>
        <v>48.25</v>
      </c>
      <c r="FX10" s="10">
        <f t="shared" si="92"/>
        <v>97.199999999999989</v>
      </c>
    </row>
    <row r="11" spans="1:180" x14ac:dyDescent="0.2">
      <c r="A11" s="3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4" t="s">
        <v>128</v>
      </c>
      <c r="C11" s="3" t="s">
        <v>4</v>
      </c>
      <c r="D11" s="3">
        <v>1999</v>
      </c>
      <c r="E11" s="8">
        <f t="shared" si="0"/>
        <v>98.200007370004911</v>
      </c>
      <c r="F11" s="2" t="str">
        <f t="shared" si="1"/>
        <v>P</v>
      </c>
      <c r="G11" s="2" t="str">
        <f t="shared" si="2"/>
        <v>P</v>
      </c>
      <c r="H11" s="26" t="str">
        <f t="shared" si="3"/>
        <v>Worlds Team</v>
      </c>
      <c r="I11" s="2" t="str">
        <f t="shared" si="4"/>
        <v>P</v>
      </c>
      <c r="J11" s="7">
        <f t="shared" si="5"/>
        <v>49</v>
      </c>
      <c r="K11" s="7" t="str">
        <f t="shared" si="6"/>
        <v>2025 3rd Domestic Trial</v>
      </c>
      <c r="L11" s="7">
        <f>IF(J11=AO11,IF(COUNT(AQ11,AS11,BO11,BQ11,BU11,BW11)&gt;1,LARGE((AQ11,AS11,BO11,BQ11,BU11,BW11),1),0),IF(COUNT(AK11,AM11,AQ11,AS11,BU11,BW11)&gt;1,LARGE((AK11,AM11,AQ11,AS11,BU11,BW11),1),0))</f>
        <v>24.7</v>
      </c>
      <c r="M11" s="7" t="str">
        <f t="shared" si="7"/>
        <v>2025 Nationals</v>
      </c>
      <c r="N11" s="7">
        <f>IF(J11=AO11,IF(COUNT(AQ11,AS11,BO11,BQ11,BU11,BW11)&gt;1,LARGE((AQ11,AS11,BO11,BQ11,BU11,BW11),2),0),IF(COUNT(AK11,AM11,AQ11,AS11,BU11,BW11)&gt;1,LARGE((AK11,AM11,AQ11,AS11,BU11,BW11),2),0))</f>
        <v>24.500000000000004</v>
      </c>
      <c r="O11" s="7" t="str">
        <f t="shared" si="8"/>
        <v>2025 3rd Domestic Trial</v>
      </c>
      <c r="P11" s="7" t="str">
        <f t="shared" si="9"/>
        <v/>
      </c>
      <c r="Q11" s="10" t="str">
        <f t="shared" si="10"/>
        <v/>
      </c>
      <c r="R11" s="7" t="str">
        <f t="shared" si="11"/>
        <v/>
      </c>
      <c r="S11" s="39">
        <v>18.600000000000001</v>
      </c>
      <c r="T11" s="39">
        <v>6</v>
      </c>
      <c r="U11" s="39">
        <v>0.2</v>
      </c>
      <c r="V11" s="39">
        <v>0</v>
      </c>
      <c r="W11" s="39">
        <v>19</v>
      </c>
      <c r="X11" s="39">
        <v>5.6</v>
      </c>
      <c r="Y11" s="39">
        <v>0</v>
      </c>
      <c r="Z11" s="39">
        <v>0</v>
      </c>
      <c r="AA11" s="39">
        <v>18.899999999999999</v>
      </c>
      <c r="AB11" s="39">
        <v>6</v>
      </c>
      <c r="AC11" s="39">
        <v>0.2</v>
      </c>
      <c r="AD11" s="39">
        <v>0</v>
      </c>
      <c r="AE11" s="39">
        <v>19.100000000000001</v>
      </c>
      <c r="AF11" s="39">
        <v>5.6</v>
      </c>
      <c r="AG11" s="39">
        <v>0.2</v>
      </c>
      <c r="AH11" s="39">
        <v>0</v>
      </c>
      <c r="AI11" s="19"/>
      <c r="AJ11" s="42">
        <f t="shared" si="12"/>
        <v>6</v>
      </c>
      <c r="AK11" s="42">
        <f t="shared" si="13"/>
        <v>24.400000000000002</v>
      </c>
      <c r="AL11" s="42">
        <f t="shared" si="14"/>
        <v>5.6</v>
      </c>
      <c r="AM11" s="42">
        <f t="shared" si="15"/>
        <v>24.6</v>
      </c>
      <c r="AN11" s="27">
        <f t="shared" si="16"/>
        <v>11.6</v>
      </c>
      <c r="AO11" s="27">
        <f t="shared" si="17"/>
        <v>49</v>
      </c>
      <c r="AP11" s="27">
        <f t="shared" si="18"/>
        <v>6</v>
      </c>
      <c r="AQ11" s="27">
        <f t="shared" si="19"/>
        <v>24.7</v>
      </c>
      <c r="AR11" s="27">
        <f t="shared" si="20"/>
        <v>5.6</v>
      </c>
      <c r="AS11" s="27">
        <f t="shared" si="21"/>
        <v>24.500000000000004</v>
      </c>
      <c r="AT11" s="27">
        <f t="shared" si="22"/>
        <v>11.6</v>
      </c>
      <c r="AU11" s="27">
        <f t="shared" si="23"/>
        <v>49.2</v>
      </c>
      <c r="AV11" s="27">
        <f t="shared" si="24"/>
        <v>98.2</v>
      </c>
      <c r="AW11" s="15">
        <v>19.100000000000001</v>
      </c>
      <c r="AX11" s="15">
        <v>5.6</v>
      </c>
      <c r="AY11" s="15">
        <v>0.2</v>
      </c>
      <c r="AZ11" s="15">
        <v>0</v>
      </c>
      <c r="BA11" s="15">
        <v>18.7</v>
      </c>
      <c r="BB11" s="15">
        <v>6</v>
      </c>
      <c r="BC11" s="15">
        <v>0.2</v>
      </c>
      <c r="BD11" s="15">
        <v>0</v>
      </c>
      <c r="BE11" s="15">
        <v>18.8</v>
      </c>
      <c r="BF11" s="15">
        <v>5.6</v>
      </c>
      <c r="BG11" s="15">
        <v>0.4</v>
      </c>
      <c r="BH11" s="15">
        <v>0</v>
      </c>
      <c r="BI11" s="15">
        <v>18.600000000000001</v>
      </c>
      <c r="BJ11" s="15">
        <v>6</v>
      </c>
      <c r="BK11" s="15">
        <v>1</v>
      </c>
      <c r="BL11" s="15">
        <v>0</v>
      </c>
      <c r="BM11" s="20"/>
      <c r="BN11" s="43">
        <f t="shared" si="25"/>
        <v>5.6</v>
      </c>
      <c r="BO11" s="43">
        <f t="shared" si="26"/>
        <v>24.500000000000004</v>
      </c>
      <c r="BP11" s="43">
        <f t="shared" si="27"/>
        <v>6</v>
      </c>
      <c r="BQ11" s="43">
        <f t="shared" si="28"/>
        <v>24.5</v>
      </c>
      <c r="BR11" s="10">
        <f t="shared" si="29"/>
        <v>11.6</v>
      </c>
      <c r="BS11" s="10">
        <f t="shared" si="30"/>
        <v>49</v>
      </c>
      <c r="BT11" s="10">
        <f t="shared" si="31"/>
        <v>5.6</v>
      </c>
      <c r="BU11" s="10">
        <f t="shared" si="32"/>
        <v>24</v>
      </c>
      <c r="BV11" s="10">
        <f t="shared" si="33"/>
        <v>6</v>
      </c>
      <c r="BW11" s="10">
        <f t="shared" si="34"/>
        <v>23.6</v>
      </c>
      <c r="BX11" s="10">
        <f t="shared" si="35"/>
        <v>11.6</v>
      </c>
      <c r="BY11" s="10">
        <f t="shared" si="36"/>
        <v>47.6</v>
      </c>
      <c r="BZ11" s="10">
        <f t="shared" si="37"/>
        <v>96.6</v>
      </c>
      <c r="CA11" s="34" t="str">
        <f t="shared" si="38"/>
        <v/>
      </c>
      <c r="CB11" s="34" t="str">
        <f t="shared" si="39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40"/>
        <v/>
      </c>
      <c r="CX11" s="27" t="str">
        <f t="shared" si="41"/>
        <v/>
      </c>
      <c r="CY11" s="27" t="str">
        <f t="shared" si="42"/>
        <v/>
      </c>
      <c r="CZ11" s="27" t="str">
        <f t="shared" si="43"/>
        <v/>
      </c>
      <c r="DA11" s="27" t="str">
        <f t="shared" si="44"/>
        <v/>
      </c>
      <c r="DB11" s="27" t="str">
        <f t="shared" si="45"/>
        <v/>
      </c>
      <c r="DC11" s="27" t="str">
        <f t="shared" si="46"/>
        <v/>
      </c>
      <c r="DD11" s="27" t="str">
        <f t="shared" si="47"/>
        <v/>
      </c>
      <c r="DE11" s="27" t="str">
        <f t="shared" si="48"/>
        <v/>
      </c>
      <c r="DF11" s="27" t="str">
        <f t="shared" si="49"/>
        <v/>
      </c>
      <c r="DG11" s="27" t="str">
        <f t="shared" si="50"/>
        <v/>
      </c>
      <c r="DH11" s="27" t="str">
        <f t="shared" si="51"/>
        <v/>
      </c>
      <c r="DI11" s="27" t="str">
        <f t="shared" si="52"/>
        <v/>
      </c>
      <c r="DJ11" s="27" t="str">
        <f t="shared" si="53"/>
        <v/>
      </c>
      <c r="DK11" s="27" t="str">
        <f t="shared" si="54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5"/>
        <v/>
      </c>
      <c r="EG11" s="10" t="str">
        <f t="shared" si="56"/>
        <v/>
      </c>
      <c r="EH11" s="10" t="str">
        <f t="shared" si="57"/>
        <v/>
      </c>
      <c r="EI11" s="10" t="str">
        <f t="shared" si="58"/>
        <v/>
      </c>
      <c r="EJ11" s="10" t="str">
        <f t="shared" si="59"/>
        <v/>
      </c>
      <c r="EK11" s="10" t="str">
        <f t="shared" si="60"/>
        <v/>
      </c>
      <c r="EL11" s="10" t="str">
        <f t="shared" si="61"/>
        <v/>
      </c>
      <c r="EM11" s="10" t="str">
        <f t="shared" si="62"/>
        <v/>
      </c>
      <c r="EN11" s="10" t="str">
        <f t="shared" si="63"/>
        <v/>
      </c>
      <c r="EO11" s="10" t="str">
        <f t="shared" si="64"/>
        <v/>
      </c>
      <c r="EP11" s="10" t="str">
        <f t="shared" si="65"/>
        <v/>
      </c>
      <c r="EQ11" s="10" t="str">
        <f t="shared" si="66"/>
        <v/>
      </c>
      <c r="ER11" s="10" t="str">
        <f t="shared" si="67"/>
        <v/>
      </c>
      <c r="ES11" s="10" t="str">
        <f t="shared" si="68"/>
        <v/>
      </c>
      <c r="ET11" s="10" t="str">
        <f t="shared" si="69"/>
        <v/>
      </c>
      <c r="EU11" s="44">
        <f t="shared" si="70"/>
        <v>18.850000000000001</v>
      </c>
      <c r="EV11" s="44">
        <f t="shared" si="71"/>
        <v>5.8</v>
      </c>
      <c r="EW11" s="44">
        <f t="shared" si="72"/>
        <v>0.2</v>
      </c>
      <c r="EX11" s="44">
        <f t="shared" si="73"/>
        <v>0</v>
      </c>
      <c r="EY11" s="44">
        <f t="shared" si="74"/>
        <v>18.850000000000001</v>
      </c>
      <c r="EZ11" s="44">
        <f t="shared" si="75"/>
        <v>5.8</v>
      </c>
      <c r="FA11" s="44">
        <f t="shared" si="76"/>
        <v>0.1</v>
      </c>
      <c r="FB11" s="44">
        <f t="shared" si="77"/>
        <v>0</v>
      </c>
      <c r="FC11" s="44">
        <f t="shared" si="78"/>
        <v>18.850000000000001</v>
      </c>
      <c r="FD11" s="44">
        <f t="shared" si="79"/>
        <v>5.8</v>
      </c>
      <c r="FE11" s="44">
        <f t="shared" si="80"/>
        <v>0.30000000000000004</v>
      </c>
      <c r="FF11" s="44">
        <f t="shared" si="81"/>
        <v>0</v>
      </c>
      <c r="FG11" s="44">
        <f t="shared" si="82"/>
        <v>18.850000000000001</v>
      </c>
      <c r="FH11" s="44">
        <f t="shared" si="83"/>
        <v>5.8</v>
      </c>
      <c r="FI11" s="44">
        <f t="shared" si="84"/>
        <v>0.6</v>
      </c>
      <c r="FJ11" s="44">
        <f t="shared" si="85"/>
        <v>0</v>
      </c>
      <c r="FK11" s="20" t="s">
        <v>29</v>
      </c>
      <c r="FL11" s="10">
        <f t="shared" si="86"/>
        <v>5.8</v>
      </c>
      <c r="FM11" s="10">
        <f t="shared" si="87"/>
        <v>24.450000000000003</v>
      </c>
      <c r="FN11" s="10">
        <f t="shared" si="88"/>
        <v>5.8</v>
      </c>
      <c r="FO11" s="10">
        <f t="shared" si="89"/>
        <v>24.55</v>
      </c>
      <c r="FP11" s="10">
        <f t="shared" si="90"/>
        <v>11.6</v>
      </c>
      <c r="FQ11" s="10">
        <f t="shared" si="93"/>
        <v>49</v>
      </c>
      <c r="FR11" s="10">
        <f t="shared" si="94"/>
        <v>5.8</v>
      </c>
      <c r="FS11" s="10">
        <f t="shared" si="95"/>
        <v>24.35</v>
      </c>
      <c r="FT11" s="10">
        <f t="shared" si="96"/>
        <v>5.8</v>
      </c>
      <c r="FU11" s="10">
        <f t="shared" si="97"/>
        <v>24.05</v>
      </c>
      <c r="FV11" s="10">
        <f t="shared" si="98"/>
        <v>11.6</v>
      </c>
      <c r="FW11" s="10">
        <f t="shared" si="91"/>
        <v>48.400000000000006</v>
      </c>
      <c r="FX11" s="10">
        <f t="shared" si="92"/>
        <v>97.4</v>
      </c>
    </row>
    <row r="12" spans="1:180" x14ac:dyDescent="0.2">
      <c r="A12" s="3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4" t="s">
        <v>135</v>
      </c>
      <c r="C12" s="3" t="s">
        <v>4</v>
      </c>
      <c r="D12" s="3">
        <v>2003</v>
      </c>
      <c r="E12" s="8">
        <f t="shared" si="0"/>
        <v>97.800007330004846</v>
      </c>
      <c r="F12" s="2" t="str">
        <f t="shared" si="1"/>
        <v>P</v>
      </c>
      <c r="G12" s="2" t="str">
        <f t="shared" si="2"/>
        <v>P</v>
      </c>
      <c r="H12" s="26" t="str">
        <f t="shared" si="3"/>
        <v>Worlds Team</v>
      </c>
      <c r="I12" s="2" t="str">
        <f t="shared" si="4"/>
        <v>P</v>
      </c>
      <c r="J12" s="7">
        <f t="shared" si="5"/>
        <v>48.5</v>
      </c>
      <c r="K12" s="7" t="str">
        <f t="shared" si="6"/>
        <v>2025 Nationals</v>
      </c>
      <c r="L12" s="7">
        <f>IF(J12=AO12,IF(COUNT(AQ12,AS12,BO12,BQ12,BU12,BW12)&gt;1,LARGE((AQ12,AS12,BO12,BQ12,BU12,BW12),1),0),IF(COUNT(AK12,AM12,AQ12,AS12,BU12,BW12)&gt;1,LARGE((AK12,AM12,AQ12,AS12,BU12,BW12),1),0))</f>
        <v>24.8</v>
      </c>
      <c r="M12" s="7" t="str">
        <f t="shared" si="7"/>
        <v>2025 Nationals</v>
      </c>
      <c r="N12" s="7">
        <f>IF(J12=AO12,IF(COUNT(AQ12,AS12,BO12,BQ12,BU12,BW12)&gt;1,LARGE((AQ12,AS12,BO12,BQ12,BU12,BW12),2),0),IF(COUNT(AK12,AM12,AQ12,AS12,BU12,BW12)&gt;1,LARGE((AK12,AM12,AQ12,AS12,BU12,BW12),2),0))</f>
        <v>24.5</v>
      </c>
      <c r="O12" s="7" t="str">
        <f t="shared" si="8"/>
        <v>2025 Nationals</v>
      </c>
      <c r="P12" s="7" t="str">
        <f t="shared" si="9"/>
        <v/>
      </c>
      <c r="Q12" s="10" t="str">
        <f t="shared" si="10"/>
        <v/>
      </c>
      <c r="R12" s="7" t="str">
        <f t="shared" si="11"/>
        <v/>
      </c>
      <c r="S12" s="39">
        <v>18.7</v>
      </c>
      <c r="T12" s="39">
        <v>6</v>
      </c>
      <c r="U12" s="39">
        <v>0</v>
      </c>
      <c r="V12" s="39">
        <v>0</v>
      </c>
      <c r="W12" s="39">
        <v>18.600000000000001</v>
      </c>
      <c r="X12" s="39">
        <v>5.2</v>
      </c>
      <c r="Y12" s="39">
        <v>0</v>
      </c>
      <c r="Z12" s="39">
        <v>0</v>
      </c>
      <c r="AA12" s="39">
        <v>18.600000000000001</v>
      </c>
      <c r="AB12" s="39">
        <v>6.4</v>
      </c>
      <c r="AC12" s="39">
        <v>0.2</v>
      </c>
      <c r="AD12" s="39">
        <v>0</v>
      </c>
      <c r="AE12" s="39">
        <v>18.5</v>
      </c>
      <c r="AF12" s="39">
        <v>6</v>
      </c>
      <c r="AG12" s="39">
        <v>0</v>
      </c>
      <c r="AH12" s="39">
        <v>0</v>
      </c>
      <c r="AI12" s="19"/>
      <c r="AJ12" s="42">
        <f t="shared" si="12"/>
        <v>6</v>
      </c>
      <c r="AK12" s="42">
        <f t="shared" si="13"/>
        <v>24.7</v>
      </c>
      <c r="AL12" s="42">
        <f t="shared" si="14"/>
        <v>5.2</v>
      </c>
      <c r="AM12" s="42">
        <f t="shared" si="15"/>
        <v>23.8</v>
      </c>
      <c r="AN12" s="27">
        <f t="shared" si="16"/>
        <v>11.2</v>
      </c>
      <c r="AO12" s="27">
        <f t="shared" si="17"/>
        <v>48.5</v>
      </c>
      <c r="AP12" s="27">
        <f t="shared" si="18"/>
        <v>6.4</v>
      </c>
      <c r="AQ12" s="27">
        <f t="shared" si="19"/>
        <v>24.8</v>
      </c>
      <c r="AR12" s="27">
        <f t="shared" si="20"/>
        <v>6</v>
      </c>
      <c r="AS12" s="27">
        <f t="shared" si="21"/>
        <v>24.5</v>
      </c>
      <c r="AT12" s="27">
        <f t="shared" si="22"/>
        <v>12.4</v>
      </c>
      <c r="AU12" s="27">
        <f t="shared" si="23"/>
        <v>49.3</v>
      </c>
      <c r="AV12" s="27">
        <f t="shared" si="24"/>
        <v>97.8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3" t="str">
        <f t="shared" si="25"/>
        <v/>
      </c>
      <c r="BO12" s="43" t="str">
        <f t="shared" si="26"/>
        <v/>
      </c>
      <c r="BP12" s="43" t="str">
        <f t="shared" si="27"/>
        <v/>
      </c>
      <c r="BQ12" s="43" t="str">
        <f t="shared" si="28"/>
        <v/>
      </c>
      <c r="BR12" s="10" t="str">
        <f t="shared" si="29"/>
        <v/>
      </c>
      <c r="BS12" s="10" t="str">
        <f t="shared" si="30"/>
        <v/>
      </c>
      <c r="BT12" s="10" t="str">
        <f t="shared" si="31"/>
        <v/>
      </c>
      <c r="BU12" s="10" t="str">
        <f t="shared" si="32"/>
        <v/>
      </c>
      <c r="BV12" s="10" t="str">
        <f t="shared" si="33"/>
        <v/>
      </c>
      <c r="BW12" s="10" t="str">
        <f t="shared" si="34"/>
        <v/>
      </c>
      <c r="BX12" s="10" t="str">
        <f t="shared" si="35"/>
        <v/>
      </c>
      <c r="BY12" s="10" t="str">
        <f t="shared" si="36"/>
        <v/>
      </c>
      <c r="BZ12" s="10" t="str">
        <f t="shared" si="37"/>
        <v/>
      </c>
      <c r="CA12" s="34" t="str">
        <f t="shared" si="38"/>
        <v/>
      </c>
      <c r="CB12" s="34" t="str">
        <f t="shared" si="39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40"/>
        <v/>
      </c>
      <c r="CX12" s="27" t="str">
        <f t="shared" si="41"/>
        <v/>
      </c>
      <c r="CY12" s="27" t="str">
        <f t="shared" si="42"/>
        <v/>
      </c>
      <c r="CZ12" s="27" t="str">
        <f t="shared" si="43"/>
        <v/>
      </c>
      <c r="DA12" s="27" t="str">
        <f t="shared" si="44"/>
        <v/>
      </c>
      <c r="DB12" s="27" t="str">
        <f t="shared" si="45"/>
        <v/>
      </c>
      <c r="DC12" s="27" t="str">
        <f t="shared" si="46"/>
        <v/>
      </c>
      <c r="DD12" s="27" t="str">
        <f t="shared" si="47"/>
        <v/>
      </c>
      <c r="DE12" s="27" t="str">
        <f t="shared" si="48"/>
        <v/>
      </c>
      <c r="DF12" s="27" t="str">
        <f t="shared" si="49"/>
        <v/>
      </c>
      <c r="DG12" s="27" t="str">
        <f t="shared" si="50"/>
        <v/>
      </c>
      <c r="DH12" s="27" t="str">
        <f t="shared" si="51"/>
        <v/>
      </c>
      <c r="DI12" s="27" t="str">
        <f t="shared" si="52"/>
        <v/>
      </c>
      <c r="DJ12" s="27" t="str">
        <f t="shared" si="53"/>
        <v/>
      </c>
      <c r="DK12" s="27" t="str">
        <f t="shared" si="54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5"/>
        <v/>
      </c>
      <c r="EG12" s="10" t="str">
        <f t="shared" si="56"/>
        <v/>
      </c>
      <c r="EH12" s="10" t="str">
        <f t="shared" si="57"/>
        <v/>
      </c>
      <c r="EI12" s="10" t="str">
        <f t="shared" si="58"/>
        <v/>
      </c>
      <c r="EJ12" s="10" t="str">
        <f t="shared" si="59"/>
        <v/>
      </c>
      <c r="EK12" s="10" t="str">
        <f t="shared" si="60"/>
        <v/>
      </c>
      <c r="EL12" s="10" t="str">
        <f t="shared" si="61"/>
        <v/>
      </c>
      <c r="EM12" s="10" t="str">
        <f t="shared" si="62"/>
        <v/>
      </c>
      <c r="EN12" s="10" t="str">
        <f t="shared" si="63"/>
        <v/>
      </c>
      <c r="EO12" s="10" t="str">
        <f t="shared" si="64"/>
        <v/>
      </c>
      <c r="EP12" s="10" t="str">
        <f t="shared" si="65"/>
        <v/>
      </c>
      <c r="EQ12" s="10" t="str">
        <f t="shared" si="66"/>
        <v/>
      </c>
      <c r="ER12" s="10" t="str">
        <f t="shared" si="67"/>
        <v/>
      </c>
      <c r="ES12" s="10" t="str">
        <f t="shared" si="68"/>
        <v/>
      </c>
      <c r="ET12" s="10" t="str">
        <f t="shared" si="69"/>
        <v/>
      </c>
      <c r="EU12" s="44">
        <f t="shared" si="70"/>
        <v>9.35</v>
      </c>
      <c r="EV12" s="44">
        <f t="shared" si="71"/>
        <v>3</v>
      </c>
      <c r="EW12" s="44">
        <f t="shared" si="72"/>
        <v>0</v>
      </c>
      <c r="EX12" s="44">
        <f t="shared" si="73"/>
        <v>0</v>
      </c>
      <c r="EY12" s="44">
        <f t="shared" si="74"/>
        <v>9.3000000000000007</v>
      </c>
      <c r="EZ12" s="44">
        <f t="shared" si="75"/>
        <v>2.6</v>
      </c>
      <c r="FA12" s="44">
        <f t="shared" si="76"/>
        <v>0</v>
      </c>
      <c r="FB12" s="44">
        <f t="shared" si="77"/>
        <v>0</v>
      </c>
      <c r="FC12" s="44">
        <f t="shared" si="78"/>
        <v>9.3000000000000007</v>
      </c>
      <c r="FD12" s="44">
        <f t="shared" si="79"/>
        <v>3.2</v>
      </c>
      <c r="FE12" s="44">
        <f t="shared" si="80"/>
        <v>0.1</v>
      </c>
      <c r="FF12" s="44">
        <f t="shared" si="81"/>
        <v>0</v>
      </c>
      <c r="FG12" s="44">
        <f t="shared" si="82"/>
        <v>9.25</v>
      </c>
      <c r="FH12" s="44">
        <f t="shared" si="83"/>
        <v>3</v>
      </c>
      <c r="FI12" s="44">
        <f t="shared" si="84"/>
        <v>0</v>
      </c>
      <c r="FJ12" s="44">
        <f t="shared" si="85"/>
        <v>0</v>
      </c>
      <c r="FK12" s="20" t="s">
        <v>29</v>
      </c>
      <c r="FL12" s="10">
        <f t="shared" si="86"/>
        <v>3</v>
      </c>
      <c r="FM12" s="10">
        <f t="shared" si="87"/>
        <v>12.35</v>
      </c>
      <c r="FN12" s="10">
        <f t="shared" si="88"/>
        <v>2.6</v>
      </c>
      <c r="FO12" s="10">
        <f t="shared" si="89"/>
        <v>11.9</v>
      </c>
      <c r="FP12" s="10">
        <f t="shared" si="90"/>
        <v>5.6</v>
      </c>
      <c r="FQ12" s="10">
        <f t="shared" si="93"/>
        <v>24.25</v>
      </c>
      <c r="FR12" s="10">
        <f t="shared" si="94"/>
        <v>3.2</v>
      </c>
      <c r="FS12" s="10">
        <f t="shared" si="95"/>
        <v>12.4</v>
      </c>
      <c r="FT12" s="10">
        <f t="shared" si="96"/>
        <v>3</v>
      </c>
      <c r="FU12" s="10">
        <f t="shared" si="97"/>
        <v>12.25</v>
      </c>
      <c r="FV12" s="10">
        <f t="shared" si="98"/>
        <v>6.2</v>
      </c>
      <c r="FW12" s="10">
        <f t="shared" si="91"/>
        <v>24.65</v>
      </c>
      <c r="FX12" s="10">
        <f t="shared" si="92"/>
        <v>48.9</v>
      </c>
    </row>
    <row r="13" spans="1:180" x14ac:dyDescent="0.2">
      <c r="A13" s="3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10</v>
      </c>
      <c r="B13" s="4" t="s">
        <v>133</v>
      </c>
      <c r="C13" s="3" t="s">
        <v>5</v>
      </c>
      <c r="D13" s="3">
        <v>2008</v>
      </c>
      <c r="E13" s="8">
        <f t="shared" si="0"/>
        <v>96.500007080004679</v>
      </c>
      <c r="F13" s="2" t="str">
        <f t="shared" si="1"/>
        <v>P</v>
      </c>
      <c r="G13" s="2" t="str">
        <f t="shared" si="2"/>
        <v>P</v>
      </c>
      <c r="H13" s="26" t="str">
        <f t="shared" si="3"/>
        <v>Worlds Team</v>
      </c>
      <c r="I13" s="2" t="str">
        <f t="shared" si="4"/>
        <v>P</v>
      </c>
      <c r="J13" s="7">
        <f t="shared" si="5"/>
        <v>46.8</v>
      </c>
      <c r="K13" s="7" t="str">
        <f t="shared" si="6"/>
        <v>2025 Nationals</v>
      </c>
      <c r="L13" s="7">
        <f>IF(J13=AO13,IF(COUNT(AQ13,AS13,BO13,BQ13,BU13,BW13)&gt;1,LARGE((AQ13,AS13,BO13,BQ13,BU13,BW13),1),0),IF(COUNT(AK13,AM13,AQ13,AS13,BU13,BW13)&gt;1,LARGE((AK13,AM13,AQ13,AS13,BU13,BW13),1),0))</f>
        <v>24.000000000000004</v>
      </c>
      <c r="M13" s="7" t="str">
        <f t="shared" si="7"/>
        <v>2025 Nationals</v>
      </c>
      <c r="N13" s="7">
        <f>IF(J13=AO13,IF(COUNT(AQ13,AS13,BO13,BQ13,BU13,BW13)&gt;1,LARGE((AQ13,AS13,BO13,BQ13,BU13,BW13),2),0),IF(COUNT(AK13,AM13,AQ13,AS13,BU13,BW13)&gt;1,LARGE((AK13,AM13,AQ13,AS13,BU13,BW13),2),0))</f>
        <v>23.599999999999998</v>
      </c>
      <c r="O13" s="7" t="str">
        <f t="shared" si="8"/>
        <v>2025 Nationals</v>
      </c>
      <c r="P13" s="7">
        <f t="shared" si="9"/>
        <v>2.1000000000000014</v>
      </c>
      <c r="Q13" s="10" t="str">
        <f t="shared" si="10"/>
        <v>(Q1)</v>
      </c>
      <c r="R13" s="7" t="str">
        <f t="shared" si="11"/>
        <v>2025 WAGC (Nov 16)</v>
      </c>
      <c r="S13" s="39">
        <v>18.100000000000001</v>
      </c>
      <c r="T13" s="39">
        <v>5.2</v>
      </c>
      <c r="U13" s="39">
        <v>0.2</v>
      </c>
      <c r="V13" s="39">
        <v>0</v>
      </c>
      <c r="W13" s="39">
        <v>18.3</v>
      </c>
      <c r="X13" s="39">
        <v>5.6</v>
      </c>
      <c r="Y13" s="39">
        <v>0.2</v>
      </c>
      <c r="Z13" s="39">
        <v>0</v>
      </c>
      <c r="AA13" s="39">
        <v>18.2</v>
      </c>
      <c r="AB13" s="39">
        <v>6</v>
      </c>
      <c r="AC13" s="39">
        <v>0.6</v>
      </c>
      <c r="AD13" s="39">
        <v>0</v>
      </c>
      <c r="AE13" s="39">
        <v>18.600000000000001</v>
      </c>
      <c r="AF13" s="39">
        <v>5.6</v>
      </c>
      <c r="AG13" s="39">
        <v>0.2</v>
      </c>
      <c r="AH13" s="39">
        <v>0</v>
      </c>
      <c r="AI13" s="19"/>
      <c r="AJ13" s="42">
        <f t="shared" si="12"/>
        <v>5.2</v>
      </c>
      <c r="AK13" s="42">
        <f t="shared" si="13"/>
        <v>23.1</v>
      </c>
      <c r="AL13" s="42">
        <f t="shared" si="14"/>
        <v>5.6</v>
      </c>
      <c r="AM13" s="42">
        <f t="shared" si="15"/>
        <v>23.7</v>
      </c>
      <c r="AN13" s="27">
        <f t="shared" si="16"/>
        <v>10.8</v>
      </c>
      <c r="AO13" s="27">
        <f t="shared" si="17"/>
        <v>46.8</v>
      </c>
      <c r="AP13" s="27">
        <f t="shared" si="18"/>
        <v>6</v>
      </c>
      <c r="AQ13" s="27">
        <f t="shared" si="19"/>
        <v>23.599999999999998</v>
      </c>
      <c r="AR13" s="27">
        <f t="shared" si="20"/>
        <v>5.6</v>
      </c>
      <c r="AS13" s="27">
        <f t="shared" si="21"/>
        <v>24.000000000000004</v>
      </c>
      <c r="AT13" s="27">
        <f t="shared" si="22"/>
        <v>11.6</v>
      </c>
      <c r="AU13" s="27">
        <f t="shared" si="23"/>
        <v>47.6</v>
      </c>
      <c r="AV13" s="27">
        <f t="shared" si="24"/>
        <v>94.4</v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3" t="str">
        <f t="shared" si="25"/>
        <v/>
      </c>
      <c r="BO13" s="43" t="str">
        <f t="shared" si="26"/>
        <v/>
      </c>
      <c r="BP13" s="43" t="str">
        <f t="shared" si="27"/>
        <v/>
      </c>
      <c r="BQ13" s="43" t="str">
        <f t="shared" si="28"/>
        <v/>
      </c>
      <c r="BR13" s="10" t="str">
        <f t="shared" si="29"/>
        <v/>
      </c>
      <c r="BS13" s="10" t="str">
        <f t="shared" si="30"/>
        <v/>
      </c>
      <c r="BT13" s="10" t="str">
        <f t="shared" si="31"/>
        <v/>
      </c>
      <c r="BU13" s="10" t="str">
        <f t="shared" si="32"/>
        <v/>
      </c>
      <c r="BV13" s="10" t="str">
        <f t="shared" si="33"/>
        <v/>
      </c>
      <c r="BW13" s="10" t="str">
        <f t="shared" si="34"/>
        <v/>
      </c>
      <c r="BX13" s="10" t="str">
        <f t="shared" si="35"/>
        <v/>
      </c>
      <c r="BY13" s="10" t="str">
        <f t="shared" si="36"/>
        <v/>
      </c>
      <c r="BZ13" s="10" t="str">
        <f t="shared" si="37"/>
        <v/>
      </c>
      <c r="CA13" s="34">
        <f t="shared" si="38"/>
        <v>2.1000000000000014</v>
      </c>
      <c r="CB13" s="34">
        <f t="shared" si="39"/>
        <v>0.90000000000000213</v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40"/>
        <v/>
      </c>
      <c r="CX13" s="27" t="str">
        <f t="shared" si="41"/>
        <v/>
      </c>
      <c r="CY13" s="27" t="str">
        <f t="shared" si="42"/>
        <v/>
      </c>
      <c r="CZ13" s="27" t="str">
        <f t="shared" si="43"/>
        <v/>
      </c>
      <c r="DA13" s="27" t="str">
        <f t="shared" si="44"/>
        <v/>
      </c>
      <c r="DB13" s="27" t="str">
        <f t="shared" si="45"/>
        <v/>
      </c>
      <c r="DC13" s="27" t="str">
        <f t="shared" si="46"/>
        <v/>
      </c>
      <c r="DD13" s="27" t="str">
        <f t="shared" si="47"/>
        <v/>
      </c>
      <c r="DE13" s="27" t="str">
        <f t="shared" si="48"/>
        <v/>
      </c>
      <c r="DF13" s="27" t="str">
        <f t="shared" si="49"/>
        <v/>
      </c>
      <c r="DG13" s="27" t="str">
        <f t="shared" si="50"/>
        <v/>
      </c>
      <c r="DH13" s="27" t="str">
        <f t="shared" si="51"/>
        <v/>
      </c>
      <c r="DI13" s="27" t="str">
        <f t="shared" si="52"/>
        <v/>
      </c>
      <c r="DJ13" s="27" t="str">
        <f t="shared" si="53"/>
        <v/>
      </c>
      <c r="DK13" s="27" t="str">
        <f t="shared" si="54"/>
        <v/>
      </c>
      <c r="DL13" s="15">
        <v>18.8</v>
      </c>
      <c r="DM13" s="15">
        <v>5.6</v>
      </c>
      <c r="DN13" s="15">
        <v>0</v>
      </c>
      <c r="DO13" s="15">
        <v>0</v>
      </c>
      <c r="DP13" s="15">
        <v>18.5</v>
      </c>
      <c r="DQ13" s="15">
        <v>6</v>
      </c>
      <c r="DR13" s="15">
        <v>0</v>
      </c>
      <c r="DS13" s="15">
        <v>0</v>
      </c>
      <c r="DT13" s="15"/>
      <c r="DU13" s="15"/>
      <c r="DV13" s="15"/>
      <c r="DW13" s="15"/>
      <c r="DX13" s="15">
        <v>18.3</v>
      </c>
      <c r="DY13" s="15">
        <v>6</v>
      </c>
      <c r="DZ13" s="15">
        <v>0.2</v>
      </c>
      <c r="EA13" s="15">
        <v>0</v>
      </c>
      <c r="EB13" s="15"/>
      <c r="EC13" s="15"/>
      <c r="ED13" s="15"/>
      <c r="EE13" s="15"/>
      <c r="EF13" s="10">
        <f t="shared" si="55"/>
        <v>5.6</v>
      </c>
      <c r="EG13" s="10">
        <f t="shared" si="56"/>
        <v>24.4</v>
      </c>
      <c r="EH13" s="10">
        <f t="shared" si="57"/>
        <v>6</v>
      </c>
      <c r="EI13" s="10">
        <f t="shared" si="58"/>
        <v>24.5</v>
      </c>
      <c r="EJ13" s="10">
        <f t="shared" si="59"/>
        <v>11.6</v>
      </c>
      <c r="EK13" s="10">
        <f t="shared" si="60"/>
        <v>48.9</v>
      </c>
      <c r="EL13" s="10" t="str">
        <f t="shared" si="61"/>
        <v/>
      </c>
      <c r="EM13" s="10" t="str">
        <f t="shared" si="62"/>
        <v/>
      </c>
      <c r="EN13" s="10">
        <f t="shared" si="63"/>
        <v>6</v>
      </c>
      <c r="EO13" s="10">
        <f t="shared" si="64"/>
        <v>24.1</v>
      </c>
      <c r="EP13" s="10" t="str">
        <f t="shared" si="65"/>
        <v/>
      </c>
      <c r="EQ13" s="10" t="str">
        <f t="shared" si="66"/>
        <v/>
      </c>
      <c r="ER13" s="10">
        <f t="shared" si="67"/>
        <v>6</v>
      </c>
      <c r="ES13" s="10">
        <f t="shared" si="68"/>
        <v>24.1</v>
      </c>
      <c r="ET13" s="10">
        <f t="shared" si="69"/>
        <v>48.9</v>
      </c>
      <c r="EU13" s="44">
        <f t="shared" si="70"/>
        <v>9.0500000000000007</v>
      </c>
      <c r="EV13" s="44">
        <f t="shared" si="71"/>
        <v>2.6</v>
      </c>
      <c r="EW13" s="44">
        <f t="shared" si="72"/>
        <v>0.1</v>
      </c>
      <c r="EX13" s="44">
        <f t="shared" si="73"/>
        <v>0</v>
      </c>
      <c r="EY13" s="44">
        <f t="shared" si="74"/>
        <v>9.15</v>
      </c>
      <c r="EZ13" s="44">
        <f t="shared" si="75"/>
        <v>2.8</v>
      </c>
      <c r="FA13" s="44">
        <f t="shared" si="76"/>
        <v>0.1</v>
      </c>
      <c r="FB13" s="44">
        <f t="shared" si="77"/>
        <v>0</v>
      </c>
      <c r="FC13" s="44">
        <f t="shared" si="78"/>
        <v>9.1</v>
      </c>
      <c r="FD13" s="44">
        <f t="shared" si="79"/>
        <v>3</v>
      </c>
      <c r="FE13" s="44">
        <f t="shared" si="80"/>
        <v>0.3</v>
      </c>
      <c r="FF13" s="44">
        <f t="shared" si="81"/>
        <v>0</v>
      </c>
      <c r="FG13" s="44">
        <f t="shared" si="82"/>
        <v>9.3000000000000007</v>
      </c>
      <c r="FH13" s="44">
        <f t="shared" si="83"/>
        <v>2.8</v>
      </c>
      <c r="FI13" s="44">
        <f t="shared" si="84"/>
        <v>0.1</v>
      </c>
      <c r="FJ13" s="44">
        <f t="shared" si="85"/>
        <v>0</v>
      </c>
      <c r="FK13" s="20" t="s">
        <v>29</v>
      </c>
      <c r="FL13" s="10">
        <f t="shared" si="86"/>
        <v>2.6</v>
      </c>
      <c r="FM13" s="10">
        <f t="shared" si="87"/>
        <v>11.55</v>
      </c>
      <c r="FN13" s="10">
        <f t="shared" si="88"/>
        <v>2.8</v>
      </c>
      <c r="FO13" s="10">
        <f t="shared" si="89"/>
        <v>11.85</v>
      </c>
      <c r="FP13" s="10">
        <f t="shared" si="90"/>
        <v>5.4</v>
      </c>
      <c r="FQ13" s="10">
        <f t="shared" si="93"/>
        <v>23.4</v>
      </c>
      <c r="FR13" s="10">
        <f t="shared" si="94"/>
        <v>3</v>
      </c>
      <c r="FS13" s="10">
        <f t="shared" si="95"/>
        <v>11.799999999999999</v>
      </c>
      <c r="FT13" s="10">
        <f t="shared" si="96"/>
        <v>2.8</v>
      </c>
      <c r="FU13" s="10">
        <f t="shared" si="97"/>
        <v>12.000000000000002</v>
      </c>
      <c r="FV13" s="10">
        <f t="shared" si="98"/>
        <v>5.8</v>
      </c>
      <c r="FW13" s="10">
        <f t="shared" si="91"/>
        <v>23.8</v>
      </c>
      <c r="FX13" s="10">
        <f t="shared" si="92"/>
        <v>47.2</v>
      </c>
    </row>
    <row r="14" spans="1:180" x14ac:dyDescent="0.2">
      <c r="A14" s="3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4" t="s">
        <v>131</v>
      </c>
      <c r="C14" s="3" t="s">
        <v>5</v>
      </c>
      <c r="D14" s="3">
        <v>2001</v>
      </c>
      <c r="E14" s="8">
        <f t="shared" si="0"/>
        <v>96.95000724000478</v>
      </c>
      <c r="F14" s="2" t="str">
        <f t="shared" si="1"/>
        <v/>
      </c>
      <c r="G14" s="2" t="str">
        <f t="shared" si="2"/>
        <v/>
      </c>
      <c r="H14" s="26" t="str">
        <f t="shared" si="3"/>
        <v/>
      </c>
      <c r="I14" s="2" t="str">
        <f t="shared" si="4"/>
        <v/>
      </c>
      <c r="J14" s="7">
        <f t="shared" si="5"/>
        <v>47.8</v>
      </c>
      <c r="K14" s="7" t="str">
        <f t="shared" si="6"/>
        <v>2025 3rd Domestic Trial</v>
      </c>
      <c r="L14" s="7">
        <f>IF(J14=AO14,IF(COUNT(AQ14,AS14,BO14,BQ14,BU14,BW14)&gt;1,LARGE((AQ14,AS14,BO14,BQ14,BU14,BW14),1),0),IF(COUNT(AK14,AM14,AQ14,AS14,BU14,BW14)&gt;1,LARGE((AK14,AM14,AQ14,AS14,BU14,BW14),1),0))</f>
        <v>24.6</v>
      </c>
      <c r="M14" s="7" t="str">
        <f t="shared" si="7"/>
        <v>2025 Nationals</v>
      </c>
      <c r="N14" s="7">
        <f>IF(J14=AO14,IF(COUNT(AQ14,AS14,BO14,BQ14,BU14,BW14)&gt;1,LARGE((AQ14,AS14,BO14,BQ14,BU14,BW14),2),0),IF(COUNT(AK14,AM14,AQ14,AS14,BU14,BW14)&gt;1,LARGE((AK14,AM14,AQ14,AS14,BU14,BW14),2),0))</f>
        <v>24.55</v>
      </c>
      <c r="O14" s="7" t="str">
        <f t="shared" si="8"/>
        <v>2025 3rd Domestic Trial</v>
      </c>
      <c r="P14" s="7" t="str">
        <f t="shared" si="9"/>
        <v/>
      </c>
      <c r="Q14" s="10" t="str">
        <f t="shared" si="10"/>
        <v/>
      </c>
      <c r="R14" s="7" t="str">
        <f t="shared" si="11"/>
        <v/>
      </c>
      <c r="S14" s="39">
        <v>18.3</v>
      </c>
      <c r="T14" s="39">
        <v>4.8</v>
      </c>
      <c r="U14" s="39">
        <v>0.2</v>
      </c>
      <c r="V14" s="39">
        <v>0</v>
      </c>
      <c r="W14" s="39">
        <v>18.600000000000001</v>
      </c>
      <c r="X14" s="39">
        <v>6</v>
      </c>
      <c r="Y14" s="39">
        <v>0</v>
      </c>
      <c r="Z14" s="39">
        <v>0</v>
      </c>
      <c r="AA14" s="39">
        <v>15.3</v>
      </c>
      <c r="AB14" s="39">
        <v>2.8</v>
      </c>
      <c r="AC14" s="39">
        <v>0</v>
      </c>
      <c r="AD14" s="39">
        <v>0</v>
      </c>
      <c r="AE14" s="39">
        <v>18.5</v>
      </c>
      <c r="AF14" s="39">
        <v>6</v>
      </c>
      <c r="AG14" s="39">
        <v>0</v>
      </c>
      <c r="AH14" s="39">
        <v>0</v>
      </c>
      <c r="AI14" s="19"/>
      <c r="AJ14" s="42">
        <f t="shared" si="12"/>
        <v>4.8</v>
      </c>
      <c r="AK14" s="42">
        <f t="shared" si="13"/>
        <v>22.900000000000002</v>
      </c>
      <c r="AL14" s="42">
        <f t="shared" si="14"/>
        <v>6</v>
      </c>
      <c r="AM14" s="42">
        <f t="shared" si="15"/>
        <v>24.6</v>
      </c>
      <c r="AN14" s="27">
        <f t="shared" si="16"/>
        <v>10.8</v>
      </c>
      <c r="AO14" s="27">
        <f t="shared" si="17"/>
        <v>47.5</v>
      </c>
      <c r="AP14" s="27">
        <f t="shared" si="18"/>
        <v>2.8</v>
      </c>
      <c r="AQ14" s="27">
        <f t="shared" si="19"/>
        <v>18.100000000000001</v>
      </c>
      <c r="AR14" s="27">
        <f t="shared" si="20"/>
        <v>6</v>
      </c>
      <c r="AS14" s="27">
        <f t="shared" si="21"/>
        <v>24.5</v>
      </c>
      <c r="AT14" s="27">
        <f t="shared" si="22"/>
        <v>8.8000000000000007</v>
      </c>
      <c r="AU14" s="27">
        <f t="shared" si="23"/>
        <v>42.6</v>
      </c>
      <c r="AV14" s="27">
        <f t="shared" si="24"/>
        <v>90.1</v>
      </c>
      <c r="AW14" s="15">
        <v>18.5</v>
      </c>
      <c r="AX14" s="15">
        <v>5.1999999999999993</v>
      </c>
      <c r="AY14" s="15">
        <v>0.4</v>
      </c>
      <c r="AZ14" s="15">
        <v>0</v>
      </c>
      <c r="BA14" s="15">
        <v>18.5</v>
      </c>
      <c r="BB14" s="15">
        <v>6</v>
      </c>
      <c r="BC14" s="15">
        <v>0</v>
      </c>
      <c r="BD14" s="15">
        <v>0</v>
      </c>
      <c r="BE14" s="15">
        <v>17.05</v>
      </c>
      <c r="BF14" s="15">
        <v>4.1999999999999993</v>
      </c>
      <c r="BG14" s="15">
        <v>0</v>
      </c>
      <c r="BH14" s="15">
        <v>0</v>
      </c>
      <c r="BI14" s="15">
        <v>18.55</v>
      </c>
      <c r="BJ14" s="15">
        <v>6</v>
      </c>
      <c r="BK14" s="15">
        <v>0</v>
      </c>
      <c r="BL14" s="15">
        <v>0</v>
      </c>
      <c r="BM14" s="20" t="s">
        <v>29</v>
      </c>
      <c r="BN14" s="43">
        <f t="shared" si="25"/>
        <v>5.1999999999999993</v>
      </c>
      <c r="BO14" s="43">
        <f t="shared" si="26"/>
        <v>23.3</v>
      </c>
      <c r="BP14" s="43">
        <f t="shared" si="27"/>
        <v>6</v>
      </c>
      <c r="BQ14" s="43">
        <f t="shared" si="28"/>
        <v>24.5</v>
      </c>
      <c r="BR14" s="10">
        <f t="shared" si="29"/>
        <v>11.2</v>
      </c>
      <c r="BS14" s="10">
        <f t="shared" si="30"/>
        <v>47.8</v>
      </c>
      <c r="BT14" s="10">
        <f t="shared" si="31"/>
        <v>4.1999999999999993</v>
      </c>
      <c r="BU14" s="10">
        <f t="shared" si="32"/>
        <v>21.25</v>
      </c>
      <c r="BV14" s="10">
        <f t="shared" si="33"/>
        <v>6</v>
      </c>
      <c r="BW14" s="10">
        <f t="shared" si="34"/>
        <v>24.55</v>
      </c>
      <c r="BX14" s="10">
        <f t="shared" si="35"/>
        <v>10.199999999999999</v>
      </c>
      <c r="BY14" s="10">
        <f t="shared" si="36"/>
        <v>45.8</v>
      </c>
      <c r="BZ14" s="10">
        <f t="shared" si="37"/>
        <v>93.6</v>
      </c>
      <c r="CA14" s="34" t="str">
        <f t="shared" si="38"/>
        <v/>
      </c>
      <c r="CB14" s="34" t="str">
        <f t="shared" si="39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40"/>
        <v/>
      </c>
      <c r="CX14" s="27" t="str">
        <f t="shared" si="41"/>
        <v/>
      </c>
      <c r="CY14" s="27" t="str">
        <f t="shared" si="42"/>
        <v/>
      </c>
      <c r="CZ14" s="27" t="str">
        <f t="shared" si="43"/>
        <v/>
      </c>
      <c r="DA14" s="27" t="str">
        <f t="shared" si="44"/>
        <v/>
      </c>
      <c r="DB14" s="27" t="str">
        <f t="shared" si="45"/>
        <v/>
      </c>
      <c r="DC14" s="27" t="str">
        <f t="shared" si="46"/>
        <v/>
      </c>
      <c r="DD14" s="27" t="str">
        <f t="shared" si="47"/>
        <v/>
      </c>
      <c r="DE14" s="27" t="str">
        <f t="shared" si="48"/>
        <v/>
      </c>
      <c r="DF14" s="27" t="str">
        <f t="shared" si="49"/>
        <v/>
      </c>
      <c r="DG14" s="27" t="str">
        <f t="shared" si="50"/>
        <v/>
      </c>
      <c r="DH14" s="27" t="str">
        <f t="shared" si="51"/>
        <v/>
      </c>
      <c r="DI14" s="27" t="str">
        <f t="shared" si="52"/>
        <v/>
      </c>
      <c r="DJ14" s="27" t="str">
        <f t="shared" si="53"/>
        <v/>
      </c>
      <c r="DK14" s="27" t="str">
        <f t="shared" si="54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5"/>
        <v/>
      </c>
      <c r="EG14" s="10" t="str">
        <f t="shared" si="56"/>
        <v/>
      </c>
      <c r="EH14" s="10" t="str">
        <f t="shared" si="57"/>
        <v/>
      </c>
      <c r="EI14" s="10" t="str">
        <f t="shared" si="58"/>
        <v/>
      </c>
      <c r="EJ14" s="10" t="str">
        <f t="shared" si="59"/>
        <v/>
      </c>
      <c r="EK14" s="10" t="str">
        <f t="shared" si="60"/>
        <v/>
      </c>
      <c r="EL14" s="10" t="str">
        <f t="shared" si="61"/>
        <v/>
      </c>
      <c r="EM14" s="10" t="str">
        <f t="shared" si="62"/>
        <v/>
      </c>
      <c r="EN14" s="10" t="str">
        <f t="shared" si="63"/>
        <v/>
      </c>
      <c r="EO14" s="10" t="str">
        <f t="shared" si="64"/>
        <v/>
      </c>
      <c r="EP14" s="10" t="str">
        <f t="shared" si="65"/>
        <v/>
      </c>
      <c r="EQ14" s="10" t="str">
        <f t="shared" si="66"/>
        <v/>
      </c>
      <c r="ER14" s="10" t="str">
        <f t="shared" si="67"/>
        <v/>
      </c>
      <c r="ES14" s="10" t="str">
        <f t="shared" si="68"/>
        <v/>
      </c>
      <c r="ET14" s="10" t="str">
        <f t="shared" si="69"/>
        <v/>
      </c>
      <c r="EU14" s="44">
        <f t="shared" si="70"/>
        <v>14.8</v>
      </c>
      <c r="EV14" s="44">
        <f t="shared" si="71"/>
        <v>5</v>
      </c>
      <c r="EW14" s="44">
        <f t="shared" si="72"/>
        <v>0.30000000000000004</v>
      </c>
      <c r="EX14" s="44">
        <f t="shared" si="73"/>
        <v>0</v>
      </c>
      <c r="EY14" s="44">
        <f t="shared" si="74"/>
        <v>18.55</v>
      </c>
      <c r="EZ14" s="44">
        <f t="shared" si="75"/>
        <v>6</v>
      </c>
      <c r="FA14" s="44">
        <f t="shared" si="76"/>
        <v>0</v>
      </c>
      <c r="FB14" s="44">
        <f t="shared" si="77"/>
        <v>0</v>
      </c>
      <c r="FC14" s="44">
        <f t="shared" si="78"/>
        <v>16.175000000000001</v>
      </c>
      <c r="FD14" s="44">
        <f t="shared" si="79"/>
        <v>3.4999999999999996</v>
      </c>
      <c r="FE14" s="44">
        <f t="shared" si="80"/>
        <v>0</v>
      </c>
      <c r="FF14" s="44">
        <f t="shared" si="81"/>
        <v>0</v>
      </c>
      <c r="FG14" s="44">
        <f t="shared" si="82"/>
        <v>18.524999999999999</v>
      </c>
      <c r="FH14" s="44">
        <f t="shared" si="83"/>
        <v>6</v>
      </c>
      <c r="FI14" s="44">
        <f t="shared" si="84"/>
        <v>0</v>
      </c>
      <c r="FJ14" s="44">
        <f t="shared" si="85"/>
        <v>0</v>
      </c>
      <c r="FK14" s="20" t="s">
        <v>29</v>
      </c>
      <c r="FL14" s="10">
        <f t="shared" si="86"/>
        <v>5</v>
      </c>
      <c r="FM14" s="10">
        <f t="shared" si="87"/>
        <v>19.5</v>
      </c>
      <c r="FN14" s="10">
        <f t="shared" si="88"/>
        <v>6</v>
      </c>
      <c r="FO14" s="10">
        <f t="shared" si="89"/>
        <v>24.55</v>
      </c>
      <c r="FP14" s="10">
        <f t="shared" si="90"/>
        <v>11</v>
      </c>
      <c r="FQ14" s="10">
        <f t="shared" si="93"/>
        <v>44.05</v>
      </c>
      <c r="FR14" s="10">
        <f t="shared" si="94"/>
        <v>3.4999999999999996</v>
      </c>
      <c r="FS14" s="10">
        <f t="shared" si="95"/>
        <v>19.675000000000001</v>
      </c>
      <c r="FT14" s="10">
        <f t="shared" si="96"/>
        <v>6</v>
      </c>
      <c r="FU14" s="10">
        <f t="shared" si="97"/>
        <v>24.524999999999999</v>
      </c>
      <c r="FV14" s="10">
        <f t="shared" si="98"/>
        <v>9.5</v>
      </c>
      <c r="FW14" s="10">
        <f t="shared" si="91"/>
        <v>44.2</v>
      </c>
      <c r="FX14" s="10">
        <f t="shared" si="92"/>
        <v>88.25</v>
      </c>
    </row>
    <row r="15" spans="1:180" x14ac:dyDescent="0.2">
      <c r="A15" s="3" t="str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/>
      </c>
      <c r="B15" s="4" t="s">
        <v>132</v>
      </c>
      <c r="C15" s="3" t="s">
        <v>5</v>
      </c>
      <c r="D15" s="3">
        <v>2003</v>
      </c>
      <c r="E15" s="8">
        <f t="shared" si="0"/>
        <v>95.800007190004763</v>
      </c>
      <c r="F15" s="2" t="str">
        <f t="shared" si="1"/>
        <v/>
      </c>
      <c r="G15" s="2" t="str">
        <f t="shared" si="2"/>
        <v/>
      </c>
      <c r="H15" s="26" t="str">
        <f t="shared" si="3"/>
        <v/>
      </c>
      <c r="I15" s="2" t="str">
        <f t="shared" si="4"/>
        <v/>
      </c>
      <c r="J15" s="7">
        <f t="shared" si="5"/>
        <v>47.5</v>
      </c>
      <c r="K15" s="7" t="str">
        <f t="shared" si="6"/>
        <v>2025 3rd Domestic Trial</v>
      </c>
      <c r="L15" s="7">
        <f>IF(J15=AO15,IF(COUNT(AQ15,AS15,BO15,BQ15,BU15,BW15)&gt;1,LARGE((AQ15,AS15,BO15,BQ15,BU15,BW15),1),0),IF(COUNT(AK15,AM15,AQ15,AS15,BU15,BW15)&gt;1,LARGE((AK15,AM15,AQ15,AS15,BU15,BW15),1),0))</f>
        <v>24.400000000000002</v>
      </c>
      <c r="M15" s="7" t="str">
        <f t="shared" si="7"/>
        <v>2025 3rd Domestic Trial</v>
      </c>
      <c r="N15" s="7">
        <f>IF(J15=AO15,IF(COUNT(AQ15,AS15,BO15,BQ15,BU15,BW15)&gt;1,LARGE((AQ15,AS15,BO15,BQ15,BU15,BW15),2),0),IF(COUNT(AK15,AM15,AQ15,AS15,BU15,BW15)&gt;1,LARGE((AK15,AM15,AQ15,AS15,BU15,BW15),2),0))</f>
        <v>23.900000000000002</v>
      </c>
      <c r="O15" s="7" t="str">
        <f t="shared" si="8"/>
        <v>2025 Nationals</v>
      </c>
      <c r="P15" s="7" t="str">
        <f t="shared" si="9"/>
        <v/>
      </c>
      <c r="Q15" s="10" t="str">
        <f t="shared" si="10"/>
        <v/>
      </c>
      <c r="R15" s="7" t="str">
        <f t="shared" si="11"/>
        <v/>
      </c>
      <c r="S15" s="39">
        <v>16.399999999999999</v>
      </c>
      <c r="T15" s="39">
        <v>4.8</v>
      </c>
      <c r="U15" s="39">
        <v>0.8</v>
      </c>
      <c r="V15" s="39">
        <v>0</v>
      </c>
      <c r="W15" s="39">
        <v>18.5</v>
      </c>
      <c r="X15" s="39">
        <v>5.6</v>
      </c>
      <c r="Y15" s="39">
        <v>0.2</v>
      </c>
      <c r="Z15" s="39">
        <v>0</v>
      </c>
      <c r="AA15" s="39"/>
      <c r="AB15" s="39"/>
      <c r="AC15" s="39"/>
      <c r="AD15" s="39"/>
      <c r="AE15" s="39"/>
      <c r="AF15" s="39"/>
      <c r="AG15" s="39"/>
      <c r="AH15" s="39"/>
      <c r="AI15" s="19"/>
      <c r="AJ15" s="42">
        <f t="shared" si="12"/>
        <v>4.8</v>
      </c>
      <c r="AK15" s="42">
        <f t="shared" si="13"/>
        <v>20.399999999999999</v>
      </c>
      <c r="AL15" s="42">
        <f t="shared" si="14"/>
        <v>5.6</v>
      </c>
      <c r="AM15" s="42">
        <f t="shared" si="15"/>
        <v>23.900000000000002</v>
      </c>
      <c r="AN15" s="27">
        <f t="shared" si="16"/>
        <v>10.399999999999999</v>
      </c>
      <c r="AO15" s="27">
        <f t="shared" si="17"/>
        <v>44.3</v>
      </c>
      <c r="AP15" s="27" t="str">
        <f t="shared" si="18"/>
        <v/>
      </c>
      <c r="AQ15" s="27" t="str">
        <f t="shared" si="19"/>
        <v/>
      </c>
      <c r="AR15" s="27" t="str">
        <f t="shared" si="20"/>
        <v/>
      </c>
      <c r="AS15" s="27" t="str">
        <f t="shared" si="21"/>
        <v/>
      </c>
      <c r="AT15" s="27" t="str">
        <f t="shared" si="22"/>
        <v/>
      </c>
      <c r="AU15" s="27" t="str">
        <f t="shared" si="23"/>
        <v/>
      </c>
      <c r="AV15" s="27">
        <f t="shared" si="24"/>
        <v>44.3</v>
      </c>
      <c r="AW15" s="15">
        <v>18.7</v>
      </c>
      <c r="AX15" s="15">
        <v>5.2</v>
      </c>
      <c r="AY15" s="15">
        <v>0.2</v>
      </c>
      <c r="AZ15" s="15">
        <v>0</v>
      </c>
      <c r="BA15" s="15">
        <v>18.600000000000001</v>
      </c>
      <c r="BB15" s="15">
        <v>5.2</v>
      </c>
      <c r="BC15" s="15">
        <v>0</v>
      </c>
      <c r="BD15" s="15">
        <v>0</v>
      </c>
      <c r="BE15" s="15">
        <v>19</v>
      </c>
      <c r="BF15" s="15">
        <v>5.6</v>
      </c>
      <c r="BG15" s="15">
        <v>0.2</v>
      </c>
      <c r="BH15" s="15">
        <v>0</v>
      </c>
      <c r="BI15" s="15">
        <v>18.7</v>
      </c>
      <c r="BJ15" s="15">
        <v>4.8</v>
      </c>
      <c r="BK15" s="15">
        <v>0.6</v>
      </c>
      <c r="BL15" s="15">
        <v>0</v>
      </c>
      <c r="BM15" s="20"/>
      <c r="BN15" s="43">
        <f t="shared" si="25"/>
        <v>5.2</v>
      </c>
      <c r="BO15" s="43">
        <f t="shared" si="26"/>
        <v>23.7</v>
      </c>
      <c r="BP15" s="43">
        <f t="shared" si="27"/>
        <v>5.2</v>
      </c>
      <c r="BQ15" s="43">
        <f t="shared" si="28"/>
        <v>23.8</v>
      </c>
      <c r="BR15" s="10">
        <f t="shared" si="29"/>
        <v>10.4</v>
      </c>
      <c r="BS15" s="10">
        <f t="shared" si="30"/>
        <v>47.5</v>
      </c>
      <c r="BT15" s="10">
        <f t="shared" si="31"/>
        <v>5.6</v>
      </c>
      <c r="BU15" s="10">
        <f t="shared" si="32"/>
        <v>24.400000000000002</v>
      </c>
      <c r="BV15" s="10">
        <f t="shared" si="33"/>
        <v>4.8</v>
      </c>
      <c r="BW15" s="10">
        <f t="shared" si="34"/>
        <v>22.9</v>
      </c>
      <c r="BX15" s="10">
        <f t="shared" si="35"/>
        <v>10.399999999999999</v>
      </c>
      <c r="BY15" s="10">
        <f t="shared" si="36"/>
        <v>47.3</v>
      </c>
      <c r="BZ15" s="10">
        <f t="shared" si="37"/>
        <v>94.8</v>
      </c>
      <c r="CA15" s="34" t="str">
        <f t="shared" si="38"/>
        <v/>
      </c>
      <c r="CB15" s="34" t="str">
        <f t="shared" si="39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40"/>
        <v/>
      </c>
      <c r="CX15" s="27" t="str">
        <f t="shared" si="41"/>
        <v/>
      </c>
      <c r="CY15" s="27" t="str">
        <f t="shared" si="42"/>
        <v/>
      </c>
      <c r="CZ15" s="27" t="str">
        <f t="shared" si="43"/>
        <v/>
      </c>
      <c r="DA15" s="27" t="str">
        <f t="shared" si="44"/>
        <v/>
      </c>
      <c r="DB15" s="27" t="str">
        <f t="shared" si="45"/>
        <v/>
      </c>
      <c r="DC15" s="27" t="str">
        <f t="shared" si="46"/>
        <v/>
      </c>
      <c r="DD15" s="27" t="str">
        <f t="shared" si="47"/>
        <v/>
      </c>
      <c r="DE15" s="27" t="str">
        <f t="shared" si="48"/>
        <v/>
      </c>
      <c r="DF15" s="27" t="str">
        <f t="shared" si="49"/>
        <v/>
      </c>
      <c r="DG15" s="27" t="str">
        <f t="shared" si="50"/>
        <v/>
      </c>
      <c r="DH15" s="27" t="str">
        <f t="shared" si="51"/>
        <v/>
      </c>
      <c r="DI15" s="27" t="str">
        <f t="shared" si="52"/>
        <v/>
      </c>
      <c r="DJ15" s="27" t="str">
        <f t="shared" si="53"/>
        <v/>
      </c>
      <c r="DK15" s="27" t="str">
        <f t="shared" si="54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5"/>
        <v/>
      </c>
      <c r="EG15" s="10" t="str">
        <f t="shared" si="56"/>
        <v/>
      </c>
      <c r="EH15" s="10" t="str">
        <f t="shared" si="57"/>
        <v/>
      </c>
      <c r="EI15" s="10" t="str">
        <f t="shared" si="58"/>
        <v/>
      </c>
      <c r="EJ15" s="10" t="str">
        <f t="shared" si="59"/>
        <v/>
      </c>
      <c r="EK15" s="10" t="str">
        <f t="shared" si="60"/>
        <v/>
      </c>
      <c r="EL15" s="10" t="str">
        <f t="shared" si="61"/>
        <v/>
      </c>
      <c r="EM15" s="10" t="str">
        <f t="shared" si="62"/>
        <v/>
      </c>
      <c r="EN15" s="10" t="str">
        <f t="shared" si="63"/>
        <v/>
      </c>
      <c r="EO15" s="10" t="str">
        <f t="shared" si="64"/>
        <v/>
      </c>
      <c r="EP15" s="10" t="str">
        <f t="shared" si="65"/>
        <v/>
      </c>
      <c r="EQ15" s="10" t="str">
        <f t="shared" si="66"/>
        <v/>
      </c>
      <c r="ER15" s="10" t="str">
        <f t="shared" si="67"/>
        <v/>
      </c>
      <c r="ES15" s="10" t="str">
        <f t="shared" si="68"/>
        <v/>
      </c>
      <c r="ET15" s="10" t="str">
        <f t="shared" si="69"/>
        <v/>
      </c>
      <c r="EU15" s="44">
        <f t="shared" si="70"/>
        <v>17.549999999999997</v>
      </c>
      <c r="EV15" s="44">
        <f t="shared" si="71"/>
        <v>5</v>
      </c>
      <c r="EW15" s="44">
        <f t="shared" si="72"/>
        <v>0.5</v>
      </c>
      <c r="EX15" s="44">
        <f t="shared" si="73"/>
        <v>0</v>
      </c>
      <c r="EY15" s="44">
        <f t="shared" si="74"/>
        <v>18.55</v>
      </c>
      <c r="EZ15" s="44">
        <f t="shared" si="75"/>
        <v>5.4</v>
      </c>
      <c r="FA15" s="44">
        <f t="shared" si="76"/>
        <v>0.1</v>
      </c>
      <c r="FB15" s="44">
        <f t="shared" si="77"/>
        <v>0</v>
      </c>
      <c r="FC15" s="44">
        <f t="shared" si="78"/>
        <v>9.5</v>
      </c>
      <c r="FD15" s="44">
        <f t="shared" si="79"/>
        <v>2.8</v>
      </c>
      <c r="FE15" s="44">
        <f t="shared" si="80"/>
        <v>0.1</v>
      </c>
      <c r="FF15" s="44">
        <f t="shared" si="81"/>
        <v>0</v>
      </c>
      <c r="FG15" s="44">
        <f t="shared" si="82"/>
        <v>9.35</v>
      </c>
      <c r="FH15" s="44">
        <f t="shared" si="83"/>
        <v>2.4</v>
      </c>
      <c r="FI15" s="44">
        <f t="shared" si="84"/>
        <v>0.3</v>
      </c>
      <c r="FJ15" s="44">
        <f t="shared" si="85"/>
        <v>0</v>
      </c>
      <c r="FK15" s="20" t="s">
        <v>29</v>
      </c>
      <c r="FL15" s="10">
        <f t="shared" si="86"/>
        <v>5</v>
      </c>
      <c r="FM15" s="10">
        <f t="shared" si="87"/>
        <v>22.049999999999997</v>
      </c>
      <c r="FN15" s="10">
        <f t="shared" si="88"/>
        <v>5.4</v>
      </c>
      <c r="FO15" s="10">
        <f t="shared" si="89"/>
        <v>23.85</v>
      </c>
      <c r="FP15" s="10">
        <f t="shared" si="90"/>
        <v>10.4</v>
      </c>
      <c r="FQ15" s="10">
        <f t="shared" si="93"/>
        <v>45.9</v>
      </c>
      <c r="FR15" s="10">
        <f t="shared" si="94"/>
        <v>2.8</v>
      </c>
      <c r="FS15" s="10">
        <f t="shared" si="95"/>
        <v>12.200000000000001</v>
      </c>
      <c r="FT15" s="10">
        <f t="shared" si="96"/>
        <v>2.4</v>
      </c>
      <c r="FU15" s="10">
        <f t="shared" si="97"/>
        <v>11.45</v>
      </c>
      <c r="FV15" s="10">
        <f t="shared" si="98"/>
        <v>5.1999999999999993</v>
      </c>
      <c r="FW15" s="10">
        <f t="shared" si="91"/>
        <v>23.65</v>
      </c>
      <c r="FX15" s="10">
        <f t="shared" si="92"/>
        <v>69.55</v>
      </c>
    </row>
    <row r="16" spans="1:180" x14ac:dyDescent="0.2">
      <c r="A16" s="3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4" t="s">
        <v>136</v>
      </c>
      <c r="C16" s="3" t="s">
        <v>83</v>
      </c>
      <c r="D16" s="3">
        <v>2005</v>
      </c>
      <c r="E16" s="8">
        <f t="shared" si="0"/>
        <v>95.400007160004762</v>
      </c>
      <c r="F16" s="2" t="str">
        <f t="shared" si="1"/>
        <v/>
      </c>
      <c r="G16" s="2" t="str">
        <f t="shared" si="2"/>
        <v/>
      </c>
      <c r="H16" s="26" t="str">
        <f t="shared" si="3"/>
        <v/>
      </c>
      <c r="I16" s="2" t="str">
        <f t="shared" si="4"/>
        <v/>
      </c>
      <c r="J16" s="7">
        <f t="shared" si="5"/>
        <v>47.8</v>
      </c>
      <c r="K16" s="7" t="str">
        <f t="shared" si="6"/>
        <v>2025 3rd Domestic Trial</v>
      </c>
      <c r="L16" s="7">
        <f>IF(J16=AO16,IF(COUNT(AQ16,AS16,BO16,BQ16,BU16,BW16)&gt;1,LARGE((AQ16,AS16,BO16,BQ16,BU16,BW16),1),0),IF(COUNT(AK16,AM16,AQ16,AS16,BU16,BW16)&gt;1,LARGE((AK16,AM16,AQ16,AS16,BU16,BW16),1),0))</f>
        <v>23.8</v>
      </c>
      <c r="M16" s="7" t="str">
        <f t="shared" si="7"/>
        <v>2025 Nationals</v>
      </c>
      <c r="N16" s="7">
        <f>IF(J16=AO16,IF(COUNT(AQ16,AS16,BO16,BQ16,BU16,BW16)&gt;1,LARGE((AQ16,AS16,BO16,BQ16,BU16,BW16),2),0),IF(COUNT(AK16,AM16,AQ16,AS16,BU16,BW16)&gt;1,LARGE((AK16,AM16,AQ16,AS16,BU16,BW16),2),0))</f>
        <v>22.400000000000002</v>
      </c>
      <c r="O16" s="7" t="str">
        <f t="shared" si="8"/>
        <v>2025 3rd Domestic Trial</v>
      </c>
      <c r="P16" s="7">
        <f t="shared" si="9"/>
        <v>1.399999999999995</v>
      </c>
      <c r="Q16" s="10" t="str">
        <f t="shared" si="10"/>
        <v>(Pass)</v>
      </c>
      <c r="R16" s="7" t="str">
        <f t="shared" si="11"/>
        <v>2025 WAGC (Nov 16)</v>
      </c>
      <c r="S16" s="39">
        <v>16.399999999999999</v>
      </c>
      <c r="T16" s="39">
        <v>4.8</v>
      </c>
      <c r="U16" s="39">
        <v>0.8</v>
      </c>
      <c r="V16" s="39">
        <v>0</v>
      </c>
      <c r="W16" s="39">
        <v>18.399999999999999</v>
      </c>
      <c r="X16" s="39">
        <v>5.6</v>
      </c>
      <c r="Y16" s="39">
        <v>0.2</v>
      </c>
      <c r="Z16" s="39">
        <v>0</v>
      </c>
      <c r="AA16" s="39"/>
      <c r="AB16" s="39"/>
      <c r="AC16" s="39"/>
      <c r="AD16" s="39"/>
      <c r="AE16" s="39"/>
      <c r="AF16" s="39"/>
      <c r="AG16" s="39"/>
      <c r="AH16" s="39"/>
      <c r="AI16" s="19"/>
      <c r="AJ16" s="42">
        <f t="shared" si="12"/>
        <v>4.8</v>
      </c>
      <c r="AK16" s="42">
        <f t="shared" si="13"/>
        <v>20.399999999999999</v>
      </c>
      <c r="AL16" s="42">
        <f t="shared" si="14"/>
        <v>5.6</v>
      </c>
      <c r="AM16" s="42">
        <f t="shared" si="15"/>
        <v>23.8</v>
      </c>
      <c r="AN16" s="27">
        <f t="shared" si="16"/>
        <v>10.399999999999999</v>
      </c>
      <c r="AO16" s="27">
        <f t="shared" si="17"/>
        <v>44.2</v>
      </c>
      <c r="AP16" s="27" t="str">
        <f t="shared" si="18"/>
        <v/>
      </c>
      <c r="AQ16" s="27" t="str">
        <f t="shared" si="19"/>
        <v/>
      </c>
      <c r="AR16" s="27" t="str">
        <f t="shared" si="20"/>
        <v/>
      </c>
      <c r="AS16" s="27" t="str">
        <f t="shared" si="21"/>
        <v/>
      </c>
      <c r="AT16" s="27" t="str">
        <f t="shared" si="22"/>
        <v/>
      </c>
      <c r="AU16" s="27" t="str">
        <f t="shared" si="23"/>
        <v/>
      </c>
      <c r="AV16" s="27">
        <f t="shared" si="24"/>
        <v>44.2</v>
      </c>
      <c r="AW16" s="15">
        <v>18.3</v>
      </c>
      <c r="AX16" s="15">
        <v>5.6</v>
      </c>
      <c r="AY16" s="15">
        <v>0.2</v>
      </c>
      <c r="AZ16" s="15">
        <v>0</v>
      </c>
      <c r="BA16" s="15">
        <v>18.3</v>
      </c>
      <c r="BB16" s="15">
        <v>6</v>
      </c>
      <c r="BC16" s="15">
        <v>0.2</v>
      </c>
      <c r="BD16" s="15">
        <v>0</v>
      </c>
      <c r="BE16" s="15">
        <v>17.600000000000001</v>
      </c>
      <c r="BF16" s="15">
        <v>5.6</v>
      </c>
      <c r="BG16" s="15">
        <v>0.8</v>
      </c>
      <c r="BH16" s="15">
        <v>0</v>
      </c>
      <c r="BI16" s="15">
        <v>15.1</v>
      </c>
      <c r="BJ16" s="15">
        <v>2.4</v>
      </c>
      <c r="BK16" s="15">
        <v>0</v>
      </c>
      <c r="BL16" s="15">
        <v>0</v>
      </c>
      <c r="BM16" s="20"/>
      <c r="BN16" s="43">
        <f t="shared" si="25"/>
        <v>5.6</v>
      </c>
      <c r="BO16" s="43">
        <f t="shared" si="26"/>
        <v>23.7</v>
      </c>
      <c r="BP16" s="43">
        <f t="shared" si="27"/>
        <v>6</v>
      </c>
      <c r="BQ16" s="43">
        <f t="shared" si="28"/>
        <v>24.1</v>
      </c>
      <c r="BR16" s="10">
        <f t="shared" si="29"/>
        <v>11.6</v>
      </c>
      <c r="BS16" s="10">
        <f t="shared" si="30"/>
        <v>47.8</v>
      </c>
      <c r="BT16" s="10">
        <f t="shared" si="31"/>
        <v>5.6</v>
      </c>
      <c r="BU16" s="10">
        <f t="shared" si="32"/>
        <v>22.400000000000002</v>
      </c>
      <c r="BV16" s="10">
        <f t="shared" si="33"/>
        <v>2.4</v>
      </c>
      <c r="BW16" s="10">
        <f t="shared" si="34"/>
        <v>17.5</v>
      </c>
      <c r="BX16" s="10">
        <f t="shared" si="35"/>
        <v>8</v>
      </c>
      <c r="BY16" s="10">
        <f t="shared" si="36"/>
        <v>39.900000000000006</v>
      </c>
      <c r="BZ16" s="10">
        <f t="shared" si="37"/>
        <v>87.7</v>
      </c>
      <c r="CA16" s="34" t="str">
        <f t="shared" si="38"/>
        <v/>
      </c>
      <c r="CB16" s="34">
        <f t="shared" si="39"/>
        <v>1.399999999999995</v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40"/>
        <v/>
      </c>
      <c r="CX16" s="27" t="str">
        <f t="shared" si="41"/>
        <v/>
      </c>
      <c r="CY16" s="27" t="str">
        <f t="shared" si="42"/>
        <v/>
      </c>
      <c r="CZ16" s="27" t="str">
        <f t="shared" si="43"/>
        <v/>
      </c>
      <c r="DA16" s="27" t="str">
        <f t="shared" si="44"/>
        <v/>
      </c>
      <c r="DB16" s="27" t="str">
        <f t="shared" si="45"/>
        <v/>
      </c>
      <c r="DC16" s="27" t="str">
        <f t="shared" si="46"/>
        <v/>
      </c>
      <c r="DD16" s="27" t="str">
        <f t="shared" si="47"/>
        <v/>
      </c>
      <c r="DE16" s="27" t="str">
        <f t="shared" si="48"/>
        <v/>
      </c>
      <c r="DF16" s="27" t="str">
        <f t="shared" si="49"/>
        <v/>
      </c>
      <c r="DG16" s="27" t="str">
        <f t="shared" si="50"/>
        <v/>
      </c>
      <c r="DH16" s="27" t="str">
        <f t="shared" si="51"/>
        <v/>
      </c>
      <c r="DI16" s="27" t="str">
        <f t="shared" si="52"/>
        <v/>
      </c>
      <c r="DJ16" s="27" t="str">
        <f t="shared" si="53"/>
        <v/>
      </c>
      <c r="DK16" s="27" t="str">
        <f t="shared" si="54"/>
        <v/>
      </c>
      <c r="DL16" s="15">
        <v>18.2</v>
      </c>
      <c r="DM16" s="15">
        <v>5.6</v>
      </c>
      <c r="DN16" s="15">
        <v>1</v>
      </c>
      <c r="DO16" s="15">
        <v>0</v>
      </c>
      <c r="DP16" s="15">
        <v>18.399999999999999</v>
      </c>
      <c r="DQ16" s="15">
        <v>6</v>
      </c>
      <c r="DR16" s="15">
        <v>0.6</v>
      </c>
      <c r="DS16" s="15">
        <v>0</v>
      </c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>
        <f t="shared" si="55"/>
        <v>5.6</v>
      </c>
      <c r="EG16" s="10">
        <f t="shared" si="56"/>
        <v>22.799999999999997</v>
      </c>
      <c r="EH16" s="10">
        <f t="shared" si="57"/>
        <v>6</v>
      </c>
      <c r="EI16" s="10">
        <f t="shared" si="58"/>
        <v>23.799999999999997</v>
      </c>
      <c r="EJ16" s="10">
        <f t="shared" si="59"/>
        <v>11.6</v>
      </c>
      <c r="EK16" s="10">
        <f t="shared" si="60"/>
        <v>46.599999999999994</v>
      </c>
      <c r="EL16" s="10" t="str">
        <f t="shared" si="61"/>
        <v/>
      </c>
      <c r="EM16" s="10" t="str">
        <f t="shared" si="62"/>
        <v/>
      </c>
      <c r="EN16" s="10" t="str">
        <f t="shared" si="63"/>
        <v/>
      </c>
      <c r="EO16" s="10" t="str">
        <f t="shared" si="64"/>
        <v/>
      </c>
      <c r="EP16" s="10" t="str">
        <f t="shared" si="65"/>
        <v/>
      </c>
      <c r="EQ16" s="10" t="str">
        <f t="shared" si="66"/>
        <v/>
      </c>
      <c r="ER16" s="10" t="str">
        <f t="shared" si="67"/>
        <v/>
      </c>
      <c r="ES16" s="10" t="str">
        <f t="shared" si="68"/>
        <v/>
      </c>
      <c r="ET16" s="10">
        <f t="shared" si="69"/>
        <v>46.599999999999994</v>
      </c>
      <c r="EU16" s="44">
        <f t="shared" si="70"/>
        <v>17.350000000000001</v>
      </c>
      <c r="EV16" s="44">
        <f t="shared" si="71"/>
        <v>5.1999999999999993</v>
      </c>
      <c r="EW16" s="44">
        <f t="shared" si="72"/>
        <v>0.5</v>
      </c>
      <c r="EX16" s="44">
        <f t="shared" si="73"/>
        <v>0</v>
      </c>
      <c r="EY16" s="44">
        <f t="shared" si="74"/>
        <v>18.350000000000001</v>
      </c>
      <c r="EZ16" s="44">
        <f t="shared" si="75"/>
        <v>5.8</v>
      </c>
      <c r="FA16" s="44">
        <f t="shared" si="76"/>
        <v>0.2</v>
      </c>
      <c r="FB16" s="44">
        <f t="shared" si="77"/>
        <v>0</v>
      </c>
      <c r="FC16" s="44">
        <f t="shared" si="78"/>
        <v>8.8000000000000007</v>
      </c>
      <c r="FD16" s="44">
        <f t="shared" si="79"/>
        <v>2.8</v>
      </c>
      <c r="FE16" s="44">
        <f t="shared" si="80"/>
        <v>0.4</v>
      </c>
      <c r="FF16" s="44">
        <f t="shared" si="81"/>
        <v>0</v>
      </c>
      <c r="FG16" s="44">
        <f t="shared" si="82"/>
        <v>7.55</v>
      </c>
      <c r="FH16" s="44">
        <f t="shared" si="83"/>
        <v>1.2</v>
      </c>
      <c r="FI16" s="44">
        <f t="shared" si="84"/>
        <v>0</v>
      </c>
      <c r="FJ16" s="44">
        <f t="shared" si="85"/>
        <v>0</v>
      </c>
      <c r="FK16" s="20" t="s">
        <v>29</v>
      </c>
      <c r="FL16" s="10">
        <f t="shared" si="86"/>
        <v>5.1999999999999993</v>
      </c>
      <c r="FM16" s="10">
        <f t="shared" si="87"/>
        <v>22.05</v>
      </c>
      <c r="FN16" s="10">
        <f t="shared" si="88"/>
        <v>5.8</v>
      </c>
      <c r="FO16" s="10">
        <f t="shared" si="89"/>
        <v>23.950000000000003</v>
      </c>
      <c r="FP16" s="10">
        <f t="shared" si="90"/>
        <v>11</v>
      </c>
      <c r="FQ16" s="10">
        <f t="shared" si="93"/>
        <v>46</v>
      </c>
      <c r="FR16" s="10">
        <f t="shared" si="94"/>
        <v>2.8</v>
      </c>
      <c r="FS16" s="10">
        <f t="shared" si="95"/>
        <v>11.200000000000001</v>
      </c>
      <c r="FT16" s="10">
        <f t="shared" si="96"/>
        <v>1.2</v>
      </c>
      <c r="FU16" s="10">
        <f t="shared" si="97"/>
        <v>8.75</v>
      </c>
      <c r="FV16" s="10">
        <f t="shared" si="98"/>
        <v>4</v>
      </c>
      <c r="FW16" s="10">
        <f t="shared" si="91"/>
        <v>19.950000000000003</v>
      </c>
      <c r="FX16" s="10">
        <f t="shared" si="92"/>
        <v>65.95</v>
      </c>
    </row>
    <row r="17" spans="1:180" x14ac:dyDescent="0.2">
      <c r="A17" s="3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4" t="s">
        <v>137</v>
      </c>
      <c r="C17" s="3" t="s">
        <v>5</v>
      </c>
      <c r="D17" s="3">
        <v>2005</v>
      </c>
      <c r="E17" s="8">
        <f t="shared" si="0"/>
        <v>93.300007010004663</v>
      </c>
      <c r="F17" s="2" t="str">
        <f t="shared" si="1"/>
        <v/>
      </c>
      <c r="G17" s="2" t="str">
        <f t="shared" si="2"/>
        <v/>
      </c>
      <c r="H17" s="26" t="str">
        <f t="shared" si="3"/>
        <v/>
      </c>
      <c r="I17" s="2" t="str">
        <f t="shared" si="4"/>
        <v/>
      </c>
      <c r="J17" s="7">
        <f t="shared" si="5"/>
        <v>46.599999999999994</v>
      </c>
      <c r="K17" s="7" t="str">
        <f t="shared" si="6"/>
        <v>2025 Nationals</v>
      </c>
      <c r="L17" s="7">
        <f>IF(J17=AO17,IF(COUNT(AQ17,AS17,BO17,BQ17,BU17,BW17)&gt;1,LARGE((AQ17,AS17,BO17,BQ17,BU17,BW17),1),0),IF(COUNT(AK17,AM17,AQ17,AS17,BU17,BW17)&gt;1,LARGE((AK17,AM17,AQ17,AS17,BU17,BW17),1),0))</f>
        <v>23.5</v>
      </c>
      <c r="M17" s="7" t="str">
        <f t="shared" si="7"/>
        <v>2025 Nationals</v>
      </c>
      <c r="N17" s="7">
        <f>IF(J17=AO17,IF(COUNT(AQ17,AS17,BO17,BQ17,BU17,BW17)&gt;1,LARGE((AQ17,AS17,BO17,BQ17,BU17,BW17),2),0),IF(COUNT(AK17,AM17,AQ17,AS17,BU17,BW17)&gt;1,LARGE((AK17,AM17,AQ17,AS17,BU17,BW17),2),0))</f>
        <v>23.2</v>
      </c>
      <c r="O17" s="7" t="str">
        <f t="shared" si="8"/>
        <v>2025 Nationals</v>
      </c>
      <c r="P17" s="7" t="str">
        <f t="shared" si="9"/>
        <v/>
      </c>
      <c r="Q17" s="10" t="str">
        <f t="shared" si="10"/>
        <v/>
      </c>
      <c r="R17" s="7" t="str">
        <f t="shared" si="11"/>
        <v/>
      </c>
      <c r="S17" s="39">
        <v>18.3</v>
      </c>
      <c r="T17" s="39">
        <v>5.2</v>
      </c>
      <c r="U17" s="39">
        <v>0.6</v>
      </c>
      <c r="V17" s="39">
        <v>0</v>
      </c>
      <c r="W17" s="39">
        <v>18.5</v>
      </c>
      <c r="X17" s="39">
        <v>5.2</v>
      </c>
      <c r="Y17" s="39">
        <v>0</v>
      </c>
      <c r="Z17" s="39">
        <v>0</v>
      </c>
      <c r="AA17" s="39">
        <v>18.5</v>
      </c>
      <c r="AB17" s="39">
        <v>5.2</v>
      </c>
      <c r="AC17" s="39">
        <v>0.2</v>
      </c>
      <c r="AD17" s="39">
        <v>0</v>
      </c>
      <c r="AE17" s="39">
        <v>18.2</v>
      </c>
      <c r="AF17" s="39">
        <v>5.2</v>
      </c>
      <c r="AG17" s="39">
        <v>0.2</v>
      </c>
      <c r="AH17" s="39">
        <v>0</v>
      </c>
      <c r="AI17" s="19"/>
      <c r="AJ17" s="42">
        <f t="shared" si="12"/>
        <v>5.2</v>
      </c>
      <c r="AK17" s="42">
        <f t="shared" si="13"/>
        <v>22.9</v>
      </c>
      <c r="AL17" s="42">
        <f t="shared" si="14"/>
        <v>5.2</v>
      </c>
      <c r="AM17" s="42">
        <f t="shared" si="15"/>
        <v>23.7</v>
      </c>
      <c r="AN17" s="27">
        <f t="shared" si="16"/>
        <v>10.4</v>
      </c>
      <c r="AO17" s="27">
        <f t="shared" si="17"/>
        <v>46.599999999999994</v>
      </c>
      <c r="AP17" s="27">
        <f t="shared" si="18"/>
        <v>5.2</v>
      </c>
      <c r="AQ17" s="27">
        <f t="shared" si="19"/>
        <v>23.5</v>
      </c>
      <c r="AR17" s="27">
        <f t="shared" si="20"/>
        <v>5.2</v>
      </c>
      <c r="AS17" s="27">
        <f t="shared" si="21"/>
        <v>23.2</v>
      </c>
      <c r="AT17" s="27">
        <f t="shared" si="22"/>
        <v>10.4</v>
      </c>
      <c r="AU17" s="27">
        <f t="shared" si="23"/>
        <v>46.7</v>
      </c>
      <c r="AV17" s="27">
        <f t="shared" si="24"/>
        <v>93.3</v>
      </c>
      <c r="AW17" s="15">
        <v>18.3</v>
      </c>
      <c r="AX17" s="15">
        <v>4.8</v>
      </c>
      <c r="AY17" s="15">
        <v>0</v>
      </c>
      <c r="AZ17" s="15">
        <v>0</v>
      </c>
      <c r="BA17" s="15">
        <v>18.3</v>
      </c>
      <c r="BB17" s="15">
        <v>2</v>
      </c>
      <c r="BC17" s="15">
        <v>1.2</v>
      </c>
      <c r="BD17" s="15">
        <v>0</v>
      </c>
      <c r="BE17" s="15">
        <v>18</v>
      </c>
      <c r="BF17" s="15">
        <v>3.3</v>
      </c>
      <c r="BG17" s="15">
        <v>1.6</v>
      </c>
      <c r="BH17" s="15">
        <v>0</v>
      </c>
      <c r="BI17" s="15">
        <v>18.399999999999999</v>
      </c>
      <c r="BJ17" s="15">
        <v>4.4000000000000004</v>
      </c>
      <c r="BK17" s="15">
        <v>0.4</v>
      </c>
      <c r="BL17" s="15">
        <v>0</v>
      </c>
      <c r="BM17" s="20"/>
      <c r="BN17" s="43">
        <f t="shared" si="25"/>
        <v>4.8</v>
      </c>
      <c r="BO17" s="43">
        <f t="shared" si="26"/>
        <v>23.1</v>
      </c>
      <c r="BP17" s="43">
        <f t="shared" si="27"/>
        <v>2</v>
      </c>
      <c r="BQ17" s="43">
        <f t="shared" si="28"/>
        <v>19.100000000000001</v>
      </c>
      <c r="BR17" s="10">
        <f t="shared" si="29"/>
        <v>6.8</v>
      </c>
      <c r="BS17" s="10">
        <f t="shared" si="30"/>
        <v>42.2</v>
      </c>
      <c r="BT17" s="10">
        <f t="shared" si="31"/>
        <v>3.3</v>
      </c>
      <c r="BU17" s="10">
        <f t="shared" si="32"/>
        <v>19.7</v>
      </c>
      <c r="BV17" s="10">
        <f t="shared" si="33"/>
        <v>4.4000000000000004</v>
      </c>
      <c r="BW17" s="10">
        <f t="shared" si="34"/>
        <v>22.4</v>
      </c>
      <c r="BX17" s="10">
        <f t="shared" si="35"/>
        <v>7.7</v>
      </c>
      <c r="BY17" s="10">
        <f t="shared" si="36"/>
        <v>42.099999999999994</v>
      </c>
      <c r="BZ17" s="10">
        <f t="shared" si="37"/>
        <v>84.3</v>
      </c>
      <c r="CA17" s="34" t="str">
        <f t="shared" si="38"/>
        <v/>
      </c>
      <c r="CB17" s="34" t="str">
        <f t="shared" si="39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40"/>
        <v/>
      </c>
      <c r="CX17" s="27" t="str">
        <f t="shared" si="41"/>
        <v/>
      </c>
      <c r="CY17" s="27" t="str">
        <f t="shared" si="42"/>
        <v/>
      </c>
      <c r="CZ17" s="27" t="str">
        <f t="shared" si="43"/>
        <v/>
      </c>
      <c r="DA17" s="27" t="str">
        <f t="shared" si="44"/>
        <v/>
      </c>
      <c r="DB17" s="27" t="str">
        <f t="shared" si="45"/>
        <v/>
      </c>
      <c r="DC17" s="27" t="str">
        <f t="shared" si="46"/>
        <v/>
      </c>
      <c r="DD17" s="27" t="str">
        <f t="shared" si="47"/>
        <v/>
      </c>
      <c r="DE17" s="27" t="str">
        <f t="shared" si="48"/>
        <v/>
      </c>
      <c r="DF17" s="27" t="str">
        <f t="shared" si="49"/>
        <v/>
      </c>
      <c r="DG17" s="27" t="str">
        <f t="shared" si="50"/>
        <v/>
      </c>
      <c r="DH17" s="27" t="str">
        <f t="shared" si="51"/>
        <v/>
      </c>
      <c r="DI17" s="27" t="str">
        <f t="shared" si="52"/>
        <v/>
      </c>
      <c r="DJ17" s="27" t="str">
        <f t="shared" si="53"/>
        <v/>
      </c>
      <c r="DK17" s="27" t="str">
        <f t="shared" si="54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5"/>
        <v/>
      </c>
      <c r="EG17" s="10" t="str">
        <f t="shared" si="56"/>
        <v/>
      </c>
      <c r="EH17" s="10" t="str">
        <f t="shared" si="57"/>
        <v/>
      </c>
      <c r="EI17" s="10" t="str">
        <f t="shared" si="58"/>
        <v/>
      </c>
      <c r="EJ17" s="10" t="str">
        <f t="shared" si="59"/>
        <v/>
      </c>
      <c r="EK17" s="10" t="str">
        <f t="shared" si="60"/>
        <v/>
      </c>
      <c r="EL17" s="10" t="str">
        <f t="shared" si="61"/>
        <v/>
      </c>
      <c r="EM17" s="10" t="str">
        <f t="shared" si="62"/>
        <v/>
      </c>
      <c r="EN17" s="10" t="str">
        <f t="shared" si="63"/>
        <v/>
      </c>
      <c r="EO17" s="10" t="str">
        <f t="shared" si="64"/>
        <v/>
      </c>
      <c r="EP17" s="10" t="str">
        <f t="shared" si="65"/>
        <v/>
      </c>
      <c r="EQ17" s="10" t="str">
        <f t="shared" si="66"/>
        <v/>
      </c>
      <c r="ER17" s="10" t="str">
        <f t="shared" si="67"/>
        <v/>
      </c>
      <c r="ES17" s="10" t="str">
        <f t="shared" si="68"/>
        <v/>
      </c>
      <c r="ET17" s="10" t="str">
        <f t="shared" si="69"/>
        <v/>
      </c>
      <c r="EU17" s="44">
        <f t="shared" si="70"/>
        <v>18.3</v>
      </c>
      <c r="EV17" s="44">
        <f t="shared" si="71"/>
        <v>5</v>
      </c>
      <c r="EW17" s="44">
        <f t="shared" si="72"/>
        <v>0.3</v>
      </c>
      <c r="EX17" s="44">
        <f t="shared" si="73"/>
        <v>0</v>
      </c>
      <c r="EY17" s="44">
        <f t="shared" si="74"/>
        <v>18.399999999999999</v>
      </c>
      <c r="EZ17" s="44">
        <f t="shared" si="75"/>
        <v>3.6</v>
      </c>
      <c r="FA17" s="44">
        <f t="shared" si="76"/>
        <v>0.6</v>
      </c>
      <c r="FB17" s="44">
        <f t="shared" si="77"/>
        <v>0</v>
      </c>
      <c r="FC17" s="44">
        <f t="shared" si="78"/>
        <v>18.25</v>
      </c>
      <c r="FD17" s="44">
        <f t="shared" si="79"/>
        <v>4.25</v>
      </c>
      <c r="FE17" s="44">
        <f t="shared" si="80"/>
        <v>0.9</v>
      </c>
      <c r="FF17" s="44">
        <f t="shared" si="81"/>
        <v>0</v>
      </c>
      <c r="FG17" s="44">
        <f t="shared" si="82"/>
        <v>18.299999999999997</v>
      </c>
      <c r="FH17" s="44">
        <f t="shared" si="83"/>
        <v>4.8000000000000007</v>
      </c>
      <c r="FI17" s="44">
        <f t="shared" si="84"/>
        <v>0.30000000000000004</v>
      </c>
      <c r="FJ17" s="44">
        <f t="shared" si="85"/>
        <v>0</v>
      </c>
      <c r="FK17" s="20" t="s">
        <v>29</v>
      </c>
      <c r="FL17" s="10">
        <f t="shared" si="86"/>
        <v>5</v>
      </c>
      <c r="FM17" s="10">
        <f t="shared" si="87"/>
        <v>23</v>
      </c>
      <c r="FN17" s="10">
        <f t="shared" si="88"/>
        <v>3.6</v>
      </c>
      <c r="FO17" s="10">
        <f t="shared" si="89"/>
        <v>21.4</v>
      </c>
      <c r="FP17" s="10">
        <f t="shared" si="90"/>
        <v>8.6</v>
      </c>
      <c r="FQ17" s="10">
        <f t="shared" si="93"/>
        <v>44.4</v>
      </c>
      <c r="FR17" s="10">
        <f t="shared" si="94"/>
        <v>4.25</v>
      </c>
      <c r="FS17" s="10">
        <f t="shared" si="95"/>
        <v>21.6</v>
      </c>
      <c r="FT17" s="10">
        <f t="shared" si="96"/>
        <v>4.8000000000000007</v>
      </c>
      <c r="FU17" s="10">
        <f t="shared" si="97"/>
        <v>22.799999999999997</v>
      </c>
      <c r="FV17" s="10">
        <f t="shared" si="98"/>
        <v>9.0500000000000007</v>
      </c>
      <c r="FW17" s="10">
        <f t="shared" si="91"/>
        <v>44.4</v>
      </c>
      <c r="FX17" s="10">
        <f t="shared" si="92"/>
        <v>88.8</v>
      </c>
    </row>
    <row r="18" spans="1:180" x14ac:dyDescent="0.2">
      <c r="A18" s="3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4" t="s">
        <v>134</v>
      </c>
      <c r="C18" s="3" t="s">
        <v>4</v>
      </c>
      <c r="D18" s="3">
        <v>2008</v>
      </c>
      <c r="E18" s="8">
        <f t="shared" si="0"/>
        <v>92.800006990004647</v>
      </c>
      <c r="F18" s="2" t="str">
        <f t="shared" si="1"/>
        <v/>
      </c>
      <c r="G18" s="2" t="str">
        <f t="shared" si="2"/>
        <v/>
      </c>
      <c r="H18" s="26" t="str">
        <f t="shared" si="3"/>
        <v/>
      </c>
      <c r="I18" s="2" t="str">
        <f t="shared" si="4"/>
        <v/>
      </c>
      <c r="J18" s="7">
        <f t="shared" si="5"/>
        <v>46.5</v>
      </c>
      <c r="K18" s="7" t="str">
        <f t="shared" si="6"/>
        <v>2025 3rd Domestic Trial</v>
      </c>
      <c r="L18" s="7">
        <f>IF(J18=AO18,IF(COUNT(AQ18,AS18,BO18,BQ18,BU18,BW18)&gt;1,LARGE((AQ18,AS18,BO18,BQ18,BU18,BW18),1),0),IF(COUNT(AK18,AM18,AQ18,AS18,BU18,BW18)&gt;1,LARGE((AK18,AM18,AQ18,AS18,BU18,BW18),1),0))</f>
        <v>23.4</v>
      </c>
      <c r="M18" s="7" t="str">
        <f t="shared" si="7"/>
        <v>2025 3rd Domestic Trial</v>
      </c>
      <c r="N18" s="7">
        <f>IF(J18=AO18,IF(COUNT(AQ18,AS18,BO18,BQ18,BU18,BW18)&gt;1,LARGE((AQ18,AS18,BO18,BQ18,BU18,BW18),2),0),IF(COUNT(AK18,AM18,AQ18,AS18,BU18,BW18)&gt;1,LARGE((AK18,AM18,AQ18,AS18,BU18,BW18),2),0))</f>
        <v>17.599999999999998</v>
      </c>
      <c r="O18" s="7" t="str">
        <f t="shared" si="8"/>
        <v>2025 Nationals</v>
      </c>
      <c r="P18" s="7">
        <f t="shared" si="9"/>
        <v>5.3000000000000007</v>
      </c>
      <c r="Q18" s="10" t="str">
        <f t="shared" si="10"/>
        <v>(Pass)</v>
      </c>
      <c r="R18" s="7" t="str">
        <f t="shared" si="11"/>
        <v>2025 WAGC (Nov 16)</v>
      </c>
      <c r="S18" s="39">
        <v>15.2</v>
      </c>
      <c r="T18" s="39">
        <v>2.4</v>
      </c>
      <c r="U18" s="39">
        <v>0</v>
      </c>
      <c r="V18" s="39">
        <v>0</v>
      </c>
      <c r="W18" s="39">
        <v>15.3</v>
      </c>
      <c r="X18" s="39">
        <v>0</v>
      </c>
      <c r="Y18" s="39">
        <v>0</v>
      </c>
      <c r="Z18" s="39">
        <v>0</v>
      </c>
      <c r="AA18" s="39"/>
      <c r="AB18" s="39"/>
      <c r="AC18" s="39"/>
      <c r="AD18" s="39"/>
      <c r="AE18" s="39"/>
      <c r="AF18" s="39"/>
      <c r="AG18" s="39"/>
      <c r="AH18" s="39"/>
      <c r="AI18" s="19"/>
      <c r="AJ18" s="42">
        <f t="shared" si="12"/>
        <v>2.4</v>
      </c>
      <c r="AK18" s="42">
        <f t="shared" si="13"/>
        <v>17.599999999999998</v>
      </c>
      <c r="AL18" s="42">
        <f t="shared" si="14"/>
        <v>0</v>
      </c>
      <c r="AM18" s="42">
        <f t="shared" si="15"/>
        <v>15.3</v>
      </c>
      <c r="AN18" s="27">
        <f t="shared" si="16"/>
        <v>2.4</v>
      </c>
      <c r="AO18" s="27">
        <f t="shared" si="17"/>
        <v>32.9</v>
      </c>
      <c r="AP18" s="27" t="str">
        <f t="shared" si="18"/>
        <v/>
      </c>
      <c r="AQ18" s="27" t="str">
        <f t="shared" si="19"/>
        <v/>
      </c>
      <c r="AR18" s="27" t="str">
        <f t="shared" si="20"/>
        <v/>
      </c>
      <c r="AS18" s="27" t="str">
        <f t="shared" si="21"/>
        <v/>
      </c>
      <c r="AT18" s="27" t="str">
        <f t="shared" si="22"/>
        <v/>
      </c>
      <c r="AU18" s="27" t="str">
        <f t="shared" si="23"/>
        <v/>
      </c>
      <c r="AV18" s="27">
        <f t="shared" si="24"/>
        <v>32.9</v>
      </c>
      <c r="AW18" s="15">
        <v>18.600000000000001</v>
      </c>
      <c r="AX18" s="15">
        <v>5.6</v>
      </c>
      <c r="AY18" s="15">
        <v>0.2</v>
      </c>
      <c r="AZ18" s="15">
        <v>0</v>
      </c>
      <c r="BA18" s="15">
        <v>17.3</v>
      </c>
      <c r="BB18" s="15">
        <v>6</v>
      </c>
      <c r="BC18" s="15">
        <v>0.8</v>
      </c>
      <c r="BD18" s="15">
        <v>0</v>
      </c>
      <c r="BE18" s="15">
        <v>0</v>
      </c>
      <c r="BF18" s="15">
        <v>0</v>
      </c>
      <c r="BG18" s="15">
        <v>0</v>
      </c>
      <c r="BH18" s="15">
        <v>0</v>
      </c>
      <c r="BI18" s="15">
        <v>18.399999999999999</v>
      </c>
      <c r="BJ18" s="15">
        <v>5.2</v>
      </c>
      <c r="BK18" s="15">
        <v>0.2</v>
      </c>
      <c r="BL18" s="15">
        <v>0</v>
      </c>
      <c r="BM18" s="20"/>
      <c r="BN18" s="43">
        <f t="shared" si="25"/>
        <v>5.6</v>
      </c>
      <c r="BO18" s="43">
        <f t="shared" si="26"/>
        <v>24.000000000000004</v>
      </c>
      <c r="BP18" s="43">
        <f t="shared" si="27"/>
        <v>6</v>
      </c>
      <c r="BQ18" s="43">
        <f t="shared" si="28"/>
        <v>22.5</v>
      </c>
      <c r="BR18" s="10">
        <f t="shared" si="29"/>
        <v>11.6</v>
      </c>
      <c r="BS18" s="10">
        <f t="shared" si="30"/>
        <v>46.5</v>
      </c>
      <c r="BT18" s="10">
        <f t="shared" si="31"/>
        <v>0</v>
      </c>
      <c r="BU18" s="10">
        <f t="shared" si="32"/>
        <v>0</v>
      </c>
      <c r="BV18" s="10">
        <f t="shared" si="33"/>
        <v>5.2</v>
      </c>
      <c r="BW18" s="10">
        <f t="shared" si="34"/>
        <v>23.4</v>
      </c>
      <c r="BX18" s="10">
        <f t="shared" si="35"/>
        <v>5.2</v>
      </c>
      <c r="BY18" s="10">
        <f t="shared" si="36"/>
        <v>23.4</v>
      </c>
      <c r="BZ18" s="10">
        <f t="shared" si="37"/>
        <v>69.900000000000006</v>
      </c>
      <c r="CA18" s="34" t="str">
        <f t="shared" si="38"/>
        <v/>
      </c>
      <c r="CB18" s="34">
        <f t="shared" si="39"/>
        <v>5.3000000000000007</v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40"/>
        <v/>
      </c>
      <c r="CX18" s="27" t="str">
        <f t="shared" si="41"/>
        <v/>
      </c>
      <c r="CY18" s="27" t="str">
        <f t="shared" si="42"/>
        <v/>
      </c>
      <c r="CZ18" s="27" t="str">
        <f t="shared" si="43"/>
        <v/>
      </c>
      <c r="DA18" s="27" t="str">
        <f t="shared" si="44"/>
        <v/>
      </c>
      <c r="DB18" s="27" t="str">
        <f t="shared" si="45"/>
        <v/>
      </c>
      <c r="DC18" s="27" t="str">
        <f t="shared" si="46"/>
        <v/>
      </c>
      <c r="DD18" s="27" t="str">
        <f t="shared" si="47"/>
        <v/>
      </c>
      <c r="DE18" s="27" t="str">
        <f t="shared" si="48"/>
        <v/>
      </c>
      <c r="DF18" s="27" t="str">
        <f t="shared" si="49"/>
        <v/>
      </c>
      <c r="DG18" s="27" t="str">
        <f t="shared" si="50"/>
        <v/>
      </c>
      <c r="DH18" s="27" t="str">
        <f t="shared" si="51"/>
        <v/>
      </c>
      <c r="DI18" s="27" t="str">
        <f t="shared" si="52"/>
        <v/>
      </c>
      <c r="DJ18" s="27" t="str">
        <f t="shared" si="53"/>
        <v/>
      </c>
      <c r="DK18" s="27" t="str">
        <f t="shared" si="54"/>
        <v/>
      </c>
      <c r="DL18" s="15">
        <v>18</v>
      </c>
      <c r="DM18" s="15">
        <v>4.8</v>
      </c>
      <c r="DN18" s="15">
        <v>0.6</v>
      </c>
      <c r="DO18" s="15">
        <v>0</v>
      </c>
      <c r="DP18" s="15">
        <v>17.899999999999999</v>
      </c>
      <c r="DQ18" s="15">
        <v>5.2</v>
      </c>
      <c r="DR18" s="15">
        <v>0.2</v>
      </c>
      <c r="DS18" s="15">
        <v>0</v>
      </c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>
        <f t="shared" si="55"/>
        <v>4.8</v>
      </c>
      <c r="EG18" s="10">
        <f t="shared" si="56"/>
        <v>22.2</v>
      </c>
      <c r="EH18" s="10">
        <f t="shared" si="57"/>
        <v>5.2</v>
      </c>
      <c r="EI18" s="10">
        <f t="shared" si="58"/>
        <v>22.9</v>
      </c>
      <c r="EJ18" s="10">
        <f t="shared" si="59"/>
        <v>10</v>
      </c>
      <c r="EK18" s="10">
        <f t="shared" si="60"/>
        <v>45.099999999999994</v>
      </c>
      <c r="EL18" s="10" t="str">
        <f t="shared" si="61"/>
        <v/>
      </c>
      <c r="EM18" s="10" t="str">
        <f t="shared" si="62"/>
        <v/>
      </c>
      <c r="EN18" s="10" t="str">
        <f t="shared" si="63"/>
        <v/>
      </c>
      <c r="EO18" s="10" t="str">
        <f t="shared" si="64"/>
        <v/>
      </c>
      <c r="EP18" s="10" t="str">
        <f t="shared" si="65"/>
        <v/>
      </c>
      <c r="EQ18" s="10" t="str">
        <f t="shared" si="66"/>
        <v/>
      </c>
      <c r="ER18" s="10" t="str">
        <f t="shared" si="67"/>
        <v/>
      </c>
      <c r="ES18" s="10" t="str">
        <f t="shared" si="68"/>
        <v/>
      </c>
      <c r="ET18" s="10">
        <f t="shared" si="69"/>
        <v>45.099999999999994</v>
      </c>
      <c r="EU18" s="44">
        <f t="shared" si="70"/>
        <v>16.899999999999999</v>
      </c>
      <c r="EV18" s="44">
        <f t="shared" si="71"/>
        <v>4</v>
      </c>
      <c r="EW18" s="44">
        <f t="shared" si="72"/>
        <v>0.1</v>
      </c>
      <c r="EX18" s="44">
        <f t="shared" si="73"/>
        <v>0</v>
      </c>
      <c r="EY18" s="44">
        <f t="shared" si="74"/>
        <v>16.3</v>
      </c>
      <c r="EZ18" s="44">
        <f t="shared" si="75"/>
        <v>3</v>
      </c>
      <c r="FA18" s="44">
        <f t="shared" si="76"/>
        <v>0.4</v>
      </c>
      <c r="FB18" s="44">
        <f t="shared" si="77"/>
        <v>0</v>
      </c>
      <c r="FC18" s="44">
        <f t="shared" si="78"/>
        <v>0</v>
      </c>
      <c r="FD18" s="44">
        <f t="shared" si="79"/>
        <v>0</v>
      </c>
      <c r="FE18" s="44">
        <f t="shared" si="80"/>
        <v>0</v>
      </c>
      <c r="FF18" s="44">
        <f t="shared" si="81"/>
        <v>0</v>
      </c>
      <c r="FG18" s="44">
        <f t="shared" si="82"/>
        <v>9.1999999999999993</v>
      </c>
      <c r="FH18" s="44">
        <f t="shared" si="83"/>
        <v>2.6</v>
      </c>
      <c r="FI18" s="44">
        <f t="shared" si="84"/>
        <v>0.1</v>
      </c>
      <c r="FJ18" s="44">
        <f t="shared" si="85"/>
        <v>0</v>
      </c>
      <c r="FK18" s="20" t="s">
        <v>29</v>
      </c>
      <c r="FL18" s="10">
        <f t="shared" si="86"/>
        <v>4</v>
      </c>
      <c r="FM18" s="10">
        <f t="shared" si="87"/>
        <v>20.799999999999997</v>
      </c>
      <c r="FN18" s="10">
        <f t="shared" si="88"/>
        <v>3</v>
      </c>
      <c r="FO18" s="10">
        <f t="shared" si="89"/>
        <v>18.900000000000002</v>
      </c>
      <c r="FP18" s="10">
        <f t="shared" si="90"/>
        <v>7</v>
      </c>
      <c r="FQ18" s="10">
        <f t="shared" si="93"/>
        <v>39.700000000000003</v>
      </c>
      <c r="FR18" s="10">
        <f t="shared" si="94"/>
        <v>0</v>
      </c>
      <c r="FS18" s="10">
        <f t="shared" si="95"/>
        <v>0</v>
      </c>
      <c r="FT18" s="10">
        <f t="shared" si="96"/>
        <v>2.6</v>
      </c>
      <c r="FU18" s="10">
        <f t="shared" si="97"/>
        <v>11.7</v>
      </c>
      <c r="FV18" s="10">
        <f t="shared" si="98"/>
        <v>2.6</v>
      </c>
      <c r="FW18" s="10">
        <f t="shared" si="91"/>
        <v>11.7</v>
      </c>
      <c r="FX18" s="10">
        <f t="shared" si="92"/>
        <v>51.400000000000006</v>
      </c>
    </row>
    <row r="19" spans="1:180" x14ac:dyDescent="0.2">
      <c r="A19" s="3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4" t="s">
        <v>130</v>
      </c>
      <c r="C19" s="3" t="s">
        <v>3</v>
      </c>
      <c r="D19" s="3">
        <v>2002</v>
      </c>
      <c r="E19" s="8">
        <f t="shared" si="0"/>
        <v>84.100006640004224</v>
      </c>
      <c r="F19" s="2" t="str">
        <f t="shared" si="1"/>
        <v/>
      </c>
      <c r="G19" s="2" t="str">
        <f t="shared" si="2"/>
        <v/>
      </c>
      <c r="H19" s="26" t="str">
        <f t="shared" si="3"/>
        <v/>
      </c>
      <c r="I19" s="2" t="str">
        <f t="shared" si="4"/>
        <v/>
      </c>
      <c r="J19" s="7">
        <f t="shared" si="5"/>
        <v>42.3</v>
      </c>
      <c r="K19" s="7" t="str">
        <f t="shared" si="6"/>
        <v>2025 Nationals</v>
      </c>
      <c r="L19" s="7">
        <f>IF(J19=AO19,IF(COUNT(AQ19,AS19,BO19,BQ19,BU19,BW19)&gt;1,LARGE((AQ19,AS19,BO19,BQ19,BU19,BW19),1),0),IF(COUNT(AK19,AM19,AQ19,AS19,BU19,BW19)&gt;1,LARGE((AK19,AM19,AQ19,AS19,BU19,BW19),1),0))</f>
        <v>24.099999999999998</v>
      </c>
      <c r="M19" s="7" t="str">
        <f t="shared" si="7"/>
        <v>2025 3rd Domestic Trial</v>
      </c>
      <c r="N19" s="7">
        <f>IF(J19=AO19,IF(COUNT(AQ19,AS19,BO19,BQ19,BU19,BW19)&gt;1,LARGE((AQ19,AS19,BO19,BQ19,BU19,BW19),2),0),IF(COUNT(AK19,AM19,AQ19,AS19,BU19,BW19)&gt;1,LARGE((AK19,AM19,AQ19,AS19,BU19,BW19),2),0))</f>
        <v>17.7</v>
      </c>
      <c r="O19" s="7" t="str">
        <f t="shared" si="8"/>
        <v>2025 3rd Domestic Trial</v>
      </c>
      <c r="P19" s="7" t="str">
        <f t="shared" si="9"/>
        <v/>
      </c>
      <c r="Q19" s="10" t="str">
        <f t="shared" si="10"/>
        <v/>
      </c>
      <c r="R19" s="7" t="str">
        <f t="shared" si="11"/>
        <v/>
      </c>
      <c r="S19" s="39">
        <v>18.600000000000001</v>
      </c>
      <c r="T19" s="39">
        <v>4.8</v>
      </c>
      <c r="U19" s="39">
        <v>0.6</v>
      </c>
      <c r="V19" s="39">
        <v>0</v>
      </c>
      <c r="W19" s="39">
        <v>17.600000000000001</v>
      </c>
      <c r="X19" s="39">
        <v>3.2</v>
      </c>
      <c r="Y19" s="39">
        <v>1.6</v>
      </c>
      <c r="Z19" s="39">
        <v>0.3</v>
      </c>
      <c r="AA19" s="39"/>
      <c r="AB19" s="39"/>
      <c r="AC19" s="39"/>
      <c r="AD19" s="39"/>
      <c r="AE19" s="39"/>
      <c r="AF19" s="39"/>
      <c r="AG19" s="39"/>
      <c r="AH19" s="39"/>
      <c r="AI19" s="19"/>
      <c r="AJ19" s="42">
        <f t="shared" si="12"/>
        <v>4.8</v>
      </c>
      <c r="AK19" s="42">
        <f t="shared" si="13"/>
        <v>22.8</v>
      </c>
      <c r="AL19" s="42">
        <f t="shared" si="14"/>
        <v>3.2</v>
      </c>
      <c r="AM19" s="42">
        <f t="shared" si="15"/>
        <v>19.5</v>
      </c>
      <c r="AN19" s="27">
        <f t="shared" si="16"/>
        <v>8</v>
      </c>
      <c r="AO19" s="27">
        <f t="shared" si="17"/>
        <v>42.3</v>
      </c>
      <c r="AP19" s="27" t="str">
        <f t="shared" si="18"/>
        <v/>
      </c>
      <c r="AQ19" s="27" t="str">
        <f t="shared" si="19"/>
        <v/>
      </c>
      <c r="AR19" s="27" t="str">
        <f t="shared" si="20"/>
        <v/>
      </c>
      <c r="AS19" s="27" t="str">
        <f t="shared" si="21"/>
        <v/>
      </c>
      <c r="AT19" s="27" t="str">
        <f t="shared" si="22"/>
        <v/>
      </c>
      <c r="AU19" s="27" t="str">
        <f t="shared" si="23"/>
        <v/>
      </c>
      <c r="AV19" s="27">
        <f t="shared" si="24"/>
        <v>42.3</v>
      </c>
      <c r="AW19" s="15">
        <v>18.7</v>
      </c>
      <c r="AX19" s="15">
        <v>5.6</v>
      </c>
      <c r="AY19" s="15">
        <v>0.2</v>
      </c>
      <c r="AZ19" s="15">
        <v>0</v>
      </c>
      <c r="BA19" s="15">
        <v>15.3</v>
      </c>
      <c r="BB19" s="15">
        <v>2.4</v>
      </c>
      <c r="BC19" s="15">
        <v>0</v>
      </c>
      <c r="BD19" s="15">
        <v>0</v>
      </c>
      <c r="BE19" s="15"/>
      <c r="BF19" s="15"/>
      <c r="BG19" s="15"/>
      <c r="BH19" s="15"/>
      <c r="BI19" s="15"/>
      <c r="BJ19" s="15"/>
      <c r="BK19" s="15"/>
      <c r="BL19" s="15"/>
      <c r="BM19" s="20"/>
      <c r="BN19" s="43">
        <f t="shared" si="25"/>
        <v>5.6</v>
      </c>
      <c r="BO19" s="43">
        <f t="shared" si="26"/>
        <v>24.099999999999998</v>
      </c>
      <c r="BP19" s="43">
        <f t="shared" si="27"/>
        <v>2.4</v>
      </c>
      <c r="BQ19" s="43">
        <f t="shared" si="28"/>
        <v>17.7</v>
      </c>
      <c r="BR19" s="10">
        <f t="shared" si="29"/>
        <v>8</v>
      </c>
      <c r="BS19" s="10">
        <f t="shared" si="30"/>
        <v>41.8</v>
      </c>
      <c r="BT19" s="10" t="str">
        <f t="shared" si="31"/>
        <v/>
      </c>
      <c r="BU19" s="10" t="str">
        <f t="shared" si="32"/>
        <v/>
      </c>
      <c r="BV19" s="10" t="str">
        <f t="shared" si="33"/>
        <v/>
      </c>
      <c r="BW19" s="10" t="str">
        <f t="shared" si="34"/>
        <v/>
      </c>
      <c r="BX19" s="10" t="str">
        <f t="shared" si="35"/>
        <v/>
      </c>
      <c r="BY19" s="10" t="str">
        <f t="shared" si="36"/>
        <v/>
      </c>
      <c r="BZ19" s="10">
        <f t="shared" si="37"/>
        <v>41.8</v>
      </c>
      <c r="CA19" s="34" t="str">
        <f t="shared" si="38"/>
        <v/>
      </c>
      <c r="CB19" s="34" t="str">
        <f t="shared" si="39"/>
        <v/>
      </c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27" t="str">
        <f t="shared" si="40"/>
        <v/>
      </c>
      <c r="CX19" s="27" t="str">
        <f t="shared" si="41"/>
        <v/>
      </c>
      <c r="CY19" s="27" t="str">
        <f t="shared" si="42"/>
        <v/>
      </c>
      <c r="CZ19" s="27" t="str">
        <f t="shared" si="43"/>
        <v/>
      </c>
      <c r="DA19" s="27" t="str">
        <f t="shared" si="44"/>
        <v/>
      </c>
      <c r="DB19" s="27" t="str">
        <f t="shared" si="45"/>
        <v/>
      </c>
      <c r="DC19" s="27" t="str">
        <f t="shared" si="46"/>
        <v/>
      </c>
      <c r="DD19" s="27" t="str">
        <f t="shared" si="47"/>
        <v/>
      </c>
      <c r="DE19" s="27" t="str">
        <f t="shared" si="48"/>
        <v/>
      </c>
      <c r="DF19" s="27" t="str">
        <f t="shared" si="49"/>
        <v/>
      </c>
      <c r="DG19" s="27" t="str">
        <f t="shared" si="50"/>
        <v/>
      </c>
      <c r="DH19" s="27" t="str">
        <f t="shared" si="51"/>
        <v/>
      </c>
      <c r="DI19" s="27" t="str">
        <f t="shared" si="52"/>
        <v/>
      </c>
      <c r="DJ19" s="27" t="str">
        <f t="shared" si="53"/>
        <v/>
      </c>
      <c r="DK19" s="27" t="str">
        <f t="shared" si="54"/>
        <v/>
      </c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0" t="str">
        <f t="shared" si="55"/>
        <v/>
      </c>
      <c r="EG19" s="10" t="str">
        <f t="shared" si="56"/>
        <v/>
      </c>
      <c r="EH19" s="10" t="str">
        <f t="shared" si="57"/>
        <v/>
      </c>
      <c r="EI19" s="10" t="str">
        <f t="shared" si="58"/>
        <v/>
      </c>
      <c r="EJ19" s="10" t="str">
        <f t="shared" si="59"/>
        <v/>
      </c>
      <c r="EK19" s="10" t="str">
        <f t="shared" si="60"/>
        <v/>
      </c>
      <c r="EL19" s="10" t="str">
        <f t="shared" si="61"/>
        <v/>
      </c>
      <c r="EM19" s="10" t="str">
        <f t="shared" si="62"/>
        <v/>
      </c>
      <c r="EN19" s="10" t="str">
        <f t="shared" si="63"/>
        <v/>
      </c>
      <c r="EO19" s="10" t="str">
        <f t="shared" si="64"/>
        <v/>
      </c>
      <c r="EP19" s="10" t="str">
        <f t="shared" si="65"/>
        <v/>
      </c>
      <c r="EQ19" s="10" t="str">
        <f t="shared" si="66"/>
        <v/>
      </c>
      <c r="ER19" s="10" t="str">
        <f t="shared" si="67"/>
        <v/>
      </c>
      <c r="ES19" s="10" t="str">
        <f t="shared" si="68"/>
        <v/>
      </c>
      <c r="ET19" s="10" t="str">
        <f t="shared" si="69"/>
        <v/>
      </c>
      <c r="EU19" s="44">
        <f t="shared" si="70"/>
        <v>18.649999999999999</v>
      </c>
      <c r="EV19" s="44">
        <f t="shared" si="71"/>
        <v>5.1999999999999993</v>
      </c>
      <c r="EW19" s="44">
        <f t="shared" si="72"/>
        <v>0.4</v>
      </c>
      <c r="EX19" s="44">
        <f t="shared" si="73"/>
        <v>0</v>
      </c>
      <c r="EY19" s="44">
        <f t="shared" si="74"/>
        <v>16.450000000000003</v>
      </c>
      <c r="EZ19" s="44">
        <f t="shared" si="75"/>
        <v>2.8</v>
      </c>
      <c r="FA19" s="44">
        <f t="shared" si="76"/>
        <v>0.8</v>
      </c>
      <c r="FB19" s="44">
        <f t="shared" si="77"/>
        <v>0.15</v>
      </c>
      <c r="FC19" s="44">
        <f t="shared" si="78"/>
        <v>0</v>
      </c>
      <c r="FD19" s="44">
        <f t="shared" si="79"/>
        <v>0</v>
      </c>
      <c r="FE19" s="44">
        <f t="shared" si="80"/>
        <v>0</v>
      </c>
      <c r="FF19" s="44">
        <f t="shared" si="81"/>
        <v>0</v>
      </c>
      <c r="FG19" s="44">
        <f t="shared" si="82"/>
        <v>0</v>
      </c>
      <c r="FH19" s="44">
        <f t="shared" si="83"/>
        <v>0</v>
      </c>
      <c r="FI19" s="44">
        <f t="shared" si="84"/>
        <v>0</v>
      </c>
      <c r="FJ19" s="44">
        <f t="shared" si="85"/>
        <v>0</v>
      </c>
      <c r="FK19" s="20" t="s">
        <v>29</v>
      </c>
      <c r="FL19" s="10">
        <f t="shared" si="86"/>
        <v>5.1999999999999993</v>
      </c>
      <c r="FM19" s="10">
        <f t="shared" si="87"/>
        <v>23.45</v>
      </c>
      <c r="FN19" s="10">
        <f t="shared" si="88"/>
        <v>2.8</v>
      </c>
      <c r="FO19" s="10">
        <f t="shared" si="89"/>
        <v>18.600000000000001</v>
      </c>
      <c r="FP19" s="10">
        <f t="shared" si="90"/>
        <v>7.9999999999999991</v>
      </c>
      <c r="FQ19" s="10">
        <f t="shared" si="93"/>
        <v>42.05</v>
      </c>
      <c r="FR19" s="10">
        <f t="shared" si="94"/>
        <v>0</v>
      </c>
      <c r="FS19" s="10">
        <f t="shared" si="95"/>
        <v>0</v>
      </c>
      <c r="FT19" s="10">
        <f t="shared" si="96"/>
        <v>0</v>
      </c>
      <c r="FU19" s="10">
        <f t="shared" si="97"/>
        <v>0</v>
      </c>
      <c r="FV19" s="10" t="str">
        <f t="shared" si="98"/>
        <v/>
      </c>
      <c r="FW19" s="10" t="str">
        <f t="shared" si="91"/>
        <v/>
      </c>
      <c r="FX19" s="10">
        <f t="shared" si="92"/>
        <v>42.05</v>
      </c>
    </row>
    <row r="20" spans="1:180" x14ac:dyDescent="0.2">
      <c r="A20" s="3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4" t="s">
        <v>141</v>
      </c>
      <c r="C20" s="3" t="s">
        <v>5</v>
      </c>
      <c r="D20" s="3">
        <v>2008</v>
      </c>
      <c r="E20" s="8">
        <f t="shared" si="0"/>
        <v>79.900006220004414</v>
      </c>
      <c r="F20" s="2" t="str">
        <f t="shared" si="1"/>
        <v/>
      </c>
      <c r="G20" s="2" t="str">
        <f t="shared" si="2"/>
        <v/>
      </c>
      <c r="H20" s="26" t="str">
        <f t="shared" si="3"/>
        <v/>
      </c>
      <c r="I20" s="2" t="str">
        <f t="shared" si="4"/>
        <v/>
      </c>
      <c r="J20" s="7">
        <f t="shared" si="5"/>
        <v>44.1</v>
      </c>
      <c r="K20" s="7" t="str">
        <f t="shared" si="6"/>
        <v>2025 Nationals</v>
      </c>
      <c r="L20" s="7">
        <f>IF(J20=AO20,IF(COUNT(AQ20,AS20,BO20,BQ20,BU20,BW20)&gt;1,LARGE((AQ20,AS20,BO20,BQ20,BU20,BW20),1),0),IF(COUNT(AK20,AM20,AQ20,AS20,BU20,BW20)&gt;1,LARGE((AK20,AM20,AQ20,AS20,BU20,BW20),1),0))</f>
        <v>18.100000000000001</v>
      </c>
      <c r="M20" s="7" t="str">
        <f t="shared" si="7"/>
        <v>2025 3rd Domestic Trial</v>
      </c>
      <c r="N20" s="7">
        <f>IF(J20=AO20,IF(COUNT(AQ20,AS20,BO20,BQ20,BU20,BW20)&gt;1,LARGE((AQ20,AS20,BO20,BQ20,BU20,BW20),2),0),IF(COUNT(AK20,AM20,AQ20,AS20,BU20,BW20)&gt;1,LARGE((AK20,AM20,AQ20,AS20,BU20,BW20),2),0))</f>
        <v>17.7</v>
      </c>
      <c r="O20" s="7" t="str">
        <f t="shared" si="8"/>
        <v>2025 3rd Domestic Trial</v>
      </c>
      <c r="P20" s="7" t="str">
        <f t="shared" si="9"/>
        <v/>
      </c>
      <c r="Q20" s="10" t="str">
        <f t="shared" si="10"/>
        <v/>
      </c>
      <c r="R20" s="7" t="str">
        <f t="shared" si="11"/>
        <v/>
      </c>
      <c r="S20" s="39">
        <v>16.600000000000001</v>
      </c>
      <c r="T20" s="39">
        <v>6</v>
      </c>
      <c r="U20" s="39">
        <v>0.6</v>
      </c>
      <c r="V20" s="39">
        <v>0</v>
      </c>
      <c r="W20" s="39">
        <v>18.3</v>
      </c>
      <c r="X20" s="39">
        <v>4.8</v>
      </c>
      <c r="Y20" s="39">
        <v>1</v>
      </c>
      <c r="Z20" s="39">
        <v>0</v>
      </c>
      <c r="AA20" s="39"/>
      <c r="AB20" s="39"/>
      <c r="AC20" s="39"/>
      <c r="AD20" s="39"/>
      <c r="AE20" s="39"/>
      <c r="AF20" s="39"/>
      <c r="AG20" s="39"/>
      <c r="AH20" s="39"/>
      <c r="AI20" s="19"/>
      <c r="AJ20" s="42">
        <f t="shared" si="12"/>
        <v>6</v>
      </c>
      <c r="AK20" s="42">
        <f t="shared" si="13"/>
        <v>22</v>
      </c>
      <c r="AL20" s="42">
        <f t="shared" si="14"/>
        <v>4.8</v>
      </c>
      <c r="AM20" s="42">
        <f t="shared" si="15"/>
        <v>22.1</v>
      </c>
      <c r="AN20" s="27">
        <f t="shared" si="16"/>
        <v>10.8</v>
      </c>
      <c r="AO20" s="27">
        <f t="shared" si="17"/>
        <v>44.1</v>
      </c>
      <c r="AP20" s="27" t="str">
        <f t="shared" si="18"/>
        <v/>
      </c>
      <c r="AQ20" s="27" t="str">
        <f t="shared" si="19"/>
        <v/>
      </c>
      <c r="AR20" s="27" t="str">
        <f t="shared" si="20"/>
        <v/>
      </c>
      <c r="AS20" s="27" t="str">
        <f t="shared" si="21"/>
        <v/>
      </c>
      <c r="AT20" s="27" t="str">
        <f t="shared" si="22"/>
        <v/>
      </c>
      <c r="AU20" s="27" t="str">
        <f t="shared" si="23"/>
        <v/>
      </c>
      <c r="AV20" s="27">
        <f t="shared" si="24"/>
        <v>44.1</v>
      </c>
      <c r="AW20" s="15">
        <v>15.3</v>
      </c>
      <c r="AX20" s="15">
        <v>2.4</v>
      </c>
      <c r="AY20" s="15">
        <v>0</v>
      </c>
      <c r="AZ20" s="15">
        <v>0</v>
      </c>
      <c r="BA20" s="15">
        <v>15.3</v>
      </c>
      <c r="BB20" s="15">
        <v>2.8</v>
      </c>
      <c r="BC20" s="15">
        <v>0</v>
      </c>
      <c r="BD20" s="15">
        <v>0</v>
      </c>
      <c r="BE20" s="15"/>
      <c r="BF20" s="15"/>
      <c r="BG20" s="15"/>
      <c r="BH20" s="15"/>
      <c r="BI20" s="15"/>
      <c r="BJ20" s="15"/>
      <c r="BK20" s="15"/>
      <c r="BL20" s="15"/>
      <c r="BM20" s="20"/>
      <c r="BN20" s="43">
        <f t="shared" si="25"/>
        <v>2.4</v>
      </c>
      <c r="BO20" s="43">
        <f t="shared" si="26"/>
        <v>17.7</v>
      </c>
      <c r="BP20" s="43">
        <f t="shared" si="27"/>
        <v>2.8</v>
      </c>
      <c r="BQ20" s="43">
        <f t="shared" si="28"/>
        <v>18.100000000000001</v>
      </c>
      <c r="BR20" s="10">
        <f t="shared" si="29"/>
        <v>5.1999999999999993</v>
      </c>
      <c r="BS20" s="10">
        <f t="shared" si="30"/>
        <v>35.799999999999997</v>
      </c>
      <c r="BT20" s="10" t="str">
        <f t="shared" si="31"/>
        <v/>
      </c>
      <c r="BU20" s="10" t="str">
        <f t="shared" si="32"/>
        <v/>
      </c>
      <c r="BV20" s="10" t="str">
        <f t="shared" si="33"/>
        <v/>
      </c>
      <c r="BW20" s="10" t="str">
        <f t="shared" si="34"/>
        <v/>
      </c>
      <c r="BX20" s="10" t="str">
        <f t="shared" si="35"/>
        <v/>
      </c>
      <c r="BY20" s="10" t="str">
        <f t="shared" si="36"/>
        <v/>
      </c>
      <c r="BZ20" s="10">
        <f t="shared" si="37"/>
        <v>35.799999999999997</v>
      </c>
      <c r="CA20" s="34" t="str">
        <f t="shared" si="38"/>
        <v/>
      </c>
      <c r="CB20" s="34" t="str">
        <f t="shared" si="39"/>
        <v/>
      </c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27" t="str">
        <f t="shared" si="40"/>
        <v/>
      </c>
      <c r="CX20" s="27" t="str">
        <f t="shared" si="41"/>
        <v/>
      </c>
      <c r="CY20" s="27" t="str">
        <f t="shared" si="42"/>
        <v/>
      </c>
      <c r="CZ20" s="27" t="str">
        <f t="shared" si="43"/>
        <v/>
      </c>
      <c r="DA20" s="27" t="str">
        <f t="shared" si="44"/>
        <v/>
      </c>
      <c r="DB20" s="27" t="str">
        <f t="shared" si="45"/>
        <v/>
      </c>
      <c r="DC20" s="27" t="str">
        <f t="shared" si="46"/>
        <v/>
      </c>
      <c r="DD20" s="27" t="str">
        <f t="shared" si="47"/>
        <v/>
      </c>
      <c r="DE20" s="27" t="str">
        <f t="shared" si="48"/>
        <v/>
      </c>
      <c r="DF20" s="27" t="str">
        <f t="shared" si="49"/>
        <v/>
      </c>
      <c r="DG20" s="27" t="str">
        <f t="shared" si="50"/>
        <v/>
      </c>
      <c r="DH20" s="27" t="str">
        <f t="shared" si="51"/>
        <v/>
      </c>
      <c r="DI20" s="27" t="str">
        <f t="shared" si="52"/>
        <v/>
      </c>
      <c r="DJ20" s="27" t="str">
        <f t="shared" si="53"/>
        <v/>
      </c>
      <c r="DK20" s="27" t="str">
        <f t="shared" si="54"/>
        <v/>
      </c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0" t="str">
        <f t="shared" si="55"/>
        <v/>
      </c>
      <c r="EG20" s="10" t="str">
        <f t="shared" si="56"/>
        <v/>
      </c>
      <c r="EH20" s="10" t="str">
        <f t="shared" si="57"/>
        <v/>
      </c>
      <c r="EI20" s="10" t="str">
        <f t="shared" si="58"/>
        <v/>
      </c>
      <c r="EJ20" s="10" t="str">
        <f t="shared" si="59"/>
        <v/>
      </c>
      <c r="EK20" s="10" t="str">
        <f t="shared" si="60"/>
        <v/>
      </c>
      <c r="EL20" s="10" t="str">
        <f t="shared" si="61"/>
        <v/>
      </c>
      <c r="EM20" s="10" t="str">
        <f t="shared" si="62"/>
        <v/>
      </c>
      <c r="EN20" s="10" t="str">
        <f t="shared" si="63"/>
        <v/>
      </c>
      <c r="EO20" s="10" t="str">
        <f t="shared" si="64"/>
        <v/>
      </c>
      <c r="EP20" s="10" t="str">
        <f t="shared" si="65"/>
        <v/>
      </c>
      <c r="EQ20" s="10" t="str">
        <f t="shared" si="66"/>
        <v/>
      </c>
      <c r="ER20" s="10" t="str">
        <f t="shared" si="67"/>
        <v/>
      </c>
      <c r="ES20" s="10" t="str">
        <f t="shared" si="68"/>
        <v/>
      </c>
      <c r="ET20" s="10" t="str">
        <f t="shared" si="69"/>
        <v/>
      </c>
      <c r="EU20" s="44">
        <f t="shared" si="70"/>
        <v>15.950000000000001</v>
      </c>
      <c r="EV20" s="44">
        <f t="shared" si="71"/>
        <v>4.2</v>
      </c>
      <c r="EW20" s="44">
        <f t="shared" si="72"/>
        <v>0.3</v>
      </c>
      <c r="EX20" s="44">
        <f t="shared" si="73"/>
        <v>0</v>
      </c>
      <c r="EY20" s="44">
        <f t="shared" si="74"/>
        <v>16.8</v>
      </c>
      <c r="EZ20" s="44">
        <f t="shared" si="75"/>
        <v>3.8</v>
      </c>
      <c r="FA20" s="44">
        <f t="shared" si="76"/>
        <v>0.5</v>
      </c>
      <c r="FB20" s="44">
        <f t="shared" si="77"/>
        <v>0</v>
      </c>
      <c r="FC20" s="44">
        <f t="shared" si="78"/>
        <v>0</v>
      </c>
      <c r="FD20" s="44">
        <f t="shared" si="79"/>
        <v>0</v>
      </c>
      <c r="FE20" s="44">
        <f t="shared" si="80"/>
        <v>0</v>
      </c>
      <c r="FF20" s="44">
        <f t="shared" si="81"/>
        <v>0</v>
      </c>
      <c r="FG20" s="44">
        <f t="shared" si="82"/>
        <v>0</v>
      </c>
      <c r="FH20" s="44">
        <f t="shared" si="83"/>
        <v>0</v>
      </c>
      <c r="FI20" s="44">
        <f t="shared" si="84"/>
        <v>0</v>
      </c>
      <c r="FJ20" s="44">
        <f t="shared" si="85"/>
        <v>0</v>
      </c>
      <c r="FK20" s="20" t="s">
        <v>29</v>
      </c>
      <c r="FL20" s="10">
        <f t="shared" si="86"/>
        <v>4.2</v>
      </c>
      <c r="FM20" s="10">
        <f t="shared" si="87"/>
        <v>19.850000000000001</v>
      </c>
      <c r="FN20" s="10">
        <f t="shared" si="88"/>
        <v>3.8</v>
      </c>
      <c r="FO20" s="10">
        <f t="shared" si="89"/>
        <v>20.100000000000001</v>
      </c>
      <c r="FP20" s="10">
        <f t="shared" si="90"/>
        <v>8</v>
      </c>
      <c r="FQ20" s="10">
        <f t="shared" si="93"/>
        <v>39.950000000000003</v>
      </c>
      <c r="FR20" s="10">
        <f t="shared" si="94"/>
        <v>0</v>
      </c>
      <c r="FS20" s="10">
        <f t="shared" si="95"/>
        <v>0</v>
      </c>
      <c r="FT20" s="10">
        <f t="shared" si="96"/>
        <v>0</v>
      </c>
      <c r="FU20" s="10">
        <f t="shared" si="97"/>
        <v>0</v>
      </c>
      <c r="FV20" s="10" t="str">
        <f t="shared" si="98"/>
        <v/>
      </c>
      <c r="FW20" s="10" t="str">
        <f t="shared" si="91"/>
        <v/>
      </c>
      <c r="FX20" s="10">
        <f t="shared" si="92"/>
        <v>39.950000000000003</v>
      </c>
    </row>
    <row r="21" spans="1:180" x14ac:dyDescent="0.2">
      <c r="A21" s="3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4" t="s">
        <v>138</v>
      </c>
      <c r="C21" s="3" t="s">
        <v>83</v>
      </c>
      <c r="D21" s="3">
        <v>2007</v>
      </c>
      <c r="E21" s="8">
        <f t="shared" si="0"/>
        <v>44.400004440004437</v>
      </c>
      <c r="F21" s="2" t="str">
        <f t="shared" si="1"/>
        <v/>
      </c>
      <c r="G21" s="2" t="str">
        <f t="shared" si="2"/>
        <v/>
      </c>
      <c r="H21" s="26" t="str">
        <f t="shared" si="3"/>
        <v/>
      </c>
      <c r="I21" s="2" t="str">
        <f t="shared" si="4"/>
        <v/>
      </c>
      <c r="J21" s="7">
        <f t="shared" si="5"/>
        <v>44.4</v>
      </c>
      <c r="K21" s="7" t="str">
        <f t="shared" si="6"/>
        <v>2025 Nationals</v>
      </c>
      <c r="L21" s="7">
        <f>IF(J21=AO21,IF(COUNT(AQ21,AS21,BO21,BQ21,BU21,BW21)&gt;1,LARGE((AQ21,AS21,BO21,BQ21,BU21,BW21),1),0),IF(COUNT(AK21,AM21,AQ21,AS21,BU21,BW21)&gt;1,LARGE((AK21,AM21,AQ21,AS21,BU21,BW21),1),0))</f>
        <v>0</v>
      </c>
      <c r="M21" s="7" t="str">
        <f t="shared" si="7"/>
        <v/>
      </c>
      <c r="N21" s="7">
        <f>IF(J21=AO21,IF(COUNT(AQ21,AS21,BO21,BQ21,BU21,BW21)&gt;1,LARGE((AQ21,AS21,BO21,BQ21,BU21,BW21),2),0),IF(COUNT(AK21,AM21,AQ21,AS21,BU21,BW21)&gt;1,LARGE((AK21,AM21,AQ21,AS21,BU21,BW21),2),0))</f>
        <v>0</v>
      </c>
      <c r="O21" s="7" t="str">
        <f t="shared" si="8"/>
        <v/>
      </c>
      <c r="P21" s="7" t="str">
        <f t="shared" si="9"/>
        <v/>
      </c>
      <c r="Q21" s="10" t="str">
        <f t="shared" si="10"/>
        <v/>
      </c>
      <c r="R21" s="7" t="str">
        <f t="shared" si="11"/>
        <v/>
      </c>
      <c r="S21" s="39">
        <v>18</v>
      </c>
      <c r="T21" s="39">
        <v>5.6</v>
      </c>
      <c r="U21" s="39">
        <v>0.2</v>
      </c>
      <c r="V21" s="39">
        <v>0</v>
      </c>
      <c r="W21" s="39">
        <v>16.2</v>
      </c>
      <c r="X21" s="39">
        <v>5.6</v>
      </c>
      <c r="Y21" s="39">
        <v>0.8</v>
      </c>
      <c r="Z21" s="39">
        <v>0</v>
      </c>
      <c r="AA21" s="39"/>
      <c r="AB21" s="39"/>
      <c r="AC21" s="39"/>
      <c r="AD21" s="39"/>
      <c r="AE21" s="39"/>
      <c r="AF21" s="39"/>
      <c r="AG21" s="39"/>
      <c r="AH21" s="39"/>
      <c r="AI21" s="19"/>
      <c r="AJ21" s="42">
        <f t="shared" si="12"/>
        <v>5.6</v>
      </c>
      <c r="AK21" s="42">
        <f t="shared" si="13"/>
        <v>23.400000000000002</v>
      </c>
      <c r="AL21" s="42">
        <f t="shared" si="14"/>
        <v>5.6</v>
      </c>
      <c r="AM21" s="42">
        <f t="shared" si="15"/>
        <v>20.999999999999996</v>
      </c>
      <c r="AN21" s="27">
        <f t="shared" si="16"/>
        <v>11.2</v>
      </c>
      <c r="AO21" s="27">
        <f t="shared" si="17"/>
        <v>44.4</v>
      </c>
      <c r="AP21" s="27" t="str">
        <f t="shared" si="18"/>
        <v/>
      </c>
      <c r="AQ21" s="27" t="str">
        <f t="shared" si="19"/>
        <v/>
      </c>
      <c r="AR21" s="27" t="str">
        <f t="shared" si="20"/>
        <v/>
      </c>
      <c r="AS21" s="27" t="str">
        <f t="shared" si="21"/>
        <v/>
      </c>
      <c r="AT21" s="27" t="str">
        <f t="shared" si="22"/>
        <v/>
      </c>
      <c r="AU21" s="27" t="str">
        <f t="shared" si="23"/>
        <v/>
      </c>
      <c r="AV21" s="27">
        <f t="shared" si="24"/>
        <v>44.4</v>
      </c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20"/>
      <c r="BN21" s="43" t="str">
        <f t="shared" si="25"/>
        <v/>
      </c>
      <c r="BO21" s="43" t="str">
        <f t="shared" si="26"/>
        <v/>
      </c>
      <c r="BP21" s="43" t="str">
        <f t="shared" si="27"/>
        <v/>
      </c>
      <c r="BQ21" s="43" t="str">
        <f t="shared" si="28"/>
        <v/>
      </c>
      <c r="BR21" s="10" t="str">
        <f t="shared" si="29"/>
        <v/>
      </c>
      <c r="BS21" s="10" t="str">
        <f t="shared" si="30"/>
        <v/>
      </c>
      <c r="BT21" s="10" t="str">
        <f t="shared" si="31"/>
        <v/>
      </c>
      <c r="BU21" s="10" t="str">
        <f t="shared" si="32"/>
        <v/>
      </c>
      <c r="BV21" s="10" t="str">
        <f t="shared" si="33"/>
        <v/>
      </c>
      <c r="BW21" s="10" t="str">
        <f t="shared" si="34"/>
        <v/>
      </c>
      <c r="BX21" s="10" t="str">
        <f t="shared" si="35"/>
        <v/>
      </c>
      <c r="BY21" s="10" t="str">
        <f t="shared" si="36"/>
        <v/>
      </c>
      <c r="BZ21" s="10" t="str">
        <f t="shared" si="37"/>
        <v/>
      </c>
      <c r="CA21" s="34" t="str">
        <f t="shared" si="38"/>
        <v/>
      </c>
      <c r="CB21" s="34" t="str">
        <f t="shared" si="39"/>
        <v/>
      </c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27" t="str">
        <f t="shared" si="40"/>
        <v/>
      </c>
      <c r="CX21" s="27" t="str">
        <f t="shared" si="41"/>
        <v/>
      </c>
      <c r="CY21" s="27" t="str">
        <f t="shared" si="42"/>
        <v/>
      </c>
      <c r="CZ21" s="27" t="str">
        <f t="shared" si="43"/>
        <v/>
      </c>
      <c r="DA21" s="27" t="str">
        <f t="shared" si="44"/>
        <v/>
      </c>
      <c r="DB21" s="27" t="str">
        <f t="shared" si="45"/>
        <v/>
      </c>
      <c r="DC21" s="27" t="str">
        <f t="shared" si="46"/>
        <v/>
      </c>
      <c r="DD21" s="27" t="str">
        <f t="shared" si="47"/>
        <v/>
      </c>
      <c r="DE21" s="27" t="str">
        <f t="shared" si="48"/>
        <v/>
      </c>
      <c r="DF21" s="27" t="str">
        <f t="shared" si="49"/>
        <v/>
      </c>
      <c r="DG21" s="27" t="str">
        <f t="shared" si="50"/>
        <v/>
      </c>
      <c r="DH21" s="27" t="str">
        <f t="shared" si="51"/>
        <v/>
      </c>
      <c r="DI21" s="27" t="str">
        <f t="shared" si="52"/>
        <v/>
      </c>
      <c r="DJ21" s="27" t="str">
        <f t="shared" si="53"/>
        <v/>
      </c>
      <c r="DK21" s="27" t="str">
        <f t="shared" si="54"/>
        <v/>
      </c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0" t="str">
        <f t="shared" si="55"/>
        <v/>
      </c>
      <c r="EG21" s="10" t="str">
        <f t="shared" si="56"/>
        <v/>
      </c>
      <c r="EH21" s="10" t="str">
        <f t="shared" si="57"/>
        <v/>
      </c>
      <c r="EI21" s="10" t="str">
        <f t="shared" si="58"/>
        <v/>
      </c>
      <c r="EJ21" s="10" t="str">
        <f t="shared" si="59"/>
        <v/>
      </c>
      <c r="EK21" s="10" t="str">
        <f t="shared" si="60"/>
        <v/>
      </c>
      <c r="EL21" s="10" t="str">
        <f t="shared" si="61"/>
        <v/>
      </c>
      <c r="EM21" s="10" t="str">
        <f t="shared" si="62"/>
        <v/>
      </c>
      <c r="EN21" s="10" t="str">
        <f t="shared" si="63"/>
        <v/>
      </c>
      <c r="EO21" s="10" t="str">
        <f t="shared" si="64"/>
        <v/>
      </c>
      <c r="EP21" s="10" t="str">
        <f t="shared" si="65"/>
        <v/>
      </c>
      <c r="EQ21" s="10" t="str">
        <f t="shared" si="66"/>
        <v/>
      </c>
      <c r="ER21" s="10" t="str">
        <f t="shared" si="67"/>
        <v/>
      </c>
      <c r="ES21" s="10" t="str">
        <f t="shared" si="68"/>
        <v/>
      </c>
      <c r="ET21" s="10" t="str">
        <f t="shared" si="69"/>
        <v/>
      </c>
      <c r="EU21" s="44">
        <f t="shared" si="70"/>
        <v>9</v>
      </c>
      <c r="EV21" s="44">
        <f t="shared" si="71"/>
        <v>2.8</v>
      </c>
      <c r="EW21" s="44">
        <f t="shared" si="72"/>
        <v>0.1</v>
      </c>
      <c r="EX21" s="44">
        <f t="shared" si="73"/>
        <v>0</v>
      </c>
      <c r="EY21" s="44">
        <f t="shared" si="74"/>
        <v>8.1</v>
      </c>
      <c r="EZ21" s="44">
        <f t="shared" si="75"/>
        <v>2.8</v>
      </c>
      <c r="FA21" s="44">
        <f t="shared" si="76"/>
        <v>0.4</v>
      </c>
      <c r="FB21" s="44">
        <f t="shared" si="77"/>
        <v>0</v>
      </c>
      <c r="FC21" s="44">
        <f t="shared" si="78"/>
        <v>0</v>
      </c>
      <c r="FD21" s="44">
        <f t="shared" si="79"/>
        <v>0</v>
      </c>
      <c r="FE21" s="44">
        <f t="shared" si="80"/>
        <v>0</v>
      </c>
      <c r="FF21" s="44">
        <f t="shared" si="81"/>
        <v>0</v>
      </c>
      <c r="FG21" s="44">
        <f t="shared" si="82"/>
        <v>0</v>
      </c>
      <c r="FH21" s="44">
        <f t="shared" si="83"/>
        <v>0</v>
      </c>
      <c r="FI21" s="44">
        <f t="shared" si="84"/>
        <v>0</v>
      </c>
      <c r="FJ21" s="44">
        <f t="shared" si="85"/>
        <v>0</v>
      </c>
      <c r="FK21" s="20" t="s">
        <v>29</v>
      </c>
      <c r="FL21" s="10">
        <f t="shared" si="86"/>
        <v>2.8</v>
      </c>
      <c r="FM21" s="10">
        <f t="shared" si="87"/>
        <v>11.700000000000001</v>
      </c>
      <c r="FN21" s="10">
        <f t="shared" si="88"/>
        <v>2.8</v>
      </c>
      <c r="FO21" s="10">
        <f t="shared" si="89"/>
        <v>10.499999999999998</v>
      </c>
      <c r="FP21" s="10">
        <f t="shared" si="90"/>
        <v>5.6</v>
      </c>
      <c r="FQ21" s="10">
        <f t="shared" si="93"/>
        <v>22.2</v>
      </c>
      <c r="FR21" s="10">
        <f t="shared" si="94"/>
        <v>0</v>
      </c>
      <c r="FS21" s="10">
        <f t="shared" si="95"/>
        <v>0</v>
      </c>
      <c r="FT21" s="10">
        <f t="shared" si="96"/>
        <v>0</v>
      </c>
      <c r="FU21" s="10">
        <f t="shared" si="97"/>
        <v>0</v>
      </c>
      <c r="FV21" s="10" t="str">
        <f t="shared" si="98"/>
        <v/>
      </c>
      <c r="FW21" s="10" t="str">
        <f t="shared" si="91"/>
        <v/>
      </c>
      <c r="FX21" s="10">
        <f t="shared" si="92"/>
        <v>22.2</v>
      </c>
    </row>
    <row r="22" spans="1:180" x14ac:dyDescent="0.2">
      <c r="A22" s="3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4" t="s">
        <v>139</v>
      </c>
      <c r="C22" s="3" t="s">
        <v>83</v>
      </c>
      <c r="D22" s="3">
        <v>2003</v>
      </c>
      <c r="E22" s="8">
        <f t="shared" si="0"/>
        <v>43.500004350004346</v>
      </c>
      <c r="F22" s="2" t="str">
        <f t="shared" si="1"/>
        <v/>
      </c>
      <c r="G22" s="2" t="str">
        <f t="shared" si="2"/>
        <v/>
      </c>
      <c r="H22" s="26" t="str">
        <f t="shared" si="3"/>
        <v/>
      </c>
      <c r="I22" s="2" t="str">
        <f t="shared" si="4"/>
        <v/>
      </c>
      <c r="J22" s="7">
        <f t="shared" si="5"/>
        <v>43.5</v>
      </c>
      <c r="K22" s="7" t="str">
        <f t="shared" si="6"/>
        <v>2025 Nationals</v>
      </c>
      <c r="L22" s="7">
        <f>IF(J22=AO22,IF(COUNT(AQ22,AS22,BO22,BQ22,BU22,BW22)&gt;1,LARGE((AQ22,AS22,BO22,BQ22,BU22,BW22),1),0),IF(COUNT(AK22,AM22,AQ22,AS22,BU22,BW22)&gt;1,LARGE((AK22,AM22,AQ22,AS22,BU22,BW22),1),0))</f>
        <v>0</v>
      </c>
      <c r="M22" s="7" t="str">
        <f t="shared" si="7"/>
        <v/>
      </c>
      <c r="N22" s="7">
        <f>IF(J22=AO22,IF(COUNT(AQ22,AS22,BO22,BQ22,BU22,BW22)&gt;1,LARGE((AQ22,AS22,BO22,BQ22,BU22,BW22),2),0),IF(COUNT(AK22,AM22,AQ22,AS22,BU22,BW22)&gt;1,LARGE((AK22,AM22,AQ22,AS22,BU22,BW22),2),0))</f>
        <v>0</v>
      </c>
      <c r="O22" s="7" t="str">
        <f t="shared" si="8"/>
        <v/>
      </c>
      <c r="P22" s="7" t="str">
        <f t="shared" si="9"/>
        <v/>
      </c>
      <c r="Q22" s="10" t="str">
        <f t="shared" si="10"/>
        <v/>
      </c>
      <c r="R22" s="7" t="str">
        <f t="shared" si="11"/>
        <v/>
      </c>
      <c r="S22" s="39">
        <v>18.600000000000001</v>
      </c>
      <c r="T22" s="39">
        <v>5.2</v>
      </c>
      <c r="U22" s="39">
        <v>0.8</v>
      </c>
      <c r="V22" s="39">
        <v>0</v>
      </c>
      <c r="W22" s="39">
        <v>16.3</v>
      </c>
      <c r="X22" s="39">
        <v>5.2</v>
      </c>
      <c r="Y22" s="39">
        <v>1</v>
      </c>
      <c r="Z22" s="39">
        <v>0</v>
      </c>
      <c r="AA22" s="39"/>
      <c r="AB22" s="39"/>
      <c r="AC22" s="39"/>
      <c r="AD22" s="39"/>
      <c r="AE22" s="39"/>
      <c r="AF22" s="39"/>
      <c r="AG22" s="39"/>
      <c r="AH22" s="39"/>
      <c r="AI22" s="19"/>
      <c r="AJ22" s="42">
        <f t="shared" si="12"/>
        <v>5.2</v>
      </c>
      <c r="AK22" s="42">
        <f t="shared" si="13"/>
        <v>23</v>
      </c>
      <c r="AL22" s="42">
        <f t="shared" si="14"/>
        <v>5.2</v>
      </c>
      <c r="AM22" s="42">
        <f t="shared" si="15"/>
        <v>20.5</v>
      </c>
      <c r="AN22" s="27">
        <f t="shared" si="16"/>
        <v>10.4</v>
      </c>
      <c r="AO22" s="27">
        <f t="shared" si="17"/>
        <v>43.5</v>
      </c>
      <c r="AP22" s="27" t="str">
        <f t="shared" si="18"/>
        <v/>
      </c>
      <c r="AQ22" s="27" t="str">
        <f t="shared" si="19"/>
        <v/>
      </c>
      <c r="AR22" s="27" t="str">
        <f t="shared" si="20"/>
        <v/>
      </c>
      <c r="AS22" s="27" t="str">
        <f t="shared" si="21"/>
        <v/>
      </c>
      <c r="AT22" s="27" t="str">
        <f t="shared" si="22"/>
        <v/>
      </c>
      <c r="AU22" s="27" t="str">
        <f t="shared" si="23"/>
        <v/>
      </c>
      <c r="AV22" s="27">
        <f t="shared" si="24"/>
        <v>43.5</v>
      </c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20"/>
      <c r="BN22" s="43" t="str">
        <f t="shared" si="25"/>
        <v/>
      </c>
      <c r="BO22" s="43" t="str">
        <f t="shared" si="26"/>
        <v/>
      </c>
      <c r="BP22" s="43" t="str">
        <f t="shared" si="27"/>
        <v/>
      </c>
      <c r="BQ22" s="43" t="str">
        <f t="shared" si="28"/>
        <v/>
      </c>
      <c r="BR22" s="10" t="str">
        <f t="shared" si="29"/>
        <v/>
      </c>
      <c r="BS22" s="10" t="str">
        <f t="shared" si="30"/>
        <v/>
      </c>
      <c r="BT22" s="10" t="str">
        <f t="shared" si="31"/>
        <v/>
      </c>
      <c r="BU22" s="10" t="str">
        <f t="shared" si="32"/>
        <v/>
      </c>
      <c r="BV22" s="10" t="str">
        <f t="shared" si="33"/>
        <v/>
      </c>
      <c r="BW22" s="10" t="str">
        <f t="shared" si="34"/>
        <v/>
      </c>
      <c r="BX22" s="10" t="str">
        <f t="shared" si="35"/>
        <v/>
      </c>
      <c r="BY22" s="10" t="str">
        <f t="shared" si="36"/>
        <v/>
      </c>
      <c r="BZ22" s="10" t="str">
        <f t="shared" si="37"/>
        <v/>
      </c>
      <c r="CA22" s="34" t="str">
        <f t="shared" si="38"/>
        <v/>
      </c>
      <c r="CB22" s="34" t="str">
        <f t="shared" si="39"/>
        <v/>
      </c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27" t="str">
        <f t="shared" si="40"/>
        <v/>
      </c>
      <c r="CX22" s="27" t="str">
        <f t="shared" si="41"/>
        <v/>
      </c>
      <c r="CY22" s="27" t="str">
        <f t="shared" si="42"/>
        <v/>
      </c>
      <c r="CZ22" s="27" t="str">
        <f t="shared" si="43"/>
        <v/>
      </c>
      <c r="DA22" s="27" t="str">
        <f t="shared" si="44"/>
        <v/>
      </c>
      <c r="DB22" s="27" t="str">
        <f t="shared" si="45"/>
        <v/>
      </c>
      <c r="DC22" s="27" t="str">
        <f t="shared" si="46"/>
        <v/>
      </c>
      <c r="DD22" s="27" t="str">
        <f t="shared" si="47"/>
        <v/>
      </c>
      <c r="DE22" s="27" t="str">
        <f t="shared" si="48"/>
        <v/>
      </c>
      <c r="DF22" s="27" t="str">
        <f t="shared" si="49"/>
        <v/>
      </c>
      <c r="DG22" s="27" t="str">
        <f t="shared" si="50"/>
        <v/>
      </c>
      <c r="DH22" s="27" t="str">
        <f t="shared" si="51"/>
        <v/>
      </c>
      <c r="DI22" s="27" t="str">
        <f t="shared" si="52"/>
        <v/>
      </c>
      <c r="DJ22" s="27" t="str">
        <f t="shared" si="53"/>
        <v/>
      </c>
      <c r="DK22" s="27" t="str">
        <f t="shared" si="54"/>
        <v/>
      </c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0" t="str">
        <f t="shared" si="55"/>
        <v/>
      </c>
      <c r="EG22" s="10" t="str">
        <f t="shared" si="56"/>
        <v/>
      </c>
      <c r="EH22" s="10" t="str">
        <f t="shared" si="57"/>
        <v/>
      </c>
      <c r="EI22" s="10" t="str">
        <f t="shared" si="58"/>
        <v/>
      </c>
      <c r="EJ22" s="10" t="str">
        <f t="shared" si="59"/>
        <v/>
      </c>
      <c r="EK22" s="10" t="str">
        <f t="shared" si="60"/>
        <v/>
      </c>
      <c r="EL22" s="10" t="str">
        <f t="shared" si="61"/>
        <v/>
      </c>
      <c r="EM22" s="10" t="str">
        <f t="shared" si="62"/>
        <v/>
      </c>
      <c r="EN22" s="10" t="str">
        <f t="shared" si="63"/>
        <v/>
      </c>
      <c r="EO22" s="10" t="str">
        <f t="shared" si="64"/>
        <v/>
      </c>
      <c r="EP22" s="10" t="str">
        <f t="shared" si="65"/>
        <v/>
      </c>
      <c r="EQ22" s="10" t="str">
        <f t="shared" si="66"/>
        <v/>
      </c>
      <c r="ER22" s="10" t="str">
        <f t="shared" si="67"/>
        <v/>
      </c>
      <c r="ES22" s="10" t="str">
        <f t="shared" si="68"/>
        <v/>
      </c>
      <c r="ET22" s="10" t="str">
        <f t="shared" si="69"/>
        <v/>
      </c>
      <c r="EU22" s="44">
        <f t="shared" si="70"/>
        <v>9.3000000000000007</v>
      </c>
      <c r="EV22" s="44">
        <f t="shared" si="71"/>
        <v>2.6</v>
      </c>
      <c r="EW22" s="44">
        <f t="shared" si="72"/>
        <v>0.4</v>
      </c>
      <c r="EX22" s="44">
        <f t="shared" si="73"/>
        <v>0</v>
      </c>
      <c r="EY22" s="44">
        <f t="shared" si="74"/>
        <v>8.15</v>
      </c>
      <c r="EZ22" s="44">
        <f t="shared" si="75"/>
        <v>2.6</v>
      </c>
      <c r="FA22" s="44">
        <f t="shared" si="76"/>
        <v>0.5</v>
      </c>
      <c r="FB22" s="44">
        <f t="shared" si="77"/>
        <v>0</v>
      </c>
      <c r="FC22" s="44">
        <f t="shared" si="78"/>
        <v>0</v>
      </c>
      <c r="FD22" s="44">
        <f t="shared" si="79"/>
        <v>0</v>
      </c>
      <c r="FE22" s="44">
        <f t="shared" si="80"/>
        <v>0</v>
      </c>
      <c r="FF22" s="44">
        <f t="shared" si="81"/>
        <v>0</v>
      </c>
      <c r="FG22" s="44">
        <f t="shared" si="82"/>
        <v>0</v>
      </c>
      <c r="FH22" s="44">
        <f t="shared" si="83"/>
        <v>0</v>
      </c>
      <c r="FI22" s="44">
        <f t="shared" si="84"/>
        <v>0</v>
      </c>
      <c r="FJ22" s="44">
        <f t="shared" si="85"/>
        <v>0</v>
      </c>
      <c r="FK22" s="20" t="s">
        <v>29</v>
      </c>
      <c r="FL22" s="10">
        <f t="shared" si="86"/>
        <v>2.6</v>
      </c>
      <c r="FM22" s="10">
        <f t="shared" si="87"/>
        <v>11.5</v>
      </c>
      <c r="FN22" s="10">
        <f t="shared" si="88"/>
        <v>2.6</v>
      </c>
      <c r="FO22" s="10">
        <f t="shared" si="89"/>
        <v>10.25</v>
      </c>
      <c r="FP22" s="10">
        <f t="shared" si="90"/>
        <v>5.2</v>
      </c>
      <c r="FQ22" s="10">
        <f t="shared" si="93"/>
        <v>21.75</v>
      </c>
      <c r="FR22" s="10">
        <f t="shared" si="94"/>
        <v>0</v>
      </c>
      <c r="FS22" s="10">
        <f t="shared" si="95"/>
        <v>0</v>
      </c>
      <c r="FT22" s="10">
        <f t="shared" si="96"/>
        <v>0</v>
      </c>
      <c r="FU22" s="10">
        <f t="shared" si="97"/>
        <v>0</v>
      </c>
      <c r="FV22" s="10" t="str">
        <f t="shared" si="98"/>
        <v/>
      </c>
      <c r="FW22" s="10" t="str">
        <f t="shared" si="91"/>
        <v/>
      </c>
      <c r="FX22" s="10">
        <f t="shared" si="92"/>
        <v>21.75</v>
      </c>
    </row>
    <row r="23" spans="1:180" x14ac:dyDescent="0.2">
      <c r="A23" s="3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4" t="s">
        <v>142</v>
      </c>
      <c r="C23" s="3" t="s">
        <v>4</v>
      </c>
      <c r="D23" s="3">
        <v>1999</v>
      </c>
      <c r="E23" s="8">
        <f t="shared" si="0"/>
        <v>19.20000192000192</v>
      </c>
      <c r="F23" s="2" t="str">
        <f t="shared" si="1"/>
        <v/>
      </c>
      <c r="G23" s="2" t="str">
        <f t="shared" si="2"/>
        <v/>
      </c>
      <c r="H23" s="26" t="str">
        <f t="shared" si="3"/>
        <v/>
      </c>
      <c r="I23" s="2" t="str">
        <f t="shared" si="4"/>
        <v/>
      </c>
      <c r="J23" s="7">
        <f t="shared" si="5"/>
        <v>19.200000000000003</v>
      </c>
      <c r="K23" s="7" t="str">
        <f t="shared" si="6"/>
        <v>2025 Nationals</v>
      </c>
      <c r="L23" s="7">
        <f>IF(J23=AO23,IF(COUNT(AQ23,AS23,BO23,BQ23,BU23,BW23)&gt;1,LARGE((AQ23,AS23,BO23,BQ23,BU23,BW23),1),0),IF(COUNT(AK23,AM23,AQ23,AS23,BU23,BW23)&gt;1,LARGE((AK23,AM23,AQ23,AS23,BU23,BW23),1),0))</f>
        <v>0</v>
      </c>
      <c r="M23" s="7" t="str">
        <f t="shared" si="7"/>
        <v/>
      </c>
      <c r="N23" s="7">
        <f>IF(J23=AO23,IF(COUNT(AQ23,AS23,BO23,BQ23,BU23,BW23)&gt;1,LARGE((AQ23,AS23,BO23,BQ23,BU23,BW23),2),0),IF(COUNT(AK23,AM23,AQ23,AS23,BU23,BW23)&gt;1,LARGE((AK23,AM23,AQ23,AS23,BU23,BW23),2),0))</f>
        <v>0</v>
      </c>
      <c r="O23" s="7" t="str">
        <f t="shared" si="8"/>
        <v/>
      </c>
      <c r="P23" s="7" t="str">
        <f t="shared" si="9"/>
        <v/>
      </c>
      <c r="Q23" s="10" t="str">
        <f t="shared" si="10"/>
        <v/>
      </c>
      <c r="R23" s="7" t="str">
        <f t="shared" si="11"/>
        <v/>
      </c>
      <c r="S23" s="39">
        <v>16.2</v>
      </c>
      <c r="T23" s="39">
        <v>4.4000000000000004</v>
      </c>
      <c r="U23" s="39">
        <v>1.4</v>
      </c>
      <c r="V23" s="39">
        <v>0</v>
      </c>
      <c r="W23" s="39">
        <v>0</v>
      </c>
      <c r="X23" s="39">
        <v>0</v>
      </c>
      <c r="Y23" s="39">
        <v>0</v>
      </c>
      <c r="Z23" s="39">
        <v>0</v>
      </c>
      <c r="AA23" s="39"/>
      <c r="AB23" s="39"/>
      <c r="AC23" s="39"/>
      <c r="AD23" s="39"/>
      <c r="AE23" s="39"/>
      <c r="AF23" s="39"/>
      <c r="AG23" s="39"/>
      <c r="AH23" s="39"/>
      <c r="AI23" s="19"/>
      <c r="AJ23" s="42">
        <f t="shared" si="12"/>
        <v>4.4000000000000004</v>
      </c>
      <c r="AK23" s="42">
        <f t="shared" si="13"/>
        <v>19.200000000000003</v>
      </c>
      <c r="AL23" s="42">
        <f t="shared" si="14"/>
        <v>0</v>
      </c>
      <c r="AM23" s="42">
        <f t="shared" si="15"/>
        <v>0</v>
      </c>
      <c r="AN23" s="27">
        <f t="shared" si="16"/>
        <v>4.4000000000000004</v>
      </c>
      <c r="AO23" s="27">
        <f t="shared" si="17"/>
        <v>19.200000000000003</v>
      </c>
      <c r="AP23" s="27" t="str">
        <f t="shared" si="18"/>
        <v/>
      </c>
      <c r="AQ23" s="27" t="str">
        <f t="shared" si="19"/>
        <v/>
      </c>
      <c r="AR23" s="27" t="str">
        <f t="shared" si="20"/>
        <v/>
      </c>
      <c r="AS23" s="27" t="str">
        <f t="shared" si="21"/>
        <v/>
      </c>
      <c r="AT23" s="27" t="str">
        <f t="shared" si="22"/>
        <v/>
      </c>
      <c r="AU23" s="27" t="str">
        <f t="shared" si="23"/>
        <v/>
      </c>
      <c r="AV23" s="27">
        <f t="shared" si="24"/>
        <v>19.200000000000003</v>
      </c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20"/>
      <c r="BN23" s="43" t="str">
        <f t="shared" si="25"/>
        <v/>
      </c>
      <c r="BO23" s="43" t="str">
        <f t="shared" si="26"/>
        <v/>
      </c>
      <c r="BP23" s="43" t="str">
        <f t="shared" si="27"/>
        <v/>
      </c>
      <c r="BQ23" s="43" t="str">
        <f t="shared" si="28"/>
        <v/>
      </c>
      <c r="BR23" s="10" t="str">
        <f t="shared" si="29"/>
        <v/>
      </c>
      <c r="BS23" s="10" t="str">
        <f t="shared" si="30"/>
        <v/>
      </c>
      <c r="BT23" s="10" t="str">
        <f t="shared" si="31"/>
        <v/>
      </c>
      <c r="BU23" s="10" t="str">
        <f t="shared" si="32"/>
        <v/>
      </c>
      <c r="BV23" s="10" t="str">
        <f t="shared" si="33"/>
        <v/>
      </c>
      <c r="BW23" s="10" t="str">
        <f t="shared" si="34"/>
        <v/>
      </c>
      <c r="BX23" s="10" t="str">
        <f t="shared" si="35"/>
        <v/>
      </c>
      <c r="BY23" s="10" t="str">
        <f t="shared" si="36"/>
        <v/>
      </c>
      <c r="BZ23" s="10" t="str">
        <f t="shared" si="37"/>
        <v/>
      </c>
      <c r="CA23" s="34" t="str">
        <f t="shared" si="38"/>
        <v/>
      </c>
      <c r="CB23" s="34" t="str">
        <f t="shared" si="39"/>
        <v/>
      </c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27" t="str">
        <f t="shared" si="40"/>
        <v/>
      </c>
      <c r="CX23" s="27" t="str">
        <f t="shared" si="41"/>
        <v/>
      </c>
      <c r="CY23" s="27" t="str">
        <f t="shared" si="42"/>
        <v/>
      </c>
      <c r="CZ23" s="27" t="str">
        <f t="shared" si="43"/>
        <v/>
      </c>
      <c r="DA23" s="27" t="str">
        <f t="shared" si="44"/>
        <v/>
      </c>
      <c r="DB23" s="27" t="str">
        <f t="shared" si="45"/>
        <v/>
      </c>
      <c r="DC23" s="27" t="str">
        <f t="shared" si="46"/>
        <v/>
      </c>
      <c r="DD23" s="27" t="str">
        <f t="shared" si="47"/>
        <v/>
      </c>
      <c r="DE23" s="27" t="str">
        <f t="shared" si="48"/>
        <v/>
      </c>
      <c r="DF23" s="27" t="str">
        <f t="shared" si="49"/>
        <v/>
      </c>
      <c r="DG23" s="27" t="str">
        <f t="shared" si="50"/>
        <v/>
      </c>
      <c r="DH23" s="27" t="str">
        <f t="shared" si="51"/>
        <v/>
      </c>
      <c r="DI23" s="27" t="str">
        <f t="shared" si="52"/>
        <v/>
      </c>
      <c r="DJ23" s="27" t="str">
        <f t="shared" si="53"/>
        <v/>
      </c>
      <c r="DK23" s="27" t="str">
        <f t="shared" si="54"/>
        <v/>
      </c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0" t="str">
        <f t="shared" si="55"/>
        <v/>
      </c>
      <c r="EG23" s="10" t="str">
        <f t="shared" si="56"/>
        <v/>
      </c>
      <c r="EH23" s="10" t="str">
        <f t="shared" si="57"/>
        <v/>
      </c>
      <c r="EI23" s="10" t="str">
        <f t="shared" si="58"/>
        <v/>
      </c>
      <c r="EJ23" s="10" t="str">
        <f t="shared" si="59"/>
        <v/>
      </c>
      <c r="EK23" s="10" t="str">
        <f t="shared" si="60"/>
        <v/>
      </c>
      <c r="EL23" s="10" t="str">
        <f t="shared" si="61"/>
        <v/>
      </c>
      <c r="EM23" s="10" t="str">
        <f t="shared" si="62"/>
        <v/>
      </c>
      <c r="EN23" s="10" t="str">
        <f t="shared" si="63"/>
        <v/>
      </c>
      <c r="EO23" s="10" t="str">
        <f t="shared" si="64"/>
        <v/>
      </c>
      <c r="EP23" s="10" t="str">
        <f t="shared" si="65"/>
        <v/>
      </c>
      <c r="EQ23" s="10" t="str">
        <f t="shared" si="66"/>
        <v/>
      </c>
      <c r="ER23" s="10" t="str">
        <f t="shared" si="67"/>
        <v/>
      </c>
      <c r="ES23" s="10" t="str">
        <f t="shared" si="68"/>
        <v/>
      </c>
      <c r="ET23" s="10" t="str">
        <f t="shared" si="69"/>
        <v/>
      </c>
      <c r="EU23" s="44">
        <f t="shared" si="70"/>
        <v>8.1</v>
      </c>
      <c r="EV23" s="44">
        <f t="shared" si="71"/>
        <v>2.2000000000000002</v>
      </c>
      <c r="EW23" s="44">
        <f t="shared" si="72"/>
        <v>0.7</v>
      </c>
      <c r="EX23" s="44">
        <f t="shared" si="73"/>
        <v>0</v>
      </c>
      <c r="EY23" s="44">
        <f t="shared" si="74"/>
        <v>0</v>
      </c>
      <c r="EZ23" s="44">
        <f t="shared" si="75"/>
        <v>0</v>
      </c>
      <c r="FA23" s="44">
        <f t="shared" si="76"/>
        <v>0</v>
      </c>
      <c r="FB23" s="44">
        <f t="shared" si="77"/>
        <v>0</v>
      </c>
      <c r="FC23" s="44">
        <f t="shared" si="78"/>
        <v>0</v>
      </c>
      <c r="FD23" s="44">
        <f t="shared" si="79"/>
        <v>0</v>
      </c>
      <c r="FE23" s="44">
        <f t="shared" si="80"/>
        <v>0</v>
      </c>
      <c r="FF23" s="44">
        <f t="shared" si="81"/>
        <v>0</v>
      </c>
      <c r="FG23" s="44">
        <f t="shared" si="82"/>
        <v>0</v>
      </c>
      <c r="FH23" s="44">
        <f t="shared" si="83"/>
        <v>0</v>
      </c>
      <c r="FI23" s="44">
        <f t="shared" si="84"/>
        <v>0</v>
      </c>
      <c r="FJ23" s="44">
        <f t="shared" si="85"/>
        <v>0</v>
      </c>
      <c r="FK23" s="20" t="s">
        <v>29</v>
      </c>
      <c r="FL23" s="10">
        <f t="shared" si="86"/>
        <v>2.2000000000000002</v>
      </c>
      <c r="FM23" s="10">
        <f t="shared" si="87"/>
        <v>9.6000000000000014</v>
      </c>
      <c r="FN23" s="10">
        <f t="shared" si="88"/>
        <v>0</v>
      </c>
      <c r="FO23" s="10">
        <f t="shared" si="89"/>
        <v>0</v>
      </c>
      <c r="FP23" s="10">
        <f t="shared" si="90"/>
        <v>2.2000000000000002</v>
      </c>
      <c r="FQ23" s="10">
        <f t="shared" si="93"/>
        <v>9.6000000000000014</v>
      </c>
      <c r="FR23" s="10">
        <f t="shared" si="94"/>
        <v>0</v>
      </c>
      <c r="FS23" s="10">
        <f t="shared" si="95"/>
        <v>0</v>
      </c>
      <c r="FT23" s="10">
        <f t="shared" si="96"/>
        <v>0</v>
      </c>
      <c r="FU23" s="10">
        <f t="shared" si="97"/>
        <v>0</v>
      </c>
      <c r="FV23" s="10" t="str">
        <f t="shared" si="98"/>
        <v/>
      </c>
      <c r="FW23" s="10" t="str">
        <f t="shared" si="91"/>
        <v/>
      </c>
      <c r="FX23" s="10">
        <f t="shared" si="92"/>
        <v>9.6000000000000014</v>
      </c>
    </row>
    <row r="24" spans="1:180" x14ac:dyDescent="0.2">
      <c r="A24" s="3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4" t="s">
        <v>140</v>
      </c>
      <c r="C24" s="3" t="s">
        <v>4</v>
      </c>
      <c r="D24" s="3">
        <v>2001</v>
      </c>
      <c r="E24" s="8">
        <f t="shared" si="0"/>
        <v>0</v>
      </c>
      <c r="F24" s="2" t="str">
        <f t="shared" si="1"/>
        <v/>
      </c>
      <c r="G24" s="2" t="str">
        <f t="shared" si="2"/>
        <v/>
      </c>
      <c r="H24" s="26" t="str">
        <f t="shared" si="3"/>
        <v/>
      </c>
      <c r="I24" s="2" t="str">
        <f t="shared" si="4"/>
        <v/>
      </c>
      <c r="J24" s="7">
        <f t="shared" si="5"/>
        <v>0</v>
      </c>
      <c r="K24" s="7" t="str">
        <f t="shared" si="6"/>
        <v/>
      </c>
      <c r="L24" s="7">
        <f>IF(J24=AO24,IF(COUNT(AQ24,AS24,BO24,BQ24,BU24,BW24)&gt;1,LARGE((AQ24,AS24,BO24,BQ24,BU24,BW24),1),0),IF(COUNT(AK24,AM24,AQ24,AS24,BU24,BW24)&gt;1,LARGE((AK24,AM24,AQ24,AS24,BU24,BW24),1),0))</f>
        <v>0</v>
      </c>
      <c r="M24" s="7" t="str">
        <f t="shared" si="7"/>
        <v/>
      </c>
      <c r="N24" s="7">
        <f>IF(J24=AO24,IF(COUNT(AQ24,AS24,BO24,BQ24,BU24,BW24)&gt;1,LARGE((AQ24,AS24,BO24,BQ24,BU24,BW24),2),0),IF(COUNT(AK24,AM24,AQ24,AS24,BU24,BW24)&gt;1,LARGE((AK24,AM24,AQ24,AS24,BU24,BW24),2),0))</f>
        <v>0</v>
      </c>
      <c r="O24" s="7" t="str">
        <f t="shared" si="8"/>
        <v/>
      </c>
      <c r="P24" s="7" t="str">
        <f t="shared" si="9"/>
        <v/>
      </c>
      <c r="Q24" s="10" t="str">
        <f t="shared" si="10"/>
        <v/>
      </c>
      <c r="R24" s="7" t="str">
        <f t="shared" si="11"/>
        <v/>
      </c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19"/>
      <c r="AJ24" s="42" t="str">
        <f t="shared" si="12"/>
        <v/>
      </c>
      <c r="AK24" s="42" t="str">
        <f t="shared" si="13"/>
        <v/>
      </c>
      <c r="AL24" s="42" t="str">
        <f t="shared" si="14"/>
        <v/>
      </c>
      <c r="AM24" s="42" t="str">
        <f t="shared" si="15"/>
        <v/>
      </c>
      <c r="AN24" s="27" t="str">
        <f t="shared" si="16"/>
        <v/>
      </c>
      <c r="AO24" s="27" t="str">
        <f t="shared" si="17"/>
        <v/>
      </c>
      <c r="AP24" s="27" t="str">
        <f t="shared" si="18"/>
        <v/>
      </c>
      <c r="AQ24" s="27" t="str">
        <f t="shared" si="19"/>
        <v/>
      </c>
      <c r="AR24" s="27" t="str">
        <f t="shared" si="20"/>
        <v/>
      </c>
      <c r="AS24" s="27" t="str">
        <f t="shared" si="21"/>
        <v/>
      </c>
      <c r="AT24" s="27" t="str">
        <f t="shared" si="22"/>
        <v/>
      </c>
      <c r="AU24" s="27" t="str">
        <f t="shared" si="23"/>
        <v/>
      </c>
      <c r="AV24" s="27" t="str">
        <f t="shared" si="24"/>
        <v/>
      </c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20"/>
      <c r="BN24" s="43" t="str">
        <f t="shared" si="25"/>
        <v/>
      </c>
      <c r="BO24" s="43" t="str">
        <f t="shared" si="26"/>
        <v/>
      </c>
      <c r="BP24" s="43" t="str">
        <f t="shared" si="27"/>
        <v/>
      </c>
      <c r="BQ24" s="43" t="str">
        <f t="shared" si="28"/>
        <v/>
      </c>
      <c r="BR24" s="10" t="str">
        <f t="shared" si="29"/>
        <v/>
      </c>
      <c r="BS24" s="10" t="str">
        <f t="shared" si="30"/>
        <v/>
      </c>
      <c r="BT24" s="10" t="str">
        <f t="shared" si="31"/>
        <v/>
      </c>
      <c r="BU24" s="10" t="str">
        <f t="shared" si="32"/>
        <v/>
      </c>
      <c r="BV24" s="10" t="str">
        <f t="shared" si="33"/>
        <v/>
      </c>
      <c r="BW24" s="10" t="str">
        <f t="shared" si="34"/>
        <v/>
      </c>
      <c r="BX24" s="10" t="str">
        <f t="shared" si="35"/>
        <v/>
      </c>
      <c r="BY24" s="10" t="str">
        <f t="shared" si="36"/>
        <v/>
      </c>
      <c r="BZ24" s="10" t="str">
        <f t="shared" si="37"/>
        <v/>
      </c>
      <c r="CA24" s="34" t="str">
        <f t="shared" si="38"/>
        <v/>
      </c>
      <c r="CB24" s="34" t="str">
        <f t="shared" si="39"/>
        <v/>
      </c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27" t="str">
        <f t="shared" si="40"/>
        <v/>
      </c>
      <c r="CX24" s="27" t="str">
        <f t="shared" si="41"/>
        <v/>
      </c>
      <c r="CY24" s="27" t="str">
        <f t="shared" si="42"/>
        <v/>
      </c>
      <c r="CZ24" s="27" t="str">
        <f t="shared" si="43"/>
        <v/>
      </c>
      <c r="DA24" s="27" t="str">
        <f t="shared" si="44"/>
        <v/>
      </c>
      <c r="DB24" s="27" t="str">
        <f t="shared" si="45"/>
        <v/>
      </c>
      <c r="DC24" s="27" t="str">
        <f t="shared" si="46"/>
        <v/>
      </c>
      <c r="DD24" s="27" t="str">
        <f t="shared" si="47"/>
        <v/>
      </c>
      <c r="DE24" s="27" t="str">
        <f t="shared" si="48"/>
        <v/>
      </c>
      <c r="DF24" s="27" t="str">
        <f t="shared" si="49"/>
        <v/>
      </c>
      <c r="DG24" s="27" t="str">
        <f t="shared" si="50"/>
        <v/>
      </c>
      <c r="DH24" s="27" t="str">
        <f t="shared" si="51"/>
        <v/>
      </c>
      <c r="DI24" s="27" t="str">
        <f t="shared" si="52"/>
        <v/>
      </c>
      <c r="DJ24" s="27" t="str">
        <f t="shared" si="53"/>
        <v/>
      </c>
      <c r="DK24" s="27" t="str">
        <f t="shared" si="54"/>
        <v/>
      </c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0" t="str">
        <f t="shared" si="55"/>
        <v/>
      </c>
      <c r="EG24" s="10" t="str">
        <f t="shared" si="56"/>
        <v/>
      </c>
      <c r="EH24" s="10" t="str">
        <f t="shared" si="57"/>
        <v/>
      </c>
      <c r="EI24" s="10" t="str">
        <f t="shared" si="58"/>
        <v/>
      </c>
      <c r="EJ24" s="10" t="str">
        <f t="shared" si="59"/>
        <v/>
      </c>
      <c r="EK24" s="10" t="str">
        <f t="shared" si="60"/>
        <v/>
      </c>
      <c r="EL24" s="10" t="str">
        <f t="shared" si="61"/>
        <v/>
      </c>
      <c r="EM24" s="10" t="str">
        <f t="shared" si="62"/>
        <v/>
      </c>
      <c r="EN24" s="10" t="str">
        <f t="shared" si="63"/>
        <v/>
      </c>
      <c r="EO24" s="10" t="str">
        <f t="shared" si="64"/>
        <v/>
      </c>
      <c r="EP24" s="10" t="str">
        <f t="shared" si="65"/>
        <v/>
      </c>
      <c r="EQ24" s="10" t="str">
        <f t="shared" si="66"/>
        <v/>
      </c>
      <c r="ER24" s="10" t="str">
        <f t="shared" si="67"/>
        <v/>
      </c>
      <c r="ES24" s="10" t="str">
        <f t="shared" si="68"/>
        <v/>
      </c>
      <c r="ET24" s="10" t="str">
        <f t="shared" si="69"/>
        <v/>
      </c>
      <c r="EU24" s="44">
        <f t="shared" si="70"/>
        <v>0</v>
      </c>
      <c r="EV24" s="44">
        <f t="shared" si="71"/>
        <v>0</v>
      </c>
      <c r="EW24" s="44">
        <f t="shared" si="72"/>
        <v>0</v>
      </c>
      <c r="EX24" s="44">
        <f t="shared" si="73"/>
        <v>0</v>
      </c>
      <c r="EY24" s="44">
        <f t="shared" si="74"/>
        <v>0</v>
      </c>
      <c r="EZ24" s="44">
        <f t="shared" si="75"/>
        <v>0</v>
      </c>
      <c r="FA24" s="44">
        <f t="shared" si="76"/>
        <v>0</v>
      </c>
      <c r="FB24" s="44">
        <f t="shared" si="77"/>
        <v>0</v>
      </c>
      <c r="FC24" s="44">
        <f t="shared" si="78"/>
        <v>0</v>
      </c>
      <c r="FD24" s="44">
        <f t="shared" si="79"/>
        <v>0</v>
      </c>
      <c r="FE24" s="44">
        <f t="shared" si="80"/>
        <v>0</v>
      </c>
      <c r="FF24" s="44">
        <f t="shared" si="81"/>
        <v>0</v>
      </c>
      <c r="FG24" s="44">
        <f t="shared" si="82"/>
        <v>0</v>
      </c>
      <c r="FH24" s="44">
        <f t="shared" si="83"/>
        <v>0</v>
      </c>
      <c r="FI24" s="44">
        <f t="shared" si="84"/>
        <v>0</v>
      </c>
      <c r="FJ24" s="44">
        <f t="shared" si="85"/>
        <v>0</v>
      </c>
      <c r="FK24" s="20" t="s">
        <v>29</v>
      </c>
      <c r="FL24" s="10">
        <f t="shared" si="86"/>
        <v>0</v>
      </c>
      <c r="FM24" s="10">
        <f t="shared" si="87"/>
        <v>0</v>
      </c>
      <c r="FN24" s="10">
        <f t="shared" si="88"/>
        <v>0</v>
      </c>
      <c r="FO24" s="10">
        <f t="shared" si="89"/>
        <v>0</v>
      </c>
      <c r="FP24" s="10" t="str">
        <f t="shared" si="90"/>
        <v/>
      </c>
      <c r="FQ24" s="10" t="str">
        <f t="shared" si="93"/>
        <v/>
      </c>
      <c r="FR24" s="10">
        <f t="shared" si="94"/>
        <v>0</v>
      </c>
      <c r="FS24" s="10">
        <f t="shared" si="95"/>
        <v>0</v>
      </c>
      <c r="FT24" s="10">
        <f t="shared" si="96"/>
        <v>0</v>
      </c>
      <c r="FU24" s="10">
        <f t="shared" si="97"/>
        <v>0</v>
      </c>
      <c r="FV24" s="10" t="str">
        <f t="shared" si="98"/>
        <v/>
      </c>
      <c r="FW24" s="10" t="str">
        <f t="shared" si="91"/>
        <v/>
      </c>
      <c r="FX24" s="10" t="str">
        <f t="shared" si="92"/>
        <v/>
      </c>
    </row>
    <row r="25" spans="1:180" x14ac:dyDescent="0.2">
      <c r="A25" s="3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4" t="s">
        <v>143</v>
      </c>
      <c r="C25" s="3" t="s">
        <v>5</v>
      </c>
      <c r="D25" s="3">
        <v>2001</v>
      </c>
      <c r="E25" s="8">
        <f t="shared" si="0"/>
        <v>0</v>
      </c>
      <c r="F25" s="2" t="str">
        <f t="shared" si="1"/>
        <v/>
      </c>
      <c r="G25" s="2" t="str">
        <f t="shared" si="2"/>
        <v/>
      </c>
      <c r="H25" s="26" t="str">
        <f t="shared" si="3"/>
        <v/>
      </c>
      <c r="I25" s="2" t="str">
        <f t="shared" si="4"/>
        <v/>
      </c>
      <c r="J25" s="7">
        <f t="shared" si="5"/>
        <v>0</v>
      </c>
      <c r="K25" s="7" t="str">
        <f t="shared" si="6"/>
        <v/>
      </c>
      <c r="L25" s="7">
        <f>IF(J25=AO25,IF(COUNT(AQ25,AS25,BO25,BQ25,BU25,BW25)&gt;1,LARGE((AQ25,AS25,BO25,BQ25,BU25,BW25),1),0),IF(COUNT(AK25,AM25,AQ25,AS25,BU25,BW25)&gt;1,LARGE((AK25,AM25,AQ25,AS25,BU25,BW25),1),0))</f>
        <v>0</v>
      </c>
      <c r="M25" s="7" t="str">
        <f t="shared" si="7"/>
        <v/>
      </c>
      <c r="N25" s="7">
        <f>IF(J25=AO25,IF(COUNT(AQ25,AS25,BO25,BQ25,BU25,BW25)&gt;1,LARGE((AQ25,AS25,BO25,BQ25,BU25,BW25),2),0),IF(COUNT(AK25,AM25,AQ25,AS25,BU25,BW25)&gt;1,LARGE((AK25,AM25,AQ25,AS25,BU25,BW25),2),0))</f>
        <v>0</v>
      </c>
      <c r="O25" s="7" t="str">
        <f t="shared" si="8"/>
        <v/>
      </c>
      <c r="P25" s="7" t="str">
        <f t="shared" si="9"/>
        <v/>
      </c>
      <c r="Q25" s="10" t="str">
        <f t="shared" si="10"/>
        <v/>
      </c>
      <c r="R25" s="7" t="str">
        <f t="shared" si="11"/>
        <v/>
      </c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19"/>
      <c r="AJ25" s="42" t="str">
        <f t="shared" si="12"/>
        <v/>
      </c>
      <c r="AK25" s="42" t="str">
        <f t="shared" si="13"/>
        <v/>
      </c>
      <c r="AL25" s="42" t="str">
        <f t="shared" si="14"/>
        <v/>
      </c>
      <c r="AM25" s="42" t="str">
        <f t="shared" si="15"/>
        <v/>
      </c>
      <c r="AN25" s="27" t="str">
        <f t="shared" si="16"/>
        <v/>
      </c>
      <c r="AO25" s="27" t="str">
        <f t="shared" si="17"/>
        <v/>
      </c>
      <c r="AP25" s="27" t="str">
        <f t="shared" si="18"/>
        <v/>
      </c>
      <c r="AQ25" s="27" t="str">
        <f t="shared" si="19"/>
        <v/>
      </c>
      <c r="AR25" s="27" t="str">
        <f t="shared" si="20"/>
        <v/>
      </c>
      <c r="AS25" s="27" t="str">
        <f t="shared" si="21"/>
        <v/>
      </c>
      <c r="AT25" s="27" t="str">
        <f t="shared" si="22"/>
        <v/>
      </c>
      <c r="AU25" s="27" t="str">
        <f t="shared" si="23"/>
        <v/>
      </c>
      <c r="AV25" s="27" t="str">
        <f t="shared" si="24"/>
        <v/>
      </c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20"/>
      <c r="BN25" s="43" t="str">
        <f t="shared" si="25"/>
        <v/>
      </c>
      <c r="BO25" s="43" t="str">
        <f t="shared" si="26"/>
        <v/>
      </c>
      <c r="BP25" s="43" t="str">
        <f t="shared" si="27"/>
        <v/>
      </c>
      <c r="BQ25" s="43" t="str">
        <f t="shared" si="28"/>
        <v/>
      </c>
      <c r="BR25" s="10" t="str">
        <f t="shared" si="29"/>
        <v/>
      </c>
      <c r="BS25" s="10" t="str">
        <f t="shared" si="30"/>
        <v/>
      </c>
      <c r="BT25" s="10" t="str">
        <f t="shared" si="31"/>
        <v/>
      </c>
      <c r="BU25" s="10" t="str">
        <f t="shared" si="32"/>
        <v/>
      </c>
      <c r="BV25" s="10" t="str">
        <f t="shared" si="33"/>
        <v/>
      </c>
      <c r="BW25" s="10" t="str">
        <f t="shared" si="34"/>
        <v/>
      </c>
      <c r="BX25" s="10" t="str">
        <f t="shared" si="35"/>
        <v/>
      </c>
      <c r="BY25" s="10" t="str">
        <f t="shared" si="36"/>
        <v/>
      </c>
      <c r="BZ25" s="10" t="str">
        <f t="shared" si="37"/>
        <v/>
      </c>
      <c r="CA25" s="34" t="str">
        <f t="shared" si="38"/>
        <v/>
      </c>
      <c r="CB25" s="34" t="str">
        <f t="shared" si="39"/>
        <v/>
      </c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27" t="str">
        <f t="shared" si="40"/>
        <v/>
      </c>
      <c r="CX25" s="27" t="str">
        <f t="shared" si="41"/>
        <v/>
      </c>
      <c r="CY25" s="27" t="str">
        <f t="shared" si="42"/>
        <v/>
      </c>
      <c r="CZ25" s="27" t="str">
        <f t="shared" si="43"/>
        <v/>
      </c>
      <c r="DA25" s="27" t="str">
        <f t="shared" si="44"/>
        <v/>
      </c>
      <c r="DB25" s="27" t="str">
        <f t="shared" si="45"/>
        <v/>
      </c>
      <c r="DC25" s="27" t="str">
        <f t="shared" si="46"/>
        <v/>
      </c>
      <c r="DD25" s="27" t="str">
        <f t="shared" si="47"/>
        <v/>
      </c>
      <c r="DE25" s="27" t="str">
        <f t="shared" si="48"/>
        <v/>
      </c>
      <c r="DF25" s="27" t="str">
        <f t="shared" si="49"/>
        <v/>
      </c>
      <c r="DG25" s="27" t="str">
        <f t="shared" si="50"/>
        <v/>
      </c>
      <c r="DH25" s="27" t="str">
        <f t="shared" si="51"/>
        <v/>
      </c>
      <c r="DI25" s="27" t="str">
        <f t="shared" si="52"/>
        <v/>
      </c>
      <c r="DJ25" s="27" t="str">
        <f t="shared" si="53"/>
        <v/>
      </c>
      <c r="DK25" s="27" t="str">
        <f t="shared" si="54"/>
        <v/>
      </c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0" t="str">
        <f t="shared" si="55"/>
        <v/>
      </c>
      <c r="EG25" s="10" t="str">
        <f t="shared" si="56"/>
        <v/>
      </c>
      <c r="EH25" s="10" t="str">
        <f t="shared" si="57"/>
        <v/>
      </c>
      <c r="EI25" s="10" t="str">
        <f t="shared" si="58"/>
        <v/>
      </c>
      <c r="EJ25" s="10" t="str">
        <f t="shared" si="59"/>
        <v/>
      </c>
      <c r="EK25" s="10" t="str">
        <f t="shared" si="60"/>
        <v/>
      </c>
      <c r="EL25" s="10" t="str">
        <f t="shared" si="61"/>
        <v/>
      </c>
      <c r="EM25" s="10" t="str">
        <f t="shared" si="62"/>
        <v/>
      </c>
      <c r="EN25" s="10" t="str">
        <f t="shared" si="63"/>
        <v/>
      </c>
      <c r="EO25" s="10" t="str">
        <f t="shared" si="64"/>
        <v/>
      </c>
      <c r="EP25" s="10" t="str">
        <f t="shared" si="65"/>
        <v/>
      </c>
      <c r="EQ25" s="10" t="str">
        <f t="shared" si="66"/>
        <v/>
      </c>
      <c r="ER25" s="10" t="str">
        <f t="shared" si="67"/>
        <v/>
      </c>
      <c r="ES25" s="10" t="str">
        <f t="shared" si="68"/>
        <v/>
      </c>
      <c r="ET25" s="10" t="str">
        <f t="shared" si="69"/>
        <v/>
      </c>
      <c r="EU25" s="44">
        <f t="shared" si="70"/>
        <v>0</v>
      </c>
      <c r="EV25" s="44">
        <f t="shared" si="71"/>
        <v>0</v>
      </c>
      <c r="EW25" s="44">
        <f t="shared" si="72"/>
        <v>0</v>
      </c>
      <c r="EX25" s="44">
        <f t="shared" si="73"/>
        <v>0</v>
      </c>
      <c r="EY25" s="44">
        <f t="shared" si="74"/>
        <v>0</v>
      </c>
      <c r="EZ25" s="44">
        <f t="shared" si="75"/>
        <v>0</v>
      </c>
      <c r="FA25" s="44">
        <f t="shared" si="76"/>
        <v>0</v>
      </c>
      <c r="FB25" s="44">
        <f t="shared" si="77"/>
        <v>0</v>
      </c>
      <c r="FC25" s="44">
        <f t="shared" si="78"/>
        <v>0</v>
      </c>
      <c r="FD25" s="44">
        <f t="shared" si="79"/>
        <v>0</v>
      </c>
      <c r="FE25" s="44">
        <f t="shared" si="80"/>
        <v>0</v>
      </c>
      <c r="FF25" s="44">
        <f t="shared" si="81"/>
        <v>0</v>
      </c>
      <c r="FG25" s="44">
        <f t="shared" si="82"/>
        <v>0</v>
      </c>
      <c r="FH25" s="44">
        <f t="shared" si="83"/>
        <v>0</v>
      </c>
      <c r="FI25" s="44">
        <f t="shared" si="84"/>
        <v>0</v>
      </c>
      <c r="FJ25" s="44">
        <f t="shared" si="85"/>
        <v>0</v>
      </c>
      <c r="FK25" s="20" t="s">
        <v>29</v>
      </c>
      <c r="FL25" s="10">
        <f t="shared" si="86"/>
        <v>0</v>
      </c>
      <c r="FM25" s="10">
        <f t="shared" si="87"/>
        <v>0</v>
      </c>
      <c r="FN25" s="10">
        <f t="shared" si="88"/>
        <v>0</v>
      </c>
      <c r="FO25" s="10">
        <f t="shared" si="89"/>
        <v>0</v>
      </c>
      <c r="FP25" s="10" t="str">
        <f t="shared" si="90"/>
        <v/>
      </c>
      <c r="FQ25" s="10" t="str">
        <f t="shared" si="93"/>
        <v/>
      </c>
      <c r="FR25" s="10">
        <f t="shared" si="94"/>
        <v>0</v>
      </c>
      <c r="FS25" s="10">
        <f t="shared" si="95"/>
        <v>0</v>
      </c>
      <c r="FT25" s="10">
        <f t="shared" si="96"/>
        <v>0</v>
      </c>
      <c r="FU25" s="10">
        <f t="shared" si="97"/>
        <v>0</v>
      </c>
      <c r="FV25" s="10" t="str">
        <f t="shared" si="98"/>
        <v/>
      </c>
      <c r="FW25" s="10" t="str">
        <f t="shared" si="91"/>
        <v/>
      </c>
      <c r="FX25" s="10" t="str">
        <f t="shared" si="92"/>
        <v/>
      </c>
    </row>
    <row r="26" spans="1:180" ht="17" x14ac:dyDescent="0.2">
      <c r="P26" s="9"/>
      <c r="Q26" s="9"/>
      <c r="R26" s="9"/>
    </row>
    <row r="27" spans="1:180" ht="17" x14ac:dyDescent="0.2">
      <c r="P27" s="9"/>
      <c r="Q27" s="9"/>
      <c r="R27" s="9"/>
    </row>
    <row r="28" spans="1:180" ht="17" x14ac:dyDescent="0.2">
      <c r="B28" s="17" t="s">
        <v>27</v>
      </c>
      <c r="P28" s="9"/>
      <c r="Q28" s="9"/>
      <c r="R28" s="9"/>
      <c r="AV28" s="28">
        <v>11.2</v>
      </c>
      <c r="BZ28" s="28">
        <v>11.2</v>
      </c>
      <c r="CW28" s="3"/>
      <c r="CX28" s="3"/>
      <c r="CY28" s="3"/>
      <c r="CZ28" s="3"/>
      <c r="DA28" s="3"/>
      <c r="DK28" s="28">
        <v>11.2</v>
      </c>
      <c r="EF28" s="3"/>
      <c r="EG28" s="3"/>
      <c r="EH28" s="3"/>
      <c r="EI28" s="3"/>
      <c r="EJ28" s="3"/>
      <c r="EK28" s="3"/>
      <c r="EL28" s="3"/>
      <c r="ET28" s="28">
        <v>11.2</v>
      </c>
    </row>
    <row r="29" spans="1:180" ht="17" x14ac:dyDescent="0.2">
      <c r="B29" s="22" t="s">
        <v>26</v>
      </c>
      <c r="P29" s="9"/>
      <c r="Q29" s="9"/>
      <c r="R29" s="9"/>
      <c r="AV29" s="40">
        <v>11.6</v>
      </c>
      <c r="BZ29" s="40">
        <v>11.6</v>
      </c>
      <c r="CW29" s="3"/>
      <c r="CX29" s="3"/>
      <c r="CY29" s="3"/>
      <c r="CZ29" s="3"/>
      <c r="DA29" s="3"/>
      <c r="DK29" s="40">
        <v>11.6</v>
      </c>
      <c r="EF29" s="3"/>
      <c r="EG29" s="3"/>
      <c r="EH29" s="3"/>
      <c r="EI29" s="3"/>
      <c r="EJ29" s="3"/>
      <c r="EK29" s="3"/>
      <c r="EL29" s="3"/>
      <c r="ET29" s="40">
        <v>11.6</v>
      </c>
    </row>
    <row r="30" spans="1:180" ht="17" x14ac:dyDescent="0.2">
      <c r="A30" s="4"/>
      <c r="B30" s="23" t="s">
        <v>125</v>
      </c>
      <c r="C30" s="16"/>
      <c r="P30" s="9"/>
      <c r="Q30" s="9"/>
      <c r="R30" s="9"/>
      <c r="AV30" s="29">
        <v>12.4</v>
      </c>
      <c r="BZ30" s="29">
        <v>12.4</v>
      </c>
      <c r="CW30" s="3"/>
      <c r="CX30" s="3"/>
      <c r="CY30" s="3"/>
      <c r="CZ30" s="3"/>
      <c r="DA30" s="3"/>
      <c r="DK30" s="29">
        <v>12.4</v>
      </c>
      <c r="EF30" s="3"/>
      <c r="EG30" s="3"/>
      <c r="EH30" s="3"/>
      <c r="EI30" s="3"/>
      <c r="EJ30" s="3"/>
      <c r="EK30" s="3"/>
      <c r="EL30" s="3"/>
      <c r="ET30" s="29">
        <v>12.4</v>
      </c>
    </row>
    <row r="31" spans="1:180" ht="17" x14ac:dyDescent="0.2">
      <c r="A31" s="4"/>
      <c r="B31" s="25" t="s">
        <v>24</v>
      </c>
      <c r="C31" s="16"/>
      <c r="P31" s="9"/>
      <c r="Q31" s="9"/>
      <c r="R31" s="9"/>
      <c r="AV31" s="30">
        <v>48.2</v>
      </c>
      <c r="BZ31" s="30">
        <v>48.2</v>
      </c>
      <c r="CW31" s="3"/>
      <c r="CX31" s="3"/>
      <c r="CY31" s="3"/>
      <c r="CZ31" s="3"/>
      <c r="DA31" s="3"/>
      <c r="DK31" s="30">
        <v>48.2</v>
      </c>
      <c r="EF31" s="3"/>
      <c r="EG31" s="3"/>
      <c r="EH31" s="3"/>
      <c r="EI31" s="3"/>
      <c r="EJ31" s="3"/>
      <c r="EK31" s="3"/>
      <c r="EL31" s="3"/>
      <c r="ET31" s="30">
        <v>48.2</v>
      </c>
    </row>
    <row r="32" spans="1:180" ht="17" x14ac:dyDescent="0.2">
      <c r="A32" s="4"/>
      <c r="B32" s="18" t="s">
        <v>25</v>
      </c>
      <c r="C32" s="16"/>
      <c r="P32" s="9"/>
      <c r="Q32" s="9"/>
      <c r="R32" s="9"/>
      <c r="AV32" s="31">
        <v>48.6</v>
      </c>
      <c r="BZ32" s="31">
        <v>48.6</v>
      </c>
      <c r="CW32" s="3"/>
      <c r="CX32" s="3"/>
      <c r="CY32" s="3"/>
      <c r="CZ32" s="3"/>
      <c r="DA32" s="3"/>
      <c r="DK32" s="31">
        <v>48.6</v>
      </c>
      <c r="EF32" s="3"/>
      <c r="EG32" s="3"/>
      <c r="EH32" s="3"/>
      <c r="EI32" s="3"/>
      <c r="EJ32" s="3"/>
      <c r="EK32" s="3"/>
      <c r="EL32" s="3"/>
      <c r="ET32" s="31">
        <v>48.6</v>
      </c>
    </row>
    <row r="33" spans="1:150" ht="17" x14ac:dyDescent="0.2">
      <c r="A33" s="4"/>
      <c r="B33" s="24" t="s">
        <v>124</v>
      </c>
      <c r="C33" s="16"/>
      <c r="P33" s="9"/>
      <c r="Q33" s="9"/>
      <c r="R33" s="9"/>
      <c r="AV33" s="32">
        <v>49.4</v>
      </c>
      <c r="BZ33" s="32">
        <v>49.4</v>
      </c>
      <c r="CW33" s="3"/>
      <c r="CX33" s="3"/>
      <c r="CY33" s="3"/>
      <c r="CZ33" s="3"/>
      <c r="DA33" s="3"/>
      <c r="DK33" s="32">
        <v>49.4</v>
      </c>
      <c r="EF33" s="3"/>
      <c r="EG33" s="3"/>
      <c r="EH33" s="3"/>
      <c r="EI33" s="3"/>
      <c r="EJ33" s="3"/>
      <c r="EK33" s="3"/>
      <c r="EL33" s="3"/>
      <c r="ET33" s="32">
        <v>49.4</v>
      </c>
    </row>
    <row r="34" spans="1:150" x14ac:dyDescent="0.2">
      <c r="B34" s="21" t="s">
        <v>30</v>
      </c>
      <c r="C34" s="1"/>
    </row>
    <row r="35" spans="1:150" x14ac:dyDescent="0.2">
      <c r="A35" s="4"/>
      <c r="B35" s="4"/>
      <c r="C35" s="16"/>
    </row>
    <row r="36" spans="1:150" x14ac:dyDescent="0.2">
      <c r="A36" s="4"/>
      <c r="B36" s="4"/>
      <c r="C36" s="16"/>
    </row>
    <row r="37" spans="1:150" x14ac:dyDescent="0.2">
      <c r="A37" s="4"/>
      <c r="B37" s="4"/>
      <c r="C37" s="16"/>
    </row>
    <row r="38" spans="1:150" x14ac:dyDescent="0.2">
      <c r="A38" s="4"/>
      <c r="B38" s="4"/>
      <c r="C38" s="4"/>
    </row>
    <row r="41" spans="1:150" x14ac:dyDescent="0.2">
      <c r="B41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25">
      <sortCondition descending="1" ref="F1:F26"/>
    </sortState>
  </autoFilter>
  <mergeCells count="46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EU2:EX2"/>
    <mergeCell ref="EY2:FB2"/>
    <mergeCell ref="FC2:FF2"/>
    <mergeCell ref="FG2:FJ2"/>
    <mergeCell ref="CS2:CV2"/>
    <mergeCell ref="DL2:DO2"/>
    <mergeCell ref="DP2:DS2"/>
    <mergeCell ref="DT2:DW2"/>
    <mergeCell ref="DX2:EA2"/>
    <mergeCell ref="EB2:EE2"/>
  </mergeCells>
  <conditionalFormatting sqref="A4:A1048576">
    <cfRule type="expression" dxfId="218" priority="44" stopIfTrue="1">
      <formula>IF(A4&gt;8,1,0)</formula>
    </cfRule>
    <cfRule type="expression" dxfId="217" priority="45" stopIfTrue="1">
      <formula>AND(G4="P",F4="")</formula>
    </cfRule>
  </conditionalFormatting>
  <conditionalFormatting sqref="H1:H1048576">
    <cfRule type="containsText" dxfId="216" priority="40" stopIfTrue="1" operator="containsText" text="National Team">
      <formula>NOT(ISERROR(SEARCH("National Team",H1)))</formula>
    </cfRule>
    <cfRule type="containsText" dxfId="215" priority="41" stopIfTrue="1" operator="containsText" text="Worlds Team">
      <formula>NOT(ISERROR(SEARCH("Worlds Team",H1)))</formula>
    </cfRule>
    <cfRule type="containsText" dxfId="214" priority="42" operator="containsText" text="Performance">
      <formula>NOT(ISERROR(SEARCH("Performance",H1)))</formula>
    </cfRule>
    <cfRule type="containsText" dxfId="213" priority="43" stopIfTrue="1" operator="containsText" text="No DD">
      <formula>NOT(ISERROR(SEARCH("No DD",H1)))</formula>
    </cfRule>
  </conditionalFormatting>
  <conditionalFormatting sqref="S4:AV25">
    <cfRule type="expression" dxfId="212" priority="39" stopIfTrue="1">
      <formula>IF($AI4&lt;&gt;"",1,0)</formula>
    </cfRule>
  </conditionalFormatting>
  <conditionalFormatting sqref="AW4:BZ25">
    <cfRule type="expression" dxfId="211" priority="38" stopIfTrue="1">
      <formula>IF($BM4&lt;&gt;"",1,0)</formula>
    </cfRule>
  </conditionalFormatting>
  <conditionalFormatting sqref="M1:M1048576 O1:O1048576 K1:K1048576">
    <cfRule type="expression" dxfId="210" priority="36" stopIfTrue="1">
      <formula>IF(K1=$AW$1,1,0)</formula>
    </cfRule>
    <cfRule type="expression" dxfId="209" priority="37" stopIfTrue="1">
      <formula>IF(K1=$S$1,1,0)</formula>
    </cfRule>
  </conditionalFormatting>
  <conditionalFormatting sqref="AJ1:AJ1048576 BN1:BN1048576 CY1:CY1048576 EH1:EH1048576">
    <cfRule type="cellIs" dxfId="208" priority="176325" stopIfTrue="1" operator="between">
      <formula>AV$30-0.00001</formula>
      <formula>1000</formula>
    </cfRule>
  </conditionalFormatting>
  <conditionalFormatting sqref="AN1:AN1048576 BR1:BR1048576">
    <cfRule type="cellIs" dxfId="207" priority="176331" operator="between">
      <formula>AV$28-0.00001</formula>
      <formula>AV$29-0.00001</formula>
    </cfRule>
    <cfRule type="cellIs" dxfId="206" priority="176332" operator="between">
      <formula>AV$29-0.00001</formula>
      <formula>1000</formula>
    </cfRule>
  </conditionalFormatting>
  <conditionalFormatting sqref="AT1:AT1048576 BX1:BX1048576">
    <cfRule type="cellIs" dxfId="205" priority="176343" operator="between">
      <formula>AV$29-0.00001</formula>
      <formula>1000</formula>
    </cfRule>
    <cfRule type="cellIs" dxfId="204" priority="176344" stopIfTrue="1" operator="between">
      <formula>AV$28-0.00001</formula>
      <formula>AV$29-0.00001</formula>
    </cfRule>
  </conditionalFormatting>
  <conditionalFormatting sqref="AL1:AL1048576 BP1:BP1048576">
    <cfRule type="cellIs" dxfId="203" priority="176355" operator="between">
      <formula>AV$30-0.00001</formula>
      <formula>1000</formula>
    </cfRule>
  </conditionalFormatting>
  <conditionalFormatting sqref="AP1:AP1048576 BT1:BT1048576 DE1:DE1048576 EN1:EN1048576">
    <cfRule type="cellIs" dxfId="202" priority="176361" operator="between">
      <formula>AV$30-0.00001</formula>
      <formula>1000</formula>
    </cfRule>
  </conditionalFormatting>
  <conditionalFormatting sqref="AR1:AR1048576 BV1:BV1048576">
    <cfRule type="cellIs" dxfId="201" priority="176367" operator="between">
      <formula>AV$30-0.00001</formula>
      <formula>1000</formula>
    </cfRule>
  </conditionalFormatting>
  <conditionalFormatting sqref="AK1:AK1048576 BO1:BO1048576">
    <cfRule type="cellIs" dxfId="200" priority="176373" operator="between">
      <formula>AV$33-0.00001</formula>
      <formula>1000</formula>
    </cfRule>
  </conditionalFormatting>
  <conditionalFormatting sqref="AO1:AO1048576 BS1:BS1048576">
    <cfRule type="cellIs" dxfId="199" priority="176379" operator="between">
      <formula>AV$31-0.00001</formula>
      <formula>AV$32-0.00001</formula>
    </cfRule>
    <cfRule type="cellIs" dxfId="198" priority="176380" operator="between">
      <formula>AV$32-0.00001</formula>
      <formula>1000</formula>
    </cfRule>
  </conditionalFormatting>
  <conditionalFormatting sqref="AU1:AU1048576 BY1:BY1048576">
    <cfRule type="cellIs" dxfId="197" priority="176391" stopIfTrue="1" operator="between">
      <formula>AV$32-0.00001</formula>
      <formula>1000</formula>
    </cfRule>
    <cfRule type="cellIs" dxfId="196" priority="176392" operator="between">
      <formula>AV$31-0.00001</formula>
      <formula>AV$32-0.00001</formula>
    </cfRule>
  </conditionalFormatting>
  <conditionalFormatting sqref="AM1:AM1048576 BQ1:BQ1048576">
    <cfRule type="cellIs" dxfId="195" priority="176403" stopIfTrue="1" operator="between">
      <formula>AV$33-0.00001</formula>
      <formula>1000</formula>
    </cfRule>
    <cfRule type="cellIs" dxfId="194" priority="176404" operator="between">
      <formula>AT$33-0.00001</formula>
      <formula>#REF!-0.00001</formula>
    </cfRule>
  </conditionalFormatting>
  <conditionalFormatting sqref="AQ1:AQ1048576 BU1:BU1048576">
    <cfRule type="cellIs" dxfId="193" priority="176415" stopIfTrue="1" operator="between">
      <formula>AV$33-0.00001</formula>
      <formula>1000</formula>
    </cfRule>
  </conditionalFormatting>
  <conditionalFormatting sqref="AS1:AS1048576 BW1:BW1048576">
    <cfRule type="cellIs" dxfId="192" priority="176421" stopIfTrue="1" operator="between">
      <formula>AV$33-0.00001</formula>
      <formula>1000</formula>
    </cfRule>
  </conditionalFormatting>
  <conditionalFormatting sqref="CW1:CW1048576 EF1:EF1048576">
    <cfRule type="cellIs" dxfId="191" priority="176427" operator="between">
      <formula>DK$30-0.00001</formula>
      <formula>1000</formula>
    </cfRule>
  </conditionalFormatting>
  <conditionalFormatting sqref="CX1:CX1048576 EG1:EG1048576">
    <cfRule type="cellIs" dxfId="190" priority="176433" operator="between">
      <formula>DK$33-0.00001</formula>
      <formula>1000</formula>
    </cfRule>
  </conditionalFormatting>
  <conditionalFormatting sqref="DA1:DA1048576 EJ1:EJ1048576">
    <cfRule type="cellIs" dxfId="189" priority="176439" stopIfTrue="1" operator="between">
      <formula>DK$28-0.00001</formula>
      <formula>DK$29-0.00001</formula>
    </cfRule>
    <cfRule type="cellIs" dxfId="188" priority="176440" operator="between">
      <formula>DK$29-0.00001</formula>
      <formula>1000</formula>
    </cfRule>
  </conditionalFormatting>
  <conditionalFormatting sqref="DB1:DB1048576 EK1:EK1048576">
    <cfRule type="cellIs" dxfId="187" priority="176451" operator="between">
      <formula>DK$31-0.00001</formula>
      <formula>DK$32-0.00001</formula>
    </cfRule>
    <cfRule type="cellIs" dxfId="186" priority="176452" stopIfTrue="1" operator="between">
      <formula>DK$32-0.00001</formula>
      <formula>1000</formula>
    </cfRule>
  </conditionalFormatting>
  <conditionalFormatting sqref="DC1:DC1048576 EL1:EL1048576">
    <cfRule type="cellIs" dxfId="185" priority="176469" operator="between">
      <formula>DK$30-0.00001</formula>
      <formula>1000</formula>
    </cfRule>
  </conditionalFormatting>
  <conditionalFormatting sqref="DG1:DG1048576 EP1:EP1048576">
    <cfRule type="cellIs" dxfId="184" priority="176481" stopIfTrue="1" operator="between">
      <formula>DK$30-0.00001</formula>
      <formula>1000</formula>
    </cfRule>
  </conditionalFormatting>
  <conditionalFormatting sqref="CZ1:CZ1048576 EI1:EI1048576">
    <cfRule type="cellIs" dxfId="183" priority="176487" stopIfTrue="1" operator="between">
      <formula>DK$33-0.00001</formula>
      <formula>1000</formula>
    </cfRule>
  </conditionalFormatting>
  <conditionalFormatting sqref="DD1:DD1048576 EM1:EM1048576">
    <cfRule type="cellIs" dxfId="182" priority="176493" operator="between">
      <formula>DK$33-0.00001</formula>
      <formula>1000</formula>
    </cfRule>
  </conditionalFormatting>
  <conditionalFormatting sqref="DF1:DF1048576 EO1:EO1048576">
    <cfRule type="cellIs" dxfId="181" priority="176499" operator="between">
      <formula>DK$33-0.00001</formula>
      <formula>1000</formula>
    </cfRule>
  </conditionalFormatting>
  <conditionalFormatting sqref="DH1:DH1048576 EQ1:EQ1048576">
    <cfRule type="cellIs" dxfId="180" priority="176505" operator="between">
      <formula>DK$33-0.00001</formula>
      <formula>1000</formula>
    </cfRule>
  </conditionalFormatting>
  <conditionalFormatting sqref="DI1:DI1048576 ER1:ER1048576">
    <cfRule type="cellIs" dxfId="179" priority="176511" operator="between">
      <formula>DK$29-0.00001</formula>
      <formula>1000</formula>
    </cfRule>
    <cfRule type="cellIs" dxfId="178" priority="176512" operator="between">
      <formula>DK$28-0.00001</formula>
      <formula>DK$29-0.00001</formula>
    </cfRule>
  </conditionalFormatting>
  <conditionalFormatting sqref="DJ1:DJ1048576 ES1:ES1048576">
    <cfRule type="cellIs" dxfId="177" priority="176523" operator="between">
      <formula>DK$31-0.00001</formula>
      <formula>DK$32-0.00001</formula>
    </cfRule>
    <cfRule type="cellIs" dxfId="176" priority="176524" operator="between">
      <formula>DK$32-0.00001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59D3-23FC-5449-AFC3-E6652BF290CD}">
  <sheetPr codeName="Sheet21"/>
  <dimension ref="A1:FX5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58" t="s">
        <v>1</v>
      </c>
      <c r="B1" s="58" t="s">
        <v>14</v>
      </c>
      <c r="C1" s="58" t="s">
        <v>0</v>
      </c>
      <c r="D1" s="58" t="s">
        <v>31</v>
      </c>
      <c r="E1" s="58" t="s">
        <v>2</v>
      </c>
      <c r="F1" s="59" t="s">
        <v>95</v>
      </c>
      <c r="G1" s="59" t="s">
        <v>8</v>
      </c>
      <c r="H1" s="58" t="s">
        <v>9</v>
      </c>
      <c r="I1" s="59" t="s">
        <v>64</v>
      </c>
      <c r="J1" s="56" t="s">
        <v>96</v>
      </c>
      <c r="K1" s="55" t="s">
        <v>16</v>
      </c>
      <c r="L1" s="56" t="s">
        <v>110</v>
      </c>
      <c r="M1" s="55" t="s">
        <v>16</v>
      </c>
      <c r="N1" s="56" t="s">
        <v>111</v>
      </c>
      <c r="O1" s="55" t="s">
        <v>16</v>
      </c>
      <c r="P1" s="57" t="s">
        <v>10</v>
      </c>
      <c r="Q1" s="55" t="s">
        <v>17</v>
      </c>
      <c r="R1" s="55" t="s">
        <v>16</v>
      </c>
      <c r="S1" s="52" t="s">
        <v>48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49" t="s">
        <v>49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3" t="s">
        <v>97</v>
      </c>
      <c r="CB1" s="53"/>
      <c r="CC1" s="52" t="s">
        <v>50</v>
      </c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49" t="s">
        <v>51</v>
      </c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  <c r="EU1" s="49" t="s">
        <v>98</v>
      </c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49"/>
      <c r="FH1" s="49"/>
      <c r="FI1" s="49"/>
      <c r="FJ1" s="49"/>
      <c r="FK1" s="49"/>
      <c r="FL1" s="49"/>
      <c r="FM1" s="49"/>
      <c r="FN1" s="49"/>
      <c r="FO1" s="49"/>
      <c r="FP1" s="49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58"/>
      <c r="B2" s="58"/>
      <c r="C2" s="58"/>
      <c r="D2" s="58"/>
      <c r="E2" s="58"/>
      <c r="F2" s="59"/>
      <c r="G2" s="59"/>
      <c r="H2" s="58"/>
      <c r="I2" s="59"/>
      <c r="J2" s="56"/>
      <c r="K2" s="55"/>
      <c r="L2" s="56"/>
      <c r="M2" s="55"/>
      <c r="N2" s="55"/>
      <c r="O2" s="55"/>
      <c r="P2" s="57"/>
      <c r="Q2" s="55"/>
      <c r="R2" s="55"/>
      <c r="S2" s="50" t="s">
        <v>99</v>
      </c>
      <c r="T2" s="50"/>
      <c r="U2" s="50"/>
      <c r="V2" s="50"/>
      <c r="W2" s="50" t="s">
        <v>100</v>
      </c>
      <c r="X2" s="50"/>
      <c r="Y2" s="50"/>
      <c r="Z2" s="50"/>
      <c r="AA2" s="50" t="s">
        <v>101</v>
      </c>
      <c r="AB2" s="50"/>
      <c r="AC2" s="50"/>
      <c r="AD2" s="50"/>
      <c r="AE2" s="51" t="s">
        <v>102</v>
      </c>
      <c r="AF2" s="51"/>
      <c r="AG2" s="51"/>
      <c r="AH2" s="51"/>
      <c r="AI2" s="13"/>
      <c r="AJ2" s="13" t="s">
        <v>116</v>
      </c>
      <c r="AK2" s="13" t="s">
        <v>112</v>
      </c>
      <c r="AL2" s="13" t="s">
        <v>117</v>
      </c>
      <c r="AM2" s="13" t="s">
        <v>113</v>
      </c>
      <c r="AN2" s="13" t="s">
        <v>103</v>
      </c>
      <c r="AO2" s="13" t="s">
        <v>13</v>
      </c>
      <c r="AP2" s="13" t="s">
        <v>118</v>
      </c>
      <c r="AQ2" s="13" t="s">
        <v>114</v>
      </c>
      <c r="AR2" s="13" t="s">
        <v>119</v>
      </c>
      <c r="AS2" s="13" t="s">
        <v>115</v>
      </c>
      <c r="AT2" s="13" t="s">
        <v>104</v>
      </c>
      <c r="AU2" s="13" t="s">
        <v>105</v>
      </c>
      <c r="AV2" s="13" t="s">
        <v>12</v>
      </c>
      <c r="AW2" s="46" t="s">
        <v>99</v>
      </c>
      <c r="AX2" s="46"/>
      <c r="AY2" s="46"/>
      <c r="AZ2" s="46"/>
      <c r="BA2" s="46" t="s">
        <v>100</v>
      </c>
      <c r="BB2" s="46"/>
      <c r="BC2" s="46"/>
      <c r="BD2" s="46"/>
      <c r="BE2" s="46" t="s">
        <v>101</v>
      </c>
      <c r="BF2" s="46"/>
      <c r="BG2" s="46"/>
      <c r="BH2" s="46"/>
      <c r="BI2" s="48" t="s">
        <v>102</v>
      </c>
      <c r="BJ2" s="48"/>
      <c r="BK2" s="48"/>
      <c r="BL2" s="48"/>
      <c r="BM2" s="12"/>
      <c r="BN2" s="12" t="s">
        <v>116</v>
      </c>
      <c r="BO2" s="12" t="s">
        <v>112</v>
      </c>
      <c r="BP2" s="12" t="s">
        <v>117</v>
      </c>
      <c r="BQ2" s="12" t="s">
        <v>113</v>
      </c>
      <c r="BR2" s="12" t="s">
        <v>103</v>
      </c>
      <c r="BS2" s="12" t="s">
        <v>13</v>
      </c>
      <c r="BT2" s="12" t="s">
        <v>118</v>
      </c>
      <c r="BU2" s="12" t="s">
        <v>114</v>
      </c>
      <c r="BV2" s="12" t="s">
        <v>119</v>
      </c>
      <c r="BW2" s="12" t="s">
        <v>115</v>
      </c>
      <c r="BX2" s="12" t="s">
        <v>104</v>
      </c>
      <c r="BY2" s="12" t="s">
        <v>105</v>
      </c>
      <c r="BZ2" s="12" t="s">
        <v>12</v>
      </c>
      <c r="CA2" s="33" t="s">
        <v>106</v>
      </c>
      <c r="CB2" s="33" t="s">
        <v>120</v>
      </c>
      <c r="CC2" s="50" t="s">
        <v>99</v>
      </c>
      <c r="CD2" s="50"/>
      <c r="CE2" s="50"/>
      <c r="CF2" s="50"/>
      <c r="CG2" s="50" t="s">
        <v>100</v>
      </c>
      <c r="CH2" s="50"/>
      <c r="CI2" s="50"/>
      <c r="CJ2" s="50"/>
      <c r="CK2" s="50" t="s">
        <v>107</v>
      </c>
      <c r="CL2" s="50"/>
      <c r="CM2" s="50"/>
      <c r="CN2" s="50"/>
      <c r="CO2" s="50" t="s">
        <v>101</v>
      </c>
      <c r="CP2" s="50"/>
      <c r="CQ2" s="50"/>
      <c r="CR2" s="50"/>
      <c r="CS2" s="54" t="s">
        <v>102</v>
      </c>
      <c r="CT2" s="54"/>
      <c r="CU2" s="54"/>
      <c r="CV2" s="54"/>
      <c r="CW2" s="13" t="s">
        <v>116</v>
      </c>
      <c r="CX2" s="13" t="s">
        <v>112</v>
      </c>
      <c r="CY2" s="13" t="s">
        <v>117</v>
      </c>
      <c r="CZ2" s="13" t="s">
        <v>113</v>
      </c>
      <c r="DA2" s="13" t="s">
        <v>108</v>
      </c>
      <c r="DB2" s="13" t="s">
        <v>106</v>
      </c>
      <c r="DC2" s="13" t="s">
        <v>121</v>
      </c>
      <c r="DD2" s="13" t="s">
        <v>107</v>
      </c>
      <c r="DE2" s="13" t="s">
        <v>122</v>
      </c>
      <c r="DF2" s="13" t="s">
        <v>101</v>
      </c>
      <c r="DG2" s="13" t="s">
        <v>123</v>
      </c>
      <c r="DH2" s="13" t="s">
        <v>102</v>
      </c>
      <c r="DI2" s="13" t="s">
        <v>104</v>
      </c>
      <c r="DJ2" s="13" t="s">
        <v>105</v>
      </c>
      <c r="DK2" s="13" t="s">
        <v>12</v>
      </c>
      <c r="DL2" s="46" t="s">
        <v>99</v>
      </c>
      <c r="DM2" s="46"/>
      <c r="DN2" s="46"/>
      <c r="DO2" s="46"/>
      <c r="DP2" s="46" t="s">
        <v>100</v>
      </c>
      <c r="DQ2" s="46"/>
      <c r="DR2" s="46"/>
      <c r="DS2" s="46"/>
      <c r="DT2" s="46" t="s">
        <v>107</v>
      </c>
      <c r="DU2" s="46"/>
      <c r="DV2" s="46"/>
      <c r="DW2" s="46"/>
      <c r="DX2" s="46" t="s">
        <v>101</v>
      </c>
      <c r="DY2" s="46"/>
      <c r="DZ2" s="46"/>
      <c r="EA2" s="46"/>
      <c r="EB2" s="48" t="s">
        <v>102</v>
      </c>
      <c r="EC2" s="48"/>
      <c r="ED2" s="48"/>
      <c r="EE2" s="48"/>
      <c r="EF2" s="12" t="s">
        <v>116</v>
      </c>
      <c r="EG2" s="12" t="s">
        <v>112</v>
      </c>
      <c r="EH2" s="12" t="s">
        <v>117</v>
      </c>
      <c r="EI2" s="12" t="s">
        <v>113</v>
      </c>
      <c r="EJ2" s="12" t="s">
        <v>108</v>
      </c>
      <c r="EK2" s="12" t="s">
        <v>106</v>
      </c>
      <c r="EL2" s="12" t="s">
        <v>121</v>
      </c>
      <c r="EM2" s="12" t="s">
        <v>107</v>
      </c>
      <c r="EN2" s="12" t="s">
        <v>122</v>
      </c>
      <c r="EO2" s="12" t="s">
        <v>101</v>
      </c>
      <c r="EP2" s="12" t="s">
        <v>123</v>
      </c>
      <c r="EQ2" s="12" t="s">
        <v>102</v>
      </c>
      <c r="ER2" s="12" t="s">
        <v>104</v>
      </c>
      <c r="ES2" s="12" t="s">
        <v>105</v>
      </c>
      <c r="ET2" s="12" t="s">
        <v>12</v>
      </c>
      <c r="EU2" s="46" t="s">
        <v>99</v>
      </c>
      <c r="EV2" s="46"/>
      <c r="EW2" s="46"/>
      <c r="EX2" s="46"/>
      <c r="EY2" s="46" t="s">
        <v>100</v>
      </c>
      <c r="EZ2" s="46"/>
      <c r="FA2" s="46"/>
      <c r="FB2" s="46"/>
      <c r="FC2" s="46" t="s">
        <v>101</v>
      </c>
      <c r="FD2" s="46"/>
      <c r="FE2" s="46"/>
      <c r="FF2" s="46"/>
      <c r="FG2" s="47" t="s">
        <v>102</v>
      </c>
      <c r="FH2" s="47"/>
      <c r="FI2" s="47"/>
      <c r="FJ2" s="47"/>
      <c r="FK2" s="12"/>
      <c r="FL2" s="12" t="s">
        <v>116</v>
      </c>
      <c r="FM2" s="12" t="s">
        <v>112</v>
      </c>
      <c r="FN2" s="12" t="s">
        <v>117</v>
      </c>
      <c r="FO2" s="12" t="s">
        <v>113</v>
      </c>
      <c r="FP2" s="12" t="s">
        <v>103</v>
      </c>
      <c r="FQ2" s="12" t="s">
        <v>13</v>
      </c>
      <c r="FR2" s="12" t="s">
        <v>118</v>
      </c>
      <c r="FS2" s="12" t="s">
        <v>114</v>
      </c>
      <c r="FT2" s="12" t="s">
        <v>119</v>
      </c>
      <c r="FU2" s="12" t="s">
        <v>115</v>
      </c>
      <c r="FV2" s="12" t="s">
        <v>104</v>
      </c>
      <c r="FW2" s="12" t="s">
        <v>105</v>
      </c>
      <c r="FX2" s="12" t="s">
        <v>12</v>
      </c>
    </row>
    <row r="3" spans="1:180" x14ac:dyDescent="0.2">
      <c r="A3" s="58"/>
      <c r="B3" s="58"/>
      <c r="C3" s="58"/>
      <c r="D3" s="58"/>
      <c r="E3" s="58"/>
      <c r="F3" s="59"/>
      <c r="G3" s="59"/>
      <c r="H3" s="58"/>
      <c r="I3" s="59"/>
      <c r="J3" s="56"/>
      <c r="K3" s="55"/>
      <c r="L3" s="56"/>
      <c r="M3" s="55"/>
      <c r="N3" s="55"/>
      <c r="O3" s="55"/>
      <c r="P3" s="57"/>
      <c r="Q3" s="55"/>
      <c r="R3" s="55"/>
      <c r="S3" s="13" t="s">
        <v>11</v>
      </c>
      <c r="T3" s="13" t="s">
        <v>7</v>
      </c>
      <c r="U3" s="13" t="s">
        <v>15</v>
      </c>
      <c r="V3" s="13" t="s">
        <v>109</v>
      </c>
      <c r="W3" s="13" t="s">
        <v>11</v>
      </c>
      <c r="X3" s="13" t="s">
        <v>7</v>
      </c>
      <c r="Y3" s="13" t="s">
        <v>15</v>
      </c>
      <c r="Z3" s="13" t="s">
        <v>109</v>
      </c>
      <c r="AA3" s="13" t="s">
        <v>11</v>
      </c>
      <c r="AB3" s="13" t="s">
        <v>7</v>
      </c>
      <c r="AC3" s="13" t="s">
        <v>15</v>
      </c>
      <c r="AD3" s="13" t="s">
        <v>109</v>
      </c>
      <c r="AE3" s="35" t="s">
        <v>11</v>
      </c>
      <c r="AF3" s="35" t="s">
        <v>7</v>
      </c>
      <c r="AG3" s="35" t="s">
        <v>15</v>
      </c>
      <c r="AH3" s="35" t="s">
        <v>109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109</v>
      </c>
      <c r="BA3" s="12" t="s">
        <v>11</v>
      </c>
      <c r="BB3" s="12" t="s">
        <v>7</v>
      </c>
      <c r="BC3" s="12" t="s">
        <v>15</v>
      </c>
      <c r="BD3" s="12" t="s">
        <v>109</v>
      </c>
      <c r="BE3" s="12" t="s">
        <v>11</v>
      </c>
      <c r="BF3" s="12" t="s">
        <v>7</v>
      </c>
      <c r="BG3" s="12" t="s">
        <v>15</v>
      </c>
      <c r="BH3" s="12" t="s">
        <v>109</v>
      </c>
      <c r="BI3" s="36" t="s">
        <v>11</v>
      </c>
      <c r="BJ3" s="36" t="s">
        <v>7</v>
      </c>
      <c r="BK3" s="36" t="s">
        <v>15</v>
      </c>
      <c r="BL3" s="36" t="s">
        <v>109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109</v>
      </c>
      <c r="CG3" s="13" t="s">
        <v>11</v>
      </c>
      <c r="CH3" s="13" t="s">
        <v>7</v>
      </c>
      <c r="CI3" s="13" t="s">
        <v>15</v>
      </c>
      <c r="CJ3" s="13" t="s">
        <v>109</v>
      </c>
      <c r="CK3" s="13" t="s">
        <v>11</v>
      </c>
      <c r="CL3" s="13" t="s">
        <v>7</v>
      </c>
      <c r="CM3" s="13" t="s">
        <v>15</v>
      </c>
      <c r="CN3" s="13" t="s">
        <v>109</v>
      </c>
      <c r="CO3" s="13" t="s">
        <v>11</v>
      </c>
      <c r="CP3" s="13" t="s">
        <v>7</v>
      </c>
      <c r="CQ3" s="13" t="s">
        <v>15</v>
      </c>
      <c r="CR3" s="13" t="s">
        <v>109</v>
      </c>
      <c r="CS3" s="37" t="s">
        <v>11</v>
      </c>
      <c r="CT3" s="37" t="s">
        <v>7</v>
      </c>
      <c r="CU3" s="37" t="s">
        <v>15</v>
      </c>
      <c r="CV3" s="37" t="s">
        <v>109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109</v>
      </c>
      <c r="DP3" s="12" t="s">
        <v>11</v>
      </c>
      <c r="DQ3" s="12" t="s">
        <v>7</v>
      </c>
      <c r="DR3" s="12" t="s">
        <v>15</v>
      </c>
      <c r="DS3" s="12" t="s">
        <v>109</v>
      </c>
      <c r="DT3" s="12" t="s">
        <v>11</v>
      </c>
      <c r="DU3" s="12" t="s">
        <v>7</v>
      </c>
      <c r="DV3" s="12" t="s">
        <v>15</v>
      </c>
      <c r="DW3" s="12" t="s">
        <v>109</v>
      </c>
      <c r="DX3" s="12" t="s">
        <v>11</v>
      </c>
      <c r="DY3" s="12" t="s">
        <v>7</v>
      </c>
      <c r="DZ3" s="12" t="s">
        <v>15</v>
      </c>
      <c r="EA3" s="12" t="s">
        <v>109</v>
      </c>
      <c r="EB3" s="36" t="s">
        <v>11</v>
      </c>
      <c r="EC3" s="36" t="s">
        <v>7</v>
      </c>
      <c r="ED3" s="36" t="s">
        <v>15</v>
      </c>
      <c r="EE3" s="36" t="s">
        <v>109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109</v>
      </c>
      <c r="EY3" s="12" t="s">
        <v>11</v>
      </c>
      <c r="EZ3" s="12" t="s">
        <v>7</v>
      </c>
      <c r="FA3" s="12" t="s">
        <v>15</v>
      </c>
      <c r="FB3" s="12" t="s">
        <v>109</v>
      </c>
      <c r="FC3" s="12" t="s">
        <v>11</v>
      </c>
      <c r="FD3" s="12" t="s">
        <v>7</v>
      </c>
      <c r="FE3" s="12" t="s">
        <v>15</v>
      </c>
      <c r="FF3" s="12" t="s">
        <v>109</v>
      </c>
      <c r="FG3" s="38" t="s">
        <v>11</v>
      </c>
      <c r="FH3" s="38" t="s">
        <v>7</v>
      </c>
      <c r="FI3" s="38" t="s">
        <v>15</v>
      </c>
      <c r="FJ3" s="38" t="s">
        <v>109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t="str" cm="1">
        <f t="array" ref="A4">IF(AND(H4&lt;&gt;"",H4&lt;&gt;"No DD",I4&lt;&gt;"P"),SUMPRODUCT((H$4:H$39&lt;&gt;"")*(H$4:H$39&lt;&gt;"No DD")*(I$4:I$39&lt;&gt;"P")*(E$4:E$39&gt;E4))+1,IF(H4="No DD",SUMPRODUCT((H$4:H$39="No DD")*(I$4:I$39&lt;&gt;"P")*(E$4:E$39&gt;E4))+1+SUMPRODUCT((H$4:H$39&lt;&gt;"")*(I$4:I$39&lt;&gt;"P")*(H$4:H$39&lt;&gt;"No DD")),""))</f>
        <v/>
      </c>
      <c r="B4" s="4" t="s">
        <v>56</v>
      </c>
      <c r="C4" s="3" t="s">
        <v>4</v>
      </c>
      <c r="D4" s="3">
        <v>2008</v>
      </c>
      <c r="E4" s="8">
        <f t="shared" ref="E4:E38" si="0">SUM(J4:P4)+SUM(J4:M4)*0.0000001+SUM(J4)*0.0000000000001</f>
        <v>109.20000812000535</v>
      </c>
      <c r="F4" s="2" t="str">
        <f t="shared" ref="F4:F38" si="1">IF(OR(AND(AO4&lt;&gt;"",AO4&gt;=AV$44,AN4&gt;=AV$41),AND(AU4&lt;&gt;"",AU4&gt;=AV$44,AT4&gt;=AV$41),AND(BS4&lt;&gt;"",BS4&gt;=BZ$44,BR4&gt;=BZ$41),AND(BY4&lt;&gt;"",BY4&gt;=BZ$44,BX4&gt;=BZ$41),AND(DB4&lt;&gt;"",DB4&gt;=DK$44,DA4&gt;=DK$41),AND(DJ4&lt;&gt;"",DJ4&gt;=DK$44,DI4&gt;=DK$41),AND(EK4&lt;&gt;"",EK4&gt;=ET$44,EJ4&gt;=ET$41),AND(ES4&lt;&gt;"",ES4&gt;=ET$44,ER4&gt;=ET$41)),"P","")</f>
        <v>P</v>
      </c>
      <c r="G4" s="2" t="str">
        <f t="shared" ref="G4:G38" si="2">IF(OR(AND(AO4&lt;&gt;"",AO4&gt;=AV$44),AND(AU4&lt;&gt;"",AU4&gt;=AV$44),AND(BS4&lt;&gt;"",BS4&gt;=BZ$44),AND(BY4&lt;&gt;"",BY4&gt;=BZ$44),AND(DB4&lt;&gt;"",DB4&gt;=DK$44),AND(DJ4&lt;&gt;"",DJ4&gt;=DK$44),AND(EK4&lt;&gt;"",EK4&gt;=ET$44),AND(ES4&lt;&gt;"",ES4&gt;=ET$44)),"P","")</f>
        <v>P</v>
      </c>
      <c r="H4" s="26" t="str">
        <f t="shared" ref="H4:H38" si="3">IF(AND(G4="P",F4=""),"No DD",IF(OR(AND(AK4&lt;&gt;"",AK4&gt;=AV$46,AJ4&gt;=AV$43),AND(AM4&lt;&gt;"",AM4&gt;=AV$46,AL4&gt;=AV$43),AND(AQ4&lt;&gt;"",AQ4&gt;=AV$46,AP4&gt;=AV$43),AND(AS4&lt;&gt;"",AS4&gt;=AV$46,AR4&gt;=AV$43),AND(BO4&lt;&gt;"",BO4&gt;=BZ$46,BN4&gt;=BZ$43),AND(BQ4&lt;&gt;"",BQ4&gt;=BZ$46,BP4&gt;=BZ$43),AND(BV4&lt;&gt;"",BV4&gt;=BZ$46,BU4&gt;=BZ$43),AND(BX4&lt;&gt;"",BX4&gt;=BZ$46,BW4&gt;=BZ$43),AND(CX4&lt;&gt;"",CX4&gt;=DK$46,CW4&gt;=DK$43),AND(CZ4&lt;&gt;"",CZ4&gt;=DK$46,CY4&gt;=DK$43),AND(DD4&lt;&gt;"",DD4&gt;=DK$46,DC4&gt;=DK$43),AND(DF4&lt;&gt;"",DF4&gt;=DK$46,DE4&gt;=DK$43),AND(DH4&lt;&gt;"",DH4&gt;=DK$46,DG4&gt;=DK$43),AND(EG4&lt;&gt;"",EG4&gt;=ET$46,EF4&gt;=ET$43),AND(EI4&lt;&gt;"",EI4&gt;=ET$46,EH4&gt;=ET$43),AND(EM4&lt;&gt;"",EM4&gt;=ET$46,EL4&gt;=ET$43),AND(EO4&lt;&gt;"",EO4&gt;=ET$46,EN4&gt;=ET$43),AND(EQ4&lt;&gt;"",EQ4&gt;=ET$46,EP4&gt;=ET$43)),"Performance",IF(I4="P","National Team",IF(F4="P","National Team",""))))</f>
        <v>National Team</v>
      </c>
      <c r="I4" s="2" t="str">
        <f>IF(COUNTIFS('Senior-M'!B:B,B4,'Senior-M'!A:A,"&lt;9",'Senior-M'!H:H,"&lt;&gt;"&amp;"No DD"),"P","")</f>
        <v>P</v>
      </c>
      <c r="J4" s="7">
        <f t="shared" ref="J4:J38" si="4">IF(COUNT(AO4,BS4)&gt;0,MAX(AO4,BS4),0)</f>
        <v>53.599999999999994</v>
      </c>
      <c r="K4" s="7" t="str">
        <f t="shared" ref="K4:K38" si="5">IF(J4=0,"",IF(J4=BS4,$AW$1,IF(J4=AO4,$S$1,"")))</f>
        <v>2025 3rd Domestic Trial</v>
      </c>
      <c r="L4" s="7">
        <f>IF(J4=AO4,IF(COUNT(AQ4,AS4,BO4,BQ4,BU4,BW4)&gt;1,LARGE((AQ4,AS4,BO4,BQ4,BU4,BW4),1),0),IF(COUNT(AK4,AM4,AQ4,AS4,BU4,BW4)&gt;1,LARGE((AK4,AM4,AQ4,AS4,BU4,BW4),1),0))</f>
        <v>27.6</v>
      </c>
      <c r="M4" s="7" t="str">
        <f t="shared" ref="M4:M38" si="6">IF(L4=0,"",IF(OR(L4=BO4,L4=BQ4,L4=BU4,L4=BW4),$AW$1,IF(OR(L4=AK4,L4=AM4,L4=AQ4,L4=AS4),$S$1,"")))</f>
        <v>2025 3rd Domestic Trial</v>
      </c>
      <c r="N4" s="7">
        <f>IF(J4=AO4,IF(COUNT(AQ4,AS4,BO4,BQ4,BU4,BW4)&gt;1,LARGE((AQ4,AS4,BO4,BQ4,BU4,BW4),2),0),IF(COUNT(AK4,AM4,AQ4,AS4,BU4,BW4)&gt;1,LARGE((AK4,AM4,AQ4,AS4,BU4,BW4),2),0))</f>
        <v>27.5</v>
      </c>
      <c r="O4" s="7" t="str">
        <f t="shared" ref="O4:O38" si="7">IF(N4=0,"",IF(OR(N4=BO4,N4=BQ4,N4=BU4,N4=BW4),$AW$1,IF(OR(N4=AK4,N4=AM4,N4=AQ4,N4=AS4),$S$1,"")))</f>
        <v>2025 3rd Domestic Trial</v>
      </c>
      <c r="P4" s="7">
        <f t="shared" ref="P4:P38" si="8">IF(MAX(CA4:CB4)&gt;0,MAX(CA4:CB4),"")</f>
        <v>0.5</v>
      </c>
      <c r="Q4" s="10" t="str">
        <f t="shared" ref="Q4:Q38" si="9">IF(P4="","",IF(P4=CA4,"("&amp;CA$2&amp;")",IF(P4=CB4,"("&amp;CB$2&amp;")")))</f>
        <v>(Pass)</v>
      </c>
      <c r="R4" s="7" t="str">
        <f t="shared" ref="R4:R38" si="10">IF(P4="","",IF(P4=CA4,IF(P4+MAX(J4,0)=EK4,$DL$1,IF(P4+MAX(J4,0)=DB4,$CC$1)),IF(P4=CB4,IF(P4+MAX(N4,0)=MAX(EG4,EI4,EM4,EO4,EQ4),$DL$1,IF(P4+MAX(N4,0)=MAX(CX4,CZ4,DD4,DF4,DH4),$CC$1)))))</f>
        <v>2025 Worlds (Nov 9)</v>
      </c>
      <c r="S4" s="39">
        <v>19.100000000000001</v>
      </c>
      <c r="T4" s="39">
        <v>8.4</v>
      </c>
      <c r="U4" s="39">
        <v>0</v>
      </c>
      <c r="V4" s="39">
        <v>0</v>
      </c>
      <c r="W4" s="39">
        <v>18.600000000000001</v>
      </c>
      <c r="X4" s="39">
        <v>7.3</v>
      </c>
      <c r="Y4" s="39">
        <v>0</v>
      </c>
      <c r="Z4" s="39">
        <v>0</v>
      </c>
      <c r="AA4" s="39">
        <v>18.7</v>
      </c>
      <c r="AB4" s="39">
        <v>7.6</v>
      </c>
      <c r="AC4" s="39">
        <v>0</v>
      </c>
      <c r="AD4" s="39">
        <v>0</v>
      </c>
      <c r="AE4" s="39">
        <v>15.1</v>
      </c>
      <c r="AF4" s="39">
        <v>5.0999999999999996</v>
      </c>
      <c r="AG4" s="39">
        <v>0</v>
      </c>
      <c r="AH4" s="39">
        <v>0.3</v>
      </c>
      <c r="AI4" s="19"/>
      <c r="AJ4" s="42">
        <f t="shared" ref="AJ4:AJ38" si="11">IF(T4="","",T4)</f>
        <v>8.4</v>
      </c>
      <c r="AK4" s="42">
        <f t="shared" ref="AK4:AK38" si="12">IF(S4="","",S4+T4+V4-U4)</f>
        <v>27.5</v>
      </c>
      <c r="AL4" s="42">
        <f t="shared" ref="AL4:AL38" si="13">IF(X4="","",X4)</f>
        <v>7.3</v>
      </c>
      <c r="AM4" s="42">
        <f t="shared" ref="AM4:AM38" si="14">IF(W4="","",W4+X4+Z4-Y4)</f>
        <v>25.900000000000002</v>
      </c>
      <c r="AN4" s="27">
        <f t="shared" ref="AN4:AN38" si="15">IF(SUM(T4,X4)&gt;0,SUM(T4,X4),"")</f>
        <v>15.7</v>
      </c>
      <c r="AO4" s="27">
        <f t="shared" ref="AO4:AO38" si="16">IF(SUM(AK4,AM4)&gt;0,SUM(AK4,AM4),"")</f>
        <v>53.400000000000006</v>
      </c>
      <c r="AP4" s="27">
        <f t="shared" ref="AP4:AP38" si="17">IF(AB4="","",AB4)</f>
        <v>7.6</v>
      </c>
      <c r="AQ4" s="27">
        <f t="shared" ref="AQ4:AQ38" si="18">IF(AA4="","",AA4+AB4+AD4-AC4)</f>
        <v>26.299999999999997</v>
      </c>
      <c r="AR4" s="27">
        <f t="shared" ref="AR4:AR38" si="19">IF(AF4="","",AF4)</f>
        <v>5.0999999999999996</v>
      </c>
      <c r="AS4" s="27">
        <f t="shared" ref="AS4:AS38" si="20">IF(AE4="","",AE4+AF4+AH4-AG4)</f>
        <v>20.5</v>
      </c>
      <c r="AT4" s="27">
        <f t="shared" ref="AT4:AT38" si="21">IF(SUM(AB4,AF4)&gt;0,SUM(AB4,AF4),"")</f>
        <v>12.7</v>
      </c>
      <c r="AU4" s="27">
        <f t="shared" ref="AU4:AU38" si="22">IF(SUM(AQ4,AS4)&gt;0,SUM(AQ4,AS4),"")</f>
        <v>46.8</v>
      </c>
      <c r="AV4" s="27">
        <f t="shared" ref="AV4:AV38" si="23">IF(SUM(AO4,AU4)&gt;0,SUM(AO4,AU4),"")</f>
        <v>100.2</v>
      </c>
      <c r="AW4" s="15">
        <v>19</v>
      </c>
      <c r="AX4" s="15">
        <v>8.4</v>
      </c>
      <c r="AY4" s="15">
        <v>0.6</v>
      </c>
      <c r="AZ4" s="15">
        <v>0</v>
      </c>
      <c r="BA4" s="15">
        <v>18.7</v>
      </c>
      <c r="BB4" s="15">
        <v>8.1</v>
      </c>
      <c r="BC4" s="15">
        <v>0</v>
      </c>
      <c r="BD4" s="15">
        <v>0</v>
      </c>
      <c r="BE4" s="15">
        <v>19.100000000000001</v>
      </c>
      <c r="BF4" s="15">
        <v>8.4</v>
      </c>
      <c r="BG4" s="15">
        <v>0</v>
      </c>
      <c r="BH4" s="15">
        <v>0</v>
      </c>
      <c r="BI4" s="15">
        <v>18.600000000000001</v>
      </c>
      <c r="BJ4" s="15">
        <v>8.9</v>
      </c>
      <c r="BK4" s="15">
        <v>0.2</v>
      </c>
      <c r="BL4" s="15">
        <v>0.3</v>
      </c>
      <c r="BM4" s="20"/>
      <c r="BN4" s="43">
        <f t="shared" ref="BN4:BN38" si="24">IF(AX4="","",AX4)</f>
        <v>8.4</v>
      </c>
      <c r="BO4" s="43">
        <f t="shared" ref="BO4:BO38" si="25">IF(AW4="","",AW4+AX4+AZ4-AY4)</f>
        <v>26.799999999999997</v>
      </c>
      <c r="BP4" s="43">
        <f t="shared" ref="BP4:BP38" si="26">IF(BB4="","",BB4)</f>
        <v>8.1</v>
      </c>
      <c r="BQ4" s="43">
        <f t="shared" ref="BQ4:BQ38" si="27">IF(BA4="","",BA4+BB4+BD4-BC4)</f>
        <v>26.799999999999997</v>
      </c>
      <c r="BR4" s="10">
        <f t="shared" ref="BR4:BR38" si="28">IF(SUM(AX4,BB4)&gt;0,SUM(AX4,BB4),"")</f>
        <v>16.5</v>
      </c>
      <c r="BS4" s="10">
        <f t="shared" ref="BS4:BS38" si="29">IF(SUM(BO4,BQ4)&gt;0,SUM(BO4,BQ4),"")</f>
        <v>53.599999999999994</v>
      </c>
      <c r="BT4" s="10">
        <f t="shared" ref="BT4:BT38" si="30">IF(BF4="","",BF4)</f>
        <v>8.4</v>
      </c>
      <c r="BU4" s="10">
        <f t="shared" ref="BU4:BU38" si="31">IF(BE4="","",BE4+BF4+BH4-BG4)</f>
        <v>27.5</v>
      </c>
      <c r="BV4" s="10">
        <f t="shared" ref="BV4:BV38" si="32">IF(BJ4="","",BJ4)</f>
        <v>8.9</v>
      </c>
      <c r="BW4" s="10">
        <f t="shared" ref="BW4:BW38" si="33">IF(BI4="","",BI4+BJ4+BL4-BK4)</f>
        <v>27.6</v>
      </c>
      <c r="BX4" s="10">
        <f t="shared" ref="BX4:BX38" si="34">IF(SUM(BF4,BJ4)&gt;0,SUM(BF4,BJ4),"")</f>
        <v>17.3</v>
      </c>
      <c r="BY4" s="10">
        <f t="shared" ref="BY4:BY38" si="35">IF(SUM(BU4,BW4)&gt;0,SUM(BU4,BW4),"")</f>
        <v>55.1</v>
      </c>
      <c r="BZ4" s="10">
        <f t="shared" ref="BZ4:BZ38" si="36">IF(SUM(BS4,BY4)&gt;0,SUM(BS4,BY4),"")</f>
        <v>108.69999999999999</v>
      </c>
      <c r="CA4" s="34">
        <f t="shared" ref="CA4:CA38" si="37">IF(MAX(DB4,EK4)-IF(J4="",0,J4)&gt;0.001,MAX(DB4,EK4)-IF(J4="",0,J4),"")</f>
        <v>0.20000000000000284</v>
      </c>
      <c r="CB4" s="34">
        <f t="shared" ref="CB4:CB38" si="38">IF(MAX(CX4,CZ4,DD4,DF4,DH4,EG4,EI4,EM4,EO4)-IF(N4="",0,N4)&gt;0.001,MAX(CX4,CZ4,DD4,DF4,DH4,EG4,EI4,EM4,EO4)-IF(N4="",0,N4),"")</f>
        <v>0.5</v>
      </c>
      <c r="CC4" s="14">
        <v>18.399999999999999</v>
      </c>
      <c r="CD4" s="14">
        <v>9.5</v>
      </c>
      <c r="CE4" s="14">
        <v>0</v>
      </c>
      <c r="CF4" s="14">
        <v>0</v>
      </c>
      <c r="CG4" s="14">
        <v>18.2</v>
      </c>
      <c r="CH4" s="14">
        <v>8.5</v>
      </c>
      <c r="CI4" s="14">
        <v>0.8</v>
      </c>
      <c r="CJ4" s="14">
        <v>0</v>
      </c>
      <c r="CK4" s="14">
        <v>18.2</v>
      </c>
      <c r="CL4" s="14">
        <v>10.4</v>
      </c>
      <c r="CM4" s="14">
        <v>0.6</v>
      </c>
      <c r="CN4" s="14">
        <v>0</v>
      </c>
      <c r="CO4" s="14"/>
      <c r="CP4" s="14"/>
      <c r="CQ4" s="14"/>
      <c r="CR4" s="14"/>
      <c r="CS4" s="14"/>
      <c r="CT4" s="14"/>
      <c r="CU4" s="14"/>
      <c r="CV4" s="14"/>
      <c r="CW4" s="27">
        <f t="shared" ref="CW4:CW38" si="39">IF(CD4="","",CD4)</f>
        <v>9.5</v>
      </c>
      <c r="CX4" s="27">
        <f t="shared" ref="CX4:CX38" si="40">IF(CC4="","",CC4+CD4+CF4-CE4)</f>
        <v>27.9</v>
      </c>
      <c r="CY4" s="27">
        <f t="shared" ref="CY4:CY38" si="41">IF(CH4="","",CH4)</f>
        <v>8.5</v>
      </c>
      <c r="CZ4" s="27">
        <f t="shared" ref="CZ4:CZ38" si="42">IF(CG4="","",CG4+CH4+CJ4-CI4)</f>
        <v>25.9</v>
      </c>
      <c r="DA4" s="27">
        <f t="shared" ref="DA4:DA38" si="43">IF(CW4="","",SUM(CW4,CY4))</f>
        <v>18</v>
      </c>
      <c r="DB4" s="27">
        <f t="shared" ref="DB4:DB38" si="44">IF(CX4="","",SUM(CX4,CZ4))</f>
        <v>53.8</v>
      </c>
      <c r="DC4" s="27">
        <f t="shared" ref="DC4:DC38" si="45">IF(CL4="","",CL4)</f>
        <v>10.4</v>
      </c>
      <c r="DD4" s="27">
        <f t="shared" ref="DD4:DD38" si="46">IF(CK4="","",CK4+CL4+CN4-CM4)</f>
        <v>28</v>
      </c>
      <c r="DE4" s="27" t="str">
        <f t="shared" ref="DE4:DE38" si="47">IF(CP4="","",CP4)</f>
        <v/>
      </c>
      <c r="DF4" s="27" t="str">
        <f t="shared" ref="DF4:DF38" si="48">IF(CO4="","",CO4+CP4+CR4-CQ4)</f>
        <v/>
      </c>
      <c r="DG4" s="27" t="str">
        <f t="shared" ref="DG4:DG38" si="49">IF(CT4="","",CT4)</f>
        <v/>
      </c>
      <c r="DH4" s="27" t="str">
        <f t="shared" ref="DH4:DH38" si="50">IF(CS4="","",CS4+CT4+CV4-CU4)</f>
        <v/>
      </c>
      <c r="DI4" s="27" t="str">
        <f t="shared" ref="DI4:DI38" si="51">IF(DE4="","",SUM(DE4,DG4))</f>
        <v/>
      </c>
      <c r="DJ4" s="27" t="str">
        <f t="shared" ref="DJ4:DJ38" si="52">IF(DF4="","",SUM(DF4,DH4))</f>
        <v/>
      </c>
      <c r="DK4" s="27">
        <f t="shared" ref="DK4:DK38" si="53">IF(DB4="","",SUM(DB4,DD4,DH4))</f>
        <v>81.8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38" si="54">IF(DM4="","",DM4)</f>
        <v/>
      </c>
      <c r="EG4" s="10" t="str">
        <f t="shared" ref="EG4:EG38" si="55">IF(DL4="","",DL4+DM4+DO4-DN4)</f>
        <v/>
      </c>
      <c r="EH4" s="10" t="str">
        <f t="shared" ref="EH4:EH38" si="56">IF(DQ4="","",DQ4)</f>
        <v/>
      </c>
      <c r="EI4" s="10" t="str">
        <f t="shared" ref="EI4:EI38" si="57">IF(DP4="","",DP4+DQ4+DS4-DR4)</f>
        <v/>
      </c>
      <c r="EJ4" s="10" t="str">
        <f t="shared" ref="EJ4:EJ38" si="58">IF(EF4="","",SUM(EF4,EH4))</f>
        <v/>
      </c>
      <c r="EK4" s="10" t="str">
        <f t="shared" ref="EK4:EK38" si="59">IF(EG4="","",SUM(EG4,EI4))</f>
        <v/>
      </c>
      <c r="EL4" s="10" t="str">
        <f t="shared" ref="EL4:EL38" si="60">IF(DU4="","",DU4)</f>
        <v/>
      </c>
      <c r="EM4" s="10" t="str">
        <f t="shared" ref="EM4:EM38" si="61">IF(DT4="","",DT4+DU4+DW4-DV4)</f>
        <v/>
      </c>
      <c r="EN4" s="10" t="str">
        <f t="shared" ref="EN4:EN38" si="62">IF(DY4="","",DY4)</f>
        <v/>
      </c>
      <c r="EO4" s="10" t="str">
        <f t="shared" ref="EO4:EO38" si="63">IF(DX4="","",DX4+DY4+EA4-DZ4)</f>
        <v/>
      </c>
      <c r="EP4" s="10" t="str">
        <f t="shared" ref="EP4:EP38" si="64">IF(EC4="","",EC4)</f>
        <v/>
      </c>
      <c r="EQ4" s="10" t="str">
        <f t="shared" ref="EQ4:EQ38" si="65">IF(EB4="","",EB4+EC4+EE4-ED4)</f>
        <v/>
      </c>
      <c r="ER4" s="10" t="str">
        <f t="shared" ref="ER4:ER38" si="66">IF(EN4="","",SUM(EN4,EP4))</f>
        <v/>
      </c>
      <c r="ES4" s="10" t="str">
        <f t="shared" ref="ES4:ES38" si="67">IF(EO4="","",SUM(EO4,EQ4))</f>
        <v/>
      </c>
      <c r="ET4" s="10" t="str">
        <f t="shared" ref="ET4:ET38" si="68">IF(EK4="","",SUM(EK4,EM4,EQ4))</f>
        <v/>
      </c>
      <c r="EU4" s="44">
        <f t="shared" ref="EU4:EU38" si="69">IF(BM4="P",IF(AI4="P",AW4,AW4*0.8),(S4+AW4)/2)</f>
        <v>19.05</v>
      </c>
      <c r="EV4" s="44">
        <f t="shared" ref="EV4:EV38" si="70">IF(BN4="P",IF(AJ4="P",AX4,AX4*0.8),(T4+AX4)/2)</f>
        <v>8.4</v>
      </c>
      <c r="EW4" s="44">
        <f t="shared" ref="EW4:EW38" si="71">IF(BO4="P",IF(AK4="P",AY4,AY4*0.8),(U4+AY4)/2)</f>
        <v>0.3</v>
      </c>
      <c r="EX4" s="44">
        <f t="shared" ref="EX4:EX38" si="72">IF(BP4="P",IF(AL4="P",AZ4,AZ4*0.8),(V4+AZ4)/2)</f>
        <v>0</v>
      </c>
      <c r="EY4" s="44">
        <f t="shared" ref="EY4:EY38" si="73">IF(BQ4="P",IF(AM4="P",BA4,BA4*0.8),(W4+BA4)/2)</f>
        <v>18.649999999999999</v>
      </c>
      <c r="EZ4" s="44">
        <f t="shared" ref="EZ4:EZ38" si="74">IF(BR4="P",IF(AN4="P",BB4,BB4*0.8),(X4+BB4)/2)</f>
        <v>7.6999999999999993</v>
      </c>
      <c r="FA4" s="44">
        <f t="shared" ref="FA4:FA38" si="75">IF(BS4="P",IF(AO4="P",BC4,BC4*0.8),(Y4+BC4)/2)</f>
        <v>0</v>
      </c>
      <c r="FB4" s="44">
        <f t="shared" ref="FB4:FB38" si="76">IF(BT4="P",IF(AP4="P",BD4,BD4*0.8),(Z4+BD4)/2)</f>
        <v>0</v>
      </c>
      <c r="FC4" s="44">
        <f t="shared" ref="FC4:FC38" si="77">IF(BU4="P",IF(AQ4="P",BE4,BE4*0.8),(AA4+BE4)/2)</f>
        <v>18.899999999999999</v>
      </c>
      <c r="FD4" s="44">
        <f t="shared" ref="FD4:FD38" si="78">IF(BV4="P",IF(AR4="P",BF4,BF4*0.8),(AB4+BF4)/2)</f>
        <v>8</v>
      </c>
      <c r="FE4" s="44">
        <f t="shared" ref="FE4:FE38" si="79">IF(BW4="P",IF(AS4="P",BG4,BG4*0.8),(AC4+BG4)/2)</f>
        <v>0</v>
      </c>
      <c r="FF4" s="44">
        <f t="shared" ref="FF4:FF38" si="80">IF(BX4="P",IF(AT4="P",BH4,BH4*0.8),(AD4+BH4)/2)</f>
        <v>0</v>
      </c>
      <c r="FG4" s="44">
        <f t="shared" ref="FG4:FG38" si="81">IF(BY4="P",IF(AU4="P",BI4,BI4*0.8),(AE4+BI4)/2)</f>
        <v>16.850000000000001</v>
      </c>
      <c r="FH4" s="44">
        <f t="shared" ref="FH4:FH38" si="82">IF(BZ4="P",IF(AV4="P",BJ4,BJ4*0.8),(AF4+BJ4)/2)</f>
        <v>7</v>
      </c>
      <c r="FI4" s="44">
        <f t="shared" ref="FI4:FI38" si="83">IF(CA4="P",IF(AW4="P",BK4,BK4*0.8),(AG4+BK4)/2)</f>
        <v>0.1</v>
      </c>
      <c r="FJ4" s="44">
        <f t="shared" ref="FJ4:FJ38" si="84">IF(CB4="P",IF(AX4="P",BL4,BL4*0.8),(AH4+BL4)/2)</f>
        <v>0.3</v>
      </c>
      <c r="FK4" s="20" t="s">
        <v>29</v>
      </c>
      <c r="FL4" s="10">
        <f t="shared" ref="FL4:FL38" si="85">IF(EV4="","",EV4)</f>
        <v>8.4</v>
      </c>
      <c r="FM4" s="10">
        <f t="shared" ref="FM4:FM38" si="86">IF(EU4="","",EU4+EV4+EX4-EW4)</f>
        <v>27.150000000000002</v>
      </c>
      <c r="FN4" s="10">
        <f t="shared" ref="FN4:FN38" si="87">IF(EZ4="","",EZ4)</f>
        <v>7.6999999999999993</v>
      </c>
      <c r="FO4" s="10">
        <f t="shared" ref="FO4:FO38" si="88">IF(EY4="","",EY4+EZ4+FB4-FA4)</f>
        <v>26.349999999999998</v>
      </c>
      <c r="FP4" s="10">
        <f t="shared" ref="FP4:FP38" si="89">IF(SUM(EV4,EZ4)&gt;0,SUM(EV4,EZ4),"")</f>
        <v>16.100000000000001</v>
      </c>
      <c r="FQ4" s="10">
        <f>IF(SUM(FM4,FO4)&gt;0,SUM(FM4,FO4),"")</f>
        <v>53.5</v>
      </c>
      <c r="FR4" s="10">
        <f>IF(FD4="","",FD4)</f>
        <v>8</v>
      </c>
      <c r="FS4" s="10">
        <f>IF(FC4="","",FC4+FD4+FF4-FE4)</f>
        <v>26.9</v>
      </c>
      <c r="FT4" s="10">
        <f>IF(FH4="","",FH4)</f>
        <v>7</v>
      </c>
      <c r="FU4" s="10">
        <f>IF(FG4="","",FG4+FH4+FJ4-FI4)</f>
        <v>24.05</v>
      </c>
      <c r="FV4" s="10">
        <f>IF(SUM(FD4,FH4)&gt;0,SUM(FD4,FH4),"")</f>
        <v>15</v>
      </c>
      <c r="FW4" s="10">
        <f t="shared" ref="FW4:FW21" si="90">IF(SUM(FS4,FU4)&gt;0,SUM(FS4,FU4),"")</f>
        <v>50.95</v>
      </c>
      <c r="FX4" s="10">
        <f t="shared" ref="FX4:FX21" si="91">IF(SUM(FQ4,FW4)&gt;0,SUM(FQ4,FW4),"")</f>
        <v>104.45</v>
      </c>
    </row>
    <row r="5" spans="1:180" x14ac:dyDescent="0.2">
      <c r="A5" s="3" t="str" cm="1">
        <f t="array" ref="A5">IF(AND(H5&lt;&gt;"",H5&lt;&gt;"No DD",I5&lt;&gt;"P"),SUMPRODUCT((H$4:H$39&lt;&gt;"")*(H$4:H$39&lt;&gt;"No DD")*(I$4:I$39&lt;&gt;"P")*(E$4:E$39&gt;E5))+1,IF(H5="No DD",SUMPRODUCT((H$4:H$39="No DD")*(I$4:I$39&lt;&gt;"P")*(E$4:E$39&gt;E5))+1+SUMPRODUCT((H$4:H$39&lt;&gt;"")*(I$4:I$39&lt;&gt;"P")*(H$4:H$39&lt;&gt;"No DD")),""))</f>
        <v/>
      </c>
      <c r="B5" s="4" t="s">
        <v>79</v>
      </c>
      <c r="C5" s="3" t="s">
        <v>4</v>
      </c>
      <c r="D5" s="3">
        <v>2007</v>
      </c>
      <c r="E5" s="8">
        <f t="shared" si="0"/>
        <v>108.00000808000533</v>
      </c>
      <c r="F5" s="2" t="str">
        <f t="shared" si="1"/>
        <v>P</v>
      </c>
      <c r="G5" s="2" t="str">
        <f t="shared" si="2"/>
        <v>P</v>
      </c>
      <c r="H5" s="26" t="str">
        <f t="shared" si="3"/>
        <v>National Team</v>
      </c>
      <c r="I5" s="2" t="str">
        <f>IF(COUNTIFS('Senior-M'!B:B,B5,'Senior-M'!A:A,"&lt;9",'Senior-M'!H:H,"&lt;&gt;"&amp;"No DD"),"P","")</f>
        <v>P</v>
      </c>
      <c r="J5" s="7">
        <f t="shared" si="4"/>
        <v>53.2</v>
      </c>
      <c r="K5" s="7" t="str">
        <f t="shared" si="5"/>
        <v>2025 3rd Domestic Trial</v>
      </c>
      <c r="L5" s="7">
        <f>IF(J5=AO5,IF(COUNT(AQ5,AS5,BO5,BQ5,BU5,BW5)&gt;1,LARGE((AQ5,AS5,BO5,BQ5,BU5,BW5),1),0),IF(COUNT(AK5,AM5,AQ5,AS5,BU5,BW5)&gt;1,LARGE((AK5,AM5,AQ5,AS5,BU5,BW5),1),0))</f>
        <v>27.6</v>
      </c>
      <c r="M5" s="7" t="str">
        <f t="shared" si="6"/>
        <v>2025 3rd Domestic Trial</v>
      </c>
      <c r="N5" s="7">
        <f>IF(J5=AO5,IF(COUNT(AQ5,AS5,BO5,BQ5,BU5,BW5)&gt;1,LARGE((AQ5,AS5,BO5,BQ5,BU5,BW5),2),0),IF(COUNT(AK5,AM5,AQ5,AS5,BU5,BW5)&gt;1,LARGE((AK5,AM5,AQ5,AS5,BU5,BW5),2),0))</f>
        <v>27.2</v>
      </c>
      <c r="O5" s="7" t="str">
        <f t="shared" si="7"/>
        <v>2025 Nationals</v>
      </c>
      <c r="P5" s="7" t="str">
        <f t="shared" si="8"/>
        <v/>
      </c>
      <c r="Q5" s="10" t="str">
        <f t="shared" si="9"/>
        <v/>
      </c>
      <c r="R5" s="7" t="str">
        <f t="shared" si="10"/>
        <v/>
      </c>
      <c r="S5" s="39">
        <v>19</v>
      </c>
      <c r="T5" s="39">
        <v>8.4</v>
      </c>
      <c r="U5" s="39">
        <v>0.2</v>
      </c>
      <c r="V5" s="39">
        <v>0</v>
      </c>
      <c r="W5" s="39">
        <v>18.2</v>
      </c>
      <c r="X5" s="39">
        <v>7.7</v>
      </c>
      <c r="Y5" s="39">
        <v>0</v>
      </c>
      <c r="Z5" s="39">
        <v>0</v>
      </c>
      <c r="AA5" s="39">
        <v>18.7</v>
      </c>
      <c r="AB5" s="39">
        <v>8.4</v>
      </c>
      <c r="AC5" s="39">
        <v>0.8</v>
      </c>
      <c r="AD5" s="39">
        <v>0</v>
      </c>
      <c r="AE5" s="39">
        <v>18.5</v>
      </c>
      <c r="AF5" s="39">
        <v>7.7</v>
      </c>
      <c r="AG5" s="39">
        <v>0.2</v>
      </c>
      <c r="AH5" s="39">
        <v>0</v>
      </c>
      <c r="AI5" s="19"/>
      <c r="AJ5" s="42">
        <f t="shared" si="11"/>
        <v>8.4</v>
      </c>
      <c r="AK5" s="42">
        <f t="shared" si="12"/>
        <v>27.2</v>
      </c>
      <c r="AL5" s="42">
        <f t="shared" si="13"/>
        <v>7.7</v>
      </c>
      <c r="AM5" s="42">
        <f t="shared" si="14"/>
        <v>25.9</v>
      </c>
      <c r="AN5" s="27">
        <f t="shared" si="15"/>
        <v>16.100000000000001</v>
      </c>
      <c r="AO5" s="27">
        <f t="shared" si="16"/>
        <v>53.099999999999994</v>
      </c>
      <c r="AP5" s="27">
        <f t="shared" si="17"/>
        <v>8.4</v>
      </c>
      <c r="AQ5" s="27">
        <f t="shared" si="18"/>
        <v>26.3</v>
      </c>
      <c r="AR5" s="27">
        <f t="shared" si="19"/>
        <v>7.7</v>
      </c>
      <c r="AS5" s="27">
        <f t="shared" si="20"/>
        <v>26</v>
      </c>
      <c r="AT5" s="27">
        <f t="shared" si="21"/>
        <v>16.100000000000001</v>
      </c>
      <c r="AU5" s="27">
        <f t="shared" si="22"/>
        <v>52.3</v>
      </c>
      <c r="AV5" s="27">
        <f t="shared" si="23"/>
        <v>105.39999999999999</v>
      </c>
      <c r="AW5" s="15">
        <v>19.100000000000001</v>
      </c>
      <c r="AX5" s="15">
        <v>8</v>
      </c>
      <c r="AY5" s="15">
        <v>0</v>
      </c>
      <c r="AZ5" s="15">
        <v>0.3</v>
      </c>
      <c r="BA5" s="15">
        <v>18.8</v>
      </c>
      <c r="BB5" s="15">
        <v>7.6</v>
      </c>
      <c r="BC5" s="15">
        <v>0.6</v>
      </c>
      <c r="BD5" s="15">
        <v>0</v>
      </c>
      <c r="BE5" s="15">
        <v>18.899999999999999</v>
      </c>
      <c r="BF5" s="15">
        <v>8</v>
      </c>
      <c r="BG5" s="15">
        <v>0.2</v>
      </c>
      <c r="BH5" s="15">
        <v>0.3</v>
      </c>
      <c r="BI5" s="15">
        <v>19.2</v>
      </c>
      <c r="BJ5" s="15">
        <v>8.4</v>
      </c>
      <c r="BK5" s="15">
        <v>0</v>
      </c>
      <c r="BL5" s="15">
        <v>0</v>
      </c>
      <c r="BM5" s="20"/>
      <c r="BN5" s="43">
        <f t="shared" si="24"/>
        <v>8</v>
      </c>
      <c r="BO5" s="43">
        <f t="shared" si="25"/>
        <v>27.400000000000002</v>
      </c>
      <c r="BP5" s="43">
        <f t="shared" si="26"/>
        <v>7.6</v>
      </c>
      <c r="BQ5" s="43">
        <f t="shared" si="27"/>
        <v>25.799999999999997</v>
      </c>
      <c r="BR5" s="10">
        <f t="shared" si="28"/>
        <v>15.6</v>
      </c>
      <c r="BS5" s="10">
        <f t="shared" si="29"/>
        <v>53.2</v>
      </c>
      <c r="BT5" s="10">
        <f t="shared" si="30"/>
        <v>8</v>
      </c>
      <c r="BU5" s="10">
        <f t="shared" si="31"/>
        <v>27</v>
      </c>
      <c r="BV5" s="10">
        <f t="shared" si="32"/>
        <v>8.4</v>
      </c>
      <c r="BW5" s="10">
        <f t="shared" si="33"/>
        <v>27.6</v>
      </c>
      <c r="BX5" s="10">
        <f t="shared" si="34"/>
        <v>16.399999999999999</v>
      </c>
      <c r="BY5" s="10">
        <f t="shared" si="35"/>
        <v>54.6</v>
      </c>
      <c r="BZ5" s="10">
        <f t="shared" si="36"/>
        <v>107.80000000000001</v>
      </c>
      <c r="CA5" s="34" t="str">
        <f t="shared" si="37"/>
        <v/>
      </c>
      <c r="CB5" s="34" t="str">
        <f t="shared" si="38"/>
        <v/>
      </c>
      <c r="CC5" s="14">
        <v>15.5</v>
      </c>
      <c r="CD5" s="14">
        <v>4</v>
      </c>
      <c r="CE5" s="14">
        <v>0</v>
      </c>
      <c r="CF5" s="14">
        <v>0</v>
      </c>
      <c r="CG5" s="14">
        <v>18</v>
      </c>
      <c r="CH5" s="14">
        <v>9.5</v>
      </c>
      <c r="CI5" s="14">
        <v>0.8</v>
      </c>
      <c r="CJ5" s="14">
        <v>0</v>
      </c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>
        <f t="shared" si="39"/>
        <v>4</v>
      </c>
      <c r="CX5" s="27">
        <f t="shared" si="40"/>
        <v>19.5</v>
      </c>
      <c r="CY5" s="27">
        <f t="shared" si="41"/>
        <v>9.5</v>
      </c>
      <c r="CZ5" s="27">
        <f t="shared" si="42"/>
        <v>26.7</v>
      </c>
      <c r="DA5" s="27">
        <f t="shared" si="43"/>
        <v>13.5</v>
      </c>
      <c r="DB5" s="27">
        <f t="shared" si="44"/>
        <v>46.2</v>
      </c>
      <c r="DC5" s="27" t="str">
        <f t="shared" si="45"/>
        <v/>
      </c>
      <c r="DD5" s="27" t="str">
        <f t="shared" si="46"/>
        <v/>
      </c>
      <c r="DE5" s="27" t="str">
        <f t="shared" si="47"/>
        <v/>
      </c>
      <c r="DF5" s="27" t="str">
        <f t="shared" si="48"/>
        <v/>
      </c>
      <c r="DG5" s="27" t="str">
        <f t="shared" si="49"/>
        <v/>
      </c>
      <c r="DH5" s="27" t="str">
        <f t="shared" si="50"/>
        <v/>
      </c>
      <c r="DI5" s="27" t="str">
        <f t="shared" si="51"/>
        <v/>
      </c>
      <c r="DJ5" s="27" t="str">
        <f t="shared" si="52"/>
        <v/>
      </c>
      <c r="DK5" s="27">
        <f t="shared" si="53"/>
        <v>46.2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4"/>
        <v/>
      </c>
      <c r="EG5" s="10" t="str">
        <f t="shared" si="55"/>
        <v/>
      </c>
      <c r="EH5" s="10" t="str">
        <f t="shared" si="56"/>
        <v/>
      </c>
      <c r="EI5" s="10" t="str">
        <f t="shared" si="57"/>
        <v/>
      </c>
      <c r="EJ5" s="10" t="str">
        <f t="shared" si="58"/>
        <v/>
      </c>
      <c r="EK5" s="10" t="str">
        <f t="shared" si="59"/>
        <v/>
      </c>
      <c r="EL5" s="10" t="str">
        <f t="shared" si="60"/>
        <v/>
      </c>
      <c r="EM5" s="10" t="str">
        <f t="shared" si="61"/>
        <v/>
      </c>
      <c r="EN5" s="10" t="str">
        <f t="shared" si="62"/>
        <v/>
      </c>
      <c r="EO5" s="10" t="str">
        <f t="shared" si="63"/>
        <v/>
      </c>
      <c r="EP5" s="10" t="str">
        <f t="shared" si="64"/>
        <v/>
      </c>
      <c r="EQ5" s="10" t="str">
        <f t="shared" si="65"/>
        <v/>
      </c>
      <c r="ER5" s="10" t="str">
        <f t="shared" si="66"/>
        <v/>
      </c>
      <c r="ES5" s="10" t="str">
        <f t="shared" si="67"/>
        <v/>
      </c>
      <c r="ET5" s="10" t="str">
        <f t="shared" si="68"/>
        <v/>
      </c>
      <c r="EU5" s="44">
        <f t="shared" si="69"/>
        <v>19.05</v>
      </c>
      <c r="EV5" s="44">
        <f t="shared" si="70"/>
        <v>8.1999999999999993</v>
      </c>
      <c r="EW5" s="44">
        <f t="shared" si="71"/>
        <v>0.1</v>
      </c>
      <c r="EX5" s="44">
        <f t="shared" si="72"/>
        <v>0.15</v>
      </c>
      <c r="EY5" s="44">
        <f t="shared" si="73"/>
        <v>18.5</v>
      </c>
      <c r="EZ5" s="44">
        <f t="shared" si="74"/>
        <v>7.65</v>
      </c>
      <c r="FA5" s="44">
        <f t="shared" si="75"/>
        <v>0.3</v>
      </c>
      <c r="FB5" s="44">
        <f t="shared" si="76"/>
        <v>0</v>
      </c>
      <c r="FC5" s="44">
        <f t="shared" si="77"/>
        <v>18.799999999999997</v>
      </c>
      <c r="FD5" s="44">
        <f t="shared" si="78"/>
        <v>8.1999999999999993</v>
      </c>
      <c r="FE5" s="44">
        <f t="shared" si="79"/>
        <v>0.5</v>
      </c>
      <c r="FF5" s="44">
        <f t="shared" si="80"/>
        <v>0.15</v>
      </c>
      <c r="FG5" s="44">
        <f t="shared" si="81"/>
        <v>18.850000000000001</v>
      </c>
      <c r="FH5" s="44">
        <f t="shared" si="82"/>
        <v>8.0500000000000007</v>
      </c>
      <c r="FI5" s="44">
        <f t="shared" si="83"/>
        <v>0.1</v>
      </c>
      <c r="FJ5" s="44">
        <f t="shared" si="84"/>
        <v>0</v>
      </c>
      <c r="FK5" s="20" t="s">
        <v>29</v>
      </c>
      <c r="FL5" s="10">
        <f t="shared" si="85"/>
        <v>8.1999999999999993</v>
      </c>
      <c r="FM5" s="10">
        <f t="shared" si="86"/>
        <v>27.299999999999997</v>
      </c>
      <c r="FN5" s="10">
        <f t="shared" si="87"/>
        <v>7.65</v>
      </c>
      <c r="FO5" s="10">
        <f t="shared" si="88"/>
        <v>25.849999999999998</v>
      </c>
      <c r="FP5" s="10">
        <f t="shared" si="89"/>
        <v>15.85</v>
      </c>
      <c r="FQ5" s="10">
        <f t="shared" ref="FQ5:FQ38" si="92">IF(SUM(FM5,FO5)&gt;0,SUM(FM5,FO5),"")</f>
        <v>53.149999999999991</v>
      </c>
      <c r="FR5" s="10">
        <f t="shared" ref="FR5:FR38" si="93">IF(FD5="","",FD5)</f>
        <v>8.1999999999999993</v>
      </c>
      <c r="FS5" s="10">
        <f t="shared" ref="FS5:FS38" si="94">IF(FC5="","",FC5+FD5+FF5-FE5)</f>
        <v>26.649999999999995</v>
      </c>
      <c r="FT5" s="10">
        <f t="shared" ref="FT5:FT38" si="95">IF(FH5="","",FH5)</f>
        <v>8.0500000000000007</v>
      </c>
      <c r="FU5" s="10">
        <f t="shared" ref="FU5:FU38" si="96">IF(FG5="","",FG5+FH5+FJ5-FI5)</f>
        <v>26.8</v>
      </c>
      <c r="FV5" s="10">
        <f t="shared" ref="FV5:FV38" si="97">IF(SUM(FD5,FH5)&gt;0,SUM(FD5,FH5),"")</f>
        <v>16.25</v>
      </c>
      <c r="FW5" s="10">
        <f t="shared" si="90"/>
        <v>53.449999999999996</v>
      </c>
      <c r="FX5" s="10">
        <f t="shared" si="91"/>
        <v>106.6</v>
      </c>
    </row>
    <row r="6" spans="1:180" x14ac:dyDescent="0.2">
      <c r="A6" s="3" t="str" cm="1">
        <f t="array" ref="A6">IF(AND(H6&lt;&gt;"",H6&lt;&gt;"No DD",I6&lt;&gt;"P"),SUMPRODUCT((H$4:H$39&lt;&gt;"")*(H$4:H$39&lt;&gt;"No DD")*(I$4:I$39&lt;&gt;"P")*(E$4:E$39&gt;E6))+1,IF(H6="No DD",SUMPRODUCT((H$4:H$39="No DD")*(I$4:I$39&lt;&gt;"P")*(E$4:E$39&gt;E6))+1+SUMPRODUCT((H$4:H$39&lt;&gt;"")*(I$4:I$39&lt;&gt;"P")*(H$4:H$39&lt;&gt;"No DD")),""))</f>
        <v/>
      </c>
      <c r="B6" s="4" t="s">
        <v>81</v>
      </c>
      <c r="C6" s="3" t="s">
        <v>4</v>
      </c>
      <c r="D6" s="3">
        <v>2008</v>
      </c>
      <c r="E6" s="8">
        <f t="shared" si="0"/>
        <v>106.20000801000531</v>
      </c>
      <c r="F6" s="2" t="str">
        <f t="shared" si="1"/>
        <v>P</v>
      </c>
      <c r="G6" s="2" t="str">
        <f t="shared" si="2"/>
        <v>P</v>
      </c>
      <c r="H6" s="26" t="str">
        <f t="shared" si="3"/>
        <v>National Team</v>
      </c>
      <c r="I6" s="2" t="str">
        <f>IF(COUNTIFS('Senior-M'!B:B,B6,'Senior-M'!A:A,"&lt;9",'Senior-M'!H:H,"&lt;&gt;"&amp;"No DD"),"P","")</f>
        <v>P</v>
      </c>
      <c r="J6" s="7">
        <f t="shared" si="4"/>
        <v>53.2</v>
      </c>
      <c r="K6" s="7" t="str">
        <f t="shared" si="5"/>
        <v>2025 3rd Domestic Trial</v>
      </c>
      <c r="L6" s="7">
        <f>IF(J6=AO6,IF(COUNT(AQ6,AS6,BO6,BQ6,BU6,BW6)&gt;1,LARGE((AQ6,AS6,BO6,BQ6,BU6,BW6),1),0),IF(COUNT(AK6,AM6,AQ6,AS6,BU6,BW6)&gt;1,LARGE((AK6,AM6,AQ6,AS6,BU6,BW6),1),0))</f>
        <v>26.9</v>
      </c>
      <c r="M6" s="7" t="str">
        <f t="shared" si="6"/>
        <v>2025 3rd Domestic Trial</v>
      </c>
      <c r="N6" s="7">
        <f>IF(J6=AO6,IF(COUNT(AQ6,AS6,BO6,BQ6,BU6,BW6)&gt;1,LARGE((AQ6,AS6,BO6,BQ6,BU6,BW6),2),0),IF(COUNT(AK6,AM6,AQ6,AS6,BU6,BW6)&gt;1,LARGE((AK6,AM6,AQ6,AS6,BU6,BW6),2),0))</f>
        <v>26.1</v>
      </c>
      <c r="O6" s="7" t="str">
        <f t="shared" si="7"/>
        <v>2025 3rd Domestic Trial</v>
      </c>
      <c r="P6" s="7" t="str">
        <f t="shared" si="8"/>
        <v/>
      </c>
      <c r="Q6" s="10" t="str">
        <f t="shared" si="9"/>
        <v/>
      </c>
      <c r="R6" s="7" t="str">
        <f t="shared" si="10"/>
        <v/>
      </c>
      <c r="S6" s="39">
        <v>15.4</v>
      </c>
      <c r="T6" s="39">
        <v>2.8</v>
      </c>
      <c r="U6" s="39">
        <v>0</v>
      </c>
      <c r="V6" s="39">
        <v>0</v>
      </c>
      <c r="W6" s="39">
        <v>18.100000000000001</v>
      </c>
      <c r="X6" s="39">
        <v>8</v>
      </c>
      <c r="Y6" s="39">
        <v>0.6</v>
      </c>
      <c r="Z6" s="39">
        <v>0</v>
      </c>
      <c r="AA6" s="39"/>
      <c r="AB6" s="39"/>
      <c r="AC6" s="39"/>
      <c r="AD6" s="39"/>
      <c r="AE6" s="39"/>
      <c r="AF6" s="39"/>
      <c r="AG6" s="39"/>
      <c r="AH6" s="39"/>
      <c r="AI6" s="19"/>
      <c r="AJ6" s="42">
        <f t="shared" si="11"/>
        <v>2.8</v>
      </c>
      <c r="AK6" s="42">
        <f t="shared" si="12"/>
        <v>18.2</v>
      </c>
      <c r="AL6" s="42">
        <f t="shared" si="13"/>
        <v>8</v>
      </c>
      <c r="AM6" s="42">
        <f t="shared" si="14"/>
        <v>25.5</v>
      </c>
      <c r="AN6" s="27">
        <f t="shared" si="15"/>
        <v>10.8</v>
      </c>
      <c r="AO6" s="27">
        <f t="shared" si="16"/>
        <v>43.7</v>
      </c>
      <c r="AP6" s="27" t="str">
        <f t="shared" si="17"/>
        <v/>
      </c>
      <c r="AQ6" s="27" t="str">
        <f t="shared" si="18"/>
        <v/>
      </c>
      <c r="AR6" s="27" t="str">
        <f t="shared" si="19"/>
        <v/>
      </c>
      <c r="AS6" s="27" t="str">
        <f t="shared" si="20"/>
        <v/>
      </c>
      <c r="AT6" s="27" t="str">
        <f t="shared" si="21"/>
        <v/>
      </c>
      <c r="AU6" s="27" t="str">
        <f t="shared" si="22"/>
        <v/>
      </c>
      <c r="AV6" s="27">
        <f t="shared" si="23"/>
        <v>43.7</v>
      </c>
      <c r="AW6" s="15">
        <v>18.3</v>
      </c>
      <c r="AX6" s="15">
        <v>8.8000000000000007</v>
      </c>
      <c r="AY6" s="15">
        <v>0.6</v>
      </c>
      <c r="AZ6" s="15">
        <v>0.3</v>
      </c>
      <c r="BA6" s="15">
        <v>18.600000000000001</v>
      </c>
      <c r="BB6" s="15">
        <v>8.4</v>
      </c>
      <c r="BC6" s="15">
        <v>0.6</v>
      </c>
      <c r="BD6" s="15">
        <v>0</v>
      </c>
      <c r="BE6" s="15">
        <v>18.600000000000001</v>
      </c>
      <c r="BF6" s="15">
        <v>8.4</v>
      </c>
      <c r="BG6" s="15">
        <v>0.9</v>
      </c>
      <c r="BH6" s="15">
        <v>0</v>
      </c>
      <c r="BI6" s="15">
        <v>18.5</v>
      </c>
      <c r="BJ6" s="15">
        <v>8.4</v>
      </c>
      <c r="BK6" s="15">
        <v>0</v>
      </c>
      <c r="BL6" s="15">
        <v>0</v>
      </c>
      <c r="BM6" s="20"/>
      <c r="BN6" s="43">
        <f t="shared" si="24"/>
        <v>8.8000000000000007</v>
      </c>
      <c r="BO6" s="43">
        <f t="shared" si="25"/>
        <v>26.8</v>
      </c>
      <c r="BP6" s="43">
        <f t="shared" si="26"/>
        <v>8.4</v>
      </c>
      <c r="BQ6" s="43">
        <f t="shared" si="27"/>
        <v>26.4</v>
      </c>
      <c r="BR6" s="10">
        <f t="shared" si="28"/>
        <v>17.200000000000003</v>
      </c>
      <c r="BS6" s="10">
        <f t="shared" si="29"/>
        <v>53.2</v>
      </c>
      <c r="BT6" s="10">
        <f t="shared" si="30"/>
        <v>8.4</v>
      </c>
      <c r="BU6" s="10">
        <f t="shared" si="31"/>
        <v>26.1</v>
      </c>
      <c r="BV6" s="10">
        <f t="shared" si="32"/>
        <v>8.4</v>
      </c>
      <c r="BW6" s="10">
        <f t="shared" si="33"/>
        <v>26.9</v>
      </c>
      <c r="BX6" s="10">
        <f t="shared" si="34"/>
        <v>16.8</v>
      </c>
      <c r="BY6" s="10">
        <f t="shared" si="35"/>
        <v>53</v>
      </c>
      <c r="BZ6" s="10">
        <f t="shared" si="36"/>
        <v>106.2</v>
      </c>
      <c r="CA6" s="34" t="str">
        <f t="shared" si="37"/>
        <v/>
      </c>
      <c r="CB6" s="34" t="str">
        <f t="shared" si="38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9"/>
        <v/>
      </c>
      <c r="CX6" s="27" t="str">
        <f t="shared" si="40"/>
        <v/>
      </c>
      <c r="CY6" s="27" t="str">
        <f t="shared" si="41"/>
        <v/>
      </c>
      <c r="CZ6" s="27" t="str">
        <f t="shared" si="42"/>
        <v/>
      </c>
      <c r="DA6" s="27" t="str">
        <f t="shared" si="43"/>
        <v/>
      </c>
      <c r="DB6" s="27" t="str">
        <f t="shared" si="44"/>
        <v/>
      </c>
      <c r="DC6" s="27" t="str">
        <f t="shared" si="45"/>
        <v/>
      </c>
      <c r="DD6" s="27" t="str">
        <f t="shared" si="46"/>
        <v/>
      </c>
      <c r="DE6" s="27" t="str">
        <f t="shared" si="47"/>
        <v/>
      </c>
      <c r="DF6" s="27" t="str">
        <f t="shared" si="48"/>
        <v/>
      </c>
      <c r="DG6" s="27" t="str">
        <f t="shared" si="49"/>
        <v/>
      </c>
      <c r="DH6" s="27" t="str">
        <f t="shared" si="50"/>
        <v/>
      </c>
      <c r="DI6" s="27" t="str">
        <f t="shared" si="51"/>
        <v/>
      </c>
      <c r="DJ6" s="27" t="str">
        <f t="shared" si="52"/>
        <v/>
      </c>
      <c r="DK6" s="27" t="str">
        <f t="shared" si="53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4"/>
        <v/>
      </c>
      <c r="EG6" s="10" t="str">
        <f t="shared" si="55"/>
        <v/>
      </c>
      <c r="EH6" s="10" t="str">
        <f t="shared" si="56"/>
        <v/>
      </c>
      <c r="EI6" s="10" t="str">
        <f t="shared" si="57"/>
        <v/>
      </c>
      <c r="EJ6" s="10" t="str">
        <f t="shared" si="58"/>
        <v/>
      </c>
      <c r="EK6" s="10" t="str">
        <f t="shared" si="59"/>
        <v/>
      </c>
      <c r="EL6" s="10" t="str">
        <f t="shared" si="60"/>
        <v/>
      </c>
      <c r="EM6" s="10" t="str">
        <f t="shared" si="61"/>
        <v/>
      </c>
      <c r="EN6" s="10" t="str">
        <f t="shared" si="62"/>
        <v/>
      </c>
      <c r="EO6" s="10" t="str">
        <f t="shared" si="63"/>
        <v/>
      </c>
      <c r="EP6" s="10" t="str">
        <f t="shared" si="64"/>
        <v/>
      </c>
      <c r="EQ6" s="10" t="str">
        <f t="shared" si="65"/>
        <v/>
      </c>
      <c r="ER6" s="10" t="str">
        <f t="shared" si="66"/>
        <v/>
      </c>
      <c r="ES6" s="10" t="str">
        <f t="shared" si="67"/>
        <v/>
      </c>
      <c r="ET6" s="10" t="str">
        <f t="shared" si="68"/>
        <v/>
      </c>
      <c r="EU6" s="44">
        <f t="shared" si="69"/>
        <v>16.850000000000001</v>
      </c>
      <c r="EV6" s="44">
        <f t="shared" si="70"/>
        <v>5.8000000000000007</v>
      </c>
      <c r="EW6" s="44">
        <f t="shared" si="71"/>
        <v>0.3</v>
      </c>
      <c r="EX6" s="44">
        <f t="shared" si="72"/>
        <v>0.15</v>
      </c>
      <c r="EY6" s="44">
        <f t="shared" si="73"/>
        <v>18.350000000000001</v>
      </c>
      <c r="EZ6" s="44">
        <f t="shared" si="74"/>
        <v>8.1999999999999993</v>
      </c>
      <c r="FA6" s="44">
        <f t="shared" si="75"/>
        <v>0.6</v>
      </c>
      <c r="FB6" s="44">
        <f t="shared" si="76"/>
        <v>0</v>
      </c>
      <c r="FC6" s="44">
        <f t="shared" si="77"/>
        <v>9.3000000000000007</v>
      </c>
      <c r="FD6" s="44">
        <f t="shared" si="78"/>
        <v>4.2</v>
      </c>
      <c r="FE6" s="44">
        <f t="shared" si="79"/>
        <v>0.45</v>
      </c>
      <c r="FF6" s="44">
        <f t="shared" si="80"/>
        <v>0</v>
      </c>
      <c r="FG6" s="44">
        <f t="shared" si="81"/>
        <v>9.25</v>
      </c>
      <c r="FH6" s="44">
        <f t="shared" si="82"/>
        <v>4.2</v>
      </c>
      <c r="FI6" s="44">
        <f t="shared" si="83"/>
        <v>0</v>
      </c>
      <c r="FJ6" s="44">
        <f t="shared" si="84"/>
        <v>0</v>
      </c>
      <c r="FK6" s="20" t="s">
        <v>29</v>
      </c>
      <c r="FL6" s="10">
        <f t="shared" si="85"/>
        <v>5.8000000000000007</v>
      </c>
      <c r="FM6" s="10">
        <f t="shared" si="86"/>
        <v>22.5</v>
      </c>
      <c r="FN6" s="10">
        <f t="shared" si="87"/>
        <v>8.1999999999999993</v>
      </c>
      <c r="FO6" s="10">
        <f t="shared" si="88"/>
        <v>25.95</v>
      </c>
      <c r="FP6" s="10">
        <f t="shared" si="89"/>
        <v>14</v>
      </c>
      <c r="FQ6" s="10">
        <f t="shared" si="92"/>
        <v>48.45</v>
      </c>
      <c r="FR6" s="10">
        <f t="shared" si="93"/>
        <v>4.2</v>
      </c>
      <c r="FS6" s="10">
        <f t="shared" si="94"/>
        <v>13.05</v>
      </c>
      <c r="FT6" s="10">
        <f t="shared" si="95"/>
        <v>4.2</v>
      </c>
      <c r="FU6" s="10">
        <f t="shared" si="96"/>
        <v>13.45</v>
      </c>
      <c r="FV6" s="10">
        <f t="shared" si="97"/>
        <v>8.4</v>
      </c>
      <c r="FW6" s="10">
        <f t="shared" si="90"/>
        <v>26.5</v>
      </c>
      <c r="FX6" s="10">
        <f t="shared" si="91"/>
        <v>74.95</v>
      </c>
    </row>
    <row r="7" spans="1:180" x14ac:dyDescent="0.2">
      <c r="A7" s="3" t="str" cm="1">
        <f t="array" ref="A7">IF(AND(H7&lt;&gt;"",H7&lt;&gt;"No DD",I7&lt;&gt;"P"),SUMPRODUCT((H$4:H$39&lt;&gt;"")*(H$4:H$39&lt;&gt;"No DD")*(I$4:I$39&lt;&gt;"P")*(E$4:E$39&gt;E7))+1,IF(H7="No DD",SUMPRODUCT((H$4:H$39="No DD")*(I$4:I$39&lt;&gt;"P")*(E$4:E$39&gt;E7))+1+SUMPRODUCT((H$4:H$39&lt;&gt;"")*(I$4:I$39&lt;&gt;"P")*(H$4:H$39&lt;&gt;"No DD")),""))</f>
        <v/>
      </c>
      <c r="B7" s="4" t="s">
        <v>62</v>
      </c>
      <c r="C7" s="3" t="s">
        <v>4</v>
      </c>
      <c r="D7" s="3">
        <v>2005</v>
      </c>
      <c r="E7" s="8">
        <f t="shared" si="0"/>
        <v>105.20000788000523</v>
      </c>
      <c r="F7" s="2" t="str">
        <f t="shared" si="1"/>
        <v>P</v>
      </c>
      <c r="G7" s="2" t="str">
        <f t="shared" si="2"/>
        <v>P</v>
      </c>
      <c r="H7" s="26" t="str">
        <f t="shared" si="3"/>
        <v>National Team</v>
      </c>
      <c r="I7" s="2" t="str">
        <f>IF(COUNTIFS('Senior-M'!B:B,B7,'Senior-M'!A:A,"&lt;9",'Senior-M'!H:H,"&lt;&gt;"&amp;"No DD"),"P","")</f>
        <v>P</v>
      </c>
      <c r="J7" s="7">
        <f t="shared" si="4"/>
        <v>52.2</v>
      </c>
      <c r="K7" s="7" t="str">
        <f t="shared" si="5"/>
        <v>2025 Nationals</v>
      </c>
      <c r="L7" s="7">
        <f>IF(J7=AO7,IF(COUNT(AQ7,AS7,BO7,BQ7,BU7,BW7)&gt;1,LARGE((AQ7,AS7,BO7,BQ7,BU7,BW7),1),0),IF(COUNT(AK7,AM7,AQ7,AS7,BU7,BW7)&gt;1,LARGE((AK7,AM7,AQ7,AS7,BU7,BW7),1),0))</f>
        <v>26.6</v>
      </c>
      <c r="M7" s="7" t="str">
        <f t="shared" si="6"/>
        <v>2025 Nationals</v>
      </c>
      <c r="N7" s="7">
        <f>IF(J7=AO7,IF(COUNT(AQ7,AS7,BO7,BQ7,BU7,BW7)&gt;1,LARGE((AQ7,AS7,BO7,BQ7,BU7,BW7),2),0),IF(COUNT(AK7,AM7,AQ7,AS7,BU7,BW7)&gt;1,LARGE((AK7,AM7,AQ7,AS7,BU7,BW7),2),0))</f>
        <v>26.400000000000002</v>
      </c>
      <c r="O7" s="7" t="str">
        <f t="shared" si="7"/>
        <v>2025 3rd Domestic Trial</v>
      </c>
      <c r="P7" s="7" t="str">
        <f t="shared" si="8"/>
        <v/>
      </c>
      <c r="Q7" s="10" t="str">
        <f t="shared" si="9"/>
        <v/>
      </c>
      <c r="R7" s="7" t="str">
        <f t="shared" si="10"/>
        <v/>
      </c>
      <c r="S7" s="39">
        <v>18.8</v>
      </c>
      <c r="T7" s="39">
        <v>8.4</v>
      </c>
      <c r="U7" s="39">
        <v>0</v>
      </c>
      <c r="V7" s="39">
        <v>0</v>
      </c>
      <c r="W7" s="39">
        <v>16.8</v>
      </c>
      <c r="X7" s="39">
        <v>8.1</v>
      </c>
      <c r="Y7" s="39">
        <v>0.2</v>
      </c>
      <c r="Z7" s="39">
        <v>0.3</v>
      </c>
      <c r="AA7" s="39">
        <v>16.3</v>
      </c>
      <c r="AB7" s="39">
        <v>7.6</v>
      </c>
      <c r="AC7" s="39">
        <v>1</v>
      </c>
      <c r="AD7" s="39">
        <v>0</v>
      </c>
      <c r="AE7" s="39">
        <v>18.399999999999999</v>
      </c>
      <c r="AF7" s="39">
        <v>8.1</v>
      </c>
      <c r="AG7" s="39">
        <v>0.2</v>
      </c>
      <c r="AH7" s="39">
        <v>0.3</v>
      </c>
      <c r="AI7" s="19"/>
      <c r="AJ7" s="42">
        <f t="shared" si="11"/>
        <v>8.4</v>
      </c>
      <c r="AK7" s="42">
        <f t="shared" si="12"/>
        <v>27.200000000000003</v>
      </c>
      <c r="AL7" s="42">
        <f t="shared" si="13"/>
        <v>8.1</v>
      </c>
      <c r="AM7" s="42">
        <f t="shared" si="14"/>
        <v>25</v>
      </c>
      <c r="AN7" s="27">
        <f t="shared" si="15"/>
        <v>16.5</v>
      </c>
      <c r="AO7" s="27">
        <f t="shared" si="16"/>
        <v>52.2</v>
      </c>
      <c r="AP7" s="27">
        <f t="shared" si="17"/>
        <v>7.6</v>
      </c>
      <c r="AQ7" s="27">
        <f t="shared" si="18"/>
        <v>22.9</v>
      </c>
      <c r="AR7" s="27">
        <f t="shared" si="19"/>
        <v>8.1</v>
      </c>
      <c r="AS7" s="27">
        <f t="shared" si="20"/>
        <v>26.6</v>
      </c>
      <c r="AT7" s="27">
        <f t="shared" si="21"/>
        <v>15.7</v>
      </c>
      <c r="AU7" s="27">
        <f t="shared" si="22"/>
        <v>49.5</v>
      </c>
      <c r="AV7" s="27">
        <f t="shared" si="23"/>
        <v>101.7</v>
      </c>
      <c r="AW7" s="15">
        <v>18.7</v>
      </c>
      <c r="AX7" s="15">
        <v>8.4</v>
      </c>
      <c r="AY7" s="15">
        <v>0.8</v>
      </c>
      <c r="AZ7" s="15">
        <v>0</v>
      </c>
      <c r="BA7" s="15">
        <v>16.899999999999999</v>
      </c>
      <c r="BB7" s="15">
        <v>8.1</v>
      </c>
      <c r="BC7" s="15">
        <v>0.8</v>
      </c>
      <c r="BD7" s="15">
        <v>0</v>
      </c>
      <c r="BE7" s="15">
        <v>18.8</v>
      </c>
      <c r="BF7" s="15">
        <v>8.4</v>
      </c>
      <c r="BG7" s="15">
        <v>0.8</v>
      </c>
      <c r="BH7" s="15">
        <v>0</v>
      </c>
      <c r="BI7" s="15">
        <v>18.8</v>
      </c>
      <c r="BJ7" s="15">
        <v>8.1</v>
      </c>
      <c r="BK7" s="15">
        <v>0.8</v>
      </c>
      <c r="BL7" s="15">
        <v>0</v>
      </c>
      <c r="BM7" s="20"/>
      <c r="BN7" s="43">
        <f t="shared" si="24"/>
        <v>8.4</v>
      </c>
      <c r="BO7" s="43">
        <f t="shared" si="25"/>
        <v>26.3</v>
      </c>
      <c r="BP7" s="43">
        <f t="shared" si="26"/>
        <v>8.1</v>
      </c>
      <c r="BQ7" s="43">
        <f t="shared" si="27"/>
        <v>24.2</v>
      </c>
      <c r="BR7" s="10">
        <f t="shared" si="28"/>
        <v>16.5</v>
      </c>
      <c r="BS7" s="10">
        <f t="shared" si="29"/>
        <v>50.5</v>
      </c>
      <c r="BT7" s="10">
        <f t="shared" si="30"/>
        <v>8.4</v>
      </c>
      <c r="BU7" s="10">
        <f t="shared" si="31"/>
        <v>26.400000000000002</v>
      </c>
      <c r="BV7" s="10">
        <f t="shared" si="32"/>
        <v>8.1</v>
      </c>
      <c r="BW7" s="10">
        <f t="shared" si="33"/>
        <v>26.099999999999998</v>
      </c>
      <c r="BX7" s="10">
        <f t="shared" si="34"/>
        <v>16.5</v>
      </c>
      <c r="BY7" s="10">
        <f t="shared" si="35"/>
        <v>52.5</v>
      </c>
      <c r="BZ7" s="10">
        <f t="shared" si="36"/>
        <v>103</v>
      </c>
      <c r="CA7" s="34" t="str">
        <f t="shared" si="37"/>
        <v/>
      </c>
      <c r="CB7" s="34" t="str">
        <f t="shared" si="38"/>
        <v/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9"/>
        <v/>
      </c>
      <c r="CX7" s="27" t="str">
        <f t="shared" si="40"/>
        <v/>
      </c>
      <c r="CY7" s="27" t="str">
        <f t="shared" si="41"/>
        <v/>
      </c>
      <c r="CZ7" s="27" t="str">
        <f t="shared" si="42"/>
        <v/>
      </c>
      <c r="DA7" s="27" t="str">
        <f t="shared" si="43"/>
        <v/>
      </c>
      <c r="DB7" s="27" t="str">
        <f t="shared" si="44"/>
        <v/>
      </c>
      <c r="DC7" s="27" t="str">
        <f t="shared" si="45"/>
        <v/>
      </c>
      <c r="DD7" s="27" t="str">
        <f t="shared" si="46"/>
        <v/>
      </c>
      <c r="DE7" s="27" t="str">
        <f t="shared" si="47"/>
        <v/>
      </c>
      <c r="DF7" s="27" t="str">
        <f t="shared" si="48"/>
        <v/>
      </c>
      <c r="DG7" s="27" t="str">
        <f t="shared" si="49"/>
        <v/>
      </c>
      <c r="DH7" s="27" t="str">
        <f t="shared" si="50"/>
        <v/>
      </c>
      <c r="DI7" s="27" t="str">
        <f t="shared" si="51"/>
        <v/>
      </c>
      <c r="DJ7" s="27" t="str">
        <f t="shared" si="52"/>
        <v/>
      </c>
      <c r="DK7" s="27" t="str">
        <f t="shared" si="53"/>
        <v/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4"/>
        <v/>
      </c>
      <c r="EG7" s="10" t="str">
        <f t="shared" si="55"/>
        <v/>
      </c>
      <c r="EH7" s="10" t="str">
        <f t="shared" si="56"/>
        <v/>
      </c>
      <c r="EI7" s="10" t="str">
        <f t="shared" si="57"/>
        <v/>
      </c>
      <c r="EJ7" s="10" t="str">
        <f t="shared" si="58"/>
        <v/>
      </c>
      <c r="EK7" s="10" t="str">
        <f t="shared" si="59"/>
        <v/>
      </c>
      <c r="EL7" s="10" t="str">
        <f t="shared" si="60"/>
        <v/>
      </c>
      <c r="EM7" s="10" t="str">
        <f t="shared" si="61"/>
        <v/>
      </c>
      <c r="EN7" s="10" t="str">
        <f t="shared" si="62"/>
        <v/>
      </c>
      <c r="EO7" s="10" t="str">
        <f t="shared" si="63"/>
        <v/>
      </c>
      <c r="EP7" s="10" t="str">
        <f t="shared" si="64"/>
        <v/>
      </c>
      <c r="EQ7" s="10" t="str">
        <f t="shared" si="65"/>
        <v/>
      </c>
      <c r="ER7" s="10" t="str">
        <f t="shared" si="66"/>
        <v/>
      </c>
      <c r="ES7" s="10" t="str">
        <f t="shared" si="67"/>
        <v/>
      </c>
      <c r="ET7" s="10" t="str">
        <f t="shared" si="68"/>
        <v/>
      </c>
      <c r="EU7" s="44">
        <f t="shared" si="69"/>
        <v>18.75</v>
      </c>
      <c r="EV7" s="44">
        <f t="shared" si="70"/>
        <v>8.4</v>
      </c>
      <c r="EW7" s="44">
        <f t="shared" si="71"/>
        <v>0.4</v>
      </c>
      <c r="EX7" s="44">
        <f t="shared" si="72"/>
        <v>0</v>
      </c>
      <c r="EY7" s="44">
        <f t="shared" si="73"/>
        <v>16.850000000000001</v>
      </c>
      <c r="EZ7" s="44">
        <f t="shared" si="74"/>
        <v>8.1</v>
      </c>
      <c r="FA7" s="44">
        <f t="shared" si="75"/>
        <v>0.5</v>
      </c>
      <c r="FB7" s="44">
        <f t="shared" si="76"/>
        <v>0.15</v>
      </c>
      <c r="FC7" s="44">
        <f t="shared" si="77"/>
        <v>17.55</v>
      </c>
      <c r="FD7" s="44">
        <f t="shared" si="78"/>
        <v>8</v>
      </c>
      <c r="FE7" s="44">
        <f t="shared" si="79"/>
        <v>0.9</v>
      </c>
      <c r="FF7" s="44">
        <f t="shared" si="80"/>
        <v>0</v>
      </c>
      <c r="FG7" s="44">
        <f t="shared" si="81"/>
        <v>18.600000000000001</v>
      </c>
      <c r="FH7" s="44">
        <f t="shared" si="82"/>
        <v>8.1</v>
      </c>
      <c r="FI7" s="44">
        <f t="shared" si="83"/>
        <v>0.5</v>
      </c>
      <c r="FJ7" s="44">
        <f t="shared" si="84"/>
        <v>0.15</v>
      </c>
      <c r="FK7" s="20" t="s">
        <v>29</v>
      </c>
      <c r="FL7" s="10">
        <f t="shared" si="85"/>
        <v>8.4</v>
      </c>
      <c r="FM7" s="10">
        <f t="shared" si="86"/>
        <v>26.75</v>
      </c>
      <c r="FN7" s="10">
        <f t="shared" si="87"/>
        <v>8.1</v>
      </c>
      <c r="FO7" s="10">
        <f t="shared" si="88"/>
        <v>24.6</v>
      </c>
      <c r="FP7" s="10">
        <f t="shared" si="89"/>
        <v>16.5</v>
      </c>
      <c r="FQ7" s="10">
        <f t="shared" si="92"/>
        <v>51.35</v>
      </c>
      <c r="FR7" s="10">
        <f t="shared" si="93"/>
        <v>8</v>
      </c>
      <c r="FS7" s="10">
        <f t="shared" si="94"/>
        <v>24.650000000000002</v>
      </c>
      <c r="FT7" s="10">
        <f t="shared" si="95"/>
        <v>8.1</v>
      </c>
      <c r="FU7" s="10">
        <f t="shared" si="96"/>
        <v>26.35</v>
      </c>
      <c r="FV7" s="10">
        <f t="shared" si="97"/>
        <v>16.100000000000001</v>
      </c>
      <c r="FW7" s="10">
        <f t="shared" si="90"/>
        <v>51</v>
      </c>
      <c r="FX7" s="10">
        <f t="shared" si="91"/>
        <v>102.35</v>
      </c>
    </row>
    <row r="8" spans="1:180" x14ac:dyDescent="0.2">
      <c r="A8" s="3" t="str" cm="1">
        <f t="array" ref="A8">IF(AND(H8&lt;&gt;"",H8&lt;&gt;"No DD",I8&lt;&gt;"P"),SUMPRODUCT((H$4:H$39&lt;&gt;"")*(H$4:H$39&lt;&gt;"No DD")*(I$4:I$39&lt;&gt;"P")*(E$4:E$39&gt;E8))+1,IF(H8="No DD",SUMPRODUCT((H$4:H$39="No DD")*(I$4:I$39&lt;&gt;"P")*(E$4:E$39&gt;E8))+1+SUMPRODUCT((H$4:H$39&lt;&gt;"")*(I$4:I$39&lt;&gt;"P")*(H$4:H$39&lt;&gt;"No DD")),""))</f>
        <v/>
      </c>
      <c r="B8" s="4" t="s">
        <v>144</v>
      </c>
      <c r="C8" s="3" t="s">
        <v>3</v>
      </c>
      <c r="D8" s="3">
        <v>2008</v>
      </c>
      <c r="E8" s="8">
        <f t="shared" si="0"/>
        <v>104.20000776000512</v>
      </c>
      <c r="F8" s="2" t="str">
        <f t="shared" si="1"/>
        <v/>
      </c>
      <c r="G8" s="2" t="str">
        <f t="shared" si="2"/>
        <v/>
      </c>
      <c r="H8" s="26" t="str">
        <f t="shared" si="3"/>
        <v/>
      </c>
      <c r="I8" s="2" t="str">
        <f>IF(COUNTIFS('Senior-M'!B:B,B8,'Senior-M'!A:A,"&lt;9",'Senior-M'!H:H,"&lt;&gt;"&amp;"No DD"),"P","")</f>
        <v/>
      </c>
      <c r="J8" s="7">
        <f t="shared" si="4"/>
        <v>51.3</v>
      </c>
      <c r="K8" s="7" t="str">
        <f t="shared" si="5"/>
        <v>2025 Nationals</v>
      </c>
      <c r="L8" s="7">
        <f>IF(J8=AO8,IF(COUNT(AQ8,AS8,BO8,BQ8,BU8,BW8)&gt;1,LARGE((AQ8,AS8,BO8,BQ8,BU8,BW8),1),0),IF(COUNT(AK8,AM8,AQ8,AS8,BU8,BW8)&gt;1,LARGE((AK8,AM8,AQ8,AS8,BU8,BW8),1),0))</f>
        <v>26.3</v>
      </c>
      <c r="M8" s="7" t="str">
        <f t="shared" si="6"/>
        <v>2025 Nationals</v>
      </c>
      <c r="N8" s="7">
        <f>IF(J8=AO8,IF(COUNT(AQ8,AS8,BO8,BQ8,BU8,BW8)&gt;1,LARGE((AQ8,AS8,BO8,BQ8,BU8,BW8),2),0),IF(COUNT(AK8,AM8,AQ8,AS8,BU8,BW8)&gt;1,LARGE((AK8,AM8,AQ8,AS8,BU8,BW8),2),0))</f>
        <v>25</v>
      </c>
      <c r="O8" s="7" t="str">
        <f t="shared" si="7"/>
        <v>2025 Nationals</v>
      </c>
      <c r="P8" s="7">
        <f t="shared" si="8"/>
        <v>1.6000000000000014</v>
      </c>
      <c r="Q8" s="10" t="str">
        <f t="shared" si="9"/>
        <v>(Pass)</v>
      </c>
      <c r="R8" s="7" t="str">
        <f t="shared" si="10"/>
        <v>2025 WAGC (Nov 16)</v>
      </c>
      <c r="S8" s="39">
        <v>18.899999999999999</v>
      </c>
      <c r="T8" s="39">
        <v>7.2</v>
      </c>
      <c r="U8" s="39">
        <v>0</v>
      </c>
      <c r="V8" s="39">
        <v>0</v>
      </c>
      <c r="W8" s="39">
        <v>18.600000000000001</v>
      </c>
      <c r="X8" s="39">
        <v>6.8</v>
      </c>
      <c r="Y8" s="39">
        <v>0.2</v>
      </c>
      <c r="Z8" s="39">
        <v>0</v>
      </c>
      <c r="AA8" s="39">
        <v>18.600000000000001</v>
      </c>
      <c r="AB8" s="39">
        <v>7.2</v>
      </c>
      <c r="AC8" s="39">
        <v>0.8</v>
      </c>
      <c r="AD8" s="39">
        <v>0</v>
      </c>
      <c r="AE8" s="39">
        <v>18.899999999999999</v>
      </c>
      <c r="AF8" s="39">
        <v>7.6</v>
      </c>
      <c r="AG8" s="39">
        <v>0.2</v>
      </c>
      <c r="AH8" s="39">
        <v>0</v>
      </c>
      <c r="AI8" s="19"/>
      <c r="AJ8" s="42">
        <f t="shared" si="11"/>
        <v>7.2</v>
      </c>
      <c r="AK8" s="42">
        <f t="shared" si="12"/>
        <v>26.099999999999998</v>
      </c>
      <c r="AL8" s="42">
        <f t="shared" si="13"/>
        <v>6.8</v>
      </c>
      <c r="AM8" s="42">
        <f t="shared" si="14"/>
        <v>25.200000000000003</v>
      </c>
      <c r="AN8" s="27">
        <f t="shared" si="15"/>
        <v>14</v>
      </c>
      <c r="AO8" s="27">
        <f t="shared" si="16"/>
        <v>51.3</v>
      </c>
      <c r="AP8" s="27">
        <f t="shared" si="17"/>
        <v>7.2</v>
      </c>
      <c r="AQ8" s="27">
        <f t="shared" si="18"/>
        <v>25</v>
      </c>
      <c r="AR8" s="27">
        <f t="shared" si="19"/>
        <v>7.6</v>
      </c>
      <c r="AS8" s="27">
        <f t="shared" si="20"/>
        <v>26.3</v>
      </c>
      <c r="AT8" s="27">
        <f t="shared" si="21"/>
        <v>14.8</v>
      </c>
      <c r="AU8" s="27">
        <f t="shared" si="22"/>
        <v>51.3</v>
      </c>
      <c r="AV8" s="27">
        <f t="shared" si="23"/>
        <v>102.6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3" t="str">
        <f t="shared" si="24"/>
        <v/>
      </c>
      <c r="BO8" s="43" t="str">
        <f t="shared" si="25"/>
        <v/>
      </c>
      <c r="BP8" s="43" t="str">
        <f t="shared" si="26"/>
        <v/>
      </c>
      <c r="BQ8" s="43" t="str">
        <f t="shared" si="27"/>
        <v/>
      </c>
      <c r="BR8" s="10" t="str">
        <f t="shared" si="28"/>
        <v/>
      </c>
      <c r="BS8" s="10" t="str">
        <f t="shared" si="29"/>
        <v/>
      </c>
      <c r="BT8" s="10" t="str">
        <f t="shared" si="30"/>
        <v/>
      </c>
      <c r="BU8" s="10" t="str">
        <f t="shared" si="31"/>
        <v/>
      </c>
      <c r="BV8" s="10" t="str">
        <f t="shared" si="32"/>
        <v/>
      </c>
      <c r="BW8" s="10" t="str">
        <f t="shared" si="33"/>
        <v/>
      </c>
      <c r="BX8" s="10" t="str">
        <f t="shared" si="34"/>
        <v/>
      </c>
      <c r="BY8" s="10" t="str">
        <f t="shared" si="35"/>
        <v/>
      </c>
      <c r="BZ8" s="10" t="str">
        <f t="shared" si="36"/>
        <v/>
      </c>
      <c r="CA8" s="34" t="str">
        <f t="shared" si="37"/>
        <v/>
      </c>
      <c r="CB8" s="34">
        <f t="shared" si="38"/>
        <v>1.6000000000000014</v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9"/>
        <v/>
      </c>
      <c r="CX8" s="27" t="str">
        <f t="shared" si="40"/>
        <v/>
      </c>
      <c r="CY8" s="27" t="str">
        <f t="shared" si="41"/>
        <v/>
      </c>
      <c r="CZ8" s="27" t="str">
        <f t="shared" si="42"/>
        <v/>
      </c>
      <c r="DA8" s="27" t="str">
        <f t="shared" si="43"/>
        <v/>
      </c>
      <c r="DB8" s="27" t="str">
        <f t="shared" si="44"/>
        <v/>
      </c>
      <c r="DC8" s="27" t="str">
        <f t="shared" si="45"/>
        <v/>
      </c>
      <c r="DD8" s="27" t="str">
        <f t="shared" si="46"/>
        <v/>
      </c>
      <c r="DE8" s="27" t="str">
        <f t="shared" si="47"/>
        <v/>
      </c>
      <c r="DF8" s="27" t="str">
        <f t="shared" si="48"/>
        <v/>
      </c>
      <c r="DG8" s="27" t="str">
        <f t="shared" si="49"/>
        <v/>
      </c>
      <c r="DH8" s="27" t="str">
        <f t="shared" si="50"/>
        <v/>
      </c>
      <c r="DI8" s="27" t="str">
        <f t="shared" si="51"/>
        <v/>
      </c>
      <c r="DJ8" s="27" t="str">
        <f t="shared" si="52"/>
        <v/>
      </c>
      <c r="DK8" s="27" t="str">
        <f t="shared" si="53"/>
        <v/>
      </c>
      <c r="DL8" s="15">
        <v>18.5</v>
      </c>
      <c r="DM8" s="15">
        <v>6</v>
      </c>
      <c r="DN8" s="15">
        <v>0.2</v>
      </c>
      <c r="DO8" s="15">
        <v>0</v>
      </c>
      <c r="DP8" s="15">
        <v>18.8</v>
      </c>
      <c r="DQ8" s="15">
        <v>8.4</v>
      </c>
      <c r="DR8" s="15">
        <v>0.6</v>
      </c>
      <c r="DS8" s="15">
        <v>0</v>
      </c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>
        <f t="shared" si="54"/>
        <v>6</v>
      </c>
      <c r="EG8" s="10">
        <f t="shared" si="55"/>
        <v>24.3</v>
      </c>
      <c r="EH8" s="10">
        <f t="shared" si="56"/>
        <v>8.4</v>
      </c>
      <c r="EI8" s="10">
        <f t="shared" si="57"/>
        <v>26.6</v>
      </c>
      <c r="EJ8" s="10">
        <f t="shared" si="58"/>
        <v>14.4</v>
      </c>
      <c r="EK8" s="10">
        <f t="shared" si="59"/>
        <v>50.900000000000006</v>
      </c>
      <c r="EL8" s="10" t="str">
        <f t="shared" si="60"/>
        <v/>
      </c>
      <c r="EM8" s="10" t="str">
        <f t="shared" si="61"/>
        <v/>
      </c>
      <c r="EN8" s="10" t="str">
        <f t="shared" si="62"/>
        <v/>
      </c>
      <c r="EO8" s="10" t="str">
        <f t="shared" si="63"/>
        <v/>
      </c>
      <c r="EP8" s="10" t="str">
        <f t="shared" si="64"/>
        <v/>
      </c>
      <c r="EQ8" s="10" t="str">
        <f t="shared" si="65"/>
        <v/>
      </c>
      <c r="ER8" s="10" t="str">
        <f t="shared" si="66"/>
        <v/>
      </c>
      <c r="ES8" s="10" t="str">
        <f t="shared" si="67"/>
        <v/>
      </c>
      <c r="ET8" s="10">
        <f t="shared" si="68"/>
        <v>50.900000000000006</v>
      </c>
      <c r="EU8" s="44">
        <f t="shared" si="69"/>
        <v>9.4499999999999993</v>
      </c>
      <c r="EV8" s="44">
        <f t="shared" si="70"/>
        <v>3.6</v>
      </c>
      <c r="EW8" s="44">
        <f t="shared" si="71"/>
        <v>0</v>
      </c>
      <c r="EX8" s="44">
        <f t="shared" si="72"/>
        <v>0</v>
      </c>
      <c r="EY8" s="44">
        <f t="shared" si="73"/>
        <v>9.3000000000000007</v>
      </c>
      <c r="EZ8" s="44">
        <f t="shared" si="74"/>
        <v>3.4</v>
      </c>
      <c r="FA8" s="44">
        <f t="shared" si="75"/>
        <v>0.1</v>
      </c>
      <c r="FB8" s="44">
        <f t="shared" si="76"/>
        <v>0</v>
      </c>
      <c r="FC8" s="44">
        <f t="shared" si="77"/>
        <v>9.3000000000000007</v>
      </c>
      <c r="FD8" s="44">
        <f t="shared" si="78"/>
        <v>3.6</v>
      </c>
      <c r="FE8" s="44">
        <f t="shared" si="79"/>
        <v>0.4</v>
      </c>
      <c r="FF8" s="44">
        <f t="shared" si="80"/>
        <v>0</v>
      </c>
      <c r="FG8" s="44">
        <f t="shared" si="81"/>
        <v>9.4499999999999993</v>
      </c>
      <c r="FH8" s="44">
        <f t="shared" si="82"/>
        <v>3.8</v>
      </c>
      <c r="FI8" s="44">
        <f t="shared" si="83"/>
        <v>0.1</v>
      </c>
      <c r="FJ8" s="44">
        <f t="shared" si="84"/>
        <v>0</v>
      </c>
      <c r="FK8" s="20" t="s">
        <v>29</v>
      </c>
      <c r="FL8" s="10">
        <f t="shared" si="85"/>
        <v>3.6</v>
      </c>
      <c r="FM8" s="10">
        <f t="shared" si="86"/>
        <v>13.049999999999999</v>
      </c>
      <c r="FN8" s="10">
        <f t="shared" si="87"/>
        <v>3.4</v>
      </c>
      <c r="FO8" s="10">
        <f t="shared" si="88"/>
        <v>12.600000000000001</v>
      </c>
      <c r="FP8" s="10">
        <f t="shared" si="89"/>
        <v>7</v>
      </c>
      <c r="FQ8" s="10">
        <f t="shared" si="92"/>
        <v>25.65</v>
      </c>
      <c r="FR8" s="10">
        <f t="shared" si="93"/>
        <v>3.6</v>
      </c>
      <c r="FS8" s="10">
        <f t="shared" si="94"/>
        <v>12.5</v>
      </c>
      <c r="FT8" s="10">
        <f t="shared" si="95"/>
        <v>3.8</v>
      </c>
      <c r="FU8" s="10">
        <f t="shared" si="96"/>
        <v>13.15</v>
      </c>
      <c r="FV8" s="10">
        <f t="shared" si="97"/>
        <v>7.4</v>
      </c>
      <c r="FW8" s="10">
        <f t="shared" si="90"/>
        <v>25.65</v>
      </c>
      <c r="FX8" s="10">
        <f t="shared" si="91"/>
        <v>51.3</v>
      </c>
    </row>
    <row r="9" spans="1:180" x14ac:dyDescent="0.2">
      <c r="A9" s="3" t="str" cm="1">
        <f t="array" ref="A9">IF(AND(H9&lt;&gt;"",H9&lt;&gt;"No DD",I9&lt;&gt;"P"),SUMPRODUCT((H$4:H$39&lt;&gt;"")*(H$4:H$39&lt;&gt;"No DD")*(I$4:I$39&lt;&gt;"P")*(E$4:E$39&gt;E9))+1,IF(H9="No DD",SUMPRODUCT((H$4:H$39="No DD")*(I$4:I$39&lt;&gt;"P")*(E$4:E$39&gt;E9))+1+SUMPRODUCT((H$4:H$39&lt;&gt;"")*(I$4:I$39&lt;&gt;"P")*(H$4:H$39&lt;&gt;"No DD")),""))</f>
        <v/>
      </c>
      <c r="B9" s="4" t="s">
        <v>57</v>
      </c>
      <c r="C9" s="3" t="s">
        <v>5</v>
      </c>
      <c r="D9" s="3">
        <v>2009</v>
      </c>
      <c r="E9" s="8">
        <f t="shared" si="0"/>
        <v>102.50000759000505</v>
      </c>
      <c r="F9" s="2" t="str">
        <f t="shared" si="1"/>
        <v/>
      </c>
      <c r="G9" s="2" t="str">
        <f t="shared" si="2"/>
        <v/>
      </c>
      <c r="H9" s="26" t="str">
        <f t="shared" si="3"/>
        <v/>
      </c>
      <c r="I9" s="2" t="str">
        <f>IF(COUNTIFS('Senior-M'!B:B,B9,'Senior-M'!A:A,"&lt;9",'Senior-M'!H:H,"&lt;&gt;"&amp;"No DD"),"P","")</f>
        <v/>
      </c>
      <c r="J9" s="7">
        <f t="shared" si="4"/>
        <v>50.600000000000009</v>
      </c>
      <c r="K9" s="7" t="str">
        <f t="shared" si="5"/>
        <v>2025 Nationals</v>
      </c>
      <c r="L9" s="7">
        <f>IF(J9=AO9,IF(COUNT(AQ9,AS9,BO9,BQ9,BU9,BW9)&gt;1,LARGE((AQ9,AS9,BO9,BQ9,BU9,BW9),1),0),IF(COUNT(AK9,AM9,AQ9,AS9,BU9,BW9)&gt;1,LARGE((AK9,AM9,AQ9,AS9,BU9,BW9),1),0))</f>
        <v>25.3</v>
      </c>
      <c r="M9" s="7" t="str">
        <f t="shared" si="6"/>
        <v>2025 3rd Domestic Trial</v>
      </c>
      <c r="N9" s="7">
        <f>IF(J9=AO9,IF(COUNT(AQ9,AS9,BO9,BQ9,BU9,BW9)&gt;1,LARGE((AQ9,AS9,BO9,BQ9,BU9,BW9),2),0),IF(COUNT(AK9,AM9,AQ9,AS9,BU9,BW9)&gt;1,LARGE((AK9,AM9,AQ9,AS9,BU9,BW9),2),0))</f>
        <v>25.2</v>
      </c>
      <c r="O9" s="7" t="str">
        <f t="shared" si="7"/>
        <v>2025 Nationals</v>
      </c>
      <c r="P9" s="7">
        <f t="shared" si="8"/>
        <v>1.3999999999999986</v>
      </c>
      <c r="Q9" s="10" t="str">
        <f t="shared" si="9"/>
        <v>(Pass)</v>
      </c>
      <c r="R9" s="7" t="str">
        <f t="shared" si="10"/>
        <v>2025 WAGC (Nov 16)</v>
      </c>
      <c r="S9" s="39">
        <v>18.8</v>
      </c>
      <c r="T9" s="39">
        <v>6.4</v>
      </c>
      <c r="U9" s="39">
        <v>0.2</v>
      </c>
      <c r="V9" s="39">
        <v>0</v>
      </c>
      <c r="W9" s="39">
        <v>18.8</v>
      </c>
      <c r="X9" s="39">
        <v>6.8</v>
      </c>
      <c r="Y9" s="39">
        <v>0</v>
      </c>
      <c r="Z9" s="39">
        <v>0</v>
      </c>
      <c r="AA9" s="39">
        <v>19</v>
      </c>
      <c r="AB9" s="39">
        <v>6.4</v>
      </c>
      <c r="AC9" s="39">
        <v>0.2</v>
      </c>
      <c r="AD9" s="39">
        <v>0</v>
      </c>
      <c r="AE9" s="39">
        <v>19</v>
      </c>
      <c r="AF9" s="39">
        <v>6.8</v>
      </c>
      <c r="AG9" s="39">
        <v>0.6</v>
      </c>
      <c r="AH9" s="39">
        <v>0</v>
      </c>
      <c r="AI9" s="19"/>
      <c r="AJ9" s="42">
        <f t="shared" si="11"/>
        <v>6.4</v>
      </c>
      <c r="AK9" s="42">
        <f t="shared" si="12"/>
        <v>25.000000000000004</v>
      </c>
      <c r="AL9" s="42">
        <f t="shared" si="13"/>
        <v>6.8</v>
      </c>
      <c r="AM9" s="42">
        <f t="shared" si="14"/>
        <v>25.6</v>
      </c>
      <c r="AN9" s="27">
        <f t="shared" si="15"/>
        <v>13.2</v>
      </c>
      <c r="AO9" s="27">
        <f t="shared" si="16"/>
        <v>50.600000000000009</v>
      </c>
      <c r="AP9" s="27">
        <f t="shared" si="17"/>
        <v>6.4</v>
      </c>
      <c r="AQ9" s="27">
        <f t="shared" si="18"/>
        <v>25.2</v>
      </c>
      <c r="AR9" s="27">
        <f t="shared" si="19"/>
        <v>6.8</v>
      </c>
      <c r="AS9" s="27">
        <f t="shared" si="20"/>
        <v>25.2</v>
      </c>
      <c r="AT9" s="27">
        <f t="shared" si="21"/>
        <v>13.2</v>
      </c>
      <c r="AU9" s="27">
        <f t="shared" si="22"/>
        <v>50.4</v>
      </c>
      <c r="AV9" s="27">
        <f t="shared" si="23"/>
        <v>101</v>
      </c>
      <c r="AW9" s="15">
        <v>18.3</v>
      </c>
      <c r="AX9" s="15">
        <v>5.6</v>
      </c>
      <c r="AY9" s="15">
        <v>0.6</v>
      </c>
      <c r="AZ9" s="15">
        <v>0</v>
      </c>
      <c r="BA9" s="15">
        <v>19.100000000000001</v>
      </c>
      <c r="BB9" s="15">
        <v>6.8</v>
      </c>
      <c r="BC9" s="15">
        <v>0.6</v>
      </c>
      <c r="BD9" s="15">
        <v>0</v>
      </c>
      <c r="BE9" s="15">
        <v>18.8</v>
      </c>
      <c r="BF9" s="15">
        <v>6</v>
      </c>
      <c r="BG9" s="15">
        <v>0.6</v>
      </c>
      <c r="BH9" s="15">
        <v>0</v>
      </c>
      <c r="BI9" s="15">
        <v>18.899999999999999</v>
      </c>
      <c r="BJ9" s="15">
        <v>4.4000000000000004</v>
      </c>
      <c r="BK9" s="15">
        <v>0.6</v>
      </c>
      <c r="BL9" s="15">
        <v>0</v>
      </c>
      <c r="BM9" s="20"/>
      <c r="BN9" s="43">
        <f t="shared" si="24"/>
        <v>5.6</v>
      </c>
      <c r="BO9" s="43">
        <f t="shared" si="25"/>
        <v>23.299999999999997</v>
      </c>
      <c r="BP9" s="43">
        <f t="shared" si="26"/>
        <v>6.8</v>
      </c>
      <c r="BQ9" s="43">
        <f t="shared" si="27"/>
        <v>25.3</v>
      </c>
      <c r="BR9" s="10">
        <f t="shared" si="28"/>
        <v>12.399999999999999</v>
      </c>
      <c r="BS9" s="10">
        <f t="shared" si="29"/>
        <v>48.599999999999994</v>
      </c>
      <c r="BT9" s="10">
        <f t="shared" si="30"/>
        <v>6</v>
      </c>
      <c r="BU9" s="10">
        <f t="shared" si="31"/>
        <v>24.2</v>
      </c>
      <c r="BV9" s="10">
        <f t="shared" si="32"/>
        <v>4.4000000000000004</v>
      </c>
      <c r="BW9" s="10">
        <f t="shared" si="33"/>
        <v>22.699999999999996</v>
      </c>
      <c r="BX9" s="10">
        <f t="shared" si="34"/>
        <v>10.4</v>
      </c>
      <c r="BY9" s="10">
        <f t="shared" si="35"/>
        <v>46.899999999999991</v>
      </c>
      <c r="BZ9" s="10">
        <f t="shared" si="36"/>
        <v>95.499999999999986</v>
      </c>
      <c r="CA9" s="34">
        <f t="shared" si="37"/>
        <v>0.39999999999999147</v>
      </c>
      <c r="CB9" s="34">
        <f t="shared" si="38"/>
        <v>1.3999999999999986</v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9"/>
        <v/>
      </c>
      <c r="CX9" s="27" t="str">
        <f t="shared" si="40"/>
        <v/>
      </c>
      <c r="CY9" s="27" t="str">
        <f t="shared" si="41"/>
        <v/>
      </c>
      <c r="CZ9" s="27" t="str">
        <f t="shared" si="42"/>
        <v/>
      </c>
      <c r="DA9" s="27" t="str">
        <f t="shared" si="43"/>
        <v/>
      </c>
      <c r="DB9" s="27" t="str">
        <f t="shared" si="44"/>
        <v/>
      </c>
      <c r="DC9" s="27" t="str">
        <f t="shared" si="45"/>
        <v/>
      </c>
      <c r="DD9" s="27" t="str">
        <f t="shared" si="46"/>
        <v/>
      </c>
      <c r="DE9" s="27" t="str">
        <f t="shared" si="47"/>
        <v/>
      </c>
      <c r="DF9" s="27" t="str">
        <f t="shared" si="48"/>
        <v/>
      </c>
      <c r="DG9" s="27" t="str">
        <f t="shared" si="49"/>
        <v/>
      </c>
      <c r="DH9" s="27" t="str">
        <f t="shared" si="50"/>
        <v/>
      </c>
      <c r="DI9" s="27" t="str">
        <f t="shared" si="51"/>
        <v/>
      </c>
      <c r="DJ9" s="27" t="str">
        <f t="shared" si="52"/>
        <v/>
      </c>
      <c r="DK9" s="27" t="str">
        <f t="shared" si="53"/>
        <v/>
      </c>
      <c r="DL9" s="15">
        <v>18.7</v>
      </c>
      <c r="DM9" s="15">
        <v>7.2</v>
      </c>
      <c r="DN9" s="15">
        <v>0.2</v>
      </c>
      <c r="DO9" s="15">
        <v>0</v>
      </c>
      <c r="DP9" s="15">
        <v>18.399999999999999</v>
      </c>
      <c r="DQ9" s="15">
        <v>6.9</v>
      </c>
      <c r="DR9" s="15">
        <v>0</v>
      </c>
      <c r="DS9" s="15">
        <v>0</v>
      </c>
      <c r="DT9" s="15">
        <v>19</v>
      </c>
      <c r="DU9" s="15">
        <v>7.2</v>
      </c>
      <c r="DV9" s="15">
        <v>0</v>
      </c>
      <c r="DW9" s="15">
        <v>0</v>
      </c>
      <c r="DX9" s="15">
        <v>18.399999999999999</v>
      </c>
      <c r="DY9" s="15">
        <v>8.4</v>
      </c>
      <c r="DZ9" s="15">
        <v>0.2</v>
      </c>
      <c r="EA9" s="15">
        <v>0</v>
      </c>
      <c r="EB9" s="15"/>
      <c r="EC9" s="15"/>
      <c r="ED9" s="15"/>
      <c r="EE9" s="15"/>
      <c r="EF9" s="10">
        <f t="shared" si="54"/>
        <v>7.2</v>
      </c>
      <c r="EG9" s="10">
        <f t="shared" si="55"/>
        <v>25.7</v>
      </c>
      <c r="EH9" s="10">
        <f t="shared" si="56"/>
        <v>6.9</v>
      </c>
      <c r="EI9" s="10">
        <f t="shared" si="57"/>
        <v>25.299999999999997</v>
      </c>
      <c r="EJ9" s="10">
        <f t="shared" si="58"/>
        <v>14.100000000000001</v>
      </c>
      <c r="EK9" s="10">
        <f t="shared" si="59"/>
        <v>51</v>
      </c>
      <c r="EL9" s="10">
        <f t="shared" si="60"/>
        <v>7.2</v>
      </c>
      <c r="EM9" s="10">
        <f t="shared" si="61"/>
        <v>26.2</v>
      </c>
      <c r="EN9" s="10">
        <f t="shared" si="62"/>
        <v>8.4</v>
      </c>
      <c r="EO9" s="10">
        <f t="shared" si="63"/>
        <v>26.599999999999998</v>
      </c>
      <c r="EP9" s="10" t="str">
        <f t="shared" si="64"/>
        <v/>
      </c>
      <c r="EQ9" s="10" t="str">
        <f t="shared" si="65"/>
        <v/>
      </c>
      <c r="ER9" s="10">
        <f t="shared" si="66"/>
        <v>8.4</v>
      </c>
      <c r="ES9" s="10">
        <f t="shared" si="67"/>
        <v>26.599999999999998</v>
      </c>
      <c r="ET9" s="10">
        <f t="shared" si="68"/>
        <v>77.2</v>
      </c>
      <c r="EU9" s="44">
        <f t="shared" si="69"/>
        <v>18.55</v>
      </c>
      <c r="EV9" s="44">
        <f t="shared" si="70"/>
        <v>6</v>
      </c>
      <c r="EW9" s="44">
        <f t="shared" si="71"/>
        <v>0.4</v>
      </c>
      <c r="EX9" s="44">
        <f t="shared" si="72"/>
        <v>0</v>
      </c>
      <c r="EY9" s="44">
        <f t="shared" si="73"/>
        <v>18.950000000000003</v>
      </c>
      <c r="EZ9" s="44">
        <f t="shared" si="74"/>
        <v>6.8</v>
      </c>
      <c r="FA9" s="44">
        <f t="shared" si="75"/>
        <v>0.3</v>
      </c>
      <c r="FB9" s="44">
        <f t="shared" si="76"/>
        <v>0</v>
      </c>
      <c r="FC9" s="44">
        <f t="shared" si="77"/>
        <v>18.899999999999999</v>
      </c>
      <c r="FD9" s="44">
        <f t="shared" si="78"/>
        <v>6.2</v>
      </c>
      <c r="FE9" s="44">
        <f t="shared" si="79"/>
        <v>0.4</v>
      </c>
      <c r="FF9" s="44">
        <f t="shared" si="80"/>
        <v>0</v>
      </c>
      <c r="FG9" s="44">
        <f t="shared" si="81"/>
        <v>18.95</v>
      </c>
      <c r="FH9" s="44">
        <f t="shared" si="82"/>
        <v>5.6</v>
      </c>
      <c r="FI9" s="44">
        <f t="shared" si="83"/>
        <v>0.6</v>
      </c>
      <c r="FJ9" s="44">
        <f t="shared" si="84"/>
        <v>0</v>
      </c>
      <c r="FK9" s="20" t="s">
        <v>29</v>
      </c>
      <c r="FL9" s="10">
        <f t="shared" si="85"/>
        <v>6</v>
      </c>
      <c r="FM9" s="10">
        <f t="shared" si="86"/>
        <v>24.150000000000002</v>
      </c>
      <c r="FN9" s="10">
        <f t="shared" si="87"/>
        <v>6.8</v>
      </c>
      <c r="FO9" s="10">
        <f t="shared" si="88"/>
        <v>25.450000000000003</v>
      </c>
      <c r="FP9" s="10">
        <f t="shared" si="89"/>
        <v>12.8</v>
      </c>
      <c r="FQ9" s="10">
        <f t="shared" si="92"/>
        <v>49.600000000000009</v>
      </c>
      <c r="FR9" s="10">
        <f t="shared" si="93"/>
        <v>6.2</v>
      </c>
      <c r="FS9" s="10">
        <f t="shared" si="94"/>
        <v>24.7</v>
      </c>
      <c r="FT9" s="10">
        <f t="shared" si="95"/>
        <v>5.6</v>
      </c>
      <c r="FU9" s="10">
        <f t="shared" si="96"/>
        <v>23.949999999999996</v>
      </c>
      <c r="FV9" s="10">
        <f t="shared" si="97"/>
        <v>11.8</v>
      </c>
      <c r="FW9" s="10">
        <f t="shared" si="90"/>
        <v>48.649999999999991</v>
      </c>
      <c r="FX9" s="10">
        <f t="shared" si="91"/>
        <v>98.25</v>
      </c>
    </row>
    <row r="10" spans="1:180" x14ac:dyDescent="0.2">
      <c r="A10" s="3" t="str" cm="1">
        <f t="array" ref="A10">IF(AND(H10&lt;&gt;"",H10&lt;&gt;"No DD",I10&lt;&gt;"P"),SUMPRODUCT((H$4:H$39&lt;&gt;"")*(H$4:H$39&lt;&gt;"No DD")*(I$4:I$39&lt;&gt;"P")*(E$4:E$39&gt;E10))+1,IF(H10="No DD",SUMPRODUCT((H$4:H$39="No DD")*(I$4:I$39&lt;&gt;"P")*(E$4:E$39&gt;E10))+1+SUMPRODUCT((H$4:H$39&lt;&gt;"")*(I$4:I$39&lt;&gt;"P")*(H$4:H$39&lt;&gt;"No DD")),""))</f>
        <v/>
      </c>
      <c r="B10" s="4" t="s">
        <v>45</v>
      </c>
      <c r="C10" s="3" t="s">
        <v>5</v>
      </c>
      <c r="D10" s="3">
        <v>2005</v>
      </c>
      <c r="E10" s="8">
        <f t="shared" si="0"/>
        <v>102.10000761000505</v>
      </c>
      <c r="F10" s="2" t="str">
        <f t="shared" si="1"/>
        <v/>
      </c>
      <c r="G10" s="2" t="str">
        <f t="shared" si="2"/>
        <v/>
      </c>
      <c r="H10" s="26" t="str">
        <f t="shared" si="3"/>
        <v/>
      </c>
      <c r="I10" s="2" t="str">
        <f>IF(COUNTIFS('Senior-M'!B:B,B10,'Senior-M'!A:A,"&lt;9",'Senior-M'!H:H,"&lt;&gt;"&amp;"No DD"),"P","")</f>
        <v/>
      </c>
      <c r="J10" s="7">
        <f t="shared" si="4"/>
        <v>50.400000000000006</v>
      </c>
      <c r="K10" s="7" t="str">
        <f t="shared" si="5"/>
        <v>2025 Nationals</v>
      </c>
      <c r="L10" s="7">
        <f>IF(J10=AO10,IF(COUNT(AQ10,AS10,BO10,BQ10,BU10,BW10)&gt;1,LARGE((AQ10,AS10,BO10,BQ10,BU10,BW10),1),0),IF(COUNT(AK10,AM10,AQ10,AS10,BU10,BW10)&gt;1,LARGE((AK10,AM10,AQ10,AS10,BU10,BW10),1),0))</f>
        <v>25.700000000000003</v>
      </c>
      <c r="M10" s="7" t="str">
        <f t="shared" si="6"/>
        <v>2025 Nationals</v>
      </c>
      <c r="N10" s="7">
        <f>IF(J10=AO10,IF(COUNT(AQ10,AS10,BO10,BQ10,BU10,BW10)&gt;1,LARGE((AQ10,AS10,BO10,BQ10,BU10,BW10),2),0),IF(COUNT(AK10,AM10,AQ10,AS10,BU10,BW10)&gt;1,LARGE((AK10,AM10,AQ10,AS10,BU10,BW10),2),0))</f>
        <v>23.5</v>
      </c>
      <c r="O10" s="7" t="str">
        <f t="shared" si="7"/>
        <v>2025 3rd Domestic Trial</v>
      </c>
      <c r="P10" s="7">
        <f t="shared" si="8"/>
        <v>2.5</v>
      </c>
      <c r="Q10" s="10" t="str">
        <f t="shared" si="9"/>
        <v>(Pass)</v>
      </c>
      <c r="R10" s="7" t="str">
        <f t="shared" si="10"/>
        <v>2025 WAGC (Nov 16)</v>
      </c>
      <c r="S10" s="39">
        <v>18.2</v>
      </c>
      <c r="T10" s="39">
        <v>8.5</v>
      </c>
      <c r="U10" s="39">
        <v>0.8</v>
      </c>
      <c r="V10" s="39">
        <v>0.3</v>
      </c>
      <c r="W10" s="39">
        <v>18.2</v>
      </c>
      <c r="X10" s="39">
        <v>6.4</v>
      </c>
      <c r="Y10" s="39">
        <v>0.4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18.100000000000001</v>
      </c>
      <c r="AF10" s="39">
        <v>7.6</v>
      </c>
      <c r="AG10" s="39">
        <v>0</v>
      </c>
      <c r="AH10" s="39">
        <v>0</v>
      </c>
      <c r="AI10" s="19"/>
      <c r="AJ10" s="42">
        <f t="shared" si="11"/>
        <v>8.5</v>
      </c>
      <c r="AK10" s="42">
        <f t="shared" si="12"/>
        <v>26.2</v>
      </c>
      <c r="AL10" s="42">
        <f t="shared" si="13"/>
        <v>6.4</v>
      </c>
      <c r="AM10" s="42">
        <f t="shared" si="14"/>
        <v>24.200000000000003</v>
      </c>
      <c r="AN10" s="27">
        <f t="shared" si="15"/>
        <v>14.9</v>
      </c>
      <c r="AO10" s="27">
        <f t="shared" si="16"/>
        <v>50.400000000000006</v>
      </c>
      <c r="AP10" s="27">
        <f t="shared" si="17"/>
        <v>0</v>
      </c>
      <c r="AQ10" s="27">
        <f t="shared" si="18"/>
        <v>0</v>
      </c>
      <c r="AR10" s="27">
        <f t="shared" si="19"/>
        <v>7.6</v>
      </c>
      <c r="AS10" s="27">
        <f t="shared" si="20"/>
        <v>25.700000000000003</v>
      </c>
      <c r="AT10" s="27">
        <f t="shared" si="21"/>
        <v>7.6</v>
      </c>
      <c r="AU10" s="27">
        <f t="shared" si="22"/>
        <v>25.700000000000003</v>
      </c>
      <c r="AV10" s="27">
        <f t="shared" si="23"/>
        <v>76.100000000000009</v>
      </c>
      <c r="AW10" s="15">
        <v>18.5</v>
      </c>
      <c r="AX10" s="15">
        <v>6.4</v>
      </c>
      <c r="AY10" s="15">
        <v>1.4</v>
      </c>
      <c r="AZ10" s="15">
        <v>0</v>
      </c>
      <c r="BA10" s="15">
        <v>15.4</v>
      </c>
      <c r="BB10" s="15">
        <v>3.2</v>
      </c>
      <c r="BC10" s="15">
        <v>0</v>
      </c>
      <c r="BD10" s="15">
        <v>0</v>
      </c>
      <c r="BE10" s="15"/>
      <c r="BF10" s="15"/>
      <c r="BG10" s="15"/>
      <c r="BH10" s="15"/>
      <c r="BI10" s="15"/>
      <c r="BJ10" s="15"/>
      <c r="BK10" s="15"/>
      <c r="BL10" s="15"/>
      <c r="BM10" s="20"/>
      <c r="BN10" s="43">
        <f t="shared" si="24"/>
        <v>6.4</v>
      </c>
      <c r="BO10" s="43">
        <f t="shared" si="25"/>
        <v>23.5</v>
      </c>
      <c r="BP10" s="43">
        <f t="shared" si="26"/>
        <v>3.2</v>
      </c>
      <c r="BQ10" s="43">
        <f t="shared" si="27"/>
        <v>18.600000000000001</v>
      </c>
      <c r="BR10" s="10">
        <f t="shared" si="28"/>
        <v>9.6000000000000014</v>
      </c>
      <c r="BS10" s="10">
        <f t="shared" si="29"/>
        <v>42.1</v>
      </c>
      <c r="BT10" s="10" t="str">
        <f t="shared" si="30"/>
        <v/>
      </c>
      <c r="BU10" s="10" t="str">
        <f t="shared" si="31"/>
        <v/>
      </c>
      <c r="BV10" s="10" t="str">
        <f t="shared" si="32"/>
        <v/>
      </c>
      <c r="BW10" s="10" t="str">
        <f t="shared" si="33"/>
        <v/>
      </c>
      <c r="BX10" s="10" t="str">
        <f t="shared" si="34"/>
        <v/>
      </c>
      <c r="BY10" s="10" t="str">
        <f t="shared" si="35"/>
        <v/>
      </c>
      <c r="BZ10" s="10">
        <f t="shared" si="36"/>
        <v>42.1</v>
      </c>
      <c r="CA10" s="34">
        <f t="shared" si="37"/>
        <v>1.0999999999999943</v>
      </c>
      <c r="CB10" s="34">
        <f t="shared" si="38"/>
        <v>2.5</v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9"/>
        <v/>
      </c>
      <c r="CX10" s="27" t="str">
        <f t="shared" si="40"/>
        <v/>
      </c>
      <c r="CY10" s="27" t="str">
        <f t="shared" si="41"/>
        <v/>
      </c>
      <c r="CZ10" s="27" t="str">
        <f t="shared" si="42"/>
        <v/>
      </c>
      <c r="DA10" s="27" t="str">
        <f t="shared" si="43"/>
        <v/>
      </c>
      <c r="DB10" s="27" t="str">
        <f t="shared" si="44"/>
        <v/>
      </c>
      <c r="DC10" s="27" t="str">
        <f t="shared" si="45"/>
        <v/>
      </c>
      <c r="DD10" s="27" t="str">
        <f t="shared" si="46"/>
        <v/>
      </c>
      <c r="DE10" s="27" t="str">
        <f t="shared" si="47"/>
        <v/>
      </c>
      <c r="DF10" s="27" t="str">
        <f t="shared" si="48"/>
        <v/>
      </c>
      <c r="DG10" s="27" t="str">
        <f t="shared" si="49"/>
        <v/>
      </c>
      <c r="DH10" s="27" t="str">
        <f t="shared" si="50"/>
        <v/>
      </c>
      <c r="DI10" s="27" t="str">
        <f t="shared" si="51"/>
        <v/>
      </c>
      <c r="DJ10" s="27" t="str">
        <f t="shared" si="52"/>
        <v/>
      </c>
      <c r="DK10" s="27" t="str">
        <f t="shared" si="53"/>
        <v/>
      </c>
      <c r="DL10" s="15">
        <v>18.600000000000001</v>
      </c>
      <c r="DM10" s="15">
        <v>8</v>
      </c>
      <c r="DN10" s="15">
        <v>0.6</v>
      </c>
      <c r="DO10" s="15">
        <v>0</v>
      </c>
      <c r="DP10" s="15">
        <v>17.7</v>
      </c>
      <c r="DQ10" s="15">
        <v>8</v>
      </c>
      <c r="DR10" s="15">
        <v>0.2</v>
      </c>
      <c r="DS10" s="15">
        <v>0</v>
      </c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>
        <f t="shared" si="54"/>
        <v>8</v>
      </c>
      <c r="EG10" s="10">
        <f t="shared" si="55"/>
        <v>26</v>
      </c>
      <c r="EH10" s="10">
        <f t="shared" si="56"/>
        <v>8</v>
      </c>
      <c r="EI10" s="10">
        <f t="shared" si="57"/>
        <v>25.5</v>
      </c>
      <c r="EJ10" s="10">
        <f t="shared" si="58"/>
        <v>16</v>
      </c>
      <c r="EK10" s="10">
        <f t="shared" si="59"/>
        <v>51.5</v>
      </c>
      <c r="EL10" s="10" t="str">
        <f t="shared" si="60"/>
        <v/>
      </c>
      <c r="EM10" s="10" t="str">
        <f t="shared" si="61"/>
        <v/>
      </c>
      <c r="EN10" s="10" t="str">
        <f t="shared" si="62"/>
        <v/>
      </c>
      <c r="EO10" s="10" t="str">
        <f t="shared" si="63"/>
        <v/>
      </c>
      <c r="EP10" s="10" t="str">
        <f t="shared" si="64"/>
        <v/>
      </c>
      <c r="EQ10" s="10" t="str">
        <f t="shared" si="65"/>
        <v/>
      </c>
      <c r="ER10" s="10" t="str">
        <f t="shared" si="66"/>
        <v/>
      </c>
      <c r="ES10" s="10" t="str">
        <f t="shared" si="67"/>
        <v/>
      </c>
      <c r="ET10" s="10">
        <f t="shared" si="68"/>
        <v>51.5</v>
      </c>
      <c r="EU10" s="44">
        <f t="shared" si="69"/>
        <v>18.350000000000001</v>
      </c>
      <c r="EV10" s="44">
        <f t="shared" si="70"/>
        <v>7.45</v>
      </c>
      <c r="EW10" s="44">
        <f t="shared" si="71"/>
        <v>1.1000000000000001</v>
      </c>
      <c r="EX10" s="44">
        <f t="shared" si="72"/>
        <v>0.15</v>
      </c>
      <c r="EY10" s="44">
        <f t="shared" si="73"/>
        <v>16.8</v>
      </c>
      <c r="EZ10" s="44">
        <f t="shared" si="74"/>
        <v>4.8000000000000007</v>
      </c>
      <c r="FA10" s="44">
        <f t="shared" si="75"/>
        <v>0.2</v>
      </c>
      <c r="FB10" s="44">
        <f t="shared" si="76"/>
        <v>0</v>
      </c>
      <c r="FC10" s="44">
        <f t="shared" si="77"/>
        <v>0</v>
      </c>
      <c r="FD10" s="44">
        <f t="shared" si="78"/>
        <v>0</v>
      </c>
      <c r="FE10" s="44">
        <f t="shared" si="79"/>
        <v>0</v>
      </c>
      <c r="FF10" s="44">
        <f t="shared" si="80"/>
        <v>0</v>
      </c>
      <c r="FG10" s="44">
        <f t="shared" si="81"/>
        <v>9.0500000000000007</v>
      </c>
      <c r="FH10" s="44">
        <f t="shared" si="82"/>
        <v>3.8</v>
      </c>
      <c r="FI10" s="44">
        <f t="shared" si="83"/>
        <v>0</v>
      </c>
      <c r="FJ10" s="44">
        <f t="shared" si="84"/>
        <v>0</v>
      </c>
      <c r="FK10" s="20" t="s">
        <v>29</v>
      </c>
      <c r="FL10" s="10">
        <f t="shared" si="85"/>
        <v>7.45</v>
      </c>
      <c r="FM10" s="10">
        <f t="shared" si="86"/>
        <v>24.849999999999998</v>
      </c>
      <c r="FN10" s="10">
        <f t="shared" si="87"/>
        <v>4.8000000000000007</v>
      </c>
      <c r="FO10" s="10">
        <f t="shared" si="88"/>
        <v>21.400000000000002</v>
      </c>
      <c r="FP10" s="10">
        <f t="shared" si="89"/>
        <v>12.25</v>
      </c>
      <c r="FQ10" s="10">
        <f t="shared" si="92"/>
        <v>46.25</v>
      </c>
      <c r="FR10" s="10">
        <f t="shared" si="93"/>
        <v>0</v>
      </c>
      <c r="FS10" s="10">
        <f t="shared" si="94"/>
        <v>0</v>
      </c>
      <c r="FT10" s="10">
        <f t="shared" si="95"/>
        <v>3.8</v>
      </c>
      <c r="FU10" s="10">
        <f t="shared" si="96"/>
        <v>12.850000000000001</v>
      </c>
      <c r="FV10" s="10">
        <f t="shared" si="97"/>
        <v>3.8</v>
      </c>
      <c r="FW10" s="10">
        <f t="shared" si="90"/>
        <v>12.850000000000001</v>
      </c>
      <c r="FX10" s="10">
        <f t="shared" si="91"/>
        <v>59.1</v>
      </c>
    </row>
    <row r="11" spans="1:180" x14ac:dyDescent="0.2">
      <c r="A11" s="3" t="str" cm="1">
        <f t="array" ref="A11">IF(AND(H11&lt;&gt;"",H11&lt;&gt;"No DD",I11&lt;&gt;"P"),SUMPRODUCT((H$4:H$39&lt;&gt;"")*(H$4:H$39&lt;&gt;"No DD")*(I$4:I$39&lt;&gt;"P")*(E$4:E$39&gt;E11))+1,IF(H11="No DD",SUMPRODUCT((H$4:H$39="No DD")*(I$4:I$39&lt;&gt;"P")*(E$4:E$39&gt;E11))+1+SUMPRODUCT((H$4:H$39&lt;&gt;"")*(I$4:I$39&lt;&gt;"P")*(H$4:H$39&lt;&gt;"No DD")),""))</f>
        <v/>
      </c>
      <c r="B11" s="4" t="s">
        <v>61</v>
      </c>
      <c r="C11" s="3" t="s">
        <v>3</v>
      </c>
      <c r="D11" s="3">
        <v>2009</v>
      </c>
      <c r="E11" s="8">
        <f t="shared" si="0"/>
        <v>102.00000750000495</v>
      </c>
      <c r="F11" s="2" t="str">
        <f t="shared" si="1"/>
        <v/>
      </c>
      <c r="G11" s="2" t="str">
        <f t="shared" si="2"/>
        <v/>
      </c>
      <c r="H11" s="26" t="str">
        <f t="shared" si="3"/>
        <v/>
      </c>
      <c r="I11" s="2" t="str">
        <f>IF(COUNTIFS('Senior-M'!B:B,B11,'Senior-M'!A:A,"&lt;9",'Senior-M'!H:H,"&lt;&gt;"&amp;"No DD"),"P","")</f>
        <v/>
      </c>
      <c r="J11" s="7">
        <f t="shared" si="4"/>
        <v>49.599999999999994</v>
      </c>
      <c r="K11" s="7" t="str">
        <f t="shared" si="5"/>
        <v>2025 Nationals</v>
      </c>
      <c r="L11" s="7">
        <f>IF(J11=AO11,IF(COUNT(AQ11,AS11,BO11,BQ11,BU11,BW11)&gt;1,LARGE((AQ11,AS11,BO11,BQ11,BU11,BW11),1),0),IF(COUNT(AK11,AM11,AQ11,AS11,BU11,BW11)&gt;1,LARGE((AK11,AM11,AQ11,AS11,BU11,BW11),1),0))</f>
        <v>25.4</v>
      </c>
      <c r="M11" s="7" t="str">
        <f t="shared" si="6"/>
        <v>2025 Nationals</v>
      </c>
      <c r="N11" s="7">
        <f>IF(J11=AO11,IF(COUNT(AQ11,AS11,BO11,BQ11,BU11,BW11)&gt;1,LARGE((AQ11,AS11,BO11,BQ11,BU11,BW11),2),0),IF(COUNT(AK11,AM11,AQ11,AS11,BU11,BW11)&gt;1,LARGE((AK11,AM11,AQ11,AS11,BU11,BW11),2),0))</f>
        <v>23.5</v>
      </c>
      <c r="O11" s="7" t="str">
        <f t="shared" si="7"/>
        <v>2025 Nationals</v>
      </c>
      <c r="P11" s="7">
        <f t="shared" si="8"/>
        <v>3.5000000000000036</v>
      </c>
      <c r="Q11" s="10" t="str">
        <f t="shared" si="9"/>
        <v>(Pass)</v>
      </c>
      <c r="R11" s="7" t="str">
        <f t="shared" si="10"/>
        <v>2025 WAGC (Nov 16)</v>
      </c>
      <c r="S11" s="39">
        <v>18.5</v>
      </c>
      <c r="T11" s="39">
        <v>7.2</v>
      </c>
      <c r="U11" s="39">
        <v>0.8</v>
      </c>
      <c r="V11" s="39">
        <v>0</v>
      </c>
      <c r="W11" s="39">
        <v>18.7</v>
      </c>
      <c r="X11" s="39">
        <v>6.8</v>
      </c>
      <c r="Y11" s="39">
        <v>0.8</v>
      </c>
      <c r="Z11" s="39">
        <v>0</v>
      </c>
      <c r="AA11" s="39">
        <v>18.100000000000001</v>
      </c>
      <c r="AB11" s="39">
        <v>6</v>
      </c>
      <c r="AC11" s="39">
        <v>0.6</v>
      </c>
      <c r="AD11" s="39">
        <v>0</v>
      </c>
      <c r="AE11" s="39">
        <v>19</v>
      </c>
      <c r="AF11" s="39">
        <v>7.2</v>
      </c>
      <c r="AG11" s="39">
        <v>0.8</v>
      </c>
      <c r="AH11" s="39">
        <v>0</v>
      </c>
      <c r="AI11" s="19"/>
      <c r="AJ11" s="42">
        <f t="shared" si="11"/>
        <v>7.2</v>
      </c>
      <c r="AK11" s="42">
        <f t="shared" si="12"/>
        <v>24.9</v>
      </c>
      <c r="AL11" s="42">
        <f t="shared" si="13"/>
        <v>6.8</v>
      </c>
      <c r="AM11" s="42">
        <f t="shared" si="14"/>
        <v>24.7</v>
      </c>
      <c r="AN11" s="27">
        <f t="shared" si="15"/>
        <v>14</v>
      </c>
      <c r="AO11" s="27">
        <f t="shared" si="16"/>
        <v>49.599999999999994</v>
      </c>
      <c r="AP11" s="27">
        <f t="shared" si="17"/>
        <v>6</v>
      </c>
      <c r="AQ11" s="27">
        <f t="shared" si="18"/>
        <v>23.5</v>
      </c>
      <c r="AR11" s="27">
        <f t="shared" si="19"/>
        <v>7.2</v>
      </c>
      <c r="AS11" s="27">
        <f t="shared" si="20"/>
        <v>25.4</v>
      </c>
      <c r="AT11" s="27">
        <f t="shared" si="21"/>
        <v>13.2</v>
      </c>
      <c r="AU11" s="27">
        <f t="shared" si="22"/>
        <v>48.9</v>
      </c>
      <c r="AV11" s="27">
        <f t="shared" si="23"/>
        <v>98.5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3" t="str">
        <f t="shared" si="24"/>
        <v/>
      </c>
      <c r="BO11" s="43" t="str">
        <f t="shared" si="25"/>
        <v/>
      </c>
      <c r="BP11" s="43" t="str">
        <f t="shared" si="26"/>
        <v/>
      </c>
      <c r="BQ11" s="43" t="str">
        <f t="shared" si="27"/>
        <v/>
      </c>
      <c r="BR11" s="10" t="str">
        <f t="shared" si="28"/>
        <v/>
      </c>
      <c r="BS11" s="10" t="str">
        <f t="shared" si="29"/>
        <v/>
      </c>
      <c r="BT11" s="10" t="str">
        <f t="shared" si="30"/>
        <v/>
      </c>
      <c r="BU11" s="10" t="str">
        <f t="shared" si="31"/>
        <v/>
      </c>
      <c r="BV11" s="10" t="str">
        <f t="shared" si="32"/>
        <v/>
      </c>
      <c r="BW11" s="10" t="str">
        <f t="shared" si="33"/>
        <v/>
      </c>
      <c r="BX11" s="10" t="str">
        <f t="shared" si="34"/>
        <v/>
      </c>
      <c r="BY11" s="10" t="str">
        <f t="shared" si="35"/>
        <v/>
      </c>
      <c r="BZ11" s="10" t="str">
        <f t="shared" si="36"/>
        <v/>
      </c>
      <c r="CA11" s="34">
        <f t="shared" si="37"/>
        <v>1.8000000000000114</v>
      </c>
      <c r="CB11" s="34">
        <f t="shared" si="38"/>
        <v>3.5000000000000036</v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9"/>
        <v/>
      </c>
      <c r="CX11" s="27" t="str">
        <f t="shared" si="40"/>
        <v/>
      </c>
      <c r="CY11" s="27" t="str">
        <f t="shared" si="41"/>
        <v/>
      </c>
      <c r="CZ11" s="27" t="str">
        <f t="shared" si="42"/>
        <v/>
      </c>
      <c r="DA11" s="27" t="str">
        <f t="shared" si="43"/>
        <v/>
      </c>
      <c r="DB11" s="27" t="str">
        <f t="shared" si="44"/>
        <v/>
      </c>
      <c r="DC11" s="27" t="str">
        <f t="shared" si="45"/>
        <v/>
      </c>
      <c r="DD11" s="27" t="str">
        <f t="shared" si="46"/>
        <v/>
      </c>
      <c r="DE11" s="27" t="str">
        <f t="shared" si="47"/>
        <v/>
      </c>
      <c r="DF11" s="27" t="str">
        <f t="shared" si="48"/>
        <v/>
      </c>
      <c r="DG11" s="27" t="str">
        <f t="shared" si="49"/>
        <v/>
      </c>
      <c r="DH11" s="27" t="str">
        <f t="shared" si="50"/>
        <v/>
      </c>
      <c r="DI11" s="27" t="str">
        <f t="shared" si="51"/>
        <v/>
      </c>
      <c r="DJ11" s="27" t="str">
        <f t="shared" si="52"/>
        <v/>
      </c>
      <c r="DK11" s="27" t="str">
        <f t="shared" si="53"/>
        <v/>
      </c>
      <c r="DL11" s="15">
        <v>18.8</v>
      </c>
      <c r="DM11" s="15">
        <v>8.4</v>
      </c>
      <c r="DN11" s="15">
        <v>0.2</v>
      </c>
      <c r="DO11" s="15">
        <v>0</v>
      </c>
      <c r="DP11" s="15">
        <v>18</v>
      </c>
      <c r="DQ11" s="15">
        <v>7.2</v>
      </c>
      <c r="DR11" s="15">
        <v>0.8</v>
      </c>
      <c r="DS11" s="15">
        <v>0</v>
      </c>
      <c r="DT11" s="15">
        <v>15.2</v>
      </c>
      <c r="DU11" s="15">
        <v>3.6</v>
      </c>
      <c r="DV11" s="15">
        <v>0</v>
      </c>
      <c r="DW11" s="15">
        <v>0</v>
      </c>
      <c r="DX11" s="15"/>
      <c r="DY11" s="15"/>
      <c r="DZ11" s="15"/>
      <c r="EA11" s="15"/>
      <c r="EB11" s="15"/>
      <c r="EC11" s="15"/>
      <c r="ED11" s="15"/>
      <c r="EE11" s="15"/>
      <c r="EF11" s="10">
        <f t="shared" si="54"/>
        <v>8.4</v>
      </c>
      <c r="EG11" s="10">
        <f t="shared" si="55"/>
        <v>27.000000000000004</v>
      </c>
      <c r="EH11" s="10">
        <f t="shared" si="56"/>
        <v>7.2</v>
      </c>
      <c r="EI11" s="10">
        <f t="shared" si="57"/>
        <v>24.4</v>
      </c>
      <c r="EJ11" s="10">
        <f t="shared" si="58"/>
        <v>15.600000000000001</v>
      </c>
      <c r="EK11" s="10">
        <f t="shared" si="59"/>
        <v>51.400000000000006</v>
      </c>
      <c r="EL11" s="10">
        <f t="shared" si="60"/>
        <v>3.6</v>
      </c>
      <c r="EM11" s="10">
        <f t="shared" si="61"/>
        <v>18.8</v>
      </c>
      <c r="EN11" s="10" t="str">
        <f t="shared" si="62"/>
        <v/>
      </c>
      <c r="EO11" s="10" t="str">
        <f t="shared" si="63"/>
        <v/>
      </c>
      <c r="EP11" s="10" t="str">
        <f t="shared" si="64"/>
        <v/>
      </c>
      <c r="EQ11" s="10" t="str">
        <f t="shared" si="65"/>
        <v/>
      </c>
      <c r="ER11" s="10" t="str">
        <f t="shared" si="66"/>
        <v/>
      </c>
      <c r="ES11" s="10" t="str">
        <f t="shared" si="67"/>
        <v/>
      </c>
      <c r="ET11" s="10">
        <f t="shared" si="68"/>
        <v>70.2</v>
      </c>
      <c r="EU11" s="44">
        <f t="shared" si="69"/>
        <v>9.25</v>
      </c>
      <c r="EV11" s="44">
        <f t="shared" si="70"/>
        <v>3.6</v>
      </c>
      <c r="EW11" s="44">
        <f t="shared" si="71"/>
        <v>0.4</v>
      </c>
      <c r="EX11" s="44">
        <f t="shared" si="72"/>
        <v>0</v>
      </c>
      <c r="EY11" s="44">
        <f t="shared" si="73"/>
        <v>9.35</v>
      </c>
      <c r="EZ11" s="44">
        <f t="shared" si="74"/>
        <v>3.4</v>
      </c>
      <c r="FA11" s="44">
        <f t="shared" si="75"/>
        <v>0.4</v>
      </c>
      <c r="FB11" s="44">
        <f t="shared" si="76"/>
        <v>0</v>
      </c>
      <c r="FC11" s="44">
        <f t="shared" si="77"/>
        <v>9.0500000000000007</v>
      </c>
      <c r="FD11" s="44">
        <f t="shared" si="78"/>
        <v>3</v>
      </c>
      <c r="FE11" s="44">
        <f t="shared" si="79"/>
        <v>0.3</v>
      </c>
      <c r="FF11" s="44">
        <f t="shared" si="80"/>
        <v>0</v>
      </c>
      <c r="FG11" s="44">
        <f t="shared" si="81"/>
        <v>9.5</v>
      </c>
      <c r="FH11" s="44">
        <f t="shared" si="82"/>
        <v>3.6</v>
      </c>
      <c r="FI11" s="44">
        <f t="shared" si="83"/>
        <v>0.4</v>
      </c>
      <c r="FJ11" s="44">
        <f t="shared" si="84"/>
        <v>0</v>
      </c>
      <c r="FK11" s="20" t="s">
        <v>29</v>
      </c>
      <c r="FL11" s="10">
        <f t="shared" si="85"/>
        <v>3.6</v>
      </c>
      <c r="FM11" s="10">
        <f t="shared" si="86"/>
        <v>12.45</v>
      </c>
      <c r="FN11" s="10">
        <f t="shared" si="87"/>
        <v>3.4</v>
      </c>
      <c r="FO11" s="10">
        <f t="shared" si="88"/>
        <v>12.35</v>
      </c>
      <c r="FP11" s="10">
        <f t="shared" si="89"/>
        <v>7</v>
      </c>
      <c r="FQ11" s="10">
        <f t="shared" si="92"/>
        <v>24.799999999999997</v>
      </c>
      <c r="FR11" s="10">
        <f t="shared" si="93"/>
        <v>3</v>
      </c>
      <c r="FS11" s="10">
        <f t="shared" si="94"/>
        <v>11.75</v>
      </c>
      <c r="FT11" s="10">
        <f t="shared" si="95"/>
        <v>3.6</v>
      </c>
      <c r="FU11" s="10">
        <f t="shared" si="96"/>
        <v>12.7</v>
      </c>
      <c r="FV11" s="10">
        <f t="shared" si="97"/>
        <v>6.6</v>
      </c>
      <c r="FW11" s="10">
        <f t="shared" si="90"/>
        <v>24.45</v>
      </c>
      <c r="FX11" s="10">
        <f t="shared" si="91"/>
        <v>49.25</v>
      </c>
    </row>
    <row r="12" spans="1:180" x14ac:dyDescent="0.2">
      <c r="A12" s="3" t="str" cm="1">
        <f t="array" ref="A12">IF(AND(H12&lt;&gt;"",H12&lt;&gt;"No DD",I12&lt;&gt;"P"),SUMPRODUCT((H$4:H$39&lt;&gt;"")*(H$4:H$39&lt;&gt;"No DD")*(I$4:I$39&lt;&gt;"P")*(E$4:E$39&gt;E12))+1,IF(H12="No DD",SUMPRODUCT((H$4:H$39="No DD")*(I$4:I$39&lt;&gt;"P")*(E$4:E$39&gt;E12))+1+SUMPRODUCT((H$4:H$39&lt;&gt;"")*(I$4:I$39&lt;&gt;"P")*(H$4:H$39&lt;&gt;"No DD")),""))</f>
        <v/>
      </c>
      <c r="B12" s="4" t="s">
        <v>82</v>
      </c>
      <c r="C12" s="3" t="s">
        <v>83</v>
      </c>
      <c r="D12" s="3">
        <v>2007</v>
      </c>
      <c r="E12" s="8">
        <f t="shared" si="0"/>
        <v>101.30000760000506</v>
      </c>
      <c r="F12" s="2" t="str">
        <f t="shared" si="1"/>
        <v/>
      </c>
      <c r="G12" s="2" t="str">
        <f t="shared" si="2"/>
        <v/>
      </c>
      <c r="H12" s="26" t="str">
        <f t="shared" si="3"/>
        <v/>
      </c>
      <c r="I12" s="2" t="str">
        <f>IF(COUNTIFS('Senior-M'!B:B,B12,'Senior-M'!A:A,"&lt;9",'Senior-M'!H:H,"&lt;&gt;"&amp;"No DD"),"P","")</f>
        <v/>
      </c>
      <c r="J12" s="7">
        <f t="shared" si="4"/>
        <v>50.6</v>
      </c>
      <c r="K12" s="7" t="str">
        <f t="shared" si="5"/>
        <v>2025 Nationals</v>
      </c>
      <c r="L12" s="7">
        <f>IF(J12=AO12,IF(COUNT(AQ12,AS12,BO12,BQ12,BU12,BW12)&gt;1,LARGE((AQ12,AS12,BO12,BQ12,BU12,BW12),1),0),IF(COUNT(AK12,AM12,AQ12,AS12,BU12,BW12)&gt;1,LARGE((AK12,AM12,AQ12,AS12,BU12,BW12),1),0))</f>
        <v>25.400000000000002</v>
      </c>
      <c r="M12" s="7" t="str">
        <f t="shared" si="6"/>
        <v>2025 Nationals</v>
      </c>
      <c r="N12" s="7">
        <f>IF(J12=AO12,IF(COUNT(AQ12,AS12,BO12,BQ12,BU12,BW12)&gt;1,LARGE((AQ12,AS12,BO12,BQ12,BU12,BW12),2),0),IF(COUNT(AK12,AM12,AQ12,AS12,BU12,BW12)&gt;1,LARGE((AK12,AM12,AQ12,AS12,BU12,BW12),2),0))</f>
        <v>25.3</v>
      </c>
      <c r="O12" s="7" t="str">
        <f t="shared" si="7"/>
        <v>2025 3rd Domestic Trial</v>
      </c>
      <c r="P12" s="7" t="str">
        <f t="shared" si="8"/>
        <v/>
      </c>
      <c r="Q12" s="10" t="str">
        <f t="shared" si="9"/>
        <v/>
      </c>
      <c r="R12" s="7" t="str">
        <f t="shared" si="10"/>
        <v/>
      </c>
      <c r="S12" s="39">
        <v>18.600000000000001</v>
      </c>
      <c r="T12" s="39">
        <v>7.2</v>
      </c>
      <c r="U12" s="39">
        <v>0.2</v>
      </c>
      <c r="V12" s="39">
        <v>0</v>
      </c>
      <c r="W12" s="39">
        <v>18.399999999999999</v>
      </c>
      <c r="X12" s="39">
        <v>6.8</v>
      </c>
      <c r="Y12" s="39">
        <v>0.2</v>
      </c>
      <c r="Z12" s="39">
        <v>0</v>
      </c>
      <c r="AA12" s="39">
        <v>18.600000000000001</v>
      </c>
      <c r="AB12" s="39">
        <v>6.8</v>
      </c>
      <c r="AC12" s="39">
        <v>0</v>
      </c>
      <c r="AD12" s="39">
        <v>0</v>
      </c>
      <c r="AE12" s="39">
        <v>18.5</v>
      </c>
      <c r="AF12" s="39">
        <v>6.8</v>
      </c>
      <c r="AG12" s="39">
        <v>0.6</v>
      </c>
      <c r="AH12" s="39">
        <v>0</v>
      </c>
      <c r="AI12" s="19"/>
      <c r="AJ12" s="42">
        <f t="shared" si="11"/>
        <v>7.2</v>
      </c>
      <c r="AK12" s="42">
        <f t="shared" si="12"/>
        <v>25.6</v>
      </c>
      <c r="AL12" s="42">
        <f t="shared" si="13"/>
        <v>6.8</v>
      </c>
      <c r="AM12" s="42">
        <f t="shared" si="14"/>
        <v>25</v>
      </c>
      <c r="AN12" s="27">
        <f t="shared" si="15"/>
        <v>14</v>
      </c>
      <c r="AO12" s="27">
        <f t="shared" si="16"/>
        <v>50.6</v>
      </c>
      <c r="AP12" s="27">
        <f t="shared" si="17"/>
        <v>6.8</v>
      </c>
      <c r="AQ12" s="27">
        <f t="shared" si="18"/>
        <v>25.400000000000002</v>
      </c>
      <c r="AR12" s="27">
        <f t="shared" si="19"/>
        <v>6.8</v>
      </c>
      <c r="AS12" s="27">
        <f t="shared" si="20"/>
        <v>24.7</v>
      </c>
      <c r="AT12" s="27">
        <f t="shared" si="21"/>
        <v>13.6</v>
      </c>
      <c r="AU12" s="27">
        <f t="shared" si="22"/>
        <v>50.1</v>
      </c>
      <c r="AV12" s="27">
        <f t="shared" si="23"/>
        <v>100.7</v>
      </c>
      <c r="AW12" s="15">
        <v>18.3</v>
      </c>
      <c r="AX12" s="15">
        <v>7.2</v>
      </c>
      <c r="AY12" s="15">
        <v>0.2</v>
      </c>
      <c r="AZ12" s="15">
        <v>0</v>
      </c>
      <c r="BA12" s="15">
        <v>18.100000000000001</v>
      </c>
      <c r="BB12" s="15">
        <v>6.8</v>
      </c>
      <c r="BC12" s="15">
        <v>0.2</v>
      </c>
      <c r="BD12" s="15">
        <v>0</v>
      </c>
      <c r="BE12" s="15">
        <v>18.100000000000001</v>
      </c>
      <c r="BF12" s="15">
        <v>7.2</v>
      </c>
      <c r="BG12" s="15">
        <v>0.2</v>
      </c>
      <c r="BH12" s="15">
        <v>0</v>
      </c>
      <c r="BI12" s="15">
        <v>18</v>
      </c>
      <c r="BJ12" s="15">
        <v>6</v>
      </c>
      <c r="BK12" s="15">
        <v>1</v>
      </c>
      <c r="BL12" s="15">
        <v>0</v>
      </c>
      <c r="BM12" s="20"/>
      <c r="BN12" s="43">
        <f t="shared" si="24"/>
        <v>7.2</v>
      </c>
      <c r="BO12" s="43">
        <f t="shared" si="25"/>
        <v>25.3</v>
      </c>
      <c r="BP12" s="43">
        <f t="shared" si="26"/>
        <v>6.8</v>
      </c>
      <c r="BQ12" s="43">
        <f t="shared" si="27"/>
        <v>24.700000000000003</v>
      </c>
      <c r="BR12" s="10">
        <f t="shared" si="28"/>
        <v>14</v>
      </c>
      <c r="BS12" s="10">
        <f t="shared" si="29"/>
        <v>50</v>
      </c>
      <c r="BT12" s="10">
        <f t="shared" si="30"/>
        <v>7.2</v>
      </c>
      <c r="BU12" s="10">
        <f t="shared" si="31"/>
        <v>25.1</v>
      </c>
      <c r="BV12" s="10">
        <f t="shared" si="32"/>
        <v>6</v>
      </c>
      <c r="BW12" s="10">
        <f t="shared" si="33"/>
        <v>23</v>
      </c>
      <c r="BX12" s="10">
        <f t="shared" si="34"/>
        <v>13.2</v>
      </c>
      <c r="BY12" s="10">
        <f t="shared" si="35"/>
        <v>48.1</v>
      </c>
      <c r="BZ12" s="10">
        <f t="shared" si="36"/>
        <v>98.1</v>
      </c>
      <c r="CA12" s="34" t="str">
        <f t="shared" si="37"/>
        <v/>
      </c>
      <c r="CB12" s="34" t="str">
        <f t="shared" si="38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9"/>
        <v/>
      </c>
      <c r="CX12" s="27" t="str">
        <f t="shared" si="40"/>
        <v/>
      </c>
      <c r="CY12" s="27" t="str">
        <f t="shared" si="41"/>
        <v/>
      </c>
      <c r="CZ12" s="27" t="str">
        <f t="shared" si="42"/>
        <v/>
      </c>
      <c r="DA12" s="27" t="str">
        <f t="shared" si="43"/>
        <v/>
      </c>
      <c r="DB12" s="27" t="str">
        <f t="shared" si="44"/>
        <v/>
      </c>
      <c r="DC12" s="27" t="str">
        <f t="shared" si="45"/>
        <v/>
      </c>
      <c r="DD12" s="27" t="str">
        <f t="shared" si="46"/>
        <v/>
      </c>
      <c r="DE12" s="27" t="str">
        <f t="shared" si="47"/>
        <v/>
      </c>
      <c r="DF12" s="27" t="str">
        <f t="shared" si="48"/>
        <v/>
      </c>
      <c r="DG12" s="27" t="str">
        <f t="shared" si="49"/>
        <v/>
      </c>
      <c r="DH12" s="27" t="str">
        <f t="shared" si="50"/>
        <v/>
      </c>
      <c r="DI12" s="27" t="str">
        <f t="shared" si="51"/>
        <v/>
      </c>
      <c r="DJ12" s="27" t="str">
        <f t="shared" si="52"/>
        <v/>
      </c>
      <c r="DK12" s="27" t="str">
        <f t="shared" si="53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4"/>
        <v/>
      </c>
      <c r="EG12" s="10" t="str">
        <f t="shared" si="55"/>
        <v/>
      </c>
      <c r="EH12" s="10" t="str">
        <f t="shared" si="56"/>
        <v/>
      </c>
      <c r="EI12" s="10" t="str">
        <f t="shared" si="57"/>
        <v/>
      </c>
      <c r="EJ12" s="10" t="str">
        <f t="shared" si="58"/>
        <v/>
      </c>
      <c r="EK12" s="10" t="str">
        <f t="shared" si="59"/>
        <v/>
      </c>
      <c r="EL12" s="10" t="str">
        <f t="shared" si="60"/>
        <v/>
      </c>
      <c r="EM12" s="10" t="str">
        <f t="shared" si="61"/>
        <v/>
      </c>
      <c r="EN12" s="10" t="str">
        <f t="shared" si="62"/>
        <v/>
      </c>
      <c r="EO12" s="10" t="str">
        <f t="shared" si="63"/>
        <v/>
      </c>
      <c r="EP12" s="10" t="str">
        <f t="shared" si="64"/>
        <v/>
      </c>
      <c r="EQ12" s="10" t="str">
        <f t="shared" si="65"/>
        <v/>
      </c>
      <c r="ER12" s="10" t="str">
        <f t="shared" si="66"/>
        <v/>
      </c>
      <c r="ES12" s="10" t="str">
        <f t="shared" si="67"/>
        <v/>
      </c>
      <c r="ET12" s="10" t="str">
        <f t="shared" si="68"/>
        <v/>
      </c>
      <c r="EU12" s="44">
        <f t="shared" si="69"/>
        <v>18.450000000000003</v>
      </c>
      <c r="EV12" s="44">
        <f t="shared" si="70"/>
        <v>7.2</v>
      </c>
      <c r="EW12" s="44">
        <f t="shared" si="71"/>
        <v>0.2</v>
      </c>
      <c r="EX12" s="44">
        <f t="shared" si="72"/>
        <v>0</v>
      </c>
      <c r="EY12" s="44">
        <f t="shared" si="73"/>
        <v>18.25</v>
      </c>
      <c r="EZ12" s="44">
        <f t="shared" si="74"/>
        <v>6.8</v>
      </c>
      <c r="FA12" s="44">
        <f t="shared" si="75"/>
        <v>0.2</v>
      </c>
      <c r="FB12" s="44">
        <f t="shared" si="76"/>
        <v>0</v>
      </c>
      <c r="FC12" s="44">
        <f t="shared" si="77"/>
        <v>18.350000000000001</v>
      </c>
      <c r="FD12" s="44">
        <f t="shared" si="78"/>
        <v>7</v>
      </c>
      <c r="FE12" s="44">
        <f t="shared" si="79"/>
        <v>0.1</v>
      </c>
      <c r="FF12" s="44">
        <f t="shared" si="80"/>
        <v>0</v>
      </c>
      <c r="FG12" s="44">
        <f t="shared" si="81"/>
        <v>18.25</v>
      </c>
      <c r="FH12" s="44">
        <f t="shared" si="82"/>
        <v>6.4</v>
      </c>
      <c r="FI12" s="44">
        <f t="shared" si="83"/>
        <v>0.8</v>
      </c>
      <c r="FJ12" s="44">
        <f t="shared" si="84"/>
        <v>0</v>
      </c>
      <c r="FK12" s="20" t="s">
        <v>29</v>
      </c>
      <c r="FL12" s="10">
        <f t="shared" si="85"/>
        <v>7.2</v>
      </c>
      <c r="FM12" s="10">
        <f t="shared" si="86"/>
        <v>25.450000000000003</v>
      </c>
      <c r="FN12" s="10">
        <f t="shared" si="87"/>
        <v>6.8</v>
      </c>
      <c r="FO12" s="10">
        <f t="shared" si="88"/>
        <v>24.85</v>
      </c>
      <c r="FP12" s="10">
        <f t="shared" si="89"/>
        <v>14</v>
      </c>
      <c r="FQ12" s="10">
        <f t="shared" si="92"/>
        <v>50.300000000000004</v>
      </c>
      <c r="FR12" s="10">
        <f t="shared" si="93"/>
        <v>7</v>
      </c>
      <c r="FS12" s="10">
        <f t="shared" si="94"/>
        <v>25.25</v>
      </c>
      <c r="FT12" s="10">
        <f t="shared" si="95"/>
        <v>6.4</v>
      </c>
      <c r="FU12" s="10">
        <f t="shared" si="96"/>
        <v>23.849999999999998</v>
      </c>
      <c r="FV12" s="10">
        <f t="shared" si="97"/>
        <v>13.4</v>
      </c>
      <c r="FW12" s="10">
        <f t="shared" si="90"/>
        <v>49.099999999999994</v>
      </c>
      <c r="FX12" s="10">
        <f t="shared" si="91"/>
        <v>99.4</v>
      </c>
    </row>
    <row r="13" spans="1:180" x14ac:dyDescent="0.2">
      <c r="A13" s="3" t="str" cm="1">
        <f t="array" ref="A13">IF(AND(H13&lt;&gt;"",H13&lt;&gt;"No DD",I13&lt;&gt;"P"),SUMPRODUCT((H$4:H$39&lt;&gt;"")*(H$4:H$39&lt;&gt;"No DD")*(I$4:I$39&lt;&gt;"P")*(E$4:E$39&gt;E13))+1,IF(H13="No DD",SUMPRODUCT((H$4:H$39="No DD")*(I$4:I$39&lt;&gt;"P")*(E$4:E$39&gt;E13))+1+SUMPRODUCT((H$4:H$39&lt;&gt;"")*(I$4:I$39&lt;&gt;"P")*(H$4:H$39&lt;&gt;"No DD")),""))</f>
        <v/>
      </c>
      <c r="B13" s="4" t="s">
        <v>44</v>
      </c>
      <c r="C13" s="3" t="s">
        <v>6</v>
      </c>
      <c r="D13" s="3">
        <v>2006</v>
      </c>
      <c r="E13" s="8">
        <f t="shared" si="0"/>
        <v>99.70000723000463</v>
      </c>
      <c r="F13" s="2" t="str">
        <f t="shared" si="1"/>
        <v/>
      </c>
      <c r="G13" s="2" t="str">
        <f t="shared" si="2"/>
        <v/>
      </c>
      <c r="H13" s="26" t="str">
        <f t="shared" si="3"/>
        <v/>
      </c>
      <c r="I13" s="2" t="str">
        <f>IF(COUNTIFS('Senior-M'!B:B,B13,'Senior-M'!A:A,"&lt;9",'Senior-M'!H:H,"&lt;&gt;"&amp;"No DD"),"P","")</f>
        <v/>
      </c>
      <c r="J13" s="7">
        <f t="shared" si="4"/>
        <v>46.5</v>
      </c>
      <c r="K13" s="7" t="str">
        <f t="shared" si="5"/>
        <v>2025 3rd Domestic Trial</v>
      </c>
      <c r="L13" s="7">
        <f>IF(J13=AO13,IF(COUNT(AQ13,AS13,BO13,BQ13,BU13,BW13)&gt;1,LARGE((AQ13,AS13,BO13,BQ13,BU13,BW13),1),0),IF(COUNT(AK13,AM13,AQ13,AS13,BU13,BW13)&gt;1,LARGE((AK13,AM13,AQ13,AS13,BU13,BW13),1),0))</f>
        <v>25.8</v>
      </c>
      <c r="M13" s="7" t="str">
        <f t="shared" si="6"/>
        <v>2025 Nationals</v>
      </c>
      <c r="N13" s="7">
        <f>IF(J13=AO13,IF(COUNT(AQ13,AS13,BO13,BQ13,BU13,BW13)&gt;1,LARGE((AQ13,AS13,BO13,BQ13,BU13,BW13),2),0),IF(COUNT(AK13,AM13,AQ13,AS13,BU13,BW13)&gt;1,LARGE((AK13,AM13,AQ13,AS13,BU13,BW13),2),0))</f>
        <v>19</v>
      </c>
      <c r="O13" s="7" t="str">
        <f t="shared" si="7"/>
        <v>2025 Nationals</v>
      </c>
      <c r="P13" s="7">
        <f t="shared" si="8"/>
        <v>8.3999999999999986</v>
      </c>
      <c r="Q13" s="10" t="str">
        <f t="shared" si="9"/>
        <v>(Pass)</v>
      </c>
      <c r="R13" s="7" t="str">
        <f t="shared" si="10"/>
        <v>2025 WAGC (Nov 16)</v>
      </c>
      <c r="S13" s="39">
        <v>18.2</v>
      </c>
      <c r="T13" s="39">
        <v>8.4</v>
      </c>
      <c r="U13" s="39">
        <v>0.8</v>
      </c>
      <c r="V13" s="39">
        <v>0</v>
      </c>
      <c r="W13" s="39">
        <v>15.4</v>
      </c>
      <c r="X13" s="39">
        <v>3.6</v>
      </c>
      <c r="Y13" s="39">
        <v>0</v>
      </c>
      <c r="Z13" s="39">
        <v>0</v>
      </c>
      <c r="AA13" s="39"/>
      <c r="AB13" s="39"/>
      <c r="AC13" s="39"/>
      <c r="AD13" s="39"/>
      <c r="AE13" s="39"/>
      <c r="AF13" s="39"/>
      <c r="AG13" s="39"/>
      <c r="AH13" s="39"/>
      <c r="AI13" s="19"/>
      <c r="AJ13" s="42">
        <f t="shared" si="11"/>
        <v>8.4</v>
      </c>
      <c r="AK13" s="42">
        <f t="shared" si="12"/>
        <v>25.8</v>
      </c>
      <c r="AL13" s="42">
        <f t="shared" si="13"/>
        <v>3.6</v>
      </c>
      <c r="AM13" s="42">
        <f t="shared" si="14"/>
        <v>19</v>
      </c>
      <c r="AN13" s="27">
        <f t="shared" si="15"/>
        <v>12</v>
      </c>
      <c r="AO13" s="27">
        <f t="shared" si="16"/>
        <v>44.8</v>
      </c>
      <c r="AP13" s="27" t="str">
        <f t="shared" si="17"/>
        <v/>
      </c>
      <c r="AQ13" s="27" t="str">
        <f t="shared" si="18"/>
        <v/>
      </c>
      <c r="AR13" s="27" t="str">
        <f t="shared" si="19"/>
        <v/>
      </c>
      <c r="AS13" s="27" t="str">
        <f t="shared" si="20"/>
        <v/>
      </c>
      <c r="AT13" s="27" t="str">
        <f t="shared" si="21"/>
        <v/>
      </c>
      <c r="AU13" s="27" t="str">
        <f t="shared" si="22"/>
        <v/>
      </c>
      <c r="AV13" s="27">
        <f t="shared" si="23"/>
        <v>44.8</v>
      </c>
      <c r="AW13" s="15">
        <v>19</v>
      </c>
      <c r="AX13" s="15">
        <v>8.4</v>
      </c>
      <c r="AY13" s="15">
        <v>0</v>
      </c>
      <c r="AZ13" s="15">
        <v>0</v>
      </c>
      <c r="BA13" s="15">
        <v>15.5</v>
      </c>
      <c r="BB13" s="15">
        <v>3.6</v>
      </c>
      <c r="BC13" s="15">
        <v>0</v>
      </c>
      <c r="BD13" s="15">
        <v>0</v>
      </c>
      <c r="BE13" s="15"/>
      <c r="BF13" s="15"/>
      <c r="BG13" s="15"/>
      <c r="BH13" s="15"/>
      <c r="BI13" s="15"/>
      <c r="BJ13" s="15"/>
      <c r="BK13" s="15"/>
      <c r="BL13" s="15"/>
      <c r="BM13" s="20"/>
      <c r="BN13" s="43">
        <f t="shared" si="24"/>
        <v>8.4</v>
      </c>
      <c r="BO13" s="43">
        <f t="shared" si="25"/>
        <v>27.4</v>
      </c>
      <c r="BP13" s="43">
        <f t="shared" si="26"/>
        <v>3.6</v>
      </c>
      <c r="BQ13" s="43">
        <f t="shared" si="27"/>
        <v>19.100000000000001</v>
      </c>
      <c r="BR13" s="10">
        <f t="shared" si="28"/>
        <v>12</v>
      </c>
      <c r="BS13" s="10">
        <f t="shared" si="29"/>
        <v>46.5</v>
      </c>
      <c r="BT13" s="10" t="str">
        <f t="shared" si="30"/>
        <v/>
      </c>
      <c r="BU13" s="10" t="str">
        <f t="shared" si="31"/>
        <v/>
      </c>
      <c r="BV13" s="10" t="str">
        <f t="shared" si="32"/>
        <v/>
      </c>
      <c r="BW13" s="10" t="str">
        <f t="shared" si="33"/>
        <v/>
      </c>
      <c r="BX13" s="10" t="str">
        <f t="shared" si="34"/>
        <v/>
      </c>
      <c r="BY13" s="10" t="str">
        <f t="shared" si="35"/>
        <v/>
      </c>
      <c r="BZ13" s="10">
        <f t="shared" si="36"/>
        <v>46.5</v>
      </c>
      <c r="CA13" s="34" t="str">
        <f t="shared" si="37"/>
        <v/>
      </c>
      <c r="CB13" s="34">
        <f t="shared" si="38"/>
        <v>8.3999999999999986</v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9"/>
        <v/>
      </c>
      <c r="CX13" s="27" t="str">
        <f t="shared" si="40"/>
        <v/>
      </c>
      <c r="CY13" s="27" t="str">
        <f t="shared" si="41"/>
        <v/>
      </c>
      <c r="CZ13" s="27" t="str">
        <f t="shared" si="42"/>
        <v/>
      </c>
      <c r="DA13" s="27" t="str">
        <f t="shared" si="43"/>
        <v/>
      </c>
      <c r="DB13" s="27" t="str">
        <f t="shared" si="44"/>
        <v/>
      </c>
      <c r="DC13" s="27" t="str">
        <f t="shared" si="45"/>
        <v/>
      </c>
      <c r="DD13" s="27" t="str">
        <f t="shared" si="46"/>
        <v/>
      </c>
      <c r="DE13" s="27" t="str">
        <f t="shared" si="47"/>
        <v/>
      </c>
      <c r="DF13" s="27" t="str">
        <f t="shared" si="48"/>
        <v/>
      </c>
      <c r="DG13" s="27" t="str">
        <f t="shared" si="49"/>
        <v/>
      </c>
      <c r="DH13" s="27" t="str">
        <f t="shared" si="50"/>
        <v/>
      </c>
      <c r="DI13" s="27" t="str">
        <f t="shared" si="51"/>
        <v/>
      </c>
      <c r="DJ13" s="27" t="str">
        <f t="shared" si="52"/>
        <v/>
      </c>
      <c r="DK13" s="27" t="str">
        <f t="shared" si="53"/>
        <v/>
      </c>
      <c r="DL13" s="15">
        <v>19</v>
      </c>
      <c r="DM13" s="15">
        <v>8.4</v>
      </c>
      <c r="DN13" s="15">
        <v>0</v>
      </c>
      <c r="DO13" s="15">
        <v>0</v>
      </c>
      <c r="DP13" s="15">
        <v>15.2</v>
      </c>
      <c r="DQ13" s="15">
        <v>3.6</v>
      </c>
      <c r="DR13" s="15">
        <v>0</v>
      </c>
      <c r="DS13" s="15">
        <v>0</v>
      </c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>
        <f t="shared" si="54"/>
        <v>8.4</v>
      </c>
      <c r="EG13" s="10">
        <f t="shared" si="55"/>
        <v>27.4</v>
      </c>
      <c r="EH13" s="10">
        <f t="shared" si="56"/>
        <v>3.6</v>
      </c>
      <c r="EI13" s="10">
        <f t="shared" si="57"/>
        <v>18.8</v>
      </c>
      <c r="EJ13" s="10">
        <f t="shared" si="58"/>
        <v>12</v>
      </c>
      <c r="EK13" s="10">
        <f t="shared" si="59"/>
        <v>46.2</v>
      </c>
      <c r="EL13" s="10" t="str">
        <f t="shared" si="60"/>
        <v/>
      </c>
      <c r="EM13" s="10" t="str">
        <f t="shared" si="61"/>
        <v/>
      </c>
      <c r="EN13" s="10" t="str">
        <f t="shared" si="62"/>
        <v/>
      </c>
      <c r="EO13" s="10" t="str">
        <f t="shared" si="63"/>
        <v/>
      </c>
      <c r="EP13" s="10" t="str">
        <f t="shared" si="64"/>
        <v/>
      </c>
      <c r="EQ13" s="10" t="str">
        <f t="shared" si="65"/>
        <v/>
      </c>
      <c r="ER13" s="10" t="str">
        <f t="shared" si="66"/>
        <v/>
      </c>
      <c r="ES13" s="10" t="str">
        <f t="shared" si="67"/>
        <v/>
      </c>
      <c r="ET13" s="10">
        <f t="shared" si="68"/>
        <v>46.2</v>
      </c>
      <c r="EU13" s="44">
        <f t="shared" si="69"/>
        <v>18.600000000000001</v>
      </c>
      <c r="EV13" s="44">
        <f t="shared" si="70"/>
        <v>8.4</v>
      </c>
      <c r="EW13" s="44">
        <f t="shared" si="71"/>
        <v>0.4</v>
      </c>
      <c r="EX13" s="44">
        <f t="shared" si="72"/>
        <v>0</v>
      </c>
      <c r="EY13" s="44">
        <f t="shared" si="73"/>
        <v>15.45</v>
      </c>
      <c r="EZ13" s="44">
        <f t="shared" si="74"/>
        <v>3.6</v>
      </c>
      <c r="FA13" s="44">
        <f t="shared" si="75"/>
        <v>0</v>
      </c>
      <c r="FB13" s="44">
        <f t="shared" si="76"/>
        <v>0</v>
      </c>
      <c r="FC13" s="44">
        <f t="shared" si="77"/>
        <v>0</v>
      </c>
      <c r="FD13" s="44">
        <f t="shared" si="78"/>
        <v>0</v>
      </c>
      <c r="FE13" s="44">
        <f t="shared" si="79"/>
        <v>0</v>
      </c>
      <c r="FF13" s="44">
        <f t="shared" si="80"/>
        <v>0</v>
      </c>
      <c r="FG13" s="44">
        <f t="shared" si="81"/>
        <v>0</v>
      </c>
      <c r="FH13" s="44">
        <f t="shared" si="82"/>
        <v>0</v>
      </c>
      <c r="FI13" s="44">
        <f t="shared" si="83"/>
        <v>0</v>
      </c>
      <c r="FJ13" s="44">
        <f t="shared" si="84"/>
        <v>0</v>
      </c>
      <c r="FK13" s="20" t="s">
        <v>29</v>
      </c>
      <c r="FL13" s="10">
        <f t="shared" si="85"/>
        <v>8.4</v>
      </c>
      <c r="FM13" s="10">
        <f t="shared" si="86"/>
        <v>26.6</v>
      </c>
      <c r="FN13" s="10">
        <f t="shared" si="87"/>
        <v>3.6</v>
      </c>
      <c r="FO13" s="10">
        <f t="shared" si="88"/>
        <v>19.05</v>
      </c>
      <c r="FP13" s="10">
        <f t="shared" si="89"/>
        <v>12</v>
      </c>
      <c r="FQ13" s="10">
        <f t="shared" si="92"/>
        <v>45.650000000000006</v>
      </c>
      <c r="FR13" s="10">
        <f t="shared" si="93"/>
        <v>0</v>
      </c>
      <c r="FS13" s="10">
        <f t="shared" si="94"/>
        <v>0</v>
      </c>
      <c r="FT13" s="10">
        <f t="shared" si="95"/>
        <v>0</v>
      </c>
      <c r="FU13" s="10">
        <f t="shared" si="96"/>
        <v>0</v>
      </c>
      <c r="FV13" s="10" t="str">
        <f t="shared" si="97"/>
        <v/>
      </c>
      <c r="FW13" s="10" t="str">
        <f t="shared" si="90"/>
        <v/>
      </c>
      <c r="FX13" s="10">
        <f t="shared" si="91"/>
        <v>45.650000000000006</v>
      </c>
    </row>
    <row r="14" spans="1:180" x14ac:dyDescent="0.2">
      <c r="A14" s="3" t="str" cm="1">
        <f t="array" ref="A14">IF(AND(H14&lt;&gt;"",H14&lt;&gt;"No DD",I14&lt;&gt;"P"),SUMPRODUCT((H$4:H$39&lt;&gt;"")*(H$4:H$39&lt;&gt;"No DD")*(I$4:I$39&lt;&gt;"P")*(E$4:E$39&gt;E14))+1,IF(H14="No DD",SUMPRODUCT((H$4:H$39="No DD")*(I$4:I$39&lt;&gt;"P")*(E$4:E$39&gt;E14))+1+SUMPRODUCT((H$4:H$39&lt;&gt;"")*(I$4:I$39&lt;&gt;"P")*(H$4:H$39&lt;&gt;"No DD")),""))</f>
        <v/>
      </c>
      <c r="B14" s="4" t="s">
        <v>60</v>
      </c>
      <c r="C14" s="3" t="s">
        <v>5</v>
      </c>
      <c r="D14" s="3">
        <v>2009</v>
      </c>
      <c r="E14" s="8">
        <f t="shared" si="0"/>
        <v>98.000007300004796</v>
      </c>
      <c r="F14" s="2" t="str">
        <f t="shared" si="1"/>
        <v/>
      </c>
      <c r="G14" s="2" t="str">
        <f t="shared" si="2"/>
        <v/>
      </c>
      <c r="H14" s="26" t="str">
        <f t="shared" si="3"/>
        <v/>
      </c>
      <c r="I14" s="2" t="str">
        <f>IF(COUNTIFS('Senior-M'!B:B,B14,'Senior-M'!A:A,"&lt;9",'Senior-M'!H:H,"&lt;&gt;"&amp;"No DD"),"P","")</f>
        <v/>
      </c>
      <c r="J14" s="7">
        <f t="shared" si="4"/>
        <v>48.1</v>
      </c>
      <c r="K14" s="7" t="str">
        <f t="shared" si="5"/>
        <v>2025 3rd Domestic Trial</v>
      </c>
      <c r="L14" s="7">
        <f>IF(J14=AO14,IF(COUNT(AQ14,AS14,BO14,BQ14,BU14,BW14)&gt;1,LARGE((AQ14,AS14,BO14,BQ14,BU14,BW14),1),0),IF(COUNT(AK14,AM14,AQ14,AS14,BU14,BW14)&gt;1,LARGE((AK14,AM14,AQ14,AS14,BU14,BW14),1),0))</f>
        <v>24.900000000000002</v>
      </c>
      <c r="M14" s="7" t="str">
        <f t="shared" si="6"/>
        <v>2025 3rd Domestic Trial</v>
      </c>
      <c r="N14" s="7">
        <f>IF(J14=AO14,IF(COUNT(AQ14,AS14,BO14,BQ14,BU14,BW14)&gt;1,LARGE((AQ14,AS14,BO14,BQ14,BU14,BW14),2),0),IF(COUNT(AK14,AM14,AQ14,AS14,BU14,BW14)&gt;1,LARGE((AK14,AM14,AQ14,AS14,BU14,BW14),2),0))</f>
        <v>24.7</v>
      </c>
      <c r="O14" s="7" t="str">
        <f t="shared" si="7"/>
        <v>2025 Nationals</v>
      </c>
      <c r="P14" s="7">
        <f t="shared" si="8"/>
        <v>0.29999999999999716</v>
      </c>
      <c r="Q14" s="10" t="str">
        <f t="shared" si="9"/>
        <v>(Pass)</v>
      </c>
      <c r="R14" s="7" t="str">
        <f t="shared" si="10"/>
        <v>2025 WAGC (Nov 16)</v>
      </c>
      <c r="S14" s="39">
        <v>15.4</v>
      </c>
      <c r="T14" s="39">
        <v>2.4</v>
      </c>
      <c r="U14" s="39">
        <v>0</v>
      </c>
      <c r="V14" s="39">
        <v>0</v>
      </c>
      <c r="W14" s="39">
        <v>18.3</v>
      </c>
      <c r="X14" s="39">
        <v>5.6</v>
      </c>
      <c r="Y14" s="39">
        <v>0.2</v>
      </c>
      <c r="Z14" s="39">
        <v>0</v>
      </c>
      <c r="AA14" s="39">
        <v>18.7</v>
      </c>
      <c r="AB14" s="39">
        <v>6.8</v>
      </c>
      <c r="AC14" s="39">
        <v>0.8</v>
      </c>
      <c r="AD14" s="39">
        <v>0</v>
      </c>
      <c r="AE14" s="39">
        <v>18.399999999999999</v>
      </c>
      <c r="AF14" s="39">
        <v>5.6</v>
      </c>
      <c r="AG14" s="39">
        <v>0.2</v>
      </c>
      <c r="AH14" s="39">
        <v>0</v>
      </c>
      <c r="AI14" s="19"/>
      <c r="AJ14" s="42">
        <f t="shared" si="11"/>
        <v>2.4</v>
      </c>
      <c r="AK14" s="42">
        <f t="shared" si="12"/>
        <v>17.8</v>
      </c>
      <c r="AL14" s="42">
        <f t="shared" si="13"/>
        <v>5.6</v>
      </c>
      <c r="AM14" s="42">
        <f t="shared" si="14"/>
        <v>23.7</v>
      </c>
      <c r="AN14" s="27">
        <f t="shared" si="15"/>
        <v>8</v>
      </c>
      <c r="AO14" s="27">
        <f t="shared" si="16"/>
        <v>41.5</v>
      </c>
      <c r="AP14" s="27">
        <f t="shared" si="17"/>
        <v>6.8</v>
      </c>
      <c r="AQ14" s="27">
        <f t="shared" si="18"/>
        <v>24.7</v>
      </c>
      <c r="AR14" s="27">
        <f t="shared" si="19"/>
        <v>5.6</v>
      </c>
      <c r="AS14" s="27">
        <f t="shared" si="20"/>
        <v>23.8</v>
      </c>
      <c r="AT14" s="27">
        <f t="shared" si="21"/>
        <v>12.399999999999999</v>
      </c>
      <c r="AU14" s="27">
        <f t="shared" si="22"/>
        <v>48.5</v>
      </c>
      <c r="AV14" s="27">
        <f t="shared" si="23"/>
        <v>90</v>
      </c>
      <c r="AW14" s="15">
        <v>18.100000000000001</v>
      </c>
      <c r="AX14" s="15">
        <v>7.2</v>
      </c>
      <c r="AY14" s="15">
        <v>0.2</v>
      </c>
      <c r="AZ14" s="15">
        <v>0</v>
      </c>
      <c r="BA14" s="15">
        <v>17.8</v>
      </c>
      <c r="BB14" s="15">
        <v>6</v>
      </c>
      <c r="BC14" s="15">
        <v>0.8</v>
      </c>
      <c r="BD14" s="15">
        <v>0</v>
      </c>
      <c r="BE14" s="15">
        <v>0</v>
      </c>
      <c r="BF14" s="15">
        <v>0</v>
      </c>
      <c r="BG14" s="15">
        <v>0</v>
      </c>
      <c r="BH14" s="15">
        <v>0</v>
      </c>
      <c r="BI14" s="15">
        <v>18.100000000000001</v>
      </c>
      <c r="BJ14" s="15">
        <v>7.6</v>
      </c>
      <c r="BK14" s="15">
        <v>0.8</v>
      </c>
      <c r="BL14" s="15">
        <v>0</v>
      </c>
      <c r="BM14" s="20"/>
      <c r="BN14" s="43">
        <f t="shared" si="24"/>
        <v>7.2</v>
      </c>
      <c r="BO14" s="43">
        <f t="shared" si="25"/>
        <v>25.1</v>
      </c>
      <c r="BP14" s="43">
        <f t="shared" si="26"/>
        <v>6</v>
      </c>
      <c r="BQ14" s="43">
        <f t="shared" si="27"/>
        <v>23</v>
      </c>
      <c r="BR14" s="10">
        <f t="shared" si="28"/>
        <v>13.2</v>
      </c>
      <c r="BS14" s="10">
        <f t="shared" si="29"/>
        <v>48.1</v>
      </c>
      <c r="BT14" s="10">
        <f t="shared" si="30"/>
        <v>0</v>
      </c>
      <c r="BU14" s="10">
        <f t="shared" si="31"/>
        <v>0</v>
      </c>
      <c r="BV14" s="10">
        <f t="shared" si="32"/>
        <v>7.6</v>
      </c>
      <c r="BW14" s="10">
        <f t="shared" si="33"/>
        <v>24.900000000000002</v>
      </c>
      <c r="BX14" s="10">
        <f t="shared" si="34"/>
        <v>7.6</v>
      </c>
      <c r="BY14" s="10">
        <f t="shared" si="35"/>
        <v>24.900000000000002</v>
      </c>
      <c r="BZ14" s="10">
        <f t="shared" si="36"/>
        <v>73</v>
      </c>
      <c r="CA14" s="34" t="str">
        <f t="shared" si="37"/>
        <v/>
      </c>
      <c r="CB14" s="34">
        <f t="shared" si="38"/>
        <v>0.29999999999999716</v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9"/>
        <v/>
      </c>
      <c r="CX14" s="27" t="str">
        <f t="shared" si="40"/>
        <v/>
      </c>
      <c r="CY14" s="27" t="str">
        <f t="shared" si="41"/>
        <v/>
      </c>
      <c r="CZ14" s="27" t="str">
        <f t="shared" si="42"/>
        <v/>
      </c>
      <c r="DA14" s="27" t="str">
        <f t="shared" si="43"/>
        <v/>
      </c>
      <c r="DB14" s="27" t="str">
        <f t="shared" si="44"/>
        <v/>
      </c>
      <c r="DC14" s="27" t="str">
        <f t="shared" si="45"/>
        <v/>
      </c>
      <c r="DD14" s="27" t="str">
        <f t="shared" si="46"/>
        <v/>
      </c>
      <c r="DE14" s="27" t="str">
        <f t="shared" si="47"/>
        <v/>
      </c>
      <c r="DF14" s="27" t="str">
        <f t="shared" si="48"/>
        <v/>
      </c>
      <c r="DG14" s="27" t="str">
        <f t="shared" si="49"/>
        <v/>
      </c>
      <c r="DH14" s="27" t="str">
        <f t="shared" si="50"/>
        <v/>
      </c>
      <c r="DI14" s="27" t="str">
        <f t="shared" si="51"/>
        <v/>
      </c>
      <c r="DJ14" s="27" t="str">
        <f t="shared" si="52"/>
        <v/>
      </c>
      <c r="DK14" s="27" t="str">
        <f t="shared" si="53"/>
        <v/>
      </c>
      <c r="DL14" s="15">
        <v>15.2</v>
      </c>
      <c r="DM14" s="15">
        <v>2.4</v>
      </c>
      <c r="DN14" s="15">
        <v>0</v>
      </c>
      <c r="DO14" s="15">
        <v>0</v>
      </c>
      <c r="DP14" s="15">
        <v>18.2</v>
      </c>
      <c r="DQ14" s="15">
        <v>7.6</v>
      </c>
      <c r="DR14" s="15">
        <v>0.8</v>
      </c>
      <c r="DS14" s="15">
        <v>0</v>
      </c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>
        <f t="shared" si="54"/>
        <v>2.4</v>
      </c>
      <c r="EG14" s="10">
        <f t="shared" si="55"/>
        <v>17.599999999999998</v>
      </c>
      <c r="EH14" s="10">
        <f t="shared" si="56"/>
        <v>7.6</v>
      </c>
      <c r="EI14" s="10">
        <f t="shared" si="57"/>
        <v>24.999999999999996</v>
      </c>
      <c r="EJ14" s="10">
        <f t="shared" si="58"/>
        <v>10</v>
      </c>
      <c r="EK14" s="10">
        <f t="shared" si="59"/>
        <v>42.599999999999994</v>
      </c>
      <c r="EL14" s="10" t="str">
        <f t="shared" si="60"/>
        <v/>
      </c>
      <c r="EM14" s="10" t="str">
        <f t="shared" si="61"/>
        <v/>
      </c>
      <c r="EN14" s="10" t="str">
        <f t="shared" si="62"/>
        <v/>
      </c>
      <c r="EO14" s="10" t="str">
        <f t="shared" si="63"/>
        <v/>
      </c>
      <c r="EP14" s="10" t="str">
        <f t="shared" si="64"/>
        <v/>
      </c>
      <c r="EQ14" s="10" t="str">
        <f t="shared" si="65"/>
        <v/>
      </c>
      <c r="ER14" s="10" t="str">
        <f t="shared" si="66"/>
        <v/>
      </c>
      <c r="ES14" s="10" t="str">
        <f t="shared" si="67"/>
        <v/>
      </c>
      <c r="ET14" s="10">
        <f t="shared" si="68"/>
        <v>42.599999999999994</v>
      </c>
      <c r="EU14" s="44">
        <f t="shared" si="69"/>
        <v>16.75</v>
      </c>
      <c r="EV14" s="44">
        <f t="shared" si="70"/>
        <v>4.8</v>
      </c>
      <c r="EW14" s="44">
        <f t="shared" si="71"/>
        <v>0.1</v>
      </c>
      <c r="EX14" s="44">
        <f t="shared" si="72"/>
        <v>0</v>
      </c>
      <c r="EY14" s="44">
        <f t="shared" si="73"/>
        <v>18.05</v>
      </c>
      <c r="EZ14" s="44">
        <f t="shared" si="74"/>
        <v>5.8</v>
      </c>
      <c r="FA14" s="44">
        <f t="shared" si="75"/>
        <v>0.5</v>
      </c>
      <c r="FB14" s="44">
        <f t="shared" si="76"/>
        <v>0</v>
      </c>
      <c r="FC14" s="44">
        <f t="shared" si="77"/>
        <v>9.35</v>
      </c>
      <c r="FD14" s="44">
        <f t="shared" si="78"/>
        <v>3.4</v>
      </c>
      <c r="FE14" s="44">
        <f t="shared" si="79"/>
        <v>0.4</v>
      </c>
      <c r="FF14" s="44">
        <f t="shared" si="80"/>
        <v>0</v>
      </c>
      <c r="FG14" s="44">
        <f t="shared" si="81"/>
        <v>18.25</v>
      </c>
      <c r="FH14" s="44">
        <f t="shared" si="82"/>
        <v>6.6</v>
      </c>
      <c r="FI14" s="44">
        <f t="shared" si="83"/>
        <v>0.5</v>
      </c>
      <c r="FJ14" s="44">
        <f t="shared" si="84"/>
        <v>0</v>
      </c>
      <c r="FK14" s="20" t="s">
        <v>29</v>
      </c>
      <c r="FL14" s="10">
        <f t="shared" si="85"/>
        <v>4.8</v>
      </c>
      <c r="FM14" s="10">
        <f t="shared" si="86"/>
        <v>21.45</v>
      </c>
      <c r="FN14" s="10">
        <f t="shared" si="87"/>
        <v>5.8</v>
      </c>
      <c r="FO14" s="10">
        <f t="shared" si="88"/>
        <v>23.35</v>
      </c>
      <c r="FP14" s="10">
        <f t="shared" si="89"/>
        <v>10.6</v>
      </c>
      <c r="FQ14" s="10">
        <f t="shared" si="92"/>
        <v>44.8</v>
      </c>
      <c r="FR14" s="10">
        <f t="shared" si="93"/>
        <v>3.4</v>
      </c>
      <c r="FS14" s="10">
        <f t="shared" si="94"/>
        <v>12.35</v>
      </c>
      <c r="FT14" s="10">
        <f t="shared" si="95"/>
        <v>6.6</v>
      </c>
      <c r="FU14" s="10">
        <f t="shared" si="96"/>
        <v>24.35</v>
      </c>
      <c r="FV14" s="10">
        <f t="shared" si="97"/>
        <v>10</v>
      </c>
      <c r="FW14" s="10">
        <f t="shared" si="90"/>
        <v>36.700000000000003</v>
      </c>
      <c r="FX14" s="10">
        <f t="shared" si="91"/>
        <v>81.5</v>
      </c>
    </row>
    <row r="15" spans="1:180" x14ac:dyDescent="0.2">
      <c r="A15" s="3" t="str" cm="1">
        <f t="array" ref="A15">IF(AND(H15&lt;&gt;"",H15&lt;&gt;"No DD",I15&lt;&gt;"P"),SUMPRODUCT((H$4:H$39&lt;&gt;"")*(H$4:H$39&lt;&gt;"No DD")*(I$4:I$39&lt;&gt;"P")*(E$4:E$39&gt;E15))+1,IF(H15="No DD",SUMPRODUCT((H$4:H$39="No DD")*(I$4:I$39&lt;&gt;"P")*(E$4:E$39&gt;E15))+1+SUMPRODUCT((H$4:H$39&lt;&gt;"")*(I$4:I$39&lt;&gt;"P")*(H$4:H$39&lt;&gt;"No DD")),""))</f>
        <v/>
      </c>
      <c r="B15" s="4" t="s">
        <v>152</v>
      </c>
      <c r="C15" s="3" t="s">
        <v>5</v>
      </c>
      <c r="D15" s="3">
        <v>2007</v>
      </c>
      <c r="E15" s="8">
        <f t="shared" si="0"/>
        <v>97.500007360004872</v>
      </c>
      <c r="F15" s="2" t="str">
        <f t="shared" si="1"/>
        <v/>
      </c>
      <c r="G15" s="2" t="str">
        <f t="shared" si="2"/>
        <v/>
      </c>
      <c r="H15" s="26" t="str">
        <f t="shared" si="3"/>
        <v/>
      </c>
      <c r="I15" s="2" t="str">
        <f>IF(COUNTIFS('Senior-M'!B:B,B15,'Senior-M'!A:A,"&lt;9",'Senior-M'!H:H,"&lt;&gt;"&amp;"No DD"),"P","")</f>
        <v/>
      </c>
      <c r="J15" s="7">
        <f t="shared" si="4"/>
        <v>48.6</v>
      </c>
      <c r="K15" s="7" t="str">
        <f t="shared" si="5"/>
        <v>2025 Nationals</v>
      </c>
      <c r="L15" s="7">
        <f>IF(J15=AO15,IF(COUNT(AQ15,AS15,BO15,BQ15,BU15,BW15)&gt;1,LARGE((AQ15,AS15,BO15,BQ15,BU15,BW15),1),0),IF(COUNT(AK15,AM15,AQ15,AS15,BU15,BW15)&gt;1,LARGE((AK15,AM15,AQ15,AS15,BU15,BW15),1),0))</f>
        <v>25.000000000000004</v>
      </c>
      <c r="M15" s="7" t="str">
        <f t="shared" si="6"/>
        <v>2025 Nationals</v>
      </c>
      <c r="N15" s="7">
        <f>IF(J15=AO15,IF(COUNT(AQ15,AS15,BO15,BQ15,BU15,BW15)&gt;1,LARGE((AQ15,AS15,BO15,BQ15,BU15,BW15),2),0),IF(COUNT(AK15,AM15,AQ15,AS15,BU15,BW15)&gt;1,LARGE((AK15,AM15,AQ15,AS15,BU15,BW15),2),0))</f>
        <v>23.900000000000002</v>
      </c>
      <c r="O15" s="7" t="str">
        <f t="shared" si="7"/>
        <v>2025 Nationals</v>
      </c>
      <c r="P15" s="7" t="str">
        <f t="shared" si="8"/>
        <v/>
      </c>
      <c r="Q15" s="10" t="str">
        <f t="shared" si="9"/>
        <v/>
      </c>
      <c r="R15" s="7" t="str">
        <f t="shared" si="10"/>
        <v/>
      </c>
      <c r="S15" s="39">
        <v>19</v>
      </c>
      <c r="T15" s="39">
        <v>5.2</v>
      </c>
      <c r="U15" s="39">
        <v>0.8</v>
      </c>
      <c r="V15" s="39">
        <v>0</v>
      </c>
      <c r="W15" s="39">
        <v>18.8</v>
      </c>
      <c r="X15" s="39">
        <v>6.4</v>
      </c>
      <c r="Y15" s="39">
        <v>0</v>
      </c>
      <c r="Z15" s="39">
        <v>0</v>
      </c>
      <c r="AA15" s="39">
        <v>19.100000000000001</v>
      </c>
      <c r="AB15" s="39">
        <v>5.2</v>
      </c>
      <c r="AC15" s="39">
        <v>0.4</v>
      </c>
      <c r="AD15" s="39">
        <v>0</v>
      </c>
      <c r="AE15" s="39">
        <v>18.8</v>
      </c>
      <c r="AF15" s="39">
        <v>6.4</v>
      </c>
      <c r="AG15" s="39">
        <v>0.2</v>
      </c>
      <c r="AH15" s="39">
        <v>0</v>
      </c>
      <c r="AI15" s="19"/>
      <c r="AJ15" s="42">
        <f t="shared" si="11"/>
        <v>5.2</v>
      </c>
      <c r="AK15" s="42">
        <f t="shared" si="12"/>
        <v>23.4</v>
      </c>
      <c r="AL15" s="42">
        <f t="shared" si="13"/>
        <v>6.4</v>
      </c>
      <c r="AM15" s="42">
        <f t="shared" si="14"/>
        <v>25.200000000000003</v>
      </c>
      <c r="AN15" s="27">
        <f t="shared" si="15"/>
        <v>11.600000000000001</v>
      </c>
      <c r="AO15" s="27">
        <f t="shared" si="16"/>
        <v>48.6</v>
      </c>
      <c r="AP15" s="27">
        <f t="shared" si="17"/>
        <v>5.2</v>
      </c>
      <c r="AQ15" s="27">
        <f t="shared" si="18"/>
        <v>23.900000000000002</v>
      </c>
      <c r="AR15" s="27">
        <f t="shared" si="19"/>
        <v>6.4</v>
      </c>
      <c r="AS15" s="27">
        <f t="shared" si="20"/>
        <v>25.000000000000004</v>
      </c>
      <c r="AT15" s="27">
        <f t="shared" si="21"/>
        <v>11.600000000000001</v>
      </c>
      <c r="AU15" s="27">
        <f t="shared" si="22"/>
        <v>48.900000000000006</v>
      </c>
      <c r="AV15" s="27">
        <f t="shared" si="23"/>
        <v>97.5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3" t="str">
        <f t="shared" si="24"/>
        <v/>
      </c>
      <c r="BO15" s="43" t="str">
        <f t="shared" si="25"/>
        <v/>
      </c>
      <c r="BP15" s="43" t="str">
        <f t="shared" si="26"/>
        <v/>
      </c>
      <c r="BQ15" s="43" t="str">
        <f t="shared" si="27"/>
        <v/>
      </c>
      <c r="BR15" s="10" t="str">
        <f t="shared" si="28"/>
        <v/>
      </c>
      <c r="BS15" s="10" t="str">
        <f t="shared" si="29"/>
        <v/>
      </c>
      <c r="BT15" s="10" t="str">
        <f t="shared" si="30"/>
        <v/>
      </c>
      <c r="BU15" s="10" t="str">
        <f t="shared" si="31"/>
        <v/>
      </c>
      <c r="BV15" s="10" t="str">
        <f t="shared" si="32"/>
        <v/>
      </c>
      <c r="BW15" s="10" t="str">
        <f t="shared" si="33"/>
        <v/>
      </c>
      <c r="BX15" s="10" t="str">
        <f t="shared" si="34"/>
        <v/>
      </c>
      <c r="BY15" s="10" t="str">
        <f t="shared" si="35"/>
        <v/>
      </c>
      <c r="BZ15" s="10" t="str">
        <f t="shared" si="36"/>
        <v/>
      </c>
      <c r="CA15" s="34" t="str">
        <f t="shared" si="37"/>
        <v/>
      </c>
      <c r="CB15" s="34" t="str">
        <f t="shared" si="38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9"/>
        <v/>
      </c>
      <c r="CX15" s="27" t="str">
        <f t="shared" si="40"/>
        <v/>
      </c>
      <c r="CY15" s="27" t="str">
        <f t="shared" si="41"/>
        <v/>
      </c>
      <c r="CZ15" s="27" t="str">
        <f t="shared" si="42"/>
        <v/>
      </c>
      <c r="DA15" s="27" t="str">
        <f t="shared" si="43"/>
        <v/>
      </c>
      <c r="DB15" s="27" t="str">
        <f t="shared" si="44"/>
        <v/>
      </c>
      <c r="DC15" s="27" t="str">
        <f t="shared" si="45"/>
        <v/>
      </c>
      <c r="DD15" s="27" t="str">
        <f t="shared" si="46"/>
        <v/>
      </c>
      <c r="DE15" s="27" t="str">
        <f t="shared" si="47"/>
        <v/>
      </c>
      <c r="DF15" s="27" t="str">
        <f t="shared" si="48"/>
        <v/>
      </c>
      <c r="DG15" s="27" t="str">
        <f t="shared" si="49"/>
        <v/>
      </c>
      <c r="DH15" s="27" t="str">
        <f t="shared" si="50"/>
        <v/>
      </c>
      <c r="DI15" s="27" t="str">
        <f t="shared" si="51"/>
        <v/>
      </c>
      <c r="DJ15" s="27" t="str">
        <f t="shared" si="52"/>
        <v/>
      </c>
      <c r="DK15" s="27" t="str">
        <f t="shared" si="53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4"/>
        <v/>
      </c>
      <c r="EG15" s="10" t="str">
        <f t="shared" si="55"/>
        <v/>
      </c>
      <c r="EH15" s="10" t="str">
        <f t="shared" si="56"/>
        <v/>
      </c>
      <c r="EI15" s="10" t="str">
        <f t="shared" si="57"/>
        <v/>
      </c>
      <c r="EJ15" s="10" t="str">
        <f t="shared" si="58"/>
        <v/>
      </c>
      <c r="EK15" s="10" t="str">
        <f t="shared" si="59"/>
        <v/>
      </c>
      <c r="EL15" s="10" t="str">
        <f t="shared" si="60"/>
        <v/>
      </c>
      <c r="EM15" s="10" t="str">
        <f t="shared" si="61"/>
        <v/>
      </c>
      <c r="EN15" s="10" t="str">
        <f t="shared" si="62"/>
        <v/>
      </c>
      <c r="EO15" s="10" t="str">
        <f t="shared" si="63"/>
        <v/>
      </c>
      <c r="EP15" s="10" t="str">
        <f t="shared" si="64"/>
        <v/>
      </c>
      <c r="EQ15" s="10" t="str">
        <f t="shared" si="65"/>
        <v/>
      </c>
      <c r="ER15" s="10" t="str">
        <f t="shared" si="66"/>
        <v/>
      </c>
      <c r="ES15" s="10" t="str">
        <f t="shared" si="67"/>
        <v/>
      </c>
      <c r="ET15" s="10" t="str">
        <f t="shared" si="68"/>
        <v/>
      </c>
      <c r="EU15" s="44">
        <f t="shared" si="69"/>
        <v>9.5</v>
      </c>
      <c r="EV15" s="44">
        <f t="shared" si="70"/>
        <v>2.6</v>
      </c>
      <c r="EW15" s="44">
        <f t="shared" si="71"/>
        <v>0.4</v>
      </c>
      <c r="EX15" s="44">
        <f t="shared" si="72"/>
        <v>0</v>
      </c>
      <c r="EY15" s="44">
        <f t="shared" si="73"/>
        <v>9.4</v>
      </c>
      <c r="EZ15" s="44">
        <f t="shared" si="74"/>
        <v>3.2</v>
      </c>
      <c r="FA15" s="44">
        <f t="shared" si="75"/>
        <v>0</v>
      </c>
      <c r="FB15" s="44">
        <f t="shared" si="76"/>
        <v>0</v>
      </c>
      <c r="FC15" s="44">
        <f t="shared" si="77"/>
        <v>9.5500000000000007</v>
      </c>
      <c r="FD15" s="44">
        <f t="shared" si="78"/>
        <v>2.6</v>
      </c>
      <c r="FE15" s="44">
        <f t="shared" si="79"/>
        <v>0.2</v>
      </c>
      <c r="FF15" s="44">
        <f t="shared" si="80"/>
        <v>0</v>
      </c>
      <c r="FG15" s="44">
        <f t="shared" si="81"/>
        <v>9.4</v>
      </c>
      <c r="FH15" s="44">
        <f t="shared" si="82"/>
        <v>3.2</v>
      </c>
      <c r="FI15" s="44">
        <f t="shared" si="83"/>
        <v>0.1</v>
      </c>
      <c r="FJ15" s="44">
        <f t="shared" si="84"/>
        <v>0</v>
      </c>
      <c r="FK15" s="20" t="s">
        <v>29</v>
      </c>
      <c r="FL15" s="10">
        <f t="shared" si="85"/>
        <v>2.6</v>
      </c>
      <c r="FM15" s="10">
        <f t="shared" si="86"/>
        <v>11.7</v>
      </c>
      <c r="FN15" s="10">
        <f t="shared" si="87"/>
        <v>3.2</v>
      </c>
      <c r="FO15" s="10">
        <f t="shared" si="88"/>
        <v>12.600000000000001</v>
      </c>
      <c r="FP15" s="10">
        <f t="shared" si="89"/>
        <v>5.8000000000000007</v>
      </c>
      <c r="FQ15" s="10">
        <f t="shared" si="92"/>
        <v>24.3</v>
      </c>
      <c r="FR15" s="10">
        <f t="shared" si="93"/>
        <v>2.6</v>
      </c>
      <c r="FS15" s="10">
        <f t="shared" si="94"/>
        <v>11.950000000000001</v>
      </c>
      <c r="FT15" s="10">
        <f t="shared" si="95"/>
        <v>3.2</v>
      </c>
      <c r="FU15" s="10">
        <f t="shared" si="96"/>
        <v>12.500000000000002</v>
      </c>
      <c r="FV15" s="10">
        <f t="shared" si="97"/>
        <v>5.8000000000000007</v>
      </c>
      <c r="FW15" s="10">
        <f t="shared" si="90"/>
        <v>24.450000000000003</v>
      </c>
      <c r="FX15" s="10">
        <f t="shared" si="91"/>
        <v>48.75</v>
      </c>
    </row>
    <row r="16" spans="1:180" x14ac:dyDescent="0.2">
      <c r="A16" s="3" t="str" cm="1">
        <f t="array" ref="A16">IF(AND(H16&lt;&gt;"",H16&lt;&gt;"No DD",I16&lt;&gt;"P"),SUMPRODUCT((H$4:H$39&lt;&gt;"")*(H$4:H$39&lt;&gt;"No DD")*(I$4:I$39&lt;&gt;"P")*(E$4:E$39&gt;E16))+1,IF(H16="No DD",SUMPRODUCT((H$4:H$39="No DD")*(I$4:I$39&lt;&gt;"P")*(E$4:E$39&gt;E16))+1+SUMPRODUCT((H$4:H$39&lt;&gt;"")*(I$4:I$39&lt;&gt;"P")*(H$4:H$39&lt;&gt;"No DD")),""))</f>
        <v/>
      </c>
      <c r="B16" s="4" t="s">
        <v>58</v>
      </c>
      <c r="C16" s="3" t="s">
        <v>4</v>
      </c>
      <c r="D16" s="3">
        <v>2009</v>
      </c>
      <c r="E16" s="8">
        <f t="shared" si="0"/>
        <v>97.400007310004852</v>
      </c>
      <c r="F16" s="2" t="str">
        <f t="shared" si="1"/>
        <v/>
      </c>
      <c r="G16" s="2" t="str">
        <f t="shared" si="2"/>
        <v/>
      </c>
      <c r="H16" s="26" t="str">
        <f t="shared" si="3"/>
        <v/>
      </c>
      <c r="I16" s="2" t="str">
        <f>IF(COUNTIFS('Senior-M'!B:B,B16,'Senior-M'!A:A,"&lt;9",'Senior-M'!H:H,"&lt;&gt;"&amp;"No DD"),"P","")</f>
        <v/>
      </c>
      <c r="J16" s="7">
        <f t="shared" si="4"/>
        <v>48.6</v>
      </c>
      <c r="K16" s="7" t="str">
        <f t="shared" si="5"/>
        <v>2025 3rd Domestic Trial</v>
      </c>
      <c r="L16" s="7">
        <f>IF(J16=AO16,IF(COUNT(AQ16,AS16,BO16,BQ16,BU16,BW16)&gt;1,LARGE((AQ16,AS16,BO16,BQ16,BU16,BW16),1),0),IF(COUNT(AK16,AM16,AQ16,AS16,BU16,BW16)&gt;1,LARGE((AK16,AM16,AQ16,AS16,BU16,BW16),1),0))</f>
        <v>24.5</v>
      </c>
      <c r="M16" s="7" t="str">
        <f t="shared" si="6"/>
        <v>2025 3rd Domestic Trial</v>
      </c>
      <c r="N16" s="7">
        <f>IF(J16=AO16,IF(COUNT(AQ16,AS16,BO16,BQ16,BU16,BW16)&gt;1,LARGE((AQ16,AS16,BO16,BQ16,BU16,BW16),2),0),IF(COUNT(AK16,AM16,AQ16,AS16,BU16,BW16)&gt;1,LARGE((AK16,AM16,AQ16,AS16,BU16,BW16),2),0))</f>
        <v>24.299999999999997</v>
      </c>
      <c r="O16" s="7" t="str">
        <f t="shared" si="7"/>
        <v>2025 3rd Domestic Trial</v>
      </c>
      <c r="P16" s="7" t="str">
        <f t="shared" si="8"/>
        <v/>
      </c>
      <c r="Q16" s="10" t="str">
        <f t="shared" si="9"/>
        <v/>
      </c>
      <c r="R16" s="7" t="str">
        <f t="shared" si="10"/>
        <v/>
      </c>
      <c r="S16" s="39">
        <v>15.3</v>
      </c>
      <c r="T16" s="39">
        <v>2.4</v>
      </c>
      <c r="U16" s="39">
        <v>0</v>
      </c>
      <c r="V16" s="39">
        <v>0</v>
      </c>
      <c r="W16" s="39">
        <v>18.399999999999999</v>
      </c>
      <c r="X16" s="39">
        <v>6.4</v>
      </c>
      <c r="Y16" s="39">
        <v>0.8</v>
      </c>
      <c r="Z16" s="39">
        <v>0</v>
      </c>
      <c r="AA16" s="39">
        <v>18.100000000000001</v>
      </c>
      <c r="AB16" s="39">
        <v>5.2</v>
      </c>
      <c r="AC16" s="39">
        <v>0.8</v>
      </c>
      <c r="AD16" s="39">
        <v>0</v>
      </c>
      <c r="AE16" s="39">
        <v>15.2</v>
      </c>
      <c r="AF16" s="39">
        <v>2.8</v>
      </c>
      <c r="AG16" s="39">
        <v>0.2</v>
      </c>
      <c r="AH16" s="39">
        <v>0</v>
      </c>
      <c r="AI16" s="19"/>
      <c r="AJ16" s="42">
        <f t="shared" si="11"/>
        <v>2.4</v>
      </c>
      <c r="AK16" s="42">
        <f t="shared" si="12"/>
        <v>17.7</v>
      </c>
      <c r="AL16" s="42">
        <f t="shared" si="13"/>
        <v>6.4</v>
      </c>
      <c r="AM16" s="42">
        <f t="shared" si="14"/>
        <v>23.999999999999996</v>
      </c>
      <c r="AN16" s="27">
        <f t="shared" si="15"/>
        <v>8.8000000000000007</v>
      </c>
      <c r="AO16" s="27">
        <f t="shared" si="16"/>
        <v>41.699999999999996</v>
      </c>
      <c r="AP16" s="27">
        <f t="shared" si="17"/>
        <v>5.2</v>
      </c>
      <c r="AQ16" s="27">
        <f t="shared" si="18"/>
        <v>22.5</v>
      </c>
      <c r="AR16" s="27">
        <f t="shared" si="19"/>
        <v>2.8</v>
      </c>
      <c r="AS16" s="27">
        <f t="shared" si="20"/>
        <v>17.8</v>
      </c>
      <c r="AT16" s="27">
        <f t="shared" si="21"/>
        <v>8</v>
      </c>
      <c r="AU16" s="27">
        <f t="shared" si="22"/>
        <v>40.299999999999997</v>
      </c>
      <c r="AV16" s="27">
        <f t="shared" si="23"/>
        <v>82</v>
      </c>
      <c r="AW16" s="15">
        <v>18.7</v>
      </c>
      <c r="AX16" s="15">
        <v>6</v>
      </c>
      <c r="AY16" s="15">
        <v>0</v>
      </c>
      <c r="AZ16" s="15">
        <v>0</v>
      </c>
      <c r="BA16" s="15">
        <v>18.5</v>
      </c>
      <c r="BB16" s="15">
        <v>5.6</v>
      </c>
      <c r="BC16" s="15">
        <v>0.2</v>
      </c>
      <c r="BD16" s="15">
        <v>0</v>
      </c>
      <c r="BE16" s="15">
        <v>18.5</v>
      </c>
      <c r="BF16" s="15">
        <v>6</v>
      </c>
      <c r="BG16" s="15">
        <v>0</v>
      </c>
      <c r="BH16" s="15">
        <v>0</v>
      </c>
      <c r="BI16" s="15">
        <v>18.7</v>
      </c>
      <c r="BJ16" s="15">
        <v>5.6</v>
      </c>
      <c r="BK16" s="15">
        <v>0</v>
      </c>
      <c r="BL16" s="15">
        <v>0</v>
      </c>
      <c r="BM16" s="20"/>
      <c r="BN16" s="43">
        <f t="shared" si="24"/>
        <v>6</v>
      </c>
      <c r="BO16" s="43">
        <f t="shared" si="25"/>
        <v>24.7</v>
      </c>
      <c r="BP16" s="43">
        <f t="shared" si="26"/>
        <v>5.6</v>
      </c>
      <c r="BQ16" s="43">
        <f t="shared" si="27"/>
        <v>23.900000000000002</v>
      </c>
      <c r="BR16" s="10">
        <f t="shared" si="28"/>
        <v>11.6</v>
      </c>
      <c r="BS16" s="10">
        <f t="shared" si="29"/>
        <v>48.6</v>
      </c>
      <c r="BT16" s="10">
        <f t="shared" si="30"/>
        <v>6</v>
      </c>
      <c r="BU16" s="10">
        <f t="shared" si="31"/>
        <v>24.5</v>
      </c>
      <c r="BV16" s="10">
        <f t="shared" si="32"/>
        <v>5.6</v>
      </c>
      <c r="BW16" s="10">
        <f t="shared" si="33"/>
        <v>24.299999999999997</v>
      </c>
      <c r="BX16" s="10">
        <f t="shared" si="34"/>
        <v>11.6</v>
      </c>
      <c r="BY16" s="10">
        <f t="shared" si="35"/>
        <v>48.8</v>
      </c>
      <c r="BZ16" s="10">
        <f t="shared" si="36"/>
        <v>97.4</v>
      </c>
      <c r="CA16" s="34" t="str">
        <f t="shared" si="37"/>
        <v/>
      </c>
      <c r="CB16" s="34" t="str">
        <f t="shared" si="38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9"/>
        <v/>
      </c>
      <c r="CX16" s="27" t="str">
        <f t="shared" si="40"/>
        <v/>
      </c>
      <c r="CY16" s="27" t="str">
        <f t="shared" si="41"/>
        <v/>
      </c>
      <c r="CZ16" s="27" t="str">
        <f t="shared" si="42"/>
        <v/>
      </c>
      <c r="DA16" s="27" t="str">
        <f t="shared" si="43"/>
        <v/>
      </c>
      <c r="DB16" s="27" t="str">
        <f t="shared" si="44"/>
        <v/>
      </c>
      <c r="DC16" s="27" t="str">
        <f t="shared" si="45"/>
        <v/>
      </c>
      <c r="DD16" s="27" t="str">
        <f t="shared" si="46"/>
        <v/>
      </c>
      <c r="DE16" s="27" t="str">
        <f t="shared" si="47"/>
        <v/>
      </c>
      <c r="DF16" s="27" t="str">
        <f t="shared" si="48"/>
        <v/>
      </c>
      <c r="DG16" s="27" t="str">
        <f t="shared" si="49"/>
        <v/>
      </c>
      <c r="DH16" s="27" t="str">
        <f t="shared" si="50"/>
        <v/>
      </c>
      <c r="DI16" s="27" t="str">
        <f t="shared" si="51"/>
        <v/>
      </c>
      <c r="DJ16" s="27" t="str">
        <f t="shared" si="52"/>
        <v/>
      </c>
      <c r="DK16" s="27" t="str">
        <f t="shared" si="53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4"/>
        <v/>
      </c>
      <c r="EG16" s="10" t="str">
        <f t="shared" si="55"/>
        <v/>
      </c>
      <c r="EH16" s="10" t="str">
        <f t="shared" si="56"/>
        <v/>
      </c>
      <c r="EI16" s="10" t="str">
        <f t="shared" si="57"/>
        <v/>
      </c>
      <c r="EJ16" s="10" t="str">
        <f t="shared" si="58"/>
        <v/>
      </c>
      <c r="EK16" s="10" t="str">
        <f t="shared" si="59"/>
        <v/>
      </c>
      <c r="EL16" s="10" t="str">
        <f t="shared" si="60"/>
        <v/>
      </c>
      <c r="EM16" s="10" t="str">
        <f t="shared" si="61"/>
        <v/>
      </c>
      <c r="EN16" s="10" t="str">
        <f t="shared" si="62"/>
        <v/>
      </c>
      <c r="EO16" s="10" t="str">
        <f t="shared" si="63"/>
        <v/>
      </c>
      <c r="EP16" s="10" t="str">
        <f t="shared" si="64"/>
        <v/>
      </c>
      <c r="EQ16" s="10" t="str">
        <f t="shared" si="65"/>
        <v/>
      </c>
      <c r="ER16" s="10" t="str">
        <f t="shared" si="66"/>
        <v/>
      </c>
      <c r="ES16" s="10" t="str">
        <f t="shared" si="67"/>
        <v/>
      </c>
      <c r="ET16" s="10" t="str">
        <f t="shared" si="68"/>
        <v/>
      </c>
      <c r="EU16" s="44">
        <f t="shared" si="69"/>
        <v>17</v>
      </c>
      <c r="EV16" s="44">
        <f t="shared" si="70"/>
        <v>4.2</v>
      </c>
      <c r="EW16" s="44">
        <f t="shared" si="71"/>
        <v>0</v>
      </c>
      <c r="EX16" s="44">
        <f t="shared" si="72"/>
        <v>0</v>
      </c>
      <c r="EY16" s="44">
        <f t="shared" si="73"/>
        <v>18.45</v>
      </c>
      <c r="EZ16" s="44">
        <f t="shared" si="74"/>
        <v>6</v>
      </c>
      <c r="FA16" s="44">
        <f t="shared" si="75"/>
        <v>0.5</v>
      </c>
      <c r="FB16" s="44">
        <f t="shared" si="76"/>
        <v>0</v>
      </c>
      <c r="FC16" s="44">
        <f t="shared" si="77"/>
        <v>18.3</v>
      </c>
      <c r="FD16" s="44">
        <f t="shared" si="78"/>
        <v>5.6</v>
      </c>
      <c r="FE16" s="44">
        <f t="shared" si="79"/>
        <v>0.4</v>
      </c>
      <c r="FF16" s="44">
        <f t="shared" si="80"/>
        <v>0</v>
      </c>
      <c r="FG16" s="44">
        <f t="shared" si="81"/>
        <v>16.95</v>
      </c>
      <c r="FH16" s="44">
        <f t="shared" si="82"/>
        <v>4.1999999999999993</v>
      </c>
      <c r="FI16" s="44">
        <f t="shared" si="83"/>
        <v>0.1</v>
      </c>
      <c r="FJ16" s="44">
        <f t="shared" si="84"/>
        <v>0</v>
      </c>
      <c r="FK16" s="20" t="s">
        <v>29</v>
      </c>
      <c r="FL16" s="10">
        <f t="shared" si="85"/>
        <v>4.2</v>
      </c>
      <c r="FM16" s="10">
        <f t="shared" si="86"/>
        <v>21.2</v>
      </c>
      <c r="FN16" s="10">
        <f t="shared" si="87"/>
        <v>6</v>
      </c>
      <c r="FO16" s="10">
        <f t="shared" si="88"/>
        <v>23.95</v>
      </c>
      <c r="FP16" s="10">
        <f t="shared" si="89"/>
        <v>10.199999999999999</v>
      </c>
      <c r="FQ16" s="10">
        <f t="shared" si="92"/>
        <v>45.15</v>
      </c>
      <c r="FR16" s="10">
        <f t="shared" si="93"/>
        <v>5.6</v>
      </c>
      <c r="FS16" s="10">
        <f t="shared" si="94"/>
        <v>23.5</v>
      </c>
      <c r="FT16" s="10">
        <f t="shared" si="95"/>
        <v>4.1999999999999993</v>
      </c>
      <c r="FU16" s="10">
        <f t="shared" si="96"/>
        <v>21.049999999999997</v>
      </c>
      <c r="FV16" s="10">
        <f t="shared" si="97"/>
        <v>9.7999999999999989</v>
      </c>
      <c r="FW16" s="10">
        <f t="shared" si="90"/>
        <v>44.55</v>
      </c>
      <c r="FX16" s="10">
        <f t="shared" si="91"/>
        <v>89.699999999999989</v>
      </c>
    </row>
    <row r="17" spans="1:180" x14ac:dyDescent="0.2">
      <c r="A17" s="3" t="str" cm="1">
        <f t="array" ref="A17">IF(AND(H17&lt;&gt;"",H17&lt;&gt;"No DD",I17&lt;&gt;"P"),SUMPRODUCT((H$4:H$39&lt;&gt;"")*(H$4:H$39&lt;&gt;"No DD")*(I$4:I$39&lt;&gt;"P")*(E$4:E$39&gt;E17))+1,IF(H17="No DD",SUMPRODUCT((H$4:H$39="No DD")*(I$4:I$39&lt;&gt;"P")*(E$4:E$39&gt;E17))+1+SUMPRODUCT((H$4:H$39&lt;&gt;"")*(I$4:I$39&lt;&gt;"P")*(H$4:H$39&lt;&gt;"No DD")),""))</f>
        <v/>
      </c>
      <c r="B17" s="4" t="s">
        <v>145</v>
      </c>
      <c r="C17" s="3" t="s">
        <v>4</v>
      </c>
      <c r="D17" s="3">
        <v>2008</v>
      </c>
      <c r="E17" s="8">
        <f t="shared" si="0"/>
        <v>96.600007280004832</v>
      </c>
      <c r="F17" s="2" t="str">
        <f t="shared" si="1"/>
        <v/>
      </c>
      <c r="G17" s="2" t="str">
        <f t="shared" si="2"/>
        <v/>
      </c>
      <c r="H17" s="26" t="str">
        <f t="shared" si="3"/>
        <v/>
      </c>
      <c r="I17" s="2" t="str">
        <f>IF(COUNTIFS('Senior-M'!B:B,B17,'Senior-M'!A:A,"&lt;9",'Senior-M'!H:H,"&lt;&gt;"&amp;"No DD"),"P","")</f>
        <v/>
      </c>
      <c r="J17" s="7">
        <f t="shared" si="4"/>
        <v>48.3</v>
      </c>
      <c r="K17" s="7" t="str">
        <f t="shared" si="5"/>
        <v>2025 3rd Domestic Trial</v>
      </c>
      <c r="L17" s="7">
        <f>IF(J17=AO17,IF(COUNT(AQ17,AS17,BO17,BQ17,BU17,BW17)&gt;1,LARGE((AQ17,AS17,BO17,BQ17,BU17,BW17),1),0),IF(COUNT(AK17,AM17,AQ17,AS17,BU17,BW17)&gt;1,LARGE((AK17,AM17,AQ17,AS17,BU17,BW17),1),0))</f>
        <v>24.5</v>
      </c>
      <c r="M17" s="7" t="str">
        <f t="shared" si="6"/>
        <v>2025 3rd Domestic Trial</v>
      </c>
      <c r="N17" s="7">
        <f>IF(J17=AO17,IF(COUNT(AQ17,AS17,BO17,BQ17,BU17,BW17)&gt;1,LARGE((AQ17,AS17,BO17,BQ17,BU17,BW17),2),0),IF(COUNT(AK17,AM17,AQ17,AS17,BU17,BW17)&gt;1,LARGE((AK17,AM17,AQ17,AS17,BU17,BW17),2),0))</f>
        <v>23.799999999999997</v>
      </c>
      <c r="O17" s="7" t="str">
        <f t="shared" si="7"/>
        <v>2025 Nationals</v>
      </c>
      <c r="P17" s="7" t="str">
        <f t="shared" si="8"/>
        <v/>
      </c>
      <c r="Q17" s="10" t="str">
        <f t="shared" si="9"/>
        <v/>
      </c>
      <c r="R17" s="7" t="str">
        <f t="shared" si="10"/>
        <v/>
      </c>
      <c r="S17" s="39">
        <v>18.100000000000001</v>
      </c>
      <c r="T17" s="39">
        <v>4.8</v>
      </c>
      <c r="U17" s="39">
        <v>0.2</v>
      </c>
      <c r="V17" s="39">
        <v>0</v>
      </c>
      <c r="W17" s="39">
        <v>18.2</v>
      </c>
      <c r="X17" s="39">
        <v>5.6</v>
      </c>
      <c r="Y17" s="39">
        <v>0</v>
      </c>
      <c r="Z17" s="39">
        <v>0</v>
      </c>
      <c r="AA17" s="39">
        <v>18.100000000000001</v>
      </c>
      <c r="AB17" s="39">
        <v>6</v>
      </c>
      <c r="AC17" s="39">
        <v>0.6</v>
      </c>
      <c r="AD17" s="39">
        <v>0</v>
      </c>
      <c r="AE17" s="39">
        <v>17.899999999999999</v>
      </c>
      <c r="AF17" s="39">
        <v>5.6</v>
      </c>
      <c r="AG17" s="39">
        <v>0.2</v>
      </c>
      <c r="AH17" s="39">
        <v>0</v>
      </c>
      <c r="AI17" s="19"/>
      <c r="AJ17" s="42">
        <f t="shared" si="11"/>
        <v>4.8</v>
      </c>
      <c r="AK17" s="42">
        <f t="shared" si="12"/>
        <v>22.700000000000003</v>
      </c>
      <c r="AL17" s="42">
        <f t="shared" si="13"/>
        <v>5.6</v>
      </c>
      <c r="AM17" s="42">
        <f t="shared" si="14"/>
        <v>23.799999999999997</v>
      </c>
      <c r="AN17" s="27">
        <f t="shared" si="15"/>
        <v>10.399999999999999</v>
      </c>
      <c r="AO17" s="27">
        <f t="shared" si="16"/>
        <v>46.5</v>
      </c>
      <c r="AP17" s="27">
        <f t="shared" si="17"/>
        <v>6</v>
      </c>
      <c r="AQ17" s="27">
        <f t="shared" si="18"/>
        <v>23.5</v>
      </c>
      <c r="AR17" s="27">
        <f t="shared" si="19"/>
        <v>5.6</v>
      </c>
      <c r="AS17" s="27">
        <f t="shared" si="20"/>
        <v>23.3</v>
      </c>
      <c r="AT17" s="27">
        <f t="shared" si="21"/>
        <v>11.6</v>
      </c>
      <c r="AU17" s="27">
        <f t="shared" si="22"/>
        <v>46.8</v>
      </c>
      <c r="AV17" s="27">
        <f t="shared" si="23"/>
        <v>93.3</v>
      </c>
      <c r="AW17" s="15">
        <v>18.600000000000001</v>
      </c>
      <c r="AX17" s="15">
        <v>6.4</v>
      </c>
      <c r="AY17" s="15">
        <v>0.6</v>
      </c>
      <c r="AZ17" s="15">
        <v>0</v>
      </c>
      <c r="BA17" s="15">
        <v>18.5</v>
      </c>
      <c r="BB17" s="15">
        <v>6</v>
      </c>
      <c r="BC17" s="15">
        <v>0.6</v>
      </c>
      <c r="BD17" s="15">
        <v>0</v>
      </c>
      <c r="BE17" s="15">
        <v>18.5</v>
      </c>
      <c r="BF17" s="15">
        <v>5.2</v>
      </c>
      <c r="BG17" s="15">
        <v>0.6</v>
      </c>
      <c r="BH17" s="15">
        <v>0</v>
      </c>
      <c r="BI17" s="15">
        <v>18.3</v>
      </c>
      <c r="BJ17" s="15">
        <v>6.8</v>
      </c>
      <c r="BK17" s="15">
        <v>0.6</v>
      </c>
      <c r="BL17" s="15">
        <v>0</v>
      </c>
      <c r="BM17" s="20"/>
      <c r="BN17" s="43">
        <f t="shared" si="24"/>
        <v>6.4</v>
      </c>
      <c r="BO17" s="43">
        <f t="shared" si="25"/>
        <v>24.4</v>
      </c>
      <c r="BP17" s="43">
        <f t="shared" si="26"/>
        <v>6</v>
      </c>
      <c r="BQ17" s="43">
        <f t="shared" si="27"/>
        <v>23.9</v>
      </c>
      <c r="BR17" s="10">
        <f t="shared" si="28"/>
        <v>12.4</v>
      </c>
      <c r="BS17" s="10">
        <f t="shared" si="29"/>
        <v>48.3</v>
      </c>
      <c r="BT17" s="10">
        <f t="shared" si="30"/>
        <v>5.2</v>
      </c>
      <c r="BU17" s="10">
        <f t="shared" si="31"/>
        <v>23.099999999999998</v>
      </c>
      <c r="BV17" s="10">
        <f t="shared" si="32"/>
        <v>6.8</v>
      </c>
      <c r="BW17" s="10">
        <f t="shared" si="33"/>
        <v>24.5</v>
      </c>
      <c r="BX17" s="10">
        <f t="shared" si="34"/>
        <v>12</v>
      </c>
      <c r="BY17" s="10">
        <f t="shared" si="35"/>
        <v>47.599999999999994</v>
      </c>
      <c r="BZ17" s="10">
        <f t="shared" si="36"/>
        <v>95.899999999999991</v>
      </c>
      <c r="CA17" s="34" t="str">
        <f t="shared" si="37"/>
        <v/>
      </c>
      <c r="CB17" s="34" t="str">
        <f t="shared" si="38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39"/>
        <v/>
      </c>
      <c r="CX17" s="27" t="str">
        <f t="shared" si="40"/>
        <v/>
      </c>
      <c r="CY17" s="27" t="str">
        <f t="shared" si="41"/>
        <v/>
      </c>
      <c r="CZ17" s="27" t="str">
        <f t="shared" si="42"/>
        <v/>
      </c>
      <c r="DA17" s="27" t="str">
        <f t="shared" si="43"/>
        <v/>
      </c>
      <c r="DB17" s="27" t="str">
        <f t="shared" si="44"/>
        <v/>
      </c>
      <c r="DC17" s="27" t="str">
        <f t="shared" si="45"/>
        <v/>
      </c>
      <c r="DD17" s="27" t="str">
        <f t="shared" si="46"/>
        <v/>
      </c>
      <c r="DE17" s="27" t="str">
        <f t="shared" si="47"/>
        <v/>
      </c>
      <c r="DF17" s="27" t="str">
        <f t="shared" si="48"/>
        <v/>
      </c>
      <c r="DG17" s="27" t="str">
        <f t="shared" si="49"/>
        <v/>
      </c>
      <c r="DH17" s="27" t="str">
        <f t="shared" si="50"/>
        <v/>
      </c>
      <c r="DI17" s="27" t="str">
        <f t="shared" si="51"/>
        <v/>
      </c>
      <c r="DJ17" s="27" t="str">
        <f t="shared" si="52"/>
        <v/>
      </c>
      <c r="DK17" s="27" t="str">
        <f t="shared" si="53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4"/>
        <v/>
      </c>
      <c r="EG17" s="10" t="str">
        <f t="shared" si="55"/>
        <v/>
      </c>
      <c r="EH17" s="10" t="str">
        <f t="shared" si="56"/>
        <v/>
      </c>
      <c r="EI17" s="10" t="str">
        <f t="shared" si="57"/>
        <v/>
      </c>
      <c r="EJ17" s="10" t="str">
        <f t="shared" si="58"/>
        <v/>
      </c>
      <c r="EK17" s="10" t="str">
        <f t="shared" si="59"/>
        <v/>
      </c>
      <c r="EL17" s="10" t="str">
        <f t="shared" si="60"/>
        <v/>
      </c>
      <c r="EM17" s="10" t="str">
        <f t="shared" si="61"/>
        <v/>
      </c>
      <c r="EN17" s="10" t="str">
        <f t="shared" si="62"/>
        <v/>
      </c>
      <c r="EO17" s="10" t="str">
        <f t="shared" si="63"/>
        <v/>
      </c>
      <c r="EP17" s="10" t="str">
        <f t="shared" si="64"/>
        <v/>
      </c>
      <c r="EQ17" s="10" t="str">
        <f t="shared" si="65"/>
        <v/>
      </c>
      <c r="ER17" s="10" t="str">
        <f t="shared" si="66"/>
        <v/>
      </c>
      <c r="ES17" s="10" t="str">
        <f t="shared" si="67"/>
        <v/>
      </c>
      <c r="ET17" s="10" t="str">
        <f t="shared" si="68"/>
        <v/>
      </c>
      <c r="EU17" s="44">
        <f t="shared" si="69"/>
        <v>18.350000000000001</v>
      </c>
      <c r="EV17" s="44">
        <f t="shared" si="70"/>
        <v>5.6</v>
      </c>
      <c r="EW17" s="44">
        <f t="shared" si="71"/>
        <v>0.4</v>
      </c>
      <c r="EX17" s="44">
        <f t="shared" si="72"/>
        <v>0</v>
      </c>
      <c r="EY17" s="44">
        <f t="shared" si="73"/>
        <v>18.350000000000001</v>
      </c>
      <c r="EZ17" s="44">
        <f t="shared" si="74"/>
        <v>5.8</v>
      </c>
      <c r="FA17" s="44">
        <f t="shared" si="75"/>
        <v>0.3</v>
      </c>
      <c r="FB17" s="44">
        <f t="shared" si="76"/>
        <v>0</v>
      </c>
      <c r="FC17" s="44">
        <f t="shared" si="77"/>
        <v>18.3</v>
      </c>
      <c r="FD17" s="44">
        <f t="shared" si="78"/>
        <v>5.6</v>
      </c>
      <c r="FE17" s="44">
        <f t="shared" si="79"/>
        <v>0.6</v>
      </c>
      <c r="FF17" s="44">
        <f t="shared" si="80"/>
        <v>0</v>
      </c>
      <c r="FG17" s="44">
        <f t="shared" si="81"/>
        <v>18.100000000000001</v>
      </c>
      <c r="FH17" s="44">
        <f t="shared" si="82"/>
        <v>6.1999999999999993</v>
      </c>
      <c r="FI17" s="44">
        <f t="shared" si="83"/>
        <v>0.4</v>
      </c>
      <c r="FJ17" s="44">
        <f t="shared" si="84"/>
        <v>0</v>
      </c>
      <c r="FK17" s="20" t="s">
        <v>29</v>
      </c>
      <c r="FL17" s="10">
        <f t="shared" si="85"/>
        <v>5.6</v>
      </c>
      <c r="FM17" s="10">
        <f t="shared" si="86"/>
        <v>23.550000000000004</v>
      </c>
      <c r="FN17" s="10">
        <f t="shared" si="87"/>
        <v>5.8</v>
      </c>
      <c r="FO17" s="10">
        <f t="shared" si="88"/>
        <v>23.85</v>
      </c>
      <c r="FP17" s="10">
        <f t="shared" si="89"/>
        <v>11.399999999999999</v>
      </c>
      <c r="FQ17" s="10">
        <f t="shared" si="92"/>
        <v>47.400000000000006</v>
      </c>
      <c r="FR17" s="10">
        <f t="shared" si="93"/>
        <v>5.6</v>
      </c>
      <c r="FS17" s="10">
        <f t="shared" si="94"/>
        <v>23.299999999999997</v>
      </c>
      <c r="FT17" s="10">
        <f t="shared" si="95"/>
        <v>6.1999999999999993</v>
      </c>
      <c r="FU17" s="10">
        <f t="shared" si="96"/>
        <v>23.900000000000002</v>
      </c>
      <c r="FV17" s="10">
        <f t="shared" si="97"/>
        <v>11.799999999999999</v>
      </c>
      <c r="FW17" s="10">
        <f t="shared" si="90"/>
        <v>47.2</v>
      </c>
      <c r="FX17" s="10">
        <f t="shared" si="91"/>
        <v>94.600000000000009</v>
      </c>
    </row>
    <row r="18" spans="1:180" x14ac:dyDescent="0.2">
      <c r="A18" s="3" t="str" cm="1">
        <f t="array" ref="A18">IF(AND(H18&lt;&gt;"",H18&lt;&gt;"No DD",I18&lt;&gt;"P"),SUMPRODUCT((H$4:H$39&lt;&gt;"")*(H$4:H$39&lt;&gt;"No DD")*(I$4:I$39&lt;&gt;"P")*(E$4:E$39&gt;E18))+1,IF(H18="No DD",SUMPRODUCT((H$4:H$39="No DD")*(I$4:I$39&lt;&gt;"P")*(E$4:E$39&gt;E18))+1+SUMPRODUCT((H$4:H$39&lt;&gt;"")*(I$4:I$39&lt;&gt;"P")*(H$4:H$39&lt;&gt;"No DD")),""))</f>
        <v/>
      </c>
      <c r="B18" s="4" t="s">
        <v>85</v>
      </c>
      <c r="C18" s="3" t="s">
        <v>5</v>
      </c>
      <c r="D18" s="3">
        <v>2008</v>
      </c>
      <c r="E18" s="8">
        <f t="shared" si="0"/>
        <v>95.000007300005009</v>
      </c>
      <c r="F18" s="2" t="str">
        <f t="shared" si="1"/>
        <v/>
      </c>
      <c r="G18" s="2" t="str">
        <f t="shared" si="2"/>
        <v/>
      </c>
      <c r="H18" s="26" t="str">
        <f t="shared" si="3"/>
        <v/>
      </c>
      <c r="I18" s="2" t="str">
        <f>IF(COUNTIFS('Senior-M'!B:B,B18,'Senior-M'!A:A,"&lt;9",'Senior-M'!H:H,"&lt;&gt;"&amp;"No DD"),"P","")</f>
        <v/>
      </c>
      <c r="J18" s="7">
        <f t="shared" si="4"/>
        <v>50.099999999999994</v>
      </c>
      <c r="K18" s="7" t="str">
        <f t="shared" si="5"/>
        <v>2025 Nationals</v>
      </c>
      <c r="L18" s="7">
        <f>IF(J18=AO18,IF(COUNT(AQ18,AS18,BO18,BQ18,BU18,BW18)&gt;1,LARGE((AQ18,AS18,BO18,BQ18,BU18,BW18),1),0),IF(COUNT(AK18,AM18,AQ18,AS18,BU18,BW18)&gt;1,LARGE((AK18,AM18,AQ18,AS18,BU18,BW18),1),0))</f>
        <v>22.9</v>
      </c>
      <c r="M18" s="7" t="str">
        <f t="shared" si="6"/>
        <v>2025 Nationals</v>
      </c>
      <c r="N18" s="7">
        <f>IF(J18=AO18,IF(COUNT(AQ18,AS18,BO18,BQ18,BU18,BW18)&gt;1,LARGE((AQ18,AS18,BO18,BQ18,BU18,BW18),2),0),IF(COUNT(AK18,AM18,AQ18,AS18,BU18,BW18)&gt;1,LARGE((AK18,AM18,AQ18,AS18,BU18,BW18),2),0))</f>
        <v>22</v>
      </c>
      <c r="O18" s="7" t="str">
        <f t="shared" si="7"/>
        <v>2025 Nationals</v>
      </c>
      <c r="P18" s="7" t="str">
        <f t="shared" si="8"/>
        <v/>
      </c>
      <c r="Q18" s="10" t="str">
        <f t="shared" si="9"/>
        <v/>
      </c>
      <c r="R18" s="7" t="str">
        <f t="shared" si="10"/>
        <v/>
      </c>
      <c r="S18" s="39">
        <v>18.899999999999999</v>
      </c>
      <c r="T18" s="39">
        <v>7.2</v>
      </c>
      <c r="U18" s="39">
        <v>0.2</v>
      </c>
      <c r="V18" s="39">
        <v>0</v>
      </c>
      <c r="W18" s="39">
        <v>18.399999999999999</v>
      </c>
      <c r="X18" s="39">
        <v>6.8</v>
      </c>
      <c r="Y18" s="39">
        <v>1</v>
      </c>
      <c r="Z18" s="39">
        <v>0</v>
      </c>
      <c r="AA18" s="39">
        <v>17.8</v>
      </c>
      <c r="AB18" s="39">
        <v>5.2</v>
      </c>
      <c r="AC18" s="39">
        <v>1</v>
      </c>
      <c r="AD18" s="39">
        <v>0</v>
      </c>
      <c r="AE18" s="39">
        <v>16.5</v>
      </c>
      <c r="AF18" s="39">
        <v>7.2</v>
      </c>
      <c r="AG18" s="39">
        <v>0.8</v>
      </c>
      <c r="AH18" s="39">
        <v>0</v>
      </c>
      <c r="AI18" s="19"/>
      <c r="AJ18" s="42">
        <f t="shared" si="11"/>
        <v>7.2</v>
      </c>
      <c r="AK18" s="42">
        <f t="shared" si="12"/>
        <v>25.9</v>
      </c>
      <c r="AL18" s="42">
        <f t="shared" si="13"/>
        <v>6.8</v>
      </c>
      <c r="AM18" s="42">
        <f t="shared" si="14"/>
        <v>24.2</v>
      </c>
      <c r="AN18" s="27">
        <f t="shared" si="15"/>
        <v>14</v>
      </c>
      <c r="AO18" s="27">
        <f t="shared" si="16"/>
        <v>50.099999999999994</v>
      </c>
      <c r="AP18" s="27">
        <f t="shared" si="17"/>
        <v>5.2</v>
      </c>
      <c r="AQ18" s="27">
        <f t="shared" si="18"/>
        <v>22</v>
      </c>
      <c r="AR18" s="27">
        <f t="shared" si="19"/>
        <v>7.2</v>
      </c>
      <c r="AS18" s="27">
        <f t="shared" si="20"/>
        <v>22.9</v>
      </c>
      <c r="AT18" s="27">
        <f t="shared" si="21"/>
        <v>12.4</v>
      </c>
      <c r="AU18" s="27">
        <f t="shared" si="22"/>
        <v>44.9</v>
      </c>
      <c r="AV18" s="27">
        <f t="shared" si="23"/>
        <v>95</v>
      </c>
      <c r="AW18" s="15">
        <v>17.399999999999999</v>
      </c>
      <c r="AX18" s="15">
        <v>6</v>
      </c>
      <c r="AY18" s="15">
        <v>1.8</v>
      </c>
      <c r="AZ18" s="15">
        <v>0</v>
      </c>
      <c r="BA18" s="15">
        <v>15.4</v>
      </c>
      <c r="BB18" s="15">
        <v>2.4</v>
      </c>
      <c r="BC18" s="15">
        <v>0</v>
      </c>
      <c r="BD18" s="15">
        <v>0</v>
      </c>
      <c r="BE18" s="15"/>
      <c r="BF18" s="15"/>
      <c r="BG18" s="15"/>
      <c r="BH18" s="15"/>
      <c r="BI18" s="15"/>
      <c r="BJ18" s="15"/>
      <c r="BK18" s="15"/>
      <c r="BL18" s="15"/>
      <c r="BM18" s="20"/>
      <c r="BN18" s="43">
        <f t="shared" si="24"/>
        <v>6</v>
      </c>
      <c r="BO18" s="43">
        <f t="shared" si="25"/>
        <v>21.599999999999998</v>
      </c>
      <c r="BP18" s="43">
        <f t="shared" si="26"/>
        <v>2.4</v>
      </c>
      <c r="BQ18" s="43">
        <f t="shared" si="27"/>
        <v>17.8</v>
      </c>
      <c r="BR18" s="10">
        <f t="shared" si="28"/>
        <v>8.4</v>
      </c>
      <c r="BS18" s="10">
        <f t="shared" si="29"/>
        <v>39.4</v>
      </c>
      <c r="BT18" s="10" t="str">
        <f t="shared" si="30"/>
        <v/>
      </c>
      <c r="BU18" s="10" t="str">
        <f t="shared" si="31"/>
        <v/>
      </c>
      <c r="BV18" s="10" t="str">
        <f t="shared" si="32"/>
        <v/>
      </c>
      <c r="BW18" s="10" t="str">
        <f t="shared" si="33"/>
        <v/>
      </c>
      <c r="BX18" s="10" t="str">
        <f t="shared" si="34"/>
        <v/>
      </c>
      <c r="BY18" s="10" t="str">
        <f t="shared" si="35"/>
        <v/>
      </c>
      <c r="BZ18" s="10">
        <f t="shared" si="36"/>
        <v>39.4</v>
      </c>
      <c r="CA18" s="34" t="str">
        <f t="shared" si="37"/>
        <v/>
      </c>
      <c r="CB18" s="34" t="str">
        <f t="shared" si="38"/>
        <v/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39"/>
        <v/>
      </c>
      <c r="CX18" s="27" t="str">
        <f t="shared" si="40"/>
        <v/>
      </c>
      <c r="CY18" s="27" t="str">
        <f t="shared" si="41"/>
        <v/>
      </c>
      <c r="CZ18" s="27" t="str">
        <f t="shared" si="42"/>
        <v/>
      </c>
      <c r="DA18" s="27" t="str">
        <f t="shared" si="43"/>
        <v/>
      </c>
      <c r="DB18" s="27" t="str">
        <f t="shared" si="44"/>
        <v/>
      </c>
      <c r="DC18" s="27" t="str">
        <f t="shared" si="45"/>
        <v/>
      </c>
      <c r="DD18" s="27" t="str">
        <f t="shared" si="46"/>
        <v/>
      </c>
      <c r="DE18" s="27" t="str">
        <f t="shared" si="47"/>
        <v/>
      </c>
      <c r="DF18" s="27" t="str">
        <f t="shared" si="48"/>
        <v/>
      </c>
      <c r="DG18" s="27" t="str">
        <f t="shared" si="49"/>
        <v/>
      </c>
      <c r="DH18" s="27" t="str">
        <f t="shared" si="50"/>
        <v/>
      </c>
      <c r="DI18" s="27" t="str">
        <f t="shared" si="51"/>
        <v/>
      </c>
      <c r="DJ18" s="27" t="str">
        <f t="shared" si="52"/>
        <v/>
      </c>
      <c r="DK18" s="27" t="str">
        <f t="shared" si="53"/>
        <v/>
      </c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 t="str">
        <f t="shared" si="54"/>
        <v/>
      </c>
      <c r="EG18" s="10" t="str">
        <f t="shared" si="55"/>
        <v/>
      </c>
      <c r="EH18" s="10" t="str">
        <f t="shared" si="56"/>
        <v/>
      </c>
      <c r="EI18" s="10" t="str">
        <f t="shared" si="57"/>
        <v/>
      </c>
      <c r="EJ18" s="10" t="str">
        <f t="shared" si="58"/>
        <v/>
      </c>
      <c r="EK18" s="10" t="str">
        <f t="shared" si="59"/>
        <v/>
      </c>
      <c r="EL18" s="10" t="str">
        <f t="shared" si="60"/>
        <v/>
      </c>
      <c r="EM18" s="10" t="str">
        <f t="shared" si="61"/>
        <v/>
      </c>
      <c r="EN18" s="10" t="str">
        <f t="shared" si="62"/>
        <v/>
      </c>
      <c r="EO18" s="10" t="str">
        <f t="shared" si="63"/>
        <v/>
      </c>
      <c r="EP18" s="10" t="str">
        <f t="shared" si="64"/>
        <v/>
      </c>
      <c r="EQ18" s="10" t="str">
        <f t="shared" si="65"/>
        <v/>
      </c>
      <c r="ER18" s="10" t="str">
        <f t="shared" si="66"/>
        <v/>
      </c>
      <c r="ES18" s="10" t="str">
        <f t="shared" si="67"/>
        <v/>
      </c>
      <c r="ET18" s="10" t="str">
        <f t="shared" si="68"/>
        <v/>
      </c>
      <c r="EU18" s="44">
        <f t="shared" si="69"/>
        <v>18.149999999999999</v>
      </c>
      <c r="EV18" s="44">
        <f t="shared" si="70"/>
        <v>6.6</v>
      </c>
      <c r="EW18" s="44">
        <f t="shared" si="71"/>
        <v>1</v>
      </c>
      <c r="EX18" s="44">
        <f t="shared" si="72"/>
        <v>0</v>
      </c>
      <c r="EY18" s="44">
        <f t="shared" si="73"/>
        <v>16.899999999999999</v>
      </c>
      <c r="EZ18" s="44">
        <f t="shared" si="74"/>
        <v>4.5999999999999996</v>
      </c>
      <c r="FA18" s="44">
        <f t="shared" si="75"/>
        <v>0.5</v>
      </c>
      <c r="FB18" s="44">
        <f t="shared" si="76"/>
        <v>0</v>
      </c>
      <c r="FC18" s="44">
        <f t="shared" si="77"/>
        <v>8.9</v>
      </c>
      <c r="FD18" s="44">
        <f t="shared" si="78"/>
        <v>2.6</v>
      </c>
      <c r="FE18" s="44">
        <f t="shared" si="79"/>
        <v>0.5</v>
      </c>
      <c r="FF18" s="44">
        <f t="shared" si="80"/>
        <v>0</v>
      </c>
      <c r="FG18" s="44">
        <f t="shared" si="81"/>
        <v>8.25</v>
      </c>
      <c r="FH18" s="44">
        <f t="shared" si="82"/>
        <v>3.6</v>
      </c>
      <c r="FI18" s="44">
        <f t="shared" si="83"/>
        <v>0.4</v>
      </c>
      <c r="FJ18" s="44">
        <f t="shared" si="84"/>
        <v>0</v>
      </c>
      <c r="FK18" s="20" t="s">
        <v>29</v>
      </c>
      <c r="FL18" s="10">
        <f t="shared" si="85"/>
        <v>6.6</v>
      </c>
      <c r="FM18" s="10">
        <f t="shared" si="86"/>
        <v>23.75</v>
      </c>
      <c r="FN18" s="10">
        <f t="shared" si="87"/>
        <v>4.5999999999999996</v>
      </c>
      <c r="FO18" s="10">
        <f t="shared" si="88"/>
        <v>21</v>
      </c>
      <c r="FP18" s="10">
        <f t="shared" si="89"/>
        <v>11.2</v>
      </c>
      <c r="FQ18" s="10">
        <f t="shared" si="92"/>
        <v>44.75</v>
      </c>
      <c r="FR18" s="10">
        <f t="shared" si="93"/>
        <v>2.6</v>
      </c>
      <c r="FS18" s="10">
        <f t="shared" si="94"/>
        <v>11</v>
      </c>
      <c r="FT18" s="10">
        <f t="shared" si="95"/>
        <v>3.6</v>
      </c>
      <c r="FU18" s="10">
        <f t="shared" si="96"/>
        <v>11.45</v>
      </c>
      <c r="FV18" s="10">
        <f t="shared" si="97"/>
        <v>6.2</v>
      </c>
      <c r="FW18" s="10">
        <f t="shared" si="90"/>
        <v>22.45</v>
      </c>
      <c r="FX18" s="10">
        <f t="shared" si="91"/>
        <v>67.2</v>
      </c>
    </row>
    <row r="19" spans="1:180" x14ac:dyDescent="0.2">
      <c r="A19" s="3" t="str" cm="1">
        <f t="array" ref="A19">IF(AND(H19&lt;&gt;"",H19&lt;&gt;"No DD",I19&lt;&gt;"P"),SUMPRODUCT((H$4:H$39&lt;&gt;"")*(H$4:H$39&lt;&gt;"No DD")*(I$4:I$39&lt;&gt;"P")*(E$4:E$39&gt;E19))+1,IF(H19="No DD",SUMPRODUCT((H$4:H$39="No DD")*(I$4:I$39&lt;&gt;"P")*(E$4:E$39&gt;E19))+1+SUMPRODUCT((H$4:H$39&lt;&gt;"")*(I$4:I$39&lt;&gt;"P")*(H$4:H$39&lt;&gt;"No DD")),""))</f>
        <v/>
      </c>
      <c r="B19" s="4" t="s">
        <v>149</v>
      </c>
      <c r="C19" s="3" t="s">
        <v>3</v>
      </c>
      <c r="D19" s="3">
        <v>2008</v>
      </c>
      <c r="E19" s="8">
        <f t="shared" si="0"/>
        <v>94.900007060004626</v>
      </c>
      <c r="F19" s="2" t="str">
        <f t="shared" si="1"/>
        <v/>
      </c>
      <c r="G19" s="2" t="str">
        <f t="shared" si="2"/>
        <v/>
      </c>
      <c r="H19" s="26" t="str">
        <f t="shared" si="3"/>
        <v/>
      </c>
      <c r="I19" s="2" t="str">
        <f>IF(COUNTIFS('Senior-M'!B:B,B19,'Senior-M'!A:A,"&lt;9",'Senior-M'!H:H,"&lt;&gt;"&amp;"No DD"),"P","")</f>
        <v/>
      </c>
      <c r="J19" s="7">
        <f t="shared" si="4"/>
        <v>46.2</v>
      </c>
      <c r="K19" s="7" t="str">
        <f t="shared" si="5"/>
        <v>2025 Nationals</v>
      </c>
      <c r="L19" s="7">
        <f>IF(J19=AO19,IF(COUNT(AQ19,AS19,BO19,BQ19,BU19,BW19)&gt;1,LARGE((AQ19,AS19,BO19,BQ19,BU19,BW19),1),0),IF(COUNT(AK19,AM19,AQ19,AS19,BU19,BW19)&gt;1,LARGE((AK19,AM19,AQ19,AS19,BU19,BW19),1),0))</f>
        <v>24.400000000000002</v>
      </c>
      <c r="M19" s="7" t="str">
        <f t="shared" si="6"/>
        <v>2025 Nationals</v>
      </c>
      <c r="N19" s="7">
        <f>IF(J19=AO19,IF(COUNT(AQ19,AS19,BO19,BQ19,BU19,BW19)&gt;1,LARGE((AQ19,AS19,BO19,BQ19,BU19,BW19),2),0),IF(COUNT(AK19,AM19,AQ19,AS19,BU19,BW19)&gt;1,LARGE((AK19,AM19,AQ19,AS19,BU19,BW19),2),0))</f>
        <v>24.3</v>
      </c>
      <c r="O19" s="7" t="str">
        <f t="shared" si="7"/>
        <v>2025 Nationals</v>
      </c>
      <c r="P19" s="7" t="str">
        <f t="shared" si="8"/>
        <v/>
      </c>
      <c r="Q19" s="10" t="str">
        <f t="shared" si="9"/>
        <v/>
      </c>
      <c r="R19" s="7" t="str">
        <f t="shared" si="10"/>
        <v/>
      </c>
      <c r="S19" s="39">
        <v>16.5</v>
      </c>
      <c r="T19" s="39">
        <v>6.8</v>
      </c>
      <c r="U19" s="39">
        <v>0.8</v>
      </c>
      <c r="V19" s="39">
        <v>0</v>
      </c>
      <c r="W19" s="39">
        <v>18.100000000000001</v>
      </c>
      <c r="X19" s="39">
        <v>6.4</v>
      </c>
      <c r="Y19" s="39">
        <v>0.8</v>
      </c>
      <c r="Z19" s="39">
        <v>0</v>
      </c>
      <c r="AA19" s="39">
        <v>18.3</v>
      </c>
      <c r="AB19" s="39">
        <v>6.8</v>
      </c>
      <c r="AC19" s="39">
        <v>0.8</v>
      </c>
      <c r="AD19" s="39">
        <v>0</v>
      </c>
      <c r="AE19" s="39">
        <v>18.2</v>
      </c>
      <c r="AF19" s="39">
        <v>6.4</v>
      </c>
      <c r="AG19" s="39">
        <v>0.2</v>
      </c>
      <c r="AH19" s="39">
        <v>0</v>
      </c>
      <c r="AI19" s="19"/>
      <c r="AJ19" s="42">
        <f t="shared" si="11"/>
        <v>6.8</v>
      </c>
      <c r="AK19" s="42">
        <f t="shared" si="12"/>
        <v>22.5</v>
      </c>
      <c r="AL19" s="42">
        <f t="shared" si="13"/>
        <v>6.4</v>
      </c>
      <c r="AM19" s="42">
        <f t="shared" si="14"/>
        <v>23.7</v>
      </c>
      <c r="AN19" s="27">
        <f t="shared" si="15"/>
        <v>13.2</v>
      </c>
      <c r="AO19" s="27">
        <f t="shared" si="16"/>
        <v>46.2</v>
      </c>
      <c r="AP19" s="27">
        <f t="shared" si="17"/>
        <v>6.8</v>
      </c>
      <c r="AQ19" s="27">
        <f t="shared" si="18"/>
        <v>24.3</v>
      </c>
      <c r="AR19" s="27">
        <f t="shared" si="19"/>
        <v>6.4</v>
      </c>
      <c r="AS19" s="27">
        <f t="shared" si="20"/>
        <v>24.400000000000002</v>
      </c>
      <c r="AT19" s="27">
        <f t="shared" si="21"/>
        <v>13.2</v>
      </c>
      <c r="AU19" s="27">
        <f t="shared" si="22"/>
        <v>48.7</v>
      </c>
      <c r="AV19" s="27">
        <f t="shared" si="23"/>
        <v>94.9</v>
      </c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20"/>
      <c r="BN19" s="43" t="str">
        <f t="shared" si="24"/>
        <v/>
      </c>
      <c r="BO19" s="43" t="str">
        <f t="shared" si="25"/>
        <v/>
      </c>
      <c r="BP19" s="43" t="str">
        <f t="shared" si="26"/>
        <v/>
      </c>
      <c r="BQ19" s="43" t="str">
        <f t="shared" si="27"/>
        <v/>
      </c>
      <c r="BR19" s="10" t="str">
        <f t="shared" si="28"/>
        <v/>
      </c>
      <c r="BS19" s="10" t="str">
        <f t="shared" si="29"/>
        <v/>
      </c>
      <c r="BT19" s="10" t="str">
        <f t="shared" si="30"/>
        <v/>
      </c>
      <c r="BU19" s="10" t="str">
        <f t="shared" si="31"/>
        <v/>
      </c>
      <c r="BV19" s="10" t="str">
        <f t="shared" si="32"/>
        <v/>
      </c>
      <c r="BW19" s="10" t="str">
        <f t="shared" si="33"/>
        <v/>
      </c>
      <c r="BX19" s="10" t="str">
        <f t="shared" si="34"/>
        <v/>
      </c>
      <c r="BY19" s="10" t="str">
        <f t="shared" si="35"/>
        <v/>
      </c>
      <c r="BZ19" s="10" t="str">
        <f t="shared" si="36"/>
        <v/>
      </c>
      <c r="CA19" s="34" t="str">
        <f t="shared" si="37"/>
        <v/>
      </c>
      <c r="CB19" s="34" t="str">
        <f t="shared" si="38"/>
        <v/>
      </c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27" t="str">
        <f t="shared" si="39"/>
        <v/>
      </c>
      <c r="CX19" s="27" t="str">
        <f t="shared" si="40"/>
        <v/>
      </c>
      <c r="CY19" s="27" t="str">
        <f t="shared" si="41"/>
        <v/>
      </c>
      <c r="CZ19" s="27" t="str">
        <f t="shared" si="42"/>
        <v/>
      </c>
      <c r="DA19" s="27" t="str">
        <f t="shared" si="43"/>
        <v/>
      </c>
      <c r="DB19" s="27" t="str">
        <f t="shared" si="44"/>
        <v/>
      </c>
      <c r="DC19" s="27" t="str">
        <f t="shared" si="45"/>
        <v/>
      </c>
      <c r="DD19" s="27" t="str">
        <f t="shared" si="46"/>
        <v/>
      </c>
      <c r="DE19" s="27" t="str">
        <f t="shared" si="47"/>
        <v/>
      </c>
      <c r="DF19" s="27" t="str">
        <f t="shared" si="48"/>
        <v/>
      </c>
      <c r="DG19" s="27" t="str">
        <f t="shared" si="49"/>
        <v/>
      </c>
      <c r="DH19" s="27" t="str">
        <f t="shared" si="50"/>
        <v/>
      </c>
      <c r="DI19" s="27" t="str">
        <f t="shared" si="51"/>
        <v/>
      </c>
      <c r="DJ19" s="27" t="str">
        <f t="shared" si="52"/>
        <v/>
      </c>
      <c r="DK19" s="27" t="str">
        <f t="shared" si="53"/>
        <v/>
      </c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0" t="str">
        <f t="shared" si="54"/>
        <v/>
      </c>
      <c r="EG19" s="10" t="str">
        <f t="shared" si="55"/>
        <v/>
      </c>
      <c r="EH19" s="10" t="str">
        <f t="shared" si="56"/>
        <v/>
      </c>
      <c r="EI19" s="10" t="str">
        <f t="shared" si="57"/>
        <v/>
      </c>
      <c r="EJ19" s="10" t="str">
        <f t="shared" si="58"/>
        <v/>
      </c>
      <c r="EK19" s="10" t="str">
        <f t="shared" si="59"/>
        <v/>
      </c>
      <c r="EL19" s="10" t="str">
        <f t="shared" si="60"/>
        <v/>
      </c>
      <c r="EM19" s="10" t="str">
        <f t="shared" si="61"/>
        <v/>
      </c>
      <c r="EN19" s="10" t="str">
        <f t="shared" si="62"/>
        <v/>
      </c>
      <c r="EO19" s="10" t="str">
        <f t="shared" si="63"/>
        <v/>
      </c>
      <c r="EP19" s="10" t="str">
        <f t="shared" si="64"/>
        <v/>
      </c>
      <c r="EQ19" s="10" t="str">
        <f t="shared" si="65"/>
        <v/>
      </c>
      <c r="ER19" s="10" t="str">
        <f t="shared" si="66"/>
        <v/>
      </c>
      <c r="ES19" s="10" t="str">
        <f t="shared" si="67"/>
        <v/>
      </c>
      <c r="ET19" s="10" t="str">
        <f t="shared" si="68"/>
        <v/>
      </c>
      <c r="EU19" s="44">
        <f t="shared" si="69"/>
        <v>8.25</v>
      </c>
      <c r="EV19" s="44">
        <f t="shared" si="70"/>
        <v>3.4</v>
      </c>
      <c r="EW19" s="44">
        <f t="shared" si="71"/>
        <v>0.4</v>
      </c>
      <c r="EX19" s="44">
        <f t="shared" si="72"/>
        <v>0</v>
      </c>
      <c r="EY19" s="44">
        <f t="shared" si="73"/>
        <v>9.0500000000000007</v>
      </c>
      <c r="EZ19" s="44">
        <f t="shared" si="74"/>
        <v>3.2</v>
      </c>
      <c r="FA19" s="44">
        <f t="shared" si="75"/>
        <v>0.4</v>
      </c>
      <c r="FB19" s="44">
        <f t="shared" si="76"/>
        <v>0</v>
      </c>
      <c r="FC19" s="44">
        <f t="shared" si="77"/>
        <v>9.15</v>
      </c>
      <c r="FD19" s="44">
        <f t="shared" si="78"/>
        <v>3.4</v>
      </c>
      <c r="FE19" s="44">
        <f t="shared" si="79"/>
        <v>0.4</v>
      </c>
      <c r="FF19" s="44">
        <f t="shared" si="80"/>
        <v>0</v>
      </c>
      <c r="FG19" s="44">
        <f t="shared" si="81"/>
        <v>9.1</v>
      </c>
      <c r="FH19" s="44">
        <f t="shared" si="82"/>
        <v>3.2</v>
      </c>
      <c r="FI19" s="44">
        <f t="shared" si="83"/>
        <v>0.1</v>
      </c>
      <c r="FJ19" s="44">
        <f t="shared" si="84"/>
        <v>0</v>
      </c>
      <c r="FK19" s="20" t="s">
        <v>29</v>
      </c>
      <c r="FL19" s="10">
        <f t="shared" si="85"/>
        <v>3.4</v>
      </c>
      <c r="FM19" s="10">
        <f t="shared" si="86"/>
        <v>11.25</v>
      </c>
      <c r="FN19" s="10">
        <f t="shared" si="87"/>
        <v>3.2</v>
      </c>
      <c r="FO19" s="10">
        <f t="shared" si="88"/>
        <v>11.85</v>
      </c>
      <c r="FP19" s="10">
        <f t="shared" si="89"/>
        <v>6.6</v>
      </c>
      <c r="FQ19" s="10">
        <f t="shared" si="92"/>
        <v>23.1</v>
      </c>
      <c r="FR19" s="10">
        <f t="shared" si="93"/>
        <v>3.4</v>
      </c>
      <c r="FS19" s="10">
        <f t="shared" si="94"/>
        <v>12.15</v>
      </c>
      <c r="FT19" s="10">
        <f t="shared" si="95"/>
        <v>3.2</v>
      </c>
      <c r="FU19" s="10">
        <f t="shared" si="96"/>
        <v>12.200000000000001</v>
      </c>
      <c r="FV19" s="10">
        <f t="shared" si="97"/>
        <v>6.6</v>
      </c>
      <c r="FW19" s="10">
        <f t="shared" si="90"/>
        <v>24.35</v>
      </c>
      <c r="FX19" s="10">
        <f t="shared" si="91"/>
        <v>47.45</v>
      </c>
    </row>
    <row r="20" spans="1:180" x14ac:dyDescent="0.2">
      <c r="A20" s="3" t="str" cm="1">
        <f t="array" ref="A20">IF(AND(H20&lt;&gt;"",H20&lt;&gt;"No DD",I20&lt;&gt;"P"),SUMPRODUCT((H$4:H$39&lt;&gt;"")*(H$4:H$39&lt;&gt;"No DD")*(I$4:I$39&lt;&gt;"P")*(E$4:E$39&gt;E20))+1,IF(H20="No DD",SUMPRODUCT((H$4:H$39="No DD")*(I$4:I$39&lt;&gt;"P")*(E$4:E$39&gt;E20))+1+SUMPRODUCT((H$4:H$39&lt;&gt;"")*(I$4:I$39&lt;&gt;"P")*(H$4:H$39&lt;&gt;"No DD")),""))</f>
        <v/>
      </c>
      <c r="B20" s="4" t="s">
        <v>43</v>
      </c>
      <c r="C20" s="3" t="s">
        <v>3</v>
      </c>
      <c r="D20" s="3">
        <v>2005</v>
      </c>
      <c r="E20" s="8">
        <f t="shared" si="0"/>
        <v>94.700007650005119</v>
      </c>
      <c r="F20" s="2" t="str">
        <f t="shared" si="1"/>
        <v/>
      </c>
      <c r="G20" s="2" t="str">
        <f t="shared" si="2"/>
        <v/>
      </c>
      <c r="H20" s="26" t="str">
        <f t="shared" si="3"/>
        <v/>
      </c>
      <c r="I20" s="2" t="str">
        <f>IF(COUNTIFS('Senior-M'!B:B,B20,'Senior-M'!A:A,"&lt;9",'Senior-M'!H:H,"&lt;&gt;"&amp;"No DD"),"P","")</f>
        <v/>
      </c>
      <c r="J20" s="7">
        <f t="shared" si="4"/>
        <v>51.2</v>
      </c>
      <c r="K20" s="7" t="str">
        <f t="shared" si="5"/>
        <v>2025 Nationals</v>
      </c>
      <c r="L20" s="7">
        <f>IF(J20=AO20,IF(COUNT(AQ20,AS20,BO20,BQ20,BU20,BW20)&gt;1,LARGE((AQ20,AS20,BO20,BQ20,BU20,BW20),1),0),IF(COUNT(AK20,AM20,AQ20,AS20,BU20,BW20)&gt;1,LARGE((AK20,AM20,AQ20,AS20,BU20,BW20),1),0))</f>
        <v>25.3</v>
      </c>
      <c r="M20" s="7" t="str">
        <f t="shared" si="6"/>
        <v>2025 Nationals</v>
      </c>
      <c r="N20" s="7">
        <f>IF(J20=AO20,IF(COUNT(AQ20,AS20,BO20,BQ20,BU20,BW20)&gt;1,LARGE((AQ20,AS20,BO20,BQ20,BU20,BW20),2),0),IF(COUNT(AK20,AM20,AQ20,AS20,BU20,BW20)&gt;1,LARGE((AK20,AM20,AQ20,AS20,BU20,BW20),2),0))</f>
        <v>18.2</v>
      </c>
      <c r="O20" s="7" t="str">
        <f t="shared" si="7"/>
        <v>2025 Nationals</v>
      </c>
      <c r="P20" s="7" t="str">
        <f t="shared" si="8"/>
        <v/>
      </c>
      <c r="Q20" s="10" t="str">
        <f t="shared" si="9"/>
        <v/>
      </c>
      <c r="R20" s="7" t="str">
        <f t="shared" si="10"/>
        <v/>
      </c>
      <c r="S20" s="39">
        <v>18.8</v>
      </c>
      <c r="T20" s="39">
        <v>8</v>
      </c>
      <c r="U20" s="39">
        <v>0</v>
      </c>
      <c r="V20" s="39">
        <v>0.3</v>
      </c>
      <c r="W20" s="39">
        <v>18.100000000000001</v>
      </c>
      <c r="X20" s="39">
        <v>6.8</v>
      </c>
      <c r="Y20" s="39">
        <v>0.8</v>
      </c>
      <c r="Z20" s="39">
        <v>0</v>
      </c>
      <c r="AA20" s="39">
        <v>15.4</v>
      </c>
      <c r="AB20" s="39">
        <v>2.8</v>
      </c>
      <c r="AC20" s="39">
        <v>0</v>
      </c>
      <c r="AD20" s="39">
        <v>0</v>
      </c>
      <c r="AE20" s="39">
        <v>18.7</v>
      </c>
      <c r="AF20" s="39">
        <v>6.8</v>
      </c>
      <c r="AG20" s="39">
        <v>0.2</v>
      </c>
      <c r="AH20" s="39">
        <v>0</v>
      </c>
      <c r="AI20" s="19"/>
      <c r="AJ20" s="42">
        <f t="shared" si="11"/>
        <v>8</v>
      </c>
      <c r="AK20" s="42">
        <f t="shared" si="12"/>
        <v>27.1</v>
      </c>
      <c r="AL20" s="42">
        <f t="shared" si="13"/>
        <v>6.8</v>
      </c>
      <c r="AM20" s="42">
        <f t="shared" si="14"/>
        <v>24.1</v>
      </c>
      <c r="AN20" s="27">
        <f t="shared" si="15"/>
        <v>14.8</v>
      </c>
      <c r="AO20" s="27">
        <f t="shared" si="16"/>
        <v>51.2</v>
      </c>
      <c r="AP20" s="27">
        <f t="shared" si="17"/>
        <v>2.8</v>
      </c>
      <c r="AQ20" s="27">
        <f t="shared" si="18"/>
        <v>18.2</v>
      </c>
      <c r="AR20" s="27">
        <f t="shared" si="19"/>
        <v>6.8</v>
      </c>
      <c r="AS20" s="27">
        <f t="shared" si="20"/>
        <v>25.3</v>
      </c>
      <c r="AT20" s="27">
        <f t="shared" si="21"/>
        <v>9.6</v>
      </c>
      <c r="AU20" s="27">
        <f t="shared" si="22"/>
        <v>43.5</v>
      </c>
      <c r="AV20" s="27">
        <f t="shared" si="23"/>
        <v>94.7</v>
      </c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20"/>
      <c r="BN20" s="43" t="str">
        <f t="shared" si="24"/>
        <v/>
      </c>
      <c r="BO20" s="43" t="str">
        <f t="shared" si="25"/>
        <v/>
      </c>
      <c r="BP20" s="43" t="str">
        <f t="shared" si="26"/>
        <v/>
      </c>
      <c r="BQ20" s="43" t="str">
        <f t="shared" si="27"/>
        <v/>
      </c>
      <c r="BR20" s="10" t="str">
        <f t="shared" si="28"/>
        <v/>
      </c>
      <c r="BS20" s="10" t="str">
        <f t="shared" si="29"/>
        <v/>
      </c>
      <c r="BT20" s="10" t="str">
        <f t="shared" si="30"/>
        <v/>
      </c>
      <c r="BU20" s="10" t="str">
        <f t="shared" si="31"/>
        <v/>
      </c>
      <c r="BV20" s="10" t="str">
        <f t="shared" si="32"/>
        <v/>
      </c>
      <c r="BW20" s="10" t="str">
        <f t="shared" si="33"/>
        <v/>
      </c>
      <c r="BX20" s="10" t="str">
        <f t="shared" si="34"/>
        <v/>
      </c>
      <c r="BY20" s="10" t="str">
        <f t="shared" si="35"/>
        <v/>
      </c>
      <c r="BZ20" s="10" t="str">
        <f t="shared" si="36"/>
        <v/>
      </c>
      <c r="CA20" s="34" t="str">
        <f t="shared" si="37"/>
        <v/>
      </c>
      <c r="CB20" s="34" t="str">
        <f t="shared" si="38"/>
        <v/>
      </c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27" t="str">
        <f t="shared" si="39"/>
        <v/>
      </c>
      <c r="CX20" s="27" t="str">
        <f t="shared" si="40"/>
        <v/>
      </c>
      <c r="CY20" s="27" t="str">
        <f t="shared" si="41"/>
        <v/>
      </c>
      <c r="CZ20" s="27" t="str">
        <f t="shared" si="42"/>
        <v/>
      </c>
      <c r="DA20" s="27" t="str">
        <f t="shared" si="43"/>
        <v/>
      </c>
      <c r="DB20" s="27" t="str">
        <f t="shared" si="44"/>
        <v/>
      </c>
      <c r="DC20" s="27" t="str">
        <f t="shared" si="45"/>
        <v/>
      </c>
      <c r="DD20" s="27" t="str">
        <f t="shared" si="46"/>
        <v/>
      </c>
      <c r="DE20" s="27" t="str">
        <f t="shared" si="47"/>
        <v/>
      </c>
      <c r="DF20" s="27" t="str">
        <f t="shared" si="48"/>
        <v/>
      </c>
      <c r="DG20" s="27" t="str">
        <f t="shared" si="49"/>
        <v/>
      </c>
      <c r="DH20" s="27" t="str">
        <f t="shared" si="50"/>
        <v/>
      </c>
      <c r="DI20" s="27" t="str">
        <f t="shared" si="51"/>
        <v/>
      </c>
      <c r="DJ20" s="27" t="str">
        <f t="shared" si="52"/>
        <v/>
      </c>
      <c r="DK20" s="27" t="str">
        <f t="shared" si="53"/>
        <v/>
      </c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0" t="str">
        <f t="shared" si="54"/>
        <v/>
      </c>
      <c r="EG20" s="10" t="str">
        <f t="shared" si="55"/>
        <v/>
      </c>
      <c r="EH20" s="10" t="str">
        <f t="shared" si="56"/>
        <v/>
      </c>
      <c r="EI20" s="10" t="str">
        <f t="shared" si="57"/>
        <v/>
      </c>
      <c r="EJ20" s="10" t="str">
        <f t="shared" si="58"/>
        <v/>
      </c>
      <c r="EK20" s="10" t="str">
        <f t="shared" si="59"/>
        <v/>
      </c>
      <c r="EL20" s="10" t="str">
        <f t="shared" si="60"/>
        <v/>
      </c>
      <c r="EM20" s="10" t="str">
        <f t="shared" si="61"/>
        <v/>
      </c>
      <c r="EN20" s="10" t="str">
        <f t="shared" si="62"/>
        <v/>
      </c>
      <c r="EO20" s="10" t="str">
        <f t="shared" si="63"/>
        <v/>
      </c>
      <c r="EP20" s="10" t="str">
        <f t="shared" si="64"/>
        <v/>
      </c>
      <c r="EQ20" s="10" t="str">
        <f t="shared" si="65"/>
        <v/>
      </c>
      <c r="ER20" s="10" t="str">
        <f t="shared" si="66"/>
        <v/>
      </c>
      <c r="ES20" s="10" t="str">
        <f t="shared" si="67"/>
        <v/>
      </c>
      <c r="ET20" s="10" t="str">
        <f t="shared" si="68"/>
        <v/>
      </c>
      <c r="EU20" s="44">
        <f t="shared" si="69"/>
        <v>9.4</v>
      </c>
      <c r="EV20" s="44">
        <f t="shared" si="70"/>
        <v>4</v>
      </c>
      <c r="EW20" s="44">
        <f t="shared" si="71"/>
        <v>0</v>
      </c>
      <c r="EX20" s="44">
        <f t="shared" si="72"/>
        <v>0.15</v>
      </c>
      <c r="EY20" s="44">
        <f t="shared" si="73"/>
        <v>9.0500000000000007</v>
      </c>
      <c r="EZ20" s="44">
        <f t="shared" si="74"/>
        <v>3.4</v>
      </c>
      <c r="FA20" s="44">
        <f t="shared" si="75"/>
        <v>0.4</v>
      </c>
      <c r="FB20" s="44">
        <f t="shared" si="76"/>
        <v>0</v>
      </c>
      <c r="FC20" s="44">
        <f t="shared" si="77"/>
        <v>7.7</v>
      </c>
      <c r="FD20" s="44">
        <f t="shared" si="78"/>
        <v>1.4</v>
      </c>
      <c r="FE20" s="44">
        <f t="shared" si="79"/>
        <v>0</v>
      </c>
      <c r="FF20" s="44">
        <f t="shared" si="80"/>
        <v>0</v>
      </c>
      <c r="FG20" s="44">
        <f t="shared" si="81"/>
        <v>9.35</v>
      </c>
      <c r="FH20" s="44">
        <f t="shared" si="82"/>
        <v>3.4</v>
      </c>
      <c r="FI20" s="44">
        <f t="shared" si="83"/>
        <v>0.1</v>
      </c>
      <c r="FJ20" s="44">
        <f t="shared" si="84"/>
        <v>0</v>
      </c>
      <c r="FK20" s="20" t="s">
        <v>29</v>
      </c>
      <c r="FL20" s="10">
        <f t="shared" si="85"/>
        <v>4</v>
      </c>
      <c r="FM20" s="10">
        <f t="shared" si="86"/>
        <v>13.55</v>
      </c>
      <c r="FN20" s="10">
        <f t="shared" si="87"/>
        <v>3.4</v>
      </c>
      <c r="FO20" s="10">
        <f t="shared" si="88"/>
        <v>12.05</v>
      </c>
      <c r="FP20" s="10">
        <f t="shared" si="89"/>
        <v>7.4</v>
      </c>
      <c r="FQ20" s="10">
        <f t="shared" si="92"/>
        <v>25.6</v>
      </c>
      <c r="FR20" s="10">
        <f t="shared" si="93"/>
        <v>1.4</v>
      </c>
      <c r="FS20" s="10">
        <f t="shared" si="94"/>
        <v>9.1</v>
      </c>
      <c r="FT20" s="10">
        <f t="shared" si="95"/>
        <v>3.4</v>
      </c>
      <c r="FU20" s="10">
        <f t="shared" si="96"/>
        <v>12.65</v>
      </c>
      <c r="FV20" s="10">
        <f t="shared" si="97"/>
        <v>4.8</v>
      </c>
      <c r="FW20" s="10">
        <f t="shared" si="90"/>
        <v>21.75</v>
      </c>
      <c r="FX20" s="10">
        <f t="shared" si="91"/>
        <v>47.35</v>
      </c>
    </row>
    <row r="21" spans="1:180" x14ac:dyDescent="0.2">
      <c r="A21" s="3" t="str" cm="1">
        <f t="array" ref="A21">IF(AND(H21&lt;&gt;"",H21&lt;&gt;"No DD",I21&lt;&gt;"P"),SUMPRODUCT((H$4:H$39&lt;&gt;"")*(H$4:H$39&lt;&gt;"No DD")*(I$4:I$39&lt;&gt;"P")*(E$4:E$39&gt;E21))+1,IF(H21="No DD",SUMPRODUCT((H$4:H$39="No DD")*(I$4:I$39&lt;&gt;"P")*(E$4:E$39&gt;E21))+1+SUMPRODUCT((H$4:H$39&lt;&gt;"")*(I$4:I$39&lt;&gt;"P")*(H$4:H$39&lt;&gt;"No DD")),""))</f>
        <v/>
      </c>
      <c r="B21" s="4" t="s">
        <v>154</v>
      </c>
      <c r="C21" s="3" t="s">
        <v>3</v>
      </c>
      <c r="D21" s="3">
        <v>2009</v>
      </c>
      <c r="E21" s="8">
        <f t="shared" si="0"/>
        <v>92.000006980004486</v>
      </c>
      <c r="F21" s="2" t="str">
        <f t="shared" si="1"/>
        <v/>
      </c>
      <c r="G21" s="2" t="str">
        <f t="shared" si="2"/>
        <v/>
      </c>
      <c r="H21" s="26" t="str">
        <f t="shared" si="3"/>
        <v/>
      </c>
      <c r="I21" s="2" t="str">
        <f>IF(COUNTIFS('Senior-M'!B:B,B21,'Senior-M'!A:A,"&lt;9",'Senior-M'!H:H,"&lt;&gt;"&amp;"No DD"),"P","")</f>
        <v/>
      </c>
      <c r="J21" s="7">
        <f t="shared" si="4"/>
        <v>44.9</v>
      </c>
      <c r="K21" s="7" t="str">
        <f t="shared" si="5"/>
        <v>2025 Nationals</v>
      </c>
      <c r="L21" s="7">
        <f>IF(J21=AO21,IF(COUNT(AQ21,AS21,BO21,BQ21,BU21,BW21)&gt;1,LARGE((AQ21,AS21,BO21,BQ21,BU21,BW21),1),0),IF(COUNT(AK21,AM21,AQ21,AS21,BU21,BW21)&gt;1,LARGE((AK21,AM21,AQ21,AS21,BU21,BW21),1),0))</f>
        <v>24.9</v>
      </c>
      <c r="M21" s="7" t="str">
        <f t="shared" si="6"/>
        <v>2025 Nationals</v>
      </c>
      <c r="N21" s="7">
        <f>IF(J21=AO21,IF(COUNT(AQ21,AS21,BO21,BQ21,BU21,BW21)&gt;1,LARGE((AQ21,AS21,BO21,BQ21,BU21,BW21),2),0),IF(COUNT(AK21,AM21,AQ21,AS21,BU21,BW21)&gt;1,LARGE((AK21,AM21,AQ21,AS21,BU21,BW21),2),0))</f>
        <v>22.2</v>
      </c>
      <c r="O21" s="7" t="str">
        <f t="shared" si="7"/>
        <v>2025 Nationals</v>
      </c>
      <c r="P21" s="7" t="str">
        <f t="shared" si="8"/>
        <v/>
      </c>
      <c r="Q21" s="10" t="str">
        <f t="shared" si="9"/>
        <v/>
      </c>
      <c r="R21" s="7" t="str">
        <f t="shared" si="10"/>
        <v/>
      </c>
      <c r="S21" s="39">
        <v>18.399999999999999</v>
      </c>
      <c r="T21" s="39">
        <v>6</v>
      </c>
      <c r="U21" s="39">
        <v>0</v>
      </c>
      <c r="V21" s="39">
        <v>0</v>
      </c>
      <c r="W21" s="39">
        <v>16.3</v>
      </c>
      <c r="X21" s="39">
        <v>5.2</v>
      </c>
      <c r="Y21" s="39">
        <v>1</v>
      </c>
      <c r="Z21" s="39">
        <v>0</v>
      </c>
      <c r="AA21" s="39">
        <v>18.5</v>
      </c>
      <c r="AB21" s="39">
        <v>6.4</v>
      </c>
      <c r="AC21" s="39">
        <v>0</v>
      </c>
      <c r="AD21" s="39">
        <v>0</v>
      </c>
      <c r="AE21" s="39">
        <v>18</v>
      </c>
      <c r="AF21" s="39">
        <v>5.2</v>
      </c>
      <c r="AG21" s="39">
        <v>1</v>
      </c>
      <c r="AH21" s="39">
        <v>0</v>
      </c>
      <c r="AI21" s="19"/>
      <c r="AJ21" s="42">
        <f t="shared" si="11"/>
        <v>6</v>
      </c>
      <c r="AK21" s="42">
        <f t="shared" si="12"/>
        <v>24.4</v>
      </c>
      <c r="AL21" s="42">
        <f t="shared" si="13"/>
        <v>5.2</v>
      </c>
      <c r="AM21" s="42">
        <f t="shared" si="14"/>
        <v>20.5</v>
      </c>
      <c r="AN21" s="27">
        <f t="shared" si="15"/>
        <v>11.2</v>
      </c>
      <c r="AO21" s="27">
        <f t="shared" si="16"/>
        <v>44.9</v>
      </c>
      <c r="AP21" s="27">
        <f t="shared" si="17"/>
        <v>6.4</v>
      </c>
      <c r="AQ21" s="27">
        <f t="shared" si="18"/>
        <v>24.9</v>
      </c>
      <c r="AR21" s="27">
        <f t="shared" si="19"/>
        <v>5.2</v>
      </c>
      <c r="AS21" s="27">
        <f t="shared" si="20"/>
        <v>22.2</v>
      </c>
      <c r="AT21" s="27">
        <f t="shared" si="21"/>
        <v>11.600000000000001</v>
      </c>
      <c r="AU21" s="27">
        <f t="shared" si="22"/>
        <v>47.099999999999994</v>
      </c>
      <c r="AV21" s="27">
        <f t="shared" si="23"/>
        <v>92</v>
      </c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20"/>
      <c r="BN21" s="43" t="str">
        <f t="shared" si="24"/>
        <v/>
      </c>
      <c r="BO21" s="43" t="str">
        <f t="shared" si="25"/>
        <v/>
      </c>
      <c r="BP21" s="43" t="str">
        <f t="shared" si="26"/>
        <v/>
      </c>
      <c r="BQ21" s="43" t="str">
        <f t="shared" si="27"/>
        <v/>
      </c>
      <c r="BR21" s="10" t="str">
        <f t="shared" si="28"/>
        <v/>
      </c>
      <c r="BS21" s="10" t="str">
        <f t="shared" si="29"/>
        <v/>
      </c>
      <c r="BT21" s="10" t="str">
        <f t="shared" si="30"/>
        <v/>
      </c>
      <c r="BU21" s="10" t="str">
        <f t="shared" si="31"/>
        <v/>
      </c>
      <c r="BV21" s="10" t="str">
        <f t="shared" si="32"/>
        <v/>
      </c>
      <c r="BW21" s="10" t="str">
        <f t="shared" si="33"/>
        <v/>
      </c>
      <c r="BX21" s="10" t="str">
        <f t="shared" si="34"/>
        <v/>
      </c>
      <c r="BY21" s="10" t="str">
        <f t="shared" si="35"/>
        <v/>
      </c>
      <c r="BZ21" s="10" t="str">
        <f t="shared" si="36"/>
        <v/>
      </c>
      <c r="CA21" s="34" t="str">
        <f t="shared" si="37"/>
        <v/>
      </c>
      <c r="CB21" s="34" t="str">
        <f t="shared" si="38"/>
        <v/>
      </c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27" t="str">
        <f t="shared" si="39"/>
        <v/>
      </c>
      <c r="CX21" s="27" t="str">
        <f t="shared" si="40"/>
        <v/>
      </c>
      <c r="CY21" s="27" t="str">
        <f t="shared" si="41"/>
        <v/>
      </c>
      <c r="CZ21" s="27" t="str">
        <f t="shared" si="42"/>
        <v/>
      </c>
      <c r="DA21" s="27" t="str">
        <f t="shared" si="43"/>
        <v/>
      </c>
      <c r="DB21" s="27" t="str">
        <f t="shared" si="44"/>
        <v/>
      </c>
      <c r="DC21" s="27" t="str">
        <f t="shared" si="45"/>
        <v/>
      </c>
      <c r="DD21" s="27" t="str">
        <f t="shared" si="46"/>
        <v/>
      </c>
      <c r="DE21" s="27" t="str">
        <f t="shared" si="47"/>
        <v/>
      </c>
      <c r="DF21" s="27" t="str">
        <f t="shared" si="48"/>
        <v/>
      </c>
      <c r="DG21" s="27" t="str">
        <f t="shared" si="49"/>
        <v/>
      </c>
      <c r="DH21" s="27" t="str">
        <f t="shared" si="50"/>
        <v/>
      </c>
      <c r="DI21" s="27" t="str">
        <f t="shared" si="51"/>
        <v/>
      </c>
      <c r="DJ21" s="27" t="str">
        <f t="shared" si="52"/>
        <v/>
      </c>
      <c r="DK21" s="27" t="str">
        <f t="shared" si="53"/>
        <v/>
      </c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0" t="str">
        <f t="shared" si="54"/>
        <v/>
      </c>
      <c r="EG21" s="10" t="str">
        <f t="shared" si="55"/>
        <v/>
      </c>
      <c r="EH21" s="10" t="str">
        <f t="shared" si="56"/>
        <v/>
      </c>
      <c r="EI21" s="10" t="str">
        <f t="shared" si="57"/>
        <v/>
      </c>
      <c r="EJ21" s="10" t="str">
        <f t="shared" si="58"/>
        <v/>
      </c>
      <c r="EK21" s="10" t="str">
        <f t="shared" si="59"/>
        <v/>
      </c>
      <c r="EL21" s="10" t="str">
        <f t="shared" si="60"/>
        <v/>
      </c>
      <c r="EM21" s="10" t="str">
        <f t="shared" si="61"/>
        <v/>
      </c>
      <c r="EN21" s="10" t="str">
        <f t="shared" si="62"/>
        <v/>
      </c>
      <c r="EO21" s="10" t="str">
        <f t="shared" si="63"/>
        <v/>
      </c>
      <c r="EP21" s="10" t="str">
        <f t="shared" si="64"/>
        <v/>
      </c>
      <c r="EQ21" s="10" t="str">
        <f t="shared" si="65"/>
        <v/>
      </c>
      <c r="ER21" s="10" t="str">
        <f t="shared" si="66"/>
        <v/>
      </c>
      <c r="ES21" s="10" t="str">
        <f t="shared" si="67"/>
        <v/>
      </c>
      <c r="ET21" s="10" t="str">
        <f t="shared" si="68"/>
        <v/>
      </c>
      <c r="EU21" s="44">
        <f t="shared" si="69"/>
        <v>9.1999999999999993</v>
      </c>
      <c r="EV21" s="44">
        <f t="shared" si="70"/>
        <v>3</v>
      </c>
      <c r="EW21" s="44">
        <f t="shared" si="71"/>
        <v>0</v>
      </c>
      <c r="EX21" s="44">
        <f t="shared" si="72"/>
        <v>0</v>
      </c>
      <c r="EY21" s="44">
        <f t="shared" si="73"/>
        <v>8.15</v>
      </c>
      <c r="EZ21" s="44">
        <f t="shared" si="74"/>
        <v>2.6</v>
      </c>
      <c r="FA21" s="44">
        <f t="shared" si="75"/>
        <v>0.5</v>
      </c>
      <c r="FB21" s="44">
        <f t="shared" si="76"/>
        <v>0</v>
      </c>
      <c r="FC21" s="44">
        <f t="shared" si="77"/>
        <v>9.25</v>
      </c>
      <c r="FD21" s="44">
        <f t="shared" si="78"/>
        <v>3.2</v>
      </c>
      <c r="FE21" s="44">
        <f t="shared" si="79"/>
        <v>0</v>
      </c>
      <c r="FF21" s="44">
        <f t="shared" si="80"/>
        <v>0</v>
      </c>
      <c r="FG21" s="44">
        <f t="shared" si="81"/>
        <v>9</v>
      </c>
      <c r="FH21" s="44">
        <f t="shared" si="82"/>
        <v>2.6</v>
      </c>
      <c r="FI21" s="44">
        <f t="shared" si="83"/>
        <v>0.5</v>
      </c>
      <c r="FJ21" s="44">
        <f t="shared" si="84"/>
        <v>0</v>
      </c>
      <c r="FK21" s="20" t="s">
        <v>29</v>
      </c>
      <c r="FL21" s="10">
        <f t="shared" si="85"/>
        <v>3</v>
      </c>
      <c r="FM21" s="10">
        <f t="shared" si="86"/>
        <v>12.2</v>
      </c>
      <c r="FN21" s="10">
        <f t="shared" si="87"/>
        <v>2.6</v>
      </c>
      <c r="FO21" s="10">
        <f t="shared" si="88"/>
        <v>10.25</v>
      </c>
      <c r="FP21" s="10">
        <f t="shared" si="89"/>
        <v>5.6</v>
      </c>
      <c r="FQ21" s="10">
        <f t="shared" si="92"/>
        <v>22.45</v>
      </c>
      <c r="FR21" s="10">
        <f t="shared" si="93"/>
        <v>3.2</v>
      </c>
      <c r="FS21" s="10">
        <f t="shared" si="94"/>
        <v>12.45</v>
      </c>
      <c r="FT21" s="10">
        <f t="shared" si="95"/>
        <v>2.6</v>
      </c>
      <c r="FU21" s="10">
        <f t="shared" si="96"/>
        <v>11.1</v>
      </c>
      <c r="FV21" s="10">
        <f t="shared" si="97"/>
        <v>5.8000000000000007</v>
      </c>
      <c r="FW21" s="10">
        <f t="shared" si="90"/>
        <v>23.549999999999997</v>
      </c>
      <c r="FX21" s="10">
        <f t="shared" si="91"/>
        <v>46</v>
      </c>
    </row>
    <row r="22" spans="1:180" x14ac:dyDescent="0.2">
      <c r="A22" s="3" t="str" cm="1">
        <f t="array" ref="A22">IF(AND(H22&lt;&gt;"",H22&lt;&gt;"No DD",I22&lt;&gt;"P"),SUMPRODUCT((H$4:H$39&lt;&gt;"")*(H$4:H$39&lt;&gt;"No DD")*(I$4:I$39&lt;&gt;"P")*(E$4:E$39&gt;E22))+1,IF(H22="No DD",SUMPRODUCT((H$4:H$39="No DD")*(I$4:I$39&lt;&gt;"P")*(E$4:E$39&gt;E22))+1+SUMPRODUCT((H$4:H$39&lt;&gt;"")*(I$4:I$39&lt;&gt;"P")*(H$4:H$39&lt;&gt;"No DD")),""))</f>
        <v/>
      </c>
      <c r="B22" s="4" t="s">
        <v>155</v>
      </c>
      <c r="C22" s="3" t="s">
        <v>3</v>
      </c>
      <c r="D22" s="3">
        <v>2006</v>
      </c>
      <c r="E22" s="8">
        <f t="shared" si="0"/>
        <v>90.200007070004716</v>
      </c>
      <c r="F22" s="2" t="str">
        <f t="shared" si="1"/>
        <v/>
      </c>
      <c r="G22" s="2" t="str">
        <f t="shared" si="2"/>
        <v/>
      </c>
      <c r="H22" s="26" t="str">
        <f t="shared" si="3"/>
        <v/>
      </c>
      <c r="I22" s="2" t="str">
        <f>IF(COUNTIFS('Senior-M'!B:B,B22,'Senior-M'!A:A,"&lt;9",'Senior-M'!H:H,"&lt;&gt;"&amp;"No DD"),"P","")</f>
        <v/>
      </c>
      <c r="J22" s="7">
        <f t="shared" si="4"/>
        <v>47.2</v>
      </c>
      <c r="K22" s="7" t="str">
        <f t="shared" si="5"/>
        <v>2025 Nationals</v>
      </c>
      <c r="L22" s="7">
        <f>IF(J22=AO22,IF(COUNT(AQ22,AS22,BO22,BQ22,BU22,BW22)&gt;1,LARGE((AQ22,AS22,BO22,BQ22,BU22,BW22),1),0),IF(COUNT(AK22,AM22,AQ22,AS22,BU22,BW22)&gt;1,LARGE((AK22,AM22,AQ22,AS22,BU22,BW22),1),0))</f>
        <v>23.5</v>
      </c>
      <c r="M22" s="7" t="str">
        <f t="shared" si="6"/>
        <v>2025 Nationals</v>
      </c>
      <c r="N22" s="7">
        <f>IF(J22=AO22,IF(COUNT(AQ22,AS22,BO22,BQ22,BU22,BW22)&gt;1,LARGE((AQ22,AS22,BO22,BQ22,BU22,BW22),2),0),IF(COUNT(AK22,AM22,AQ22,AS22,BU22,BW22)&gt;1,LARGE((AK22,AM22,AQ22,AS22,BU22,BW22),2),0))</f>
        <v>19.5</v>
      </c>
      <c r="O22" s="7" t="str">
        <f t="shared" si="7"/>
        <v>2025 Nationals</v>
      </c>
      <c r="P22" s="7" t="str">
        <f t="shared" si="8"/>
        <v/>
      </c>
      <c r="Q22" s="10" t="str">
        <f t="shared" si="9"/>
        <v/>
      </c>
      <c r="R22" s="7" t="str">
        <f t="shared" si="10"/>
        <v/>
      </c>
      <c r="S22" s="39">
        <v>18.2</v>
      </c>
      <c r="T22" s="39">
        <v>5.2</v>
      </c>
      <c r="U22" s="39">
        <v>0.2</v>
      </c>
      <c r="V22" s="39">
        <v>0</v>
      </c>
      <c r="W22" s="39">
        <v>18.399999999999999</v>
      </c>
      <c r="X22" s="39">
        <v>5.6</v>
      </c>
      <c r="Y22" s="39">
        <v>0</v>
      </c>
      <c r="Z22" s="39">
        <v>0</v>
      </c>
      <c r="AA22" s="39">
        <v>18.3</v>
      </c>
      <c r="AB22" s="39">
        <v>5.2</v>
      </c>
      <c r="AC22" s="39">
        <v>0</v>
      </c>
      <c r="AD22" s="39">
        <v>0</v>
      </c>
      <c r="AE22" s="39">
        <v>18.5</v>
      </c>
      <c r="AF22" s="39">
        <v>2</v>
      </c>
      <c r="AG22" s="39">
        <v>1</v>
      </c>
      <c r="AH22" s="39">
        <v>0</v>
      </c>
      <c r="AI22" s="19"/>
      <c r="AJ22" s="42">
        <f t="shared" si="11"/>
        <v>5.2</v>
      </c>
      <c r="AK22" s="42">
        <f t="shared" si="12"/>
        <v>23.2</v>
      </c>
      <c r="AL22" s="42">
        <f t="shared" si="13"/>
        <v>5.6</v>
      </c>
      <c r="AM22" s="42">
        <f t="shared" si="14"/>
        <v>24</v>
      </c>
      <c r="AN22" s="27">
        <f t="shared" si="15"/>
        <v>10.8</v>
      </c>
      <c r="AO22" s="27">
        <f t="shared" si="16"/>
        <v>47.2</v>
      </c>
      <c r="AP22" s="27">
        <f t="shared" si="17"/>
        <v>5.2</v>
      </c>
      <c r="AQ22" s="27">
        <f t="shared" si="18"/>
        <v>23.5</v>
      </c>
      <c r="AR22" s="27">
        <f t="shared" si="19"/>
        <v>2</v>
      </c>
      <c r="AS22" s="27">
        <f t="shared" si="20"/>
        <v>19.5</v>
      </c>
      <c r="AT22" s="27">
        <f t="shared" si="21"/>
        <v>7.2</v>
      </c>
      <c r="AU22" s="27">
        <f t="shared" si="22"/>
        <v>43</v>
      </c>
      <c r="AV22" s="27">
        <f t="shared" si="23"/>
        <v>90.2</v>
      </c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20"/>
      <c r="BN22" s="43" t="str">
        <f t="shared" si="24"/>
        <v/>
      </c>
      <c r="BO22" s="43" t="str">
        <f t="shared" si="25"/>
        <v/>
      </c>
      <c r="BP22" s="43" t="str">
        <f t="shared" si="26"/>
        <v/>
      </c>
      <c r="BQ22" s="43" t="str">
        <f t="shared" si="27"/>
        <v/>
      </c>
      <c r="BR22" s="10" t="str">
        <f t="shared" si="28"/>
        <v/>
      </c>
      <c r="BS22" s="10" t="str">
        <f t="shared" si="29"/>
        <v/>
      </c>
      <c r="BT22" s="10" t="str">
        <f t="shared" si="30"/>
        <v/>
      </c>
      <c r="BU22" s="10" t="str">
        <f t="shared" si="31"/>
        <v/>
      </c>
      <c r="BV22" s="10" t="str">
        <f t="shared" si="32"/>
        <v/>
      </c>
      <c r="BW22" s="10" t="str">
        <f t="shared" si="33"/>
        <v/>
      </c>
      <c r="BX22" s="10" t="str">
        <f t="shared" si="34"/>
        <v/>
      </c>
      <c r="BY22" s="10" t="str">
        <f t="shared" si="35"/>
        <v/>
      </c>
      <c r="BZ22" s="10" t="str">
        <f t="shared" si="36"/>
        <v/>
      </c>
      <c r="CA22" s="34" t="str">
        <f t="shared" si="37"/>
        <v/>
      </c>
      <c r="CB22" s="34" t="str">
        <f t="shared" si="38"/>
        <v/>
      </c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27" t="str">
        <f t="shared" si="39"/>
        <v/>
      </c>
      <c r="CX22" s="27" t="str">
        <f t="shared" si="40"/>
        <v/>
      </c>
      <c r="CY22" s="27" t="str">
        <f t="shared" si="41"/>
        <v/>
      </c>
      <c r="CZ22" s="27" t="str">
        <f t="shared" si="42"/>
        <v/>
      </c>
      <c r="DA22" s="27" t="str">
        <f t="shared" si="43"/>
        <v/>
      </c>
      <c r="DB22" s="27" t="str">
        <f t="shared" si="44"/>
        <v/>
      </c>
      <c r="DC22" s="27" t="str">
        <f t="shared" si="45"/>
        <v/>
      </c>
      <c r="DD22" s="27" t="str">
        <f t="shared" si="46"/>
        <v/>
      </c>
      <c r="DE22" s="27" t="str">
        <f t="shared" si="47"/>
        <v/>
      </c>
      <c r="DF22" s="27" t="str">
        <f t="shared" si="48"/>
        <v/>
      </c>
      <c r="DG22" s="27" t="str">
        <f t="shared" si="49"/>
        <v/>
      </c>
      <c r="DH22" s="27" t="str">
        <f t="shared" si="50"/>
        <v/>
      </c>
      <c r="DI22" s="27" t="str">
        <f t="shared" si="51"/>
        <v/>
      </c>
      <c r="DJ22" s="27" t="str">
        <f t="shared" si="52"/>
        <v/>
      </c>
      <c r="DK22" s="27" t="str">
        <f t="shared" si="53"/>
        <v/>
      </c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0" t="str">
        <f t="shared" si="54"/>
        <v/>
      </c>
      <c r="EG22" s="10" t="str">
        <f t="shared" si="55"/>
        <v/>
      </c>
      <c r="EH22" s="10" t="str">
        <f t="shared" si="56"/>
        <v/>
      </c>
      <c r="EI22" s="10" t="str">
        <f t="shared" si="57"/>
        <v/>
      </c>
      <c r="EJ22" s="10" t="str">
        <f t="shared" si="58"/>
        <v/>
      </c>
      <c r="EK22" s="10" t="str">
        <f t="shared" si="59"/>
        <v/>
      </c>
      <c r="EL22" s="10" t="str">
        <f t="shared" si="60"/>
        <v/>
      </c>
      <c r="EM22" s="10" t="str">
        <f t="shared" si="61"/>
        <v/>
      </c>
      <c r="EN22" s="10" t="str">
        <f t="shared" si="62"/>
        <v/>
      </c>
      <c r="EO22" s="10" t="str">
        <f t="shared" si="63"/>
        <v/>
      </c>
      <c r="EP22" s="10" t="str">
        <f t="shared" si="64"/>
        <v/>
      </c>
      <c r="EQ22" s="10" t="str">
        <f t="shared" si="65"/>
        <v/>
      </c>
      <c r="ER22" s="10" t="str">
        <f t="shared" si="66"/>
        <v/>
      </c>
      <c r="ES22" s="10" t="str">
        <f t="shared" si="67"/>
        <v/>
      </c>
      <c r="ET22" s="10" t="str">
        <f t="shared" si="68"/>
        <v/>
      </c>
      <c r="EU22" s="44">
        <f t="shared" si="69"/>
        <v>9.1</v>
      </c>
      <c r="EV22" s="44">
        <f t="shared" si="70"/>
        <v>2.6</v>
      </c>
      <c r="EW22" s="44">
        <f t="shared" si="71"/>
        <v>0.1</v>
      </c>
      <c r="EX22" s="44">
        <f t="shared" si="72"/>
        <v>0</v>
      </c>
      <c r="EY22" s="44">
        <f t="shared" si="73"/>
        <v>9.1999999999999993</v>
      </c>
      <c r="EZ22" s="44">
        <f t="shared" si="74"/>
        <v>2.8</v>
      </c>
      <c r="FA22" s="44">
        <f t="shared" si="75"/>
        <v>0</v>
      </c>
      <c r="FB22" s="44">
        <f t="shared" si="76"/>
        <v>0</v>
      </c>
      <c r="FC22" s="44">
        <f t="shared" si="77"/>
        <v>9.15</v>
      </c>
      <c r="FD22" s="44">
        <f t="shared" si="78"/>
        <v>2.6</v>
      </c>
      <c r="FE22" s="44">
        <f t="shared" si="79"/>
        <v>0</v>
      </c>
      <c r="FF22" s="44">
        <f t="shared" si="80"/>
        <v>0</v>
      </c>
      <c r="FG22" s="44">
        <f t="shared" si="81"/>
        <v>9.25</v>
      </c>
      <c r="FH22" s="44">
        <f t="shared" si="82"/>
        <v>1</v>
      </c>
      <c r="FI22" s="44">
        <f t="shared" si="83"/>
        <v>0.5</v>
      </c>
      <c r="FJ22" s="44">
        <f t="shared" si="84"/>
        <v>0</v>
      </c>
      <c r="FK22" s="20" t="s">
        <v>29</v>
      </c>
      <c r="FL22" s="10">
        <f t="shared" si="85"/>
        <v>2.6</v>
      </c>
      <c r="FM22" s="10">
        <f t="shared" si="86"/>
        <v>11.6</v>
      </c>
      <c r="FN22" s="10">
        <f t="shared" si="87"/>
        <v>2.8</v>
      </c>
      <c r="FO22" s="10">
        <f t="shared" si="88"/>
        <v>12</v>
      </c>
      <c r="FP22" s="10">
        <f t="shared" si="89"/>
        <v>5.4</v>
      </c>
      <c r="FQ22" s="10">
        <f t="shared" ref="FQ22:FQ28" si="98">IF(SUM(FM22,FO22)&gt;0,SUM(FM22,FO22),"")</f>
        <v>23.6</v>
      </c>
      <c r="FR22" s="10">
        <f t="shared" ref="FR22:FR28" si="99">IF(FD22="","",FD22)</f>
        <v>2.6</v>
      </c>
      <c r="FS22" s="10">
        <f t="shared" ref="FS22:FS28" si="100">IF(FC22="","",FC22+FD22+FF22-FE22)</f>
        <v>11.75</v>
      </c>
      <c r="FT22" s="10">
        <f t="shared" ref="FT22:FT28" si="101">IF(FH22="","",FH22)</f>
        <v>1</v>
      </c>
      <c r="FU22" s="10">
        <f t="shared" ref="FU22:FU28" si="102">IF(FG22="","",FG22+FH22+FJ22-FI22)</f>
        <v>9.75</v>
      </c>
      <c r="FV22" s="10">
        <f t="shared" ref="FV22:FV28" si="103">IF(SUM(FD22,FH22)&gt;0,SUM(FD22,FH22),"")</f>
        <v>3.6</v>
      </c>
      <c r="FW22" s="10">
        <f t="shared" ref="FW22:FW28" si="104">IF(SUM(FS22,FU22)&gt;0,SUM(FS22,FU22),"")</f>
        <v>21.5</v>
      </c>
      <c r="FX22" s="10">
        <f t="shared" ref="FX22:FX28" si="105">IF(SUM(FQ22,FW22)&gt;0,SUM(FQ22,FW22),"")</f>
        <v>45.1</v>
      </c>
    </row>
    <row r="23" spans="1:180" x14ac:dyDescent="0.2">
      <c r="A23" s="3" t="str" cm="1">
        <f t="array" ref="A23">IF(AND(H23&lt;&gt;"",H23&lt;&gt;"No DD",I23&lt;&gt;"P"),SUMPRODUCT((H$4:H$39&lt;&gt;"")*(H$4:H$39&lt;&gt;"No DD")*(I$4:I$39&lt;&gt;"P")*(E$4:E$39&gt;E23))+1,IF(H23="No DD",SUMPRODUCT((H$4:H$39="No DD")*(I$4:I$39&lt;&gt;"P")*(E$4:E$39&gt;E23))+1+SUMPRODUCT((H$4:H$39&lt;&gt;"")*(I$4:I$39&lt;&gt;"P")*(H$4:H$39&lt;&gt;"No DD")),""))</f>
        <v/>
      </c>
      <c r="B23" s="4" t="s">
        <v>84</v>
      </c>
      <c r="C23" s="3" t="s">
        <v>5</v>
      </c>
      <c r="D23" s="3">
        <v>2007</v>
      </c>
      <c r="E23" s="8">
        <f t="shared" si="0"/>
        <v>90.100006950004598</v>
      </c>
      <c r="F23" s="2" t="str">
        <f t="shared" si="1"/>
        <v/>
      </c>
      <c r="G23" s="2" t="str">
        <f t="shared" si="2"/>
        <v/>
      </c>
      <c r="H23" s="26" t="str">
        <f t="shared" si="3"/>
        <v/>
      </c>
      <c r="I23" s="2" t="str">
        <f>IF(COUNTIFS('Senior-M'!B:B,B23,'Senior-M'!A:A,"&lt;9",'Senior-M'!H:H,"&lt;&gt;"&amp;"No DD"),"P","")</f>
        <v/>
      </c>
      <c r="J23" s="7">
        <f t="shared" si="4"/>
        <v>46.1</v>
      </c>
      <c r="K23" s="7" t="str">
        <f t="shared" si="5"/>
        <v>2025 Nationals</v>
      </c>
      <c r="L23" s="7">
        <f>IF(J23=AO23,IF(COUNT(AQ23,AS23,BO23,BQ23,BU23,BW23)&gt;1,LARGE((AQ23,AS23,BO23,BQ23,BU23,BW23),1),0),IF(COUNT(AK23,AM23,AQ23,AS23,BU23,BW23)&gt;1,LARGE((AK23,AM23,AQ23,AS23,BU23,BW23),1),0))</f>
        <v>23.4</v>
      </c>
      <c r="M23" s="7" t="str">
        <f t="shared" si="6"/>
        <v>2025 3rd Domestic Trial</v>
      </c>
      <c r="N23" s="7">
        <f>IF(J23=AO23,IF(COUNT(AQ23,AS23,BO23,BQ23,BU23,BW23)&gt;1,LARGE((AQ23,AS23,BO23,BQ23,BU23,BW23),2),0),IF(COUNT(AK23,AM23,AQ23,AS23,BU23,BW23)&gt;1,LARGE((AK23,AM23,AQ23,AS23,BU23,BW23),2),0))</f>
        <v>20.6</v>
      </c>
      <c r="O23" s="7" t="str">
        <f t="shared" si="7"/>
        <v>2025 3rd Domestic Trial</v>
      </c>
      <c r="P23" s="7" t="str">
        <f t="shared" si="8"/>
        <v/>
      </c>
      <c r="Q23" s="10" t="str">
        <f t="shared" si="9"/>
        <v/>
      </c>
      <c r="R23" s="7" t="str">
        <f t="shared" si="10"/>
        <v/>
      </c>
      <c r="S23" s="39">
        <v>18.3</v>
      </c>
      <c r="T23" s="39">
        <v>9.3000000000000007</v>
      </c>
      <c r="U23" s="39">
        <v>0.2</v>
      </c>
      <c r="V23" s="39">
        <v>0.3</v>
      </c>
      <c r="W23" s="39">
        <v>15.6</v>
      </c>
      <c r="X23" s="39">
        <v>2.8</v>
      </c>
      <c r="Y23" s="39">
        <v>0</v>
      </c>
      <c r="Z23" s="39">
        <v>0</v>
      </c>
      <c r="AA23" s="39"/>
      <c r="AB23" s="39"/>
      <c r="AC23" s="39"/>
      <c r="AD23" s="39"/>
      <c r="AE23" s="39"/>
      <c r="AF23" s="39"/>
      <c r="AG23" s="39"/>
      <c r="AH23" s="39"/>
      <c r="AI23" s="19"/>
      <c r="AJ23" s="42">
        <f t="shared" si="11"/>
        <v>9.3000000000000007</v>
      </c>
      <c r="AK23" s="42">
        <f t="shared" si="12"/>
        <v>27.700000000000003</v>
      </c>
      <c r="AL23" s="42">
        <f t="shared" si="13"/>
        <v>2.8</v>
      </c>
      <c r="AM23" s="42">
        <f t="shared" si="14"/>
        <v>18.399999999999999</v>
      </c>
      <c r="AN23" s="27">
        <f t="shared" si="15"/>
        <v>12.100000000000001</v>
      </c>
      <c r="AO23" s="27">
        <f t="shared" si="16"/>
        <v>46.1</v>
      </c>
      <c r="AP23" s="27" t="str">
        <f t="shared" si="17"/>
        <v/>
      </c>
      <c r="AQ23" s="27" t="str">
        <f t="shared" si="18"/>
        <v/>
      </c>
      <c r="AR23" s="27" t="str">
        <f t="shared" si="19"/>
        <v/>
      </c>
      <c r="AS23" s="27" t="str">
        <f t="shared" si="20"/>
        <v/>
      </c>
      <c r="AT23" s="27" t="str">
        <f t="shared" si="21"/>
        <v/>
      </c>
      <c r="AU23" s="27" t="str">
        <f t="shared" si="22"/>
        <v/>
      </c>
      <c r="AV23" s="27">
        <f t="shared" si="23"/>
        <v>46.1</v>
      </c>
      <c r="AW23" s="15">
        <v>15.5</v>
      </c>
      <c r="AX23" s="15">
        <v>4.8</v>
      </c>
      <c r="AY23" s="15">
        <v>0</v>
      </c>
      <c r="AZ23" s="15">
        <v>0.3</v>
      </c>
      <c r="BA23" s="15">
        <v>16.8</v>
      </c>
      <c r="BB23" s="15">
        <v>7.6</v>
      </c>
      <c r="BC23" s="15">
        <v>1</v>
      </c>
      <c r="BD23" s="15">
        <v>0</v>
      </c>
      <c r="BE23" s="15"/>
      <c r="BF23" s="15"/>
      <c r="BG23" s="15"/>
      <c r="BH23" s="15"/>
      <c r="BI23" s="15"/>
      <c r="BJ23" s="15"/>
      <c r="BK23" s="15"/>
      <c r="BL23" s="15"/>
      <c r="BM23" s="20"/>
      <c r="BN23" s="43">
        <f t="shared" si="24"/>
        <v>4.8</v>
      </c>
      <c r="BO23" s="43">
        <f t="shared" si="25"/>
        <v>20.6</v>
      </c>
      <c r="BP23" s="43">
        <f t="shared" si="26"/>
        <v>7.6</v>
      </c>
      <c r="BQ23" s="43">
        <f t="shared" si="27"/>
        <v>23.4</v>
      </c>
      <c r="BR23" s="10">
        <f t="shared" si="28"/>
        <v>12.399999999999999</v>
      </c>
      <c r="BS23" s="10">
        <f t="shared" si="29"/>
        <v>44</v>
      </c>
      <c r="BT23" s="10" t="str">
        <f t="shared" si="30"/>
        <v/>
      </c>
      <c r="BU23" s="10" t="str">
        <f t="shared" si="31"/>
        <v/>
      </c>
      <c r="BV23" s="10" t="str">
        <f t="shared" si="32"/>
        <v/>
      </c>
      <c r="BW23" s="10" t="str">
        <f t="shared" si="33"/>
        <v/>
      </c>
      <c r="BX23" s="10" t="str">
        <f t="shared" si="34"/>
        <v/>
      </c>
      <c r="BY23" s="10" t="str">
        <f t="shared" si="35"/>
        <v/>
      </c>
      <c r="BZ23" s="10">
        <f t="shared" si="36"/>
        <v>44</v>
      </c>
      <c r="CA23" s="34" t="str">
        <f t="shared" si="37"/>
        <v/>
      </c>
      <c r="CB23" s="34" t="str">
        <f t="shared" si="38"/>
        <v/>
      </c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27" t="str">
        <f t="shared" si="39"/>
        <v/>
      </c>
      <c r="CX23" s="27" t="str">
        <f t="shared" si="40"/>
        <v/>
      </c>
      <c r="CY23" s="27" t="str">
        <f t="shared" si="41"/>
        <v/>
      </c>
      <c r="CZ23" s="27" t="str">
        <f t="shared" si="42"/>
        <v/>
      </c>
      <c r="DA23" s="27" t="str">
        <f t="shared" si="43"/>
        <v/>
      </c>
      <c r="DB23" s="27" t="str">
        <f t="shared" si="44"/>
        <v/>
      </c>
      <c r="DC23" s="27" t="str">
        <f t="shared" si="45"/>
        <v/>
      </c>
      <c r="DD23" s="27" t="str">
        <f t="shared" si="46"/>
        <v/>
      </c>
      <c r="DE23" s="27" t="str">
        <f t="shared" si="47"/>
        <v/>
      </c>
      <c r="DF23" s="27" t="str">
        <f t="shared" si="48"/>
        <v/>
      </c>
      <c r="DG23" s="27" t="str">
        <f t="shared" si="49"/>
        <v/>
      </c>
      <c r="DH23" s="27" t="str">
        <f t="shared" si="50"/>
        <v/>
      </c>
      <c r="DI23" s="27" t="str">
        <f t="shared" si="51"/>
        <v/>
      </c>
      <c r="DJ23" s="27" t="str">
        <f t="shared" si="52"/>
        <v/>
      </c>
      <c r="DK23" s="27" t="str">
        <f t="shared" si="53"/>
        <v/>
      </c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0" t="str">
        <f t="shared" si="54"/>
        <v/>
      </c>
      <c r="EG23" s="10" t="str">
        <f t="shared" si="55"/>
        <v/>
      </c>
      <c r="EH23" s="10" t="str">
        <f t="shared" si="56"/>
        <v/>
      </c>
      <c r="EI23" s="10" t="str">
        <f t="shared" si="57"/>
        <v/>
      </c>
      <c r="EJ23" s="10" t="str">
        <f t="shared" si="58"/>
        <v/>
      </c>
      <c r="EK23" s="10" t="str">
        <f t="shared" si="59"/>
        <v/>
      </c>
      <c r="EL23" s="10" t="str">
        <f t="shared" si="60"/>
        <v/>
      </c>
      <c r="EM23" s="10" t="str">
        <f t="shared" si="61"/>
        <v/>
      </c>
      <c r="EN23" s="10" t="str">
        <f t="shared" si="62"/>
        <v/>
      </c>
      <c r="EO23" s="10" t="str">
        <f t="shared" si="63"/>
        <v/>
      </c>
      <c r="EP23" s="10" t="str">
        <f t="shared" si="64"/>
        <v/>
      </c>
      <c r="EQ23" s="10" t="str">
        <f t="shared" si="65"/>
        <v/>
      </c>
      <c r="ER23" s="10" t="str">
        <f t="shared" si="66"/>
        <v/>
      </c>
      <c r="ES23" s="10" t="str">
        <f t="shared" si="67"/>
        <v/>
      </c>
      <c r="ET23" s="10" t="str">
        <f t="shared" si="68"/>
        <v/>
      </c>
      <c r="EU23" s="44">
        <f t="shared" si="69"/>
        <v>16.899999999999999</v>
      </c>
      <c r="EV23" s="44">
        <f t="shared" si="70"/>
        <v>7.0500000000000007</v>
      </c>
      <c r="EW23" s="44">
        <f t="shared" si="71"/>
        <v>0.1</v>
      </c>
      <c r="EX23" s="44">
        <f t="shared" si="72"/>
        <v>0.3</v>
      </c>
      <c r="EY23" s="44">
        <f t="shared" si="73"/>
        <v>16.2</v>
      </c>
      <c r="EZ23" s="44">
        <f t="shared" si="74"/>
        <v>5.1999999999999993</v>
      </c>
      <c r="FA23" s="44">
        <f t="shared" si="75"/>
        <v>0.5</v>
      </c>
      <c r="FB23" s="44">
        <f t="shared" si="76"/>
        <v>0</v>
      </c>
      <c r="FC23" s="44">
        <f t="shared" si="77"/>
        <v>0</v>
      </c>
      <c r="FD23" s="44">
        <f t="shared" si="78"/>
        <v>0</v>
      </c>
      <c r="FE23" s="44">
        <f t="shared" si="79"/>
        <v>0</v>
      </c>
      <c r="FF23" s="44">
        <f t="shared" si="80"/>
        <v>0</v>
      </c>
      <c r="FG23" s="44">
        <f t="shared" si="81"/>
        <v>0</v>
      </c>
      <c r="FH23" s="44">
        <f t="shared" si="82"/>
        <v>0</v>
      </c>
      <c r="FI23" s="44">
        <f t="shared" si="83"/>
        <v>0</v>
      </c>
      <c r="FJ23" s="44">
        <f t="shared" si="84"/>
        <v>0</v>
      </c>
      <c r="FK23" s="20" t="s">
        <v>29</v>
      </c>
      <c r="FL23" s="10">
        <f t="shared" si="85"/>
        <v>7.0500000000000007</v>
      </c>
      <c r="FM23" s="10">
        <f t="shared" si="86"/>
        <v>24.15</v>
      </c>
      <c r="FN23" s="10">
        <f t="shared" si="87"/>
        <v>5.1999999999999993</v>
      </c>
      <c r="FO23" s="10">
        <f t="shared" si="88"/>
        <v>20.9</v>
      </c>
      <c r="FP23" s="10">
        <f t="shared" si="89"/>
        <v>12.25</v>
      </c>
      <c r="FQ23" s="10">
        <f t="shared" si="98"/>
        <v>45.05</v>
      </c>
      <c r="FR23" s="10">
        <f t="shared" si="99"/>
        <v>0</v>
      </c>
      <c r="FS23" s="10">
        <f t="shared" si="100"/>
        <v>0</v>
      </c>
      <c r="FT23" s="10">
        <f t="shared" si="101"/>
        <v>0</v>
      </c>
      <c r="FU23" s="10">
        <f t="shared" si="102"/>
        <v>0</v>
      </c>
      <c r="FV23" s="10" t="str">
        <f t="shared" si="103"/>
        <v/>
      </c>
      <c r="FW23" s="10" t="str">
        <f t="shared" si="104"/>
        <v/>
      </c>
      <c r="FX23" s="10">
        <f t="shared" si="105"/>
        <v>45.05</v>
      </c>
    </row>
    <row r="24" spans="1:180" x14ac:dyDescent="0.2">
      <c r="A24" s="3" t="str" cm="1">
        <f t="array" ref="A24">IF(AND(H24&lt;&gt;"",H24&lt;&gt;"No DD",I24&lt;&gt;"P"),SUMPRODUCT((H$4:H$39&lt;&gt;"")*(H$4:H$39&lt;&gt;"No DD")*(I$4:I$39&lt;&gt;"P")*(E$4:E$39&gt;E24))+1,IF(H24="No DD",SUMPRODUCT((H$4:H$39="No DD")*(I$4:I$39&lt;&gt;"P")*(E$4:E$39&gt;E24))+1+SUMPRODUCT((H$4:H$39&lt;&gt;"")*(I$4:I$39&lt;&gt;"P")*(H$4:H$39&lt;&gt;"No DD")),""))</f>
        <v/>
      </c>
      <c r="B24" s="4" t="s">
        <v>146</v>
      </c>
      <c r="C24" s="3" t="s">
        <v>91</v>
      </c>
      <c r="D24" s="3">
        <v>2007</v>
      </c>
      <c r="E24" s="8">
        <f t="shared" si="0"/>
        <v>89.700006550004119</v>
      </c>
      <c r="F24" s="2" t="str">
        <f t="shared" si="1"/>
        <v/>
      </c>
      <c r="G24" s="2" t="str">
        <f t="shared" si="2"/>
        <v/>
      </c>
      <c r="H24" s="26" t="str">
        <f t="shared" si="3"/>
        <v/>
      </c>
      <c r="I24" s="2" t="str">
        <f>IF(COUNTIFS('Senior-M'!B:B,B24,'Senior-M'!A:A,"&lt;9",'Senior-M'!H:H,"&lt;&gt;"&amp;"No DD"),"P","")</f>
        <v/>
      </c>
      <c r="J24" s="7">
        <f t="shared" si="4"/>
        <v>41.2</v>
      </c>
      <c r="K24" s="7" t="str">
        <f t="shared" si="5"/>
        <v>2025 Nationals</v>
      </c>
      <c r="L24" s="7">
        <f>IF(J24=AO24,IF(COUNT(AQ24,AS24,BO24,BQ24,BU24,BW24)&gt;1,LARGE((AQ24,AS24,BO24,BQ24,BU24,BW24),1),0),IF(COUNT(AK24,AM24,AQ24,AS24,BU24,BW24)&gt;1,LARGE((AK24,AM24,AQ24,AS24,BU24,BW24),1),0))</f>
        <v>24.299999999999997</v>
      </c>
      <c r="M24" s="7" t="str">
        <f t="shared" si="6"/>
        <v>2025 3rd Domestic Trial</v>
      </c>
      <c r="N24" s="7">
        <f>IF(J24=AO24,IF(COUNT(AQ24,AS24,BO24,BQ24,BU24,BW24)&gt;1,LARGE((AQ24,AS24,BO24,BQ24,BU24,BW24),2),0),IF(COUNT(AK24,AM24,AQ24,AS24,BU24,BW24)&gt;1,LARGE((AK24,AM24,AQ24,AS24,BU24,BW24),2),0))</f>
        <v>24.2</v>
      </c>
      <c r="O24" s="7" t="str">
        <f t="shared" si="7"/>
        <v>2025 Nationals</v>
      </c>
      <c r="P24" s="7" t="str">
        <f t="shared" si="8"/>
        <v/>
      </c>
      <c r="Q24" s="10" t="str">
        <f t="shared" si="9"/>
        <v/>
      </c>
      <c r="R24" s="7" t="str">
        <f t="shared" si="10"/>
        <v/>
      </c>
      <c r="S24" s="39">
        <v>18</v>
      </c>
      <c r="T24" s="39">
        <v>5.2</v>
      </c>
      <c r="U24" s="39">
        <v>0</v>
      </c>
      <c r="V24" s="39">
        <v>0</v>
      </c>
      <c r="W24" s="39">
        <v>15.2</v>
      </c>
      <c r="X24" s="39">
        <v>2.8</v>
      </c>
      <c r="Y24" s="39">
        <v>0</v>
      </c>
      <c r="Z24" s="39">
        <v>0</v>
      </c>
      <c r="AA24" s="39">
        <v>17.899999999999999</v>
      </c>
      <c r="AB24" s="39">
        <v>5.2</v>
      </c>
      <c r="AC24" s="39">
        <v>1</v>
      </c>
      <c r="AD24" s="39">
        <v>0</v>
      </c>
      <c r="AE24" s="39">
        <v>18</v>
      </c>
      <c r="AF24" s="39">
        <v>6.4</v>
      </c>
      <c r="AG24" s="39">
        <v>0.2</v>
      </c>
      <c r="AH24" s="39">
        <v>0</v>
      </c>
      <c r="AI24" s="19"/>
      <c r="AJ24" s="42">
        <f t="shared" si="11"/>
        <v>5.2</v>
      </c>
      <c r="AK24" s="42">
        <f t="shared" si="12"/>
        <v>23.2</v>
      </c>
      <c r="AL24" s="42">
        <f t="shared" si="13"/>
        <v>2.8</v>
      </c>
      <c r="AM24" s="42">
        <f t="shared" si="14"/>
        <v>18</v>
      </c>
      <c r="AN24" s="27">
        <f t="shared" si="15"/>
        <v>8</v>
      </c>
      <c r="AO24" s="27">
        <f t="shared" si="16"/>
        <v>41.2</v>
      </c>
      <c r="AP24" s="27">
        <f t="shared" si="17"/>
        <v>5.2</v>
      </c>
      <c r="AQ24" s="27">
        <f t="shared" si="18"/>
        <v>22.099999999999998</v>
      </c>
      <c r="AR24" s="27">
        <f t="shared" si="19"/>
        <v>6.4</v>
      </c>
      <c r="AS24" s="27">
        <f t="shared" si="20"/>
        <v>24.2</v>
      </c>
      <c r="AT24" s="27">
        <f t="shared" si="21"/>
        <v>11.600000000000001</v>
      </c>
      <c r="AU24" s="27">
        <f t="shared" si="22"/>
        <v>46.3</v>
      </c>
      <c r="AV24" s="27">
        <f t="shared" si="23"/>
        <v>87.5</v>
      </c>
      <c r="AW24" s="15">
        <v>16.7</v>
      </c>
      <c r="AX24" s="15">
        <v>6</v>
      </c>
      <c r="AY24" s="15">
        <v>0.8</v>
      </c>
      <c r="AZ24" s="15">
        <v>0</v>
      </c>
      <c r="BA24" s="15">
        <v>0</v>
      </c>
      <c r="BB24" s="15">
        <v>0</v>
      </c>
      <c r="BC24" s="15">
        <v>0</v>
      </c>
      <c r="BD24" s="15">
        <v>0</v>
      </c>
      <c r="BE24" s="15">
        <v>0</v>
      </c>
      <c r="BF24" s="15">
        <v>0</v>
      </c>
      <c r="BG24" s="15">
        <v>0</v>
      </c>
      <c r="BH24" s="15">
        <v>0</v>
      </c>
      <c r="BI24" s="15">
        <v>18.5</v>
      </c>
      <c r="BJ24" s="15">
        <v>6.4</v>
      </c>
      <c r="BK24" s="15">
        <v>0.6</v>
      </c>
      <c r="BL24" s="15">
        <v>0</v>
      </c>
      <c r="BM24" s="20"/>
      <c r="BN24" s="43">
        <f t="shared" si="24"/>
        <v>6</v>
      </c>
      <c r="BO24" s="43">
        <f t="shared" si="25"/>
        <v>21.9</v>
      </c>
      <c r="BP24" s="43">
        <f t="shared" si="26"/>
        <v>0</v>
      </c>
      <c r="BQ24" s="43">
        <f t="shared" si="27"/>
        <v>0</v>
      </c>
      <c r="BR24" s="10">
        <f t="shared" si="28"/>
        <v>6</v>
      </c>
      <c r="BS24" s="10">
        <f t="shared" si="29"/>
        <v>21.9</v>
      </c>
      <c r="BT24" s="10">
        <f t="shared" si="30"/>
        <v>0</v>
      </c>
      <c r="BU24" s="10">
        <f t="shared" si="31"/>
        <v>0</v>
      </c>
      <c r="BV24" s="10">
        <f t="shared" si="32"/>
        <v>6.4</v>
      </c>
      <c r="BW24" s="10">
        <f t="shared" si="33"/>
        <v>24.299999999999997</v>
      </c>
      <c r="BX24" s="10">
        <f t="shared" si="34"/>
        <v>6.4</v>
      </c>
      <c r="BY24" s="10">
        <f t="shared" si="35"/>
        <v>24.299999999999997</v>
      </c>
      <c r="BZ24" s="10">
        <f t="shared" si="36"/>
        <v>46.199999999999996</v>
      </c>
      <c r="CA24" s="34" t="str">
        <f t="shared" si="37"/>
        <v/>
      </c>
      <c r="CB24" s="34" t="str">
        <f t="shared" si="38"/>
        <v/>
      </c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27" t="str">
        <f t="shared" si="39"/>
        <v/>
      </c>
      <c r="CX24" s="27" t="str">
        <f t="shared" si="40"/>
        <v/>
      </c>
      <c r="CY24" s="27" t="str">
        <f t="shared" si="41"/>
        <v/>
      </c>
      <c r="CZ24" s="27" t="str">
        <f t="shared" si="42"/>
        <v/>
      </c>
      <c r="DA24" s="27" t="str">
        <f t="shared" si="43"/>
        <v/>
      </c>
      <c r="DB24" s="27" t="str">
        <f t="shared" si="44"/>
        <v/>
      </c>
      <c r="DC24" s="27" t="str">
        <f t="shared" si="45"/>
        <v/>
      </c>
      <c r="DD24" s="27" t="str">
        <f t="shared" si="46"/>
        <v/>
      </c>
      <c r="DE24" s="27" t="str">
        <f t="shared" si="47"/>
        <v/>
      </c>
      <c r="DF24" s="27" t="str">
        <f t="shared" si="48"/>
        <v/>
      </c>
      <c r="DG24" s="27" t="str">
        <f t="shared" si="49"/>
        <v/>
      </c>
      <c r="DH24" s="27" t="str">
        <f t="shared" si="50"/>
        <v/>
      </c>
      <c r="DI24" s="27" t="str">
        <f t="shared" si="51"/>
        <v/>
      </c>
      <c r="DJ24" s="27" t="str">
        <f t="shared" si="52"/>
        <v/>
      </c>
      <c r="DK24" s="27" t="str">
        <f t="shared" si="53"/>
        <v/>
      </c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0" t="str">
        <f t="shared" si="54"/>
        <v/>
      </c>
      <c r="EG24" s="10" t="str">
        <f t="shared" si="55"/>
        <v/>
      </c>
      <c r="EH24" s="10" t="str">
        <f t="shared" si="56"/>
        <v/>
      </c>
      <c r="EI24" s="10" t="str">
        <f t="shared" si="57"/>
        <v/>
      </c>
      <c r="EJ24" s="10" t="str">
        <f t="shared" si="58"/>
        <v/>
      </c>
      <c r="EK24" s="10" t="str">
        <f t="shared" si="59"/>
        <v/>
      </c>
      <c r="EL24" s="10" t="str">
        <f t="shared" si="60"/>
        <v/>
      </c>
      <c r="EM24" s="10" t="str">
        <f t="shared" si="61"/>
        <v/>
      </c>
      <c r="EN24" s="10" t="str">
        <f t="shared" si="62"/>
        <v/>
      </c>
      <c r="EO24" s="10" t="str">
        <f t="shared" si="63"/>
        <v/>
      </c>
      <c r="EP24" s="10" t="str">
        <f t="shared" si="64"/>
        <v/>
      </c>
      <c r="EQ24" s="10" t="str">
        <f t="shared" si="65"/>
        <v/>
      </c>
      <c r="ER24" s="10" t="str">
        <f t="shared" si="66"/>
        <v/>
      </c>
      <c r="ES24" s="10" t="str">
        <f t="shared" si="67"/>
        <v/>
      </c>
      <c r="ET24" s="10" t="str">
        <f t="shared" si="68"/>
        <v/>
      </c>
      <c r="EU24" s="44">
        <f t="shared" si="69"/>
        <v>17.350000000000001</v>
      </c>
      <c r="EV24" s="44">
        <f t="shared" si="70"/>
        <v>5.6</v>
      </c>
      <c r="EW24" s="44">
        <f t="shared" si="71"/>
        <v>0.4</v>
      </c>
      <c r="EX24" s="44">
        <f t="shared" si="72"/>
        <v>0</v>
      </c>
      <c r="EY24" s="44">
        <f t="shared" si="73"/>
        <v>7.6</v>
      </c>
      <c r="EZ24" s="44">
        <f t="shared" si="74"/>
        <v>1.4</v>
      </c>
      <c r="FA24" s="44">
        <f t="shared" si="75"/>
        <v>0</v>
      </c>
      <c r="FB24" s="44">
        <f t="shared" si="76"/>
        <v>0</v>
      </c>
      <c r="FC24" s="44">
        <f t="shared" si="77"/>
        <v>8.9499999999999993</v>
      </c>
      <c r="FD24" s="44">
        <f t="shared" si="78"/>
        <v>2.6</v>
      </c>
      <c r="FE24" s="44">
        <f t="shared" si="79"/>
        <v>0.5</v>
      </c>
      <c r="FF24" s="44">
        <f t="shared" si="80"/>
        <v>0</v>
      </c>
      <c r="FG24" s="44">
        <f t="shared" si="81"/>
        <v>18.25</v>
      </c>
      <c r="FH24" s="44">
        <f t="shared" si="82"/>
        <v>6.4</v>
      </c>
      <c r="FI24" s="44">
        <f t="shared" si="83"/>
        <v>0.4</v>
      </c>
      <c r="FJ24" s="44">
        <f t="shared" si="84"/>
        <v>0</v>
      </c>
      <c r="FK24" s="20" t="s">
        <v>29</v>
      </c>
      <c r="FL24" s="10">
        <f t="shared" si="85"/>
        <v>5.6</v>
      </c>
      <c r="FM24" s="10">
        <f t="shared" si="86"/>
        <v>22.550000000000004</v>
      </c>
      <c r="FN24" s="10">
        <f t="shared" si="87"/>
        <v>1.4</v>
      </c>
      <c r="FO24" s="10">
        <f t="shared" si="88"/>
        <v>9</v>
      </c>
      <c r="FP24" s="10">
        <f t="shared" si="89"/>
        <v>7</v>
      </c>
      <c r="FQ24" s="10">
        <f t="shared" si="98"/>
        <v>31.550000000000004</v>
      </c>
      <c r="FR24" s="10">
        <f t="shared" si="99"/>
        <v>2.6</v>
      </c>
      <c r="FS24" s="10">
        <f t="shared" si="100"/>
        <v>11.049999999999999</v>
      </c>
      <c r="FT24" s="10">
        <f t="shared" si="101"/>
        <v>6.4</v>
      </c>
      <c r="FU24" s="10">
        <f t="shared" si="102"/>
        <v>24.25</v>
      </c>
      <c r="FV24" s="10">
        <f t="shared" si="103"/>
        <v>9</v>
      </c>
      <c r="FW24" s="10">
        <f t="shared" si="104"/>
        <v>35.299999999999997</v>
      </c>
      <c r="FX24" s="10">
        <f t="shared" si="105"/>
        <v>66.849999999999994</v>
      </c>
    </row>
    <row r="25" spans="1:180" x14ac:dyDescent="0.2">
      <c r="A25" s="3" t="str" cm="1">
        <f t="array" ref="A25">IF(AND(H25&lt;&gt;"",H25&lt;&gt;"No DD",I25&lt;&gt;"P"),SUMPRODUCT((H$4:H$39&lt;&gt;"")*(H$4:H$39&lt;&gt;"No DD")*(I$4:I$39&lt;&gt;"P")*(E$4:E$39&gt;E25))+1,IF(H25="No DD",SUMPRODUCT((H$4:H$39="No DD")*(I$4:I$39&lt;&gt;"P")*(E$4:E$39&gt;E25))+1+SUMPRODUCT((H$4:H$39&lt;&gt;"")*(I$4:I$39&lt;&gt;"P")*(H$4:H$39&lt;&gt;"No DD")),""))</f>
        <v/>
      </c>
      <c r="B25" s="4" t="s">
        <v>147</v>
      </c>
      <c r="C25" s="3" t="s">
        <v>3</v>
      </c>
      <c r="D25" s="3">
        <v>2009</v>
      </c>
      <c r="E25" s="8">
        <f t="shared" si="0"/>
        <v>88.700006490004114</v>
      </c>
      <c r="F25" s="2" t="str">
        <f t="shared" si="1"/>
        <v/>
      </c>
      <c r="G25" s="2" t="str">
        <f t="shared" si="2"/>
        <v/>
      </c>
      <c r="H25" s="26" t="str">
        <f t="shared" si="3"/>
        <v/>
      </c>
      <c r="I25" s="2" t="str">
        <f>IF(COUNTIFS('Senior-M'!B:B,B25,'Senior-M'!A:A,"&lt;9",'Senior-M'!H:H,"&lt;&gt;"&amp;"No DD"),"P","")</f>
        <v/>
      </c>
      <c r="J25" s="7">
        <f t="shared" si="4"/>
        <v>41</v>
      </c>
      <c r="K25" s="7" t="str">
        <f t="shared" si="5"/>
        <v>2025 Nationals</v>
      </c>
      <c r="L25" s="7">
        <f>IF(J25=AO25,IF(COUNT(AQ25,AS25,BO25,BQ25,BU25,BW25)&gt;1,LARGE((AQ25,AS25,BO25,BQ25,BU25,BW25),1),0),IF(COUNT(AK25,AM25,AQ25,AS25,BU25,BW25)&gt;1,LARGE((AK25,AM25,AQ25,AS25,BU25,BW25),1),0))</f>
        <v>23.9</v>
      </c>
      <c r="M25" s="7" t="str">
        <f t="shared" si="6"/>
        <v>2025 Nationals</v>
      </c>
      <c r="N25" s="7">
        <f>IF(J25=AO25,IF(COUNT(AQ25,AS25,BO25,BQ25,BU25,BW25)&gt;1,LARGE((AQ25,AS25,BO25,BQ25,BU25,BW25),2),0),IF(COUNT(AK25,AM25,AQ25,AS25,BU25,BW25)&gt;1,LARGE((AK25,AM25,AQ25,AS25,BU25,BW25),2),0))</f>
        <v>23.8</v>
      </c>
      <c r="O25" s="7" t="str">
        <f t="shared" si="7"/>
        <v>2025 Nationals</v>
      </c>
      <c r="P25" s="7" t="str">
        <f t="shared" si="8"/>
        <v/>
      </c>
      <c r="Q25" s="10" t="str">
        <f t="shared" si="9"/>
        <v/>
      </c>
      <c r="R25" s="7" t="str">
        <f t="shared" si="10"/>
        <v/>
      </c>
      <c r="S25" s="39">
        <v>17.899999999999999</v>
      </c>
      <c r="T25" s="39">
        <v>5.6</v>
      </c>
      <c r="U25" s="39">
        <v>0.8</v>
      </c>
      <c r="V25" s="39">
        <v>0</v>
      </c>
      <c r="W25" s="39">
        <v>15.1</v>
      </c>
      <c r="X25" s="39">
        <v>3.2</v>
      </c>
      <c r="Y25" s="39">
        <v>0</v>
      </c>
      <c r="Z25" s="39">
        <v>0</v>
      </c>
      <c r="AA25" s="39">
        <v>18</v>
      </c>
      <c r="AB25" s="39">
        <v>6.8</v>
      </c>
      <c r="AC25" s="39">
        <v>1</v>
      </c>
      <c r="AD25" s="39">
        <v>0</v>
      </c>
      <c r="AE25" s="39">
        <v>17.899999999999999</v>
      </c>
      <c r="AF25" s="39">
        <v>6</v>
      </c>
      <c r="AG25" s="39">
        <v>0</v>
      </c>
      <c r="AH25" s="39">
        <v>0</v>
      </c>
      <c r="AI25" s="19"/>
      <c r="AJ25" s="42">
        <f t="shared" si="11"/>
        <v>5.6</v>
      </c>
      <c r="AK25" s="42">
        <f t="shared" si="12"/>
        <v>22.7</v>
      </c>
      <c r="AL25" s="42">
        <f t="shared" si="13"/>
        <v>3.2</v>
      </c>
      <c r="AM25" s="42">
        <f t="shared" si="14"/>
        <v>18.3</v>
      </c>
      <c r="AN25" s="27">
        <f t="shared" si="15"/>
        <v>8.8000000000000007</v>
      </c>
      <c r="AO25" s="27">
        <f t="shared" si="16"/>
        <v>41</v>
      </c>
      <c r="AP25" s="27">
        <f t="shared" si="17"/>
        <v>6.8</v>
      </c>
      <c r="AQ25" s="27">
        <f t="shared" si="18"/>
        <v>23.8</v>
      </c>
      <c r="AR25" s="27">
        <f t="shared" si="19"/>
        <v>6</v>
      </c>
      <c r="AS25" s="27">
        <f t="shared" si="20"/>
        <v>23.9</v>
      </c>
      <c r="AT25" s="27">
        <f t="shared" si="21"/>
        <v>12.8</v>
      </c>
      <c r="AU25" s="27">
        <f t="shared" si="22"/>
        <v>47.7</v>
      </c>
      <c r="AV25" s="27">
        <f t="shared" si="23"/>
        <v>88.7</v>
      </c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20"/>
      <c r="BN25" s="43" t="str">
        <f t="shared" si="24"/>
        <v/>
      </c>
      <c r="BO25" s="43" t="str">
        <f t="shared" si="25"/>
        <v/>
      </c>
      <c r="BP25" s="43" t="str">
        <f t="shared" si="26"/>
        <v/>
      </c>
      <c r="BQ25" s="43" t="str">
        <f t="shared" si="27"/>
        <v/>
      </c>
      <c r="BR25" s="10" t="str">
        <f t="shared" si="28"/>
        <v/>
      </c>
      <c r="BS25" s="10" t="str">
        <f t="shared" si="29"/>
        <v/>
      </c>
      <c r="BT25" s="10" t="str">
        <f t="shared" si="30"/>
        <v/>
      </c>
      <c r="BU25" s="10" t="str">
        <f t="shared" si="31"/>
        <v/>
      </c>
      <c r="BV25" s="10" t="str">
        <f t="shared" si="32"/>
        <v/>
      </c>
      <c r="BW25" s="10" t="str">
        <f t="shared" si="33"/>
        <v/>
      </c>
      <c r="BX25" s="10" t="str">
        <f t="shared" si="34"/>
        <v/>
      </c>
      <c r="BY25" s="10" t="str">
        <f t="shared" si="35"/>
        <v/>
      </c>
      <c r="BZ25" s="10" t="str">
        <f t="shared" si="36"/>
        <v/>
      </c>
      <c r="CA25" s="34" t="str">
        <f t="shared" si="37"/>
        <v/>
      </c>
      <c r="CB25" s="34" t="str">
        <f t="shared" si="38"/>
        <v/>
      </c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27" t="str">
        <f t="shared" si="39"/>
        <v/>
      </c>
      <c r="CX25" s="27" t="str">
        <f t="shared" si="40"/>
        <v/>
      </c>
      <c r="CY25" s="27" t="str">
        <f t="shared" si="41"/>
        <v/>
      </c>
      <c r="CZ25" s="27" t="str">
        <f t="shared" si="42"/>
        <v/>
      </c>
      <c r="DA25" s="27" t="str">
        <f t="shared" si="43"/>
        <v/>
      </c>
      <c r="DB25" s="27" t="str">
        <f t="shared" si="44"/>
        <v/>
      </c>
      <c r="DC25" s="27" t="str">
        <f t="shared" si="45"/>
        <v/>
      </c>
      <c r="DD25" s="27" t="str">
        <f t="shared" si="46"/>
        <v/>
      </c>
      <c r="DE25" s="27" t="str">
        <f t="shared" si="47"/>
        <v/>
      </c>
      <c r="DF25" s="27" t="str">
        <f t="shared" si="48"/>
        <v/>
      </c>
      <c r="DG25" s="27" t="str">
        <f t="shared" si="49"/>
        <v/>
      </c>
      <c r="DH25" s="27" t="str">
        <f t="shared" si="50"/>
        <v/>
      </c>
      <c r="DI25" s="27" t="str">
        <f t="shared" si="51"/>
        <v/>
      </c>
      <c r="DJ25" s="27" t="str">
        <f t="shared" si="52"/>
        <v/>
      </c>
      <c r="DK25" s="27" t="str">
        <f t="shared" si="53"/>
        <v/>
      </c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0" t="str">
        <f t="shared" si="54"/>
        <v/>
      </c>
      <c r="EG25" s="10" t="str">
        <f t="shared" si="55"/>
        <v/>
      </c>
      <c r="EH25" s="10" t="str">
        <f t="shared" si="56"/>
        <v/>
      </c>
      <c r="EI25" s="10" t="str">
        <f t="shared" si="57"/>
        <v/>
      </c>
      <c r="EJ25" s="10" t="str">
        <f t="shared" si="58"/>
        <v/>
      </c>
      <c r="EK25" s="10" t="str">
        <f t="shared" si="59"/>
        <v/>
      </c>
      <c r="EL25" s="10" t="str">
        <f t="shared" si="60"/>
        <v/>
      </c>
      <c r="EM25" s="10" t="str">
        <f t="shared" si="61"/>
        <v/>
      </c>
      <c r="EN25" s="10" t="str">
        <f t="shared" si="62"/>
        <v/>
      </c>
      <c r="EO25" s="10" t="str">
        <f t="shared" si="63"/>
        <v/>
      </c>
      <c r="EP25" s="10" t="str">
        <f t="shared" si="64"/>
        <v/>
      </c>
      <c r="EQ25" s="10" t="str">
        <f t="shared" si="65"/>
        <v/>
      </c>
      <c r="ER25" s="10" t="str">
        <f t="shared" si="66"/>
        <v/>
      </c>
      <c r="ES25" s="10" t="str">
        <f t="shared" si="67"/>
        <v/>
      </c>
      <c r="ET25" s="10" t="str">
        <f t="shared" si="68"/>
        <v/>
      </c>
      <c r="EU25" s="44">
        <f t="shared" si="69"/>
        <v>8.9499999999999993</v>
      </c>
      <c r="EV25" s="44">
        <f t="shared" si="70"/>
        <v>2.8</v>
      </c>
      <c r="EW25" s="44">
        <f t="shared" si="71"/>
        <v>0.4</v>
      </c>
      <c r="EX25" s="44">
        <f t="shared" si="72"/>
        <v>0</v>
      </c>
      <c r="EY25" s="44">
        <f t="shared" si="73"/>
        <v>7.55</v>
      </c>
      <c r="EZ25" s="44">
        <f t="shared" si="74"/>
        <v>1.6</v>
      </c>
      <c r="FA25" s="44">
        <f t="shared" si="75"/>
        <v>0</v>
      </c>
      <c r="FB25" s="44">
        <f t="shared" si="76"/>
        <v>0</v>
      </c>
      <c r="FC25" s="44">
        <f t="shared" si="77"/>
        <v>9</v>
      </c>
      <c r="FD25" s="44">
        <f t="shared" si="78"/>
        <v>3.4</v>
      </c>
      <c r="FE25" s="44">
        <f t="shared" si="79"/>
        <v>0.5</v>
      </c>
      <c r="FF25" s="44">
        <f t="shared" si="80"/>
        <v>0</v>
      </c>
      <c r="FG25" s="44">
        <f t="shared" si="81"/>
        <v>8.9499999999999993</v>
      </c>
      <c r="FH25" s="44">
        <f t="shared" si="82"/>
        <v>3</v>
      </c>
      <c r="FI25" s="44">
        <f t="shared" si="83"/>
        <v>0</v>
      </c>
      <c r="FJ25" s="44">
        <f t="shared" si="84"/>
        <v>0</v>
      </c>
      <c r="FK25" s="20" t="s">
        <v>29</v>
      </c>
      <c r="FL25" s="10">
        <f t="shared" si="85"/>
        <v>2.8</v>
      </c>
      <c r="FM25" s="10">
        <f t="shared" si="86"/>
        <v>11.35</v>
      </c>
      <c r="FN25" s="10">
        <f t="shared" si="87"/>
        <v>1.6</v>
      </c>
      <c r="FO25" s="10">
        <f t="shared" si="88"/>
        <v>9.15</v>
      </c>
      <c r="FP25" s="10">
        <f t="shared" si="89"/>
        <v>4.4000000000000004</v>
      </c>
      <c r="FQ25" s="10">
        <f t="shared" si="98"/>
        <v>20.5</v>
      </c>
      <c r="FR25" s="10">
        <f t="shared" si="99"/>
        <v>3.4</v>
      </c>
      <c r="FS25" s="10">
        <f t="shared" si="100"/>
        <v>11.9</v>
      </c>
      <c r="FT25" s="10">
        <f t="shared" si="101"/>
        <v>3</v>
      </c>
      <c r="FU25" s="10">
        <f t="shared" si="102"/>
        <v>11.95</v>
      </c>
      <c r="FV25" s="10">
        <f t="shared" si="103"/>
        <v>6.4</v>
      </c>
      <c r="FW25" s="10">
        <f t="shared" si="104"/>
        <v>23.85</v>
      </c>
      <c r="FX25" s="10">
        <f t="shared" si="105"/>
        <v>44.35</v>
      </c>
    </row>
    <row r="26" spans="1:180" x14ac:dyDescent="0.2">
      <c r="A26" s="3" t="str" cm="1">
        <f t="array" ref="A26">IF(AND(H26&lt;&gt;"",H26&lt;&gt;"No DD",I26&lt;&gt;"P"),SUMPRODUCT((H$4:H$39&lt;&gt;"")*(H$4:H$39&lt;&gt;"No DD")*(I$4:I$39&lt;&gt;"P")*(E$4:E$39&gt;E26))+1,IF(H26="No DD",SUMPRODUCT((H$4:H$39="No DD")*(I$4:I$39&lt;&gt;"P")*(E$4:E$39&gt;E26))+1+SUMPRODUCT((H$4:H$39&lt;&gt;"")*(I$4:I$39&lt;&gt;"P")*(H$4:H$39&lt;&gt;"No DD")),""))</f>
        <v/>
      </c>
      <c r="B26" s="4" t="s">
        <v>90</v>
      </c>
      <c r="C26" s="3" t="s">
        <v>91</v>
      </c>
      <c r="D26" s="3">
        <v>2005</v>
      </c>
      <c r="E26" s="8">
        <f t="shared" si="0"/>
        <v>88.300006990004519</v>
      </c>
      <c r="F26" s="2" t="str">
        <f t="shared" si="1"/>
        <v/>
      </c>
      <c r="G26" s="2" t="str">
        <f t="shared" si="2"/>
        <v/>
      </c>
      <c r="H26" s="26" t="str">
        <f t="shared" si="3"/>
        <v/>
      </c>
      <c r="I26" s="2" t="str">
        <f>IF(COUNTIFS('Senior-M'!B:B,B26,'Senior-M'!A:A,"&lt;9",'Senior-M'!H:H,"&lt;&gt;"&amp;"No DD"),"P","")</f>
        <v/>
      </c>
      <c r="J26" s="7">
        <f t="shared" si="4"/>
        <v>45.1</v>
      </c>
      <c r="K26" s="7" t="str">
        <f t="shared" si="5"/>
        <v>2025 3rd Domestic Trial</v>
      </c>
      <c r="L26" s="7">
        <f>IF(J26=AO26,IF(COUNT(AQ26,AS26,BO26,BQ26,BU26,BW26)&gt;1,LARGE((AQ26,AS26,BO26,BQ26,BU26,BW26),1),0),IF(COUNT(AK26,AM26,AQ26,AS26,BU26,BW26)&gt;1,LARGE((AK26,AM26,AQ26,AS26,BU26,BW26),1),0))</f>
        <v>24.8</v>
      </c>
      <c r="M26" s="7" t="str">
        <f t="shared" si="6"/>
        <v>2025 Nationals</v>
      </c>
      <c r="N26" s="7">
        <f>IF(J26=AO26,IF(COUNT(AQ26,AS26,BO26,BQ26,BU26,BW26)&gt;1,LARGE((AQ26,AS26,BO26,BQ26,BU26,BW26),2),0),IF(COUNT(AK26,AM26,AQ26,AS26,BU26,BW26)&gt;1,LARGE((AK26,AM26,AQ26,AS26,BU26,BW26),2),0))</f>
        <v>18.399999999999999</v>
      </c>
      <c r="O26" s="7" t="str">
        <f t="shared" si="7"/>
        <v>2025 Nationals</v>
      </c>
      <c r="P26" s="7" t="str">
        <f t="shared" si="8"/>
        <v/>
      </c>
      <c r="Q26" s="10" t="str">
        <f t="shared" si="9"/>
        <v/>
      </c>
      <c r="R26" s="7" t="str">
        <f t="shared" si="10"/>
        <v/>
      </c>
      <c r="S26" s="39">
        <v>16.7</v>
      </c>
      <c r="T26" s="39">
        <v>8</v>
      </c>
      <c r="U26" s="39">
        <v>0.2</v>
      </c>
      <c r="V26" s="39">
        <v>0.3</v>
      </c>
      <c r="W26" s="39">
        <v>15.2</v>
      </c>
      <c r="X26" s="39">
        <v>3.2</v>
      </c>
      <c r="Y26" s="39">
        <v>0</v>
      </c>
      <c r="Z26" s="39">
        <v>0</v>
      </c>
      <c r="AA26" s="39"/>
      <c r="AB26" s="39"/>
      <c r="AC26" s="39"/>
      <c r="AD26" s="39"/>
      <c r="AE26" s="39"/>
      <c r="AF26" s="39"/>
      <c r="AG26" s="39"/>
      <c r="AH26" s="39"/>
      <c r="AI26" s="19"/>
      <c r="AJ26" s="42">
        <f t="shared" si="11"/>
        <v>8</v>
      </c>
      <c r="AK26" s="42">
        <f t="shared" si="12"/>
        <v>24.8</v>
      </c>
      <c r="AL26" s="42">
        <f t="shared" si="13"/>
        <v>3.2</v>
      </c>
      <c r="AM26" s="42">
        <f t="shared" si="14"/>
        <v>18.399999999999999</v>
      </c>
      <c r="AN26" s="27">
        <f t="shared" si="15"/>
        <v>11.2</v>
      </c>
      <c r="AO26" s="27">
        <f t="shared" si="16"/>
        <v>43.2</v>
      </c>
      <c r="AP26" s="27" t="str">
        <f t="shared" si="17"/>
        <v/>
      </c>
      <c r="AQ26" s="27" t="str">
        <f t="shared" si="18"/>
        <v/>
      </c>
      <c r="AR26" s="27" t="str">
        <f t="shared" si="19"/>
        <v/>
      </c>
      <c r="AS26" s="27" t="str">
        <f t="shared" si="20"/>
        <v/>
      </c>
      <c r="AT26" s="27" t="str">
        <f t="shared" si="21"/>
        <v/>
      </c>
      <c r="AU26" s="27" t="str">
        <f t="shared" si="22"/>
        <v/>
      </c>
      <c r="AV26" s="27">
        <f t="shared" si="23"/>
        <v>43.2</v>
      </c>
      <c r="AW26" s="15">
        <v>18.8</v>
      </c>
      <c r="AX26" s="15">
        <v>8</v>
      </c>
      <c r="AY26" s="15">
        <v>0.2</v>
      </c>
      <c r="AZ26" s="15">
        <v>0</v>
      </c>
      <c r="BA26" s="15">
        <v>15.3</v>
      </c>
      <c r="BB26" s="15">
        <v>3.2</v>
      </c>
      <c r="BC26" s="15">
        <v>0</v>
      </c>
      <c r="BD26" s="15">
        <v>0</v>
      </c>
      <c r="BE26" s="15"/>
      <c r="BF26" s="15"/>
      <c r="BG26" s="15"/>
      <c r="BH26" s="15"/>
      <c r="BI26" s="15"/>
      <c r="BJ26" s="15"/>
      <c r="BK26" s="15"/>
      <c r="BL26" s="15"/>
      <c r="BM26" s="20"/>
      <c r="BN26" s="43">
        <f t="shared" si="24"/>
        <v>8</v>
      </c>
      <c r="BO26" s="43">
        <f t="shared" si="25"/>
        <v>26.6</v>
      </c>
      <c r="BP26" s="43">
        <f t="shared" si="26"/>
        <v>3.2</v>
      </c>
      <c r="BQ26" s="43">
        <f t="shared" si="27"/>
        <v>18.5</v>
      </c>
      <c r="BR26" s="10">
        <f t="shared" si="28"/>
        <v>11.2</v>
      </c>
      <c r="BS26" s="10">
        <f t="shared" si="29"/>
        <v>45.1</v>
      </c>
      <c r="BT26" s="10" t="str">
        <f t="shared" si="30"/>
        <v/>
      </c>
      <c r="BU26" s="10" t="str">
        <f t="shared" si="31"/>
        <v/>
      </c>
      <c r="BV26" s="10" t="str">
        <f t="shared" si="32"/>
        <v/>
      </c>
      <c r="BW26" s="10" t="str">
        <f t="shared" si="33"/>
        <v/>
      </c>
      <c r="BX26" s="10" t="str">
        <f t="shared" si="34"/>
        <v/>
      </c>
      <c r="BY26" s="10" t="str">
        <f t="shared" si="35"/>
        <v/>
      </c>
      <c r="BZ26" s="10">
        <f t="shared" si="36"/>
        <v>45.1</v>
      </c>
      <c r="CA26" s="34" t="str">
        <f t="shared" si="37"/>
        <v/>
      </c>
      <c r="CB26" s="34" t="str">
        <f t="shared" si="38"/>
        <v/>
      </c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27" t="str">
        <f t="shared" si="39"/>
        <v/>
      </c>
      <c r="CX26" s="27" t="str">
        <f t="shared" si="40"/>
        <v/>
      </c>
      <c r="CY26" s="27" t="str">
        <f t="shared" si="41"/>
        <v/>
      </c>
      <c r="CZ26" s="27" t="str">
        <f t="shared" si="42"/>
        <v/>
      </c>
      <c r="DA26" s="27" t="str">
        <f t="shared" si="43"/>
        <v/>
      </c>
      <c r="DB26" s="27" t="str">
        <f t="shared" si="44"/>
        <v/>
      </c>
      <c r="DC26" s="27" t="str">
        <f t="shared" si="45"/>
        <v/>
      </c>
      <c r="DD26" s="27" t="str">
        <f t="shared" si="46"/>
        <v/>
      </c>
      <c r="DE26" s="27" t="str">
        <f t="shared" si="47"/>
        <v/>
      </c>
      <c r="DF26" s="27" t="str">
        <f t="shared" si="48"/>
        <v/>
      </c>
      <c r="DG26" s="27" t="str">
        <f t="shared" si="49"/>
        <v/>
      </c>
      <c r="DH26" s="27" t="str">
        <f t="shared" si="50"/>
        <v/>
      </c>
      <c r="DI26" s="27" t="str">
        <f t="shared" si="51"/>
        <v/>
      </c>
      <c r="DJ26" s="27" t="str">
        <f t="shared" si="52"/>
        <v/>
      </c>
      <c r="DK26" s="27" t="str">
        <f t="shared" si="53"/>
        <v/>
      </c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0" t="str">
        <f t="shared" si="54"/>
        <v/>
      </c>
      <c r="EG26" s="10" t="str">
        <f t="shared" si="55"/>
        <v/>
      </c>
      <c r="EH26" s="10" t="str">
        <f t="shared" si="56"/>
        <v/>
      </c>
      <c r="EI26" s="10" t="str">
        <f t="shared" si="57"/>
        <v/>
      </c>
      <c r="EJ26" s="10" t="str">
        <f t="shared" si="58"/>
        <v/>
      </c>
      <c r="EK26" s="10" t="str">
        <f t="shared" si="59"/>
        <v/>
      </c>
      <c r="EL26" s="10" t="str">
        <f t="shared" si="60"/>
        <v/>
      </c>
      <c r="EM26" s="10" t="str">
        <f t="shared" si="61"/>
        <v/>
      </c>
      <c r="EN26" s="10" t="str">
        <f t="shared" si="62"/>
        <v/>
      </c>
      <c r="EO26" s="10" t="str">
        <f t="shared" si="63"/>
        <v/>
      </c>
      <c r="EP26" s="10" t="str">
        <f t="shared" si="64"/>
        <v/>
      </c>
      <c r="EQ26" s="10" t="str">
        <f t="shared" si="65"/>
        <v/>
      </c>
      <c r="ER26" s="10" t="str">
        <f t="shared" si="66"/>
        <v/>
      </c>
      <c r="ES26" s="10" t="str">
        <f t="shared" si="67"/>
        <v/>
      </c>
      <c r="ET26" s="10" t="str">
        <f t="shared" si="68"/>
        <v/>
      </c>
      <c r="EU26" s="44">
        <f t="shared" si="69"/>
        <v>17.75</v>
      </c>
      <c r="EV26" s="44">
        <f t="shared" si="70"/>
        <v>8</v>
      </c>
      <c r="EW26" s="44">
        <f t="shared" si="71"/>
        <v>0.2</v>
      </c>
      <c r="EX26" s="44">
        <f t="shared" si="72"/>
        <v>0.15</v>
      </c>
      <c r="EY26" s="44">
        <f t="shared" si="73"/>
        <v>15.25</v>
      </c>
      <c r="EZ26" s="44">
        <f t="shared" si="74"/>
        <v>3.2</v>
      </c>
      <c r="FA26" s="44">
        <f t="shared" si="75"/>
        <v>0</v>
      </c>
      <c r="FB26" s="44">
        <f t="shared" si="76"/>
        <v>0</v>
      </c>
      <c r="FC26" s="44">
        <f t="shared" si="77"/>
        <v>0</v>
      </c>
      <c r="FD26" s="44">
        <f t="shared" si="78"/>
        <v>0</v>
      </c>
      <c r="FE26" s="44">
        <f t="shared" si="79"/>
        <v>0</v>
      </c>
      <c r="FF26" s="44">
        <f t="shared" si="80"/>
        <v>0</v>
      </c>
      <c r="FG26" s="44">
        <f t="shared" si="81"/>
        <v>0</v>
      </c>
      <c r="FH26" s="44">
        <f t="shared" si="82"/>
        <v>0</v>
      </c>
      <c r="FI26" s="44">
        <f t="shared" si="83"/>
        <v>0</v>
      </c>
      <c r="FJ26" s="44">
        <f t="shared" si="84"/>
        <v>0</v>
      </c>
      <c r="FK26" s="20" t="s">
        <v>29</v>
      </c>
      <c r="FL26" s="10">
        <f t="shared" si="85"/>
        <v>8</v>
      </c>
      <c r="FM26" s="10">
        <f t="shared" si="86"/>
        <v>25.7</v>
      </c>
      <c r="FN26" s="10">
        <f t="shared" si="87"/>
        <v>3.2</v>
      </c>
      <c r="FO26" s="10">
        <f t="shared" si="88"/>
        <v>18.45</v>
      </c>
      <c r="FP26" s="10">
        <f t="shared" si="89"/>
        <v>11.2</v>
      </c>
      <c r="FQ26" s="10">
        <f t="shared" si="98"/>
        <v>44.15</v>
      </c>
      <c r="FR26" s="10">
        <f t="shared" si="99"/>
        <v>0</v>
      </c>
      <c r="FS26" s="10">
        <f t="shared" si="100"/>
        <v>0</v>
      </c>
      <c r="FT26" s="10">
        <f t="shared" si="101"/>
        <v>0</v>
      </c>
      <c r="FU26" s="10">
        <f t="shared" si="102"/>
        <v>0</v>
      </c>
      <c r="FV26" s="10" t="str">
        <f t="shared" si="103"/>
        <v/>
      </c>
      <c r="FW26" s="10" t="str">
        <f t="shared" si="104"/>
        <v/>
      </c>
      <c r="FX26" s="10">
        <f t="shared" si="105"/>
        <v>44.15</v>
      </c>
    </row>
    <row r="27" spans="1:180" x14ac:dyDescent="0.2">
      <c r="A27" s="3" t="str" cm="1">
        <f t="array" ref="A27">IF(AND(H27&lt;&gt;"",H27&lt;&gt;"No DD",I27&lt;&gt;"P"),SUMPRODUCT((H$4:H$39&lt;&gt;"")*(H$4:H$39&lt;&gt;"No DD")*(I$4:I$39&lt;&gt;"P")*(E$4:E$39&gt;E27))+1,IF(H27="No DD",SUMPRODUCT((H$4:H$39="No DD")*(I$4:I$39&lt;&gt;"P")*(E$4:E$39&gt;E27))+1+SUMPRODUCT((H$4:H$39&lt;&gt;"")*(I$4:I$39&lt;&gt;"P")*(H$4:H$39&lt;&gt;"No DD")),""))</f>
        <v/>
      </c>
      <c r="B27" s="4" t="s">
        <v>156</v>
      </c>
      <c r="C27" s="3" t="s">
        <v>3</v>
      </c>
      <c r="D27" s="3">
        <v>2006</v>
      </c>
      <c r="E27" s="8">
        <f t="shared" si="0"/>
        <v>87.800006890004539</v>
      </c>
      <c r="F27" s="2" t="str">
        <f t="shared" si="1"/>
        <v/>
      </c>
      <c r="G27" s="2" t="str">
        <f t="shared" si="2"/>
        <v/>
      </c>
      <c r="H27" s="26" t="str">
        <f t="shared" si="3"/>
        <v/>
      </c>
      <c r="I27" s="2" t="str">
        <f>IF(COUNTIFS('Senior-M'!B:B,B27,'Senior-M'!A:A,"&lt;9",'Senior-M'!H:H,"&lt;&gt;"&amp;"No DD"),"P","")</f>
        <v/>
      </c>
      <c r="J27" s="7">
        <f t="shared" si="4"/>
        <v>45.3</v>
      </c>
      <c r="K27" s="7" t="str">
        <f t="shared" si="5"/>
        <v>2025 Nationals</v>
      </c>
      <c r="L27" s="7">
        <f>IF(J27=AO27,IF(COUNT(AQ27,AS27,BO27,BQ27,BU27,BW27)&gt;1,LARGE((AQ27,AS27,BO27,BQ27,BU27,BW27),1),0),IF(COUNT(AK27,AM27,AQ27,AS27,BU27,BW27)&gt;1,LARGE((AK27,AM27,AQ27,AS27,BU27,BW27),1),0))</f>
        <v>23.6</v>
      </c>
      <c r="M27" s="7" t="str">
        <f t="shared" si="6"/>
        <v>2025 Nationals</v>
      </c>
      <c r="N27" s="7">
        <f>IF(J27=AO27,IF(COUNT(AQ27,AS27,BO27,BQ27,BU27,BW27)&gt;1,LARGE((AQ27,AS27,BO27,BQ27,BU27,BW27),2),0),IF(COUNT(AK27,AM27,AQ27,AS27,BU27,BW27)&gt;1,LARGE((AK27,AM27,AQ27,AS27,BU27,BW27),2),0))</f>
        <v>18.899999999999999</v>
      </c>
      <c r="O27" s="7" t="str">
        <f t="shared" si="7"/>
        <v>2025 Nationals</v>
      </c>
      <c r="P27" s="7" t="str">
        <f t="shared" si="8"/>
        <v/>
      </c>
      <c r="Q27" s="10" t="str">
        <f t="shared" si="9"/>
        <v/>
      </c>
      <c r="R27" s="7" t="str">
        <f t="shared" si="10"/>
        <v/>
      </c>
      <c r="S27" s="39">
        <v>18.3</v>
      </c>
      <c r="T27" s="39">
        <v>5.2</v>
      </c>
      <c r="U27" s="39">
        <v>0.8</v>
      </c>
      <c r="V27" s="39">
        <v>0</v>
      </c>
      <c r="W27" s="39">
        <v>18.2</v>
      </c>
      <c r="X27" s="39">
        <v>5.2</v>
      </c>
      <c r="Y27" s="39">
        <v>0.8</v>
      </c>
      <c r="Z27" s="39">
        <v>0</v>
      </c>
      <c r="AA27" s="39">
        <v>18.600000000000001</v>
      </c>
      <c r="AB27" s="39">
        <v>5.2</v>
      </c>
      <c r="AC27" s="39">
        <v>0.2</v>
      </c>
      <c r="AD27" s="39">
        <v>0</v>
      </c>
      <c r="AE27" s="39">
        <v>18.3</v>
      </c>
      <c r="AF27" s="39">
        <v>2.4</v>
      </c>
      <c r="AG27" s="39">
        <v>1.8</v>
      </c>
      <c r="AH27" s="39">
        <v>0</v>
      </c>
      <c r="AI27" s="19"/>
      <c r="AJ27" s="42">
        <f t="shared" si="11"/>
        <v>5.2</v>
      </c>
      <c r="AK27" s="42">
        <f t="shared" si="12"/>
        <v>22.7</v>
      </c>
      <c r="AL27" s="42">
        <f t="shared" si="13"/>
        <v>5.2</v>
      </c>
      <c r="AM27" s="42">
        <f t="shared" si="14"/>
        <v>22.599999999999998</v>
      </c>
      <c r="AN27" s="27">
        <f t="shared" si="15"/>
        <v>10.4</v>
      </c>
      <c r="AO27" s="27">
        <f t="shared" si="16"/>
        <v>45.3</v>
      </c>
      <c r="AP27" s="27">
        <f t="shared" si="17"/>
        <v>5.2</v>
      </c>
      <c r="AQ27" s="27">
        <f t="shared" si="18"/>
        <v>23.6</v>
      </c>
      <c r="AR27" s="27">
        <f t="shared" si="19"/>
        <v>2.4</v>
      </c>
      <c r="AS27" s="27">
        <f t="shared" si="20"/>
        <v>18.899999999999999</v>
      </c>
      <c r="AT27" s="27">
        <f t="shared" si="21"/>
        <v>7.6</v>
      </c>
      <c r="AU27" s="27">
        <f t="shared" si="22"/>
        <v>42.5</v>
      </c>
      <c r="AV27" s="27">
        <f t="shared" si="23"/>
        <v>87.8</v>
      </c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20"/>
      <c r="BN27" s="43" t="str">
        <f t="shared" si="24"/>
        <v/>
      </c>
      <c r="BO27" s="43" t="str">
        <f t="shared" si="25"/>
        <v/>
      </c>
      <c r="BP27" s="43" t="str">
        <f t="shared" si="26"/>
        <v/>
      </c>
      <c r="BQ27" s="43" t="str">
        <f t="shared" si="27"/>
        <v/>
      </c>
      <c r="BR27" s="10" t="str">
        <f t="shared" si="28"/>
        <v/>
      </c>
      <c r="BS27" s="10" t="str">
        <f t="shared" si="29"/>
        <v/>
      </c>
      <c r="BT27" s="10" t="str">
        <f t="shared" si="30"/>
        <v/>
      </c>
      <c r="BU27" s="10" t="str">
        <f t="shared" si="31"/>
        <v/>
      </c>
      <c r="BV27" s="10" t="str">
        <f t="shared" si="32"/>
        <v/>
      </c>
      <c r="BW27" s="10" t="str">
        <f t="shared" si="33"/>
        <v/>
      </c>
      <c r="BX27" s="10" t="str">
        <f t="shared" si="34"/>
        <v/>
      </c>
      <c r="BY27" s="10" t="str">
        <f t="shared" si="35"/>
        <v/>
      </c>
      <c r="BZ27" s="10" t="str">
        <f t="shared" si="36"/>
        <v/>
      </c>
      <c r="CA27" s="34" t="str">
        <f t="shared" si="37"/>
        <v/>
      </c>
      <c r="CB27" s="34" t="str">
        <f t="shared" si="38"/>
        <v/>
      </c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27" t="str">
        <f t="shared" si="39"/>
        <v/>
      </c>
      <c r="CX27" s="27" t="str">
        <f t="shared" si="40"/>
        <v/>
      </c>
      <c r="CY27" s="27" t="str">
        <f t="shared" si="41"/>
        <v/>
      </c>
      <c r="CZ27" s="27" t="str">
        <f t="shared" si="42"/>
        <v/>
      </c>
      <c r="DA27" s="27" t="str">
        <f t="shared" si="43"/>
        <v/>
      </c>
      <c r="DB27" s="27" t="str">
        <f t="shared" si="44"/>
        <v/>
      </c>
      <c r="DC27" s="27" t="str">
        <f t="shared" si="45"/>
        <v/>
      </c>
      <c r="DD27" s="27" t="str">
        <f t="shared" si="46"/>
        <v/>
      </c>
      <c r="DE27" s="27" t="str">
        <f t="shared" si="47"/>
        <v/>
      </c>
      <c r="DF27" s="27" t="str">
        <f t="shared" si="48"/>
        <v/>
      </c>
      <c r="DG27" s="27" t="str">
        <f t="shared" si="49"/>
        <v/>
      </c>
      <c r="DH27" s="27" t="str">
        <f t="shared" si="50"/>
        <v/>
      </c>
      <c r="DI27" s="27" t="str">
        <f t="shared" si="51"/>
        <v/>
      </c>
      <c r="DJ27" s="27" t="str">
        <f t="shared" si="52"/>
        <v/>
      </c>
      <c r="DK27" s="27" t="str">
        <f t="shared" si="53"/>
        <v/>
      </c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0" t="str">
        <f t="shared" si="54"/>
        <v/>
      </c>
      <c r="EG27" s="10" t="str">
        <f t="shared" si="55"/>
        <v/>
      </c>
      <c r="EH27" s="10" t="str">
        <f t="shared" si="56"/>
        <v/>
      </c>
      <c r="EI27" s="10" t="str">
        <f t="shared" si="57"/>
        <v/>
      </c>
      <c r="EJ27" s="10" t="str">
        <f t="shared" si="58"/>
        <v/>
      </c>
      <c r="EK27" s="10" t="str">
        <f t="shared" si="59"/>
        <v/>
      </c>
      <c r="EL27" s="10" t="str">
        <f t="shared" si="60"/>
        <v/>
      </c>
      <c r="EM27" s="10" t="str">
        <f t="shared" si="61"/>
        <v/>
      </c>
      <c r="EN27" s="10" t="str">
        <f t="shared" si="62"/>
        <v/>
      </c>
      <c r="EO27" s="10" t="str">
        <f t="shared" si="63"/>
        <v/>
      </c>
      <c r="EP27" s="10" t="str">
        <f t="shared" si="64"/>
        <v/>
      </c>
      <c r="EQ27" s="10" t="str">
        <f t="shared" si="65"/>
        <v/>
      </c>
      <c r="ER27" s="10" t="str">
        <f t="shared" si="66"/>
        <v/>
      </c>
      <c r="ES27" s="10" t="str">
        <f t="shared" si="67"/>
        <v/>
      </c>
      <c r="ET27" s="10" t="str">
        <f t="shared" si="68"/>
        <v/>
      </c>
      <c r="EU27" s="44">
        <f t="shared" si="69"/>
        <v>9.15</v>
      </c>
      <c r="EV27" s="44">
        <f t="shared" si="70"/>
        <v>2.6</v>
      </c>
      <c r="EW27" s="44">
        <f t="shared" si="71"/>
        <v>0.4</v>
      </c>
      <c r="EX27" s="44">
        <f t="shared" si="72"/>
        <v>0</v>
      </c>
      <c r="EY27" s="44">
        <f t="shared" si="73"/>
        <v>9.1</v>
      </c>
      <c r="EZ27" s="44">
        <f t="shared" si="74"/>
        <v>2.6</v>
      </c>
      <c r="FA27" s="44">
        <f t="shared" si="75"/>
        <v>0.4</v>
      </c>
      <c r="FB27" s="44">
        <f t="shared" si="76"/>
        <v>0</v>
      </c>
      <c r="FC27" s="44">
        <f t="shared" si="77"/>
        <v>9.3000000000000007</v>
      </c>
      <c r="FD27" s="44">
        <f t="shared" si="78"/>
        <v>2.6</v>
      </c>
      <c r="FE27" s="44">
        <f t="shared" si="79"/>
        <v>0.1</v>
      </c>
      <c r="FF27" s="44">
        <f t="shared" si="80"/>
        <v>0</v>
      </c>
      <c r="FG27" s="44">
        <f t="shared" si="81"/>
        <v>9.15</v>
      </c>
      <c r="FH27" s="44">
        <f t="shared" si="82"/>
        <v>1.2</v>
      </c>
      <c r="FI27" s="44">
        <f t="shared" si="83"/>
        <v>0.9</v>
      </c>
      <c r="FJ27" s="44">
        <f t="shared" si="84"/>
        <v>0</v>
      </c>
      <c r="FK27" s="20" t="s">
        <v>29</v>
      </c>
      <c r="FL27" s="10">
        <f t="shared" si="85"/>
        <v>2.6</v>
      </c>
      <c r="FM27" s="10">
        <f t="shared" si="86"/>
        <v>11.35</v>
      </c>
      <c r="FN27" s="10">
        <f t="shared" si="87"/>
        <v>2.6</v>
      </c>
      <c r="FO27" s="10">
        <f t="shared" si="88"/>
        <v>11.299999999999999</v>
      </c>
      <c r="FP27" s="10">
        <f t="shared" si="89"/>
        <v>5.2</v>
      </c>
      <c r="FQ27" s="10">
        <f t="shared" si="98"/>
        <v>22.65</v>
      </c>
      <c r="FR27" s="10">
        <f t="shared" si="99"/>
        <v>2.6</v>
      </c>
      <c r="FS27" s="10">
        <f t="shared" si="100"/>
        <v>11.8</v>
      </c>
      <c r="FT27" s="10">
        <f t="shared" si="101"/>
        <v>1.2</v>
      </c>
      <c r="FU27" s="10">
        <f t="shared" si="102"/>
        <v>9.4499999999999993</v>
      </c>
      <c r="FV27" s="10">
        <f t="shared" si="103"/>
        <v>3.8</v>
      </c>
      <c r="FW27" s="10">
        <f t="shared" si="104"/>
        <v>21.25</v>
      </c>
      <c r="FX27" s="10">
        <f t="shared" si="105"/>
        <v>43.9</v>
      </c>
    </row>
    <row r="28" spans="1:180" x14ac:dyDescent="0.2">
      <c r="A28" s="3" t="str" cm="1">
        <f t="array" ref="A28">IF(AND(H28&lt;&gt;"",H28&lt;&gt;"No DD",I28&lt;&gt;"P"),SUMPRODUCT((H$4:H$39&lt;&gt;"")*(H$4:H$39&lt;&gt;"No DD")*(I$4:I$39&lt;&gt;"P")*(E$4:E$39&gt;E28))+1,IF(H28="No DD",SUMPRODUCT((H$4:H$39="No DD")*(I$4:I$39&lt;&gt;"P")*(E$4:E$39&gt;E28))+1+SUMPRODUCT((H$4:H$39&lt;&gt;"")*(I$4:I$39&lt;&gt;"P")*(H$4:H$39&lt;&gt;"No DD")),""))</f>
        <v/>
      </c>
      <c r="B28" s="4" t="s">
        <v>157</v>
      </c>
      <c r="C28" s="3" t="s">
        <v>5</v>
      </c>
      <c r="D28" s="3">
        <v>2008</v>
      </c>
      <c r="E28" s="8">
        <f t="shared" si="0"/>
        <v>80.200005850003535</v>
      </c>
      <c r="F28" s="2" t="str">
        <f t="shared" si="1"/>
        <v/>
      </c>
      <c r="G28" s="2" t="str">
        <f t="shared" si="2"/>
        <v/>
      </c>
      <c r="H28" s="26" t="str">
        <f t="shared" si="3"/>
        <v/>
      </c>
      <c r="I28" s="2" t="str">
        <f>IF(COUNTIFS('Senior-M'!B:B,B28,'Senior-M'!A:A,"&lt;9",'Senior-M'!H:H,"&lt;&gt;"&amp;"No DD"),"P","")</f>
        <v/>
      </c>
      <c r="J28" s="7">
        <f t="shared" si="4"/>
        <v>35.4</v>
      </c>
      <c r="K28" s="7" t="str">
        <f t="shared" si="5"/>
        <v>2025 Nationals</v>
      </c>
      <c r="L28" s="7">
        <f>IF(J28=AO28,IF(COUNT(AQ28,AS28,BO28,BQ28,BU28,BW28)&gt;1,LARGE((AQ28,AS28,BO28,BQ28,BU28,BW28),1),0),IF(COUNT(AK28,AM28,AQ28,AS28,BU28,BW28)&gt;1,LARGE((AK28,AM28,AQ28,AS28,BU28,BW28),1),0))</f>
        <v>23.099999999999998</v>
      </c>
      <c r="M28" s="7" t="str">
        <f t="shared" si="6"/>
        <v>2025 Nationals</v>
      </c>
      <c r="N28" s="7">
        <f>IF(J28=AO28,IF(COUNT(AQ28,AS28,BO28,BQ28,BU28,BW28)&gt;1,LARGE((AQ28,AS28,BO28,BQ28,BU28,BW28),2),0),IF(COUNT(AK28,AM28,AQ28,AS28,BU28,BW28)&gt;1,LARGE((AK28,AM28,AQ28,AS28,BU28,BW28),2),0))</f>
        <v>21.7</v>
      </c>
      <c r="O28" s="7" t="str">
        <f t="shared" si="7"/>
        <v>2025 Nationals</v>
      </c>
      <c r="P28" s="7" t="str">
        <f t="shared" si="8"/>
        <v/>
      </c>
      <c r="Q28" s="10" t="str">
        <f t="shared" si="9"/>
        <v/>
      </c>
      <c r="R28" s="7" t="str">
        <f t="shared" si="10"/>
        <v/>
      </c>
      <c r="S28" s="39">
        <v>15</v>
      </c>
      <c r="T28" s="39">
        <v>2.4</v>
      </c>
      <c r="U28" s="39">
        <v>0</v>
      </c>
      <c r="V28" s="39">
        <v>0</v>
      </c>
      <c r="W28" s="39">
        <v>15.2</v>
      </c>
      <c r="X28" s="39">
        <v>2.8</v>
      </c>
      <c r="Y28" s="39">
        <v>0</v>
      </c>
      <c r="Z28" s="39">
        <v>0</v>
      </c>
      <c r="AA28" s="39">
        <v>18.100000000000001</v>
      </c>
      <c r="AB28" s="39">
        <v>4.4000000000000004</v>
      </c>
      <c r="AC28" s="39">
        <v>0.8</v>
      </c>
      <c r="AD28" s="39">
        <v>0</v>
      </c>
      <c r="AE28" s="39">
        <v>18.3</v>
      </c>
      <c r="AF28" s="39">
        <v>5.6</v>
      </c>
      <c r="AG28" s="39">
        <v>0.8</v>
      </c>
      <c r="AH28" s="39">
        <v>0</v>
      </c>
      <c r="AI28" s="19"/>
      <c r="AJ28" s="42">
        <f t="shared" si="11"/>
        <v>2.4</v>
      </c>
      <c r="AK28" s="42">
        <f t="shared" si="12"/>
        <v>17.399999999999999</v>
      </c>
      <c r="AL28" s="42">
        <f t="shared" si="13"/>
        <v>2.8</v>
      </c>
      <c r="AM28" s="42">
        <f t="shared" si="14"/>
        <v>18</v>
      </c>
      <c r="AN28" s="27">
        <f t="shared" si="15"/>
        <v>5.1999999999999993</v>
      </c>
      <c r="AO28" s="27">
        <f t="shared" si="16"/>
        <v>35.4</v>
      </c>
      <c r="AP28" s="27">
        <f t="shared" si="17"/>
        <v>4.4000000000000004</v>
      </c>
      <c r="AQ28" s="27">
        <f t="shared" si="18"/>
        <v>21.7</v>
      </c>
      <c r="AR28" s="27">
        <f t="shared" si="19"/>
        <v>5.6</v>
      </c>
      <c r="AS28" s="27">
        <f t="shared" si="20"/>
        <v>23.099999999999998</v>
      </c>
      <c r="AT28" s="27">
        <f t="shared" si="21"/>
        <v>10</v>
      </c>
      <c r="AU28" s="27">
        <f t="shared" si="22"/>
        <v>44.8</v>
      </c>
      <c r="AV28" s="27">
        <f t="shared" si="23"/>
        <v>80.199999999999989</v>
      </c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20"/>
      <c r="BN28" s="43" t="str">
        <f t="shared" si="24"/>
        <v/>
      </c>
      <c r="BO28" s="43" t="str">
        <f t="shared" si="25"/>
        <v/>
      </c>
      <c r="BP28" s="43" t="str">
        <f t="shared" si="26"/>
        <v/>
      </c>
      <c r="BQ28" s="43" t="str">
        <f t="shared" si="27"/>
        <v/>
      </c>
      <c r="BR28" s="10" t="str">
        <f t="shared" si="28"/>
        <v/>
      </c>
      <c r="BS28" s="10" t="str">
        <f t="shared" si="29"/>
        <v/>
      </c>
      <c r="BT28" s="10" t="str">
        <f t="shared" si="30"/>
        <v/>
      </c>
      <c r="BU28" s="10" t="str">
        <f t="shared" si="31"/>
        <v/>
      </c>
      <c r="BV28" s="10" t="str">
        <f t="shared" si="32"/>
        <v/>
      </c>
      <c r="BW28" s="10" t="str">
        <f t="shared" si="33"/>
        <v/>
      </c>
      <c r="BX28" s="10" t="str">
        <f t="shared" si="34"/>
        <v/>
      </c>
      <c r="BY28" s="10" t="str">
        <f t="shared" si="35"/>
        <v/>
      </c>
      <c r="BZ28" s="10" t="str">
        <f t="shared" si="36"/>
        <v/>
      </c>
      <c r="CA28" s="34" t="str">
        <f t="shared" si="37"/>
        <v/>
      </c>
      <c r="CB28" s="34" t="str">
        <f t="shared" si="38"/>
        <v/>
      </c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27" t="str">
        <f t="shared" si="39"/>
        <v/>
      </c>
      <c r="CX28" s="27" t="str">
        <f t="shared" si="40"/>
        <v/>
      </c>
      <c r="CY28" s="27" t="str">
        <f t="shared" si="41"/>
        <v/>
      </c>
      <c r="CZ28" s="27" t="str">
        <f t="shared" si="42"/>
        <v/>
      </c>
      <c r="DA28" s="27" t="str">
        <f t="shared" si="43"/>
        <v/>
      </c>
      <c r="DB28" s="27" t="str">
        <f t="shared" si="44"/>
        <v/>
      </c>
      <c r="DC28" s="27" t="str">
        <f t="shared" si="45"/>
        <v/>
      </c>
      <c r="DD28" s="27" t="str">
        <f t="shared" si="46"/>
        <v/>
      </c>
      <c r="DE28" s="27" t="str">
        <f t="shared" si="47"/>
        <v/>
      </c>
      <c r="DF28" s="27" t="str">
        <f t="shared" si="48"/>
        <v/>
      </c>
      <c r="DG28" s="27" t="str">
        <f t="shared" si="49"/>
        <v/>
      </c>
      <c r="DH28" s="27" t="str">
        <f t="shared" si="50"/>
        <v/>
      </c>
      <c r="DI28" s="27" t="str">
        <f t="shared" si="51"/>
        <v/>
      </c>
      <c r="DJ28" s="27" t="str">
        <f t="shared" si="52"/>
        <v/>
      </c>
      <c r="DK28" s="27" t="str">
        <f t="shared" si="53"/>
        <v/>
      </c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0" t="str">
        <f t="shared" si="54"/>
        <v/>
      </c>
      <c r="EG28" s="10" t="str">
        <f t="shared" si="55"/>
        <v/>
      </c>
      <c r="EH28" s="10" t="str">
        <f t="shared" si="56"/>
        <v/>
      </c>
      <c r="EI28" s="10" t="str">
        <f t="shared" si="57"/>
        <v/>
      </c>
      <c r="EJ28" s="10" t="str">
        <f t="shared" si="58"/>
        <v/>
      </c>
      <c r="EK28" s="10" t="str">
        <f t="shared" si="59"/>
        <v/>
      </c>
      <c r="EL28" s="10" t="str">
        <f t="shared" si="60"/>
        <v/>
      </c>
      <c r="EM28" s="10" t="str">
        <f t="shared" si="61"/>
        <v/>
      </c>
      <c r="EN28" s="10" t="str">
        <f t="shared" si="62"/>
        <v/>
      </c>
      <c r="EO28" s="10" t="str">
        <f t="shared" si="63"/>
        <v/>
      </c>
      <c r="EP28" s="10" t="str">
        <f t="shared" si="64"/>
        <v/>
      </c>
      <c r="EQ28" s="10" t="str">
        <f t="shared" si="65"/>
        <v/>
      </c>
      <c r="ER28" s="10" t="str">
        <f t="shared" si="66"/>
        <v/>
      </c>
      <c r="ES28" s="10" t="str">
        <f t="shared" si="67"/>
        <v/>
      </c>
      <c r="ET28" s="10" t="str">
        <f t="shared" si="68"/>
        <v/>
      </c>
      <c r="EU28" s="44">
        <f t="shared" si="69"/>
        <v>7.5</v>
      </c>
      <c r="EV28" s="44">
        <f t="shared" si="70"/>
        <v>1.2</v>
      </c>
      <c r="EW28" s="44">
        <f t="shared" si="71"/>
        <v>0</v>
      </c>
      <c r="EX28" s="44">
        <f t="shared" si="72"/>
        <v>0</v>
      </c>
      <c r="EY28" s="44">
        <f t="shared" si="73"/>
        <v>7.6</v>
      </c>
      <c r="EZ28" s="44">
        <f t="shared" si="74"/>
        <v>1.4</v>
      </c>
      <c r="FA28" s="44">
        <f t="shared" si="75"/>
        <v>0</v>
      </c>
      <c r="FB28" s="44">
        <f t="shared" si="76"/>
        <v>0</v>
      </c>
      <c r="FC28" s="44">
        <f t="shared" si="77"/>
        <v>9.0500000000000007</v>
      </c>
      <c r="FD28" s="44">
        <f t="shared" si="78"/>
        <v>2.2000000000000002</v>
      </c>
      <c r="FE28" s="44">
        <f t="shared" si="79"/>
        <v>0.4</v>
      </c>
      <c r="FF28" s="44">
        <f t="shared" si="80"/>
        <v>0</v>
      </c>
      <c r="FG28" s="44">
        <f t="shared" si="81"/>
        <v>9.15</v>
      </c>
      <c r="FH28" s="44">
        <f t="shared" si="82"/>
        <v>2.8</v>
      </c>
      <c r="FI28" s="44">
        <f t="shared" si="83"/>
        <v>0.4</v>
      </c>
      <c r="FJ28" s="44">
        <f t="shared" si="84"/>
        <v>0</v>
      </c>
      <c r="FK28" s="20" t="s">
        <v>29</v>
      </c>
      <c r="FL28" s="10">
        <f t="shared" si="85"/>
        <v>1.2</v>
      </c>
      <c r="FM28" s="10">
        <f t="shared" si="86"/>
        <v>8.6999999999999993</v>
      </c>
      <c r="FN28" s="10">
        <f t="shared" si="87"/>
        <v>1.4</v>
      </c>
      <c r="FO28" s="10">
        <f t="shared" si="88"/>
        <v>9</v>
      </c>
      <c r="FP28" s="10">
        <f t="shared" si="89"/>
        <v>2.5999999999999996</v>
      </c>
      <c r="FQ28" s="10">
        <f t="shared" si="98"/>
        <v>17.7</v>
      </c>
      <c r="FR28" s="10">
        <f t="shared" si="99"/>
        <v>2.2000000000000002</v>
      </c>
      <c r="FS28" s="10">
        <f t="shared" si="100"/>
        <v>10.85</v>
      </c>
      <c r="FT28" s="10">
        <f t="shared" si="101"/>
        <v>2.8</v>
      </c>
      <c r="FU28" s="10">
        <f t="shared" si="102"/>
        <v>11.549999999999999</v>
      </c>
      <c r="FV28" s="10">
        <f t="shared" si="103"/>
        <v>5</v>
      </c>
      <c r="FW28" s="10">
        <f t="shared" si="104"/>
        <v>22.4</v>
      </c>
      <c r="FX28" s="10">
        <f t="shared" si="105"/>
        <v>40.099999999999994</v>
      </c>
    </row>
    <row r="29" spans="1:180" x14ac:dyDescent="0.2">
      <c r="A29" s="3" t="str" cm="1">
        <f t="array" ref="A29">IF(AND(H29&lt;&gt;"",H29&lt;&gt;"No DD",I29&lt;&gt;"P"),SUMPRODUCT((H$4:H$39&lt;&gt;"")*(H$4:H$39&lt;&gt;"No DD")*(I$4:I$39&lt;&gt;"P")*(E$4:E$39&gt;E29))+1,IF(H29="No DD",SUMPRODUCT((H$4:H$39="No DD")*(I$4:I$39&lt;&gt;"P")*(E$4:E$39&gt;E29))+1+SUMPRODUCT((H$4:H$39&lt;&gt;"")*(I$4:I$39&lt;&gt;"P")*(H$4:H$39&lt;&gt;"No DD")),""))</f>
        <v/>
      </c>
      <c r="B29" s="4" t="s">
        <v>148</v>
      </c>
      <c r="C29" s="3" t="s">
        <v>4</v>
      </c>
      <c r="D29" s="3">
        <v>2005</v>
      </c>
      <c r="E29" s="8">
        <f t="shared" si="0"/>
        <v>77.600006190004436</v>
      </c>
      <c r="F29" s="2" t="str">
        <f t="shared" si="1"/>
        <v/>
      </c>
      <c r="G29" s="2" t="str">
        <f t="shared" si="2"/>
        <v/>
      </c>
      <c r="H29" s="26" t="str">
        <f t="shared" si="3"/>
        <v/>
      </c>
      <c r="I29" s="2" t="str">
        <f>IF(COUNTIFS('Senior-M'!B:B,B29,'Senior-M'!A:A,"&lt;9",'Senior-M'!H:H,"&lt;&gt;"&amp;"No DD"),"P","")</f>
        <v/>
      </c>
      <c r="J29" s="7">
        <f t="shared" si="4"/>
        <v>44.400000000000006</v>
      </c>
      <c r="K29" s="7" t="str">
        <f t="shared" si="5"/>
        <v>2025 Nationals</v>
      </c>
      <c r="L29" s="7">
        <f>IF(J29=AO29,IF(COUNT(AQ29,AS29,BO29,BQ29,BU29,BW29)&gt;1,LARGE((AQ29,AS29,BO29,BQ29,BU29,BW29),1),0),IF(COUNT(AK29,AM29,AQ29,AS29,BU29,BW29)&gt;1,LARGE((AK29,AM29,AQ29,AS29,BU29,BW29),1),0))</f>
        <v>17.5</v>
      </c>
      <c r="M29" s="7" t="str">
        <f t="shared" si="6"/>
        <v>2025 Nationals</v>
      </c>
      <c r="N29" s="7">
        <f>IF(J29=AO29,IF(COUNT(AQ29,AS29,BO29,BQ29,BU29,BW29)&gt;1,LARGE((AQ29,AS29,BO29,BQ29,BU29,BW29),2),0),IF(COUNT(AK29,AM29,AQ29,AS29,BU29,BW29)&gt;1,LARGE((AK29,AM29,AQ29,AS29,BU29,BW29),2),0))</f>
        <v>15.700000000000003</v>
      </c>
      <c r="O29" s="7" t="str">
        <f t="shared" si="7"/>
        <v>2025 Nationals</v>
      </c>
      <c r="P29" s="7" t="str">
        <f t="shared" si="8"/>
        <v/>
      </c>
      <c r="Q29" s="10" t="str">
        <f t="shared" si="9"/>
        <v/>
      </c>
      <c r="R29" s="7" t="str">
        <f t="shared" si="10"/>
        <v/>
      </c>
      <c r="S29" s="39">
        <v>16.600000000000001</v>
      </c>
      <c r="T29" s="39">
        <v>4.4000000000000004</v>
      </c>
      <c r="U29" s="39">
        <v>0.8</v>
      </c>
      <c r="V29" s="39">
        <v>0</v>
      </c>
      <c r="W29" s="39">
        <v>18.600000000000001</v>
      </c>
      <c r="X29" s="39">
        <v>5.6</v>
      </c>
      <c r="Y29" s="39">
        <v>0</v>
      </c>
      <c r="Z29" s="39">
        <v>0</v>
      </c>
      <c r="AA29" s="39">
        <v>15.1</v>
      </c>
      <c r="AB29" s="39">
        <v>2.4</v>
      </c>
      <c r="AC29" s="39">
        <v>0</v>
      </c>
      <c r="AD29" s="39">
        <v>0</v>
      </c>
      <c r="AE29" s="39">
        <v>18.600000000000001</v>
      </c>
      <c r="AF29" s="39">
        <v>1.3</v>
      </c>
      <c r="AG29" s="39">
        <v>4.2</v>
      </c>
      <c r="AH29" s="39">
        <v>0</v>
      </c>
      <c r="AI29" s="19"/>
      <c r="AJ29" s="42">
        <f t="shared" si="11"/>
        <v>4.4000000000000004</v>
      </c>
      <c r="AK29" s="42">
        <f t="shared" si="12"/>
        <v>20.2</v>
      </c>
      <c r="AL29" s="42">
        <f t="shared" si="13"/>
        <v>5.6</v>
      </c>
      <c r="AM29" s="42">
        <f t="shared" si="14"/>
        <v>24.200000000000003</v>
      </c>
      <c r="AN29" s="27">
        <f t="shared" si="15"/>
        <v>10</v>
      </c>
      <c r="AO29" s="27">
        <f t="shared" si="16"/>
        <v>44.400000000000006</v>
      </c>
      <c r="AP29" s="27">
        <f t="shared" si="17"/>
        <v>2.4</v>
      </c>
      <c r="AQ29" s="27">
        <f t="shared" si="18"/>
        <v>17.5</v>
      </c>
      <c r="AR29" s="27">
        <f t="shared" si="19"/>
        <v>1.3</v>
      </c>
      <c r="AS29" s="27">
        <f t="shared" si="20"/>
        <v>15.700000000000003</v>
      </c>
      <c r="AT29" s="27">
        <f t="shared" si="21"/>
        <v>3.7</v>
      </c>
      <c r="AU29" s="27">
        <f t="shared" si="22"/>
        <v>33.200000000000003</v>
      </c>
      <c r="AV29" s="27">
        <f t="shared" si="23"/>
        <v>77.600000000000009</v>
      </c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20"/>
      <c r="BN29" s="43" t="str">
        <f t="shared" si="24"/>
        <v/>
      </c>
      <c r="BO29" s="43" t="str">
        <f t="shared" si="25"/>
        <v/>
      </c>
      <c r="BP29" s="43" t="str">
        <f t="shared" si="26"/>
        <v/>
      </c>
      <c r="BQ29" s="43" t="str">
        <f t="shared" si="27"/>
        <v/>
      </c>
      <c r="BR29" s="10" t="str">
        <f t="shared" si="28"/>
        <v/>
      </c>
      <c r="BS29" s="10" t="str">
        <f t="shared" si="29"/>
        <v/>
      </c>
      <c r="BT29" s="10" t="str">
        <f t="shared" si="30"/>
        <v/>
      </c>
      <c r="BU29" s="10" t="str">
        <f t="shared" si="31"/>
        <v/>
      </c>
      <c r="BV29" s="10" t="str">
        <f t="shared" si="32"/>
        <v/>
      </c>
      <c r="BW29" s="10" t="str">
        <f t="shared" si="33"/>
        <v/>
      </c>
      <c r="BX29" s="10" t="str">
        <f t="shared" si="34"/>
        <v/>
      </c>
      <c r="BY29" s="10" t="str">
        <f t="shared" si="35"/>
        <v/>
      </c>
      <c r="BZ29" s="10" t="str">
        <f t="shared" si="36"/>
        <v/>
      </c>
      <c r="CA29" s="34" t="str">
        <f t="shared" si="37"/>
        <v/>
      </c>
      <c r="CB29" s="34" t="str">
        <f t="shared" si="38"/>
        <v/>
      </c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27" t="str">
        <f t="shared" si="39"/>
        <v/>
      </c>
      <c r="CX29" s="27" t="str">
        <f t="shared" si="40"/>
        <v/>
      </c>
      <c r="CY29" s="27" t="str">
        <f t="shared" si="41"/>
        <v/>
      </c>
      <c r="CZ29" s="27" t="str">
        <f t="shared" si="42"/>
        <v/>
      </c>
      <c r="DA29" s="27" t="str">
        <f t="shared" si="43"/>
        <v/>
      </c>
      <c r="DB29" s="27" t="str">
        <f t="shared" si="44"/>
        <v/>
      </c>
      <c r="DC29" s="27" t="str">
        <f t="shared" si="45"/>
        <v/>
      </c>
      <c r="DD29" s="27" t="str">
        <f t="shared" si="46"/>
        <v/>
      </c>
      <c r="DE29" s="27" t="str">
        <f t="shared" si="47"/>
        <v/>
      </c>
      <c r="DF29" s="27" t="str">
        <f t="shared" si="48"/>
        <v/>
      </c>
      <c r="DG29" s="27" t="str">
        <f t="shared" si="49"/>
        <v/>
      </c>
      <c r="DH29" s="27" t="str">
        <f t="shared" si="50"/>
        <v/>
      </c>
      <c r="DI29" s="27" t="str">
        <f t="shared" si="51"/>
        <v/>
      </c>
      <c r="DJ29" s="27" t="str">
        <f t="shared" si="52"/>
        <v/>
      </c>
      <c r="DK29" s="27" t="str">
        <f t="shared" si="53"/>
        <v/>
      </c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0" t="str">
        <f t="shared" si="54"/>
        <v/>
      </c>
      <c r="EG29" s="10" t="str">
        <f t="shared" si="55"/>
        <v/>
      </c>
      <c r="EH29" s="10" t="str">
        <f t="shared" si="56"/>
        <v/>
      </c>
      <c r="EI29" s="10" t="str">
        <f t="shared" si="57"/>
        <v/>
      </c>
      <c r="EJ29" s="10" t="str">
        <f t="shared" si="58"/>
        <v/>
      </c>
      <c r="EK29" s="10" t="str">
        <f t="shared" si="59"/>
        <v/>
      </c>
      <c r="EL29" s="10" t="str">
        <f t="shared" si="60"/>
        <v/>
      </c>
      <c r="EM29" s="10" t="str">
        <f t="shared" si="61"/>
        <v/>
      </c>
      <c r="EN29" s="10" t="str">
        <f t="shared" si="62"/>
        <v/>
      </c>
      <c r="EO29" s="10" t="str">
        <f t="shared" si="63"/>
        <v/>
      </c>
      <c r="EP29" s="10" t="str">
        <f t="shared" si="64"/>
        <v/>
      </c>
      <c r="EQ29" s="10" t="str">
        <f t="shared" si="65"/>
        <v/>
      </c>
      <c r="ER29" s="10" t="str">
        <f t="shared" si="66"/>
        <v/>
      </c>
      <c r="ES29" s="10" t="str">
        <f t="shared" si="67"/>
        <v/>
      </c>
      <c r="ET29" s="10" t="str">
        <f t="shared" si="68"/>
        <v/>
      </c>
      <c r="EU29" s="44">
        <f t="shared" si="69"/>
        <v>8.3000000000000007</v>
      </c>
      <c r="EV29" s="44">
        <f t="shared" si="70"/>
        <v>2.2000000000000002</v>
      </c>
      <c r="EW29" s="44">
        <f t="shared" si="71"/>
        <v>0.4</v>
      </c>
      <c r="EX29" s="44">
        <f t="shared" si="72"/>
        <v>0</v>
      </c>
      <c r="EY29" s="44">
        <f t="shared" si="73"/>
        <v>9.3000000000000007</v>
      </c>
      <c r="EZ29" s="44">
        <f t="shared" si="74"/>
        <v>2.8</v>
      </c>
      <c r="FA29" s="44">
        <f t="shared" si="75"/>
        <v>0</v>
      </c>
      <c r="FB29" s="44">
        <f t="shared" si="76"/>
        <v>0</v>
      </c>
      <c r="FC29" s="44">
        <f t="shared" si="77"/>
        <v>7.55</v>
      </c>
      <c r="FD29" s="44">
        <f t="shared" si="78"/>
        <v>1.2</v>
      </c>
      <c r="FE29" s="44">
        <f t="shared" si="79"/>
        <v>0</v>
      </c>
      <c r="FF29" s="44">
        <f t="shared" si="80"/>
        <v>0</v>
      </c>
      <c r="FG29" s="44">
        <f t="shared" si="81"/>
        <v>9.3000000000000007</v>
      </c>
      <c r="FH29" s="44">
        <f t="shared" si="82"/>
        <v>0.65</v>
      </c>
      <c r="FI29" s="44">
        <f t="shared" si="83"/>
        <v>2.1</v>
      </c>
      <c r="FJ29" s="44">
        <f t="shared" si="84"/>
        <v>0</v>
      </c>
      <c r="FK29" s="20" t="s">
        <v>29</v>
      </c>
      <c r="FL29" s="10">
        <f t="shared" si="85"/>
        <v>2.2000000000000002</v>
      </c>
      <c r="FM29" s="10">
        <f t="shared" si="86"/>
        <v>10.1</v>
      </c>
      <c r="FN29" s="10">
        <f t="shared" si="87"/>
        <v>2.8</v>
      </c>
      <c r="FO29" s="10">
        <f t="shared" si="88"/>
        <v>12.100000000000001</v>
      </c>
      <c r="FP29" s="10">
        <f t="shared" si="89"/>
        <v>5</v>
      </c>
      <c r="FQ29" s="10">
        <f t="shared" si="92"/>
        <v>22.200000000000003</v>
      </c>
      <c r="FR29" s="10">
        <f t="shared" si="93"/>
        <v>1.2</v>
      </c>
      <c r="FS29" s="10">
        <f t="shared" si="94"/>
        <v>8.75</v>
      </c>
      <c r="FT29" s="10">
        <f t="shared" si="95"/>
        <v>0.65</v>
      </c>
      <c r="FU29" s="10">
        <f t="shared" si="96"/>
        <v>7.8500000000000014</v>
      </c>
      <c r="FV29" s="10">
        <f t="shared" si="97"/>
        <v>1.85</v>
      </c>
      <c r="FW29" s="10">
        <f t="shared" ref="FW29:FW38" si="106">IF(SUM(FS29,FU29)&gt;0,SUM(FS29,FU29),"")</f>
        <v>16.600000000000001</v>
      </c>
      <c r="FX29" s="10">
        <f t="shared" ref="FX29:FX38" si="107">IF(SUM(FQ29,FW29)&gt;0,SUM(FQ29,FW29),"")</f>
        <v>38.800000000000004</v>
      </c>
    </row>
    <row r="30" spans="1:180" x14ac:dyDescent="0.2">
      <c r="A30" s="3" t="str" cm="1">
        <f t="array" ref="A30">IF(AND(H30&lt;&gt;"",H30&lt;&gt;"No DD",I30&lt;&gt;"P"),SUMPRODUCT((H$4:H$39&lt;&gt;"")*(H$4:H$39&lt;&gt;"No DD")*(I$4:I$39&lt;&gt;"P")*(E$4:E$39&gt;E30))+1,IF(H30="No DD",SUMPRODUCT((H$4:H$39="No DD")*(I$4:I$39&lt;&gt;"P")*(E$4:E$39&gt;E30))+1+SUMPRODUCT((H$4:H$39&lt;&gt;"")*(I$4:I$39&lt;&gt;"P")*(H$4:H$39&lt;&gt;"No DD")),""))</f>
        <v/>
      </c>
      <c r="B30" s="4" t="s">
        <v>151</v>
      </c>
      <c r="C30" s="3" t="s">
        <v>6</v>
      </c>
      <c r="D30" s="3">
        <v>2006</v>
      </c>
      <c r="E30" s="8">
        <f t="shared" si="0"/>
        <v>76.800006080003882</v>
      </c>
      <c r="F30" s="2" t="str">
        <f t="shared" si="1"/>
        <v/>
      </c>
      <c r="G30" s="2" t="str">
        <f t="shared" si="2"/>
        <v/>
      </c>
      <c r="H30" s="26" t="str">
        <f t="shared" si="3"/>
        <v/>
      </c>
      <c r="I30" s="2" t="str">
        <f>IF(COUNTIFS('Senior-M'!B:B,B30,'Senior-M'!A:A,"&lt;9",'Senior-M'!H:H,"&lt;&gt;"&amp;"No DD"),"P","")</f>
        <v/>
      </c>
      <c r="J30" s="7">
        <f t="shared" si="4"/>
        <v>38.799999999999997</v>
      </c>
      <c r="K30" s="7" t="str">
        <f t="shared" si="5"/>
        <v>2025 3rd Domestic Trial</v>
      </c>
      <c r="L30" s="7">
        <f>IF(J30=AO30,IF(COUNT(AQ30,AS30,BO30,BQ30,BU30,BW30)&gt;1,LARGE((AQ30,AS30,BO30,BQ30,BU30,BW30),1),0),IF(COUNT(AK30,AM30,AQ30,AS30,BU30,BW30)&gt;1,LARGE((AK30,AM30,AQ30,AS30,BU30,BW30),1),0))</f>
        <v>22</v>
      </c>
      <c r="M30" s="7" t="str">
        <f t="shared" si="6"/>
        <v>2025 3rd Domestic Trial</v>
      </c>
      <c r="N30" s="7">
        <f>IF(J30=AO30,IF(COUNT(AQ30,AS30,BO30,BQ30,BU30,BW30)&gt;1,LARGE((AQ30,AS30,BO30,BQ30,BU30,BW30),2),0),IF(COUNT(AK30,AM30,AQ30,AS30,BU30,BW30)&gt;1,LARGE((AK30,AM30,AQ30,AS30,BU30,BW30),2),0))</f>
        <v>16</v>
      </c>
      <c r="O30" s="7" t="str">
        <f t="shared" si="7"/>
        <v>2025 3rd Domestic Trial</v>
      </c>
      <c r="P30" s="7" t="str">
        <f t="shared" si="8"/>
        <v/>
      </c>
      <c r="Q30" s="10" t="str">
        <f t="shared" si="9"/>
        <v/>
      </c>
      <c r="R30" s="7" t="str">
        <f t="shared" si="10"/>
        <v/>
      </c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19"/>
      <c r="AJ30" s="42" t="str">
        <f t="shared" si="11"/>
        <v/>
      </c>
      <c r="AK30" s="42" t="str">
        <f t="shared" si="12"/>
        <v/>
      </c>
      <c r="AL30" s="42" t="str">
        <f t="shared" si="13"/>
        <v/>
      </c>
      <c r="AM30" s="42" t="str">
        <f t="shared" si="14"/>
        <v/>
      </c>
      <c r="AN30" s="27" t="str">
        <f t="shared" si="15"/>
        <v/>
      </c>
      <c r="AO30" s="27" t="str">
        <f t="shared" si="16"/>
        <v/>
      </c>
      <c r="AP30" s="27" t="str">
        <f t="shared" si="17"/>
        <v/>
      </c>
      <c r="AQ30" s="27" t="str">
        <f t="shared" si="18"/>
        <v/>
      </c>
      <c r="AR30" s="27" t="str">
        <f t="shared" si="19"/>
        <v/>
      </c>
      <c r="AS30" s="27" t="str">
        <f t="shared" si="20"/>
        <v/>
      </c>
      <c r="AT30" s="27" t="str">
        <f t="shared" si="21"/>
        <v/>
      </c>
      <c r="AU30" s="27" t="str">
        <f t="shared" si="22"/>
        <v/>
      </c>
      <c r="AV30" s="27" t="str">
        <f t="shared" si="23"/>
        <v/>
      </c>
      <c r="AW30" s="15">
        <v>15.7</v>
      </c>
      <c r="AX30" s="15">
        <v>0.7</v>
      </c>
      <c r="AY30" s="15">
        <v>0.2</v>
      </c>
      <c r="AZ30" s="15">
        <v>0</v>
      </c>
      <c r="BA30" s="15">
        <v>18</v>
      </c>
      <c r="BB30" s="15">
        <v>5.6</v>
      </c>
      <c r="BC30" s="15">
        <v>1</v>
      </c>
      <c r="BD30" s="15">
        <v>0</v>
      </c>
      <c r="BE30" s="15">
        <v>15.5</v>
      </c>
      <c r="BF30" s="15">
        <v>0.7</v>
      </c>
      <c r="BG30" s="15">
        <v>0.2</v>
      </c>
      <c r="BH30" s="15">
        <v>0</v>
      </c>
      <c r="BI30" s="15">
        <v>18</v>
      </c>
      <c r="BJ30" s="15">
        <v>4.8</v>
      </c>
      <c r="BK30" s="15">
        <v>0.8</v>
      </c>
      <c r="BL30" s="15">
        <v>0</v>
      </c>
      <c r="BM30" s="20"/>
      <c r="BN30" s="43">
        <f t="shared" si="24"/>
        <v>0.7</v>
      </c>
      <c r="BO30" s="43">
        <f t="shared" si="25"/>
        <v>16.2</v>
      </c>
      <c r="BP30" s="43">
        <f t="shared" si="26"/>
        <v>5.6</v>
      </c>
      <c r="BQ30" s="43">
        <f t="shared" si="27"/>
        <v>22.6</v>
      </c>
      <c r="BR30" s="10">
        <f t="shared" si="28"/>
        <v>6.3</v>
      </c>
      <c r="BS30" s="10">
        <f t="shared" si="29"/>
        <v>38.799999999999997</v>
      </c>
      <c r="BT30" s="10">
        <f t="shared" si="30"/>
        <v>0.7</v>
      </c>
      <c r="BU30" s="10">
        <f t="shared" si="31"/>
        <v>16</v>
      </c>
      <c r="BV30" s="10">
        <f t="shared" si="32"/>
        <v>4.8</v>
      </c>
      <c r="BW30" s="10">
        <f t="shared" si="33"/>
        <v>22</v>
      </c>
      <c r="BX30" s="10">
        <f t="shared" si="34"/>
        <v>5.5</v>
      </c>
      <c r="BY30" s="10">
        <f t="shared" si="35"/>
        <v>38</v>
      </c>
      <c r="BZ30" s="10">
        <f t="shared" si="36"/>
        <v>76.8</v>
      </c>
      <c r="CA30" s="34" t="str">
        <f t="shared" si="37"/>
        <v/>
      </c>
      <c r="CB30" s="34" t="str">
        <f t="shared" si="38"/>
        <v/>
      </c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27" t="str">
        <f t="shared" si="39"/>
        <v/>
      </c>
      <c r="CX30" s="27" t="str">
        <f t="shared" si="40"/>
        <v/>
      </c>
      <c r="CY30" s="27" t="str">
        <f t="shared" si="41"/>
        <v/>
      </c>
      <c r="CZ30" s="27" t="str">
        <f t="shared" si="42"/>
        <v/>
      </c>
      <c r="DA30" s="27" t="str">
        <f t="shared" si="43"/>
        <v/>
      </c>
      <c r="DB30" s="27" t="str">
        <f t="shared" si="44"/>
        <v/>
      </c>
      <c r="DC30" s="27" t="str">
        <f t="shared" si="45"/>
        <v/>
      </c>
      <c r="DD30" s="27" t="str">
        <f t="shared" si="46"/>
        <v/>
      </c>
      <c r="DE30" s="27" t="str">
        <f t="shared" si="47"/>
        <v/>
      </c>
      <c r="DF30" s="27" t="str">
        <f t="shared" si="48"/>
        <v/>
      </c>
      <c r="DG30" s="27" t="str">
        <f t="shared" si="49"/>
        <v/>
      </c>
      <c r="DH30" s="27" t="str">
        <f t="shared" si="50"/>
        <v/>
      </c>
      <c r="DI30" s="27" t="str">
        <f t="shared" si="51"/>
        <v/>
      </c>
      <c r="DJ30" s="27" t="str">
        <f t="shared" si="52"/>
        <v/>
      </c>
      <c r="DK30" s="27" t="str">
        <f t="shared" si="53"/>
        <v/>
      </c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0" t="str">
        <f t="shared" si="54"/>
        <v/>
      </c>
      <c r="EG30" s="10" t="str">
        <f t="shared" si="55"/>
        <v/>
      </c>
      <c r="EH30" s="10" t="str">
        <f t="shared" si="56"/>
        <v/>
      </c>
      <c r="EI30" s="10" t="str">
        <f t="shared" si="57"/>
        <v/>
      </c>
      <c r="EJ30" s="10" t="str">
        <f t="shared" si="58"/>
        <v/>
      </c>
      <c r="EK30" s="10" t="str">
        <f t="shared" si="59"/>
        <v/>
      </c>
      <c r="EL30" s="10" t="str">
        <f t="shared" si="60"/>
        <v/>
      </c>
      <c r="EM30" s="10" t="str">
        <f t="shared" si="61"/>
        <v/>
      </c>
      <c r="EN30" s="10" t="str">
        <f t="shared" si="62"/>
        <v/>
      </c>
      <c r="EO30" s="10" t="str">
        <f t="shared" si="63"/>
        <v/>
      </c>
      <c r="EP30" s="10" t="str">
        <f t="shared" si="64"/>
        <v/>
      </c>
      <c r="EQ30" s="10" t="str">
        <f t="shared" si="65"/>
        <v/>
      </c>
      <c r="ER30" s="10" t="str">
        <f t="shared" si="66"/>
        <v/>
      </c>
      <c r="ES30" s="10" t="str">
        <f t="shared" si="67"/>
        <v/>
      </c>
      <c r="ET30" s="10" t="str">
        <f t="shared" si="68"/>
        <v/>
      </c>
      <c r="EU30" s="44">
        <f t="shared" si="69"/>
        <v>7.85</v>
      </c>
      <c r="EV30" s="44">
        <f t="shared" si="70"/>
        <v>0.35</v>
      </c>
      <c r="EW30" s="44">
        <f t="shared" si="71"/>
        <v>0.1</v>
      </c>
      <c r="EX30" s="44">
        <f t="shared" si="72"/>
        <v>0</v>
      </c>
      <c r="EY30" s="44">
        <f t="shared" si="73"/>
        <v>9</v>
      </c>
      <c r="EZ30" s="44">
        <f t="shared" si="74"/>
        <v>2.8</v>
      </c>
      <c r="FA30" s="44">
        <f t="shared" si="75"/>
        <v>0.5</v>
      </c>
      <c r="FB30" s="44">
        <f t="shared" si="76"/>
        <v>0</v>
      </c>
      <c r="FC30" s="44">
        <f t="shared" si="77"/>
        <v>7.75</v>
      </c>
      <c r="FD30" s="44">
        <f t="shared" si="78"/>
        <v>0.35</v>
      </c>
      <c r="FE30" s="44">
        <f t="shared" si="79"/>
        <v>0.1</v>
      </c>
      <c r="FF30" s="44">
        <f t="shared" si="80"/>
        <v>0</v>
      </c>
      <c r="FG30" s="44">
        <f t="shared" si="81"/>
        <v>9</v>
      </c>
      <c r="FH30" s="44">
        <f t="shared" si="82"/>
        <v>2.4</v>
      </c>
      <c r="FI30" s="44">
        <f t="shared" si="83"/>
        <v>0.4</v>
      </c>
      <c r="FJ30" s="44">
        <f t="shared" si="84"/>
        <v>0</v>
      </c>
      <c r="FK30" s="20" t="s">
        <v>29</v>
      </c>
      <c r="FL30" s="10">
        <f t="shared" si="85"/>
        <v>0.35</v>
      </c>
      <c r="FM30" s="10">
        <f t="shared" si="86"/>
        <v>8.1</v>
      </c>
      <c r="FN30" s="10">
        <f t="shared" si="87"/>
        <v>2.8</v>
      </c>
      <c r="FO30" s="10">
        <f t="shared" si="88"/>
        <v>11.3</v>
      </c>
      <c r="FP30" s="10">
        <f t="shared" si="89"/>
        <v>3.15</v>
      </c>
      <c r="FQ30" s="10">
        <f t="shared" si="92"/>
        <v>19.399999999999999</v>
      </c>
      <c r="FR30" s="10">
        <f t="shared" si="93"/>
        <v>0.35</v>
      </c>
      <c r="FS30" s="10">
        <f t="shared" si="94"/>
        <v>8</v>
      </c>
      <c r="FT30" s="10">
        <f t="shared" si="95"/>
        <v>2.4</v>
      </c>
      <c r="FU30" s="10">
        <f t="shared" si="96"/>
        <v>11</v>
      </c>
      <c r="FV30" s="10">
        <f t="shared" si="97"/>
        <v>2.75</v>
      </c>
      <c r="FW30" s="10">
        <f t="shared" si="106"/>
        <v>19</v>
      </c>
      <c r="FX30" s="10">
        <f t="shared" si="107"/>
        <v>38.4</v>
      </c>
    </row>
    <row r="31" spans="1:180" x14ac:dyDescent="0.2">
      <c r="A31" s="3" t="str" cm="1">
        <f t="array" ref="A31">IF(AND(H31&lt;&gt;"",H31&lt;&gt;"No DD",I31&lt;&gt;"P"),SUMPRODUCT((H$4:H$39&lt;&gt;"")*(H$4:H$39&lt;&gt;"No DD")*(I$4:I$39&lt;&gt;"P")*(E$4:E$39&gt;E31))+1,IF(H31="No DD",SUMPRODUCT((H$4:H$39="No DD")*(I$4:I$39&lt;&gt;"P")*(E$4:E$39&gt;E31))+1+SUMPRODUCT((H$4:H$39&lt;&gt;"")*(I$4:I$39&lt;&gt;"P")*(H$4:H$39&lt;&gt;"No DD")),""))</f>
        <v/>
      </c>
      <c r="B31" s="4" t="s">
        <v>55</v>
      </c>
      <c r="C31" s="3" t="s">
        <v>5</v>
      </c>
      <c r="D31" s="3">
        <v>2006</v>
      </c>
      <c r="E31" s="8">
        <f t="shared" si="0"/>
        <v>49.900004990004987</v>
      </c>
      <c r="F31" s="2" t="str">
        <f t="shared" si="1"/>
        <v/>
      </c>
      <c r="G31" s="2" t="str">
        <f t="shared" si="2"/>
        <v/>
      </c>
      <c r="H31" s="26" t="str">
        <f t="shared" si="3"/>
        <v/>
      </c>
      <c r="I31" s="2" t="str">
        <f>IF(COUNTIFS('Senior-M'!B:B,B31,'Senior-M'!A:A,"&lt;9",'Senior-M'!H:H,"&lt;&gt;"&amp;"No DD"),"P","")</f>
        <v/>
      </c>
      <c r="J31" s="7">
        <f t="shared" si="4"/>
        <v>49.9</v>
      </c>
      <c r="K31" s="7" t="str">
        <f t="shared" si="5"/>
        <v>2025 Nationals</v>
      </c>
      <c r="L31" s="7">
        <f>IF(J31=AO31,IF(COUNT(AQ31,AS31,BO31,BQ31,BU31,BW31)&gt;1,LARGE((AQ31,AS31,BO31,BQ31,BU31,BW31),1),0),IF(COUNT(AK31,AM31,AQ31,AS31,BU31,BW31)&gt;1,LARGE((AK31,AM31,AQ31,AS31,BU31,BW31),1),0))</f>
        <v>0</v>
      </c>
      <c r="M31" s="7" t="str">
        <f t="shared" si="6"/>
        <v/>
      </c>
      <c r="N31" s="7">
        <f>IF(J31=AO31,IF(COUNT(AQ31,AS31,BO31,BQ31,BU31,BW31)&gt;1,LARGE((AQ31,AS31,BO31,BQ31,BU31,BW31),2),0),IF(COUNT(AK31,AM31,AQ31,AS31,BU31,BW31)&gt;1,LARGE((AK31,AM31,AQ31,AS31,BU31,BW31),2),0))</f>
        <v>0</v>
      </c>
      <c r="O31" s="7" t="str">
        <f t="shared" si="7"/>
        <v/>
      </c>
      <c r="P31" s="7" t="str">
        <f t="shared" si="8"/>
        <v/>
      </c>
      <c r="Q31" s="10" t="str">
        <f t="shared" si="9"/>
        <v/>
      </c>
      <c r="R31" s="7" t="str">
        <f t="shared" si="10"/>
        <v/>
      </c>
      <c r="S31" s="39">
        <v>18.2</v>
      </c>
      <c r="T31" s="39">
        <v>8</v>
      </c>
      <c r="U31" s="39">
        <v>0.8</v>
      </c>
      <c r="V31" s="39">
        <v>0</v>
      </c>
      <c r="W31" s="39">
        <v>18</v>
      </c>
      <c r="X31" s="39">
        <v>7.3</v>
      </c>
      <c r="Y31" s="39">
        <v>0.8</v>
      </c>
      <c r="Z31" s="39">
        <v>0</v>
      </c>
      <c r="AA31" s="39"/>
      <c r="AB31" s="39"/>
      <c r="AC31" s="39"/>
      <c r="AD31" s="39"/>
      <c r="AE31" s="39"/>
      <c r="AF31" s="39"/>
      <c r="AG31" s="39"/>
      <c r="AH31" s="39"/>
      <c r="AI31" s="19"/>
      <c r="AJ31" s="42">
        <f t="shared" si="11"/>
        <v>8</v>
      </c>
      <c r="AK31" s="42">
        <f t="shared" si="12"/>
        <v>25.4</v>
      </c>
      <c r="AL31" s="42">
        <f t="shared" si="13"/>
        <v>7.3</v>
      </c>
      <c r="AM31" s="42">
        <f t="shared" si="14"/>
        <v>24.5</v>
      </c>
      <c r="AN31" s="27">
        <f t="shared" si="15"/>
        <v>15.3</v>
      </c>
      <c r="AO31" s="27">
        <f t="shared" si="16"/>
        <v>49.9</v>
      </c>
      <c r="AP31" s="27" t="str">
        <f t="shared" si="17"/>
        <v/>
      </c>
      <c r="AQ31" s="27" t="str">
        <f t="shared" si="18"/>
        <v/>
      </c>
      <c r="AR31" s="27" t="str">
        <f t="shared" si="19"/>
        <v/>
      </c>
      <c r="AS31" s="27" t="str">
        <f t="shared" si="20"/>
        <v/>
      </c>
      <c r="AT31" s="27" t="str">
        <f t="shared" si="21"/>
        <v/>
      </c>
      <c r="AU31" s="27" t="str">
        <f t="shared" si="22"/>
        <v/>
      </c>
      <c r="AV31" s="27">
        <f t="shared" si="23"/>
        <v>49.9</v>
      </c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20"/>
      <c r="BN31" s="43" t="str">
        <f t="shared" si="24"/>
        <v/>
      </c>
      <c r="BO31" s="43" t="str">
        <f t="shared" si="25"/>
        <v/>
      </c>
      <c r="BP31" s="43" t="str">
        <f t="shared" si="26"/>
        <v/>
      </c>
      <c r="BQ31" s="43" t="str">
        <f t="shared" si="27"/>
        <v/>
      </c>
      <c r="BR31" s="10" t="str">
        <f t="shared" si="28"/>
        <v/>
      </c>
      <c r="BS31" s="10" t="str">
        <f t="shared" si="29"/>
        <v/>
      </c>
      <c r="BT31" s="10" t="str">
        <f t="shared" si="30"/>
        <v/>
      </c>
      <c r="BU31" s="10" t="str">
        <f t="shared" si="31"/>
        <v/>
      </c>
      <c r="BV31" s="10" t="str">
        <f t="shared" si="32"/>
        <v/>
      </c>
      <c r="BW31" s="10" t="str">
        <f t="shared" si="33"/>
        <v/>
      </c>
      <c r="BX31" s="10" t="str">
        <f t="shared" si="34"/>
        <v/>
      </c>
      <c r="BY31" s="10" t="str">
        <f t="shared" si="35"/>
        <v/>
      </c>
      <c r="BZ31" s="10" t="str">
        <f t="shared" si="36"/>
        <v/>
      </c>
      <c r="CA31" s="34" t="str">
        <f t="shared" si="37"/>
        <v/>
      </c>
      <c r="CB31" s="34" t="str">
        <f t="shared" si="38"/>
        <v/>
      </c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27" t="str">
        <f t="shared" si="39"/>
        <v/>
      </c>
      <c r="CX31" s="27" t="str">
        <f t="shared" si="40"/>
        <v/>
      </c>
      <c r="CY31" s="27" t="str">
        <f t="shared" si="41"/>
        <v/>
      </c>
      <c r="CZ31" s="27" t="str">
        <f t="shared" si="42"/>
        <v/>
      </c>
      <c r="DA31" s="27" t="str">
        <f t="shared" si="43"/>
        <v/>
      </c>
      <c r="DB31" s="27" t="str">
        <f t="shared" si="44"/>
        <v/>
      </c>
      <c r="DC31" s="27" t="str">
        <f t="shared" si="45"/>
        <v/>
      </c>
      <c r="DD31" s="27" t="str">
        <f t="shared" si="46"/>
        <v/>
      </c>
      <c r="DE31" s="27" t="str">
        <f t="shared" si="47"/>
        <v/>
      </c>
      <c r="DF31" s="27" t="str">
        <f t="shared" si="48"/>
        <v/>
      </c>
      <c r="DG31" s="27" t="str">
        <f t="shared" si="49"/>
        <v/>
      </c>
      <c r="DH31" s="27" t="str">
        <f t="shared" si="50"/>
        <v/>
      </c>
      <c r="DI31" s="27" t="str">
        <f t="shared" si="51"/>
        <v/>
      </c>
      <c r="DJ31" s="27" t="str">
        <f t="shared" si="52"/>
        <v/>
      </c>
      <c r="DK31" s="27" t="str">
        <f t="shared" si="53"/>
        <v/>
      </c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0" t="str">
        <f t="shared" si="54"/>
        <v/>
      </c>
      <c r="EG31" s="10" t="str">
        <f t="shared" si="55"/>
        <v/>
      </c>
      <c r="EH31" s="10" t="str">
        <f t="shared" si="56"/>
        <v/>
      </c>
      <c r="EI31" s="10" t="str">
        <f t="shared" si="57"/>
        <v/>
      </c>
      <c r="EJ31" s="10" t="str">
        <f t="shared" si="58"/>
        <v/>
      </c>
      <c r="EK31" s="10" t="str">
        <f t="shared" si="59"/>
        <v/>
      </c>
      <c r="EL31" s="10" t="str">
        <f t="shared" si="60"/>
        <v/>
      </c>
      <c r="EM31" s="10" t="str">
        <f t="shared" si="61"/>
        <v/>
      </c>
      <c r="EN31" s="10" t="str">
        <f t="shared" si="62"/>
        <v/>
      </c>
      <c r="EO31" s="10" t="str">
        <f t="shared" si="63"/>
        <v/>
      </c>
      <c r="EP31" s="10" t="str">
        <f t="shared" si="64"/>
        <v/>
      </c>
      <c r="EQ31" s="10" t="str">
        <f t="shared" si="65"/>
        <v/>
      </c>
      <c r="ER31" s="10" t="str">
        <f t="shared" si="66"/>
        <v/>
      </c>
      <c r="ES31" s="10" t="str">
        <f t="shared" si="67"/>
        <v/>
      </c>
      <c r="ET31" s="10" t="str">
        <f t="shared" si="68"/>
        <v/>
      </c>
      <c r="EU31" s="44">
        <f t="shared" si="69"/>
        <v>9.1</v>
      </c>
      <c r="EV31" s="44">
        <f t="shared" si="70"/>
        <v>4</v>
      </c>
      <c r="EW31" s="44">
        <f t="shared" si="71"/>
        <v>0.4</v>
      </c>
      <c r="EX31" s="44">
        <f t="shared" si="72"/>
        <v>0</v>
      </c>
      <c r="EY31" s="44">
        <f t="shared" si="73"/>
        <v>9</v>
      </c>
      <c r="EZ31" s="44">
        <f t="shared" si="74"/>
        <v>3.65</v>
      </c>
      <c r="FA31" s="44">
        <f t="shared" si="75"/>
        <v>0.4</v>
      </c>
      <c r="FB31" s="44">
        <f t="shared" si="76"/>
        <v>0</v>
      </c>
      <c r="FC31" s="44">
        <f t="shared" si="77"/>
        <v>0</v>
      </c>
      <c r="FD31" s="44">
        <f t="shared" si="78"/>
        <v>0</v>
      </c>
      <c r="FE31" s="44">
        <f t="shared" si="79"/>
        <v>0</v>
      </c>
      <c r="FF31" s="44">
        <f t="shared" si="80"/>
        <v>0</v>
      </c>
      <c r="FG31" s="44">
        <f t="shared" si="81"/>
        <v>0</v>
      </c>
      <c r="FH31" s="44">
        <f t="shared" si="82"/>
        <v>0</v>
      </c>
      <c r="FI31" s="44">
        <f t="shared" si="83"/>
        <v>0</v>
      </c>
      <c r="FJ31" s="44">
        <f t="shared" si="84"/>
        <v>0</v>
      </c>
      <c r="FK31" s="20" t="s">
        <v>29</v>
      </c>
      <c r="FL31" s="10">
        <f t="shared" si="85"/>
        <v>4</v>
      </c>
      <c r="FM31" s="10">
        <f t="shared" si="86"/>
        <v>12.7</v>
      </c>
      <c r="FN31" s="10">
        <f t="shared" si="87"/>
        <v>3.65</v>
      </c>
      <c r="FO31" s="10">
        <f t="shared" si="88"/>
        <v>12.25</v>
      </c>
      <c r="FP31" s="10">
        <f t="shared" si="89"/>
        <v>7.65</v>
      </c>
      <c r="FQ31" s="10">
        <f t="shared" si="92"/>
        <v>24.95</v>
      </c>
      <c r="FR31" s="10">
        <f t="shared" si="93"/>
        <v>0</v>
      </c>
      <c r="FS31" s="10">
        <f t="shared" si="94"/>
        <v>0</v>
      </c>
      <c r="FT31" s="10">
        <f t="shared" si="95"/>
        <v>0</v>
      </c>
      <c r="FU31" s="10">
        <f t="shared" si="96"/>
        <v>0</v>
      </c>
      <c r="FV31" s="10" t="str">
        <f t="shared" si="97"/>
        <v/>
      </c>
      <c r="FW31" s="10" t="str">
        <f t="shared" si="106"/>
        <v/>
      </c>
      <c r="FX31" s="10">
        <f t="shared" si="107"/>
        <v>24.95</v>
      </c>
    </row>
    <row r="32" spans="1:180" x14ac:dyDescent="0.2">
      <c r="A32" s="3" t="str" cm="1">
        <f t="array" ref="A32">IF(AND(H32&lt;&gt;"",H32&lt;&gt;"No DD",I32&lt;&gt;"P"),SUMPRODUCT((H$4:H$39&lt;&gt;"")*(H$4:H$39&lt;&gt;"No DD")*(I$4:I$39&lt;&gt;"P")*(E$4:E$39&gt;E32))+1,IF(H32="No DD",SUMPRODUCT((H$4:H$39="No DD")*(I$4:I$39&lt;&gt;"P")*(E$4:E$39&gt;E32))+1+SUMPRODUCT((H$4:H$39&lt;&gt;"")*(I$4:I$39&lt;&gt;"P")*(H$4:H$39&lt;&gt;"No DD")),""))</f>
        <v/>
      </c>
      <c r="B32" s="4" t="s">
        <v>150</v>
      </c>
      <c r="C32" s="3" t="s">
        <v>5</v>
      </c>
      <c r="D32" s="3">
        <v>2008</v>
      </c>
      <c r="E32" s="8">
        <f t="shared" si="0"/>
        <v>49.900004990003247</v>
      </c>
      <c r="F32" s="2" t="str">
        <f t="shared" si="1"/>
        <v/>
      </c>
      <c r="G32" s="2" t="str">
        <f t="shared" si="2"/>
        <v/>
      </c>
      <c r="H32" s="26" t="str">
        <f t="shared" si="3"/>
        <v/>
      </c>
      <c r="I32" s="2" t="str">
        <f>IF(COUNTIFS('Senior-M'!B:B,B32,'Senior-M'!A:A,"&lt;9",'Senior-M'!H:H,"&lt;&gt;"&amp;"No DD"),"P","")</f>
        <v/>
      </c>
      <c r="J32" s="7">
        <f t="shared" si="4"/>
        <v>32.5</v>
      </c>
      <c r="K32" s="7" t="str">
        <f t="shared" si="5"/>
        <v>2025 3rd Domestic Trial</v>
      </c>
      <c r="L32" s="7">
        <f>IF(J32=AO32,IF(COUNT(AQ32,AS32,BO32,BQ32,BU32,BW32)&gt;1,LARGE((AQ32,AS32,BO32,BQ32,BU32,BW32),1),0),IF(COUNT(AK32,AM32,AQ32,AS32,BU32,BW32)&gt;1,LARGE((AK32,AM32,AQ32,AS32,BU32,BW32),1),0))</f>
        <v>17.399999999999999</v>
      </c>
      <c r="M32" s="7" t="str">
        <f t="shared" si="6"/>
        <v>2025 3rd Domestic Trial</v>
      </c>
      <c r="N32" s="7">
        <f>IF(J32=AO32,IF(COUNT(AQ32,AS32,BO32,BQ32,BU32,BW32)&gt;1,LARGE((AQ32,AS32,BO32,BQ32,BU32,BW32),2),0),IF(COUNT(AK32,AM32,AQ32,AS32,BU32,BW32)&gt;1,LARGE((AK32,AM32,AQ32,AS32,BU32,BW32),2),0))</f>
        <v>0</v>
      </c>
      <c r="O32" s="7" t="str">
        <f t="shared" si="7"/>
        <v/>
      </c>
      <c r="P32" s="7" t="str">
        <f t="shared" si="8"/>
        <v/>
      </c>
      <c r="Q32" s="10" t="str">
        <f t="shared" si="9"/>
        <v/>
      </c>
      <c r="R32" s="7" t="str">
        <f t="shared" si="10"/>
        <v/>
      </c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19"/>
      <c r="AJ32" s="42" t="str">
        <f t="shared" si="11"/>
        <v/>
      </c>
      <c r="AK32" s="42" t="str">
        <f t="shared" si="12"/>
        <v/>
      </c>
      <c r="AL32" s="42" t="str">
        <f t="shared" si="13"/>
        <v/>
      </c>
      <c r="AM32" s="42" t="str">
        <f t="shared" si="14"/>
        <v/>
      </c>
      <c r="AN32" s="27" t="str">
        <f t="shared" si="15"/>
        <v/>
      </c>
      <c r="AO32" s="27" t="str">
        <f t="shared" si="16"/>
        <v/>
      </c>
      <c r="AP32" s="27" t="str">
        <f t="shared" si="17"/>
        <v/>
      </c>
      <c r="AQ32" s="27" t="str">
        <f t="shared" si="18"/>
        <v/>
      </c>
      <c r="AR32" s="27" t="str">
        <f t="shared" si="19"/>
        <v/>
      </c>
      <c r="AS32" s="27" t="str">
        <f t="shared" si="20"/>
        <v/>
      </c>
      <c r="AT32" s="27" t="str">
        <f t="shared" si="21"/>
        <v/>
      </c>
      <c r="AU32" s="27" t="str">
        <f t="shared" si="22"/>
        <v/>
      </c>
      <c r="AV32" s="27" t="str">
        <f t="shared" si="23"/>
        <v/>
      </c>
      <c r="AW32" s="15">
        <v>15.1</v>
      </c>
      <c r="AX32" s="15">
        <v>2.4</v>
      </c>
      <c r="AY32" s="15">
        <v>0</v>
      </c>
      <c r="AZ32" s="15">
        <v>0</v>
      </c>
      <c r="BA32" s="15">
        <v>15</v>
      </c>
      <c r="BB32" s="15">
        <v>0</v>
      </c>
      <c r="BC32" s="15">
        <v>0</v>
      </c>
      <c r="BD32" s="15">
        <v>0</v>
      </c>
      <c r="BE32" s="15">
        <v>15</v>
      </c>
      <c r="BF32" s="15">
        <v>2.4</v>
      </c>
      <c r="BG32" s="15">
        <v>0</v>
      </c>
      <c r="BH32" s="15">
        <v>0</v>
      </c>
      <c r="BI32" s="15">
        <v>0</v>
      </c>
      <c r="BJ32" s="15">
        <v>0</v>
      </c>
      <c r="BK32" s="15">
        <v>0</v>
      </c>
      <c r="BL32" s="15">
        <v>0</v>
      </c>
      <c r="BM32" s="20"/>
      <c r="BN32" s="43">
        <f t="shared" si="24"/>
        <v>2.4</v>
      </c>
      <c r="BO32" s="43">
        <f t="shared" si="25"/>
        <v>17.5</v>
      </c>
      <c r="BP32" s="43">
        <f t="shared" si="26"/>
        <v>0</v>
      </c>
      <c r="BQ32" s="43">
        <f t="shared" si="27"/>
        <v>15</v>
      </c>
      <c r="BR32" s="10">
        <f t="shared" si="28"/>
        <v>2.4</v>
      </c>
      <c r="BS32" s="10">
        <f t="shared" si="29"/>
        <v>32.5</v>
      </c>
      <c r="BT32" s="10">
        <f t="shared" si="30"/>
        <v>2.4</v>
      </c>
      <c r="BU32" s="10">
        <f t="shared" si="31"/>
        <v>17.399999999999999</v>
      </c>
      <c r="BV32" s="10">
        <f t="shared" si="32"/>
        <v>0</v>
      </c>
      <c r="BW32" s="10">
        <f t="shared" si="33"/>
        <v>0</v>
      </c>
      <c r="BX32" s="10">
        <f t="shared" si="34"/>
        <v>2.4</v>
      </c>
      <c r="BY32" s="10">
        <f t="shared" si="35"/>
        <v>17.399999999999999</v>
      </c>
      <c r="BZ32" s="10">
        <f t="shared" si="36"/>
        <v>49.9</v>
      </c>
      <c r="CA32" s="34" t="str">
        <f t="shared" si="37"/>
        <v/>
      </c>
      <c r="CB32" s="34" t="str">
        <f t="shared" si="38"/>
        <v/>
      </c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27" t="str">
        <f t="shared" si="39"/>
        <v/>
      </c>
      <c r="CX32" s="27" t="str">
        <f t="shared" si="40"/>
        <v/>
      </c>
      <c r="CY32" s="27" t="str">
        <f t="shared" si="41"/>
        <v/>
      </c>
      <c r="CZ32" s="27" t="str">
        <f t="shared" si="42"/>
        <v/>
      </c>
      <c r="DA32" s="27" t="str">
        <f t="shared" si="43"/>
        <v/>
      </c>
      <c r="DB32" s="27" t="str">
        <f t="shared" si="44"/>
        <v/>
      </c>
      <c r="DC32" s="27" t="str">
        <f t="shared" si="45"/>
        <v/>
      </c>
      <c r="DD32" s="27" t="str">
        <f t="shared" si="46"/>
        <v/>
      </c>
      <c r="DE32" s="27" t="str">
        <f t="shared" si="47"/>
        <v/>
      </c>
      <c r="DF32" s="27" t="str">
        <f t="shared" si="48"/>
        <v/>
      </c>
      <c r="DG32" s="27" t="str">
        <f t="shared" si="49"/>
        <v/>
      </c>
      <c r="DH32" s="27" t="str">
        <f t="shared" si="50"/>
        <v/>
      </c>
      <c r="DI32" s="27" t="str">
        <f t="shared" si="51"/>
        <v/>
      </c>
      <c r="DJ32" s="27" t="str">
        <f t="shared" si="52"/>
        <v/>
      </c>
      <c r="DK32" s="27" t="str">
        <f t="shared" si="53"/>
        <v/>
      </c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0" t="str">
        <f t="shared" si="54"/>
        <v/>
      </c>
      <c r="EG32" s="10" t="str">
        <f t="shared" si="55"/>
        <v/>
      </c>
      <c r="EH32" s="10" t="str">
        <f t="shared" si="56"/>
        <v/>
      </c>
      <c r="EI32" s="10" t="str">
        <f t="shared" si="57"/>
        <v/>
      </c>
      <c r="EJ32" s="10" t="str">
        <f t="shared" si="58"/>
        <v/>
      </c>
      <c r="EK32" s="10" t="str">
        <f t="shared" si="59"/>
        <v/>
      </c>
      <c r="EL32" s="10" t="str">
        <f t="shared" si="60"/>
        <v/>
      </c>
      <c r="EM32" s="10" t="str">
        <f t="shared" si="61"/>
        <v/>
      </c>
      <c r="EN32" s="10" t="str">
        <f t="shared" si="62"/>
        <v/>
      </c>
      <c r="EO32" s="10" t="str">
        <f t="shared" si="63"/>
        <v/>
      </c>
      <c r="EP32" s="10" t="str">
        <f t="shared" si="64"/>
        <v/>
      </c>
      <c r="EQ32" s="10" t="str">
        <f t="shared" si="65"/>
        <v/>
      </c>
      <c r="ER32" s="10" t="str">
        <f t="shared" si="66"/>
        <v/>
      </c>
      <c r="ES32" s="10" t="str">
        <f t="shared" si="67"/>
        <v/>
      </c>
      <c r="ET32" s="10" t="str">
        <f t="shared" si="68"/>
        <v/>
      </c>
      <c r="EU32" s="44">
        <f t="shared" si="69"/>
        <v>7.55</v>
      </c>
      <c r="EV32" s="44">
        <f t="shared" si="70"/>
        <v>1.2</v>
      </c>
      <c r="EW32" s="44">
        <f t="shared" si="71"/>
        <v>0</v>
      </c>
      <c r="EX32" s="44">
        <f t="shared" si="72"/>
        <v>0</v>
      </c>
      <c r="EY32" s="44">
        <f t="shared" si="73"/>
        <v>7.5</v>
      </c>
      <c r="EZ32" s="44">
        <f t="shared" si="74"/>
        <v>0</v>
      </c>
      <c r="FA32" s="44">
        <f t="shared" si="75"/>
        <v>0</v>
      </c>
      <c r="FB32" s="44">
        <f t="shared" si="76"/>
        <v>0</v>
      </c>
      <c r="FC32" s="44">
        <f t="shared" si="77"/>
        <v>7.5</v>
      </c>
      <c r="FD32" s="44">
        <f t="shared" si="78"/>
        <v>1.2</v>
      </c>
      <c r="FE32" s="44">
        <f t="shared" si="79"/>
        <v>0</v>
      </c>
      <c r="FF32" s="44">
        <f t="shared" si="80"/>
        <v>0</v>
      </c>
      <c r="FG32" s="44">
        <f t="shared" si="81"/>
        <v>0</v>
      </c>
      <c r="FH32" s="44">
        <f t="shared" si="82"/>
        <v>0</v>
      </c>
      <c r="FI32" s="44">
        <f t="shared" si="83"/>
        <v>0</v>
      </c>
      <c r="FJ32" s="44">
        <f t="shared" si="84"/>
        <v>0</v>
      </c>
      <c r="FK32" s="20" t="s">
        <v>29</v>
      </c>
      <c r="FL32" s="10">
        <f t="shared" si="85"/>
        <v>1.2</v>
      </c>
      <c r="FM32" s="10">
        <f t="shared" si="86"/>
        <v>8.75</v>
      </c>
      <c r="FN32" s="10">
        <f t="shared" si="87"/>
        <v>0</v>
      </c>
      <c r="FO32" s="10">
        <f t="shared" si="88"/>
        <v>7.5</v>
      </c>
      <c r="FP32" s="10">
        <f t="shared" si="89"/>
        <v>1.2</v>
      </c>
      <c r="FQ32" s="10">
        <f t="shared" si="92"/>
        <v>16.25</v>
      </c>
      <c r="FR32" s="10">
        <f t="shared" si="93"/>
        <v>1.2</v>
      </c>
      <c r="FS32" s="10">
        <f t="shared" si="94"/>
        <v>8.6999999999999993</v>
      </c>
      <c r="FT32" s="10">
        <f t="shared" si="95"/>
        <v>0</v>
      </c>
      <c r="FU32" s="10">
        <f t="shared" si="96"/>
        <v>0</v>
      </c>
      <c r="FV32" s="10">
        <f t="shared" si="97"/>
        <v>1.2</v>
      </c>
      <c r="FW32" s="10">
        <f t="shared" si="106"/>
        <v>8.6999999999999993</v>
      </c>
      <c r="FX32" s="10">
        <f t="shared" si="107"/>
        <v>24.95</v>
      </c>
    </row>
    <row r="33" spans="1:180" x14ac:dyDescent="0.2">
      <c r="A33" s="3" t="str" cm="1">
        <f t="array" ref="A33">IF(AND(H33&lt;&gt;"",H33&lt;&gt;"No DD",I33&lt;&gt;"P"),SUMPRODUCT((H$4:H$39&lt;&gt;"")*(H$4:H$39&lt;&gt;"No DD")*(I$4:I$39&lt;&gt;"P")*(E$4:E$39&gt;E33))+1,IF(H33="No DD",SUMPRODUCT((H$4:H$39="No DD")*(I$4:I$39&lt;&gt;"P")*(E$4:E$39&gt;E33))+1+SUMPRODUCT((H$4:H$39&lt;&gt;"")*(I$4:I$39&lt;&gt;"P")*(H$4:H$39&lt;&gt;"No DD")),""))</f>
        <v/>
      </c>
      <c r="B33" s="4" t="s">
        <v>88</v>
      </c>
      <c r="C33" s="3" t="s">
        <v>5</v>
      </c>
      <c r="D33" s="3">
        <v>2007</v>
      </c>
      <c r="E33" s="8">
        <f t="shared" si="0"/>
        <v>48.800004880004877</v>
      </c>
      <c r="F33" s="2" t="str">
        <f t="shared" si="1"/>
        <v/>
      </c>
      <c r="G33" s="2" t="str">
        <f t="shared" si="2"/>
        <v/>
      </c>
      <c r="H33" s="26" t="str">
        <f t="shared" si="3"/>
        <v/>
      </c>
      <c r="I33" s="2" t="str">
        <f>IF(COUNTIFS('Senior-M'!B:B,B33,'Senior-M'!A:A,"&lt;9",'Senior-M'!H:H,"&lt;&gt;"&amp;"No DD"),"P","")</f>
        <v/>
      </c>
      <c r="J33" s="7">
        <f t="shared" si="4"/>
        <v>48.8</v>
      </c>
      <c r="K33" s="7" t="str">
        <f t="shared" si="5"/>
        <v>2025 Nationals</v>
      </c>
      <c r="L33" s="7">
        <f>IF(J33=AO33,IF(COUNT(AQ33,AS33,BO33,BQ33,BU33,BW33)&gt;1,LARGE((AQ33,AS33,BO33,BQ33,BU33,BW33),1),0),IF(COUNT(AK33,AM33,AQ33,AS33,BU33,BW33)&gt;1,LARGE((AK33,AM33,AQ33,AS33,BU33,BW33),1),0))</f>
        <v>0</v>
      </c>
      <c r="M33" s="7" t="str">
        <f t="shared" si="6"/>
        <v/>
      </c>
      <c r="N33" s="7">
        <f>IF(J33=AO33,IF(COUNT(AQ33,AS33,BO33,BQ33,BU33,BW33)&gt;1,LARGE((AQ33,AS33,BO33,BQ33,BU33,BW33),2),0),IF(COUNT(AK33,AM33,AQ33,AS33,BU33,BW33)&gt;1,LARGE((AK33,AM33,AQ33,AS33,BU33,BW33),2),0))</f>
        <v>0</v>
      </c>
      <c r="O33" s="7" t="str">
        <f t="shared" si="7"/>
        <v/>
      </c>
      <c r="P33" s="7" t="str">
        <f t="shared" si="8"/>
        <v/>
      </c>
      <c r="Q33" s="10" t="str">
        <f t="shared" si="9"/>
        <v/>
      </c>
      <c r="R33" s="7" t="str">
        <f t="shared" si="10"/>
        <v/>
      </c>
      <c r="S33" s="39">
        <v>18.600000000000001</v>
      </c>
      <c r="T33" s="39">
        <v>7.2</v>
      </c>
      <c r="U33" s="39">
        <v>0.2</v>
      </c>
      <c r="V33" s="39">
        <v>0</v>
      </c>
      <c r="W33" s="39">
        <v>18</v>
      </c>
      <c r="X33" s="39">
        <v>6</v>
      </c>
      <c r="Y33" s="39">
        <v>0.8</v>
      </c>
      <c r="Z33" s="39">
        <v>0</v>
      </c>
      <c r="AA33" s="39"/>
      <c r="AB33" s="39"/>
      <c r="AC33" s="39"/>
      <c r="AD33" s="39"/>
      <c r="AE33" s="39"/>
      <c r="AF33" s="39"/>
      <c r="AG33" s="39"/>
      <c r="AH33" s="39"/>
      <c r="AI33" s="19"/>
      <c r="AJ33" s="42">
        <f t="shared" si="11"/>
        <v>7.2</v>
      </c>
      <c r="AK33" s="42">
        <f t="shared" si="12"/>
        <v>25.6</v>
      </c>
      <c r="AL33" s="42">
        <f t="shared" si="13"/>
        <v>6</v>
      </c>
      <c r="AM33" s="42">
        <f t="shared" si="14"/>
        <v>23.2</v>
      </c>
      <c r="AN33" s="27">
        <f t="shared" si="15"/>
        <v>13.2</v>
      </c>
      <c r="AO33" s="27">
        <f t="shared" si="16"/>
        <v>48.8</v>
      </c>
      <c r="AP33" s="27" t="str">
        <f t="shared" si="17"/>
        <v/>
      </c>
      <c r="AQ33" s="27" t="str">
        <f t="shared" si="18"/>
        <v/>
      </c>
      <c r="AR33" s="27" t="str">
        <f t="shared" si="19"/>
        <v/>
      </c>
      <c r="AS33" s="27" t="str">
        <f t="shared" si="20"/>
        <v/>
      </c>
      <c r="AT33" s="27" t="str">
        <f t="shared" si="21"/>
        <v/>
      </c>
      <c r="AU33" s="27" t="str">
        <f t="shared" si="22"/>
        <v/>
      </c>
      <c r="AV33" s="27">
        <f t="shared" si="23"/>
        <v>48.8</v>
      </c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20"/>
      <c r="BN33" s="43" t="str">
        <f t="shared" si="24"/>
        <v/>
      </c>
      <c r="BO33" s="43" t="str">
        <f t="shared" si="25"/>
        <v/>
      </c>
      <c r="BP33" s="43" t="str">
        <f t="shared" si="26"/>
        <v/>
      </c>
      <c r="BQ33" s="43" t="str">
        <f t="shared" si="27"/>
        <v/>
      </c>
      <c r="BR33" s="10" t="str">
        <f t="shared" si="28"/>
        <v/>
      </c>
      <c r="BS33" s="10" t="str">
        <f t="shared" si="29"/>
        <v/>
      </c>
      <c r="BT33" s="10" t="str">
        <f t="shared" si="30"/>
        <v/>
      </c>
      <c r="BU33" s="10" t="str">
        <f t="shared" si="31"/>
        <v/>
      </c>
      <c r="BV33" s="10" t="str">
        <f t="shared" si="32"/>
        <v/>
      </c>
      <c r="BW33" s="10" t="str">
        <f t="shared" si="33"/>
        <v/>
      </c>
      <c r="BX33" s="10" t="str">
        <f t="shared" si="34"/>
        <v/>
      </c>
      <c r="BY33" s="10" t="str">
        <f t="shared" si="35"/>
        <v/>
      </c>
      <c r="BZ33" s="10" t="str">
        <f t="shared" si="36"/>
        <v/>
      </c>
      <c r="CA33" s="34" t="str">
        <f t="shared" si="37"/>
        <v/>
      </c>
      <c r="CB33" s="34" t="str">
        <f t="shared" si="38"/>
        <v/>
      </c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27" t="str">
        <f t="shared" si="39"/>
        <v/>
      </c>
      <c r="CX33" s="27" t="str">
        <f t="shared" si="40"/>
        <v/>
      </c>
      <c r="CY33" s="27" t="str">
        <f t="shared" si="41"/>
        <v/>
      </c>
      <c r="CZ33" s="27" t="str">
        <f t="shared" si="42"/>
        <v/>
      </c>
      <c r="DA33" s="27" t="str">
        <f t="shared" si="43"/>
        <v/>
      </c>
      <c r="DB33" s="27" t="str">
        <f t="shared" si="44"/>
        <v/>
      </c>
      <c r="DC33" s="27" t="str">
        <f t="shared" si="45"/>
        <v/>
      </c>
      <c r="DD33" s="27" t="str">
        <f t="shared" si="46"/>
        <v/>
      </c>
      <c r="DE33" s="27" t="str">
        <f t="shared" si="47"/>
        <v/>
      </c>
      <c r="DF33" s="27" t="str">
        <f t="shared" si="48"/>
        <v/>
      </c>
      <c r="DG33" s="27" t="str">
        <f t="shared" si="49"/>
        <v/>
      </c>
      <c r="DH33" s="27" t="str">
        <f t="shared" si="50"/>
        <v/>
      </c>
      <c r="DI33" s="27" t="str">
        <f t="shared" si="51"/>
        <v/>
      </c>
      <c r="DJ33" s="27" t="str">
        <f t="shared" si="52"/>
        <v/>
      </c>
      <c r="DK33" s="27" t="str">
        <f t="shared" si="53"/>
        <v/>
      </c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0" t="str">
        <f t="shared" si="54"/>
        <v/>
      </c>
      <c r="EG33" s="10" t="str">
        <f t="shared" si="55"/>
        <v/>
      </c>
      <c r="EH33" s="10" t="str">
        <f t="shared" si="56"/>
        <v/>
      </c>
      <c r="EI33" s="10" t="str">
        <f t="shared" si="57"/>
        <v/>
      </c>
      <c r="EJ33" s="10" t="str">
        <f t="shared" si="58"/>
        <v/>
      </c>
      <c r="EK33" s="10" t="str">
        <f t="shared" si="59"/>
        <v/>
      </c>
      <c r="EL33" s="10" t="str">
        <f t="shared" si="60"/>
        <v/>
      </c>
      <c r="EM33" s="10" t="str">
        <f t="shared" si="61"/>
        <v/>
      </c>
      <c r="EN33" s="10" t="str">
        <f t="shared" si="62"/>
        <v/>
      </c>
      <c r="EO33" s="10" t="str">
        <f t="shared" si="63"/>
        <v/>
      </c>
      <c r="EP33" s="10" t="str">
        <f t="shared" si="64"/>
        <v/>
      </c>
      <c r="EQ33" s="10" t="str">
        <f t="shared" si="65"/>
        <v/>
      </c>
      <c r="ER33" s="10" t="str">
        <f t="shared" si="66"/>
        <v/>
      </c>
      <c r="ES33" s="10" t="str">
        <f t="shared" si="67"/>
        <v/>
      </c>
      <c r="ET33" s="10" t="str">
        <f t="shared" si="68"/>
        <v/>
      </c>
      <c r="EU33" s="44">
        <f t="shared" si="69"/>
        <v>9.3000000000000007</v>
      </c>
      <c r="EV33" s="44">
        <f t="shared" si="70"/>
        <v>3.6</v>
      </c>
      <c r="EW33" s="44">
        <f t="shared" si="71"/>
        <v>0.1</v>
      </c>
      <c r="EX33" s="44">
        <f t="shared" si="72"/>
        <v>0</v>
      </c>
      <c r="EY33" s="44">
        <f t="shared" si="73"/>
        <v>9</v>
      </c>
      <c r="EZ33" s="44">
        <f t="shared" si="74"/>
        <v>3</v>
      </c>
      <c r="FA33" s="44">
        <f t="shared" si="75"/>
        <v>0.4</v>
      </c>
      <c r="FB33" s="44">
        <f t="shared" si="76"/>
        <v>0</v>
      </c>
      <c r="FC33" s="44">
        <f t="shared" si="77"/>
        <v>0</v>
      </c>
      <c r="FD33" s="44">
        <f t="shared" si="78"/>
        <v>0</v>
      </c>
      <c r="FE33" s="44">
        <f t="shared" si="79"/>
        <v>0</v>
      </c>
      <c r="FF33" s="44">
        <f t="shared" si="80"/>
        <v>0</v>
      </c>
      <c r="FG33" s="44">
        <f t="shared" si="81"/>
        <v>0</v>
      </c>
      <c r="FH33" s="44">
        <f t="shared" si="82"/>
        <v>0</v>
      </c>
      <c r="FI33" s="44">
        <f t="shared" si="83"/>
        <v>0</v>
      </c>
      <c r="FJ33" s="44">
        <f t="shared" si="84"/>
        <v>0</v>
      </c>
      <c r="FK33" s="20" t="s">
        <v>29</v>
      </c>
      <c r="FL33" s="10">
        <f t="shared" si="85"/>
        <v>3.6</v>
      </c>
      <c r="FM33" s="10">
        <f t="shared" si="86"/>
        <v>12.8</v>
      </c>
      <c r="FN33" s="10">
        <f t="shared" si="87"/>
        <v>3</v>
      </c>
      <c r="FO33" s="10">
        <f t="shared" si="88"/>
        <v>11.6</v>
      </c>
      <c r="FP33" s="10">
        <f t="shared" si="89"/>
        <v>6.6</v>
      </c>
      <c r="FQ33" s="10">
        <f t="shared" si="92"/>
        <v>24.4</v>
      </c>
      <c r="FR33" s="10">
        <f t="shared" si="93"/>
        <v>0</v>
      </c>
      <c r="FS33" s="10">
        <f t="shared" si="94"/>
        <v>0</v>
      </c>
      <c r="FT33" s="10">
        <f t="shared" si="95"/>
        <v>0</v>
      </c>
      <c r="FU33" s="10">
        <f t="shared" si="96"/>
        <v>0</v>
      </c>
      <c r="FV33" s="10" t="str">
        <f t="shared" si="97"/>
        <v/>
      </c>
      <c r="FW33" s="10" t="str">
        <f t="shared" si="106"/>
        <v/>
      </c>
      <c r="FX33" s="10">
        <f t="shared" si="107"/>
        <v>24.4</v>
      </c>
    </row>
    <row r="34" spans="1:180" x14ac:dyDescent="0.2">
      <c r="A34" s="3" t="str" cm="1">
        <f t="array" ref="A34">IF(AND(H34&lt;&gt;"",H34&lt;&gt;"No DD",I34&lt;&gt;"P"),SUMPRODUCT((H$4:H$39&lt;&gt;"")*(H$4:H$39&lt;&gt;"No DD")*(I$4:I$39&lt;&gt;"P")*(E$4:E$39&gt;E34))+1,IF(H34="No DD",SUMPRODUCT((H$4:H$39="No DD")*(I$4:I$39&lt;&gt;"P")*(E$4:E$39&gt;E34))+1+SUMPRODUCT((H$4:H$39&lt;&gt;"")*(I$4:I$39&lt;&gt;"P")*(H$4:H$39&lt;&gt;"No DD")),""))</f>
        <v/>
      </c>
      <c r="B34" s="4" t="s">
        <v>63</v>
      </c>
      <c r="C34" s="3" t="s">
        <v>5</v>
      </c>
      <c r="D34" s="3">
        <v>2007</v>
      </c>
      <c r="E34" s="8">
        <f t="shared" si="0"/>
        <v>44.900004490004491</v>
      </c>
      <c r="F34" s="2" t="str">
        <f t="shared" si="1"/>
        <v/>
      </c>
      <c r="G34" s="2" t="str">
        <f t="shared" si="2"/>
        <v/>
      </c>
      <c r="H34" s="26" t="str">
        <f t="shared" si="3"/>
        <v/>
      </c>
      <c r="I34" s="2" t="str">
        <f>IF(COUNTIFS('Senior-M'!B:B,B34,'Senior-M'!A:A,"&lt;9",'Senior-M'!H:H,"&lt;&gt;"&amp;"No DD"),"P","")</f>
        <v/>
      </c>
      <c r="J34" s="7">
        <f t="shared" si="4"/>
        <v>44.9</v>
      </c>
      <c r="K34" s="7" t="str">
        <f t="shared" si="5"/>
        <v>2025 Nationals</v>
      </c>
      <c r="L34" s="7">
        <f>IF(J34=AO34,IF(COUNT(AQ34,AS34,BO34,BQ34,BU34,BW34)&gt;1,LARGE((AQ34,AS34,BO34,BQ34,BU34,BW34),1),0),IF(COUNT(AK34,AM34,AQ34,AS34,BU34,BW34)&gt;1,LARGE((AK34,AM34,AQ34,AS34,BU34,BW34),1),0))</f>
        <v>0</v>
      </c>
      <c r="M34" s="7" t="str">
        <f t="shared" si="6"/>
        <v/>
      </c>
      <c r="N34" s="7">
        <f>IF(J34=AO34,IF(COUNT(AQ34,AS34,BO34,BQ34,BU34,BW34)&gt;1,LARGE((AQ34,AS34,BO34,BQ34,BU34,BW34),2),0),IF(COUNT(AK34,AM34,AQ34,AS34,BU34,BW34)&gt;1,LARGE((AK34,AM34,AQ34,AS34,BU34,BW34),2),0))</f>
        <v>0</v>
      </c>
      <c r="O34" s="7" t="str">
        <f t="shared" si="7"/>
        <v/>
      </c>
      <c r="P34" s="7" t="str">
        <f t="shared" si="8"/>
        <v/>
      </c>
      <c r="Q34" s="10" t="str">
        <f t="shared" si="9"/>
        <v/>
      </c>
      <c r="R34" s="7" t="str">
        <f t="shared" si="10"/>
        <v/>
      </c>
      <c r="S34" s="39">
        <v>16.8</v>
      </c>
      <c r="T34" s="39">
        <v>6.8</v>
      </c>
      <c r="U34" s="39">
        <v>0.8</v>
      </c>
      <c r="V34" s="39">
        <v>0</v>
      </c>
      <c r="W34" s="39">
        <v>18.3</v>
      </c>
      <c r="X34" s="39">
        <v>5.6</v>
      </c>
      <c r="Y34" s="39">
        <v>1.8</v>
      </c>
      <c r="Z34" s="39">
        <v>0</v>
      </c>
      <c r="AA34" s="39"/>
      <c r="AB34" s="39"/>
      <c r="AC34" s="39"/>
      <c r="AD34" s="39"/>
      <c r="AE34" s="39"/>
      <c r="AF34" s="39"/>
      <c r="AG34" s="39"/>
      <c r="AH34" s="39"/>
      <c r="AI34" s="19"/>
      <c r="AJ34" s="42">
        <f t="shared" si="11"/>
        <v>6.8</v>
      </c>
      <c r="AK34" s="42">
        <f t="shared" si="12"/>
        <v>22.8</v>
      </c>
      <c r="AL34" s="42">
        <f t="shared" si="13"/>
        <v>5.6</v>
      </c>
      <c r="AM34" s="42">
        <f t="shared" si="14"/>
        <v>22.099999999999998</v>
      </c>
      <c r="AN34" s="27">
        <f t="shared" si="15"/>
        <v>12.399999999999999</v>
      </c>
      <c r="AO34" s="27">
        <f t="shared" si="16"/>
        <v>44.9</v>
      </c>
      <c r="AP34" s="27" t="str">
        <f t="shared" si="17"/>
        <v/>
      </c>
      <c r="AQ34" s="27" t="str">
        <f t="shared" si="18"/>
        <v/>
      </c>
      <c r="AR34" s="27" t="str">
        <f t="shared" si="19"/>
        <v/>
      </c>
      <c r="AS34" s="27" t="str">
        <f t="shared" si="20"/>
        <v/>
      </c>
      <c r="AT34" s="27" t="str">
        <f t="shared" si="21"/>
        <v/>
      </c>
      <c r="AU34" s="27" t="str">
        <f t="shared" si="22"/>
        <v/>
      </c>
      <c r="AV34" s="27">
        <f t="shared" si="23"/>
        <v>44.9</v>
      </c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20"/>
      <c r="BN34" s="43" t="str">
        <f t="shared" si="24"/>
        <v/>
      </c>
      <c r="BO34" s="43" t="str">
        <f t="shared" si="25"/>
        <v/>
      </c>
      <c r="BP34" s="43" t="str">
        <f t="shared" si="26"/>
        <v/>
      </c>
      <c r="BQ34" s="43" t="str">
        <f t="shared" si="27"/>
        <v/>
      </c>
      <c r="BR34" s="10" t="str">
        <f t="shared" si="28"/>
        <v/>
      </c>
      <c r="BS34" s="10" t="str">
        <f t="shared" si="29"/>
        <v/>
      </c>
      <c r="BT34" s="10" t="str">
        <f t="shared" si="30"/>
        <v/>
      </c>
      <c r="BU34" s="10" t="str">
        <f t="shared" si="31"/>
        <v/>
      </c>
      <c r="BV34" s="10" t="str">
        <f t="shared" si="32"/>
        <v/>
      </c>
      <c r="BW34" s="10" t="str">
        <f t="shared" si="33"/>
        <v/>
      </c>
      <c r="BX34" s="10" t="str">
        <f t="shared" si="34"/>
        <v/>
      </c>
      <c r="BY34" s="10" t="str">
        <f t="shared" si="35"/>
        <v/>
      </c>
      <c r="BZ34" s="10" t="str">
        <f t="shared" si="36"/>
        <v/>
      </c>
      <c r="CA34" s="34" t="str">
        <f t="shared" si="37"/>
        <v/>
      </c>
      <c r="CB34" s="34" t="str">
        <f t="shared" si="38"/>
        <v/>
      </c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27" t="str">
        <f t="shared" si="39"/>
        <v/>
      </c>
      <c r="CX34" s="27" t="str">
        <f t="shared" si="40"/>
        <v/>
      </c>
      <c r="CY34" s="27" t="str">
        <f t="shared" si="41"/>
        <v/>
      </c>
      <c r="CZ34" s="27" t="str">
        <f t="shared" si="42"/>
        <v/>
      </c>
      <c r="DA34" s="27" t="str">
        <f t="shared" si="43"/>
        <v/>
      </c>
      <c r="DB34" s="27" t="str">
        <f t="shared" si="44"/>
        <v/>
      </c>
      <c r="DC34" s="27" t="str">
        <f t="shared" si="45"/>
        <v/>
      </c>
      <c r="DD34" s="27" t="str">
        <f t="shared" si="46"/>
        <v/>
      </c>
      <c r="DE34" s="27" t="str">
        <f t="shared" si="47"/>
        <v/>
      </c>
      <c r="DF34" s="27" t="str">
        <f t="shared" si="48"/>
        <v/>
      </c>
      <c r="DG34" s="27" t="str">
        <f t="shared" si="49"/>
        <v/>
      </c>
      <c r="DH34" s="27" t="str">
        <f t="shared" si="50"/>
        <v/>
      </c>
      <c r="DI34" s="27" t="str">
        <f t="shared" si="51"/>
        <v/>
      </c>
      <c r="DJ34" s="27" t="str">
        <f t="shared" si="52"/>
        <v/>
      </c>
      <c r="DK34" s="27" t="str">
        <f t="shared" si="53"/>
        <v/>
      </c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0" t="str">
        <f t="shared" si="54"/>
        <v/>
      </c>
      <c r="EG34" s="10" t="str">
        <f t="shared" si="55"/>
        <v/>
      </c>
      <c r="EH34" s="10" t="str">
        <f t="shared" si="56"/>
        <v/>
      </c>
      <c r="EI34" s="10" t="str">
        <f t="shared" si="57"/>
        <v/>
      </c>
      <c r="EJ34" s="10" t="str">
        <f t="shared" si="58"/>
        <v/>
      </c>
      <c r="EK34" s="10" t="str">
        <f t="shared" si="59"/>
        <v/>
      </c>
      <c r="EL34" s="10" t="str">
        <f t="shared" si="60"/>
        <v/>
      </c>
      <c r="EM34" s="10" t="str">
        <f t="shared" si="61"/>
        <v/>
      </c>
      <c r="EN34" s="10" t="str">
        <f t="shared" si="62"/>
        <v/>
      </c>
      <c r="EO34" s="10" t="str">
        <f t="shared" si="63"/>
        <v/>
      </c>
      <c r="EP34" s="10" t="str">
        <f t="shared" si="64"/>
        <v/>
      </c>
      <c r="EQ34" s="10" t="str">
        <f t="shared" si="65"/>
        <v/>
      </c>
      <c r="ER34" s="10" t="str">
        <f t="shared" si="66"/>
        <v/>
      </c>
      <c r="ES34" s="10" t="str">
        <f t="shared" si="67"/>
        <v/>
      </c>
      <c r="ET34" s="10" t="str">
        <f t="shared" si="68"/>
        <v/>
      </c>
      <c r="EU34" s="44">
        <f t="shared" si="69"/>
        <v>8.4</v>
      </c>
      <c r="EV34" s="44">
        <f t="shared" si="70"/>
        <v>3.4</v>
      </c>
      <c r="EW34" s="44">
        <f t="shared" si="71"/>
        <v>0.4</v>
      </c>
      <c r="EX34" s="44">
        <f t="shared" si="72"/>
        <v>0</v>
      </c>
      <c r="EY34" s="44">
        <f t="shared" si="73"/>
        <v>9.15</v>
      </c>
      <c r="EZ34" s="44">
        <f t="shared" si="74"/>
        <v>2.8</v>
      </c>
      <c r="FA34" s="44">
        <f t="shared" si="75"/>
        <v>0.9</v>
      </c>
      <c r="FB34" s="44">
        <f t="shared" si="76"/>
        <v>0</v>
      </c>
      <c r="FC34" s="44">
        <f t="shared" si="77"/>
        <v>0</v>
      </c>
      <c r="FD34" s="44">
        <f t="shared" si="78"/>
        <v>0</v>
      </c>
      <c r="FE34" s="44">
        <f t="shared" si="79"/>
        <v>0</v>
      </c>
      <c r="FF34" s="44">
        <f t="shared" si="80"/>
        <v>0</v>
      </c>
      <c r="FG34" s="44">
        <f t="shared" si="81"/>
        <v>0</v>
      </c>
      <c r="FH34" s="44">
        <f t="shared" si="82"/>
        <v>0</v>
      </c>
      <c r="FI34" s="44">
        <f t="shared" si="83"/>
        <v>0</v>
      </c>
      <c r="FJ34" s="44">
        <f t="shared" si="84"/>
        <v>0</v>
      </c>
      <c r="FK34" s="20" t="s">
        <v>29</v>
      </c>
      <c r="FL34" s="10">
        <f t="shared" si="85"/>
        <v>3.4</v>
      </c>
      <c r="FM34" s="10">
        <f t="shared" si="86"/>
        <v>11.4</v>
      </c>
      <c r="FN34" s="10">
        <f t="shared" si="87"/>
        <v>2.8</v>
      </c>
      <c r="FO34" s="10">
        <f t="shared" si="88"/>
        <v>11.049999999999999</v>
      </c>
      <c r="FP34" s="10">
        <f t="shared" si="89"/>
        <v>6.1999999999999993</v>
      </c>
      <c r="FQ34" s="10">
        <f t="shared" si="92"/>
        <v>22.45</v>
      </c>
      <c r="FR34" s="10">
        <f t="shared" si="93"/>
        <v>0</v>
      </c>
      <c r="FS34" s="10">
        <f t="shared" si="94"/>
        <v>0</v>
      </c>
      <c r="FT34" s="10">
        <f t="shared" si="95"/>
        <v>0</v>
      </c>
      <c r="FU34" s="10">
        <f t="shared" si="96"/>
        <v>0</v>
      </c>
      <c r="FV34" s="10" t="str">
        <f t="shared" si="97"/>
        <v/>
      </c>
      <c r="FW34" s="10" t="str">
        <f t="shared" si="106"/>
        <v/>
      </c>
      <c r="FX34" s="10">
        <f t="shared" si="107"/>
        <v>22.45</v>
      </c>
    </row>
    <row r="35" spans="1:180" x14ac:dyDescent="0.2">
      <c r="A35" s="3" t="str" cm="1">
        <f t="array" ref="A35">IF(AND(H35&lt;&gt;"",H35&lt;&gt;"No DD",I35&lt;&gt;"P"),SUMPRODUCT((H$4:H$39&lt;&gt;"")*(H$4:H$39&lt;&gt;"No DD")*(I$4:I$39&lt;&gt;"P")*(E$4:E$39&gt;E35))+1,IF(H35="No DD",SUMPRODUCT((H$4:H$39="No DD")*(I$4:I$39&lt;&gt;"P")*(E$4:E$39&gt;E35))+1+SUMPRODUCT((H$4:H$39&lt;&gt;"")*(I$4:I$39&lt;&gt;"P")*(H$4:H$39&lt;&gt;"No DD")),""))</f>
        <v/>
      </c>
      <c r="B35" s="4" t="s">
        <v>47</v>
      </c>
      <c r="C35" s="3" t="s">
        <v>4</v>
      </c>
      <c r="D35" s="3">
        <v>2007</v>
      </c>
      <c r="E35" s="8">
        <f t="shared" si="0"/>
        <v>44.400004440004437</v>
      </c>
      <c r="F35" s="2" t="str">
        <f t="shared" si="1"/>
        <v/>
      </c>
      <c r="G35" s="2" t="str">
        <f t="shared" si="2"/>
        <v/>
      </c>
      <c r="H35" s="26" t="str">
        <f t="shared" si="3"/>
        <v/>
      </c>
      <c r="I35" s="2" t="str">
        <f>IF(COUNTIFS('Senior-M'!B:B,B35,'Senior-M'!A:A,"&lt;9",'Senior-M'!H:H,"&lt;&gt;"&amp;"No DD"),"P","")</f>
        <v/>
      </c>
      <c r="J35" s="7">
        <f t="shared" si="4"/>
        <v>44.4</v>
      </c>
      <c r="K35" s="7" t="str">
        <f t="shared" si="5"/>
        <v>2025 3rd Domestic Trial</v>
      </c>
      <c r="L35" s="7">
        <f>IF(J35=AO35,IF(COUNT(AQ35,AS35,BO35,BQ35,BU35,BW35)&gt;1,LARGE((AQ35,AS35,BO35,BQ35,BU35,BW35),1),0),IF(COUNT(AK35,AM35,AQ35,AS35,BU35,BW35)&gt;1,LARGE((AK35,AM35,AQ35,AS35,BU35,BW35),1),0))</f>
        <v>0</v>
      </c>
      <c r="M35" s="7" t="str">
        <f t="shared" si="6"/>
        <v/>
      </c>
      <c r="N35" s="7">
        <f>IF(J35=AO35,IF(COUNT(AQ35,AS35,BO35,BQ35,BU35,BW35)&gt;1,LARGE((AQ35,AS35,BO35,BQ35,BU35,BW35),2),0),IF(COUNT(AK35,AM35,AQ35,AS35,BU35,BW35)&gt;1,LARGE((AK35,AM35,AQ35,AS35,BU35,BW35),2),0))</f>
        <v>0</v>
      </c>
      <c r="O35" s="7" t="str">
        <f t="shared" si="7"/>
        <v/>
      </c>
      <c r="P35" s="7" t="str">
        <f t="shared" si="8"/>
        <v/>
      </c>
      <c r="Q35" s="10" t="str">
        <f t="shared" si="9"/>
        <v/>
      </c>
      <c r="R35" s="7" t="str">
        <f t="shared" si="10"/>
        <v/>
      </c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19"/>
      <c r="AJ35" s="42" t="str">
        <f t="shared" si="11"/>
        <v/>
      </c>
      <c r="AK35" s="42" t="str">
        <f t="shared" si="12"/>
        <v/>
      </c>
      <c r="AL35" s="42" t="str">
        <f t="shared" si="13"/>
        <v/>
      </c>
      <c r="AM35" s="42" t="str">
        <f t="shared" si="14"/>
        <v/>
      </c>
      <c r="AN35" s="27" t="str">
        <f t="shared" si="15"/>
        <v/>
      </c>
      <c r="AO35" s="27" t="str">
        <f t="shared" si="16"/>
        <v/>
      </c>
      <c r="AP35" s="27" t="str">
        <f t="shared" si="17"/>
        <v/>
      </c>
      <c r="AQ35" s="27" t="str">
        <f t="shared" si="18"/>
        <v/>
      </c>
      <c r="AR35" s="27" t="str">
        <f t="shared" si="19"/>
        <v/>
      </c>
      <c r="AS35" s="27" t="str">
        <f t="shared" si="20"/>
        <v/>
      </c>
      <c r="AT35" s="27" t="str">
        <f t="shared" si="21"/>
        <v/>
      </c>
      <c r="AU35" s="27" t="str">
        <f t="shared" si="22"/>
        <v/>
      </c>
      <c r="AV35" s="27" t="str">
        <f t="shared" si="23"/>
        <v/>
      </c>
      <c r="AW35" s="15">
        <v>18.8</v>
      </c>
      <c r="AX35" s="15">
        <v>8</v>
      </c>
      <c r="AY35" s="15">
        <v>0.8</v>
      </c>
      <c r="AZ35" s="15">
        <v>0</v>
      </c>
      <c r="BA35" s="15">
        <v>15.2</v>
      </c>
      <c r="BB35" s="15">
        <v>3.2</v>
      </c>
      <c r="BC35" s="15">
        <v>0</v>
      </c>
      <c r="BD35" s="15">
        <v>0</v>
      </c>
      <c r="BE35" s="15"/>
      <c r="BF35" s="15"/>
      <c r="BG35" s="15"/>
      <c r="BH35" s="15"/>
      <c r="BI35" s="15"/>
      <c r="BJ35" s="15"/>
      <c r="BK35" s="15"/>
      <c r="BL35" s="15"/>
      <c r="BM35" s="20"/>
      <c r="BN35" s="43">
        <f t="shared" si="24"/>
        <v>8</v>
      </c>
      <c r="BO35" s="43">
        <f t="shared" si="25"/>
        <v>26</v>
      </c>
      <c r="BP35" s="43">
        <f t="shared" si="26"/>
        <v>3.2</v>
      </c>
      <c r="BQ35" s="43">
        <f t="shared" si="27"/>
        <v>18.399999999999999</v>
      </c>
      <c r="BR35" s="10">
        <f t="shared" si="28"/>
        <v>11.2</v>
      </c>
      <c r="BS35" s="10">
        <f t="shared" si="29"/>
        <v>44.4</v>
      </c>
      <c r="BT35" s="10" t="str">
        <f t="shared" si="30"/>
        <v/>
      </c>
      <c r="BU35" s="10" t="str">
        <f t="shared" si="31"/>
        <v/>
      </c>
      <c r="BV35" s="10" t="str">
        <f t="shared" si="32"/>
        <v/>
      </c>
      <c r="BW35" s="10" t="str">
        <f t="shared" si="33"/>
        <v/>
      </c>
      <c r="BX35" s="10" t="str">
        <f t="shared" si="34"/>
        <v/>
      </c>
      <c r="BY35" s="10" t="str">
        <f t="shared" si="35"/>
        <v/>
      </c>
      <c r="BZ35" s="10">
        <f t="shared" si="36"/>
        <v>44.4</v>
      </c>
      <c r="CA35" s="34" t="str">
        <f t="shared" si="37"/>
        <v/>
      </c>
      <c r="CB35" s="34" t="str">
        <f t="shared" si="38"/>
        <v/>
      </c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27" t="str">
        <f t="shared" si="39"/>
        <v/>
      </c>
      <c r="CX35" s="27" t="str">
        <f t="shared" si="40"/>
        <v/>
      </c>
      <c r="CY35" s="27" t="str">
        <f t="shared" si="41"/>
        <v/>
      </c>
      <c r="CZ35" s="27" t="str">
        <f t="shared" si="42"/>
        <v/>
      </c>
      <c r="DA35" s="27" t="str">
        <f t="shared" si="43"/>
        <v/>
      </c>
      <c r="DB35" s="27" t="str">
        <f t="shared" si="44"/>
        <v/>
      </c>
      <c r="DC35" s="27" t="str">
        <f t="shared" si="45"/>
        <v/>
      </c>
      <c r="DD35" s="27" t="str">
        <f t="shared" si="46"/>
        <v/>
      </c>
      <c r="DE35" s="27" t="str">
        <f t="shared" si="47"/>
        <v/>
      </c>
      <c r="DF35" s="27" t="str">
        <f t="shared" si="48"/>
        <v/>
      </c>
      <c r="DG35" s="27" t="str">
        <f t="shared" si="49"/>
        <v/>
      </c>
      <c r="DH35" s="27" t="str">
        <f t="shared" si="50"/>
        <v/>
      </c>
      <c r="DI35" s="27" t="str">
        <f t="shared" si="51"/>
        <v/>
      </c>
      <c r="DJ35" s="27" t="str">
        <f t="shared" si="52"/>
        <v/>
      </c>
      <c r="DK35" s="27" t="str">
        <f t="shared" si="53"/>
        <v/>
      </c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0" t="str">
        <f t="shared" si="54"/>
        <v/>
      </c>
      <c r="EG35" s="10" t="str">
        <f t="shared" si="55"/>
        <v/>
      </c>
      <c r="EH35" s="10" t="str">
        <f t="shared" si="56"/>
        <v/>
      </c>
      <c r="EI35" s="10" t="str">
        <f t="shared" si="57"/>
        <v/>
      </c>
      <c r="EJ35" s="10" t="str">
        <f t="shared" si="58"/>
        <v/>
      </c>
      <c r="EK35" s="10" t="str">
        <f t="shared" si="59"/>
        <v/>
      </c>
      <c r="EL35" s="10" t="str">
        <f t="shared" si="60"/>
        <v/>
      </c>
      <c r="EM35" s="10" t="str">
        <f t="shared" si="61"/>
        <v/>
      </c>
      <c r="EN35" s="10" t="str">
        <f t="shared" si="62"/>
        <v/>
      </c>
      <c r="EO35" s="10" t="str">
        <f t="shared" si="63"/>
        <v/>
      </c>
      <c r="EP35" s="10" t="str">
        <f t="shared" si="64"/>
        <v/>
      </c>
      <c r="EQ35" s="10" t="str">
        <f t="shared" si="65"/>
        <v/>
      </c>
      <c r="ER35" s="10" t="str">
        <f t="shared" si="66"/>
        <v/>
      </c>
      <c r="ES35" s="10" t="str">
        <f t="shared" si="67"/>
        <v/>
      </c>
      <c r="ET35" s="10" t="str">
        <f t="shared" si="68"/>
        <v/>
      </c>
      <c r="EU35" s="44">
        <f t="shared" si="69"/>
        <v>9.4</v>
      </c>
      <c r="EV35" s="44">
        <f t="shared" si="70"/>
        <v>4</v>
      </c>
      <c r="EW35" s="44">
        <f t="shared" si="71"/>
        <v>0.4</v>
      </c>
      <c r="EX35" s="44">
        <f t="shared" si="72"/>
        <v>0</v>
      </c>
      <c r="EY35" s="44">
        <f t="shared" si="73"/>
        <v>7.6</v>
      </c>
      <c r="EZ35" s="44">
        <f t="shared" si="74"/>
        <v>1.6</v>
      </c>
      <c r="FA35" s="44">
        <f t="shared" si="75"/>
        <v>0</v>
      </c>
      <c r="FB35" s="44">
        <f t="shared" si="76"/>
        <v>0</v>
      </c>
      <c r="FC35" s="44">
        <f t="shared" si="77"/>
        <v>0</v>
      </c>
      <c r="FD35" s="44">
        <f t="shared" si="78"/>
        <v>0</v>
      </c>
      <c r="FE35" s="44">
        <f t="shared" si="79"/>
        <v>0</v>
      </c>
      <c r="FF35" s="44">
        <f t="shared" si="80"/>
        <v>0</v>
      </c>
      <c r="FG35" s="44">
        <f t="shared" si="81"/>
        <v>0</v>
      </c>
      <c r="FH35" s="44">
        <f t="shared" si="82"/>
        <v>0</v>
      </c>
      <c r="FI35" s="44">
        <f t="shared" si="83"/>
        <v>0</v>
      </c>
      <c r="FJ35" s="44">
        <f t="shared" si="84"/>
        <v>0</v>
      </c>
      <c r="FK35" s="20" t="s">
        <v>29</v>
      </c>
      <c r="FL35" s="10">
        <f t="shared" si="85"/>
        <v>4</v>
      </c>
      <c r="FM35" s="10">
        <f t="shared" si="86"/>
        <v>13</v>
      </c>
      <c r="FN35" s="10">
        <f t="shared" si="87"/>
        <v>1.6</v>
      </c>
      <c r="FO35" s="10">
        <f t="shared" si="88"/>
        <v>9.1999999999999993</v>
      </c>
      <c r="FP35" s="10">
        <f t="shared" si="89"/>
        <v>5.6</v>
      </c>
      <c r="FQ35" s="10">
        <f t="shared" si="92"/>
        <v>22.2</v>
      </c>
      <c r="FR35" s="10">
        <f t="shared" si="93"/>
        <v>0</v>
      </c>
      <c r="FS35" s="10">
        <f t="shared" si="94"/>
        <v>0</v>
      </c>
      <c r="FT35" s="10">
        <f t="shared" si="95"/>
        <v>0</v>
      </c>
      <c r="FU35" s="10">
        <f t="shared" si="96"/>
        <v>0</v>
      </c>
      <c r="FV35" s="10" t="str">
        <f t="shared" si="97"/>
        <v/>
      </c>
      <c r="FW35" s="10" t="str">
        <f t="shared" si="106"/>
        <v/>
      </c>
      <c r="FX35" s="10">
        <f t="shared" si="107"/>
        <v>22.2</v>
      </c>
    </row>
    <row r="36" spans="1:180" x14ac:dyDescent="0.2">
      <c r="A36" s="3" t="str" cm="1">
        <f t="array" ref="A36">IF(AND(H36&lt;&gt;"",H36&lt;&gt;"No DD",I36&lt;&gt;"P"),SUMPRODUCT((H$4:H$39&lt;&gt;"")*(H$4:H$39&lt;&gt;"No DD")*(I$4:I$39&lt;&gt;"P")*(E$4:E$39&gt;E36))+1,IF(H36="No DD",SUMPRODUCT((H$4:H$39="No DD")*(I$4:I$39&lt;&gt;"P")*(E$4:E$39&gt;E36))+1+SUMPRODUCT((H$4:H$39&lt;&gt;"")*(I$4:I$39&lt;&gt;"P")*(H$4:H$39&lt;&gt;"No DD")),""))</f>
        <v/>
      </c>
      <c r="B36" s="4" t="s">
        <v>92</v>
      </c>
      <c r="C36" s="3" t="s">
        <v>4</v>
      </c>
      <c r="D36" s="3">
        <v>2008</v>
      </c>
      <c r="E36" s="8">
        <f t="shared" si="0"/>
        <v>38.900003890003887</v>
      </c>
      <c r="F36" s="2" t="str">
        <f t="shared" si="1"/>
        <v/>
      </c>
      <c r="G36" s="2" t="str">
        <f t="shared" si="2"/>
        <v/>
      </c>
      <c r="H36" s="26" t="str">
        <f t="shared" si="3"/>
        <v/>
      </c>
      <c r="I36" s="2" t="str">
        <f>IF(COUNTIFS('Senior-M'!B:B,B36,'Senior-M'!A:A,"&lt;9",'Senior-M'!H:H,"&lt;&gt;"&amp;"No DD"),"P","")</f>
        <v/>
      </c>
      <c r="J36" s="7">
        <f t="shared" si="4"/>
        <v>38.9</v>
      </c>
      <c r="K36" s="7" t="str">
        <f t="shared" si="5"/>
        <v>2025 Nationals</v>
      </c>
      <c r="L36" s="7">
        <f>IF(J36=AO36,IF(COUNT(AQ36,AS36,BO36,BQ36,BU36,BW36)&gt;1,LARGE((AQ36,AS36,BO36,BQ36,BU36,BW36),1),0),IF(COUNT(AK36,AM36,AQ36,AS36,BU36,BW36)&gt;1,LARGE((AK36,AM36,AQ36,AS36,BU36,BW36),1),0))</f>
        <v>0</v>
      </c>
      <c r="M36" s="7" t="str">
        <f t="shared" si="6"/>
        <v/>
      </c>
      <c r="N36" s="7">
        <f>IF(J36=AO36,IF(COUNT(AQ36,AS36,BO36,BQ36,BU36,BW36)&gt;1,LARGE((AQ36,AS36,BO36,BQ36,BU36,BW36),2),0),IF(COUNT(AK36,AM36,AQ36,AS36,BU36,BW36)&gt;1,LARGE((AK36,AM36,AQ36,AS36,BU36,BW36),2),0))</f>
        <v>0</v>
      </c>
      <c r="O36" s="7" t="str">
        <f t="shared" si="7"/>
        <v/>
      </c>
      <c r="P36" s="7" t="str">
        <f t="shared" si="8"/>
        <v/>
      </c>
      <c r="Q36" s="10" t="str">
        <f t="shared" si="9"/>
        <v/>
      </c>
      <c r="R36" s="7" t="str">
        <f t="shared" si="10"/>
        <v/>
      </c>
      <c r="S36" s="39">
        <v>15.2</v>
      </c>
      <c r="T36" s="39">
        <v>3.2</v>
      </c>
      <c r="U36" s="39">
        <v>0</v>
      </c>
      <c r="V36" s="39">
        <v>0</v>
      </c>
      <c r="W36" s="39">
        <v>15.4</v>
      </c>
      <c r="X36" s="39">
        <v>4.8</v>
      </c>
      <c r="Y36" s="39">
        <v>0</v>
      </c>
      <c r="Z36" s="39">
        <v>0.3</v>
      </c>
      <c r="AA36" s="39"/>
      <c r="AB36" s="39"/>
      <c r="AC36" s="39"/>
      <c r="AD36" s="39"/>
      <c r="AE36" s="39"/>
      <c r="AF36" s="39"/>
      <c r="AG36" s="39"/>
      <c r="AH36" s="39"/>
      <c r="AI36" s="19"/>
      <c r="AJ36" s="42">
        <f t="shared" si="11"/>
        <v>3.2</v>
      </c>
      <c r="AK36" s="42">
        <f t="shared" si="12"/>
        <v>18.399999999999999</v>
      </c>
      <c r="AL36" s="42">
        <f t="shared" si="13"/>
        <v>4.8</v>
      </c>
      <c r="AM36" s="42">
        <f t="shared" si="14"/>
        <v>20.5</v>
      </c>
      <c r="AN36" s="27">
        <f t="shared" si="15"/>
        <v>8</v>
      </c>
      <c r="AO36" s="27">
        <f t="shared" si="16"/>
        <v>38.9</v>
      </c>
      <c r="AP36" s="27" t="str">
        <f t="shared" si="17"/>
        <v/>
      </c>
      <c r="AQ36" s="27" t="str">
        <f t="shared" si="18"/>
        <v/>
      </c>
      <c r="AR36" s="27" t="str">
        <f t="shared" si="19"/>
        <v/>
      </c>
      <c r="AS36" s="27" t="str">
        <f t="shared" si="20"/>
        <v/>
      </c>
      <c r="AT36" s="27" t="str">
        <f t="shared" si="21"/>
        <v/>
      </c>
      <c r="AU36" s="27" t="str">
        <f t="shared" si="22"/>
        <v/>
      </c>
      <c r="AV36" s="27">
        <f t="shared" si="23"/>
        <v>38.9</v>
      </c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20"/>
      <c r="BN36" s="43" t="str">
        <f t="shared" si="24"/>
        <v/>
      </c>
      <c r="BO36" s="43" t="str">
        <f t="shared" si="25"/>
        <v/>
      </c>
      <c r="BP36" s="43" t="str">
        <f t="shared" si="26"/>
        <v/>
      </c>
      <c r="BQ36" s="43" t="str">
        <f t="shared" si="27"/>
        <v/>
      </c>
      <c r="BR36" s="10" t="str">
        <f t="shared" si="28"/>
        <v/>
      </c>
      <c r="BS36" s="10" t="str">
        <f t="shared" si="29"/>
        <v/>
      </c>
      <c r="BT36" s="10" t="str">
        <f t="shared" si="30"/>
        <v/>
      </c>
      <c r="BU36" s="10" t="str">
        <f t="shared" si="31"/>
        <v/>
      </c>
      <c r="BV36" s="10" t="str">
        <f t="shared" si="32"/>
        <v/>
      </c>
      <c r="BW36" s="10" t="str">
        <f t="shared" si="33"/>
        <v/>
      </c>
      <c r="BX36" s="10" t="str">
        <f t="shared" si="34"/>
        <v/>
      </c>
      <c r="BY36" s="10" t="str">
        <f t="shared" si="35"/>
        <v/>
      </c>
      <c r="BZ36" s="10" t="str">
        <f t="shared" si="36"/>
        <v/>
      </c>
      <c r="CA36" s="34" t="str">
        <f t="shared" si="37"/>
        <v/>
      </c>
      <c r="CB36" s="34" t="str">
        <f t="shared" si="38"/>
        <v/>
      </c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27" t="str">
        <f t="shared" si="39"/>
        <v/>
      </c>
      <c r="CX36" s="27" t="str">
        <f t="shared" si="40"/>
        <v/>
      </c>
      <c r="CY36" s="27" t="str">
        <f t="shared" si="41"/>
        <v/>
      </c>
      <c r="CZ36" s="27" t="str">
        <f t="shared" si="42"/>
        <v/>
      </c>
      <c r="DA36" s="27" t="str">
        <f t="shared" si="43"/>
        <v/>
      </c>
      <c r="DB36" s="27" t="str">
        <f t="shared" si="44"/>
        <v/>
      </c>
      <c r="DC36" s="27" t="str">
        <f t="shared" si="45"/>
        <v/>
      </c>
      <c r="DD36" s="27" t="str">
        <f t="shared" si="46"/>
        <v/>
      </c>
      <c r="DE36" s="27" t="str">
        <f t="shared" si="47"/>
        <v/>
      </c>
      <c r="DF36" s="27" t="str">
        <f t="shared" si="48"/>
        <v/>
      </c>
      <c r="DG36" s="27" t="str">
        <f t="shared" si="49"/>
        <v/>
      </c>
      <c r="DH36" s="27" t="str">
        <f t="shared" si="50"/>
        <v/>
      </c>
      <c r="DI36" s="27" t="str">
        <f t="shared" si="51"/>
        <v/>
      </c>
      <c r="DJ36" s="27" t="str">
        <f t="shared" si="52"/>
        <v/>
      </c>
      <c r="DK36" s="27" t="str">
        <f t="shared" si="53"/>
        <v/>
      </c>
      <c r="DL36" s="15"/>
      <c r="DM36" s="15"/>
      <c r="DN36" s="15"/>
      <c r="DO36" s="15"/>
      <c r="DP36" s="15"/>
      <c r="DQ36" s="15"/>
      <c r="DR36" s="15"/>
      <c r="DS36" s="15"/>
      <c r="DT36" s="15"/>
      <c r="DU36" s="15"/>
      <c r="DV36" s="15"/>
      <c r="DW36" s="15"/>
      <c r="DX36" s="15"/>
      <c r="DY36" s="15"/>
      <c r="DZ36" s="15"/>
      <c r="EA36" s="15"/>
      <c r="EB36" s="15"/>
      <c r="EC36" s="15"/>
      <c r="ED36" s="15"/>
      <c r="EE36" s="15"/>
      <c r="EF36" s="10" t="str">
        <f t="shared" si="54"/>
        <v/>
      </c>
      <c r="EG36" s="10" t="str">
        <f t="shared" si="55"/>
        <v/>
      </c>
      <c r="EH36" s="10" t="str">
        <f t="shared" si="56"/>
        <v/>
      </c>
      <c r="EI36" s="10" t="str">
        <f t="shared" si="57"/>
        <v/>
      </c>
      <c r="EJ36" s="10" t="str">
        <f t="shared" si="58"/>
        <v/>
      </c>
      <c r="EK36" s="10" t="str">
        <f t="shared" si="59"/>
        <v/>
      </c>
      <c r="EL36" s="10" t="str">
        <f t="shared" si="60"/>
        <v/>
      </c>
      <c r="EM36" s="10" t="str">
        <f t="shared" si="61"/>
        <v/>
      </c>
      <c r="EN36" s="10" t="str">
        <f t="shared" si="62"/>
        <v/>
      </c>
      <c r="EO36" s="10" t="str">
        <f t="shared" si="63"/>
        <v/>
      </c>
      <c r="EP36" s="10" t="str">
        <f t="shared" si="64"/>
        <v/>
      </c>
      <c r="EQ36" s="10" t="str">
        <f t="shared" si="65"/>
        <v/>
      </c>
      <c r="ER36" s="10" t="str">
        <f t="shared" si="66"/>
        <v/>
      </c>
      <c r="ES36" s="10" t="str">
        <f t="shared" si="67"/>
        <v/>
      </c>
      <c r="ET36" s="10" t="str">
        <f t="shared" si="68"/>
        <v/>
      </c>
      <c r="EU36" s="44">
        <f t="shared" si="69"/>
        <v>7.6</v>
      </c>
      <c r="EV36" s="44">
        <f t="shared" si="70"/>
        <v>1.6</v>
      </c>
      <c r="EW36" s="44">
        <f t="shared" si="71"/>
        <v>0</v>
      </c>
      <c r="EX36" s="44">
        <f t="shared" si="72"/>
        <v>0</v>
      </c>
      <c r="EY36" s="44">
        <f t="shared" si="73"/>
        <v>7.7</v>
      </c>
      <c r="EZ36" s="44">
        <f t="shared" si="74"/>
        <v>2.4</v>
      </c>
      <c r="FA36" s="44">
        <f t="shared" si="75"/>
        <v>0</v>
      </c>
      <c r="FB36" s="44">
        <f t="shared" si="76"/>
        <v>0.15</v>
      </c>
      <c r="FC36" s="44">
        <f t="shared" si="77"/>
        <v>0</v>
      </c>
      <c r="FD36" s="44">
        <f t="shared" si="78"/>
        <v>0</v>
      </c>
      <c r="FE36" s="44">
        <f t="shared" si="79"/>
        <v>0</v>
      </c>
      <c r="FF36" s="44">
        <f t="shared" si="80"/>
        <v>0</v>
      </c>
      <c r="FG36" s="44">
        <f t="shared" si="81"/>
        <v>0</v>
      </c>
      <c r="FH36" s="44">
        <f t="shared" si="82"/>
        <v>0</v>
      </c>
      <c r="FI36" s="44">
        <f t="shared" si="83"/>
        <v>0</v>
      </c>
      <c r="FJ36" s="44">
        <f t="shared" si="84"/>
        <v>0</v>
      </c>
      <c r="FK36" s="20" t="s">
        <v>29</v>
      </c>
      <c r="FL36" s="10">
        <f t="shared" si="85"/>
        <v>1.6</v>
      </c>
      <c r="FM36" s="10">
        <f t="shared" si="86"/>
        <v>9.1999999999999993</v>
      </c>
      <c r="FN36" s="10">
        <f t="shared" si="87"/>
        <v>2.4</v>
      </c>
      <c r="FO36" s="10">
        <f t="shared" si="88"/>
        <v>10.25</v>
      </c>
      <c r="FP36" s="10">
        <f t="shared" si="89"/>
        <v>4</v>
      </c>
      <c r="FQ36" s="10">
        <f t="shared" si="92"/>
        <v>19.45</v>
      </c>
      <c r="FR36" s="10">
        <f t="shared" si="93"/>
        <v>0</v>
      </c>
      <c r="FS36" s="10">
        <f t="shared" si="94"/>
        <v>0</v>
      </c>
      <c r="FT36" s="10">
        <f t="shared" si="95"/>
        <v>0</v>
      </c>
      <c r="FU36" s="10">
        <f t="shared" si="96"/>
        <v>0</v>
      </c>
      <c r="FV36" s="10" t="str">
        <f t="shared" si="97"/>
        <v/>
      </c>
      <c r="FW36" s="10" t="str">
        <f t="shared" si="106"/>
        <v/>
      </c>
      <c r="FX36" s="10">
        <f t="shared" si="107"/>
        <v>19.45</v>
      </c>
    </row>
    <row r="37" spans="1:180" x14ac:dyDescent="0.2">
      <c r="A37" s="3" t="str" cm="1">
        <f t="array" ref="A37">IF(AND(H37&lt;&gt;"",H37&lt;&gt;"No DD",I37&lt;&gt;"P"),SUMPRODUCT((H$4:H$39&lt;&gt;"")*(H$4:H$39&lt;&gt;"No DD")*(I$4:I$39&lt;&gt;"P")*(E$4:E$39&gt;E37))+1,IF(H37="No DD",SUMPRODUCT((H$4:H$39="No DD")*(I$4:I$39&lt;&gt;"P")*(E$4:E$39&gt;E37))+1+SUMPRODUCT((H$4:H$39&lt;&gt;"")*(I$4:I$39&lt;&gt;"P")*(H$4:H$39&lt;&gt;"No DD")),""))</f>
        <v/>
      </c>
      <c r="B37" s="4" t="s">
        <v>153</v>
      </c>
      <c r="C37" s="3" t="s">
        <v>5</v>
      </c>
      <c r="D37" s="3">
        <v>2005</v>
      </c>
      <c r="E37" s="8">
        <f t="shared" si="0"/>
        <v>0</v>
      </c>
      <c r="F37" s="2" t="str">
        <f t="shared" si="1"/>
        <v/>
      </c>
      <c r="G37" s="2" t="str">
        <f t="shared" si="2"/>
        <v/>
      </c>
      <c r="H37" s="26" t="str">
        <f t="shared" si="3"/>
        <v/>
      </c>
      <c r="I37" s="2" t="str">
        <f>IF(COUNTIFS('Senior-M'!B:B,B37,'Senior-M'!A:A,"&lt;9",'Senior-M'!H:H,"&lt;&gt;"&amp;"No DD"),"P","")</f>
        <v/>
      </c>
      <c r="J37" s="7">
        <f t="shared" si="4"/>
        <v>0</v>
      </c>
      <c r="K37" s="7" t="str">
        <f t="shared" si="5"/>
        <v/>
      </c>
      <c r="L37" s="7">
        <f>IF(J37=AO37,IF(COUNT(AQ37,AS37,BO37,BQ37,BU37,BW37)&gt;1,LARGE((AQ37,AS37,BO37,BQ37,BU37,BW37),1),0),IF(COUNT(AK37,AM37,AQ37,AS37,BU37,BW37)&gt;1,LARGE((AK37,AM37,AQ37,AS37,BU37,BW37),1),0))</f>
        <v>0</v>
      </c>
      <c r="M37" s="7" t="str">
        <f t="shared" si="6"/>
        <v/>
      </c>
      <c r="N37" s="7">
        <f>IF(J37=AO37,IF(COUNT(AQ37,AS37,BO37,BQ37,BU37,BW37)&gt;1,LARGE((AQ37,AS37,BO37,BQ37,BU37,BW37),2),0),IF(COUNT(AK37,AM37,AQ37,AS37,BU37,BW37)&gt;1,LARGE((AK37,AM37,AQ37,AS37,BU37,BW37),2),0))</f>
        <v>0</v>
      </c>
      <c r="O37" s="7" t="str">
        <f t="shared" si="7"/>
        <v/>
      </c>
      <c r="P37" s="7" t="str">
        <f t="shared" si="8"/>
        <v/>
      </c>
      <c r="Q37" s="10" t="str">
        <f t="shared" si="9"/>
        <v/>
      </c>
      <c r="R37" s="7" t="str">
        <f t="shared" si="10"/>
        <v/>
      </c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19"/>
      <c r="AJ37" s="42" t="str">
        <f t="shared" si="11"/>
        <v/>
      </c>
      <c r="AK37" s="42" t="str">
        <f t="shared" si="12"/>
        <v/>
      </c>
      <c r="AL37" s="42" t="str">
        <f t="shared" si="13"/>
        <v/>
      </c>
      <c r="AM37" s="42" t="str">
        <f t="shared" si="14"/>
        <v/>
      </c>
      <c r="AN37" s="27" t="str">
        <f t="shared" si="15"/>
        <v/>
      </c>
      <c r="AO37" s="27" t="str">
        <f t="shared" si="16"/>
        <v/>
      </c>
      <c r="AP37" s="27" t="str">
        <f t="shared" si="17"/>
        <v/>
      </c>
      <c r="AQ37" s="27" t="str">
        <f t="shared" si="18"/>
        <v/>
      </c>
      <c r="AR37" s="27" t="str">
        <f t="shared" si="19"/>
        <v/>
      </c>
      <c r="AS37" s="27" t="str">
        <f t="shared" si="20"/>
        <v/>
      </c>
      <c r="AT37" s="27" t="str">
        <f t="shared" si="21"/>
        <v/>
      </c>
      <c r="AU37" s="27" t="str">
        <f t="shared" si="22"/>
        <v/>
      </c>
      <c r="AV37" s="27" t="str">
        <f t="shared" si="23"/>
        <v/>
      </c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20"/>
      <c r="BN37" s="43" t="str">
        <f t="shared" si="24"/>
        <v/>
      </c>
      <c r="BO37" s="43" t="str">
        <f t="shared" si="25"/>
        <v/>
      </c>
      <c r="BP37" s="43" t="str">
        <f t="shared" si="26"/>
        <v/>
      </c>
      <c r="BQ37" s="43" t="str">
        <f t="shared" si="27"/>
        <v/>
      </c>
      <c r="BR37" s="10" t="str">
        <f t="shared" si="28"/>
        <v/>
      </c>
      <c r="BS37" s="10" t="str">
        <f t="shared" si="29"/>
        <v/>
      </c>
      <c r="BT37" s="10" t="str">
        <f t="shared" si="30"/>
        <v/>
      </c>
      <c r="BU37" s="10" t="str">
        <f t="shared" si="31"/>
        <v/>
      </c>
      <c r="BV37" s="10" t="str">
        <f t="shared" si="32"/>
        <v/>
      </c>
      <c r="BW37" s="10" t="str">
        <f t="shared" si="33"/>
        <v/>
      </c>
      <c r="BX37" s="10" t="str">
        <f t="shared" si="34"/>
        <v/>
      </c>
      <c r="BY37" s="10" t="str">
        <f t="shared" si="35"/>
        <v/>
      </c>
      <c r="BZ37" s="10" t="str">
        <f t="shared" si="36"/>
        <v/>
      </c>
      <c r="CA37" s="34" t="str">
        <f t="shared" si="37"/>
        <v/>
      </c>
      <c r="CB37" s="34" t="str">
        <f t="shared" si="38"/>
        <v/>
      </c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27" t="str">
        <f t="shared" si="39"/>
        <v/>
      </c>
      <c r="CX37" s="27" t="str">
        <f t="shared" si="40"/>
        <v/>
      </c>
      <c r="CY37" s="27" t="str">
        <f t="shared" si="41"/>
        <v/>
      </c>
      <c r="CZ37" s="27" t="str">
        <f t="shared" si="42"/>
        <v/>
      </c>
      <c r="DA37" s="27" t="str">
        <f t="shared" si="43"/>
        <v/>
      </c>
      <c r="DB37" s="27" t="str">
        <f t="shared" si="44"/>
        <v/>
      </c>
      <c r="DC37" s="27" t="str">
        <f t="shared" si="45"/>
        <v/>
      </c>
      <c r="DD37" s="27" t="str">
        <f t="shared" si="46"/>
        <v/>
      </c>
      <c r="DE37" s="27" t="str">
        <f t="shared" si="47"/>
        <v/>
      </c>
      <c r="DF37" s="27" t="str">
        <f t="shared" si="48"/>
        <v/>
      </c>
      <c r="DG37" s="27" t="str">
        <f t="shared" si="49"/>
        <v/>
      </c>
      <c r="DH37" s="27" t="str">
        <f t="shared" si="50"/>
        <v/>
      </c>
      <c r="DI37" s="27" t="str">
        <f t="shared" si="51"/>
        <v/>
      </c>
      <c r="DJ37" s="27" t="str">
        <f t="shared" si="52"/>
        <v/>
      </c>
      <c r="DK37" s="27" t="str">
        <f t="shared" si="53"/>
        <v/>
      </c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  <c r="EE37" s="15"/>
      <c r="EF37" s="10" t="str">
        <f t="shared" si="54"/>
        <v/>
      </c>
      <c r="EG37" s="10" t="str">
        <f t="shared" si="55"/>
        <v/>
      </c>
      <c r="EH37" s="10" t="str">
        <f t="shared" si="56"/>
        <v/>
      </c>
      <c r="EI37" s="10" t="str">
        <f t="shared" si="57"/>
        <v/>
      </c>
      <c r="EJ37" s="10" t="str">
        <f t="shared" si="58"/>
        <v/>
      </c>
      <c r="EK37" s="10" t="str">
        <f t="shared" si="59"/>
        <v/>
      </c>
      <c r="EL37" s="10" t="str">
        <f t="shared" si="60"/>
        <v/>
      </c>
      <c r="EM37" s="10" t="str">
        <f t="shared" si="61"/>
        <v/>
      </c>
      <c r="EN37" s="10" t="str">
        <f t="shared" si="62"/>
        <v/>
      </c>
      <c r="EO37" s="10" t="str">
        <f t="shared" si="63"/>
        <v/>
      </c>
      <c r="EP37" s="10" t="str">
        <f t="shared" si="64"/>
        <v/>
      </c>
      <c r="EQ37" s="10" t="str">
        <f t="shared" si="65"/>
        <v/>
      </c>
      <c r="ER37" s="10" t="str">
        <f t="shared" si="66"/>
        <v/>
      </c>
      <c r="ES37" s="10" t="str">
        <f t="shared" si="67"/>
        <v/>
      </c>
      <c r="ET37" s="10" t="str">
        <f t="shared" si="68"/>
        <v/>
      </c>
      <c r="EU37" s="44">
        <f t="shared" si="69"/>
        <v>0</v>
      </c>
      <c r="EV37" s="44">
        <f t="shared" si="70"/>
        <v>0</v>
      </c>
      <c r="EW37" s="44">
        <f t="shared" si="71"/>
        <v>0</v>
      </c>
      <c r="EX37" s="44">
        <f t="shared" si="72"/>
        <v>0</v>
      </c>
      <c r="EY37" s="44">
        <f t="shared" si="73"/>
        <v>0</v>
      </c>
      <c r="EZ37" s="44">
        <f t="shared" si="74"/>
        <v>0</v>
      </c>
      <c r="FA37" s="44">
        <f t="shared" si="75"/>
        <v>0</v>
      </c>
      <c r="FB37" s="44">
        <f t="shared" si="76"/>
        <v>0</v>
      </c>
      <c r="FC37" s="44">
        <f t="shared" si="77"/>
        <v>0</v>
      </c>
      <c r="FD37" s="44">
        <f t="shared" si="78"/>
        <v>0</v>
      </c>
      <c r="FE37" s="44">
        <f t="shared" si="79"/>
        <v>0</v>
      </c>
      <c r="FF37" s="44">
        <f t="shared" si="80"/>
        <v>0</v>
      </c>
      <c r="FG37" s="44">
        <f t="shared" si="81"/>
        <v>0</v>
      </c>
      <c r="FH37" s="44">
        <f t="shared" si="82"/>
        <v>0</v>
      </c>
      <c r="FI37" s="44">
        <f t="shared" si="83"/>
        <v>0</v>
      </c>
      <c r="FJ37" s="44">
        <f t="shared" si="84"/>
        <v>0</v>
      </c>
      <c r="FK37" s="20" t="s">
        <v>29</v>
      </c>
      <c r="FL37" s="10">
        <f t="shared" si="85"/>
        <v>0</v>
      </c>
      <c r="FM37" s="10">
        <f t="shared" si="86"/>
        <v>0</v>
      </c>
      <c r="FN37" s="10">
        <f t="shared" si="87"/>
        <v>0</v>
      </c>
      <c r="FO37" s="10">
        <f t="shared" si="88"/>
        <v>0</v>
      </c>
      <c r="FP37" s="10" t="str">
        <f t="shared" si="89"/>
        <v/>
      </c>
      <c r="FQ37" s="10" t="str">
        <f t="shared" si="92"/>
        <v/>
      </c>
      <c r="FR37" s="10">
        <f t="shared" si="93"/>
        <v>0</v>
      </c>
      <c r="FS37" s="10">
        <f t="shared" si="94"/>
        <v>0</v>
      </c>
      <c r="FT37" s="10">
        <f t="shared" si="95"/>
        <v>0</v>
      </c>
      <c r="FU37" s="10">
        <f t="shared" si="96"/>
        <v>0</v>
      </c>
      <c r="FV37" s="10" t="str">
        <f t="shared" si="97"/>
        <v/>
      </c>
      <c r="FW37" s="10" t="str">
        <f t="shared" si="106"/>
        <v/>
      </c>
      <c r="FX37" s="10" t="str">
        <f t="shared" si="107"/>
        <v/>
      </c>
    </row>
    <row r="38" spans="1:180" x14ac:dyDescent="0.2">
      <c r="A38" s="3" t="str" cm="1">
        <f t="array" ref="A38">IF(AND(H38&lt;&gt;"",H38&lt;&gt;"No DD",I38&lt;&gt;"P"),SUMPRODUCT((H$4:H$39&lt;&gt;"")*(H$4:H$39&lt;&gt;"No DD")*(I$4:I$39&lt;&gt;"P")*(E$4:E$39&gt;E38))+1,IF(H38="No DD",SUMPRODUCT((H$4:H$39="No DD")*(I$4:I$39&lt;&gt;"P")*(E$4:E$39&gt;E38))+1+SUMPRODUCT((H$4:H$39&lt;&gt;"")*(I$4:I$39&lt;&gt;"P")*(H$4:H$39&lt;&gt;"No DD")),""))</f>
        <v/>
      </c>
      <c r="B38" s="4" t="s">
        <v>46</v>
      </c>
      <c r="C38" s="3" t="s">
        <v>4</v>
      </c>
      <c r="D38" s="3">
        <v>2007</v>
      </c>
      <c r="E38" s="8">
        <f t="shared" si="0"/>
        <v>0</v>
      </c>
      <c r="F38" s="2" t="str">
        <f t="shared" si="1"/>
        <v/>
      </c>
      <c r="G38" s="2" t="str">
        <f t="shared" si="2"/>
        <v/>
      </c>
      <c r="H38" s="26" t="str">
        <f t="shared" si="3"/>
        <v/>
      </c>
      <c r="I38" s="2" t="str">
        <f>IF(COUNTIFS('Senior-M'!B:B,B38,'Senior-M'!A:A,"&lt;9",'Senior-M'!H:H,"&lt;&gt;"&amp;"No DD"),"P","")</f>
        <v/>
      </c>
      <c r="J38" s="7">
        <f t="shared" si="4"/>
        <v>0</v>
      </c>
      <c r="K38" s="7" t="str">
        <f t="shared" si="5"/>
        <v/>
      </c>
      <c r="L38" s="7">
        <f>IF(J38=AO38,IF(COUNT(AQ38,AS38,BO38,BQ38,BU38,BW38)&gt;1,LARGE((AQ38,AS38,BO38,BQ38,BU38,BW38),1),0),IF(COUNT(AK38,AM38,AQ38,AS38,BU38,BW38)&gt;1,LARGE((AK38,AM38,AQ38,AS38,BU38,BW38),1),0))</f>
        <v>0</v>
      </c>
      <c r="M38" s="7" t="str">
        <f t="shared" si="6"/>
        <v/>
      </c>
      <c r="N38" s="7">
        <f>IF(J38=AO38,IF(COUNT(AQ38,AS38,BO38,BQ38,BU38,BW38)&gt;1,LARGE((AQ38,AS38,BO38,BQ38,BU38,BW38),2),0),IF(COUNT(AK38,AM38,AQ38,AS38,BU38,BW38)&gt;1,LARGE((AK38,AM38,AQ38,AS38,BU38,BW38),2),0))</f>
        <v>0</v>
      </c>
      <c r="O38" s="7" t="str">
        <f t="shared" si="7"/>
        <v/>
      </c>
      <c r="P38" s="7" t="str">
        <f t="shared" si="8"/>
        <v/>
      </c>
      <c r="Q38" s="10" t="str">
        <f t="shared" si="9"/>
        <v/>
      </c>
      <c r="R38" s="7" t="str">
        <f t="shared" si="10"/>
        <v/>
      </c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19"/>
      <c r="AJ38" s="42" t="str">
        <f t="shared" si="11"/>
        <v/>
      </c>
      <c r="AK38" s="42" t="str">
        <f t="shared" si="12"/>
        <v/>
      </c>
      <c r="AL38" s="42" t="str">
        <f t="shared" si="13"/>
        <v/>
      </c>
      <c r="AM38" s="42" t="str">
        <f t="shared" si="14"/>
        <v/>
      </c>
      <c r="AN38" s="27" t="str">
        <f t="shared" si="15"/>
        <v/>
      </c>
      <c r="AO38" s="27" t="str">
        <f t="shared" si="16"/>
        <v/>
      </c>
      <c r="AP38" s="27" t="str">
        <f t="shared" si="17"/>
        <v/>
      </c>
      <c r="AQ38" s="27" t="str">
        <f t="shared" si="18"/>
        <v/>
      </c>
      <c r="AR38" s="27" t="str">
        <f t="shared" si="19"/>
        <v/>
      </c>
      <c r="AS38" s="27" t="str">
        <f t="shared" si="20"/>
        <v/>
      </c>
      <c r="AT38" s="27" t="str">
        <f t="shared" si="21"/>
        <v/>
      </c>
      <c r="AU38" s="27" t="str">
        <f t="shared" si="22"/>
        <v/>
      </c>
      <c r="AV38" s="27" t="str">
        <f t="shared" si="23"/>
        <v/>
      </c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20"/>
      <c r="BN38" s="43" t="str">
        <f t="shared" si="24"/>
        <v/>
      </c>
      <c r="BO38" s="43" t="str">
        <f t="shared" si="25"/>
        <v/>
      </c>
      <c r="BP38" s="43" t="str">
        <f t="shared" si="26"/>
        <v/>
      </c>
      <c r="BQ38" s="43" t="str">
        <f t="shared" si="27"/>
        <v/>
      </c>
      <c r="BR38" s="10" t="str">
        <f t="shared" si="28"/>
        <v/>
      </c>
      <c r="BS38" s="10" t="str">
        <f t="shared" si="29"/>
        <v/>
      </c>
      <c r="BT38" s="10" t="str">
        <f t="shared" si="30"/>
        <v/>
      </c>
      <c r="BU38" s="10" t="str">
        <f t="shared" si="31"/>
        <v/>
      </c>
      <c r="BV38" s="10" t="str">
        <f t="shared" si="32"/>
        <v/>
      </c>
      <c r="BW38" s="10" t="str">
        <f t="shared" si="33"/>
        <v/>
      </c>
      <c r="BX38" s="10" t="str">
        <f t="shared" si="34"/>
        <v/>
      </c>
      <c r="BY38" s="10" t="str">
        <f t="shared" si="35"/>
        <v/>
      </c>
      <c r="BZ38" s="10" t="str">
        <f t="shared" si="36"/>
        <v/>
      </c>
      <c r="CA38" s="34" t="str">
        <f t="shared" si="37"/>
        <v/>
      </c>
      <c r="CB38" s="34" t="str">
        <f t="shared" si="38"/>
        <v/>
      </c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27" t="str">
        <f t="shared" si="39"/>
        <v/>
      </c>
      <c r="CX38" s="27" t="str">
        <f t="shared" si="40"/>
        <v/>
      </c>
      <c r="CY38" s="27" t="str">
        <f t="shared" si="41"/>
        <v/>
      </c>
      <c r="CZ38" s="27" t="str">
        <f t="shared" si="42"/>
        <v/>
      </c>
      <c r="DA38" s="27" t="str">
        <f t="shared" si="43"/>
        <v/>
      </c>
      <c r="DB38" s="27" t="str">
        <f t="shared" si="44"/>
        <v/>
      </c>
      <c r="DC38" s="27" t="str">
        <f t="shared" si="45"/>
        <v/>
      </c>
      <c r="DD38" s="27" t="str">
        <f t="shared" si="46"/>
        <v/>
      </c>
      <c r="DE38" s="27" t="str">
        <f t="shared" si="47"/>
        <v/>
      </c>
      <c r="DF38" s="27" t="str">
        <f t="shared" si="48"/>
        <v/>
      </c>
      <c r="DG38" s="27" t="str">
        <f t="shared" si="49"/>
        <v/>
      </c>
      <c r="DH38" s="27" t="str">
        <f t="shared" si="50"/>
        <v/>
      </c>
      <c r="DI38" s="27" t="str">
        <f t="shared" si="51"/>
        <v/>
      </c>
      <c r="DJ38" s="27" t="str">
        <f t="shared" si="52"/>
        <v/>
      </c>
      <c r="DK38" s="27" t="str">
        <f t="shared" si="53"/>
        <v/>
      </c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0" t="str">
        <f t="shared" si="54"/>
        <v/>
      </c>
      <c r="EG38" s="10" t="str">
        <f t="shared" si="55"/>
        <v/>
      </c>
      <c r="EH38" s="10" t="str">
        <f t="shared" si="56"/>
        <v/>
      </c>
      <c r="EI38" s="10" t="str">
        <f t="shared" si="57"/>
        <v/>
      </c>
      <c r="EJ38" s="10" t="str">
        <f t="shared" si="58"/>
        <v/>
      </c>
      <c r="EK38" s="10" t="str">
        <f t="shared" si="59"/>
        <v/>
      </c>
      <c r="EL38" s="10" t="str">
        <f t="shared" si="60"/>
        <v/>
      </c>
      <c r="EM38" s="10" t="str">
        <f t="shared" si="61"/>
        <v/>
      </c>
      <c r="EN38" s="10" t="str">
        <f t="shared" si="62"/>
        <v/>
      </c>
      <c r="EO38" s="10" t="str">
        <f t="shared" si="63"/>
        <v/>
      </c>
      <c r="EP38" s="10" t="str">
        <f t="shared" si="64"/>
        <v/>
      </c>
      <c r="EQ38" s="10" t="str">
        <f t="shared" si="65"/>
        <v/>
      </c>
      <c r="ER38" s="10" t="str">
        <f t="shared" si="66"/>
        <v/>
      </c>
      <c r="ES38" s="10" t="str">
        <f t="shared" si="67"/>
        <v/>
      </c>
      <c r="ET38" s="10" t="str">
        <f t="shared" si="68"/>
        <v/>
      </c>
      <c r="EU38" s="44">
        <f t="shared" si="69"/>
        <v>0</v>
      </c>
      <c r="EV38" s="44">
        <f t="shared" si="70"/>
        <v>0</v>
      </c>
      <c r="EW38" s="44">
        <f t="shared" si="71"/>
        <v>0</v>
      </c>
      <c r="EX38" s="44">
        <f t="shared" si="72"/>
        <v>0</v>
      </c>
      <c r="EY38" s="44">
        <f t="shared" si="73"/>
        <v>0</v>
      </c>
      <c r="EZ38" s="44">
        <f t="shared" si="74"/>
        <v>0</v>
      </c>
      <c r="FA38" s="44">
        <f t="shared" si="75"/>
        <v>0</v>
      </c>
      <c r="FB38" s="44">
        <f t="shared" si="76"/>
        <v>0</v>
      </c>
      <c r="FC38" s="44">
        <f t="shared" si="77"/>
        <v>0</v>
      </c>
      <c r="FD38" s="44">
        <f t="shared" si="78"/>
        <v>0</v>
      </c>
      <c r="FE38" s="44">
        <f t="shared" si="79"/>
        <v>0</v>
      </c>
      <c r="FF38" s="44">
        <f t="shared" si="80"/>
        <v>0</v>
      </c>
      <c r="FG38" s="44">
        <f t="shared" si="81"/>
        <v>0</v>
      </c>
      <c r="FH38" s="44">
        <f t="shared" si="82"/>
        <v>0</v>
      </c>
      <c r="FI38" s="44">
        <f t="shared" si="83"/>
        <v>0</v>
      </c>
      <c r="FJ38" s="44">
        <f t="shared" si="84"/>
        <v>0</v>
      </c>
      <c r="FK38" s="20" t="s">
        <v>29</v>
      </c>
      <c r="FL38" s="10">
        <f t="shared" si="85"/>
        <v>0</v>
      </c>
      <c r="FM38" s="10">
        <f t="shared" si="86"/>
        <v>0</v>
      </c>
      <c r="FN38" s="10">
        <f t="shared" si="87"/>
        <v>0</v>
      </c>
      <c r="FO38" s="10">
        <f t="shared" si="88"/>
        <v>0</v>
      </c>
      <c r="FP38" s="10" t="str">
        <f t="shared" si="89"/>
        <v/>
      </c>
      <c r="FQ38" s="10" t="str">
        <f t="shared" si="92"/>
        <v/>
      </c>
      <c r="FR38" s="10">
        <f t="shared" si="93"/>
        <v>0</v>
      </c>
      <c r="FS38" s="10">
        <f t="shared" si="94"/>
        <v>0</v>
      </c>
      <c r="FT38" s="10">
        <f t="shared" si="95"/>
        <v>0</v>
      </c>
      <c r="FU38" s="10">
        <f t="shared" si="96"/>
        <v>0</v>
      </c>
      <c r="FV38" s="10" t="str">
        <f t="shared" si="97"/>
        <v/>
      </c>
      <c r="FW38" s="10" t="str">
        <f t="shared" si="106"/>
        <v/>
      </c>
      <c r="FX38" s="10" t="str">
        <f t="shared" si="107"/>
        <v/>
      </c>
    </row>
    <row r="39" spans="1:180" ht="17" x14ac:dyDescent="0.2">
      <c r="P39" s="9"/>
      <c r="Q39" s="9"/>
      <c r="R39" s="9"/>
    </row>
    <row r="40" spans="1:180" ht="17" x14ac:dyDescent="0.2">
      <c r="P40" s="9"/>
      <c r="Q40" s="9"/>
      <c r="R40" s="9"/>
    </row>
    <row r="41" spans="1:180" ht="17" x14ac:dyDescent="0.2">
      <c r="B41" s="17" t="s">
        <v>27</v>
      </c>
      <c r="P41" s="9"/>
      <c r="Q41" s="9"/>
      <c r="R41" s="9"/>
      <c r="AV41" s="28">
        <v>14.8</v>
      </c>
      <c r="BZ41" s="28">
        <v>14.8</v>
      </c>
      <c r="CW41" s="3"/>
      <c r="CX41" s="3"/>
      <c r="CY41" s="3"/>
      <c r="CZ41" s="3"/>
      <c r="DA41" s="3"/>
      <c r="DK41" s="28">
        <v>14.8</v>
      </c>
      <c r="EF41" s="3"/>
      <c r="EG41" s="3"/>
      <c r="EH41" s="3"/>
      <c r="EI41" s="3"/>
      <c r="EJ41" s="3"/>
      <c r="EK41" s="3"/>
      <c r="EL41" s="3"/>
      <c r="ET41" s="28">
        <v>14.8</v>
      </c>
    </row>
    <row r="42" spans="1:180" ht="17" hidden="1" x14ac:dyDescent="0.2">
      <c r="B42" s="22" t="s">
        <v>26</v>
      </c>
      <c r="P42" s="9"/>
      <c r="Q42" s="9"/>
      <c r="R42" s="9"/>
      <c r="AV42" s="40">
        <v>1000</v>
      </c>
      <c r="BZ42" s="40">
        <v>1000</v>
      </c>
      <c r="CW42" s="3"/>
      <c r="CX42" s="3"/>
      <c r="CY42" s="3"/>
      <c r="CZ42" s="3"/>
      <c r="DA42" s="3"/>
      <c r="DK42" s="40">
        <v>1000</v>
      </c>
      <c r="EF42" s="3"/>
      <c r="EG42" s="3"/>
      <c r="EH42" s="3"/>
      <c r="EI42" s="3"/>
      <c r="EJ42" s="3"/>
      <c r="EK42" s="3"/>
      <c r="EL42" s="3"/>
      <c r="ET42" s="40">
        <v>1000</v>
      </c>
    </row>
    <row r="43" spans="1:180" ht="17" hidden="1" x14ac:dyDescent="0.2">
      <c r="A43" s="4"/>
      <c r="B43" s="23" t="s">
        <v>125</v>
      </c>
      <c r="C43" s="16"/>
      <c r="P43" s="9"/>
      <c r="Q43" s="9"/>
      <c r="R43" s="9"/>
      <c r="AV43" s="29">
        <v>1000</v>
      </c>
      <c r="BZ43" s="29">
        <v>1000</v>
      </c>
      <c r="CW43" s="3"/>
      <c r="CX43" s="3"/>
      <c r="CY43" s="3"/>
      <c r="CZ43" s="3"/>
      <c r="DA43" s="3"/>
      <c r="DK43" s="29">
        <v>1000</v>
      </c>
      <c r="EF43" s="3"/>
      <c r="EG43" s="3"/>
      <c r="EH43" s="3"/>
      <c r="EI43" s="3"/>
      <c r="EJ43" s="3"/>
      <c r="EK43" s="3"/>
      <c r="EL43" s="3"/>
      <c r="ET43" s="29">
        <v>1000</v>
      </c>
    </row>
    <row r="44" spans="1:180" ht="17" x14ac:dyDescent="0.2">
      <c r="A44" s="4"/>
      <c r="B44" s="25" t="s">
        <v>24</v>
      </c>
      <c r="C44" s="16"/>
      <c r="P44" s="9"/>
      <c r="Q44" s="9"/>
      <c r="R44" s="9"/>
      <c r="AV44" s="30">
        <v>51.6</v>
      </c>
      <c r="BZ44" s="30">
        <v>51.6</v>
      </c>
      <c r="CW44" s="3"/>
      <c r="CX44" s="3"/>
      <c r="CY44" s="3"/>
      <c r="CZ44" s="3"/>
      <c r="DA44" s="3"/>
      <c r="DK44" s="30">
        <v>51.6</v>
      </c>
      <c r="EF44" s="3"/>
      <c r="EG44" s="3"/>
      <c r="EH44" s="3"/>
      <c r="EI44" s="3"/>
      <c r="EJ44" s="3"/>
      <c r="EK44" s="3"/>
      <c r="EL44" s="3"/>
      <c r="ET44" s="30">
        <v>51.6</v>
      </c>
    </row>
    <row r="45" spans="1:180" ht="17" hidden="1" x14ac:dyDescent="0.2">
      <c r="A45" s="4"/>
      <c r="B45" s="18" t="s">
        <v>25</v>
      </c>
      <c r="C45" s="16"/>
      <c r="P45" s="9"/>
      <c r="Q45" s="9"/>
      <c r="R45" s="9"/>
      <c r="AV45" s="31">
        <v>1000</v>
      </c>
      <c r="BZ45" s="31">
        <v>1000</v>
      </c>
      <c r="CW45" s="3"/>
      <c r="CX45" s="3"/>
      <c r="CY45" s="3"/>
      <c r="CZ45" s="3"/>
      <c r="DA45" s="3"/>
      <c r="DK45" s="31">
        <v>1000</v>
      </c>
      <c r="EF45" s="3"/>
      <c r="EG45" s="3"/>
      <c r="EH45" s="3"/>
      <c r="EI45" s="3"/>
      <c r="EJ45" s="3"/>
      <c r="EK45" s="3"/>
      <c r="EL45" s="3"/>
      <c r="ET45" s="31">
        <v>1000</v>
      </c>
    </row>
    <row r="46" spans="1:180" ht="17" hidden="1" x14ac:dyDescent="0.2">
      <c r="A46" s="4"/>
      <c r="B46" s="24" t="s">
        <v>124</v>
      </c>
      <c r="C46" s="16"/>
      <c r="P46" s="9"/>
      <c r="Q46" s="9"/>
      <c r="R46" s="9"/>
      <c r="AV46" s="32">
        <v>1000</v>
      </c>
      <c r="BZ46" s="32">
        <v>1000</v>
      </c>
      <c r="CW46" s="3"/>
      <c r="CX46" s="3"/>
      <c r="CY46" s="3"/>
      <c r="CZ46" s="3"/>
      <c r="DA46" s="3"/>
      <c r="DK46" s="32">
        <v>1000</v>
      </c>
      <c r="EF46" s="3"/>
      <c r="EG46" s="3"/>
      <c r="EH46" s="3"/>
      <c r="EI46" s="3"/>
      <c r="EJ46" s="3"/>
      <c r="EK46" s="3"/>
      <c r="EL46" s="3"/>
      <c r="ET46" s="32">
        <v>1000</v>
      </c>
    </row>
    <row r="47" spans="1:180" x14ac:dyDescent="0.2">
      <c r="B47" s="21" t="s">
        <v>30</v>
      </c>
      <c r="C47" s="1"/>
    </row>
    <row r="48" spans="1:180" x14ac:dyDescent="0.2">
      <c r="A48" s="4"/>
      <c r="B48" s="4"/>
      <c r="C48" s="16"/>
    </row>
    <row r="49" spans="1:3" x14ac:dyDescent="0.2">
      <c r="A49" s="4"/>
      <c r="B49" s="4"/>
      <c r="C49" s="16"/>
    </row>
    <row r="50" spans="1:3" x14ac:dyDescent="0.2">
      <c r="A50" s="4"/>
      <c r="B50" s="4"/>
      <c r="C50" s="16"/>
    </row>
    <row r="51" spans="1:3" x14ac:dyDescent="0.2">
      <c r="A51" s="4"/>
      <c r="B51" s="4"/>
      <c r="C51" s="4"/>
    </row>
    <row r="54" spans="1:3" x14ac:dyDescent="0.2">
      <c r="B54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38">
      <sortCondition descending="1" ref="F1:F39"/>
    </sortState>
  </autoFilter>
  <mergeCells count="46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EU2:EX2"/>
    <mergeCell ref="EY2:FB2"/>
    <mergeCell ref="FC2:FF2"/>
    <mergeCell ref="FG2:FJ2"/>
    <mergeCell ref="CS2:CV2"/>
    <mergeCell ref="DL2:DO2"/>
    <mergeCell ref="DP2:DS2"/>
    <mergeCell ref="DT2:DW2"/>
    <mergeCell ref="DX2:EA2"/>
    <mergeCell ref="EB2:EE2"/>
  </mergeCells>
  <conditionalFormatting sqref="A4:A1048576">
    <cfRule type="expression" dxfId="175" priority="44">
      <formula>IF(A4&gt;6,1,0)</formula>
    </cfRule>
    <cfRule type="expression" dxfId="174" priority="45" stopIfTrue="1">
      <formula>AND(G4="P",F4="")</formula>
    </cfRule>
  </conditionalFormatting>
  <conditionalFormatting sqref="H1:H1048576">
    <cfRule type="containsText" dxfId="173" priority="40" stopIfTrue="1" operator="containsText" text="National Team">
      <formula>NOT(ISERROR(SEARCH("National Team",H1)))</formula>
    </cfRule>
    <cfRule type="containsText" dxfId="172" priority="41" stopIfTrue="1" operator="containsText" text="Worlds Team">
      <formula>NOT(ISERROR(SEARCH("Worlds Team",H1)))</formula>
    </cfRule>
    <cfRule type="containsText" dxfId="171" priority="42" operator="containsText" text="Performance">
      <formula>NOT(ISERROR(SEARCH("Performance",H1)))</formula>
    </cfRule>
    <cfRule type="containsText" dxfId="170" priority="43" stopIfTrue="1" operator="containsText" text="No DD">
      <formula>NOT(ISERROR(SEARCH("No DD",H1)))</formula>
    </cfRule>
  </conditionalFormatting>
  <conditionalFormatting sqref="S4:AV38">
    <cfRule type="expression" dxfId="169" priority="39" stopIfTrue="1">
      <formula>IF($AI4&lt;&gt;"",1,0)</formula>
    </cfRule>
  </conditionalFormatting>
  <conditionalFormatting sqref="AW4:BZ38">
    <cfRule type="expression" dxfId="168" priority="38" stopIfTrue="1">
      <formula>IF($BM4&lt;&gt;"",1,0)</formula>
    </cfRule>
  </conditionalFormatting>
  <conditionalFormatting sqref="M1:M1048576 O1:O1048576 K1:K1048576">
    <cfRule type="expression" dxfId="167" priority="36" stopIfTrue="1">
      <formula>IF(K1=$AW$1,1,0)</formula>
    </cfRule>
    <cfRule type="expression" dxfId="166" priority="37" stopIfTrue="1">
      <formula>IF(K1=$S$1,1,0)</formula>
    </cfRule>
  </conditionalFormatting>
  <conditionalFormatting sqref="AJ1:AJ1048576 BN1:BN1048576 EH1:EH1048576">
    <cfRule type="cellIs" dxfId="165" priority="35" stopIfTrue="1" operator="between">
      <formula>AV$43-0.00001</formula>
      <formula>1000</formula>
    </cfRule>
  </conditionalFormatting>
  <conditionalFormatting sqref="AN1:AN1048576 BR1:BR1048576">
    <cfRule type="cellIs" dxfId="164" priority="33" operator="between">
      <formula>AV$41-0.00001</formula>
      <formula>AV$42-0.00001</formula>
    </cfRule>
    <cfRule type="cellIs" dxfId="163" priority="34" operator="between">
      <formula>AV$42-0.00001</formula>
      <formula>1000</formula>
    </cfRule>
  </conditionalFormatting>
  <conditionalFormatting sqref="AT1:AT1048576 BX1:BX1048576">
    <cfRule type="cellIs" dxfId="162" priority="31" operator="between">
      <formula>AV$42-0.00001</formula>
      <formula>1000</formula>
    </cfRule>
    <cfRule type="cellIs" dxfId="161" priority="32" stopIfTrue="1" operator="between">
      <formula>AV$41-0.00001</formula>
      <formula>AV$42-0.00001</formula>
    </cfRule>
  </conditionalFormatting>
  <conditionalFormatting sqref="AL1:AL1048576 BP1:BP1048576">
    <cfRule type="cellIs" dxfId="160" priority="30" operator="between">
      <formula>AV$43-0.00001</formula>
      <formula>1000</formula>
    </cfRule>
  </conditionalFormatting>
  <conditionalFormatting sqref="AP1:AP1048576 BT1:BT1048576 EN1:EN1048576">
    <cfRule type="cellIs" dxfId="159" priority="29" operator="between">
      <formula>AV$43-0.00001</formula>
      <formula>1000</formula>
    </cfRule>
  </conditionalFormatting>
  <conditionalFormatting sqref="AR1:AR1048576 BV1:BV1048576">
    <cfRule type="cellIs" dxfId="158" priority="28" operator="between">
      <formula>AV$43-0.00001</formula>
      <formula>1000</formula>
    </cfRule>
  </conditionalFormatting>
  <conditionalFormatting sqref="AK1:AK1048576 BO1:BO1048576">
    <cfRule type="cellIs" dxfId="157" priority="27" operator="between">
      <formula>AV$46-0.00001</formula>
      <formula>1000</formula>
    </cfRule>
  </conditionalFormatting>
  <conditionalFormatting sqref="AO1:AO1048576 BS1:BS1048576">
    <cfRule type="cellIs" dxfId="156" priority="25" operator="between">
      <formula>AV$44-0.00001</formula>
      <formula>AV$45-0.00001</formula>
    </cfRule>
    <cfRule type="cellIs" dxfId="155" priority="26" operator="between">
      <formula>AV$45-0.00001</formula>
      <formula>1000</formula>
    </cfRule>
  </conditionalFormatting>
  <conditionalFormatting sqref="AU1:AU1048576 BY1:BY1048576">
    <cfRule type="cellIs" dxfId="154" priority="23" stopIfTrue="1" operator="between">
      <formula>AV$45-0.00001</formula>
      <formula>1000</formula>
    </cfRule>
    <cfRule type="cellIs" dxfId="153" priority="24" operator="between">
      <formula>AV$44-0.00001</formula>
      <formula>AV$45-0.00001</formula>
    </cfRule>
  </conditionalFormatting>
  <conditionalFormatting sqref="AM1:AM1048576 BQ1:BQ1048576">
    <cfRule type="cellIs" dxfId="152" priority="21" stopIfTrue="1" operator="between">
      <formula>AV$46-0.00001</formula>
      <formula>1000</formula>
    </cfRule>
    <cfRule type="cellIs" dxfId="151" priority="22" operator="between">
      <formula>AT$46-0.00001</formula>
      <formula>#REF!-0.00001</formula>
    </cfRule>
  </conditionalFormatting>
  <conditionalFormatting sqref="AQ1:AQ1048576 BU1:BU1048576">
    <cfRule type="cellIs" dxfId="150" priority="20" stopIfTrue="1" operator="between">
      <formula>AV$46-0.00001</formula>
      <formula>1000</formula>
    </cfRule>
  </conditionalFormatting>
  <conditionalFormatting sqref="AS1:AS1048576 BW1:BW1048576">
    <cfRule type="cellIs" dxfId="149" priority="19" stopIfTrue="1" operator="between">
      <formula>AV$46-0.00001</formula>
      <formula>1000</formula>
    </cfRule>
  </conditionalFormatting>
  <conditionalFormatting sqref="CW1:CW1048576 EF1:EF1048576">
    <cfRule type="cellIs" dxfId="148" priority="18" operator="between">
      <formula>DK$43-0.00001</formula>
      <formula>1000</formula>
    </cfRule>
  </conditionalFormatting>
  <conditionalFormatting sqref="CX1:CX1048576 EG1:EG1048576">
    <cfRule type="cellIs" dxfId="147" priority="17" operator="between">
      <formula>DK$46-0.00001</formula>
      <formula>1000</formula>
    </cfRule>
  </conditionalFormatting>
  <conditionalFormatting sqref="DA1:DA1048576 EJ1:EJ1048576">
    <cfRule type="cellIs" dxfId="146" priority="15" stopIfTrue="1" operator="between">
      <formula>DK$41-0.00001</formula>
      <formula>DK$42-0.00001</formula>
    </cfRule>
    <cfRule type="cellIs" dxfId="145" priority="16" operator="between">
      <formula>DK$42-0.00001</formula>
      <formula>1000</formula>
    </cfRule>
  </conditionalFormatting>
  <conditionalFormatting sqref="DB1:DB1048576 EK1:EK1048576">
    <cfRule type="cellIs" dxfId="144" priority="13" operator="between">
      <formula>DK$44-0.00001</formula>
      <formula>DK$45-0.00001</formula>
    </cfRule>
    <cfRule type="cellIs" dxfId="143" priority="14" stopIfTrue="1" operator="between">
      <formula>DK$45-0.00001</formula>
      <formula>1000</formula>
    </cfRule>
  </conditionalFormatting>
  <conditionalFormatting sqref="CY1:CY1048576">
    <cfRule type="cellIs" dxfId="142" priority="12" stopIfTrue="1" operator="between">
      <formula>DK$43-0.00001</formula>
      <formula>1000</formula>
    </cfRule>
  </conditionalFormatting>
  <conditionalFormatting sqref="DC1:DC1048576 EL1:EL1048576">
    <cfRule type="cellIs" dxfId="141" priority="11" operator="between">
      <formula>DK$43-0.00001</formula>
      <formula>1000</formula>
    </cfRule>
  </conditionalFormatting>
  <conditionalFormatting sqref="DE1:DE1048576">
    <cfRule type="cellIs" dxfId="140" priority="10" operator="between">
      <formula>DK$43-0.00001</formula>
      <formula>1000</formula>
    </cfRule>
  </conditionalFormatting>
  <conditionalFormatting sqref="DG1:DG1048576 EP1:EP1048576">
    <cfRule type="cellIs" dxfId="139" priority="9" stopIfTrue="1" operator="between">
      <formula>DK$43-0.00001</formula>
      <formula>1000</formula>
    </cfRule>
  </conditionalFormatting>
  <conditionalFormatting sqref="CZ1:CZ1048576 EI1:EI1048576">
    <cfRule type="cellIs" dxfId="138" priority="8" stopIfTrue="1" operator="between">
      <formula>DK$46-0.00001</formula>
      <formula>1000</formula>
    </cfRule>
  </conditionalFormatting>
  <conditionalFormatting sqref="DD1:DD1048576 EM1:EM1048576">
    <cfRule type="cellIs" dxfId="137" priority="7" operator="between">
      <formula>DK$46-0.00001</formula>
      <formula>1000</formula>
    </cfRule>
  </conditionalFormatting>
  <conditionalFormatting sqref="DF1:DF1048576 EO1:EO1048576">
    <cfRule type="cellIs" dxfId="136" priority="6" operator="between">
      <formula>DK$46-0.00001</formula>
      <formula>1000</formula>
    </cfRule>
  </conditionalFormatting>
  <conditionalFormatting sqref="DH1:DH1048576 EQ1:EQ1048576">
    <cfRule type="cellIs" dxfId="135" priority="5" operator="between">
      <formula>DK$46-0.00001</formula>
      <formula>1000</formula>
    </cfRule>
  </conditionalFormatting>
  <conditionalFormatting sqref="DI1:DI1048576 ER1:ER1048576">
    <cfRule type="cellIs" dxfId="134" priority="3" operator="between">
      <formula>DK$42-0.00001</formula>
      <formula>1000</formula>
    </cfRule>
    <cfRule type="cellIs" dxfId="133" priority="4" operator="between">
      <formula>DK$41-0.00001</formula>
      <formula>DK$42-0.00001</formula>
    </cfRule>
  </conditionalFormatting>
  <conditionalFormatting sqref="DJ1:DJ1048576 ES1:ES1048576">
    <cfRule type="cellIs" dxfId="132" priority="1" operator="between">
      <formula>DK$44-0.00001</formula>
      <formula>DK$45-0.00001</formula>
    </cfRule>
    <cfRule type="cellIs" dxfId="131" priority="2" operator="between">
      <formula>DK$45-0.00001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66B4-D18D-3E4D-B48E-36123D811D13}">
  <sheetPr codeName="Sheet22"/>
  <dimension ref="A1:FX5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58" t="s">
        <v>1</v>
      </c>
      <c r="B1" s="58" t="s">
        <v>14</v>
      </c>
      <c r="C1" s="58" t="s">
        <v>0</v>
      </c>
      <c r="D1" s="58" t="s">
        <v>31</v>
      </c>
      <c r="E1" s="58" t="s">
        <v>2</v>
      </c>
      <c r="F1" s="59" t="s">
        <v>95</v>
      </c>
      <c r="G1" s="59" t="s">
        <v>8</v>
      </c>
      <c r="H1" s="58" t="s">
        <v>9</v>
      </c>
      <c r="I1" s="59" t="s">
        <v>64</v>
      </c>
      <c r="J1" s="56" t="s">
        <v>96</v>
      </c>
      <c r="K1" s="55" t="s">
        <v>16</v>
      </c>
      <c r="L1" s="56" t="s">
        <v>110</v>
      </c>
      <c r="M1" s="55" t="s">
        <v>16</v>
      </c>
      <c r="N1" s="56" t="s">
        <v>111</v>
      </c>
      <c r="O1" s="55" t="s">
        <v>16</v>
      </c>
      <c r="P1" s="57" t="s">
        <v>10</v>
      </c>
      <c r="Q1" s="55" t="s">
        <v>17</v>
      </c>
      <c r="R1" s="55" t="s">
        <v>16</v>
      </c>
      <c r="S1" s="52" t="s">
        <v>48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49" t="s">
        <v>49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3" t="s">
        <v>97</v>
      </c>
      <c r="CB1" s="53"/>
      <c r="CC1" s="52" t="s">
        <v>50</v>
      </c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49" t="s">
        <v>51</v>
      </c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  <c r="EU1" s="49" t="s">
        <v>98</v>
      </c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49"/>
      <c r="FH1" s="49"/>
      <c r="FI1" s="49"/>
      <c r="FJ1" s="49"/>
      <c r="FK1" s="49"/>
      <c r="FL1" s="49"/>
      <c r="FM1" s="49"/>
      <c r="FN1" s="49"/>
      <c r="FO1" s="49"/>
      <c r="FP1" s="49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58"/>
      <c r="B2" s="58"/>
      <c r="C2" s="58"/>
      <c r="D2" s="58"/>
      <c r="E2" s="58"/>
      <c r="F2" s="59"/>
      <c r="G2" s="59"/>
      <c r="H2" s="58"/>
      <c r="I2" s="59"/>
      <c r="J2" s="56"/>
      <c r="K2" s="55"/>
      <c r="L2" s="56"/>
      <c r="M2" s="55"/>
      <c r="N2" s="55"/>
      <c r="O2" s="55"/>
      <c r="P2" s="57"/>
      <c r="Q2" s="55"/>
      <c r="R2" s="55"/>
      <c r="S2" s="50" t="s">
        <v>99</v>
      </c>
      <c r="T2" s="50"/>
      <c r="U2" s="50"/>
      <c r="V2" s="50"/>
      <c r="W2" s="50" t="s">
        <v>100</v>
      </c>
      <c r="X2" s="50"/>
      <c r="Y2" s="50"/>
      <c r="Z2" s="50"/>
      <c r="AA2" s="50" t="s">
        <v>101</v>
      </c>
      <c r="AB2" s="50"/>
      <c r="AC2" s="50"/>
      <c r="AD2" s="50"/>
      <c r="AE2" s="51" t="s">
        <v>102</v>
      </c>
      <c r="AF2" s="51"/>
      <c r="AG2" s="51"/>
      <c r="AH2" s="51"/>
      <c r="AI2" s="13"/>
      <c r="AJ2" s="13" t="s">
        <v>116</v>
      </c>
      <c r="AK2" s="13" t="s">
        <v>112</v>
      </c>
      <c r="AL2" s="13" t="s">
        <v>117</v>
      </c>
      <c r="AM2" s="13" t="s">
        <v>113</v>
      </c>
      <c r="AN2" s="13" t="s">
        <v>103</v>
      </c>
      <c r="AO2" s="13" t="s">
        <v>13</v>
      </c>
      <c r="AP2" s="13" t="s">
        <v>118</v>
      </c>
      <c r="AQ2" s="13" t="s">
        <v>114</v>
      </c>
      <c r="AR2" s="13" t="s">
        <v>119</v>
      </c>
      <c r="AS2" s="13" t="s">
        <v>115</v>
      </c>
      <c r="AT2" s="13" t="s">
        <v>104</v>
      </c>
      <c r="AU2" s="13" t="s">
        <v>105</v>
      </c>
      <c r="AV2" s="13" t="s">
        <v>12</v>
      </c>
      <c r="AW2" s="46" t="s">
        <v>99</v>
      </c>
      <c r="AX2" s="46"/>
      <c r="AY2" s="46"/>
      <c r="AZ2" s="46"/>
      <c r="BA2" s="46" t="s">
        <v>100</v>
      </c>
      <c r="BB2" s="46"/>
      <c r="BC2" s="46"/>
      <c r="BD2" s="46"/>
      <c r="BE2" s="46" t="s">
        <v>101</v>
      </c>
      <c r="BF2" s="46"/>
      <c r="BG2" s="46"/>
      <c r="BH2" s="46"/>
      <c r="BI2" s="48" t="s">
        <v>102</v>
      </c>
      <c r="BJ2" s="48"/>
      <c r="BK2" s="48"/>
      <c r="BL2" s="48"/>
      <c r="BM2" s="12"/>
      <c r="BN2" s="12" t="s">
        <v>116</v>
      </c>
      <c r="BO2" s="12" t="s">
        <v>112</v>
      </c>
      <c r="BP2" s="12" t="s">
        <v>117</v>
      </c>
      <c r="BQ2" s="12" t="s">
        <v>113</v>
      </c>
      <c r="BR2" s="12" t="s">
        <v>103</v>
      </c>
      <c r="BS2" s="12" t="s">
        <v>13</v>
      </c>
      <c r="BT2" s="12" t="s">
        <v>118</v>
      </c>
      <c r="BU2" s="12" t="s">
        <v>114</v>
      </c>
      <c r="BV2" s="12" t="s">
        <v>119</v>
      </c>
      <c r="BW2" s="12" t="s">
        <v>115</v>
      </c>
      <c r="BX2" s="12" t="s">
        <v>104</v>
      </c>
      <c r="BY2" s="12" t="s">
        <v>105</v>
      </c>
      <c r="BZ2" s="12" t="s">
        <v>12</v>
      </c>
      <c r="CA2" s="33" t="s">
        <v>106</v>
      </c>
      <c r="CB2" s="33" t="s">
        <v>120</v>
      </c>
      <c r="CC2" s="50" t="s">
        <v>99</v>
      </c>
      <c r="CD2" s="50"/>
      <c r="CE2" s="50"/>
      <c r="CF2" s="50"/>
      <c r="CG2" s="50" t="s">
        <v>100</v>
      </c>
      <c r="CH2" s="50"/>
      <c r="CI2" s="50"/>
      <c r="CJ2" s="50"/>
      <c r="CK2" s="50" t="s">
        <v>107</v>
      </c>
      <c r="CL2" s="50"/>
      <c r="CM2" s="50"/>
      <c r="CN2" s="50"/>
      <c r="CO2" s="50" t="s">
        <v>101</v>
      </c>
      <c r="CP2" s="50"/>
      <c r="CQ2" s="50"/>
      <c r="CR2" s="50"/>
      <c r="CS2" s="54" t="s">
        <v>102</v>
      </c>
      <c r="CT2" s="54"/>
      <c r="CU2" s="54"/>
      <c r="CV2" s="54"/>
      <c r="CW2" s="13" t="s">
        <v>116</v>
      </c>
      <c r="CX2" s="13" t="s">
        <v>112</v>
      </c>
      <c r="CY2" s="13" t="s">
        <v>117</v>
      </c>
      <c r="CZ2" s="13" t="s">
        <v>113</v>
      </c>
      <c r="DA2" s="13" t="s">
        <v>108</v>
      </c>
      <c r="DB2" s="13" t="s">
        <v>106</v>
      </c>
      <c r="DC2" s="13" t="s">
        <v>121</v>
      </c>
      <c r="DD2" s="13" t="s">
        <v>107</v>
      </c>
      <c r="DE2" s="13" t="s">
        <v>122</v>
      </c>
      <c r="DF2" s="13" t="s">
        <v>101</v>
      </c>
      <c r="DG2" s="13" t="s">
        <v>123</v>
      </c>
      <c r="DH2" s="13" t="s">
        <v>102</v>
      </c>
      <c r="DI2" s="13" t="s">
        <v>104</v>
      </c>
      <c r="DJ2" s="13" t="s">
        <v>105</v>
      </c>
      <c r="DK2" s="13" t="s">
        <v>12</v>
      </c>
      <c r="DL2" s="46" t="s">
        <v>99</v>
      </c>
      <c r="DM2" s="46"/>
      <c r="DN2" s="46"/>
      <c r="DO2" s="46"/>
      <c r="DP2" s="46" t="s">
        <v>100</v>
      </c>
      <c r="DQ2" s="46"/>
      <c r="DR2" s="46"/>
      <c r="DS2" s="46"/>
      <c r="DT2" s="46" t="s">
        <v>107</v>
      </c>
      <c r="DU2" s="46"/>
      <c r="DV2" s="46"/>
      <c r="DW2" s="46"/>
      <c r="DX2" s="46" t="s">
        <v>101</v>
      </c>
      <c r="DY2" s="46"/>
      <c r="DZ2" s="46"/>
      <c r="EA2" s="46"/>
      <c r="EB2" s="48" t="s">
        <v>102</v>
      </c>
      <c r="EC2" s="48"/>
      <c r="ED2" s="48"/>
      <c r="EE2" s="48"/>
      <c r="EF2" s="12" t="s">
        <v>116</v>
      </c>
      <c r="EG2" s="12" t="s">
        <v>112</v>
      </c>
      <c r="EH2" s="12" t="s">
        <v>117</v>
      </c>
      <c r="EI2" s="12" t="s">
        <v>113</v>
      </c>
      <c r="EJ2" s="12" t="s">
        <v>108</v>
      </c>
      <c r="EK2" s="12" t="s">
        <v>106</v>
      </c>
      <c r="EL2" s="12" t="s">
        <v>121</v>
      </c>
      <c r="EM2" s="12" t="s">
        <v>107</v>
      </c>
      <c r="EN2" s="12" t="s">
        <v>122</v>
      </c>
      <c r="EO2" s="12" t="s">
        <v>101</v>
      </c>
      <c r="EP2" s="12" t="s">
        <v>123</v>
      </c>
      <c r="EQ2" s="12" t="s">
        <v>102</v>
      </c>
      <c r="ER2" s="12" t="s">
        <v>104</v>
      </c>
      <c r="ES2" s="12" t="s">
        <v>105</v>
      </c>
      <c r="ET2" s="12" t="s">
        <v>12</v>
      </c>
      <c r="EU2" s="46" t="s">
        <v>99</v>
      </c>
      <c r="EV2" s="46"/>
      <c r="EW2" s="46"/>
      <c r="EX2" s="46"/>
      <c r="EY2" s="46" t="s">
        <v>100</v>
      </c>
      <c r="EZ2" s="46"/>
      <c r="FA2" s="46"/>
      <c r="FB2" s="46"/>
      <c r="FC2" s="46" t="s">
        <v>101</v>
      </c>
      <c r="FD2" s="46"/>
      <c r="FE2" s="46"/>
      <c r="FF2" s="46"/>
      <c r="FG2" s="47" t="s">
        <v>102</v>
      </c>
      <c r="FH2" s="47"/>
      <c r="FI2" s="47"/>
      <c r="FJ2" s="47"/>
      <c r="FK2" s="12"/>
      <c r="FL2" s="12" t="s">
        <v>116</v>
      </c>
      <c r="FM2" s="12" t="s">
        <v>112</v>
      </c>
      <c r="FN2" s="12" t="s">
        <v>117</v>
      </c>
      <c r="FO2" s="12" t="s">
        <v>113</v>
      </c>
      <c r="FP2" s="12" t="s">
        <v>103</v>
      </c>
      <c r="FQ2" s="12" t="s">
        <v>13</v>
      </c>
      <c r="FR2" s="12" t="s">
        <v>118</v>
      </c>
      <c r="FS2" s="12" t="s">
        <v>114</v>
      </c>
      <c r="FT2" s="12" t="s">
        <v>119</v>
      </c>
      <c r="FU2" s="12" t="s">
        <v>115</v>
      </c>
      <c r="FV2" s="12" t="s">
        <v>104</v>
      </c>
      <c r="FW2" s="12" t="s">
        <v>105</v>
      </c>
      <c r="FX2" s="12" t="s">
        <v>12</v>
      </c>
    </row>
    <row r="3" spans="1:180" x14ac:dyDescent="0.2">
      <c r="A3" s="58"/>
      <c r="B3" s="58"/>
      <c r="C3" s="58"/>
      <c r="D3" s="58"/>
      <c r="E3" s="58"/>
      <c r="F3" s="59"/>
      <c r="G3" s="59"/>
      <c r="H3" s="58"/>
      <c r="I3" s="59"/>
      <c r="J3" s="56"/>
      <c r="K3" s="55"/>
      <c r="L3" s="56"/>
      <c r="M3" s="55"/>
      <c r="N3" s="55"/>
      <c r="O3" s="55"/>
      <c r="P3" s="57"/>
      <c r="Q3" s="55"/>
      <c r="R3" s="55"/>
      <c r="S3" s="13" t="s">
        <v>11</v>
      </c>
      <c r="T3" s="13" t="s">
        <v>7</v>
      </c>
      <c r="U3" s="13" t="s">
        <v>15</v>
      </c>
      <c r="V3" s="13" t="s">
        <v>109</v>
      </c>
      <c r="W3" s="13" t="s">
        <v>11</v>
      </c>
      <c r="X3" s="13" t="s">
        <v>7</v>
      </c>
      <c r="Y3" s="13" t="s">
        <v>15</v>
      </c>
      <c r="Z3" s="13" t="s">
        <v>109</v>
      </c>
      <c r="AA3" s="13" t="s">
        <v>11</v>
      </c>
      <c r="AB3" s="13" t="s">
        <v>7</v>
      </c>
      <c r="AC3" s="13" t="s">
        <v>15</v>
      </c>
      <c r="AD3" s="13" t="s">
        <v>109</v>
      </c>
      <c r="AE3" s="35" t="s">
        <v>11</v>
      </c>
      <c r="AF3" s="35" t="s">
        <v>7</v>
      </c>
      <c r="AG3" s="35" t="s">
        <v>15</v>
      </c>
      <c r="AH3" s="35" t="s">
        <v>109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109</v>
      </c>
      <c r="BA3" s="12" t="s">
        <v>11</v>
      </c>
      <c r="BB3" s="12" t="s">
        <v>7</v>
      </c>
      <c r="BC3" s="12" t="s">
        <v>15</v>
      </c>
      <c r="BD3" s="12" t="s">
        <v>109</v>
      </c>
      <c r="BE3" s="12" t="s">
        <v>11</v>
      </c>
      <c r="BF3" s="12" t="s">
        <v>7</v>
      </c>
      <c r="BG3" s="12" t="s">
        <v>15</v>
      </c>
      <c r="BH3" s="12" t="s">
        <v>109</v>
      </c>
      <c r="BI3" s="36" t="s">
        <v>11</v>
      </c>
      <c r="BJ3" s="36" t="s">
        <v>7</v>
      </c>
      <c r="BK3" s="36" t="s">
        <v>15</v>
      </c>
      <c r="BL3" s="36" t="s">
        <v>109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109</v>
      </c>
      <c r="CG3" s="13" t="s">
        <v>11</v>
      </c>
      <c r="CH3" s="13" t="s">
        <v>7</v>
      </c>
      <c r="CI3" s="13" t="s">
        <v>15</v>
      </c>
      <c r="CJ3" s="13" t="s">
        <v>109</v>
      </c>
      <c r="CK3" s="13" t="s">
        <v>11</v>
      </c>
      <c r="CL3" s="13" t="s">
        <v>7</v>
      </c>
      <c r="CM3" s="13" t="s">
        <v>15</v>
      </c>
      <c r="CN3" s="13" t="s">
        <v>109</v>
      </c>
      <c r="CO3" s="13" t="s">
        <v>11</v>
      </c>
      <c r="CP3" s="13" t="s">
        <v>7</v>
      </c>
      <c r="CQ3" s="13" t="s">
        <v>15</v>
      </c>
      <c r="CR3" s="13" t="s">
        <v>109</v>
      </c>
      <c r="CS3" s="37" t="s">
        <v>11</v>
      </c>
      <c r="CT3" s="37" t="s">
        <v>7</v>
      </c>
      <c r="CU3" s="37" t="s">
        <v>15</v>
      </c>
      <c r="CV3" s="37" t="s">
        <v>109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109</v>
      </c>
      <c r="DP3" s="12" t="s">
        <v>11</v>
      </c>
      <c r="DQ3" s="12" t="s">
        <v>7</v>
      </c>
      <c r="DR3" s="12" t="s">
        <v>15</v>
      </c>
      <c r="DS3" s="12" t="s">
        <v>109</v>
      </c>
      <c r="DT3" s="12" t="s">
        <v>11</v>
      </c>
      <c r="DU3" s="12" t="s">
        <v>7</v>
      </c>
      <c r="DV3" s="12" t="s">
        <v>15</v>
      </c>
      <c r="DW3" s="12" t="s">
        <v>109</v>
      </c>
      <c r="DX3" s="12" t="s">
        <v>11</v>
      </c>
      <c r="DY3" s="12" t="s">
        <v>7</v>
      </c>
      <c r="DZ3" s="12" t="s">
        <v>15</v>
      </c>
      <c r="EA3" s="12" t="s">
        <v>109</v>
      </c>
      <c r="EB3" s="36" t="s">
        <v>11</v>
      </c>
      <c r="EC3" s="36" t="s">
        <v>7</v>
      </c>
      <c r="ED3" s="36" t="s">
        <v>15</v>
      </c>
      <c r="EE3" s="36" t="s">
        <v>109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109</v>
      </c>
      <c r="EY3" s="12" t="s">
        <v>11</v>
      </c>
      <c r="EZ3" s="12" t="s">
        <v>7</v>
      </c>
      <c r="FA3" s="12" t="s">
        <v>15</v>
      </c>
      <c r="FB3" s="12" t="s">
        <v>109</v>
      </c>
      <c r="FC3" s="12" t="s">
        <v>11</v>
      </c>
      <c r="FD3" s="12" t="s">
        <v>7</v>
      </c>
      <c r="FE3" s="12" t="s">
        <v>15</v>
      </c>
      <c r="FF3" s="12" t="s">
        <v>109</v>
      </c>
      <c r="FG3" s="38" t="s">
        <v>11</v>
      </c>
      <c r="FH3" s="38" t="s">
        <v>7</v>
      </c>
      <c r="FI3" s="38" t="s">
        <v>15</v>
      </c>
      <c r="FJ3" s="38" t="s">
        <v>109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t="str" cm="1">
        <f t="array" ref="A4">IF(AND(H4&lt;&gt;"",H4&lt;&gt;"No DD",I4&lt;&gt;"P"),SUMPRODUCT((H$4:H$40&lt;&gt;"")*(H$4:H$40&lt;&gt;"No DD")*(I$4:I$40&lt;&gt;"P")*(E$4:E$40&gt;E4))+1,IF(H4="No DD",SUMPRODUCT((H$4:H$40="No DD")*(I$4:I$40&lt;&gt;"P")*(E$4:E$40&gt;E4))+1+SUMPRODUCT((H$4:H$40&lt;&gt;"")*(I$4:I$40&lt;&gt;"P")*(H$4:H$40&lt;&gt;"No DD")),""))</f>
        <v/>
      </c>
      <c r="B4" s="4" t="s">
        <v>67</v>
      </c>
      <c r="C4" s="3" t="s">
        <v>5</v>
      </c>
      <c r="D4" s="3">
        <v>2007</v>
      </c>
      <c r="E4" s="8">
        <f t="shared" ref="E4:E39" si="0">SUM(J4:P4)+SUM(J4:M4)*0.0000001+SUM(J4)*0.0000000000001</f>
        <v>104.10000781000518</v>
      </c>
      <c r="F4" s="2" t="str">
        <f t="shared" ref="F4:F39" si="1">IF(OR(AND(AO4&lt;&gt;"",AO4&gt;=AV$45,AN4&gt;=AV$42),AND(AU4&lt;&gt;"",AU4&gt;=AV$45,AT4&gt;=AV$42),AND(BS4&lt;&gt;"",BS4&gt;=BZ$45,BR4&gt;=BZ$42),AND(BY4&lt;&gt;"",BY4&gt;=BZ$45,BX4&gt;=BZ$42),AND(DB4&lt;&gt;"",DB4&gt;=DK$45,DA4&gt;=DK$42),AND(DJ4&lt;&gt;"",DJ4&gt;=DK$45,DI4&gt;=DK$42),AND(EK4&lt;&gt;"",EK4&gt;=ET$45,EJ4&gt;=ET$42),AND(ES4&lt;&gt;"",ES4&gt;=ET$45,ER4&gt;=ET$42)),"P","")</f>
        <v>P</v>
      </c>
      <c r="G4" s="2" t="str">
        <f t="shared" ref="G4:G39" si="2">IF(OR(AND(AO4&lt;&gt;"",AO4&gt;=AV$45),AND(AU4&lt;&gt;"",AU4&gt;=AV$45),AND(BS4&lt;&gt;"",BS4&gt;=BZ$45),AND(BY4&lt;&gt;"",BY4&gt;=BZ$45),AND(DB4&lt;&gt;"",DB4&gt;=DK$45),AND(DJ4&lt;&gt;"",DJ4&gt;=DK$45),AND(EK4&lt;&gt;"",EK4&gt;=ET$45),AND(ES4&lt;&gt;"",ES4&gt;=ET$45)),"P","")</f>
        <v>P</v>
      </c>
      <c r="H4" s="26" t="str">
        <f t="shared" ref="H4:H39" si="3">IF(AND(G4="P",F4=""),"No DD",IF(OR(AND(AK4&lt;&gt;"",AK4&gt;=AV$47,AJ4&gt;=AV$44),AND(AM4&lt;&gt;"",AM4&gt;=AV$47,AL4&gt;=AV$44),AND(AQ4&lt;&gt;"",AQ4&gt;=AV$47,AP4&gt;=AV$44),AND(AS4&lt;&gt;"",AS4&gt;=AV$47,AR4&gt;=AV$44),AND(BO4&lt;&gt;"",BO4&gt;=BZ$47,BN4&gt;=BZ$44),AND(BQ4&lt;&gt;"",BQ4&gt;=BZ$47,BP4&gt;=BZ$44),AND(BV4&lt;&gt;"",BV4&gt;=BZ$47,BU4&gt;=BZ$44),AND(BX4&lt;&gt;"",BX4&gt;=BZ$47,BW4&gt;=BZ$44),AND(CX4&lt;&gt;"",CX4&gt;=DK$47,CW4&gt;=DK$44),AND(CZ4&lt;&gt;"",CZ4&gt;=DK$47,CY4&gt;=DK$44),AND(DD4&lt;&gt;"",DD4&gt;=DK$47,DC4&gt;=DK$44),AND(DF4&lt;&gt;"",DF4&gt;=DK$47,DE4&gt;=DK$44),AND(DH4&lt;&gt;"",DH4&gt;=DK$47,DG4&gt;=DK$44),AND(EG4&lt;&gt;"",EG4&gt;=ET$47,EF4&gt;=ET$44),AND(EI4&lt;&gt;"",EI4&gt;=ET$47,EH4&gt;=ET$44),AND(EM4&lt;&gt;"",EM4&gt;=ET$47,EL4&gt;=ET$44),AND(EO4&lt;&gt;"",EO4&gt;=ET$47,EN4&gt;=ET$44),AND(EQ4&lt;&gt;"",EQ4&gt;=ET$47,EP4&gt;=ET$44)),"Performance",IF(I4="P","National Team",IF(F4="P","National Team",""))))</f>
        <v>National Team</v>
      </c>
      <c r="I4" s="2" t="str">
        <f>IF(COUNTIFS('Senior-W'!B:B,B4,'Senior-W'!A:A,"&lt;9",'Senior-W'!H:H,"&lt;&gt;"&amp;"No DD"),"P","")</f>
        <v>P</v>
      </c>
      <c r="J4" s="7">
        <f t="shared" ref="J4:J39" si="4">IF(COUNT(AO4,BS4)&gt;0,MAX(AO4,BS4),0)</f>
        <v>51.7</v>
      </c>
      <c r="K4" s="7" t="str">
        <f t="shared" ref="K4:K39" si="5">IF(J4=0,"",IF(J4=BS4,$AW$1,IF(J4=AO4,$S$1,"")))</f>
        <v>2025 Nationals</v>
      </c>
      <c r="L4" s="7">
        <f>IF(J4=AO4,IF(COUNT(AQ4,AS4,BO4,BQ4,BU4,BW4)&gt;1,LARGE((AQ4,AS4,BO4,BQ4,BU4,BW4),1),0),IF(COUNT(AK4,AM4,AQ4,AS4,BU4,BW4)&gt;1,LARGE((AK4,AM4,AQ4,AS4,BU4,BW4),1),0))</f>
        <v>26.400000000000002</v>
      </c>
      <c r="M4" s="7" t="str">
        <f t="shared" ref="M4:M39" si="6">IF(L4=0,"",IF(OR(L4=BO4,L4=BQ4,L4=BU4,L4=BW4),$AW$1,IF(OR(L4=AK4,L4=AM4,L4=AQ4,L4=AS4),$S$1,"")))</f>
        <v>2025 3rd Domestic Trial</v>
      </c>
      <c r="N4" s="7">
        <f>IF(J4=AO4,IF(COUNT(AQ4,AS4,BO4,BQ4,BU4,BW4)&gt;1,LARGE((AQ4,AS4,BO4,BQ4,BU4,BW4),2),0),IF(COUNT(AK4,AM4,AQ4,AS4,BU4,BW4)&gt;1,LARGE((AK4,AM4,AQ4,AS4,BU4,BW4),2),0))</f>
        <v>26</v>
      </c>
      <c r="O4" s="7" t="str">
        <f t="shared" ref="O4:O39" si="7">IF(N4=0,"",IF(OR(N4=BO4,N4=BQ4,N4=BU4,N4=BW4),$AW$1,IF(OR(N4=AK4,N4=AM4,N4=AQ4,N4=AS4),$S$1,"")))</f>
        <v>2025 Nationals</v>
      </c>
      <c r="P4" s="7" t="str">
        <f t="shared" ref="P4:P39" si="8">IF(MAX(CA4:CB4)&gt;0,MAX(CA4:CB4),"")</f>
        <v/>
      </c>
      <c r="Q4" s="10" t="str">
        <f t="shared" ref="Q4:Q39" si="9">IF(P4="","",IF(P4=CA4,"("&amp;CA$2&amp;")",IF(P4=CB4,"("&amp;CB$2&amp;")")))</f>
        <v/>
      </c>
      <c r="R4" s="7" t="str">
        <f t="shared" ref="R4:R39" si="10">IF(P4="","",IF(P4=CA4,IF(P4+MAX(J4,0)=EK4,$DL$1,IF(P4+MAX(J4,0)=DB4,$CC$1)),IF(P4=CB4,IF(P4+MAX(N4,0)=MAX(EG4,EI4,EM4,EO4,EQ4),$DL$1,IF(P4+MAX(N4,0)=MAX(CX4,CZ4,DD4,DF4,DH4),$CC$1)))))</f>
        <v/>
      </c>
      <c r="S4" s="39">
        <v>19.100000000000001</v>
      </c>
      <c r="T4" s="39">
        <v>7.2</v>
      </c>
      <c r="U4" s="39">
        <v>0</v>
      </c>
      <c r="V4" s="39">
        <v>0.3</v>
      </c>
      <c r="W4" s="39">
        <v>19.100000000000001</v>
      </c>
      <c r="X4" s="39">
        <v>6</v>
      </c>
      <c r="Y4" s="39">
        <v>0</v>
      </c>
      <c r="Z4" s="39">
        <v>0</v>
      </c>
      <c r="AA4" s="39">
        <v>19.100000000000001</v>
      </c>
      <c r="AB4" s="39">
        <v>7.2</v>
      </c>
      <c r="AC4" s="39">
        <v>0.6</v>
      </c>
      <c r="AD4" s="39">
        <v>0.3</v>
      </c>
      <c r="AE4" s="39">
        <v>18.399999999999999</v>
      </c>
      <c r="AF4" s="39">
        <v>5.2</v>
      </c>
      <c r="AG4" s="39">
        <v>0</v>
      </c>
      <c r="AH4" s="39">
        <v>0.3</v>
      </c>
      <c r="AI4" s="19"/>
      <c r="AJ4" s="42">
        <f t="shared" ref="AJ4:AJ39" si="11">IF(T4="","",T4)</f>
        <v>7.2</v>
      </c>
      <c r="AK4" s="42">
        <f t="shared" ref="AK4:AK39" si="12">IF(S4="","",S4+T4+V4-U4)</f>
        <v>26.6</v>
      </c>
      <c r="AL4" s="42">
        <f t="shared" ref="AL4:AL39" si="13">IF(X4="","",X4)</f>
        <v>6</v>
      </c>
      <c r="AM4" s="42">
        <f t="shared" ref="AM4:AM39" si="14">IF(W4="","",W4+X4+Z4-Y4)</f>
        <v>25.1</v>
      </c>
      <c r="AN4" s="27">
        <f t="shared" ref="AN4:AN39" si="15">IF(SUM(T4,X4)&gt;0,SUM(T4,X4),"")</f>
        <v>13.2</v>
      </c>
      <c r="AO4" s="27">
        <f t="shared" ref="AO4:AO39" si="16">IF(SUM(AK4,AM4)&gt;0,SUM(AK4,AM4),"")</f>
        <v>51.7</v>
      </c>
      <c r="AP4" s="27">
        <f t="shared" ref="AP4:AP39" si="17">IF(AB4="","",AB4)</f>
        <v>7.2</v>
      </c>
      <c r="AQ4" s="27">
        <f t="shared" ref="AQ4:AQ39" si="18">IF(AA4="","",AA4+AB4+AD4-AC4)</f>
        <v>26</v>
      </c>
      <c r="AR4" s="27">
        <f t="shared" ref="AR4:AR39" si="19">IF(AF4="","",AF4)</f>
        <v>5.2</v>
      </c>
      <c r="AS4" s="27">
        <f t="shared" ref="AS4:AS39" si="20">IF(AE4="","",AE4+AF4+AH4-AG4)</f>
        <v>23.9</v>
      </c>
      <c r="AT4" s="27">
        <f t="shared" ref="AT4:AT39" si="21">IF(SUM(AB4,AF4)&gt;0,SUM(AB4,AF4),"")</f>
        <v>12.4</v>
      </c>
      <c r="AU4" s="27">
        <f t="shared" ref="AU4:AU39" si="22">IF(SUM(AQ4,AS4)&gt;0,SUM(AQ4,AS4),"")</f>
        <v>49.9</v>
      </c>
      <c r="AV4" s="27">
        <f t="shared" ref="AV4:AV39" si="23">IF(SUM(AO4,AU4)&gt;0,SUM(AO4,AU4),"")</f>
        <v>101.6</v>
      </c>
      <c r="AW4" s="15">
        <v>19.2</v>
      </c>
      <c r="AX4" s="15">
        <v>5.2</v>
      </c>
      <c r="AY4" s="15">
        <v>0</v>
      </c>
      <c r="AZ4" s="15">
        <v>0</v>
      </c>
      <c r="BA4" s="15">
        <v>19.100000000000001</v>
      </c>
      <c r="BB4" s="15">
        <v>6</v>
      </c>
      <c r="BC4" s="15">
        <v>0</v>
      </c>
      <c r="BD4" s="15">
        <v>0</v>
      </c>
      <c r="BE4" s="15">
        <v>16.899999999999999</v>
      </c>
      <c r="BF4" s="15">
        <v>6.4</v>
      </c>
      <c r="BG4" s="15">
        <v>1</v>
      </c>
      <c r="BH4" s="15">
        <v>0.3</v>
      </c>
      <c r="BI4" s="15">
        <v>19.3</v>
      </c>
      <c r="BJ4" s="15">
        <v>6.8</v>
      </c>
      <c r="BK4" s="15">
        <v>0</v>
      </c>
      <c r="BL4" s="15">
        <v>0.3</v>
      </c>
      <c r="BM4" s="20"/>
      <c r="BN4" s="43">
        <f t="shared" ref="BN4:BN39" si="24">IF(AX4="","",AX4)</f>
        <v>5.2</v>
      </c>
      <c r="BO4" s="43">
        <f t="shared" ref="BO4:BO39" si="25">IF(AW4="","",AW4+AX4+AZ4-AY4)</f>
        <v>24.4</v>
      </c>
      <c r="BP4" s="43">
        <f t="shared" ref="BP4:BP39" si="26">IF(BB4="","",BB4)</f>
        <v>6</v>
      </c>
      <c r="BQ4" s="43">
        <f t="shared" ref="BQ4:BQ39" si="27">IF(BA4="","",BA4+BB4+BD4-BC4)</f>
        <v>25.1</v>
      </c>
      <c r="BR4" s="10">
        <f t="shared" ref="BR4:BR39" si="28">IF(SUM(AX4,BB4)&gt;0,SUM(AX4,BB4),"")</f>
        <v>11.2</v>
      </c>
      <c r="BS4" s="10">
        <f t="shared" ref="BS4:BS39" si="29">IF(SUM(BO4,BQ4)&gt;0,SUM(BO4,BQ4),"")</f>
        <v>49.5</v>
      </c>
      <c r="BT4" s="10">
        <f t="shared" ref="BT4:BT39" si="30">IF(BF4="","",BF4)</f>
        <v>6.4</v>
      </c>
      <c r="BU4" s="10">
        <f t="shared" ref="BU4:BU39" si="31">IF(BE4="","",BE4+BF4+BH4-BG4)</f>
        <v>22.599999999999998</v>
      </c>
      <c r="BV4" s="10">
        <f t="shared" ref="BV4:BV39" si="32">IF(BJ4="","",BJ4)</f>
        <v>6.8</v>
      </c>
      <c r="BW4" s="10">
        <f t="shared" ref="BW4:BW39" si="33">IF(BI4="","",BI4+BJ4+BL4-BK4)</f>
        <v>26.400000000000002</v>
      </c>
      <c r="BX4" s="10">
        <f t="shared" ref="BX4:BX39" si="34">IF(SUM(BF4,BJ4)&gt;0,SUM(BF4,BJ4),"")</f>
        <v>13.2</v>
      </c>
      <c r="BY4" s="10">
        <f t="shared" ref="BY4:BY39" si="35">IF(SUM(BU4,BW4)&gt;0,SUM(BU4,BW4),"")</f>
        <v>49</v>
      </c>
      <c r="BZ4" s="10">
        <f t="shared" ref="BZ4:BZ39" si="36">IF(SUM(BS4,BY4)&gt;0,SUM(BS4,BY4),"")</f>
        <v>98.5</v>
      </c>
      <c r="CA4" s="34" t="str">
        <f t="shared" ref="CA4:CA39" si="37">IF(MAX(DB4,EK4)-IF(J4="",0,J4)&gt;0.001,MAX(DB4,EK4)-IF(J4="",0,J4),"")</f>
        <v/>
      </c>
      <c r="CB4" s="34" t="str">
        <f t="shared" ref="CB4:CB39" si="38">IF(MAX(CX4,CZ4,DD4,DF4,DH4,EG4,EI4,EM4,EO4)-IF(N4="",0,N4)&gt;0.001,MAX(CX4,CZ4,DD4,DF4,DH4,EG4,EI4,EM4,EO4)-IF(N4="",0,N4),"")</f>
        <v/>
      </c>
      <c r="CC4" s="14">
        <v>18.600000000000001</v>
      </c>
      <c r="CD4" s="14">
        <v>5.6</v>
      </c>
      <c r="CE4" s="14">
        <v>0</v>
      </c>
      <c r="CF4" s="14">
        <v>0</v>
      </c>
      <c r="CG4" s="14">
        <v>18.600000000000001</v>
      </c>
      <c r="CH4" s="14">
        <v>6.8</v>
      </c>
      <c r="CI4" s="14">
        <v>0.2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 t="shared" ref="CW4:CW39" si="39">IF(CD4="","",CD4)</f>
        <v>5.6</v>
      </c>
      <c r="CX4" s="27">
        <f t="shared" ref="CX4:CX39" si="40">IF(CC4="","",CC4+CD4+CF4-CE4)</f>
        <v>24.200000000000003</v>
      </c>
      <c r="CY4" s="27">
        <f t="shared" ref="CY4:CY39" si="41">IF(CH4="","",CH4)</f>
        <v>6.8</v>
      </c>
      <c r="CZ4" s="27">
        <f t="shared" ref="CZ4:CZ39" si="42">IF(CG4="","",CG4+CH4+CJ4-CI4)</f>
        <v>25.200000000000003</v>
      </c>
      <c r="DA4" s="27">
        <f t="shared" ref="DA4:DA39" si="43">IF(CW4="","",SUM(CW4,CY4))</f>
        <v>12.399999999999999</v>
      </c>
      <c r="DB4" s="27">
        <f t="shared" ref="DB4:DB39" si="44">IF(CX4="","",SUM(CX4,CZ4))</f>
        <v>49.400000000000006</v>
      </c>
      <c r="DC4" s="27" t="str">
        <f t="shared" ref="DC4:DC39" si="45">IF(CL4="","",CL4)</f>
        <v/>
      </c>
      <c r="DD4" s="27" t="str">
        <f t="shared" ref="DD4:DD39" si="46">IF(CK4="","",CK4+CL4+CN4-CM4)</f>
        <v/>
      </c>
      <c r="DE4" s="27" t="str">
        <f t="shared" ref="DE4:DE39" si="47">IF(CP4="","",CP4)</f>
        <v/>
      </c>
      <c r="DF4" s="27" t="str">
        <f t="shared" ref="DF4:DF39" si="48">IF(CO4="","",CO4+CP4+CR4-CQ4)</f>
        <v/>
      </c>
      <c r="DG4" s="27" t="str">
        <f t="shared" ref="DG4:DG39" si="49">IF(CT4="","",CT4)</f>
        <v/>
      </c>
      <c r="DH4" s="27" t="str">
        <f t="shared" ref="DH4:DH39" si="50">IF(CS4="","",CS4+CT4+CV4-CU4)</f>
        <v/>
      </c>
      <c r="DI4" s="27" t="str">
        <f t="shared" ref="DI4:DI39" si="51">IF(DE4="","",SUM(DE4,DG4))</f>
        <v/>
      </c>
      <c r="DJ4" s="27" t="str">
        <f t="shared" ref="DJ4:DJ39" si="52">IF(DF4="","",SUM(DF4,DH4))</f>
        <v/>
      </c>
      <c r="DK4" s="27">
        <f t="shared" ref="DK4:DK39" si="53">IF(DB4="","",SUM(DB4,DD4,DH4))</f>
        <v>49.400000000000006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39" si="54">IF(DM4="","",DM4)</f>
        <v/>
      </c>
      <c r="EG4" s="10" t="str">
        <f t="shared" ref="EG4:EG39" si="55">IF(DL4="","",DL4+DM4+DO4-DN4)</f>
        <v/>
      </c>
      <c r="EH4" s="10" t="str">
        <f t="shared" ref="EH4:EH39" si="56">IF(DQ4="","",DQ4)</f>
        <v/>
      </c>
      <c r="EI4" s="10" t="str">
        <f t="shared" ref="EI4:EI39" si="57">IF(DP4="","",DP4+DQ4+DS4-DR4)</f>
        <v/>
      </c>
      <c r="EJ4" s="10" t="str">
        <f t="shared" ref="EJ4:EJ39" si="58">IF(EF4="","",SUM(EF4,EH4))</f>
        <v/>
      </c>
      <c r="EK4" s="10" t="str">
        <f t="shared" ref="EK4:EK39" si="59">IF(EG4="","",SUM(EG4,EI4))</f>
        <v/>
      </c>
      <c r="EL4" s="10" t="str">
        <f t="shared" ref="EL4:EL39" si="60">IF(DU4="","",DU4)</f>
        <v/>
      </c>
      <c r="EM4" s="10" t="str">
        <f t="shared" ref="EM4:EM39" si="61">IF(DT4="","",DT4+DU4+DW4-DV4)</f>
        <v/>
      </c>
      <c r="EN4" s="10" t="str">
        <f t="shared" ref="EN4:EN39" si="62">IF(DY4="","",DY4)</f>
        <v/>
      </c>
      <c r="EO4" s="10" t="str">
        <f t="shared" ref="EO4:EO39" si="63">IF(DX4="","",DX4+DY4+EA4-DZ4)</f>
        <v/>
      </c>
      <c r="EP4" s="10" t="str">
        <f t="shared" ref="EP4:EP39" si="64">IF(EC4="","",EC4)</f>
        <v/>
      </c>
      <c r="EQ4" s="10" t="str">
        <f t="shared" ref="EQ4:EQ39" si="65">IF(EB4="","",EB4+EC4+EE4-ED4)</f>
        <v/>
      </c>
      <c r="ER4" s="10" t="str">
        <f t="shared" ref="ER4:ER39" si="66">IF(EN4="","",SUM(EN4,EP4))</f>
        <v/>
      </c>
      <c r="ES4" s="10" t="str">
        <f t="shared" ref="ES4:ES39" si="67">IF(EO4="","",SUM(EO4,EQ4))</f>
        <v/>
      </c>
      <c r="ET4" s="10" t="str">
        <f t="shared" ref="ET4:ET39" si="68">IF(EK4="","",SUM(EK4,EM4,EQ4))</f>
        <v/>
      </c>
      <c r="EU4" s="44">
        <f t="shared" ref="EU4:EU39" si="69">IF(BM4="P",IF(AI4="P",AW4,AW4*0.8),(S4+AW4)/2)</f>
        <v>19.149999999999999</v>
      </c>
      <c r="EV4" s="44">
        <f t="shared" ref="EV4:EV39" si="70">IF(BN4="P",IF(AJ4="P",AX4,AX4*0.8),(T4+AX4)/2)</f>
        <v>6.2</v>
      </c>
      <c r="EW4" s="44">
        <f t="shared" ref="EW4:EW39" si="71">IF(BO4="P",IF(AK4="P",AY4,AY4*0.8),(U4+AY4)/2)</f>
        <v>0</v>
      </c>
      <c r="EX4" s="44">
        <f t="shared" ref="EX4:EX39" si="72">IF(BP4="P",IF(AL4="P",AZ4,AZ4*0.8),(V4+AZ4)/2)</f>
        <v>0.15</v>
      </c>
      <c r="EY4" s="44">
        <f t="shared" ref="EY4:EY39" si="73">IF(BQ4="P",IF(AM4="P",BA4,BA4*0.8),(W4+BA4)/2)</f>
        <v>19.100000000000001</v>
      </c>
      <c r="EZ4" s="44">
        <f t="shared" ref="EZ4:EZ39" si="74">IF(BR4="P",IF(AN4="P",BB4,BB4*0.8),(X4+BB4)/2)</f>
        <v>6</v>
      </c>
      <c r="FA4" s="44">
        <f t="shared" ref="FA4:FA39" si="75">IF(BS4="P",IF(AO4="P",BC4,BC4*0.8),(Y4+BC4)/2)</f>
        <v>0</v>
      </c>
      <c r="FB4" s="44">
        <f t="shared" ref="FB4:FB39" si="76">IF(BT4="P",IF(AP4="P",BD4,BD4*0.8),(Z4+BD4)/2)</f>
        <v>0</v>
      </c>
      <c r="FC4" s="44">
        <f t="shared" ref="FC4:FC39" si="77">IF(BU4="P",IF(AQ4="P",BE4,BE4*0.8),(AA4+BE4)/2)</f>
        <v>18</v>
      </c>
      <c r="FD4" s="44">
        <f t="shared" ref="FD4:FD39" si="78">IF(BV4="P",IF(AR4="P",BF4,BF4*0.8),(AB4+BF4)/2)</f>
        <v>6.8000000000000007</v>
      </c>
      <c r="FE4" s="44">
        <f t="shared" ref="FE4:FE39" si="79">IF(BW4="P",IF(AS4="P",BG4,BG4*0.8),(AC4+BG4)/2)</f>
        <v>0.8</v>
      </c>
      <c r="FF4" s="44">
        <f t="shared" ref="FF4:FF39" si="80">IF(BX4="P",IF(AT4="P",BH4,BH4*0.8),(AD4+BH4)/2)</f>
        <v>0.3</v>
      </c>
      <c r="FG4" s="44">
        <f t="shared" ref="FG4:FG39" si="81">IF(BY4="P",IF(AU4="P",BI4,BI4*0.8),(AE4+BI4)/2)</f>
        <v>18.850000000000001</v>
      </c>
      <c r="FH4" s="44">
        <f t="shared" ref="FH4:FH39" si="82">IF(BZ4="P",IF(AV4="P",BJ4,BJ4*0.8),(AF4+BJ4)/2)</f>
        <v>6</v>
      </c>
      <c r="FI4" s="44">
        <f t="shared" ref="FI4:FI39" si="83">IF(CA4="P",IF(AW4="P",BK4,BK4*0.8),(AG4+BK4)/2)</f>
        <v>0</v>
      </c>
      <c r="FJ4" s="44">
        <f t="shared" ref="FJ4:FJ39" si="84">IF(CB4="P",IF(AX4="P",BL4,BL4*0.8),(AH4+BL4)/2)</f>
        <v>0.3</v>
      </c>
      <c r="FK4" s="20" t="s">
        <v>29</v>
      </c>
      <c r="FL4" s="10">
        <f t="shared" ref="FL4:FL39" si="85">IF(EV4="","",EV4)</f>
        <v>6.2</v>
      </c>
      <c r="FM4" s="10">
        <f t="shared" ref="FM4:FM39" si="86">IF(EU4="","",EU4+EV4+EX4-EW4)</f>
        <v>25.499999999999996</v>
      </c>
      <c r="FN4" s="10">
        <f t="shared" ref="FN4:FN39" si="87">IF(EZ4="","",EZ4)</f>
        <v>6</v>
      </c>
      <c r="FO4" s="10">
        <f t="shared" ref="FO4:FO39" si="88">IF(EY4="","",EY4+EZ4+FB4-FA4)</f>
        <v>25.1</v>
      </c>
      <c r="FP4" s="10">
        <f t="shared" ref="FP4:FP39" si="89">IF(SUM(EV4,EZ4)&gt;0,SUM(EV4,EZ4),"")</f>
        <v>12.2</v>
      </c>
      <c r="FQ4" s="10">
        <f>IF(SUM(FM4,FO4)&gt;0,SUM(FM4,FO4),"")</f>
        <v>50.599999999999994</v>
      </c>
      <c r="FR4" s="10">
        <f>IF(FD4="","",FD4)</f>
        <v>6.8000000000000007</v>
      </c>
      <c r="FS4" s="10">
        <f>IF(FC4="","",FC4+FD4+FF4-FE4)</f>
        <v>24.3</v>
      </c>
      <c r="FT4" s="10">
        <f>IF(FH4="","",FH4)</f>
        <v>6</v>
      </c>
      <c r="FU4" s="10">
        <f>IF(FG4="","",FG4+FH4+FJ4-FI4)</f>
        <v>25.150000000000002</v>
      </c>
      <c r="FV4" s="10">
        <f>IF(SUM(FD4,FH4)&gt;0,SUM(FD4,FH4),"")</f>
        <v>12.8</v>
      </c>
      <c r="FW4" s="10">
        <f t="shared" ref="FW4:FW22" si="90">IF(SUM(FS4,FU4)&gt;0,SUM(FS4,FU4),"")</f>
        <v>49.45</v>
      </c>
      <c r="FX4" s="10">
        <f t="shared" ref="FX4:FX22" si="91">IF(SUM(FQ4,FW4)&gt;0,SUM(FQ4,FW4),"")</f>
        <v>100.05</v>
      </c>
    </row>
    <row r="5" spans="1:180" x14ac:dyDescent="0.2">
      <c r="A5" s="3" cm="1">
        <f t="array" ref="A5">IF(AND(H5&lt;&gt;"",H5&lt;&gt;"No DD",I5&lt;&gt;"P"),SUMPRODUCT((H$4:H$40&lt;&gt;"")*(H$4:H$40&lt;&gt;"No DD")*(I$4:I$40&lt;&gt;"P")*(E$4:E$40&gt;E5))+1,IF(H5="No DD",SUMPRODUCT((H$4:H$40="No DD")*(I$4:I$40&lt;&gt;"P")*(E$4:E$40&gt;E5))+1+SUMPRODUCT((H$4:H$40&lt;&gt;"")*(I$4:I$40&lt;&gt;"P")*(H$4:H$40&lt;&gt;"No DD")),""))</f>
        <v>1</v>
      </c>
      <c r="B5" s="4" t="s">
        <v>158</v>
      </c>
      <c r="C5" s="3" t="s">
        <v>5</v>
      </c>
      <c r="D5" s="3">
        <v>2009</v>
      </c>
      <c r="E5" s="8">
        <f t="shared" si="0"/>
        <v>103.50000775000508</v>
      </c>
      <c r="F5" s="2" t="str">
        <f t="shared" si="1"/>
        <v>P</v>
      </c>
      <c r="G5" s="2" t="str">
        <f t="shared" si="2"/>
        <v>P</v>
      </c>
      <c r="H5" s="26" t="str">
        <f t="shared" si="3"/>
        <v>National Team</v>
      </c>
      <c r="I5" s="2" t="str">
        <f>IF(COUNTIFS('Senior-W'!B:B,B5,'Senior-W'!A:A,"&lt;9",'Senior-W'!H:H,"&lt;&gt;"&amp;"No DD"),"P","")</f>
        <v/>
      </c>
      <c r="J5" s="7">
        <f t="shared" si="4"/>
        <v>50.900000000000006</v>
      </c>
      <c r="K5" s="7" t="str">
        <f t="shared" si="5"/>
        <v>2025 Nationals</v>
      </c>
      <c r="L5" s="7">
        <f>IF(J5=AO5,IF(COUNT(AQ5,AS5,BO5,BQ5,BU5,BW5)&gt;1,LARGE((AQ5,AS5,BO5,BQ5,BU5,BW5),1),0),IF(COUNT(AK5,AM5,AQ5,AS5,BU5,BW5)&gt;1,LARGE((AK5,AM5,AQ5,AS5,BU5,BW5),1),0))</f>
        <v>26.6</v>
      </c>
      <c r="M5" s="7" t="str">
        <f t="shared" si="6"/>
        <v>2025 Nationals</v>
      </c>
      <c r="N5" s="7">
        <f>IF(J5=AO5,IF(COUNT(AQ5,AS5,BO5,BQ5,BU5,BW5)&gt;1,LARGE((AQ5,AS5,BO5,BQ5,BU5,BW5),2),0),IF(COUNT(AK5,AM5,AQ5,AS5,BU5,BW5)&gt;1,LARGE((AK5,AM5,AQ5,AS5,BU5,BW5),2),0))</f>
        <v>25.5</v>
      </c>
      <c r="O5" s="7" t="str">
        <f t="shared" si="7"/>
        <v>2025 Nationals</v>
      </c>
      <c r="P5" s="7">
        <f t="shared" si="8"/>
        <v>0.5</v>
      </c>
      <c r="Q5" s="10" t="str">
        <f t="shared" si="9"/>
        <v>(Pass)</v>
      </c>
      <c r="R5" s="7" t="str">
        <f t="shared" si="10"/>
        <v>2025 WAGC (Nov 16)</v>
      </c>
      <c r="S5" s="39">
        <v>19.2</v>
      </c>
      <c r="T5" s="39">
        <v>6.4</v>
      </c>
      <c r="U5" s="39">
        <v>0</v>
      </c>
      <c r="V5" s="39">
        <v>0</v>
      </c>
      <c r="W5" s="39">
        <v>19.100000000000001</v>
      </c>
      <c r="X5" s="39">
        <v>6.8</v>
      </c>
      <c r="Y5" s="39">
        <v>0.6</v>
      </c>
      <c r="Z5" s="39">
        <v>0</v>
      </c>
      <c r="AA5" s="39">
        <v>18.7</v>
      </c>
      <c r="AB5" s="39">
        <v>6.8</v>
      </c>
      <c r="AC5" s="39">
        <v>0</v>
      </c>
      <c r="AD5" s="39">
        <v>0</v>
      </c>
      <c r="AE5" s="39">
        <v>18.600000000000001</v>
      </c>
      <c r="AF5" s="39">
        <v>8</v>
      </c>
      <c r="AG5" s="39">
        <v>0</v>
      </c>
      <c r="AH5" s="39">
        <v>0</v>
      </c>
      <c r="AI5" s="19"/>
      <c r="AJ5" s="42">
        <f t="shared" si="11"/>
        <v>6.4</v>
      </c>
      <c r="AK5" s="42">
        <f t="shared" si="12"/>
        <v>25.6</v>
      </c>
      <c r="AL5" s="42">
        <f t="shared" si="13"/>
        <v>6.8</v>
      </c>
      <c r="AM5" s="42">
        <f t="shared" si="14"/>
        <v>25.3</v>
      </c>
      <c r="AN5" s="27">
        <f t="shared" si="15"/>
        <v>13.2</v>
      </c>
      <c r="AO5" s="27">
        <f t="shared" si="16"/>
        <v>50.900000000000006</v>
      </c>
      <c r="AP5" s="27">
        <f t="shared" si="17"/>
        <v>6.8</v>
      </c>
      <c r="AQ5" s="27">
        <f t="shared" si="18"/>
        <v>25.5</v>
      </c>
      <c r="AR5" s="27">
        <f t="shared" si="19"/>
        <v>8</v>
      </c>
      <c r="AS5" s="27">
        <f t="shared" si="20"/>
        <v>26.6</v>
      </c>
      <c r="AT5" s="27">
        <f t="shared" si="21"/>
        <v>14.8</v>
      </c>
      <c r="AU5" s="27">
        <f t="shared" si="22"/>
        <v>52.1</v>
      </c>
      <c r="AV5" s="27">
        <f t="shared" si="23"/>
        <v>103</v>
      </c>
      <c r="AW5" s="15">
        <v>18.8</v>
      </c>
      <c r="AX5" s="15">
        <v>6.4</v>
      </c>
      <c r="AY5" s="15">
        <v>0</v>
      </c>
      <c r="AZ5" s="15">
        <v>0</v>
      </c>
      <c r="BA5" s="15">
        <v>15.3</v>
      </c>
      <c r="BB5" s="15">
        <v>3.2</v>
      </c>
      <c r="BC5" s="15">
        <v>0</v>
      </c>
      <c r="BD5" s="15">
        <v>0</v>
      </c>
      <c r="BE5" s="15">
        <v>18.100000000000001</v>
      </c>
      <c r="BF5" s="15">
        <v>4.8</v>
      </c>
      <c r="BG5" s="15">
        <v>0</v>
      </c>
      <c r="BH5" s="15">
        <v>0</v>
      </c>
      <c r="BI5" s="15">
        <v>18.8</v>
      </c>
      <c r="BJ5" s="15">
        <v>5.2</v>
      </c>
      <c r="BK5" s="15">
        <v>0.2</v>
      </c>
      <c r="BL5" s="15">
        <v>0</v>
      </c>
      <c r="BM5" s="20"/>
      <c r="BN5" s="43">
        <f t="shared" si="24"/>
        <v>6.4</v>
      </c>
      <c r="BO5" s="43">
        <f t="shared" si="25"/>
        <v>25.200000000000003</v>
      </c>
      <c r="BP5" s="43">
        <f t="shared" si="26"/>
        <v>3.2</v>
      </c>
      <c r="BQ5" s="43">
        <f t="shared" si="27"/>
        <v>18.5</v>
      </c>
      <c r="BR5" s="10">
        <f t="shared" si="28"/>
        <v>9.6000000000000014</v>
      </c>
      <c r="BS5" s="10">
        <f t="shared" si="29"/>
        <v>43.7</v>
      </c>
      <c r="BT5" s="10">
        <f t="shared" si="30"/>
        <v>4.8</v>
      </c>
      <c r="BU5" s="10">
        <f t="shared" si="31"/>
        <v>22.900000000000002</v>
      </c>
      <c r="BV5" s="10">
        <f t="shared" si="32"/>
        <v>5.2</v>
      </c>
      <c r="BW5" s="10">
        <f t="shared" si="33"/>
        <v>23.8</v>
      </c>
      <c r="BX5" s="10">
        <f t="shared" si="34"/>
        <v>10</v>
      </c>
      <c r="BY5" s="10">
        <f t="shared" si="35"/>
        <v>46.7</v>
      </c>
      <c r="BZ5" s="10">
        <f t="shared" si="36"/>
        <v>90.4</v>
      </c>
      <c r="CA5" s="34">
        <f t="shared" si="37"/>
        <v>0.39999999999999147</v>
      </c>
      <c r="CB5" s="34">
        <f t="shared" si="38"/>
        <v>0.5</v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39"/>
        <v/>
      </c>
      <c r="CX5" s="27" t="str">
        <f t="shared" si="40"/>
        <v/>
      </c>
      <c r="CY5" s="27" t="str">
        <f t="shared" si="41"/>
        <v/>
      </c>
      <c r="CZ5" s="27" t="str">
        <f t="shared" si="42"/>
        <v/>
      </c>
      <c r="DA5" s="27" t="str">
        <f t="shared" si="43"/>
        <v/>
      </c>
      <c r="DB5" s="27" t="str">
        <f t="shared" si="44"/>
        <v/>
      </c>
      <c r="DC5" s="27" t="str">
        <f t="shared" si="45"/>
        <v/>
      </c>
      <c r="DD5" s="27" t="str">
        <f t="shared" si="46"/>
        <v/>
      </c>
      <c r="DE5" s="27" t="str">
        <f t="shared" si="47"/>
        <v/>
      </c>
      <c r="DF5" s="27" t="str">
        <f t="shared" si="48"/>
        <v/>
      </c>
      <c r="DG5" s="27" t="str">
        <f t="shared" si="49"/>
        <v/>
      </c>
      <c r="DH5" s="27" t="str">
        <f t="shared" si="50"/>
        <v/>
      </c>
      <c r="DI5" s="27" t="str">
        <f t="shared" si="51"/>
        <v/>
      </c>
      <c r="DJ5" s="27" t="str">
        <f t="shared" si="52"/>
        <v/>
      </c>
      <c r="DK5" s="27" t="str">
        <f t="shared" si="53"/>
        <v/>
      </c>
      <c r="DL5" s="15">
        <v>18.899999999999999</v>
      </c>
      <c r="DM5" s="15">
        <v>6.4</v>
      </c>
      <c r="DN5" s="15">
        <v>0</v>
      </c>
      <c r="DO5" s="15">
        <v>0</v>
      </c>
      <c r="DP5" s="15">
        <v>19.2</v>
      </c>
      <c r="DQ5" s="15">
        <v>6.8</v>
      </c>
      <c r="DR5" s="15">
        <v>0</v>
      </c>
      <c r="DS5" s="15">
        <v>0</v>
      </c>
      <c r="DT5" s="15">
        <v>18.600000000000001</v>
      </c>
      <c r="DU5" s="15">
        <v>6.8</v>
      </c>
      <c r="DV5" s="15">
        <v>0</v>
      </c>
      <c r="DW5" s="15">
        <v>0</v>
      </c>
      <c r="DX5" s="15">
        <v>18.8</v>
      </c>
      <c r="DY5" s="15">
        <v>6.4</v>
      </c>
      <c r="DZ5" s="15">
        <v>0.6</v>
      </c>
      <c r="EA5" s="15">
        <v>0</v>
      </c>
      <c r="EB5" s="15"/>
      <c r="EC5" s="15"/>
      <c r="ED5" s="15"/>
      <c r="EE5" s="15"/>
      <c r="EF5" s="10">
        <f t="shared" si="54"/>
        <v>6.4</v>
      </c>
      <c r="EG5" s="10">
        <f t="shared" si="55"/>
        <v>25.299999999999997</v>
      </c>
      <c r="EH5" s="10">
        <f t="shared" si="56"/>
        <v>6.8</v>
      </c>
      <c r="EI5" s="10">
        <f t="shared" si="57"/>
        <v>26</v>
      </c>
      <c r="EJ5" s="10">
        <f t="shared" si="58"/>
        <v>13.2</v>
      </c>
      <c r="EK5" s="10">
        <f t="shared" si="59"/>
        <v>51.3</v>
      </c>
      <c r="EL5" s="10">
        <f t="shared" si="60"/>
        <v>6.8</v>
      </c>
      <c r="EM5" s="10">
        <f t="shared" si="61"/>
        <v>25.400000000000002</v>
      </c>
      <c r="EN5" s="10">
        <f t="shared" si="62"/>
        <v>6.4</v>
      </c>
      <c r="EO5" s="10">
        <f t="shared" si="63"/>
        <v>24.6</v>
      </c>
      <c r="EP5" s="10" t="str">
        <f t="shared" si="64"/>
        <v/>
      </c>
      <c r="EQ5" s="10" t="str">
        <f t="shared" si="65"/>
        <v/>
      </c>
      <c r="ER5" s="10">
        <f t="shared" si="66"/>
        <v>6.4</v>
      </c>
      <c r="ES5" s="10">
        <f t="shared" si="67"/>
        <v>24.6</v>
      </c>
      <c r="ET5" s="10">
        <f t="shared" si="68"/>
        <v>76.7</v>
      </c>
      <c r="EU5" s="44">
        <f t="shared" si="69"/>
        <v>19</v>
      </c>
      <c r="EV5" s="44">
        <f t="shared" si="70"/>
        <v>6.4</v>
      </c>
      <c r="EW5" s="44">
        <f t="shared" si="71"/>
        <v>0</v>
      </c>
      <c r="EX5" s="44">
        <f t="shared" si="72"/>
        <v>0</v>
      </c>
      <c r="EY5" s="44">
        <f t="shared" si="73"/>
        <v>17.200000000000003</v>
      </c>
      <c r="EZ5" s="44">
        <f t="shared" si="74"/>
        <v>5</v>
      </c>
      <c r="FA5" s="44">
        <f t="shared" si="75"/>
        <v>0.3</v>
      </c>
      <c r="FB5" s="44">
        <f t="shared" si="76"/>
        <v>0</v>
      </c>
      <c r="FC5" s="44">
        <f t="shared" si="77"/>
        <v>18.399999999999999</v>
      </c>
      <c r="FD5" s="44">
        <f t="shared" si="78"/>
        <v>5.8</v>
      </c>
      <c r="FE5" s="44">
        <f t="shared" si="79"/>
        <v>0</v>
      </c>
      <c r="FF5" s="44">
        <f t="shared" si="80"/>
        <v>0</v>
      </c>
      <c r="FG5" s="44">
        <f t="shared" si="81"/>
        <v>18.700000000000003</v>
      </c>
      <c r="FH5" s="44">
        <f t="shared" si="82"/>
        <v>6.6</v>
      </c>
      <c r="FI5" s="44">
        <f t="shared" si="83"/>
        <v>0.1</v>
      </c>
      <c r="FJ5" s="44">
        <f t="shared" si="84"/>
        <v>0</v>
      </c>
      <c r="FK5" s="20" t="s">
        <v>29</v>
      </c>
      <c r="FL5" s="10">
        <f t="shared" si="85"/>
        <v>6.4</v>
      </c>
      <c r="FM5" s="10">
        <f t="shared" si="86"/>
        <v>25.4</v>
      </c>
      <c r="FN5" s="10">
        <f t="shared" si="87"/>
        <v>5</v>
      </c>
      <c r="FO5" s="10">
        <f t="shared" si="88"/>
        <v>21.900000000000002</v>
      </c>
      <c r="FP5" s="10">
        <f t="shared" si="89"/>
        <v>11.4</v>
      </c>
      <c r="FQ5" s="10">
        <f t="shared" ref="FQ5:FQ39" si="92">IF(SUM(FM5,FO5)&gt;0,SUM(FM5,FO5),"")</f>
        <v>47.3</v>
      </c>
      <c r="FR5" s="10">
        <f t="shared" ref="FR5:FR39" si="93">IF(FD5="","",FD5)</f>
        <v>5.8</v>
      </c>
      <c r="FS5" s="10">
        <f t="shared" ref="FS5:FS39" si="94">IF(FC5="","",FC5+FD5+FF5-FE5)</f>
        <v>24.2</v>
      </c>
      <c r="FT5" s="10">
        <f t="shared" ref="FT5:FT39" si="95">IF(FH5="","",FH5)</f>
        <v>6.6</v>
      </c>
      <c r="FU5" s="10">
        <f t="shared" ref="FU5:FU39" si="96">IF(FG5="","",FG5+FH5+FJ5-FI5)</f>
        <v>25.200000000000003</v>
      </c>
      <c r="FV5" s="10">
        <f t="shared" ref="FV5:FV39" si="97">IF(SUM(FD5,FH5)&gt;0,SUM(FD5,FH5),"")</f>
        <v>12.399999999999999</v>
      </c>
      <c r="FW5" s="10">
        <f t="shared" si="90"/>
        <v>49.400000000000006</v>
      </c>
      <c r="FX5" s="10">
        <f t="shared" si="91"/>
        <v>96.7</v>
      </c>
    </row>
    <row r="6" spans="1:180" x14ac:dyDescent="0.2">
      <c r="A6" s="3" t="str" cm="1">
        <f t="array" ref="A6">IF(AND(H6&lt;&gt;"",H6&lt;&gt;"No DD",I6&lt;&gt;"P"),SUMPRODUCT((H$4:H$40&lt;&gt;"")*(H$4:H$40&lt;&gt;"No DD")*(I$4:I$40&lt;&gt;"P")*(E$4:E$40&gt;E6))+1,IF(H6="No DD",SUMPRODUCT((H$4:H$40="No DD")*(I$4:I$40&lt;&gt;"P")*(E$4:E$40&gt;E6))+1+SUMPRODUCT((H$4:H$40&lt;&gt;"")*(I$4:I$40&lt;&gt;"P")*(H$4:H$40&lt;&gt;"No DD")),""))</f>
        <v/>
      </c>
      <c r="B6" s="4" t="s">
        <v>69</v>
      </c>
      <c r="C6" s="3" t="s">
        <v>5</v>
      </c>
      <c r="D6" s="3">
        <v>2008</v>
      </c>
      <c r="E6" s="8">
        <f t="shared" si="0"/>
        <v>101.30000756000494</v>
      </c>
      <c r="F6" s="2" t="str">
        <f t="shared" si="1"/>
        <v>P</v>
      </c>
      <c r="G6" s="2" t="str">
        <f t="shared" si="2"/>
        <v>P</v>
      </c>
      <c r="H6" s="26" t="str">
        <f t="shared" si="3"/>
        <v>National Team</v>
      </c>
      <c r="I6" s="2" t="str">
        <f>IF(COUNTIFS('Senior-W'!B:B,B6,'Senior-W'!A:A,"&lt;9",'Senior-W'!H:H,"&lt;&gt;"&amp;"No DD"),"P","")</f>
        <v>P</v>
      </c>
      <c r="J6" s="7">
        <f t="shared" si="4"/>
        <v>49.5</v>
      </c>
      <c r="K6" s="7" t="str">
        <f t="shared" si="5"/>
        <v>2025 Nationals</v>
      </c>
      <c r="L6" s="7">
        <f>IF(J6=AO6,IF(COUNT(AQ6,AS6,BO6,BQ6,BU6,BW6)&gt;1,LARGE((AQ6,AS6,BO6,BQ6,BU6,BW6),1),0),IF(COUNT(AK6,AM6,AQ6,AS6,BU6,BW6)&gt;1,LARGE((AK6,AM6,AQ6,AS6,BU6,BW6),1),0))</f>
        <v>26.1</v>
      </c>
      <c r="M6" s="7" t="str">
        <f t="shared" si="6"/>
        <v>2025 Nationals</v>
      </c>
      <c r="N6" s="7">
        <f>IF(J6=AO6,IF(COUNT(AQ6,AS6,BO6,BQ6,BU6,BW6)&gt;1,LARGE((AQ6,AS6,BO6,BQ6,BU6,BW6),2),0),IF(COUNT(AK6,AM6,AQ6,AS6,BU6,BW6)&gt;1,LARGE((AK6,AM6,AQ6,AS6,BU6,BW6),2),0))</f>
        <v>25.7</v>
      </c>
      <c r="O6" s="7" t="str">
        <f t="shared" si="7"/>
        <v>2025 3rd Domestic Trial</v>
      </c>
      <c r="P6" s="7" t="str">
        <f t="shared" si="8"/>
        <v/>
      </c>
      <c r="Q6" s="10" t="str">
        <f t="shared" si="9"/>
        <v/>
      </c>
      <c r="R6" s="7" t="str">
        <f t="shared" si="10"/>
        <v/>
      </c>
      <c r="S6" s="39">
        <v>18.5</v>
      </c>
      <c r="T6" s="39">
        <v>6</v>
      </c>
      <c r="U6" s="39">
        <v>0.2</v>
      </c>
      <c r="V6" s="39">
        <v>0.3</v>
      </c>
      <c r="W6" s="39">
        <v>18.7</v>
      </c>
      <c r="X6" s="39">
        <v>6.4</v>
      </c>
      <c r="Y6" s="39">
        <v>0.2</v>
      </c>
      <c r="Z6" s="39">
        <v>0</v>
      </c>
      <c r="AA6" s="39">
        <v>18.600000000000001</v>
      </c>
      <c r="AB6" s="39">
        <v>7.2</v>
      </c>
      <c r="AC6" s="39">
        <v>0</v>
      </c>
      <c r="AD6" s="39">
        <v>0.3</v>
      </c>
      <c r="AE6" s="39">
        <v>18.3</v>
      </c>
      <c r="AF6" s="39">
        <v>6.8</v>
      </c>
      <c r="AG6" s="39">
        <v>0.2</v>
      </c>
      <c r="AH6" s="39">
        <v>0.3</v>
      </c>
      <c r="AI6" s="19"/>
      <c r="AJ6" s="42">
        <f t="shared" si="11"/>
        <v>6</v>
      </c>
      <c r="AK6" s="42">
        <f t="shared" si="12"/>
        <v>24.6</v>
      </c>
      <c r="AL6" s="42">
        <f t="shared" si="13"/>
        <v>6.4</v>
      </c>
      <c r="AM6" s="42">
        <f t="shared" si="14"/>
        <v>24.900000000000002</v>
      </c>
      <c r="AN6" s="27">
        <f t="shared" si="15"/>
        <v>12.4</v>
      </c>
      <c r="AO6" s="27">
        <f t="shared" si="16"/>
        <v>49.5</v>
      </c>
      <c r="AP6" s="27">
        <f t="shared" si="17"/>
        <v>7.2</v>
      </c>
      <c r="AQ6" s="27">
        <f t="shared" si="18"/>
        <v>26.1</v>
      </c>
      <c r="AR6" s="27">
        <f t="shared" si="19"/>
        <v>6.8</v>
      </c>
      <c r="AS6" s="27">
        <f t="shared" si="20"/>
        <v>25.200000000000003</v>
      </c>
      <c r="AT6" s="27">
        <f t="shared" si="21"/>
        <v>14</v>
      </c>
      <c r="AU6" s="27">
        <f t="shared" si="22"/>
        <v>51.300000000000004</v>
      </c>
      <c r="AV6" s="27">
        <f t="shared" si="23"/>
        <v>100.80000000000001</v>
      </c>
      <c r="AW6" s="15">
        <v>18.8</v>
      </c>
      <c r="AX6" s="15">
        <v>6.4</v>
      </c>
      <c r="AY6" s="15">
        <v>0</v>
      </c>
      <c r="AZ6" s="15">
        <v>0.3</v>
      </c>
      <c r="BA6" s="15">
        <v>18.399999999999999</v>
      </c>
      <c r="BB6" s="15">
        <v>6</v>
      </c>
      <c r="BC6" s="15">
        <v>1</v>
      </c>
      <c r="BD6" s="15">
        <v>0</v>
      </c>
      <c r="BE6" s="15">
        <v>18.8</v>
      </c>
      <c r="BF6" s="15">
        <v>7.2</v>
      </c>
      <c r="BG6" s="15">
        <v>0.6</v>
      </c>
      <c r="BH6" s="15">
        <v>0.3</v>
      </c>
      <c r="BI6" s="15">
        <v>18.7</v>
      </c>
      <c r="BJ6" s="15">
        <v>6.4</v>
      </c>
      <c r="BK6" s="15">
        <v>0</v>
      </c>
      <c r="BL6" s="15">
        <v>0.3</v>
      </c>
      <c r="BM6" s="20"/>
      <c r="BN6" s="43">
        <f t="shared" si="24"/>
        <v>6.4</v>
      </c>
      <c r="BO6" s="43">
        <f t="shared" si="25"/>
        <v>25.500000000000004</v>
      </c>
      <c r="BP6" s="43">
        <f t="shared" si="26"/>
        <v>6</v>
      </c>
      <c r="BQ6" s="43">
        <f t="shared" si="27"/>
        <v>23.4</v>
      </c>
      <c r="BR6" s="10">
        <f t="shared" si="28"/>
        <v>12.4</v>
      </c>
      <c r="BS6" s="10">
        <f t="shared" si="29"/>
        <v>48.900000000000006</v>
      </c>
      <c r="BT6" s="10">
        <f t="shared" si="30"/>
        <v>7.2</v>
      </c>
      <c r="BU6" s="10">
        <f t="shared" si="31"/>
        <v>25.7</v>
      </c>
      <c r="BV6" s="10">
        <f t="shared" si="32"/>
        <v>6.4</v>
      </c>
      <c r="BW6" s="10">
        <f t="shared" si="33"/>
        <v>25.400000000000002</v>
      </c>
      <c r="BX6" s="10">
        <f t="shared" si="34"/>
        <v>13.600000000000001</v>
      </c>
      <c r="BY6" s="10">
        <f t="shared" si="35"/>
        <v>51.1</v>
      </c>
      <c r="BZ6" s="10">
        <f t="shared" si="36"/>
        <v>100</v>
      </c>
      <c r="CA6" s="34" t="str">
        <f t="shared" si="37"/>
        <v/>
      </c>
      <c r="CB6" s="34" t="str">
        <f t="shared" si="38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9"/>
        <v/>
      </c>
      <c r="CX6" s="27" t="str">
        <f t="shared" si="40"/>
        <v/>
      </c>
      <c r="CY6" s="27" t="str">
        <f t="shared" si="41"/>
        <v/>
      </c>
      <c r="CZ6" s="27" t="str">
        <f t="shared" si="42"/>
        <v/>
      </c>
      <c r="DA6" s="27" t="str">
        <f t="shared" si="43"/>
        <v/>
      </c>
      <c r="DB6" s="27" t="str">
        <f t="shared" si="44"/>
        <v/>
      </c>
      <c r="DC6" s="27" t="str">
        <f t="shared" si="45"/>
        <v/>
      </c>
      <c r="DD6" s="27" t="str">
        <f t="shared" si="46"/>
        <v/>
      </c>
      <c r="DE6" s="27" t="str">
        <f t="shared" si="47"/>
        <v/>
      </c>
      <c r="DF6" s="27" t="str">
        <f t="shared" si="48"/>
        <v/>
      </c>
      <c r="DG6" s="27" t="str">
        <f t="shared" si="49"/>
        <v/>
      </c>
      <c r="DH6" s="27" t="str">
        <f t="shared" si="50"/>
        <v/>
      </c>
      <c r="DI6" s="27" t="str">
        <f t="shared" si="51"/>
        <v/>
      </c>
      <c r="DJ6" s="27" t="str">
        <f t="shared" si="52"/>
        <v/>
      </c>
      <c r="DK6" s="27" t="str">
        <f t="shared" si="53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4"/>
        <v/>
      </c>
      <c r="EG6" s="10" t="str">
        <f t="shared" si="55"/>
        <v/>
      </c>
      <c r="EH6" s="10" t="str">
        <f t="shared" si="56"/>
        <v/>
      </c>
      <c r="EI6" s="10" t="str">
        <f t="shared" si="57"/>
        <v/>
      </c>
      <c r="EJ6" s="10" t="str">
        <f t="shared" si="58"/>
        <v/>
      </c>
      <c r="EK6" s="10" t="str">
        <f t="shared" si="59"/>
        <v/>
      </c>
      <c r="EL6" s="10" t="str">
        <f t="shared" si="60"/>
        <v/>
      </c>
      <c r="EM6" s="10" t="str">
        <f t="shared" si="61"/>
        <v/>
      </c>
      <c r="EN6" s="10" t="str">
        <f t="shared" si="62"/>
        <v/>
      </c>
      <c r="EO6" s="10" t="str">
        <f t="shared" si="63"/>
        <v/>
      </c>
      <c r="EP6" s="10" t="str">
        <f t="shared" si="64"/>
        <v/>
      </c>
      <c r="EQ6" s="10" t="str">
        <f t="shared" si="65"/>
        <v/>
      </c>
      <c r="ER6" s="10" t="str">
        <f t="shared" si="66"/>
        <v/>
      </c>
      <c r="ES6" s="10" t="str">
        <f t="shared" si="67"/>
        <v/>
      </c>
      <c r="ET6" s="10" t="str">
        <f t="shared" si="68"/>
        <v/>
      </c>
      <c r="EU6" s="44">
        <f t="shared" si="69"/>
        <v>18.649999999999999</v>
      </c>
      <c r="EV6" s="44">
        <f t="shared" si="70"/>
        <v>6.2</v>
      </c>
      <c r="EW6" s="44">
        <f t="shared" si="71"/>
        <v>0.1</v>
      </c>
      <c r="EX6" s="44">
        <f t="shared" si="72"/>
        <v>0.3</v>
      </c>
      <c r="EY6" s="44">
        <f t="shared" si="73"/>
        <v>18.549999999999997</v>
      </c>
      <c r="EZ6" s="44">
        <f t="shared" si="74"/>
        <v>6.2</v>
      </c>
      <c r="FA6" s="44">
        <f t="shared" si="75"/>
        <v>0.6</v>
      </c>
      <c r="FB6" s="44">
        <f t="shared" si="76"/>
        <v>0</v>
      </c>
      <c r="FC6" s="44">
        <f t="shared" si="77"/>
        <v>18.700000000000003</v>
      </c>
      <c r="FD6" s="44">
        <f t="shared" si="78"/>
        <v>7.2</v>
      </c>
      <c r="FE6" s="44">
        <f t="shared" si="79"/>
        <v>0.3</v>
      </c>
      <c r="FF6" s="44">
        <f t="shared" si="80"/>
        <v>0.3</v>
      </c>
      <c r="FG6" s="44">
        <f t="shared" si="81"/>
        <v>18.5</v>
      </c>
      <c r="FH6" s="44">
        <f t="shared" si="82"/>
        <v>6.6</v>
      </c>
      <c r="FI6" s="44">
        <f t="shared" si="83"/>
        <v>0.1</v>
      </c>
      <c r="FJ6" s="44">
        <f t="shared" si="84"/>
        <v>0.3</v>
      </c>
      <c r="FK6" s="20" t="s">
        <v>29</v>
      </c>
      <c r="FL6" s="10">
        <f t="shared" si="85"/>
        <v>6.2</v>
      </c>
      <c r="FM6" s="10">
        <f t="shared" si="86"/>
        <v>25.049999999999997</v>
      </c>
      <c r="FN6" s="10">
        <f t="shared" si="87"/>
        <v>6.2</v>
      </c>
      <c r="FO6" s="10">
        <f t="shared" si="88"/>
        <v>24.149999999999995</v>
      </c>
      <c r="FP6" s="10">
        <f t="shared" si="89"/>
        <v>12.4</v>
      </c>
      <c r="FQ6" s="10">
        <f t="shared" si="92"/>
        <v>49.199999999999989</v>
      </c>
      <c r="FR6" s="10">
        <f t="shared" si="93"/>
        <v>7.2</v>
      </c>
      <c r="FS6" s="10">
        <f t="shared" si="94"/>
        <v>25.900000000000002</v>
      </c>
      <c r="FT6" s="10">
        <f t="shared" si="95"/>
        <v>6.6</v>
      </c>
      <c r="FU6" s="10">
        <f t="shared" si="96"/>
        <v>25.3</v>
      </c>
      <c r="FV6" s="10">
        <f t="shared" si="97"/>
        <v>13.8</v>
      </c>
      <c r="FW6" s="10">
        <f t="shared" si="90"/>
        <v>51.2</v>
      </c>
      <c r="FX6" s="10">
        <f t="shared" si="91"/>
        <v>100.39999999999999</v>
      </c>
    </row>
    <row r="7" spans="1:180" x14ac:dyDescent="0.2">
      <c r="A7" s="3" t="str" cm="1">
        <f t="array" ref="A7">IF(AND(H7&lt;&gt;"",H7&lt;&gt;"No DD",I7&lt;&gt;"P"),SUMPRODUCT((H$4:H$40&lt;&gt;"")*(H$4:H$40&lt;&gt;"No DD")*(I$4:I$40&lt;&gt;"P")*(E$4:E$40&gt;E7))+1,IF(H7="No DD",SUMPRODUCT((H$4:H$40="No DD")*(I$4:I$40&lt;&gt;"P")*(E$4:E$40&gt;E7))+1+SUMPRODUCT((H$4:H$40&lt;&gt;"")*(I$4:I$40&lt;&gt;"P")*(H$4:H$40&lt;&gt;"No DD")),""))</f>
        <v/>
      </c>
      <c r="B7" s="4" t="s">
        <v>127</v>
      </c>
      <c r="C7" s="3" t="s">
        <v>4</v>
      </c>
      <c r="D7" s="3">
        <v>2005</v>
      </c>
      <c r="E7" s="8">
        <f t="shared" si="0"/>
        <v>99.550007495004962</v>
      </c>
      <c r="F7" s="2" t="str">
        <f t="shared" si="1"/>
        <v>P</v>
      </c>
      <c r="G7" s="2" t="str">
        <f t="shared" si="2"/>
        <v>P</v>
      </c>
      <c r="H7" s="26" t="str">
        <f t="shared" si="3"/>
        <v>National Team</v>
      </c>
      <c r="I7" s="2" t="str">
        <f>IF(COUNTIFS('Senior-W'!B:B,B7,'Senior-W'!A:A,"&lt;9",'Senior-W'!H:H,"&lt;&gt;"&amp;"No DD"),"P","")</f>
        <v>P</v>
      </c>
      <c r="J7" s="7">
        <f t="shared" si="4"/>
        <v>49.650000000000006</v>
      </c>
      <c r="K7" s="7" t="str">
        <f t="shared" si="5"/>
        <v>2025 Nationals</v>
      </c>
      <c r="L7" s="7">
        <f>IF(J7=AO7,IF(COUNT(AQ7,AS7,BO7,BQ7,BU7,BW7)&gt;1,LARGE((AQ7,AS7,BO7,BQ7,BU7,BW7),1),0),IF(COUNT(AK7,AM7,AQ7,AS7,BU7,BW7)&gt;1,LARGE((AK7,AM7,AQ7,AS7,BU7,BW7),1),0))</f>
        <v>25.3</v>
      </c>
      <c r="M7" s="7" t="str">
        <f t="shared" si="6"/>
        <v>2025 Nationals</v>
      </c>
      <c r="N7" s="7">
        <f>IF(J7=AO7,IF(COUNT(AQ7,AS7,BO7,BQ7,BU7,BW7)&gt;1,LARGE((AQ7,AS7,BO7,BQ7,BU7,BW7),2),0),IF(COUNT(AK7,AM7,AQ7,AS7,BU7,BW7)&gt;1,LARGE((AK7,AM7,AQ7,AS7,BU7,BW7),2),0))</f>
        <v>24.599999999999998</v>
      </c>
      <c r="O7" s="7" t="str">
        <f t="shared" si="7"/>
        <v>2025 Nationals</v>
      </c>
      <c r="P7" s="7" t="str">
        <f t="shared" si="8"/>
        <v/>
      </c>
      <c r="Q7" s="10" t="str">
        <f t="shared" si="9"/>
        <v/>
      </c>
      <c r="R7" s="7" t="str">
        <f t="shared" si="10"/>
        <v/>
      </c>
      <c r="S7" s="39">
        <v>18.549999999999997</v>
      </c>
      <c r="T7" s="39">
        <v>6.4</v>
      </c>
      <c r="U7" s="39">
        <v>0.4</v>
      </c>
      <c r="V7" s="39">
        <v>0.3</v>
      </c>
      <c r="W7" s="39">
        <v>18.8</v>
      </c>
      <c r="X7" s="39">
        <v>6.4</v>
      </c>
      <c r="Y7" s="39">
        <v>0.4</v>
      </c>
      <c r="Z7" s="39">
        <v>0</v>
      </c>
      <c r="AA7" s="39">
        <v>18.399999999999999</v>
      </c>
      <c r="AB7" s="39">
        <v>6.8</v>
      </c>
      <c r="AC7" s="39">
        <v>0.2</v>
      </c>
      <c r="AD7" s="39">
        <v>0.3</v>
      </c>
      <c r="AE7" s="39">
        <v>18.5</v>
      </c>
      <c r="AF7" s="39">
        <v>6.4</v>
      </c>
      <c r="AG7" s="39">
        <v>0.3</v>
      </c>
      <c r="AH7" s="39">
        <v>0</v>
      </c>
      <c r="AI7" s="19" t="s">
        <v>29</v>
      </c>
      <c r="AJ7" s="42">
        <f t="shared" si="11"/>
        <v>6.4</v>
      </c>
      <c r="AK7" s="42">
        <f t="shared" si="12"/>
        <v>24.849999999999998</v>
      </c>
      <c r="AL7" s="42">
        <f t="shared" si="13"/>
        <v>6.4</v>
      </c>
      <c r="AM7" s="42">
        <f t="shared" si="14"/>
        <v>24.800000000000004</v>
      </c>
      <c r="AN7" s="27">
        <f t="shared" si="15"/>
        <v>12.8</v>
      </c>
      <c r="AO7" s="27">
        <f t="shared" si="16"/>
        <v>49.650000000000006</v>
      </c>
      <c r="AP7" s="27">
        <f t="shared" si="17"/>
        <v>6.8</v>
      </c>
      <c r="AQ7" s="27">
        <f t="shared" si="18"/>
        <v>25.3</v>
      </c>
      <c r="AR7" s="27">
        <f t="shared" si="19"/>
        <v>6.4</v>
      </c>
      <c r="AS7" s="27">
        <f t="shared" si="20"/>
        <v>24.599999999999998</v>
      </c>
      <c r="AT7" s="27">
        <f t="shared" si="21"/>
        <v>13.2</v>
      </c>
      <c r="AU7" s="27">
        <f t="shared" si="22"/>
        <v>49.9</v>
      </c>
      <c r="AV7" s="27">
        <f t="shared" si="23"/>
        <v>99.550000000000011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3" t="str">
        <f t="shared" si="24"/>
        <v/>
      </c>
      <c r="BO7" s="43" t="str">
        <f t="shared" si="25"/>
        <v/>
      </c>
      <c r="BP7" s="43" t="str">
        <f t="shared" si="26"/>
        <v/>
      </c>
      <c r="BQ7" s="43" t="str">
        <f t="shared" si="27"/>
        <v/>
      </c>
      <c r="BR7" s="10" t="str">
        <f t="shared" si="28"/>
        <v/>
      </c>
      <c r="BS7" s="10" t="str">
        <f t="shared" si="29"/>
        <v/>
      </c>
      <c r="BT7" s="10" t="str">
        <f t="shared" si="30"/>
        <v/>
      </c>
      <c r="BU7" s="10" t="str">
        <f t="shared" si="31"/>
        <v/>
      </c>
      <c r="BV7" s="10" t="str">
        <f t="shared" si="32"/>
        <v/>
      </c>
      <c r="BW7" s="10" t="str">
        <f t="shared" si="33"/>
        <v/>
      </c>
      <c r="BX7" s="10" t="str">
        <f t="shared" si="34"/>
        <v/>
      </c>
      <c r="BY7" s="10" t="str">
        <f t="shared" si="35"/>
        <v/>
      </c>
      <c r="BZ7" s="10" t="str">
        <f t="shared" si="36"/>
        <v/>
      </c>
      <c r="CA7" s="34" t="str">
        <f t="shared" si="37"/>
        <v/>
      </c>
      <c r="CB7" s="34" t="str">
        <f t="shared" si="38"/>
        <v/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9"/>
        <v/>
      </c>
      <c r="CX7" s="27" t="str">
        <f t="shared" si="40"/>
        <v/>
      </c>
      <c r="CY7" s="27" t="str">
        <f t="shared" si="41"/>
        <v/>
      </c>
      <c r="CZ7" s="27" t="str">
        <f t="shared" si="42"/>
        <v/>
      </c>
      <c r="DA7" s="27" t="str">
        <f t="shared" si="43"/>
        <v/>
      </c>
      <c r="DB7" s="27" t="str">
        <f t="shared" si="44"/>
        <v/>
      </c>
      <c r="DC7" s="27" t="str">
        <f t="shared" si="45"/>
        <v/>
      </c>
      <c r="DD7" s="27" t="str">
        <f t="shared" si="46"/>
        <v/>
      </c>
      <c r="DE7" s="27" t="str">
        <f t="shared" si="47"/>
        <v/>
      </c>
      <c r="DF7" s="27" t="str">
        <f t="shared" si="48"/>
        <v/>
      </c>
      <c r="DG7" s="27" t="str">
        <f t="shared" si="49"/>
        <v/>
      </c>
      <c r="DH7" s="27" t="str">
        <f t="shared" si="50"/>
        <v/>
      </c>
      <c r="DI7" s="27" t="str">
        <f t="shared" si="51"/>
        <v/>
      </c>
      <c r="DJ7" s="27" t="str">
        <f t="shared" si="52"/>
        <v/>
      </c>
      <c r="DK7" s="27" t="str">
        <f t="shared" si="53"/>
        <v/>
      </c>
      <c r="DL7" s="15">
        <v>18</v>
      </c>
      <c r="DM7" s="15">
        <v>6.4</v>
      </c>
      <c r="DN7" s="15">
        <v>0.2</v>
      </c>
      <c r="DO7" s="15">
        <v>0</v>
      </c>
      <c r="DP7" s="15">
        <v>18.399999999999999</v>
      </c>
      <c r="DQ7" s="15">
        <v>5.2</v>
      </c>
      <c r="DR7" s="15">
        <v>1</v>
      </c>
      <c r="DS7" s="15">
        <v>0</v>
      </c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>
        <f t="shared" si="54"/>
        <v>6.4</v>
      </c>
      <c r="EG7" s="10">
        <f t="shared" si="55"/>
        <v>24.2</v>
      </c>
      <c r="EH7" s="10">
        <f t="shared" si="56"/>
        <v>5.2</v>
      </c>
      <c r="EI7" s="10">
        <f t="shared" si="57"/>
        <v>22.599999999999998</v>
      </c>
      <c r="EJ7" s="10">
        <f t="shared" si="58"/>
        <v>11.600000000000001</v>
      </c>
      <c r="EK7" s="10">
        <f t="shared" si="59"/>
        <v>46.8</v>
      </c>
      <c r="EL7" s="10" t="str">
        <f t="shared" si="60"/>
        <v/>
      </c>
      <c r="EM7" s="10" t="str">
        <f t="shared" si="61"/>
        <v/>
      </c>
      <c r="EN7" s="10" t="str">
        <f t="shared" si="62"/>
        <v/>
      </c>
      <c r="EO7" s="10" t="str">
        <f t="shared" si="63"/>
        <v/>
      </c>
      <c r="EP7" s="10" t="str">
        <f t="shared" si="64"/>
        <v/>
      </c>
      <c r="EQ7" s="10" t="str">
        <f t="shared" si="65"/>
        <v/>
      </c>
      <c r="ER7" s="10" t="str">
        <f t="shared" si="66"/>
        <v/>
      </c>
      <c r="ES7" s="10" t="str">
        <f t="shared" si="67"/>
        <v/>
      </c>
      <c r="ET7" s="10">
        <f t="shared" si="68"/>
        <v>46.8</v>
      </c>
      <c r="EU7" s="44">
        <f t="shared" si="69"/>
        <v>9.2749999999999986</v>
      </c>
      <c r="EV7" s="44">
        <f t="shared" si="70"/>
        <v>3.2</v>
      </c>
      <c r="EW7" s="44">
        <f t="shared" si="71"/>
        <v>0.2</v>
      </c>
      <c r="EX7" s="44">
        <f t="shared" si="72"/>
        <v>0.15</v>
      </c>
      <c r="EY7" s="44">
        <f t="shared" si="73"/>
        <v>9.4</v>
      </c>
      <c r="EZ7" s="44">
        <f t="shared" si="74"/>
        <v>3.2</v>
      </c>
      <c r="FA7" s="44">
        <f t="shared" si="75"/>
        <v>0.2</v>
      </c>
      <c r="FB7" s="44">
        <f t="shared" si="76"/>
        <v>0</v>
      </c>
      <c r="FC7" s="44">
        <f t="shared" si="77"/>
        <v>9.1999999999999993</v>
      </c>
      <c r="FD7" s="44">
        <f t="shared" si="78"/>
        <v>3.4</v>
      </c>
      <c r="FE7" s="44">
        <f t="shared" si="79"/>
        <v>0.1</v>
      </c>
      <c r="FF7" s="44">
        <f t="shared" si="80"/>
        <v>0.15</v>
      </c>
      <c r="FG7" s="44">
        <f t="shared" si="81"/>
        <v>9.25</v>
      </c>
      <c r="FH7" s="44">
        <f t="shared" si="82"/>
        <v>3.2</v>
      </c>
      <c r="FI7" s="44">
        <f t="shared" si="83"/>
        <v>0.15</v>
      </c>
      <c r="FJ7" s="44">
        <f t="shared" si="84"/>
        <v>0</v>
      </c>
      <c r="FK7" s="20" t="s">
        <v>29</v>
      </c>
      <c r="FL7" s="10">
        <f t="shared" si="85"/>
        <v>3.2</v>
      </c>
      <c r="FM7" s="10">
        <f t="shared" si="86"/>
        <v>12.424999999999999</v>
      </c>
      <c r="FN7" s="10">
        <f t="shared" si="87"/>
        <v>3.2</v>
      </c>
      <c r="FO7" s="10">
        <f t="shared" si="88"/>
        <v>12.400000000000002</v>
      </c>
      <c r="FP7" s="10">
        <f t="shared" si="89"/>
        <v>6.4</v>
      </c>
      <c r="FQ7" s="10">
        <f t="shared" si="92"/>
        <v>24.825000000000003</v>
      </c>
      <c r="FR7" s="10">
        <f t="shared" si="93"/>
        <v>3.4</v>
      </c>
      <c r="FS7" s="10">
        <f t="shared" si="94"/>
        <v>12.65</v>
      </c>
      <c r="FT7" s="10">
        <f t="shared" si="95"/>
        <v>3.2</v>
      </c>
      <c r="FU7" s="10">
        <f t="shared" si="96"/>
        <v>12.299999999999999</v>
      </c>
      <c r="FV7" s="10">
        <f t="shared" si="97"/>
        <v>6.6</v>
      </c>
      <c r="FW7" s="10">
        <f t="shared" si="90"/>
        <v>24.95</v>
      </c>
      <c r="FX7" s="10">
        <f t="shared" si="91"/>
        <v>49.775000000000006</v>
      </c>
    </row>
    <row r="8" spans="1:180" x14ac:dyDescent="0.2">
      <c r="A8" s="3" cm="1">
        <f t="array" ref="A8">IF(AND(H8&lt;&gt;"",H8&lt;&gt;"No DD",I8&lt;&gt;"P"),SUMPRODUCT((H$4:H$40&lt;&gt;"")*(H$4:H$40&lt;&gt;"No DD")*(I$4:I$40&lt;&gt;"P")*(E$4:E$40&gt;E8))+1,IF(H8="No DD",SUMPRODUCT((H$4:H$40="No DD")*(I$4:I$40&lt;&gt;"P")*(E$4:E$40&gt;E8))+1+SUMPRODUCT((H$4:H$40&lt;&gt;"")*(I$4:I$40&lt;&gt;"P")*(H$4:H$40&lt;&gt;"No DD")),""))</f>
        <v>2</v>
      </c>
      <c r="B8" s="4" t="s">
        <v>70</v>
      </c>
      <c r="C8" s="3" t="s">
        <v>5</v>
      </c>
      <c r="D8" s="3">
        <v>2009</v>
      </c>
      <c r="E8" s="8">
        <f t="shared" si="0"/>
        <v>98.000007110004674</v>
      </c>
      <c r="F8" s="2" t="str">
        <f t="shared" si="1"/>
        <v>P</v>
      </c>
      <c r="G8" s="2" t="str">
        <f t="shared" si="2"/>
        <v>P</v>
      </c>
      <c r="H8" s="26" t="str">
        <f t="shared" si="3"/>
        <v>National Team</v>
      </c>
      <c r="I8" s="2" t="str">
        <f>IF(COUNTIFS('Senior-W'!B:B,B8,'Senior-W'!A:A,"&lt;9",'Senior-W'!H:H,"&lt;&gt;"&amp;"No DD"),"P","")</f>
        <v/>
      </c>
      <c r="J8" s="7">
        <f t="shared" si="4"/>
        <v>46.8</v>
      </c>
      <c r="K8" s="7" t="str">
        <f t="shared" si="5"/>
        <v>2025 Nationals</v>
      </c>
      <c r="L8" s="7">
        <f>IF(J8=AO8,IF(COUNT(AQ8,AS8,BO8,BQ8,BU8,BW8)&gt;1,LARGE((AQ8,AS8,BO8,BQ8,BU8,BW8),1),0),IF(COUNT(AK8,AM8,AQ8,AS8,BU8,BW8)&gt;1,LARGE((AK8,AM8,AQ8,AS8,BU8,BW8),1),0))</f>
        <v>24.299999999999997</v>
      </c>
      <c r="M8" s="7" t="str">
        <f t="shared" si="6"/>
        <v>2025 Nationals</v>
      </c>
      <c r="N8" s="7">
        <f>IF(J8=AO8,IF(COUNT(AQ8,AS8,BO8,BQ8,BU8,BW8)&gt;1,LARGE((AQ8,AS8,BO8,BQ8,BU8,BW8),2),0),IF(COUNT(AK8,AM8,AQ8,AS8,BU8,BW8)&gt;1,LARGE((AK8,AM8,AQ8,AS8,BU8,BW8),2),0))</f>
        <v>24</v>
      </c>
      <c r="O8" s="7" t="str">
        <f t="shared" si="7"/>
        <v>2025 Nationals</v>
      </c>
      <c r="P8" s="7">
        <f t="shared" si="8"/>
        <v>2.9000000000000057</v>
      </c>
      <c r="Q8" s="10" t="str">
        <f t="shared" si="9"/>
        <v>(Q1)</v>
      </c>
      <c r="R8" s="7" t="str">
        <f t="shared" si="10"/>
        <v>2025 WAGC (Nov 16)</v>
      </c>
      <c r="S8" s="39">
        <v>17.899999999999999</v>
      </c>
      <c r="T8" s="39">
        <v>5.6</v>
      </c>
      <c r="U8" s="39">
        <v>0.2</v>
      </c>
      <c r="V8" s="39">
        <v>0</v>
      </c>
      <c r="W8" s="39">
        <v>18.3</v>
      </c>
      <c r="X8" s="39">
        <v>6</v>
      </c>
      <c r="Y8" s="39">
        <v>0.8</v>
      </c>
      <c r="Z8" s="39">
        <v>0</v>
      </c>
      <c r="AA8" s="39">
        <v>18.7</v>
      </c>
      <c r="AB8" s="39">
        <v>5.6</v>
      </c>
      <c r="AC8" s="39">
        <v>0</v>
      </c>
      <c r="AD8" s="39">
        <v>0</v>
      </c>
      <c r="AE8" s="39">
        <v>18.2</v>
      </c>
      <c r="AF8" s="39">
        <v>6</v>
      </c>
      <c r="AG8" s="39">
        <v>0.2</v>
      </c>
      <c r="AH8" s="39">
        <v>0</v>
      </c>
      <c r="AI8" s="19"/>
      <c r="AJ8" s="42">
        <f t="shared" si="11"/>
        <v>5.6</v>
      </c>
      <c r="AK8" s="42">
        <f t="shared" si="12"/>
        <v>23.3</v>
      </c>
      <c r="AL8" s="42">
        <f t="shared" si="13"/>
        <v>6</v>
      </c>
      <c r="AM8" s="42">
        <f t="shared" si="14"/>
        <v>23.5</v>
      </c>
      <c r="AN8" s="27">
        <f t="shared" si="15"/>
        <v>11.6</v>
      </c>
      <c r="AO8" s="27">
        <f t="shared" si="16"/>
        <v>46.8</v>
      </c>
      <c r="AP8" s="27">
        <f t="shared" si="17"/>
        <v>5.6</v>
      </c>
      <c r="AQ8" s="27">
        <f t="shared" si="18"/>
        <v>24.299999999999997</v>
      </c>
      <c r="AR8" s="27">
        <f t="shared" si="19"/>
        <v>6</v>
      </c>
      <c r="AS8" s="27">
        <f t="shared" si="20"/>
        <v>24</v>
      </c>
      <c r="AT8" s="27">
        <f t="shared" si="21"/>
        <v>11.6</v>
      </c>
      <c r="AU8" s="27">
        <f t="shared" si="22"/>
        <v>48.3</v>
      </c>
      <c r="AV8" s="27">
        <f t="shared" si="23"/>
        <v>95.1</v>
      </c>
      <c r="AW8" s="15">
        <v>17.7</v>
      </c>
      <c r="AX8" s="15">
        <v>4.4000000000000004</v>
      </c>
      <c r="AY8" s="15">
        <v>0</v>
      </c>
      <c r="AZ8" s="15">
        <v>0</v>
      </c>
      <c r="BA8" s="15">
        <v>18.8</v>
      </c>
      <c r="BB8" s="15">
        <v>4.3</v>
      </c>
      <c r="BC8" s="15">
        <v>0</v>
      </c>
      <c r="BD8" s="15">
        <v>0</v>
      </c>
      <c r="BE8" s="15">
        <v>17.8</v>
      </c>
      <c r="BF8" s="15">
        <v>5.2</v>
      </c>
      <c r="BG8" s="15">
        <v>0</v>
      </c>
      <c r="BH8" s="15">
        <v>0</v>
      </c>
      <c r="BI8" s="15">
        <v>19.100000000000001</v>
      </c>
      <c r="BJ8" s="15">
        <v>4.3</v>
      </c>
      <c r="BK8" s="15">
        <v>0</v>
      </c>
      <c r="BL8" s="15">
        <v>0</v>
      </c>
      <c r="BM8" s="20"/>
      <c r="BN8" s="43">
        <f t="shared" si="24"/>
        <v>4.4000000000000004</v>
      </c>
      <c r="BO8" s="43">
        <f t="shared" si="25"/>
        <v>22.1</v>
      </c>
      <c r="BP8" s="43">
        <f t="shared" si="26"/>
        <v>4.3</v>
      </c>
      <c r="BQ8" s="43">
        <f t="shared" si="27"/>
        <v>23.1</v>
      </c>
      <c r="BR8" s="10">
        <f t="shared" si="28"/>
        <v>8.6999999999999993</v>
      </c>
      <c r="BS8" s="10">
        <f t="shared" si="29"/>
        <v>45.2</v>
      </c>
      <c r="BT8" s="10">
        <f t="shared" si="30"/>
        <v>5.2</v>
      </c>
      <c r="BU8" s="10">
        <f t="shared" si="31"/>
        <v>23</v>
      </c>
      <c r="BV8" s="10">
        <f t="shared" si="32"/>
        <v>4.3</v>
      </c>
      <c r="BW8" s="10">
        <f t="shared" si="33"/>
        <v>23.400000000000002</v>
      </c>
      <c r="BX8" s="10">
        <f t="shared" si="34"/>
        <v>9.5</v>
      </c>
      <c r="BY8" s="10">
        <f t="shared" si="35"/>
        <v>46.400000000000006</v>
      </c>
      <c r="BZ8" s="10">
        <f t="shared" si="36"/>
        <v>91.600000000000009</v>
      </c>
      <c r="CA8" s="34">
        <f t="shared" si="37"/>
        <v>2.9000000000000057</v>
      </c>
      <c r="CB8" s="34">
        <f t="shared" si="38"/>
        <v>1.2000000000000028</v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9"/>
        <v/>
      </c>
      <c r="CX8" s="27" t="str">
        <f t="shared" si="40"/>
        <v/>
      </c>
      <c r="CY8" s="27" t="str">
        <f t="shared" si="41"/>
        <v/>
      </c>
      <c r="CZ8" s="27" t="str">
        <f t="shared" si="42"/>
        <v/>
      </c>
      <c r="DA8" s="27" t="str">
        <f t="shared" si="43"/>
        <v/>
      </c>
      <c r="DB8" s="27" t="str">
        <f t="shared" si="44"/>
        <v/>
      </c>
      <c r="DC8" s="27" t="str">
        <f t="shared" si="45"/>
        <v/>
      </c>
      <c r="DD8" s="27" t="str">
        <f t="shared" si="46"/>
        <v/>
      </c>
      <c r="DE8" s="27" t="str">
        <f t="shared" si="47"/>
        <v/>
      </c>
      <c r="DF8" s="27" t="str">
        <f t="shared" si="48"/>
        <v/>
      </c>
      <c r="DG8" s="27" t="str">
        <f t="shared" si="49"/>
        <v/>
      </c>
      <c r="DH8" s="27" t="str">
        <f t="shared" si="50"/>
        <v/>
      </c>
      <c r="DI8" s="27" t="str">
        <f t="shared" si="51"/>
        <v/>
      </c>
      <c r="DJ8" s="27" t="str">
        <f t="shared" si="52"/>
        <v/>
      </c>
      <c r="DK8" s="27" t="str">
        <f t="shared" si="53"/>
        <v/>
      </c>
      <c r="DL8" s="15">
        <v>18.5</v>
      </c>
      <c r="DM8" s="15">
        <v>6.4</v>
      </c>
      <c r="DN8" s="15">
        <v>0</v>
      </c>
      <c r="DO8" s="15">
        <v>0</v>
      </c>
      <c r="DP8" s="15">
        <v>18.2</v>
      </c>
      <c r="DQ8" s="15">
        <v>6.8</v>
      </c>
      <c r="DR8" s="15">
        <v>0.2</v>
      </c>
      <c r="DS8" s="15">
        <v>0</v>
      </c>
      <c r="DT8" s="15">
        <v>18.600000000000001</v>
      </c>
      <c r="DU8" s="15">
        <v>6.8</v>
      </c>
      <c r="DV8" s="15">
        <v>0.2</v>
      </c>
      <c r="DW8" s="15">
        <v>0</v>
      </c>
      <c r="DX8" s="15">
        <v>18.399999999999999</v>
      </c>
      <c r="DY8" s="15">
        <v>6.8</v>
      </c>
      <c r="DZ8" s="15">
        <v>0</v>
      </c>
      <c r="EA8" s="15">
        <v>0</v>
      </c>
      <c r="EB8" s="15">
        <v>18.600000000000001</v>
      </c>
      <c r="EC8" s="15">
        <v>6.4</v>
      </c>
      <c r="ED8" s="15">
        <v>0.6</v>
      </c>
      <c r="EE8" s="15">
        <v>0</v>
      </c>
      <c r="EF8" s="10">
        <f t="shared" si="54"/>
        <v>6.4</v>
      </c>
      <c r="EG8" s="10">
        <f t="shared" si="55"/>
        <v>24.9</v>
      </c>
      <c r="EH8" s="10">
        <f t="shared" si="56"/>
        <v>6.8</v>
      </c>
      <c r="EI8" s="10">
        <f t="shared" si="57"/>
        <v>24.8</v>
      </c>
      <c r="EJ8" s="10">
        <f t="shared" si="58"/>
        <v>13.2</v>
      </c>
      <c r="EK8" s="10">
        <f t="shared" si="59"/>
        <v>49.7</v>
      </c>
      <c r="EL8" s="10">
        <f t="shared" si="60"/>
        <v>6.8</v>
      </c>
      <c r="EM8" s="10">
        <f t="shared" si="61"/>
        <v>25.200000000000003</v>
      </c>
      <c r="EN8" s="10">
        <f t="shared" si="62"/>
        <v>6.8</v>
      </c>
      <c r="EO8" s="10">
        <f t="shared" si="63"/>
        <v>25.2</v>
      </c>
      <c r="EP8" s="10">
        <f t="shared" si="64"/>
        <v>6.4</v>
      </c>
      <c r="EQ8" s="10">
        <f t="shared" si="65"/>
        <v>24.4</v>
      </c>
      <c r="ER8" s="10">
        <f t="shared" si="66"/>
        <v>13.2</v>
      </c>
      <c r="ES8" s="10">
        <f t="shared" si="67"/>
        <v>49.599999999999994</v>
      </c>
      <c r="ET8" s="10">
        <f t="shared" si="68"/>
        <v>99.300000000000011</v>
      </c>
      <c r="EU8" s="44">
        <f t="shared" si="69"/>
        <v>17.799999999999997</v>
      </c>
      <c r="EV8" s="44">
        <f t="shared" si="70"/>
        <v>5</v>
      </c>
      <c r="EW8" s="44">
        <f t="shared" si="71"/>
        <v>0.1</v>
      </c>
      <c r="EX8" s="44">
        <f t="shared" si="72"/>
        <v>0</v>
      </c>
      <c r="EY8" s="44">
        <f t="shared" si="73"/>
        <v>18.55</v>
      </c>
      <c r="EZ8" s="44">
        <f t="shared" si="74"/>
        <v>5.15</v>
      </c>
      <c r="FA8" s="44">
        <f t="shared" si="75"/>
        <v>0.4</v>
      </c>
      <c r="FB8" s="44">
        <f t="shared" si="76"/>
        <v>0</v>
      </c>
      <c r="FC8" s="44">
        <f t="shared" si="77"/>
        <v>18.25</v>
      </c>
      <c r="FD8" s="44">
        <f t="shared" si="78"/>
        <v>5.4</v>
      </c>
      <c r="FE8" s="44">
        <f t="shared" si="79"/>
        <v>0</v>
      </c>
      <c r="FF8" s="44">
        <f t="shared" si="80"/>
        <v>0</v>
      </c>
      <c r="FG8" s="44">
        <f t="shared" si="81"/>
        <v>18.649999999999999</v>
      </c>
      <c r="FH8" s="44">
        <f t="shared" si="82"/>
        <v>5.15</v>
      </c>
      <c r="FI8" s="44">
        <f t="shared" si="83"/>
        <v>0.1</v>
      </c>
      <c r="FJ8" s="44">
        <f t="shared" si="84"/>
        <v>0</v>
      </c>
      <c r="FK8" s="20" t="s">
        <v>29</v>
      </c>
      <c r="FL8" s="10">
        <f t="shared" si="85"/>
        <v>5</v>
      </c>
      <c r="FM8" s="10">
        <f t="shared" si="86"/>
        <v>22.699999999999996</v>
      </c>
      <c r="FN8" s="10">
        <f t="shared" si="87"/>
        <v>5.15</v>
      </c>
      <c r="FO8" s="10">
        <f t="shared" si="88"/>
        <v>23.300000000000004</v>
      </c>
      <c r="FP8" s="10">
        <f t="shared" si="89"/>
        <v>10.15</v>
      </c>
      <c r="FQ8" s="10">
        <f t="shared" si="92"/>
        <v>46</v>
      </c>
      <c r="FR8" s="10">
        <f t="shared" si="93"/>
        <v>5.4</v>
      </c>
      <c r="FS8" s="10">
        <f t="shared" si="94"/>
        <v>23.65</v>
      </c>
      <c r="FT8" s="10">
        <f t="shared" si="95"/>
        <v>5.15</v>
      </c>
      <c r="FU8" s="10">
        <f t="shared" si="96"/>
        <v>23.699999999999996</v>
      </c>
      <c r="FV8" s="10">
        <f t="shared" si="97"/>
        <v>10.55</v>
      </c>
      <c r="FW8" s="10">
        <f t="shared" si="90"/>
        <v>47.349999999999994</v>
      </c>
      <c r="FX8" s="10">
        <f t="shared" si="91"/>
        <v>93.35</v>
      </c>
    </row>
    <row r="9" spans="1:180" x14ac:dyDescent="0.2">
      <c r="A9" s="3" cm="1">
        <f t="array" ref="A9">IF(AND(H9&lt;&gt;"",H9&lt;&gt;"No DD",I9&lt;&gt;"P"),SUMPRODUCT((H$4:H$40&lt;&gt;"")*(H$4:H$40&lt;&gt;"No DD")*(I$4:I$40&lt;&gt;"P")*(E$4:E$40&gt;E9))+1,IF(H9="No DD",SUMPRODUCT((H$4:H$40="No DD")*(I$4:I$40&lt;&gt;"P")*(E$4:E$40&gt;E9))+1+SUMPRODUCT((H$4:H$40&lt;&gt;"")*(I$4:I$40&lt;&gt;"P")*(H$4:H$40&lt;&gt;"No DD")),""))</f>
        <v>3</v>
      </c>
      <c r="B9" s="4" t="s">
        <v>133</v>
      </c>
      <c r="C9" s="3" t="s">
        <v>5</v>
      </c>
      <c r="D9" s="3">
        <v>2008</v>
      </c>
      <c r="E9" s="8">
        <f t="shared" si="0"/>
        <v>96.500007080004679</v>
      </c>
      <c r="F9" s="2" t="str">
        <f t="shared" si="1"/>
        <v>P</v>
      </c>
      <c r="G9" s="2" t="str">
        <f t="shared" si="2"/>
        <v>P</v>
      </c>
      <c r="H9" s="26" t="str">
        <f t="shared" si="3"/>
        <v>National Team</v>
      </c>
      <c r="I9" s="2" t="str">
        <f>IF(COUNTIFS('Senior-W'!B:B,B9,'Senior-W'!A:A,"&lt;9",'Senior-W'!H:H,"&lt;&gt;"&amp;"No DD"),"P","")</f>
        <v/>
      </c>
      <c r="J9" s="7">
        <f t="shared" si="4"/>
        <v>46.8</v>
      </c>
      <c r="K9" s="7" t="str">
        <f t="shared" si="5"/>
        <v>2025 Nationals</v>
      </c>
      <c r="L9" s="7">
        <f>IF(J9=AO9,IF(COUNT(AQ9,AS9,BO9,BQ9,BU9,BW9)&gt;1,LARGE((AQ9,AS9,BO9,BQ9,BU9,BW9),1),0),IF(COUNT(AK9,AM9,AQ9,AS9,BU9,BW9)&gt;1,LARGE((AK9,AM9,AQ9,AS9,BU9,BW9),1),0))</f>
        <v>24.000000000000004</v>
      </c>
      <c r="M9" s="7" t="str">
        <f t="shared" si="6"/>
        <v>2025 Nationals</v>
      </c>
      <c r="N9" s="7">
        <f>IF(J9=AO9,IF(COUNT(AQ9,AS9,BO9,BQ9,BU9,BW9)&gt;1,LARGE((AQ9,AS9,BO9,BQ9,BU9,BW9),2),0),IF(COUNT(AK9,AM9,AQ9,AS9,BU9,BW9)&gt;1,LARGE((AK9,AM9,AQ9,AS9,BU9,BW9),2),0))</f>
        <v>23.599999999999998</v>
      </c>
      <c r="O9" s="7" t="str">
        <f t="shared" si="7"/>
        <v>2025 Nationals</v>
      </c>
      <c r="P9" s="7">
        <f t="shared" si="8"/>
        <v>2.1000000000000014</v>
      </c>
      <c r="Q9" s="10" t="str">
        <f t="shared" si="9"/>
        <v>(Q1)</v>
      </c>
      <c r="R9" s="7" t="str">
        <f t="shared" si="10"/>
        <v>2025 WAGC (Nov 16)</v>
      </c>
      <c r="S9" s="39">
        <v>18.100000000000001</v>
      </c>
      <c r="T9" s="39">
        <v>5.2</v>
      </c>
      <c r="U9" s="39">
        <v>0.2</v>
      </c>
      <c r="V9" s="39">
        <v>0</v>
      </c>
      <c r="W9" s="39">
        <v>18.3</v>
      </c>
      <c r="X9" s="39">
        <v>5.6</v>
      </c>
      <c r="Y9" s="39">
        <v>0.2</v>
      </c>
      <c r="Z9" s="39">
        <v>0</v>
      </c>
      <c r="AA9" s="39">
        <v>18.2</v>
      </c>
      <c r="AB9" s="39">
        <v>6</v>
      </c>
      <c r="AC9" s="39">
        <v>0.6</v>
      </c>
      <c r="AD9" s="39">
        <v>0</v>
      </c>
      <c r="AE9" s="39">
        <v>18.600000000000001</v>
      </c>
      <c r="AF9" s="39">
        <v>5.6</v>
      </c>
      <c r="AG9" s="39">
        <v>0.2</v>
      </c>
      <c r="AH9" s="39">
        <v>0</v>
      </c>
      <c r="AI9" s="19"/>
      <c r="AJ9" s="42">
        <f t="shared" si="11"/>
        <v>5.2</v>
      </c>
      <c r="AK9" s="42">
        <f t="shared" si="12"/>
        <v>23.1</v>
      </c>
      <c r="AL9" s="42">
        <f t="shared" si="13"/>
        <v>5.6</v>
      </c>
      <c r="AM9" s="42">
        <f t="shared" si="14"/>
        <v>23.7</v>
      </c>
      <c r="AN9" s="27">
        <f t="shared" si="15"/>
        <v>10.8</v>
      </c>
      <c r="AO9" s="27">
        <f t="shared" si="16"/>
        <v>46.8</v>
      </c>
      <c r="AP9" s="27">
        <f t="shared" si="17"/>
        <v>6</v>
      </c>
      <c r="AQ9" s="27">
        <f t="shared" si="18"/>
        <v>23.599999999999998</v>
      </c>
      <c r="AR9" s="27">
        <f t="shared" si="19"/>
        <v>5.6</v>
      </c>
      <c r="AS9" s="27">
        <f t="shared" si="20"/>
        <v>24.000000000000004</v>
      </c>
      <c r="AT9" s="27">
        <f t="shared" si="21"/>
        <v>11.6</v>
      </c>
      <c r="AU9" s="27">
        <f t="shared" si="22"/>
        <v>47.6</v>
      </c>
      <c r="AV9" s="27">
        <f t="shared" si="23"/>
        <v>94.4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3" t="str">
        <f t="shared" si="24"/>
        <v/>
      </c>
      <c r="BO9" s="43" t="str">
        <f t="shared" si="25"/>
        <v/>
      </c>
      <c r="BP9" s="43" t="str">
        <f t="shared" si="26"/>
        <v/>
      </c>
      <c r="BQ9" s="43" t="str">
        <f t="shared" si="27"/>
        <v/>
      </c>
      <c r="BR9" s="10" t="str">
        <f t="shared" si="28"/>
        <v/>
      </c>
      <c r="BS9" s="10" t="str">
        <f t="shared" si="29"/>
        <v/>
      </c>
      <c r="BT9" s="10" t="str">
        <f t="shared" si="30"/>
        <v/>
      </c>
      <c r="BU9" s="10" t="str">
        <f t="shared" si="31"/>
        <v/>
      </c>
      <c r="BV9" s="10" t="str">
        <f t="shared" si="32"/>
        <v/>
      </c>
      <c r="BW9" s="10" t="str">
        <f t="shared" si="33"/>
        <v/>
      </c>
      <c r="BX9" s="10" t="str">
        <f t="shared" si="34"/>
        <v/>
      </c>
      <c r="BY9" s="10" t="str">
        <f t="shared" si="35"/>
        <v/>
      </c>
      <c r="BZ9" s="10" t="str">
        <f t="shared" si="36"/>
        <v/>
      </c>
      <c r="CA9" s="34">
        <f t="shared" si="37"/>
        <v>2.1000000000000014</v>
      </c>
      <c r="CB9" s="34">
        <f t="shared" si="38"/>
        <v>0.90000000000000213</v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9"/>
        <v/>
      </c>
      <c r="CX9" s="27" t="str">
        <f t="shared" si="40"/>
        <v/>
      </c>
      <c r="CY9" s="27" t="str">
        <f t="shared" si="41"/>
        <v/>
      </c>
      <c r="CZ9" s="27" t="str">
        <f t="shared" si="42"/>
        <v/>
      </c>
      <c r="DA9" s="27" t="str">
        <f t="shared" si="43"/>
        <v/>
      </c>
      <c r="DB9" s="27" t="str">
        <f t="shared" si="44"/>
        <v/>
      </c>
      <c r="DC9" s="27" t="str">
        <f t="shared" si="45"/>
        <v/>
      </c>
      <c r="DD9" s="27" t="str">
        <f t="shared" si="46"/>
        <v/>
      </c>
      <c r="DE9" s="27" t="str">
        <f t="shared" si="47"/>
        <v/>
      </c>
      <c r="DF9" s="27" t="str">
        <f t="shared" si="48"/>
        <v/>
      </c>
      <c r="DG9" s="27" t="str">
        <f t="shared" si="49"/>
        <v/>
      </c>
      <c r="DH9" s="27" t="str">
        <f t="shared" si="50"/>
        <v/>
      </c>
      <c r="DI9" s="27" t="str">
        <f t="shared" si="51"/>
        <v/>
      </c>
      <c r="DJ9" s="27" t="str">
        <f t="shared" si="52"/>
        <v/>
      </c>
      <c r="DK9" s="27" t="str">
        <f t="shared" si="53"/>
        <v/>
      </c>
      <c r="DL9" s="15">
        <v>18.8</v>
      </c>
      <c r="DM9" s="15">
        <v>5.6</v>
      </c>
      <c r="DN9" s="15">
        <v>0</v>
      </c>
      <c r="DO9" s="15">
        <v>0</v>
      </c>
      <c r="DP9" s="15">
        <v>18.5</v>
      </c>
      <c r="DQ9" s="15">
        <v>6</v>
      </c>
      <c r="DR9" s="15">
        <v>0</v>
      </c>
      <c r="DS9" s="15">
        <v>0</v>
      </c>
      <c r="DT9" s="15"/>
      <c r="DU9" s="15"/>
      <c r="DV9" s="15"/>
      <c r="DW9" s="15"/>
      <c r="DX9" s="15">
        <v>18.3</v>
      </c>
      <c r="DY9" s="15">
        <v>6</v>
      </c>
      <c r="DZ9" s="15">
        <v>0.2</v>
      </c>
      <c r="EA9" s="15">
        <v>0</v>
      </c>
      <c r="EB9" s="15"/>
      <c r="EC9" s="15"/>
      <c r="ED9" s="15"/>
      <c r="EE9" s="15"/>
      <c r="EF9" s="10">
        <f t="shared" si="54"/>
        <v>5.6</v>
      </c>
      <c r="EG9" s="10">
        <f t="shared" si="55"/>
        <v>24.4</v>
      </c>
      <c r="EH9" s="10">
        <f t="shared" si="56"/>
        <v>6</v>
      </c>
      <c r="EI9" s="10">
        <f t="shared" si="57"/>
        <v>24.5</v>
      </c>
      <c r="EJ9" s="10">
        <f t="shared" si="58"/>
        <v>11.6</v>
      </c>
      <c r="EK9" s="10">
        <f t="shared" si="59"/>
        <v>48.9</v>
      </c>
      <c r="EL9" s="10" t="str">
        <f t="shared" si="60"/>
        <v/>
      </c>
      <c r="EM9" s="10" t="str">
        <f t="shared" si="61"/>
        <v/>
      </c>
      <c r="EN9" s="10">
        <f t="shared" si="62"/>
        <v>6</v>
      </c>
      <c r="EO9" s="10">
        <f t="shared" si="63"/>
        <v>24.1</v>
      </c>
      <c r="EP9" s="10" t="str">
        <f t="shared" si="64"/>
        <v/>
      </c>
      <c r="EQ9" s="10" t="str">
        <f t="shared" si="65"/>
        <v/>
      </c>
      <c r="ER9" s="10">
        <f t="shared" si="66"/>
        <v>6</v>
      </c>
      <c r="ES9" s="10">
        <f t="shared" si="67"/>
        <v>24.1</v>
      </c>
      <c r="ET9" s="10">
        <f t="shared" si="68"/>
        <v>48.9</v>
      </c>
      <c r="EU9" s="44">
        <f t="shared" si="69"/>
        <v>9.0500000000000007</v>
      </c>
      <c r="EV9" s="44">
        <f t="shared" si="70"/>
        <v>2.6</v>
      </c>
      <c r="EW9" s="44">
        <f t="shared" si="71"/>
        <v>0.1</v>
      </c>
      <c r="EX9" s="44">
        <f t="shared" si="72"/>
        <v>0</v>
      </c>
      <c r="EY9" s="44">
        <f t="shared" si="73"/>
        <v>9.15</v>
      </c>
      <c r="EZ9" s="44">
        <f t="shared" si="74"/>
        <v>2.8</v>
      </c>
      <c r="FA9" s="44">
        <f t="shared" si="75"/>
        <v>0.1</v>
      </c>
      <c r="FB9" s="44">
        <f t="shared" si="76"/>
        <v>0</v>
      </c>
      <c r="FC9" s="44">
        <f t="shared" si="77"/>
        <v>9.1</v>
      </c>
      <c r="FD9" s="44">
        <f t="shared" si="78"/>
        <v>3</v>
      </c>
      <c r="FE9" s="44">
        <f t="shared" si="79"/>
        <v>0.3</v>
      </c>
      <c r="FF9" s="44">
        <f t="shared" si="80"/>
        <v>0</v>
      </c>
      <c r="FG9" s="44">
        <f t="shared" si="81"/>
        <v>9.3000000000000007</v>
      </c>
      <c r="FH9" s="44">
        <f t="shared" si="82"/>
        <v>2.8</v>
      </c>
      <c r="FI9" s="44">
        <f t="shared" si="83"/>
        <v>0.1</v>
      </c>
      <c r="FJ9" s="44">
        <f t="shared" si="84"/>
        <v>0</v>
      </c>
      <c r="FK9" s="20" t="s">
        <v>29</v>
      </c>
      <c r="FL9" s="10">
        <f t="shared" si="85"/>
        <v>2.6</v>
      </c>
      <c r="FM9" s="10">
        <f t="shared" si="86"/>
        <v>11.55</v>
      </c>
      <c r="FN9" s="10">
        <f t="shared" si="87"/>
        <v>2.8</v>
      </c>
      <c r="FO9" s="10">
        <f t="shared" si="88"/>
        <v>11.85</v>
      </c>
      <c r="FP9" s="10">
        <f t="shared" si="89"/>
        <v>5.4</v>
      </c>
      <c r="FQ9" s="10">
        <f t="shared" si="92"/>
        <v>23.4</v>
      </c>
      <c r="FR9" s="10">
        <f t="shared" si="93"/>
        <v>3</v>
      </c>
      <c r="FS9" s="10">
        <f t="shared" si="94"/>
        <v>11.799999999999999</v>
      </c>
      <c r="FT9" s="10">
        <f t="shared" si="95"/>
        <v>2.8</v>
      </c>
      <c r="FU9" s="10">
        <f t="shared" si="96"/>
        <v>12.000000000000002</v>
      </c>
      <c r="FV9" s="10">
        <f t="shared" si="97"/>
        <v>5.8</v>
      </c>
      <c r="FW9" s="10">
        <f t="shared" si="90"/>
        <v>23.8</v>
      </c>
      <c r="FX9" s="10">
        <f t="shared" si="91"/>
        <v>47.2</v>
      </c>
    </row>
    <row r="10" spans="1:180" x14ac:dyDescent="0.2">
      <c r="A10" s="3" cm="1">
        <f t="array" ref="A10">IF(AND(H10&lt;&gt;"",H10&lt;&gt;"No DD",I10&lt;&gt;"P"),SUMPRODUCT((H$4:H$40&lt;&gt;"")*(H$4:H$40&lt;&gt;"No DD")*(I$4:I$40&lt;&gt;"P")*(E$4:E$40&gt;E10))+1,IF(H10="No DD",SUMPRODUCT((H$4:H$40="No DD")*(I$4:I$40&lt;&gt;"P")*(E$4:E$40&gt;E10))+1+SUMPRODUCT((H$4:H$40&lt;&gt;"")*(I$4:I$40&lt;&gt;"P")*(H$4:H$40&lt;&gt;"No DD")),""))</f>
        <v>4</v>
      </c>
      <c r="B10" s="4" t="s">
        <v>136</v>
      </c>
      <c r="C10" s="3" t="s">
        <v>83</v>
      </c>
      <c r="D10" s="3">
        <v>2005</v>
      </c>
      <c r="E10" s="8">
        <f t="shared" si="0"/>
        <v>95.400007160004762</v>
      </c>
      <c r="F10" s="2" t="str">
        <f t="shared" si="1"/>
        <v>P</v>
      </c>
      <c r="G10" s="2" t="str">
        <f t="shared" si="2"/>
        <v>P</v>
      </c>
      <c r="H10" s="26" t="str">
        <f t="shared" si="3"/>
        <v>National Team</v>
      </c>
      <c r="I10" s="2" t="str">
        <f>IF(COUNTIFS('Senior-W'!B:B,B10,'Senior-W'!A:A,"&lt;9",'Senior-W'!H:H,"&lt;&gt;"&amp;"No DD"),"P","")</f>
        <v/>
      </c>
      <c r="J10" s="7">
        <f t="shared" si="4"/>
        <v>47.8</v>
      </c>
      <c r="K10" s="7" t="str">
        <f t="shared" si="5"/>
        <v>2025 3rd Domestic Trial</v>
      </c>
      <c r="L10" s="7">
        <f>IF(J10=AO10,IF(COUNT(AQ10,AS10,BO10,BQ10,BU10,BW10)&gt;1,LARGE((AQ10,AS10,BO10,BQ10,BU10,BW10),1),0),IF(COUNT(AK10,AM10,AQ10,AS10,BU10,BW10)&gt;1,LARGE((AK10,AM10,AQ10,AS10,BU10,BW10),1),0))</f>
        <v>23.8</v>
      </c>
      <c r="M10" s="7" t="str">
        <f t="shared" si="6"/>
        <v>2025 Nationals</v>
      </c>
      <c r="N10" s="7">
        <f>IF(J10=AO10,IF(COUNT(AQ10,AS10,BO10,BQ10,BU10,BW10)&gt;1,LARGE((AQ10,AS10,BO10,BQ10,BU10,BW10),2),0),IF(COUNT(AK10,AM10,AQ10,AS10,BU10,BW10)&gt;1,LARGE((AK10,AM10,AQ10,AS10,BU10,BW10),2),0))</f>
        <v>22.400000000000002</v>
      </c>
      <c r="O10" s="7" t="str">
        <f t="shared" si="7"/>
        <v>2025 3rd Domestic Trial</v>
      </c>
      <c r="P10" s="7">
        <f t="shared" si="8"/>
        <v>1.399999999999995</v>
      </c>
      <c r="Q10" s="10" t="str">
        <f t="shared" si="9"/>
        <v>(Pass)</v>
      </c>
      <c r="R10" s="7" t="str">
        <f t="shared" si="10"/>
        <v>2025 WAGC (Nov 16)</v>
      </c>
      <c r="S10" s="39">
        <v>16.399999999999999</v>
      </c>
      <c r="T10" s="39">
        <v>4.8</v>
      </c>
      <c r="U10" s="39">
        <v>0.8</v>
      </c>
      <c r="V10" s="39">
        <v>0</v>
      </c>
      <c r="W10" s="39">
        <v>18.399999999999999</v>
      </c>
      <c r="X10" s="39">
        <v>5.6</v>
      </c>
      <c r="Y10" s="39">
        <v>0.2</v>
      </c>
      <c r="Z10" s="39">
        <v>0</v>
      </c>
      <c r="AA10" s="39"/>
      <c r="AB10" s="39"/>
      <c r="AC10" s="39"/>
      <c r="AD10" s="39"/>
      <c r="AE10" s="39"/>
      <c r="AF10" s="39"/>
      <c r="AG10" s="39"/>
      <c r="AH10" s="39"/>
      <c r="AI10" s="19"/>
      <c r="AJ10" s="42">
        <f t="shared" si="11"/>
        <v>4.8</v>
      </c>
      <c r="AK10" s="42">
        <f t="shared" si="12"/>
        <v>20.399999999999999</v>
      </c>
      <c r="AL10" s="42">
        <f t="shared" si="13"/>
        <v>5.6</v>
      </c>
      <c r="AM10" s="42">
        <f t="shared" si="14"/>
        <v>23.8</v>
      </c>
      <c r="AN10" s="27">
        <f t="shared" si="15"/>
        <v>10.399999999999999</v>
      </c>
      <c r="AO10" s="27">
        <f t="shared" si="16"/>
        <v>44.2</v>
      </c>
      <c r="AP10" s="27" t="str">
        <f t="shared" si="17"/>
        <v/>
      </c>
      <c r="AQ10" s="27" t="str">
        <f t="shared" si="18"/>
        <v/>
      </c>
      <c r="AR10" s="27" t="str">
        <f t="shared" si="19"/>
        <v/>
      </c>
      <c r="AS10" s="27" t="str">
        <f t="shared" si="20"/>
        <v/>
      </c>
      <c r="AT10" s="27" t="str">
        <f t="shared" si="21"/>
        <v/>
      </c>
      <c r="AU10" s="27" t="str">
        <f t="shared" si="22"/>
        <v/>
      </c>
      <c r="AV10" s="27">
        <f t="shared" si="23"/>
        <v>44.2</v>
      </c>
      <c r="AW10" s="15">
        <v>18.3</v>
      </c>
      <c r="AX10" s="15">
        <v>5.6</v>
      </c>
      <c r="AY10" s="15">
        <v>0.2</v>
      </c>
      <c r="AZ10" s="15">
        <v>0</v>
      </c>
      <c r="BA10" s="15">
        <v>18.3</v>
      </c>
      <c r="BB10" s="15">
        <v>6</v>
      </c>
      <c r="BC10" s="15">
        <v>0.2</v>
      </c>
      <c r="BD10" s="15">
        <v>0</v>
      </c>
      <c r="BE10" s="15">
        <v>17.600000000000001</v>
      </c>
      <c r="BF10" s="15">
        <v>5.6</v>
      </c>
      <c r="BG10" s="15">
        <v>0.8</v>
      </c>
      <c r="BH10" s="15">
        <v>0</v>
      </c>
      <c r="BI10" s="15">
        <v>15.1</v>
      </c>
      <c r="BJ10" s="15">
        <v>2.4</v>
      </c>
      <c r="BK10" s="15">
        <v>0</v>
      </c>
      <c r="BL10" s="15">
        <v>0</v>
      </c>
      <c r="BM10" s="20"/>
      <c r="BN10" s="43">
        <f t="shared" si="24"/>
        <v>5.6</v>
      </c>
      <c r="BO10" s="43">
        <f t="shared" si="25"/>
        <v>23.7</v>
      </c>
      <c r="BP10" s="43">
        <f t="shared" si="26"/>
        <v>6</v>
      </c>
      <c r="BQ10" s="43">
        <f t="shared" si="27"/>
        <v>24.1</v>
      </c>
      <c r="BR10" s="10">
        <f t="shared" si="28"/>
        <v>11.6</v>
      </c>
      <c r="BS10" s="10">
        <f t="shared" si="29"/>
        <v>47.8</v>
      </c>
      <c r="BT10" s="10">
        <f t="shared" si="30"/>
        <v>5.6</v>
      </c>
      <c r="BU10" s="10">
        <f t="shared" si="31"/>
        <v>22.400000000000002</v>
      </c>
      <c r="BV10" s="10">
        <f t="shared" si="32"/>
        <v>2.4</v>
      </c>
      <c r="BW10" s="10">
        <f t="shared" si="33"/>
        <v>17.5</v>
      </c>
      <c r="BX10" s="10">
        <f t="shared" si="34"/>
        <v>8</v>
      </c>
      <c r="BY10" s="10">
        <f t="shared" si="35"/>
        <v>39.900000000000006</v>
      </c>
      <c r="BZ10" s="10">
        <f t="shared" si="36"/>
        <v>87.7</v>
      </c>
      <c r="CA10" s="34" t="str">
        <f t="shared" si="37"/>
        <v/>
      </c>
      <c r="CB10" s="34">
        <f t="shared" si="38"/>
        <v>1.399999999999995</v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9"/>
        <v/>
      </c>
      <c r="CX10" s="27" t="str">
        <f t="shared" si="40"/>
        <v/>
      </c>
      <c r="CY10" s="27" t="str">
        <f t="shared" si="41"/>
        <v/>
      </c>
      <c r="CZ10" s="27" t="str">
        <f t="shared" si="42"/>
        <v/>
      </c>
      <c r="DA10" s="27" t="str">
        <f t="shared" si="43"/>
        <v/>
      </c>
      <c r="DB10" s="27" t="str">
        <f t="shared" si="44"/>
        <v/>
      </c>
      <c r="DC10" s="27" t="str">
        <f t="shared" si="45"/>
        <v/>
      </c>
      <c r="DD10" s="27" t="str">
        <f t="shared" si="46"/>
        <v/>
      </c>
      <c r="DE10" s="27" t="str">
        <f t="shared" si="47"/>
        <v/>
      </c>
      <c r="DF10" s="27" t="str">
        <f t="shared" si="48"/>
        <v/>
      </c>
      <c r="DG10" s="27" t="str">
        <f t="shared" si="49"/>
        <v/>
      </c>
      <c r="DH10" s="27" t="str">
        <f t="shared" si="50"/>
        <v/>
      </c>
      <c r="DI10" s="27" t="str">
        <f t="shared" si="51"/>
        <v/>
      </c>
      <c r="DJ10" s="27" t="str">
        <f t="shared" si="52"/>
        <v/>
      </c>
      <c r="DK10" s="27" t="str">
        <f t="shared" si="53"/>
        <v/>
      </c>
      <c r="DL10" s="15">
        <v>18.2</v>
      </c>
      <c r="DM10" s="15">
        <v>5.6</v>
      </c>
      <c r="DN10" s="15">
        <v>1</v>
      </c>
      <c r="DO10" s="15">
        <v>0</v>
      </c>
      <c r="DP10" s="15">
        <v>18.399999999999999</v>
      </c>
      <c r="DQ10" s="15">
        <v>6</v>
      </c>
      <c r="DR10" s="15">
        <v>0.6</v>
      </c>
      <c r="DS10" s="15">
        <v>0</v>
      </c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>
        <f t="shared" si="54"/>
        <v>5.6</v>
      </c>
      <c r="EG10" s="10">
        <f t="shared" si="55"/>
        <v>22.799999999999997</v>
      </c>
      <c r="EH10" s="10">
        <f t="shared" si="56"/>
        <v>6</v>
      </c>
      <c r="EI10" s="10">
        <f t="shared" si="57"/>
        <v>23.799999999999997</v>
      </c>
      <c r="EJ10" s="10">
        <f t="shared" si="58"/>
        <v>11.6</v>
      </c>
      <c r="EK10" s="10">
        <f t="shared" si="59"/>
        <v>46.599999999999994</v>
      </c>
      <c r="EL10" s="10" t="str">
        <f t="shared" si="60"/>
        <v/>
      </c>
      <c r="EM10" s="10" t="str">
        <f t="shared" si="61"/>
        <v/>
      </c>
      <c r="EN10" s="10" t="str">
        <f t="shared" si="62"/>
        <v/>
      </c>
      <c r="EO10" s="10" t="str">
        <f t="shared" si="63"/>
        <v/>
      </c>
      <c r="EP10" s="10" t="str">
        <f t="shared" si="64"/>
        <v/>
      </c>
      <c r="EQ10" s="10" t="str">
        <f t="shared" si="65"/>
        <v/>
      </c>
      <c r="ER10" s="10" t="str">
        <f t="shared" si="66"/>
        <v/>
      </c>
      <c r="ES10" s="10" t="str">
        <f t="shared" si="67"/>
        <v/>
      </c>
      <c r="ET10" s="10">
        <f t="shared" si="68"/>
        <v>46.599999999999994</v>
      </c>
      <c r="EU10" s="44">
        <f t="shared" si="69"/>
        <v>17.350000000000001</v>
      </c>
      <c r="EV10" s="44">
        <f t="shared" si="70"/>
        <v>5.1999999999999993</v>
      </c>
      <c r="EW10" s="44">
        <f t="shared" si="71"/>
        <v>0.5</v>
      </c>
      <c r="EX10" s="44">
        <f t="shared" si="72"/>
        <v>0</v>
      </c>
      <c r="EY10" s="44">
        <f t="shared" si="73"/>
        <v>18.350000000000001</v>
      </c>
      <c r="EZ10" s="44">
        <f t="shared" si="74"/>
        <v>5.8</v>
      </c>
      <c r="FA10" s="44">
        <f t="shared" si="75"/>
        <v>0.2</v>
      </c>
      <c r="FB10" s="44">
        <f t="shared" si="76"/>
        <v>0</v>
      </c>
      <c r="FC10" s="44">
        <f t="shared" si="77"/>
        <v>8.8000000000000007</v>
      </c>
      <c r="FD10" s="44">
        <f t="shared" si="78"/>
        <v>2.8</v>
      </c>
      <c r="FE10" s="44">
        <f t="shared" si="79"/>
        <v>0.4</v>
      </c>
      <c r="FF10" s="44">
        <f t="shared" si="80"/>
        <v>0</v>
      </c>
      <c r="FG10" s="44">
        <f t="shared" si="81"/>
        <v>7.55</v>
      </c>
      <c r="FH10" s="44">
        <f t="shared" si="82"/>
        <v>1.2</v>
      </c>
      <c r="FI10" s="44">
        <f t="shared" si="83"/>
        <v>0</v>
      </c>
      <c r="FJ10" s="44">
        <f t="shared" si="84"/>
        <v>0</v>
      </c>
      <c r="FK10" s="20" t="s">
        <v>29</v>
      </c>
      <c r="FL10" s="10">
        <f t="shared" si="85"/>
        <v>5.1999999999999993</v>
      </c>
      <c r="FM10" s="10">
        <f t="shared" si="86"/>
        <v>22.05</v>
      </c>
      <c r="FN10" s="10">
        <f t="shared" si="87"/>
        <v>5.8</v>
      </c>
      <c r="FO10" s="10">
        <f t="shared" si="88"/>
        <v>23.950000000000003</v>
      </c>
      <c r="FP10" s="10">
        <f t="shared" si="89"/>
        <v>11</v>
      </c>
      <c r="FQ10" s="10">
        <f t="shared" si="92"/>
        <v>46</v>
      </c>
      <c r="FR10" s="10">
        <f t="shared" si="93"/>
        <v>2.8</v>
      </c>
      <c r="FS10" s="10">
        <f t="shared" si="94"/>
        <v>11.200000000000001</v>
      </c>
      <c r="FT10" s="10">
        <f t="shared" si="95"/>
        <v>1.2</v>
      </c>
      <c r="FU10" s="10">
        <f t="shared" si="96"/>
        <v>8.75</v>
      </c>
      <c r="FV10" s="10">
        <f t="shared" si="97"/>
        <v>4</v>
      </c>
      <c r="FW10" s="10">
        <f t="shared" si="90"/>
        <v>19.950000000000003</v>
      </c>
      <c r="FX10" s="10">
        <f t="shared" si="91"/>
        <v>65.95</v>
      </c>
    </row>
    <row r="11" spans="1:180" x14ac:dyDescent="0.2">
      <c r="A11" s="3" cm="1">
        <f t="array" ref="A11">IF(AND(H11&lt;&gt;"",H11&lt;&gt;"No DD",I11&lt;&gt;"P"),SUMPRODUCT((H$4:H$40&lt;&gt;"")*(H$4:H$40&lt;&gt;"No DD")*(I$4:I$40&lt;&gt;"P")*(E$4:E$40&gt;E11))+1,IF(H11="No DD",SUMPRODUCT((H$4:H$40="No DD")*(I$4:I$40&lt;&gt;"P")*(E$4:E$40&gt;E11))+1+SUMPRODUCT((H$4:H$40&lt;&gt;"")*(I$4:I$40&lt;&gt;"P")*(H$4:H$40&lt;&gt;"No DD")),""))</f>
        <v>5</v>
      </c>
      <c r="B11" s="4" t="s">
        <v>68</v>
      </c>
      <c r="C11" s="3" t="s">
        <v>6</v>
      </c>
      <c r="D11" s="3">
        <v>2009</v>
      </c>
      <c r="E11" s="8">
        <f t="shared" si="0"/>
        <v>95.400007140004703</v>
      </c>
      <c r="F11" s="2" t="str">
        <f t="shared" si="1"/>
        <v>P</v>
      </c>
      <c r="G11" s="2" t="str">
        <f t="shared" si="2"/>
        <v>P</v>
      </c>
      <c r="H11" s="26" t="str">
        <f t="shared" si="3"/>
        <v>National Team</v>
      </c>
      <c r="I11" s="2" t="str">
        <f>IF(COUNTIFS('Senior-W'!B:B,B11,'Senior-W'!A:A,"&lt;9",'Senior-W'!H:H,"&lt;&gt;"&amp;"No DD"),"P","")</f>
        <v/>
      </c>
      <c r="J11" s="7">
        <f t="shared" si="4"/>
        <v>47</v>
      </c>
      <c r="K11" s="7" t="str">
        <f t="shared" si="5"/>
        <v>2025 Nationals</v>
      </c>
      <c r="L11" s="7">
        <f>IF(J11=AO11,IF(COUNT(AQ11,AS11,BO11,BQ11,BU11,BW11)&gt;1,LARGE((AQ11,AS11,BO11,BQ11,BU11,BW11),1),0),IF(COUNT(AK11,AM11,AQ11,AS11,BU11,BW11)&gt;1,LARGE((AK11,AM11,AQ11,AS11,BU11,BW11),1),0))</f>
        <v>24.400000000000002</v>
      </c>
      <c r="M11" s="7" t="str">
        <f t="shared" si="6"/>
        <v>2025 3rd Domestic Trial</v>
      </c>
      <c r="N11" s="7">
        <f>IF(J11=AO11,IF(COUNT(AQ11,AS11,BO11,BQ11,BU11,BW11)&gt;1,LARGE((AQ11,AS11,BO11,BQ11,BU11,BW11),2),0),IF(COUNT(AK11,AM11,AQ11,AS11,BU11,BW11)&gt;1,LARGE((AK11,AM11,AQ11,AS11,BU11,BW11),2),0))</f>
        <v>24</v>
      </c>
      <c r="O11" s="7" t="str">
        <f t="shared" si="7"/>
        <v>2025 3rd Domestic Trial</v>
      </c>
      <c r="P11" s="7" t="str">
        <f t="shared" si="8"/>
        <v/>
      </c>
      <c r="Q11" s="10" t="str">
        <f t="shared" si="9"/>
        <v/>
      </c>
      <c r="R11" s="7" t="str">
        <f t="shared" si="10"/>
        <v/>
      </c>
      <c r="S11" s="39">
        <v>18.5</v>
      </c>
      <c r="T11" s="39">
        <v>4.3</v>
      </c>
      <c r="U11" s="39">
        <v>0</v>
      </c>
      <c r="V11" s="39">
        <v>0</v>
      </c>
      <c r="W11" s="39">
        <v>18.8</v>
      </c>
      <c r="X11" s="39">
        <v>5.6</v>
      </c>
      <c r="Y11" s="39">
        <v>0.2</v>
      </c>
      <c r="Z11" s="39">
        <v>0</v>
      </c>
      <c r="AA11" s="39">
        <v>18.600000000000001</v>
      </c>
      <c r="AB11" s="39">
        <v>5.2</v>
      </c>
      <c r="AC11" s="39">
        <v>0</v>
      </c>
      <c r="AD11" s="39">
        <v>0</v>
      </c>
      <c r="AE11" s="39">
        <v>18.899999999999999</v>
      </c>
      <c r="AF11" s="39">
        <v>4.3</v>
      </c>
      <c r="AG11" s="39">
        <v>0.6</v>
      </c>
      <c r="AH11" s="39">
        <v>0</v>
      </c>
      <c r="AI11" s="19"/>
      <c r="AJ11" s="42">
        <f t="shared" si="11"/>
        <v>4.3</v>
      </c>
      <c r="AK11" s="42">
        <f t="shared" si="12"/>
        <v>22.8</v>
      </c>
      <c r="AL11" s="42">
        <f t="shared" si="13"/>
        <v>5.6</v>
      </c>
      <c r="AM11" s="42">
        <f t="shared" si="14"/>
        <v>24.2</v>
      </c>
      <c r="AN11" s="27">
        <f t="shared" si="15"/>
        <v>9.8999999999999986</v>
      </c>
      <c r="AO11" s="27">
        <f t="shared" si="16"/>
        <v>47</v>
      </c>
      <c r="AP11" s="27">
        <f t="shared" si="17"/>
        <v>5.2</v>
      </c>
      <c r="AQ11" s="27">
        <f t="shared" si="18"/>
        <v>23.8</v>
      </c>
      <c r="AR11" s="27">
        <f t="shared" si="19"/>
        <v>4.3</v>
      </c>
      <c r="AS11" s="27">
        <f t="shared" si="20"/>
        <v>22.599999999999998</v>
      </c>
      <c r="AT11" s="27">
        <f t="shared" si="21"/>
        <v>9.5</v>
      </c>
      <c r="AU11" s="27">
        <f t="shared" si="22"/>
        <v>46.4</v>
      </c>
      <c r="AV11" s="27">
        <f t="shared" si="23"/>
        <v>93.4</v>
      </c>
      <c r="AW11" s="15">
        <v>17.600000000000001</v>
      </c>
      <c r="AX11" s="15">
        <v>5.6</v>
      </c>
      <c r="AY11" s="15">
        <v>1</v>
      </c>
      <c r="AZ11" s="15">
        <v>0</v>
      </c>
      <c r="BA11" s="15">
        <v>18.399999999999999</v>
      </c>
      <c r="BB11" s="15">
        <v>6</v>
      </c>
      <c r="BC11" s="15">
        <v>0.4</v>
      </c>
      <c r="BD11" s="15">
        <v>0</v>
      </c>
      <c r="BE11" s="15">
        <v>16.5</v>
      </c>
      <c r="BF11" s="15">
        <v>6.4</v>
      </c>
      <c r="BG11" s="15">
        <v>0.4</v>
      </c>
      <c r="BH11" s="15">
        <v>0</v>
      </c>
      <c r="BI11" s="15">
        <v>18.600000000000001</v>
      </c>
      <c r="BJ11" s="15">
        <v>6</v>
      </c>
      <c r="BK11" s="15">
        <v>0.2</v>
      </c>
      <c r="BL11" s="15">
        <v>0</v>
      </c>
      <c r="BM11" s="20"/>
      <c r="BN11" s="43">
        <f t="shared" si="24"/>
        <v>5.6</v>
      </c>
      <c r="BO11" s="43">
        <f t="shared" si="25"/>
        <v>22.200000000000003</v>
      </c>
      <c r="BP11" s="43">
        <f t="shared" si="26"/>
        <v>6</v>
      </c>
      <c r="BQ11" s="43">
        <f t="shared" si="27"/>
        <v>24</v>
      </c>
      <c r="BR11" s="10">
        <f t="shared" si="28"/>
        <v>11.6</v>
      </c>
      <c r="BS11" s="10">
        <f t="shared" si="29"/>
        <v>46.2</v>
      </c>
      <c r="BT11" s="10">
        <f t="shared" si="30"/>
        <v>6.4</v>
      </c>
      <c r="BU11" s="10">
        <f t="shared" si="31"/>
        <v>22.5</v>
      </c>
      <c r="BV11" s="10">
        <f t="shared" si="32"/>
        <v>6</v>
      </c>
      <c r="BW11" s="10">
        <f t="shared" si="33"/>
        <v>24.400000000000002</v>
      </c>
      <c r="BX11" s="10">
        <f t="shared" si="34"/>
        <v>12.4</v>
      </c>
      <c r="BY11" s="10">
        <f t="shared" si="35"/>
        <v>46.900000000000006</v>
      </c>
      <c r="BZ11" s="10">
        <f t="shared" si="36"/>
        <v>93.100000000000009</v>
      </c>
      <c r="CA11" s="34" t="str">
        <f t="shared" si="37"/>
        <v/>
      </c>
      <c r="CB11" s="34" t="str">
        <f t="shared" si="38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9"/>
        <v/>
      </c>
      <c r="CX11" s="27" t="str">
        <f t="shared" si="40"/>
        <v/>
      </c>
      <c r="CY11" s="27" t="str">
        <f t="shared" si="41"/>
        <v/>
      </c>
      <c r="CZ11" s="27" t="str">
        <f t="shared" si="42"/>
        <v/>
      </c>
      <c r="DA11" s="27" t="str">
        <f t="shared" si="43"/>
        <v/>
      </c>
      <c r="DB11" s="27" t="str">
        <f t="shared" si="44"/>
        <v/>
      </c>
      <c r="DC11" s="27" t="str">
        <f t="shared" si="45"/>
        <v/>
      </c>
      <c r="DD11" s="27" t="str">
        <f t="shared" si="46"/>
        <v/>
      </c>
      <c r="DE11" s="27" t="str">
        <f t="shared" si="47"/>
        <v/>
      </c>
      <c r="DF11" s="27" t="str">
        <f t="shared" si="48"/>
        <v/>
      </c>
      <c r="DG11" s="27" t="str">
        <f t="shared" si="49"/>
        <v/>
      </c>
      <c r="DH11" s="27" t="str">
        <f t="shared" si="50"/>
        <v/>
      </c>
      <c r="DI11" s="27" t="str">
        <f t="shared" si="51"/>
        <v/>
      </c>
      <c r="DJ11" s="27" t="str">
        <f t="shared" si="52"/>
        <v/>
      </c>
      <c r="DK11" s="27" t="str">
        <f t="shared" si="53"/>
        <v/>
      </c>
      <c r="DL11" s="15">
        <v>18.399999999999999</v>
      </c>
      <c r="DM11" s="15">
        <v>5.2</v>
      </c>
      <c r="DN11" s="15">
        <v>0.2</v>
      </c>
      <c r="DO11" s="15">
        <v>0</v>
      </c>
      <c r="DP11" s="15">
        <v>18.399999999999999</v>
      </c>
      <c r="DQ11" s="15">
        <v>3.6</v>
      </c>
      <c r="DR11" s="15">
        <v>0.2</v>
      </c>
      <c r="DS11" s="15">
        <v>0</v>
      </c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>
        <f t="shared" si="54"/>
        <v>5.2</v>
      </c>
      <c r="EG11" s="10">
        <f t="shared" si="55"/>
        <v>23.4</v>
      </c>
      <c r="EH11" s="10">
        <f t="shared" si="56"/>
        <v>3.6</v>
      </c>
      <c r="EI11" s="10">
        <f t="shared" si="57"/>
        <v>21.8</v>
      </c>
      <c r="EJ11" s="10">
        <f t="shared" si="58"/>
        <v>8.8000000000000007</v>
      </c>
      <c r="EK11" s="10">
        <f t="shared" si="59"/>
        <v>45.2</v>
      </c>
      <c r="EL11" s="10" t="str">
        <f t="shared" si="60"/>
        <v/>
      </c>
      <c r="EM11" s="10" t="str">
        <f t="shared" si="61"/>
        <v/>
      </c>
      <c r="EN11" s="10" t="str">
        <f t="shared" si="62"/>
        <v/>
      </c>
      <c r="EO11" s="10" t="str">
        <f t="shared" si="63"/>
        <v/>
      </c>
      <c r="EP11" s="10" t="str">
        <f t="shared" si="64"/>
        <v/>
      </c>
      <c r="EQ11" s="10" t="str">
        <f t="shared" si="65"/>
        <v/>
      </c>
      <c r="ER11" s="10" t="str">
        <f t="shared" si="66"/>
        <v/>
      </c>
      <c r="ES11" s="10" t="str">
        <f t="shared" si="67"/>
        <v/>
      </c>
      <c r="ET11" s="10">
        <f t="shared" si="68"/>
        <v>45.2</v>
      </c>
      <c r="EU11" s="44">
        <f t="shared" si="69"/>
        <v>18.05</v>
      </c>
      <c r="EV11" s="44">
        <f t="shared" si="70"/>
        <v>4.9499999999999993</v>
      </c>
      <c r="EW11" s="44">
        <f t="shared" si="71"/>
        <v>0.5</v>
      </c>
      <c r="EX11" s="44">
        <f t="shared" si="72"/>
        <v>0</v>
      </c>
      <c r="EY11" s="44">
        <f t="shared" si="73"/>
        <v>18.600000000000001</v>
      </c>
      <c r="EZ11" s="44">
        <f t="shared" si="74"/>
        <v>5.8</v>
      </c>
      <c r="FA11" s="44">
        <f t="shared" si="75"/>
        <v>0.30000000000000004</v>
      </c>
      <c r="FB11" s="44">
        <f t="shared" si="76"/>
        <v>0</v>
      </c>
      <c r="FC11" s="44">
        <f t="shared" si="77"/>
        <v>17.55</v>
      </c>
      <c r="FD11" s="44">
        <f t="shared" si="78"/>
        <v>5.8000000000000007</v>
      </c>
      <c r="FE11" s="44">
        <f t="shared" si="79"/>
        <v>0.2</v>
      </c>
      <c r="FF11" s="44">
        <f t="shared" si="80"/>
        <v>0</v>
      </c>
      <c r="FG11" s="44">
        <f t="shared" si="81"/>
        <v>18.75</v>
      </c>
      <c r="FH11" s="44">
        <f t="shared" si="82"/>
        <v>5.15</v>
      </c>
      <c r="FI11" s="44">
        <f t="shared" si="83"/>
        <v>0.4</v>
      </c>
      <c r="FJ11" s="44">
        <f t="shared" si="84"/>
        <v>0</v>
      </c>
      <c r="FK11" s="20" t="s">
        <v>29</v>
      </c>
      <c r="FL11" s="10">
        <f t="shared" si="85"/>
        <v>4.9499999999999993</v>
      </c>
      <c r="FM11" s="10">
        <f t="shared" si="86"/>
        <v>22.5</v>
      </c>
      <c r="FN11" s="10">
        <f t="shared" si="87"/>
        <v>5.8</v>
      </c>
      <c r="FO11" s="10">
        <f t="shared" si="88"/>
        <v>24.1</v>
      </c>
      <c r="FP11" s="10">
        <f t="shared" si="89"/>
        <v>10.75</v>
      </c>
      <c r="FQ11" s="10">
        <f t="shared" si="92"/>
        <v>46.6</v>
      </c>
      <c r="FR11" s="10">
        <f t="shared" si="93"/>
        <v>5.8000000000000007</v>
      </c>
      <c r="FS11" s="10">
        <f t="shared" si="94"/>
        <v>23.150000000000002</v>
      </c>
      <c r="FT11" s="10">
        <f t="shared" si="95"/>
        <v>5.15</v>
      </c>
      <c r="FU11" s="10">
        <f t="shared" si="96"/>
        <v>23.5</v>
      </c>
      <c r="FV11" s="10">
        <f t="shared" si="97"/>
        <v>10.950000000000001</v>
      </c>
      <c r="FW11" s="10">
        <f t="shared" si="90"/>
        <v>46.650000000000006</v>
      </c>
      <c r="FX11" s="10">
        <f t="shared" si="91"/>
        <v>93.25</v>
      </c>
    </row>
    <row r="12" spans="1:180" x14ac:dyDescent="0.2">
      <c r="A12" s="3" t="str" cm="1">
        <f t="array" ref="A12">IF(AND(H12&lt;&gt;"",H12&lt;&gt;"No DD",I12&lt;&gt;"P"),SUMPRODUCT((H$4:H$40&lt;&gt;"")*(H$4:H$40&lt;&gt;"No DD")*(I$4:I$40&lt;&gt;"P")*(E$4:E$40&gt;E12))+1,IF(H12="No DD",SUMPRODUCT((H$4:H$40="No DD")*(I$4:I$40&lt;&gt;"P")*(E$4:E$40&gt;E12))+1+SUMPRODUCT((H$4:H$40&lt;&gt;"")*(I$4:I$40&lt;&gt;"P")*(H$4:H$40&lt;&gt;"No DD")),""))</f>
        <v/>
      </c>
      <c r="B12" s="4" t="s">
        <v>137</v>
      </c>
      <c r="C12" s="3" t="s">
        <v>5</v>
      </c>
      <c r="D12" s="3">
        <v>2005</v>
      </c>
      <c r="E12" s="8">
        <f t="shared" si="0"/>
        <v>93.300007010004663</v>
      </c>
      <c r="F12" s="2" t="str">
        <f t="shared" si="1"/>
        <v/>
      </c>
      <c r="G12" s="2" t="str">
        <f t="shared" si="2"/>
        <v/>
      </c>
      <c r="H12" s="26" t="str">
        <f t="shared" si="3"/>
        <v/>
      </c>
      <c r="I12" s="2" t="str">
        <f>IF(COUNTIFS('Senior-W'!B:B,B12,'Senior-W'!A:A,"&lt;9",'Senior-W'!H:H,"&lt;&gt;"&amp;"No DD"),"P","")</f>
        <v/>
      </c>
      <c r="J12" s="7">
        <f t="shared" si="4"/>
        <v>46.599999999999994</v>
      </c>
      <c r="K12" s="7" t="str">
        <f t="shared" si="5"/>
        <v>2025 Nationals</v>
      </c>
      <c r="L12" s="7">
        <f>IF(J12=AO12,IF(COUNT(AQ12,AS12,BO12,BQ12,BU12,BW12)&gt;1,LARGE((AQ12,AS12,BO12,BQ12,BU12,BW12),1),0),IF(COUNT(AK12,AM12,AQ12,AS12,BU12,BW12)&gt;1,LARGE((AK12,AM12,AQ12,AS12,BU12,BW12),1),0))</f>
        <v>23.5</v>
      </c>
      <c r="M12" s="7" t="str">
        <f t="shared" si="6"/>
        <v>2025 Nationals</v>
      </c>
      <c r="N12" s="7">
        <f>IF(J12=AO12,IF(COUNT(AQ12,AS12,BO12,BQ12,BU12,BW12)&gt;1,LARGE((AQ12,AS12,BO12,BQ12,BU12,BW12),2),0),IF(COUNT(AK12,AM12,AQ12,AS12,BU12,BW12)&gt;1,LARGE((AK12,AM12,AQ12,AS12,BU12,BW12),2),0))</f>
        <v>23.2</v>
      </c>
      <c r="O12" s="7" t="str">
        <f t="shared" si="7"/>
        <v>2025 Nationals</v>
      </c>
      <c r="P12" s="7" t="str">
        <f t="shared" si="8"/>
        <v/>
      </c>
      <c r="Q12" s="10" t="str">
        <f t="shared" si="9"/>
        <v/>
      </c>
      <c r="R12" s="7" t="str">
        <f t="shared" si="10"/>
        <v/>
      </c>
      <c r="S12" s="39">
        <v>18.3</v>
      </c>
      <c r="T12" s="39">
        <v>5.2</v>
      </c>
      <c r="U12" s="39">
        <v>0.6</v>
      </c>
      <c r="V12" s="39">
        <v>0</v>
      </c>
      <c r="W12" s="39">
        <v>18.5</v>
      </c>
      <c r="X12" s="39">
        <v>5.2</v>
      </c>
      <c r="Y12" s="39">
        <v>0</v>
      </c>
      <c r="Z12" s="39">
        <v>0</v>
      </c>
      <c r="AA12" s="39">
        <v>18.5</v>
      </c>
      <c r="AB12" s="39">
        <v>5.2</v>
      </c>
      <c r="AC12" s="39">
        <v>0.2</v>
      </c>
      <c r="AD12" s="39">
        <v>0</v>
      </c>
      <c r="AE12" s="39">
        <v>18.2</v>
      </c>
      <c r="AF12" s="39">
        <v>5.2</v>
      </c>
      <c r="AG12" s="39">
        <v>0.2</v>
      </c>
      <c r="AH12" s="39">
        <v>0</v>
      </c>
      <c r="AI12" s="19"/>
      <c r="AJ12" s="42">
        <f t="shared" si="11"/>
        <v>5.2</v>
      </c>
      <c r="AK12" s="42">
        <f t="shared" si="12"/>
        <v>22.9</v>
      </c>
      <c r="AL12" s="42">
        <f t="shared" si="13"/>
        <v>5.2</v>
      </c>
      <c r="AM12" s="42">
        <f t="shared" si="14"/>
        <v>23.7</v>
      </c>
      <c r="AN12" s="27">
        <f t="shared" si="15"/>
        <v>10.4</v>
      </c>
      <c r="AO12" s="27">
        <f t="shared" si="16"/>
        <v>46.599999999999994</v>
      </c>
      <c r="AP12" s="27">
        <f t="shared" si="17"/>
        <v>5.2</v>
      </c>
      <c r="AQ12" s="27">
        <f t="shared" si="18"/>
        <v>23.5</v>
      </c>
      <c r="AR12" s="27">
        <f t="shared" si="19"/>
        <v>5.2</v>
      </c>
      <c r="AS12" s="27">
        <f t="shared" si="20"/>
        <v>23.2</v>
      </c>
      <c r="AT12" s="27">
        <f t="shared" si="21"/>
        <v>10.4</v>
      </c>
      <c r="AU12" s="27">
        <f t="shared" si="22"/>
        <v>46.7</v>
      </c>
      <c r="AV12" s="27">
        <f t="shared" si="23"/>
        <v>93.3</v>
      </c>
      <c r="AW12" s="15">
        <v>18.3</v>
      </c>
      <c r="AX12" s="15">
        <v>4.8</v>
      </c>
      <c r="AY12" s="15">
        <v>0</v>
      </c>
      <c r="AZ12" s="15">
        <v>0</v>
      </c>
      <c r="BA12" s="15">
        <v>18.3</v>
      </c>
      <c r="BB12" s="15">
        <v>2</v>
      </c>
      <c r="BC12" s="15">
        <v>1.2</v>
      </c>
      <c r="BD12" s="15">
        <v>0</v>
      </c>
      <c r="BE12" s="15">
        <v>18</v>
      </c>
      <c r="BF12" s="15">
        <v>3.3</v>
      </c>
      <c r="BG12" s="15">
        <v>1.6</v>
      </c>
      <c r="BH12" s="15">
        <v>0</v>
      </c>
      <c r="BI12" s="15">
        <v>18.399999999999999</v>
      </c>
      <c r="BJ12" s="15">
        <v>4.4000000000000004</v>
      </c>
      <c r="BK12" s="15">
        <v>0.4</v>
      </c>
      <c r="BL12" s="15">
        <v>0</v>
      </c>
      <c r="BM12" s="20"/>
      <c r="BN12" s="43">
        <f t="shared" si="24"/>
        <v>4.8</v>
      </c>
      <c r="BO12" s="43">
        <f t="shared" si="25"/>
        <v>23.1</v>
      </c>
      <c r="BP12" s="43">
        <f t="shared" si="26"/>
        <v>2</v>
      </c>
      <c r="BQ12" s="43">
        <f t="shared" si="27"/>
        <v>19.100000000000001</v>
      </c>
      <c r="BR12" s="10">
        <f t="shared" si="28"/>
        <v>6.8</v>
      </c>
      <c r="BS12" s="10">
        <f t="shared" si="29"/>
        <v>42.2</v>
      </c>
      <c r="BT12" s="10">
        <f t="shared" si="30"/>
        <v>3.3</v>
      </c>
      <c r="BU12" s="10">
        <f t="shared" si="31"/>
        <v>19.7</v>
      </c>
      <c r="BV12" s="10">
        <f t="shared" si="32"/>
        <v>4.4000000000000004</v>
      </c>
      <c r="BW12" s="10">
        <f t="shared" si="33"/>
        <v>22.4</v>
      </c>
      <c r="BX12" s="10">
        <f t="shared" si="34"/>
        <v>7.7</v>
      </c>
      <c r="BY12" s="10">
        <f t="shared" si="35"/>
        <v>42.099999999999994</v>
      </c>
      <c r="BZ12" s="10">
        <f t="shared" si="36"/>
        <v>84.3</v>
      </c>
      <c r="CA12" s="34" t="str">
        <f t="shared" si="37"/>
        <v/>
      </c>
      <c r="CB12" s="34" t="str">
        <f t="shared" si="38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9"/>
        <v/>
      </c>
      <c r="CX12" s="27" t="str">
        <f t="shared" si="40"/>
        <v/>
      </c>
      <c r="CY12" s="27" t="str">
        <f t="shared" si="41"/>
        <v/>
      </c>
      <c r="CZ12" s="27" t="str">
        <f t="shared" si="42"/>
        <v/>
      </c>
      <c r="DA12" s="27" t="str">
        <f t="shared" si="43"/>
        <v/>
      </c>
      <c r="DB12" s="27" t="str">
        <f t="shared" si="44"/>
        <v/>
      </c>
      <c r="DC12" s="27" t="str">
        <f t="shared" si="45"/>
        <v/>
      </c>
      <c r="DD12" s="27" t="str">
        <f t="shared" si="46"/>
        <v/>
      </c>
      <c r="DE12" s="27" t="str">
        <f t="shared" si="47"/>
        <v/>
      </c>
      <c r="DF12" s="27" t="str">
        <f t="shared" si="48"/>
        <v/>
      </c>
      <c r="DG12" s="27" t="str">
        <f t="shared" si="49"/>
        <v/>
      </c>
      <c r="DH12" s="27" t="str">
        <f t="shared" si="50"/>
        <v/>
      </c>
      <c r="DI12" s="27" t="str">
        <f t="shared" si="51"/>
        <v/>
      </c>
      <c r="DJ12" s="27" t="str">
        <f t="shared" si="52"/>
        <v/>
      </c>
      <c r="DK12" s="27" t="str">
        <f t="shared" si="53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4"/>
        <v/>
      </c>
      <c r="EG12" s="10" t="str">
        <f t="shared" si="55"/>
        <v/>
      </c>
      <c r="EH12" s="10" t="str">
        <f t="shared" si="56"/>
        <v/>
      </c>
      <c r="EI12" s="10" t="str">
        <f t="shared" si="57"/>
        <v/>
      </c>
      <c r="EJ12" s="10" t="str">
        <f t="shared" si="58"/>
        <v/>
      </c>
      <c r="EK12" s="10" t="str">
        <f t="shared" si="59"/>
        <v/>
      </c>
      <c r="EL12" s="10" t="str">
        <f t="shared" si="60"/>
        <v/>
      </c>
      <c r="EM12" s="10" t="str">
        <f t="shared" si="61"/>
        <v/>
      </c>
      <c r="EN12" s="10" t="str">
        <f t="shared" si="62"/>
        <v/>
      </c>
      <c r="EO12" s="10" t="str">
        <f t="shared" si="63"/>
        <v/>
      </c>
      <c r="EP12" s="10" t="str">
        <f t="shared" si="64"/>
        <v/>
      </c>
      <c r="EQ12" s="10" t="str">
        <f t="shared" si="65"/>
        <v/>
      </c>
      <c r="ER12" s="10" t="str">
        <f t="shared" si="66"/>
        <v/>
      </c>
      <c r="ES12" s="10" t="str">
        <f t="shared" si="67"/>
        <v/>
      </c>
      <c r="ET12" s="10" t="str">
        <f t="shared" si="68"/>
        <v/>
      </c>
      <c r="EU12" s="44">
        <f t="shared" si="69"/>
        <v>18.3</v>
      </c>
      <c r="EV12" s="44">
        <f t="shared" si="70"/>
        <v>5</v>
      </c>
      <c r="EW12" s="44">
        <f t="shared" si="71"/>
        <v>0.3</v>
      </c>
      <c r="EX12" s="44">
        <f t="shared" si="72"/>
        <v>0</v>
      </c>
      <c r="EY12" s="44">
        <f t="shared" si="73"/>
        <v>18.399999999999999</v>
      </c>
      <c r="EZ12" s="44">
        <f t="shared" si="74"/>
        <v>3.6</v>
      </c>
      <c r="FA12" s="44">
        <f t="shared" si="75"/>
        <v>0.6</v>
      </c>
      <c r="FB12" s="44">
        <f t="shared" si="76"/>
        <v>0</v>
      </c>
      <c r="FC12" s="44">
        <f t="shared" si="77"/>
        <v>18.25</v>
      </c>
      <c r="FD12" s="44">
        <f t="shared" si="78"/>
        <v>4.25</v>
      </c>
      <c r="FE12" s="44">
        <f t="shared" si="79"/>
        <v>0.9</v>
      </c>
      <c r="FF12" s="44">
        <f t="shared" si="80"/>
        <v>0</v>
      </c>
      <c r="FG12" s="44">
        <f t="shared" si="81"/>
        <v>18.299999999999997</v>
      </c>
      <c r="FH12" s="44">
        <f t="shared" si="82"/>
        <v>4.8000000000000007</v>
      </c>
      <c r="FI12" s="44">
        <f t="shared" si="83"/>
        <v>0.30000000000000004</v>
      </c>
      <c r="FJ12" s="44">
        <f t="shared" si="84"/>
        <v>0</v>
      </c>
      <c r="FK12" s="20" t="s">
        <v>29</v>
      </c>
      <c r="FL12" s="10">
        <f t="shared" si="85"/>
        <v>5</v>
      </c>
      <c r="FM12" s="10">
        <f t="shared" si="86"/>
        <v>23</v>
      </c>
      <c r="FN12" s="10">
        <f t="shared" si="87"/>
        <v>3.6</v>
      </c>
      <c r="FO12" s="10">
        <f t="shared" si="88"/>
        <v>21.4</v>
      </c>
      <c r="FP12" s="10">
        <f t="shared" si="89"/>
        <v>8.6</v>
      </c>
      <c r="FQ12" s="10">
        <f t="shared" si="92"/>
        <v>44.4</v>
      </c>
      <c r="FR12" s="10">
        <f t="shared" si="93"/>
        <v>4.25</v>
      </c>
      <c r="FS12" s="10">
        <f t="shared" si="94"/>
        <v>21.6</v>
      </c>
      <c r="FT12" s="10">
        <f t="shared" si="95"/>
        <v>4.8000000000000007</v>
      </c>
      <c r="FU12" s="10">
        <f t="shared" si="96"/>
        <v>22.799999999999997</v>
      </c>
      <c r="FV12" s="10">
        <f t="shared" si="97"/>
        <v>9.0500000000000007</v>
      </c>
      <c r="FW12" s="10">
        <f t="shared" si="90"/>
        <v>44.4</v>
      </c>
      <c r="FX12" s="10">
        <f t="shared" si="91"/>
        <v>88.8</v>
      </c>
    </row>
    <row r="13" spans="1:180" x14ac:dyDescent="0.2">
      <c r="A13" s="3" t="str" cm="1">
        <f t="array" ref="A13">IF(AND(H13&lt;&gt;"",H13&lt;&gt;"No DD",I13&lt;&gt;"P"),SUMPRODUCT((H$4:H$40&lt;&gt;"")*(H$4:H$40&lt;&gt;"No DD")*(I$4:I$40&lt;&gt;"P")*(E$4:E$40&gt;E13))+1,IF(H13="No DD",SUMPRODUCT((H$4:H$40="No DD")*(I$4:I$40&lt;&gt;"P")*(E$4:E$40&gt;E13))+1+SUMPRODUCT((H$4:H$40&lt;&gt;"")*(I$4:I$40&lt;&gt;"P")*(H$4:H$40&lt;&gt;"No DD")),""))</f>
        <v/>
      </c>
      <c r="B13" s="4" t="s">
        <v>134</v>
      </c>
      <c r="C13" s="3" t="s">
        <v>4</v>
      </c>
      <c r="D13" s="3">
        <v>2008</v>
      </c>
      <c r="E13" s="8">
        <f t="shared" si="0"/>
        <v>92.800006990004647</v>
      </c>
      <c r="F13" s="2" t="str">
        <f t="shared" si="1"/>
        <v/>
      </c>
      <c r="G13" s="2" t="str">
        <f t="shared" si="2"/>
        <v/>
      </c>
      <c r="H13" s="26" t="str">
        <f t="shared" si="3"/>
        <v/>
      </c>
      <c r="I13" s="2" t="str">
        <f>IF(COUNTIFS('Senior-W'!B:B,B13,'Senior-W'!A:A,"&lt;9",'Senior-W'!H:H,"&lt;&gt;"&amp;"No DD"),"P","")</f>
        <v/>
      </c>
      <c r="J13" s="7">
        <f t="shared" si="4"/>
        <v>46.5</v>
      </c>
      <c r="K13" s="7" t="str">
        <f t="shared" si="5"/>
        <v>2025 3rd Domestic Trial</v>
      </c>
      <c r="L13" s="7">
        <f>IF(J13=AO13,IF(COUNT(AQ13,AS13,BO13,BQ13,BU13,BW13)&gt;1,LARGE((AQ13,AS13,BO13,BQ13,BU13,BW13),1),0),IF(COUNT(AK13,AM13,AQ13,AS13,BU13,BW13)&gt;1,LARGE((AK13,AM13,AQ13,AS13,BU13,BW13),1),0))</f>
        <v>23.4</v>
      </c>
      <c r="M13" s="7" t="str">
        <f t="shared" si="6"/>
        <v>2025 3rd Domestic Trial</v>
      </c>
      <c r="N13" s="7">
        <f>IF(J13=AO13,IF(COUNT(AQ13,AS13,BO13,BQ13,BU13,BW13)&gt;1,LARGE((AQ13,AS13,BO13,BQ13,BU13,BW13),2),0),IF(COUNT(AK13,AM13,AQ13,AS13,BU13,BW13)&gt;1,LARGE((AK13,AM13,AQ13,AS13,BU13,BW13),2),0))</f>
        <v>17.599999999999998</v>
      </c>
      <c r="O13" s="7" t="str">
        <f t="shared" si="7"/>
        <v>2025 Nationals</v>
      </c>
      <c r="P13" s="7">
        <f t="shared" si="8"/>
        <v>5.3000000000000007</v>
      </c>
      <c r="Q13" s="10" t="str">
        <f t="shared" si="9"/>
        <v>(Pass)</v>
      </c>
      <c r="R13" s="7" t="str">
        <f t="shared" si="10"/>
        <v>2025 WAGC (Nov 16)</v>
      </c>
      <c r="S13" s="39">
        <v>15.2</v>
      </c>
      <c r="T13" s="39">
        <v>2.4</v>
      </c>
      <c r="U13" s="39">
        <v>0</v>
      </c>
      <c r="V13" s="39">
        <v>0</v>
      </c>
      <c r="W13" s="39">
        <v>15.3</v>
      </c>
      <c r="X13" s="39">
        <v>0</v>
      </c>
      <c r="Y13" s="39">
        <v>0</v>
      </c>
      <c r="Z13" s="39">
        <v>0</v>
      </c>
      <c r="AA13" s="39"/>
      <c r="AB13" s="39"/>
      <c r="AC13" s="39"/>
      <c r="AD13" s="39"/>
      <c r="AE13" s="39"/>
      <c r="AF13" s="39"/>
      <c r="AG13" s="39"/>
      <c r="AH13" s="39"/>
      <c r="AI13" s="19"/>
      <c r="AJ13" s="42">
        <f t="shared" si="11"/>
        <v>2.4</v>
      </c>
      <c r="AK13" s="42">
        <f t="shared" si="12"/>
        <v>17.599999999999998</v>
      </c>
      <c r="AL13" s="42">
        <f t="shared" si="13"/>
        <v>0</v>
      </c>
      <c r="AM13" s="42">
        <f t="shared" si="14"/>
        <v>15.3</v>
      </c>
      <c r="AN13" s="27">
        <f t="shared" si="15"/>
        <v>2.4</v>
      </c>
      <c r="AO13" s="27">
        <f t="shared" si="16"/>
        <v>32.9</v>
      </c>
      <c r="AP13" s="27" t="str">
        <f t="shared" si="17"/>
        <v/>
      </c>
      <c r="AQ13" s="27" t="str">
        <f t="shared" si="18"/>
        <v/>
      </c>
      <c r="AR13" s="27" t="str">
        <f t="shared" si="19"/>
        <v/>
      </c>
      <c r="AS13" s="27" t="str">
        <f t="shared" si="20"/>
        <v/>
      </c>
      <c r="AT13" s="27" t="str">
        <f t="shared" si="21"/>
        <v/>
      </c>
      <c r="AU13" s="27" t="str">
        <f t="shared" si="22"/>
        <v/>
      </c>
      <c r="AV13" s="27">
        <f t="shared" si="23"/>
        <v>32.9</v>
      </c>
      <c r="AW13" s="15">
        <v>18.600000000000001</v>
      </c>
      <c r="AX13" s="15">
        <v>5.6</v>
      </c>
      <c r="AY13" s="15">
        <v>0.2</v>
      </c>
      <c r="AZ13" s="15">
        <v>0</v>
      </c>
      <c r="BA13" s="15">
        <v>17.3</v>
      </c>
      <c r="BB13" s="15">
        <v>6</v>
      </c>
      <c r="BC13" s="15">
        <v>0.8</v>
      </c>
      <c r="BD13" s="15">
        <v>0</v>
      </c>
      <c r="BE13" s="15">
        <v>0</v>
      </c>
      <c r="BF13" s="15">
        <v>0</v>
      </c>
      <c r="BG13" s="15">
        <v>0</v>
      </c>
      <c r="BH13" s="15">
        <v>0</v>
      </c>
      <c r="BI13" s="15">
        <v>18.399999999999999</v>
      </c>
      <c r="BJ13" s="15">
        <v>5.2</v>
      </c>
      <c r="BK13" s="15">
        <v>0.2</v>
      </c>
      <c r="BL13" s="15">
        <v>0</v>
      </c>
      <c r="BM13" s="20"/>
      <c r="BN13" s="43">
        <f t="shared" si="24"/>
        <v>5.6</v>
      </c>
      <c r="BO13" s="43">
        <f t="shared" si="25"/>
        <v>24.000000000000004</v>
      </c>
      <c r="BP13" s="43">
        <f t="shared" si="26"/>
        <v>6</v>
      </c>
      <c r="BQ13" s="43">
        <f t="shared" si="27"/>
        <v>22.5</v>
      </c>
      <c r="BR13" s="10">
        <f t="shared" si="28"/>
        <v>11.6</v>
      </c>
      <c r="BS13" s="10">
        <f t="shared" si="29"/>
        <v>46.5</v>
      </c>
      <c r="BT13" s="10">
        <f t="shared" si="30"/>
        <v>0</v>
      </c>
      <c r="BU13" s="10">
        <f t="shared" si="31"/>
        <v>0</v>
      </c>
      <c r="BV13" s="10">
        <f t="shared" si="32"/>
        <v>5.2</v>
      </c>
      <c r="BW13" s="10">
        <f t="shared" si="33"/>
        <v>23.4</v>
      </c>
      <c r="BX13" s="10">
        <f t="shared" si="34"/>
        <v>5.2</v>
      </c>
      <c r="BY13" s="10">
        <f t="shared" si="35"/>
        <v>23.4</v>
      </c>
      <c r="BZ13" s="10">
        <f t="shared" si="36"/>
        <v>69.900000000000006</v>
      </c>
      <c r="CA13" s="34" t="str">
        <f t="shared" si="37"/>
        <v/>
      </c>
      <c r="CB13" s="34">
        <f t="shared" si="38"/>
        <v>5.3000000000000007</v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9"/>
        <v/>
      </c>
      <c r="CX13" s="27" t="str">
        <f t="shared" si="40"/>
        <v/>
      </c>
      <c r="CY13" s="27" t="str">
        <f t="shared" si="41"/>
        <v/>
      </c>
      <c r="CZ13" s="27" t="str">
        <f t="shared" si="42"/>
        <v/>
      </c>
      <c r="DA13" s="27" t="str">
        <f t="shared" si="43"/>
        <v/>
      </c>
      <c r="DB13" s="27" t="str">
        <f t="shared" si="44"/>
        <v/>
      </c>
      <c r="DC13" s="27" t="str">
        <f t="shared" si="45"/>
        <v/>
      </c>
      <c r="DD13" s="27" t="str">
        <f t="shared" si="46"/>
        <v/>
      </c>
      <c r="DE13" s="27" t="str">
        <f t="shared" si="47"/>
        <v/>
      </c>
      <c r="DF13" s="27" t="str">
        <f t="shared" si="48"/>
        <v/>
      </c>
      <c r="DG13" s="27" t="str">
        <f t="shared" si="49"/>
        <v/>
      </c>
      <c r="DH13" s="27" t="str">
        <f t="shared" si="50"/>
        <v/>
      </c>
      <c r="DI13" s="27" t="str">
        <f t="shared" si="51"/>
        <v/>
      </c>
      <c r="DJ13" s="27" t="str">
        <f t="shared" si="52"/>
        <v/>
      </c>
      <c r="DK13" s="27" t="str">
        <f t="shared" si="53"/>
        <v/>
      </c>
      <c r="DL13" s="15">
        <v>18</v>
      </c>
      <c r="DM13" s="15">
        <v>4.8</v>
      </c>
      <c r="DN13" s="15">
        <v>0.6</v>
      </c>
      <c r="DO13" s="15">
        <v>0</v>
      </c>
      <c r="DP13" s="15">
        <v>17.899999999999999</v>
      </c>
      <c r="DQ13" s="15">
        <v>5.2</v>
      </c>
      <c r="DR13" s="15">
        <v>0.2</v>
      </c>
      <c r="DS13" s="15">
        <v>0</v>
      </c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>
        <f t="shared" si="54"/>
        <v>4.8</v>
      </c>
      <c r="EG13" s="10">
        <f t="shared" si="55"/>
        <v>22.2</v>
      </c>
      <c r="EH13" s="10">
        <f t="shared" si="56"/>
        <v>5.2</v>
      </c>
      <c r="EI13" s="10">
        <f t="shared" si="57"/>
        <v>22.9</v>
      </c>
      <c r="EJ13" s="10">
        <f t="shared" si="58"/>
        <v>10</v>
      </c>
      <c r="EK13" s="10">
        <f t="shared" si="59"/>
        <v>45.099999999999994</v>
      </c>
      <c r="EL13" s="10" t="str">
        <f t="shared" si="60"/>
        <v/>
      </c>
      <c r="EM13" s="10" t="str">
        <f t="shared" si="61"/>
        <v/>
      </c>
      <c r="EN13" s="10" t="str">
        <f t="shared" si="62"/>
        <v/>
      </c>
      <c r="EO13" s="10" t="str">
        <f t="shared" si="63"/>
        <v/>
      </c>
      <c r="EP13" s="10" t="str">
        <f t="shared" si="64"/>
        <v/>
      </c>
      <c r="EQ13" s="10" t="str">
        <f t="shared" si="65"/>
        <v/>
      </c>
      <c r="ER13" s="10" t="str">
        <f t="shared" si="66"/>
        <v/>
      </c>
      <c r="ES13" s="10" t="str">
        <f t="shared" si="67"/>
        <v/>
      </c>
      <c r="ET13" s="10">
        <f t="shared" si="68"/>
        <v>45.099999999999994</v>
      </c>
      <c r="EU13" s="44">
        <f t="shared" si="69"/>
        <v>16.899999999999999</v>
      </c>
      <c r="EV13" s="44">
        <f t="shared" si="70"/>
        <v>4</v>
      </c>
      <c r="EW13" s="44">
        <f t="shared" si="71"/>
        <v>0.1</v>
      </c>
      <c r="EX13" s="44">
        <f t="shared" si="72"/>
        <v>0</v>
      </c>
      <c r="EY13" s="44">
        <f t="shared" si="73"/>
        <v>16.3</v>
      </c>
      <c r="EZ13" s="44">
        <f t="shared" si="74"/>
        <v>3</v>
      </c>
      <c r="FA13" s="44">
        <f t="shared" si="75"/>
        <v>0.4</v>
      </c>
      <c r="FB13" s="44">
        <f t="shared" si="76"/>
        <v>0</v>
      </c>
      <c r="FC13" s="44">
        <f t="shared" si="77"/>
        <v>0</v>
      </c>
      <c r="FD13" s="44">
        <f t="shared" si="78"/>
        <v>0</v>
      </c>
      <c r="FE13" s="44">
        <f t="shared" si="79"/>
        <v>0</v>
      </c>
      <c r="FF13" s="44">
        <f t="shared" si="80"/>
        <v>0</v>
      </c>
      <c r="FG13" s="44">
        <f t="shared" si="81"/>
        <v>9.1999999999999993</v>
      </c>
      <c r="FH13" s="44">
        <f t="shared" si="82"/>
        <v>2.6</v>
      </c>
      <c r="FI13" s="44">
        <f t="shared" si="83"/>
        <v>0.1</v>
      </c>
      <c r="FJ13" s="44">
        <f t="shared" si="84"/>
        <v>0</v>
      </c>
      <c r="FK13" s="20" t="s">
        <v>29</v>
      </c>
      <c r="FL13" s="10">
        <f t="shared" si="85"/>
        <v>4</v>
      </c>
      <c r="FM13" s="10">
        <f t="shared" si="86"/>
        <v>20.799999999999997</v>
      </c>
      <c r="FN13" s="10">
        <f t="shared" si="87"/>
        <v>3</v>
      </c>
      <c r="FO13" s="10">
        <f t="shared" si="88"/>
        <v>18.900000000000002</v>
      </c>
      <c r="FP13" s="10">
        <f t="shared" si="89"/>
        <v>7</v>
      </c>
      <c r="FQ13" s="10">
        <f t="shared" si="92"/>
        <v>39.700000000000003</v>
      </c>
      <c r="FR13" s="10">
        <f t="shared" si="93"/>
        <v>0</v>
      </c>
      <c r="FS13" s="10">
        <f t="shared" si="94"/>
        <v>0</v>
      </c>
      <c r="FT13" s="10">
        <f t="shared" si="95"/>
        <v>2.6</v>
      </c>
      <c r="FU13" s="10">
        <f t="shared" si="96"/>
        <v>11.7</v>
      </c>
      <c r="FV13" s="10">
        <f t="shared" si="97"/>
        <v>2.6</v>
      </c>
      <c r="FW13" s="10">
        <f t="shared" si="90"/>
        <v>11.7</v>
      </c>
      <c r="FX13" s="10">
        <f t="shared" si="91"/>
        <v>51.400000000000006</v>
      </c>
    </row>
    <row r="14" spans="1:180" x14ac:dyDescent="0.2">
      <c r="A14" s="3" t="str" cm="1">
        <f t="array" ref="A14">IF(AND(H14&lt;&gt;"",H14&lt;&gt;"No DD",I14&lt;&gt;"P"),SUMPRODUCT((H$4:H$40&lt;&gt;"")*(H$4:H$40&lt;&gt;"No DD")*(I$4:I$40&lt;&gt;"P")*(E$4:E$40&gt;E14))+1,IF(H14="No DD",SUMPRODUCT((H$4:H$40="No DD")*(I$4:I$40&lt;&gt;"P")*(E$4:E$40&gt;E14))+1+SUMPRODUCT((H$4:H$40&lt;&gt;"")*(I$4:I$40&lt;&gt;"P")*(H$4:H$40&lt;&gt;"No DD")),""))</f>
        <v/>
      </c>
      <c r="B14" s="4" t="s">
        <v>159</v>
      </c>
      <c r="C14" s="3" t="s">
        <v>4</v>
      </c>
      <c r="D14" s="3">
        <v>2006</v>
      </c>
      <c r="E14" s="8">
        <f t="shared" si="0"/>
        <v>91.400006860004524</v>
      </c>
      <c r="F14" s="2" t="str">
        <f t="shared" si="1"/>
        <v/>
      </c>
      <c r="G14" s="2" t="str">
        <f t="shared" si="2"/>
        <v/>
      </c>
      <c r="H14" s="26" t="str">
        <f t="shared" si="3"/>
        <v/>
      </c>
      <c r="I14" s="2" t="str">
        <f>IF(COUNTIFS('Senior-W'!B:B,B14,'Senior-W'!A:A,"&lt;9",'Senior-W'!H:H,"&lt;&gt;"&amp;"No DD"),"P","")</f>
        <v/>
      </c>
      <c r="J14" s="7">
        <f t="shared" si="4"/>
        <v>45.4</v>
      </c>
      <c r="K14" s="7" t="str">
        <f t="shared" si="5"/>
        <v>2025 Nationals</v>
      </c>
      <c r="L14" s="7">
        <f>IF(J14=AO14,IF(COUNT(AQ14,AS14,BO14,BQ14,BU14,BW14)&gt;1,LARGE((AQ14,AS14,BO14,BQ14,BU14,BW14),1),0),IF(COUNT(AK14,AM14,AQ14,AS14,BU14,BW14)&gt;1,LARGE((AK14,AM14,AQ14,AS14,BU14,BW14),1),0))</f>
        <v>23.2</v>
      </c>
      <c r="M14" s="7" t="str">
        <f t="shared" si="6"/>
        <v>2025 Nationals</v>
      </c>
      <c r="N14" s="7">
        <f>IF(J14=AO14,IF(COUNT(AQ14,AS14,BO14,BQ14,BU14,BW14)&gt;1,LARGE((AQ14,AS14,BO14,BQ14,BU14,BW14),2),0),IF(COUNT(AK14,AM14,AQ14,AS14,BU14,BW14)&gt;1,LARGE((AK14,AM14,AQ14,AS14,BU14,BW14),2),0))</f>
        <v>22.8</v>
      </c>
      <c r="O14" s="7" t="str">
        <f t="shared" si="7"/>
        <v>2025 Nationals</v>
      </c>
      <c r="P14" s="7" t="str">
        <f t="shared" si="8"/>
        <v/>
      </c>
      <c r="Q14" s="10" t="str">
        <f t="shared" si="9"/>
        <v/>
      </c>
      <c r="R14" s="7" t="str">
        <f t="shared" si="10"/>
        <v/>
      </c>
      <c r="S14" s="39">
        <v>18.100000000000001</v>
      </c>
      <c r="T14" s="39">
        <v>4.8</v>
      </c>
      <c r="U14" s="39">
        <v>0.6</v>
      </c>
      <c r="V14" s="39">
        <v>0</v>
      </c>
      <c r="W14" s="39">
        <v>18.399999999999999</v>
      </c>
      <c r="X14" s="39">
        <v>4.4000000000000004</v>
      </c>
      <c r="Y14" s="39">
        <v>0</v>
      </c>
      <c r="Z14" s="39">
        <v>0.3</v>
      </c>
      <c r="AA14" s="39">
        <v>18.2</v>
      </c>
      <c r="AB14" s="39">
        <v>5.2</v>
      </c>
      <c r="AC14" s="39">
        <v>0.2</v>
      </c>
      <c r="AD14" s="39">
        <v>0</v>
      </c>
      <c r="AE14" s="39">
        <v>18.3</v>
      </c>
      <c r="AF14" s="39">
        <v>4.8</v>
      </c>
      <c r="AG14" s="39">
        <v>0.6</v>
      </c>
      <c r="AH14" s="39">
        <v>0.3</v>
      </c>
      <c r="AI14" s="19"/>
      <c r="AJ14" s="42">
        <f t="shared" si="11"/>
        <v>4.8</v>
      </c>
      <c r="AK14" s="42">
        <f t="shared" si="12"/>
        <v>22.3</v>
      </c>
      <c r="AL14" s="42">
        <f t="shared" si="13"/>
        <v>4.4000000000000004</v>
      </c>
      <c r="AM14" s="42">
        <f t="shared" si="14"/>
        <v>23.099999999999998</v>
      </c>
      <c r="AN14" s="27">
        <f t="shared" si="15"/>
        <v>9.1999999999999993</v>
      </c>
      <c r="AO14" s="27">
        <f t="shared" si="16"/>
        <v>45.4</v>
      </c>
      <c r="AP14" s="27">
        <f t="shared" si="17"/>
        <v>5.2</v>
      </c>
      <c r="AQ14" s="27">
        <f t="shared" si="18"/>
        <v>23.2</v>
      </c>
      <c r="AR14" s="27">
        <f t="shared" si="19"/>
        <v>4.8</v>
      </c>
      <c r="AS14" s="27">
        <f t="shared" si="20"/>
        <v>22.8</v>
      </c>
      <c r="AT14" s="27">
        <f t="shared" si="21"/>
        <v>10</v>
      </c>
      <c r="AU14" s="27">
        <f t="shared" si="22"/>
        <v>46</v>
      </c>
      <c r="AV14" s="27">
        <f t="shared" si="23"/>
        <v>91.4</v>
      </c>
      <c r="AW14" s="15">
        <v>18.3</v>
      </c>
      <c r="AX14" s="15">
        <v>4.8</v>
      </c>
      <c r="AY14" s="15">
        <v>0.6</v>
      </c>
      <c r="AZ14" s="15">
        <v>0</v>
      </c>
      <c r="BA14" s="15">
        <v>15.2</v>
      </c>
      <c r="BB14" s="15">
        <v>2.8</v>
      </c>
      <c r="BC14" s="15">
        <v>0</v>
      </c>
      <c r="BD14" s="15">
        <v>0.3</v>
      </c>
      <c r="BE14" s="15">
        <v>17.600000000000001</v>
      </c>
      <c r="BF14" s="15">
        <v>5.2</v>
      </c>
      <c r="BG14" s="15">
        <v>0.8</v>
      </c>
      <c r="BH14" s="15">
        <v>0</v>
      </c>
      <c r="BI14" s="15">
        <v>18.5</v>
      </c>
      <c r="BJ14" s="15">
        <v>2</v>
      </c>
      <c r="BK14" s="15">
        <v>1</v>
      </c>
      <c r="BL14" s="15">
        <v>0</v>
      </c>
      <c r="BM14" s="20"/>
      <c r="BN14" s="43">
        <f t="shared" si="24"/>
        <v>4.8</v>
      </c>
      <c r="BO14" s="43">
        <f t="shared" si="25"/>
        <v>22.5</v>
      </c>
      <c r="BP14" s="43">
        <f t="shared" si="26"/>
        <v>2.8</v>
      </c>
      <c r="BQ14" s="43">
        <f t="shared" si="27"/>
        <v>18.3</v>
      </c>
      <c r="BR14" s="10">
        <f t="shared" si="28"/>
        <v>7.6</v>
      </c>
      <c r="BS14" s="10">
        <f t="shared" si="29"/>
        <v>40.799999999999997</v>
      </c>
      <c r="BT14" s="10">
        <f t="shared" si="30"/>
        <v>5.2</v>
      </c>
      <c r="BU14" s="10">
        <f t="shared" si="31"/>
        <v>22</v>
      </c>
      <c r="BV14" s="10">
        <f t="shared" si="32"/>
        <v>2</v>
      </c>
      <c r="BW14" s="10">
        <f t="shared" si="33"/>
        <v>19.5</v>
      </c>
      <c r="BX14" s="10">
        <f t="shared" si="34"/>
        <v>7.2</v>
      </c>
      <c r="BY14" s="10">
        <f t="shared" si="35"/>
        <v>41.5</v>
      </c>
      <c r="BZ14" s="10">
        <f t="shared" si="36"/>
        <v>82.3</v>
      </c>
      <c r="CA14" s="34" t="str">
        <f t="shared" si="37"/>
        <v/>
      </c>
      <c r="CB14" s="34" t="str">
        <f t="shared" si="38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9"/>
        <v/>
      </c>
      <c r="CX14" s="27" t="str">
        <f t="shared" si="40"/>
        <v/>
      </c>
      <c r="CY14" s="27" t="str">
        <f t="shared" si="41"/>
        <v/>
      </c>
      <c r="CZ14" s="27" t="str">
        <f t="shared" si="42"/>
        <v/>
      </c>
      <c r="DA14" s="27" t="str">
        <f t="shared" si="43"/>
        <v/>
      </c>
      <c r="DB14" s="27" t="str">
        <f t="shared" si="44"/>
        <v/>
      </c>
      <c r="DC14" s="27" t="str">
        <f t="shared" si="45"/>
        <v/>
      </c>
      <c r="DD14" s="27" t="str">
        <f t="shared" si="46"/>
        <v/>
      </c>
      <c r="DE14" s="27" t="str">
        <f t="shared" si="47"/>
        <v/>
      </c>
      <c r="DF14" s="27" t="str">
        <f t="shared" si="48"/>
        <v/>
      </c>
      <c r="DG14" s="27" t="str">
        <f t="shared" si="49"/>
        <v/>
      </c>
      <c r="DH14" s="27" t="str">
        <f t="shared" si="50"/>
        <v/>
      </c>
      <c r="DI14" s="27" t="str">
        <f t="shared" si="51"/>
        <v/>
      </c>
      <c r="DJ14" s="27" t="str">
        <f t="shared" si="52"/>
        <v/>
      </c>
      <c r="DK14" s="27" t="str">
        <f t="shared" si="53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4"/>
        <v/>
      </c>
      <c r="EG14" s="10" t="str">
        <f t="shared" si="55"/>
        <v/>
      </c>
      <c r="EH14" s="10" t="str">
        <f t="shared" si="56"/>
        <v/>
      </c>
      <c r="EI14" s="10" t="str">
        <f t="shared" si="57"/>
        <v/>
      </c>
      <c r="EJ14" s="10" t="str">
        <f t="shared" si="58"/>
        <v/>
      </c>
      <c r="EK14" s="10" t="str">
        <f t="shared" si="59"/>
        <v/>
      </c>
      <c r="EL14" s="10" t="str">
        <f t="shared" si="60"/>
        <v/>
      </c>
      <c r="EM14" s="10" t="str">
        <f t="shared" si="61"/>
        <v/>
      </c>
      <c r="EN14" s="10" t="str">
        <f t="shared" si="62"/>
        <v/>
      </c>
      <c r="EO14" s="10" t="str">
        <f t="shared" si="63"/>
        <v/>
      </c>
      <c r="EP14" s="10" t="str">
        <f t="shared" si="64"/>
        <v/>
      </c>
      <c r="EQ14" s="10" t="str">
        <f t="shared" si="65"/>
        <v/>
      </c>
      <c r="ER14" s="10" t="str">
        <f t="shared" si="66"/>
        <v/>
      </c>
      <c r="ES14" s="10" t="str">
        <f t="shared" si="67"/>
        <v/>
      </c>
      <c r="ET14" s="10" t="str">
        <f t="shared" si="68"/>
        <v/>
      </c>
      <c r="EU14" s="44">
        <f t="shared" si="69"/>
        <v>18.200000000000003</v>
      </c>
      <c r="EV14" s="44">
        <f t="shared" si="70"/>
        <v>4.8</v>
      </c>
      <c r="EW14" s="44">
        <f t="shared" si="71"/>
        <v>0.6</v>
      </c>
      <c r="EX14" s="44">
        <f t="shared" si="72"/>
        <v>0</v>
      </c>
      <c r="EY14" s="44">
        <f t="shared" si="73"/>
        <v>16.799999999999997</v>
      </c>
      <c r="EZ14" s="44">
        <f t="shared" si="74"/>
        <v>3.6</v>
      </c>
      <c r="FA14" s="44">
        <f t="shared" si="75"/>
        <v>0</v>
      </c>
      <c r="FB14" s="44">
        <f t="shared" si="76"/>
        <v>0.3</v>
      </c>
      <c r="FC14" s="44">
        <f t="shared" si="77"/>
        <v>17.899999999999999</v>
      </c>
      <c r="FD14" s="44">
        <f t="shared" si="78"/>
        <v>5.2</v>
      </c>
      <c r="FE14" s="44">
        <f t="shared" si="79"/>
        <v>0.5</v>
      </c>
      <c r="FF14" s="44">
        <f t="shared" si="80"/>
        <v>0</v>
      </c>
      <c r="FG14" s="44">
        <f t="shared" si="81"/>
        <v>18.399999999999999</v>
      </c>
      <c r="FH14" s="44">
        <f t="shared" si="82"/>
        <v>3.4</v>
      </c>
      <c r="FI14" s="44">
        <f t="shared" si="83"/>
        <v>0.8</v>
      </c>
      <c r="FJ14" s="44">
        <f t="shared" si="84"/>
        <v>0.15</v>
      </c>
      <c r="FK14" s="20" t="s">
        <v>29</v>
      </c>
      <c r="FL14" s="10">
        <f t="shared" si="85"/>
        <v>4.8</v>
      </c>
      <c r="FM14" s="10">
        <f t="shared" si="86"/>
        <v>22.400000000000002</v>
      </c>
      <c r="FN14" s="10">
        <f t="shared" si="87"/>
        <v>3.6</v>
      </c>
      <c r="FO14" s="10">
        <f t="shared" si="88"/>
        <v>20.7</v>
      </c>
      <c r="FP14" s="10">
        <f t="shared" si="89"/>
        <v>8.4</v>
      </c>
      <c r="FQ14" s="10">
        <f t="shared" si="92"/>
        <v>43.1</v>
      </c>
      <c r="FR14" s="10">
        <f t="shared" si="93"/>
        <v>5.2</v>
      </c>
      <c r="FS14" s="10">
        <f t="shared" si="94"/>
        <v>22.599999999999998</v>
      </c>
      <c r="FT14" s="10">
        <f t="shared" si="95"/>
        <v>3.4</v>
      </c>
      <c r="FU14" s="10">
        <f t="shared" si="96"/>
        <v>21.149999999999995</v>
      </c>
      <c r="FV14" s="10">
        <f t="shared" si="97"/>
        <v>8.6</v>
      </c>
      <c r="FW14" s="10">
        <f t="shared" si="90"/>
        <v>43.749999999999993</v>
      </c>
      <c r="FX14" s="10">
        <f t="shared" si="91"/>
        <v>86.85</v>
      </c>
    </row>
    <row r="15" spans="1:180" x14ac:dyDescent="0.2">
      <c r="A15" s="3" t="str" cm="1">
        <f t="array" ref="A15">IF(AND(H15&lt;&gt;"",H15&lt;&gt;"No DD",I15&lt;&gt;"P"),SUMPRODUCT((H$4:H$40&lt;&gt;"")*(H$4:H$40&lt;&gt;"No DD")*(I$4:I$40&lt;&gt;"P")*(E$4:E$40&gt;E15))+1,IF(H15="No DD",SUMPRODUCT((H$4:H$40="No DD")*(I$4:I$40&lt;&gt;"P")*(E$4:E$40&gt;E15))+1+SUMPRODUCT((H$4:H$40&lt;&gt;"")*(I$4:I$40&lt;&gt;"P")*(H$4:H$40&lt;&gt;"No DD")),""))</f>
        <v/>
      </c>
      <c r="B15" s="4" t="s">
        <v>171</v>
      </c>
      <c r="C15" s="3" t="s">
        <v>4</v>
      </c>
      <c r="D15" s="3">
        <v>2008</v>
      </c>
      <c r="E15" s="8">
        <f t="shared" si="0"/>
        <v>91.200006890004516</v>
      </c>
      <c r="F15" s="2" t="str">
        <f t="shared" si="1"/>
        <v/>
      </c>
      <c r="G15" s="2" t="str">
        <f t="shared" si="2"/>
        <v/>
      </c>
      <c r="H15" s="26" t="str">
        <f t="shared" si="3"/>
        <v/>
      </c>
      <c r="I15" s="2" t="str">
        <f>IF(COUNTIFS('Senior-W'!B:B,B15,'Senior-W'!A:A,"&lt;9",'Senior-W'!H:H,"&lt;&gt;"&amp;"No DD"),"P","")</f>
        <v/>
      </c>
      <c r="J15" s="7">
        <f t="shared" si="4"/>
        <v>45.3</v>
      </c>
      <c r="K15" s="7" t="str">
        <f t="shared" si="5"/>
        <v>2025 Nationals</v>
      </c>
      <c r="L15" s="7">
        <f>IF(J15=AO15,IF(COUNT(AQ15,AS15,BO15,BQ15,BU15,BW15)&gt;1,LARGE((AQ15,AS15,BO15,BQ15,BU15,BW15),1),0),IF(COUNT(AK15,AM15,AQ15,AS15,BU15,BW15)&gt;1,LARGE((AK15,AM15,AQ15,AS15,BU15,BW15),1),0))</f>
        <v>23.599999999999998</v>
      </c>
      <c r="M15" s="7" t="str">
        <f t="shared" si="6"/>
        <v>2025 Nationals</v>
      </c>
      <c r="N15" s="7">
        <f>IF(J15=AO15,IF(COUNT(AQ15,AS15,BO15,BQ15,BU15,BW15)&gt;1,LARGE((AQ15,AS15,BO15,BQ15,BU15,BW15),2),0),IF(COUNT(AK15,AM15,AQ15,AS15,BU15,BW15)&gt;1,LARGE((AK15,AM15,AQ15,AS15,BU15,BW15),2),0))</f>
        <v>22.299999999999997</v>
      </c>
      <c r="O15" s="7" t="str">
        <f t="shared" si="7"/>
        <v>2025 Nationals</v>
      </c>
      <c r="P15" s="7" t="str">
        <f t="shared" si="8"/>
        <v/>
      </c>
      <c r="Q15" s="10" t="str">
        <f t="shared" si="9"/>
        <v/>
      </c>
      <c r="R15" s="7" t="str">
        <f t="shared" si="10"/>
        <v/>
      </c>
      <c r="S15" s="39">
        <v>18.3</v>
      </c>
      <c r="T15" s="39">
        <v>5.2</v>
      </c>
      <c r="U15" s="39">
        <v>0</v>
      </c>
      <c r="V15" s="39">
        <v>0</v>
      </c>
      <c r="W15" s="39">
        <v>18.8</v>
      </c>
      <c r="X15" s="39">
        <v>3.6</v>
      </c>
      <c r="Y15" s="39">
        <v>0.6</v>
      </c>
      <c r="Z15" s="39">
        <v>0</v>
      </c>
      <c r="AA15" s="39">
        <v>18.399999999999999</v>
      </c>
      <c r="AB15" s="39">
        <v>5.2</v>
      </c>
      <c r="AC15" s="39">
        <v>0</v>
      </c>
      <c r="AD15" s="39">
        <v>0</v>
      </c>
      <c r="AE15" s="39">
        <v>18.899999999999999</v>
      </c>
      <c r="AF15" s="39">
        <v>4</v>
      </c>
      <c r="AG15" s="39">
        <v>0.6</v>
      </c>
      <c r="AH15" s="39">
        <v>0</v>
      </c>
      <c r="AI15" s="19"/>
      <c r="AJ15" s="42">
        <f t="shared" si="11"/>
        <v>5.2</v>
      </c>
      <c r="AK15" s="42">
        <f t="shared" si="12"/>
        <v>23.5</v>
      </c>
      <c r="AL15" s="42">
        <f t="shared" si="13"/>
        <v>3.6</v>
      </c>
      <c r="AM15" s="42">
        <f t="shared" si="14"/>
        <v>21.8</v>
      </c>
      <c r="AN15" s="27">
        <f t="shared" si="15"/>
        <v>8.8000000000000007</v>
      </c>
      <c r="AO15" s="27">
        <f t="shared" si="16"/>
        <v>45.3</v>
      </c>
      <c r="AP15" s="27">
        <f t="shared" si="17"/>
        <v>5.2</v>
      </c>
      <c r="AQ15" s="27">
        <f t="shared" si="18"/>
        <v>23.599999999999998</v>
      </c>
      <c r="AR15" s="27">
        <f t="shared" si="19"/>
        <v>4</v>
      </c>
      <c r="AS15" s="27">
        <f t="shared" si="20"/>
        <v>22.299999999999997</v>
      </c>
      <c r="AT15" s="27">
        <f t="shared" si="21"/>
        <v>9.1999999999999993</v>
      </c>
      <c r="AU15" s="27">
        <f t="shared" si="22"/>
        <v>45.899999999999991</v>
      </c>
      <c r="AV15" s="27">
        <f t="shared" si="23"/>
        <v>91.199999999999989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3" t="str">
        <f t="shared" si="24"/>
        <v/>
      </c>
      <c r="BO15" s="43" t="str">
        <f t="shared" si="25"/>
        <v/>
      </c>
      <c r="BP15" s="43" t="str">
        <f t="shared" si="26"/>
        <v/>
      </c>
      <c r="BQ15" s="43" t="str">
        <f t="shared" si="27"/>
        <v/>
      </c>
      <c r="BR15" s="10" t="str">
        <f t="shared" si="28"/>
        <v/>
      </c>
      <c r="BS15" s="10" t="str">
        <f t="shared" si="29"/>
        <v/>
      </c>
      <c r="BT15" s="10" t="str">
        <f t="shared" si="30"/>
        <v/>
      </c>
      <c r="BU15" s="10" t="str">
        <f t="shared" si="31"/>
        <v/>
      </c>
      <c r="BV15" s="10" t="str">
        <f t="shared" si="32"/>
        <v/>
      </c>
      <c r="BW15" s="10" t="str">
        <f t="shared" si="33"/>
        <v/>
      </c>
      <c r="BX15" s="10" t="str">
        <f t="shared" si="34"/>
        <v/>
      </c>
      <c r="BY15" s="10" t="str">
        <f t="shared" si="35"/>
        <v/>
      </c>
      <c r="BZ15" s="10" t="str">
        <f t="shared" si="36"/>
        <v/>
      </c>
      <c r="CA15" s="34" t="str">
        <f t="shared" si="37"/>
        <v/>
      </c>
      <c r="CB15" s="34" t="str">
        <f t="shared" si="38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9"/>
        <v/>
      </c>
      <c r="CX15" s="27" t="str">
        <f t="shared" si="40"/>
        <v/>
      </c>
      <c r="CY15" s="27" t="str">
        <f t="shared" si="41"/>
        <v/>
      </c>
      <c r="CZ15" s="27" t="str">
        <f t="shared" si="42"/>
        <v/>
      </c>
      <c r="DA15" s="27" t="str">
        <f t="shared" si="43"/>
        <v/>
      </c>
      <c r="DB15" s="27" t="str">
        <f t="shared" si="44"/>
        <v/>
      </c>
      <c r="DC15" s="27" t="str">
        <f t="shared" si="45"/>
        <v/>
      </c>
      <c r="DD15" s="27" t="str">
        <f t="shared" si="46"/>
        <v/>
      </c>
      <c r="DE15" s="27" t="str">
        <f t="shared" si="47"/>
        <v/>
      </c>
      <c r="DF15" s="27" t="str">
        <f t="shared" si="48"/>
        <v/>
      </c>
      <c r="DG15" s="27" t="str">
        <f t="shared" si="49"/>
        <v/>
      </c>
      <c r="DH15" s="27" t="str">
        <f t="shared" si="50"/>
        <v/>
      </c>
      <c r="DI15" s="27" t="str">
        <f t="shared" si="51"/>
        <v/>
      </c>
      <c r="DJ15" s="27" t="str">
        <f t="shared" si="52"/>
        <v/>
      </c>
      <c r="DK15" s="27" t="str">
        <f t="shared" si="53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4"/>
        <v/>
      </c>
      <c r="EG15" s="10" t="str">
        <f t="shared" si="55"/>
        <v/>
      </c>
      <c r="EH15" s="10" t="str">
        <f t="shared" si="56"/>
        <v/>
      </c>
      <c r="EI15" s="10" t="str">
        <f t="shared" si="57"/>
        <v/>
      </c>
      <c r="EJ15" s="10" t="str">
        <f t="shared" si="58"/>
        <v/>
      </c>
      <c r="EK15" s="10" t="str">
        <f t="shared" si="59"/>
        <v/>
      </c>
      <c r="EL15" s="10" t="str">
        <f t="shared" si="60"/>
        <v/>
      </c>
      <c r="EM15" s="10" t="str">
        <f t="shared" si="61"/>
        <v/>
      </c>
      <c r="EN15" s="10" t="str">
        <f t="shared" si="62"/>
        <v/>
      </c>
      <c r="EO15" s="10" t="str">
        <f t="shared" si="63"/>
        <v/>
      </c>
      <c r="EP15" s="10" t="str">
        <f t="shared" si="64"/>
        <v/>
      </c>
      <c r="EQ15" s="10" t="str">
        <f t="shared" si="65"/>
        <v/>
      </c>
      <c r="ER15" s="10" t="str">
        <f t="shared" si="66"/>
        <v/>
      </c>
      <c r="ES15" s="10" t="str">
        <f t="shared" si="67"/>
        <v/>
      </c>
      <c r="ET15" s="10" t="str">
        <f t="shared" si="68"/>
        <v/>
      </c>
      <c r="EU15" s="44">
        <f t="shared" si="69"/>
        <v>9.15</v>
      </c>
      <c r="EV15" s="44">
        <f t="shared" si="70"/>
        <v>2.6</v>
      </c>
      <c r="EW15" s="44">
        <f t="shared" si="71"/>
        <v>0</v>
      </c>
      <c r="EX15" s="44">
        <f t="shared" si="72"/>
        <v>0</v>
      </c>
      <c r="EY15" s="44">
        <f t="shared" si="73"/>
        <v>9.4</v>
      </c>
      <c r="EZ15" s="44">
        <f t="shared" si="74"/>
        <v>1.8</v>
      </c>
      <c r="FA15" s="44">
        <f t="shared" si="75"/>
        <v>0.3</v>
      </c>
      <c r="FB15" s="44">
        <f t="shared" si="76"/>
        <v>0</v>
      </c>
      <c r="FC15" s="44">
        <f t="shared" si="77"/>
        <v>9.1999999999999993</v>
      </c>
      <c r="FD15" s="44">
        <f t="shared" si="78"/>
        <v>2.6</v>
      </c>
      <c r="FE15" s="44">
        <f t="shared" si="79"/>
        <v>0</v>
      </c>
      <c r="FF15" s="44">
        <f t="shared" si="80"/>
        <v>0</v>
      </c>
      <c r="FG15" s="44">
        <f t="shared" si="81"/>
        <v>9.4499999999999993</v>
      </c>
      <c r="FH15" s="44">
        <f t="shared" si="82"/>
        <v>2</v>
      </c>
      <c r="FI15" s="44">
        <f t="shared" si="83"/>
        <v>0.3</v>
      </c>
      <c r="FJ15" s="44">
        <f t="shared" si="84"/>
        <v>0</v>
      </c>
      <c r="FK15" s="20" t="s">
        <v>29</v>
      </c>
      <c r="FL15" s="10">
        <f t="shared" si="85"/>
        <v>2.6</v>
      </c>
      <c r="FM15" s="10">
        <f t="shared" si="86"/>
        <v>11.75</v>
      </c>
      <c r="FN15" s="10">
        <f t="shared" si="87"/>
        <v>1.8</v>
      </c>
      <c r="FO15" s="10">
        <f t="shared" si="88"/>
        <v>10.9</v>
      </c>
      <c r="FP15" s="10">
        <f t="shared" si="89"/>
        <v>4.4000000000000004</v>
      </c>
      <c r="FQ15" s="10">
        <f t="shared" si="92"/>
        <v>22.65</v>
      </c>
      <c r="FR15" s="10">
        <f t="shared" si="93"/>
        <v>2.6</v>
      </c>
      <c r="FS15" s="10">
        <f t="shared" si="94"/>
        <v>11.799999999999999</v>
      </c>
      <c r="FT15" s="10">
        <f t="shared" si="95"/>
        <v>2</v>
      </c>
      <c r="FU15" s="10">
        <f t="shared" si="96"/>
        <v>11.149999999999999</v>
      </c>
      <c r="FV15" s="10">
        <f t="shared" si="97"/>
        <v>4.5999999999999996</v>
      </c>
      <c r="FW15" s="10">
        <f t="shared" si="90"/>
        <v>22.949999999999996</v>
      </c>
      <c r="FX15" s="10">
        <f t="shared" si="91"/>
        <v>45.599999999999994</v>
      </c>
    </row>
    <row r="16" spans="1:180" x14ac:dyDescent="0.2">
      <c r="A16" s="3" t="str" cm="1">
        <f t="array" ref="A16">IF(AND(H16&lt;&gt;"",H16&lt;&gt;"No DD",I16&lt;&gt;"P"),SUMPRODUCT((H$4:H$40&lt;&gt;"")*(H$4:H$40&lt;&gt;"No DD")*(I$4:I$40&lt;&gt;"P")*(E$4:E$40&gt;E16))+1,IF(H16="No DD",SUMPRODUCT((H$4:H$40="No DD")*(I$4:I$40&lt;&gt;"P")*(E$4:E$40&gt;E16))+1+SUMPRODUCT((H$4:H$40&lt;&gt;"")*(I$4:I$40&lt;&gt;"P")*(H$4:H$40&lt;&gt;"No DD")),""))</f>
        <v/>
      </c>
      <c r="B16" s="4" t="s">
        <v>169</v>
      </c>
      <c r="C16" s="3" t="s">
        <v>3</v>
      </c>
      <c r="D16" s="3">
        <v>2008</v>
      </c>
      <c r="E16" s="8">
        <f t="shared" si="0"/>
        <v>91.100006890004593</v>
      </c>
      <c r="F16" s="2" t="str">
        <f t="shared" si="1"/>
        <v/>
      </c>
      <c r="G16" s="2" t="str">
        <f t="shared" si="2"/>
        <v/>
      </c>
      <c r="H16" s="26" t="str">
        <f t="shared" si="3"/>
        <v/>
      </c>
      <c r="I16" s="2" t="str">
        <f>IF(COUNTIFS('Senior-W'!B:B,B16,'Senior-W'!A:A,"&lt;9",'Senior-W'!H:H,"&lt;&gt;"&amp;"No DD"),"P","")</f>
        <v/>
      </c>
      <c r="J16" s="7">
        <f t="shared" si="4"/>
        <v>46.099999999999994</v>
      </c>
      <c r="K16" s="7" t="str">
        <f t="shared" si="5"/>
        <v>2025 Nationals</v>
      </c>
      <c r="L16" s="7">
        <f>IF(J16=AO16,IF(COUNT(AQ16,AS16,BO16,BQ16,BU16,BW16)&gt;1,LARGE((AQ16,AS16,BO16,BQ16,BU16,BW16),1),0),IF(COUNT(AK16,AM16,AQ16,AS16,BU16,BW16)&gt;1,LARGE((AK16,AM16,AQ16,AS16,BU16,BW16),1),0))</f>
        <v>22.799999999999997</v>
      </c>
      <c r="M16" s="7" t="str">
        <f t="shared" si="6"/>
        <v>2025 Nationals</v>
      </c>
      <c r="N16" s="7">
        <f>IF(J16=AO16,IF(COUNT(AQ16,AS16,BO16,BQ16,BU16,BW16)&gt;1,LARGE((AQ16,AS16,BO16,BQ16,BU16,BW16),2),0),IF(COUNT(AK16,AM16,AQ16,AS16,BU16,BW16)&gt;1,LARGE((AK16,AM16,AQ16,AS16,BU16,BW16),2),0))</f>
        <v>22.200000000000003</v>
      </c>
      <c r="O16" s="7" t="str">
        <f t="shared" si="7"/>
        <v>2025 Nationals</v>
      </c>
      <c r="P16" s="7" t="str">
        <f t="shared" si="8"/>
        <v/>
      </c>
      <c r="Q16" s="10" t="str">
        <f t="shared" si="9"/>
        <v/>
      </c>
      <c r="R16" s="7" t="str">
        <f t="shared" si="10"/>
        <v/>
      </c>
      <c r="S16" s="39">
        <v>18.399999999999999</v>
      </c>
      <c r="T16" s="39">
        <v>3.6</v>
      </c>
      <c r="U16" s="39">
        <v>0</v>
      </c>
      <c r="V16" s="39">
        <v>0</v>
      </c>
      <c r="W16" s="39">
        <v>18.899999999999999</v>
      </c>
      <c r="X16" s="39">
        <v>5.2</v>
      </c>
      <c r="Y16" s="39">
        <v>0</v>
      </c>
      <c r="Z16" s="39">
        <v>0</v>
      </c>
      <c r="AA16" s="39">
        <v>18.600000000000001</v>
      </c>
      <c r="AB16" s="39">
        <v>3.6</v>
      </c>
      <c r="AC16" s="39">
        <v>0</v>
      </c>
      <c r="AD16" s="39">
        <v>0</v>
      </c>
      <c r="AE16" s="39">
        <v>18.399999999999999</v>
      </c>
      <c r="AF16" s="39">
        <v>5.2</v>
      </c>
      <c r="AG16" s="39">
        <v>0.8</v>
      </c>
      <c r="AH16" s="39">
        <v>0</v>
      </c>
      <c r="AI16" s="19"/>
      <c r="AJ16" s="42">
        <f t="shared" si="11"/>
        <v>3.6</v>
      </c>
      <c r="AK16" s="42">
        <f t="shared" si="12"/>
        <v>22</v>
      </c>
      <c r="AL16" s="42">
        <f t="shared" si="13"/>
        <v>5.2</v>
      </c>
      <c r="AM16" s="42">
        <f t="shared" si="14"/>
        <v>24.099999999999998</v>
      </c>
      <c r="AN16" s="27">
        <f t="shared" si="15"/>
        <v>8.8000000000000007</v>
      </c>
      <c r="AO16" s="27">
        <f t="shared" si="16"/>
        <v>46.099999999999994</v>
      </c>
      <c r="AP16" s="27">
        <f t="shared" si="17"/>
        <v>3.6</v>
      </c>
      <c r="AQ16" s="27">
        <f t="shared" si="18"/>
        <v>22.200000000000003</v>
      </c>
      <c r="AR16" s="27">
        <f t="shared" si="19"/>
        <v>5.2</v>
      </c>
      <c r="AS16" s="27">
        <f t="shared" si="20"/>
        <v>22.799999999999997</v>
      </c>
      <c r="AT16" s="27">
        <f t="shared" si="21"/>
        <v>8.8000000000000007</v>
      </c>
      <c r="AU16" s="27">
        <f t="shared" si="22"/>
        <v>45</v>
      </c>
      <c r="AV16" s="27">
        <f t="shared" si="23"/>
        <v>91.1</v>
      </c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20"/>
      <c r="BN16" s="43" t="str">
        <f t="shared" si="24"/>
        <v/>
      </c>
      <c r="BO16" s="43" t="str">
        <f t="shared" si="25"/>
        <v/>
      </c>
      <c r="BP16" s="43" t="str">
        <f t="shared" si="26"/>
        <v/>
      </c>
      <c r="BQ16" s="43" t="str">
        <f t="shared" si="27"/>
        <v/>
      </c>
      <c r="BR16" s="10" t="str">
        <f t="shared" si="28"/>
        <v/>
      </c>
      <c r="BS16" s="10" t="str">
        <f t="shared" si="29"/>
        <v/>
      </c>
      <c r="BT16" s="10" t="str">
        <f t="shared" si="30"/>
        <v/>
      </c>
      <c r="BU16" s="10" t="str">
        <f t="shared" si="31"/>
        <v/>
      </c>
      <c r="BV16" s="10" t="str">
        <f t="shared" si="32"/>
        <v/>
      </c>
      <c r="BW16" s="10" t="str">
        <f t="shared" si="33"/>
        <v/>
      </c>
      <c r="BX16" s="10" t="str">
        <f t="shared" si="34"/>
        <v/>
      </c>
      <c r="BY16" s="10" t="str">
        <f t="shared" si="35"/>
        <v/>
      </c>
      <c r="BZ16" s="10" t="str">
        <f t="shared" si="36"/>
        <v/>
      </c>
      <c r="CA16" s="34" t="str">
        <f t="shared" si="37"/>
        <v/>
      </c>
      <c r="CB16" s="34" t="str">
        <f t="shared" si="38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9"/>
        <v/>
      </c>
      <c r="CX16" s="27" t="str">
        <f t="shared" si="40"/>
        <v/>
      </c>
      <c r="CY16" s="27" t="str">
        <f t="shared" si="41"/>
        <v/>
      </c>
      <c r="CZ16" s="27" t="str">
        <f t="shared" si="42"/>
        <v/>
      </c>
      <c r="DA16" s="27" t="str">
        <f t="shared" si="43"/>
        <v/>
      </c>
      <c r="DB16" s="27" t="str">
        <f t="shared" si="44"/>
        <v/>
      </c>
      <c r="DC16" s="27" t="str">
        <f t="shared" si="45"/>
        <v/>
      </c>
      <c r="DD16" s="27" t="str">
        <f t="shared" si="46"/>
        <v/>
      </c>
      <c r="DE16" s="27" t="str">
        <f t="shared" si="47"/>
        <v/>
      </c>
      <c r="DF16" s="27" t="str">
        <f t="shared" si="48"/>
        <v/>
      </c>
      <c r="DG16" s="27" t="str">
        <f t="shared" si="49"/>
        <v/>
      </c>
      <c r="DH16" s="27" t="str">
        <f t="shared" si="50"/>
        <v/>
      </c>
      <c r="DI16" s="27" t="str">
        <f t="shared" si="51"/>
        <v/>
      </c>
      <c r="DJ16" s="27" t="str">
        <f t="shared" si="52"/>
        <v/>
      </c>
      <c r="DK16" s="27" t="str">
        <f t="shared" si="53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4"/>
        <v/>
      </c>
      <c r="EG16" s="10" t="str">
        <f t="shared" si="55"/>
        <v/>
      </c>
      <c r="EH16" s="10" t="str">
        <f t="shared" si="56"/>
        <v/>
      </c>
      <c r="EI16" s="10" t="str">
        <f t="shared" si="57"/>
        <v/>
      </c>
      <c r="EJ16" s="10" t="str">
        <f t="shared" si="58"/>
        <v/>
      </c>
      <c r="EK16" s="10" t="str">
        <f t="shared" si="59"/>
        <v/>
      </c>
      <c r="EL16" s="10" t="str">
        <f t="shared" si="60"/>
        <v/>
      </c>
      <c r="EM16" s="10" t="str">
        <f t="shared" si="61"/>
        <v/>
      </c>
      <c r="EN16" s="10" t="str">
        <f t="shared" si="62"/>
        <v/>
      </c>
      <c r="EO16" s="10" t="str">
        <f t="shared" si="63"/>
        <v/>
      </c>
      <c r="EP16" s="10" t="str">
        <f t="shared" si="64"/>
        <v/>
      </c>
      <c r="EQ16" s="10" t="str">
        <f t="shared" si="65"/>
        <v/>
      </c>
      <c r="ER16" s="10" t="str">
        <f t="shared" si="66"/>
        <v/>
      </c>
      <c r="ES16" s="10" t="str">
        <f t="shared" si="67"/>
        <v/>
      </c>
      <c r="ET16" s="10" t="str">
        <f t="shared" si="68"/>
        <v/>
      </c>
      <c r="EU16" s="44">
        <f t="shared" si="69"/>
        <v>9.1999999999999993</v>
      </c>
      <c r="EV16" s="44">
        <f t="shared" si="70"/>
        <v>1.8</v>
      </c>
      <c r="EW16" s="44">
        <f t="shared" si="71"/>
        <v>0</v>
      </c>
      <c r="EX16" s="44">
        <f t="shared" si="72"/>
        <v>0</v>
      </c>
      <c r="EY16" s="44">
        <f t="shared" si="73"/>
        <v>9.4499999999999993</v>
      </c>
      <c r="EZ16" s="44">
        <f t="shared" si="74"/>
        <v>2.6</v>
      </c>
      <c r="FA16" s="44">
        <f t="shared" si="75"/>
        <v>0</v>
      </c>
      <c r="FB16" s="44">
        <f t="shared" si="76"/>
        <v>0</v>
      </c>
      <c r="FC16" s="44">
        <f t="shared" si="77"/>
        <v>9.3000000000000007</v>
      </c>
      <c r="FD16" s="44">
        <f t="shared" si="78"/>
        <v>1.8</v>
      </c>
      <c r="FE16" s="44">
        <f t="shared" si="79"/>
        <v>0</v>
      </c>
      <c r="FF16" s="44">
        <f t="shared" si="80"/>
        <v>0</v>
      </c>
      <c r="FG16" s="44">
        <f t="shared" si="81"/>
        <v>9.1999999999999993</v>
      </c>
      <c r="FH16" s="44">
        <f t="shared" si="82"/>
        <v>2.6</v>
      </c>
      <c r="FI16" s="44">
        <f t="shared" si="83"/>
        <v>0.4</v>
      </c>
      <c r="FJ16" s="44">
        <f t="shared" si="84"/>
        <v>0</v>
      </c>
      <c r="FK16" s="20" t="s">
        <v>29</v>
      </c>
      <c r="FL16" s="10">
        <f t="shared" si="85"/>
        <v>1.8</v>
      </c>
      <c r="FM16" s="10">
        <f t="shared" si="86"/>
        <v>11</v>
      </c>
      <c r="FN16" s="10">
        <f t="shared" si="87"/>
        <v>2.6</v>
      </c>
      <c r="FO16" s="10">
        <f t="shared" si="88"/>
        <v>12.049999999999999</v>
      </c>
      <c r="FP16" s="10">
        <f t="shared" si="89"/>
        <v>4.4000000000000004</v>
      </c>
      <c r="FQ16" s="10">
        <f t="shared" si="92"/>
        <v>23.049999999999997</v>
      </c>
      <c r="FR16" s="10">
        <f t="shared" si="93"/>
        <v>1.8</v>
      </c>
      <c r="FS16" s="10">
        <f t="shared" si="94"/>
        <v>11.100000000000001</v>
      </c>
      <c r="FT16" s="10">
        <f t="shared" si="95"/>
        <v>2.6</v>
      </c>
      <c r="FU16" s="10">
        <f t="shared" si="96"/>
        <v>11.399999999999999</v>
      </c>
      <c r="FV16" s="10">
        <f t="shared" si="97"/>
        <v>4.4000000000000004</v>
      </c>
      <c r="FW16" s="10">
        <f t="shared" si="90"/>
        <v>22.5</v>
      </c>
      <c r="FX16" s="10">
        <f t="shared" si="91"/>
        <v>45.55</v>
      </c>
    </row>
    <row r="17" spans="1:180" x14ac:dyDescent="0.2">
      <c r="A17" s="3" t="str" cm="1">
        <f t="array" ref="A17">IF(AND(H17&lt;&gt;"",H17&lt;&gt;"No DD",I17&lt;&gt;"P"),SUMPRODUCT((H$4:H$40&lt;&gt;"")*(H$4:H$40&lt;&gt;"No DD")*(I$4:I$40&lt;&gt;"P")*(E$4:E$40&gt;E17))+1,IF(H17="No DD",SUMPRODUCT((H$4:H$40="No DD")*(I$4:I$40&lt;&gt;"P")*(E$4:E$40&gt;E17))+1+SUMPRODUCT((H$4:H$40&lt;&gt;"")*(I$4:I$40&lt;&gt;"P")*(H$4:H$40&lt;&gt;"No DD")),""))</f>
        <v/>
      </c>
      <c r="B17" s="4" t="s">
        <v>160</v>
      </c>
      <c r="C17" s="3" t="s">
        <v>83</v>
      </c>
      <c r="D17" s="3">
        <v>2005</v>
      </c>
      <c r="E17" s="8">
        <f t="shared" si="0"/>
        <v>90.100006810004572</v>
      </c>
      <c r="F17" s="2" t="str">
        <f t="shared" si="1"/>
        <v/>
      </c>
      <c r="G17" s="2" t="str">
        <f t="shared" si="2"/>
        <v/>
      </c>
      <c r="H17" s="26" t="str">
        <f t="shared" si="3"/>
        <v/>
      </c>
      <c r="I17" s="2" t="str">
        <f>IF(COUNTIFS('Senior-W'!B:B,B17,'Senior-W'!A:A,"&lt;9",'Senior-W'!H:H,"&lt;&gt;"&amp;"No DD"),"P","")</f>
        <v/>
      </c>
      <c r="J17" s="7">
        <f t="shared" si="4"/>
        <v>45.8</v>
      </c>
      <c r="K17" s="7" t="str">
        <f t="shared" si="5"/>
        <v>2025 Nationals</v>
      </c>
      <c r="L17" s="7">
        <f>IF(J17=AO17,IF(COUNT(AQ17,AS17,BO17,BQ17,BU17,BW17)&gt;1,LARGE((AQ17,AS17,BO17,BQ17,BU17,BW17),1),0),IF(COUNT(AK17,AM17,AQ17,AS17,BU17,BW17)&gt;1,LARGE((AK17,AM17,AQ17,AS17,BU17,BW17),1),0))</f>
        <v>22.3</v>
      </c>
      <c r="M17" s="7" t="str">
        <f t="shared" si="6"/>
        <v>2025 Nationals</v>
      </c>
      <c r="N17" s="7">
        <f>IF(J17=AO17,IF(COUNT(AQ17,AS17,BO17,BQ17,BU17,BW17)&gt;1,LARGE((AQ17,AS17,BO17,BQ17,BU17,BW17),2),0),IF(COUNT(AK17,AM17,AQ17,AS17,BU17,BW17)&gt;1,LARGE((AK17,AM17,AQ17,AS17,BU17,BW17),2),0))</f>
        <v>22</v>
      </c>
      <c r="O17" s="7" t="str">
        <f t="shared" si="7"/>
        <v>2025 3rd Domestic Trial</v>
      </c>
      <c r="P17" s="7" t="str">
        <f t="shared" si="8"/>
        <v/>
      </c>
      <c r="Q17" s="10" t="str">
        <f t="shared" si="9"/>
        <v/>
      </c>
      <c r="R17" s="7" t="str">
        <f t="shared" si="10"/>
        <v/>
      </c>
      <c r="S17" s="39">
        <v>18</v>
      </c>
      <c r="T17" s="39">
        <v>4.8</v>
      </c>
      <c r="U17" s="39">
        <v>0.6</v>
      </c>
      <c r="V17" s="39">
        <v>0.3</v>
      </c>
      <c r="W17" s="39">
        <v>17.899999999999999</v>
      </c>
      <c r="X17" s="39">
        <v>5.6</v>
      </c>
      <c r="Y17" s="39">
        <v>0.2</v>
      </c>
      <c r="Z17" s="39">
        <v>0</v>
      </c>
      <c r="AA17" s="39">
        <v>16.100000000000001</v>
      </c>
      <c r="AB17" s="39">
        <v>5.2</v>
      </c>
      <c r="AC17" s="39">
        <v>1</v>
      </c>
      <c r="AD17" s="39">
        <v>0</v>
      </c>
      <c r="AE17" s="39">
        <v>17.8</v>
      </c>
      <c r="AF17" s="39">
        <v>4.8</v>
      </c>
      <c r="AG17" s="39">
        <v>0.6</v>
      </c>
      <c r="AH17" s="39">
        <v>0.3</v>
      </c>
      <c r="AI17" s="19"/>
      <c r="AJ17" s="42">
        <f t="shared" si="11"/>
        <v>4.8</v>
      </c>
      <c r="AK17" s="42">
        <f t="shared" si="12"/>
        <v>22.5</v>
      </c>
      <c r="AL17" s="42">
        <f t="shared" si="13"/>
        <v>5.6</v>
      </c>
      <c r="AM17" s="42">
        <f t="shared" si="14"/>
        <v>23.3</v>
      </c>
      <c r="AN17" s="27">
        <f t="shared" si="15"/>
        <v>10.399999999999999</v>
      </c>
      <c r="AO17" s="27">
        <f t="shared" si="16"/>
        <v>45.8</v>
      </c>
      <c r="AP17" s="27">
        <f t="shared" si="17"/>
        <v>5.2</v>
      </c>
      <c r="AQ17" s="27">
        <f t="shared" si="18"/>
        <v>20.3</v>
      </c>
      <c r="AR17" s="27">
        <f t="shared" si="19"/>
        <v>4.8</v>
      </c>
      <c r="AS17" s="27">
        <f t="shared" si="20"/>
        <v>22.3</v>
      </c>
      <c r="AT17" s="27">
        <f t="shared" si="21"/>
        <v>10</v>
      </c>
      <c r="AU17" s="27">
        <f t="shared" si="22"/>
        <v>42.6</v>
      </c>
      <c r="AV17" s="27">
        <f t="shared" si="23"/>
        <v>88.4</v>
      </c>
      <c r="AW17" s="15">
        <v>18.2</v>
      </c>
      <c r="AX17" s="15">
        <v>4.4000000000000004</v>
      </c>
      <c r="AY17" s="15">
        <v>0.6</v>
      </c>
      <c r="AZ17" s="15">
        <v>0</v>
      </c>
      <c r="BA17" s="15">
        <v>18.399999999999999</v>
      </c>
      <c r="BB17" s="15">
        <v>2.8</v>
      </c>
      <c r="BC17" s="15">
        <v>1.3</v>
      </c>
      <c r="BD17" s="15">
        <v>0</v>
      </c>
      <c r="BE17" s="15">
        <v>18.2</v>
      </c>
      <c r="BF17" s="15">
        <v>4.4000000000000004</v>
      </c>
      <c r="BG17" s="15">
        <v>0.6</v>
      </c>
      <c r="BH17" s="15">
        <v>0</v>
      </c>
      <c r="BI17" s="15">
        <v>18.2</v>
      </c>
      <c r="BJ17" s="15">
        <v>3.2</v>
      </c>
      <c r="BK17" s="15">
        <v>0.3</v>
      </c>
      <c r="BL17" s="15">
        <v>0</v>
      </c>
      <c r="BM17" s="20"/>
      <c r="BN17" s="43">
        <f t="shared" si="24"/>
        <v>4.4000000000000004</v>
      </c>
      <c r="BO17" s="43">
        <f t="shared" si="25"/>
        <v>22</v>
      </c>
      <c r="BP17" s="43">
        <f t="shared" si="26"/>
        <v>2.8</v>
      </c>
      <c r="BQ17" s="43">
        <f t="shared" si="27"/>
        <v>19.899999999999999</v>
      </c>
      <c r="BR17" s="10">
        <f t="shared" si="28"/>
        <v>7.2</v>
      </c>
      <c r="BS17" s="10">
        <f t="shared" si="29"/>
        <v>41.9</v>
      </c>
      <c r="BT17" s="10">
        <f t="shared" si="30"/>
        <v>4.4000000000000004</v>
      </c>
      <c r="BU17" s="10">
        <f t="shared" si="31"/>
        <v>22</v>
      </c>
      <c r="BV17" s="10">
        <f t="shared" si="32"/>
        <v>3.2</v>
      </c>
      <c r="BW17" s="10">
        <f t="shared" si="33"/>
        <v>21.099999999999998</v>
      </c>
      <c r="BX17" s="10">
        <f t="shared" si="34"/>
        <v>7.6000000000000005</v>
      </c>
      <c r="BY17" s="10">
        <f t="shared" si="35"/>
        <v>43.099999999999994</v>
      </c>
      <c r="BZ17" s="10">
        <f t="shared" si="36"/>
        <v>85</v>
      </c>
      <c r="CA17" s="34" t="str">
        <f t="shared" si="37"/>
        <v/>
      </c>
      <c r="CB17" s="34" t="str">
        <f t="shared" si="38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39"/>
        <v/>
      </c>
      <c r="CX17" s="27" t="str">
        <f t="shared" si="40"/>
        <v/>
      </c>
      <c r="CY17" s="27" t="str">
        <f t="shared" si="41"/>
        <v/>
      </c>
      <c r="CZ17" s="27" t="str">
        <f t="shared" si="42"/>
        <v/>
      </c>
      <c r="DA17" s="27" t="str">
        <f t="shared" si="43"/>
        <v/>
      </c>
      <c r="DB17" s="27" t="str">
        <f t="shared" si="44"/>
        <v/>
      </c>
      <c r="DC17" s="27" t="str">
        <f t="shared" si="45"/>
        <v/>
      </c>
      <c r="DD17" s="27" t="str">
        <f t="shared" si="46"/>
        <v/>
      </c>
      <c r="DE17" s="27" t="str">
        <f t="shared" si="47"/>
        <v/>
      </c>
      <c r="DF17" s="27" t="str">
        <f t="shared" si="48"/>
        <v/>
      </c>
      <c r="DG17" s="27" t="str">
        <f t="shared" si="49"/>
        <v/>
      </c>
      <c r="DH17" s="27" t="str">
        <f t="shared" si="50"/>
        <v/>
      </c>
      <c r="DI17" s="27" t="str">
        <f t="shared" si="51"/>
        <v/>
      </c>
      <c r="DJ17" s="27" t="str">
        <f t="shared" si="52"/>
        <v/>
      </c>
      <c r="DK17" s="27" t="str">
        <f t="shared" si="53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4"/>
        <v/>
      </c>
      <c r="EG17" s="10" t="str">
        <f t="shared" si="55"/>
        <v/>
      </c>
      <c r="EH17" s="10" t="str">
        <f t="shared" si="56"/>
        <v/>
      </c>
      <c r="EI17" s="10" t="str">
        <f t="shared" si="57"/>
        <v/>
      </c>
      <c r="EJ17" s="10" t="str">
        <f t="shared" si="58"/>
        <v/>
      </c>
      <c r="EK17" s="10" t="str">
        <f t="shared" si="59"/>
        <v/>
      </c>
      <c r="EL17" s="10" t="str">
        <f t="shared" si="60"/>
        <v/>
      </c>
      <c r="EM17" s="10" t="str">
        <f t="shared" si="61"/>
        <v/>
      </c>
      <c r="EN17" s="10" t="str">
        <f t="shared" si="62"/>
        <v/>
      </c>
      <c r="EO17" s="10" t="str">
        <f t="shared" si="63"/>
        <v/>
      </c>
      <c r="EP17" s="10" t="str">
        <f t="shared" si="64"/>
        <v/>
      </c>
      <c r="EQ17" s="10" t="str">
        <f t="shared" si="65"/>
        <v/>
      </c>
      <c r="ER17" s="10" t="str">
        <f t="shared" si="66"/>
        <v/>
      </c>
      <c r="ES17" s="10" t="str">
        <f t="shared" si="67"/>
        <v/>
      </c>
      <c r="ET17" s="10" t="str">
        <f t="shared" si="68"/>
        <v/>
      </c>
      <c r="EU17" s="44">
        <f t="shared" si="69"/>
        <v>18.100000000000001</v>
      </c>
      <c r="EV17" s="44">
        <f t="shared" si="70"/>
        <v>4.5999999999999996</v>
      </c>
      <c r="EW17" s="44">
        <f t="shared" si="71"/>
        <v>0.6</v>
      </c>
      <c r="EX17" s="44">
        <f t="shared" si="72"/>
        <v>0.15</v>
      </c>
      <c r="EY17" s="44">
        <f t="shared" si="73"/>
        <v>18.149999999999999</v>
      </c>
      <c r="EZ17" s="44">
        <f t="shared" si="74"/>
        <v>4.1999999999999993</v>
      </c>
      <c r="FA17" s="44">
        <f t="shared" si="75"/>
        <v>0.75</v>
      </c>
      <c r="FB17" s="44">
        <f t="shared" si="76"/>
        <v>0</v>
      </c>
      <c r="FC17" s="44">
        <f t="shared" si="77"/>
        <v>17.149999999999999</v>
      </c>
      <c r="FD17" s="44">
        <f t="shared" si="78"/>
        <v>4.8000000000000007</v>
      </c>
      <c r="FE17" s="44">
        <f t="shared" si="79"/>
        <v>0.8</v>
      </c>
      <c r="FF17" s="44">
        <f t="shared" si="80"/>
        <v>0</v>
      </c>
      <c r="FG17" s="44">
        <f t="shared" si="81"/>
        <v>18</v>
      </c>
      <c r="FH17" s="44">
        <f t="shared" si="82"/>
        <v>4</v>
      </c>
      <c r="FI17" s="44">
        <f t="shared" si="83"/>
        <v>0.44999999999999996</v>
      </c>
      <c r="FJ17" s="44">
        <f t="shared" si="84"/>
        <v>0.15</v>
      </c>
      <c r="FK17" s="20" t="s">
        <v>29</v>
      </c>
      <c r="FL17" s="10">
        <f t="shared" si="85"/>
        <v>4.5999999999999996</v>
      </c>
      <c r="FM17" s="10">
        <f t="shared" si="86"/>
        <v>22.25</v>
      </c>
      <c r="FN17" s="10">
        <f t="shared" si="87"/>
        <v>4.1999999999999993</v>
      </c>
      <c r="FO17" s="10">
        <f t="shared" si="88"/>
        <v>21.599999999999998</v>
      </c>
      <c r="FP17" s="10">
        <f t="shared" si="89"/>
        <v>8.7999999999999989</v>
      </c>
      <c r="FQ17" s="10">
        <f t="shared" si="92"/>
        <v>43.849999999999994</v>
      </c>
      <c r="FR17" s="10">
        <f t="shared" si="93"/>
        <v>4.8000000000000007</v>
      </c>
      <c r="FS17" s="10">
        <f t="shared" si="94"/>
        <v>21.15</v>
      </c>
      <c r="FT17" s="10">
        <f t="shared" si="95"/>
        <v>4</v>
      </c>
      <c r="FU17" s="10">
        <f t="shared" si="96"/>
        <v>21.7</v>
      </c>
      <c r="FV17" s="10">
        <f t="shared" si="97"/>
        <v>8.8000000000000007</v>
      </c>
      <c r="FW17" s="10">
        <f t="shared" si="90"/>
        <v>42.849999999999994</v>
      </c>
      <c r="FX17" s="10">
        <f t="shared" si="91"/>
        <v>86.699999999999989</v>
      </c>
    </row>
    <row r="18" spans="1:180" x14ac:dyDescent="0.2">
      <c r="A18" s="3" t="str" cm="1">
        <f t="array" ref="A18">IF(AND(H18&lt;&gt;"",H18&lt;&gt;"No DD",I18&lt;&gt;"P"),SUMPRODUCT((H$4:H$40&lt;&gt;"")*(H$4:H$40&lt;&gt;"No DD")*(I$4:I$40&lt;&gt;"P")*(E$4:E$40&gt;E18))+1,IF(H18="No DD",SUMPRODUCT((H$4:H$40="No DD")*(I$4:I$40&lt;&gt;"P")*(E$4:E$40&gt;E18))+1+SUMPRODUCT((H$4:H$40&lt;&gt;"")*(I$4:I$40&lt;&gt;"P")*(H$4:H$40&lt;&gt;"No DD")),""))</f>
        <v/>
      </c>
      <c r="B18" s="4" t="s">
        <v>161</v>
      </c>
      <c r="C18" s="3" t="s">
        <v>5</v>
      </c>
      <c r="D18" s="3">
        <v>2009</v>
      </c>
      <c r="E18" s="8">
        <f t="shared" si="0"/>
        <v>89.700006810004467</v>
      </c>
      <c r="F18" s="2" t="str">
        <f t="shared" si="1"/>
        <v/>
      </c>
      <c r="G18" s="2" t="str">
        <f t="shared" si="2"/>
        <v/>
      </c>
      <c r="H18" s="26" t="str">
        <f t="shared" si="3"/>
        <v/>
      </c>
      <c r="I18" s="2" t="str">
        <f>IF(COUNTIFS('Senior-W'!B:B,B18,'Senior-W'!A:A,"&lt;9",'Senior-W'!H:H,"&lt;&gt;"&amp;"No DD"),"P","")</f>
        <v/>
      </c>
      <c r="J18" s="7">
        <f t="shared" si="4"/>
        <v>44.7</v>
      </c>
      <c r="K18" s="7" t="str">
        <f t="shared" si="5"/>
        <v>2025 Nationals</v>
      </c>
      <c r="L18" s="7">
        <f>IF(J18=AO18,IF(COUNT(AQ18,AS18,BO18,BQ18,BU18,BW18)&gt;1,LARGE((AQ18,AS18,BO18,BQ18,BU18,BW18),1),0),IF(COUNT(AK18,AM18,AQ18,AS18,BU18,BW18)&gt;1,LARGE((AK18,AM18,AQ18,AS18,BU18,BW18),1),0))</f>
        <v>23.4</v>
      </c>
      <c r="M18" s="7" t="str">
        <f t="shared" si="6"/>
        <v>2025 Nationals</v>
      </c>
      <c r="N18" s="7">
        <f>IF(J18=AO18,IF(COUNT(AQ18,AS18,BO18,BQ18,BU18,BW18)&gt;1,LARGE((AQ18,AS18,BO18,BQ18,BU18,BW18),2),0),IF(COUNT(AK18,AM18,AQ18,AS18,BU18,BW18)&gt;1,LARGE((AK18,AM18,AQ18,AS18,BU18,BW18),2),0))</f>
        <v>17.8</v>
      </c>
      <c r="O18" s="7" t="str">
        <f t="shared" si="7"/>
        <v>2025 Nationals</v>
      </c>
      <c r="P18" s="7">
        <f t="shared" si="8"/>
        <v>3.8000000000000007</v>
      </c>
      <c r="Q18" s="10" t="str">
        <f t="shared" si="9"/>
        <v>(Pass)</v>
      </c>
      <c r="R18" s="7" t="str">
        <f t="shared" si="10"/>
        <v>2025 WAGC (Nov 16)</v>
      </c>
      <c r="S18" s="39">
        <v>16.7</v>
      </c>
      <c r="T18" s="39">
        <v>5.2</v>
      </c>
      <c r="U18" s="39">
        <v>0.2</v>
      </c>
      <c r="V18" s="39">
        <v>0</v>
      </c>
      <c r="W18" s="39">
        <v>18</v>
      </c>
      <c r="X18" s="39">
        <v>5.2</v>
      </c>
      <c r="Y18" s="39">
        <v>0.2</v>
      </c>
      <c r="Z18" s="39">
        <v>0</v>
      </c>
      <c r="AA18" s="39">
        <v>15.4</v>
      </c>
      <c r="AB18" s="39">
        <v>2.4</v>
      </c>
      <c r="AC18" s="39">
        <v>0</v>
      </c>
      <c r="AD18" s="39">
        <v>0</v>
      </c>
      <c r="AE18" s="39">
        <v>18.2</v>
      </c>
      <c r="AF18" s="39">
        <v>5.2</v>
      </c>
      <c r="AG18" s="39">
        <v>0</v>
      </c>
      <c r="AH18" s="39">
        <v>0</v>
      </c>
      <c r="AI18" s="19"/>
      <c r="AJ18" s="42">
        <f t="shared" si="11"/>
        <v>5.2</v>
      </c>
      <c r="AK18" s="42">
        <f t="shared" si="12"/>
        <v>21.7</v>
      </c>
      <c r="AL18" s="42">
        <f t="shared" si="13"/>
        <v>5.2</v>
      </c>
      <c r="AM18" s="42">
        <f t="shared" si="14"/>
        <v>23</v>
      </c>
      <c r="AN18" s="27">
        <f t="shared" si="15"/>
        <v>10.4</v>
      </c>
      <c r="AO18" s="27">
        <f t="shared" si="16"/>
        <v>44.7</v>
      </c>
      <c r="AP18" s="27">
        <f t="shared" si="17"/>
        <v>2.4</v>
      </c>
      <c r="AQ18" s="27">
        <f t="shared" si="18"/>
        <v>17.8</v>
      </c>
      <c r="AR18" s="27">
        <f t="shared" si="19"/>
        <v>5.2</v>
      </c>
      <c r="AS18" s="27">
        <f t="shared" si="20"/>
        <v>23.4</v>
      </c>
      <c r="AT18" s="27">
        <f t="shared" si="21"/>
        <v>7.6</v>
      </c>
      <c r="AU18" s="27">
        <f t="shared" si="22"/>
        <v>41.2</v>
      </c>
      <c r="AV18" s="27">
        <f t="shared" si="23"/>
        <v>85.9</v>
      </c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20"/>
      <c r="BN18" s="43" t="str">
        <f t="shared" si="24"/>
        <v/>
      </c>
      <c r="BO18" s="43" t="str">
        <f t="shared" si="25"/>
        <v/>
      </c>
      <c r="BP18" s="43" t="str">
        <f t="shared" si="26"/>
        <v/>
      </c>
      <c r="BQ18" s="43" t="str">
        <f t="shared" si="27"/>
        <v/>
      </c>
      <c r="BR18" s="10" t="str">
        <f t="shared" si="28"/>
        <v/>
      </c>
      <c r="BS18" s="10" t="str">
        <f t="shared" si="29"/>
        <v/>
      </c>
      <c r="BT18" s="10" t="str">
        <f t="shared" si="30"/>
        <v/>
      </c>
      <c r="BU18" s="10" t="str">
        <f t="shared" si="31"/>
        <v/>
      </c>
      <c r="BV18" s="10" t="str">
        <f t="shared" si="32"/>
        <v/>
      </c>
      <c r="BW18" s="10" t="str">
        <f t="shared" si="33"/>
        <v/>
      </c>
      <c r="BX18" s="10" t="str">
        <f t="shared" si="34"/>
        <v/>
      </c>
      <c r="BY18" s="10" t="str">
        <f t="shared" si="35"/>
        <v/>
      </c>
      <c r="BZ18" s="10" t="str">
        <f t="shared" si="36"/>
        <v/>
      </c>
      <c r="CA18" s="34" t="str">
        <f t="shared" si="37"/>
        <v/>
      </c>
      <c r="CB18" s="34">
        <f t="shared" si="38"/>
        <v>3.8000000000000007</v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39"/>
        <v/>
      </c>
      <c r="CX18" s="27" t="str">
        <f t="shared" si="40"/>
        <v/>
      </c>
      <c r="CY18" s="27" t="str">
        <f t="shared" si="41"/>
        <v/>
      </c>
      <c r="CZ18" s="27" t="str">
        <f t="shared" si="42"/>
        <v/>
      </c>
      <c r="DA18" s="27" t="str">
        <f t="shared" si="43"/>
        <v/>
      </c>
      <c r="DB18" s="27" t="str">
        <f t="shared" si="44"/>
        <v/>
      </c>
      <c r="DC18" s="27" t="str">
        <f t="shared" si="45"/>
        <v/>
      </c>
      <c r="DD18" s="27" t="str">
        <f t="shared" si="46"/>
        <v/>
      </c>
      <c r="DE18" s="27" t="str">
        <f t="shared" si="47"/>
        <v/>
      </c>
      <c r="DF18" s="27" t="str">
        <f t="shared" si="48"/>
        <v/>
      </c>
      <c r="DG18" s="27" t="str">
        <f t="shared" si="49"/>
        <v/>
      </c>
      <c r="DH18" s="27" t="str">
        <f t="shared" si="50"/>
        <v/>
      </c>
      <c r="DI18" s="27" t="str">
        <f t="shared" si="51"/>
        <v/>
      </c>
      <c r="DJ18" s="27" t="str">
        <f t="shared" si="52"/>
        <v/>
      </c>
      <c r="DK18" s="27" t="str">
        <f t="shared" si="53"/>
        <v/>
      </c>
      <c r="DL18" s="15">
        <v>15.2</v>
      </c>
      <c r="DM18" s="15">
        <v>2.4</v>
      </c>
      <c r="DN18" s="15">
        <v>0</v>
      </c>
      <c r="DO18" s="15">
        <v>0</v>
      </c>
      <c r="DP18" s="15">
        <v>17.8</v>
      </c>
      <c r="DQ18" s="15">
        <v>4.8</v>
      </c>
      <c r="DR18" s="15">
        <v>1</v>
      </c>
      <c r="DS18" s="15">
        <v>0</v>
      </c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>
        <f t="shared" si="54"/>
        <v>2.4</v>
      </c>
      <c r="EG18" s="10">
        <f t="shared" si="55"/>
        <v>17.599999999999998</v>
      </c>
      <c r="EH18" s="10">
        <f t="shared" si="56"/>
        <v>4.8</v>
      </c>
      <c r="EI18" s="10">
        <f t="shared" si="57"/>
        <v>21.6</v>
      </c>
      <c r="EJ18" s="10">
        <f t="shared" si="58"/>
        <v>7.1999999999999993</v>
      </c>
      <c r="EK18" s="10">
        <f t="shared" si="59"/>
        <v>39.200000000000003</v>
      </c>
      <c r="EL18" s="10" t="str">
        <f t="shared" si="60"/>
        <v/>
      </c>
      <c r="EM18" s="10" t="str">
        <f t="shared" si="61"/>
        <v/>
      </c>
      <c r="EN18" s="10" t="str">
        <f t="shared" si="62"/>
        <v/>
      </c>
      <c r="EO18" s="10" t="str">
        <f t="shared" si="63"/>
        <v/>
      </c>
      <c r="EP18" s="10" t="str">
        <f t="shared" si="64"/>
        <v/>
      </c>
      <c r="EQ18" s="10" t="str">
        <f t="shared" si="65"/>
        <v/>
      </c>
      <c r="ER18" s="10" t="str">
        <f t="shared" si="66"/>
        <v/>
      </c>
      <c r="ES18" s="10" t="str">
        <f t="shared" si="67"/>
        <v/>
      </c>
      <c r="ET18" s="10">
        <f t="shared" si="68"/>
        <v>39.200000000000003</v>
      </c>
      <c r="EU18" s="44">
        <f t="shared" si="69"/>
        <v>8.35</v>
      </c>
      <c r="EV18" s="44">
        <f t="shared" si="70"/>
        <v>2.6</v>
      </c>
      <c r="EW18" s="44">
        <f t="shared" si="71"/>
        <v>0.1</v>
      </c>
      <c r="EX18" s="44">
        <f t="shared" si="72"/>
        <v>0</v>
      </c>
      <c r="EY18" s="44">
        <f t="shared" si="73"/>
        <v>9</v>
      </c>
      <c r="EZ18" s="44">
        <f t="shared" si="74"/>
        <v>2.6</v>
      </c>
      <c r="FA18" s="44">
        <f t="shared" si="75"/>
        <v>0.1</v>
      </c>
      <c r="FB18" s="44">
        <f t="shared" si="76"/>
        <v>0</v>
      </c>
      <c r="FC18" s="44">
        <f t="shared" si="77"/>
        <v>7.7</v>
      </c>
      <c r="FD18" s="44">
        <f t="shared" si="78"/>
        <v>1.2</v>
      </c>
      <c r="FE18" s="44">
        <f t="shared" si="79"/>
        <v>0</v>
      </c>
      <c r="FF18" s="44">
        <f t="shared" si="80"/>
        <v>0</v>
      </c>
      <c r="FG18" s="44">
        <f t="shared" si="81"/>
        <v>9.1</v>
      </c>
      <c r="FH18" s="44">
        <f t="shared" si="82"/>
        <v>2.6</v>
      </c>
      <c r="FI18" s="44">
        <f t="shared" si="83"/>
        <v>0</v>
      </c>
      <c r="FJ18" s="44">
        <f t="shared" si="84"/>
        <v>0</v>
      </c>
      <c r="FK18" s="20" t="s">
        <v>29</v>
      </c>
      <c r="FL18" s="10">
        <f t="shared" si="85"/>
        <v>2.6</v>
      </c>
      <c r="FM18" s="10">
        <f t="shared" si="86"/>
        <v>10.85</v>
      </c>
      <c r="FN18" s="10">
        <f t="shared" si="87"/>
        <v>2.6</v>
      </c>
      <c r="FO18" s="10">
        <f t="shared" si="88"/>
        <v>11.5</v>
      </c>
      <c r="FP18" s="10">
        <f t="shared" si="89"/>
        <v>5.2</v>
      </c>
      <c r="FQ18" s="10">
        <f t="shared" si="92"/>
        <v>22.35</v>
      </c>
      <c r="FR18" s="10">
        <f t="shared" si="93"/>
        <v>1.2</v>
      </c>
      <c r="FS18" s="10">
        <f t="shared" si="94"/>
        <v>8.9</v>
      </c>
      <c r="FT18" s="10">
        <f t="shared" si="95"/>
        <v>2.6</v>
      </c>
      <c r="FU18" s="10">
        <f t="shared" si="96"/>
        <v>11.7</v>
      </c>
      <c r="FV18" s="10">
        <f t="shared" si="97"/>
        <v>3.8</v>
      </c>
      <c r="FW18" s="10">
        <f t="shared" si="90"/>
        <v>20.6</v>
      </c>
      <c r="FX18" s="10">
        <f t="shared" si="91"/>
        <v>42.95</v>
      </c>
    </row>
    <row r="19" spans="1:180" x14ac:dyDescent="0.2">
      <c r="A19" s="3" t="str" cm="1">
        <f t="array" ref="A19">IF(AND(H19&lt;&gt;"",H19&lt;&gt;"No DD",I19&lt;&gt;"P"),SUMPRODUCT((H$4:H$40&lt;&gt;"")*(H$4:H$40&lt;&gt;"No DD")*(I$4:I$40&lt;&gt;"P")*(E$4:E$40&gt;E19))+1,IF(H19="No DD",SUMPRODUCT((H$4:H$40="No DD")*(I$4:I$40&lt;&gt;"P")*(E$4:E$40&gt;E19))+1+SUMPRODUCT((H$4:H$40&lt;&gt;"")*(I$4:I$40&lt;&gt;"P")*(H$4:H$40&lt;&gt;"No DD")),""))</f>
        <v/>
      </c>
      <c r="B19" s="4" t="s">
        <v>167</v>
      </c>
      <c r="C19" s="3" t="s">
        <v>4</v>
      </c>
      <c r="D19" s="3">
        <v>2009</v>
      </c>
      <c r="E19" s="8">
        <f t="shared" si="0"/>
        <v>89.700006730004461</v>
      </c>
      <c r="F19" s="2" t="str">
        <f t="shared" si="1"/>
        <v/>
      </c>
      <c r="G19" s="2" t="str">
        <f t="shared" si="2"/>
        <v/>
      </c>
      <c r="H19" s="26" t="str">
        <f t="shared" si="3"/>
        <v/>
      </c>
      <c r="I19" s="2" t="str">
        <f>IF(COUNTIFS('Senior-W'!B:B,B19,'Senior-W'!A:A,"&lt;9",'Senior-W'!H:H,"&lt;&gt;"&amp;"No DD"),"P","")</f>
        <v/>
      </c>
      <c r="J19" s="7">
        <f t="shared" si="4"/>
        <v>44.6</v>
      </c>
      <c r="K19" s="7" t="str">
        <f t="shared" si="5"/>
        <v>2025 Nationals</v>
      </c>
      <c r="L19" s="7">
        <f>IF(J19=AO19,IF(COUNT(AQ19,AS19,BO19,BQ19,BU19,BW19)&gt;1,LARGE((AQ19,AS19,BO19,BQ19,BU19,BW19),1),0),IF(COUNT(AK19,AM19,AQ19,AS19,BU19,BW19)&gt;1,LARGE((AK19,AM19,AQ19,AS19,BU19,BW19),1),0))</f>
        <v>22.7</v>
      </c>
      <c r="M19" s="7" t="str">
        <f t="shared" si="6"/>
        <v>2025 Nationals</v>
      </c>
      <c r="N19" s="7">
        <f>IF(J19=AO19,IF(COUNT(AQ19,AS19,BO19,BQ19,BU19,BW19)&gt;1,LARGE((AQ19,AS19,BO19,BQ19,BU19,BW19),2),0),IF(COUNT(AK19,AM19,AQ19,AS19,BU19,BW19)&gt;1,LARGE((AK19,AM19,AQ19,AS19,BU19,BW19),2),0))</f>
        <v>22.400000000000002</v>
      </c>
      <c r="O19" s="7" t="str">
        <f t="shared" si="7"/>
        <v>2025 Nationals</v>
      </c>
      <c r="P19" s="7" t="str">
        <f t="shared" si="8"/>
        <v/>
      </c>
      <c r="Q19" s="10" t="str">
        <f t="shared" si="9"/>
        <v/>
      </c>
      <c r="R19" s="7" t="str">
        <f t="shared" si="10"/>
        <v/>
      </c>
      <c r="S19" s="39">
        <v>19</v>
      </c>
      <c r="T19" s="39">
        <v>3.6</v>
      </c>
      <c r="U19" s="39">
        <v>0</v>
      </c>
      <c r="V19" s="39">
        <v>0</v>
      </c>
      <c r="W19" s="39">
        <v>19.100000000000001</v>
      </c>
      <c r="X19" s="39">
        <v>3.5</v>
      </c>
      <c r="Y19" s="39">
        <v>0.6</v>
      </c>
      <c r="Z19" s="39">
        <v>0</v>
      </c>
      <c r="AA19" s="39">
        <v>18.8</v>
      </c>
      <c r="AB19" s="39">
        <v>3.6</v>
      </c>
      <c r="AC19" s="39">
        <v>0</v>
      </c>
      <c r="AD19" s="39">
        <v>0</v>
      </c>
      <c r="AE19" s="39">
        <v>19.2</v>
      </c>
      <c r="AF19" s="39">
        <v>3.5</v>
      </c>
      <c r="AG19" s="39">
        <v>0</v>
      </c>
      <c r="AH19" s="39">
        <v>0</v>
      </c>
      <c r="AI19" s="19"/>
      <c r="AJ19" s="42">
        <f t="shared" si="11"/>
        <v>3.6</v>
      </c>
      <c r="AK19" s="42">
        <f t="shared" si="12"/>
        <v>22.6</v>
      </c>
      <c r="AL19" s="42">
        <f t="shared" si="13"/>
        <v>3.5</v>
      </c>
      <c r="AM19" s="42">
        <f t="shared" si="14"/>
        <v>22</v>
      </c>
      <c r="AN19" s="27">
        <f t="shared" si="15"/>
        <v>7.1</v>
      </c>
      <c r="AO19" s="27">
        <f t="shared" si="16"/>
        <v>44.6</v>
      </c>
      <c r="AP19" s="27">
        <f t="shared" si="17"/>
        <v>3.6</v>
      </c>
      <c r="AQ19" s="27">
        <f t="shared" si="18"/>
        <v>22.400000000000002</v>
      </c>
      <c r="AR19" s="27">
        <f t="shared" si="19"/>
        <v>3.5</v>
      </c>
      <c r="AS19" s="27">
        <f t="shared" si="20"/>
        <v>22.7</v>
      </c>
      <c r="AT19" s="27">
        <f t="shared" si="21"/>
        <v>7.1</v>
      </c>
      <c r="AU19" s="27">
        <f t="shared" si="22"/>
        <v>45.1</v>
      </c>
      <c r="AV19" s="27">
        <f t="shared" si="23"/>
        <v>89.7</v>
      </c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20"/>
      <c r="BN19" s="43" t="str">
        <f t="shared" si="24"/>
        <v/>
      </c>
      <c r="BO19" s="43" t="str">
        <f t="shared" si="25"/>
        <v/>
      </c>
      <c r="BP19" s="43" t="str">
        <f t="shared" si="26"/>
        <v/>
      </c>
      <c r="BQ19" s="43" t="str">
        <f t="shared" si="27"/>
        <v/>
      </c>
      <c r="BR19" s="10" t="str">
        <f t="shared" si="28"/>
        <v/>
      </c>
      <c r="BS19" s="10" t="str">
        <f t="shared" si="29"/>
        <v/>
      </c>
      <c r="BT19" s="10" t="str">
        <f t="shared" si="30"/>
        <v/>
      </c>
      <c r="BU19" s="10" t="str">
        <f t="shared" si="31"/>
        <v/>
      </c>
      <c r="BV19" s="10" t="str">
        <f t="shared" si="32"/>
        <v/>
      </c>
      <c r="BW19" s="10" t="str">
        <f t="shared" si="33"/>
        <v/>
      </c>
      <c r="BX19" s="10" t="str">
        <f t="shared" si="34"/>
        <v/>
      </c>
      <c r="BY19" s="10" t="str">
        <f t="shared" si="35"/>
        <v/>
      </c>
      <c r="BZ19" s="10" t="str">
        <f t="shared" si="36"/>
        <v/>
      </c>
      <c r="CA19" s="34" t="str">
        <f t="shared" si="37"/>
        <v/>
      </c>
      <c r="CB19" s="34" t="str">
        <f t="shared" si="38"/>
        <v/>
      </c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27" t="str">
        <f t="shared" si="39"/>
        <v/>
      </c>
      <c r="CX19" s="27" t="str">
        <f t="shared" si="40"/>
        <v/>
      </c>
      <c r="CY19" s="27" t="str">
        <f t="shared" si="41"/>
        <v/>
      </c>
      <c r="CZ19" s="27" t="str">
        <f t="shared" si="42"/>
        <v/>
      </c>
      <c r="DA19" s="27" t="str">
        <f t="shared" si="43"/>
        <v/>
      </c>
      <c r="DB19" s="27" t="str">
        <f t="shared" si="44"/>
        <v/>
      </c>
      <c r="DC19" s="27" t="str">
        <f t="shared" si="45"/>
        <v/>
      </c>
      <c r="DD19" s="27" t="str">
        <f t="shared" si="46"/>
        <v/>
      </c>
      <c r="DE19" s="27" t="str">
        <f t="shared" si="47"/>
        <v/>
      </c>
      <c r="DF19" s="27" t="str">
        <f t="shared" si="48"/>
        <v/>
      </c>
      <c r="DG19" s="27" t="str">
        <f t="shared" si="49"/>
        <v/>
      </c>
      <c r="DH19" s="27" t="str">
        <f t="shared" si="50"/>
        <v/>
      </c>
      <c r="DI19" s="27" t="str">
        <f t="shared" si="51"/>
        <v/>
      </c>
      <c r="DJ19" s="27" t="str">
        <f t="shared" si="52"/>
        <v/>
      </c>
      <c r="DK19" s="27" t="str">
        <f t="shared" si="53"/>
        <v/>
      </c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0" t="str">
        <f t="shared" si="54"/>
        <v/>
      </c>
      <c r="EG19" s="10" t="str">
        <f t="shared" si="55"/>
        <v/>
      </c>
      <c r="EH19" s="10" t="str">
        <f t="shared" si="56"/>
        <v/>
      </c>
      <c r="EI19" s="10" t="str">
        <f t="shared" si="57"/>
        <v/>
      </c>
      <c r="EJ19" s="10" t="str">
        <f t="shared" si="58"/>
        <v/>
      </c>
      <c r="EK19" s="10" t="str">
        <f t="shared" si="59"/>
        <v/>
      </c>
      <c r="EL19" s="10" t="str">
        <f t="shared" si="60"/>
        <v/>
      </c>
      <c r="EM19" s="10" t="str">
        <f t="shared" si="61"/>
        <v/>
      </c>
      <c r="EN19" s="10" t="str">
        <f t="shared" si="62"/>
        <v/>
      </c>
      <c r="EO19" s="10" t="str">
        <f t="shared" si="63"/>
        <v/>
      </c>
      <c r="EP19" s="10" t="str">
        <f t="shared" si="64"/>
        <v/>
      </c>
      <c r="EQ19" s="10" t="str">
        <f t="shared" si="65"/>
        <v/>
      </c>
      <c r="ER19" s="10" t="str">
        <f t="shared" si="66"/>
        <v/>
      </c>
      <c r="ES19" s="10" t="str">
        <f t="shared" si="67"/>
        <v/>
      </c>
      <c r="ET19" s="10" t="str">
        <f t="shared" si="68"/>
        <v/>
      </c>
      <c r="EU19" s="44">
        <f t="shared" si="69"/>
        <v>9.5</v>
      </c>
      <c r="EV19" s="44">
        <f t="shared" si="70"/>
        <v>1.8</v>
      </c>
      <c r="EW19" s="44">
        <f t="shared" si="71"/>
        <v>0</v>
      </c>
      <c r="EX19" s="44">
        <f t="shared" si="72"/>
        <v>0</v>
      </c>
      <c r="EY19" s="44">
        <f t="shared" si="73"/>
        <v>9.5500000000000007</v>
      </c>
      <c r="EZ19" s="44">
        <f t="shared" si="74"/>
        <v>1.75</v>
      </c>
      <c r="FA19" s="44">
        <f t="shared" si="75"/>
        <v>0.3</v>
      </c>
      <c r="FB19" s="44">
        <f t="shared" si="76"/>
        <v>0</v>
      </c>
      <c r="FC19" s="44">
        <f t="shared" si="77"/>
        <v>9.4</v>
      </c>
      <c r="FD19" s="44">
        <f t="shared" si="78"/>
        <v>1.8</v>
      </c>
      <c r="FE19" s="44">
        <f t="shared" si="79"/>
        <v>0</v>
      </c>
      <c r="FF19" s="44">
        <f t="shared" si="80"/>
        <v>0</v>
      </c>
      <c r="FG19" s="44">
        <f t="shared" si="81"/>
        <v>9.6</v>
      </c>
      <c r="FH19" s="44">
        <f t="shared" si="82"/>
        <v>1.75</v>
      </c>
      <c r="FI19" s="44">
        <f t="shared" si="83"/>
        <v>0</v>
      </c>
      <c r="FJ19" s="44">
        <f t="shared" si="84"/>
        <v>0</v>
      </c>
      <c r="FK19" s="20" t="s">
        <v>29</v>
      </c>
      <c r="FL19" s="10">
        <f t="shared" si="85"/>
        <v>1.8</v>
      </c>
      <c r="FM19" s="10">
        <f t="shared" si="86"/>
        <v>11.3</v>
      </c>
      <c r="FN19" s="10">
        <f t="shared" si="87"/>
        <v>1.75</v>
      </c>
      <c r="FO19" s="10">
        <f t="shared" si="88"/>
        <v>11</v>
      </c>
      <c r="FP19" s="10">
        <f t="shared" si="89"/>
        <v>3.55</v>
      </c>
      <c r="FQ19" s="10">
        <f t="shared" si="92"/>
        <v>22.3</v>
      </c>
      <c r="FR19" s="10">
        <f t="shared" si="93"/>
        <v>1.8</v>
      </c>
      <c r="FS19" s="10">
        <f t="shared" si="94"/>
        <v>11.200000000000001</v>
      </c>
      <c r="FT19" s="10">
        <f t="shared" si="95"/>
        <v>1.75</v>
      </c>
      <c r="FU19" s="10">
        <f t="shared" si="96"/>
        <v>11.35</v>
      </c>
      <c r="FV19" s="10">
        <f t="shared" si="97"/>
        <v>3.55</v>
      </c>
      <c r="FW19" s="10">
        <f t="shared" si="90"/>
        <v>22.55</v>
      </c>
      <c r="FX19" s="10">
        <f t="shared" si="91"/>
        <v>44.85</v>
      </c>
    </row>
    <row r="20" spans="1:180" x14ac:dyDescent="0.2">
      <c r="A20" s="3" t="str" cm="1">
        <f t="array" ref="A20">IF(AND(H20&lt;&gt;"",H20&lt;&gt;"No DD",I20&lt;&gt;"P"),SUMPRODUCT((H$4:H$40&lt;&gt;"")*(H$4:H$40&lt;&gt;"No DD")*(I$4:I$40&lt;&gt;"P")*(E$4:E$40&gt;E20))+1,IF(H20="No DD",SUMPRODUCT((H$4:H$40="No DD")*(I$4:I$40&lt;&gt;"P")*(E$4:E$40&gt;E20))+1+SUMPRODUCT((H$4:H$40&lt;&gt;"")*(I$4:I$40&lt;&gt;"P")*(H$4:H$40&lt;&gt;"No DD")),""))</f>
        <v/>
      </c>
      <c r="B20" s="4" t="s">
        <v>172</v>
      </c>
      <c r="C20" s="3" t="s">
        <v>6</v>
      </c>
      <c r="D20" s="3">
        <v>2009</v>
      </c>
      <c r="E20" s="8">
        <f t="shared" si="0"/>
        <v>89.100006760004504</v>
      </c>
      <c r="F20" s="2" t="str">
        <f t="shared" si="1"/>
        <v/>
      </c>
      <c r="G20" s="2" t="str">
        <f t="shared" si="2"/>
        <v/>
      </c>
      <c r="H20" s="26" t="str">
        <f t="shared" si="3"/>
        <v/>
      </c>
      <c r="I20" s="2" t="str">
        <f>IF(COUNTIFS('Senior-W'!B:B,B20,'Senior-W'!A:A,"&lt;9",'Senior-W'!H:H,"&lt;&gt;"&amp;"No DD"),"P","")</f>
        <v/>
      </c>
      <c r="J20" s="7">
        <f t="shared" si="4"/>
        <v>45.099999999999994</v>
      </c>
      <c r="K20" s="7" t="str">
        <f t="shared" si="5"/>
        <v>2025 Nationals</v>
      </c>
      <c r="L20" s="7">
        <f>IF(J20=AO20,IF(COUNT(AQ20,AS20,BO20,BQ20,BU20,BW20)&gt;1,LARGE((AQ20,AS20,BO20,BQ20,BU20,BW20),1),0),IF(COUNT(AK20,AM20,AQ20,AS20,BU20,BW20)&gt;1,LARGE((AK20,AM20,AQ20,AS20,BU20,BW20),1),0))</f>
        <v>22.5</v>
      </c>
      <c r="M20" s="7" t="str">
        <f t="shared" si="6"/>
        <v>2025 Nationals</v>
      </c>
      <c r="N20" s="7">
        <f>IF(J20=AO20,IF(COUNT(AQ20,AS20,BO20,BQ20,BU20,BW20)&gt;1,LARGE((AQ20,AS20,BO20,BQ20,BU20,BW20),2),0),IF(COUNT(AK20,AM20,AQ20,AS20,BU20,BW20)&gt;1,LARGE((AK20,AM20,AQ20,AS20,BU20,BW20),2),0))</f>
        <v>21.5</v>
      </c>
      <c r="O20" s="7" t="str">
        <f t="shared" si="7"/>
        <v>2025 Nationals</v>
      </c>
      <c r="P20" s="7" t="str">
        <f t="shared" si="8"/>
        <v/>
      </c>
      <c r="Q20" s="10" t="str">
        <f t="shared" si="9"/>
        <v/>
      </c>
      <c r="R20" s="7" t="str">
        <f t="shared" si="10"/>
        <v/>
      </c>
      <c r="S20" s="39">
        <v>19</v>
      </c>
      <c r="T20" s="39">
        <v>3.7</v>
      </c>
      <c r="U20" s="39">
        <v>0</v>
      </c>
      <c r="V20" s="39">
        <v>0</v>
      </c>
      <c r="W20" s="39">
        <v>18.899999999999999</v>
      </c>
      <c r="X20" s="39">
        <v>3.5</v>
      </c>
      <c r="Y20" s="39">
        <v>0</v>
      </c>
      <c r="Z20" s="39">
        <v>0</v>
      </c>
      <c r="AA20" s="39">
        <v>18.8</v>
      </c>
      <c r="AB20" s="39">
        <v>3.7</v>
      </c>
      <c r="AC20" s="39">
        <v>0</v>
      </c>
      <c r="AD20" s="39">
        <v>0</v>
      </c>
      <c r="AE20" s="39">
        <v>18.600000000000001</v>
      </c>
      <c r="AF20" s="39">
        <v>3.5</v>
      </c>
      <c r="AG20" s="39">
        <v>0.6</v>
      </c>
      <c r="AH20" s="39">
        <v>0</v>
      </c>
      <c r="AI20" s="19"/>
      <c r="AJ20" s="42">
        <f t="shared" si="11"/>
        <v>3.7</v>
      </c>
      <c r="AK20" s="42">
        <f t="shared" si="12"/>
        <v>22.7</v>
      </c>
      <c r="AL20" s="42">
        <f t="shared" si="13"/>
        <v>3.5</v>
      </c>
      <c r="AM20" s="42">
        <f t="shared" si="14"/>
        <v>22.4</v>
      </c>
      <c r="AN20" s="27">
        <f t="shared" si="15"/>
        <v>7.2</v>
      </c>
      <c r="AO20" s="27">
        <f t="shared" si="16"/>
        <v>45.099999999999994</v>
      </c>
      <c r="AP20" s="27">
        <f t="shared" si="17"/>
        <v>3.7</v>
      </c>
      <c r="AQ20" s="27">
        <f t="shared" si="18"/>
        <v>22.5</v>
      </c>
      <c r="AR20" s="27">
        <f t="shared" si="19"/>
        <v>3.5</v>
      </c>
      <c r="AS20" s="27">
        <f t="shared" si="20"/>
        <v>21.5</v>
      </c>
      <c r="AT20" s="27">
        <f t="shared" si="21"/>
        <v>7.2</v>
      </c>
      <c r="AU20" s="27">
        <f t="shared" si="22"/>
        <v>44</v>
      </c>
      <c r="AV20" s="27">
        <f t="shared" si="23"/>
        <v>89.1</v>
      </c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20"/>
      <c r="BN20" s="43" t="str">
        <f t="shared" si="24"/>
        <v/>
      </c>
      <c r="BO20" s="43" t="str">
        <f t="shared" si="25"/>
        <v/>
      </c>
      <c r="BP20" s="43" t="str">
        <f t="shared" si="26"/>
        <v/>
      </c>
      <c r="BQ20" s="43" t="str">
        <f t="shared" si="27"/>
        <v/>
      </c>
      <c r="BR20" s="10" t="str">
        <f t="shared" si="28"/>
        <v/>
      </c>
      <c r="BS20" s="10" t="str">
        <f t="shared" si="29"/>
        <v/>
      </c>
      <c r="BT20" s="10" t="str">
        <f t="shared" si="30"/>
        <v/>
      </c>
      <c r="BU20" s="10" t="str">
        <f t="shared" si="31"/>
        <v/>
      </c>
      <c r="BV20" s="10" t="str">
        <f t="shared" si="32"/>
        <v/>
      </c>
      <c r="BW20" s="10" t="str">
        <f t="shared" si="33"/>
        <v/>
      </c>
      <c r="BX20" s="10" t="str">
        <f t="shared" si="34"/>
        <v/>
      </c>
      <c r="BY20" s="10" t="str">
        <f t="shared" si="35"/>
        <v/>
      </c>
      <c r="BZ20" s="10" t="str">
        <f t="shared" si="36"/>
        <v/>
      </c>
      <c r="CA20" s="34" t="str">
        <f t="shared" si="37"/>
        <v/>
      </c>
      <c r="CB20" s="34" t="str">
        <f t="shared" si="38"/>
        <v/>
      </c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27" t="str">
        <f t="shared" si="39"/>
        <v/>
      </c>
      <c r="CX20" s="27" t="str">
        <f t="shared" si="40"/>
        <v/>
      </c>
      <c r="CY20" s="27" t="str">
        <f t="shared" si="41"/>
        <v/>
      </c>
      <c r="CZ20" s="27" t="str">
        <f t="shared" si="42"/>
        <v/>
      </c>
      <c r="DA20" s="27" t="str">
        <f t="shared" si="43"/>
        <v/>
      </c>
      <c r="DB20" s="27" t="str">
        <f t="shared" si="44"/>
        <v/>
      </c>
      <c r="DC20" s="27" t="str">
        <f t="shared" si="45"/>
        <v/>
      </c>
      <c r="DD20" s="27" t="str">
        <f t="shared" si="46"/>
        <v/>
      </c>
      <c r="DE20" s="27" t="str">
        <f t="shared" si="47"/>
        <v/>
      </c>
      <c r="DF20" s="27" t="str">
        <f t="shared" si="48"/>
        <v/>
      </c>
      <c r="DG20" s="27" t="str">
        <f t="shared" si="49"/>
        <v/>
      </c>
      <c r="DH20" s="27" t="str">
        <f t="shared" si="50"/>
        <v/>
      </c>
      <c r="DI20" s="27" t="str">
        <f t="shared" si="51"/>
        <v/>
      </c>
      <c r="DJ20" s="27" t="str">
        <f t="shared" si="52"/>
        <v/>
      </c>
      <c r="DK20" s="27" t="str">
        <f t="shared" si="53"/>
        <v/>
      </c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0" t="str">
        <f t="shared" si="54"/>
        <v/>
      </c>
      <c r="EG20" s="10" t="str">
        <f t="shared" si="55"/>
        <v/>
      </c>
      <c r="EH20" s="10" t="str">
        <f t="shared" si="56"/>
        <v/>
      </c>
      <c r="EI20" s="10" t="str">
        <f t="shared" si="57"/>
        <v/>
      </c>
      <c r="EJ20" s="10" t="str">
        <f t="shared" si="58"/>
        <v/>
      </c>
      <c r="EK20" s="10" t="str">
        <f t="shared" si="59"/>
        <v/>
      </c>
      <c r="EL20" s="10" t="str">
        <f t="shared" si="60"/>
        <v/>
      </c>
      <c r="EM20" s="10" t="str">
        <f t="shared" si="61"/>
        <v/>
      </c>
      <c r="EN20" s="10" t="str">
        <f t="shared" si="62"/>
        <v/>
      </c>
      <c r="EO20" s="10" t="str">
        <f t="shared" si="63"/>
        <v/>
      </c>
      <c r="EP20" s="10" t="str">
        <f t="shared" si="64"/>
        <v/>
      </c>
      <c r="EQ20" s="10" t="str">
        <f t="shared" si="65"/>
        <v/>
      </c>
      <c r="ER20" s="10" t="str">
        <f t="shared" si="66"/>
        <v/>
      </c>
      <c r="ES20" s="10" t="str">
        <f t="shared" si="67"/>
        <v/>
      </c>
      <c r="ET20" s="10" t="str">
        <f t="shared" si="68"/>
        <v/>
      </c>
      <c r="EU20" s="44">
        <f t="shared" si="69"/>
        <v>9.5</v>
      </c>
      <c r="EV20" s="44">
        <f t="shared" si="70"/>
        <v>1.85</v>
      </c>
      <c r="EW20" s="44">
        <f t="shared" si="71"/>
        <v>0</v>
      </c>
      <c r="EX20" s="44">
        <f t="shared" si="72"/>
        <v>0</v>
      </c>
      <c r="EY20" s="44">
        <f t="shared" si="73"/>
        <v>9.4499999999999993</v>
      </c>
      <c r="EZ20" s="44">
        <f t="shared" si="74"/>
        <v>1.75</v>
      </c>
      <c r="FA20" s="44">
        <f t="shared" si="75"/>
        <v>0</v>
      </c>
      <c r="FB20" s="44">
        <f t="shared" si="76"/>
        <v>0</v>
      </c>
      <c r="FC20" s="44">
        <f t="shared" si="77"/>
        <v>9.4</v>
      </c>
      <c r="FD20" s="44">
        <f t="shared" si="78"/>
        <v>1.85</v>
      </c>
      <c r="FE20" s="44">
        <f t="shared" si="79"/>
        <v>0</v>
      </c>
      <c r="FF20" s="44">
        <f t="shared" si="80"/>
        <v>0</v>
      </c>
      <c r="FG20" s="44">
        <f t="shared" si="81"/>
        <v>9.3000000000000007</v>
      </c>
      <c r="FH20" s="44">
        <f t="shared" si="82"/>
        <v>1.75</v>
      </c>
      <c r="FI20" s="44">
        <f t="shared" si="83"/>
        <v>0.3</v>
      </c>
      <c r="FJ20" s="44">
        <f t="shared" si="84"/>
        <v>0</v>
      </c>
      <c r="FK20" s="20" t="s">
        <v>29</v>
      </c>
      <c r="FL20" s="10">
        <f t="shared" si="85"/>
        <v>1.85</v>
      </c>
      <c r="FM20" s="10">
        <f t="shared" si="86"/>
        <v>11.35</v>
      </c>
      <c r="FN20" s="10">
        <f t="shared" si="87"/>
        <v>1.75</v>
      </c>
      <c r="FO20" s="10">
        <f t="shared" si="88"/>
        <v>11.2</v>
      </c>
      <c r="FP20" s="10">
        <f t="shared" si="89"/>
        <v>3.6</v>
      </c>
      <c r="FQ20" s="10">
        <f t="shared" si="92"/>
        <v>22.549999999999997</v>
      </c>
      <c r="FR20" s="10">
        <f t="shared" si="93"/>
        <v>1.85</v>
      </c>
      <c r="FS20" s="10">
        <f t="shared" si="94"/>
        <v>11.25</v>
      </c>
      <c r="FT20" s="10">
        <f t="shared" si="95"/>
        <v>1.75</v>
      </c>
      <c r="FU20" s="10">
        <f t="shared" si="96"/>
        <v>10.75</v>
      </c>
      <c r="FV20" s="10">
        <f t="shared" si="97"/>
        <v>3.6</v>
      </c>
      <c r="FW20" s="10">
        <f t="shared" si="90"/>
        <v>22</v>
      </c>
      <c r="FX20" s="10">
        <f t="shared" si="91"/>
        <v>44.55</v>
      </c>
    </row>
    <row r="21" spans="1:180" x14ac:dyDescent="0.2">
      <c r="A21" s="3" t="str" cm="1">
        <f t="array" ref="A21">IF(AND(H21&lt;&gt;"",H21&lt;&gt;"No DD",I21&lt;&gt;"P"),SUMPRODUCT((H$4:H$40&lt;&gt;"")*(H$4:H$40&lt;&gt;"No DD")*(I$4:I$40&lt;&gt;"P")*(E$4:E$40&gt;E21))+1,IF(H21="No DD",SUMPRODUCT((H$4:H$40="No DD")*(I$4:I$40&lt;&gt;"P")*(E$4:E$40&gt;E21))+1+SUMPRODUCT((H$4:H$40&lt;&gt;"")*(I$4:I$40&lt;&gt;"P")*(H$4:H$40&lt;&gt;"No DD")),""))</f>
        <v/>
      </c>
      <c r="B21" s="4" t="s">
        <v>163</v>
      </c>
      <c r="C21" s="3" t="s">
        <v>5</v>
      </c>
      <c r="D21" s="3">
        <v>2006</v>
      </c>
      <c r="E21" s="8">
        <f t="shared" si="0"/>
        <v>88.800006660004428</v>
      </c>
      <c r="F21" s="2" t="str">
        <f t="shared" si="1"/>
        <v/>
      </c>
      <c r="G21" s="2" t="str">
        <f t="shared" si="2"/>
        <v/>
      </c>
      <c r="H21" s="26" t="str">
        <f t="shared" si="3"/>
        <v/>
      </c>
      <c r="I21" s="2" t="str">
        <f>IF(COUNTIFS('Senior-W'!B:B,B21,'Senior-W'!A:A,"&lt;9",'Senior-W'!H:H,"&lt;&gt;"&amp;"No DD"),"P","")</f>
        <v/>
      </c>
      <c r="J21" s="7">
        <f t="shared" si="4"/>
        <v>44.4</v>
      </c>
      <c r="K21" s="7" t="str">
        <f t="shared" si="5"/>
        <v>2025 Nationals</v>
      </c>
      <c r="L21" s="7">
        <f>IF(J21=AO21,IF(COUNT(AQ21,AS21,BO21,BQ21,BU21,BW21)&gt;1,LARGE((AQ21,AS21,BO21,BQ21,BU21,BW21),1),0),IF(COUNT(AK21,AM21,AQ21,AS21,BU21,BW21)&gt;1,LARGE((AK21,AM21,AQ21,AS21,BU21,BW21),1),0))</f>
        <v>22.2</v>
      </c>
      <c r="M21" s="7" t="str">
        <f t="shared" si="6"/>
        <v>2025 Nationals</v>
      </c>
      <c r="N21" s="7">
        <f>IF(J21=AO21,IF(COUNT(AQ21,AS21,BO21,BQ21,BU21,BW21)&gt;1,LARGE((AQ21,AS21,BO21,BQ21,BU21,BW21),2),0),IF(COUNT(AK21,AM21,AQ21,AS21,BU21,BW21)&gt;1,LARGE((AK21,AM21,AQ21,AS21,BU21,BW21),2),0))</f>
        <v>22.2</v>
      </c>
      <c r="O21" s="7" t="str">
        <f t="shared" si="7"/>
        <v>2025 Nationals</v>
      </c>
      <c r="P21" s="7" t="str">
        <f t="shared" si="8"/>
        <v/>
      </c>
      <c r="Q21" s="10" t="str">
        <f t="shared" si="9"/>
        <v/>
      </c>
      <c r="R21" s="7" t="str">
        <f t="shared" si="10"/>
        <v/>
      </c>
      <c r="S21" s="39">
        <v>17.7</v>
      </c>
      <c r="T21" s="39">
        <v>5.2</v>
      </c>
      <c r="U21" s="39">
        <v>0</v>
      </c>
      <c r="V21" s="39">
        <v>0</v>
      </c>
      <c r="W21" s="39">
        <v>18.2</v>
      </c>
      <c r="X21" s="39">
        <v>3.5</v>
      </c>
      <c r="Y21" s="39">
        <v>0.2</v>
      </c>
      <c r="Z21" s="39">
        <v>0</v>
      </c>
      <c r="AA21" s="39">
        <v>17.8</v>
      </c>
      <c r="AB21" s="39">
        <v>5.2</v>
      </c>
      <c r="AC21" s="39">
        <v>0.8</v>
      </c>
      <c r="AD21" s="39">
        <v>0</v>
      </c>
      <c r="AE21" s="39">
        <v>18.7</v>
      </c>
      <c r="AF21" s="39">
        <v>3.5</v>
      </c>
      <c r="AG21" s="39">
        <v>0</v>
      </c>
      <c r="AH21" s="39">
        <v>0</v>
      </c>
      <c r="AI21" s="19"/>
      <c r="AJ21" s="42">
        <f t="shared" si="11"/>
        <v>5.2</v>
      </c>
      <c r="AK21" s="42">
        <f t="shared" si="12"/>
        <v>22.9</v>
      </c>
      <c r="AL21" s="42">
        <f t="shared" si="13"/>
        <v>3.5</v>
      </c>
      <c r="AM21" s="42">
        <f t="shared" si="14"/>
        <v>21.5</v>
      </c>
      <c r="AN21" s="27">
        <f t="shared" si="15"/>
        <v>8.6999999999999993</v>
      </c>
      <c r="AO21" s="27">
        <f t="shared" si="16"/>
        <v>44.4</v>
      </c>
      <c r="AP21" s="27">
        <f t="shared" si="17"/>
        <v>5.2</v>
      </c>
      <c r="AQ21" s="27">
        <f t="shared" si="18"/>
        <v>22.2</v>
      </c>
      <c r="AR21" s="27">
        <f t="shared" si="19"/>
        <v>3.5</v>
      </c>
      <c r="AS21" s="27">
        <f t="shared" si="20"/>
        <v>22.2</v>
      </c>
      <c r="AT21" s="27">
        <f t="shared" si="21"/>
        <v>8.6999999999999993</v>
      </c>
      <c r="AU21" s="27">
        <f t="shared" si="22"/>
        <v>44.4</v>
      </c>
      <c r="AV21" s="27">
        <f t="shared" si="23"/>
        <v>88.8</v>
      </c>
      <c r="AW21" s="15">
        <v>15</v>
      </c>
      <c r="AX21" s="15">
        <v>2.4</v>
      </c>
      <c r="AY21" s="15">
        <v>0.2</v>
      </c>
      <c r="AZ21" s="15">
        <v>0</v>
      </c>
      <c r="BA21" s="15">
        <v>18.399999999999999</v>
      </c>
      <c r="BB21" s="15">
        <v>3.5</v>
      </c>
      <c r="BC21" s="15">
        <v>0</v>
      </c>
      <c r="BD21" s="15">
        <v>0</v>
      </c>
      <c r="BE21" s="15">
        <v>17.8</v>
      </c>
      <c r="BF21" s="15">
        <v>2.9</v>
      </c>
      <c r="BG21" s="15">
        <v>0.8</v>
      </c>
      <c r="BH21" s="15">
        <v>0</v>
      </c>
      <c r="BI21" s="15">
        <v>18.2</v>
      </c>
      <c r="BJ21" s="15">
        <v>0.7</v>
      </c>
      <c r="BK21" s="15">
        <v>3</v>
      </c>
      <c r="BL21" s="15">
        <v>0</v>
      </c>
      <c r="BM21" s="20"/>
      <c r="BN21" s="43">
        <f t="shared" si="24"/>
        <v>2.4</v>
      </c>
      <c r="BO21" s="43">
        <f t="shared" si="25"/>
        <v>17.2</v>
      </c>
      <c r="BP21" s="43">
        <f t="shared" si="26"/>
        <v>3.5</v>
      </c>
      <c r="BQ21" s="43">
        <f t="shared" si="27"/>
        <v>21.9</v>
      </c>
      <c r="BR21" s="10">
        <f t="shared" si="28"/>
        <v>5.9</v>
      </c>
      <c r="BS21" s="10">
        <f t="shared" si="29"/>
        <v>39.099999999999994</v>
      </c>
      <c r="BT21" s="10">
        <f t="shared" si="30"/>
        <v>2.9</v>
      </c>
      <c r="BU21" s="10">
        <f t="shared" si="31"/>
        <v>19.899999999999999</v>
      </c>
      <c r="BV21" s="10">
        <f t="shared" si="32"/>
        <v>0.7</v>
      </c>
      <c r="BW21" s="10">
        <f t="shared" si="33"/>
        <v>15.899999999999999</v>
      </c>
      <c r="BX21" s="10">
        <f t="shared" si="34"/>
        <v>3.5999999999999996</v>
      </c>
      <c r="BY21" s="10">
        <f t="shared" si="35"/>
        <v>35.799999999999997</v>
      </c>
      <c r="BZ21" s="10">
        <f t="shared" si="36"/>
        <v>74.899999999999991</v>
      </c>
      <c r="CA21" s="34" t="str">
        <f t="shared" si="37"/>
        <v/>
      </c>
      <c r="CB21" s="34" t="str">
        <f t="shared" si="38"/>
        <v/>
      </c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27" t="str">
        <f t="shared" si="39"/>
        <v/>
      </c>
      <c r="CX21" s="27" t="str">
        <f t="shared" si="40"/>
        <v/>
      </c>
      <c r="CY21" s="27" t="str">
        <f t="shared" si="41"/>
        <v/>
      </c>
      <c r="CZ21" s="27" t="str">
        <f t="shared" si="42"/>
        <v/>
      </c>
      <c r="DA21" s="27" t="str">
        <f t="shared" si="43"/>
        <v/>
      </c>
      <c r="DB21" s="27" t="str">
        <f t="shared" si="44"/>
        <v/>
      </c>
      <c r="DC21" s="27" t="str">
        <f t="shared" si="45"/>
        <v/>
      </c>
      <c r="DD21" s="27" t="str">
        <f t="shared" si="46"/>
        <v/>
      </c>
      <c r="DE21" s="27" t="str">
        <f t="shared" si="47"/>
        <v/>
      </c>
      <c r="DF21" s="27" t="str">
        <f t="shared" si="48"/>
        <v/>
      </c>
      <c r="DG21" s="27" t="str">
        <f t="shared" si="49"/>
        <v/>
      </c>
      <c r="DH21" s="27" t="str">
        <f t="shared" si="50"/>
        <v/>
      </c>
      <c r="DI21" s="27" t="str">
        <f t="shared" si="51"/>
        <v/>
      </c>
      <c r="DJ21" s="27" t="str">
        <f t="shared" si="52"/>
        <v/>
      </c>
      <c r="DK21" s="27" t="str">
        <f t="shared" si="53"/>
        <v/>
      </c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0" t="str">
        <f t="shared" si="54"/>
        <v/>
      </c>
      <c r="EG21" s="10" t="str">
        <f t="shared" si="55"/>
        <v/>
      </c>
      <c r="EH21" s="10" t="str">
        <f t="shared" si="56"/>
        <v/>
      </c>
      <c r="EI21" s="10" t="str">
        <f t="shared" si="57"/>
        <v/>
      </c>
      <c r="EJ21" s="10" t="str">
        <f t="shared" si="58"/>
        <v/>
      </c>
      <c r="EK21" s="10" t="str">
        <f t="shared" si="59"/>
        <v/>
      </c>
      <c r="EL21" s="10" t="str">
        <f t="shared" si="60"/>
        <v/>
      </c>
      <c r="EM21" s="10" t="str">
        <f t="shared" si="61"/>
        <v/>
      </c>
      <c r="EN21" s="10" t="str">
        <f t="shared" si="62"/>
        <v/>
      </c>
      <c r="EO21" s="10" t="str">
        <f t="shared" si="63"/>
        <v/>
      </c>
      <c r="EP21" s="10" t="str">
        <f t="shared" si="64"/>
        <v/>
      </c>
      <c r="EQ21" s="10" t="str">
        <f t="shared" si="65"/>
        <v/>
      </c>
      <c r="ER21" s="10" t="str">
        <f t="shared" si="66"/>
        <v/>
      </c>
      <c r="ES21" s="10" t="str">
        <f t="shared" si="67"/>
        <v/>
      </c>
      <c r="ET21" s="10" t="str">
        <f t="shared" si="68"/>
        <v/>
      </c>
      <c r="EU21" s="44">
        <f t="shared" si="69"/>
        <v>16.350000000000001</v>
      </c>
      <c r="EV21" s="44">
        <f t="shared" si="70"/>
        <v>3.8</v>
      </c>
      <c r="EW21" s="44">
        <f t="shared" si="71"/>
        <v>0.1</v>
      </c>
      <c r="EX21" s="44">
        <f t="shared" si="72"/>
        <v>0</v>
      </c>
      <c r="EY21" s="44">
        <f t="shared" si="73"/>
        <v>18.299999999999997</v>
      </c>
      <c r="EZ21" s="44">
        <f t="shared" si="74"/>
        <v>3.5</v>
      </c>
      <c r="FA21" s="44">
        <f t="shared" si="75"/>
        <v>0.1</v>
      </c>
      <c r="FB21" s="44">
        <f t="shared" si="76"/>
        <v>0</v>
      </c>
      <c r="FC21" s="44">
        <f t="shared" si="77"/>
        <v>17.8</v>
      </c>
      <c r="FD21" s="44">
        <f t="shared" si="78"/>
        <v>4.05</v>
      </c>
      <c r="FE21" s="44">
        <f t="shared" si="79"/>
        <v>0.8</v>
      </c>
      <c r="FF21" s="44">
        <f t="shared" si="80"/>
        <v>0</v>
      </c>
      <c r="FG21" s="44">
        <f t="shared" si="81"/>
        <v>18.45</v>
      </c>
      <c r="FH21" s="44">
        <f t="shared" si="82"/>
        <v>2.1</v>
      </c>
      <c r="FI21" s="44">
        <f t="shared" si="83"/>
        <v>1.5</v>
      </c>
      <c r="FJ21" s="44">
        <f t="shared" si="84"/>
        <v>0</v>
      </c>
      <c r="FK21" s="20" t="s">
        <v>29</v>
      </c>
      <c r="FL21" s="10">
        <f t="shared" si="85"/>
        <v>3.8</v>
      </c>
      <c r="FM21" s="10">
        <f t="shared" si="86"/>
        <v>20.05</v>
      </c>
      <c r="FN21" s="10">
        <f t="shared" si="87"/>
        <v>3.5</v>
      </c>
      <c r="FO21" s="10">
        <f t="shared" si="88"/>
        <v>21.699999999999996</v>
      </c>
      <c r="FP21" s="10">
        <f t="shared" si="89"/>
        <v>7.3</v>
      </c>
      <c r="FQ21" s="10">
        <f t="shared" si="92"/>
        <v>41.75</v>
      </c>
      <c r="FR21" s="10">
        <f t="shared" si="93"/>
        <v>4.05</v>
      </c>
      <c r="FS21" s="10">
        <f t="shared" si="94"/>
        <v>21.05</v>
      </c>
      <c r="FT21" s="10">
        <f t="shared" si="95"/>
        <v>2.1</v>
      </c>
      <c r="FU21" s="10">
        <f t="shared" si="96"/>
        <v>19.05</v>
      </c>
      <c r="FV21" s="10">
        <f t="shared" si="97"/>
        <v>6.15</v>
      </c>
      <c r="FW21" s="10">
        <f t="shared" si="90"/>
        <v>40.1</v>
      </c>
      <c r="FX21" s="10">
        <f t="shared" si="91"/>
        <v>81.849999999999994</v>
      </c>
    </row>
    <row r="22" spans="1:180" x14ac:dyDescent="0.2">
      <c r="A22" s="3" t="str" cm="1">
        <f t="array" ref="A22">IF(AND(H22&lt;&gt;"",H22&lt;&gt;"No DD",I22&lt;&gt;"P"),SUMPRODUCT((H$4:H$40&lt;&gt;"")*(H$4:H$40&lt;&gt;"No DD")*(I$4:I$40&lt;&gt;"P")*(E$4:E$40&gt;E22))+1,IF(H22="No DD",SUMPRODUCT((H$4:H$40="No DD")*(I$4:I$40&lt;&gt;"P")*(E$4:E$40&gt;E22))+1+SUMPRODUCT((H$4:H$40&lt;&gt;"")*(I$4:I$40&lt;&gt;"P")*(H$4:H$40&lt;&gt;"No DD")),""))</f>
        <v/>
      </c>
      <c r="B22" s="4" t="s">
        <v>71</v>
      </c>
      <c r="C22" s="3" t="s">
        <v>4</v>
      </c>
      <c r="D22" s="3">
        <v>2009</v>
      </c>
      <c r="E22" s="8">
        <f t="shared" si="0"/>
        <v>88.600006680004483</v>
      </c>
      <c r="F22" s="2" t="str">
        <f t="shared" si="1"/>
        <v/>
      </c>
      <c r="G22" s="2" t="str">
        <f t="shared" si="2"/>
        <v/>
      </c>
      <c r="H22" s="26" t="str">
        <f t="shared" si="3"/>
        <v/>
      </c>
      <c r="I22" s="2" t="str">
        <f>IF(COUNTIFS('Senior-W'!B:B,B22,'Senior-W'!A:A,"&lt;9",'Senior-W'!H:H,"&lt;&gt;"&amp;"No DD"),"P","")</f>
        <v/>
      </c>
      <c r="J22" s="7">
        <f t="shared" si="4"/>
        <v>44.7</v>
      </c>
      <c r="K22" s="7" t="str">
        <f t="shared" si="5"/>
        <v>2025 Nationals</v>
      </c>
      <c r="L22" s="7">
        <f>IF(J22=AO22,IF(COUNT(AQ22,AS22,BO22,BQ22,BU22,BW22)&gt;1,LARGE((AQ22,AS22,BO22,BQ22,BU22,BW22),1),0),IF(COUNT(AK22,AM22,AQ22,AS22,BU22,BW22)&gt;1,LARGE((AK22,AM22,AQ22,AS22,BU22,BW22),1),0))</f>
        <v>22.1</v>
      </c>
      <c r="M22" s="7" t="str">
        <f t="shared" si="6"/>
        <v>2025 Nationals</v>
      </c>
      <c r="N22" s="7">
        <f>IF(J22=AO22,IF(COUNT(AQ22,AS22,BO22,BQ22,BU22,BW22)&gt;1,LARGE((AQ22,AS22,BO22,BQ22,BU22,BW22),2),0),IF(COUNT(AK22,AM22,AQ22,AS22,BU22,BW22)&gt;1,LARGE((AK22,AM22,AQ22,AS22,BU22,BW22),2),0))</f>
        <v>21.799999999999997</v>
      </c>
      <c r="O22" s="7" t="str">
        <f t="shared" si="7"/>
        <v>2025 Nationals</v>
      </c>
      <c r="P22" s="7" t="str">
        <f t="shared" si="8"/>
        <v/>
      </c>
      <c r="Q22" s="10" t="str">
        <f t="shared" si="9"/>
        <v/>
      </c>
      <c r="R22" s="7" t="str">
        <f t="shared" si="10"/>
        <v/>
      </c>
      <c r="S22" s="39">
        <v>18.600000000000001</v>
      </c>
      <c r="T22" s="39">
        <v>3.5</v>
      </c>
      <c r="U22" s="39">
        <v>0</v>
      </c>
      <c r="V22" s="39">
        <v>0</v>
      </c>
      <c r="W22" s="39">
        <v>18.2</v>
      </c>
      <c r="X22" s="39">
        <v>4.4000000000000004</v>
      </c>
      <c r="Y22" s="39">
        <v>0</v>
      </c>
      <c r="Z22" s="39">
        <v>0</v>
      </c>
      <c r="AA22" s="39">
        <v>18.600000000000001</v>
      </c>
      <c r="AB22" s="39">
        <v>3.5</v>
      </c>
      <c r="AC22" s="39">
        <v>0</v>
      </c>
      <c r="AD22" s="39">
        <v>0</v>
      </c>
      <c r="AE22" s="39">
        <v>18</v>
      </c>
      <c r="AF22" s="39">
        <v>4.4000000000000004</v>
      </c>
      <c r="AG22" s="39">
        <v>0.6</v>
      </c>
      <c r="AH22" s="39">
        <v>0</v>
      </c>
      <c r="AI22" s="19"/>
      <c r="AJ22" s="42">
        <f t="shared" si="11"/>
        <v>3.5</v>
      </c>
      <c r="AK22" s="42">
        <f t="shared" si="12"/>
        <v>22.1</v>
      </c>
      <c r="AL22" s="42">
        <f t="shared" si="13"/>
        <v>4.4000000000000004</v>
      </c>
      <c r="AM22" s="42">
        <f t="shared" si="14"/>
        <v>22.6</v>
      </c>
      <c r="AN22" s="27">
        <f t="shared" si="15"/>
        <v>7.9</v>
      </c>
      <c r="AO22" s="27">
        <f t="shared" si="16"/>
        <v>44.7</v>
      </c>
      <c r="AP22" s="27">
        <f t="shared" si="17"/>
        <v>3.5</v>
      </c>
      <c r="AQ22" s="27">
        <f t="shared" si="18"/>
        <v>22.1</v>
      </c>
      <c r="AR22" s="27">
        <f t="shared" si="19"/>
        <v>4.4000000000000004</v>
      </c>
      <c r="AS22" s="27">
        <f t="shared" si="20"/>
        <v>21.799999999999997</v>
      </c>
      <c r="AT22" s="27">
        <f t="shared" si="21"/>
        <v>7.9</v>
      </c>
      <c r="AU22" s="27">
        <f t="shared" si="22"/>
        <v>43.9</v>
      </c>
      <c r="AV22" s="27">
        <f t="shared" si="23"/>
        <v>88.6</v>
      </c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20"/>
      <c r="BN22" s="43" t="str">
        <f t="shared" si="24"/>
        <v/>
      </c>
      <c r="BO22" s="43" t="str">
        <f t="shared" si="25"/>
        <v/>
      </c>
      <c r="BP22" s="43" t="str">
        <f t="shared" si="26"/>
        <v/>
      </c>
      <c r="BQ22" s="43" t="str">
        <f t="shared" si="27"/>
        <v/>
      </c>
      <c r="BR22" s="10" t="str">
        <f t="shared" si="28"/>
        <v/>
      </c>
      <c r="BS22" s="10" t="str">
        <f t="shared" si="29"/>
        <v/>
      </c>
      <c r="BT22" s="10" t="str">
        <f t="shared" si="30"/>
        <v/>
      </c>
      <c r="BU22" s="10" t="str">
        <f t="shared" si="31"/>
        <v/>
      </c>
      <c r="BV22" s="10" t="str">
        <f t="shared" si="32"/>
        <v/>
      </c>
      <c r="BW22" s="10" t="str">
        <f t="shared" si="33"/>
        <v/>
      </c>
      <c r="BX22" s="10" t="str">
        <f t="shared" si="34"/>
        <v/>
      </c>
      <c r="BY22" s="10" t="str">
        <f t="shared" si="35"/>
        <v/>
      </c>
      <c r="BZ22" s="10" t="str">
        <f t="shared" si="36"/>
        <v/>
      </c>
      <c r="CA22" s="34" t="str">
        <f t="shared" si="37"/>
        <v/>
      </c>
      <c r="CB22" s="34" t="str">
        <f t="shared" si="38"/>
        <v/>
      </c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27" t="str">
        <f t="shared" si="39"/>
        <v/>
      </c>
      <c r="CX22" s="27" t="str">
        <f t="shared" si="40"/>
        <v/>
      </c>
      <c r="CY22" s="27" t="str">
        <f t="shared" si="41"/>
        <v/>
      </c>
      <c r="CZ22" s="27" t="str">
        <f t="shared" si="42"/>
        <v/>
      </c>
      <c r="DA22" s="27" t="str">
        <f t="shared" si="43"/>
        <v/>
      </c>
      <c r="DB22" s="27" t="str">
        <f t="shared" si="44"/>
        <v/>
      </c>
      <c r="DC22" s="27" t="str">
        <f t="shared" si="45"/>
        <v/>
      </c>
      <c r="DD22" s="27" t="str">
        <f t="shared" si="46"/>
        <v/>
      </c>
      <c r="DE22" s="27" t="str">
        <f t="shared" si="47"/>
        <v/>
      </c>
      <c r="DF22" s="27" t="str">
        <f t="shared" si="48"/>
        <v/>
      </c>
      <c r="DG22" s="27" t="str">
        <f t="shared" si="49"/>
        <v/>
      </c>
      <c r="DH22" s="27" t="str">
        <f t="shared" si="50"/>
        <v/>
      </c>
      <c r="DI22" s="27" t="str">
        <f t="shared" si="51"/>
        <v/>
      </c>
      <c r="DJ22" s="27" t="str">
        <f t="shared" si="52"/>
        <v/>
      </c>
      <c r="DK22" s="27" t="str">
        <f t="shared" si="53"/>
        <v/>
      </c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0" t="str">
        <f t="shared" si="54"/>
        <v/>
      </c>
      <c r="EG22" s="10" t="str">
        <f t="shared" si="55"/>
        <v/>
      </c>
      <c r="EH22" s="10" t="str">
        <f t="shared" si="56"/>
        <v/>
      </c>
      <c r="EI22" s="10" t="str">
        <f t="shared" si="57"/>
        <v/>
      </c>
      <c r="EJ22" s="10" t="str">
        <f t="shared" si="58"/>
        <v/>
      </c>
      <c r="EK22" s="10" t="str">
        <f t="shared" si="59"/>
        <v/>
      </c>
      <c r="EL22" s="10" t="str">
        <f t="shared" si="60"/>
        <v/>
      </c>
      <c r="EM22" s="10" t="str">
        <f t="shared" si="61"/>
        <v/>
      </c>
      <c r="EN22" s="10" t="str">
        <f t="shared" si="62"/>
        <v/>
      </c>
      <c r="EO22" s="10" t="str">
        <f t="shared" si="63"/>
        <v/>
      </c>
      <c r="EP22" s="10" t="str">
        <f t="shared" si="64"/>
        <v/>
      </c>
      <c r="EQ22" s="10" t="str">
        <f t="shared" si="65"/>
        <v/>
      </c>
      <c r="ER22" s="10" t="str">
        <f t="shared" si="66"/>
        <v/>
      </c>
      <c r="ES22" s="10" t="str">
        <f t="shared" si="67"/>
        <v/>
      </c>
      <c r="ET22" s="10" t="str">
        <f t="shared" si="68"/>
        <v/>
      </c>
      <c r="EU22" s="44">
        <f t="shared" si="69"/>
        <v>9.3000000000000007</v>
      </c>
      <c r="EV22" s="44">
        <f t="shared" si="70"/>
        <v>1.75</v>
      </c>
      <c r="EW22" s="44">
        <f t="shared" si="71"/>
        <v>0</v>
      </c>
      <c r="EX22" s="44">
        <f t="shared" si="72"/>
        <v>0</v>
      </c>
      <c r="EY22" s="44">
        <f t="shared" si="73"/>
        <v>9.1</v>
      </c>
      <c r="EZ22" s="44">
        <f t="shared" si="74"/>
        <v>2.2000000000000002</v>
      </c>
      <c r="FA22" s="44">
        <f t="shared" si="75"/>
        <v>0</v>
      </c>
      <c r="FB22" s="44">
        <f t="shared" si="76"/>
        <v>0</v>
      </c>
      <c r="FC22" s="44">
        <f t="shared" si="77"/>
        <v>9.3000000000000007</v>
      </c>
      <c r="FD22" s="44">
        <f t="shared" si="78"/>
        <v>1.75</v>
      </c>
      <c r="FE22" s="44">
        <f t="shared" si="79"/>
        <v>0</v>
      </c>
      <c r="FF22" s="44">
        <f t="shared" si="80"/>
        <v>0</v>
      </c>
      <c r="FG22" s="44">
        <f t="shared" si="81"/>
        <v>9</v>
      </c>
      <c r="FH22" s="44">
        <f t="shared" si="82"/>
        <v>2.2000000000000002</v>
      </c>
      <c r="FI22" s="44">
        <f t="shared" si="83"/>
        <v>0.3</v>
      </c>
      <c r="FJ22" s="44">
        <f t="shared" si="84"/>
        <v>0</v>
      </c>
      <c r="FK22" s="20" t="s">
        <v>29</v>
      </c>
      <c r="FL22" s="10">
        <f t="shared" si="85"/>
        <v>1.75</v>
      </c>
      <c r="FM22" s="10">
        <f t="shared" si="86"/>
        <v>11.05</v>
      </c>
      <c r="FN22" s="10">
        <f t="shared" si="87"/>
        <v>2.2000000000000002</v>
      </c>
      <c r="FO22" s="10">
        <f t="shared" si="88"/>
        <v>11.3</v>
      </c>
      <c r="FP22" s="10">
        <f t="shared" si="89"/>
        <v>3.95</v>
      </c>
      <c r="FQ22" s="10">
        <f t="shared" si="92"/>
        <v>22.35</v>
      </c>
      <c r="FR22" s="10">
        <f t="shared" si="93"/>
        <v>1.75</v>
      </c>
      <c r="FS22" s="10">
        <f t="shared" si="94"/>
        <v>11.05</v>
      </c>
      <c r="FT22" s="10">
        <f t="shared" si="95"/>
        <v>2.2000000000000002</v>
      </c>
      <c r="FU22" s="10">
        <f t="shared" si="96"/>
        <v>10.899999999999999</v>
      </c>
      <c r="FV22" s="10">
        <f t="shared" si="97"/>
        <v>3.95</v>
      </c>
      <c r="FW22" s="10">
        <f t="shared" si="90"/>
        <v>21.95</v>
      </c>
      <c r="FX22" s="10">
        <f t="shared" si="91"/>
        <v>44.3</v>
      </c>
    </row>
    <row r="23" spans="1:180" x14ac:dyDescent="0.2">
      <c r="A23" s="3" t="str" cm="1">
        <f t="array" ref="A23">IF(AND(H23&lt;&gt;"",H23&lt;&gt;"No DD",I23&lt;&gt;"P"),SUMPRODUCT((H$4:H$40&lt;&gt;"")*(H$4:H$40&lt;&gt;"No DD")*(I$4:I$40&lt;&gt;"P")*(E$4:E$40&gt;E23))+1,IF(H23="No DD",SUMPRODUCT((H$4:H$40="No DD")*(I$4:I$40&lt;&gt;"P")*(E$4:E$40&gt;E23))+1+SUMPRODUCT((H$4:H$40&lt;&gt;"")*(I$4:I$40&lt;&gt;"P")*(H$4:H$40&lt;&gt;"No DD")),""))</f>
        <v/>
      </c>
      <c r="B23" s="4" t="s">
        <v>165</v>
      </c>
      <c r="C23" s="3" t="s">
        <v>4</v>
      </c>
      <c r="D23" s="3">
        <v>2008</v>
      </c>
      <c r="E23" s="8">
        <f t="shared" si="0"/>
        <v>88.300006650004406</v>
      </c>
      <c r="F23" s="2" t="str">
        <f t="shared" si="1"/>
        <v/>
      </c>
      <c r="G23" s="2" t="str">
        <f t="shared" si="2"/>
        <v/>
      </c>
      <c r="H23" s="26" t="str">
        <f t="shared" si="3"/>
        <v/>
      </c>
      <c r="I23" s="2" t="str">
        <f>IF(COUNTIFS('Senior-W'!B:B,B23,'Senior-W'!A:A,"&lt;9",'Senior-W'!H:H,"&lt;&gt;"&amp;"No DD"),"P","")</f>
        <v/>
      </c>
      <c r="J23" s="7">
        <f t="shared" si="4"/>
        <v>44.1</v>
      </c>
      <c r="K23" s="7" t="str">
        <f t="shared" si="5"/>
        <v>2025 Nationals</v>
      </c>
      <c r="L23" s="7">
        <f>IF(J23=AO23,IF(COUNT(AQ23,AS23,BO23,BQ23,BU23,BW23)&gt;1,LARGE((AQ23,AS23,BO23,BQ23,BU23,BW23),1),0),IF(COUNT(AK23,AM23,AQ23,AS23,BU23,BW23)&gt;1,LARGE((AK23,AM23,AQ23,AS23,BU23,BW23),1),0))</f>
        <v>22.4</v>
      </c>
      <c r="M23" s="7" t="str">
        <f t="shared" si="6"/>
        <v>2025 Nationals</v>
      </c>
      <c r="N23" s="7">
        <f>IF(J23=AO23,IF(COUNT(AQ23,AS23,BO23,BQ23,BU23,BW23)&gt;1,LARGE((AQ23,AS23,BO23,BQ23,BU23,BW23),2),0),IF(COUNT(AK23,AM23,AQ23,AS23,BU23,BW23)&gt;1,LARGE((AK23,AM23,AQ23,AS23,BU23,BW23),2),0))</f>
        <v>21.799999999999997</v>
      </c>
      <c r="O23" s="7" t="str">
        <f t="shared" si="7"/>
        <v>2025 Nationals</v>
      </c>
      <c r="P23" s="7" t="str">
        <f t="shared" si="8"/>
        <v/>
      </c>
      <c r="Q23" s="10" t="str">
        <f t="shared" si="9"/>
        <v/>
      </c>
      <c r="R23" s="7" t="str">
        <f t="shared" si="10"/>
        <v/>
      </c>
      <c r="S23" s="39">
        <v>18.5</v>
      </c>
      <c r="T23" s="39">
        <v>3.5</v>
      </c>
      <c r="U23" s="39">
        <v>0</v>
      </c>
      <c r="V23" s="39">
        <v>0</v>
      </c>
      <c r="W23" s="39">
        <v>17.7</v>
      </c>
      <c r="X23" s="39">
        <v>4.4000000000000004</v>
      </c>
      <c r="Y23" s="39">
        <v>0</v>
      </c>
      <c r="Z23" s="39">
        <v>0</v>
      </c>
      <c r="AA23" s="39">
        <v>18.899999999999999</v>
      </c>
      <c r="AB23" s="39">
        <v>3.5</v>
      </c>
      <c r="AC23" s="39">
        <v>0</v>
      </c>
      <c r="AD23" s="39">
        <v>0</v>
      </c>
      <c r="AE23" s="39">
        <v>18</v>
      </c>
      <c r="AF23" s="39">
        <v>4.4000000000000004</v>
      </c>
      <c r="AG23" s="39">
        <v>0.6</v>
      </c>
      <c r="AH23" s="39">
        <v>0</v>
      </c>
      <c r="AI23" s="19"/>
      <c r="AJ23" s="42">
        <f t="shared" si="11"/>
        <v>3.5</v>
      </c>
      <c r="AK23" s="42">
        <f t="shared" si="12"/>
        <v>22</v>
      </c>
      <c r="AL23" s="42">
        <f t="shared" si="13"/>
        <v>4.4000000000000004</v>
      </c>
      <c r="AM23" s="42">
        <f t="shared" si="14"/>
        <v>22.1</v>
      </c>
      <c r="AN23" s="27">
        <f t="shared" si="15"/>
        <v>7.9</v>
      </c>
      <c r="AO23" s="27">
        <f t="shared" si="16"/>
        <v>44.1</v>
      </c>
      <c r="AP23" s="27">
        <f t="shared" si="17"/>
        <v>3.5</v>
      </c>
      <c r="AQ23" s="27">
        <f t="shared" si="18"/>
        <v>22.4</v>
      </c>
      <c r="AR23" s="27">
        <f t="shared" si="19"/>
        <v>4.4000000000000004</v>
      </c>
      <c r="AS23" s="27">
        <f t="shared" si="20"/>
        <v>21.799999999999997</v>
      </c>
      <c r="AT23" s="27">
        <f t="shared" si="21"/>
        <v>7.9</v>
      </c>
      <c r="AU23" s="27">
        <f t="shared" si="22"/>
        <v>44.199999999999996</v>
      </c>
      <c r="AV23" s="27">
        <f t="shared" si="23"/>
        <v>88.3</v>
      </c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20"/>
      <c r="BN23" s="43" t="str">
        <f t="shared" si="24"/>
        <v/>
      </c>
      <c r="BO23" s="43" t="str">
        <f t="shared" si="25"/>
        <v/>
      </c>
      <c r="BP23" s="43" t="str">
        <f t="shared" si="26"/>
        <v/>
      </c>
      <c r="BQ23" s="43" t="str">
        <f t="shared" si="27"/>
        <v/>
      </c>
      <c r="BR23" s="10" t="str">
        <f t="shared" si="28"/>
        <v/>
      </c>
      <c r="BS23" s="10" t="str">
        <f t="shared" si="29"/>
        <v/>
      </c>
      <c r="BT23" s="10" t="str">
        <f t="shared" si="30"/>
        <v/>
      </c>
      <c r="BU23" s="10" t="str">
        <f t="shared" si="31"/>
        <v/>
      </c>
      <c r="BV23" s="10" t="str">
        <f t="shared" si="32"/>
        <v/>
      </c>
      <c r="BW23" s="10" t="str">
        <f t="shared" si="33"/>
        <v/>
      </c>
      <c r="BX23" s="10" t="str">
        <f t="shared" si="34"/>
        <v/>
      </c>
      <c r="BY23" s="10" t="str">
        <f t="shared" si="35"/>
        <v/>
      </c>
      <c r="BZ23" s="10" t="str">
        <f t="shared" si="36"/>
        <v/>
      </c>
      <c r="CA23" s="34" t="str">
        <f t="shared" si="37"/>
        <v/>
      </c>
      <c r="CB23" s="34" t="str">
        <f t="shared" si="38"/>
        <v/>
      </c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27" t="str">
        <f t="shared" si="39"/>
        <v/>
      </c>
      <c r="CX23" s="27" t="str">
        <f t="shared" si="40"/>
        <v/>
      </c>
      <c r="CY23" s="27" t="str">
        <f t="shared" si="41"/>
        <v/>
      </c>
      <c r="CZ23" s="27" t="str">
        <f t="shared" si="42"/>
        <v/>
      </c>
      <c r="DA23" s="27" t="str">
        <f t="shared" si="43"/>
        <v/>
      </c>
      <c r="DB23" s="27" t="str">
        <f t="shared" si="44"/>
        <v/>
      </c>
      <c r="DC23" s="27" t="str">
        <f t="shared" si="45"/>
        <v/>
      </c>
      <c r="DD23" s="27" t="str">
        <f t="shared" si="46"/>
        <v/>
      </c>
      <c r="DE23" s="27" t="str">
        <f t="shared" si="47"/>
        <v/>
      </c>
      <c r="DF23" s="27" t="str">
        <f t="shared" si="48"/>
        <v/>
      </c>
      <c r="DG23" s="27" t="str">
        <f t="shared" si="49"/>
        <v/>
      </c>
      <c r="DH23" s="27" t="str">
        <f t="shared" si="50"/>
        <v/>
      </c>
      <c r="DI23" s="27" t="str">
        <f t="shared" si="51"/>
        <v/>
      </c>
      <c r="DJ23" s="27" t="str">
        <f t="shared" si="52"/>
        <v/>
      </c>
      <c r="DK23" s="27" t="str">
        <f t="shared" si="53"/>
        <v/>
      </c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0" t="str">
        <f t="shared" si="54"/>
        <v/>
      </c>
      <c r="EG23" s="10" t="str">
        <f t="shared" si="55"/>
        <v/>
      </c>
      <c r="EH23" s="10" t="str">
        <f t="shared" si="56"/>
        <v/>
      </c>
      <c r="EI23" s="10" t="str">
        <f t="shared" si="57"/>
        <v/>
      </c>
      <c r="EJ23" s="10" t="str">
        <f t="shared" si="58"/>
        <v/>
      </c>
      <c r="EK23" s="10" t="str">
        <f t="shared" si="59"/>
        <v/>
      </c>
      <c r="EL23" s="10" t="str">
        <f t="shared" si="60"/>
        <v/>
      </c>
      <c r="EM23" s="10" t="str">
        <f t="shared" si="61"/>
        <v/>
      </c>
      <c r="EN23" s="10" t="str">
        <f t="shared" si="62"/>
        <v/>
      </c>
      <c r="EO23" s="10" t="str">
        <f t="shared" si="63"/>
        <v/>
      </c>
      <c r="EP23" s="10" t="str">
        <f t="shared" si="64"/>
        <v/>
      </c>
      <c r="EQ23" s="10" t="str">
        <f t="shared" si="65"/>
        <v/>
      </c>
      <c r="ER23" s="10" t="str">
        <f t="shared" si="66"/>
        <v/>
      </c>
      <c r="ES23" s="10" t="str">
        <f t="shared" si="67"/>
        <v/>
      </c>
      <c r="ET23" s="10" t="str">
        <f t="shared" si="68"/>
        <v/>
      </c>
      <c r="EU23" s="44">
        <f t="shared" si="69"/>
        <v>9.25</v>
      </c>
      <c r="EV23" s="44">
        <f t="shared" si="70"/>
        <v>1.75</v>
      </c>
      <c r="EW23" s="44">
        <f t="shared" si="71"/>
        <v>0</v>
      </c>
      <c r="EX23" s="44">
        <f t="shared" si="72"/>
        <v>0</v>
      </c>
      <c r="EY23" s="44">
        <f t="shared" si="73"/>
        <v>8.85</v>
      </c>
      <c r="EZ23" s="44">
        <f t="shared" si="74"/>
        <v>2.2000000000000002</v>
      </c>
      <c r="FA23" s="44">
        <f t="shared" si="75"/>
        <v>0</v>
      </c>
      <c r="FB23" s="44">
        <f t="shared" si="76"/>
        <v>0</v>
      </c>
      <c r="FC23" s="44">
        <f t="shared" si="77"/>
        <v>9.4499999999999993</v>
      </c>
      <c r="FD23" s="44">
        <f t="shared" si="78"/>
        <v>1.75</v>
      </c>
      <c r="FE23" s="44">
        <f t="shared" si="79"/>
        <v>0</v>
      </c>
      <c r="FF23" s="44">
        <f t="shared" si="80"/>
        <v>0</v>
      </c>
      <c r="FG23" s="44">
        <f t="shared" si="81"/>
        <v>9</v>
      </c>
      <c r="FH23" s="44">
        <f t="shared" si="82"/>
        <v>2.2000000000000002</v>
      </c>
      <c r="FI23" s="44">
        <f t="shared" si="83"/>
        <v>0.3</v>
      </c>
      <c r="FJ23" s="44">
        <f t="shared" si="84"/>
        <v>0</v>
      </c>
      <c r="FK23" s="20" t="s">
        <v>29</v>
      </c>
      <c r="FL23" s="10">
        <f t="shared" si="85"/>
        <v>1.75</v>
      </c>
      <c r="FM23" s="10">
        <f t="shared" si="86"/>
        <v>11</v>
      </c>
      <c r="FN23" s="10">
        <f t="shared" si="87"/>
        <v>2.2000000000000002</v>
      </c>
      <c r="FO23" s="10">
        <f t="shared" si="88"/>
        <v>11.05</v>
      </c>
      <c r="FP23" s="10">
        <f t="shared" si="89"/>
        <v>3.95</v>
      </c>
      <c r="FQ23" s="10">
        <f t="shared" ref="FQ23:FQ30" si="98">IF(SUM(FM23,FO23)&gt;0,SUM(FM23,FO23),"")</f>
        <v>22.05</v>
      </c>
      <c r="FR23" s="10">
        <f t="shared" ref="FR23:FR30" si="99">IF(FD23="","",FD23)</f>
        <v>1.75</v>
      </c>
      <c r="FS23" s="10">
        <f t="shared" ref="FS23:FS30" si="100">IF(FC23="","",FC23+FD23+FF23-FE23)</f>
        <v>11.2</v>
      </c>
      <c r="FT23" s="10">
        <f t="shared" ref="FT23:FT30" si="101">IF(FH23="","",FH23)</f>
        <v>2.2000000000000002</v>
      </c>
      <c r="FU23" s="10">
        <f t="shared" ref="FU23:FU30" si="102">IF(FG23="","",FG23+FH23+FJ23-FI23)</f>
        <v>10.899999999999999</v>
      </c>
      <c r="FV23" s="10">
        <f t="shared" ref="FV23:FV30" si="103">IF(SUM(FD23,FH23)&gt;0,SUM(FD23,FH23),"")</f>
        <v>3.95</v>
      </c>
      <c r="FW23" s="10">
        <f t="shared" ref="FW23:FW30" si="104">IF(SUM(FS23,FU23)&gt;0,SUM(FS23,FU23),"")</f>
        <v>22.099999999999998</v>
      </c>
      <c r="FX23" s="10">
        <f t="shared" ref="FX23:FX30" si="105">IF(SUM(FQ23,FW23)&gt;0,SUM(FQ23,FW23),"")</f>
        <v>44.15</v>
      </c>
    </row>
    <row r="24" spans="1:180" x14ac:dyDescent="0.2">
      <c r="A24" s="3" t="str" cm="1">
        <f t="array" ref="A24">IF(AND(H24&lt;&gt;"",H24&lt;&gt;"No DD",I24&lt;&gt;"P"),SUMPRODUCT((H$4:H$40&lt;&gt;"")*(H$4:H$40&lt;&gt;"No DD")*(I$4:I$40&lt;&gt;"P")*(E$4:E$40&gt;E24))+1,IF(H24="No DD",SUMPRODUCT((H$4:H$40="No DD")*(I$4:I$40&lt;&gt;"P")*(E$4:E$40&gt;E24))+1+SUMPRODUCT((H$4:H$40&lt;&gt;"")*(I$4:I$40&lt;&gt;"P")*(H$4:H$40&lt;&gt;"No DD")),""))</f>
        <v/>
      </c>
      <c r="B24" s="4" t="s">
        <v>162</v>
      </c>
      <c r="C24" s="3" t="s">
        <v>6</v>
      </c>
      <c r="D24" s="3">
        <v>2007</v>
      </c>
      <c r="E24" s="8">
        <f t="shared" si="0"/>
        <v>88.100006610004399</v>
      </c>
      <c r="F24" s="2" t="str">
        <f t="shared" si="1"/>
        <v/>
      </c>
      <c r="G24" s="2" t="str">
        <f t="shared" si="2"/>
        <v/>
      </c>
      <c r="H24" s="26" t="str">
        <f t="shared" si="3"/>
        <v/>
      </c>
      <c r="I24" s="2" t="str">
        <f>IF(COUNTIFS('Senior-W'!B:B,B24,'Senior-W'!A:A,"&lt;9",'Senior-W'!H:H,"&lt;&gt;"&amp;"No DD"),"P","")</f>
        <v/>
      </c>
      <c r="J24" s="7">
        <f t="shared" si="4"/>
        <v>44</v>
      </c>
      <c r="K24" s="7" t="str">
        <f t="shared" si="5"/>
        <v>2025 Nationals</v>
      </c>
      <c r="L24" s="7">
        <f>IF(J24=AO24,IF(COUNT(AQ24,AS24,BO24,BQ24,BU24,BW24)&gt;1,LARGE((AQ24,AS24,BO24,BQ24,BU24,BW24),1),0),IF(COUNT(AK24,AM24,AQ24,AS24,BU24,BW24)&gt;1,LARGE((AK24,AM24,AQ24,AS24,BU24,BW24),1),0))</f>
        <v>22.1</v>
      </c>
      <c r="M24" s="7" t="str">
        <f t="shared" si="6"/>
        <v>2025 3rd Domestic Trial</v>
      </c>
      <c r="N24" s="7">
        <f>IF(J24=AO24,IF(COUNT(AQ24,AS24,BO24,BQ24,BU24,BW24)&gt;1,LARGE((AQ24,AS24,BO24,BQ24,BU24,BW24),2),0),IF(COUNT(AK24,AM24,AQ24,AS24,BU24,BW24)&gt;1,LARGE((AK24,AM24,AQ24,AS24,BU24,BW24),2),0))</f>
        <v>22</v>
      </c>
      <c r="O24" s="7" t="str">
        <f t="shared" si="7"/>
        <v>2025 3rd Domestic Trial</v>
      </c>
      <c r="P24" s="7" t="str">
        <f t="shared" si="8"/>
        <v/>
      </c>
      <c r="Q24" s="10" t="str">
        <f t="shared" si="9"/>
        <v/>
      </c>
      <c r="R24" s="7" t="str">
        <f t="shared" si="10"/>
        <v/>
      </c>
      <c r="S24" s="39">
        <v>18.2</v>
      </c>
      <c r="T24" s="39">
        <v>3.5</v>
      </c>
      <c r="U24" s="39">
        <v>0.2</v>
      </c>
      <c r="V24" s="39">
        <v>0</v>
      </c>
      <c r="W24" s="39">
        <v>19</v>
      </c>
      <c r="X24" s="39">
        <v>3.5</v>
      </c>
      <c r="Y24" s="39">
        <v>0</v>
      </c>
      <c r="Z24" s="39">
        <v>0</v>
      </c>
      <c r="AA24" s="39">
        <v>15.4</v>
      </c>
      <c r="AB24" s="39">
        <v>0.7</v>
      </c>
      <c r="AC24" s="39">
        <v>0</v>
      </c>
      <c r="AD24" s="39">
        <v>0</v>
      </c>
      <c r="AE24" s="39">
        <v>18.899999999999999</v>
      </c>
      <c r="AF24" s="39">
        <v>2.7</v>
      </c>
      <c r="AG24" s="39">
        <v>1</v>
      </c>
      <c r="AH24" s="39">
        <v>0</v>
      </c>
      <c r="AI24" s="19"/>
      <c r="AJ24" s="42">
        <f t="shared" si="11"/>
        <v>3.5</v>
      </c>
      <c r="AK24" s="42">
        <f t="shared" si="12"/>
        <v>21.5</v>
      </c>
      <c r="AL24" s="42">
        <f t="shared" si="13"/>
        <v>3.5</v>
      </c>
      <c r="AM24" s="42">
        <f t="shared" si="14"/>
        <v>22.5</v>
      </c>
      <c r="AN24" s="27">
        <f t="shared" si="15"/>
        <v>7</v>
      </c>
      <c r="AO24" s="27">
        <f t="shared" si="16"/>
        <v>44</v>
      </c>
      <c r="AP24" s="27">
        <f t="shared" si="17"/>
        <v>0.7</v>
      </c>
      <c r="AQ24" s="27">
        <f t="shared" si="18"/>
        <v>16.100000000000001</v>
      </c>
      <c r="AR24" s="27">
        <f t="shared" si="19"/>
        <v>2.7</v>
      </c>
      <c r="AS24" s="27">
        <f t="shared" si="20"/>
        <v>20.599999999999998</v>
      </c>
      <c r="AT24" s="27">
        <f t="shared" si="21"/>
        <v>3.4000000000000004</v>
      </c>
      <c r="AU24" s="27">
        <f t="shared" si="22"/>
        <v>36.700000000000003</v>
      </c>
      <c r="AV24" s="27">
        <f t="shared" si="23"/>
        <v>80.7</v>
      </c>
      <c r="AW24" s="15">
        <v>18.3</v>
      </c>
      <c r="AX24" s="15">
        <v>3.1</v>
      </c>
      <c r="AY24" s="15">
        <v>0.8</v>
      </c>
      <c r="AZ24" s="15">
        <v>0</v>
      </c>
      <c r="BA24" s="15">
        <v>18.7</v>
      </c>
      <c r="BB24" s="15">
        <v>3.9</v>
      </c>
      <c r="BC24" s="15">
        <v>0.8</v>
      </c>
      <c r="BD24" s="15">
        <v>0</v>
      </c>
      <c r="BE24" s="15">
        <v>18.7</v>
      </c>
      <c r="BF24" s="15">
        <v>3.5</v>
      </c>
      <c r="BG24" s="15">
        <v>0.2</v>
      </c>
      <c r="BH24" s="15">
        <v>0</v>
      </c>
      <c r="BI24" s="15">
        <v>18.600000000000001</v>
      </c>
      <c r="BJ24" s="15">
        <v>3.9</v>
      </c>
      <c r="BK24" s="15">
        <v>0.4</v>
      </c>
      <c r="BL24" s="15">
        <v>0</v>
      </c>
      <c r="BM24" s="20"/>
      <c r="BN24" s="43">
        <f t="shared" si="24"/>
        <v>3.1</v>
      </c>
      <c r="BO24" s="43">
        <f t="shared" si="25"/>
        <v>20.6</v>
      </c>
      <c r="BP24" s="43">
        <f t="shared" si="26"/>
        <v>3.9</v>
      </c>
      <c r="BQ24" s="43">
        <f t="shared" si="27"/>
        <v>21.799999999999997</v>
      </c>
      <c r="BR24" s="10">
        <f t="shared" si="28"/>
        <v>7</v>
      </c>
      <c r="BS24" s="10">
        <f t="shared" si="29"/>
        <v>42.4</v>
      </c>
      <c r="BT24" s="10">
        <f t="shared" si="30"/>
        <v>3.5</v>
      </c>
      <c r="BU24" s="10">
        <f t="shared" si="31"/>
        <v>22</v>
      </c>
      <c r="BV24" s="10">
        <f t="shared" si="32"/>
        <v>3.9</v>
      </c>
      <c r="BW24" s="10">
        <f t="shared" si="33"/>
        <v>22.1</v>
      </c>
      <c r="BX24" s="10">
        <f t="shared" si="34"/>
        <v>7.4</v>
      </c>
      <c r="BY24" s="10">
        <f t="shared" si="35"/>
        <v>44.1</v>
      </c>
      <c r="BZ24" s="10">
        <f t="shared" si="36"/>
        <v>86.5</v>
      </c>
      <c r="CA24" s="34" t="str">
        <f t="shared" si="37"/>
        <v/>
      </c>
      <c r="CB24" s="34" t="str">
        <f t="shared" si="38"/>
        <v/>
      </c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27" t="str">
        <f t="shared" si="39"/>
        <v/>
      </c>
      <c r="CX24" s="27" t="str">
        <f t="shared" si="40"/>
        <v/>
      </c>
      <c r="CY24" s="27" t="str">
        <f t="shared" si="41"/>
        <v/>
      </c>
      <c r="CZ24" s="27" t="str">
        <f t="shared" si="42"/>
        <v/>
      </c>
      <c r="DA24" s="27" t="str">
        <f t="shared" si="43"/>
        <v/>
      </c>
      <c r="DB24" s="27" t="str">
        <f t="shared" si="44"/>
        <v/>
      </c>
      <c r="DC24" s="27" t="str">
        <f t="shared" si="45"/>
        <v/>
      </c>
      <c r="DD24" s="27" t="str">
        <f t="shared" si="46"/>
        <v/>
      </c>
      <c r="DE24" s="27" t="str">
        <f t="shared" si="47"/>
        <v/>
      </c>
      <c r="DF24" s="27" t="str">
        <f t="shared" si="48"/>
        <v/>
      </c>
      <c r="DG24" s="27" t="str">
        <f t="shared" si="49"/>
        <v/>
      </c>
      <c r="DH24" s="27" t="str">
        <f t="shared" si="50"/>
        <v/>
      </c>
      <c r="DI24" s="27" t="str">
        <f t="shared" si="51"/>
        <v/>
      </c>
      <c r="DJ24" s="27" t="str">
        <f t="shared" si="52"/>
        <v/>
      </c>
      <c r="DK24" s="27" t="str">
        <f t="shared" si="53"/>
        <v/>
      </c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0" t="str">
        <f t="shared" si="54"/>
        <v/>
      </c>
      <c r="EG24" s="10" t="str">
        <f t="shared" si="55"/>
        <v/>
      </c>
      <c r="EH24" s="10" t="str">
        <f t="shared" si="56"/>
        <v/>
      </c>
      <c r="EI24" s="10" t="str">
        <f t="shared" si="57"/>
        <v/>
      </c>
      <c r="EJ24" s="10" t="str">
        <f t="shared" si="58"/>
        <v/>
      </c>
      <c r="EK24" s="10" t="str">
        <f t="shared" si="59"/>
        <v/>
      </c>
      <c r="EL24" s="10" t="str">
        <f t="shared" si="60"/>
        <v/>
      </c>
      <c r="EM24" s="10" t="str">
        <f t="shared" si="61"/>
        <v/>
      </c>
      <c r="EN24" s="10" t="str">
        <f t="shared" si="62"/>
        <v/>
      </c>
      <c r="EO24" s="10" t="str">
        <f t="shared" si="63"/>
        <v/>
      </c>
      <c r="EP24" s="10" t="str">
        <f t="shared" si="64"/>
        <v/>
      </c>
      <c r="EQ24" s="10" t="str">
        <f t="shared" si="65"/>
        <v/>
      </c>
      <c r="ER24" s="10" t="str">
        <f t="shared" si="66"/>
        <v/>
      </c>
      <c r="ES24" s="10" t="str">
        <f t="shared" si="67"/>
        <v/>
      </c>
      <c r="ET24" s="10" t="str">
        <f t="shared" si="68"/>
        <v/>
      </c>
      <c r="EU24" s="44">
        <f t="shared" si="69"/>
        <v>18.25</v>
      </c>
      <c r="EV24" s="44">
        <f t="shared" si="70"/>
        <v>3.3</v>
      </c>
      <c r="EW24" s="44">
        <f t="shared" si="71"/>
        <v>0.5</v>
      </c>
      <c r="EX24" s="44">
        <f t="shared" si="72"/>
        <v>0</v>
      </c>
      <c r="EY24" s="44">
        <f t="shared" si="73"/>
        <v>18.850000000000001</v>
      </c>
      <c r="EZ24" s="44">
        <f t="shared" si="74"/>
        <v>3.7</v>
      </c>
      <c r="FA24" s="44">
        <f t="shared" si="75"/>
        <v>0.4</v>
      </c>
      <c r="FB24" s="44">
        <f t="shared" si="76"/>
        <v>0</v>
      </c>
      <c r="FC24" s="44">
        <f t="shared" si="77"/>
        <v>17.05</v>
      </c>
      <c r="FD24" s="44">
        <f t="shared" si="78"/>
        <v>2.1</v>
      </c>
      <c r="FE24" s="44">
        <f t="shared" si="79"/>
        <v>0.1</v>
      </c>
      <c r="FF24" s="44">
        <f t="shared" si="80"/>
        <v>0</v>
      </c>
      <c r="FG24" s="44">
        <f t="shared" si="81"/>
        <v>18.75</v>
      </c>
      <c r="FH24" s="44">
        <f t="shared" si="82"/>
        <v>3.3</v>
      </c>
      <c r="FI24" s="44">
        <f t="shared" si="83"/>
        <v>0.7</v>
      </c>
      <c r="FJ24" s="44">
        <f t="shared" si="84"/>
        <v>0</v>
      </c>
      <c r="FK24" s="20" t="s">
        <v>29</v>
      </c>
      <c r="FL24" s="10">
        <f t="shared" si="85"/>
        <v>3.3</v>
      </c>
      <c r="FM24" s="10">
        <f t="shared" si="86"/>
        <v>21.05</v>
      </c>
      <c r="FN24" s="10">
        <f t="shared" si="87"/>
        <v>3.7</v>
      </c>
      <c r="FO24" s="10">
        <f t="shared" si="88"/>
        <v>22.150000000000002</v>
      </c>
      <c r="FP24" s="10">
        <f t="shared" si="89"/>
        <v>7</v>
      </c>
      <c r="FQ24" s="10">
        <f t="shared" si="98"/>
        <v>43.2</v>
      </c>
      <c r="FR24" s="10">
        <f t="shared" si="99"/>
        <v>2.1</v>
      </c>
      <c r="FS24" s="10">
        <f t="shared" si="100"/>
        <v>19.05</v>
      </c>
      <c r="FT24" s="10">
        <f t="shared" si="101"/>
        <v>3.3</v>
      </c>
      <c r="FU24" s="10">
        <f t="shared" si="102"/>
        <v>21.35</v>
      </c>
      <c r="FV24" s="10">
        <f t="shared" si="103"/>
        <v>5.4</v>
      </c>
      <c r="FW24" s="10">
        <f t="shared" si="104"/>
        <v>40.400000000000006</v>
      </c>
      <c r="FX24" s="10">
        <f t="shared" si="105"/>
        <v>83.600000000000009</v>
      </c>
    </row>
    <row r="25" spans="1:180" x14ac:dyDescent="0.2">
      <c r="A25" s="3" t="str" cm="1">
        <f t="array" ref="A25">IF(AND(H25&lt;&gt;"",H25&lt;&gt;"No DD",I25&lt;&gt;"P"),SUMPRODUCT((H$4:H$40&lt;&gt;"")*(H$4:H$40&lt;&gt;"No DD")*(I$4:I$40&lt;&gt;"P")*(E$4:E$40&gt;E25))+1,IF(H25="No DD",SUMPRODUCT((H$4:H$40="No DD")*(I$4:I$40&lt;&gt;"P")*(E$4:E$40&gt;E25))+1+SUMPRODUCT((H$4:H$40&lt;&gt;"")*(I$4:I$40&lt;&gt;"P")*(H$4:H$40&lt;&gt;"No DD")),""))</f>
        <v/>
      </c>
      <c r="B25" s="4" t="s">
        <v>166</v>
      </c>
      <c r="C25" s="3" t="s">
        <v>5</v>
      </c>
      <c r="D25" s="3">
        <v>2009</v>
      </c>
      <c r="E25" s="8">
        <f t="shared" si="0"/>
        <v>85.900006400004173</v>
      </c>
      <c r="F25" s="2" t="str">
        <f t="shared" si="1"/>
        <v/>
      </c>
      <c r="G25" s="2" t="str">
        <f t="shared" si="2"/>
        <v/>
      </c>
      <c r="H25" s="26" t="str">
        <f t="shared" si="3"/>
        <v/>
      </c>
      <c r="I25" s="2" t="str">
        <f>IF(COUNTIFS('Senior-W'!B:B,B25,'Senior-W'!A:A,"&lt;9",'Senior-W'!H:H,"&lt;&gt;"&amp;"No DD"),"P","")</f>
        <v/>
      </c>
      <c r="J25" s="7">
        <f t="shared" si="4"/>
        <v>41.7</v>
      </c>
      <c r="K25" s="7" t="str">
        <f t="shared" si="5"/>
        <v>2025 Nationals</v>
      </c>
      <c r="L25" s="7">
        <f>IF(J25=AO25,IF(COUNT(AQ25,AS25,BO25,BQ25,BU25,BW25)&gt;1,LARGE((AQ25,AS25,BO25,BQ25,BU25,BW25),1),0),IF(COUNT(AK25,AM25,AQ25,AS25,BU25,BW25)&gt;1,LARGE((AK25,AM25,AQ25,AS25,BU25,BW25),1),0))</f>
        <v>22.3</v>
      </c>
      <c r="M25" s="7" t="str">
        <f t="shared" si="6"/>
        <v>2025 Nationals</v>
      </c>
      <c r="N25" s="7">
        <f>IF(J25=AO25,IF(COUNT(AQ25,AS25,BO25,BQ25,BU25,BW25)&gt;1,LARGE((AQ25,AS25,BO25,BQ25,BU25,BW25),2),0),IF(COUNT(AK25,AM25,AQ25,AS25,BU25,BW25)&gt;1,LARGE((AK25,AM25,AQ25,AS25,BU25,BW25),2),0))</f>
        <v>21.9</v>
      </c>
      <c r="O25" s="7" t="str">
        <f t="shared" si="7"/>
        <v>2025 Nationals</v>
      </c>
      <c r="P25" s="7" t="str">
        <f t="shared" si="8"/>
        <v/>
      </c>
      <c r="Q25" s="10" t="str">
        <f t="shared" si="9"/>
        <v/>
      </c>
      <c r="R25" s="7" t="str">
        <f t="shared" si="10"/>
        <v/>
      </c>
      <c r="S25" s="39">
        <v>18.7</v>
      </c>
      <c r="T25" s="39">
        <v>3.5</v>
      </c>
      <c r="U25" s="39">
        <v>0.2</v>
      </c>
      <c r="V25" s="39">
        <v>0</v>
      </c>
      <c r="W25" s="39">
        <v>16.3</v>
      </c>
      <c r="X25" s="39">
        <v>4.4000000000000004</v>
      </c>
      <c r="Y25" s="39">
        <v>1</v>
      </c>
      <c r="Z25" s="39">
        <v>0</v>
      </c>
      <c r="AA25" s="39">
        <v>18.399999999999999</v>
      </c>
      <c r="AB25" s="39">
        <v>3.5</v>
      </c>
      <c r="AC25" s="39">
        <v>0</v>
      </c>
      <c r="AD25" s="39">
        <v>0</v>
      </c>
      <c r="AE25" s="39">
        <v>18.100000000000001</v>
      </c>
      <c r="AF25" s="39">
        <v>4.8</v>
      </c>
      <c r="AG25" s="39">
        <v>0.6</v>
      </c>
      <c r="AH25" s="39">
        <v>0</v>
      </c>
      <c r="AI25" s="19"/>
      <c r="AJ25" s="42">
        <f t="shared" si="11"/>
        <v>3.5</v>
      </c>
      <c r="AK25" s="42">
        <f t="shared" si="12"/>
        <v>22</v>
      </c>
      <c r="AL25" s="42">
        <f t="shared" si="13"/>
        <v>4.4000000000000004</v>
      </c>
      <c r="AM25" s="42">
        <f t="shared" si="14"/>
        <v>19.700000000000003</v>
      </c>
      <c r="AN25" s="27">
        <f t="shared" si="15"/>
        <v>7.9</v>
      </c>
      <c r="AO25" s="27">
        <f t="shared" si="16"/>
        <v>41.7</v>
      </c>
      <c r="AP25" s="27">
        <f t="shared" si="17"/>
        <v>3.5</v>
      </c>
      <c r="AQ25" s="27">
        <f t="shared" si="18"/>
        <v>21.9</v>
      </c>
      <c r="AR25" s="27">
        <f t="shared" si="19"/>
        <v>4.8</v>
      </c>
      <c r="AS25" s="27">
        <f t="shared" si="20"/>
        <v>22.3</v>
      </c>
      <c r="AT25" s="27">
        <f t="shared" si="21"/>
        <v>8.3000000000000007</v>
      </c>
      <c r="AU25" s="27">
        <f t="shared" si="22"/>
        <v>44.2</v>
      </c>
      <c r="AV25" s="27">
        <f t="shared" si="23"/>
        <v>85.9</v>
      </c>
      <c r="AW25" s="15">
        <v>18.2</v>
      </c>
      <c r="AX25" s="15">
        <v>2.7</v>
      </c>
      <c r="AY25" s="15">
        <v>1.4</v>
      </c>
      <c r="AZ25" s="15">
        <v>0</v>
      </c>
      <c r="BA25" s="15">
        <v>18</v>
      </c>
      <c r="BB25" s="15">
        <v>3</v>
      </c>
      <c r="BC25" s="15">
        <v>0.7</v>
      </c>
      <c r="BD25" s="15">
        <v>0</v>
      </c>
      <c r="BE25" s="15">
        <v>18.3</v>
      </c>
      <c r="BF25" s="15">
        <v>3.5</v>
      </c>
      <c r="BG25" s="15">
        <v>0</v>
      </c>
      <c r="BH25" s="15">
        <v>0</v>
      </c>
      <c r="BI25" s="15">
        <v>17.899999999999999</v>
      </c>
      <c r="BJ25" s="15">
        <v>2.9</v>
      </c>
      <c r="BK25" s="15">
        <v>1.2</v>
      </c>
      <c r="BL25" s="15">
        <v>0</v>
      </c>
      <c r="BM25" s="20"/>
      <c r="BN25" s="43">
        <f t="shared" si="24"/>
        <v>2.7</v>
      </c>
      <c r="BO25" s="43">
        <f t="shared" si="25"/>
        <v>19.5</v>
      </c>
      <c r="BP25" s="43">
        <f t="shared" si="26"/>
        <v>3</v>
      </c>
      <c r="BQ25" s="43">
        <f t="shared" si="27"/>
        <v>20.3</v>
      </c>
      <c r="BR25" s="10">
        <f t="shared" si="28"/>
        <v>5.7</v>
      </c>
      <c r="BS25" s="10">
        <f t="shared" si="29"/>
        <v>39.799999999999997</v>
      </c>
      <c r="BT25" s="10">
        <f t="shared" si="30"/>
        <v>3.5</v>
      </c>
      <c r="BU25" s="10">
        <f t="shared" si="31"/>
        <v>21.8</v>
      </c>
      <c r="BV25" s="10">
        <f t="shared" si="32"/>
        <v>2.9</v>
      </c>
      <c r="BW25" s="10">
        <f t="shared" si="33"/>
        <v>19.599999999999998</v>
      </c>
      <c r="BX25" s="10">
        <f t="shared" si="34"/>
        <v>6.4</v>
      </c>
      <c r="BY25" s="10">
        <f t="shared" si="35"/>
        <v>41.4</v>
      </c>
      <c r="BZ25" s="10">
        <f t="shared" si="36"/>
        <v>81.199999999999989</v>
      </c>
      <c r="CA25" s="34" t="str">
        <f t="shared" si="37"/>
        <v/>
      </c>
      <c r="CB25" s="34" t="str">
        <f t="shared" si="38"/>
        <v/>
      </c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27" t="str">
        <f t="shared" si="39"/>
        <v/>
      </c>
      <c r="CX25" s="27" t="str">
        <f t="shared" si="40"/>
        <v/>
      </c>
      <c r="CY25" s="27" t="str">
        <f t="shared" si="41"/>
        <v/>
      </c>
      <c r="CZ25" s="27" t="str">
        <f t="shared" si="42"/>
        <v/>
      </c>
      <c r="DA25" s="27" t="str">
        <f t="shared" si="43"/>
        <v/>
      </c>
      <c r="DB25" s="27" t="str">
        <f t="shared" si="44"/>
        <v/>
      </c>
      <c r="DC25" s="27" t="str">
        <f t="shared" si="45"/>
        <v/>
      </c>
      <c r="DD25" s="27" t="str">
        <f t="shared" si="46"/>
        <v/>
      </c>
      <c r="DE25" s="27" t="str">
        <f t="shared" si="47"/>
        <v/>
      </c>
      <c r="DF25" s="27" t="str">
        <f t="shared" si="48"/>
        <v/>
      </c>
      <c r="DG25" s="27" t="str">
        <f t="shared" si="49"/>
        <v/>
      </c>
      <c r="DH25" s="27" t="str">
        <f t="shared" si="50"/>
        <v/>
      </c>
      <c r="DI25" s="27" t="str">
        <f t="shared" si="51"/>
        <v/>
      </c>
      <c r="DJ25" s="27" t="str">
        <f t="shared" si="52"/>
        <v/>
      </c>
      <c r="DK25" s="27" t="str">
        <f t="shared" si="53"/>
        <v/>
      </c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0" t="str">
        <f t="shared" si="54"/>
        <v/>
      </c>
      <c r="EG25" s="10" t="str">
        <f t="shared" si="55"/>
        <v/>
      </c>
      <c r="EH25" s="10" t="str">
        <f t="shared" si="56"/>
        <v/>
      </c>
      <c r="EI25" s="10" t="str">
        <f t="shared" si="57"/>
        <v/>
      </c>
      <c r="EJ25" s="10" t="str">
        <f t="shared" si="58"/>
        <v/>
      </c>
      <c r="EK25" s="10" t="str">
        <f t="shared" si="59"/>
        <v/>
      </c>
      <c r="EL25" s="10" t="str">
        <f t="shared" si="60"/>
        <v/>
      </c>
      <c r="EM25" s="10" t="str">
        <f t="shared" si="61"/>
        <v/>
      </c>
      <c r="EN25" s="10" t="str">
        <f t="shared" si="62"/>
        <v/>
      </c>
      <c r="EO25" s="10" t="str">
        <f t="shared" si="63"/>
        <v/>
      </c>
      <c r="EP25" s="10" t="str">
        <f t="shared" si="64"/>
        <v/>
      </c>
      <c r="EQ25" s="10" t="str">
        <f t="shared" si="65"/>
        <v/>
      </c>
      <c r="ER25" s="10" t="str">
        <f t="shared" si="66"/>
        <v/>
      </c>
      <c r="ES25" s="10" t="str">
        <f t="shared" si="67"/>
        <v/>
      </c>
      <c r="ET25" s="10" t="str">
        <f t="shared" si="68"/>
        <v/>
      </c>
      <c r="EU25" s="44">
        <f t="shared" si="69"/>
        <v>18.45</v>
      </c>
      <c r="EV25" s="44">
        <f t="shared" si="70"/>
        <v>3.1</v>
      </c>
      <c r="EW25" s="44">
        <f t="shared" si="71"/>
        <v>0.79999999999999993</v>
      </c>
      <c r="EX25" s="44">
        <f t="shared" si="72"/>
        <v>0</v>
      </c>
      <c r="EY25" s="44">
        <f t="shared" si="73"/>
        <v>17.149999999999999</v>
      </c>
      <c r="EZ25" s="44">
        <f t="shared" si="74"/>
        <v>3.7</v>
      </c>
      <c r="FA25" s="44">
        <f t="shared" si="75"/>
        <v>0.85</v>
      </c>
      <c r="FB25" s="44">
        <f t="shared" si="76"/>
        <v>0</v>
      </c>
      <c r="FC25" s="44">
        <f t="shared" si="77"/>
        <v>18.350000000000001</v>
      </c>
      <c r="FD25" s="44">
        <f t="shared" si="78"/>
        <v>3.5</v>
      </c>
      <c r="FE25" s="44">
        <f t="shared" si="79"/>
        <v>0</v>
      </c>
      <c r="FF25" s="44">
        <f t="shared" si="80"/>
        <v>0</v>
      </c>
      <c r="FG25" s="44">
        <f t="shared" si="81"/>
        <v>18</v>
      </c>
      <c r="FH25" s="44">
        <f t="shared" si="82"/>
        <v>3.8499999999999996</v>
      </c>
      <c r="FI25" s="44">
        <f t="shared" si="83"/>
        <v>0.89999999999999991</v>
      </c>
      <c r="FJ25" s="44">
        <f t="shared" si="84"/>
        <v>0</v>
      </c>
      <c r="FK25" s="20" t="s">
        <v>29</v>
      </c>
      <c r="FL25" s="10">
        <f t="shared" si="85"/>
        <v>3.1</v>
      </c>
      <c r="FM25" s="10">
        <f t="shared" si="86"/>
        <v>20.75</v>
      </c>
      <c r="FN25" s="10">
        <f t="shared" si="87"/>
        <v>3.7</v>
      </c>
      <c r="FO25" s="10">
        <f t="shared" si="88"/>
        <v>19.999999999999996</v>
      </c>
      <c r="FP25" s="10">
        <f t="shared" si="89"/>
        <v>6.8000000000000007</v>
      </c>
      <c r="FQ25" s="10">
        <f t="shared" si="98"/>
        <v>40.75</v>
      </c>
      <c r="FR25" s="10">
        <f t="shared" si="99"/>
        <v>3.5</v>
      </c>
      <c r="FS25" s="10">
        <f t="shared" si="100"/>
        <v>21.85</v>
      </c>
      <c r="FT25" s="10">
        <f t="shared" si="101"/>
        <v>3.8499999999999996</v>
      </c>
      <c r="FU25" s="10">
        <f t="shared" si="102"/>
        <v>20.950000000000003</v>
      </c>
      <c r="FV25" s="10">
        <f t="shared" si="103"/>
        <v>7.35</v>
      </c>
      <c r="FW25" s="10">
        <f t="shared" si="104"/>
        <v>42.800000000000004</v>
      </c>
      <c r="FX25" s="10">
        <f t="shared" si="105"/>
        <v>83.550000000000011</v>
      </c>
    </row>
    <row r="26" spans="1:180" x14ac:dyDescent="0.2">
      <c r="A26" s="3" t="str" cm="1">
        <f t="array" ref="A26">IF(AND(H26&lt;&gt;"",H26&lt;&gt;"No DD",I26&lt;&gt;"P"),SUMPRODUCT((H$4:H$40&lt;&gt;"")*(H$4:H$40&lt;&gt;"No DD")*(I$4:I$40&lt;&gt;"P")*(E$4:E$40&gt;E26))+1,IF(H26="No DD",SUMPRODUCT((H$4:H$40="No DD")*(I$4:I$40&lt;&gt;"P")*(E$4:E$40&gt;E26))+1+SUMPRODUCT((H$4:H$40&lt;&gt;"")*(I$4:I$40&lt;&gt;"P")*(H$4:H$40&lt;&gt;"No DD")),""))</f>
        <v/>
      </c>
      <c r="B26" s="4" t="s">
        <v>173</v>
      </c>
      <c r="C26" s="3" t="s">
        <v>5</v>
      </c>
      <c r="D26" s="3">
        <v>2007</v>
      </c>
      <c r="E26" s="8">
        <f t="shared" si="0"/>
        <v>84.900006730004435</v>
      </c>
      <c r="F26" s="2" t="str">
        <f t="shared" si="1"/>
        <v/>
      </c>
      <c r="G26" s="2" t="str">
        <f t="shared" si="2"/>
        <v/>
      </c>
      <c r="H26" s="26" t="str">
        <f t="shared" si="3"/>
        <v/>
      </c>
      <c r="I26" s="2" t="str">
        <f>IF(COUNTIFS('Senior-W'!B:B,B26,'Senior-W'!A:A,"&lt;9",'Senior-W'!H:H,"&lt;&gt;"&amp;"No DD"),"P","")</f>
        <v/>
      </c>
      <c r="J26" s="7">
        <f t="shared" si="4"/>
        <v>44.5</v>
      </c>
      <c r="K26" s="7" t="str">
        <f t="shared" si="5"/>
        <v>2025 Nationals</v>
      </c>
      <c r="L26" s="7">
        <f>IF(J26=AO26,IF(COUNT(AQ26,AS26,BO26,BQ26,BU26,BW26)&gt;1,LARGE((AQ26,AS26,BO26,BQ26,BU26,BW26),1),0),IF(COUNT(AK26,AM26,AQ26,AS26,BU26,BW26)&gt;1,LARGE((AK26,AM26,AQ26,AS26,BU26,BW26),1),0))</f>
        <v>22.8</v>
      </c>
      <c r="M26" s="7" t="str">
        <f t="shared" si="6"/>
        <v>2025 Nationals</v>
      </c>
      <c r="N26" s="7">
        <f>IF(J26=AO26,IF(COUNT(AQ26,AS26,BO26,BQ26,BU26,BW26)&gt;1,LARGE((AQ26,AS26,BO26,BQ26,BU26,BW26),2),0),IF(COUNT(AK26,AM26,AQ26,AS26,BU26,BW26)&gt;1,LARGE((AK26,AM26,AQ26,AS26,BU26,BW26),2),0))</f>
        <v>17.599999999999998</v>
      </c>
      <c r="O26" s="7" t="str">
        <f t="shared" si="7"/>
        <v>2025 Nationals</v>
      </c>
      <c r="P26" s="7" t="str">
        <f t="shared" si="8"/>
        <v/>
      </c>
      <c r="Q26" s="10" t="str">
        <f t="shared" si="9"/>
        <v/>
      </c>
      <c r="R26" s="7" t="str">
        <f t="shared" si="10"/>
        <v/>
      </c>
      <c r="S26" s="39">
        <v>17.899999999999999</v>
      </c>
      <c r="T26" s="39">
        <v>4.4000000000000004</v>
      </c>
      <c r="U26" s="39">
        <v>0.8</v>
      </c>
      <c r="V26" s="39">
        <v>0</v>
      </c>
      <c r="W26" s="39">
        <v>19.5</v>
      </c>
      <c r="X26" s="39">
        <v>3.5</v>
      </c>
      <c r="Y26" s="39">
        <v>0</v>
      </c>
      <c r="Z26" s="39">
        <v>0</v>
      </c>
      <c r="AA26" s="39">
        <v>15.2</v>
      </c>
      <c r="AB26" s="39">
        <v>2.4</v>
      </c>
      <c r="AC26" s="39">
        <v>0</v>
      </c>
      <c r="AD26" s="39">
        <v>0</v>
      </c>
      <c r="AE26" s="39">
        <v>19.3</v>
      </c>
      <c r="AF26" s="39">
        <v>3.5</v>
      </c>
      <c r="AG26" s="39">
        <v>0</v>
      </c>
      <c r="AH26" s="39">
        <v>0</v>
      </c>
      <c r="AI26" s="19"/>
      <c r="AJ26" s="42">
        <f t="shared" si="11"/>
        <v>4.4000000000000004</v>
      </c>
      <c r="AK26" s="42">
        <f t="shared" si="12"/>
        <v>21.499999999999996</v>
      </c>
      <c r="AL26" s="42">
        <f t="shared" si="13"/>
        <v>3.5</v>
      </c>
      <c r="AM26" s="42">
        <f t="shared" si="14"/>
        <v>23</v>
      </c>
      <c r="AN26" s="27">
        <f t="shared" si="15"/>
        <v>7.9</v>
      </c>
      <c r="AO26" s="27">
        <f t="shared" si="16"/>
        <v>44.5</v>
      </c>
      <c r="AP26" s="27">
        <f t="shared" si="17"/>
        <v>2.4</v>
      </c>
      <c r="AQ26" s="27">
        <f t="shared" si="18"/>
        <v>17.599999999999998</v>
      </c>
      <c r="AR26" s="27">
        <f t="shared" si="19"/>
        <v>3.5</v>
      </c>
      <c r="AS26" s="27">
        <f t="shared" si="20"/>
        <v>22.8</v>
      </c>
      <c r="AT26" s="27">
        <f t="shared" si="21"/>
        <v>5.9</v>
      </c>
      <c r="AU26" s="27">
        <f t="shared" si="22"/>
        <v>40.4</v>
      </c>
      <c r="AV26" s="27">
        <f t="shared" si="23"/>
        <v>84.9</v>
      </c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20"/>
      <c r="BN26" s="43" t="str">
        <f t="shared" si="24"/>
        <v/>
      </c>
      <c r="BO26" s="43" t="str">
        <f t="shared" si="25"/>
        <v/>
      </c>
      <c r="BP26" s="43" t="str">
        <f t="shared" si="26"/>
        <v/>
      </c>
      <c r="BQ26" s="43" t="str">
        <f t="shared" si="27"/>
        <v/>
      </c>
      <c r="BR26" s="10" t="str">
        <f t="shared" si="28"/>
        <v/>
      </c>
      <c r="BS26" s="10" t="str">
        <f t="shared" si="29"/>
        <v/>
      </c>
      <c r="BT26" s="10" t="str">
        <f t="shared" si="30"/>
        <v/>
      </c>
      <c r="BU26" s="10" t="str">
        <f t="shared" si="31"/>
        <v/>
      </c>
      <c r="BV26" s="10" t="str">
        <f t="shared" si="32"/>
        <v/>
      </c>
      <c r="BW26" s="10" t="str">
        <f t="shared" si="33"/>
        <v/>
      </c>
      <c r="BX26" s="10" t="str">
        <f t="shared" si="34"/>
        <v/>
      </c>
      <c r="BY26" s="10" t="str">
        <f t="shared" si="35"/>
        <v/>
      </c>
      <c r="BZ26" s="10" t="str">
        <f t="shared" si="36"/>
        <v/>
      </c>
      <c r="CA26" s="34" t="str">
        <f t="shared" si="37"/>
        <v/>
      </c>
      <c r="CB26" s="34" t="str">
        <f t="shared" si="38"/>
        <v/>
      </c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27" t="str">
        <f t="shared" si="39"/>
        <v/>
      </c>
      <c r="CX26" s="27" t="str">
        <f t="shared" si="40"/>
        <v/>
      </c>
      <c r="CY26" s="27" t="str">
        <f t="shared" si="41"/>
        <v/>
      </c>
      <c r="CZ26" s="27" t="str">
        <f t="shared" si="42"/>
        <v/>
      </c>
      <c r="DA26" s="27" t="str">
        <f t="shared" si="43"/>
        <v/>
      </c>
      <c r="DB26" s="27" t="str">
        <f t="shared" si="44"/>
        <v/>
      </c>
      <c r="DC26" s="27" t="str">
        <f t="shared" si="45"/>
        <v/>
      </c>
      <c r="DD26" s="27" t="str">
        <f t="shared" si="46"/>
        <v/>
      </c>
      <c r="DE26" s="27" t="str">
        <f t="shared" si="47"/>
        <v/>
      </c>
      <c r="DF26" s="27" t="str">
        <f t="shared" si="48"/>
        <v/>
      </c>
      <c r="DG26" s="27" t="str">
        <f t="shared" si="49"/>
        <v/>
      </c>
      <c r="DH26" s="27" t="str">
        <f t="shared" si="50"/>
        <v/>
      </c>
      <c r="DI26" s="27" t="str">
        <f t="shared" si="51"/>
        <v/>
      </c>
      <c r="DJ26" s="27" t="str">
        <f t="shared" si="52"/>
        <v/>
      </c>
      <c r="DK26" s="27" t="str">
        <f t="shared" si="53"/>
        <v/>
      </c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0" t="str">
        <f t="shared" si="54"/>
        <v/>
      </c>
      <c r="EG26" s="10" t="str">
        <f t="shared" si="55"/>
        <v/>
      </c>
      <c r="EH26" s="10" t="str">
        <f t="shared" si="56"/>
        <v/>
      </c>
      <c r="EI26" s="10" t="str">
        <f t="shared" si="57"/>
        <v/>
      </c>
      <c r="EJ26" s="10" t="str">
        <f t="shared" si="58"/>
        <v/>
      </c>
      <c r="EK26" s="10" t="str">
        <f t="shared" si="59"/>
        <v/>
      </c>
      <c r="EL26" s="10" t="str">
        <f t="shared" si="60"/>
        <v/>
      </c>
      <c r="EM26" s="10" t="str">
        <f t="shared" si="61"/>
        <v/>
      </c>
      <c r="EN26" s="10" t="str">
        <f t="shared" si="62"/>
        <v/>
      </c>
      <c r="EO26" s="10" t="str">
        <f t="shared" si="63"/>
        <v/>
      </c>
      <c r="EP26" s="10" t="str">
        <f t="shared" si="64"/>
        <v/>
      </c>
      <c r="EQ26" s="10" t="str">
        <f t="shared" si="65"/>
        <v/>
      </c>
      <c r="ER26" s="10" t="str">
        <f t="shared" si="66"/>
        <v/>
      </c>
      <c r="ES26" s="10" t="str">
        <f t="shared" si="67"/>
        <v/>
      </c>
      <c r="ET26" s="10" t="str">
        <f t="shared" si="68"/>
        <v/>
      </c>
      <c r="EU26" s="44">
        <f t="shared" si="69"/>
        <v>8.9499999999999993</v>
      </c>
      <c r="EV26" s="44">
        <f t="shared" si="70"/>
        <v>2.2000000000000002</v>
      </c>
      <c r="EW26" s="44">
        <f t="shared" si="71"/>
        <v>0.4</v>
      </c>
      <c r="EX26" s="44">
        <f t="shared" si="72"/>
        <v>0</v>
      </c>
      <c r="EY26" s="44">
        <f t="shared" si="73"/>
        <v>9.75</v>
      </c>
      <c r="EZ26" s="44">
        <f t="shared" si="74"/>
        <v>1.75</v>
      </c>
      <c r="FA26" s="44">
        <f t="shared" si="75"/>
        <v>0</v>
      </c>
      <c r="FB26" s="44">
        <f t="shared" si="76"/>
        <v>0</v>
      </c>
      <c r="FC26" s="44">
        <f t="shared" si="77"/>
        <v>7.6</v>
      </c>
      <c r="FD26" s="44">
        <f t="shared" si="78"/>
        <v>1.2</v>
      </c>
      <c r="FE26" s="44">
        <f t="shared" si="79"/>
        <v>0</v>
      </c>
      <c r="FF26" s="44">
        <f t="shared" si="80"/>
        <v>0</v>
      </c>
      <c r="FG26" s="44">
        <f t="shared" si="81"/>
        <v>9.65</v>
      </c>
      <c r="FH26" s="44">
        <f t="shared" si="82"/>
        <v>1.75</v>
      </c>
      <c r="FI26" s="44">
        <f t="shared" si="83"/>
        <v>0</v>
      </c>
      <c r="FJ26" s="44">
        <f t="shared" si="84"/>
        <v>0</v>
      </c>
      <c r="FK26" s="20" t="s">
        <v>29</v>
      </c>
      <c r="FL26" s="10">
        <f t="shared" si="85"/>
        <v>2.2000000000000002</v>
      </c>
      <c r="FM26" s="10">
        <f t="shared" si="86"/>
        <v>10.749999999999998</v>
      </c>
      <c r="FN26" s="10">
        <f t="shared" si="87"/>
        <v>1.75</v>
      </c>
      <c r="FO26" s="10">
        <f t="shared" si="88"/>
        <v>11.5</v>
      </c>
      <c r="FP26" s="10">
        <f t="shared" si="89"/>
        <v>3.95</v>
      </c>
      <c r="FQ26" s="10">
        <f t="shared" si="98"/>
        <v>22.25</v>
      </c>
      <c r="FR26" s="10">
        <f t="shared" si="99"/>
        <v>1.2</v>
      </c>
      <c r="FS26" s="10">
        <f t="shared" si="100"/>
        <v>8.7999999999999989</v>
      </c>
      <c r="FT26" s="10">
        <f t="shared" si="101"/>
        <v>1.75</v>
      </c>
      <c r="FU26" s="10">
        <f t="shared" si="102"/>
        <v>11.4</v>
      </c>
      <c r="FV26" s="10">
        <f t="shared" si="103"/>
        <v>2.95</v>
      </c>
      <c r="FW26" s="10">
        <f t="shared" si="104"/>
        <v>20.2</v>
      </c>
      <c r="FX26" s="10">
        <f t="shared" si="105"/>
        <v>42.45</v>
      </c>
    </row>
    <row r="27" spans="1:180" x14ac:dyDescent="0.2">
      <c r="A27" s="3" t="str" cm="1">
        <f t="array" ref="A27">IF(AND(H27&lt;&gt;"",H27&lt;&gt;"No DD",I27&lt;&gt;"P"),SUMPRODUCT((H$4:H$40&lt;&gt;"")*(H$4:H$40&lt;&gt;"No DD")*(I$4:I$40&lt;&gt;"P")*(E$4:E$40&gt;E27))+1,IF(H27="No DD",SUMPRODUCT((H$4:H$40="No DD")*(I$4:I$40&lt;&gt;"P")*(E$4:E$40&gt;E27))+1+SUMPRODUCT((H$4:H$40&lt;&gt;"")*(I$4:I$40&lt;&gt;"P")*(H$4:H$40&lt;&gt;"No DD")),""))</f>
        <v/>
      </c>
      <c r="B27" s="4" t="s">
        <v>168</v>
      </c>
      <c r="C27" s="3" t="s">
        <v>4</v>
      </c>
      <c r="D27" s="3">
        <v>2007</v>
      </c>
      <c r="E27" s="8">
        <f t="shared" si="0"/>
        <v>84.600006710004493</v>
      </c>
      <c r="F27" s="2" t="str">
        <f t="shared" si="1"/>
        <v/>
      </c>
      <c r="G27" s="2" t="str">
        <f t="shared" si="2"/>
        <v/>
      </c>
      <c r="H27" s="26" t="str">
        <f t="shared" si="3"/>
        <v/>
      </c>
      <c r="I27" s="2" t="str">
        <f>IF(COUNTIFS('Senior-W'!B:B,B27,'Senior-W'!A:A,"&lt;9",'Senior-W'!H:H,"&lt;&gt;"&amp;"No DD"),"P","")</f>
        <v/>
      </c>
      <c r="J27" s="7">
        <f t="shared" si="4"/>
        <v>44.900000000000006</v>
      </c>
      <c r="K27" s="7" t="str">
        <f t="shared" si="5"/>
        <v>2025 Nationals</v>
      </c>
      <c r="L27" s="7">
        <f>IF(J27=AO27,IF(COUNT(AQ27,AS27,BO27,BQ27,BU27,BW27)&gt;1,LARGE((AQ27,AS27,BO27,BQ27,BU27,BW27),1),0),IF(COUNT(AK27,AM27,AQ27,AS27,BU27,BW27)&gt;1,LARGE((AK27,AM27,AQ27,AS27,BU27,BW27),1),0))</f>
        <v>22.2</v>
      </c>
      <c r="M27" s="7" t="str">
        <f t="shared" si="6"/>
        <v>2025 Nationals</v>
      </c>
      <c r="N27" s="7">
        <f>IF(J27=AO27,IF(COUNT(AQ27,AS27,BO27,BQ27,BU27,BW27)&gt;1,LARGE((AQ27,AS27,BO27,BQ27,BU27,BW27),2),0),IF(COUNT(AK27,AM27,AQ27,AS27,BU27,BW27)&gt;1,LARGE((AK27,AM27,AQ27,AS27,BU27,BW27),2),0))</f>
        <v>17.5</v>
      </c>
      <c r="O27" s="7" t="str">
        <f t="shared" si="7"/>
        <v>2025 Nationals</v>
      </c>
      <c r="P27" s="7" t="str">
        <f t="shared" si="8"/>
        <v/>
      </c>
      <c r="Q27" s="10" t="str">
        <f t="shared" si="9"/>
        <v/>
      </c>
      <c r="R27" s="7" t="str">
        <f t="shared" si="10"/>
        <v/>
      </c>
      <c r="S27" s="39">
        <v>18.899999999999999</v>
      </c>
      <c r="T27" s="39">
        <v>3.5</v>
      </c>
      <c r="U27" s="39">
        <v>0</v>
      </c>
      <c r="V27" s="39">
        <v>0</v>
      </c>
      <c r="W27" s="39">
        <v>18.3</v>
      </c>
      <c r="X27" s="39">
        <v>4.4000000000000004</v>
      </c>
      <c r="Y27" s="39">
        <v>0.2</v>
      </c>
      <c r="Z27" s="39">
        <v>0</v>
      </c>
      <c r="AA27" s="39">
        <v>19.3</v>
      </c>
      <c r="AB27" s="39">
        <v>3.5</v>
      </c>
      <c r="AC27" s="39">
        <v>0.6</v>
      </c>
      <c r="AD27" s="39">
        <v>0</v>
      </c>
      <c r="AE27" s="39">
        <v>15.1</v>
      </c>
      <c r="AF27" s="39">
        <v>2.4</v>
      </c>
      <c r="AG27" s="39">
        <v>0</v>
      </c>
      <c r="AH27" s="39">
        <v>0</v>
      </c>
      <c r="AI27" s="19"/>
      <c r="AJ27" s="42">
        <f t="shared" si="11"/>
        <v>3.5</v>
      </c>
      <c r="AK27" s="42">
        <f t="shared" si="12"/>
        <v>22.4</v>
      </c>
      <c r="AL27" s="42">
        <f t="shared" si="13"/>
        <v>4.4000000000000004</v>
      </c>
      <c r="AM27" s="42">
        <f t="shared" si="14"/>
        <v>22.500000000000004</v>
      </c>
      <c r="AN27" s="27">
        <f t="shared" si="15"/>
        <v>7.9</v>
      </c>
      <c r="AO27" s="27">
        <f t="shared" si="16"/>
        <v>44.900000000000006</v>
      </c>
      <c r="AP27" s="27">
        <f t="shared" si="17"/>
        <v>3.5</v>
      </c>
      <c r="AQ27" s="27">
        <f t="shared" si="18"/>
        <v>22.2</v>
      </c>
      <c r="AR27" s="27">
        <f t="shared" si="19"/>
        <v>2.4</v>
      </c>
      <c r="AS27" s="27">
        <f t="shared" si="20"/>
        <v>17.5</v>
      </c>
      <c r="AT27" s="27">
        <f t="shared" si="21"/>
        <v>5.9</v>
      </c>
      <c r="AU27" s="27">
        <f t="shared" si="22"/>
        <v>39.700000000000003</v>
      </c>
      <c r="AV27" s="27">
        <f t="shared" si="23"/>
        <v>84.600000000000009</v>
      </c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20"/>
      <c r="BN27" s="43" t="str">
        <f t="shared" si="24"/>
        <v/>
      </c>
      <c r="BO27" s="43" t="str">
        <f t="shared" si="25"/>
        <v/>
      </c>
      <c r="BP27" s="43" t="str">
        <f t="shared" si="26"/>
        <v/>
      </c>
      <c r="BQ27" s="43" t="str">
        <f t="shared" si="27"/>
        <v/>
      </c>
      <c r="BR27" s="10" t="str">
        <f t="shared" si="28"/>
        <v/>
      </c>
      <c r="BS27" s="10" t="str">
        <f t="shared" si="29"/>
        <v/>
      </c>
      <c r="BT27" s="10" t="str">
        <f t="shared" si="30"/>
        <v/>
      </c>
      <c r="BU27" s="10" t="str">
        <f t="shared" si="31"/>
        <v/>
      </c>
      <c r="BV27" s="10" t="str">
        <f t="shared" si="32"/>
        <v/>
      </c>
      <c r="BW27" s="10" t="str">
        <f t="shared" si="33"/>
        <v/>
      </c>
      <c r="BX27" s="10" t="str">
        <f t="shared" si="34"/>
        <v/>
      </c>
      <c r="BY27" s="10" t="str">
        <f t="shared" si="35"/>
        <v/>
      </c>
      <c r="BZ27" s="10" t="str">
        <f t="shared" si="36"/>
        <v/>
      </c>
      <c r="CA27" s="34" t="str">
        <f t="shared" si="37"/>
        <v/>
      </c>
      <c r="CB27" s="34" t="str">
        <f t="shared" si="38"/>
        <v/>
      </c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27" t="str">
        <f t="shared" si="39"/>
        <v/>
      </c>
      <c r="CX27" s="27" t="str">
        <f t="shared" si="40"/>
        <v/>
      </c>
      <c r="CY27" s="27" t="str">
        <f t="shared" si="41"/>
        <v/>
      </c>
      <c r="CZ27" s="27" t="str">
        <f t="shared" si="42"/>
        <v/>
      </c>
      <c r="DA27" s="27" t="str">
        <f t="shared" si="43"/>
        <v/>
      </c>
      <c r="DB27" s="27" t="str">
        <f t="shared" si="44"/>
        <v/>
      </c>
      <c r="DC27" s="27" t="str">
        <f t="shared" si="45"/>
        <v/>
      </c>
      <c r="DD27" s="27" t="str">
        <f t="shared" si="46"/>
        <v/>
      </c>
      <c r="DE27" s="27" t="str">
        <f t="shared" si="47"/>
        <v/>
      </c>
      <c r="DF27" s="27" t="str">
        <f t="shared" si="48"/>
        <v/>
      </c>
      <c r="DG27" s="27" t="str">
        <f t="shared" si="49"/>
        <v/>
      </c>
      <c r="DH27" s="27" t="str">
        <f t="shared" si="50"/>
        <v/>
      </c>
      <c r="DI27" s="27" t="str">
        <f t="shared" si="51"/>
        <v/>
      </c>
      <c r="DJ27" s="27" t="str">
        <f t="shared" si="52"/>
        <v/>
      </c>
      <c r="DK27" s="27" t="str">
        <f t="shared" si="53"/>
        <v/>
      </c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0" t="str">
        <f t="shared" si="54"/>
        <v/>
      </c>
      <c r="EG27" s="10" t="str">
        <f t="shared" si="55"/>
        <v/>
      </c>
      <c r="EH27" s="10" t="str">
        <f t="shared" si="56"/>
        <v/>
      </c>
      <c r="EI27" s="10" t="str">
        <f t="shared" si="57"/>
        <v/>
      </c>
      <c r="EJ27" s="10" t="str">
        <f t="shared" si="58"/>
        <v/>
      </c>
      <c r="EK27" s="10" t="str">
        <f t="shared" si="59"/>
        <v/>
      </c>
      <c r="EL27" s="10" t="str">
        <f t="shared" si="60"/>
        <v/>
      </c>
      <c r="EM27" s="10" t="str">
        <f t="shared" si="61"/>
        <v/>
      </c>
      <c r="EN27" s="10" t="str">
        <f t="shared" si="62"/>
        <v/>
      </c>
      <c r="EO27" s="10" t="str">
        <f t="shared" si="63"/>
        <v/>
      </c>
      <c r="EP27" s="10" t="str">
        <f t="shared" si="64"/>
        <v/>
      </c>
      <c r="EQ27" s="10" t="str">
        <f t="shared" si="65"/>
        <v/>
      </c>
      <c r="ER27" s="10" t="str">
        <f t="shared" si="66"/>
        <v/>
      </c>
      <c r="ES27" s="10" t="str">
        <f t="shared" si="67"/>
        <v/>
      </c>
      <c r="ET27" s="10" t="str">
        <f t="shared" si="68"/>
        <v/>
      </c>
      <c r="EU27" s="44">
        <f t="shared" si="69"/>
        <v>9.4499999999999993</v>
      </c>
      <c r="EV27" s="44">
        <f t="shared" si="70"/>
        <v>1.75</v>
      </c>
      <c r="EW27" s="44">
        <f t="shared" si="71"/>
        <v>0</v>
      </c>
      <c r="EX27" s="44">
        <f t="shared" si="72"/>
        <v>0</v>
      </c>
      <c r="EY27" s="44">
        <f t="shared" si="73"/>
        <v>9.15</v>
      </c>
      <c r="EZ27" s="44">
        <f t="shared" si="74"/>
        <v>2.2000000000000002</v>
      </c>
      <c r="FA27" s="44">
        <f t="shared" si="75"/>
        <v>0.1</v>
      </c>
      <c r="FB27" s="44">
        <f t="shared" si="76"/>
        <v>0</v>
      </c>
      <c r="FC27" s="44">
        <f t="shared" si="77"/>
        <v>9.65</v>
      </c>
      <c r="FD27" s="44">
        <f t="shared" si="78"/>
        <v>1.75</v>
      </c>
      <c r="FE27" s="44">
        <f t="shared" si="79"/>
        <v>0.3</v>
      </c>
      <c r="FF27" s="44">
        <f t="shared" si="80"/>
        <v>0</v>
      </c>
      <c r="FG27" s="44">
        <f t="shared" si="81"/>
        <v>7.55</v>
      </c>
      <c r="FH27" s="44">
        <f t="shared" si="82"/>
        <v>1.2</v>
      </c>
      <c r="FI27" s="44">
        <f t="shared" si="83"/>
        <v>0</v>
      </c>
      <c r="FJ27" s="44">
        <f t="shared" si="84"/>
        <v>0</v>
      </c>
      <c r="FK27" s="20" t="s">
        <v>29</v>
      </c>
      <c r="FL27" s="10">
        <f t="shared" si="85"/>
        <v>1.75</v>
      </c>
      <c r="FM27" s="10">
        <f t="shared" si="86"/>
        <v>11.2</v>
      </c>
      <c r="FN27" s="10">
        <f t="shared" si="87"/>
        <v>2.2000000000000002</v>
      </c>
      <c r="FO27" s="10">
        <f t="shared" si="88"/>
        <v>11.250000000000002</v>
      </c>
      <c r="FP27" s="10">
        <f t="shared" si="89"/>
        <v>3.95</v>
      </c>
      <c r="FQ27" s="10">
        <f t="shared" si="98"/>
        <v>22.450000000000003</v>
      </c>
      <c r="FR27" s="10">
        <f t="shared" si="99"/>
        <v>1.75</v>
      </c>
      <c r="FS27" s="10">
        <f t="shared" si="100"/>
        <v>11.1</v>
      </c>
      <c r="FT27" s="10">
        <f t="shared" si="101"/>
        <v>1.2</v>
      </c>
      <c r="FU27" s="10">
        <f t="shared" si="102"/>
        <v>8.75</v>
      </c>
      <c r="FV27" s="10">
        <f t="shared" si="103"/>
        <v>2.95</v>
      </c>
      <c r="FW27" s="10">
        <f t="shared" si="104"/>
        <v>19.850000000000001</v>
      </c>
      <c r="FX27" s="10">
        <f t="shared" si="105"/>
        <v>42.300000000000004</v>
      </c>
    </row>
    <row r="28" spans="1:180" x14ac:dyDescent="0.2">
      <c r="A28" s="3" t="str" cm="1">
        <f t="array" ref="A28">IF(AND(H28&lt;&gt;"",H28&lt;&gt;"No DD",I28&lt;&gt;"P"),SUMPRODUCT((H$4:H$40&lt;&gt;"")*(H$4:H$40&lt;&gt;"No DD")*(I$4:I$40&lt;&gt;"P")*(E$4:E$40&gt;E28))+1,IF(H28="No DD",SUMPRODUCT((H$4:H$40="No DD")*(I$4:I$40&lt;&gt;"P")*(E$4:E$40&gt;E28))+1+SUMPRODUCT((H$4:H$40&lt;&gt;"")*(I$4:I$40&lt;&gt;"P")*(H$4:H$40&lt;&gt;"No DD")),""))</f>
        <v/>
      </c>
      <c r="B28" s="4" t="s">
        <v>141</v>
      </c>
      <c r="C28" s="3" t="s">
        <v>5</v>
      </c>
      <c r="D28" s="3">
        <v>2008</v>
      </c>
      <c r="E28" s="8">
        <f t="shared" si="0"/>
        <v>79.900006220004414</v>
      </c>
      <c r="F28" s="2" t="str">
        <f t="shared" si="1"/>
        <v/>
      </c>
      <c r="G28" s="2" t="str">
        <f t="shared" si="2"/>
        <v/>
      </c>
      <c r="H28" s="26" t="str">
        <f t="shared" si="3"/>
        <v/>
      </c>
      <c r="I28" s="2" t="str">
        <f>IF(COUNTIFS('Senior-W'!B:B,B28,'Senior-W'!A:A,"&lt;9",'Senior-W'!H:H,"&lt;&gt;"&amp;"No DD"),"P","")</f>
        <v/>
      </c>
      <c r="J28" s="7">
        <f t="shared" si="4"/>
        <v>44.1</v>
      </c>
      <c r="K28" s="7" t="str">
        <f t="shared" si="5"/>
        <v>2025 Nationals</v>
      </c>
      <c r="L28" s="7">
        <f>IF(J28=AO28,IF(COUNT(AQ28,AS28,BO28,BQ28,BU28,BW28)&gt;1,LARGE((AQ28,AS28,BO28,BQ28,BU28,BW28),1),0),IF(COUNT(AK28,AM28,AQ28,AS28,BU28,BW28)&gt;1,LARGE((AK28,AM28,AQ28,AS28,BU28,BW28),1),0))</f>
        <v>18.100000000000001</v>
      </c>
      <c r="M28" s="7" t="str">
        <f t="shared" si="6"/>
        <v>2025 3rd Domestic Trial</v>
      </c>
      <c r="N28" s="7">
        <f>IF(J28=AO28,IF(COUNT(AQ28,AS28,BO28,BQ28,BU28,BW28)&gt;1,LARGE((AQ28,AS28,BO28,BQ28,BU28,BW28),2),0),IF(COUNT(AK28,AM28,AQ28,AS28,BU28,BW28)&gt;1,LARGE((AK28,AM28,AQ28,AS28,BU28,BW28),2),0))</f>
        <v>17.7</v>
      </c>
      <c r="O28" s="7" t="str">
        <f t="shared" si="7"/>
        <v>2025 3rd Domestic Trial</v>
      </c>
      <c r="P28" s="7" t="str">
        <f t="shared" si="8"/>
        <v/>
      </c>
      <c r="Q28" s="10" t="str">
        <f t="shared" si="9"/>
        <v/>
      </c>
      <c r="R28" s="7" t="str">
        <f t="shared" si="10"/>
        <v/>
      </c>
      <c r="S28" s="39">
        <v>16.600000000000001</v>
      </c>
      <c r="T28" s="39">
        <v>6</v>
      </c>
      <c r="U28" s="39">
        <v>0.6</v>
      </c>
      <c r="V28" s="39">
        <v>0</v>
      </c>
      <c r="W28" s="39">
        <v>18.3</v>
      </c>
      <c r="X28" s="39">
        <v>4.8</v>
      </c>
      <c r="Y28" s="39">
        <v>1</v>
      </c>
      <c r="Z28" s="39">
        <v>0</v>
      </c>
      <c r="AA28" s="39"/>
      <c r="AB28" s="39"/>
      <c r="AC28" s="39"/>
      <c r="AD28" s="39"/>
      <c r="AE28" s="39"/>
      <c r="AF28" s="39"/>
      <c r="AG28" s="39"/>
      <c r="AH28" s="39"/>
      <c r="AI28" s="19"/>
      <c r="AJ28" s="42">
        <f t="shared" si="11"/>
        <v>6</v>
      </c>
      <c r="AK28" s="42">
        <f t="shared" si="12"/>
        <v>22</v>
      </c>
      <c r="AL28" s="42">
        <f t="shared" si="13"/>
        <v>4.8</v>
      </c>
      <c r="AM28" s="42">
        <f t="shared" si="14"/>
        <v>22.1</v>
      </c>
      <c r="AN28" s="27">
        <f t="shared" si="15"/>
        <v>10.8</v>
      </c>
      <c r="AO28" s="27">
        <f t="shared" si="16"/>
        <v>44.1</v>
      </c>
      <c r="AP28" s="27" t="str">
        <f t="shared" si="17"/>
        <v/>
      </c>
      <c r="AQ28" s="27" t="str">
        <f t="shared" si="18"/>
        <v/>
      </c>
      <c r="AR28" s="27" t="str">
        <f t="shared" si="19"/>
        <v/>
      </c>
      <c r="AS28" s="27" t="str">
        <f t="shared" si="20"/>
        <v/>
      </c>
      <c r="AT28" s="27" t="str">
        <f t="shared" si="21"/>
        <v/>
      </c>
      <c r="AU28" s="27" t="str">
        <f t="shared" si="22"/>
        <v/>
      </c>
      <c r="AV28" s="27">
        <f t="shared" si="23"/>
        <v>44.1</v>
      </c>
      <c r="AW28" s="15">
        <v>15.3</v>
      </c>
      <c r="AX28" s="15">
        <v>2.4</v>
      </c>
      <c r="AY28" s="15">
        <v>0</v>
      </c>
      <c r="AZ28" s="15">
        <v>0</v>
      </c>
      <c r="BA28" s="15">
        <v>15.3</v>
      </c>
      <c r="BB28" s="15">
        <v>2.8</v>
      </c>
      <c r="BC28" s="15">
        <v>0</v>
      </c>
      <c r="BD28" s="15">
        <v>0</v>
      </c>
      <c r="BE28" s="15"/>
      <c r="BF28" s="15"/>
      <c r="BG28" s="15"/>
      <c r="BH28" s="15"/>
      <c r="BI28" s="15"/>
      <c r="BJ28" s="15"/>
      <c r="BK28" s="15"/>
      <c r="BL28" s="15"/>
      <c r="BM28" s="20"/>
      <c r="BN28" s="43">
        <f t="shared" si="24"/>
        <v>2.4</v>
      </c>
      <c r="BO28" s="43">
        <f t="shared" si="25"/>
        <v>17.7</v>
      </c>
      <c r="BP28" s="43">
        <f t="shared" si="26"/>
        <v>2.8</v>
      </c>
      <c r="BQ28" s="43">
        <f t="shared" si="27"/>
        <v>18.100000000000001</v>
      </c>
      <c r="BR28" s="10">
        <f t="shared" si="28"/>
        <v>5.1999999999999993</v>
      </c>
      <c r="BS28" s="10">
        <f t="shared" si="29"/>
        <v>35.799999999999997</v>
      </c>
      <c r="BT28" s="10" t="str">
        <f t="shared" si="30"/>
        <v/>
      </c>
      <c r="BU28" s="10" t="str">
        <f t="shared" si="31"/>
        <v/>
      </c>
      <c r="BV28" s="10" t="str">
        <f t="shared" si="32"/>
        <v/>
      </c>
      <c r="BW28" s="10" t="str">
        <f t="shared" si="33"/>
        <v/>
      </c>
      <c r="BX28" s="10" t="str">
        <f t="shared" si="34"/>
        <v/>
      </c>
      <c r="BY28" s="10" t="str">
        <f t="shared" si="35"/>
        <v/>
      </c>
      <c r="BZ28" s="10">
        <f t="shared" si="36"/>
        <v>35.799999999999997</v>
      </c>
      <c r="CA28" s="34" t="str">
        <f t="shared" si="37"/>
        <v/>
      </c>
      <c r="CB28" s="34" t="str">
        <f t="shared" si="38"/>
        <v/>
      </c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27" t="str">
        <f t="shared" si="39"/>
        <v/>
      </c>
      <c r="CX28" s="27" t="str">
        <f t="shared" si="40"/>
        <v/>
      </c>
      <c r="CY28" s="27" t="str">
        <f t="shared" si="41"/>
        <v/>
      </c>
      <c r="CZ28" s="27" t="str">
        <f t="shared" si="42"/>
        <v/>
      </c>
      <c r="DA28" s="27" t="str">
        <f t="shared" si="43"/>
        <v/>
      </c>
      <c r="DB28" s="27" t="str">
        <f t="shared" si="44"/>
        <v/>
      </c>
      <c r="DC28" s="27" t="str">
        <f t="shared" si="45"/>
        <v/>
      </c>
      <c r="DD28" s="27" t="str">
        <f t="shared" si="46"/>
        <v/>
      </c>
      <c r="DE28" s="27" t="str">
        <f t="shared" si="47"/>
        <v/>
      </c>
      <c r="DF28" s="27" t="str">
        <f t="shared" si="48"/>
        <v/>
      </c>
      <c r="DG28" s="27" t="str">
        <f t="shared" si="49"/>
        <v/>
      </c>
      <c r="DH28" s="27" t="str">
        <f t="shared" si="50"/>
        <v/>
      </c>
      <c r="DI28" s="27" t="str">
        <f t="shared" si="51"/>
        <v/>
      </c>
      <c r="DJ28" s="27" t="str">
        <f t="shared" si="52"/>
        <v/>
      </c>
      <c r="DK28" s="27" t="str">
        <f t="shared" si="53"/>
        <v/>
      </c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0" t="str">
        <f t="shared" si="54"/>
        <v/>
      </c>
      <c r="EG28" s="10" t="str">
        <f t="shared" si="55"/>
        <v/>
      </c>
      <c r="EH28" s="10" t="str">
        <f t="shared" si="56"/>
        <v/>
      </c>
      <c r="EI28" s="10" t="str">
        <f t="shared" si="57"/>
        <v/>
      </c>
      <c r="EJ28" s="10" t="str">
        <f t="shared" si="58"/>
        <v/>
      </c>
      <c r="EK28" s="10" t="str">
        <f t="shared" si="59"/>
        <v/>
      </c>
      <c r="EL28" s="10" t="str">
        <f t="shared" si="60"/>
        <v/>
      </c>
      <c r="EM28" s="10" t="str">
        <f t="shared" si="61"/>
        <v/>
      </c>
      <c r="EN28" s="10" t="str">
        <f t="shared" si="62"/>
        <v/>
      </c>
      <c r="EO28" s="10" t="str">
        <f t="shared" si="63"/>
        <v/>
      </c>
      <c r="EP28" s="10" t="str">
        <f t="shared" si="64"/>
        <v/>
      </c>
      <c r="EQ28" s="10" t="str">
        <f t="shared" si="65"/>
        <v/>
      </c>
      <c r="ER28" s="10" t="str">
        <f t="shared" si="66"/>
        <v/>
      </c>
      <c r="ES28" s="10" t="str">
        <f t="shared" si="67"/>
        <v/>
      </c>
      <c r="ET28" s="10" t="str">
        <f t="shared" si="68"/>
        <v/>
      </c>
      <c r="EU28" s="44">
        <f t="shared" si="69"/>
        <v>15.950000000000001</v>
      </c>
      <c r="EV28" s="44">
        <f t="shared" si="70"/>
        <v>4.2</v>
      </c>
      <c r="EW28" s="44">
        <f t="shared" si="71"/>
        <v>0.3</v>
      </c>
      <c r="EX28" s="44">
        <f t="shared" si="72"/>
        <v>0</v>
      </c>
      <c r="EY28" s="44">
        <f t="shared" si="73"/>
        <v>16.8</v>
      </c>
      <c r="EZ28" s="44">
        <f t="shared" si="74"/>
        <v>3.8</v>
      </c>
      <c r="FA28" s="44">
        <f t="shared" si="75"/>
        <v>0.5</v>
      </c>
      <c r="FB28" s="44">
        <f t="shared" si="76"/>
        <v>0</v>
      </c>
      <c r="FC28" s="44">
        <f t="shared" si="77"/>
        <v>0</v>
      </c>
      <c r="FD28" s="44">
        <f t="shared" si="78"/>
        <v>0</v>
      </c>
      <c r="FE28" s="44">
        <f t="shared" si="79"/>
        <v>0</v>
      </c>
      <c r="FF28" s="44">
        <f t="shared" si="80"/>
        <v>0</v>
      </c>
      <c r="FG28" s="44">
        <f t="shared" si="81"/>
        <v>0</v>
      </c>
      <c r="FH28" s="44">
        <f t="shared" si="82"/>
        <v>0</v>
      </c>
      <c r="FI28" s="44">
        <f t="shared" si="83"/>
        <v>0</v>
      </c>
      <c r="FJ28" s="44">
        <f t="shared" si="84"/>
        <v>0</v>
      </c>
      <c r="FK28" s="20" t="s">
        <v>29</v>
      </c>
      <c r="FL28" s="10">
        <f t="shared" si="85"/>
        <v>4.2</v>
      </c>
      <c r="FM28" s="10">
        <f t="shared" si="86"/>
        <v>19.850000000000001</v>
      </c>
      <c r="FN28" s="10">
        <f t="shared" si="87"/>
        <v>3.8</v>
      </c>
      <c r="FO28" s="10">
        <f t="shared" si="88"/>
        <v>20.100000000000001</v>
      </c>
      <c r="FP28" s="10">
        <f t="shared" si="89"/>
        <v>8</v>
      </c>
      <c r="FQ28" s="10">
        <f t="shared" si="98"/>
        <v>39.950000000000003</v>
      </c>
      <c r="FR28" s="10">
        <f t="shared" si="99"/>
        <v>0</v>
      </c>
      <c r="FS28" s="10">
        <f t="shared" si="100"/>
        <v>0</v>
      </c>
      <c r="FT28" s="10">
        <f t="shared" si="101"/>
        <v>0</v>
      </c>
      <c r="FU28" s="10">
        <f t="shared" si="102"/>
        <v>0</v>
      </c>
      <c r="FV28" s="10" t="str">
        <f t="shared" si="103"/>
        <v/>
      </c>
      <c r="FW28" s="10" t="str">
        <f t="shared" si="104"/>
        <v/>
      </c>
      <c r="FX28" s="10">
        <f t="shared" si="105"/>
        <v>39.950000000000003</v>
      </c>
    </row>
    <row r="29" spans="1:180" x14ac:dyDescent="0.2">
      <c r="A29" s="3" t="str" cm="1">
        <f t="array" ref="A29">IF(AND(H29&lt;&gt;"",H29&lt;&gt;"No DD",I29&lt;&gt;"P"),SUMPRODUCT((H$4:H$40&lt;&gt;"")*(H$4:H$40&lt;&gt;"No DD")*(I$4:I$40&lt;&gt;"P")*(E$4:E$40&gt;E29))+1,IF(H29="No DD",SUMPRODUCT((H$4:H$40="No DD")*(I$4:I$40&lt;&gt;"P")*(E$4:E$40&gt;E29))+1+SUMPRODUCT((H$4:H$40&lt;&gt;"")*(I$4:I$40&lt;&gt;"P")*(H$4:H$40&lt;&gt;"No DD")),""))</f>
        <v/>
      </c>
      <c r="B29" s="4" t="s">
        <v>174</v>
      </c>
      <c r="C29" s="3" t="s">
        <v>5</v>
      </c>
      <c r="D29" s="3">
        <v>2009</v>
      </c>
      <c r="E29" s="8">
        <f t="shared" si="0"/>
        <v>78.100006180004442</v>
      </c>
      <c r="F29" s="2" t="str">
        <f t="shared" si="1"/>
        <v/>
      </c>
      <c r="G29" s="2" t="str">
        <f t="shared" si="2"/>
        <v/>
      </c>
      <c r="H29" s="26" t="str">
        <f t="shared" si="3"/>
        <v/>
      </c>
      <c r="I29" s="2" t="str">
        <f>IF(COUNTIFS('Senior-W'!B:B,B29,'Senior-W'!A:A,"&lt;9",'Senior-W'!H:H,"&lt;&gt;"&amp;"No DD"),"P","")</f>
        <v/>
      </c>
      <c r="J29" s="7">
        <f t="shared" si="4"/>
        <v>44.400000000000006</v>
      </c>
      <c r="K29" s="7" t="str">
        <f t="shared" si="5"/>
        <v>2025 Nationals</v>
      </c>
      <c r="L29" s="7">
        <f>IF(J29=AO29,IF(COUNT(AQ29,AS29,BO29,BQ29,BU29,BW29)&gt;1,LARGE((AQ29,AS29,BO29,BQ29,BU29,BW29),1),0),IF(COUNT(AK29,AM29,AQ29,AS29,BU29,BW29)&gt;1,LARGE((AK29,AM29,AQ29,AS29,BU29,BW29),1),0))</f>
        <v>17.399999999999999</v>
      </c>
      <c r="M29" s="7" t="str">
        <f t="shared" si="6"/>
        <v>2025 Nationals</v>
      </c>
      <c r="N29" s="7">
        <f>IF(J29=AO29,IF(COUNT(AQ29,AS29,BO29,BQ29,BU29,BW29)&gt;1,LARGE((AQ29,AS29,BO29,BQ29,BU29,BW29),2),0),IF(COUNT(AK29,AM29,AQ29,AS29,BU29,BW29)&gt;1,LARGE((AK29,AM29,AQ29,AS29,BU29,BW29),2),0))</f>
        <v>16.3</v>
      </c>
      <c r="O29" s="7" t="str">
        <f t="shared" si="7"/>
        <v>2025 Nationals</v>
      </c>
      <c r="P29" s="7" t="str">
        <f t="shared" si="8"/>
        <v/>
      </c>
      <c r="Q29" s="10" t="str">
        <f t="shared" si="9"/>
        <v/>
      </c>
      <c r="R29" s="7" t="str">
        <f t="shared" si="10"/>
        <v/>
      </c>
      <c r="S29" s="39">
        <v>18.5</v>
      </c>
      <c r="T29" s="39">
        <v>3.5</v>
      </c>
      <c r="U29" s="39">
        <v>0.2</v>
      </c>
      <c r="V29" s="39">
        <v>0</v>
      </c>
      <c r="W29" s="39">
        <v>18.2</v>
      </c>
      <c r="X29" s="39">
        <v>4.4000000000000004</v>
      </c>
      <c r="Y29" s="39">
        <v>0</v>
      </c>
      <c r="Z29" s="39">
        <v>0</v>
      </c>
      <c r="AA29" s="39">
        <v>15.6</v>
      </c>
      <c r="AB29" s="39">
        <v>0.7</v>
      </c>
      <c r="AC29" s="39">
        <v>0</v>
      </c>
      <c r="AD29" s="39">
        <v>0</v>
      </c>
      <c r="AE29" s="39">
        <v>15</v>
      </c>
      <c r="AF29" s="39">
        <v>2.4</v>
      </c>
      <c r="AG29" s="39">
        <v>0</v>
      </c>
      <c r="AH29" s="39">
        <v>0</v>
      </c>
      <c r="AI29" s="19"/>
      <c r="AJ29" s="42">
        <f t="shared" si="11"/>
        <v>3.5</v>
      </c>
      <c r="AK29" s="42">
        <f t="shared" si="12"/>
        <v>21.8</v>
      </c>
      <c r="AL29" s="42">
        <f t="shared" si="13"/>
        <v>4.4000000000000004</v>
      </c>
      <c r="AM29" s="42">
        <f t="shared" si="14"/>
        <v>22.6</v>
      </c>
      <c r="AN29" s="27">
        <f t="shared" si="15"/>
        <v>7.9</v>
      </c>
      <c r="AO29" s="27">
        <f t="shared" si="16"/>
        <v>44.400000000000006</v>
      </c>
      <c r="AP29" s="27">
        <f t="shared" si="17"/>
        <v>0.7</v>
      </c>
      <c r="AQ29" s="27">
        <f t="shared" si="18"/>
        <v>16.3</v>
      </c>
      <c r="AR29" s="27">
        <f t="shared" si="19"/>
        <v>2.4</v>
      </c>
      <c r="AS29" s="27">
        <f t="shared" si="20"/>
        <v>17.399999999999999</v>
      </c>
      <c r="AT29" s="27">
        <f t="shared" si="21"/>
        <v>3.0999999999999996</v>
      </c>
      <c r="AU29" s="27">
        <f t="shared" si="22"/>
        <v>33.700000000000003</v>
      </c>
      <c r="AV29" s="27">
        <f t="shared" si="23"/>
        <v>78.100000000000009</v>
      </c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20"/>
      <c r="BN29" s="43" t="str">
        <f t="shared" si="24"/>
        <v/>
      </c>
      <c r="BO29" s="43" t="str">
        <f t="shared" si="25"/>
        <v/>
      </c>
      <c r="BP29" s="43" t="str">
        <f t="shared" si="26"/>
        <v/>
      </c>
      <c r="BQ29" s="43" t="str">
        <f t="shared" si="27"/>
        <v/>
      </c>
      <c r="BR29" s="10" t="str">
        <f t="shared" si="28"/>
        <v/>
      </c>
      <c r="BS29" s="10" t="str">
        <f t="shared" si="29"/>
        <v/>
      </c>
      <c r="BT29" s="10" t="str">
        <f t="shared" si="30"/>
        <v/>
      </c>
      <c r="BU29" s="10" t="str">
        <f t="shared" si="31"/>
        <v/>
      </c>
      <c r="BV29" s="10" t="str">
        <f t="shared" si="32"/>
        <v/>
      </c>
      <c r="BW29" s="10" t="str">
        <f t="shared" si="33"/>
        <v/>
      </c>
      <c r="BX29" s="10" t="str">
        <f t="shared" si="34"/>
        <v/>
      </c>
      <c r="BY29" s="10" t="str">
        <f t="shared" si="35"/>
        <v/>
      </c>
      <c r="BZ29" s="10" t="str">
        <f t="shared" si="36"/>
        <v/>
      </c>
      <c r="CA29" s="34" t="str">
        <f t="shared" si="37"/>
        <v/>
      </c>
      <c r="CB29" s="34" t="str">
        <f t="shared" si="38"/>
        <v/>
      </c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27" t="str">
        <f t="shared" si="39"/>
        <v/>
      </c>
      <c r="CX29" s="27" t="str">
        <f t="shared" si="40"/>
        <v/>
      </c>
      <c r="CY29" s="27" t="str">
        <f t="shared" si="41"/>
        <v/>
      </c>
      <c r="CZ29" s="27" t="str">
        <f t="shared" si="42"/>
        <v/>
      </c>
      <c r="DA29" s="27" t="str">
        <f t="shared" si="43"/>
        <v/>
      </c>
      <c r="DB29" s="27" t="str">
        <f t="shared" si="44"/>
        <v/>
      </c>
      <c r="DC29" s="27" t="str">
        <f t="shared" si="45"/>
        <v/>
      </c>
      <c r="DD29" s="27" t="str">
        <f t="shared" si="46"/>
        <v/>
      </c>
      <c r="DE29" s="27" t="str">
        <f t="shared" si="47"/>
        <v/>
      </c>
      <c r="DF29" s="27" t="str">
        <f t="shared" si="48"/>
        <v/>
      </c>
      <c r="DG29" s="27" t="str">
        <f t="shared" si="49"/>
        <v/>
      </c>
      <c r="DH29" s="27" t="str">
        <f t="shared" si="50"/>
        <v/>
      </c>
      <c r="DI29" s="27" t="str">
        <f t="shared" si="51"/>
        <v/>
      </c>
      <c r="DJ29" s="27" t="str">
        <f t="shared" si="52"/>
        <v/>
      </c>
      <c r="DK29" s="27" t="str">
        <f t="shared" si="53"/>
        <v/>
      </c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0" t="str">
        <f t="shared" si="54"/>
        <v/>
      </c>
      <c r="EG29" s="10" t="str">
        <f t="shared" si="55"/>
        <v/>
      </c>
      <c r="EH29" s="10" t="str">
        <f t="shared" si="56"/>
        <v/>
      </c>
      <c r="EI29" s="10" t="str">
        <f t="shared" si="57"/>
        <v/>
      </c>
      <c r="EJ29" s="10" t="str">
        <f t="shared" si="58"/>
        <v/>
      </c>
      <c r="EK29" s="10" t="str">
        <f t="shared" si="59"/>
        <v/>
      </c>
      <c r="EL29" s="10" t="str">
        <f t="shared" si="60"/>
        <v/>
      </c>
      <c r="EM29" s="10" t="str">
        <f t="shared" si="61"/>
        <v/>
      </c>
      <c r="EN29" s="10" t="str">
        <f t="shared" si="62"/>
        <v/>
      </c>
      <c r="EO29" s="10" t="str">
        <f t="shared" si="63"/>
        <v/>
      </c>
      <c r="EP29" s="10" t="str">
        <f t="shared" si="64"/>
        <v/>
      </c>
      <c r="EQ29" s="10" t="str">
        <f t="shared" si="65"/>
        <v/>
      </c>
      <c r="ER29" s="10" t="str">
        <f t="shared" si="66"/>
        <v/>
      </c>
      <c r="ES29" s="10" t="str">
        <f t="shared" si="67"/>
        <v/>
      </c>
      <c r="ET29" s="10" t="str">
        <f t="shared" si="68"/>
        <v/>
      </c>
      <c r="EU29" s="44">
        <f t="shared" si="69"/>
        <v>9.25</v>
      </c>
      <c r="EV29" s="44">
        <f t="shared" si="70"/>
        <v>1.75</v>
      </c>
      <c r="EW29" s="44">
        <f t="shared" si="71"/>
        <v>0.1</v>
      </c>
      <c r="EX29" s="44">
        <f t="shared" si="72"/>
        <v>0</v>
      </c>
      <c r="EY29" s="44">
        <f t="shared" si="73"/>
        <v>9.1</v>
      </c>
      <c r="EZ29" s="44">
        <f t="shared" si="74"/>
        <v>2.2000000000000002</v>
      </c>
      <c r="FA29" s="44">
        <f t="shared" si="75"/>
        <v>0</v>
      </c>
      <c r="FB29" s="44">
        <f t="shared" si="76"/>
        <v>0</v>
      </c>
      <c r="FC29" s="44">
        <f t="shared" si="77"/>
        <v>7.8</v>
      </c>
      <c r="FD29" s="44">
        <f t="shared" si="78"/>
        <v>0.35</v>
      </c>
      <c r="FE29" s="44">
        <f t="shared" si="79"/>
        <v>0</v>
      </c>
      <c r="FF29" s="44">
        <f t="shared" si="80"/>
        <v>0</v>
      </c>
      <c r="FG29" s="44">
        <f t="shared" si="81"/>
        <v>7.5</v>
      </c>
      <c r="FH29" s="44">
        <f t="shared" si="82"/>
        <v>1.2</v>
      </c>
      <c r="FI29" s="44">
        <f t="shared" si="83"/>
        <v>0</v>
      </c>
      <c r="FJ29" s="44">
        <f t="shared" si="84"/>
        <v>0</v>
      </c>
      <c r="FK29" s="20" t="s">
        <v>29</v>
      </c>
      <c r="FL29" s="10">
        <f t="shared" si="85"/>
        <v>1.75</v>
      </c>
      <c r="FM29" s="10">
        <f t="shared" si="86"/>
        <v>10.9</v>
      </c>
      <c r="FN29" s="10">
        <f t="shared" si="87"/>
        <v>2.2000000000000002</v>
      </c>
      <c r="FO29" s="10">
        <f t="shared" si="88"/>
        <v>11.3</v>
      </c>
      <c r="FP29" s="10">
        <f t="shared" si="89"/>
        <v>3.95</v>
      </c>
      <c r="FQ29" s="10">
        <f t="shared" si="98"/>
        <v>22.200000000000003</v>
      </c>
      <c r="FR29" s="10">
        <f t="shared" si="99"/>
        <v>0.35</v>
      </c>
      <c r="FS29" s="10">
        <f t="shared" si="100"/>
        <v>8.15</v>
      </c>
      <c r="FT29" s="10">
        <f t="shared" si="101"/>
        <v>1.2</v>
      </c>
      <c r="FU29" s="10">
        <f t="shared" si="102"/>
        <v>8.6999999999999993</v>
      </c>
      <c r="FV29" s="10">
        <f t="shared" si="103"/>
        <v>1.5499999999999998</v>
      </c>
      <c r="FW29" s="10">
        <f t="shared" si="104"/>
        <v>16.850000000000001</v>
      </c>
      <c r="FX29" s="10">
        <f t="shared" si="105"/>
        <v>39.050000000000004</v>
      </c>
    </row>
    <row r="30" spans="1:180" x14ac:dyDescent="0.2">
      <c r="A30" s="3" t="str" cm="1">
        <f t="array" ref="A30">IF(AND(H30&lt;&gt;"",H30&lt;&gt;"No DD",I30&lt;&gt;"P"),SUMPRODUCT((H$4:H$40&lt;&gt;"")*(H$4:H$40&lt;&gt;"No DD")*(I$4:I$40&lt;&gt;"P")*(E$4:E$40&gt;E30))+1,IF(H30="No DD",SUMPRODUCT((H$4:H$40="No DD")*(I$4:I$40&lt;&gt;"P")*(E$4:E$40&gt;E30))+1+SUMPRODUCT((H$4:H$40&lt;&gt;"")*(I$4:I$40&lt;&gt;"P")*(H$4:H$40&lt;&gt;"No DD")),""))</f>
        <v/>
      </c>
      <c r="B30" s="4" t="s">
        <v>170</v>
      </c>
      <c r="C30" s="3" t="s">
        <v>4</v>
      </c>
      <c r="D30" s="3">
        <v>2005</v>
      </c>
      <c r="E30" s="8">
        <f t="shared" si="0"/>
        <v>60.900006090004375</v>
      </c>
      <c r="F30" s="2" t="str">
        <f t="shared" si="1"/>
        <v/>
      </c>
      <c r="G30" s="2" t="str">
        <f t="shared" si="2"/>
        <v/>
      </c>
      <c r="H30" s="26" t="str">
        <f t="shared" si="3"/>
        <v/>
      </c>
      <c r="I30" s="2" t="str">
        <f>IF(COUNTIFS('Senior-W'!B:B,B30,'Senior-W'!A:A,"&lt;9",'Senior-W'!H:H,"&lt;&gt;"&amp;"No DD"),"P","")</f>
        <v/>
      </c>
      <c r="J30" s="7">
        <f t="shared" si="4"/>
        <v>43.8</v>
      </c>
      <c r="K30" s="7" t="str">
        <f t="shared" si="5"/>
        <v>2025 Nationals</v>
      </c>
      <c r="L30" s="7">
        <f>IF(J30=AO30,IF(COUNT(AQ30,AS30,BO30,BQ30,BU30,BW30)&gt;1,LARGE((AQ30,AS30,BO30,BQ30,BU30,BW30),1),0),IF(COUNT(AK30,AM30,AQ30,AS30,BU30,BW30)&gt;1,LARGE((AK30,AM30,AQ30,AS30,BU30,BW30),1),0))</f>
        <v>17.100000000000001</v>
      </c>
      <c r="M30" s="7" t="str">
        <f t="shared" si="6"/>
        <v>2025 Nationals</v>
      </c>
      <c r="N30" s="7">
        <f>IF(J30=AO30,IF(COUNT(AQ30,AS30,BO30,BQ30,BU30,BW30)&gt;1,LARGE((AQ30,AS30,BO30,BQ30,BU30,BW30),2),0),IF(COUNT(AK30,AM30,AQ30,AS30,BU30,BW30)&gt;1,LARGE((AK30,AM30,AQ30,AS30,BU30,BW30),2),0))</f>
        <v>0</v>
      </c>
      <c r="O30" s="7" t="str">
        <f t="shared" si="7"/>
        <v/>
      </c>
      <c r="P30" s="7" t="str">
        <f t="shared" si="8"/>
        <v/>
      </c>
      <c r="Q30" s="10" t="str">
        <f t="shared" si="9"/>
        <v/>
      </c>
      <c r="R30" s="7" t="str">
        <f t="shared" si="10"/>
        <v/>
      </c>
      <c r="S30" s="39">
        <v>18.2</v>
      </c>
      <c r="T30" s="39">
        <v>4.4000000000000004</v>
      </c>
      <c r="U30" s="39">
        <v>0.2</v>
      </c>
      <c r="V30" s="39">
        <v>0</v>
      </c>
      <c r="W30" s="39">
        <v>18.3</v>
      </c>
      <c r="X30" s="39">
        <v>3.7</v>
      </c>
      <c r="Y30" s="39">
        <v>0.6</v>
      </c>
      <c r="Z30" s="39">
        <v>0</v>
      </c>
      <c r="AA30" s="39">
        <v>0</v>
      </c>
      <c r="AB30" s="39">
        <v>0</v>
      </c>
      <c r="AC30" s="39">
        <v>0</v>
      </c>
      <c r="AD30" s="39">
        <v>0</v>
      </c>
      <c r="AE30" s="39">
        <v>15.1</v>
      </c>
      <c r="AF30" s="39">
        <v>2</v>
      </c>
      <c r="AG30" s="39">
        <v>0</v>
      </c>
      <c r="AH30" s="39">
        <v>0</v>
      </c>
      <c r="AI30" s="19"/>
      <c r="AJ30" s="42">
        <f t="shared" si="11"/>
        <v>4.4000000000000004</v>
      </c>
      <c r="AK30" s="42">
        <f t="shared" si="12"/>
        <v>22.400000000000002</v>
      </c>
      <c r="AL30" s="42">
        <f t="shared" si="13"/>
        <v>3.7</v>
      </c>
      <c r="AM30" s="42">
        <f t="shared" si="14"/>
        <v>21.4</v>
      </c>
      <c r="AN30" s="27">
        <f t="shared" si="15"/>
        <v>8.1000000000000014</v>
      </c>
      <c r="AO30" s="27">
        <f t="shared" si="16"/>
        <v>43.8</v>
      </c>
      <c r="AP30" s="27">
        <f t="shared" si="17"/>
        <v>0</v>
      </c>
      <c r="AQ30" s="27">
        <f t="shared" si="18"/>
        <v>0</v>
      </c>
      <c r="AR30" s="27">
        <f t="shared" si="19"/>
        <v>2</v>
      </c>
      <c r="AS30" s="27">
        <f t="shared" si="20"/>
        <v>17.100000000000001</v>
      </c>
      <c r="AT30" s="27">
        <f t="shared" si="21"/>
        <v>2</v>
      </c>
      <c r="AU30" s="27">
        <f t="shared" si="22"/>
        <v>17.100000000000001</v>
      </c>
      <c r="AV30" s="27">
        <f t="shared" si="23"/>
        <v>60.9</v>
      </c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20"/>
      <c r="BN30" s="43" t="str">
        <f t="shared" si="24"/>
        <v/>
      </c>
      <c r="BO30" s="43" t="str">
        <f t="shared" si="25"/>
        <v/>
      </c>
      <c r="BP30" s="43" t="str">
        <f t="shared" si="26"/>
        <v/>
      </c>
      <c r="BQ30" s="43" t="str">
        <f t="shared" si="27"/>
        <v/>
      </c>
      <c r="BR30" s="10" t="str">
        <f t="shared" si="28"/>
        <v/>
      </c>
      <c r="BS30" s="10" t="str">
        <f t="shared" si="29"/>
        <v/>
      </c>
      <c r="BT30" s="10" t="str">
        <f t="shared" si="30"/>
        <v/>
      </c>
      <c r="BU30" s="10" t="str">
        <f t="shared" si="31"/>
        <v/>
      </c>
      <c r="BV30" s="10" t="str">
        <f t="shared" si="32"/>
        <v/>
      </c>
      <c r="BW30" s="10" t="str">
        <f t="shared" si="33"/>
        <v/>
      </c>
      <c r="BX30" s="10" t="str">
        <f t="shared" si="34"/>
        <v/>
      </c>
      <c r="BY30" s="10" t="str">
        <f t="shared" si="35"/>
        <v/>
      </c>
      <c r="BZ30" s="10" t="str">
        <f t="shared" si="36"/>
        <v/>
      </c>
      <c r="CA30" s="34" t="str">
        <f t="shared" si="37"/>
        <v/>
      </c>
      <c r="CB30" s="34" t="str">
        <f t="shared" si="38"/>
        <v/>
      </c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27" t="str">
        <f t="shared" si="39"/>
        <v/>
      </c>
      <c r="CX30" s="27" t="str">
        <f t="shared" si="40"/>
        <v/>
      </c>
      <c r="CY30" s="27" t="str">
        <f t="shared" si="41"/>
        <v/>
      </c>
      <c r="CZ30" s="27" t="str">
        <f t="shared" si="42"/>
        <v/>
      </c>
      <c r="DA30" s="27" t="str">
        <f t="shared" si="43"/>
        <v/>
      </c>
      <c r="DB30" s="27" t="str">
        <f t="shared" si="44"/>
        <v/>
      </c>
      <c r="DC30" s="27" t="str">
        <f t="shared" si="45"/>
        <v/>
      </c>
      <c r="DD30" s="27" t="str">
        <f t="shared" si="46"/>
        <v/>
      </c>
      <c r="DE30" s="27" t="str">
        <f t="shared" si="47"/>
        <v/>
      </c>
      <c r="DF30" s="27" t="str">
        <f t="shared" si="48"/>
        <v/>
      </c>
      <c r="DG30" s="27" t="str">
        <f t="shared" si="49"/>
        <v/>
      </c>
      <c r="DH30" s="27" t="str">
        <f t="shared" si="50"/>
        <v/>
      </c>
      <c r="DI30" s="27" t="str">
        <f t="shared" si="51"/>
        <v/>
      </c>
      <c r="DJ30" s="27" t="str">
        <f t="shared" si="52"/>
        <v/>
      </c>
      <c r="DK30" s="27" t="str">
        <f t="shared" si="53"/>
        <v/>
      </c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0" t="str">
        <f t="shared" si="54"/>
        <v/>
      </c>
      <c r="EG30" s="10" t="str">
        <f t="shared" si="55"/>
        <v/>
      </c>
      <c r="EH30" s="10" t="str">
        <f t="shared" si="56"/>
        <v/>
      </c>
      <c r="EI30" s="10" t="str">
        <f t="shared" si="57"/>
        <v/>
      </c>
      <c r="EJ30" s="10" t="str">
        <f t="shared" si="58"/>
        <v/>
      </c>
      <c r="EK30" s="10" t="str">
        <f t="shared" si="59"/>
        <v/>
      </c>
      <c r="EL30" s="10" t="str">
        <f t="shared" si="60"/>
        <v/>
      </c>
      <c r="EM30" s="10" t="str">
        <f t="shared" si="61"/>
        <v/>
      </c>
      <c r="EN30" s="10" t="str">
        <f t="shared" si="62"/>
        <v/>
      </c>
      <c r="EO30" s="10" t="str">
        <f t="shared" si="63"/>
        <v/>
      </c>
      <c r="EP30" s="10" t="str">
        <f t="shared" si="64"/>
        <v/>
      </c>
      <c r="EQ30" s="10" t="str">
        <f t="shared" si="65"/>
        <v/>
      </c>
      <c r="ER30" s="10" t="str">
        <f t="shared" si="66"/>
        <v/>
      </c>
      <c r="ES30" s="10" t="str">
        <f t="shared" si="67"/>
        <v/>
      </c>
      <c r="ET30" s="10" t="str">
        <f t="shared" si="68"/>
        <v/>
      </c>
      <c r="EU30" s="44">
        <f t="shared" si="69"/>
        <v>9.1</v>
      </c>
      <c r="EV30" s="44">
        <f t="shared" si="70"/>
        <v>2.2000000000000002</v>
      </c>
      <c r="EW30" s="44">
        <f t="shared" si="71"/>
        <v>0.1</v>
      </c>
      <c r="EX30" s="44">
        <f t="shared" si="72"/>
        <v>0</v>
      </c>
      <c r="EY30" s="44">
        <f t="shared" si="73"/>
        <v>9.15</v>
      </c>
      <c r="EZ30" s="44">
        <f t="shared" si="74"/>
        <v>1.85</v>
      </c>
      <c r="FA30" s="44">
        <f t="shared" si="75"/>
        <v>0.3</v>
      </c>
      <c r="FB30" s="44">
        <f t="shared" si="76"/>
        <v>0</v>
      </c>
      <c r="FC30" s="44">
        <f t="shared" si="77"/>
        <v>0</v>
      </c>
      <c r="FD30" s="44">
        <f t="shared" si="78"/>
        <v>0</v>
      </c>
      <c r="FE30" s="44">
        <f t="shared" si="79"/>
        <v>0</v>
      </c>
      <c r="FF30" s="44">
        <f t="shared" si="80"/>
        <v>0</v>
      </c>
      <c r="FG30" s="44">
        <f t="shared" si="81"/>
        <v>7.55</v>
      </c>
      <c r="FH30" s="44">
        <f t="shared" si="82"/>
        <v>1</v>
      </c>
      <c r="FI30" s="44">
        <f t="shared" si="83"/>
        <v>0</v>
      </c>
      <c r="FJ30" s="44">
        <f t="shared" si="84"/>
        <v>0</v>
      </c>
      <c r="FK30" s="20" t="s">
        <v>29</v>
      </c>
      <c r="FL30" s="10">
        <f t="shared" si="85"/>
        <v>2.2000000000000002</v>
      </c>
      <c r="FM30" s="10">
        <f t="shared" si="86"/>
        <v>11.200000000000001</v>
      </c>
      <c r="FN30" s="10">
        <f t="shared" si="87"/>
        <v>1.85</v>
      </c>
      <c r="FO30" s="10">
        <f t="shared" si="88"/>
        <v>10.7</v>
      </c>
      <c r="FP30" s="10">
        <f t="shared" si="89"/>
        <v>4.0500000000000007</v>
      </c>
      <c r="FQ30" s="10">
        <f t="shared" si="98"/>
        <v>21.9</v>
      </c>
      <c r="FR30" s="10">
        <f t="shared" si="99"/>
        <v>0</v>
      </c>
      <c r="FS30" s="10">
        <f t="shared" si="100"/>
        <v>0</v>
      </c>
      <c r="FT30" s="10">
        <f t="shared" si="101"/>
        <v>1</v>
      </c>
      <c r="FU30" s="10">
        <f t="shared" si="102"/>
        <v>8.5500000000000007</v>
      </c>
      <c r="FV30" s="10">
        <f t="shared" si="103"/>
        <v>1</v>
      </c>
      <c r="FW30" s="10">
        <f t="shared" si="104"/>
        <v>8.5500000000000007</v>
      </c>
      <c r="FX30" s="10">
        <f t="shared" si="105"/>
        <v>30.45</v>
      </c>
    </row>
    <row r="31" spans="1:180" x14ac:dyDescent="0.2">
      <c r="A31" s="3" t="str" cm="1">
        <f t="array" ref="A31">IF(AND(H31&lt;&gt;"",H31&lt;&gt;"No DD",I31&lt;&gt;"P"),SUMPRODUCT((H$4:H$40&lt;&gt;"")*(H$4:H$40&lt;&gt;"No DD")*(I$4:I$40&lt;&gt;"P")*(E$4:E$40&gt;E31))+1,IF(H31="No DD",SUMPRODUCT((H$4:H$40="No DD")*(I$4:I$40&lt;&gt;"P")*(E$4:E$40&gt;E31))+1+SUMPRODUCT((H$4:H$40&lt;&gt;"")*(I$4:I$40&lt;&gt;"P")*(H$4:H$40&lt;&gt;"No DD")),""))</f>
        <v/>
      </c>
      <c r="B31" s="4" t="s">
        <v>138</v>
      </c>
      <c r="C31" s="3" t="s">
        <v>83</v>
      </c>
      <c r="D31" s="3">
        <v>2007</v>
      </c>
      <c r="E31" s="8">
        <f t="shared" si="0"/>
        <v>44.400004440004437</v>
      </c>
      <c r="F31" s="2" t="str">
        <f t="shared" si="1"/>
        <v/>
      </c>
      <c r="G31" s="2" t="str">
        <f t="shared" si="2"/>
        <v/>
      </c>
      <c r="H31" s="26" t="str">
        <f t="shared" si="3"/>
        <v/>
      </c>
      <c r="I31" s="2" t="str">
        <f>IF(COUNTIFS('Senior-W'!B:B,B31,'Senior-W'!A:A,"&lt;9",'Senior-W'!H:H,"&lt;&gt;"&amp;"No DD"),"P","")</f>
        <v/>
      </c>
      <c r="J31" s="7">
        <f t="shared" si="4"/>
        <v>44.4</v>
      </c>
      <c r="K31" s="7" t="str">
        <f t="shared" si="5"/>
        <v>2025 Nationals</v>
      </c>
      <c r="L31" s="7">
        <f>IF(J31=AO31,IF(COUNT(AQ31,AS31,BO31,BQ31,BU31,BW31)&gt;1,LARGE((AQ31,AS31,BO31,BQ31,BU31,BW31),1),0),IF(COUNT(AK31,AM31,AQ31,AS31,BU31,BW31)&gt;1,LARGE((AK31,AM31,AQ31,AS31,BU31,BW31),1),0))</f>
        <v>0</v>
      </c>
      <c r="M31" s="7" t="str">
        <f t="shared" si="6"/>
        <v/>
      </c>
      <c r="N31" s="7">
        <f>IF(J31=AO31,IF(COUNT(AQ31,AS31,BO31,BQ31,BU31,BW31)&gt;1,LARGE((AQ31,AS31,BO31,BQ31,BU31,BW31),2),0),IF(COUNT(AK31,AM31,AQ31,AS31,BU31,BW31)&gt;1,LARGE((AK31,AM31,AQ31,AS31,BU31,BW31),2),0))</f>
        <v>0</v>
      </c>
      <c r="O31" s="7" t="str">
        <f t="shared" si="7"/>
        <v/>
      </c>
      <c r="P31" s="7" t="str">
        <f t="shared" si="8"/>
        <v/>
      </c>
      <c r="Q31" s="10" t="str">
        <f t="shared" si="9"/>
        <v/>
      </c>
      <c r="R31" s="7" t="str">
        <f t="shared" si="10"/>
        <v/>
      </c>
      <c r="S31" s="39">
        <v>18</v>
      </c>
      <c r="T31" s="39">
        <v>5.6</v>
      </c>
      <c r="U31" s="39">
        <v>0.2</v>
      </c>
      <c r="V31" s="39">
        <v>0</v>
      </c>
      <c r="W31" s="39">
        <v>16.2</v>
      </c>
      <c r="X31" s="39">
        <v>5.6</v>
      </c>
      <c r="Y31" s="39">
        <v>0.8</v>
      </c>
      <c r="Z31" s="39">
        <v>0</v>
      </c>
      <c r="AA31" s="39"/>
      <c r="AB31" s="39"/>
      <c r="AC31" s="39"/>
      <c r="AD31" s="39"/>
      <c r="AE31" s="39"/>
      <c r="AF31" s="39"/>
      <c r="AG31" s="39"/>
      <c r="AH31" s="39"/>
      <c r="AI31" s="19"/>
      <c r="AJ31" s="42">
        <f t="shared" si="11"/>
        <v>5.6</v>
      </c>
      <c r="AK31" s="42">
        <f t="shared" si="12"/>
        <v>23.400000000000002</v>
      </c>
      <c r="AL31" s="42">
        <f t="shared" si="13"/>
        <v>5.6</v>
      </c>
      <c r="AM31" s="42">
        <f t="shared" si="14"/>
        <v>20.999999999999996</v>
      </c>
      <c r="AN31" s="27">
        <f t="shared" si="15"/>
        <v>11.2</v>
      </c>
      <c r="AO31" s="27">
        <f t="shared" si="16"/>
        <v>44.4</v>
      </c>
      <c r="AP31" s="27" t="str">
        <f t="shared" si="17"/>
        <v/>
      </c>
      <c r="AQ31" s="27" t="str">
        <f t="shared" si="18"/>
        <v/>
      </c>
      <c r="AR31" s="27" t="str">
        <f t="shared" si="19"/>
        <v/>
      </c>
      <c r="AS31" s="27" t="str">
        <f t="shared" si="20"/>
        <v/>
      </c>
      <c r="AT31" s="27" t="str">
        <f t="shared" si="21"/>
        <v/>
      </c>
      <c r="AU31" s="27" t="str">
        <f t="shared" si="22"/>
        <v/>
      </c>
      <c r="AV31" s="27">
        <f t="shared" si="23"/>
        <v>44.4</v>
      </c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20"/>
      <c r="BN31" s="43" t="str">
        <f t="shared" si="24"/>
        <v/>
      </c>
      <c r="BO31" s="43" t="str">
        <f t="shared" si="25"/>
        <v/>
      </c>
      <c r="BP31" s="43" t="str">
        <f t="shared" si="26"/>
        <v/>
      </c>
      <c r="BQ31" s="43" t="str">
        <f t="shared" si="27"/>
        <v/>
      </c>
      <c r="BR31" s="10" t="str">
        <f t="shared" si="28"/>
        <v/>
      </c>
      <c r="BS31" s="10" t="str">
        <f t="shared" si="29"/>
        <v/>
      </c>
      <c r="BT31" s="10" t="str">
        <f t="shared" si="30"/>
        <v/>
      </c>
      <c r="BU31" s="10" t="str">
        <f t="shared" si="31"/>
        <v/>
      </c>
      <c r="BV31" s="10" t="str">
        <f t="shared" si="32"/>
        <v/>
      </c>
      <c r="BW31" s="10" t="str">
        <f t="shared" si="33"/>
        <v/>
      </c>
      <c r="BX31" s="10" t="str">
        <f t="shared" si="34"/>
        <v/>
      </c>
      <c r="BY31" s="10" t="str">
        <f t="shared" si="35"/>
        <v/>
      </c>
      <c r="BZ31" s="10" t="str">
        <f t="shared" si="36"/>
        <v/>
      </c>
      <c r="CA31" s="34" t="str">
        <f t="shared" si="37"/>
        <v/>
      </c>
      <c r="CB31" s="34" t="str">
        <f t="shared" si="38"/>
        <v/>
      </c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27" t="str">
        <f t="shared" si="39"/>
        <v/>
      </c>
      <c r="CX31" s="27" t="str">
        <f t="shared" si="40"/>
        <v/>
      </c>
      <c r="CY31" s="27" t="str">
        <f t="shared" si="41"/>
        <v/>
      </c>
      <c r="CZ31" s="27" t="str">
        <f t="shared" si="42"/>
        <v/>
      </c>
      <c r="DA31" s="27" t="str">
        <f t="shared" si="43"/>
        <v/>
      </c>
      <c r="DB31" s="27" t="str">
        <f t="shared" si="44"/>
        <v/>
      </c>
      <c r="DC31" s="27" t="str">
        <f t="shared" si="45"/>
        <v/>
      </c>
      <c r="DD31" s="27" t="str">
        <f t="shared" si="46"/>
        <v/>
      </c>
      <c r="DE31" s="27" t="str">
        <f t="shared" si="47"/>
        <v/>
      </c>
      <c r="DF31" s="27" t="str">
        <f t="shared" si="48"/>
        <v/>
      </c>
      <c r="DG31" s="27" t="str">
        <f t="shared" si="49"/>
        <v/>
      </c>
      <c r="DH31" s="27" t="str">
        <f t="shared" si="50"/>
        <v/>
      </c>
      <c r="DI31" s="27" t="str">
        <f t="shared" si="51"/>
        <v/>
      </c>
      <c r="DJ31" s="27" t="str">
        <f t="shared" si="52"/>
        <v/>
      </c>
      <c r="DK31" s="27" t="str">
        <f t="shared" si="53"/>
        <v/>
      </c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0" t="str">
        <f t="shared" si="54"/>
        <v/>
      </c>
      <c r="EG31" s="10" t="str">
        <f t="shared" si="55"/>
        <v/>
      </c>
      <c r="EH31" s="10" t="str">
        <f t="shared" si="56"/>
        <v/>
      </c>
      <c r="EI31" s="10" t="str">
        <f t="shared" si="57"/>
        <v/>
      </c>
      <c r="EJ31" s="10" t="str">
        <f t="shared" si="58"/>
        <v/>
      </c>
      <c r="EK31" s="10" t="str">
        <f t="shared" si="59"/>
        <v/>
      </c>
      <c r="EL31" s="10" t="str">
        <f t="shared" si="60"/>
        <v/>
      </c>
      <c r="EM31" s="10" t="str">
        <f t="shared" si="61"/>
        <v/>
      </c>
      <c r="EN31" s="10" t="str">
        <f t="shared" si="62"/>
        <v/>
      </c>
      <c r="EO31" s="10" t="str">
        <f t="shared" si="63"/>
        <v/>
      </c>
      <c r="EP31" s="10" t="str">
        <f t="shared" si="64"/>
        <v/>
      </c>
      <c r="EQ31" s="10" t="str">
        <f t="shared" si="65"/>
        <v/>
      </c>
      <c r="ER31" s="10" t="str">
        <f t="shared" si="66"/>
        <v/>
      </c>
      <c r="ES31" s="10" t="str">
        <f t="shared" si="67"/>
        <v/>
      </c>
      <c r="ET31" s="10" t="str">
        <f t="shared" si="68"/>
        <v/>
      </c>
      <c r="EU31" s="44">
        <f t="shared" si="69"/>
        <v>9</v>
      </c>
      <c r="EV31" s="44">
        <f t="shared" si="70"/>
        <v>2.8</v>
      </c>
      <c r="EW31" s="44">
        <f t="shared" si="71"/>
        <v>0.1</v>
      </c>
      <c r="EX31" s="44">
        <f t="shared" si="72"/>
        <v>0</v>
      </c>
      <c r="EY31" s="44">
        <f t="shared" si="73"/>
        <v>8.1</v>
      </c>
      <c r="EZ31" s="44">
        <f t="shared" si="74"/>
        <v>2.8</v>
      </c>
      <c r="FA31" s="44">
        <f t="shared" si="75"/>
        <v>0.4</v>
      </c>
      <c r="FB31" s="44">
        <f t="shared" si="76"/>
        <v>0</v>
      </c>
      <c r="FC31" s="44">
        <f t="shared" si="77"/>
        <v>0</v>
      </c>
      <c r="FD31" s="44">
        <f t="shared" si="78"/>
        <v>0</v>
      </c>
      <c r="FE31" s="44">
        <f t="shared" si="79"/>
        <v>0</v>
      </c>
      <c r="FF31" s="44">
        <f t="shared" si="80"/>
        <v>0</v>
      </c>
      <c r="FG31" s="44">
        <f t="shared" si="81"/>
        <v>0</v>
      </c>
      <c r="FH31" s="44">
        <f t="shared" si="82"/>
        <v>0</v>
      </c>
      <c r="FI31" s="44">
        <f t="shared" si="83"/>
        <v>0</v>
      </c>
      <c r="FJ31" s="44">
        <f t="shared" si="84"/>
        <v>0</v>
      </c>
      <c r="FK31" s="20" t="s">
        <v>29</v>
      </c>
      <c r="FL31" s="10">
        <f t="shared" si="85"/>
        <v>2.8</v>
      </c>
      <c r="FM31" s="10">
        <f t="shared" si="86"/>
        <v>11.700000000000001</v>
      </c>
      <c r="FN31" s="10">
        <f t="shared" si="87"/>
        <v>2.8</v>
      </c>
      <c r="FO31" s="10">
        <f t="shared" si="88"/>
        <v>10.499999999999998</v>
      </c>
      <c r="FP31" s="10">
        <f t="shared" si="89"/>
        <v>5.6</v>
      </c>
      <c r="FQ31" s="10">
        <f t="shared" si="92"/>
        <v>22.2</v>
      </c>
      <c r="FR31" s="10">
        <f t="shared" si="93"/>
        <v>0</v>
      </c>
      <c r="FS31" s="10">
        <f t="shared" si="94"/>
        <v>0</v>
      </c>
      <c r="FT31" s="10">
        <f t="shared" si="95"/>
        <v>0</v>
      </c>
      <c r="FU31" s="10">
        <f t="shared" si="96"/>
        <v>0</v>
      </c>
      <c r="FV31" s="10" t="str">
        <f t="shared" si="97"/>
        <v/>
      </c>
      <c r="FW31" s="10" t="str">
        <f t="shared" ref="FW31:FW39" si="106">IF(SUM(FS31,FU31)&gt;0,SUM(FS31,FU31),"")</f>
        <v/>
      </c>
      <c r="FX31" s="10">
        <f t="shared" ref="FX31:FX39" si="107">IF(SUM(FQ31,FW31)&gt;0,SUM(FQ31,FW31),"")</f>
        <v>22.2</v>
      </c>
    </row>
    <row r="32" spans="1:180" x14ac:dyDescent="0.2">
      <c r="A32" s="3" t="str" cm="1">
        <f t="array" ref="A32">IF(AND(H32&lt;&gt;"",H32&lt;&gt;"No DD",I32&lt;&gt;"P"),SUMPRODUCT((H$4:H$40&lt;&gt;"")*(H$4:H$40&lt;&gt;"No DD")*(I$4:I$40&lt;&gt;"P")*(E$4:E$40&gt;E32))+1,IF(H32="No DD",SUMPRODUCT((H$4:H$40="No DD")*(I$4:I$40&lt;&gt;"P")*(E$4:E$40&gt;E32))+1+SUMPRODUCT((H$4:H$40&lt;&gt;"")*(I$4:I$40&lt;&gt;"P")*(H$4:H$40&lt;&gt;"No DD")),""))</f>
        <v/>
      </c>
      <c r="B32" s="4" t="s">
        <v>175</v>
      </c>
      <c r="C32" s="3" t="s">
        <v>83</v>
      </c>
      <c r="D32" s="3">
        <v>2006</v>
      </c>
      <c r="E32" s="8">
        <f t="shared" si="0"/>
        <v>43.600004360004363</v>
      </c>
      <c r="F32" s="2" t="str">
        <f t="shared" si="1"/>
        <v/>
      </c>
      <c r="G32" s="2" t="str">
        <f t="shared" si="2"/>
        <v/>
      </c>
      <c r="H32" s="26" t="str">
        <f t="shared" si="3"/>
        <v/>
      </c>
      <c r="I32" s="2" t="str">
        <f>IF(COUNTIFS('Senior-W'!B:B,B32,'Senior-W'!A:A,"&lt;9",'Senior-W'!H:H,"&lt;&gt;"&amp;"No DD"),"P","")</f>
        <v/>
      </c>
      <c r="J32" s="7">
        <f t="shared" si="4"/>
        <v>43.6</v>
      </c>
      <c r="K32" s="7" t="str">
        <f t="shared" si="5"/>
        <v>2025 Nationals</v>
      </c>
      <c r="L32" s="7">
        <f>IF(J32=AO32,IF(COUNT(AQ32,AS32,BO32,BQ32,BU32,BW32)&gt;1,LARGE((AQ32,AS32,BO32,BQ32,BU32,BW32),1),0),IF(COUNT(AK32,AM32,AQ32,AS32,BU32,BW32)&gt;1,LARGE((AK32,AM32,AQ32,AS32,BU32,BW32),1),0))</f>
        <v>0</v>
      </c>
      <c r="M32" s="7" t="str">
        <f t="shared" si="6"/>
        <v/>
      </c>
      <c r="N32" s="7">
        <f>IF(J32=AO32,IF(COUNT(AQ32,AS32,BO32,BQ32,BU32,BW32)&gt;1,LARGE((AQ32,AS32,BO32,BQ32,BU32,BW32),2),0),IF(COUNT(AK32,AM32,AQ32,AS32,BU32,BW32)&gt;1,LARGE((AK32,AM32,AQ32,AS32,BU32,BW32),2),0))</f>
        <v>0</v>
      </c>
      <c r="O32" s="7" t="str">
        <f t="shared" si="7"/>
        <v/>
      </c>
      <c r="P32" s="7" t="str">
        <f t="shared" si="8"/>
        <v/>
      </c>
      <c r="Q32" s="10" t="str">
        <f t="shared" si="9"/>
        <v/>
      </c>
      <c r="R32" s="7" t="str">
        <f t="shared" si="10"/>
        <v/>
      </c>
      <c r="S32" s="39">
        <v>18.600000000000001</v>
      </c>
      <c r="T32" s="39">
        <v>3.6</v>
      </c>
      <c r="U32" s="39">
        <v>0.2</v>
      </c>
      <c r="V32" s="39">
        <v>0</v>
      </c>
      <c r="W32" s="39">
        <v>18.3</v>
      </c>
      <c r="X32" s="39">
        <v>3.9</v>
      </c>
      <c r="Y32" s="39">
        <v>0.6</v>
      </c>
      <c r="Z32" s="39">
        <v>0</v>
      </c>
      <c r="AA32" s="39"/>
      <c r="AB32" s="39"/>
      <c r="AC32" s="39"/>
      <c r="AD32" s="39"/>
      <c r="AE32" s="39"/>
      <c r="AF32" s="39"/>
      <c r="AG32" s="39"/>
      <c r="AH32" s="39"/>
      <c r="AI32" s="19"/>
      <c r="AJ32" s="42">
        <f t="shared" si="11"/>
        <v>3.6</v>
      </c>
      <c r="AK32" s="42">
        <f t="shared" si="12"/>
        <v>22.000000000000004</v>
      </c>
      <c r="AL32" s="42">
        <f t="shared" si="13"/>
        <v>3.9</v>
      </c>
      <c r="AM32" s="42">
        <f t="shared" si="14"/>
        <v>21.599999999999998</v>
      </c>
      <c r="AN32" s="27">
        <f t="shared" si="15"/>
        <v>7.5</v>
      </c>
      <c r="AO32" s="27">
        <f t="shared" si="16"/>
        <v>43.6</v>
      </c>
      <c r="AP32" s="27" t="str">
        <f t="shared" si="17"/>
        <v/>
      </c>
      <c r="AQ32" s="27" t="str">
        <f t="shared" si="18"/>
        <v/>
      </c>
      <c r="AR32" s="27" t="str">
        <f t="shared" si="19"/>
        <v/>
      </c>
      <c r="AS32" s="27" t="str">
        <f t="shared" si="20"/>
        <v/>
      </c>
      <c r="AT32" s="27" t="str">
        <f t="shared" si="21"/>
        <v/>
      </c>
      <c r="AU32" s="27" t="str">
        <f t="shared" si="22"/>
        <v/>
      </c>
      <c r="AV32" s="27">
        <f t="shared" si="23"/>
        <v>43.6</v>
      </c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20"/>
      <c r="BN32" s="43" t="str">
        <f t="shared" si="24"/>
        <v/>
      </c>
      <c r="BO32" s="43" t="str">
        <f t="shared" si="25"/>
        <v/>
      </c>
      <c r="BP32" s="43" t="str">
        <f t="shared" si="26"/>
        <v/>
      </c>
      <c r="BQ32" s="43" t="str">
        <f t="shared" si="27"/>
        <v/>
      </c>
      <c r="BR32" s="10" t="str">
        <f t="shared" si="28"/>
        <v/>
      </c>
      <c r="BS32" s="10" t="str">
        <f t="shared" si="29"/>
        <v/>
      </c>
      <c r="BT32" s="10" t="str">
        <f t="shared" si="30"/>
        <v/>
      </c>
      <c r="BU32" s="10" t="str">
        <f t="shared" si="31"/>
        <v/>
      </c>
      <c r="BV32" s="10" t="str">
        <f t="shared" si="32"/>
        <v/>
      </c>
      <c r="BW32" s="10" t="str">
        <f t="shared" si="33"/>
        <v/>
      </c>
      <c r="BX32" s="10" t="str">
        <f t="shared" si="34"/>
        <v/>
      </c>
      <c r="BY32" s="10" t="str">
        <f t="shared" si="35"/>
        <v/>
      </c>
      <c r="BZ32" s="10" t="str">
        <f t="shared" si="36"/>
        <v/>
      </c>
      <c r="CA32" s="34" t="str">
        <f t="shared" si="37"/>
        <v/>
      </c>
      <c r="CB32" s="34" t="str">
        <f t="shared" si="38"/>
        <v/>
      </c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27" t="str">
        <f t="shared" si="39"/>
        <v/>
      </c>
      <c r="CX32" s="27" t="str">
        <f t="shared" si="40"/>
        <v/>
      </c>
      <c r="CY32" s="27" t="str">
        <f t="shared" si="41"/>
        <v/>
      </c>
      <c r="CZ32" s="27" t="str">
        <f t="shared" si="42"/>
        <v/>
      </c>
      <c r="DA32" s="27" t="str">
        <f t="shared" si="43"/>
        <v/>
      </c>
      <c r="DB32" s="27" t="str">
        <f t="shared" si="44"/>
        <v/>
      </c>
      <c r="DC32" s="27" t="str">
        <f t="shared" si="45"/>
        <v/>
      </c>
      <c r="DD32" s="27" t="str">
        <f t="shared" si="46"/>
        <v/>
      </c>
      <c r="DE32" s="27" t="str">
        <f t="shared" si="47"/>
        <v/>
      </c>
      <c r="DF32" s="27" t="str">
        <f t="shared" si="48"/>
        <v/>
      </c>
      <c r="DG32" s="27" t="str">
        <f t="shared" si="49"/>
        <v/>
      </c>
      <c r="DH32" s="27" t="str">
        <f t="shared" si="50"/>
        <v/>
      </c>
      <c r="DI32" s="27" t="str">
        <f t="shared" si="51"/>
        <v/>
      </c>
      <c r="DJ32" s="27" t="str">
        <f t="shared" si="52"/>
        <v/>
      </c>
      <c r="DK32" s="27" t="str">
        <f t="shared" si="53"/>
        <v/>
      </c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0" t="str">
        <f t="shared" si="54"/>
        <v/>
      </c>
      <c r="EG32" s="10" t="str">
        <f t="shared" si="55"/>
        <v/>
      </c>
      <c r="EH32" s="10" t="str">
        <f t="shared" si="56"/>
        <v/>
      </c>
      <c r="EI32" s="10" t="str">
        <f t="shared" si="57"/>
        <v/>
      </c>
      <c r="EJ32" s="10" t="str">
        <f t="shared" si="58"/>
        <v/>
      </c>
      <c r="EK32" s="10" t="str">
        <f t="shared" si="59"/>
        <v/>
      </c>
      <c r="EL32" s="10" t="str">
        <f t="shared" si="60"/>
        <v/>
      </c>
      <c r="EM32" s="10" t="str">
        <f t="shared" si="61"/>
        <v/>
      </c>
      <c r="EN32" s="10" t="str">
        <f t="shared" si="62"/>
        <v/>
      </c>
      <c r="EO32" s="10" t="str">
        <f t="shared" si="63"/>
        <v/>
      </c>
      <c r="EP32" s="10" t="str">
        <f t="shared" si="64"/>
        <v/>
      </c>
      <c r="EQ32" s="10" t="str">
        <f t="shared" si="65"/>
        <v/>
      </c>
      <c r="ER32" s="10" t="str">
        <f t="shared" si="66"/>
        <v/>
      </c>
      <c r="ES32" s="10" t="str">
        <f t="shared" si="67"/>
        <v/>
      </c>
      <c r="ET32" s="10" t="str">
        <f t="shared" si="68"/>
        <v/>
      </c>
      <c r="EU32" s="44">
        <f t="shared" si="69"/>
        <v>9.3000000000000007</v>
      </c>
      <c r="EV32" s="44">
        <f t="shared" si="70"/>
        <v>1.8</v>
      </c>
      <c r="EW32" s="44">
        <f t="shared" si="71"/>
        <v>0.1</v>
      </c>
      <c r="EX32" s="44">
        <f t="shared" si="72"/>
        <v>0</v>
      </c>
      <c r="EY32" s="44">
        <f t="shared" si="73"/>
        <v>9.15</v>
      </c>
      <c r="EZ32" s="44">
        <f t="shared" si="74"/>
        <v>1.95</v>
      </c>
      <c r="FA32" s="44">
        <f t="shared" si="75"/>
        <v>0.3</v>
      </c>
      <c r="FB32" s="44">
        <f t="shared" si="76"/>
        <v>0</v>
      </c>
      <c r="FC32" s="44">
        <f t="shared" si="77"/>
        <v>0</v>
      </c>
      <c r="FD32" s="44">
        <f t="shared" si="78"/>
        <v>0</v>
      </c>
      <c r="FE32" s="44">
        <f t="shared" si="79"/>
        <v>0</v>
      </c>
      <c r="FF32" s="44">
        <f t="shared" si="80"/>
        <v>0</v>
      </c>
      <c r="FG32" s="44">
        <f t="shared" si="81"/>
        <v>0</v>
      </c>
      <c r="FH32" s="44">
        <f t="shared" si="82"/>
        <v>0</v>
      </c>
      <c r="FI32" s="44">
        <f t="shared" si="83"/>
        <v>0</v>
      </c>
      <c r="FJ32" s="44">
        <f t="shared" si="84"/>
        <v>0</v>
      </c>
      <c r="FK32" s="20" t="s">
        <v>29</v>
      </c>
      <c r="FL32" s="10">
        <f t="shared" si="85"/>
        <v>1.8</v>
      </c>
      <c r="FM32" s="10">
        <f t="shared" si="86"/>
        <v>11.000000000000002</v>
      </c>
      <c r="FN32" s="10">
        <f t="shared" si="87"/>
        <v>1.95</v>
      </c>
      <c r="FO32" s="10">
        <f t="shared" si="88"/>
        <v>10.799999999999999</v>
      </c>
      <c r="FP32" s="10">
        <f t="shared" si="89"/>
        <v>3.75</v>
      </c>
      <c r="FQ32" s="10">
        <f t="shared" si="92"/>
        <v>21.8</v>
      </c>
      <c r="FR32" s="10">
        <f t="shared" si="93"/>
        <v>0</v>
      </c>
      <c r="FS32" s="10">
        <f t="shared" si="94"/>
        <v>0</v>
      </c>
      <c r="FT32" s="10">
        <f t="shared" si="95"/>
        <v>0</v>
      </c>
      <c r="FU32" s="10">
        <f t="shared" si="96"/>
        <v>0</v>
      </c>
      <c r="FV32" s="10" t="str">
        <f t="shared" si="97"/>
        <v/>
      </c>
      <c r="FW32" s="10" t="str">
        <f t="shared" si="106"/>
        <v/>
      </c>
      <c r="FX32" s="10">
        <f t="shared" si="107"/>
        <v>21.8</v>
      </c>
    </row>
    <row r="33" spans="1:180" x14ac:dyDescent="0.2">
      <c r="A33" s="3" t="str" cm="1">
        <f t="array" ref="A33">IF(AND(H33&lt;&gt;"",H33&lt;&gt;"No DD",I33&lt;&gt;"P"),SUMPRODUCT((H$4:H$40&lt;&gt;"")*(H$4:H$40&lt;&gt;"No DD")*(I$4:I$40&lt;&gt;"P")*(E$4:E$40&gt;E33))+1,IF(H33="No DD",SUMPRODUCT((H$4:H$40="No DD")*(I$4:I$40&lt;&gt;"P")*(E$4:E$40&gt;E33))+1+SUMPRODUCT((H$4:H$40&lt;&gt;"")*(I$4:I$40&lt;&gt;"P")*(H$4:H$40&lt;&gt;"No DD")),""))</f>
        <v/>
      </c>
      <c r="B33" s="4" t="s">
        <v>177</v>
      </c>
      <c r="C33" s="3" t="s">
        <v>4</v>
      </c>
      <c r="D33" s="3">
        <v>2006</v>
      </c>
      <c r="E33" s="8">
        <f t="shared" si="0"/>
        <v>43.500004350004346</v>
      </c>
      <c r="F33" s="2" t="str">
        <f t="shared" si="1"/>
        <v/>
      </c>
      <c r="G33" s="2" t="str">
        <f t="shared" si="2"/>
        <v/>
      </c>
      <c r="H33" s="26" t="str">
        <f t="shared" si="3"/>
        <v/>
      </c>
      <c r="I33" s="2" t="str">
        <f>IF(COUNTIFS('Senior-W'!B:B,B33,'Senior-W'!A:A,"&lt;9",'Senior-W'!H:H,"&lt;&gt;"&amp;"No DD"),"P","")</f>
        <v/>
      </c>
      <c r="J33" s="7">
        <f t="shared" si="4"/>
        <v>43.5</v>
      </c>
      <c r="K33" s="7" t="str">
        <f t="shared" si="5"/>
        <v>2025 Nationals</v>
      </c>
      <c r="L33" s="7">
        <f>IF(J33=AO33,IF(COUNT(AQ33,AS33,BO33,BQ33,BU33,BW33)&gt;1,LARGE((AQ33,AS33,BO33,BQ33,BU33,BW33),1),0),IF(COUNT(AK33,AM33,AQ33,AS33,BU33,BW33)&gt;1,LARGE((AK33,AM33,AQ33,AS33,BU33,BW33),1),0))</f>
        <v>0</v>
      </c>
      <c r="M33" s="7" t="str">
        <f t="shared" si="6"/>
        <v/>
      </c>
      <c r="N33" s="7">
        <f>IF(J33=AO33,IF(COUNT(AQ33,AS33,BO33,BQ33,BU33,BW33)&gt;1,LARGE((AQ33,AS33,BO33,BQ33,BU33,BW33),2),0),IF(COUNT(AK33,AM33,AQ33,AS33,BU33,BW33)&gt;1,LARGE((AK33,AM33,AQ33,AS33,BU33,BW33),2),0))</f>
        <v>0</v>
      </c>
      <c r="O33" s="7" t="str">
        <f t="shared" si="7"/>
        <v/>
      </c>
      <c r="P33" s="7" t="str">
        <f t="shared" si="8"/>
        <v/>
      </c>
      <c r="Q33" s="10" t="str">
        <f t="shared" si="9"/>
        <v/>
      </c>
      <c r="R33" s="7" t="str">
        <f t="shared" si="10"/>
        <v/>
      </c>
      <c r="S33" s="39">
        <v>18.5</v>
      </c>
      <c r="T33" s="39">
        <v>4.4000000000000004</v>
      </c>
      <c r="U33" s="39">
        <v>0.8</v>
      </c>
      <c r="V33" s="39">
        <v>0</v>
      </c>
      <c r="W33" s="39">
        <v>18</v>
      </c>
      <c r="X33" s="39">
        <v>3.6</v>
      </c>
      <c r="Y33" s="39">
        <v>0.2</v>
      </c>
      <c r="Z33" s="39">
        <v>0</v>
      </c>
      <c r="AA33" s="39"/>
      <c r="AB33" s="39"/>
      <c r="AC33" s="39"/>
      <c r="AD33" s="39"/>
      <c r="AE33" s="39"/>
      <c r="AF33" s="39"/>
      <c r="AG33" s="39"/>
      <c r="AH33" s="39"/>
      <c r="AI33" s="19"/>
      <c r="AJ33" s="42">
        <f t="shared" si="11"/>
        <v>4.4000000000000004</v>
      </c>
      <c r="AK33" s="42">
        <f t="shared" si="12"/>
        <v>22.099999999999998</v>
      </c>
      <c r="AL33" s="42">
        <f t="shared" si="13"/>
        <v>3.6</v>
      </c>
      <c r="AM33" s="42">
        <f t="shared" si="14"/>
        <v>21.400000000000002</v>
      </c>
      <c r="AN33" s="27">
        <f t="shared" si="15"/>
        <v>8</v>
      </c>
      <c r="AO33" s="27">
        <f t="shared" si="16"/>
        <v>43.5</v>
      </c>
      <c r="AP33" s="27" t="str">
        <f t="shared" si="17"/>
        <v/>
      </c>
      <c r="AQ33" s="27" t="str">
        <f t="shared" si="18"/>
        <v/>
      </c>
      <c r="AR33" s="27" t="str">
        <f t="shared" si="19"/>
        <v/>
      </c>
      <c r="AS33" s="27" t="str">
        <f t="shared" si="20"/>
        <v/>
      </c>
      <c r="AT33" s="27" t="str">
        <f t="shared" si="21"/>
        <v/>
      </c>
      <c r="AU33" s="27" t="str">
        <f t="shared" si="22"/>
        <v/>
      </c>
      <c r="AV33" s="27">
        <f t="shared" si="23"/>
        <v>43.5</v>
      </c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20"/>
      <c r="BN33" s="43" t="str">
        <f t="shared" si="24"/>
        <v/>
      </c>
      <c r="BO33" s="43" t="str">
        <f t="shared" si="25"/>
        <v/>
      </c>
      <c r="BP33" s="43" t="str">
        <f t="shared" si="26"/>
        <v/>
      </c>
      <c r="BQ33" s="43" t="str">
        <f t="shared" si="27"/>
        <v/>
      </c>
      <c r="BR33" s="10" t="str">
        <f t="shared" si="28"/>
        <v/>
      </c>
      <c r="BS33" s="10" t="str">
        <f t="shared" si="29"/>
        <v/>
      </c>
      <c r="BT33" s="10" t="str">
        <f t="shared" si="30"/>
        <v/>
      </c>
      <c r="BU33" s="10" t="str">
        <f t="shared" si="31"/>
        <v/>
      </c>
      <c r="BV33" s="10" t="str">
        <f t="shared" si="32"/>
        <v/>
      </c>
      <c r="BW33" s="10" t="str">
        <f t="shared" si="33"/>
        <v/>
      </c>
      <c r="BX33" s="10" t="str">
        <f t="shared" si="34"/>
        <v/>
      </c>
      <c r="BY33" s="10" t="str">
        <f t="shared" si="35"/>
        <v/>
      </c>
      <c r="BZ33" s="10" t="str">
        <f t="shared" si="36"/>
        <v/>
      </c>
      <c r="CA33" s="34" t="str">
        <f t="shared" si="37"/>
        <v/>
      </c>
      <c r="CB33" s="34" t="str">
        <f t="shared" si="38"/>
        <v/>
      </c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27" t="str">
        <f t="shared" si="39"/>
        <v/>
      </c>
      <c r="CX33" s="27" t="str">
        <f t="shared" si="40"/>
        <v/>
      </c>
      <c r="CY33" s="27" t="str">
        <f t="shared" si="41"/>
        <v/>
      </c>
      <c r="CZ33" s="27" t="str">
        <f t="shared" si="42"/>
        <v/>
      </c>
      <c r="DA33" s="27" t="str">
        <f t="shared" si="43"/>
        <v/>
      </c>
      <c r="DB33" s="27" t="str">
        <f t="shared" si="44"/>
        <v/>
      </c>
      <c r="DC33" s="27" t="str">
        <f t="shared" si="45"/>
        <v/>
      </c>
      <c r="DD33" s="27" t="str">
        <f t="shared" si="46"/>
        <v/>
      </c>
      <c r="DE33" s="27" t="str">
        <f t="shared" si="47"/>
        <v/>
      </c>
      <c r="DF33" s="27" t="str">
        <f t="shared" si="48"/>
        <v/>
      </c>
      <c r="DG33" s="27" t="str">
        <f t="shared" si="49"/>
        <v/>
      </c>
      <c r="DH33" s="27" t="str">
        <f t="shared" si="50"/>
        <v/>
      </c>
      <c r="DI33" s="27" t="str">
        <f t="shared" si="51"/>
        <v/>
      </c>
      <c r="DJ33" s="27" t="str">
        <f t="shared" si="52"/>
        <v/>
      </c>
      <c r="DK33" s="27" t="str">
        <f t="shared" si="53"/>
        <v/>
      </c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0" t="str">
        <f t="shared" si="54"/>
        <v/>
      </c>
      <c r="EG33" s="10" t="str">
        <f t="shared" si="55"/>
        <v/>
      </c>
      <c r="EH33" s="10" t="str">
        <f t="shared" si="56"/>
        <v/>
      </c>
      <c r="EI33" s="10" t="str">
        <f t="shared" si="57"/>
        <v/>
      </c>
      <c r="EJ33" s="10" t="str">
        <f t="shared" si="58"/>
        <v/>
      </c>
      <c r="EK33" s="10" t="str">
        <f t="shared" si="59"/>
        <v/>
      </c>
      <c r="EL33" s="10" t="str">
        <f t="shared" si="60"/>
        <v/>
      </c>
      <c r="EM33" s="10" t="str">
        <f t="shared" si="61"/>
        <v/>
      </c>
      <c r="EN33" s="10" t="str">
        <f t="shared" si="62"/>
        <v/>
      </c>
      <c r="EO33" s="10" t="str">
        <f t="shared" si="63"/>
        <v/>
      </c>
      <c r="EP33" s="10" t="str">
        <f t="shared" si="64"/>
        <v/>
      </c>
      <c r="EQ33" s="10" t="str">
        <f t="shared" si="65"/>
        <v/>
      </c>
      <c r="ER33" s="10" t="str">
        <f t="shared" si="66"/>
        <v/>
      </c>
      <c r="ES33" s="10" t="str">
        <f t="shared" si="67"/>
        <v/>
      </c>
      <c r="ET33" s="10" t="str">
        <f t="shared" si="68"/>
        <v/>
      </c>
      <c r="EU33" s="44">
        <f t="shared" si="69"/>
        <v>9.25</v>
      </c>
      <c r="EV33" s="44">
        <f t="shared" si="70"/>
        <v>2.2000000000000002</v>
      </c>
      <c r="EW33" s="44">
        <f t="shared" si="71"/>
        <v>0.4</v>
      </c>
      <c r="EX33" s="44">
        <f t="shared" si="72"/>
        <v>0</v>
      </c>
      <c r="EY33" s="44">
        <f t="shared" si="73"/>
        <v>9</v>
      </c>
      <c r="EZ33" s="44">
        <f t="shared" si="74"/>
        <v>1.8</v>
      </c>
      <c r="FA33" s="44">
        <f t="shared" si="75"/>
        <v>0.1</v>
      </c>
      <c r="FB33" s="44">
        <f t="shared" si="76"/>
        <v>0</v>
      </c>
      <c r="FC33" s="44">
        <f t="shared" si="77"/>
        <v>0</v>
      </c>
      <c r="FD33" s="44">
        <f t="shared" si="78"/>
        <v>0</v>
      </c>
      <c r="FE33" s="44">
        <f t="shared" si="79"/>
        <v>0</v>
      </c>
      <c r="FF33" s="44">
        <f t="shared" si="80"/>
        <v>0</v>
      </c>
      <c r="FG33" s="44">
        <f t="shared" si="81"/>
        <v>0</v>
      </c>
      <c r="FH33" s="44">
        <f t="shared" si="82"/>
        <v>0</v>
      </c>
      <c r="FI33" s="44">
        <f t="shared" si="83"/>
        <v>0</v>
      </c>
      <c r="FJ33" s="44">
        <f t="shared" si="84"/>
        <v>0</v>
      </c>
      <c r="FK33" s="20" t="s">
        <v>29</v>
      </c>
      <c r="FL33" s="10">
        <f t="shared" si="85"/>
        <v>2.2000000000000002</v>
      </c>
      <c r="FM33" s="10">
        <f t="shared" si="86"/>
        <v>11.049999999999999</v>
      </c>
      <c r="FN33" s="10">
        <f t="shared" si="87"/>
        <v>1.8</v>
      </c>
      <c r="FO33" s="10">
        <f t="shared" si="88"/>
        <v>10.700000000000001</v>
      </c>
      <c r="FP33" s="10">
        <f t="shared" si="89"/>
        <v>4</v>
      </c>
      <c r="FQ33" s="10">
        <f t="shared" si="92"/>
        <v>21.75</v>
      </c>
      <c r="FR33" s="10">
        <f t="shared" si="93"/>
        <v>0</v>
      </c>
      <c r="FS33" s="10">
        <f t="shared" si="94"/>
        <v>0</v>
      </c>
      <c r="FT33" s="10">
        <f t="shared" si="95"/>
        <v>0</v>
      </c>
      <c r="FU33" s="10">
        <f t="shared" si="96"/>
        <v>0</v>
      </c>
      <c r="FV33" s="10" t="str">
        <f t="shared" si="97"/>
        <v/>
      </c>
      <c r="FW33" s="10" t="str">
        <f t="shared" si="106"/>
        <v/>
      </c>
      <c r="FX33" s="10">
        <f t="shared" si="107"/>
        <v>21.75</v>
      </c>
    </row>
    <row r="34" spans="1:180" x14ac:dyDescent="0.2">
      <c r="A34" s="3" t="str" cm="1">
        <f t="array" ref="A34">IF(AND(H34&lt;&gt;"",H34&lt;&gt;"No DD",I34&lt;&gt;"P"),SUMPRODUCT((H$4:H$40&lt;&gt;"")*(H$4:H$40&lt;&gt;"No DD")*(I$4:I$40&lt;&gt;"P")*(E$4:E$40&gt;E34))+1,IF(H34="No DD",SUMPRODUCT((H$4:H$40="No DD")*(I$4:I$40&lt;&gt;"P")*(E$4:E$40&gt;E34))+1+SUMPRODUCT((H$4:H$40&lt;&gt;"")*(I$4:I$40&lt;&gt;"P")*(H$4:H$40&lt;&gt;"No DD")),""))</f>
        <v/>
      </c>
      <c r="B34" s="4" t="s">
        <v>178</v>
      </c>
      <c r="C34" s="3" t="s">
        <v>3</v>
      </c>
      <c r="D34" s="3">
        <v>2006</v>
      </c>
      <c r="E34" s="8">
        <f t="shared" si="0"/>
        <v>43.300004330004327</v>
      </c>
      <c r="F34" s="2" t="str">
        <f t="shared" si="1"/>
        <v/>
      </c>
      <c r="G34" s="2" t="str">
        <f t="shared" si="2"/>
        <v/>
      </c>
      <c r="H34" s="26" t="str">
        <f t="shared" si="3"/>
        <v/>
      </c>
      <c r="I34" s="2" t="str">
        <f>IF(COUNTIFS('Senior-W'!B:B,B34,'Senior-W'!A:A,"&lt;9",'Senior-W'!H:H,"&lt;&gt;"&amp;"No DD"),"P","")</f>
        <v/>
      </c>
      <c r="J34" s="7">
        <f t="shared" si="4"/>
        <v>43.3</v>
      </c>
      <c r="K34" s="7" t="str">
        <f t="shared" si="5"/>
        <v>2025 Nationals</v>
      </c>
      <c r="L34" s="7">
        <f>IF(J34=AO34,IF(COUNT(AQ34,AS34,BO34,BQ34,BU34,BW34)&gt;1,LARGE((AQ34,AS34,BO34,BQ34,BU34,BW34),1),0),IF(COUNT(AK34,AM34,AQ34,AS34,BU34,BW34)&gt;1,LARGE((AK34,AM34,AQ34,AS34,BU34,BW34),1),0))</f>
        <v>0</v>
      </c>
      <c r="M34" s="7" t="str">
        <f t="shared" si="6"/>
        <v/>
      </c>
      <c r="N34" s="7">
        <f>IF(J34=AO34,IF(COUNT(AQ34,AS34,BO34,BQ34,BU34,BW34)&gt;1,LARGE((AQ34,AS34,BO34,BQ34,BU34,BW34),2),0),IF(COUNT(AK34,AM34,AQ34,AS34,BU34,BW34)&gt;1,LARGE((AK34,AM34,AQ34,AS34,BU34,BW34),2),0))</f>
        <v>0</v>
      </c>
      <c r="O34" s="7" t="str">
        <f t="shared" si="7"/>
        <v/>
      </c>
      <c r="P34" s="7" t="str">
        <f t="shared" si="8"/>
        <v/>
      </c>
      <c r="Q34" s="10" t="str">
        <f t="shared" si="9"/>
        <v/>
      </c>
      <c r="R34" s="7" t="str">
        <f t="shared" si="10"/>
        <v/>
      </c>
      <c r="S34" s="39">
        <v>19.100000000000001</v>
      </c>
      <c r="T34" s="39">
        <v>3.1</v>
      </c>
      <c r="U34" s="39">
        <v>0.6</v>
      </c>
      <c r="V34" s="39">
        <v>0</v>
      </c>
      <c r="W34" s="39">
        <v>18.8</v>
      </c>
      <c r="X34" s="39">
        <v>3.2</v>
      </c>
      <c r="Y34" s="39">
        <v>0.3</v>
      </c>
      <c r="Z34" s="39">
        <v>0</v>
      </c>
      <c r="AA34" s="39"/>
      <c r="AB34" s="39"/>
      <c r="AC34" s="39"/>
      <c r="AD34" s="39"/>
      <c r="AE34" s="39"/>
      <c r="AF34" s="39"/>
      <c r="AG34" s="39"/>
      <c r="AH34" s="39"/>
      <c r="AI34" s="19"/>
      <c r="AJ34" s="42">
        <f t="shared" si="11"/>
        <v>3.1</v>
      </c>
      <c r="AK34" s="42">
        <f t="shared" si="12"/>
        <v>21.6</v>
      </c>
      <c r="AL34" s="42">
        <f t="shared" si="13"/>
        <v>3.2</v>
      </c>
      <c r="AM34" s="42">
        <f t="shared" si="14"/>
        <v>21.7</v>
      </c>
      <c r="AN34" s="27">
        <f t="shared" si="15"/>
        <v>6.3000000000000007</v>
      </c>
      <c r="AO34" s="27">
        <f t="shared" si="16"/>
        <v>43.3</v>
      </c>
      <c r="AP34" s="27" t="str">
        <f t="shared" si="17"/>
        <v/>
      </c>
      <c r="AQ34" s="27" t="str">
        <f t="shared" si="18"/>
        <v/>
      </c>
      <c r="AR34" s="27" t="str">
        <f t="shared" si="19"/>
        <v/>
      </c>
      <c r="AS34" s="27" t="str">
        <f t="shared" si="20"/>
        <v/>
      </c>
      <c r="AT34" s="27" t="str">
        <f t="shared" si="21"/>
        <v/>
      </c>
      <c r="AU34" s="27" t="str">
        <f t="shared" si="22"/>
        <v/>
      </c>
      <c r="AV34" s="27">
        <f t="shared" si="23"/>
        <v>43.3</v>
      </c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20"/>
      <c r="BN34" s="43" t="str">
        <f t="shared" si="24"/>
        <v/>
      </c>
      <c r="BO34" s="43" t="str">
        <f t="shared" si="25"/>
        <v/>
      </c>
      <c r="BP34" s="43" t="str">
        <f t="shared" si="26"/>
        <v/>
      </c>
      <c r="BQ34" s="43" t="str">
        <f t="shared" si="27"/>
        <v/>
      </c>
      <c r="BR34" s="10" t="str">
        <f t="shared" si="28"/>
        <v/>
      </c>
      <c r="BS34" s="10" t="str">
        <f t="shared" si="29"/>
        <v/>
      </c>
      <c r="BT34" s="10" t="str">
        <f t="shared" si="30"/>
        <v/>
      </c>
      <c r="BU34" s="10" t="str">
        <f t="shared" si="31"/>
        <v/>
      </c>
      <c r="BV34" s="10" t="str">
        <f t="shared" si="32"/>
        <v/>
      </c>
      <c r="BW34" s="10" t="str">
        <f t="shared" si="33"/>
        <v/>
      </c>
      <c r="BX34" s="10" t="str">
        <f t="shared" si="34"/>
        <v/>
      </c>
      <c r="BY34" s="10" t="str">
        <f t="shared" si="35"/>
        <v/>
      </c>
      <c r="BZ34" s="10" t="str">
        <f t="shared" si="36"/>
        <v/>
      </c>
      <c r="CA34" s="34" t="str">
        <f t="shared" si="37"/>
        <v/>
      </c>
      <c r="CB34" s="34" t="str">
        <f t="shared" si="38"/>
        <v/>
      </c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27" t="str">
        <f t="shared" si="39"/>
        <v/>
      </c>
      <c r="CX34" s="27" t="str">
        <f t="shared" si="40"/>
        <v/>
      </c>
      <c r="CY34" s="27" t="str">
        <f t="shared" si="41"/>
        <v/>
      </c>
      <c r="CZ34" s="27" t="str">
        <f t="shared" si="42"/>
        <v/>
      </c>
      <c r="DA34" s="27" t="str">
        <f t="shared" si="43"/>
        <v/>
      </c>
      <c r="DB34" s="27" t="str">
        <f t="shared" si="44"/>
        <v/>
      </c>
      <c r="DC34" s="27" t="str">
        <f t="shared" si="45"/>
        <v/>
      </c>
      <c r="DD34" s="27" t="str">
        <f t="shared" si="46"/>
        <v/>
      </c>
      <c r="DE34" s="27" t="str">
        <f t="shared" si="47"/>
        <v/>
      </c>
      <c r="DF34" s="27" t="str">
        <f t="shared" si="48"/>
        <v/>
      </c>
      <c r="DG34" s="27" t="str">
        <f t="shared" si="49"/>
        <v/>
      </c>
      <c r="DH34" s="27" t="str">
        <f t="shared" si="50"/>
        <v/>
      </c>
      <c r="DI34" s="27" t="str">
        <f t="shared" si="51"/>
        <v/>
      </c>
      <c r="DJ34" s="27" t="str">
        <f t="shared" si="52"/>
        <v/>
      </c>
      <c r="DK34" s="27" t="str">
        <f t="shared" si="53"/>
        <v/>
      </c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0" t="str">
        <f t="shared" si="54"/>
        <v/>
      </c>
      <c r="EG34" s="10" t="str">
        <f t="shared" si="55"/>
        <v/>
      </c>
      <c r="EH34" s="10" t="str">
        <f t="shared" si="56"/>
        <v/>
      </c>
      <c r="EI34" s="10" t="str">
        <f t="shared" si="57"/>
        <v/>
      </c>
      <c r="EJ34" s="10" t="str">
        <f t="shared" si="58"/>
        <v/>
      </c>
      <c r="EK34" s="10" t="str">
        <f t="shared" si="59"/>
        <v/>
      </c>
      <c r="EL34" s="10" t="str">
        <f t="shared" si="60"/>
        <v/>
      </c>
      <c r="EM34" s="10" t="str">
        <f t="shared" si="61"/>
        <v/>
      </c>
      <c r="EN34" s="10" t="str">
        <f t="shared" si="62"/>
        <v/>
      </c>
      <c r="EO34" s="10" t="str">
        <f t="shared" si="63"/>
        <v/>
      </c>
      <c r="EP34" s="10" t="str">
        <f t="shared" si="64"/>
        <v/>
      </c>
      <c r="EQ34" s="10" t="str">
        <f t="shared" si="65"/>
        <v/>
      </c>
      <c r="ER34" s="10" t="str">
        <f t="shared" si="66"/>
        <v/>
      </c>
      <c r="ES34" s="10" t="str">
        <f t="shared" si="67"/>
        <v/>
      </c>
      <c r="ET34" s="10" t="str">
        <f t="shared" si="68"/>
        <v/>
      </c>
      <c r="EU34" s="44">
        <f t="shared" si="69"/>
        <v>9.5500000000000007</v>
      </c>
      <c r="EV34" s="44">
        <f t="shared" si="70"/>
        <v>1.55</v>
      </c>
      <c r="EW34" s="44">
        <f t="shared" si="71"/>
        <v>0.3</v>
      </c>
      <c r="EX34" s="44">
        <f t="shared" si="72"/>
        <v>0</v>
      </c>
      <c r="EY34" s="44">
        <f t="shared" si="73"/>
        <v>9.4</v>
      </c>
      <c r="EZ34" s="44">
        <f t="shared" si="74"/>
        <v>1.6</v>
      </c>
      <c r="FA34" s="44">
        <f t="shared" si="75"/>
        <v>0.15</v>
      </c>
      <c r="FB34" s="44">
        <f t="shared" si="76"/>
        <v>0</v>
      </c>
      <c r="FC34" s="44">
        <f t="shared" si="77"/>
        <v>0</v>
      </c>
      <c r="FD34" s="44">
        <f t="shared" si="78"/>
        <v>0</v>
      </c>
      <c r="FE34" s="44">
        <f t="shared" si="79"/>
        <v>0</v>
      </c>
      <c r="FF34" s="44">
        <f t="shared" si="80"/>
        <v>0</v>
      </c>
      <c r="FG34" s="44">
        <f t="shared" si="81"/>
        <v>0</v>
      </c>
      <c r="FH34" s="44">
        <f t="shared" si="82"/>
        <v>0</v>
      </c>
      <c r="FI34" s="44">
        <f t="shared" si="83"/>
        <v>0</v>
      </c>
      <c r="FJ34" s="44">
        <f t="shared" si="84"/>
        <v>0</v>
      </c>
      <c r="FK34" s="20" t="s">
        <v>29</v>
      </c>
      <c r="FL34" s="10">
        <f t="shared" si="85"/>
        <v>1.55</v>
      </c>
      <c r="FM34" s="10">
        <f t="shared" si="86"/>
        <v>10.8</v>
      </c>
      <c r="FN34" s="10">
        <f t="shared" si="87"/>
        <v>1.6</v>
      </c>
      <c r="FO34" s="10">
        <f t="shared" si="88"/>
        <v>10.85</v>
      </c>
      <c r="FP34" s="10">
        <f t="shared" si="89"/>
        <v>3.1500000000000004</v>
      </c>
      <c r="FQ34" s="10">
        <f t="shared" si="92"/>
        <v>21.65</v>
      </c>
      <c r="FR34" s="10">
        <f t="shared" si="93"/>
        <v>0</v>
      </c>
      <c r="FS34" s="10">
        <f t="shared" si="94"/>
        <v>0</v>
      </c>
      <c r="FT34" s="10">
        <f t="shared" si="95"/>
        <v>0</v>
      </c>
      <c r="FU34" s="10">
        <f t="shared" si="96"/>
        <v>0</v>
      </c>
      <c r="FV34" s="10" t="str">
        <f t="shared" si="97"/>
        <v/>
      </c>
      <c r="FW34" s="10" t="str">
        <f t="shared" si="106"/>
        <v/>
      </c>
      <c r="FX34" s="10">
        <f t="shared" si="107"/>
        <v>21.65</v>
      </c>
    </row>
    <row r="35" spans="1:180" x14ac:dyDescent="0.2">
      <c r="A35" s="3" t="str" cm="1">
        <f t="array" ref="A35">IF(AND(H35&lt;&gt;"",H35&lt;&gt;"No DD",I35&lt;&gt;"P"),SUMPRODUCT((H$4:H$40&lt;&gt;"")*(H$4:H$40&lt;&gt;"No DD")*(I$4:I$40&lt;&gt;"P")*(E$4:E$40&gt;E35))+1,IF(H35="No DD",SUMPRODUCT((H$4:H$40="No DD")*(I$4:I$40&lt;&gt;"P")*(E$4:E$40&gt;E35))+1+SUMPRODUCT((H$4:H$40&lt;&gt;"")*(I$4:I$40&lt;&gt;"P")*(H$4:H$40&lt;&gt;"No DD")),""))</f>
        <v/>
      </c>
      <c r="B35" s="4" t="s">
        <v>179</v>
      </c>
      <c r="C35" s="3" t="s">
        <v>4</v>
      </c>
      <c r="D35" s="3">
        <v>2006</v>
      </c>
      <c r="E35" s="8">
        <f t="shared" si="0"/>
        <v>42.700004270004271</v>
      </c>
      <c r="F35" s="2" t="str">
        <f t="shared" si="1"/>
        <v/>
      </c>
      <c r="G35" s="2" t="str">
        <f t="shared" si="2"/>
        <v/>
      </c>
      <c r="H35" s="26" t="str">
        <f t="shared" si="3"/>
        <v/>
      </c>
      <c r="I35" s="2" t="str">
        <f>IF(COUNTIFS('Senior-W'!B:B,B35,'Senior-W'!A:A,"&lt;9",'Senior-W'!H:H,"&lt;&gt;"&amp;"No DD"),"P","")</f>
        <v/>
      </c>
      <c r="J35" s="7">
        <f t="shared" si="4"/>
        <v>42.7</v>
      </c>
      <c r="K35" s="7" t="str">
        <f t="shared" si="5"/>
        <v>2025 Nationals</v>
      </c>
      <c r="L35" s="7">
        <f>IF(J35=AO35,IF(COUNT(AQ35,AS35,BO35,BQ35,BU35,BW35)&gt;1,LARGE((AQ35,AS35,BO35,BQ35,BU35,BW35),1),0),IF(COUNT(AK35,AM35,AQ35,AS35,BU35,BW35)&gt;1,LARGE((AK35,AM35,AQ35,AS35,BU35,BW35),1),0))</f>
        <v>0</v>
      </c>
      <c r="M35" s="7" t="str">
        <f t="shared" si="6"/>
        <v/>
      </c>
      <c r="N35" s="7">
        <f>IF(J35=AO35,IF(COUNT(AQ35,AS35,BO35,BQ35,BU35,BW35)&gt;1,LARGE((AQ35,AS35,BO35,BQ35,BU35,BW35),2),0),IF(COUNT(AK35,AM35,AQ35,AS35,BU35,BW35)&gt;1,LARGE((AK35,AM35,AQ35,AS35,BU35,BW35),2),0))</f>
        <v>0</v>
      </c>
      <c r="O35" s="7" t="str">
        <f t="shared" si="7"/>
        <v/>
      </c>
      <c r="P35" s="7" t="str">
        <f t="shared" si="8"/>
        <v/>
      </c>
      <c r="Q35" s="10" t="str">
        <f t="shared" si="9"/>
        <v/>
      </c>
      <c r="R35" s="7" t="str">
        <f t="shared" si="10"/>
        <v/>
      </c>
      <c r="S35" s="39">
        <v>17.3</v>
      </c>
      <c r="T35" s="39">
        <v>3.5</v>
      </c>
      <c r="U35" s="39">
        <v>0.6</v>
      </c>
      <c r="V35" s="39">
        <v>0</v>
      </c>
      <c r="W35" s="39">
        <v>18.899999999999999</v>
      </c>
      <c r="X35" s="39">
        <v>3.6</v>
      </c>
      <c r="Y35" s="39">
        <v>0</v>
      </c>
      <c r="Z35" s="39">
        <v>0</v>
      </c>
      <c r="AA35" s="39" t="s">
        <v>182</v>
      </c>
      <c r="AB35" s="39" t="s">
        <v>182</v>
      </c>
      <c r="AC35" s="39" t="s">
        <v>182</v>
      </c>
      <c r="AD35" s="39" t="s">
        <v>182</v>
      </c>
      <c r="AE35" s="39" t="s">
        <v>182</v>
      </c>
      <c r="AF35" s="39" t="s">
        <v>182</v>
      </c>
      <c r="AG35" s="39" t="s">
        <v>182</v>
      </c>
      <c r="AH35" s="39" t="s">
        <v>182</v>
      </c>
      <c r="AI35" s="19"/>
      <c r="AJ35" s="42">
        <f t="shared" si="11"/>
        <v>3.5</v>
      </c>
      <c r="AK35" s="42">
        <f t="shared" si="12"/>
        <v>20.2</v>
      </c>
      <c r="AL35" s="42">
        <f t="shared" si="13"/>
        <v>3.6</v>
      </c>
      <c r="AM35" s="42">
        <f t="shared" si="14"/>
        <v>22.5</v>
      </c>
      <c r="AN35" s="27">
        <f t="shared" si="15"/>
        <v>7.1</v>
      </c>
      <c r="AO35" s="27">
        <f t="shared" si="16"/>
        <v>42.7</v>
      </c>
      <c r="AP35" s="27" t="str">
        <f t="shared" si="17"/>
        <v/>
      </c>
      <c r="AQ35" s="27" t="str">
        <f t="shared" si="18"/>
        <v/>
      </c>
      <c r="AR35" s="27" t="str">
        <f t="shared" si="19"/>
        <v/>
      </c>
      <c r="AS35" s="27" t="str">
        <f t="shared" si="20"/>
        <v/>
      </c>
      <c r="AT35" s="27" t="str">
        <f t="shared" si="21"/>
        <v/>
      </c>
      <c r="AU35" s="27" t="str">
        <f t="shared" si="22"/>
        <v/>
      </c>
      <c r="AV35" s="27">
        <f t="shared" si="23"/>
        <v>42.7</v>
      </c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20"/>
      <c r="BN35" s="43" t="str">
        <f t="shared" si="24"/>
        <v/>
      </c>
      <c r="BO35" s="43" t="str">
        <f t="shared" si="25"/>
        <v/>
      </c>
      <c r="BP35" s="43" t="str">
        <f t="shared" si="26"/>
        <v/>
      </c>
      <c r="BQ35" s="43" t="str">
        <f t="shared" si="27"/>
        <v/>
      </c>
      <c r="BR35" s="10" t="str">
        <f t="shared" si="28"/>
        <v/>
      </c>
      <c r="BS35" s="10" t="str">
        <f t="shared" si="29"/>
        <v/>
      </c>
      <c r="BT35" s="10" t="str">
        <f t="shared" si="30"/>
        <v/>
      </c>
      <c r="BU35" s="10" t="str">
        <f t="shared" si="31"/>
        <v/>
      </c>
      <c r="BV35" s="10" t="str">
        <f t="shared" si="32"/>
        <v/>
      </c>
      <c r="BW35" s="10" t="str">
        <f t="shared" si="33"/>
        <v/>
      </c>
      <c r="BX35" s="10" t="str">
        <f t="shared" si="34"/>
        <v/>
      </c>
      <c r="BY35" s="10" t="str">
        <f t="shared" si="35"/>
        <v/>
      </c>
      <c r="BZ35" s="10" t="str">
        <f t="shared" si="36"/>
        <v/>
      </c>
      <c r="CA35" s="34" t="str">
        <f t="shared" si="37"/>
        <v/>
      </c>
      <c r="CB35" s="34" t="str">
        <f t="shared" si="38"/>
        <v/>
      </c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27" t="str">
        <f t="shared" si="39"/>
        <v/>
      </c>
      <c r="CX35" s="27" t="str">
        <f t="shared" si="40"/>
        <v/>
      </c>
      <c r="CY35" s="27" t="str">
        <f t="shared" si="41"/>
        <v/>
      </c>
      <c r="CZ35" s="27" t="str">
        <f t="shared" si="42"/>
        <v/>
      </c>
      <c r="DA35" s="27" t="str">
        <f t="shared" si="43"/>
        <v/>
      </c>
      <c r="DB35" s="27" t="str">
        <f t="shared" si="44"/>
        <v/>
      </c>
      <c r="DC35" s="27" t="str">
        <f t="shared" si="45"/>
        <v/>
      </c>
      <c r="DD35" s="27" t="str">
        <f t="shared" si="46"/>
        <v/>
      </c>
      <c r="DE35" s="27" t="str">
        <f t="shared" si="47"/>
        <v/>
      </c>
      <c r="DF35" s="27" t="str">
        <f t="shared" si="48"/>
        <v/>
      </c>
      <c r="DG35" s="27" t="str">
        <f t="shared" si="49"/>
        <v/>
      </c>
      <c r="DH35" s="27" t="str">
        <f t="shared" si="50"/>
        <v/>
      </c>
      <c r="DI35" s="27" t="str">
        <f t="shared" si="51"/>
        <v/>
      </c>
      <c r="DJ35" s="27" t="str">
        <f t="shared" si="52"/>
        <v/>
      </c>
      <c r="DK35" s="27" t="str">
        <f t="shared" si="53"/>
        <v/>
      </c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0" t="str">
        <f t="shared" si="54"/>
        <v/>
      </c>
      <c r="EG35" s="10" t="str">
        <f t="shared" si="55"/>
        <v/>
      </c>
      <c r="EH35" s="10" t="str">
        <f t="shared" si="56"/>
        <v/>
      </c>
      <c r="EI35" s="10" t="str">
        <f t="shared" si="57"/>
        <v/>
      </c>
      <c r="EJ35" s="10" t="str">
        <f t="shared" si="58"/>
        <v/>
      </c>
      <c r="EK35" s="10" t="str">
        <f t="shared" si="59"/>
        <v/>
      </c>
      <c r="EL35" s="10" t="str">
        <f t="shared" si="60"/>
        <v/>
      </c>
      <c r="EM35" s="10" t="str">
        <f t="shared" si="61"/>
        <v/>
      </c>
      <c r="EN35" s="10" t="str">
        <f t="shared" si="62"/>
        <v/>
      </c>
      <c r="EO35" s="10" t="str">
        <f t="shared" si="63"/>
        <v/>
      </c>
      <c r="EP35" s="10" t="str">
        <f t="shared" si="64"/>
        <v/>
      </c>
      <c r="EQ35" s="10" t="str">
        <f t="shared" si="65"/>
        <v/>
      </c>
      <c r="ER35" s="10" t="str">
        <f t="shared" si="66"/>
        <v/>
      </c>
      <c r="ES35" s="10" t="str">
        <f t="shared" si="67"/>
        <v/>
      </c>
      <c r="ET35" s="10" t="str">
        <f t="shared" si="68"/>
        <v/>
      </c>
      <c r="EU35" s="44">
        <f t="shared" si="69"/>
        <v>8.65</v>
      </c>
      <c r="EV35" s="44">
        <f t="shared" si="70"/>
        <v>1.75</v>
      </c>
      <c r="EW35" s="44">
        <f t="shared" si="71"/>
        <v>0.3</v>
      </c>
      <c r="EX35" s="44">
        <f t="shared" si="72"/>
        <v>0</v>
      </c>
      <c r="EY35" s="44">
        <f t="shared" si="73"/>
        <v>9.4499999999999993</v>
      </c>
      <c r="EZ35" s="44">
        <f t="shared" si="74"/>
        <v>1.8</v>
      </c>
      <c r="FA35" s="44">
        <f t="shared" si="75"/>
        <v>0</v>
      </c>
      <c r="FB35" s="44">
        <f t="shared" si="76"/>
        <v>0</v>
      </c>
      <c r="FC35" s="44" t="e">
        <f t="shared" si="77"/>
        <v>#VALUE!</v>
      </c>
      <c r="FD35" s="44" t="e">
        <f t="shared" si="78"/>
        <v>#VALUE!</v>
      </c>
      <c r="FE35" s="44" t="e">
        <f t="shared" si="79"/>
        <v>#VALUE!</v>
      </c>
      <c r="FF35" s="44" t="e">
        <f t="shared" si="80"/>
        <v>#VALUE!</v>
      </c>
      <c r="FG35" s="44" t="e">
        <f t="shared" si="81"/>
        <v>#VALUE!</v>
      </c>
      <c r="FH35" s="44" t="e">
        <f t="shared" si="82"/>
        <v>#VALUE!</v>
      </c>
      <c r="FI35" s="44" t="e">
        <f t="shared" si="83"/>
        <v>#VALUE!</v>
      </c>
      <c r="FJ35" s="44" t="e">
        <f t="shared" si="84"/>
        <v>#VALUE!</v>
      </c>
      <c r="FK35" s="20" t="s">
        <v>29</v>
      </c>
      <c r="FL35" s="10">
        <f t="shared" si="85"/>
        <v>1.75</v>
      </c>
      <c r="FM35" s="10">
        <f t="shared" si="86"/>
        <v>10.1</v>
      </c>
      <c r="FN35" s="10">
        <f t="shared" si="87"/>
        <v>1.8</v>
      </c>
      <c r="FO35" s="10">
        <f t="shared" si="88"/>
        <v>11.25</v>
      </c>
      <c r="FP35" s="10">
        <f t="shared" si="89"/>
        <v>3.55</v>
      </c>
      <c r="FQ35" s="10">
        <f t="shared" si="92"/>
        <v>21.35</v>
      </c>
      <c r="FR35" s="10" t="e">
        <f t="shared" si="93"/>
        <v>#VALUE!</v>
      </c>
      <c r="FS35" s="10" t="e">
        <f t="shared" si="94"/>
        <v>#VALUE!</v>
      </c>
      <c r="FT35" s="10" t="e">
        <f t="shared" si="95"/>
        <v>#VALUE!</v>
      </c>
      <c r="FU35" s="10" t="e">
        <f t="shared" si="96"/>
        <v>#VALUE!</v>
      </c>
      <c r="FV35" s="10" t="e">
        <f t="shared" si="97"/>
        <v>#VALUE!</v>
      </c>
      <c r="FW35" s="10" t="e">
        <f t="shared" si="106"/>
        <v>#VALUE!</v>
      </c>
      <c r="FX35" s="10" t="e">
        <f t="shared" si="107"/>
        <v>#VALUE!</v>
      </c>
    </row>
    <row r="36" spans="1:180" x14ac:dyDescent="0.2">
      <c r="A36" s="3" t="str" cm="1">
        <f t="array" ref="A36">IF(AND(H36&lt;&gt;"",H36&lt;&gt;"No DD",I36&lt;&gt;"P"),SUMPRODUCT((H$4:H$40&lt;&gt;"")*(H$4:H$40&lt;&gt;"No DD")*(I$4:I$40&lt;&gt;"P")*(E$4:E$40&gt;E36))+1,IF(H36="No DD",SUMPRODUCT((H$4:H$40="No DD")*(I$4:I$40&lt;&gt;"P")*(E$4:E$40&gt;E36))+1+SUMPRODUCT((H$4:H$40&lt;&gt;"")*(I$4:I$40&lt;&gt;"P")*(H$4:H$40&lt;&gt;"No DD")),""))</f>
        <v/>
      </c>
      <c r="B36" s="4" t="s">
        <v>164</v>
      </c>
      <c r="C36" s="3" t="s">
        <v>4</v>
      </c>
      <c r="D36" s="3">
        <v>2005</v>
      </c>
      <c r="E36" s="8">
        <f t="shared" si="0"/>
        <v>38.900003890003894</v>
      </c>
      <c r="F36" s="2" t="str">
        <f t="shared" si="1"/>
        <v/>
      </c>
      <c r="G36" s="2" t="str">
        <f t="shared" si="2"/>
        <v/>
      </c>
      <c r="H36" s="26" t="str">
        <f t="shared" si="3"/>
        <v/>
      </c>
      <c r="I36" s="2" t="str">
        <f>IF(COUNTIFS('Senior-W'!B:B,B36,'Senior-W'!A:A,"&lt;9",'Senior-W'!H:H,"&lt;&gt;"&amp;"No DD"),"P","")</f>
        <v/>
      </c>
      <c r="J36" s="7">
        <f t="shared" si="4"/>
        <v>38.900000000000006</v>
      </c>
      <c r="K36" s="7" t="str">
        <f t="shared" si="5"/>
        <v>2025 Nationals</v>
      </c>
      <c r="L36" s="7">
        <f>IF(J36=AO36,IF(COUNT(AQ36,AS36,BO36,BQ36,BU36,BW36)&gt;1,LARGE((AQ36,AS36,BO36,BQ36,BU36,BW36),1),0),IF(COUNT(AK36,AM36,AQ36,AS36,BU36,BW36)&gt;1,LARGE((AK36,AM36,AQ36,AS36,BU36,BW36),1),0))</f>
        <v>0</v>
      </c>
      <c r="M36" s="7" t="str">
        <f t="shared" si="6"/>
        <v/>
      </c>
      <c r="N36" s="7">
        <f>IF(J36=AO36,IF(COUNT(AQ36,AS36,BO36,BQ36,BU36,BW36)&gt;1,LARGE((AQ36,AS36,BO36,BQ36,BU36,BW36),2),0),IF(COUNT(AK36,AM36,AQ36,AS36,BU36,BW36)&gt;1,LARGE((AK36,AM36,AQ36,AS36,BU36,BW36),2),0))</f>
        <v>0</v>
      </c>
      <c r="O36" s="7" t="str">
        <f t="shared" si="7"/>
        <v/>
      </c>
      <c r="P36" s="7" t="str">
        <f t="shared" si="8"/>
        <v/>
      </c>
      <c r="Q36" s="10" t="str">
        <f t="shared" si="9"/>
        <v/>
      </c>
      <c r="R36" s="7" t="str">
        <f t="shared" si="10"/>
        <v/>
      </c>
      <c r="S36" s="39">
        <v>15.4</v>
      </c>
      <c r="T36" s="39">
        <v>0.7</v>
      </c>
      <c r="U36" s="39">
        <v>0</v>
      </c>
      <c r="V36" s="39">
        <v>0</v>
      </c>
      <c r="W36" s="39">
        <v>19.3</v>
      </c>
      <c r="X36" s="39">
        <v>3.5</v>
      </c>
      <c r="Y36" s="39">
        <v>0</v>
      </c>
      <c r="Z36" s="39">
        <v>0</v>
      </c>
      <c r="AA36" s="39"/>
      <c r="AB36" s="39"/>
      <c r="AC36" s="39"/>
      <c r="AD36" s="39"/>
      <c r="AE36" s="39"/>
      <c r="AF36" s="39"/>
      <c r="AG36" s="39"/>
      <c r="AH36" s="39"/>
      <c r="AI36" s="19"/>
      <c r="AJ36" s="42">
        <f t="shared" si="11"/>
        <v>0.7</v>
      </c>
      <c r="AK36" s="42">
        <f t="shared" si="12"/>
        <v>16.100000000000001</v>
      </c>
      <c r="AL36" s="42">
        <f t="shared" si="13"/>
        <v>3.5</v>
      </c>
      <c r="AM36" s="42">
        <f t="shared" si="14"/>
        <v>22.8</v>
      </c>
      <c r="AN36" s="27">
        <f t="shared" si="15"/>
        <v>4.2</v>
      </c>
      <c r="AO36" s="27">
        <f t="shared" si="16"/>
        <v>38.900000000000006</v>
      </c>
      <c r="AP36" s="27" t="str">
        <f t="shared" si="17"/>
        <v/>
      </c>
      <c r="AQ36" s="27" t="str">
        <f t="shared" si="18"/>
        <v/>
      </c>
      <c r="AR36" s="27" t="str">
        <f t="shared" si="19"/>
        <v/>
      </c>
      <c r="AS36" s="27" t="str">
        <f t="shared" si="20"/>
        <v/>
      </c>
      <c r="AT36" s="27" t="str">
        <f t="shared" si="21"/>
        <v/>
      </c>
      <c r="AU36" s="27" t="str">
        <f t="shared" si="22"/>
        <v/>
      </c>
      <c r="AV36" s="27">
        <f t="shared" si="23"/>
        <v>38.900000000000006</v>
      </c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20"/>
      <c r="BN36" s="43" t="str">
        <f t="shared" si="24"/>
        <v/>
      </c>
      <c r="BO36" s="43" t="str">
        <f t="shared" si="25"/>
        <v/>
      </c>
      <c r="BP36" s="43" t="str">
        <f t="shared" si="26"/>
        <v/>
      </c>
      <c r="BQ36" s="43" t="str">
        <f t="shared" si="27"/>
        <v/>
      </c>
      <c r="BR36" s="10" t="str">
        <f t="shared" si="28"/>
        <v/>
      </c>
      <c r="BS36" s="10" t="str">
        <f t="shared" si="29"/>
        <v/>
      </c>
      <c r="BT36" s="10" t="str">
        <f t="shared" si="30"/>
        <v/>
      </c>
      <c r="BU36" s="10" t="str">
        <f t="shared" si="31"/>
        <v/>
      </c>
      <c r="BV36" s="10" t="str">
        <f t="shared" si="32"/>
        <v/>
      </c>
      <c r="BW36" s="10" t="str">
        <f t="shared" si="33"/>
        <v/>
      </c>
      <c r="BX36" s="10" t="str">
        <f t="shared" si="34"/>
        <v/>
      </c>
      <c r="BY36" s="10" t="str">
        <f t="shared" si="35"/>
        <v/>
      </c>
      <c r="BZ36" s="10" t="str">
        <f t="shared" si="36"/>
        <v/>
      </c>
      <c r="CA36" s="34" t="str">
        <f t="shared" si="37"/>
        <v/>
      </c>
      <c r="CB36" s="34" t="str">
        <f t="shared" si="38"/>
        <v/>
      </c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27" t="str">
        <f t="shared" si="39"/>
        <v/>
      </c>
      <c r="CX36" s="27" t="str">
        <f t="shared" si="40"/>
        <v/>
      </c>
      <c r="CY36" s="27" t="str">
        <f t="shared" si="41"/>
        <v/>
      </c>
      <c r="CZ36" s="27" t="str">
        <f t="shared" si="42"/>
        <v/>
      </c>
      <c r="DA36" s="27" t="str">
        <f t="shared" si="43"/>
        <v/>
      </c>
      <c r="DB36" s="27" t="str">
        <f t="shared" si="44"/>
        <v/>
      </c>
      <c r="DC36" s="27" t="str">
        <f t="shared" si="45"/>
        <v/>
      </c>
      <c r="DD36" s="27" t="str">
        <f t="shared" si="46"/>
        <v/>
      </c>
      <c r="DE36" s="27" t="str">
        <f t="shared" si="47"/>
        <v/>
      </c>
      <c r="DF36" s="27" t="str">
        <f t="shared" si="48"/>
        <v/>
      </c>
      <c r="DG36" s="27" t="str">
        <f t="shared" si="49"/>
        <v/>
      </c>
      <c r="DH36" s="27" t="str">
        <f t="shared" si="50"/>
        <v/>
      </c>
      <c r="DI36" s="27" t="str">
        <f t="shared" si="51"/>
        <v/>
      </c>
      <c r="DJ36" s="27" t="str">
        <f t="shared" si="52"/>
        <v/>
      </c>
      <c r="DK36" s="27" t="str">
        <f t="shared" si="53"/>
        <v/>
      </c>
      <c r="DL36" s="15"/>
      <c r="DM36" s="15"/>
      <c r="DN36" s="15"/>
      <c r="DO36" s="15"/>
      <c r="DP36" s="15"/>
      <c r="DQ36" s="15"/>
      <c r="DR36" s="15"/>
      <c r="DS36" s="15"/>
      <c r="DT36" s="15"/>
      <c r="DU36" s="15"/>
      <c r="DV36" s="15"/>
      <c r="DW36" s="15"/>
      <c r="DX36" s="15"/>
      <c r="DY36" s="15"/>
      <c r="DZ36" s="15"/>
      <c r="EA36" s="15"/>
      <c r="EB36" s="15"/>
      <c r="EC36" s="15"/>
      <c r="ED36" s="15"/>
      <c r="EE36" s="15"/>
      <c r="EF36" s="10" t="str">
        <f t="shared" si="54"/>
        <v/>
      </c>
      <c r="EG36" s="10" t="str">
        <f t="shared" si="55"/>
        <v/>
      </c>
      <c r="EH36" s="10" t="str">
        <f t="shared" si="56"/>
        <v/>
      </c>
      <c r="EI36" s="10" t="str">
        <f t="shared" si="57"/>
        <v/>
      </c>
      <c r="EJ36" s="10" t="str">
        <f t="shared" si="58"/>
        <v/>
      </c>
      <c r="EK36" s="10" t="str">
        <f t="shared" si="59"/>
        <v/>
      </c>
      <c r="EL36" s="10" t="str">
        <f t="shared" si="60"/>
        <v/>
      </c>
      <c r="EM36" s="10" t="str">
        <f t="shared" si="61"/>
        <v/>
      </c>
      <c r="EN36" s="10" t="str">
        <f t="shared" si="62"/>
        <v/>
      </c>
      <c r="EO36" s="10" t="str">
        <f t="shared" si="63"/>
        <v/>
      </c>
      <c r="EP36" s="10" t="str">
        <f t="shared" si="64"/>
        <v/>
      </c>
      <c r="EQ36" s="10" t="str">
        <f t="shared" si="65"/>
        <v/>
      </c>
      <c r="ER36" s="10" t="str">
        <f t="shared" si="66"/>
        <v/>
      </c>
      <c r="ES36" s="10" t="str">
        <f t="shared" si="67"/>
        <v/>
      </c>
      <c r="ET36" s="10" t="str">
        <f t="shared" si="68"/>
        <v/>
      </c>
      <c r="EU36" s="44">
        <f t="shared" si="69"/>
        <v>7.7</v>
      </c>
      <c r="EV36" s="44">
        <f t="shared" si="70"/>
        <v>0.35</v>
      </c>
      <c r="EW36" s="44">
        <f t="shared" si="71"/>
        <v>0</v>
      </c>
      <c r="EX36" s="44">
        <f t="shared" si="72"/>
        <v>0</v>
      </c>
      <c r="EY36" s="44">
        <f t="shared" si="73"/>
        <v>9.65</v>
      </c>
      <c r="EZ36" s="44">
        <f t="shared" si="74"/>
        <v>1.75</v>
      </c>
      <c r="FA36" s="44">
        <f t="shared" si="75"/>
        <v>0</v>
      </c>
      <c r="FB36" s="44">
        <f t="shared" si="76"/>
        <v>0</v>
      </c>
      <c r="FC36" s="44">
        <f t="shared" si="77"/>
        <v>0</v>
      </c>
      <c r="FD36" s="44">
        <f t="shared" si="78"/>
        <v>0</v>
      </c>
      <c r="FE36" s="44">
        <f t="shared" si="79"/>
        <v>0</v>
      </c>
      <c r="FF36" s="44">
        <f t="shared" si="80"/>
        <v>0</v>
      </c>
      <c r="FG36" s="44">
        <f t="shared" si="81"/>
        <v>0</v>
      </c>
      <c r="FH36" s="44">
        <f t="shared" si="82"/>
        <v>0</v>
      </c>
      <c r="FI36" s="44">
        <f t="shared" si="83"/>
        <v>0</v>
      </c>
      <c r="FJ36" s="44">
        <f t="shared" si="84"/>
        <v>0</v>
      </c>
      <c r="FK36" s="20" t="s">
        <v>29</v>
      </c>
      <c r="FL36" s="10">
        <f t="shared" si="85"/>
        <v>0.35</v>
      </c>
      <c r="FM36" s="10">
        <f t="shared" si="86"/>
        <v>8.0500000000000007</v>
      </c>
      <c r="FN36" s="10">
        <f t="shared" si="87"/>
        <v>1.75</v>
      </c>
      <c r="FO36" s="10">
        <f t="shared" si="88"/>
        <v>11.4</v>
      </c>
      <c r="FP36" s="10">
        <f t="shared" si="89"/>
        <v>2.1</v>
      </c>
      <c r="FQ36" s="10">
        <f t="shared" si="92"/>
        <v>19.450000000000003</v>
      </c>
      <c r="FR36" s="10">
        <f t="shared" si="93"/>
        <v>0</v>
      </c>
      <c r="FS36" s="10">
        <f t="shared" si="94"/>
        <v>0</v>
      </c>
      <c r="FT36" s="10">
        <f t="shared" si="95"/>
        <v>0</v>
      </c>
      <c r="FU36" s="10">
        <f t="shared" si="96"/>
        <v>0</v>
      </c>
      <c r="FV36" s="10" t="str">
        <f t="shared" si="97"/>
        <v/>
      </c>
      <c r="FW36" s="10" t="str">
        <f t="shared" si="106"/>
        <v/>
      </c>
      <c r="FX36" s="10">
        <f t="shared" si="107"/>
        <v>19.450000000000003</v>
      </c>
    </row>
    <row r="37" spans="1:180" x14ac:dyDescent="0.2">
      <c r="A37" s="3" t="str" cm="1">
        <f t="array" ref="A37">IF(AND(H37&lt;&gt;"",H37&lt;&gt;"No DD",I37&lt;&gt;"P"),SUMPRODUCT((H$4:H$40&lt;&gt;"")*(H$4:H$40&lt;&gt;"No DD")*(I$4:I$40&lt;&gt;"P")*(E$4:E$40&gt;E37))+1,IF(H37="No DD",SUMPRODUCT((H$4:H$40="No DD")*(I$4:I$40&lt;&gt;"P")*(E$4:E$40&gt;E37))+1+SUMPRODUCT((H$4:H$40&lt;&gt;"")*(I$4:I$40&lt;&gt;"P")*(H$4:H$40&lt;&gt;"No DD")),""))</f>
        <v/>
      </c>
      <c r="B37" s="4" t="s">
        <v>176</v>
      </c>
      <c r="C37" s="3" t="s">
        <v>83</v>
      </c>
      <c r="D37" s="3">
        <v>2005</v>
      </c>
      <c r="E37" s="8">
        <f t="shared" si="0"/>
        <v>34.100003410003403</v>
      </c>
      <c r="F37" s="2" t="str">
        <f t="shared" si="1"/>
        <v/>
      </c>
      <c r="G37" s="2" t="str">
        <f t="shared" si="2"/>
        <v/>
      </c>
      <c r="H37" s="26" t="str">
        <f t="shared" si="3"/>
        <v/>
      </c>
      <c r="I37" s="2" t="str">
        <f>IF(COUNTIFS('Senior-W'!B:B,B37,'Senior-W'!A:A,"&lt;9",'Senior-W'!H:H,"&lt;&gt;"&amp;"No DD"),"P","")</f>
        <v/>
      </c>
      <c r="J37" s="7">
        <f t="shared" si="4"/>
        <v>34.099999999999994</v>
      </c>
      <c r="K37" s="7" t="str">
        <f t="shared" si="5"/>
        <v>2025 Nationals</v>
      </c>
      <c r="L37" s="7">
        <f>IF(J37=AO37,IF(COUNT(AQ37,AS37,BO37,BQ37,BU37,BW37)&gt;1,LARGE((AQ37,AS37,BO37,BQ37,BU37,BW37),1),0),IF(COUNT(AK37,AM37,AQ37,AS37,BU37,BW37)&gt;1,LARGE((AK37,AM37,AQ37,AS37,BU37,BW37),1),0))</f>
        <v>0</v>
      </c>
      <c r="M37" s="7" t="str">
        <f t="shared" si="6"/>
        <v/>
      </c>
      <c r="N37" s="7">
        <f>IF(J37=AO37,IF(COUNT(AQ37,AS37,BO37,BQ37,BU37,BW37)&gt;1,LARGE((AQ37,AS37,BO37,BQ37,BU37,BW37),2),0),IF(COUNT(AK37,AM37,AQ37,AS37,BU37,BW37)&gt;1,LARGE((AK37,AM37,AQ37,AS37,BU37,BW37),2),0))</f>
        <v>0</v>
      </c>
      <c r="O37" s="7" t="str">
        <f t="shared" si="7"/>
        <v/>
      </c>
      <c r="P37" s="7" t="str">
        <f t="shared" si="8"/>
        <v/>
      </c>
      <c r="Q37" s="10" t="str">
        <f t="shared" si="9"/>
        <v/>
      </c>
      <c r="R37" s="7" t="str">
        <f t="shared" si="10"/>
        <v/>
      </c>
      <c r="S37" s="39">
        <v>15.5</v>
      </c>
      <c r="T37" s="39">
        <v>1.2</v>
      </c>
      <c r="U37" s="39">
        <v>0</v>
      </c>
      <c r="V37" s="39">
        <v>0</v>
      </c>
      <c r="W37" s="39">
        <v>15</v>
      </c>
      <c r="X37" s="39">
        <v>2.4</v>
      </c>
      <c r="Y37" s="39">
        <v>0</v>
      </c>
      <c r="Z37" s="39">
        <v>0</v>
      </c>
      <c r="AA37" s="39"/>
      <c r="AB37" s="39"/>
      <c r="AC37" s="39"/>
      <c r="AD37" s="39"/>
      <c r="AE37" s="39"/>
      <c r="AF37" s="39"/>
      <c r="AG37" s="39"/>
      <c r="AH37" s="39"/>
      <c r="AI37" s="19"/>
      <c r="AJ37" s="42">
        <f t="shared" si="11"/>
        <v>1.2</v>
      </c>
      <c r="AK37" s="42">
        <f t="shared" si="12"/>
        <v>16.7</v>
      </c>
      <c r="AL37" s="42">
        <f t="shared" si="13"/>
        <v>2.4</v>
      </c>
      <c r="AM37" s="42">
        <f t="shared" si="14"/>
        <v>17.399999999999999</v>
      </c>
      <c r="AN37" s="27">
        <f t="shared" si="15"/>
        <v>3.5999999999999996</v>
      </c>
      <c r="AO37" s="27">
        <f t="shared" si="16"/>
        <v>34.099999999999994</v>
      </c>
      <c r="AP37" s="27" t="str">
        <f t="shared" si="17"/>
        <v/>
      </c>
      <c r="AQ37" s="27" t="str">
        <f t="shared" si="18"/>
        <v/>
      </c>
      <c r="AR37" s="27" t="str">
        <f t="shared" si="19"/>
        <v/>
      </c>
      <c r="AS37" s="27" t="str">
        <f t="shared" si="20"/>
        <v/>
      </c>
      <c r="AT37" s="27" t="str">
        <f t="shared" si="21"/>
        <v/>
      </c>
      <c r="AU37" s="27" t="str">
        <f t="shared" si="22"/>
        <v/>
      </c>
      <c r="AV37" s="27">
        <f t="shared" si="23"/>
        <v>34.099999999999994</v>
      </c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20"/>
      <c r="BN37" s="43" t="str">
        <f t="shared" si="24"/>
        <v/>
      </c>
      <c r="BO37" s="43" t="str">
        <f t="shared" si="25"/>
        <v/>
      </c>
      <c r="BP37" s="43" t="str">
        <f t="shared" si="26"/>
        <v/>
      </c>
      <c r="BQ37" s="43" t="str">
        <f t="shared" si="27"/>
        <v/>
      </c>
      <c r="BR37" s="10" t="str">
        <f t="shared" si="28"/>
        <v/>
      </c>
      <c r="BS37" s="10" t="str">
        <f t="shared" si="29"/>
        <v/>
      </c>
      <c r="BT37" s="10" t="str">
        <f t="shared" si="30"/>
        <v/>
      </c>
      <c r="BU37" s="10" t="str">
        <f t="shared" si="31"/>
        <v/>
      </c>
      <c r="BV37" s="10" t="str">
        <f t="shared" si="32"/>
        <v/>
      </c>
      <c r="BW37" s="10" t="str">
        <f t="shared" si="33"/>
        <v/>
      </c>
      <c r="BX37" s="10" t="str">
        <f t="shared" si="34"/>
        <v/>
      </c>
      <c r="BY37" s="10" t="str">
        <f t="shared" si="35"/>
        <v/>
      </c>
      <c r="BZ37" s="10" t="str">
        <f t="shared" si="36"/>
        <v/>
      </c>
      <c r="CA37" s="34" t="str">
        <f t="shared" si="37"/>
        <v/>
      </c>
      <c r="CB37" s="34" t="str">
        <f t="shared" si="38"/>
        <v/>
      </c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27" t="str">
        <f t="shared" si="39"/>
        <v/>
      </c>
      <c r="CX37" s="27" t="str">
        <f t="shared" si="40"/>
        <v/>
      </c>
      <c r="CY37" s="27" t="str">
        <f t="shared" si="41"/>
        <v/>
      </c>
      <c r="CZ37" s="27" t="str">
        <f t="shared" si="42"/>
        <v/>
      </c>
      <c r="DA37" s="27" t="str">
        <f t="shared" si="43"/>
        <v/>
      </c>
      <c r="DB37" s="27" t="str">
        <f t="shared" si="44"/>
        <v/>
      </c>
      <c r="DC37" s="27" t="str">
        <f t="shared" si="45"/>
        <v/>
      </c>
      <c r="DD37" s="27" t="str">
        <f t="shared" si="46"/>
        <v/>
      </c>
      <c r="DE37" s="27" t="str">
        <f t="shared" si="47"/>
        <v/>
      </c>
      <c r="DF37" s="27" t="str">
        <f t="shared" si="48"/>
        <v/>
      </c>
      <c r="DG37" s="27" t="str">
        <f t="shared" si="49"/>
        <v/>
      </c>
      <c r="DH37" s="27" t="str">
        <f t="shared" si="50"/>
        <v/>
      </c>
      <c r="DI37" s="27" t="str">
        <f t="shared" si="51"/>
        <v/>
      </c>
      <c r="DJ37" s="27" t="str">
        <f t="shared" si="52"/>
        <v/>
      </c>
      <c r="DK37" s="27" t="str">
        <f t="shared" si="53"/>
        <v/>
      </c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  <c r="EE37" s="15"/>
      <c r="EF37" s="10" t="str">
        <f t="shared" si="54"/>
        <v/>
      </c>
      <c r="EG37" s="10" t="str">
        <f t="shared" si="55"/>
        <v/>
      </c>
      <c r="EH37" s="10" t="str">
        <f t="shared" si="56"/>
        <v/>
      </c>
      <c r="EI37" s="10" t="str">
        <f t="shared" si="57"/>
        <v/>
      </c>
      <c r="EJ37" s="10" t="str">
        <f t="shared" si="58"/>
        <v/>
      </c>
      <c r="EK37" s="10" t="str">
        <f t="shared" si="59"/>
        <v/>
      </c>
      <c r="EL37" s="10" t="str">
        <f t="shared" si="60"/>
        <v/>
      </c>
      <c r="EM37" s="10" t="str">
        <f t="shared" si="61"/>
        <v/>
      </c>
      <c r="EN37" s="10" t="str">
        <f t="shared" si="62"/>
        <v/>
      </c>
      <c r="EO37" s="10" t="str">
        <f t="shared" si="63"/>
        <v/>
      </c>
      <c r="EP37" s="10" t="str">
        <f t="shared" si="64"/>
        <v/>
      </c>
      <c r="EQ37" s="10" t="str">
        <f t="shared" si="65"/>
        <v/>
      </c>
      <c r="ER37" s="10" t="str">
        <f t="shared" si="66"/>
        <v/>
      </c>
      <c r="ES37" s="10" t="str">
        <f t="shared" si="67"/>
        <v/>
      </c>
      <c r="ET37" s="10" t="str">
        <f t="shared" si="68"/>
        <v/>
      </c>
      <c r="EU37" s="44">
        <f t="shared" si="69"/>
        <v>7.75</v>
      </c>
      <c r="EV37" s="44">
        <f t="shared" si="70"/>
        <v>0.6</v>
      </c>
      <c r="EW37" s="44">
        <f t="shared" si="71"/>
        <v>0</v>
      </c>
      <c r="EX37" s="44">
        <f t="shared" si="72"/>
        <v>0</v>
      </c>
      <c r="EY37" s="44">
        <f t="shared" si="73"/>
        <v>7.5</v>
      </c>
      <c r="EZ37" s="44">
        <f t="shared" si="74"/>
        <v>1.2</v>
      </c>
      <c r="FA37" s="44">
        <f t="shared" si="75"/>
        <v>0</v>
      </c>
      <c r="FB37" s="44">
        <f t="shared" si="76"/>
        <v>0</v>
      </c>
      <c r="FC37" s="44">
        <f t="shared" si="77"/>
        <v>0</v>
      </c>
      <c r="FD37" s="44">
        <f t="shared" si="78"/>
        <v>0</v>
      </c>
      <c r="FE37" s="44">
        <f t="shared" si="79"/>
        <v>0</v>
      </c>
      <c r="FF37" s="44">
        <f t="shared" si="80"/>
        <v>0</v>
      </c>
      <c r="FG37" s="44">
        <f t="shared" si="81"/>
        <v>0</v>
      </c>
      <c r="FH37" s="44">
        <f t="shared" si="82"/>
        <v>0</v>
      </c>
      <c r="FI37" s="44">
        <f t="shared" si="83"/>
        <v>0</v>
      </c>
      <c r="FJ37" s="44">
        <f t="shared" si="84"/>
        <v>0</v>
      </c>
      <c r="FK37" s="20" t="s">
        <v>29</v>
      </c>
      <c r="FL37" s="10">
        <f t="shared" si="85"/>
        <v>0.6</v>
      </c>
      <c r="FM37" s="10">
        <f t="shared" si="86"/>
        <v>8.35</v>
      </c>
      <c r="FN37" s="10">
        <f t="shared" si="87"/>
        <v>1.2</v>
      </c>
      <c r="FO37" s="10">
        <f t="shared" si="88"/>
        <v>8.6999999999999993</v>
      </c>
      <c r="FP37" s="10">
        <f t="shared" si="89"/>
        <v>1.7999999999999998</v>
      </c>
      <c r="FQ37" s="10">
        <f t="shared" si="92"/>
        <v>17.049999999999997</v>
      </c>
      <c r="FR37" s="10">
        <f t="shared" si="93"/>
        <v>0</v>
      </c>
      <c r="FS37" s="10">
        <f t="shared" si="94"/>
        <v>0</v>
      </c>
      <c r="FT37" s="10">
        <f t="shared" si="95"/>
        <v>0</v>
      </c>
      <c r="FU37" s="10">
        <f t="shared" si="96"/>
        <v>0</v>
      </c>
      <c r="FV37" s="10" t="str">
        <f t="shared" si="97"/>
        <v/>
      </c>
      <c r="FW37" s="10" t="str">
        <f t="shared" si="106"/>
        <v/>
      </c>
      <c r="FX37" s="10">
        <f t="shared" si="107"/>
        <v>17.049999999999997</v>
      </c>
    </row>
    <row r="38" spans="1:180" x14ac:dyDescent="0.2">
      <c r="A38" s="3" t="str" cm="1">
        <f t="array" ref="A38">IF(AND(H38&lt;&gt;"",H38&lt;&gt;"No DD",I38&lt;&gt;"P"),SUMPRODUCT((H$4:H$40&lt;&gt;"")*(H$4:H$40&lt;&gt;"No DD")*(I$4:I$40&lt;&gt;"P")*(E$4:E$40&gt;E38))+1,IF(H38="No DD",SUMPRODUCT((H$4:H$40="No DD")*(I$4:I$40&lt;&gt;"P")*(E$4:E$40&gt;E38))+1+SUMPRODUCT((H$4:H$40&lt;&gt;"")*(I$4:I$40&lt;&gt;"P")*(H$4:H$40&lt;&gt;"No DD")),""))</f>
        <v/>
      </c>
      <c r="B38" s="4" t="s">
        <v>181</v>
      </c>
      <c r="C38" s="3" t="s">
        <v>4</v>
      </c>
      <c r="D38" s="3">
        <v>2007</v>
      </c>
      <c r="E38" s="8">
        <f t="shared" si="0"/>
        <v>32.700003270003272</v>
      </c>
      <c r="F38" s="2" t="str">
        <f t="shared" si="1"/>
        <v/>
      </c>
      <c r="G38" s="2" t="str">
        <f t="shared" si="2"/>
        <v/>
      </c>
      <c r="H38" s="26" t="str">
        <f t="shared" si="3"/>
        <v/>
      </c>
      <c r="I38" s="2" t="str">
        <f>IF(COUNTIFS('Senior-W'!B:B,B38,'Senior-W'!A:A,"&lt;9",'Senior-W'!H:H,"&lt;&gt;"&amp;"No DD"),"P","")</f>
        <v/>
      </c>
      <c r="J38" s="7">
        <f t="shared" si="4"/>
        <v>32.700000000000003</v>
      </c>
      <c r="K38" s="7" t="str">
        <f t="shared" si="5"/>
        <v>2025 Nationals</v>
      </c>
      <c r="L38" s="7">
        <f>IF(J38=AO38,IF(COUNT(AQ38,AS38,BO38,BQ38,BU38,BW38)&gt;1,LARGE((AQ38,AS38,BO38,BQ38,BU38,BW38),1),0),IF(COUNT(AK38,AM38,AQ38,AS38,BU38,BW38)&gt;1,LARGE((AK38,AM38,AQ38,AS38,BU38,BW38),1),0))</f>
        <v>0</v>
      </c>
      <c r="M38" s="7" t="str">
        <f t="shared" si="6"/>
        <v/>
      </c>
      <c r="N38" s="7">
        <f>IF(J38=AO38,IF(COUNT(AQ38,AS38,BO38,BQ38,BU38,BW38)&gt;1,LARGE((AQ38,AS38,BO38,BQ38,BU38,BW38),2),0),IF(COUNT(AK38,AM38,AQ38,AS38,BU38,BW38)&gt;1,LARGE((AK38,AM38,AQ38,AS38,BU38,BW38),2),0))</f>
        <v>0</v>
      </c>
      <c r="O38" s="7" t="str">
        <f t="shared" si="7"/>
        <v/>
      </c>
      <c r="P38" s="7" t="str">
        <f t="shared" si="8"/>
        <v/>
      </c>
      <c r="Q38" s="10" t="str">
        <f t="shared" si="9"/>
        <v/>
      </c>
      <c r="R38" s="7" t="str">
        <f t="shared" si="10"/>
        <v/>
      </c>
      <c r="S38" s="39">
        <v>15.3</v>
      </c>
      <c r="T38" s="39">
        <v>2.4</v>
      </c>
      <c r="U38" s="39">
        <v>0</v>
      </c>
      <c r="V38" s="39">
        <v>0</v>
      </c>
      <c r="W38" s="39">
        <v>15.2</v>
      </c>
      <c r="X38" s="39">
        <v>0</v>
      </c>
      <c r="Y38" s="39">
        <v>0.2</v>
      </c>
      <c r="Z38" s="39">
        <v>0</v>
      </c>
      <c r="AA38" s="39" t="s">
        <v>182</v>
      </c>
      <c r="AB38" s="39" t="s">
        <v>182</v>
      </c>
      <c r="AC38" s="39" t="s">
        <v>182</v>
      </c>
      <c r="AD38" s="39" t="s">
        <v>182</v>
      </c>
      <c r="AE38" s="39" t="s">
        <v>182</v>
      </c>
      <c r="AF38" s="39" t="s">
        <v>182</v>
      </c>
      <c r="AG38" s="39" t="s">
        <v>182</v>
      </c>
      <c r="AH38" s="39" t="s">
        <v>182</v>
      </c>
      <c r="AI38" s="19"/>
      <c r="AJ38" s="42">
        <f t="shared" si="11"/>
        <v>2.4</v>
      </c>
      <c r="AK38" s="42">
        <f t="shared" si="12"/>
        <v>17.7</v>
      </c>
      <c r="AL38" s="42">
        <f t="shared" si="13"/>
        <v>0</v>
      </c>
      <c r="AM38" s="42">
        <f t="shared" si="14"/>
        <v>15</v>
      </c>
      <c r="AN38" s="27">
        <f t="shared" si="15"/>
        <v>2.4</v>
      </c>
      <c r="AO38" s="27">
        <f t="shared" si="16"/>
        <v>32.700000000000003</v>
      </c>
      <c r="AP38" s="27" t="str">
        <f t="shared" si="17"/>
        <v/>
      </c>
      <c r="AQ38" s="27" t="str">
        <f t="shared" si="18"/>
        <v/>
      </c>
      <c r="AR38" s="27" t="str">
        <f t="shared" si="19"/>
        <v/>
      </c>
      <c r="AS38" s="27" t="str">
        <f t="shared" si="20"/>
        <v/>
      </c>
      <c r="AT38" s="27" t="str">
        <f t="shared" si="21"/>
        <v/>
      </c>
      <c r="AU38" s="27" t="str">
        <f t="shared" si="22"/>
        <v/>
      </c>
      <c r="AV38" s="27">
        <f t="shared" si="23"/>
        <v>32.700000000000003</v>
      </c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20"/>
      <c r="BN38" s="43" t="str">
        <f t="shared" si="24"/>
        <v/>
      </c>
      <c r="BO38" s="43" t="str">
        <f t="shared" si="25"/>
        <v/>
      </c>
      <c r="BP38" s="43" t="str">
        <f t="shared" si="26"/>
        <v/>
      </c>
      <c r="BQ38" s="43" t="str">
        <f t="shared" si="27"/>
        <v/>
      </c>
      <c r="BR38" s="10" t="str">
        <f t="shared" si="28"/>
        <v/>
      </c>
      <c r="BS38" s="10" t="str">
        <f t="shared" si="29"/>
        <v/>
      </c>
      <c r="BT38" s="10" t="str">
        <f t="shared" si="30"/>
        <v/>
      </c>
      <c r="BU38" s="10" t="str">
        <f t="shared" si="31"/>
        <v/>
      </c>
      <c r="BV38" s="10" t="str">
        <f t="shared" si="32"/>
        <v/>
      </c>
      <c r="BW38" s="10" t="str">
        <f t="shared" si="33"/>
        <v/>
      </c>
      <c r="BX38" s="10" t="str">
        <f t="shared" si="34"/>
        <v/>
      </c>
      <c r="BY38" s="10" t="str">
        <f t="shared" si="35"/>
        <v/>
      </c>
      <c r="BZ38" s="10" t="str">
        <f t="shared" si="36"/>
        <v/>
      </c>
      <c r="CA38" s="34" t="str">
        <f t="shared" si="37"/>
        <v/>
      </c>
      <c r="CB38" s="34" t="str">
        <f t="shared" si="38"/>
        <v/>
      </c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27" t="str">
        <f t="shared" si="39"/>
        <v/>
      </c>
      <c r="CX38" s="27" t="str">
        <f t="shared" si="40"/>
        <v/>
      </c>
      <c r="CY38" s="27" t="str">
        <f t="shared" si="41"/>
        <v/>
      </c>
      <c r="CZ38" s="27" t="str">
        <f t="shared" si="42"/>
        <v/>
      </c>
      <c r="DA38" s="27" t="str">
        <f t="shared" si="43"/>
        <v/>
      </c>
      <c r="DB38" s="27" t="str">
        <f t="shared" si="44"/>
        <v/>
      </c>
      <c r="DC38" s="27" t="str">
        <f t="shared" si="45"/>
        <v/>
      </c>
      <c r="DD38" s="27" t="str">
        <f t="shared" si="46"/>
        <v/>
      </c>
      <c r="DE38" s="27" t="str">
        <f t="shared" si="47"/>
        <v/>
      </c>
      <c r="DF38" s="27" t="str">
        <f t="shared" si="48"/>
        <v/>
      </c>
      <c r="DG38" s="27" t="str">
        <f t="shared" si="49"/>
        <v/>
      </c>
      <c r="DH38" s="27" t="str">
        <f t="shared" si="50"/>
        <v/>
      </c>
      <c r="DI38" s="27" t="str">
        <f t="shared" si="51"/>
        <v/>
      </c>
      <c r="DJ38" s="27" t="str">
        <f t="shared" si="52"/>
        <v/>
      </c>
      <c r="DK38" s="27" t="str">
        <f t="shared" si="53"/>
        <v/>
      </c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0" t="str">
        <f t="shared" si="54"/>
        <v/>
      </c>
      <c r="EG38" s="10" t="str">
        <f t="shared" si="55"/>
        <v/>
      </c>
      <c r="EH38" s="10" t="str">
        <f t="shared" si="56"/>
        <v/>
      </c>
      <c r="EI38" s="10" t="str">
        <f t="shared" si="57"/>
        <v/>
      </c>
      <c r="EJ38" s="10" t="str">
        <f t="shared" si="58"/>
        <v/>
      </c>
      <c r="EK38" s="10" t="str">
        <f t="shared" si="59"/>
        <v/>
      </c>
      <c r="EL38" s="10" t="str">
        <f t="shared" si="60"/>
        <v/>
      </c>
      <c r="EM38" s="10" t="str">
        <f t="shared" si="61"/>
        <v/>
      </c>
      <c r="EN38" s="10" t="str">
        <f t="shared" si="62"/>
        <v/>
      </c>
      <c r="EO38" s="10" t="str">
        <f t="shared" si="63"/>
        <v/>
      </c>
      <c r="EP38" s="10" t="str">
        <f t="shared" si="64"/>
        <v/>
      </c>
      <c r="EQ38" s="10" t="str">
        <f t="shared" si="65"/>
        <v/>
      </c>
      <c r="ER38" s="10" t="str">
        <f t="shared" si="66"/>
        <v/>
      </c>
      <c r="ES38" s="10" t="str">
        <f t="shared" si="67"/>
        <v/>
      </c>
      <c r="ET38" s="10" t="str">
        <f t="shared" si="68"/>
        <v/>
      </c>
      <c r="EU38" s="44">
        <f t="shared" si="69"/>
        <v>7.65</v>
      </c>
      <c r="EV38" s="44">
        <f t="shared" si="70"/>
        <v>1.2</v>
      </c>
      <c r="EW38" s="44">
        <f t="shared" si="71"/>
        <v>0</v>
      </c>
      <c r="EX38" s="44">
        <f t="shared" si="72"/>
        <v>0</v>
      </c>
      <c r="EY38" s="44">
        <f t="shared" si="73"/>
        <v>7.6</v>
      </c>
      <c r="EZ38" s="44">
        <f t="shared" si="74"/>
        <v>0</v>
      </c>
      <c r="FA38" s="44">
        <f t="shared" si="75"/>
        <v>0.1</v>
      </c>
      <c r="FB38" s="44">
        <f t="shared" si="76"/>
        <v>0</v>
      </c>
      <c r="FC38" s="44" t="e">
        <f t="shared" si="77"/>
        <v>#VALUE!</v>
      </c>
      <c r="FD38" s="44" t="e">
        <f t="shared" si="78"/>
        <v>#VALUE!</v>
      </c>
      <c r="FE38" s="44" t="e">
        <f t="shared" si="79"/>
        <v>#VALUE!</v>
      </c>
      <c r="FF38" s="44" t="e">
        <f t="shared" si="80"/>
        <v>#VALUE!</v>
      </c>
      <c r="FG38" s="44" t="e">
        <f t="shared" si="81"/>
        <v>#VALUE!</v>
      </c>
      <c r="FH38" s="44" t="e">
        <f t="shared" si="82"/>
        <v>#VALUE!</v>
      </c>
      <c r="FI38" s="44" t="e">
        <f t="shared" si="83"/>
        <v>#VALUE!</v>
      </c>
      <c r="FJ38" s="44" t="e">
        <f t="shared" si="84"/>
        <v>#VALUE!</v>
      </c>
      <c r="FK38" s="20" t="s">
        <v>29</v>
      </c>
      <c r="FL38" s="10">
        <f t="shared" si="85"/>
        <v>1.2</v>
      </c>
      <c r="FM38" s="10">
        <f t="shared" si="86"/>
        <v>8.85</v>
      </c>
      <c r="FN38" s="10">
        <f t="shared" si="87"/>
        <v>0</v>
      </c>
      <c r="FO38" s="10">
        <f t="shared" si="88"/>
        <v>7.5</v>
      </c>
      <c r="FP38" s="10">
        <f t="shared" si="89"/>
        <v>1.2</v>
      </c>
      <c r="FQ38" s="10">
        <f t="shared" si="92"/>
        <v>16.350000000000001</v>
      </c>
      <c r="FR38" s="10" t="e">
        <f t="shared" si="93"/>
        <v>#VALUE!</v>
      </c>
      <c r="FS38" s="10" t="e">
        <f t="shared" si="94"/>
        <v>#VALUE!</v>
      </c>
      <c r="FT38" s="10" t="e">
        <f t="shared" si="95"/>
        <v>#VALUE!</v>
      </c>
      <c r="FU38" s="10" t="e">
        <f t="shared" si="96"/>
        <v>#VALUE!</v>
      </c>
      <c r="FV38" s="10" t="e">
        <f t="shared" si="97"/>
        <v>#VALUE!</v>
      </c>
      <c r="FW38" s="10" t="e">
        <f t="shared" si="106"/>
        <v>#VALUE!</v>
      </c>
      <c r="FX38" s="10" t="e">
        <f t="shared" si="107"/>
        <v>#VALUE!</v>
      </c>
    </row>
    <row r="39" spans="1:180" x14ac:dyDescent="0.2">
      <c r="A39" s="3" t="str" cm="1">
        <f t="array" ref="A39">IF(AND(H39&lt;&gt;"",H39&lt;&gt;"No DD",I39&lt;&gt;"P"),SUMPRODUCT((H$4:H$40&lt;&gt;"")*(H$4:H$40&lt;&gt;"No DD")*(I$4:I$40&lt;&gt;"P")*(E$4:E$40&gt;E39))+1,IF(H39="No DD",SUMPRODUCT((H$4:H$40="No DD")*(I$4:I$40&lt;&gt;"P")*(E$4:E$40&gt;E39))+1+SUMPRODUCT((H$4:H$40&lt;&gt;"")*(I$4:I$40&lt;&gt;"P")*(H$4:H$40&lt;&gt;"No DD")),""))</f>
        <v/>
      </c>
      <c r="B39" s="4" t="s">
        <v>180</v>
      </c>
      <c r="C39" s="3" t="s">
        <v>5</v>
      </c>
      <c r="D39" s="3">
        <v>2005</v>
      </c>
      <c r="E39" s="8">
        <f t="shared" si="0"/>
        <v>0</v>
      </c>
      <c r="F39" s="2" t="str">
        <f t="shared" si="1"/>
        <v/>
      </c>
      <c r="G39" s="2" t="str">
        <f t="shared" si="2"/>
        <v/>
      </c>
      <c r="H39" s="26" t="str">
        <f t="shared" si="3"/>
        <v/>
      </c>
      <c r="I39" s="2" t="str">
        <f>IF(COUNTIFS('Senior-W'!B:B,B39,'Senior-W'!A:A,"&lt;9",'Senior-W'!H:H,"&lt;&gt;"&amp;"No DD"),"P","")</f>
        <v/>
      </c>
      <c r="J39" s="7">
        <f t="shared" si="4"/>
        <v>0</v>
      </c>
      <c r="K39" s="7" t="str">
        <f t="shared" si="5"/>
        <v/>
      </c>
      <c r="L39" s="7">
        <f>IF(J39=AO39,IF(COUNT(AQ39,AS39,BO39,BQ39,BU39,BW39)&gt;1,LARGE((AQ39,AS39,BO39,BQ39,BU39,BW39),1),0),IF(COUNT(AK39,AM39,AQ39,AS39,BU39,BW39)&gt;1,LARGE((AK39,AM39,AQ39,AS39,BU39,BW39),1),0))</f>
        <v>0</v>
      </c>
      <c r="M39" s="7" t="str">
        <f t="shared" si="6"/>
        <v/>
      </c>
      <c r="N39" s="7">
        <f>IF(J39=AO39,IF(COUNT(AQ39,AS39,BO39,BQ39,BU39,BW39)&gt;1,LARGE((AQ39,AS39,BO39,BQ39,BU39,BW39),2),0),IF(COUNT(AK39,AM39,AQ39,AS39,BU39,BW39)&gt;1,LARGE((AK39,AM39,AQ39,AS39,BU39,BW39),2),0))</f>
        <v>0</v>
      </c>
      <c r="O39" s="7" t="str">
        <f t="shared" si="7"/>
        <v/>
      </c>
      <c r="P39" s="7" t="str">
        <f t="shared" si="8"/>
        <v/>
      </c>
      <c r="Q39" s="10" t="str">
        <f t="shared" si="9"/>
        <v/>
      </c>
      <c r="R39" s="7" t="str">
        <f t="shared" si="10"/>
        <v/>
      </c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19"/>
      <c r="AJ39" s="42" t="str">
        <f t="shared" si="11"/>
        <v/>
      </c>
      <c r="AK39" s="42" t="str">
        <f t="shared" si="12"/>
        <v/>
      </c>
      <c r="AL39" s="42" t="str">
        <f t="shared" si="13"/>
        <v/>
      </c>
      <c r="AM39" s="42" t="str">
        <f t="shared" si="14"/>
        <v/>
      </c>
      <c r="AN39" s="27" t="str">
        <f t="shared" si="15"/>
        <v/>
      </c>
      <c r="AO39" s="27" t="str">
        <f t="shared" si="16"/>
        <v/>
      </c>
      <c r="AP39" s="27" t="str">
        <f t="shared" si="17"/>
        <v/>
      </c>
      <c r="AQ39" s="27" t="str">
        <f t="shared" si="18"/>
        <v/>
      </c>
      <c r="AR39" s="27" t="str">
        <f t="shared" si="19"/>
        <v/>
      </c>
      <c r="AS39" s="27" t="str">
        <f t="shared" si="20"/>
        <v/>
      </c>
      <c r="AT39" s="27" t="str">
        <f t="shared" si="21"/>
        <v/>
      </c>
      <c r="AU39" s="27" t="str">
        <f t="shared" si="22"/>
        <v/>
      </c>
      <c r="AV39" s="27" t="str">
        <f t="shared" si="23"/>
        <v/>
      </c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20"/>
      <c r="BN39" s="43" t="str">
        <f t="shared" si="24"/>
        <v/>
      </c>
      <c r="BO39" s="43" t="str">
        <f t="shared" si="25"/>
        <v/>
      </c>
      <c r="BP39" s="43" t="str">
        <f t="shared" si="26"/>
        <v/>
      </c>
      <c r="BQ39" s="43" t="str">
        <f t="shared" si="27"/>
        <v/>
      </c>
      <c r="BR39" s="10" t="str">
        <f t="shared" si="28"/>
        <v/>
      </c>
      <c r="BS39" s="10" t="str">
        <f t="shared" si="29"/>
        <v/>
      </c>
      <c r="BT39" s="10" t="str">
        <f t="shared" si="30"/>
        <v/>
      </c>
      <c r="BU39" s="10" t="str">
        <f t="shared" si="31"/>
        <v/>
      </c>
      <c r="BV39" s="10" t="str">
        <f t="shared" si="32"/>
        <v/>
      </c>
      <c r="BW39" s="10" t="str">
        <f t="shared" si="33"/>
        <v/>
      </c>
      <c r="BX39" s="10" t="str">
        <f t="shared" si="34"/>
        <v/>
      </c>
      <c r="BY39" s="10" t="str">
        <f t="shared" si="35"/>
        <v/>
      </c>
      <c r="BZ39" s="10" t="str">
        <f t="shared" si="36"/>
        <v/>
      </c>
      <c r="CA39" s="34" t="str">
        <f t="shared" si="37"/>
        <v/>
      </c>
      <c r="CB39" s="34" t="str">
        <f t="shared" si="38"/>
        <v/>
      </c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27" t="str">
        <f t="shared" si="39"/>
        <v/>
      </c>
      <c r="CX39" s="27" t="str">
        <f t="shared" si="40"/>
        <v/>
      </c>
      <c r="CY39" s="27" t="str">
        <f t="shared" si="41"/>
        <v/>
      </c>
      <c r="CZ39" s="27" t="str">
        <f t="shared" si="42"/>
        <v/>
      </c>
      <c r="DA39" s="27" t="str">
        <f t="shared" si="43"/>
        <v/>
      </c>
      <c r="DB39" s="27" t="str">
        <f t="shared" si="44"/>
        <v/>
      </c>
      <c r="DC39" s="27" t="str">
        <f t="shared" si="45"/>
        <v/>
      </c>
      <c r="DD39" s="27" t="str">
        <f t="shared" si="46"/>
        <v/>
      </c>
      <c r="DE39" s="27" t="str">
        <f t="shared" si="47"/>
        <v/>
      </c>
      <c r="DF39" s="27" t="str">
        <f t="shared" si="48"/>
        <v/>
      </c>
      <c r="DG39" s="27" t="str">
        <f t="shared" si="49"/>
        <v/>
      </c>
      <c r="DH39" s="27" t="str">
        <f t="shared" si="50"/>
        <v/>
      </c>
      <c r="DI39" s="27" t="str">
        <f t="shared" si="51"/>
        <v/>
      </c>
      <c r="DJ39" s="27" t="str">
        <f t="shared" si="52"/>
        <v/>
      </c>
      <c r="DK39" s="27" t="str">
        <f t="shared" si="53"/>
        <v/>
      </c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15"/>
      <c r="EE39" s="15"/>
      <c r="EF39" s="10" t="str">
        <f t="shared" si="54"/>
        <v/>
      </c>
      <c r="EG39" s="10" t="str">
        <f t="shared" si="55"/>
        <v/>
      </c>
      <c r="EH39" s="10" t="str">
        <f t="shared" si="56"/>
        <v/>
      </c>
      <c r="EI39" s="10" t="str">
        <f t="shared" si="57"/>
        <v/>
      </c>
      <c r="EJ39" s="10" t="str">
        <f t="shared" si="58"/>
        <v/>
      </c>
      <c r="EK39" s="10" t="str">
        <f t="shared" si="59"/>
        <v/>
      </c>
      <c r="EL39" s="10" t="str">
        <f t="shared" si="60"/>
        <v/>
      </c>
      <c r="EM39" s="10" t="str">
        <f t="shared" si="61"/>
        <v/>
      </c>
      <c r="EN39" s="10" t="str">
        <f t="shared" si="62"/>
        <v/>
      </c>
      <c r="EO39" s="10" t="str">
        <f t="shared" si="63"/>
        <v/>
      </c>
      <c r="EP39" s="10" t="str">
        <f t="shared" si="64"/>
        <v/>
      </c>
      <c r="EQ39" s="10" t="str">
        <f t="shared" si="65"/>
        <v/>
      </c>
      <c r="ER39" s="10" t="str">
        <f t="shared" si="66"/>
        <v/>
      </c>
      <c r="ES39" s="10" t="str">
        <f t="shared" si="67"/>
        <v/>
      </c>
      <c r="ET39" s="10" t="str">
        <f t="shared" si="68"/>
        <v/>
      </c>
      <c r="EU39" s="44">
        <f t="shared" si="69"/>
        <v>0</v>
      </c>
      <c r="EV39" s="44">
        <f t="shared" si="70"/>
        <v>0</v>
      </c>
      <c r="EW39" s="44">
        <f t="shared" si="71"/>
        <v>0</v>
      </c>
      <c r="EX39" s="44">
        <f t="shared" si="72"/>
        <v>0</v>
      </c>
      <c r="EY39" s="44">
        <f t="shared" si="73"/>
        <v>0</v>
      </c>
      <c r="EZ39" s="44">
        <f t="shared" si="74"/>
        <v>0</v>
      </c>
      <c r="FA39" s="44">
        <f t="shared" si="75"/>
        <v>0</v>
      </c>
      <c r="FB39" s="44">
        <f t="shared" si="76"/>
        <v>0</v>
      </c>
      <c r="FC39" s="44">
        <f t="shared" si="77"/>
        <v>0</v>
      </c>
      <c r="FD39" s="44">
        <f t="shared" si="78"/>
        <v>0</v>
      </c>
      <c r="FE39" s="44">
        <f t="shared" si="79"/>
        <v>0</v>
      </c>
      <c r="FF39" s="44">
        <f t="shared" si="80"/>
        <v>0</v>
      </c>
      <c r="FG39" s="44">
        <f t="shared" si="81"/>
        <v>0</v>
      </c>
      <c r="FH39" s="44">
        <f t="shared" si="82"/>
        <v>0</v>
      </c>
      <c r="FI39" s="44">
        <f t="shared" si="83"/>
        <v>0</v>
      </c>
      <c r="FJ39" s="44">
        <f t="shared" si="84"/>
        <v>0</v>
      </c>
      <c r="FK39" s="20" t="s">
        <v>29</v>
      </c>
      <c r="FL39" s="10">
        <f t="shared" si="85"/>
        <v>0</v>
      </c>
      <c r="FM39" s="10">
        <f t="shared" si="86"/>
        <v>0</v>
      </c>
      <c r="FN39" s="10">
        <f t="shared" si="87"/>
        <v>0</v>
      </c>
      <c r="FO39" s="10">
        <f t="shared" si="88"/>
        <v>0</v>
      </c>
      <c r="FP39" s="10" t="str">
        <f t="shared" si="89"/>
        <v/>
      </c>
      <c r="FQ39" s="10" t="str">
        <f t="shared" si="92"/>
        <v/>
      </c>
      <c r="FR39" s="10">
        <f t="shared" si="93"/>
        <v>0</v>
      </c>
      <c r="FS39" s="10">
        <f t="shared" si="94"/>
        <v>0</v>
      </c>
      <c r="FT39" s="10">
        <f t="shared" si="95"/>
        <v>0</v>
      </c>
      <c r="FU39" s="10">
        <f t="shared" si="96"/>
        <v>0</v>
      </c>
      <c r="FV39" s="10" t="str">
        <f t="shared" si="97"/>
        <v/>
      </c>
      <c r="FW39" s="10" t="str">
        <f t="shared" si="106"/>
        <v/>
      </c>
      <c r="FX39" s="10" t="str">
        <f t="shared" si="107"/>
        <v/>
      </c>
    </row>
    <row r="40" spans="1:180" ht="17" x14ac:dyDescent="0.2">
      <c r="P40" s="9"/>
      <c r="Q40" s="9"/>
      <c r="R40" s="9"/>
    </row>
    <row r="41" spans="1:180" ht="17" x14ac:dyDescent="0.2">
      <c r="P41" s="9"/>
      <c r="Q41" s="9"/>
      <c r="R41" s="9"/>
    </row>
    <row r="42" spans="1:180" ht="17" x14ac:dyDescent="0.2">
      <c r="B42" s="17" t="s">
        <v>27</v>
      </c>
      <c r="P42" s="9"/>
      <c r="Q42" s="9"/>
      <c r="R42" s="9"/>
      <c r="AV42" s="28">
        <v>10.4</v>
      </c>
      <c r="BZ42" s="28">
        <v>10.4</v>
      </c>
      <c r="CW42" s="3"/>
      <c r="CX42" s="3"/>
      <c r="CY42" s="3"/>
      <c r="CZ42" s="3"/>
      <c r="DA42" s="3"/>
      <c r="DK42" s="28">
        <v>10.4</v>
      </c>
      <c r="EF42" s="3"/>
      <c r="EG42" s="3"/>
      <c r="EH42" s="3"/>
      <c r="EI42" s="3"/>
      <c r="EJ42" s="3"/>
      <c r="EK42" s="3"/>
      <c r="EL42" s="3"/>
      <c r="ET42" s="28">
        <v>10.4</v>
      </c>
    </row>
    <row r="43" spans="1:180" ht="17" hidden="1" x14ac:dyDescent="0.2">
      <c r="B43" s="22" t="s">
        <v>26</v>
      </c>
      <c r="P43" s="9"/>
      <c r="Q43" s="9"/>
      <c r="R43" s="9"/>
      <c r="AV43" s="40">
        <v>1000</v>
      </c>
      <c r="BZ43" s="40">
        <v>1000</v>
      </c>
      <c r="CW43" s="3"/>
      <c r="CX43" s="3"/>
      <c r="CY43" s="3"/>
      <c r="CZ43" s="3"/>
      <c r="DA43" s="3"/>
      <c r="DK43" s="40">
        <v>1000</v>
      </c>
      <c r="EF43" s="3"/>
      <c r="EG43" s="3"/>
      <c r="EH43" s="3"/>
      <c r="EI43" s="3"/>
      <c r="EJ43" s="3"/>
      <c r="EK43" s="3"/>
      <c r="EL43" s="3"/>
      <c r="ET43" s="40">
        <v>1000</v>
      </c>
    </row>
    <row r="44" spans="1:180" ht="17" hidden="1" x14ac:dyDescent="0.2">
      <c r="A44" s="4"/>
      <c r="B44" s="23" t="s">
        <v>125</v>
      </c>
      <c r="C44" s="16"/>
      <c r="P44" s="9"/>
      <c r="Q44" s="9"/>
      <c r="R44" s="9"/>
      <c r="AV44" s="29">
        <v>1000</v>
      </c>
      <c r="BZ44" s="29">
        <v>1000</v>
      </c>
      <c r="CW44" s="3"/>
      <c r="CX44" s="3"/>
      <c r="CY44" s="3"/>
      <c r="CZ44" s="3"/>
      <c r="DA44" s="3"/>
      <c r="DK44" s="29">
        <v>1000</v>
      </c>
      <c r="EF44" s="3"/>
      <c r="EG44" s="3"/>
      <c r="EH44" s="3"/>
      <c r="EI44" s="3"/>
      <c r="EJ44" s="3"/>
      <c r="EK44" s="3"/>
      <c r="EL44" s="3"/>
      <c r="ET44" s="29">
        <v>1000</v>
      </c>
    </row>
    <row r="45" spans="1:180" ht="17" x14ac:dyDescent="0.2">
      <c r="A45" s="4"/>
      <c r="B45" s="25" t="s">
        <v>24</v>
      </c>
      <c r="C45" s="16"/>
      <c r="P45" s="9"/>
      <c r="Q45" s="9"/>
      <c r="R45" s="9"/>
      <c r="AV45" s="30">
        <v>46.8</v>
      </c>
      <c r="BZ45" s="30">
        <v>46.8</v>
      </c>
      <c r="CW45" s="3"/>
      <c r="CX45" s="3"/>
      <c r="CY45" s="3"/>
      <c r="CZ45" s="3"/>
      <c r="DA45" s="3"/>
      <c r="DK45" s="30">
        <v>46.8</v>
      </c>
      <c r="EF45" s="3"/>
      <c r="EG45" s="3"/>
      <c r="EH45" s="3"/>
      <c r="EI45" s="3"/>
      <c r="EJ45" s="3"/>
      <c r="EK45" s="3"/>
      <c r="EL45" s="3"/>
      <c r="ET45" s="30">
        <v>46.8</v>
      </c>
    </row>
    <row r="46" spans="1:180" ht="17" hidden="1" x14ac:dyDescent="0.2">
      <c r="A46" s="4"/>
      <c r="B46" s="18" t="s">
        <v>25</v>
      </c>
      <c r="C46" s="16"/>
      <c r="P46" s="9"/>
      <c r="Q46" s="9"/>
      <c r="R46" s="9"/>
      <c r="AV46" s="31">
        <v>1000</v>
      </c>
      <c r="BZ46" s="31">
        <v>1000</v>
      </c>
      <c r="CW46" s="3"/>
      <c r="CX46" s="3"/>
      <c r="CY46" s="3"/>
      <c r="CZ46" s="3"/>
      <c r="DA46" s="3"/>
      <c r="DK46" s="31">
        <v>1000</v>
      </c>
      <c r="EF46" s="3"/>
      <c r="EG46" s="3"/>
      <c r="EH46" s="3"/>
      <c r="EI46" s="3"/>
      <c r="EJ46" s="3"/>
      <c r="EK46" s="3"/>
      <c r="EL46" s="3"/>
      <c r="ET46" s="31">
        <v>1000</v>
      </c>
    </row>
    <row r="47" spans="1:180" ht="17" hidden="1" x14ac:dyDescent="0.2">
      <c r="A47" s="4"/>
      <c r="B47" s="24" t="s">
        <v>124</v>
      </c>
      <c r="C47" s="16"/>
      <c r="P47" s="9"/>
      <c r="Q47" s="9"/>
      <c r="R47" s="9"/>
      <c r="AV47" s="32">
        <v>1000</v>
      </c>
      <c r="BZ47" s="32">
        <v>1000</v>
      </c>
      <c r="CW47" s="3"/>
      <c r="CX47" s="3"/>
      <c r="CY47" s="3"/>
      <c r="CZ47" s="3"/>
      <c r="DA47" s="3"/>
      <c r="DK47" s="32">
        <v>1000</v>
      </c>
      <c r="EF47" s="3"/>
      <c r="EG47" s="3"/>
      <c r="EH47" s="3"/>
      <c r="EI47" s="3"/>
      <c r="EJ47" s="3"/>
      <c r="EK47" s="3"/>
      <c r="EL47" s="3"/>
      <c r="ET47" s="32">
        <v>1000</v>
      </c>
    </row>
    <row r="48" spans="1:180" x14ac:dyDescent="0.2">
      <c r="B48" s="21" t="s">
        <v>30</v>
      </c>
      <c r="C48" s="1"/>
    </row>
    <row r="49" spans="1:3" x14ac:dyDescent="0.2">
      <c r="A49" s="4"/>
      <c r="B49" s="4"/>
      <c r="C49" s="16"/>
    </row>
    <row r="50" spans="1:3" x14ac:dyDescent="0.2">
      <c r="A50" s="4"/>
      <c r="B50" s="4"/>
      <c r="C50" s="16"/>
    </row>
    <row r="51" spans="1:3" x14ac:dyDescent="0.2">
      <c r="A51" s="4"/>
      <c r="B51" s="4"/>
      <c r="C51" s="16"/>
    </row>
    <row r="52" spans="1:3" x14ac:dyDescent="0.2">
      <c r="A52" s="4"/>
      <c r="B52" s="4"/>
      <c r="C52" s="4"/>
    </row>
    <row r="55" spans="1:3" x14ac:dyDescent="0.2">
      <c r="B55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39">
      <sortCondition descending="1" ref="F1:F40"/>
    </sortState>
  </autoFilter>
  <mergeCells count="46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EU2:EX2"/>
    <mergeCell ref="EY2:FB2"/>
    <mergeCell ref="FC2:FF2"/>
    <mergeCell ref="FG2:FJ2"/>
    <mergeCell ref="CS2:CV2"/>
    <mergeCell ref="DL2:DO2"/>
    <mergeCell ref="DP2:DS2"/>
    <mergeCell ref="DT2:DW2"/>
    <mergeCell ref="DX2:EA2"/>
    <mergeCell ref="EB2:EE2"/>
  </mergeCells>
  <conditionalFormatting sqref="A4:A1048576">
    <cfRule type="expression" dxfId="130" priority="44">
      <formula>IF(A4&gt;6,1,0)</formula>
    </cfRule>
    <cfRule type="expression" dxfId="129" priority="45" stopIfTrue="1">
      <formula>AND(G4="P",F4="")</formula>
    </cfRule>
  </conditionalFormatting>
  <conditionalFormatting sqref="H1:H1048576">
    <cfRule type="containsText" dxfId="128" priority="40" stopIfTrue="1" operator="containsText" text="National Team">
      <formula>NOT(ISERROR(SEARCH("National Team",H1)))</formula>
    </cfRule>
    <cfRule type="containsText" dxfId="127" priority="41" stopIfTrue="1" operator="containsText" text="Worlds Team">
      <formula>NOT(ISERROR(SEARCH("Worlds Team",H1)))</formula>
    </cfRule>
    <cfRule type="containsText" dxfId="126" priority="42" operator="containsText" text="Performance">
      <formula>NOT(ISERROR(SEARCH("Performance",H1)))</formula>
    </cfRule>
    <cfRule type="containsText" dxfId="125" priority="43" stopIfTrue="1" operator="containsText" text="No DD">
      <formula>NOT(ISERROR(SEARCH("No DD",H1)))</formula>
    </cfRule>
  </conditionalFormatting>
  <conditionalFormatting sqref="S4:AV39">
    <cfRule type="expression" dxfId="124" priority="39" stopIfTrue="1">
      <formula>IF($AI4&lt;&gt;"",1,0)</formula>
    </cfRule>
  </conditionalFormatting>
  <conditionalFormatting sqref="AW4:BZ39">
    <cfRule type="expression" dxfId="123" priority="38" stopIfTrue="1">
      <formula>IF($BM4&lt;&gt;"",1,0)</formula>
    </cfRule>
  </conditionalFormatting>
  <conditionalFormatting sqref="M1:M1048576 O1:O1048576 K1:K1048576">
    <cfRule type="expression" dxfId="122" priority="36" stopIfTrue="1">
      <formula>IF(K1=$AW$1,1,0)</formula>
    </cfRule>
    <cfRule type="expression" dxfId="121" priority="37" stopIfTrue="1">
      <formula>IF(K1=$S$1,1,0)</formula>
    </cfRule>
  </conditionalFormatting>
  <conditionalFormatting sqref="AJ1:AJ1048576 BN1:BN1048576 EH1:EH1048576">
    <cfRule type="cellIs" dxfId="120" priority="35" stopIfTrue="1" operator="between">
      <formula>AV$44-0.00001</formula>
      <formula>1000</formula>
    </cfRule>
  </conditionalFormatting>
  <conditionalFormatting sqref="AN1:AN1048576 BR1:BR1048576">
    <cfRule type="cellIs" dxfId="119" priority="33" operator="between">
      <formula>AV$42-0.00001</formula>
      <formula>AV$43-0.00001</formula>
    </cfRule>
    <cfRule type="cellIs" dxfId="118" priority="34" operator="between">
      <formula>AV$43-0.00001</formula>
      <formula>1000</formula>
    </cfRule>
  </conditionalFormatting>
  <conditionalFormatting sqref="AT1:AT1048576 BX1:BX1048576">
    <cfRule type="cellIs" dxfId="117" priority="31" operator="between">
      <formula>AV$43-0.00001</formula>
      <formula>1000</formula>
    </cfRule>
    <cfRule type="cellIs" dxfId="116" priority="32" stopIfTrue="1" operator="between">
      <formula>AV$42-0.00001</formula>
      <formula>AV$43-0.00001</formula>
    </cfRule>
  </conditionalFormatting>
  <conditionalFormatting sqref="AL1:AL1048576 BP1:BP1048576">
    <cfRule type="cellIs" dxfId="115" priority="30" operator="between">
      <formula>AV$44-0.00001</formula>
      <formula>1000</formula>
    </cfRule>
  </conditionalFormatting>
  <conditionalFormatting sqref="AP1:AP1048576 BT1:BT1048576 EN1:EN1048576">
    <cfRule type="cellIs" dxfId="114" priority="29" operator="between">
      <formula>AV$44-0.00001</formula>
      <formula>1000</formula>
    </cfRule>
  </conditionalFormatting>
  <conditionalFormatting sqref="AR1:AR1048576 BV1:BV1048576">
    <cfRule type="cellIs" dxfId="113" priority="28" operator="between">
      <formula>AV$44-0.00001</formula>
      <formula>1000</formula>
    </cfRule>
  </conditionalFormatting>
  <conditionalFormatting sqref="AK1:AK1048576 BO1:BO1048576">
    <cfRule type="cellIs" dxfId="112" priority="27" operator="between">
      <formula>AV$47-0.00001</formula>
      <formula>1000</formula>
    </cfRule>
  </conditionalFormatting>
  <conditionalFormatting sqref="AO1:AO1048576 BS1:BS1048576">
    <cfRule type="cellIs" dxfId="111" priority="25" operator="between">
      <formula>AV$45-0.00001</formula>
      <formula>AV$46-0.00001</formula>
    </cfRule>
    <cfRule type="cellIs" dxfId="110" priority="26" operator="between">
      <formula>AV$46-0.00001</formula>
      <formula>1000</formula>
    </cfRule>
  </conditionalFormatting>
  <conditionalFormatting sqref="AU1:AU1048576 BY1:BY1048576">
    <cfRule type="cellIs" dxfId="109" priority="23" stopIfTrue="1" operator="between">
      <formula>AV$46-0.00001</formula>
      <formula>1000</formula>
    </cfRule>
    <cfRule type="cellIs" dxfId="108" priority="24" operator="between">
      <formula>AV$45-0.00001</formula>
      <formula>AV$46-0.00001</formula>
    </cfRule>
  </conditionalFormatting>
  <conditionalFormatting sqref="AM1:AM1048576 BQ1:BQ1048576">
    <cfRule type="cellIs" dxfId="107" priority="21" stopIfTrue="1" operator="between">
      <formula>AV$47-0.00001</formula>
      <formula>1000</formula>
    </cfRule>
    <cfRule type="cellIs" dxfId="106" priority="22" operator="between">
      <formula>AT$47-0.00001</formula>
      <formula>#REF!-0.00001</formula>
    </cfRule>
  </conditionalFormatting>
  <conditionalFormatting sqref="AQ1:AQ1048576 BU1:BU1048576">
    <cfRule type="cellIs" dxfId="105" priority="20" stopIfTrue="1" operator="between">
      <formula>AV$47-0.00001</formula>
      <formula>1000</formula>
    </cfRule>
  </conditionalFormatting>
  <conditionalFormatting sqref="AS1:AS1048576 BW1:BW1048576">
    <cfRule type="cellIs" dxfId="104" priority="19" stopIfTrue="1" operator="between">
      <formula>AV$47-0.00001</formula>
      <formula>1000</formula>
    </cfRule>
  </conditionalFormatting>
  <conditionalFormatting sqref="CW1:CW1048576 EF1:EF1048576">
    <cfRule type="cellIs" dxfId="103" priority="18" operator="between">
      <formula>DK$44-0.00001</formula>
      <formula>1000</formula>
    </cfRule>
  </conditionalFormatting>
  <conditionalFormatting sqref="CX1:CX1048576 EG1:EG1048576">
    <cfRule type="cellIs" dxfId="102" priority="17" operator="between">
      <formula>DK$47-0.00001</formula>
      <formula>1000</formula>
    </cfRule>
  </conditionalFormatting>
  <conditionalFormatting sqref="DA1:DA1048576 EJ1:EJ1048576">
    <cfRule type="cellIs" dxfId="101" priority="15" stopIfTrue="1" operator="between">
      <formula>DK$42-0.00001</formula>
      <formula>DK$43-0.00001</formula>
    </cfRule>
    <cfRule type="cellIs" dxfId="100" priority="16" operator="between">
      <formula>DK$43-0.00001</formula>
      <formula>1000</formula>
    </cfRule>
  </conditionalFormatting>
  <conditionalFormatting sqref="DB1:DB1048576 EK1:EK1048576">
    <cfRule type="cellIs" dxfId="99" priority="13" operator="between">
      <formula>DK$45-0.00001</formula>
      <formula>DK$46-0.00001</formula>
    </cfRule>
    <cfRule type="cellIs" dxfId="98" priority="14" stopIfTrue="1" operator="between">
      <formula>DK$46-0.00001</formula>
      <formula>1000</formula>
    </cfRule>
  </conditionalFormatting>
  <conditionalFormatting sqref="CY1:CY1048576">
    <cfRule type="cellIs" dxfId="97" priority="12" stopIfTrue="1" operator="between">
      <formula>DK$44-0.00001</formula>
      <formula>1000</formula>
    </cfRule>
  </conditionalFormatting>
  <conditionalFormatting sqref="DC1:DC1048576 EL1:EL1048576">
    <cfRule type="cellIs" dxfId="96" priority="11" operator="between">
      <formula>DK$44-0.00001</formula>
      <formula>1000</formula>
    </cfRule>
  </conditionalFormatting>
  <conditionalFormatting sqref="DE1:DE1048576">
    <cfRule type="cellIs" dxfId="95" priority="10" operator="between">
      <formula>DK$44-0.00001</formula>
      <formula>1000</formula>
    </cfRule>
  </conditionalFormatting>
  <conditionalFormatting sqref="DG1:DG1048576 EP1:EP1048576">
    <cfRule type="cellIs" dxfId="94" priority="9" stopIfTrue="1" operator="between">
      <formula>DK$44-0.00001</formula>
      <formula>1000</formula>
    </cfRule>
  </conditionalFormatting>
  <conditionalFormatting sqref="CZ1:CZ1048576 EI1:EI1048576">
    <cfRule type="cellIs" dxfId="93" priority="8" stopIfTrue="1" operator="between">
      <formula>DK$47-0.00001</formula>
      <formula>1000</formula>
    </cfRule>
  </conditionalFormatting>
  <conditionalFormatting sqref="DD1:DD1048576 EM1:EM1048576">
    <cfRule type="cellIs" dxfId="92" priority="7" operator="between">
      <formula>DK$47-0.00001</formula>
      <formula>1000</formula>
    </cfRule>
  </conditionalFormatting>
  <conditionalFormatting sqref="DF1:DF1048576 EO1:EO1048576">
    <cfRule type="cellIs" dxfId="91" priority="6" operator="between">
      <formula>DK$47-0.00001</formula>
      <formula>1000</formula>
    </cfRule>
  </conditionalFormatting>
  <conditionalFormatting sqref="DH1:DH1048576 EQ1:EQ1048576">
    <cfRule type="cellIs" dxfId="90" priority="5" operator="between">
      <formula>DK$47-0.00001</formula>
      <formula>1000</formula>
    </cfRule>
  </conditionalFormatting>
  <conditionalFormatting sqref="DI1:DI1048576 ER1:ER1048576">
    <cfRule type="cellIs" dxfId="89" priority="3" operator="between">
      <formula>DK$43-0.00001</formula>
      <formula>1000</formula>
    </cfRule>
    <cfRule type="cellIs" dxfId="88" priority="4" operator="between">
      <formula>DK$42-0.00001</formula>
      <formula>DK$43-0.00001</formula>
    </cfRule>
  </conditionalFormatting>
  <conditionalFormatting sqref="DJ1:DJ1048576 ES1:ES1048576">
    <cfRule type="cellIs" dxfId="87" priority="1" operator="between">
      <formula>DK$45-0.00001</formula>
      <formula>DK$46-0.00001</formula>
    </cfRule>
    <cfRule type="cellIs" dxfId="86" priority="2" operator="between">
      <formula>DK$46-0.00001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A22F-6653-954C-A0CD-D0FA164BD66C}">
  <sheetPr codeName="Sheet23"/>
  <dimension ref="A1:FX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hidden="1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58" t="s">
        <v>1</v>
      </c>
      <c r="B1" s="58" t="s">
        <v>14</v>
      </c>
      <c r="C1" s="58" t="s">
        <v>0</v>
      </c>
      <c r="D1" s="58" t="s">
        <v>31</v>
      </c>
      <c r="E1" s="58" t="s">
        <v>2</v>
      </c>
      <c r="F1" s="59" t="s">
        <v>95</v>
      </c>
      <c r="G1" s="59" t="s">
        <v>8</v>
      </c>
      <c r="H1" s="58" t="s">
        <v>9</v>
      </c>
      <c r="I1" s="59" t="s">
        <v>39</v>
      </c>
      <c r="J1" s="56" t="s">
        <v>96</v>
      </c>
      <c r="K1" s="55" t="s">
        <v>16</v>
      </c>
      <c r="L1" s="56" t="s">
        <v>110</v>
      </c>
      <c r="M1" s="55" t="s">
        <v>16</v>
      </c>
      <c r="N1" s="56" t="s">
        <v>111</v>
      </c>
      <c r="O1" s="55" t="s">
        <v>16</v>
      </c>
      <c r="P1" s="57" t="s">
        <v>10</v>
      </c>
      <c r="Q1" s="55" t="s">
        <v>17</v>
      </c>
      <c r="R1" s="55" t="s">
        <v>16</v>
      </c>
      <c r="S1" s="52" t="s">
        <v>48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49" t="s">
        <v>49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3" t="s">
        <v>97</v>
      </c>
      <c r="CB1" s="53"/>
      <c r="CC1" s="52" t="s">
        <v>51</v>
      </c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  <c r="EU1" s="49" t="s">
        <v>98</v>
      </c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49"/>
      <c r="FH1" s="49"/>
      <c r="FI1" s="49"/>
      <c r="FJ1" s="49"/>
      <c r="FK1" s="49"/>
      <c r="FL1" s="49"/>
      <c r="FM1" s="49"/>
      <c r="FN1" s="49"/>
      <c r="FO1" s="49"/>
      <c r="FP1" s="49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58"/>
      <c r="B2" s="58"/>
      <c r="C2" s="58"/>
      <c r="D2" s="58"/>
      <c r="E2" s="58"/>
      <c r="F2" s="59"/>
      <c r="G2" s="59"/>
      <c r="H2" s="58"/>
      <c r="I2" s="59"/>
      <c r="J2" s="56"/>
      <c r="K2" s="55"/>
      <c r="L2" s="56"/>
      <c r="M2" s="55"/>
      <c r="N2" s="55"/>
      <c r="O2" s="55"/>
      <c r="P2" s="57"/>
      <c r="Q2" s="55"/>
      <c r="R2" s="55"/>
      <c r="S2" s="50" t="s">
        <v>99</v>
      </c>
      <c r="T2" s="50"/>
      <c r="U2" s="50"/>
      <c r="V2" s="50"/>
      <c r="W2" s="50" t="s">
        <v>100</v>
      </c>
      <c r="X2" s="50"/>
      <c r="Y2" s="50"/>
      <c r="Z2" s="50"/>
      <c r="AA2" s="50" t="s">
        <v>101</v>
      </c>
      <c r="AB2" s="50"/>
      <c r="AC2" s="50"/>
      <c r="AD2" s="50"/>
      <c r="AE2" s="51" t="s">
        <v>102</v>
      </c>
      <c r="AF2" s="51"/>
      <c r="AG2" s="51"/>
      <c r="AH2" s="51"/>
      <c r="AI2" s="13"/>
      <c r="AJ2" s="13" t="s">
        <v>116</v>
      </c>
      <c r="AK2" s="13" t="s">
        <v>112</v>
      </c>
      <c r="AL2" s="13" t="s">
        <v>117</v>
      </c>
      <c r="AM2" s="13" t="s">
        <v>113</v>
      </c>
      <c r="AN2" s="13" t="s">
        <v>103</v>
      </c>
      <c r="AO2" s="13" t="s">
        <v>13</v>
      </c>
      <c r="AP2" s="13" t="s">
        <v>118</v>
      </c>
      <c r="AQ2" s="13" t="s">
        <v>114</v>
      </c>
      <c r="AR2" s="13" t="s">
        <v>119</v>
      </c>
      <c r="AS2" s="13" t="s">
        <v>115</v>
      </c>
      <c r="AT2" s="13" t="s">
        <v>104</v>
      </c>
      <c r="AU2" s="13" t="s">
        <v>105</v>
      </c>
      <c r="AV2" s="13" t="s">
        <v>12</v>
      </c>
      <c r="AW2" s="46" t="s">
        <v>99</v>
      </c>
      <c r="AX2" s="46"/>
      <c r="AY2" s="46"/>
      <c r="AZ2" s="46"/>
      <c r="BA2" s="46" t="s">
        <v>100</v>
      </c>
      <c r="BB2" s="46"/>
      <c r="BC2" s="46"/>
      <c r="BD2" s="46"/>
      <c r="BE2" s="46" t="s">
        <v>101</v>
      </c>
      <c r="BF2" s="46"/>
      <c r="BG2" s="46"/>
      <c r="BH2" s="46"/>
      <c r="BI2" s="48" t="s">
        <v>102</v>
      </c>
      <c r="BJ2" s="48"/>
      <c r="BK2" s="48"/>
      <c r="BL2" s="48"/>
      <c r="BM2" s="12"/>
      <c r="BN2" s="12" t="s">
        <v>116</v>
      </c>
      <c r="BO2" s="12" t="s">
        <v>112</v>
      </c>
      <c r="BP2" s="12" t="s">
        <v>117</v>
      </c>
      <c r="BQ2" s="12" t="s">
        <v>113</v>
      </c>
      <c r="BR2" s="12" t="s">
        <v>103</v>
      </c>
      <c r="BS2" s="12" t="s">
        <v>13</v>
      </c>
      <c r="BT2" s="12" t="s">
        <v>118</v>
      </c>
      <c r="BU2" s="12" t="s">
        <v>114</v>
      </c>
      <c r="BV2" s="12" t="s">
        <v>119</v>
      </c>
      <c r="BW2" s="12" t="s">
        <v>115</v>
      </c>
      <c r="BX2" s="12" t="s">
        <v>104</v>
      </c>
      <c r="BY2" s="12" t="s">
        <v>105</v>
      </c>
      <c r="BZ2" s="12" t="s">
        <v>12</v>
      </c>
      <c r="CA2" s="33" t="s">
        <v>106</v>
      </c>
      <c r="CB2" s="33" t="s">
        <v>120</v>
      </c>
      <c r="CC2" s="50" t="s">
        <v>99</v>
      </c>
      <c r="CD2" s="50"/>
      <c r="CE2" s="50"/>
      <c r="CF2" s="50"/>
      <c r="CG2" s="50" t="s">
        <v>100</v>
      </c>
      <c r="CH2" s="50"/>
      <c r="CI2" s="50"/>
      <c r="CJ2" s="50"/>
      <c r="CK2" s="50" t="s">
        <v>107</v>
      </c>
      <c r="CL2" s="50"/>
      <c r="CM2" s="50"/>
      <c r="CN2" s="50"/>
      <c r="CO2" s="50" t="s">
        <v>101</v>
      </c>
      <c r="CP2" s="50"/>
      <c r="CQ2" s="50"/>
      <c r="CR2" s="50"/>
      <c r="CS2" s="54" t="s">
        <v>102</v>
      </c>
      <c r="CT2" s="54"/>
      <c r="CU2" s="54"/>
      <c r="CV2" s="54"/>
      <c r="CW2" s="13" t="s">
        <v>116</v>
      </c>
      <c r="CX2" s="13" t="s">
        <v>112</v>
      </c>
      <c r="CY2" s="13" t="s">
        <v>117</v>
      </c>
      <c r="CZ2" s="13" t="s">
        <v>113</v>
      </c>
      <c r="DA2" s="13" t="s">
        <v>108</v>
      </c>
      <c r="DB2" s="13" t="s">
        <v>106</v>
      </c>
      <c r="DC2" s="13" t="s">
        <v>121</v>
      </c>
      <c r="DD2" s="13" t="s">
        <v>107</v>
      </c>
      <c r="DE2" s="13" t="s">
        <v>122</v>
      </c>
      <c r="DF2" s="13" t="s">
        <v>101</v>
      </c>
      <c r="DG2" s="13" t="s">
        <v>123</v>
      </c>
      <c r="DH2" s="13" t="s">
        <v>102</v>
      </c>
      <c r="DI2" s="13" t="s">
        <v>104</v>
      </c>
      <c r="DJ2" s="13" t="s">
        <v>105</v>
      </c>
      <c r="DK2" s="13" t="s">
        <v>12</v>
      </c>
      <c r="DL2" s="46" t="s">
        <v>99</v>
      </c>
      <c r="DM2" s="46"/>
      <c r="DN2" s="46"/>
      <c r="DO2" s="46"/>
      <c r="DP2" s="46" t="s">
        <v>100</v>
      </c>
      <c r="DQ2" s="46"/>
      <c r="DR2" s="46"/>
      <c r="DS2" s="46"/>
      <c r="DT2" s="46" t="s">
        <v>107</v>
      </c>
      <c r="DU2" s="46"/>
      <c r="DV2" s="46"/>
      <c r="DW2" s="46"/>
      <c r="DX2" s="46" t="s">
        <v>101</v>
      </c>
      <c r="DY2" s="46"/>
      <c r="DZ2" s="46"/>
      <c r="EA2" s="46"/>
      <c r="EB2" s="48" t="s">
        <v>102</v>
      </c>
      <c r="EC2" s="48"/>
      <c r="ED2" s="48"/>
      <c r="EE2" s="48"/>
      <c r="EF2" s="12" t="s">
        <v>116</v>
      </c>
      <c r="EG2" s="12" t="s">
        <v>112</v>
      </c>
      <c r="EH2" s="12" t="s">
        <v>117</v>
      </c>
      <c r="EI2" s="12" t="s">
        <v>113</v>
      </c>
      <c r="EJ2" s="12" t="s">
        <v>108</v>
      </c>
      <c r="EK2" s="12" t="s">
        <v>106</v>
      </c>
      <c r="EL2" s="12" t="s">
        <v>121</v>
      </c>
      <c r="EM2" s="12" t="s">
        <v>107</v>
      </c>
      <c r="EN2" s="12" t="s">
        <v>122</v>
      </c>
      <c r="EO2" s="12" t="s">
        <v>101</v>
      </c>
      <c r="EP2" s="12" t="s">
        <v>123</v>
      </c>
      <c r="EQ2" s="12" t="s">
        <v>102</v>
      </c>
      <c r="ER2" s="12" t="s">
        <v>104</v>
      </c>
      <c r="ES2" s="12" t="s">
        <v>105</v>
      </c>
      <c r="ET2" s="12" t="s">
        <v>12</v>
      </c>
      <c r="EU2" s="46" t="s">
        <v>99</v>
      </c>
      <c r="EV2" s="46"/>
      <c r="EW2" s="46"/>
      <c r="EX2" s="46"/>
      <c r="EY2" s="46" t="s">
        <v>100</v>
      </c>
      <c r="EZ2" s="46"/>
      <c r="FA2" s="46"/>
      <c r="FB2" s="46"/>
      <c r="FC2" s="46" t="s">
        <v>101</v>
      </c>
      <c r="FD2" s="46"/>
      <c r="FE2" s="46"/>
      <c r="FF2" s="46"/>
      <c r="FG2" s="47" t="s">
        <v>102</v>
      </c>
      <c r="FH2" s="47"/>
      <c r="FI2" s="47"/>
      <c r="FJ2" s="47"/>
      <c r="FK2" s="12"/>
      <c r="FL2" s="12" t="s">
        <v>116</v>
      </c>
      <c r="FM2" s="12" t="s">
        <v>112</v>
      </c>
      <c r="FN2" s="12" t="s">
        <v>117</v>
      </c>
      <c r="FO2" s="12" t="s">
        <v>113</v>
      </c>
      <c r="FP2" s="12" t="s">
        <v>103</v>
      </c>
      <c r="FQ2" s="12" t="s">
        <v>13</v>
      </c>
      <c r="FR2" s="12" t="s">
        <v>118</v>
      </c>
      <c r="FS2" s="12" t="s">
        <v>114</v>
      </c>
      <c r="FT2" s="12" t="s">
        <v>119</v>
      </c>
      <c r="FU2" s="12" t="s">
        <v>115</v>
      </c>
      <c r="FV2" s="12" t="s">
        <v>104</v>
      </c>
      <c r="FW2" s="12" t="s">
        <v>105</v>
      </c>
      <c r="FX2" s="12" t="s">
        <v>12</v>
      </c>
    </row>
    <row r="3" spans="1:180" x14ac:dyDescent="0.2">
      <c r="A3" s="58"/>
      <c r="B3" s="58"/>
      <c r="C3" s="58"/>
      <c r="D3" s="58"/>
      <c r="E3" s="58"/>
      <c r="F3" s="59"/>
      <c r="G3" s="59"/>
      <c r="H3" s="58"/>
      <c r="I3" s="59"/>
      <c r="J3" s="56"/>
      <c r="K3" s="55"/>
      <c r="L3" s="56"/>
      <c r="M3" s="55"/>
      <c r="N3" s="55"/>
      <c r="O3" s="55"/>
      <c r="P3" s="57"/>
      <c r="Q3" s="55"/>
      <c r="R3" s="55"/>
      <c r="S3" s="13" t="s">
        <v>11</v>
      </c>
      <c r="T3" s="13" t="s">
        <v>7</v>
      </c>
      <c r="U3" s="13" t="s">
        <v>15</v>
      </c>
      <c r="V3" s="13" t="s">
        <v>109</v>
      </c>
      <c r="W3" s="13" t="s">
        <v>11</v>
      </c>
      <c r="X3" s="13" t="s">
        <v>7</v>
      </c>
      <c r="Y3" s="13" t="s">
        <v>15</v>
      </c>
      <c r="Z3" s="13" t="s">
        <v>109</v>
      </c>
      <c r="AA3" s="13" t="s">
        <v>11</v>
      </c>
      <c r="AB3" s="13" t="s">
        <v>7</v>
      </c>
      <c r="AC3" s="13" t="s">
        <v>15</v>
      </c>
      <c r="AD3" s="13" t="s">
        <v>109</v>
      </c>
      <c r="AE3" s="35" t="s">
        <v>11</v>
      </c>
      <c r="AF3" s="35" t="s">
        <v>7</v>
      </c>
      <c r="AG3" s="35" t="s">
        <v>15</v>
      </c>
      <c r="AH3" s="35" t="s">
        <v>109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109</v>
      </c>
      <c r="BA3" s="12" t="s">
        <v>11</v>
      </c>
      <c r="BB3" s="12" t="s">
        <v>7</v>
      </c>
      <c r="BC3" s="12" t="s">
        <v>15</v>
      </c>
      <c r="BD3" s="12" t="s">
        <v>109</v>
      </c>
      <c r="BE3" s="12" t="s">
        <v>11</v>
      </c>
      <c r="BF3" s="12" t="s">
        <v>7</v>
      </c>
      <c r="BG3" s="12" t="s">
        <v>15</v>
      </c>
      <c r="BH3" s="12" t="s">
        <v>109</v>
      </c>
      <c r="BI3" s="36" t="s">
        <v>11</v>
      </c>
      <c r="BJ3" s="36" t="s">
        <v>7</v>
      </c>
      <c r="BK3" s="36" t="s">
        <v>15</v>
      </c>
      <c r="BL3" s="36" t="s">
        <v>109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109</v>
      </c>
      <c r="CG3" s="13" t="s">
        <v>11</v>
      </c>
      <c r="CH3" s="13" t="s">
        <v>7</v>
      </c>
      <c r="CI3" s="13" t="s">
        <v>15</v>
      </c>
      <c r="CJ3" s="13" t="s">
        <v>109</v>
      </c>
      <c r="CK3" s="13" t="s">
        <v>11</v>
      </c>
      <c r="CL3" s="13" t="s">
        <v>7</v>
      </c>
      <c r="CM3" s="13" t="s">
        <v>15</v>
      </c>
      <c r="CN3" s="13" t="s">
        <v>109</v>
      </c>
      <c r="CO3" s="13" t="s">
        <v>11</v>
      </c>
      <c r="CP3" s="13" t="s">
        <v>7</v>
      </c>
      <c r="CQ3" s="13" t="s">
        <v>15</v>
      </c>
      <c r="CR3" s="13" t="s">
        <v>109</v>
      </c>
      <c r="CS3" s="37" t="s">
        <v>11</v>
      </c>
      <c r="CT3" s="37" t="s">
        <v>7</v>
      </c>
      <c r="CU3" s="37" t="s">
        <v>15</v>
      </c>
      <c r="CV3" s="37" t="s">
        <v>109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109</v>
      </c>
      <c r="DP3" s="12" t="s">
        <v>11</v>
      </c>
      <c r="DQ3" s="12" t="s">
        <v>7</v>
      </c>
      <c r="DR3" s="12" t="s">
        <v>15</v>
      </c>
      <c r="DS3" s="12" t="s">
        <v>109</v>
      </c>
      <c r="DT3" s="12" t="s">
        <v>11</v>
      </c>
      <c r="DU3" s="12" t="s">
        <v>7</v>
      </c>
      <c r="DV3" s="12" t="s">
        <v>15</v>
      </c>
      <c r="DW3" s="12" t="s">
        <v>109</v>
      </c>
      <c r="DX3" s="12" t="s">
        <v>11</v>
      </c>
      <c r="DY3" s="12" t="s">
        <v>7</v>
      </c>
      <c r="DZ3" s="12" t="s">
        <v>15</v>
      </c>
      <c r="EA3" s="12" t="s">
        <v>109</v>
      </c>
      <c r="EB3" s="36" t="s">
        <v>11</v>
      </c>
      <c r="EC3" s="36" t="s">
        <v>7</v>
      </c>
      <c r="ED3" s="36" t="s">
        <v>15</v>
      </c>
      <c r="EE3" s="36" t="s">
        <v>109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109</v>
      </c>
      <c r="EY3" s="12" t="s">
        <v>11</v>
      </c>
      <c r="EZ3" s="12" t="s">
        <v>7</v>
      </c>
      <c r="FA3" s="12" t="s">
        <v>15</v>
      </c>
      <c r="FB3" s="12" t="s">
        <v>109</v>
      </c>
      <c r="FC3" s="12" t="s">
        <v>11</v>
      </c>
      <c r="FD3" s="12" t="s">
        <v>7</v>
      </c>
      <c r="FE3" s="12" t="s">
        <v>15</v>
      </c>
      <c r="FF3" s="12" t="s">
        <v>109</v>
      </c>
      <c r="FG3" s="38" t="s">
        <v>11</v>
      </c>
      <c r="FH3" s="38" t="s">
        <v>7</v>
      </c>
      <c r="FI3" s="38" t="s">
        <v>15</v>
      </c>
      <c r="FJ3" s="38" t="s">
        <v>109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t="str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/>
      </c>
      <c r="B4" s="4" t="s">
        <v>74</v>
      </c>
      <c r="C4" s="3" t="s">
        <v>5</v>
      </c>
      <c r="D4" s="3">
        <v>2012</v>
      </c>
      <c r="E4" s="8">
        <f t="shared" ref="E4:E9" si="0">SUM(J4:P4)+SUM(J4:M4)*0.0000001+SUM(J4)*0.0000000000001</f>
        <v>99.100007430004908</v>
      </c>
      <c r="F4" s="2" t="str">
        <f t="shared" ref="F4:F9" si="1">IF(OR(AND(AO4&lt;&gt;"",AO4&gt;=AV$15,AN4&gt;=AV$12),AND(AU4&lt;&gt;"",AU4&gt;=AV$15,AT4&gt;=AV$12),AND(BS4&lt;&gt;"",BS4&gt;=BZ$15,BR4&gt;=BZ$12),AND(BY4&lt;&gt;"",BY4&gt;=BZ$15,BX4&gt;=BZ$12),AND(DB4&lt;&gt;"",DB4&gt;=DK$15,DA4&gt;=DK$12),AND(DJ4&lt;&gt;"",DJ4&gt;=DK$15,DI4&gt;=DK$12),AND(EK4&lt;&gt;"",EK4&gt;=ET$15,EJ4&gt;=ET$12),AND(ES4&lt;&gt;"",ES4&gt;=ET$15,ER4&gt;=ET$12)),"P","")</f>
        <v/>
      </c>
      <c r="G4" s="2" t="str">
        <f t="shared" ref="G4:G9" si="2">IF(OR(AND(AO4&lt;&gt;"",AO4&gt;=AV$15),AND(AU4&lt;&gt;"",AU4&gt;=AV$15),AND(BS4&lt;&gt;"",BS4&gt;=BZ$15),AND(BY4&lt;&gt;"",BY4&gt;=BZ$15),AND(DB4&lt;&gt;"",DB4&gt;=DK$15),AND(DJ4&lt;&gt;"",DJ4&gt;=DK$15),AND(EK4&lt;&gt;"",EK4&gt;=ET$15),AND(ES4&lt;&gt;"",ES4&gt;=ET$15)),"P","")</f>
        <v/>
      </c>
      <c r="H4" s="26" t="str">
        <f t="shared" ref="H4:H9" si="3">IF(AND(G4="P",F4=""),"No DD",IF(OR(AND(AK4&lt;&gt;"",AK4&gt;=AV$17,AJ4&gt;=AV$14),AND(AM4&lt;&gt;"",AM4&gt;=AV$17,AL4&gt;=AV$14),AND(AQ4&lt;&gt;"",AQ4&gt;=AV$17,AP4&gt;=AV$14),AND(AS4&lt;&gt;"",AS4&gt;=AV$17,AR4&gt;=AV$14),AND(BO4&lt;&gt;"",BO4&gt;=BZ$17,BN4&gt;=BZ$14),AND(BQ4&lt;&gt;"",BQ4&gt;=BZ$17,BP4&gt;=BZ$14),AND(BV4&lt;&gt;"",BV4&gt;=BZ$17,BU4&gt;=BZ$14),AND(BX4&lt;&gt;"",BX4&gt;=BZ$17,BW4&gt;=BZ$14),AND(CX4&lt;&gt;"",CX4&gt;=DK$17,CW4&gt;=DK$14),AND(CZ4&lt;&gt;"",CZ4&gt;=DK$17,CY4&gt;=DK$14),AND(DD4&lt;&gt;"",DD4&gt;=DK$17,DC4&gt;=DK$14),AND(DF4&lt;&gt;"",DF4&gt;=DK$17,DE4&gt;=DK$14),AND(DH4&lt;&gt;"",DH4&gt;=DK$17,DG4&gt;=DK$14),AND(EG4&lt;&gt;"",EG4&gt;=ET$17,EF4&gt;=ET$14),AND(EI4&lt;&gt;"",EI4&gt;=ET$17,EH4&gt;=ET$14),AND(EM4&lt;&gt;"",EM4&gt;=ET$17,EL4&gt;=ET$14),AND(EO4&lt;&gt;"",EO4&gt;=ET$17,EN4&gt;=ET$14),AND(EQ4&lt;&gt;"",EQ4&gt;=ET$17,EP4&gt;=ET$14)),"Performance",IF(I4="P","Worlds Team",IF(F4="P","National Team",""))))</f>
        <v/>
      </c>
      <c r="I4" s="2" t="str">
        <f t="shared" ref="I4:I9" si="4">IF(OR(AND(AO4&lt;&gt;"",AO4&gt;=AV$16,AN4&gt;=AV$13),AND(AU4&lt;&gt;"",AU4&gt;=AV$16,AT4&gt;=AV$13),AND(BS4&lt;&gt;"",BS4&gt;=BZ$16,BR4&gt;=BZ$13),AND(BY4&lt;&gt;"",BY4&gt;=BZ$16,BX4&gt;=BZ$13),AND(DB4&lt;&gt;"",DB4&gt;=DK$16,DA4&gt;=DK$13),AND(DJ4&lt;&gt;"",DJ4&gt;=DK$16,DI4&gt;=DK$13),AND(EK4&lt;&gt;"",EK4&gt;=ET$16,EJ4&gt;=ET$13),AND(ES4&lt;&gt;"",ES4&gt;=ET$16,ER4&gt;=ET$13)),"P","")</f>
        <v/>
      </c>
      <c r="J4" s="7">
        <f t="shared" ref="J4:J9" si="5">IF(COUNT(AO4,BS4)&gt;0,MAX(AO4,BS4),0)</f>
        <v>49.1</v>
      </c>
      <c r="K4" s="7" t="str">
        <f t="shared" ref="K4:K9" si="6">IF(J4=0,"",IF(J4=BS4,$AW$1,IF(J4=AO4,$S$1,"")))</f>
        <v>2025 Nationals</v>
      </c>
      <c r="L4" s="7">
        <f>IF(J4=AO4,IF(COUNT(AQ4,AS4,BO4,BQ4,BU4,BW4)&gt;1,LARGE((AQ4,AS4,BO4,BQ4,BU4,BW4),1),0),IF(COUNT(AK4,AM4,AQ4,AS4,BU4,BW4)&gt;1,LARGE((AK4,AM4,AQ4,AS4,BU4,BW4),1),0))</f>
        <v>25.2</v>
      </c>
      <c r="M4" s="7" t="str">
        <f t="shared" ref="M4:M9" si="7">IF(L4=0,"",IF(OR(L4=BO4,L4=BQ4,L4=BU4,L4=BW4),$AW$1,IF(OR(L4=AK4,L4=AM4,L4=AQ4,L4=AS4),$S$1,"")))</f>
        <v>2025 Nationals</v>
      </c>
      <c r="N4" s="7">
        <f>IF(J4=AO4,IF(COUNT(AQ4,AS4,BO4,BQ4,BU4,BW4)&gt;1,LARGE((AQ4,AS4,BO4,BQ4,BU4,BW4),2),0),IF(COUNT(AK4,AM4,AQ4,AS4,BU4,BW4)&gt;1,LARGE((AK4,AM4,AQ4,AS4,BU4,BW4),2),0))</f>
        <v>24.4</v>
      </c>
      <c r="O4" s="7" t="str">
        <f t="shared" ref="O4:O9" si="8">IF(N4=0,"",IF(OR(N4=BO4,N4=BQ4,N4=BU4,N4=BW4),$AW$1,IF(OR(N4=AK4,N4=AM4,N4=AQ4,N4=AS4),$S$1,"")))</f>
        <v>2025 Nationals</v>
      </c>
      <c r="P4" s="7">
        <f t="shared" ref="P4:P9" si="9">IF(MAX(CA4:CB4)&gt;0,MAX(CA4:CB4),"")</f>
        <v>0.39999999999999858</v>
      </c>
      <c r="Q4" s="10" t="str">
        <f t="shared" ref="Q4:Q9" si="10">IF(P4="","",IF(P4=CA4,"("&amp;CA$2&amp;")",IF(P4=CB4,"("&amp;CB$2&amp;")")))</f>
        <v>(Pass)</v>
      </c>
      <c r="R4" s="7" t="str">
        <f t="shared" ref="R4:R9" si="11">IF(P4="","",IF(P4=CA4,IF(P4+MAX(J4,0)=EK4,$DL$1,IF(P4+MAX(J4,0)=DB4,$CC$1)),IF(P4=CB4,IF(P4+MAX(N4,0)=MAX(EG4,EI4,EM4,EO4,EQ4),$DL$1,IF(P4+MAX(N4,0)=MAX(CX4,CZ4,DD4,DF4,DH4),$CC$1)))))</f>
        <v>2025 WAGC (Nov 16)</v>
      </c>
      <c r="S4" s="39">
        <v>19</v>
      </c>
      <c r="T4" s="39">
        <v>6</v>
      </c>
      <c r="U4" s="39">
        <v>0.6</v>
      </c>
      <c r="V4" s="39">
        <v>0</v>
      </c>
      <c r="W4" s="39">
        <v>19.100000000000001</v>
      </c>
      <c r="X4" s="39">
        <v>5.6</v>
      </c>
      <c r="Y4" s="39">
        <v>0</v>
      </c>
      <c r="Z4" s="39">
        <v>0</v>
      </c>
      <c r="AA4" s="39">
        <v>19.2</v>
      </c>
      <c r="AB4" s="39">
        <v>6</v>
      </c>
      <c r="AC4" s="39">
        <v>0</v>
      </c>
      <c r="AD4" s="39">
        <v>0</v>
      </c>
      <c r="AE4" s="39">
        <v>18.8</v>
      </c>
      <c r="AF4" s="39">
        <v>5.6</v>
      </c>
      <c r="AG4" s="39">
        <v>0</v>
      </c>
      <c r="AH4" s="39">
        <v>0</v>
      </c>
      <c r="AI4" s="19"/>
      <c r="AJ4" s="42">
        <f t="shared" ref="AJ4:AJ9" si="12">IF(T4="","",T4)</f>
        <v>6</v>
      </c>
      <c r="AK4" s="42">
        <f t="shared" ref="AK4:AK9" si="13">IF(S4="","",S4+T4+V4-U4)</f>
        <v>24.4</v>
      </c>
      <c r="AL4" s="42">
        <f t="shared" ref="AL4:AL9" si="14">IF(X4="","",X4)</f>
        <v>5.6</v>
      </c>
      <c r="AM4" s="42">
        <f t="shared" ref="AM4:AM9" si="15">IF(W4="","",W4+X4+Z4-Y4)</f>
        <v>24.700000000000003</v>
      </c>
      <c r="AN4" s="27">
        <f t="shared" ref="AN4:AN9" si="16">IF(SUM(T4,X4)&gt;0,SUM(T4,X4),"")</f>
        <v>11.6</v>
      </c>
      <c r="AO4" s="27">
        <f t="shared" ref="AO4:AO9" si="17">IF(SUM(AK4,AM4)&gt;0,SUM(AK4,AM4),"")</f>
        <v>49.1</v>
      </c>
      <c r="AP4" s="27">
        <f t="shared" ref="AP4:AP9" si="18">IF(AB4="","",AB4)</f>
        <v>6</v>
      </c>
      <c r="AQ4" s="27">
        <f t="shared" ref="AQ4:AQ9" si="19">IF(AA4="","",AA4+AB4+AD4-AC4)</f>
        <v>25.2</v>
      </c>
      <c r="AR4" s="27">
        <f t="shared" ref="AR4:AR9" si="20">IF(AF4="","",AF4)</f>
        <v>5.6</v>
      </c>
      <c r="AS4" s="27">
        <f t="shared" ref="AS4:AS9" si="21">IF(AE4="","",AE4+AF4+AH4-AG4)</f>
        <v>24.4</v>
      </c>
      <c r="AT4" s="27">
        <f t="shared" ref="AT4:AT9" si="22">IF(SUM(AB4,AF4)&gt;0,SUM(AB4,AF4),"")</f>
        <v>11.6</v>
      </c>
      <c r="AU4" s="27">
        <f t="shared" ref="AU4:AU9" si="23">IF(SUM(AQ4,AS4)&gt;0,SUM(AQ4,AS4),"")</f>
        <v>49.599999999999994</v>
      </c>
      <c r="AV4" s="27">
        <f t="shared" ref="AV4:AV9" si="24">IF(SUM(AO4,AU4)&gt;0,SUM(AO4,AU4),"")</f>
        <v>98.699999999999989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3" t="str">
        <f t="shared" ref="BN4:BN9" si="25">IF(AX4="","",AX4)</f>
        <v/>
      </c>
      <c r="BO4" s="43" t="str">
        <f t="shared" ref="BO4:BO9" si="26">IF(AW4="","",AW4+AX4+AZ4-AY4)</f>
        <v/>
      </c>
      <c r="BP4" s="43" t="str">
        <f t="shared" ref="BP4:BP9" si="27">IF(BB4="","",BB4)</f>
        <v/>
      </c>
      <c r="BQ4" s="43" t="str">
        <f t="shared" ref="BQ4:BQ9" si="28">IF(BA4="","",BA4+BB4+BD4-BC4)</f>
        <v/>
      </c>
      <c r="BR4" s="10" t="str">
        <f t="shared" ref="BR4:BR9" si="29">IF(SUM(AX4,BB4)&gt;0,SUM(AX4,BB4),"")</f>
        <v/>
      </c>
      <c r="BS4" s="10" t="str">
        <f t="shared" ref="BS4:BS9" si="30">IF(SUM(BO4,BQ4)&gt;0,SUM(BO4,BQ4),"")</f>
        <v/>
      </c>
      <c r="BT4" s="10" t="str">
        <f t="shared" ref="BT4:BT9" si="31">IF(BF4="","",BF4)</f>
        <v/>
      </c>
      <c r="BU4" s="10" t="str">
        <f t="shared" ref="BU4:BU9" si="32">IF(BE4="","",BE4+BF4+BH4-BG4)</f>
        <v/>
      </c>
      <c r="BV4" s="10" t="str">
        <f t="shared" ref="BV4:BV9" si="33">IF(BJ4="","",BJ4)</f>
        <v/>
      </c>
      <c r="BW4" s="10" t="str">
        <f t="shared" ref="BW4:BW9" si="34">IF(BI4="","",BI4+BJ4+BL4-BK4)</f>
        <v/>
      </c>
      <c r="BX4" s="10" t="str">
        <f t="shared" ref="BX4:BX9" si="35">IF(SUM(BF4,BJ4)&gt;0,SUM(BF4,BJ4),"")</f>
        <v/>
      </c>
      <c r="BY4" s="10" t="str">
        <f t="shared" ref="BY4:BY9" si="36">IF(SUM(BU4,BW4)&gt;0,SUM(BU4,BW4),"")</f>
        <v/>
      </c>
      <c r="BZ4" s="10" t="str">
        <f t="shared" ref="BZ4:BZ9" si="37">IF(SUM(BS4,BY4)&gt;0,SUM(BS4,BY4),"")</f>
        <v/>
      </c>
      <c r="CA4" s="34" t="str">
        <f t="shared" ref="CA4:CA9" si="38">IF(MAX(DB4,EK4)-IF(J4="",0,J4)&gt;0.001,MAX(DB4,EK4)-IF(J4="",0,J4),"")</f>
        <v/>
      </c>
      <c r="CB4" s="34">
        <f t="shared" ref="CB4:CB9" si="39">IF(MAX(CX4,CZ4,DD4,DF4,DH4,EG4,EI4,EM4,EO4)-IF(N4="",0,N4)&gt;0.001,MAX(CX4,CZ4,DD4,DF4,DH4,EG4,EI4,EM4,EO4)-IF(N4="",0,N4),"")</f>
        <v>0.39999999999999858</v>
      </c>
      <c r="CC4" s="14">
        <v>18.8</v>
      </c>
      <c r="CD4" s="14">
        <v>6</v>
      </c>
      <c r="CE4" s="14">
        <v>0.6</v>
      </c>
      <c r="CF4" s="14">
        <v>0</v>
      </c>
      <c r="CG4" s="14">
        <v>19.2</v>
      </c>
      <c r="CH4" s="14">
        <v>5.6</v>
      </c>
      <c r="CI4" s="14">
        <v>0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 t="shared" ref="CW4:CW9" si="40">IF(CD4="","",CD4)</f>
        <v>6</v>
      </c>
      <c r="CX4" s="27">
        <f t="shared" ref="CX4:CX9" si="41">IF(CC4="","",CC4+CD4+CF4-CE4)</f>
        <v>24.2</v>
      </c>
      <c r="CY4" s="27">
        <f t="shared" ref="CY4:CY9" si="42">IF(CH4="","",CH4)</f>
        <v>5.6</v>
      </c>
      <c r="CZ4" s="27">
        <f t="shared" ref="CZ4:CZ9" si="43">IF(CG4="","",CG4+CH4+CJ4-CI4)</f>
        <v>24.799999999999997</v>
      </c>
      <c r="DA4" s="27">
        <f t="shared" ref="DA4:DB9" si="44">IF(CW4="","",SUM(CW4,CY4))</f>
        <v>11.6</v>
      </c>
      <c r="DB4" s="27">
        <f t="shared" si="44"/>
        <v>49</v>
      </c>
      <c r="DC4" s="27" t="str">
        <f t="shared" ref="DC4:DC9" si="45">IF(CL4="","",CL4)</f>
        <v/>
      </c>
      <c r="DD4" s="27" t="str">
        <f t="shared" ref="DD4:DD9" si="46">IF(CK4="","",CK4+CL4+CN4-CM4)</f>
        <v/>
      </c>
      <c r="DE4" s="27" t="str">
        <f t="shared" ref="DE4:DE9" si="47">IF(CP4="","",CP4)</f>
        <v/>
      </c>
      <c r="DF4" s="27" t="str">
        <f t="shared" ref="DF4:DF9" si="48">IF(CO4="","",CO4+CP4+CR4-CQ4)</f>
        <v/>
      </c>
      <c r="DG4" s="27" t="str">
        <f t="shared" ref="DG4:DG9" si="49">IF(CT4="","",CT4)</f>
        <v/>
      </c>
      <c r="DH4" s="27" t="str">
        <f t="shared" ref="DH4:DH9" si="50">IF(CS4="","",CS4+CT4+CV4-CU4)</f>
        <v/>
      </c>
      <c r="DI4" s="27" t="str">
        <f t="shared" ref="DI4:DJ9" si="51">IF(DE4="","",SUM(DE4,DG4))</f>
        <v/>
      </c>
      <c r="DJ4" s="27" t="str">
        <f t="shared" si="51"/>
        <v/>
      </c>
      <c r="DK4" s="27">
        <f t="shared" ref="DK4:DK9" si="52">IF(DB4="","",SUM(DB4,DD4,DH4))</f>
        <v>49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9" si="53">IF(DM4="","",DM4)</f>
        <v/>
      </c>
      <c r="EG4" s="10" t="str">
        <f t="shared" ref="EG4:EG9" si="54">IF(DL4="","",DL4+DM4+DO4-DN4)</f>
        <v/>
      </c>
      <c r="EH4" s="10" t="str">
        <f t="shared" ref="EH4:EH9" si="55">IF(DQ4="","",DQ4)</f>
        <v/>
      </c>
      <c r="EI4" s="10" t="str">
        <f t="shared" ref="EI4:EI9" si="56">IF(DP4="","",DP4+DQ4+DS4-DR4)</f>
        <v/>
      </c>
      <c r="EJ4" s="10" t="str">
        <f t="shared" ref="EJ4:EK9" si="57">IF(EF4="","",SUM(EF4,EH4))</f>
        <v/>
      </c>
      <c r="EK4" s="10" t="str">
        <f t="shared" si="57"/>
        <v/>
      </c>
      <c r="EL4" s="10" t="str">
        <f t="shared" ref="EL4:EL9" si="58">IF(DU4="","",DU4)</f>
        <v/>
      </c>
      <c r="EM4" s="10" t="str">
        <f t="shared" ref="EM4:EM9" si="59">IF(DT4="","",DT4+DU4+DW4-DV4)</f>
        <v/>
      </c>
      <c r="EN4" s="10" t="str">
        <f t="shared" ref="EN4:EN9" si="60">IF(DY4="","",DY4)</f>
        <v/>
      </c>
      <c r="EO4" s="10" t="str">
        <f t="shared" ref="EO4:EO9" si="61">IF(DX4="","",DX4+DY4+EA4-DZ4)</f>
        <v/>
      </c>
      <c r="EP4" s="10" t="str">
        <f t="shared" ref="EP4:EP9" si="62">IF(EC4="","",EC4)</f>
        <v/>
      </c>
      <c r="EQ4" s="10" t="str">
        <f t="shared" ref="EQ4:EQ9" si="63">IF(EB4="","",EB4+EC4+EE4-ED4)</f>
        <v/>
      </c>
      <c r="ER4" s="10" t="str">
        <f t="shared" ref="ER4:ES9" si="64">IF(EN4="","",SUM(EN4,EP4))</f>
        <v/>
      </c>
      <c r="ES4" s="10" t="str">
        <f t="shared" si="64"/>
        <v/>
      </c>
      <c r="ET4" s="10" t="str">
        <f t="shared" ref="ET4:ET9" si="65">IF(EK4="","",SUM(EK4,EM4,EQ4))</f>
        <v/>
      </c>
      <c r="EU4" s="44">
        <f t="shared" ref="EU4:FJ9" si="66">IF(BM4="P",IF(AI4="P",AW4,AW4*0.8),(S4+AW4)/2)</f>
        <v>9.5</v>
      </c>
      <c r="EV4" s="44">
        <f t="shared" si="66"/>
        <v>3</v>
      </c>
      <c r="EW4" s="44">
        <f t="shared" si="66"/>
        <v>0.3</v>
      </c>
      <c r="EX4" s="44">
        <f t="shared" si="66"/>
        <v>0</v>
      </c>
      <c r="EY4" s="44">
        <f t="shared" si="66"/>
        <v>9.5500000000000007</v>
      </c>
      <c r="EZ4" s="44">
        <f t="shared" si="66"/>
        <v>2.8</v>
      </c>
      <c r="FA4" s="44">
        <f t="shared" si="66"/>
        <v>0</v>
      </c>
      <c r="FB4" s="44">
        <f t="shared" si="66"/>
        <v>0</v>
      </c>
      <c r="FC4" s="44">
        <f t="shared" si="66"/>
        <v>9.6</v>
      </c>
      <c r="FD4" s="44">
        <f t="shared" si="66"/>
        <v>3</v>
      </c>
      <c r="FE4" s="44">
        <f t="shared" si="66"/>
        <v>0</v>
      </c>
      <c r="FF4" s="44">
        <f t="shared" si="66"/>
        <v>0</v>
      </c>
      <c r="FG4" s="44">
        <f t="shared" si="66"/>
        <v>9.4</v>
      </c>
      <c r="FH4" s="44">
        <f t="shared" si="66"/>
        <v>2.8</v>
      </c>
      <c r="FI4" s="44">
        <f t="shared" si="66"/>
        <v>0</v>
      </c>
      <c r="FJ4" s="44">
        <f t="shared" si="66"/>
        <v>0</v>
      </c>
      <c r="FK4" s="20" t="s">
        <v>29</v>
      </c>
      <c r="FL4" s="10">
        <f t="shared" ref="FL4:FL9" si="67">IF(EV4="","",EV4)</f>
        <v>3</v>
      </c>
      <c r="FM4" s="10">
        <f t="shared" ref="FM4:FM9" si="68">IF(EU4="","",EU4+EV4+EX4-EW4)</f>
        <v>12.2</v>
      </c>
      <c r="FN4" s="10">
        <f t="shared" ref="FN4:FN9" si="69">IF(EZ4="","",EZ4)</f>
        <v>2.8</v>
      </c>
      <c r="FO4" s="10">
        <f t="shared" ref="FO4:FO9" si="70">IF(EY4="","",EY4+EZ4+FB4-FA4)</f>
        <v>12.350000000000001</v>
      </c>
      <c r="FP4" s="10">
        <f t="shared" ref="FP4:FP9" si="71">IF(SUM(EV4,EZ4)&gt;0,SUM(EV4,EZ4),"")</f>
        <v>5.8</v>
      </c>
      <c r="FQ4" s="10">
        <f>IF(SUM(FM4,FO4)&gt;0,SUM(FM4,FO4),"")</f>
        <v>24.55</v>
      </c>
      <c r="FR4" s="10">
        <f>IF(FD4="","",FD4)</f>
        <v>3</v>
      </c>
      <c r="FS4" s="10">
        <f>IF(FC4="","",FC4+FD4+FF4-FE4)</f>
        <v>12.6</v>
      </c>
      <c r="FT4" s="10">
        <f>IF(FH4="","",FH4)</f>
        <v>2.8</v>
      </c>
      <c r="FU4" s="10">
        <f>IF(FG4="","",FG4+FH4+FJ4-FI4)</f>
        <v>12.2</v>
      </c>
      <c r="FV4" s="10">
        <f>IF(SUM(FD4,FH4)&gt;0,SUM(FD4,FH4),"")</f>
        <v>5.8</v>
      </c>
      <c r="FW4" s="10">
        <f t="shared" ref="FW4:FW9" si="72">IF(SUM(FS4,FU4)&gt;0,SUM(FS4,FU4),"")</f>
        <v>24.799999999999997</v>
      </c>
      <c r="FX4" s="10">
        <f t="shared" ref="FX4:FX9" si="73">IF(SUM(FQ4,FW4)&gt;0,SUM(FQ4,FW4),"")</f>
        <v>49.349999999999994</v>
      </c>
    </row>
    <row r="5" spans="1:180" x14ac:dyDescent="0.2">
      <c r="A5" s="3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4" t="s">
        <v>75</v>
      </c>
      <c r="C5" s="3" t="s">
        <v>76</v>
      </c>
      <c r="D5" s="3">
        <v>2010</v>
      </c>
      <c r="E5" s="8">
        <f t="shared" si="0"/>
        <v>98.500007370004852</v>
      </c>
      <c r="F5" s="2" t="str">
        <f t="shared" si="1"/>
        <v/>
      </c>
      <c r="G5" s="2" t="str">
        <f t="shared" si="2"/>
        <v/>
      </c>
      <c r="H5" s="26" t="str">
        <f t="shared" si="3"/>
        <v/>
      </c>
      <c r="I5" s="2" t="str">
        <f t="shared" si="4"/>
        <v/>
      </c>
      <c r="J5" s="7">
        <f t="shared" si="5"/>
        <v>48.5</v>
      </c>
      <c r="K5" s="7" t="str">
        <f t="shared" si="6"/>
        <v>2025 Nationals</v>
      </c>
      <c r="L5" s="7">
        <f>IF(J5=AO5,IF(COUNT(AQ5,AS5,BO5,BQ5,BU5,BW5)&gt;1,LARGE((AQ5,AS5,BO5,BQ5,BU5,BW5),1),0),IF(COUNT(AK5,AM5,AQ5,AS5,BU5,BW5)&gt;1,LARGE((AK5,AM5,AQ5,AS5,BU5,BW5),1),0))</f>
        <v>25.200000000000003</v>
      </c>
      <c r="M5" s="7" t="str">
        <f t="shared" si="7"/>
        <v>2025 3rd Domestic Trial</v>
      </c>
      <c r="N5" s="7">
        <f>IF(J5=AO5,IF(COUNT(AQ5,AS5,BO5,BQ5,BU5,BW5)&gt;1,LARGE((AQ5,AS5,BO5,BQ5,BU5,BW5),2),0),IF(COUNT(AK5,AM5,AQ5,AS5,BU5,BW5)&gt;1,LARGE((AK5,AM5,AQ5,AS5,BU5,BW5),2),0))</f>
        <v>24.8</v>
      </c>
      <c r="O5" s="7" t="str">
        <f t="shared" si="8"/>
        <v>2025 3rd Domestic Trial</v>
      </c>
      <c r="P5" s="7" t="str">
        <f t="shared" si="9"/>
        <v/>
      </c>
      <c r="Q5" s="10" t="str">
        <f t="shared" si="10"/>
        <v/>
      </c>
      <c r="R5" s="7" t="str">
        <f t="shared" si="11"/>
        <v/>
      </c>
      <c r="S5" s="39">
        <v>18.600000000000001</v>
      </c>
      <c r="T5" s="39">
        <v>6</v>
      </c>
      <c r="U5" s="39">
        <v>0.2</v>
      </c>
      <c r="V5" s="39">
        <v>0</v>
      </c>
      <c r="W5" s="39">
        <v>18.7</v>
      </c>
      <c r="X5" s="39">
        <v>6</v>
      </c>
      <c r="Y5" s="39">
        <v>0.6</v>
      </c>
      <c r="Z5" s="39">
        <v>0</v>
      </c>
      <c r="AA5" s="39">
        <v>18.8</v>
      </c>
      <c r="AB5" s="39">
        <v>6</v>
      </c>
      <c r="AC5" s="39">
        <v>0.6</v>
      </c>
      <c r="AD5" s="39">
        <v>0</v>
      </c>
      <c r="AE5" s="39">
        <v>18.600000000000001</v>
      </c>
      <c r="AF5" s="39">
        <v>6</v>
      </c>
      <c r="AG5" s="39">
        <v>0.6</v>
      </c>
      <c r="AH5" s="39">
        <v>0</v>
      </c>
      <c r="AI5" s="19"/>
      <c r="AJ5" s="42">
        <f t="shared" si="12"/>
        <v>6</v>
      </c>
      <c r="AK5" s="42">
        <f t="shared" si="13"/>
        <v>24.400000000000002</v>
      </c>
      <c r="AL5" s="42">
        <f t="shared" si="14"/>
        <v>6</v>
      </c>
      <c r="AM5" s="42">
        <f t="shared" si="15"/>
        <v>24.099999999999998</v>
      </c>
      <c r="AN5" s="27">
        <f t="shared" si="16"/>
        <v>12</v>
      </c>
      <c r="AO5" s="27">
        <f t="shared" si="17"/>
        <v>48.5</v>
      </c>
      <c r="AP5" s="27">
        <f t="shared" si="18"/>
        <v>6</v>
      </c>
      <c r="AQ5" s="27">
        <f t="shared" si="19"/>
        <v>24.2</v>
      </c>
      <c r="AR5" s="27">
        <f t="shared" si="20"/>
        <v>6</v>
      </c>
      <c r="AS5" s="27">
        <f t="shared" si="21"/>
        <v>24</v>
      </c>
      <c r="AT5" s="27">
        <f t="shared" si="22"/>
        <v>12</v>
      </c>
      <c r="AU5" s="27">
        <f t="shared" si="23"/>
        <v>48.2</v>
      </c>
      <c r="AV5" s="27">
        <f t="shared" si="24"/>
        <v>96.7</v>
      </c>
      <c r="AW5" s="15">
        <v>18.8</v>
      </c>
      <c r="AX5" s="15">
        <v>6.8</v>
      </c>
      <c r="AY5" s="15">
        <v>0.8</v>
      </c>
      <c r="AZ5" s="15">
        <v>0</v>
      </c>
      <c r="BA5" s="15">
        <v>18.399999999999999</v>
      </c>
      <c r="BB5" s="15">
        <v>3.6</v>
      </c>
      <c r="BC5" s="15">
        <v>0.8</v>
      </c>
      <c r="BD5" s="15">
        <v>0</v>
      </c>
      <c r="BE5" s="15">
        <v>18.600000000000001</v>
      </c>
      <c r="BF5" s="15">
        <v>6.8</v>
      </c>
      <c r="BG5" s="15">
        <v>0.8</v>
      </c>
      <c r="BH5" s="15">
        <v>0</v>
      </c>
      <c r="BI5" s="15">
        <v>18.8</v>
      </c>
      <c r="BJ5" s="15">
        <v>6.4</v>
      </c>
      <c r="BK5" s="15">
        <v>0</v>
      </c>
      <c r="BL5" s="15">
        <v>0</v>
      </c>
      <c r="BM5" s="20"/>
      <c r="BN5" s="43">
        <f t="shared" si="25"/>
        <v>6.8</v>
      </c>
      <c r="BO5" s="43">
        <f t="shared" si="26"/>
        <v>24.8</v>
      </c>
      <c r="BP5" s="43">
        <f t="shared" si="27"/>
        <v>3.6</v>
      </c>
      <c r="BQ5" s="43">
        <f t="shared" si="28"/>
        <v>21.2</v>
      </c>
      <c r="BR5" s="10">
        <f t="shared" si="29"/>
        <v>10.4</v>
      </c>
      <c r="BS5" s="10">
        <f t="shared" si="30"/>
        <v>46</v>
      </c>
      <c r="BT5" s="10">
        <f t="shared" si="31"/>
        <v>6.8</v>
      </c>
      <c r="BU5" s="10">
        <f t="shared" si="32"/>
        <v>24.6</v>
      </c>
      <c r="BV5" s="10">
        <f t="shared" si="33"/>
        <v>6.4</v>
      </c>
      <c r="BW5" s="10">
        <f t="shared" si="34"/>
        <v>25.200000000000003</v>
      </c>
      <c r="BX5" s="10">
        <f t="shared" si="35"/>
        <v>13.2</v>
      </c>
      <c r="BY5" s="10">
        <f t="shared" si="36"/>
        <v>49.800000000000004</v>
      </c>
      <c r="BZ5" s="10">
        <f t="shared" si="37"/>
        <v>95.800000000000011</v>
      </c>
      <c r="CA5" s="34" t="str">
        <f t="shared" si="38"/>
        <v/>
      </c>
      <c r="CB5" s="34" t="str">
        <f t="shared" si="39"/>
        <v/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40"/>
        <v/>
      </c>
      <c r="CX5" s="27" t="str">
        <f t="shared" si="41"/>
        <v/>
      </c>
      <c r="CY5" s="27" t="str">
        <f t="shared" si="42"/>
        <v/>
      </c>
      <c r="CZ5" s="27" t="str">
        <f t="shared" si="43"/>
        <v/>
      </c>
      <c r="DA5" s="27" t="str">
        <f t="shared" si="44"/>
        <v/>
      </c>
      <c r="DB5" s="27" t="str">
        <f t="shared" si="44"/>
        <v/>
      </c>
      <c r="DC5" s="27" t="str">
        <f t="shared" si="45"/>
        <v/>
      </c>
      <c r="DD5" s="27" t="str">
        <f t="shared" si="46"/>
        <v/>
      </c>
      <c r="DE5" s="27" t="str">
        <f t="shared" si="47"/>
        <v/>
      </c>
      <c r="DF5" s="27" t="str">
        <f t="shared" si="48"/>
        <v/>
      </c>
      <c r="DG5" s="27" t="str">
        <f t="shared" si="49"/>
        <v/>
      </c>
      <c r="DH5" s="27" t="str">
        <f t="shared" si="50"/>
        <v/>
      </c>
      <c r="DI5" s="27" t="str">
        <f t="shared" si="51"/>
        <v/>
      </c>
      <c r="DJ5" s="27" t="str">
        <f t="shared" si="51"/>
        <v/>
      </c>
      <c r="DK5" s="27" t="str">
        <f t="shared" si="52"/>
        <v/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3"/>
        <v/>
      </c>
      <c r="EG5" s="10" t="str">
        <f t="shared" si="54"/>
        <v/>
      </c>
      <c r="EH5" s="10" t="str">
        <f t="shared" si="55"/>
        <v/>
      </c>
      <c r="EI5" s="10" t="str">
        <f t="shared" si="56"/>
        <v/>
      </c>
      <c r="EJ5" s="10" t="str">
        <f t="shared" si="57"/>
        <v/>
      </c>
      <c r="EK5" s="10" t="str">
        <f t="shared" si="57"/>
        <v/>
      </c>
      <c r="EL5" s="10" t="str">
        <f t="shared" si="58"/>
        <v/>
      </c>
      <c r="EM5" s="10" t="str">
        <f t="shared" si="59"/>
        <v/>
      </c>
      <c r="EN5" s="10" t="str">
        <f t="shared" si="60"/>
        <v/>
      </c>
      <c r="EO5" s="10" t="str">
        <f t="shared" si="61"/>
        <v/>
      </c>
      <c r="EP5" s="10" t="str">
        <f t="shared" si="62"/>
        <v/>
      </c>
      <c r="EQ5" s="10" t="str">
        <f t="shared" si="63"/>
        <v/>
      </c>
      <c r="ER5" s="10" t="str">
        <f t="shared" si="64"/>
        <v/>
      </c>
      <c r="ES5" s="10" t="str">
        <f t="shared" si="64"/>
        <v/>
      </c>
      <c r="ET5" s="10" t="str">
        <f t="shared" si="65"/>
        <v/>
      </c>
      <c r="EU5" s="44">
        <f t="shared" si="66"/>
        <v>18.700000000000003</v>
      </c>
      <c r="EV5" s="44">
        <f t="shared" si="66"/>
        <v>6.4</v>
      </c>
      <c r="EW5" s="44">
        <f t="shared" si="66"/>
        <v>0.5</v>
      </c>
      <c r="EX5" s="44">
        <f t="shared" si="66"/>
        <v>0</v>
      </c>
      <c r="EY5" s="44">
        <f t="shared" si="66"/>
        <v>18.549999999999997</v>
      </c>
      <c r="EZ5" s="44">
        <f t="shared" si="66"/>
        <v>4.8</v>
      </c>
      <c r="FA5" s="44">
        <f t="shared" si="66"/>
        <v>0.7</v>
      </c>
      <c r="FB5" s="44">
        <f t="shared" si="66"/>
        <v>0</v>
      </c>
      <c r="FC5" s="44">
        <f t="shared" si="66"/>
        <v>18.700000000000003</v>
      </c>
      <c r="FD5" s="44">
        <f t="shared" si="66"/>
        <v>6.4</v>
      </c>
      <c r="FE5" s="44">
        <f t="shared" si="66"/>
        <v>0.7</v>
      </c>
      <c r="FF5" s="44">
        <f t="shared" si="66"/>
        <v>0</v>
      </c>
      <c r="FG5" s="44">
        <f t="shared" si="66"/>
        <v>18.700000000000003</v>
      </c>
      <c r="FH5" s="44">
        <f t="shared" si="66"/>
        <v>6.2</v>
      </c>
      <c r="FI5" s="44">
        <f t="shared" si="66"/>
        <v>0.3</v>
      </c>
      <c r="FJ5" s="44">
        <f t="shared" si="66"/>
        <v>0</v>
      </c>
      <c r="FK5" s="20" t="s">
        <v>29</v>
      </c>
      <c r="FL5" s="10">
        <f t="shared" si="67"/>
        <v>6.4</v>
      </c>
      <c r="FM5" s="10">
        <f t="shared" si="68"/>
        <v>24.6</v>
      </c>
      <c r="FN5" s="10">
        <f t="shared" si="69"/>
        <v>4.8</v>
      </c>
      <c r="FO5" s="10">
        <f t="shared" si="70"/>
        <v>22.65</v>
      </c>
      <c r="FP5" s="10">
        <f t="shared" si="71"/>
        <v>11.2</v>
      </c>
      <c r="FQ5" s="10">
        <f t="shared" ref="FQ5:FQ9" si="74">IF(SUM(FM5,FO5)&gt;0,SUM(FM5,FO5),"")</f>
        <v>47.25</v>
      </c>
      <c r="FR5" s="10">
        <f t="shared" ref="FR5:FR9" si="75">IF(FD5="","",FD5)</f>
        <v>6.4</v>
      </c>
      <c r="FS5" s="10">
        <f t="shared" ref="FS5:FS9" si="76">IF(FC5="","",FC5+FD5+FF5-FE5)</f>
        <v>24.400000000000002</v>
      </c>
      <c r="FT5" s="10">
        <f t="shared" ref="FT5:FT9" si="77">IF(FH5="","",FH5)</f>
        <v>6.2</v>
      </c>
      <c r="FU5" s="10">
        <f t="shared" ref="FU5:FU9" si="78">IF(FG5="","",FG5+FH5+FJ5-FI5)</f>
        <v>24.6</v>
      </c>
      <c r="FV5" s="10">
        <f t="shared" ref="FV5:FV9" si="79">IF(SUM(FD5,FH5)&gt;0,SUM(FD5,FH5),"")</f>
        <v>12.600000000000001</v>
      </c>
      <c r="FW5" s="10">
        <f t="shared" si="72"/>
        <v>49</v>
      </c>
      <c r="FX5" s="10">
        <f t="shared" si="73"/>
        <v>96.25</v>
      </c>
    </row>
    <row r="6" spans="1:180" x14ac:dyDescent="0.2">
      <c r="A6" s="3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4" t="s">
        <v>183</v>
      </c>
      <c r="C6" s="3" t="s">
        <v>5</v>
      </c>
      <c r="D6" s="3">
        <v>2012</v>
      </c>
      <c r="E6" s="8">
        <f t="shared" si="0"/>
        <v>95.800007180004741</v>
      </c>
      <c r="F6" s="2" t="str">
        <f t="shared" si="1"/>
        <v/>
      </c>
      <c r="G6" s="2" t="str">
        <f t="shared" si="2"/>
        <v/>
      </c>
      <c r="H6" s="26" t="str">
        <f t="shared" si="3"/>
        <v/>
      </c>
      <c r="I6" s="2" t="str">
        <f t="shared" si="4"/>
        <v/>
      </c>
      <c r="J6" s="7">
        <f t="shared" si="5"/>
        <v>47.5</v>
      </c>
      <c r="K6" s="7" t="str">
        <f t="shared" si="6"/>
        <v>2025 Nationals</v>
      </c>
      <c r="L6" s="7">
        <f>IF(J6=AO6,IF(COUNT(AQ6,AS6,BO6,BQ6,BU6,BW6)&gt;1,LARGE((AQ6,AS6,BO6,BQ6,BU6,BW6),1),0),IF(COUNT(AK6,AM6,AQ6,AS6,BU6,BW6)&gt;1,LARGE((AK6,AM6,AQ6,AS6,BU6,BW6),1),0))</f>
        <v>24.299999999999997</v>
      </c>
      <c r="M6" s="7" t="str">
        <f t="shared" si="7"/>
        <v>2025 Nationals</v>
      </c>
      <c r="N6" s="7">
        <f>IF(J6=AO6,IF(COUNT(AQ6,AS6,BO6,BQ6,BU6,BW6)&gt;1,LARGE((AQ6,AS6,BO6,BQ6,BU6,BW6),2),0),IF(COUNT(AK6,AM6,AQ6,AS6,BU6,BW6)&gt;1,LARGE((AK6,AM6,AQ6,AS6,BU6,BW6),2),0))</f>
        <v>24</v>
      </c>
      <c r="O6" s="7" t="str">
        <f t="shared" si="8"/>
        <v>2025 3rd Domestic Trial</v>
      </c>
      <c r="P6" s="7" t="str">
        <f t="shared" si="9"/>
        <v/>
      </c>
      <c r="Q6" s="10" t="str">
        <f t="shared" si="10"/>
        <v/>
      </c>
      <c r="R6" s="7" t="str">
        <f t="shared" si="11"/>
        <v/>
      </c>
      <c r="S6" s="39">
        <v>18.3</v>
      </c>
      <c r="T6" s="39">
        <v>5.6</v>
      </c>
      <c r="U6" s="39">
        <v>0</v>
      </c>
      <c r="V6" s="39">
        <v>0</v>
      </c>
      <c r="W6" s="39">
        <v>18.8</v>
      </c>
      <c r="X6" s="39">
        <v>4.8</v>
      </c>
      <c r="Y6" s="39">
        <v>0</v>
      </c>
      <c r="Z6" s="39">
        <v>0</v>
      </c>
      <c r="AA6" s="39">
        <v>18.7</v>
      </c>
      <c r="AB6" s="39">
        <v>5.6</v>
      </c>
      <c r="AC6" s="39">
        <v>0</v>
      </c>
      <c r="AD6" s="39">
        <v>0</v>
      </c>
      <c r="AE6" s="39">
        <v>18.5</v>
      </c>
      <c r="AF6" s="39">
        <v>4.8</v>
      </c>
      <c r="AG6" s="39">
        <v>0</v>
      </c>
      <c r="AH6" s="39">
        <v>0</v>
      </c>
      <c r="AI6" s="19"/>
      <c r="AJ6" s="42">
        <f t="shared" si="12"/>
        <v>5.6</v>
      </c>
      <c r="AK6" s="42">
        <f t="shared" si="13"/>
        <v>23.9</v>
      </c>
      <c r="AL6" s="42">
        <f t="shared" si="14"/>
        <v>4.8</v>
      </c>
      <c r="AM6" s="42">
        <f t="shared" si="15"/>
        <v>23.6</v>
      </c>
      <c r="AN6" s="27">
        <f t="shared" si="16"/>
        <v>10.399999999999999</v>
      </c>
      <c r="AO6" s="27">
        <f t="shared" si="17"/>
        <v>47.5</v>
      </c>
      <c r="AP6" s="27">
        <f t="shared" si="18"/>
        <v>5.6</v>
      </c>
      <c r="AQ6" s="27">
        <f t="shared" si="19"/>
        <v>24.299999999999997</v>
      </c>
      <c r="AR6" s="27">
        <f t="shared" si="20"/>
        <v>4.8</v>
      </c>
      <c r="AS6" s="27">
        <f t="shared" si="21"/>
        <v>23.3</v>
      </c>
      <c r="AT6" s="27">
        <f t="shared" si="22"/>
        <v>10.399999999999999</v>
      </c>
      <c r="AU6" s="27">
        <f t="shared" si="23"/>
        <v>47.599999999999994</v>
      </c>
      <c r="AV6" s="27">
        <f t="shared" si="24"/>
        <v>95.1</v>
      </c>
      <c r="AW6" s="15">
        <v>18.100000000000001</v>
      </c>
      <c r="AX6" s="15">
        <v>5.2</v>
      </c>
      <c r="AY6" s="15">
        <v>0.2</v>
      </c>
      <c r="AZ6" s="15">
        <v>0</v>
      </c>
      <c r="BA6" s="15">
        <v>18.5</v>
      </c>
      <c r="BB6" s="15">
        <v>2.8</v>
      </c>
      <c r="BC6" s="15">
        <v>1</v>
      </c>
      <c r="BD6" s="15">
        <v>0</v>
      </c>
      <c r="BE6" s="15">
        <v>18.2</v>
      </c>
      <c r="BF6" s="15">
        <v>6</v>
      </c>
      <c r="BG6" s="15">
        <v>0.2</v>
      </c>
      <c r="BH6" s="15">
        <v>0</v>
      </c>
      <c r="BI6" s="15">
        <v>18.399999999999999</v>
      </c>
      <c r="BJ6" s="15">
        <v>5.2</v>
      </c>
      <c r="BK6" s="15">
        <v>0.2</v>
      </c>
      <c r="BL6" s="15">
        <v>0</v>
      </c>
      <c r="BM6" s="20"/>
      <c r="BN6" s="43">
        <f t="shared" si="25"/>
        <v>5.2</v>
      </c>
      <c r="BO6" s="43">
        <f t="shared" si="26"/>
        <v>23.1</v>
      </c>
      <c r="BP6" s="43">
        <f t="shared" si="27"/>
        <v>2.8</v>
      </c>
      <c r="BQ6" s="43">
        <f t="shared" si="28"/>
        <v>20.3</v>
      </c>
      <c r="BR6" s="10">
        <f t="shared" si="29"/>
        <v>8</v>
      </c>
      <c r="BS6" s="10">
        <f t="shared" si="30"/>
        <v>43.400000000000006</v>
      </c>
      <c r="BT6" s="10">
        <f t="shared" si="31"/>
        <v>6</v>
      </c>
      <c r="BU6" s="10">
        <f t="shared" si="32"/>
        <v>24</v>
      </c>
      <c r="BV6" s="10">
        <f t="shared" si="33"/>
        <v>5.2</v>
      </c>
      <c r="BW6" s="10">
        <f t="shared" si="34"/>
        <v>23.4</v>
      </c>
      <c r="BX6" s="10">
        <f t="shared" si="35"/>
        <v>11.2</v>
      </c>
      <c r="BY6" s="10">
        <f t="shared" si="36"/>
        <v>47.4</v>
      </c>
      <c r="BZ6" s="10">
        <f t="shared" si="37"/>
        <v>90.800000000000011</v>
      </c>
      <c r="CA6" s="34" t="str">
        <f t="shared" si="38"/>
        <v/>
      </c>
      <c r="CB6" s="34" t="str">
        <f t="shared" si="39"/>
        <v/>
      </c>
      <c r="CC6" s="14">
        <v>18.600000000000001</v>
      </c>
      <c r="CD6" s="14">
        <v>4.3</v>
      </c>
      <c r="CE6" s="14">
        <v>0</v>
      </c>
      <c r="CF6" s="14">
        <v>0</v>
      </c>
      <c r="CG6" s="14">
        <v>18</v>
      </c>
      <c r="CH6" s="14">
        <v>5.2</v>
      </c>
      <c r="CI6" s="14">
        <v>0.6</v>
      </c>
      <c r="CJ6" s="14">
        <v>0</v>
      </c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>
        <f t="shared" si="40"/>
        <v>4.3</v>
      </c>
      <c r="CX6" s="27">
        <f t="shared" si="41"/>
        <v>22.900000000000002</v>
      </c>
      <c r="CY6" s="27">
        <f t="shared" si="42"/>
        <v>5.2</v>
      </c>
      <c r="CZ6" s="27">
        <f t="shared" si="43"/>
        <v>22.599999999999998</v>
      </c>
      <c r="DA6" s="27">
        <f t="shared" si="44"/>
        <v>9.5</v>
      </c>
      <c r="DB6" s="27">
        <f t="shared" si="44"/>
        <v>45.5</v>
      </c>
      <c r="DC6" s="27" t="str">
        <f t="shared" si="45"/>
        <v/>
      </c>
      <c r="DD6" s="27" t="str">
        <f t="shared" si="46"/>
        <v/>
      </c>
      <c r="DE6" s="27" t="str">
        <f t="shared" si="47"/>
        <v/>
      </c>
      <c r="DF6" s="27" t="str">
        <f t="shared" si="48"/>
        <v/>
      </c>
      <c r="DG6" s="27" t="str">
        <f t="shared" si="49"/>
        <v/>
      </c>
      <c r="DH6" s="27" t="str">
        <f t="shared" si="50"/>
        <v/>
      </c>
      <c r="DI6" s="27" t="str">
        <f t="shared" si="51"/>
        <v/>
      </c>
      <c r="DJ6" s="27" t="str">
        <f t="shared" si="51"/>
        <v/>
      </c>
      <c r="DK6" s="27">
        <f t="shared" si="52"/>
        <v>45.5</v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3"/>
        <v/>
      </c>
      <c r="EG6" s="10" t="str">
        <f t="shared" si="54"/>
        <v/>
      </c>
      <c r="EH6" s="10" t="str">
        <f t="shared" si="55"/>
        <v/>
      </c>
      <c r="EI6" s="10" t="str">
        <f t="shared" si="56"/>
        <v/>
      </c>
      <c r="EJ6" s="10" t="str">
        <f t="shared" si="57"/>
        <v/>
      </c>
      <c r="EK6" s="10" t="str">
        <f t="shared" si="57"/>
        <v/>
      </c>
      <c r="EL6" s="10" t="str">
        <f t="shared" si="58"/>
        <v/>
      </c>
      <c r="EM6" s="10" t="str">
        <f t="shared" si="59"/>
        <v/>
      </c>
      <c r="EN6" s="10" t="str">
        <f t="shared" si="60"/>
        <v/>
      </c>
      <c r="EO6" s="10" t="str">
        <f t="shared" si="61"/>
        <v/>
      </c>
      <c r="EP6" s="10" t="str">
        <f t="shared" si="62"/>
        <v/>
      </c>
      <c r="EQ6" s="10" t="str">
        <f t="shared" si="63"/>
        <v/>
      </c>
      <c r="ER6" s="10" t="str">
        <f t="shared" si="64"/>
        <v/>
      </c>
      <c r="ES6" s="10" t="str">
        <f t="shared" si="64"/>
        <v/>
      </c>
      <c r="ET6" s="10" t="str">
        <f t="shared" si="65"/>
        <v/>
      </c>
      <c r="EU6" s="44">
        <f t="shared" si="66"/>
        <v>18.200000000000003</v>
      </c>
      <c r="EV6" s="44">
        <f t="shared" si="66"/>
        <v>5.4</v>
      </c>
      <c r="EW6" s="44">
        <f t="shared" si="66"/>
        <v>0.1</v>
      </c>
      <c r="EX6" s="44">
        <f t="shared" si="66"/>
        <v>0</v>
      </c>
      <c r="EY6" s="44">
        <f t="shared" si="66"/>
        <v>18.649999999999999</v>
      </c>
      <c r="EZ6" s="44">
        <f t="shared" si="66"/>
        <v>3.8</v>
      </c>
      <c r="FA6" s="44">
        <f t="shared" si="66"/>
        <v>0.5</v>
      </c>
      <c r="FB6" s="44">
        <f t="shared" si="66"/>
        <v>0</v>
      </c>
      <c r="FC6" s="44">
        <f t="shared" si="66"/>
        <v>18.45</v>
      </c>
      <c r="FD6" s="44">
        <f t="shared" si="66"/>
        <v>5.8</v>
      </c>
      <c r="FE6" s="44">
        <f t="shared" si="66"/>
        <v>0.1</v>
      </c>
      <c r="FF6" s="44">
        <f t="shared" si="66"/>
        <v>0</v>
      </c>
      <c r="FG6" s="44">
        <f t="shared" si="66"/>
        <v>18.45</v>
      </c>
      <c r="FH6" s="44">
        <f t="shared" si="66"/>
        <v>5</v>
      </c>
      <c r="FI6" s="44">
        <f t="shared" si="66"/>
        <v>0.1</v>
      </c>
      <c r="FJ6" s="44">
        <f t="shared" si="66"/>
        <v>0</v>
      </c>
      <c r="FK6" s="20" t="s">
        <v>29</v>
      </c>
      <c r="FL6" s="10">
        <f t="shared" si="67"/>
        <v>5.4</v>
      </c>
      <c r="FM6" s="10">
        <f t="shared" si="68"/>
        <v>23.5</v>
      </c>
      <c r="FN6" s="10">
        <f t="shared" si="69"/>
        <v>3.8</v>
      </c>
      <c r="FO6" s="10">
        <f t="shared" si="70"/>
        <v>21.95</v>
      </c>
      <c r="FP6" s="10">
        <f t="shared" si="71"/>
        <v>9.1999999999999993</v>
      </c>
      <c r="FQ6" s="10">
        <f t="shared" si="74"/>
        <v>45.45</v>
      </c>
      <c r="FR6" s="10">
        <f t="shared" si="75"/>
        <v>5.8</v>
      </c>
      <c r="FS6" s="10">
        <f t="shared" si="76"/>
        <v>24.15</v>
      </c>
      <c r="FT6" s="10">
        <f t="shared" si="77"/>
        <v>5</v>
      </c>
      <c r="FU6" s="10">
        <f t="shared" si="78"/>
        <v>23.349999999999998</v>
      </c>
      <c r="FV6" s="10">
        <f t="shared" si="79"/>
        <v>10.8</v>
      </c>
      <c r="FW6" s="10">
        <f t="shared" si="72"/>
        <v>47.5</v>
      </c>
      <c r="FX6" s="10">
        <f t="shared" si="73"/>
        <v>92.95</v>
      </c>
    </row>
    <row r="7" spans="1:180" x14ac:dyDescent="0.2">
      <c r="A7" s="3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4" t="s">
        <v>184</v>
      </c>
      <c r="C7" s="3" t="s">
        <v>5</v>
      </c>
      <c r="D7" s="3">
        <v>2012</v>
      </c>
      <c r="E7" s="8">
        <f t="shared" si="0"/>
        <v>94.700006450004111</v>
      </c>
      <c r="F7" s="2" t="str">
        <f t="shared" si="1"/>
        <v/>
      </c>
      <c r="G7" s="2" t="str">
        <f t="shared" si="2"/>
        <v/>
      </c>
      <c r="H7" s="26" t="str">
        <f t="shared" si="3"/>
        <v/>
      </c>
      <c r="I7" s="2" t="str">
        <f t="shared" si="4"/>
        <v/>
      </c>
      <c r="J7" s="7">
        <f t="shared" si="5"/>
        <v>41.099999999999994</v>
      </c>
      <c r="K7" s="7" t="str">
        <f t="shared" si="6"/>
        <v>2025 Nationals</v>
      </c>
      <c r="L7" s="7">
        <f>IF(J7=AO7,IF(COUNT(AQ7,AS7,BO7,BQ7,BU7,BW7)&gt;1,LARGE((AQ7,AS7,BO7,BQ7,BU7,BW7),1),0),IF(COUNT(AK7,AM7,AQ7,AS7,BU7,BW7)&gt;1,LARGE((AK7,AM7,AQ7,AS7,BU7,BW7),1),0))</f>
        <v>23.4</v>
      </c>
      <c r="M7" s="7" t="str">
        <f t="shared" si="7"/>
        <v>2025 Nationals</v>
      </c>
      <c r="N7" s="7">
        <f>IF(J7=AO7,IF(COUNT(AQ7,AS7,BO7,BQ7,BU7,BW7)&gt;1,LARGE((AQ7,AS7,BO7,BQ7,BU7,BW7),2),0),IF(COUNT(AK7,AM7,AQ7,AS7,BU7,BW7)&gt;1,LARGE((AK7,AM7,AQ7,AS7,BU7,BW7),2),0))</f>
        <v>22.3</v>
      </c>
      <c r="O7" s="7" t="str">
        <f t="shared" si="8"/>
        <v>2025 Nationals</v>
      </c>
      <c r="P7" s="7">
        <f t="shared" si="9"/>
        <v>7.9000000000000057</v>
      </c>
      <c r="Q7" s="10" t="str">
        <f t="shared" si="10"/>
        <v>(Q1)</v>
      </c>
      <c r="R7" s="7" t="str">
        <f t="shared" si="11"/>
        <v>2025 WAGC (Nov 16)</v>
      </c>
      <c r="S7" s="39">
        <v>17.899999999999999</v>
      </c>
      <c r="T7" s="39">
        <v>5.2</v>
      </c>
      <c r="U7" s="39">
        <v>0.2</v>
      </c>
      <c r="V7" s="39">
        <v>0</v>
      </c>
      <c r="W7" s="39">
        <v>15</v>
      </c>
      <c r="X7" s="39">
        <v>3.2</v>
      </c>
      <c r="Y7" s="39">
        <v>0</v>
      </c>
      <c r="Z7" s="39">
        <v>0</v>
      </c>
      <c r="AA7" s="39">
        <v>18.399999999999999</v>
      </c>
      <c r="AB7" s="39">
        <v>5.2</v>
      </c>
      <c r="AC7" s="39">
        <v>0.2</v>
      </c>
      <c r="AD7" s="39">
        <v>0</v>
      </c>
      <c r="AE7" s="39">
        <v>18.100000000000001</v>
      </c>
      <c r="AF7" s="39">
        <v>4.8</v>
      </c>
      <c r="AG7" s="39">
        <v>0.6</v>
      </c>
      <c r="AH7" s="39">
        <v>0</v>
      </c>
      <c r="AI7" s="19"/>
      <c r="AJ7" s="42">
        <f t="shared" si="12"/>
        <v>5.2</v>
      </c>
      <c r="AK7" s="42">
        <f t="shared" si="13"/>
        <v>22.9</v>
      </c>
      <c r="AL7" s="42">
        <f t="shared" si="14"/>
        <v>3.2</v>
      </c>
      <c r="AM7" s="42">
        <f t="shared" si="15"/>
        <v>18.2</v>
      </c>
      <c r="AN7" s="27">
        <f t="shared" si="16"/>
        <v>8.4</v>
      </c>
      <c r="AO7" s="27">
        <f t="shared" si="17"/>
        <v>41.099999999999994</v>
      </c>
      <c r="AP7" s="27">
        <f t="shared" si="18"/>
        <v>5.2</v>
      </c>
      <c r="AQ7" s="27">
        <f t="shared" si="19"/>
        <v>23.4</v>
      </c>
      <c r="AR7" s="27">
        <f t="shared" si="20"/>
        <v>4.8</v>
      </c>
      <c r="AS7" s="27">
        <f t="shared" si="21"/>
        <v>22.3</v>
      </c>
      <c r="AT7" s="27">
        <f t="shared" si="22"/>
        <v>10</v>
      </c>
      <c r="AU7" s="27">
        <f t="shared" si="23"/>
        <v>45.7</v>
      </c>
      <c r="AV7" s="27">
        <f t="shared" si="24"/>
        <v>86.8</v>
      </c>
      <c r="AW7" s="15">
        <v>0</v>
      </c>
      <c r="AX7" s="15">
        <v>0</v>
      </c>
      <c r="AY7" s="15">
        <v>0</v>
      </c>
      <c r="AZ7" s="15">
        <v>0</v>
      </c>
      <c r="BA7" s="15">
        <v>18.100000000000001</v>
      </c>
      <c r="BB7" s="15">
        <v>4.4000000000000004</v>
      </c>
      <c r="BC7" s="15">
        <v>0.4</v>
      </c>
      <c r="BD7" s="15">
        <v>0</v>
      </c>
      <c r="BE7" s="15">
        <v>18.100000000000001</v>
      </c>
      <c r="BF7" s="15">
        <v>4.4000000000000004</v>
      </c>
      <c r="BG7" s="15">
        <v>0.6</v>
      </c>
      <c r="BH7" s="15">
        <v>0</v>
      </c>
      <c r="BI7" s="15">
        <v>18.2</v>
      </c>
      <c r="BJ7" s="15">
        <v>1.2</v>
      </c>
      <c r="BK7" s="15">
        <v>1.4</v>
      </c>
      <c r="BL7" s="15">
        <v>0</v>
      </c>
      <c r="BM7" s="20"/>
      <c r="BN7" s="43">
        <f t="shared" si="25"/>
        <v>0</v>
      </c>
      <c r="BO7" s="43">
        <f t="shared" si="26"/>
        <v>0</v>
      </c>
      <c r="BP7" s="43">
        <f t="shared" si="27"/>
        <v>4.4000000000000004</v>
      </c>
      <c r="BQ7" s="43">
        <f t="shared" si="28"/>
        <v>22.1</v>
      </c>
      <c r="BR7" s="10">
        <f t="shared" si="29"/>
        <v>4.4000000000000004</v>
      </c>
      <c r="BS7" s="10">
        <f t="shared" si="30"/>
        <v>22.1</v>
      </c>
      <c r="BT7" s="10">
        <f t="shared" si="31"/>
        <v>4.4000000000000004</v>
      </c>
      <c r="BU7" s="10">
        <f t="shared" si="32"/>
        <v>21.9</v>
      </c>
      <c r="BV7" s="10">
        <f t="shared" si="33"/>
        <v>1.2</v>
      </c>
      <c r="BW7" s="10">
        <f t="shared" si="34"/>
        <v>18</v>
      </c>
      <c r="BX7" s="10">
        <f t="shared" si="35"/>
        <v>5.6000000000000005</v>
      </c>
      <c r="BY7" s="10">
        <f t="shared" si="36"/>
        <v>39.9</v>
      </c>
      <c r="BZ7" s="10">
        <f t="shared" si="37"/>
        <v>62</v>
      </c>
      <c r="CA7" s="34">
        <f t="shared" si="38"/>
        <v>7.9000000000000057</v>
      </c>
      <c r="CB7" s="34">
        <f t="shared" si="39"/>
        <v>2.5</v>
      </c>
      <c r="CC7" s="14">
        <v>18.600000000000001</v>
      </c>
      <c r="CD7" s="14">
        <v>5.6</v>
      </c>
      <c r="CE7" s="14">
        <v>0</v>
      </c>
      <c r="CF7" s="14">
        <v>0</v>
      </c>
      <c r="CG7" s="14">
        <v>18.8</v>
      </c>
      <c r="CH7" s="14">
        <v>6</v>
      </c>
      <c r="CI7" s="14">
        <v>0</v>
      </c>
      <c r="CJ7" s="14">
        <v>0</v>
      </c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>
        <f t="shared" si="40"/>
        <v>5.6</v>
      </c>
      <c r="CX7" s="27">
        <f t="shared" si="41"/>
        <v>24.200000000000003</v>
      </c>
      <c r="CY7" s="27">
        <f t="shared" si="42"/>
        <v>6</v>
      </c>
      <c r="CZ7" s="27">
        <f t="shared" si="43"/>
        <v>24.8</v>
      </c>
      <c r="DA7" s="27">
        <f t="shared" si="44"/>
        <v>11.6</v>
      </c>
      <c r="DB7" s="27">
        <f t="shared" si="44"/>
        <v>49</v>
      </c>
      <c r="DC7" s="27" t="str">
        <f t="shared" si="45"/>
        <v/>
      </c>
      <c r="DD7" s="27" t="str">
        <f t="shared" si="46"/>
        <v/>
      </c>
      <c r="DE7" s="27" t="str">
        <f t="shared" si="47"/>
        <v/>
      </c>
      <c r="DF7" s="27" t="str">
        <f t="shared" si="48"/>
        <v/>
      </c>
      <c r="DG7" s="27" t="str">
        <f t="shared" si="49"/>
        <v/>
      </c>
      <c r="DH7" s="27" t="str">
        <f t="shared" si="50"/>
        <v/>
      </c>
      <c r="DI7" s="27" t="str">
        <f t="shared" si="51"/>
        <v/>
      </c>
      <c r="DJ7" s="27" t="str">
        <f t="shared" si="51"/>
        <v/>
      </c>
      <c r="DK7" s="27">
        <f t="shared" si="52"/>
        <v>49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3"/>
        <v/>
      </c>
      <c r="EG7" s="10" t="str">
        <f t="shared" si="54"/>
        <v/>
      </c>
      <c r="EH7" s="10" t="str">
        <f t="shared" si="55"/>
        <v/>
      </c>
      <c r="EI7" s="10" t="str">
        <f t="shared" si="56"/>
        <v/>
      </c>
      <c r="EJ7" s="10" t="str">
        <f t="shared" si="57"/>
        <v/>
      </c>
      <c r="EK7" s="10" t="str">
        <f t="shared" si="57"/>
        <v/>
      </c>
      <c r="EL7" s="10" t="str">
        <f t="shared" si="58"/>
        <v/>
      </c>
      <c r="EM7" s="10" t="str">
        <f t="shared" si="59"/>
        <v/>
      </c>
      <c r="EN7" s="10" t="str">
        <f t="shared" si="60"/>
        <v/>
      </c>
      <c r="EO7" s="10" t="str">
        <f t="shared" si="61"/>
        <v/>
      </c>
      <c r="EP7" s="10" t="str">
        <f t="shared" si="62"/>
        <v/>
      </c>
      <c r="EQ7" s="10" t="str">
        <f t="shared" si="63"/>
        <v/>
      </c>
      <c r="ER7" s="10" t="str">
        <f t="shared" si="64"/>
        <v/>
      </c>
      <c r="ES7" s="10" t="str">
        <f t="shared" si="64"/>
        <v/>
      </c>
      <c r="ET7" s="10" t="str">
        <f t="shared" si="65"/>
        <v/>
      </c>
      <c r="EU7" s="44">
        <f t="shared" si="66"/>
        <v>8.9499999999999993</v>
      </c>
      <c r="EV7" s="44">
        <f t="shared" si="66"/>
        <v>2.6</v>
      </c>
      <c r="EW7" s="44">
        <f t="shared" si="66"/>
        <v>0.1</v>
      </c>
      <c r="EX7" s="44">
        <f t="shared" si="66"/>
        <v>0</v>
      </c>
      <c r="EY7" s="44">
        <f t="shared" si="66"/>
        <v>16.55</v>
      </c>
      <c r="EZ7" s="44">
        <f t="shared" si="66"/>
        <v>3.8000000000000003</v>
      </c>
      <c r="FA7" s="44">
        <f t="shared" si="66"/>
        <v>0.2</v>
      </c>
      <c r="FB7" s="44">
        <f t="shared" si="66"/>
        <v>0</v>
      </c>
      <c r="FC7" s="44">
        <f t="shared" si="66"/>
        <v>18.25</v>
      </c>
      <c r="FD7" s="44">
        <f t="shared" si="66"/>
        <v>4.8000000000000007</v>
      </c>
      <c r="FE7" s="44">
        <f t="shared" si="66"/>
        <v>0.4</v>
      </c>
      <c r="FF7" s="44">
        <f t="shared" si="66"/>
        <v>0</v>
      </c>
      <c r="FG7" s="44">
        <f t="shared" si="66"/>
        <v>18.149999999999999</v>
      </c>
      <c r="FH7" s="44">
        <f t="shared" si="66"/>
        <v>3</v>
      </c>
      <c r="FI7" s="44">
        <f t="shared" si="66"/>
        <v>1</v>
      </c>
      <c r="FJ7" s="44">
        <f t="shared" si="66"/>
        <v>0</v>
      </c>
      <c r="FK7" s="20" t="s">
        <v>29</v>
      </c>
      <c r="FL7" s="10">
        <f t="shared" si="67"/>
        <v>2.6</v>
      </c>
      <c r="FM7" s="10">
        <f t="shared" si="68"/>
        <v>11.45</v>
      </c>
      <c r="FN7" s="10">
        <f t="shared" si="69"/>
        <v>3.8000000000000003</v>
      </c>
      <c r="FO7" s="10">
        <f t="shared" si="70"/>
        <v>20.150000000000002</v>
      </c>
      <c r="FP7" s="10">
        <f t="shared" si="71"/>
        <v>6.4</v>
      </c>
      <c r="FQ7" s="10">
        <f t="shared" si="74"/>
        <v>31.6</v>
      </c>
      <c r="FR7" s="10">
        <f t="shared" si="75"/>
        <v>4.8000000000000007</v>
      </c>
      <c r="FS7" s="10">
        <f t="shared" si="76"/>
        <v>22.650000000000002</v>
      </c>
      <c r="FT7" s="10">
        <f t="shared" si="77"/>
        <v>3</v>
      </c>
      <c r="FU7" s="10">
        <f t="shared" si="78"/>
        <v>20.149999999999999</v>
      </c>
      <c r="FV7" s="10">
        <f t="shared" si="79"/>
        <v>7.8000000000000007</v>
      </c>
      <c r="FW7" s="10">
        <f t="shared" si="72"/>
        <v>42.8</v>
      </c>
      <c r="FX7" s="10">
        <f t="shared" si="73"/>
        <v>74.400000000000006</v>
      </c>
    </row>
    <row r="8" spans="1:180" x14ac:dyDescent="0.2">
      <c r="A8" s="3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4" t="s">
        <v>186</v>
      </c>
      <c r="C8" s="3" t="s">
        <v>5</v>
      </c>
      <c r="D8" s="3">
        <v>2011</v>
      </c>
      <c r="E8" s="8">
        <f t="shared" si="0"/>
        <v>80.800006550004213</v>
      </c>
      <c r="F8" s="2" t="str">
        <f t="shared" si="1"/>
        <v/>
      </c>
      <c r="G8" s="2" t="str">
        <f t="shared" si="2"/>
        <v/>
      </c>
      <c r="H8" s="26" t="str">
        <f t="shared" si="3"/>
        <v/>
      </c>
      <c r="I8" s="2" t="str">
        <f t="shared" si="4"/>
        <v/>
      </c>
      <c r="J8" s="7">
        <f t="shared" si="5"/>
        <v>42.2</v>
      </c>
      <c r="K8" s="7" t="str">
        <f t="shared" si="6"/>
        <v>2025 3rd Domestic Trial</v>
      </c>
      <c r="L8" s="7">
        <f>IF(J8=AO8,IF(COUNT(AQ8,AS8,BO8,BQ8,BU8,BW8)&gt;1,LARGE((AQ8,AS8,BO8,BQ8,BU8,BW8),1),0),IF(COUNT(AK8,AM8,AQ8,AS8,BU8,BW8)&gt;1,LARGE((AK8,AM8,AQ8,AS8,BU8,BW8),1),0))</f>
        <v>23.3</v>
      </c>
      <c r="M8" s="7" t="str">
        <f t="shared" si="7"/>
        <v>2025 3rd Domestic Trial</v>
      </c>
      <c r="N8" s="7">
        <f>IF(J8=AO8,IF(COUNT(AQ8,AS8,BO8,BQ8,BU8,BW8)&gt;1,LARGE((AQ8,AS8,BO8,BQ8,BU8,BW8),2),0),IF(COUNT(AK8,AM8,AQ8,AS8,BU8,BW8)&gt;1,LARGE((AK8,AM8,AQ8,AS8,BU8,BW8),2),0))</f>
        <v>15.3</v>
      </c>
      <c r="O8" s="7" t="str">
        <f t="shared" si="8"/>
        <v>2025 3rd Domestic Trial</v>
      </c>
      <c r="P8" s="7" t="str">
        <f t="shared" si="9"/>
        <v/>
      </c>
      <c r="Q8" s="10" t="str">
        <f t="shared" si="10"/>
        <v/>
      </c>
      <c r="R8" s="7" t="str">
        <f t="shared" si="11"/>
        <v/>
      </c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19"/>
      <c r="AJ8" s="42" t="str">
        <f t="shared" si="12"/>
        <v/>
      </c>
      <c r="AK8" s="42" t="str">
        <f t="shared" si="13"/>
        <v/>
      </c>
      <c r="AL8" s="42" t="str">
        <f t="shared" si="14"/>
        <v/>
      </c>
      <c r="AM8" s="42" t="str">
        <f t="shared" si="15"/>
        <v/>
      </c>
      <c r="AN8" s="27" t="str">
        <f t="shared" si="16"/>
        <v/>
      </c>
      <c r="AO8" s="27" t="str">
        <f t="shared" si="17"/>
        <v/>
      </c>
      <c r="AP8" s="27" t="str">
        <f t="shared" si="18"/>
        <v/>
      </c>
      <c r="AQ8" s="27" t="str">
        <f t="shared" si="19"/>
        <v/>
      </c>
      <c r="AR8" s="27" t="str">
        <f t="shared" si="20"/>
        <v/>
      </c>
      <c r="AS8" s="27" t="str">
        <f t="shared" si="21"/>
        <v/>
      </c>
      <c r="AT8" s="27" t="str">
        <f t="shared" si="22"/>
        <v/>
      </c>
      <c r="AU8" s="27" t="str">
        <f t="shared" si="23"/>
        <v/>
      </c>
      <c r="AV8" s="27" t="str">
        <f t="shared" si="24"/>
        <v/>
      </c>
      <c r="AW8" s="15">
        <v>15.2</v>
      </c>
      <c r="AX8" s="15">
        <v>2.8</v>
      </c>
      <c r="AY8" s="15">
        <v>0</v>
      </c>
      <c r="AZ8" s="15">
        <v>0</v>
      </c>
      <c r="BA8" s="15">
        <v>19</v>
      </c>
      <c r="BB8" s="15">
        <v>5.2</v>
      </c>
      <c r="BC8" s="15">
        <v>0</v>
      </c>
      <c r="BD8" s="15">
        <v>0</v>
      </c>
      <c r="BE8" s="15">
        <v>18.3</v>
      </c>
      <c r="BF8" s="15">
        <v>5.2</v>
      </c>
      <c r="BG8" s="15">
        <v>0.2</v>
      </c>
      <c r="BH8" s="15">
        <v>0</v>
      </c>
      <c r="BI8" s="15">
        <v>15.3</v>
      </c>
      <c r="BJ8" s="15">
        <v>0</v>
      </c>
      <c r="BK8" s="15">
        <v>0</v>
      </c>
      <c r="BL8" s="15">
        <v>0</v>
      </c>
      <c r="BM8" s="20"/>
      <c r="BN8" s="43">
        <f t="shared" si="25"/>
        <v>2.8</v>
      </c>
      <c r="BO8" s="43">
        <f t="shared" si="26"/>
        <v>18</v>
      </c>
      <c r="BP8" s="43">
        <f t="shared" si="27"/>
        <v>5.2</v>
      </c>
      <c r="BQ8" s="43">
        <f t="shared" si="28"/>
        <v>24.2</v>
      </c>
      <c r="BR8" s="10">
        <f t="shared" si="29"/>
        <v>8</v>
      </c>
      <c r="BS8" s="10">
        <f t="shared" si="30"/>
        <v>42.2</v>
      </c>
      <c r="BT8" s="10">
        <f t="shared" si="31"/>
        <v>5.2</v>
      </c>
      <c r="BU8" s="10">
        <f t="shared" si="32"/>
        <v>23.3</v>
      </c>
      <c r="BV8" s="10">
        <f t="shared" si="33"/>
        <v>0</v>
      </c>
      <c r="BW8" s="10">
        <f t="shared" si="34"/>
        <v>15.3</v>
      </c>
      <c r="BX8" s="10">
        <f t="shared" si="35"/>
        <v>5.2</v>
      </c>
      <c r="BY8" s="10">
        <f t="shared" si="36"/>
        <v>38.6</v>
      </c>
      <c r="BZ8" s="10">
        <f t="shared" si="37"/>
        <v>80.800000000000011</v>
      </c>
      <c r="CA8" s="34" t="str">
        <f t="shared" si="38"/>
        <v/>
      </c>
      <c r="CB8" s="34" t="str">
        <f t="shared" si="39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40"/>
        <v/>
      </c>
      <c r="CX8" s="27" t="str">
        <f t="shared" si="41"/>
        <v/>
      </c>
      <c r="CY8" s="27" t="str">
        <f t="shared" si="42"/>
        <v/>
      </c>
      <c r="CZ8" s="27" t="str">
        <f t="shared" si="43"/>
        <v/>
      </c>
      <c r="DA8" s="27" t="str">
        <f t="shared" si="44"/>
        <v/>
      </c>
      <c r="DB8" s="27" t="str">
        <f t="shared" si="44"/>
        <v/>
      </c>
      <c r="DC8" s="27" t="str">
        <f t="shared" si="45"/>
        <v/>
      </c>
      <c r="DD8" s="27" t="str">
        <f t="shared" si="46"/>
        <v/>
      </c>
      <c r="DE8" s="27" t="str">
        <f t="shared" si="47"/>
        <v/>
      </c>
      <c r="DF8" s="27" t="str">
        <f t="shared" si="48"/>
        <v/>
      </c>
      <c r="DG8" s="27" t="str">
        <f t="shared" si="49"/>
        <v/>
      </c>
      <c r="DH8" s="27" t="str">
        <f t="shared" si="50"/>
        <v/>
      </c>
      <c r="DI8" s="27" t="str">
        <f t="shared" si="51"/>
        <v/>
      </c>
      <c r="DJ8" s="27" t="str">
        <f t="shared" si="51"/>
        <v/>
      </c>
      <c r="DK8" s="27" t="str">
        <f t="shared" si="52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3"/>
        <v/>
      </c>
      <c r="EG8" s="10" t="str">
        <f t="shared" si="54"/>
        <v/>
      </c>
      <c r="EH8" s="10" t="str">
        <f t="shared" si="55"/>
        <v/>
      </c>
      <c r="EI8" s="10" t="str">
        <f t="shared" si="56"/>
        <v/>
      </c>
      <c r="EJ8" s="10" t="str">
        <f t="shared" si="57"/>
        <v/>
      </c>
      <c r="EK8" s="10" t="str">
        <f t="shared" si="57"/>
        <v/>
      </c>
      <c r="EL8" s="10" t="str">
        <f t="shared" si="58"/>
        <v/>
      </c>
      <c r="EM8" s="10" t="str">
        <f t="shared" si="59"/>
        <v/>
      </c>
      <c r="EN8" s="10" t="str">
        <f t="shared" si="60"/>
        <v/>
      </c>
      <c r="EO8" s="10" t="str">
        <f t="shared" si="61"/>
        <v/>
      </c>
      <c r="EP8" s="10" t="str">
        <f t="shared" si="62"/>
        <v/>
      </c>
      <c r="EQ8" s="10" t="str">
        <f t="shared" si="63"/>
        <v/>
      </c>
      <c r="ER8" s="10" t="str">
        <f t="shared" si="64"/>
        <v/>
      </c>
      <c r="ES8" s="10" t="str">
        <f t="shared" si="64"/>
        <v/>
      </c>
      <c r="ET8" s="10" t="str">
        <f t="shared" si="65"/>
        <v/>
      </c>
      <c r="EU8" s="44">
        <f t="shared" si="66"/>
        <v>7.6</v>
      </c>
      <c r="EV8" s="44">
        <f t="shared" si="66"/>
        <v>1.4</v>
      </c>
      <c r="EW8" s="44">
        <f t="shared" si="66"/>
        <v>0</v>
      </c>
      <c r="EX8" s="44">
        <f t="shared" si="66"/>
        <v>0</v>
      </c>
      <c r="EY8" s="44">
        <f t="shared" si="66"/>
        <v>9.5</v>
      </c>
      <c r="EZ8" s="44">
        <f t="shared" si="66"/>
        <v>2.6</v>
      </c>
      <c r="FA8" s="44">
        <f t="shared" si="66"/>
        <v>0</v>
      </c>
      <c r="FB8" s="44">
        <f t="shared" si="66"/>
        <v>0</v>
      </c>
      <c r="FC8" s="44">
        <f t="shared" si="66"/>
        <v>9.15</v>
      </c>
      <c r="FD8" s="44">
        <f t="shared" si="66"/>
        <v>2.6</v>
      </c>
      <c r="FE8" s="44">
        <f t="shared" si="66"/>
        <v>0.1</v>
      </c>
      <c r="FF8" s="44">
        <f t="shared" si="66"/>
        <v>0</v>
      </c>
      <c r="FG8" s="44">
        <f t="shared" si="66"/>
        <v>7.65</v>
      </c>
      <c r="FH8" s="44">
        <f t="shared" si="66"/>
        <v>0</v>
      </c>
      <c r="FI8" s="44">
        <f t="shared" si="66"/>
        <v>0</v>
      </c>
      <c r="FJ8" s="44">
        <f t="shared" si="66"/>
        <v>0</v>
      </c>
      <c r="FK8" s="20" t="s">
        <v>29</v>
      </c>
      <c r="FL8" s="10">
        <f t="shared" si="67"/>
        <v>1.4</v>
      </c>
      <c r="FM8" s="10">
        <f t="shared" si="68"/>
        <v>9</v>
      </c>
      <c r="FN8" s="10">
        <f t="shared" si="69"/>
        <v>2.6</v>
      </c>
      <c r="FO8" s="10">
        <f t="shared" si="70"/>
        <v>12.1</v>
      </c>
      <c r="FP8" s="10">
        <f t="shared" si="71"/>
        <v>4</v>
      </c>
      <c r="FQ8" s="10">
        <f t="shared" si="74"/>
        <v>21.1</v>
      </c>
      <c r="FR8" s="10">
        <f t="shared" si="75"/>
        <v>2.6</v>
      </c>
      <c r="FS8" s="10">
        <f t="shared" si="76"/>
        <v>11.65</v>
      </c>
      <c r="FT8" s="10">
        <f t="shared" si="77"/>
        <v>0</v>
      </c>
      <c r="FU8" s="10">
        <f t="shared" si="78"/>
        <v>7.65</v>
      </c>
      <c r="FV8" s="10">
        <f t="shared" si="79"/>
        <v>2.6</v>
      </c>
      <c r="FW8" s="10">
        <f t="shared" si="72"/>
        <v>19.3</v>
      </c>
      <c r="FX8" s="10">
        <f t="shared" si="73"/>
        <v>40.400000000000006</v>
      </c>
    </row>
    <row r="9" spans="1:180" x14ac:dyDescent="0.2">
      <c r="A9" s="3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4" t="s">
        <v>185</v>
      </c>
      <c r="C9" s="3" t="s">
        <v>3</v>
      </c>
      <c r="D9" s="3">
        <v>2010</v>
      </c>
      <c r="E9" s="8">
        <f t="shared" si="0"/>
        <v>0</v>
      </c>
      <c r="F9" s="2" t="str">
        <f t="shared" si="1"/>
        <v/>
      </c>
      <c r="G9" s="2" t="str">
        <f t="shared" si="2"/>
        <v/>
      </c>
      <c r="H9" s="26" t="str">
        <f t="shared" si="3"/>
        <v/>
      </c>
      <c r="I9" s="2" t="str">
        <f t="shared" si="4"/>
        <v/>
      </c>
      <c r="J9" s="7">
        <f t="shared" si="5"/>
        <v>0</v>
      </c>
      <c r="K9" s="7" t="str">
        <f t="shared" si="6"/>
        <v/>
      </c>
      <c r="L9" s="7">
        <f>IF(J9=AO9,IF(COUNT(AQ9,AS9,BO9,BQ9,BU9,BW9)&gt;1,LARGE((AQ9,AS9,BO9,BQ9,BU9,BW9),1),0),IF(COUNT(AK9,AM9,AQ9,AS9,BU9,BW9)&gt;1,LARGE((AK9,AM9,AQ9,AS9,BU9,BW9),1),0))</f>
        <v>0</v>
      </c>
      <c r="M9" s="7" t="str">
        <f t="shared" si="7"/>
        <v/>
      </c>
      <c r="N9" s="7">
        <f>IF(J9=AO9,IF(COUNT(AQ9,AS9,BO9,BQ9,BU9,BW9)&gt;1,LARGE((AQ9,AS9,BO9,BQ9,BU9,BW9),2),0),IF(COUNT(AK9,AM9,AQ9,AS9,BU9,BW9)&gt;1,LARGE((AK9,AM9,AQ9,AS9,BU9,BW9),2),0))</f>
        <v>0</v>
      </c>
      <c r="O9" s="7" t="str">
        <f t="shared" si="8"/>
        <v/>
      </c>
      <c r="P9" s="7" t="str">
        <f t="shared" si="9"/>
        <v/>
      </c>
      <c r="Q9" s="10" t="str">
        <f t="shared" si="10"/>
        <v/>
      </c>
      <c r="R9" s="7" t="str">
        <f t="shared" si="11"/>
        <v/>
      </c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19"/>
      <c r="AJ9" s="42" t="str">
        <f t="shared" si="12"/>
        <v/>
      </c>
      <c r="AK9" s="42" t="str">
        <f t="shared" si="13"/>
        <v/>
      </c>
      <c r="AL9" s="42" t="str">
        <f t="shared" si="14"/>
        <v/>
      </c>
      <c r="AM9" s="42" t="str">
        <f t="shared" si="15"/>
        <v/>
      </c>
      <c r="AN9" s="27" t="str">
        <f t="shared" si="16"/>
        <v/>
      </c>
      <c r="AO9" s="27" t="str">
        <f t="shared" si="17"/>
        <v/>
      </c>
      <c r="AP9" s="27" t="str">
        <f t="shared" si="18"/>
        <v/>
      </c>
      <c r="AQ9" s="27" t="str">
        <f t="shared" si="19"/>
        <v/>
      </c>
      <c r="AR9" s="27" t="str">
        <f t="shared" si="20"/>
        <v/>
      </c>
      <c r="AS9" s="27" t="str">
        <f t="shared" si="21"/>
        <v/>
      </c>
      <c r="AT9" s="27" t="str">
        <f t="shared" si="22"/>
        <v/>
      </c>
      <c r="AU9" s="27" t="str">
        <f t="shared" si="23"/>
        <v/>
      </c>
      <c r="AV9" s="27" t="str">
        <f t="shared" si="24"/>
        <v/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3" t="str">
        <f t="shared" si="25"/>
        <v/>
      </c>
      <c r="BO9" s="43" t="str">
        <f t="shared" si="26"/>
        <v/>
      </c>
      <c r="BP9" s="43" t="str">
        <f t="shared" si="27"/>
        <v/>
      </c>
      <c r="BQ9" s="43" t="str">
        <f t="shared" si="28"/>
        <v/>
      </c>
      <c r="BR9" s="10" t="str">
        <f t="shared" si="29"/>
        <v/>
      </c>
      <c r="BS9" s="10" t="str">
        <f t="shared" si="30"/>
        <v/>
      </c>
      <c r="BT9" s="10" t="str">
        <f t="shared" si="31"/>
        <v/>
      </c>
      <c r="BU9" s="10" t="str">
        <f t="shared" si="32"/>
        <v/>
      </c>
      <c r="BV9" s="10" t="str">
        <f t="shared" si="33"/>
        <v/>
      </c>
      <c r="BW9" s="10" t="str">
        <f t="shared" si="34"/>
        <v/>
      </c>
      <c r="BX9" s="10" t="str">
        <f t="shared" si="35"/>
        <v/>
      </c>
      <c r="BY9" s="10" t="str">
        <f t="shared" si="36"/>
        <v/>
      </c>
      <c r="BZ9" s="10" t="str">
        <f t="shared" si="37"/>
        <v/>
      </c>
      <c r="CA9" s="34" t="str">
        <f t="shared" si="38"/>
        <v/>
      </c>
      <c r="CB9" s="34" t="str">
        <f t="shared" si="39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40"/>
        <v/>
      </c>
      <c r="CX9" s="27" t="str">
        <f t="shared" si="41"/>
        <v/>
      </c>
      <c r="CY9" s="27" t="str">
        <f t="shared" si="42"/>
        <v/>
      </c>
      <c r="CZ9" s="27" t="str">
        <f t="shared" si="43"/>
        <v/>
      </c>
      <c r="DA9" s="27" t="str">
        <f t="shared" si="44"/>
        <v/>
      </c>
      <c r="DB9" s="27" t="str">
        <f t="shared" si="44"/>
        <v/>
      </c>
      <c r="DC9" s="27" t="str">
        <f t="shared" si="45"/>
        <v/>
      </c>
      <c r="DD9" s="27" t="str">
        <f t="shared" si="46"/>
        <v/>
      </c>
      <c r="DE9" s="27" t="str">
        <f t="shared" si="47"/>
        <v/>
      </c>
      <c r="DF9" s="27" t="str">
        <f t="shared" si="48"/>
        <v/>
      </c>
      <c r="DG9" s="27" t="str">
        <f t="shared" si="49"/>
        <v/>
      </c>
      <c r="DH9" s="27" t="str">
        <f t="shared" si="50"/>
        <v/>
      </c>
      <c r="DI9" s="27" t="str">
        <f t="shared" si="51"/>
        <v/>
      </c>
      <c r="DJ9" s="27" t="str">
        <f t="shared" si="51"/>
        <v/>
      </c>
      <c r="DK9" s="27" t="str">
        <f t="shared" si="52"/>
        <v/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3"/>
        <v/>
      </c>
      <c r="EG9" s="10" t="str">
        <f t="shared" si="54"/>
        <v/>
      </c>
      <c r="EH9" s="10" t="str">
        <f t="shared" si="55"/>
        <v/>
      </c>
      <c r="EI9" s="10" t="str">
        <f t="shared" si="56"/>
        <v/>
      </c>
      <c r="EJ9" s="10" t="str">
        <f t="shared" si="57"/>
        <v/>
      </c>
      <c r="EK9" s="10" t="str">
        <f t="shared" si="57"/>
        <v/>
      </c>
      <c r="EL9" s="10" t="str">
        <f t="shared" si="58"/>
        <v/>
      </c>
      <c r="EM9" s="10" t="str">
        <f t="shared" si="59"/>
        <v/>
      </c>
      <c r="EN9" s="10" t="str">
        <f t="shared" si="60"/>
        <v/>
      </c>
      <c r="EO9" s="10" t="str">
        <f t="shared" si="61"/>
        <v/>
      </c>
      <c r="EP9" s="10" t="str">
        <f t="shared" si="62"/>
        <v/>
      </c>
      <c r="EQ9" s="10" t="str">
        <f t="shared" si="63"/>
        <v/>
      </c>
      <c r="ER9" s="10" t="str">
        <f t="shared" si="64"/>
        <v/>
      </c>
      <c r="ES9" s="10" t="str">
        <f t="shared" si="64"/>
        <v/>
      </c>
      <c r="ET9" s="10" t="str">
        <f t="shared" si="65"/>
        <v/>
      </c>
      <c r="EU9" s="44">
        <f t="shared" si="66"/>
        <v>0</v>
      </c>
      <c r="EV9" s="44">
        <f t="shared" si="66"/>
        <v>0</v>
      </c>
      <c r="EW9" s="44">
        <f t="shared" si="66"/>
        <v>0</v>
      </c>
      <c r="EX9" s="44">
        <f t="shared" si="66"/>
        <v>0</v>
      </c>
      <c r="EY9" s="44">
        <f t="shared" si="66"/>
        <v>0</v>
      </c>
      <c r="EZ9" s="44">
        <f t="shared" si="66"/>
        <v>0</v>
      </c>
      <c r="FA9" s="44">
        <f t="shared" si="66"/>
        <v>0</v>
      </c>
      <c r="FB9" s="44">
        <f t="shared" si="66"/>
        <v>0</v>
      </c>
      <c r="FC9" s="44">
        <f t="shared" si="66"/>
        <v>0</v>
      </c>
      <c r="FD9" s="44">
        <f t="shared" si="66"/>
        <v>0</v>
      </c>
      <c r="FE9" s="44">
        <f t="shared" si="66"/>
        <v>0</v>
      </c>
      <c r="FF9" s="44">
        <f t="shared" si="66"/>
        <v>0</v>
      </c>
      <c r="FG9" s="44">
        <f t="shared" si="66"/>
        <v>0</v>
      </c>
      <c r="FH9" s="44">
        <f t="shared" si="66"/>
        <v>0</v>
      </c>
      <c r="FI9" s="44">
        <f t="shared" si="66"/>
        <v>0</v>
      </c>
      <c r="FJ9" s="44">
        <f t="shared" si="66"/>
        <v>0</v>
      </c>
      <c r="FK9" s="20" t="s">
        <v>29</v>
      </c>
      <c r="FL9" s="10">
        <f t="shared" si="67"/>
        <v>0</v>
      </c>
      <c r="FM9" s="10">
        <f t="shared" si="68"/>
        <v>0</v>
      </c>
      <c r="FN9" s="10">
        <f t="shared" si="69"/>
        <v>0</v>
      </c>
      <c r="FO9" s="10">
        <f t="shared" si="70"/>
        <v>0</v>
      </c>
      <c r="FP9" s="10" t="str">
        <f t="shared" si="71"/>
        <v/>
      </c>
      <c r="FQ9" s="10" t="str">
        <f t="shared" si="74"/>
        <v/>
      </c>
      <c r="FR9" s="10">
        <f t="shared" si="75"/>
        <v>0</v>
      </c>
      <c r="FS9" s="10">
        <f t="shared" si="76"/>
        <v>0</v>
      </c>
      <c r="FT9" s="10">
        <f t="shared" si="77"/>
        <v>0</v>
      </c>
      <c r="FU9" s="10">
        <f t="shared" si="78"/>
        <v>0</v>
      </c>
      <c r="FV9" s="10" t="str">
        <f t="shared" si="79"/>
        <v/>
      </c>
      <c r="FW9" s="10" t="str">
        <f t="shared" si="72"/>
        <v/>
      </c>
      <c r="FX9" s="10" t="str">
        <f t="shared" si="73"/>
        <v/>
      </c>
    </row>
    <row r="10" spans="1:180" ht="17" x14ac:dyDescent="0.2">
      <c r="P10" s="9"/>
      <c r="Q10" s="9"/>
      <c r="R10" s="9"/>
    </row>
    <row r="11" spans="1:180" ht="17" x14ac:dyDescent="0.2">
      <c r="P11" s="9"/>
      <c r="Q11" s="9"/>
      <c r="R11" s="9"/>
    </row>
    <row r="12" spans="1:180" ht="17" x14ac:dyDescent="0.2">
      <c r="B12" s="17" t="s">
        <v>27</v>
      </c>
      <c r="P12" s="9"/>
      <c r="Q12" s="9"/>
      <c r="R12" s="9"/>
      <c r="AV12" s="28">
        <v>13.2</v>
      </c>
      <c r="BZ12" s="28">
        <v>13.2</v>
      </c>
      <c r="CW12" s="3"/>
      <c r="CX12" s="3"/>
      <c r="CY12" s="3"/>
      <c r="CZ12" s="3"/>
      <c r="DA12" s="3"/>
      <c r="DK12" s="28">
        <v>13.2</v>
      </c>
      <c r="EF12" s="3"/>
      <c r="EG12" s="3"/>
      <c r="EH12" s="3"/>
      <c r="EI12" s="3"/>
      <c r="EJ12" s="3"/>
      <c r="EK12" s="3"/>
      <c r="EL12" s="3"/>
      <c r="ET12" s="28">
        <v>13.2</v>
      </c>
    </row>
    <row r="13" spans="1:180" ht="17" hidden="1" x14ac:dyDescent="0.2">
      <c r="B13" s="22" t="s">
        <v>26</v>
      </c>
      <c r="P13" s="9"/>
      <c r="Q13" s="9"/>
      <c r="R13" s="9"/>
      <c r="AV13" s="40">
        <v>1000</v>
      </c>
      <c r="BZ13" s="40">
        <v>1000</v>
      </c>
      <c r="CW13" s="3"/>
      <c r="CX13" s="3"/>
      <c r="CY13" s="3"/>
      <c r="CZ13" s="3"/>
      <c r="DA13" s="3"/>
      <c r="DK13" s="40">
        <v>1000</v>
      </c>
      <c r="EF13" s="3"/>
      <c r="EG13" s="3"/>
      <c r="EH13" s="3"/>
      <c r="EI13" s="3"/>
      <c r="EJ13" s="3"/>
      <c r="EK13" s="3"/>
      <c r="EL13" s="3"/>
      <c r="ET13" s="40">
        <v>1000</v>
      </c>
    </row>
    <row r="14" spans="1:180" ht="17" hidden="1" x14ac:dyDescent="0.2">
      <c r="A14" s="4"/>
      <c r="B14" s="23" t="s">
        <v>125</v>
      </c>
      <c r="C14" s="16"/>
      <c r="P14" s="9"/>
      <c r="Q14" s="9"/>
      <c r="R14" s="9"/>
      <c r="AV14" s="29">
        <v>1000</v>
      </c>
      <c r="BZ14" s="29">
        <v>1000</v>
      </c>
      <c r="CW14" s="3"/>
      <c r="CX14" s="3"/>
      <c r="CY14" s="3"/>
      <c r="CZ14" s="3"/>
      <c r="DA14" s="3"/>
      <c r="DK14" s="29">
        <v>1000</v>
      </c>
      <c r="EF14" s="3"/>
      <c r="EG14" s="3"/>
      <c r="EH14" s="3"/>
      <c r="EI14" s="3"/>
      <c r="EJ14" s="3"/>
      <c r="EK14" s="3"/>
      <c r="EL14" s="3"/>
      <c r="ET14" s="29">
        <v>1000</v>
      </c>
    </row>
    <row r="15" spans="1:180" ht="17" x14ac:dyDescent="0.2">
      <c r="A15" s="4"/>
      <c r="B15" s="25" t="s">
        <v>24</v>
      </c>
      <c r="C15" s="16"/>
      <c r="P15" s="9"/>
      <c r="Q15" s="9"/>
      <c r="R15" s="9"/>
      <c r="AV15" s="30">
        <v>50</v>
      </c>
      <c r="BZ15" s="30">
        <v>50</v>
      </c>
      <c r="CW15" s="3"/>
      <c r="CX15" s="3"/>
      <c r="CY15" s="3"/>
      <c r="CZ15" s="3"/>
      <c r="DA15" s="3"/>
      <c r="DK15" s="30">
        <v>50</v>
      </c>
      <c r="EF15" s="3"/>
      <c r="EG15" s="3"/>
      <c r="EH15" s="3"/>
      <c r="EI15" s="3"/>
      <c r="EJ15" s="3"/>
      <c r="EK15" s="3"/>
      <c r="EL15" s="3"/>
      <c r="ET15" s="30">
        <v>50</v>
      </c>
    </row>
    <row r="16" spans="1:180" ht="17" hidden="1" x14ac:dyDescent="0.2">
      <c r="A16" s="4"/>
      <c r="B16" s="18" t="s">
        <v>25</v>
      </c>
      <c r="C16" s="16"/>
      <c r="P16" s="9"/>
      <c r="Q16" s="9"/>
      <c r="R16" s="9"/>
      <c r="AV16" s="31">
        <v>1000</v>
      </c>
      <c r="BZ16" s="31">
        <v>1000</v>
      </c>
      <c r="CW16" s="3"/>
      <c r="CX16" s="3"/>
      <c r="CY16" s="3"/>
      <c r="CZ16" s="3"/>
      <c r="DA16" s="3"/>
      <c r="DK16" s="31">
        <v>1000</v>
      </c>
      <c r="EF16" s="3"/>
      <c r="EG16" s="3"/>
      <c r="EH16" s="3"/>
      <c r="EI16" s="3"/>
      <c r="EJ16" s="3"/>
      <c r="EK16" s="3"/>
      <c r="EL16" s="3"/>
      <c r="ET16" s="31">
        <v>1000</v>
      </c>
    </row>
    <row r="17" spans="1:150" ht="17" hidden="1" x14ac:dyDescent="0.2">
      <c r="A17" s="4"/>
      <c r="B17" s="24" t="s">
        <v>124</v>
      </c>
      <c r="C17" s="16"/>
      <c r="P17" s="9"/>
      <c r="Q17" s="9"/>
      <c r="R17" s="9"/>
      <c r="AV17" s="32">
        <v>1000</v>
      </c>
      <c r="BZ17" s="32">
        <v>1000</v>
      </c>
      <c r="CW17" s="3"/>
      <c r="CX17" s="3"/>
      <c r="CY17" s="3"/>
      <c r="CZ17" s="3"/>
      <c r="DA17" s="3"/>
      <c r="DK17" s="32">
        <v>1000</v>
      </c>
      <c r="EF17" s="3"/>
      <c r="EG17" s="3"/>
      <c r="EH17" s="3"/>
      <c r="EI17" s="3"/>
      <c r="EJ17" s="3"/>
      <c r="EK17" s="3"/>
      <c r="EL17" s="3"/>
      <c r="ET17" s="32">
        <v>1000</v>
      </c>
    </row>
    <row r="18" spans="1:150" x14ac:dyDescent="0.2">
      <c r="B18" s="21" t="s">
        <v>30</v>
      </c>
      <c r="C18" s="1"/>
    </row>
    <row r="19" spans="1:150" x14ac:dyDescent="0.2">
      <c r="A19" s="4"/>
      <c r="B19" s="4"/>
      <c r="C19" s="16"/>
    </row>
    <row r="20" spans="1:150" x14ac:dyDescent="0.2">
      <c r="A20" s="4"/>
      <c r="B20" s="4"/>
      <c r="C20" s="16"/>
    </row>
    <row r="21" spans="1:150" x14ac:dyDescent="0.2">
      <c r="A21" s="4"/>
      <c r="B21" s="4"/>
      <c r="C21" s="16"/>
    </row>
    <row r="22" spans="1:150" x14ac:dyDescent="0.2">
      <c r="A22" s="4"/>
      <c r="B22" s="4"/>
      <c r="C22" s="4"/>
    </row>
    <row r="25" spans="1:150" x14ac:dyDescent="0.2">
      <c r="B25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9">
      <sortCondition descending="1" ref="F1:F10"/>
    </sortState>
  </autoFilter>
  <mergeCells count="46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EU2:EX2"/>
    <mergeCell ref="EY2:FB2"/>
    <mergeCell ref="FC2:FF2"/>
    <mergeCell ref="FG2:FJ2"/>
    <mergeCell ref="CS2:CV2"/>
    <mergeCell ref="DL2:DO2"/>
    <mergeCell ref="DP2:DS2"/>
    <mergeCell ref="DT2:DW2"/>
    <mergeCell ref="DX2:EA2"/>
    <mergeCell ref="EB2:EE2"/>
  </mergeCells>
  <conditionalFormatting sqref="A4:A1048576">
    <cfRule type="expression" dxfId="85" priority="44">
      <formula>IF(A4&gt;4,1,0)</formula>
    </cfRule>
    <cfRule type="expression" dxfId="84" priority="45" stopIfTrue="1">
      <formula>AND(G4="P",F4="")</formula>
    </cfRule>
  </conditionalFormatting>
  <conditionalFormatting sqref="H1:H1048576">
    <cfRule type="containsText" dxfId="83" priority="40" stopIfTrue="1" operator="containsText" text="National Team">
      <formula>NOT(ISERROR(SEARCH("National Team",H1)))</formula>
    </cfRule>
    <cfRule type="containsText" dxfId="82" priority="41" stopIfTrue="1" operator="containsText" text="Worlds Team">
      <formula>NOT(ISERROR(SEARCH("Worlds Team",H1)))</formula>
    </cfRule>
    <cfRule type="containsText" dxfId="81" priority="42" operator="containsText" text="Performance">
      <formula>NOT(ISERROR(SEARCH("Performance",H1)))</formula>
    </cfRule>
    <cfRule type="containsText" dxfId="80" priority="43" stopIfTrue="1" operator="containsText" text="No DD">
      <formula>NOT(ISERROR(SEARCH("No DD",H1)))</formula>
    </cfRule>
  </conditionalFormatting>
  <conditionalFormatting sqref="S4:AV9">
    <cfRule type="expression" dxfId="79" priority="39" stopIfTrue="1">
      <formula>IF($AI4&lt;&gt;"",1,0)</formula>
    </cfRule>
  </conditionalFormatting>
  <conditionalFormatting sqref="AW4:BZ9">
    <cfRule type="expression" dxfId="78" priority="38" stopIfTrue="1">
      <formula>IF($BM4&lt;&gt;"",1,0)</formula>
    </cfRule>
  </conditionalFormatting>
  <conditionalFormatting sqref="M1:M1048576 O1:O1048576 K1:K1048576">
    <cfRule type="expression" dxfId="77" priority="36" stopIfTrue="1">
      <formula>IF(K1=$AW$1,1,0)</formula>
    </cfRule>
    <cfRule type="expression" dxfId="76" priority="37" stopIfTrue="1">
      <formula>IF(K1=$S$1,1,0)</formula>
    </cfRule>
  </conditionalFormatting>
  <conditionalFormatting sqref="AJ1:AJ1048576 BN1:BN1048576 CY1:CY1048576 EH1:EH1048576">
    <cfRule type="cellIs" dxfId="75" priority="176563" stopIfTrue="1" operator="between">
      <formula>AV$14-0.00001</formula>
      <formula>1000</formula>
    </cfRule>
  </conditionalFormatting>
  <conditionalFormatting sqref="AN1:AN1048576 BR1:BR1048576">
    <cfRule type="cellIs" dxfId="74" priority="176569" operator="between">
      <formula>AV$12-0.00001</formula>
      <formula>AV$13-0.00001</formula>
    </cfRule>
    <cfRule type="cellIs" dxfId="73" priority="176570" operator="between">
      <formula>AV$13-0.00001</formula>
      <formula>1000</formula>
    </cfRule>
  </conditionalFormatting>
  <conditionalFormatting sqref="AT1:AT1048576 BX1:BX1048576">
    <cfRule type="cellIs" dxfId="72" priority="176581" operator="between">
      <formula>AV$13-0.00001</formula>
      <formula>1000</formula>
    </cfRule>
    <cfRule type="cellIs" dxfId="71" priority="176582" stopIfTrue="1" operator="between">
      <formula>AV$12-0.00001</formula>
      <formula>AV$13-0.00001</formula>
    </cfRule>
  </conditionalFormatting>
  <conditionalFormatting sqref="AL1:AL1048576 BP1:BP1048576">
    <cfRule type="cellIs" dxfId="70" priority="176593" operator="between">
      <formula>AV$14-0.00001</formula>
      <formula>1000</formula>
    </cfRule>
  </conditionalFormatting>
  <conditionalFormatting sqref="AP1:AP1048576 BT1:BT1048576 DE1:DE1048576 EN1:EN1048576">
    <cfRule type="cellIs" dxfId="69" priority="176599" operator="between">
      <formula>AV$14-0.00001</formula>
      <formula>1000</formula>
    </cfRule>
  </conditionalFormatting>
  <conditionalFormatting sqref="AR1:AR1048576 BV1:BV1048576">
    <cfRule type="cellIs" dxfId="68" priority="176605" operator="between">
      <formula>AV$14-0.00001</formula>
      <formula>1000</formula>
    </cfRule>
  </conditionalFormatting>
  <conditionalFormatting sqref="AK1:AK1048576 BO1:BO1048576">
    <cfRule type="cellIs" dxfId="67" priority="176611" operator="between">
      <formula>AV$17-0.00001</formula>
      <formula>1000</formula>
    </cfRule>
  </conditionalFormatting>
  <conditionalFormatting sqref="AO1:AO1048576 BS1:BS1048576">
    <cfRule type="cellIs" dxfId="66" priority="176617" operator="between">
      <formula>AV$15-0.00001</formula>
      <formula>AV$16-0.00001</formula>
    </cfRule>
    <cfRule type="cellIs" dxfId="65" priority="176618" operator="between">
      <formula>AV$16-0.00001</formula>
      <formula>1000</formula>
    </cfRule>
  </conditionalFormatting>
  <conditionalFormatting sqref="AU1:AU1048576 BY1:BY1048576">
    <cfRule type="cellIs" dxfId="64" priority="176629" stopIfTrue="1" operator="between">
      <formula>AV$16-0.00001</formula>
      <formula>1000</formula>
    </cfRule>
    <cfRule type="cellIs" dxfId="63" priority="176630" operator="between">
      <formula>AV$15-0.00001</formula>
      <formula>AV$16-0.00001</formula>
    </cfRule>
  </conditionalFormatting>
  <conditionalFormatting sqref="AM1:AM1048576 BQ1:BQ1048576">
    <cfRule type="cellIs" dxfId="62" priority="176641" stopIfTrue="1" operator="between">
      <formula>AV$17-0.00001</formula>
      <formula>1000</formula>
    </cfRule>
    <cfRule type="cellIs" dxfId="61" priority="176642" operator="between">
      <formula>AT$17-0.00001</formula>
      <formula>#REF!-0.00001</formula>
    </cfRule>
  </conditionalFormatting>
  <conditionalFormatting sqref="AQ1:AQ1048576 BU1:BU1048576">
    <cfRule type="cellIs" dxfId="60" priority="176653" stopIfTrue="1" operator="between">
      <formula>AV$17-0.00001</formula>
      <formula>1000</formula>
    </cfRule>
  </conditionalFormatting>
  <conditionalFormatting sqref="AS1:AS1048576 BW1:BW1048576">
    <cfRule type="cellIs" dxfId="59" priority="176659" stopIfTrue="1" operator="between">
      <formula>AV$17-0.00001</formula>
      <formula>1000</formula>
    </cfRule>
  </conditionalFormatting>
  <conditionalFormatting sqref="CW1:CW1048576 EF1:EF1048576">
    <cfRule type="cellIs" dxfId="58" priority="176665" operator="between">
      <formula>DK$14-0.00001</formula>
      <formula>1000</formula>
    </cfRule>
  </conditionalFormatting>
  <conditionalFormatting sqref="CX1:CX1048576 EG1:EG1048576">
    <cfRule type="cellIs" dxfId="57" priority="176671" operator="between">
      <formula>DK$17-0.00001</formula>
      <formula>1000</formula>
    </cfRule>
  </conditionalFormatting>
  <conditionalFormatting sqref="DA1:DA1048576 EJ1:EJ1048576">
    <cfRule type="cellIs" dxfId="56" priority="176677" stopIfTrue="1" operator="between">
      <formula>DK$12-0.00001</formula>
      <formula>DK$13-0.00001</formula>
    </cfRule>
    <cfRule type="cellIs" dxfId="55" priority="176678" operator="between">
      <formula>DK$13-0.00001</formula>
      <formula>1000</formula>
    </cfRule>
  </conditionalFormatting>
  <conditionalFormatting sqref="DB1:DB1048576 EK1:EK1048576">
    <cfRule type="cellIs" dxfId="54" priority="176689" operator="between">
      <formula>DK$15-0.00001</formula>
      <formula>DK$16-0.00001</formula>
    </cfRule>
    <cfRule type="cellIs" dxfId="53" priority="176690" stopIfTrue="1" operator="between">
      <formula>DK$16-0.00001</formula>
      <formula>1000</formula>
    </cfRule>
  </conditionalFormatting>
  <conditionalFormatting sqref="DC1:DC1048576 EL1:EL1048576">
    <cfRule type="cellIs" dxfId="52" priority="176707" operator="between">
      <formula>DK$14-0.00001</formula>
      <formula>1000</formula>
    </cfRule>
  </conditionalFormatting>
  <conditionalFormatting sqref="DG1:DG1048576 EP1:EP1048576">
    <cfRule type="cellIs" dxfId="51" priority="176719" stopIfTrue="1" operator="between">
      <formula>DK$14-0.00001</formula>
      <formula>1000</formula>
    </cfRule>
  </conditionalFormatting>
  <conditionalFormatting sqref="CZ1:CZ1048576 EI1:EI1048576">
    <cfRule type="cellIs" dxfId="50" priority="176725" stopIfTrue="1" operator="between">
      <formula>DK$17-0.00001</formula>
      <formula>1000</formula>
    </cfRule>
  </conditionalFormatting>
  <conditionalFormatting sqref="DD1:DD1048576 EM1:EM1048576">
    <cfRule type="cellIs" dxfId="49" priority="176731" operator="between">
      <formula>DK$17-0.00001</formula>
      <formula>1000</formula>
    </cfRule>
  </conditionalFormatting>
  <conditionalFormatting sqref="DF1:DF1048576 EO1:EO1048576">
    <cfRule type="cellIs" dxfId="48" priority="176737" operator="between">
      <formula>DK$17-0.00001</formula>
      <formula>1000</formula>
    </cfRule>
  </conditionalFormatting>
  <conditionalFormatting sqref="DH1:DH1048576 EQ1:EQ1048576">
    <cfRule type="cellIs" dxfId="47" priority="176743" operator="between">
      <formula>DK$17-0.00001</formula>
      <formula>1000</formula>
    </cfRule>
  </conditionalFormatting>
  <conditionalFormatting sqref="DI1:DI1048576 ER1:ER1048576">
    <cfRule type="cellIs" dxfId="46" priority="176749" operator="between">
      <formula>DK$13-0.00001</formula>
      <formula>1000</formula>
    </cfRule>
    <cfRule type="cellIs" dxfId="45" priority="176750" operator="between">
      <formula>DK$12-0.00001</formula>
      <formula>DK$13-0.00001</formula>
    </cfRule>
  </conditionalFormatting>
  <conditionalFormatting sqref="DJ1:DJ1048576 ES1:ES1048576">
    <cfRule type="cellIs" dxfId="44" priority="176761" operator="between">
      <formula>DK$15-0.00001</formula>
      <formula>DK$16-0.00001</formula>
    </cfRule>
    <cfRule type="cellIs" dxfId="43" priority="176762" operator="between">
      <formula>DK$16-0.00001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C56D5-C416-3A46-A67D-701D3D54EDA4}">
  <sheetPr codeName="Sheet24"/>
  <dimension ref="A1:F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hidden="1" customWidth="1"/>
    <col min="116" max="135" width="10.83203125" hidden="1" customWidth="1"/>
    <col min="136" max="150" width="10.83203125" style="26" hidden="1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58" t="s">
        <v>1</v>
      </c>
      <c r="B1" s="58" t="s">
        <v>14</v>
      </c>
      <c r="C1" s="58" t="s">
        <v>0</v>
      </c>
      <c r="D1" s="58" t="s">
        <v>31</v>
      </c>
      <c r="E1" s="58" t="s">
        <v>2</v>
      </c>
      <c r="F1" s="59" t="s">
        <v>95</v>
      </c>
      <c r="G1" s="59" t="s">
        <v>8</v>
      </c>
      <c r="H1" s="58" t="s">
        <v>9</v>
      </c>
      <c r="I1" s="59" t="s">
        <v>39</v>
      </c>
      <c r="J1" s="56" t="s">
        <v>96</v>
      </c>
      <c r="K1" s="55" t="s">
        <v>16</v>
      </c>
      <c r="L1" s="56" t="s">
        <v>110</v>
      </c>
      <c r="M1" s="55" t="s">
        <v>16</v>
      </c>
      <c r="N1" s="56" t="s">
        <v>111</v>
      </c>
      <c r="O1" s="55" t="s">
        <v>16</v>
      </c>
      <c r="P1" s="57" t="s">
        <v>10</v>
      </c>
      <c r="Q1" s="55" t="s">
        <v>17</v>
      </c>
      <c r="R1" s="55" t="s">
        <v>16</v>
      </c>
      <c r="S1" s="52" t="s">
        <v>48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49" t="s">
        <v>49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3" t="s">
        <v>97</v>
      </c>
      <c r="CB1" s="53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  <c r="EU1" s="49" t="s">
        <v>98</v>
      </c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49"/>
      <c r="FH1" s="49"/>
      <c r="FI1" s="49"/>
      <c r="FJ1" s="49"/>
      <c r="FK1" s="49"/>
      <c r="FL1" s="49"/>
      <c r="FM1" s="49"/>
      <c r="FN1" s="49"/>
      <c r="FO1" s="49"/>
      <c r="FP1" s="49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58"/>
      <c r="B2" s="58"/>
      <c r="C2" s="58"/>
      <c r="D2" s="58"/>
      <c r="E2" s="58"/>
      <c r="F2" s="59"/>
      <c r="G2" s="59"/>
      <c r="H2" s="58"/>
      <c r="I2" s="59"/>
      <c r="J2" s="56"/>
      <c r="K2" s="55"/>
      <c r="L2" s="56"/>
      <c r="M2" s="55"/>
      <c r="N2" s="55"/>
      <c r="O2" s="55"/>
      <c r="P2" s="57"/>
      <c r="Q2" s="55"/>
      <c r="R2" s="55"/>
      <c r="S2" s="50" t="s">
        <v>99</v>
      </c>
      <c r="T2" s="50"/>
      <c r="U2" s="50"/>
      <c r="V2" s="50"/>
      <c r="W2" s="50" t="s">
        <v>100</v>
      </c>
      <c r="X2" s="50"/>
      <c r="Y2" s="50"/>
      <c r="Z2" s="50"/>
      <c r="AA2" s="50" t="s">
        <v>101</v>
      </c>
      <c r="AB2" s="50"/>
      <c r="AC2" s="50"/>
      <c r="AD2" s="50"/>
      <c r="AE2" s="51" t="s">
        <v>102</v>
      </c>
      <c r="AF2" s="51"/>
      <c r="AG2" s="51"/>
      <c r="AH2" s="51"/>
      <c r="AI2" s="13"/>
      <c r="AJ2" s="13" t="s">
        <v>116</v>
      </c>
      <c r="AK2" s="13" t="s">
        <v>112</v>
      </c>
      <c r="AL2" s="13" t="s">
        <v>117</v>
      </c>
      <c r="AM2" s="13" t="s">
        <v>113</v>
      </c>
      <c r="AN2" s="13" t="s">
        <v>103</v>
      </c>
      <c r="AO2" s="13" t="s">
        <v>13</v>
      </c>
      <c r="AP2" s="13" t="s">
        <v>118</v>
      </c>
      <c r="AQ2" s="13" t="s">
        <v>114</v>
      </c>
      <c r="AR2" s="13" t="s">
        <v>119</v>
      </c>
      <c r="AS2" s="13" t="s">
        <v>115</v>
      </c>
      <c r="AT2" s="13" t="s">
        <v>104</v>
      </c>
      <c r="AU2" s="13" t="s">
        <v>105</v>
      </c>
      <c r="AV2" s="13" t="s">
        <v>12</v>
      </c>
      <c r="AW2" s="46" t="s">
        <v>99</v>
      </c>
      <c r="AX2" s="46"/>
      <c r="AY2" s="46"/>
      <c r="AZ2" s="46"/>
      <c r="BA2" s="46" t="s">
        <v>100</v>
      </c>
      <c r="BB2" s="46"/>
      <c r="BC2" s="46"/>
      <c r="BD2" s="46"/>
      <c r="BE2" s="46" t="s">
        <v>101</v>
      </c>
      <c r="BF2" s="46"/>
      <c r="BG2" s="46"/>
      <c r="BH2" s="46"/>
      <c r="BI2" s="48" t="s">
        <v>102</v>
      </c>
      <c r="BJ2" s="48"/>
      <c r="BK2" s="48"/>
      <c r="BL2" s="48"/>
      <c r="BM2" s="12"/>
      <c r="BN2" s="12" t="s">
        <v>116</v>
      </c>
      <c r="BO2" s="12" t="s">
        <v>112</v>
      </c>
      <c r="BP2" s="12" t="s">
        <v>117</v>
      </c>
      <c r="BQ2" s="12" t="s">
        <v>113</v>
      </c>
      <c r="BR2" s="12" t="s">
        <v>103</v>
      </c>
      <c r="BS2" s="12" t="s">
        <v>13</v>
      </c>
      <c r="BT2" s="12" t="s">
        <v>118</v>
      </c>
      <c r="BU2" s="12" t="s">
        <v>114</v>
      </c>
      <c r="BV2" s="12" t="s">
        <v>119</v>
      </c>
      <c r="BW2" s="12" t="s">
        <v>115</v>
      </c>
      <c r="BX2" s="12" t="s">
        <v>104</v>
      </c>
      <c r="BY2" s="12" t="s">
        <v>105</v>
      </c>
      <c r="BZ2" s="12" t="s">
        <v>12</v>
      </c>
      <c r="CA2" s="33" t="s">
        <v>106</v>
      </c>
      <c r="CB2" s="33" t="s">
        <v>120</v>
      </c>
      <c r="CC2" s="50" t="s">
        <v>99</v>
      </c>
      <c r="CD2" s="50"/>
      <c r="CE2" s="50"/>
      <c r="CF2" s="50"/>
      <c r="CG2" s="50" t="s">
        <v>100</v>
      </c>
      <c r="CH2" s="50"/>
      <c r="CI2" s="50"/>
      <c r="CJ2" s="50"/>
      <c r="CK2" s="50" t="s">
        <v>107</v>
      </c>
      <c r="CL2" s="50"/>
      <c r="CM2" s="50"/>
      <c r="CN2" s="50"/>
      <c r="CO2" s="50" t="s">
        <v>101</v>
      </c>
      <c r="CP2" s="50"/>
      <c r="CQ2" s="50"/>
      <c r="CR2" s="50"/>
      <c r="CS2" s="54" t="s">
        <v>102</v>
      </c>
      <c r="CT2" s="54"/>
      <c r="CU2" s="54"/>
      <c r="CV2" s="54"/>
      <c r="CW2" s="13" t="s">
        <v>116</v>
      </c>
      <c r="CX2" s="13" t="s">
        <v>112</v>
      </c>
      <c r="CY2" s="13" t="s">
        <v>117</v>
      </c>
      <c r="CZ2" s="13" t="s">
        <v>113</v>
      </c>
      <c r="DA2" s="13" t="s">
        <v>108</v>
      </c>
      <c r="DB2" s="13" t="s">
        <v>106</v>
      </c>
      <c r="DC2" s="13" t="s">
        <v>121</v>
      </c>
      <c r="DD2" s="13" t="s">
        <v>107</v>
      </c>
      <c r="DE2" s="13" t="s">
        <v>122</v>
      </c>
      <c r="DF2" s="13" t="s">
        <v>101</v>
      </c>
      <c r="DG2" s="13" t="s">
        <v>123</v>
      </c>
      <c r="DH2" s="13" t="s">
        <v>102</v>
      </c>
      <c r="DI2" s="13" t="s">
        <v>104</v>
      </c>
      <c r="DJ2" s="13" t="s">
        <v>105</v>
      </c>
      <c r="DK2" s="13" t="s">
        <v>12</v>
      </c>
      <c r="DL2" s="46" t="s">
        <v>99</v>
      </c>
      <c r="DM2" s="46"/>
      <c r="DN2" s="46"/>
      <c r="DO2" s="46"/>
      <c r="DP2" s="46" t="s">
        <v>100</v>
      </c>
      <c r="DQ2" s="46"/>
      <c r="DR2" s="46"/>
      <c r="DS2" s="46"/>
      <c r="DT2" s="46" t="s">
        <v>107</v>
      </c>
      <c r="DU2" s="46"/>
      <c r="DV2" s="46"/>
      <c r="DW2" s="46"/>
      <c r="DX2" s="46" t="s">
        <v>101</v>
      </c>
      <c r="DY2" s="46"/>
      <c r="DZ2" s="46"/>
      <c r="EA2" s="46"/>
      <c r="EB2" s="48" t="s">
        <v>102</v>
      </c>
      <c r="EC2" s="48"/>
      <c r="ED2" s="48"/>
      <c r="EE2" s="48"/>
      <c r="EF2" s="12" t="s">
        <v>116</v>
      </c>
      <c r="EG2" s="12" t="s">
        <v>112</v>
      </c>
      <c r="EH2" s="12" t="s">
        <v>117</v>
      </c>
      <c r="EI2" s="12" t="s">
        <v>113</v>
      </c>
      <c r="EJ2" s="12" t="s">
        <v>108</v>
      </c>
      <c r="EK2" s="12" t="s">
        <v>106</v>
      </c>
      <c r="EL2" s="12" t="s">
        <v>121</v>
      </c>
      <c r="EM2" s="12" t="s">
        <v>107</v>
      </c>
      <c r="EN2" s="12" t="s">
        <v>122</v>
      </c>
      <c r="EO2" s="12" t="s">
        <v>101</v>
      </c>
      <c r="EP2" s="12" t="s">
        <v>123</v>
      </c>
      <c r="EQ2" s="12" t="s">
        <v>102</v>
      </c>
      <c r="ER2" s="12" t="s">
        <v>104</v>
      </c>
      <c r="ES2" s="12" t="s">
        <v>105</v>
      </c>
      <c r="ET2" s="12" t="s">
        <v>12</v>
      </c>
      <c r="EU2" s="46" t="s">
        <v>99</v>
      </c>
      <c r="EV2" s="46"/>
      <c r="EW2" s="46"/>
      <c r="EX2" s="46"/>
      <c r="EY2" s="46" t="s">
        <v>100</v>
      </c>
      <c r="EZ2" s="46"/>
      <c r="FA2" s="46"/>
      <c r="FB2" s="46"/>
      <c r="FC2" s="46" t="s">
        <v>101</v>
      </c>
      <c r="FD2" s="46"/>
      <c r="FE2" s="46"/>
      <c r="FF2" s="46"/>
      <c r="FG2" s="47" t="s">
        <v>102</v>
      </c>
      <c r="FH2" s="47"/>
      <c r="FI2" s="47"/>
      <c r="FJ2" s="47"/>
      <c r="FK2" s="12"/>
      <c r="FL2" s="12" t="s">
        <v>116</v>
      </c>
      <c r="FM2" s="12" t="s">
        <v>112</v>
      </c>
      <c r="FN2" s="12" t="s">
        <v>117</v>
      </c>
      <c r="FO2" s="12" t="s">
        <v>113</v>
      </c>
      <c r="FP2" s="12" t="s">
        <v>103</v>
      </c>
      <c r="FQ2" s="12" t="s">
        <v>13</v>
      </c>
      <c r="FR2" s="12" t="s">
        <v>118</v>
      </c>
      <c r="FS2" s="12" t="s">
        <v>114</v>
      </c>
      <c r="FT2" s="12" t="s">
        <v>119</v>
      </c>
      <c r="FU2" s="12" t="s">
        <v>115</v>
      </c>
      <c r="FV2" s="12" t="s">
        <v>104</v>
      </c>
      <c r="FW2" s="12" t="s">
        <v>105</v>
      </c>
      <c r="FX2" s="12" t="s">
        <v>12</v>
      </c>
    </row>
    <row r="3" spans="1:180" x14ac:dyDescent="0.2">
      <c r="A3" s="58"/>
      <c r="B3" s="58"/>
      <c r="C3" s="58"/>
      <c r="D3" s="58"/>
      <c r="E3" s="58"/>
      <c r="F3" s="59"/>
      <c r="G3" s="59"/>
      <c r="H3" s="58"/>
      <c r="I3" s="59"/>
      <c r="J3" s="56"/>
      <c r="K3" s="55"/>
      <c r="L3" s="56"/>
      <c r="M3" s="55"/>
      <c r="N3" s="55"/>
      <c r="O3" s="55"/>
      <c r="P3" s="57"/>
      <c r="Q3" s="55"/>
      <c r="R3" s="55"/>
      <c r="S3" s="13" t="s">
        <v>11</v>
      </c>
      <c r="T3" s="13" t="s">
        <v>7</v>
      </c>
      <c r="U3" s="13" t="s">
        <v>15</v>
      </c>
      <c r="V3" s="13" t="s">
        <v>109</v>
      </c>
      <c r="W3" s="13" t="s">
        <v>11</v>
      </c>
      <c r="X3" s="13" t="s">
        <v>7</v>
      </c>
      <c r="Y3" s="13" t="s">
        <v>15</v>
      </c>
      <c r="Z3" s="13" t="s">
        <v>109</v>
      </c>
      <c r="AA3" s="13" t="s">
        <v>11</v>
      </c>
      <c r="AB3" s="13" t="s">
        <v>7</v>
      </c>
      <c r="AC3" s="13" t="s">
        <v>15</v>
      </c>
      <c r="AD3" s="13" t="s">
        <v>109</v>
      </c>
      <c r="AE3" s="35" t="s">
        <v>11</v>
      </c>
      <c r="AF3" s="35" t="s">
        <v>7</v>
      </c>
      <c r="AG3" s="35" t="s">
        <v>15</v>
      </c>
      <c r="AH3" s="35" t="s">
        <v>109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109</v>
      </c>
      <c r="BA3" s="12" t="s">
        <v>11</v>
      </c>
      <c r="BB3" s="12" t="s">
        <v>7</v>
      </c>
      <c r="BC3" s="12" t="s">
        <v>15</v>
      </c>
      <c r="BD3" s="12" t="s">
        <v>109</v>
      </c>
      <c r="BE3" s="12" t="s">
        <v>11</v>
      </c>
      <c r="BF3" s="12" t="s">
        <v>7</v>
      </c>
      <c r="BG3" s="12" t="s">
        <v>15</v>
      </c>
      <c r="BH3" s="12" t="s">
        <v>109</v>
      </c>
      <c r="BI3" s="36" t="s">
        <v>11</v>
      </c>
      <c r="BJ3" s="36" t="s">
        <v>7</v>
      </c>
      <c r="BK3" s="36" t="s">
        <v>15</v>
      </c>
      <c r="BL3" s="36" t="s">
        <v>109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109</v>
      </c>
      <c r="CG3" s="13" t="s">
        <v>11</v>
      </c>
      <c r="CH3" s="13" t="s">
        <v>7</v>
      </c>
      <c r="CI3" s="13" t="s">
        <v>15</v>
      </c>
      <c r="CJ3" s="13" t="s">
        <v>109</v>
      </c>
      <c r="CK3" s="13" t="s">
        <v>11</v>
      </c>
      <c r="CL3" s="13" t="s">
        <v>7</v>
      </c>
      <c r="CM3" s="13" t="s">
        <v>15</v>
      </c>
      <c r="CN3" s="13" t="s">
        <v>109</v>
      </c>
      <c r="CO3" s="13" t="s">
        <v>11</v>
      </c>
      <c r="CP3" s="13" t="s">
        <v>7</v>
      </c>
      <c r="CQ3" s="13" t="s">
        <v>15</v>
      </c>
      <c r="CR3" s="13" t="s">
        <v>109</v>
      </c>
      <c r="CS3" s="37" t="s">
        <v>11</v>
      </c>
      <c r="CT3" s="37" t="s">
        <v>7</v>
      </c>
      <c r="CU3" s="37" t="s">
        <v>15</v>
      </c>
      <c r="CV3" s="37" t="s">
        <v>109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109</v>
      </c>
      <c r="DP3" s="12" t="s">
        <v>11</v>
      </c>
      <c r="DQ3" s="12" t="s">
        <v>7</v>
      </c>
      <c r="DR3" s="12" t="s">
        <v>15</v>
      </c>
      <c r="DS3" s="12" t="s">
        <v>109</v>
      </c>
      <c r="DT3" s="12" t="s">
        <v>11</v>
      </c>
      <c r="DU3" s="12" t="s">
        <v>7</v>
      </c>
      <c r="DV3" s="12" t="s">
        <v>15</v>
      </c>
      <c r="DW3" s="12" t="s">
        <v>109</v>
      </c>
      <c r="DX3" s="12" t="s">
        <v>11</v>
      </c>
      <c r="DY3" s="12" t="s">
        <v>7</v>
      </c>
      <c r="DZ3" s="12" t="s">
        <v>15</v>
      </c>
      <c r="EA3" s="12" t="s">
        <v>109</v>
      </c>
      <c r="EB3" s="36" t="s">
        <v>11</v>
      </c>
      <c r="EC3" s="36" t="s">
        <v>7</v>
      </c>
      <c r="ED3" s="36" t="s">
        <v>15</v>
      </c>
      <c r="EE3" s="36" t="s">
        <v>109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109</v>
      </c>
      <c r="EY3" s="12" t="s">
        <v>11</v>
      </c>
      <c r="EZ3" s="12" t="s">
        <v>7</v>
      </c>
      <c r="FA3" s="12" t="s">
        <v>15</v>
      </c>
      <c r="FB3" s="12" t="s">
        <v>109</v>
      </c>
      <c r="FC3" s="12" t="s">
        <v>11</v>
      </c>
      <c r="FD3" s="12" t="s">
        <v>7</v>
      </c>
      <c r="FE3" s="12" t="s">
        <v>15</v>
      </c>
      <c r="FF3" s="12" t="s">
        <v>109</v>
      </c>
      <c r="FG3" s="38" t="s">
        <v>11</v>
      </c>
      <c r="FH3" s="38" t="s">
        <v>7</v>
      </c>
      <c r="FI3" s="38" t="s">
        <v>15</v>
      </c>
      <c r="FJ3" s="38" t="s">
        <v>109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t="str" cm="1">
        <f t="array" ref="A4">IF(AND(H4&lt;&gt;"",H4&lt;&gt;"No DD"),SUMPRODUCT((H$4:H$8&lt;&gt;"")*(H$4:H$8&lt;&gt;"No DD")*(E$4:E$8&gt;E4))+1,IF(H4="No DD",SUMPRODUCT((H$4:H$8="No DD")*(E$4:E$8&gt;E4))+1+SUMPRODUCT((H$4:H$8&lt;&gt;"")*(H$4:H$8&lt;&gt;"No DD")),""))</f>
        <v/>
      </c>
      <c r="B4" s="4" t="s">
        <v>187</v>
      </c>
      <c r="C4" s="3" t="s">
        <v>5</v>
      </c>
      <c r="D4" s="3">
        <v>2010</v>
      </c>
      <c r="E4" s="8">
        <f>SUM(J4:P4)+SUM(J4:M4)*0.0000001+SUM(J4)*0.0000000000001</f>
        <v>77.070006060004047</v>
      </c>
      <c r="F4" s="2" t="str">
        <f>IF(OR(AND(AO4&lt;&gt;"",AO4&gt;=AV$13,AN4&gt;=AV$10),AND(AU4&lt;&gt;"",AU4&gt;=AV$13,AT4&gt;=AV$10),AND(BS4&lt;&gt;"",BS4&gt;=BZ$13,BR4&gt;=BZ$10),AND(BY4&lt;&gt;"",BY4&gt;=BZ$13,BX4&gt;=BZ$10),AND(DB4&lt;&gt;"",DB4&gt;=DK$13,DA4&gt;=DK$10),AND(DJ4&lt;&gt;"",DJ4&gt;=DK$13,DI4&gt;=DK$10),AND(EK4&lt;&gt;"",EK4&gt;=ET$13,EJ4&gt;=ET$10),AND(ES4&lt;&gt;"",ES4&gt;=ET$13,ER4&gt;=ET$10)),"P","")</f>
        <v/>
      </c>
      <c r="G4" s="2" t="str">
        <f>IF(OR(AND(AO4&lt;&gt;"",AO4&gt;=AV$13),AND(AU4&lt;&gt;"",AU4&gt;=AV$13),AND(BS4&lt;&gt;"",BS4&gt;=BZ$13),AND(BY4&lt;&gt;"",BY4&gt;=BZ$13),AND(DB4&lt;&gt;"",DB4&gt;=DK$13),AND(DJ4&lt;&gt;"",DJ4&gt;=DK$13),AND(EK4&lt;&gt;"",EK4&gt;=ET$13),AND(ES4&lt;&gt;"",ES4&gt;=ET$13)),"P","")</f>
        <v/>
      </c>
      <c r="H4" s="26" t="str">
        <f>IF(AND(G4="P",F4=""),"No DD",IF(OR(AND(AK4&lt;&gt;"",AK4&gt;=AV$15,AJ4&gt;=AV$12),AND(AM4&lt;&gt;"",AM4&gt;=AV$15,AL4&gt;=AV$12),AND(AQ4&lt;&gt;"",AQ4&gt;=AV$15,AP4&gt;=AV$12),AND(AS4&lt;&gt;"",AS4&gt;=AV$15,AR4&gt;=AV$12),AND(BO4&lt;&gt;"",BO4&gt;=BZ$15,BN4&gt;=BZ$12),AND(BQ4&lt;&gt;"",BQ4&gt;=BZ$15,BP4&gt;=BZ$12),AND(BV4&lt;&gt;"",BV4&gt;=BZ$15,BU4&gt;=BZ$12),AND(BX4&lt;&gt;"",BX4&gt;=BZ$15,BW4&gt;=BZ$12),AND(CX4&lt;&gt;"",CX4&gt;=DK$15,CW4&gt;=DK$12),AND(CZ4&lt;&gt;"",CZ4&gt;=DK$15,CY4&gt;=DK$12),AND(DD4&lt;&gt;"",DD4&gt;=DK$15,DC4&gt;=DK$12),AND(DF4&lt;&gt;"",DF4&gt;=DK$15,DE4&gt;=DK$12),AND(DH4&lt;&gt;"",DH4&gt;=DK$15,DG4&gt;=DK$12),AND(EG4&lt;&gt;"",EG4&gt;=ET$15,EF4&gt;=ET$12),AND(EI4&lt;&gt;"",EI4&gt;=ET$15,EH4&gt;=ET$12),AND(EM4&lt;&gt;"",EM4&gt;=ET$15,EL4&gt;=ET$12),AND(EO4&lt;&gt;"",EO4&gt;=ET$15,EN4&gt;=ET$12),AND(EQ4&lt;&gt;"",EQ4&gt;=ET$15,EP4&gt;=ET$12)),"Performance",IF(I4="P","Worlds Team",IF(F4="P","National Team",""))))</f>
        <v/>
      </c>
      <c r="I4" s="2" t="str">
        <f>IF(OR(AND(AO4&lt;&gt;"",AO4&gt;=AV$14,AN4&gt;=AV$11),AND(AU4&lt;&gt;"",AU4&gt;=AV$14,AT4&gt;=AV$11),AND(BS4&lt;&gt;"",BS4&gt;=BZ$14,BR4&gt;=BZ$11),AND(BY4&lt;&gt;"",BY4&gt;=BZ$14,BX4&gt;=BZ$11),AND(DB4&lt;&gt;"",DB4&gt;=DK$14,DA4&gt;=DK$11),AND(DJ4&lt;&gt;"",DJ4&gt;=DK$14,DI4&gt;=DK$11),AND(EK4&lt;&gt;"",EK4&gt;=ET$14,EJ4&gt;=ET$11),AND(ES4&lt;&gt;"",ES4&gt;=ET$14,ER4&gt;=ET$11)),"P","")</f>
        <v/>
      </c>
      <c r="J4" s="7">
        <f>IF(COUNT(AO4,BS4)&gt;0,MAX(AO4,BS4),0)</f>
        <v>40.400000000000006</v>
      </c>
      <c r="K4" s="7" t="str">
        <f>IF(J4=0,"",IF(J4=BS4,$AW$1,IF(J4=AO4,$S$1,"")))</f>
        <v>2025 3rd Domestic Trial</v>
      </c>
      <c r="L4" s="7">
        <f>IF(J4=AO4,IF(COUNT(AQ4,AS4,BO4,BQ4,BU4,BW4)&gt;1,LARGE((AQ4,AS4,BO4,BQ4,BU4,BW4),1),0),IF(COUNT(AK4,AM4,AQ4,AS4,BU4,BW4)&gt;1,LARGE((AK4,AM4,AQ4,AS4,BU4,BW4),1),0))</f>
        <v>20.200000000000003</v>
      </c>
      <c r="M4" s="7" t="str">
        <f>IF(L4=0,"",IF(OR(L4=BO4,L4=BQ4,L4=BU4,L4=BW4),$AW$1,IF(OR(L4=AK4,L4=AM4,L4=AQ4,L4=AS4),$S$1,"")))</f>
        <v>2025 3rd Domestic Trial</v>
      </c>
      <c r="N4" s="7">
        <f>IF(J4=AO4,IF(COUNT(AQ4,AS4,BO4,BQ4,BU4,BW4)&gt;1,LARGE((AQ4,AS4,BO4,BQ4,BU4,BW4),2),0),IF(COUNT(AK4,AM4,AQ4,AS4,BU4,BW4)&gt;1,LARGE((AK4,AM4,AQ4,AS4,BU4,BW4),2),0))</f>
        <v>16.47</v>
      </c>
      <c r="O4" s="7" t="str">
        <f>IF(N4=0,"",IF(OR(N4=BO4,N4=BQ4,N4=BU4,N4=BW4),$AW$1,IF(OR(N4=AK4,N4=AM4,N4=AQ4,N4=AS4),$S$1,"")))</f>
        <v>2025 3rd Domestic Trial</v>
      </c>
      <c r="P4" s="7" t="str">
        <f>IF(MAX(CA4:CB4)&gt;0,MAX(CA4:CB4),"")</f>
        <v/>
      </c>
      <c r="Q4" s="10" t="str">
        <f>IF(P4="","",IF(P4=CA4,"("&amp;CA$2&amp;")",IF(P4=CB4,"("&amp;CB$2&amp;")")))</f>
        <v/>
      </c>
      <c r="R4" s="7" t="str">
        <f>IF(P4="","",IF(P4=CA4,IF(P4+MAX(J4,0)=EK4,$DL$1,IF(P4+MAX(J4,0)=DB4,$CC$1)),IF(P4=CB4,IF(P4+MAX(N4,0)=MAX(EG4,EI4,EM4,EO4,EQ4),$DL$1,IF(P4+MAX(N4,0)=MAX(CX4,CZ4,DD4,DF4,DH4),$CC$1)))))</f>
        <v/>
      </c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19"/>
      <c r="AJ4" s="42" t="str">
        <f>IF(T4="","",T4)</f>
        <v/>
      </c>
      <c r="AK4" s="42" t="str">
        <f>IF(S4="","",S4+T4+V4-U4)</f>
        <v/>
      </c>
      <c r="AL4" s="42" t="str">
        <f>IF(X4="","",X4)</f>
        <v/>
      </c>
      <c r="AM4" s="42" t="str">
        <f>IF(W4="","",W4+X4+Z4-Y4)</f>
        <v/>
      </c>
      <c r="AN4" s="27" t="str">
        <f>IF(SUM(T4,X4)&gt;0,SUM(T4,X4),"")</f>
        <v/>
      </c>
      <c r="AO4" s="27" t="str">
        <f>IF(SUM(AK4,AM4)&gt;0,SUM(AK4,AM4),"")</f>
        <v/>
      </c>
      <c r="AP4" s="27" t="str">
        <f>IF(AB4="","",AB4)</f>
        <v/>
      </c>
      <c r="AQ4" s="27" t="str">
        <f>IF(AA4="","",AA4+AB4+AD4-AC4)</f>
        <v/>
      </c>
      <c r="AR4" s="27" t="str">
        <f>IF(AF4="","",AF4)</f>
        <v/>
      </c>
      <c r="AS4" s="27" t="str">
        <f>IF(AE4="","",AE4+AF4+AH4-AG4)</f>
        <v/>
      </c>
      <c r="AT4" s="27" t="str">
        <f>IF(SUM(AB4,AF4)&gt;0,SUM(AB4,AF4),"")</f>
        <v/>
      </c>
      <c r="AU4" s="27" t="str">
        <f>IF(SUM(AQ4,AS4)&gt;0,SUM(AQ4,AS4),"")</f>
        <v/>
      </c>
      <c r="AV4" s="27" t="str">
        <f>IF(SUM(AO4,AU4)&gt;0,SUM(AO4,AU4),"")</f>
        <v/>
      </c>
      <c r="AW4" s="15">
        <v>18.5</v>
      </c>
      <c r="AX4" s="15">
        <v>3.6</v>
      </c>
      <c r="AY4" s="15">
        <v>0</v>
      </c>
      <c r="AZ4" s="15">
        <v>0</v>
      </c>
      <c r="BA4" s="15">
        <v>16.600000000000001</v>
      </c>
      <c r="BB4" s="15">
        <v>2.7</v>
      </c>
      <c r="BC4" s="15">
        <v>1</v>
      </c>
      <c r="BD4" s="15">
        <v>0</v>
      </c>
      <c r="BE4" s="15">
        <v>15.77</v>
      </c>
      <c r="BF4" s="15">
        <v>0.7</v>
      </c>
      <c r="BG4" s="15">
        <v>0</v>
      </c>
      <c r="BH4" s="15">
        <v>0</v>
      </c>
      <c r="BI4" s="15">
        <v>16.8</v>
      </c>
      <c r="BJ4" s="15">
        <v>3.6</v>
      </c>
      <c r="BK4" s="15">
        <v>0.2</v>
      </c>
      <c r="BL4" s="15">
        <v>0</v>
      </c>
      <c r="BM4" s="20"/>
      <c r="BN4" s="43">
        <f>IF(AX4="","",AX4)</f>
        <v>3.6</v>
      </c>
      <c r="BO4" s="43">
        <f>IF(AW4="","",AW4+AX4+AZ4-AY4)</f>
        <v>22.1</v>
      </c>
      <c r="BP4" s="43">
        <f>IF(BB4="","",BB4)</f>
        <v>2.7</v>
      </c>
      <c r="BQ4" s="43">
        <f>IF(BA4="","",BA4+BB4+BD4-BC4)</f>
        <v>18.3</v>
      </c>
      <c r="BR4" s="10">
        <f>IF(SUM(AX4,BB4)&gt;0,SUM(AX4,BB4),"")</f>
        <v>6.3000000000000007</v>
      </c>
      <c r="BS4" s="10">
        <f>IF(SUM(BO4,BQ4)&gt;0,SUM(BO4,BQ4),"")</f>
        <v>40.400000000000006</v>
      </c>
      <c r="BT4" s="10">
        <f>IF(BF4="","",BF4)</f>
        <v>0.7</v>
      </c>
      <c r="BU4" s="10">
        <f>IF(BE4="","",BE4+BF4+BH4-BG4)</f>
        <v>16.47</v>
      </c>
      <c r="BV4" s="10">
        <f>IF(BJ4="","",BJ4)</f>
        <v>3.6</v>
      </c>
      <c r="BW4" s="10">
        <f>IF(BI4="","",BI4+BJ4+BL4-BK4)</f>
        <v>20.200000000000003</v>
      </c>
      <c r="BX4" s="10">
        <f>IF(SUM(BF4,BJ4)&gt;0,SUM(BF4,BJ4),"")</f>
        <v>4.3</v>
      </c>
      <c r="BY4" s="10">
        <f>IF(SUM(BU4,BW4)&gt;0,SUM(BU4,BW4),"")</f>
        <v>36.67</v>
      </c>
      <c r="BZ4" s="10">
        <f>IF(SUM(BS4,BY4)&gt;0,SUM(BS4,BY4),"")</f>
        <v>77.070000000000007</v>
      </c>
      <c r="CA4" s="34" t="str">
        <f>IF(MAX(DB4,EK4)-IF(J4="",0,J4)&gt;0.001,MAX(DB4,EK4)-IF(J4="",0,J4),"")</f>
        <v/>
      </c>
      <c r="CB4" s="34" t="str">
        <f>IF(MAX(CX4,CZ4,DD4,DF4,DH4,EG4,EI4,EM4,EO4)-IF(N4="",0,N4)&gt;0.001,MAX(CX4,CZ4,DD4,DF4,DH4,EG4,EI4,EM4,EO4)-IF(N4="",0,N4),"")</f>
        <v/>
      </c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 t="str">
        <f>IF(CD4="","",CD4)</f>
        <v/>
      </c>
      <c r="CX4" s="27" t="str">
        <f>IF(CC4="","",CC4+CD4+CF4-CE4)</f>
        <v/>
      </c>
      <c r="CY4" s="27" t="str">
        <f>IF(CH4="","",CH4)</f>
        <v/>
      </c>
      <c r="CZ4" s="27" t="str">
        <f>IF(CG4="","",CG4+CH4+CJ4-CI4)</f>
        <v/>
      </c>
      <c r="DA4" s="27" t="str">
        <f t="shared" ref="DA4:DB7" si="0">IF(CW4="","",SUM(CW4,CY4))</f>
        <v/>
      </c>
      <c r="DB4" s="27" t="str">
        <f t="shared" si="0"/>
        <v/>
      </c>
      <c r="DC4" s="27" t="str">
        <f>IF(CL4="","",CL4)</f>
        <v/>
      </c>
      <c r="DD4" s="27" t="str">
        <f>IF(CK4="","",CK4+CL4+CN4-CM4)</f>
        <v/>
      </c>
      <c r="DE4" s="27" t="str">
        <f>IF(CP4="","",CP4)</f>
        <v/>
      </c>
      <c r="DF4" s="27" t="str">
        <f>IF(CO4="","",CO4+CP4+CR4-CQ4)</f>
        <v/>
      </c>
      <c r="DG4" s="27" t="str">
        <f>IF(CT4="","",CT4)</f>
        <v/>
      </c>
      <c r="DH4" s="27" t="str">
        <f>IF(CS4="","",CS4+CT4+CV4-CU4)</f>
        <v/>
      </c>
      <c r="DI4" s="27" t="str">
        <f t="shared" ref="DI4:DJ7" si="1">IF(DE4="","",SUM(DE4,DG4))</f>
        <v/>
      </c>
      <c r="DJ4" s="27" t="str">
        <f t="shared" si="1"/>
        <v/>
      </c>
      <c r="DK4" s="27" t="str">
        <f>IF(DB4="","",SUM(DB4,DD4,DH4))</f>
        <v/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>IF(DM4="","",DM4)</f>
        <v/>
      </c>
      <c r="EG4" s="10" t="str">
        <f>IF(DL4="","",DL4+DM4+DO4-DN4)</f>
        <v/>
      </c>
      <c r="EH4" s="10" t="str">
        <f>IF(DQ4="","",DQ4)</f>
        <v/>
      </c>
      <c r="EI4" s="10" t="str">
        <f>IF(DP4="","",DP4+DQ4+DS4-DR4)</f>
        <v/>
      </c>
      <c r="EJ4" s="10" t="str">
        <f t="shared" ref="EJ4:EK7" si="2">IF(EF4="","",SUM(EF4,EH4))</f>
        <v/>
      </c>
      <c r="EK4" s="10" t="str">
        <f t="shared" si="2"/>
        <v/>
      </c>
      <c r="EL4" s="10" t="str">
        <f>IF(DU4="","",DU4)</f>
        <v/>
      </c>
      <c r="EM4" s="10" t="str">
        <f>IF(DT4="","",DT4+DU4+DW4-DV4)</f>
        <v/>
      </c>
      <c r="EN4" s="10" t="str">
        <f>IF(DY4="","",DY4)</f>
        <v/>
      </c>
      <c r="EO4" s="10" t="str">
        <f>IF(DX4="","",DX4+DY4+EA4-DZ4)</f>
        <v/>
      </c>
      <c r="EP4" s="10" t="str">
        <f>IF(EC4="","",EC4)</f>
        <v/>
      </c>
      <c r="EQ4" s="10" t="str">
        <f>IF(EB4="","",EB4+EC4+EE4-ED4)</f>
        <v/>
      </c>
      <c r="ER4" s="10" t="str">
        <f t="shared" ref="ER4:ES7" si="3">IF(EN4="","",SUM(EN4,EP4))</f>
        <v/>
      </c>
      <c r="ES4" s="10" t="str">
        <f t="shared" si="3"/>
        <v/>
      </c>
      <c r="ET4" s="10" t="str">
        <f>IF(EK4="","",SUM(EK4,EM4,EQ4))</f>
        <v/>
      </c>
      <c r="EU4" s="44">
        <f t="shared" ref="EU4:FJ7" si="4">IF(BM4="P",IF(AI4="P",AW4,AW4*0.8),(S4+AW4)/2)</f>
        <v>9.25</v>
      </c>
      <c r="EV4" s="44">
        <f t="shared" si="4"/>
        <v>1.8</v>
      </c>
      <c r="EW4" s="44">
        <f t="shared" si="4"/>
        <v>0</v>
      </c>
      <c r="EX4" s="44">
        <f t="shared" si="4"/>
        <v>0</v>
      </c>
      <c r="EY4" s="44">
        <f t="shared" si="4"/>
        <v>8.3000000000000007</v>
      </c>
      <c r="EZ4" s="44">
        <f t="shared" si="4"/>
        <v>1.35</v>
      </c>
      <c r="FA4" s="44">
        <f t="shared" si="4"/>
        <v>0.5</v>
      </c>
      <c r="FB4" s="44">
        <f t="shared" si="4"/>
        <v>0</v>
      </c>
      <c r="FC4" s="44">
        <f t="shared" si="4"/>
        <v>7.8849999999999998</v>
      </c>
      <c r="FD4" s="44">
        <f t="shared" si="4"/>
        <v>0.35</v>
      </c>
      <c r="FE4" s="44">
        <f t="shared" si="4"/>
        <v>0</v>
      </c>
      <c r="FF4" s="44">
        <f t="shared" si="4"/>
        <v>0</v>
      </c>
      <c r="FG4" s="44">
        <f t="shared" si="4"/>
        <v>8.4</v>
      </c>
      <c r="FH4" s="44">
        <f t="shared" si="4"/>
        <v>1.8</v>
      </c>
      <c r="FI4" s="44">
        <f t="shared" si="4"/>
        <v>0.1</v>
      </c>
      <c r="FJ4" s="44">
        <f t="shared" si="4"/>
        <v>0</v>
      </c>
      <c r="FK4" s="20" t="s">
        <v>29</v>
      </c>
      <c r="FL4" s="10">
        <f>IF(EV4="","",EV4)</f>
        <v>1.8</v>
      </c>
      <c r="FM4" s="10">
        <f>IF(EU4="","",EU4+EV4+EX4-EW4)</f>
        <v>11.05</v>
      </c>
      <c r="FN4" s="10">
        <f>IF(EZ4="","",EZ4)</f>
        <v>1.35</v>
      </c>
      <c r="FO4" s="10">
        <f>IF(EY4="","",EY4+EZ4+FB4-FA4)</f>
        <v>9.15</v>
      </c>
      <c r="FP4" s="10">
        <f>IF(SUM(EV4,EZ4)&gt;0,SUM(EV4,EZ4),"")</f>
        <v>3.1500000000000004</v>
      </c>
      <c r="FQ4" s="10">
        <f>IF(SUM(FM4,FO4)&gt;0,SUM(FM4,FO4),"")</f>
        <v>20.200000000000003</v>
      </c>
      <c r="FR4" s="10">
        <f>IF(FD4="","",FD4)</f>
        <v>0.35</v>
      </c>
      <c r="FS4" s="10">
        <f>IF(FC4="","",FC4+FD4+FF4-FE4)</f>
        <v>8.2349999999999994</v>
      </c>
      <c r="FT4" s="10">
        <f>IF(FH4="","",FH4)</f>
        <v>1.8</v>
      </c>
      <c r="FU4" s="10">
        <f>IF(FG4="","",FG4+FH4+FJ4-FI4)</f>
        <v>10.100000000000001</v>
      </c>
      <c r="FV4" s="10">
        <f>IF(SUM(FD4,FH4)&gt;0,SUM(FD4,FH4),"")</f>
        <v>2.15</v>
      </c>
      <c r="FW4" s="10">
        <f>IF(SUM(FS4,FU4)&gt;0,SUM(FS4,FU4),"")</f>
        <v>18.335000000000001</v>
      </c>
      <c r="FX4" s="10">
        <f>IF(SUM(FQ4,FW4)&gt;0,SUM(FQ4,FW4),"")</f>
        <v>38.535000000000004</v>
      </c>
    </row>
    <row r="5" spans="1:180" x14ac:dyDescent="0.2">
      <c r="A5" s="3" t="str" cm="1">
        <f t="array" ref="A5">IF(AND(H5&lt;&gt;"",H5&lt;&gt;"No DD"),SUMPRODUCT((H$4:H$8&lt;&gt;"")*(H$4:H$8&lt;&gt;"No DD")*(E$4:E$8&gt;E5))+1,IF(H5="No DD",SUMPRODUCT((H$4:H$8="No DD")*(E$4:E$8&gt;E5))+1+SUMPRODUCT((H$4:H$8&lt;&gt;"")*(H$4:H$8&lt;&gt;"No DD")),""))</f>
        <v/>
      </c>
      <c r="B5" s="4" t="s">
        <v>188</v>
      </c>
      <c r="C5" s="3" t="s">
        <v>5</v>
      </c>
      <c r="D5" s="3">
        <v>2010</v>
      </c>
      <c r="E5" s="8">
        <f>SUM(J5:P5)+SUM(J5:M5)*0.0000001+SUM(J5)*0.0000000000001</f>
        <v>66.300006630004447</v>
      </c>
      <c r="F5" s="2" t="str">
        <f>IF(OR(AND(AO5&lt;&gt;"",AO5&gt;=AV$13,AN5&gt;=AV$10),AND(AU5&lt;&gt;"",AU5&gt;=AV$13,AT5&gt;=AV$10),AND(BS5&lt;&gt;"",BS5&gt;=BZ$13,BR5&gt;=BZ$10),AND(BY5&lt;&gt;"",BY5&gt;=BZ$13,BX5&gt;=BZ$10),AND(DB5&lt;&gt;"",DB5&gt;=DK$13,DA5&gt;=DK$10),AND(DJ5&lt;&gt;"",DJ5&gt;=DK$13,DI5&gt;=DK$10),AND(EK5&lt;&gt;"",EK5&gt;=ET$13,EJ5&gt;=ET$10),AND(ES5&lt;&gt;"",ES5&gt;=ET$13,ER5&gt;=ET$10)),"P","")</f>
        <v/>
      </c>
      <c r="G5" s="2" t="str">
        <f>IF(OR(AND(AO5&lt;&gt;"",AO5&gt;=AV$13),AND(AU5&lt;&gt;"",AU5&gt;=AV$13),AND(BS5&lt;&gt;"",BS5&gt;=BZ$13),AND(BY5&lt;&gt;"",BY5&gt;=BZ$13),AND(DB5&lt;&gt;"",DB5&gt;=DK$13),AND(DJ5&lt;&gt;"",DJ5&gt;=DK$13),AND(EK5&lt;&gt;"",EK5&gt;=ET$13),AND(ES5&lt;&gt;"",ES5&gt;=ET$13)),"P","")</f>
        <v/>
      </c>
      <c r="H5" s="26" t="str">
        <f>IF(AND(G5="P",F5=""),"No DD",IF(OR(AND(AK5&lt;&gt;"",AK5&gt;=AV$15,AJ5&gt;=AV$12),AND(AM5&lt;&gt;"",AM5&gt;=AV$15,AL5&gt;=AV$12),AND(AQ5&lt;&gt;"",AQ5&gt;=AV$15,AP5&gt;=AV$12),AND(AS5&lt;&gt;"",AS5&gt;=AV$15,AR5&gt;=AV$12),AND(BO5&lt;&gt;"",BO5&gt;=BZ$15,BN5&gt;=BZ$12),AND(BQ5&lt;&gt;"",BQ5&gt;=BZ$15,BP5&gt;=BZ$12),AND(BV5&lt;&gt;"",BV5&gt;=BZ$15,BU5&gt;=BZ$12),AND(BX5&lt;&gt;"",BX5&gt;=BZ$15,BW5&gt;=BZ$12),AND(CX5&lt;&gt;"",CX5&gt;=DK$15,CW5&gt;=DK$12),AND(CZ5&lt;&gt;"",CZ5&gt;=DK$15,CY5&gt;=DK$12),AND(DD5&lt;&gt;"",DD5&gt;=DK$15,DC5&gt;=DK$12),AND(DF5&lt;&gt;"",DF5&gt;=DK$15,DE5&gt;=DK$12),AND(DH5&lt;&gt;"",DH5&gt;=DK$15,DG5&gt;=DK$12),AND(EG5&lt;&gt;"",EG5&gt;=ET$15,EF5&gt;=ET$12),AND(EI5&lt;&gt;"",EI5&gt;=ET$15,EH5&gt;=ET$12),AND(EM5&lt;&gt;"",EM5&gt;=ET$15,EL5&gt;=ET$12),AND(EO5&lt;&gt;"",EO5&gt;=ET$15,EN5&gt;=ET$12),AND(EQ5&lt;&gt;"",EQ5&gt;=ET$15,EP5&gt;=ET$12)),"Performance",IF(I5="P","Worlds Team",IF(F5="P","National Team",""))))</f>
        <v/>
      </c>
      <c r="I5" s="2" t="str">
        <f>IF(OR(AND(AO5&lt;&gt;"",AO5&gt;=AV$14,AN5&gt;=AV$11),AND(AU5&lt;&gt;"",AU5&gt;=AV$14,AT5&gt;=AV$11),AND(BS5&lt;&gt;"",BS5&gt;=BZ$14,BR5&gt;=BZ$11),AND(BY5&lt;&gt;"",BY5&gt;=BZ$14,BX5&gt;=BZ$11),AND(DB5&lt;&gt;"",DB5&gt;=DK$14,DA5&gt;=DK$11),AND(DJ5&lt;&gt;"",DJ5&gt;=DK$14,DI5&gt;=DK$11),AND(EK5&lt;&gt;"",EK5&gt;=ET$14,EJ5&gt;=ET$11),AND(ES5&lt;&gt;"",ES5&gt;=ET$14,ER5&gt;=ET$11)),"P","")</f>
        <v/>
      </c>
      <c r="J5" s="7">
        <f>IF(COUNT(AO5,BS5)&gt;0,MAX(AO5,BS5),0)</f>
        <v>44.5</v>
      </c>
      <c r="K5" s="7" t="str">
        <f>IF(J5=0,"",IF(J5=BS5,$AW$1,IF(J5=AO5,$S$1,"")))</f>
        <v>2025 Nationals</v>
      </c>
      <c r="L5" s="7">
        <f>IF(J5=AO5,IF(COUNT(AQ5,AS5,BO5,BQ5,BU5,BW5)&gt;1,LARGE((AQ5,AS5,BO5,BQ5,BU5,BW5),1),0),IF(COUNT(AK5,AM5,AQ5,AS5,BU5,BW5)&gt;1,LARGE((AK5,AM5,AQ5,AS5,BU5,BW5),1),0))</f>
        <v>21.8</v>
      </c>
      <c r="M5" s="7" t="str">
        <f>IF(L5=0,"",IF(OR(L5=BO5,L5=BQ5,L5=BU5,L5=BW5),$AW$1,IF(OR(L5=AK5,L5=AM5,L5=AQ5,L5=AS5),$S$1,"")))</f>
        <v>2025 Nationals</v>
      </c>
      <c r="N5" s="7">
        <f>IF(J5=AO5,IF(COUNT(AQ5,AS5,BO5,BQ5,BU5,BW5)&gt;1,LARGE((AQ5,AS5,BO5,BQ5,BU5,BW5),2),0),IF(COUNT(AK5,AM5,AQ5,AS5,BU5,BW5)&gt;1,LARGE((AK5,AM5,AQ5,AS5,BU5,BW5),2),0))</f>
        <v>0</v>
      </c>
      <c r="O5" s="7" t="str">
        <f>IF(N5=0,"",IF(OR(N5=BO5,N5=BQ5,N5=BU5,N5=BW5),$AW$1,IF(OR(N5=AK5,N5=AM5,N5=AQ5,N5=AS5),$S$1,"")))</f>
        <v/>
      </c>
      <c r="P5" s="7" t="str">
        <f>IF(MAX(CA5:CB5)&gt;0,MAX(CA5:CB5),"")</f>
        <v/>
      </c>
      <c r="Q5" s="10" t="str">
        <f>IF(P5="","",IF(P5=CA5,"("&amp;CA$2&amp;")",IF(P5=CB5,"("&amp;CB$2&amp;")")))</f>
        <v/>
      </c>
      <c r="R5" s="7" t="str">
        <f>IF(P5="","",IF(P5=CA5,IF(P5+MAX(J5,0)=EK5,$DL$1,IF(P5+MAX(J5,0)=DB5,$CC$1)),IF(P5=CB5,IF(P5+MAX(N5,0)=MAX(EG5,EI5,EM5,EO5,EQ5),$DL$1,IF(P5+MAX(N5,0)=MAX(CX5,CZ5,DD5,DF5,DH5),$CC$1)))))</f>
        <v/>
      </c>
      <c r="S5" s="39">
        <v>18.399999999999999</v>
      </c>
      <c r="T5" s="39">
        <v>4.4000000000000004</v>
      </c>
      <c r="U5" s="39">
        <v>0</v>
      </c>
      <c r="V5" s="39">
        <v>0</v>
      </c>
      <c r="W5" s="39">
        <v>18.3</v>
      </c>
      <c r="X5" s="39">
        <v>3.6</v>
      </c>
      <c r="Y5" s="39">
        <v>0.2</v>
      </c>
      <c r="Z5" s="39">
        <v>0</v>
      </c>
      <c r="AA5" s="39">
        <v>18.2</v>
      </c>
      <c r="AB5" s="39">
        <v>4.4000000000000004</v>
      </c>
      <c r="AC5" s="39">
        <v>0.8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19"/>
      <c r="AJ5" s="42">
        <f>IF(T5="","",T5)</f>
        <v>4.4000000000000004</v>
      </c>
      <c r="AK5" s="42">
        <f>IF(S5="","",S5+T5+V5-U5)</f>
        <v>22.799999999999997</v>
      </c>
      <c r="AL5" s="42">
        <f>IF(X5="","",X5)</f>
        <v>3.6</v>
      </c>
      <c r="AM5" s="42">
        <f>IF(W5="","",W5+X5+Z5-Y5)</f>
        <v>21.700000000000003</v>
      </c>
      <c r="AN5" s="27">
        <f>IF(SUM(T5,X5)&gt;0,SUM(T5,X5),"")</f>
        <v>8</v>
      </c>
      <c r="AO5" s="27">
        <f>IF(SUM(AK5,AM5)&gt;0,SUM(AK5,AM5),"")</f>
        <v>44.5</v>
      </c>
      <c r="AP5" s="27">
        <f>IF(AB5="","",AB5)</f>
        <v>4.4000000000000004</v>
      </c>
      <c r="AQ5" s="27">
        <f>IF(AA5="","",AA5+AB5+AD5-AC5)</f>
        <v>21.8</v>
      </c>
      <c r="AR5" s="27">
        <f>IF(AF5="","",AF5)</f>
        <v>0</v>
      </c>
      <c r="AS5" s="27">
        <f>IF(AE5="","",AE5+AF5+AH5-AG5)</f>
        <v>0</v>
      </c>
      <c r="AT5" s="27">
        <f>IF(SUM(AB5,AF5)&gt;0,SUM(AB5,AF5),"")</f>
        <v>4.4000000000000004</v>
      </c>
      <c r="AU5" s="27">
        <f>IF(SUM(AQ5,AS5)&gt;0,SUM(AQ5,AS5),"")</f>
        <v>21.8</v>
      </c>
      <c r="AV5" s="27">
        <f>IF(SUM(AO5,AU5)&gt;0,SUM(AO5,AU5),"")</f>
        <v>66.3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3" t="str">
        <f>IF(AX5="","",AX5)</f>
        <v/>
      </c>
      <c r="BO5" s="43" t="str">
        <f>IF(AW5="","",AW5+AX5+AZ5-AY5)</f>
        <v/>
      </c>
      <c r="BP5" s="43" t="str">
        <f>IF(BB5="","",BB5)</f>
        <v/>
      </c>
      <c r="BQ5" s="43" t="str">
        <f>IF(BA5="","",BA5+BB5+BD5-BC5)</f>
        <v/>
      </c>
      <c r="BR5" s="10" t="str">
        <f>IF(SUM(AX5,BB5)&gt;0,SUM(AX5,BB5),"")</f>
        <v/>
      </c>
      <c r="BS5" s="10" t="str">
        <f>IF(SUM(BO5,BQ5)&gt;0,SUM(BO5,BQ5),"")</f>
        <v/>
      </c>
      <c r="BT5" s="10" t="str">
        <f>IF(BF5="","",BF5)</f>
        <v/>
      </c>
      <c r="BU5" s="10" t="str">
        <f>IF(BE5="","",BE5+BF5+BH5-BG5)</f>
        <v/>
      </c>
      <c r="BV5" s="10" t="str">
        <f>IF(BJ5="","",BJ5)</f>
        <v/>
      </c>
      <c r="BW5" s="10" t="str">
        <f>IF(BI5="","",BI5+BJ5+BL5-BK5)</f>
        <v/>
      </c>
      <c r="BX5" s="10" t="str">
        <f>IF(SUM(BF5,BJ5)&gt;0,SUM(BF5,BJ5),"")</f>
        <v/>
      </c>
      <c r="BY5" s="10" t="str">
        <f>IF(SUM(BU5,BW5)&gt;0,SUM(BU5,BW5),"")</f>
        <v/>
      </c>
      <c r="BZ5" s="10" t="str">
        <f>IF(SUM(BS5,BY5)&gt;0,SUM(BS5,BY5),"")</f>
        <v/>
      </c>
      <c r="CA5" s="34" t="str">
        <f>IF(MAX(DB5,EK5)-IF(J5="",0,J5)&gt;0.001,MAX(DB5,EK5)-IF(J5="",0,J5),"")</f>
        <v/>
      </c>
      <c r="CB5" s="34" t="str">
        <f>IF(MAX(CX5,CZ5,DD5,DF5,DH5,EG5,EI5,EM5,EO5)-IF(N5="",0,N5)&gt;0.001,MAX(CX5,CZ5,DD5,DF5,DH5,EG5,EI5,EM5,EO5)-IF(N5="",0,N5),"")</f>
        <v/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>IF(CD5="","",CD5)</f>
        <v/>
      </c>
      <c r="CX5" s="27" t="str">
        <f>IF(CC5="","",CC5+CD5+CF5-CE5)</f>
        <v/>
      </c>
      <c r="CY5" s="27" t="str">
        <f>IF(CH5="","",CH5)</f>
        <v/>
      </c>
      <c r="CZ5" s="27" t="str">
        <f>IF(CG5="","",CG5+CH5+CJ5-CI5)</f>
        <v/>
      </c>
      <c r="DA5" s="27" t="str">
        <f t="shared" si="0"/>
        <v/>
      </c>
      <c r="DB5" s="27" t="str">
        <f t="shared" si="0"/>
        <v/>
      </c>
      <c r="DC5" s="27" t="str">
        <f>IF(CL5="","",CL5)</f>
        <v/>
      </c>
      <c r="DD5" s="27" t="str">
        <f>IF(CK5="","",CK5+CL5+CN5-CM5)</f>
        <v/>
      </c>
      <c r="DE5" s="27" t="str">
        <f>IF(CP5="","",CP5)</f>
        <v/>
      </c>
      <c r="DF5" s="27" t="str">
        <f>IF(CO5="","",CO5+CP5+CR5-CQ5)</f>
        <v/>
      </c>
      <c r="DG5" s="27" t="str">
        <f>IF(CT5="","",CT5)</f>
        <v/>
      </c>
      <c r="DH5" s="27" t="str">
        <f>IF(CS5="","",CS5+CT5+CV5-CU5)</f>
        <v/>
      </c>
      <c r="DI5" s="27" t="str">
        <f t="shared" si="1"/>
        <v/>
      </c>
      <c r="DJ5" s="27" t="str">
        <f t="shared" si="1"/>
        <v/>
      </c>
      <c r="DK5" s="27" t="str">
        <f>IF(DB5="","",SUM(DB5,DD5,DH5))</f>
        <v/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>IF(DM5="","",DM5)</f>
        <v/>
      </c>
      <c r="EG5" s="10" t="str">
        <f>IF(DL5="","",DL5+DM5+DO5-DN5)</f>
        <v/>
      </c>
      <c r="EH5" s="10" t="str">
        <f>IF(DQ5="","",DQ5)</f>
        <v/>
      </c>
      <c r="EI5" s="10" t="str">
        <f>IF(DP5="","",DP5+DQ5+DS5-DR5)</f>
        <v/>
      </c>
      <c r="EJ5" s="10" t="str">
        <f t="shared" si="2"/>
        <v/>
      </c>
      <c r="EK5" s="10" t="str">
        <f t="shared" si="2"/>
        <v/>
      </c>
      <c r="EL5" s="10" t="str">
        <f>IF(DU5="","",DU5)</f>
        <v/>
      </c>
      <c r="EM5" s="10" t="str">
        <f>IF(DT5="","",DT5+DU5+DW5-DV5)</f>
        <v/>
      </c>
      <c r="EN5" s="10" t="str">
        <f>IF(DY5="","",DY5)</f>
        <v/>
      </c>
      <c r="EO5" s="10" t="str">
        <f>IF(DX5="","",DX5+DY5+EA5-DZ5)</f>
        <v/>
      </c>
      <c r="EP5" s="10" t="str">
        <f>IF(EC5="","",EC5)</f>
        <v/>
      </c>
      <c r="EQ5" s="10" t="str">
        <f>IF(EB5="","",EB5+EC5+EE5-ED5)</f>
        <v/>
      </c>
      <c r="ER5" s="10" t="str">
        <f t="shared" si="3"/>
        <v/>
      </c>
      <c r="ES5" s="10" t="str">
        <f t="shared" si="3"/>
        <v/>
      </c>
      <c r="ET5" s="10" t="str">
        <f>IF(EK5="","",SUM(EK5,EM5,EQ5))</f>
        <v/>
      </c>
      <c r="EU5" s="44">
        <f t="shared" si="4"/>
        <v>9.1999999999999993</v>
      </c>
      <c r="EV5" s="44">
        <f t="shared" si="4"/>
        <v>2.2000000000000002</v>
      </c>
      <c r="EW5" s="44">
        <f t="shared" si="4"/>
        <v>0</v>
      </c>
      <c r="EX5" s="44">
        <f t="shared" si="4"/>
        <v>0</v>
      </c>
      <c r="EY5" s="44">
        <f t="shared" si="4"/>
        <v>9.15</v>
      </c>
      <c r="EZ5" s="44">
        <f t="shared" si="4"/>
        <v>1.8</v>
      </c>
      <c r="FA5" s="44">
        <f t="shared" si="4"/>
        <v>0.1</v>
      </c>
      <c r="FB5" s="44">
        <f t="shared" si="4"/>
        <v>0</v>
      </c>
      <c r="FC5" s="44">
        <f t="shared" si="4"/>
        <v>9.1</v>
      </c>
      <c r="FD5" s="44">
        <f t="shared" si="4"/>
        <v>2.2000000000000002</v>
      </c>
      <c r="FE5" s="44">
        <f t="shared" si="4"/>
        <v>0.4</v>
      </c>
      <c r="FF5" s="44">
        <f t="shared" si="4"/>
        <v>0</v>
      </c>
      <c r="FG5" s="44">
        <f t="shared" si="4"/>
        <v>0</v>
      </c>
      <c r="FH5" s="44">
        <f t="shared" si="4"/>
        <v>0</v>
      </c>
      <c r="FI5" s="44">
        <f t="shared" si="4"/>
        <v>0</v>
      </c>
      <c r="FJ5" s="44">
        <f t="shared" si="4"/>
        <v>0</v>
      </c>
      <c r="FK5" s="20" t="s">
        <v>29</v>
      </c>
      <c r="FL5" s="10">
        <f>IF(EV5="","",EV5)</f>
        <v>2.2000000000000002</v>
      </c>
      <c r="FM5" s="10">
        <f>IF(EU5="","",EU5+EV5+EX5-EW5)</f>
        <v>11.399999999999999</v>
      </c>
      <c r="FN5" s="10">
        <f>IF(EZ5="","",EZ5)</f>
        <v>1.8</v>
      </c>
      <c r="FO5" s="10">
        <f>IF(EY5="","",EY5+EZ5+FB5-FA5)</f>
        <v>10.850000000000001</v>
      </c>
      <c r="FP5" s="10">
        <f>IF(SUM(EV5,EZ5)&gt;0,SUM(EV5,EZ5),"")</f>
        <v>4</v>
      </c>
      <c r="FQ5" s="10">
        <f t="shared" ref="FQ5:FQ7" si="5">IF(SUM(FM5,FO5)&gt;0,SUM(FM5,FO5),"")</f>
        <v>22.25</v>
      </c>
      <c r="FR5" s="10">
        <f t="shared" ref="FR5:FR7" si="6">IF(FD5="","",FD5)</f>
        <v>2.2000000000000002</v>
      </c>
      <c r="FS5" s="10">
        <f t="shared" ref="FS5:FS7" si="7">IF(FC5="","",FC5+FD5+FF5-FE5)</f>
        <v>10.9</v>
      </c>
      <c r="FT5" s="10">
        <f t="shared" ref="FT5:FT7" si="8">IF(FH5="","",FH5)</f>
        <v>0</v>
      </c>
      <c r="FU5" s="10">
        <f t="shared" ref="FU5:FU7" si="9">IF(FG5="","",FG5+FH5+FJ5-FI5)</f>
        <v>0</v>
      </c>
      <c r="FV5" s="10">
        <f t="shared" ref="FV5:FV7" si="10">IF(SUM(FD5,FH5)&gt;0,SUM(FD5,FH5),"")</f>
        <v>2.2000000000000002</v>
      </c>
      <c r="FW5" s="10">
        <f>IF(SUM(FS5,FU5)&gt;0,SUM(FS5,FU5),"")</f>
        <v>10.9</v>
      </c>
      <c r="FX5" s="10">
        <f>IF(SUM(FQ5,FW5)&gt;0,SUM(FQ5,FW5),"")</f>
        <v>33.15</v>
      </c>
    </row>
    <row r="6" spans="1:180" x14ac:dyDescent="0.2">
      <c r="A6" s="3" t="str" cm="1">
        <f t="array" ref="A6">IF(AND(H6&lt;&gt;"",H6&lt;&gt;"No DD"),SUMPRODUCT((H$4:H$8&lt;&gt;"")*(H$4:H$8&lt;&gt;"No DD")*(E$4:E$8&gt;E6))+1,IF(H6="No DD",SUMPRODUCT((H$4:H$8="No DD")*(E$4:E$8&gt;E6))+1+SUMPRODUCT((H$4:H$8&lt;&gt;"")*(H$4:H$8&lt;&gt;"No DD")),""))</f>
        <v/>
      </c>
      <c r="B6" s="4" t="s">
        <v>189</v>
      </c>
      <c r="C6" s="3" t="s">
        <v>4</v>
      </c>
      <c r="D6" s="3">
        <v>2011</v>
      </c>
      <c r="E6" s="8">
        <f>SUM(J6:P6)+SUM(J6:M6)*0.0000001+SUM(J6)*0.0000000000001</f>
        <v>39.900003990003995</v>
      </c>
      <c r="F6" s="2" t="str">
        <f>IF(OR(AND(AO6&lt;&gt;"",AO6&gt;=AV$13,AN6&gt;=AV$10),AND(AU6&lt;&gt;"",AU6&gt;=AV$13,AT6&gt;=AV$10),AND(BS6&lt;&gt;"",BS6&gt;=BZ$13,BR6&gt;=BZ$10),AND(BY6&lt;&gt;"",BY6&gt;=BZ$13,BX6&gt;=BZ$10),AND(DB6&lt;&gt;"",DB6&gt;=DK$13,DA6&gt;=DK$10),AND(DJ6&lt;&gt;"",DJ6&gt;=DK$13,DI6&gt;=DK$10),AND(EK6&lt;&gt;"",EK6&gt;=ET$13,EJ6&gt;=ET$10),AND(ES6&lt;&gt;"",ES6&gt;=ET$13,ER6&gt;=ET$10)),"P","")</f>
        <v/>
      </c>
      <c r="G6" s="2" t="str">
        <f>IF(OR(AND(AO6&lt;&gt;"",AO6&gt;=AV$13),AND(AU6&lt;&gt;"",AU6&gt;=AV$13),AND(BS6&lt;&gt;"",BS6&gt;=BZ$13),AND(BY6&lt;&gt;"",BY6&gt;=BZ$13),AND(DB6&lt;&gt;"",DB6&gt;=DK$13),AND(DJ6&lt;&gt;"",DJ6&gt;=DK$13),AND(EK6&lt;&gt;"",EK6&gt;=ET$13),AND(ES6&lt;&gt;"",ES6&gt;=ET$13)),"P","")</f>
        <v/>
      </c>
      <c r="H6" s="26" t="str">
        <f>IF(AND(G6="P",F6=""),"No DD",IF(OR(AND(AK6&lt;&gt;"",AK6&gt;=AV$15,AJ6&gt;=AV$12),AND(AM6&lt;&gt;"",AM6&gt;=AV$15,AL6&gt;=AV$12),AND(AQ6&lt;&gt;"",AQ6&gt;=AV$15,AP6&gt;=AV$12),AND(AS6&lt;&gt;"",AS6&gt;=AV$15,AR6&gt;=AV$12),AND(BO6&lt;&gt;"",BO6&gt;=BZ$15,BN6&gt;=BZ$12),AND(BQ6&lt;&gt;"",BQ6&gt;=BZ$15,BP6&gt;=BZ$12),AND(BV6&lt;&gt;"",BV6&gt;=BZ$15,BU6&gt;=BZ$12),AND(BX6&lt;&gt;"",BX6&gt;=BZ$15,BW6&gt;=BZ$12),AND(CX6&lt;&gt;"",CX6&gt;=DK$15,CW6&gt;=DK$12),AND(CZ6&lt;&gt;"",CZ6&gt;=DK$15,CY6&gt;=DK$12),AND(DD6&lt;&gt;"",DD6&gt;=DK$15,DC6&gt;=DK$12),AND(DF6&lt;&gt;"",DF6&gt;=DK$15,DE6&gt;=DK$12),AND(DH6&lt;&gt;"",DH6&gt;=DK$15,DG6&gt;=DK$12),AND(EG6&lt;&gt;"",EG6&gt;=ET$15,EF6&gt;=ET$12),AND(EI6&lt;&gt;"",EI6&gt;=ET$15,EH6&gt;=ET$12),AND(EM6&lt;&gt;"",EM6&gt;=ET$15,EL6&gt;=ET$12),AND(EO6&lt;&gt;"",EO6&gt;=ET$15,EN6&gt;=ET$12),AND(EQ6&lt;&gt;"",EQ6&gt;=ET$15,EP6&gt;=ET$12)),"Performance",IF(I6="P","Worlds Team",IF(F6="P","National Team",""))))</f>
        <v/>
      </c>
      <c r="I6" s="2" t="str">
        <f>IF(OR(AND(AO6&lt;&gt;"",AO6&gt;=AV$14,AN6&gt;=AV$11),AND(AU6&lt;&gt;"",AU6&gt;=AV$14,AT6&gt;=AV$11),AND(BS6&lt;&gt;"",BS6&gt;=BZ$14,BR6&gt;=BZ$11),AND(BY6&lt;&gt;"",BY6&gt;=BZ$14,BX6&gt;=BZ$11),AND(DB6&lt;&gt;"",DB6&gt;=DK$14,DA6&gt;=DK$11),AND(DJ6&lt;&gt;"",DJ6&gt;=DK$14,DI6&gt;=DK$11),AND(EK6&lt;&gt;"",EK6&gt;=ET$14,EJ6&gt;=ET$11),AND(ES6&lt;&gt;"",ES6&gt;=ET$14,ER6&gt;=ET$11)),"P","")</f>
        <v/>
      </c>
      <c r="J6" s="7">
        <f>IF(COUNT(AO6,BS6)&gt;0,MAX(AO6,BS6),0)</f>
        <v>39.9</v>
      </c>
      <c r="K6" s="7" t="str">
        <f>IF(J6=0,"",IF(J6=BS6,$AW$1,IF(J6=AO6,$S$1,"")))</f>
        <v>2025 Nationals</v>
      </c>
      <c r="L6" s="7">
        <f>IF(J6=AO6,IF(COUNT(AQ6,AS6,BO6,BQ6,BU6,BW6)&gt;1,LARGE((AQ6,AS6,BO6,BQ6,BU6,BW6),1),0),IF(COUNT(AK6,AM6,AQ6,AS6,BU6,BW6)&gt;1,LARGE((AK6,AM6,AQ6,AS6,BU6,BW6),1),0))</f>
        <v>0</v>
      </c>
      <c r="M6" s="7" t="str">
        <f>IF(L6=0,"",IF(OR(L6=BO6,L6=BQ6,L6=BU6,L6=BW6),$AW$1,IF(OR(L6=AK6,L6=AM6,L6=AQ6,L6=AS6),$S$1,"")))</f>
        <v/>
      </c>
      <c r="N6" s="7">
        <f>IF(J6=AO6,IF(COUNT(AQ6,AS6,BO6,BQ6,BU6,BW6)&gt;1,LARGE((AQ6,AS6,BO6,BQ6,BU6,BW6),2),0),IF(COUNT(AK6,AM6,AQ6,AS6,BU6,BW6)&gt;1,LARGE((AK6,AM6,AQ6,AS6,BU6,BW6),2),0))</f>
        <v>0</v>
      </c>
      <c r="O6" s="7" t="str">
        <f>IF(N6=0,"",IF(OR(N6=BO6,N6=BQ6,N6=BU6,N6=BW6),$AW$1,IF(OR(N6=AK6,N6=AM6,N6=AQ6,N6=AS6),$S$1,"")))</f>
        <v/>
      </c>
      <c r="P6" s="7" t="str">
        <f>IF(MAX(CA6:CB6)&gt;0,MAX(CA6:CB6),"")</f>
        <v/>
      </c>
      <c r="Q6" s="10" t="str">
        <f>IF(P6="","",IF(P6=CA6,"("&amp;CA$2&amp;")",IF(P6=CB6,"("&amp;CB$2&amp;")")))</f>
        <v/>
      </c>
      <c r="R6" s="7" t="str">
        <f>IF(P6="","",IF(P6=CA6,IF(P6+MAX(J6,0)=EK6,$DL$1,IF(P6+MAX(J6,0)=DB6,$CC$1)),IF(P6=CB6,IF(P6+MAX(N6,0)=MAX(EG6,EI6,EM6,EO6,EQ6),$DL$1,IF(P6+MAX(N6,0)=MAX(CX6,CZ6,DD6,DF6,DH6),$CC$1)))))</f>
        <v/>
      </c>
      <c r="S6" s="39">
        <v>18.8</v>
      </c>
      <c r="T6" s="39">
        <v>3.5</v>
      </c>
      <c r="U6" s="39">
        <v>0</v>
      </c>
      <c r="V6" s="39">
        <v>0</v>
      </c>
      <c r="W6" s="39">
        <v>15.2</v>
      </c>
      <c r="X6" s="39">
        <v>2.4</v>
      </c>
      <c r="Y6" s="39">
        <v>0</v>
      </c>
      <c r="Z6" s="39">
        <v>0</v>
      </c>
      <c r="AA6" s="39"/>
      <c r="AB6" s="39"/>
      <c r="AC6" s="39"/>
      <c r="AD6" s="39"/>
      <c r="AE6" s="39"/>
      <c r="AF6" s="39"/>
      <c r="AG6" s="39"/>
      <c r="AH6" s="39"/>
      <c r="AI6" s="19"/>
      <c r="AJ6" s="42">
        <f>IF(T6="","",T6)</f>
        <v>3.5</v>
      </c>
      <c r="AK6" s="42">
        <f>IF(S6="","",S6+T6+V6-U6)</f>
        <v>22.3</v>
      </c>
      <c r="AL6" s="42">
        <f>IF(X6="","",X6)</f>
        <v>2.4</v>
      </c>
      <c r="AM6" s="42">
        <f>IF(W6="","",W6+X6+Z6-Y6)</f>
        <v>17.599999999999998</v>
      </c>
      <c r="AN6" s="27">
        <f>IF(SUM(T6,X6)&gt;0,SUM(T6,X6),"")</f>
        <v>5.9</v>
      </c>
      <c r="AO6" s="27">
        <f>IF(SUM(AK6,AM6)&gt;0,SUM(AK6,AM6),"")</f>
        <v>39.9</v>
      </c>
      <c r="AP6" s="27" t="str">
        <f>IF(AB6="","",AB6)</f>
        <v/>
      </c>
      <c r="AQ6" s="27" t="str">
        <f>IF(AA6="","",AA6+AB6+AD6-AC6)</f>
        <v/>
      </c>
      <c r="AR6" s="27" t="str">
        <f>IF(AF6="","",AF6)</f>
        <v/>
      </c>
      <c r="AS6" s="27" t="str">
        <f>IF(AE6="","",AE6+AF6+AH6-AG6)</f>
        <v/>
      </c>
      <c r="AT6" s="27" t="str">
        <f>IF(SUM(AB6,AF6)&gt;0,SUM(AB6,AF6),"")</f>
        <v/>
      </c>
      <c r="AU6" s="27" t="str">
        <f>IF(SUM(AQ6,AS6)&gt;0,SUM(AQ6,AS6),"")</f>
        <v/>
      </c>
      <c r="AV6" s="27">
        <f>IF(SUM(AO6,AU6)&gt;0,SUM(AO6,AU6),"")</f>
        <v>39.9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3" t="str">
        <f>IF(AX6="","",AX6)</f>
        <v/>
      </c>
      <c r="BO6" s="43" t="str">
        <f>IF(AW6="","",AW6+AX6+AZ6-AY6)</f>
        <v/>
      </c>
      <c r="BP6" s="43" t="str">
        <f>IF(BB6="","",BB6)</f>
        <v/>
      </c>
      <c r="BQ6" s="43" t="str">
        <f>IF(BA6="","",BA6+BB6+BD6-BC6)</f>
        <v/>
      </c>
      <c r="BR6" s="10" t="str">
        <f>IF(SUM(AX6,BB6)&gt;0,SUM(AX6,BB6),"")</f>
        <v/>
      </c>
      <c r="BS6" s="10" t="str">
        <f>IF(SUM(BO6,BQ6)&gt;0,SUM(BO6,BQ6),"")</f>
        <v/>
      </c>
      <c r="BT6" s="10" t="str">
        <f>IF(BF6="","",BF6)</f>
        <v/>
      </c>
      <c r="BU6" s="10" t="str">
        <f>IF(BE6="","",BE6+BF6+BH6-BG6)</f>
        <v/>
      </c>
      <c r="BV6" s="10" t="str">
        <f>IF(BJ6="","",BJ6)</f>
        <v/>
      </c>
      <c r="BW6" s="10" t="str">
        <f>IF(BI6="","",BI6+BJ6+BL6-BK6)</f>
        <v/>
      </c>
      <c r="BX6" s="10" t="str">
        <f>IF(SUM(BF6,BJ6)&gt;0,SUM(BF6,BJ6),"")</f>
        <v/>
      </c>
      <c r="BY6" s="10" t="str">
        <f>IF(SUM(BU6,BW6)&gt;0,SUM(BU6,BW6),"")</f>
        <v/>
      </c>
      <c r="BZ6" s="10" t="str">
        <f>IF(SUM(BS6,BY6)&gt;0,SUM(BS6,BY6),"")</f>
        <v/>
      </c>
      <c r="CA6" s="34" t="str">
        <f>IF(MAX(DB6,EK6)-IF(J6="",0,J6)&gt;0.001,MAX(DB6,EK6)-IF(J6="",0,J6),"")</f>
        <v/>
      </c>
      <c r="CB6" s="34" t="str">
        <f>IF(MAX(CX6,CZ6,DD6,DF6,DH6,EG6,EI6,EM6,EO6)-IF(N6="",0,N6)&gt;0.001,MAX(CX6,CZ6,DD6,DF6,DH6,EG6,EI6,EM6,EO6)-IF(N6="",0,N6),"")</f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>IF(CD6="","",CD6)</f>
        <v/>
      </c>
      <c r="CX6" s="27" t="str">
        <f>IF(CC6="","",CC6+CD6+CF6-CE6)</f>
        <v/>
      </c>
      <c r="CY6" s="27" t="str">
        <f>IF(CH6="","",CH6)</f>
        <v/>
      </c>
      <c r="CZ6" s="27" t="str">
        <f>IF(CG6="","",CG6+CH6+CJ6-CI6)</f>
        <v/>
      </c>
      <c r="DA6" s="27" t="str">
        <f t="shared" si="0"/>
        <v/>
      </c>
      <c r="DB6" s="27" t="str">
        <f t="shared" si="0"/>
        <v/>
      </c>
      <c r="DC6" s="27" t="str">
        <f>IF(CL6="","",CL6)</f>
        <v/>
      </c>
      <c r="DD6" s="27" t="str">
        <f>IF(CK6="","",CK6+CL6+CN6-CM6)</f>
        <v/>
      </c>
      <c r="DE6" s="27" t="str">
        <f>IF(CP6="","",CP6)</f>
        <v/>
      </c>
      <c r="DF6" s="27" t="str">
        <f>IF(CO6="","",CO6+CP6+CR6-CQ6)</f>
        <v/>
      </c>
      <c r="DG6" s="27" t="str">
        <f>IF(CT6="","",CT6)</f>
        <v/>
      </c>
      <c r="DH6" s="27" t="str">
        <f>IF(CS6="","",CS6+CT6+CV6-CU6)</f>
        <v/>
      </c>
      <c r="DI6" s="27" t="str">
        <f t="shared" si="1"/>
        <v/>
      </c>
      <c r="DJ6" s="27" t="str">
        <f t="shared" si="1"/>
        <v/>
      </c>
      <c r="DK6" s="27" t="str">
        <f>IF(DB6="","",SUM(DB6,DD6,DH6))</f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>IF(DM6="","",DM6)</f>
        <v/>
      </c>
      <c r="EG6" s="10" t="str">
        <f>IF(DL6="","",DL6+DM6+DO6-DN6)</f>
        <v/>
      </c>
      <c r="EH6" s="10" t="str">
        <f>IF(DQ6="","",DQ6)</f>
        <v/>
      </c>
      <c r="EI6" s="10" t="str">
        <f>IF(DP6="","",DP6+DQ6+DS6-DR6)</f>
        <v/>
      </c>
      <c r="EJ6" s="10" t="str">
        <f t="shared" si="2"/>
        <v/>
      </c>
      <c r="EK6" s="10" t="str">
        <f t="shared" si="2"/>
        <v/>
      </c>
      <c r="EL6" s="10" t="str">
        <f>IF(DU6="","",DU6)</f>
        <v/>
      </c>
      <c r="EM6" s="10" t="str">
        <f>IF(DT6="","",DT6+DU6+DW6-DV6)</f>
        <v/>
      </c>
      <c r="EN6" s="10" t="str">
        <f>IF(DY6="","",DY6)</f>
        <v/>
      </c>
      <c r="EO6" s="10" t="str">
        <f>IF(DX6="","",DX6+DY6+EA6-DZ6)</f>
        <v/>
      </c>
      <c r="EP6" s="10" t="str">
        <f>IF(EC6="","",EC6)</f>
        <v/>
      </c>
      <c r="EQ6" s="10" t="str">
        <f>IF(EB6="","",EB6+EC6+EE6-ED6)</f>
        <v/>
      </c>
      <c r="ER6" s="10" t="str">
        <f t="shared" si="3"/>
        <v/>
      </c>
      <c r="ES6" s="10" t="str">
        <f t="shared" si="3"/>
        <v/>
      </c>
      <c r="ET6" s="10" t="str">
        <f>IF(EK6="","",SUM(EK6,EM6,EQ6))</f>
        <v/>
      </c>
      <c r="EU6" s="44">
        <f t="shared" si="4"/>
        <v>9.4</v>
      </c>
      <c r="EV6" s="44">
        <f t="shared" si="4"/>
        <v>1.75</v>
      </c>
      <c r="EW6" s="44">
        <f t="shared" si="4"/>
        <v>0</v>
      </c>
      <c r="EX6" s="44">
        <f t="shared" si="4"/>
        <v>0</v>
      </c>
      <c r="EY6" s="44">
        <f t="shared" si="4"/>
        <v>7.6</v>
      </c>
      <c r="EZ6" s="44">
        <f t="shared" si="4"/>
        <v>1.2</v>
      </c>
      <c r="FA6" s="44">
        <f t="shared" si="4"/>
        <v>0</v>
      </c>
      <c r="FB6" s="44">
        <f t="shared" si="4"/>
        <v>0</v>
      </c>
      <c r="FC6" s="44">
        <f t="shared" si="4"/>
        <v>0</v>
      </c>
      <c r="FD6" s="44">
        <f t="shared" si="4"/>
        <v>0</v>
      </c>
      <c r="FE6" s="44">
        <f t="shared" si="4"/>
        <v>0</v>
      </c>
      <c r="FF6" s="44">
        <f t="shared" si="4"/>
        <v>0</v>
      </c>
      <c r="FG6" s="44">
        <f t="shared" si="4"/>
        <v>0</v>
      </c>
      <c r="FH6" s="44">
        <f t="shared" si="4"/>
        <v>0</v>
      </c>
      <c r="FI6" s="44">
        <f t="shared" si="4"/>
        <v>0</v>
      </c>
      <c r="FJ6" s="44">
        <f t="shared" si="4"/>
        <v>0</v>
      </c>
      <c r="FK6" s="20" t="s">
        <v>29</v>
      </c>
      <c r="FL6" s="10">
        <f>IF(EV6="","",EV6)</f>
        <v>1.75</v>
      </c>
      <c r="FM6" s="10">
        <f>IF(EU6="","",EU6+EV6+EX6-EW6)</f>
        <v>11.15</v>
      </c>
      <c r="FN6" s="10">
        <f>IF(EZ6="","",EZ6)</f>
        <v>1.2</v>
      </c>
      <c r="FO6" s="10">
        <f>IF(EY6="","",EY6+EZ6+FB6-FA6)</f>
        <v>8.7999999999999989</v>
      </c>
      <c r="FP6" s="10">
        <f>IF(SUM(EV6,EZ6)&gt;0,SUM(EV6,EZ6),"")</f>
        <v>2.95</v>
      </c>
      <c r="FQ6" s="10">
        <f t="shared" si="5"/>
        <v>19.95</v>
      </c>
      <c r="FR6" s="10">
        <f t="shared" si="6"/>
        <v>0</v>
      </c>
      <c r="FS6" s="10">
        <f t="shared" si="7"/>
        <v>0</v>
      </c>
      <c r="FT6" s="10">
        <f t="shared" si="8"/>
        <v>0</v>
      </c>
      <c r="FU6" s="10">
        <f t="shared" si="9"/>
        <v>0</v>
      </c>
      <c r="FV6" s="10" t="str">
        <f t="shared" si="10"/>
        <v/>
      </c>
      <c r="FW6" s="10" t="str">
        <f>IF(SUM(FS6,FU6)&gt;0,SUM(FS6,FU6),"")</f>
        <v/>
      </c>
      <c r="FX6" s="10">
        <f>IF(SUM(FQ6,FW6)&gt;0,SUM(FQ6,FW6),"")</f>
        <v>19.95</v>
      </c>
    </row>
    <row r="7" spans="1:180" x14ac:dyDescent="0.2">
      <c r="A7" s="3" t="str" cm="1">
        <f t="array" ref="A7">IF(AND(H7&lt;&gt;"",H7&lt;&gt;"No DD"),SUMPRODUCT((H$4:H$8&lt;&gt;"")*(H$4:H$8&lt;&gt;"No DD")*(E$4:E$8&gt;E7))+1,IF(H7="No DD",SUMPRODUCT((H$4:H$8="No DD")*(E$4:E$8&gt;E7))+1+SUMPRODUCT((H$4:H$8&lt;&gt;"")*(H$4:H$8&lt;&gt;"No DD")),""))</f>
        <v/>
      </c>
      <c r="B7" s="4" t="s">
        <v>77</v>
      </c>
      <c r="C7" s="3" t="s">
        <v>4</v>
      </c>
      <c r="D7" s="3">
        <v>2010</v>
      </c>
      <c r="E7" s="8">
        <f>SUM(J7:P7)+SUM(J7:M7)*0.0000001+SUM(J7)*0.0000000000001</f>
        <v>34.100003410003403</v>
      </c>
      <c r="F7" s="2" t="str">
        <f>IF(OR(AND(AO7&lt;&gt;"",AO7&gt;=AV$13,AN7&gt;=AV$10),AND(AU7&lt;&gt;"",AU7&gt;=AV$13,AT7&gt;=AV$10),AND(BS7&lt;&gt;"",BS7&gt;=BZ$13,BR7&gt;=BZ$10),AND(BY7&lt;&gt;"",BY7&gt;=BZ$13,BX7&gt;=BZ$10),AND(DB7&lt;&gt;"",DB7&gt;=DK$13,DA7&gt;=DK$10),AND(DJ7&lt;&gt;"",DJ7&gt;=DK$13,DI7&gt;=DK$10),AND(EK7&lt;&gt;"",EK7&gt;=ET$13,EJ7&gt;=ET$10),AND(ES7&lt;&gt;"",ES7&gt;=ET$13,ER7&gt;=ET$10)),"P","")</f>
        <v/>
      </c>
      <c r="G7" s="2" t="str">
        <f>IF(OR(AND(AO7&lt;&gt;"",AO7&gt;=AV$13),AND(AU7&lt;&gt;"",AU7&gt;=AV$13),AND(BS7&lt;&gt;"",BS7&gt;=BZ$13),AND(BY7&lt;&gt;"",BY7&gt;=BZ$13),AND(DB7&lt;&gt;"",DB7&gt;=DK$13),AND(DJ7&lt;&gt;"",DJ7&gt;=DK$13),AND(EK7&lt;&gt;"",EK7&gt;=ET$13),AND(ES7&lt;&gt;"",ES7&gt;=ET$13)),"P","")</f>
        <v/>
      </c>
      <c r="H7" s="26" t="str">
        <f>IF(AND(G7="P",F7=""),"No DD",IF(OR(AND(AK7&lt;&gt;"",AK7&gt;=AV$15,AJ7&gt;=AV$12),AND(AM7&lt;&gt;"",AM7&gt;=AV$15,AL7&gt;=AV$12),AND(AQ7&lt;&gt;"",AQ7&gt;=AV$15,AP7&gt;=AV$12),AND(AS7&lt;&gt;"",AS7&gt;=AV$15,AR7&gt;=AV$12),AND(BO7&lt;&gt;"",BO7&gt;=BZ$15,BN7&gt;=BZ$12),AND(BQ7&lt;&gt;"",BQ7&gt;=BZ$15,BP7&gt;=BZ$12),AND(BV7&lt;&gt;"",BV7&gt;=BZ$15,BU7&gt;=BZ$12),AND(BX7&lt;&gt;"",BX7&gt;=BZ$15,BW7&gt;=BZ$12),AND(CX7&lt;&gt;"",CX7&gt;=DK$15,CW7&gt;=DK$12),AND(CZ7&lt;&gt;"",CZ7&gt;=DK$15,CY7&gt;=DK$12),AND(DD7&lt;&gt;"",DD7&gt;=DK$15,DC7&gt;=DK$12),AND(DF7&lt;&gt;"",DF7&gt;=DK$15,DE7&gt;=DK$12),AND(DH7&lt;&gt;"",DH7&gt;=DK$15,DG7&gt;=DK$12),AND(EG7&lt;&gt;"",EG7&gt;=ET$15,EF7&gt;=ET$12),AND(EI7&lt;&gt;"",EI7&gt;=ET$15,EH7&gt;=ET$12),AND(EM7&lt;&gt;"",EM7&gt;=ET$15,EL7&gt;=ET$12),AND(EO7&lt;&gt;"",EO7&gt;=ET$15,EN7&gt;=ET$12),AND(EQ7&lt;&gt;"",EQ7&gt;=ET$15,EP7&gt;=ET$12)),"Performance",IF(I7="P","Worlds Team",IF(F7="P","National Team",""))))</f>
        <v/>
      </c>
      <c r="I7" s="2" t="str">
        <f>IF(OR(AND(AO7&lt;&gt;"",AO7&gt;=AV$14,AN7&gt;=AV$11),AND(AU7&lt;&gt;"",AU7&gt;=AV$14,AT7&gt;=AV$11),AND(BS7&lt;&gt;"",BS7&gt;=BZ$14,BR7&gt;=BZ$11),AND(BY7&lt;&gt;"",BY7&gt;=BZ$14,BX7&gt;=BZ$11),AND(DB7&lt;&gt;"",DB7&gt;=DK$14,DA7&gt;=DK$11),AND(DJ7&lt;&gt;"",DJ7&gt;=DK$14,DI7&gt;=DK$11),AND(EK7&lt;&gt;"",EK7&gt;=ET$14,EJ7&gt;=ET$11),AND(ES7&lt;&gt;"",ES7&gt;=ET$14,ER7&gt;=ET$11)),"P","")</f>
        <v/>
      </c>
      <c r="J7" s="7">
        <f>IF(COUNT(AO7,BS7)&gt;0,MAX(AO7,BS7),0)</f>
        <v>34.099999999999994</v>
      </c>
      <c r="K7" s="7" t="str">
        <f>IF(J7=0,"",IF(J7=BS7,$AW$1,IF(J7=AO7,$S$1,"")))</f>
        <v>2025 Nationals</v>
      </c>
      <c r="L7" s="7">
        <f>IF(J7=AO7,IF(COUNT(AQ7,AS7,BO7,BQ7,BU7,BW7)&gt;1,LARGE((AQ7,AS7,BO7,BQ7,BU7,BW7),1),0),IF(COUNT(AK7,AM7,AQ7,AS7,BU7,BW7)&gt;1,LARGE((AK7,AM7,AQ7,AS7,BU7,BW7),1),0))</f>
        <v>0</v>
      </c>
      <c r="M7" s="7" t="str">
        <f>IF(L7=0,"",IF(OR(L7=BO7,L7=BQ7,L7=BU7,L7=BW7),$AW$1,IF(OR(L7=AK7,L7=AM7,L7=AQ7,L7=AS7),$S$1,"")))</f>
        <v/>
      </c>
      <c r="N7" s="7">
        <f>IF(J7=AO7,IF(COUNT(AQ7,AS7,BO7,BQ7,BU7,BW7)&gt;1,LARGE((AQ7,AS7,BO7,BQ7,BU7,BW7),2),0),IF(COUNT(AK7,AM7,AQ7,AS7,BU7,BW7)&gt;1,LARGE((AK7,AM7,AQ7,AS7,BU7,BW7),2),0))</f>
        <v>0</v>
      </c>
      <c r="O7" s="7" t="str">
        <f>IF(N7=0,"",IF(OR(N7=BO7,N7=BQ7,N7=BU7,N7=BW7),$AW$1,IF(OR(N7=AK7,N7=AM7,N7=AQ7,N7=AS7),$S$1,"")))</f>
        <v/>
      </c>
      <c r="P7" s="7" t="str">
        <f>IF(MAX(CA7:CB7)&gt;0,MAX(CA7:CB7),"")</f>
        <v/>
      </c>
      <c r="Q7" s="10" t="str">
        <f>IF(P7="","",IF(P7=CA7,"("&amp;CA$2&amp;")",IF(P7=CB7,"("&amp;CB$2&amp;")")))</f>
        <v/>
      </c>
      <c r="R7" s="7" t="str">
        <f>IF(P7="","",IF(P7=CA7,IF(P7+MAX(J7,0)=EK7,$DL$1,IF(P7+MAX(J7,0)=DB7,$CC$1)),IF(P7=CB7,IF(P7+MAX(N7,0)=MAX(EG7,EI7,EM7,EO7,EQ7),$DL$1,IF(P7+MAX(N7,0)=MAX(CX7,CZ7,DD7,DF7,DH7),$CC$1)))))</f>
        <v/>
      </c>
      <c r="S7" s="39">
        <v>15.8</v>
      </c>
      <c r="T7" s="39">
        <v>0.7</v>
      </c>
      <c r="U7" s="39">
        <v>0</v>
      </c>
      <c r="V7" s="39">
        <v>0</v>
      </c>
      <c r="W7" s="39">
        <v>15.2</v>
      </c>
      <c r="X7" s="39">
        <v>2.4</v>
      </c>
      <c r="Y7" s="39">
        <v>0</v>
      </c>
      <c r="Z7" s="39">
        <v>0</v>
      </c>
      <c r="AA7" s="39"/>
      <c r="AB7" s="39"/>
      <c r="AC7" s="39"/>
      <c r="AD7" s="39"/>
      <c r="AE7" s="39"/>
      <c r="AF7" s="39"/>
      <c r="AG7" s="39"/>
      <c r="AH7" s="39"/>
      <c r="AI7" s="19"/>
      <c r="AJ7" s="42">
        <f>IF(T7="","",T7)</f>
        <v>0.7</v>
      </c>
      <c r="AK7" s="42">
        <f>IF(S7="","",S7+T7+V7-U7)</f>
        <v>16.5</v>
      </c>
      <c r="AL7" s="42">
        <f>IF(X7="","",X7)</f>
        <v>2.4</v>
      </c>
      <c r="AM7" s="42">
        <f>IF(W7="","",W7+X7+Z7-Y7)</f>
        <v>17.599999999999998</v>
      </c>
      <c r="AN7" s="27">
        <f>IF(SUM(T7,X7)&gt;0,SUM(T7,X7),"")</f>
        <v>3.0999999999999996</v>
      </c>
      <c r="AO7" s="27">
        <f>IF(SUM(AK7,AM7)&gt;0,SUM(AK7,AM7),"")</f>
        <v>34.099999999999994</v>
      </c>
      <c r="AP7" s="27" t="str">
        <f>IF(AB7="","",AB7)</f>
        <v/>
      </c>
      <c r="AQ7" s="27" t="str">
        <f>IF(AA7="","",AA7+AB7+AD7-AC7)</f>
        <v/>
      </c>
      <c r="AR7" s="27" t="str">
        <f>IF(AF7="","",AF7)</f>
        <v/>
      </c>
      <c r="AS7" s="27" t="str">
        <f>IF(AE7="","",AE7+AF7+AH7-AG7)</f>
        <v/>
      </c>
      <c r="AT7" s="27" t="str">
        <f>IF(SUM(AB7,AF7)&gt;0,SUM(AB7,AF7),"")</f>
        <v/>
      </c>
      <c r="AU7" s="27" t="str">
        <f>IF(SUM(AQ7,AS7)&gt;0,SUM(AQ7,AS7),"")</f>
        <v/>
      </c>
      <c r="AV7" s="27">
        <f>IF(SUM(AO7,AU7)&gt;0,SUM(AO7,AU7),"")</f>
        <v>34.099999999999994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3" t="str">
        <f>IF(AX7="","",AX7)</f>
        <v/>
      </c>
      <c r="BO7" s="43" t="str">
        <f>IF(AW7="","",AW7+AX7+AZ7-AY7)</f>
        <v/>
      </c>
      <c r="BP7" s="43" t="str">
        <f>IF(BB7="","",BB7)</f>
        <v/>
      </c>
      <c r="BQ7" s="43" t="str">
        <f>IF(BA7="","",BA7+BB7+BD7-BC7)</f>
        <v/>
      </c>
      <c r="BR7" s="10" t="str">
        <f>IF(SUM(AX7,BB7)&gt;0,SUM(AX7,BB7),"")</f>
        <v/>
      </c>
      <c r="BS7" s="10" t="str">
        <f>IF(SUM(BO7,BQ7)&gt;0,SUM(BO7,BQ7),"")</f>
        <v/>
      </c>
      <c r="BT7" s="10" t="str">
        <f>IF(BF7="","",BF7)</f>
        <v/>
      </c>
      <c r="BU7" s="10" t="str">
        <f>IF(BE7="","",BE7+BF7+BH7-BG7)</f>
        <v/>
      </c>
      <c r="BV7" s="10" t="str">
        <f>IF(BJ7="","",BJ7)</f>
        <v/>
      </c>
      <c r="BW7" s="10" t="str">
        <f>IF(BI7="","",BI7+BJ7+BL7-BK7)</f>
        <v/>
      </c>
      <c r="BX7" s="10" t="str">
        <f>IF(SUM(BF7,BJ7)&gt;0,SUM(BF7,BJ7),"")</f>
        <v/>
      </c>
      <c r="BY7" s="10" t="str">
        <f>IF(SUM(BU7,BW7)&gt;0,SUM(BU7,BW7),"")</f>
        <v/>
      </c>
      <c r="BZ7" s="10" t="str">
        <f>IF(SUM(BS7,BY7)&gt;0,SUM(BS7,BY7),"")</f>
        <v/>
      </c>
      <c r="CA7" s="34" t="str">
        <f>IF(MAX(DB7,EK7)-IF(J7="",0,J7)&gt;0.001,MAX(DB7,EK7)-IF(J7="",0,J7),"")</f>
        <v/>
      </c>
      <c r="CB7" s="34" t="str">
        <f>IF(MAX(CX7,CZ7,DD7,DF7,DH7,EG7,EI7,EM7,EO7)-IF(N7="",0,N7)&gt;0.001,MAX(CX7,CZ7,DD7,DF7,DH7,EG7,EI7,EM7,EO7)-IF(N7="",0,N7),"")</f>
        <v/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>IF(CD7="","",CD7)</f>
        <v/>
      </c>
      <c r="CX7" s="27" t="str">
        <f>IF(CC7="","",CC7+CD7+CF7-CE7)</f>
        <v/>
      </c>
      <c r="CY7" s="27" t="str">
        <f>IF(CH7="","",CH7)</f>
        <v/>
      </c>
      <c r="CZ7" s="27" t="str">
        <f>IF(CG7="","",CG7+CH7+CJ7-CI7)</f>
        <v/>
      </c>
      <c r="DA7" s="27" t="str">
        <f t="shared" si="0"/>
        <v/>
      </c>
      <c r="DB7" s="27" t="str">
        <f t="shared" si="0"/>
        <v/>
      </c>
      <c r="DC7" s="27" t="str">
        <f>IF(CL7="","",CL7)</f>
        <v/>
      </c>
      <c r="DD7" s="27" t="str">
        <f>IF(CK7="","",CK7+CL7+CN7-CM7)</f>
        <v/>
      </c>
      <c r="DE7" s="27" t="str">
        <f>IF(CP7="","",CP7)</f>
        <v/>
      </c>
      <c r="DF7" s="27" t="str">
        <f>IF(CO7="","",CO7+CP7+CR7-CQ7)</f>
        <v/>
      </c>
      <c r="DG7" s="27" t="str">
        <f>IF(CT7="","",CT7)</f>
        <v/>
      </c>
      <c r="DH7" s="27" t="str">
        <f>IF(CS7="","",CS7+CT7+CV7-CU7)</f>
        <v/>
      </c>
      <c r="DI7" s="27" t="str">
        <f t="shared" si="1"/>
        <v/>
      </c>
      <c r="DJ7" s="27" t="str">
        <f t="shared" si="1"/>
        <v/>
      </c>
      <c r="DK7" s="27" t="str">
        <f>IF(DB7="","",SUM(DB7,DD7,DH7))</f>
        <v/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>IF(DM7="","",DM7)</f>
        <v/>
      </c>
      <c r="EG7" s="10" t="str">
        <f>IF(DL7="","",DL7+DM7+DO7-DN7)</f>
        <v/>
      </c>
      <c r="EH7" s="10" t="str">
        <f>IF(DQ7="","",DQ7)</f>
        <v/>
      </c>
      <c r="EI7" s="10" t="str">
        <f>IF(DP7="","",DP7+DQ7+DS7-DR7)</f>
        <v/>
      </c>
      <c r="EJ7" s="10" t="str">
        <f t="shared" si="2"/>
        <v/>
      </c>
      <c r="EK7" s="10" t="str">
        <f t="shared" si="2"/>
        <v/>
      </c>
      <c r="EL7" s="10" t="str">
        <f>IF(DU7="","",DU7)</f>
        <v/>
      </c>
      <c r="EM7" s="10" t="str">
        <f>IF(DT7="","",DT7+DU7+DW7-DV7)</f>
        <v/>
      </c>
      <c r="EN7" s="10" t="str">
        <f>IF(DY7="","",DY7)</f>
        <v/>
      </c>
      <c r="EO7" s="10" t="str">
        <f>IF(DX7="","",DX7+DY7+EA7-DZ7)</f>
        <v/>
      </c>
      <c r="EP7" s="10" t="str">
        <f>IF(EC7="","",EC7)</f>
        <v/>
      </c>
      <c r="EQ7" s="10" t="str">
        <f>IF(EB7="","",EB7+EC7+EE7-ED7)</f>
        <v/>
      </c>
      <c r="ER7" s="10" t="str">
        <f t="shared" si="3"/>
        <v/>
      </c>
      <c r="ES7" s="10" t="str">
        <f t="shared" si="3"/>
        <v/>
      </c>
      <c r="ET7" s="10" t="str">
        <f>IF(EK7="","",SUM(EK7,EM7,EQ7))</f>
        <v/>
      </c>
      <c r="EU7" s="44">
        <f t="shared" si="4"/>
        <v>7.9</v>
      </c>
      <c r="EV7" s="44">
        <f t="shared" si="4"/>
        <v>0.35</v>
      </c>
      <c r="EW7" s="44">
        <f t="shared" si="4"/>
        <v>0</v>
      </c>
      <c r="EX7" s="44">
        <f t="shared" si="4"/>
        <v>0</v>
      </c>
      <c r="EY7" s="44">
        <f t="shared" si="4"/>
        <v>7.6</v>
      </c>
      <c r="EZ7" s="44">
        <f t="shared" si="4"/>
        <v>1.2</v>
      </c>
      <c r="FA7" s="44">
        <f t="shared" si="4"/>
        <v>0</v>
      </c>
      <c r="FB7" s="44">
        <f t="shared" si="4"/>
        <v>0</v>
      </c>
      <c r="FC7" s="44">
        <f t="shared" si="4"/>
        <v>0</v>
      </c>
      <c r="FD7" s="44">
        <f t="shared" si="4"/>
        <v>0</v>
      </c>
      <c r="FE7" s="44">
        <f t="shared" si="4"/>
        <v>0</v>
      </c>
      <c r="FF7" s="44">
        <f t="shared" si="4"/>
        <v>0</v>
      </c>
      <c r="FG7" s="44">
        <f t="shared" si="4"/>
        <v>0</v>
      </c>
      <c r="FH7" s="44">
        <f t="shared" si="4"/>
        <v>0</v>
      </c>
      <c r="FI7" s="44">
        <f t="shared" si="4"/>
        <v>0</v>
      </c>
      <c r="FJ7" s="44">
        <f t="shared" si="4"/>
        <v>0</v>
      </c>
      <c r="FK7" s="20" t="s">
        <v>29</v>
      </c>
      <c r="FL7" s="10">
        <f>IF(EV7="","",EV7)</f>
        <v>0.35</v>
      </c>
      <c r="FM7" s="10">
        <f>IF(EU7="","",EU7+EV7+EX7-EW7)</f>
        <v>8.25</v>
      </c>
      <c r="FN7" s="10">
        <f>IF(EZ7="","",EZ7)</f>
        <v>1.2</v>
      </c>
      <c r="FO7" s="10">
        <f>IF(EY7="","",EY7+EZ7+FB7-FA7)</f>
        <v>8.7999999999999989</v>
      </c>
      <c r="FP7" s="10">
        <f>IF(SUM(EV7,EZ7)&gt;0,SUM(EV7,EZ7),"")</f>
        <v>1.5499999999999998</v>
      </c>
      <c r="FQ7" s="10">
        <f t="shared" si="5"/>
        <v>17.049999999999997</v>
      </c>
      <c r="FR7" s="10">
        <f t="shared" si="6"/>
        <v>0</v>
      </c>
      <c r="FS7" s="10">
        <f t="shared" si="7"/>
        <v>0</v>
      </c>
      <c r="FT7" s="10">
        <f t="shared" si="8"/>
        <v>0</v>
      </c>
      <c r="FU7" s="10">
        <f t="shared" si="9"/>
        <v>0</v>
      </c>
      <c r="FV7" s="10" t="str">
        <f t="shared" si="10"/>
        <v/>
      </c>
      <c r="FW7" s="10" t="str">
        <f>IF(SUM(FS7,FU7)&gt;0,SUM(FS7,FU7),"")</f>
        <v/>
      </c>
      <c r="FX7" s="10">
        <f>IF(SUM(FQ7,FW7)&gt;0,SUM(FQ7,FW7),"")</f>
        <v>17.049999999999997</v>
      </c>
    </row>
    <row r="8" spans="1:180" ht="17" x14ac:dyDescent="0.2">
      <c r="P8" s="9"/>
      <c r="Q8" s="9"/>
      <c r="R8" s="9"/>
    </row>
    <row r="9" spans="1:180" ht="17" x14ac:dyDescent="0.2">
      <c r="P9" s="9"/>
      <c r="Q9" s="9"/>
      <c r="R9" s="9"/>
    </row>
    <row r="10" spans="1:180" ht="17" x14ac:dyDescent="0.2">
      <c r="B10" s="17" t="s">
        <v>27</v>
      </c>
      <c r="P10" s="9"/>
      <c r="Q10" s="9"/>
      <c r="R10" s="9"/>
      <c r="AV10" s="28">
        <v>9.6</v>
      </c>
      <c r="BZ10" s="28">
        <v>9.6</v>
      </c>
      <c r="CW10" s="3"/>
      <c r="CX10" s="3"/>
      <c r="CY10" s="3"/>
      <c r="CZ10" s="3"/>
      <c r="DA10" s="3"/>
      <c r="DK10" s="28">
        <v>9.6</v>
      </c>
      <c r="EF10" s="3"/>
      <c r="EG10" s="3"/>
      <c r="EH10" s="3"/>
      <c r="EI10" s="3"/>
      <c r="EJ10" s="3"/>
      <c r="EK10" s="3"/>
      <c r="EL10" s="3"/>
      <c r="ET10" s="28">
        <v>9.6</v>
      </c>
    </row>
    <row r="11" spans="1:180" ht="17" hidden="1" x14ac:dyDescent="0.2">
      <c r="B11" s="22" t="s">
        <v>26</v>
      </c>
      <c r="P11" s="9"/>
      <c r="Q11" s="9"/>
      <c r="R11" s="9"/>
      <c r="AV11" s="40">
        <v>1000</v>
      </c>
      <c r="BZ11" s="40">
        <v>1000</v>
      </c>
      <c r="CW11" s="3"/>
      <c r="CX11" s="3"/>
      <c r="CY11" s="3"/>
      <c r="CZ11" s="3"/>
      <c r="DA11" s="3"/>
      <c r="DK11" s="40">
        <v>1000</v>
      </c>
      <c r="EF11" s="3"/>
      <c r="EG11" s="3"/>
      <c r="EH11" s="3"/>
      <c r="EI11" s="3"/>
      <c r="EJ11" s="3"/>
      <c r="EK11" s="3"/>
      <c r="EL11" s="3"/>
      <c r="ET11" s="40">
        <v>1000</v>
      </c>
    </row>
    <row r="12" spans="1:180" ht="17" hidden="1" x14ac:dyDescent="0.2">
      <c r="A12" s="4"/>
      <c r="B12" s="23" t="s">
        <v>125</v>
      </c>
      <c r="C12" s="16"/>
      <c r="P12" s="9"/>
      <c r="Q12" s="9"/>
      <c r="R12" s="9"/>
      <c r="AV12" s="29">
        <v>1000</v>
      </c>
      <c r="BZ12" s="29">
        <v>1000</v>
      </c>
      <c r="CW12" s="3"/>
      <c r="CX12" s="3"/>
      <c r="CY12" s="3"/>
      <c r="CZ12" s="3"/>
      <c r="DA12" s="3"/>
      <c r="DK12" s="29">
        <v>1000</v>
      </c>
      <c r="EF12" s="3"/>
      <c r="EG12" s="3"/>
      <c r="EH12" s="3"/>
      <c r="EI12" s="3"/>
      <c r="EJ12" s="3"/>
      <c r="EK12" s="3"/>
      <c r="EL12" s="3"/>
      <c r="ET12" s="29">
        <v>1000</v>
      </c>
    </row>
    <row r="13" spans="1:180" ht="17" x14ac:dyDescent="0.2">
      <c r="A13" s="4"/>
      <c r="B13" s="25" t="s">
        <v>24</v>
      </c>
      <c r="C13" s="16"/>
      <c r="P13" s="9"/>
      <c r="Q13" s="9"/>
      <c r="R13" s="9"/>
      <c r="AV13" s="30">
        <v>46</v>
      </c>
      <c r="BZ13" s="30">
        <v>46</v>
      </c>
      <c r="CW13" s="3"/>
      <c r="CX13" s="3"/>
      <c r="CY13" s="3"/>
      <c r="CZ13" s="3"/>
      <c r="DA13" s="3"/>
      <c r="DK13" s="30">
        <v>46.9</v>
      </c>
      <c r="EF13" s="3"/>
      <c r="EG13" s="3"/>
      <c r="EH13" s="3"/>
      <c r="EI13" s="3"/>
      <c r="EJ13" s="3"/>
      <c r="EK13" s="3"/>
      <c r="EL13" s="3"/>
      <c r="ET13" s="30">
        <v>46.9</v>
      </c>
    </row>
    <row r="14" spans="1:180" ht="17" hidden="1" x14ac:dyDescent="0.2">
      <c r="A14" s="4"/>
      <c r="B14" s="18" t="s">
        <v>25</v>
      </c>
      <c r="C14" s="16"/>
      <c r="P14" s="9"/>
      <c r="Q14" s="9"/>
      <c r="R14" s="9"/>
      <c r="AV14" s="31">
        <v>1000</v>
      </c>
      <c r="BZ14" s="31">
        <v>1000</v>
      </c>
      <c r="CW14" s="3"/>
      <c r="CX14" s="3"/>
      <c r="CY14" s="3"/>
      <c r="CZ14" s="3"/>
      <c r="DA14" s="3"/>
      <c r="DK14" s="31">
        <v>1000</v>
      </c>
      <c r="EF14" s="3"/>
      <c r="EG14" s="3"/>
      <c r="EH14" s="3"/>
      <c r="EI14" s="3"/>
      <c r="EJ14" s="3"/>
      <c r="EK14" s="3"/>
      <c r="EL14" s="3"/>
      <c r="ET14" s="31">
        <v>1000</v>
      </c>
    </row>
    <row r="15" spans="1:180" ht="17" hidden="1" x14ac:dyDescent="0.2">
      <c r="A15" s="4"/>
      <c r="B15" s="24" t="s">
        <v>124</v>
      </c>
      <c r="C15" s="16"/>
      <c r="P15" s="9"/>
      <c r="Q15" s="9"/>
      <c r="R15" s="9"/>
      <c r="AV15" s="32">
        <v>1000</v>
      </c>
      <c r="BZ15" s="32">
        <v>1000</v>
      </c>
      <c r="CW15" s="3"/>
      <c r="CX15" s="3"/>
      <c r="CY15" s="3"/>
      <c r="CZ15" s="3"/>
      <c r="DA15" s="3"/>
      <c r="DK15" s="32">
        <v>1000</v>
      </c>
      <c r="EF15" s="3"/>
      <c r="EG15" s="3"/>
      <c r="EH15" s="3"/>
      <c r="EI15" s="3"/>
      <c r="EJ15" s="3"/>
      <c r="EK15" s="3"/>
      <c r="EL15" s="3"/>
      <c r="ET15" s="32">
        <v>1000</v>
      </c>
    </row>
    <row r="16" spans="1:180" x14ac:dyDescent="0.2">
      <c r="B16" s="21" t="s">
        <v>30</v>
      </c>
      <c r="C16" s="1"/>
    </row>
    <row r="17" spans="1:3" x14ac:dyDescent="0.2">
      <c r="A17" s="4"/>
      <c r="B17" s="4"/>
      <c r="C17" s="16"/>
    </row>
    <row r="18" spans="1:3" x14ac:dyDescent="0.2">
      <c r="A18" s="4"/>
      <c r="B18" s="4"/>
      <c r="C18" s="16"/>
    </row>
    <row r="19" spans="1:3" x14ac:dyDescent="0.2">
      <c r="A19" s="4"/>
      <c r="B19" s="4"/>
      <c r="C19" s="16"/>
    </row>
    <row r="20" spans="1:3" x14ac:dyDescent="0.2">
      <c r="A20" s="4"/>
      <c r="B20" s="4"/>
      <c r="C20" s="4"/>
    </row>
    <row r="23" spans="1:3" x14ac:dyDescent="0.2">
      <c r="B23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7">
      <sortCondition descending="1" ref="F1:F8"/>
    </sortState>
  </autoFilter>
  <mergeCells count="46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EU2:EX2"/>
    <mergeCell ref="EY2:FB2"/>
    <mergeCell ref="FC2:FF2"/>
    <mergeCell ref="FG2:FJ2"/>
    <mergeCell ref="CS2:CV2"/>
    <mergeCell ref="DL2:DO2"/>
    <mergeCell ref="DP2:DS2"/>
    <mergeCell ref="DT2:DW2"/>
    <mergeCell ref="DX2:EA2"/>
    <mergeCell ref="EB2:EE2"/>
  </mergeCells>
  <conditionalFormatting sqref="A4:A1048576">
    <cfRule type="expression" dxfId="42" priority="44">
      <formula>IF(A4&gt;4,1,0)</formula>
    </cfRule>
    <cfRule type="expression" dxfId="41" priority="45" stopIfTrue="1">
      <formula>AND(G4="P",F4="")</formula>
    </cfRule>
  </conditionalFormatting>
  <conditionalFormatting sqref="H1:H1048576">
    <cfRule type="containsText" dxfId="40" priority="40" stopIfTrue="1" operator="containsText" text="National Team">
      <formula>NOT(ISERROR(SEARCH("National Team",H1)))</formula>
    </cfRule>
    <cfRule type="containsText" dxfId="39" priority="41" stopIfTrue="1" operator="containsText" text="Worlds Team">
      <formula>NOT(ISERROR(SEARCH("Worlds Team",H1)))</formula>
    </cfRule>
    <cfRule type="containsText" dxfId="38" priority="42" operator="containsText" text="Performance">
      <formula>NOT(ISERROR(SEARCH("Performance",H1)))</formula>
    </cfRule>
    <cfRule type="containsText" dxfId="37" priority="43" stopIfTrue="1" operator="containsText" text="No DD">
      <formula>NOT(ISERROR(SEARCH("No DD",H1)))</formula>
    </cfRule>
  </conditionalFormatting>
  <conditionalFormatting sqref="S4:AV7">
    <cfRule type="expression" dxfId="36" priority="39" stopIfTrue="1">
      <formula>IF($AI4&lt;&gt;"",1,0)</formula>
    </cfRule>
  </conditionalFormatting>
  <conditionalFormatting sqref="AW4:BZ7">
    <cfRule type="expression" dxfId="35" priority="38" stopIfTrue="1">
      <formula>IF($BM4&lt;&gt;"",1,0)</formula>
    </cfRule>
  </conditionalFormatting>
  <conditionalFormatting sqref="M1:M1048576 O1:O1048576 K1:K1048576">
    <cfRule type="expression" dxfId="34" priority="36" stopIfTrue="1">
      <formula>IF(K1=$AW$1,1,0)</formula>
    </cfRule>
    <cfRule type="expression" dxfId="33" priority="37" stopIfTrue="1">
      <formula>IF(K1=$S$1,1,0)</formula>
    </cfRule>
  </conditionalFormatting>
  <conditionalFormatting sqref="AJ1:AJ1048576 BN1:BN1048576 CY1:CY1048576 EH1:EH1048576">
    <cfRule type="cellIs" dxfId="32" priority="176801" stopIfTrue="1" operator="between">
      <formula>AV$12-0.00001</formula>
      <formula>1000</formula>
    </cfRule>
  </conditionalFormatting>
  <conditionalFormatting sqref="AN1:AN1048576 BR1:BR1048576">
    <cfRule type="cellIs" dxfId="31" priority="176807" operator="between">
      <formula>AV$10-0.00001</formula>
      <formula>AV$11-0.00001</formula>
    </cfRule>
    <cfRule type="cellIs" dxfId="30" priority="176808" operator="between">
      <formula>AV$11-0.00001</formula>
      <formula>1000</formula>
    </cfRule>
  </conditionalFormatting>
  <conditionalFormatting sqref="AT1:AT1048576 BX1:BX1048576">
    <cfRule type="cellIs" dxfId="29" priority="176819" operator="between">
      <formula>AV$11-0.00001</formula>
      <formula>1000</formula>
    </cfRule>
    <cfRule type="cellIs" dxfId="28" priority="176820" stopIfTrue="1" operator="between">
      <formula>AV$10-0.00001</formula>
      <formula>AV$11-0.00001</formula>
    </cfRule>
  </conditionalFormatting>
  <conditionalFormatting sqref="AL1:AL1048576 BP1:BP1048576">
    <cfRule type="cellIs" dxfId="27" priority="176831" operator="between">
      <formula>AV$12-0.00001</formula>
      <formula>1000</formula>
    </cfRule>
  </conditionalFormatting>
  <conditionalFormatting sqref="AP1:AP1048576 BT1:BT1048576 DE1:DE1048576 EN1:EN1048576">
    <cfRule type="cellIs" dxfId="26" priority="176837" operator="between">
      <formula>AV$12-0.00001</formula>
      <formula>1000</formula>
    </cfRule>
  </conditionalFormatting>
  <conditionalFormatting sqref="AR1:AR1048576 BV1:BV1048576">
    <cfRule type="cellIs" dxfId="25" priority="176843" operator="between">
      <formula>AV$12-0.00001</formula>
      <formula>1000</formula>
    </cfRule>
  </conditionalFormatting>
  <conditionalFormatting sqref="AK1:AK1048576 BO1:BO1048576">
    <cfRule type="cellIs" dxfId="24" priority="176849" operator="between">
      <formula>AV$15-0.00001</formula>
      <formula>1000</formula>
    </cfRule>
  </conditionalFormatting>
  <conditionalFormatting sqref="AO1:AO1048576 BS1:BS1048576">
    <cfRule type="cellIs" dxfId="23" priority="176855" operator="between">
      <formula>AV$13-0.00001</formula>
      <formula>AV$14-0.00001</formula>
    </cfRule>
    <cfRule type="cellIs" dxfId="22" priority="176856" operator="between">
      <formula>AV$14-0.00001</formula>
      <formula>1000</formula>
    </cfRule>
  </conditionalFormatting>
  <conditionalFormatting sqref="AU1:AU1048576 BY1:BY1048576">
    <cfRule type="cellIs" dxfId="21" priority="176867" stopIfTrue="1" operator="between">
      <formula>AV$14-0.00001</formula>
      <formula>1000</formula>
    </cfRule>
    <cfRule type="cellIs" dxfId="20" priority="176868" operator="between">
      <formula>AV$13-0.00001</formula>
      <formula>AV$14-0.00001</formula>
    </cfRule>
  </conditionalFormatting>
  <conditionalFormatting sqref="AM1:AM1048576 BQ1:BQ1048576">
    <cfRule type="cellIs" dxfId="19" priority="176879" stopIfTrue="1" operator="between">
      <formula>AV$15-0.00001</formula>
      <formula>1000</formula>
    </cfRule>
    <cfRule type="cellIs" dxfId="18" priority="176880" operator="between">
      <formula>AT$15-0.00001</formula>
      <formula>#REF!-0.00001</formula>
    </cfRule>
  </conditionalFormatting>
  <conditionalFormatting sqref="AQ1:AQ1048576 BU1:BU1048576">
    <cfRule type="cellIs" dxfId="17" priority="176891" stopIfTrue="1" operator="between">
      <formula>AV$15-0.00001</formula>
      <formula>1000</formula>
    </cfRule>
  </conditionalFormatting>
  <conditionalFormatting sqref="AS1:AS1048576 BW1:BW1048576">
    <cfRule type="cellIs" dxfId="16" priority="176897" stopIfTrue="1" operator="between">
      <formula>AV$15-0.00001</formula>
      <formula>1000</formula>
    </cfRule>
  </conditionalFormatting>
  <conditionalFormatting sqref="CW1:CW1048576 EF1:EF1048576">
    <cfRule type="cellIs" dxfId="15" priority="176903" operator="between">
      <formula>DK$12-0.00001</formula>
      <formula>1000</formula>
    </cfRule>
  </conditionalFormatting>
  <conditionalFormatting sqref="CX1:CX1048576 EG1:EG1048576">
    <cfRule type="cellIs" dxfId="14" priority="176909" operator="between">
      <formula>DK$15-0.00001</formula>
      <formula>1000</formula>
    </cfRule>
  </conditionalFormatting>
  <conditionalFormatting sqref="DA1:DA1048576 EJ1:EJ1048576">
    <cfRule type="cellIs" dxfId="13" priority="176915" stopIfTrue="1" operator="between">
      <formula>DK$10-0.00001</formula>
      <formula>DK$11-0.00001</formula>
    </cfRule>
    <cfRule type="cellIs" dxfId="12" priority="176916" operator="between">
      <formula>DK$11-0.00001</formula>
      <formula>1000</formula>
    </cfRule>
  </conditionalFormatting>
  <conditionalFormatting sqref="DB1:DB1048576 EK1:EK1048576">
    <cfRule type="cellIs" dxfId="11" priority="176927" operator="between">
      <formula>DK$13-0.00001</formula>
      <formula>DK$14-0.00001</formula>
    </cfRule>
    <cfRule type="cellIs" dxfId="10" priority="176928" stopIfTrue="1" operator="between">
      <formula>DK$14-0.00001</formula>
      <formula>1000</formula>
    </cfRule>
  </conditionalFormatting>
  <conditionalFormatting sqref="DC1:DC1048576 EL1:EL1048576">
    <cfRule type="cellIs" dxfId="9" priority="176945" operator="between">
      <formula>DK$12-0.00001</formula>
      <formula>1000</formula>
    </cfRule>
  </conditionalFormatting>
  <conditionalFormatting sqref="DG1:DG1048576 EP1:EP1048576">
    <cfRule type="cellIs" dxfId="8" priority="176957" stopIfTrue="1" operator="between">
      <formula>DK$12-0.00001</formula>
      <formula>1000</formula>
    </cfRule>
  </conditionalFormatting>
  <conditionalFormatting sqref="CZ1:CZ1048576 EI1:EI1048576">
    <cfRule type="cellIs" dxfId="7" priority="176963" stopIfTrue="1" operator="between">
      <formula>DK$15-0.00001</formula>
      <formula>1000</formula>
    </cfRule>
  </conditionalFormatting>
  <conditionalFormatting sqref="DD1:DD1048576 EM1:EM1048576">
    <cfRule type="cellIs" dxfId="6" priority="176969" operator="between">
      <formula>DK$15-0.00001</formula>
      <formula>1000</formula>
    </cfRule>
  </conditionalFormatting>
  <conditionalFormatting sqref="DF1:DF1048576 EO1:EO1048576">
    <cfRule type="cellIs" dxfId="5" priority="176975" operator="between">
      <formula>DK$15-0.00001</formula>
      <formula>1000</formula>
    </cfRule>
  </conditionalFormatting>
  <conditionalFormatting sqref="DH1:DH1048576 EQ1:EQ1048576">
    <cfRule type="cellIs" dxfId="4" priority="176981" operator="between">
      <formula>DK$15-0.00001</formula>
      <formula>1000</formula>
    </cfRule>
  </conditionalFormatting>
  <conditionalFormatting sqref="DI1:DI1048576 ER1:ER1048576">
    <cfRule type="cellIs" dxfId="3" priority="176987" operator="between">
      <formula>DK$11-0.00001</formula>
      <formula>1000</formula>
    </cfRule>
    <cfRule type="cellIs" dxfId="2" priority="176988" operator="between">
      <formula>DK$10-0.00001</formula>
      <formula>DK$11-0.00001</formula>
    </cfRule>
  </conditionalFormatting>
  <conditionalFormatting sqref="DJ1:DJ1048576 ES1:ES1048576">
    <cfRule type="cellIs" dxfId="1" priority="176999" operator="between">
      <formula>DK$13-0.00001</formula>
      <formula>DK$14-0.00001</formula>
    </cfRule>
    <cfRule type="cellIs" dxfId="0" priority="177000" operator="between">
      <formula>DK$14-0.00001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Senior-M</vt:lpstr>
      <vt:lpstr>Senior-W</vt:lpstr>
      <vt:lpstr>Development-M</vt:lpstr>
      <vt:lpstr>Development-W</vt:lpstr>
      <vt:lpstr>Junior-M</vt:lpstr>
      <vt:lpstr>Junior-W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2026-03-14T00:09:57Z</dcterms:modified>
</cp:coreProperties>
</file>