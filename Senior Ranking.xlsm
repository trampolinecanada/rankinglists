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5A6A24D-AE51-EE41-8E0B-F1AE6CE9151D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state="hidden" r:id="rId4"/>
    <sheet name="SYN-W" sheetId="24" state="hidden" r:id="rId5"/>
    <sheet name="SYN-X" sheetId="28" state="hidden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5" i="21" l="1"/>
  <c r="R5" i="21"/>
  <c r="Q6" i="21"/>
  <c r="R6" i="21"/>
  <c r="Q7" i="21"/>
  <c r="R7" i="21"/>
  <c r="Q8" i="21"/>
  <c r="R8" i="21"/>
  <c r="Q9" i="21"/>
  <c r="R9" i="21"/>
  <c r="Q10" i="21"/>
  <c r="R10" i="21"/>
  <c r="Q11" i="21"/>
  <c r="R11" i="21"/>
  <c r="Q12" i="21"/>
  <c r="R12" i="21"/>
  <c r="Q13" i="21"/>
  <c r="R13" i="21"/>
  <c r="Q14" i="21"/>
  <c r="R14" i="21"/>
  <c r="Q15" i="21"/>
  <c r="R15" i="21"/>
  <c r="Q16" i="21"/>
  <c r="R16" i="21"/>
  <c r="Q17" i="21"/>
  <c r="R17" i="21"/>
  <c r="Q18" i="21"/>
  <c r="R18" i="21"/>
  <c r="Q19" i="21"/>
  <c r="R19" i="21"/>
  <c r="Q20" i="21"/>
  <c r="R20" i="21"/>
  <c r="Q21" i="21"/>
  <c r="R21" i="21"/>
  <c r="Q22" i="21"/>
  <c r="R22" i="21"/>
  <c r="Q23" i="21"/>
  <c r="R23" i="21"/>
  <c r="Q24" i="21"/>
  <c r="R24" i="21"/>
  <c r="Q25" i="21"/>
  <c r="R25" i="21"/>
  <c r="Q26" i="21"/>
  <c r="R26" i="21"/>
  <c r="R4" i="21"/>
  <c r="Q4" i="21"/>
  <c r="Q5" i="19"/>
  <c r="R5" i="19"/>
  <c r="Q6" i="19"/>
  <c r="R6" i="19"/>
  <c r="Q7" i="19"/>
  <c r="R7" i="19"/>
  <c r="Q8" i="19"/>
  <c r="R8" i="19"/>
  <c r="Q9" i="19"/>
  <c r="R9" i="19"/>
  <c r="Q10" i="19"/>
  <c r="R10" i="19"/>
  <c r="Q11" i="19"/>
  <c r="R11" i="19"/>
  <c r="Q12" i="19"/>
  <c r="R12" i="19"/>
  <c r="Q13" i="19"/>
  <c r="R13" i="19"/>
  <c r="Q14" i="19"/>
  <c r="R14" i="19"/>
  <c r="Q15" i="19"/>
  <c r="R15" i="19"/>
  <c r="Q16" i="19"/>
  <c r="R16" i="19"/>
  <c r="Q17" i="19"/>
  <c r="R17" i="19"/>
  <c r="Q18" i="19"/>
  <c r="R18" i="19"/>
  <c r="Q19" i="19"/>
  <c r="R19" i="19"/>
  <c r="Q20" i="19"/>
  <c r="R20" i="19"/>
  <c r="Q21" i="19"/>
  <c r="R21" i="19"/>
  <c r="Q22" i="19"/>
  <c r="R22" i="19"/>
  <c r="Q23" i="19"/>
  <c r="R23" i="19"/>
  <c r="Q24" i="19"/>
  <c r="R24" i="19"/>
  <c r="Q25" i="19"/>
  <c r="R25" i="19"/>
  <c r="Q26" i="19"/>
  <c r="R26" i="19"/>
  <c r="Q27" i="19"/>
  <c r="R27" i="19"/>
  <c r="Q28" i="19"/>
  <c r="R28" i="19"/>
  <c r="Q29" i="19"/>
  <c r="R29" i="19"/>
  <c r="Q30" i="19"/>
  <c r="R30" i="19"/>
  <c r="Q31" i="19"/>
  <c r="R31" i="19"/>
  <c r="Q32" i="19"/>
  <c r="R32" i="19"/>
  <c r="Q33" i="19"/>
  <c r="R33" i="19"/>
  <c r="Q5" i="27"/>
  <c r="R5" i="27"/>
  <c r="Q6" i="27"/>
  <c r="R6" i="27"/>
  <c r="Q7" i="27"/>
  <c r="R7" i="27"/>
  <c r="Q8" i="27"/>
  <c r="R8" i="27"/>
  <c r="Q9" i="27"/>
  <c r="R9" i="27"/>
  <c r="Q10" i="27"/>
  <c r="R10" i="27"/>
  <c r="Q11" i="27"/>
  <c r="R11" i="27"/>
  <c r="Q12" i="27"/>
  <c r="R12" i="27"/>
  <c r="Q13" i="27"/>
  <c r="R13" i="27"/>
  <c r="Q14" i="27"/>
  <c r="R14" i="27"/>
  <c r="Q15" i="27"/>
  <c r="R15" i="27"/>
  <c r="Q16" i="27"/>
  <c r="R16" i="27"/>
  <c r="Q17" i="27"/>
  <c r="R17" i="27"/>
  <c r="R4" i="27"/>
  <c r="Q4" i="27"/>
  <c r="R5" i="26"/>
  <c r="R6" i="26"/>
  <c r="R7" i="26"/>
  <c r="R8" i="26"/>
  <c r="R9" i="26"/>
  <c r="R10" i="26"/>
  <c r="R11" i="26"/>
  <c r="R12" i="26"/>
  <c r="R13" i="26"/>
  <c r="R14" i="26"/>
  <c r="R4" i="26"/>
  <c r="Q5" i="26"/>
  <c r="Q6" i="26"/>
  <c r="Q7" i="26"/>
  <c r="Q8" i="26"/>
  <c r="Q9" i="26"/>
  <c r="Q10" i="26"/>
  <c r="Q11" i="26"/>
  <c r="Q12" i="26"/>
  <c r="Q13" i="26"/>
  <c r="Q14" i="26"/>
  <c r="Q4" i="26"/>
  <c r="WZ8" i="28"/>
  <c r="WY8" i="28"/>
  <c r="XJ8" i="28" s="1"/>
  <c r="WX8" i="28"/>
  <c r="XI8" i="28" s="1"/>
  <c r="WW8" i="28"/>
  <c r="WV8" i="28"/>
  <c r="WU8" i="28"/>
  <c r="WT8" i="28"/>
  <c r="XF8" i="28" s="1"/>
  <c r="WS8" i="28"/>
  <c r="XE8" i="28" s="1"/>
  <c r="WR8" i="28"/>
  <c r="WQ8" i="28"/>
  <c r="XG8" i="28" s="1"/>
  <c r="WP8" i="28"/>
  <c r="WO8" i="28"/>
  <c r="XC8" i="28" s="1"/>
  <c r="WN8" i="28"/>
  <c r="XB8" i="28" s="1"/>
  <c r="WM8" i="28"/>
  <c r="WL8" i="28"/>
  <c r="WJ8" i="28"/>
  <c r="WI8" i="28"/>
  <c r="WH8" i="28"/>
  <c r="WG8" i="28"/>
  <c r="WF8" i="28"/>
  <c r="WE8" i="28"/>
  <c r="WC8" i="28"/>
  <c r="WB8" i="28"/>
  <c r="WA8" i="28"/>
  <c r="VZ8" i="28"/>
  <c r="VY8" i="28"/>
  <c r="VX8" i="28"/>
  <c r="VB8" i="28"/>
  <c r="VA8" i="28"/>
  <c r="UZ8" i="28"/>
  <c r="UY8" i="28"/>
  <c r="UX8" i="28"/>
  <c r="UW8" i="28"/>
  <c r="UU8" i="28"/>
  <c r="UT8" i="28"/>
  <c r="US8" i="28"/>
  <c r="UR8" i="28"/>
  <c r="UV8" i="28" s="1"/>
  <c r="UQ8" i="28"/>
  <c r="UP8" i="28"/>
  <c r="TT8" i="28"/>
  <c r="TS8" i="28"/>
  <c r="TR8" i="28"/>
  <c r="TQ8" i="28"/>
  <c r="TP8" i="28"/>
  <c r="TO8" i="28"/>
  <c r="TM8" i="28"/>
  <c r="TL8" i="28"/>
  <c r="TK8" i="28"/>
  <c r="TJ8" i="28"/>
  <c r="TN8" i="28" s="1"/>
  <c r="TI8" i="28"/>
  <c r="TH8" i="28"/>
  <c r="SL8" i="28"/>
  <c r="SK8" i="28"/>
  <c r="SJ8" i="28"/>
  <c r="SI8" i="28"/>
  <c r="SH8" i="28"/>
  <c r="SG8" i="28"/>
  <c r="SE8" i="28"/>
  <c r="SD8" i="28"/>
  <c r="SC8" i="28"/>
  <c r="SB8" i="28"/>
  <c r="SF8" i="28" s="1"/>
  <c r="SA8" i="28"/>
  <c r="RZ8" i="28"/>
  <c r="RD8" i="28"/>
  <c r="RC8" i="28"/>
  <c r="RB8" i="28"/>
  <c r="RA8" i="28"/>
  <c r="QZ8" i="28"/>
  <c r="QY8" i="28"/>
  <c r="QW8" i="28"/>
  <c r="QV8" i="28"/>
  <c r="QU8" i="28"/>
  <c r="QT8" i="28"/>
  <c r="QX8" i="28" s="1"/>
  <c r="QS8" i="28"/>
  <c r="QR8" i="28"/>
  <c r="PV8" i="28"/>
  <c r="PU8" i="28"/>
  <c r="PT8" i="28"/>
  <c r="PS8" i="28"/>
  <c r="PR8" i="28"/>
  <c r="PQ8" i="28"/>
  <c r="PO8" i="28"/>
  <c r="PN8" i="28"/>
  <c r="PM8" i="28"/>
  <c r="PL8" i="28"/>
  <c r="PK8" i="28"/>
  <c r="PJ8" i="28"/>
  <c r="ON8" i="28"/>
  <c r="OM8" i="28"/>
  <c r="OL8" i="28"/>
  <c r="OK8" i="28"/>
  <c r="OJ8" i="28"/>
  <c r="OI8" i="28"/>
  <c r="OG8" i="28"/>
  <c r="OF8" i="28"/>
  <c r="OE8" i="28"/>
  <c r="OD8" i="28"/>
  <c r="OC8" i="28"/>
  <c r="OB8" i="28"/>
  <c r="NF8" i="28"/>
  <c r="NE8" i="28"/>
  <c r="ND8" i="28"/>
  <c r="NC8" i="28"/>
  <c r="NB8" i="28"/>
  <c r="NA8" i="28"/>
  <c r="MY8" i="28"/>
  <c r="MX8" i="28"/>
  <c r="MW8" i="28"/>
  <c r="MV8" i="28"/>
  <c r="MU8" i="28"/>
  <c r="MT8" i="28"/>
  <c r="LX8" i="28"/>
  <c r="LW8" i="28"/>
  <c r="LV8" i="28"/>
  <c r="LU8" i="28"/>
  <c r="LT8" i="28"/>
  <c r="LS8" i="28"/>
  <c r="LQ8" i="28"/>
  <c r="LP8" i="28"/>
  <c r="LO8" i="28"/>
  <c r="LN8" i="28"/>
  <c r="LR8" i="28" s="1"/>
  <c r="LM8" i="28"/>
  <c r="LL8" i="28"/>
  <c r="KP8" i="28"/>
  <c r="KO8" i="28"/>
  <c r="KN8" i="28"/>
  <c r="KM8" i="28"/>
  <c r="KL8" i="28"/>
  <c r="KK8" i="28"/>
  <c r="KI8" i="28"/>
  <c r="KH8" i="28"/>
  <c r="KG8" i="28"/>
  <c r="KF8" i="28"/>
  <c r="KJ8" i="28" s="1"/>
  <c r="KE8" i="28"/>
  <c r="KD8" i="28"/>
  <c r="JH8" i="28"/>
  <c r="JG8" i="28"/>
  <c r="JF8" i="28"/>
  <c r="JE8" i="28"/>
  <c r="JD8" i="28"/>
  <c r="JC8" i="28"/>
  <c r="JA8" i="28"/>
  <c r="IZ8" i="28"/>
  <c r="IY8" i="28"/>
  <c r="IX8" i="28"/>
  <c r="JB8" i="28" s="1"/>
  <c r="IW8" i="28"/>
  <c r="IV8" i="28"/>
  <c r="HZ8" i="28"/>
  <c r="HY8" i="28"/>
  <c r="HX8" i="28"/>
  <c r="HW8" i="28"/>
  <c r="HV8" i="28"/>
  <c r="HU8" i="28"/>
  <c r="HS8" i="28"/>
  <c r="HR8" i="28"/>
  <c r="HQ8" i="28"/>
  <c r="HP8" i="28"/>
  <c r="HT8" i="28" s="1"/>
  <c r="HO8" i="28"/>
  <c r="HN8" i="28"/>
  <c r="GR8" i="28"/>
  <c r="GQ8" i="28"/>
  <c r="GP8" i="28"/>
  <c r="GO8" i="28"/>
  <c r="GN8" i="28"/>
  <c r="GM8" i="28"/>
  <c r="GK8" i="28"/>
  <c r="GJ8" i="28"/>
  <c r="GI8" i="28"/>
  <c r="GH8" i="28"/>
  <c r="GG8" i="28"/>
  <c r="GF8" i="28"/>
  <c r="FJ8" i="28"/>
  <c r="FI8" i="28"/>
  <c r="FH8" i="28"/>
  <c r="FG8" i="28"/>
  <c r="FF8" i="28"/>
  <c r="FE8" i="28"/>
  <c r="FC8" i="28"/>
  <c r="FB8" i="28"/>
  <c r="FA8" i="28"/>
  <c r="EZ8" i="28"/>
  <c r="EY8" i="28"/>
  <c r="EX8" i="28"/>
  <c r="EB8" i="28"/>
  <c r="EA8" i="28"/>
  <c r="DZ8" i="28"/>
  <c r="DY8" i="28"/>
  <c r="DX8" i="28"/>
  <c r="DW8" i="28"/>
  <c r="DU8" i="28"/>
  <c r="DT8" i="28"/>
  <c r="DS8" i="28"/>
  <c r="DR8" i="28"/>
  <c r="DQ8" i="28"/>
  <c r="DP8" i="28"/>
  <c r="CR8" i="28"/>
  <c r="CQ8" i="28"/>
  <c r="CP8" i="28"/>
  <c r="CN8" i="28"/>
  <c r="CM8" i="28"/>
  <c r="CL8" i="28"/>
  <c r="CK8" i="28"/>
  <c r="CO8" i="28" s="1"/>
  <c r="CS8" i="28" s="1"/>
  <c r="CJ8" i="28"/>
  <c r="CI8" i="28"/>
  <c r="BQ8" i="28"/>
  <c r="BP8" i="28"/>
  <c r="BO8" i="28"/>
  <c r="BM8" i="28"/>
  <c r="BL8" i="28"/>
  <c r="BK8" i="28"/>
  <c r="BJ8" i="28"/>
  <c r="BN8" i="28" s="1"/>
  <c r="BI8" i="28"/>
  <c r="BH8" i="28"/>
  <c r="AP8" i="28"/>
  <c r="AO8" i="28"/>
  <c r="AN8" i="28"/>
  <c r="AL8" i="28"/>
  <c r="AK8" i="28"/>
  <c r="AJ8" i="28"/>
  <c r="AI8" i="28"/>
  <c r="AM8" i="28" s="1"/>
  <c r="AQ8" i="28" s="1"/>
  <c r="AH8" i="28"/>
  <c r="AG8" i="28"/>
  <c r="XB7" i="28"/>
  <c r="WZ7" i="28"/>
  <c r="WY7" i="28"/>
  <c r="XJ7" i="28" s="1"/>
  <c r="WX7" i="28"/>
  <c r="XI7" i="28" s="1"/>
  <c r="WW7" i="28"/>
  <c r="WV7" i="28"/>
  <c r="WU7" i="28"/>
  <c r="WT7" i="28"/>
  <c r="XF7" i="28" s="1"/>
  <c r="WS7" i="28"/>
  <c r="XE7" i="28" s="1"/>
  <c r="WR7" i="28"/>
  <c r="WQ7" i="28"/>
  <c r="XG7" i="28" s="1"/>
  <c r="WP7" i="28"/>
  <c r="WO7" i="28"/>
  <c r="XC7" i="28" s="1"/>
  <c r="WN7" i="28"/>
  <c r="WM7" i="28"/>
  <c r="WL7" i="28"/>
  <c r="WJ7" i="28"/>
  <c r="WI7" i="28"/>
  <c r="WH7" i="28"/>
  <c r="WG7" i="28"/>
  <c r="WF7" i="28"/>
  <c r="WE7" i="28"/>
  <c r="WC7" i="28"/>
  <c r="WB7" i="28"/>
  <c r="WA7" i="28"/>
  <c r="VZ7" i="28"/>
  <c r="VY7" i="28"/>
  <c r="VX7" i="28"/>
  <c r="VB7" i="28"/>
  <c r="VA7" i="28"/>
  <c r="UZ7" i="28"/>
  <c r="UY7" i="28"/>
  <c r="UX7" i="28"/>
  <c r="UW7" i="28"/>
  <c r="UU7" i="28"/>
  <c r="UT7" i="28"/>
  <c r="US7" i="28"/>
  <c r="UR7" i="28"/>
  <c r="UV7" i="28" s="1"/>
  <c r="UQ7" i="28"/>
  <c r="UP7" i="28"/>
  <c r="TT7" i="28"/>
  <c r="TS7" i="28"/>
  <c r="TR7" i="28"/>
  <c r="TQ7" i="28"/>
  <c r="TP7" i="28"/>
  <c r="TO7" i="28"/>
  <c r="TM7" i="28"/>
  <c r="TL7" i="28"/>
  <c r="TK7" i="28"/>
  <c r="TJ7" i="28"/>
  <c r="TI7" i="28"/>
  <c r="TH7" i="28"/>
  <c r="SL7" i="28"/>
  <c r="SK7" i="28"/>
  <c r="SJ7" i="28"/>
  <c r="SI7" i="28"/>
  <c r="SH7" i="28"/>
  <c r="SG7" i="28"/>
  <c r="SE7" i="28"/>
  <c r="SD7" i="28"/>
  <c r="SC7" i="28"/>
  <c r="SB7" i="28"/>
  <c r="SA7" i="28"/>
  <c r="RZ7" i="28"/>
  <c r="RD7" i="28"/>
  <c r="RC7" i="28"/>
  <c r="RB7" i="28"/>
  <c r="RA7" i="28"/>
  <c r="QZ7" i="28"/>
  <c r="QY7" i="28"/>
  <c r="QW7" i="28"/>
  <c r="QV7" i="28"/>
  <c r="QU7" i="28"/>
  <c r="QT7" i="28"/>
  <c r="QS7" i="28"/>
  <c r="QR7" i="28"/>
  <c r="PV7" i="28"/>
  <c r="PU7" i="28"/>
  <c r="PT7" i="28"/>
  <c r="PS7" i="28"/>
  <c r="PR7" i="28"/>
  <c r="PQ7" i="28"/>
  <c r="PO7" i="28"/>
  <c r="PN7" i="28"/>
  <c r="PM7" i="28"/>
  <c r="PL7" i="28"/>
  <c r="PK7" i="28"/>
  <c r="PJ7" i="28"/>
  <c r="ON7" i="28"/>
  <c r="OM7" i="28"/>
  <c r="OL7" i="28"/>
  <c r="OK7" i="28"/>
  <c r="OJ7" i="28"/>
  <c r="OI7" i="28"/>
  <c r="OG7" i="28"/>
  <c r="OF7" i="28"/>
  <c r="OE7" i="28"/>
  <c r="OD7" i="28"/>
  <c r="OC7" i="28"/>
  <c r="OB7" i="28"/>
  <c r="NF7" i="28"/>
  <c r="NE7" i="28"/>
  <c r="ND7" i="28"/>
  <c r="NC7" i="28"/>
  <c r="NB7" i="28"/>
  <c r="NA7" i="28"/>
  <c r="MY7" i="28"/>
  <c r="MX7" i="28"/>
  <c r="MW7" i="28"/>
  <c r="MV7" i="28"/>
  <c r="MU7" i="28"/>
  <c r="MT7" i="28"/>
  <c r="LX7" i="28"/>
  <c r="LW7" i="28"/>
  <c r="LV7" i="28"/>
  <c r="LU7" i="28"/>
  <c r="LT7" i="28"/>
  <c r="LS7" i="28"/>
  <c r="LQ7" i="28"/>
  <c r="LP7" i="28"/>
  <c r="LO7" i="28"/>
  <c r="LN7" i="28"/>
  <c r="LM7" i="28"/>
  <c r="LL7" i="28"/>
  <c r="KP7" i="28"/>
  <c r="KO7" i="28"/>
  <c r="KN7" i="28"/>
  <c r="KM7" i="28"/>
  <c r="KL7" i="28"/>
  <c r="KK7" i="28"/>
  <c r="KI7" i="28"/>
  <c r="KH7" i="28"/>
  <c r="KG7" i="28"/>
  <c r="KF7" i="28"/>
  <c r="KE7" i="28"/>
  <c r="KD7" i="28"/>
  <c r="JH7" i="28"/>
  <c r="JG7" i="28"/>
  <c r="JF7" i="28"/>
  <c r="JE7" i="28"/>
  <c r="JD7" i="28"/>
  <c r="JC7" i="28"/>
  <c r="JA7" i="28"/>
  <c r="IZ7" i="28"/>
  <c r="IY7" i="28"/>
  <c r="IX7" i="28"/>
  <c r="IW7" i="28"/>
  <c r="IV7" i="28"/>
  <c r="HZ7" i="28"/>
  <c r="HY7" i="28"/>
  <c r="HX7" i="28"/>
  <c r="HW7" i="28"/>
  <c r="HV7" i="28"/>
  <c r="HU7" i="28"/>
  <c r="HS7" i="28"/>
  <c r="HR7" i="28"/>
  <c r="HQ7" i="28"/>
  <c r="HP7" i="28"/>
  <c r="HO7" i="28"/>
  <c r="HN7" i="28"/>
  <c r="GR7" i="28"/>
  <c r="GQ7" i="28"/>
  <c r="GP7" i="28"/>
  <c r="GO7" i="28"/>
  <c r="GN7" i="28"/>
  <c r="GM7" i="28"/>
  <c r="GK7" i="28"/>
  <c r="GJ7" i="28"/>
  <c r="GI7" i="28"/>
  <c r="GH7" i="28"/>
  <c r="GG7" i="28"/>
  <c r="GF7" i="28"/>
  <c r="FJ7" i="28"/>
  <c r="FI7" i="28"/>
  <c r="FH7" i="28"/>
  <c r="FG7" i="28"/>
  <c r="FF7" i="28"/>
  <c r="FE7" i="28"/>
  <c r="FC7" i="28"/>
  <c r="FB7" i="28"/>
  <c r="FA7" i="28"/>
  <c r="EZ7" i="28"/>
  <c r="EY7" i="28"/>
  <c r="EX7" i="28"/>
  <c r="EB7" i="28"/>
  <c r="EA7" i="28"/>
  <c r="DZ7" i="28"/>
  <c r="DY7" i="28"/>
  <c r="DX7" i="28"/>
  <c r="DW7" i="28"/>
  <c r="DU7" i="28"/>
  <c r="DT7" i="28"/>
  <c r="DS7" i="28"/>
  <c r="DR7" i="28"/>
  <c r="DQ7" i="28"/>
  <c r="DP7" i="28"/>
  <c r="CR7" i="28"/>
  <c r="CQ7" i="28"/>
  <c r="CP7" i="28"/>
  <c r="CN7" i="28"/>
  <c r="CM7" i="28"/>
  <c r="CL7" i="28"/>
  <c r="CK7" i="28"/>
  <c r="CO7" i="28" s="1"/>
  <c r="CJ7" i="28"/>
  <c r="CI7" i="28"/>
  <c r="BQ7" i="28"/>
  <c r="BP7" i="28"/>
  <c r="BO7" i="28"/>
  <c r="BM7" i="28"/>
  <c r="BL7" i="28"/>
  <c r="BK7" i="28"/>
  <c r="BJ7" i="28"/>
  <c r="BN7" i="28" s="1"/>
  <c r="BI7" i="28"/>
  <c r="BH7" i="28"/>
  <c r="AP7" i="28"/>
  <c r="AO7" i="28"/>
  <c r="AN7" i="28"/>
  <c r="AL7" i="28"/>
  <c r="AK7" i="28"/>
  <c r="AJ7" i="28"/>
  <c r="AI7" i="28"/>
  <c r="AH7" i="28"/>
  <c r="AG7" i="28"/>
  <c r="XC6" i="28"/>
  <c r="WZ6" i="28"/>
  <c r="XK6" i="28" s="1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WN6" i="28"/>
  <c r="XB6" i="28" s="1"/>
  <c r="WM6" i="28"/>
  <c r="WL6" i="28"/>
  <c r="XD6" i="28" s="1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V6" i="28" s="1"/>
  <c r="UQ6" i="28"/>
  <c r="UP6" i="28"/>
  <c r="TT6" i="28"/>
  <c r="TS6" i="28"/>
  <c r="TR6" i="28"/>
  <c r="TQ6" i="28"/>
  <c r="TP6" i="28"/>
  <c r="TO6" i="28"/>
  <c r="TM6" i="28"/>
  <c r="TL6" i="28"/>
  <c r="TK6" i="28"/>
  <c r="TJ6" i="28"/>
  <c r="TN6" i="28" s="1"/>
  <c r="TI6" i="28"/>
  <c r="TH6" i="28"/>
  <c r="SL6" i="28"/>
  <c r="SK6" i="28"/>
  <c r="SJ6" i="28"/>
  <c r="SI6" i="28"/>
  <c r="SH6" i="28"/>
  <c r="SG6" i="28"/>
  <c r="SE6" i="28"/>
  <c r="SD6" i="28"/>
  <c r="SC6" i="28"/>
  <c r="SB6" i="28"/>
  <c r="SF6" i="28" s="1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P6" i="28" s="1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R6" i="28" s="1"/>
  <c r="LM6" i="28"/>
  <c r="LL6" i="28"/>
  <c r="KP6" i="28"/>
  <c r="KO6" i="28"/>
  <c r="KN6" i="28"/>
  <c r="KM6" i="28"/>
  <c r="KL6" i="28"/>
  <c r="KK6" i="28"/>
  <c r="KI6" i="28"/>
  <c r="KH6" i="28"/>
  <c r="KG6" i="28"/>
  <c r="KF6" i="28"/>
  <c r="KJ6" i="28" s="1"/>
  <c r="KE6" i="28"/>
  <c r="KD6" i="28"/>
  <c r="JH6" i="28"/>
  <c r="JG6" i="28"/>
  <c r="JF6" i="28"/>
  <c r="JE6" i="28"/>
  <c r="JD6" i="28"/>
  <c r="JC6" i="28"/>
  <c r="JA6" i="28"/>
  <c r="IZ6" i="28"/>
  <c r="IY6" i="28"/>
  <c r="IX6" i="28"/>
  <c r="JB6" i="28" s="1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L6" i="28" s="1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O6" i="28" s="1"/>
  <c r="CJ6" i="28"/>
  <c r="CI6" i="28"/>
  <c r="BQ6" i="28"/>
  <c r="BP6" i="28"/>
  <c r="BO6" i="28"/>
  <c r="BM6" i="28"/>
  <c r="BL6" i="28"/>
  <c r="BK6" i="28"/>
  <c r="BJ6" i="28"/>
  <c r="BN6" i="28" s="1"/>
  <c r="BI6" i="28"/>
  <c r="BH6" i="28"/>
  <c r="AP6" i="28"/>
  <c r="AO6" i="28"/>
  <c r="AN6" i="28"/>
  <c r="AL6" i="28"/>
  <c r="AK6" i="28"/>
  <c r="AJ6" i="28"/>
  <c r="AI6" i="28"/>
  <c r="AH6" i="28"/>
  <c r="AG6" i="28"/>
  <c r="XC5" i="28"/>
  <c r="XB5" i="28"/>
  <c r="WZ5" i="28"/>
  <c r="WY5" i="28"/>
  <c r="XJ5" i="28" s="1"/>
  <c r="WX5" i="28"/>
  <c r="XI5" i="28" s="1"/>
  <c r="WW5" i="28"/>
  <c r="WV5" i="28"/>
  <c r="WU5" i="28"/>
  <c r="WT5" i="28"/>
  <c r="XF5" i="28" s="1"/>
  <c r="WS5" i="28"/>
  <c r="XE5" i="28" s="1"/>
  <c r="WR5" i="28"/>
  <c r="WQ5" i="28"/>
  <c r="WP5" i="28"/>
  <c r="WO5" i="28"/>
  <c r="WN5" i="28"/>
  <c r="WM5" i="28"/>
  <c r="WL5" i="28"/>
  <c r="XD5" i="28" s="1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N5" i="28" s="1"/>
  <c r="TI5" i="28"/>
  <c r="TH5" i="28"/>
  <c r="SL5" i="28"/>
  <c r="SK5" i="28"/>
  <c r="SJ5" i="28"/>
  <c r="SI5" i="28"/>
  <c r="SH5" i="28"/>
  <c r="SG5" i="28"/>
  <c r="SE5" i="28"/>
  <c r="SD5" i="28"/>
  <c r="SC5" i="28"/>
  <c r="SB5" i="28"/>
  <c r="SF5" i="28" s="1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J5" i="28" s="1"/>
  <c r="KE5" i="28"/>
  <c r="KD5" i="28"/>
  <c r="JH5" i="28"/>
  <c r="JG5" i="28"/>
  <c r="JF5" i="28"/>
  <c r="JE5" i="28"/>
  <c r="JD5" i="28"/>
  <c r="JC5" i="28"/>
  <c r="JA5" i="28"/>
  <c r="IZ5" i="28"/>
  <c r="IY5" i="28"/>
  <c r="IX5" i="28"/>
  <c r="JB5" i="28" s="1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L5" i="28" s="1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Q5" i="28"/>
  <c r="CP5" i="28"/>
  <c r="CN5" i="28"/>
  <c r="CM5" i="28"/>
  <c r="CL5" i="28"/>
  <c r="CK5" i="28"/>
  <c r="CO5" i="28" s="1"/>
  <c r="CJ5" i="28"/>
  <c r="CI5" i="28"/>
  <c r="BQ5" i="28"/>
  <c r="BP5" i="28"/>
  <c r="BO5" i="28"/>
  <c r="BM5" i="28"/>
  <c r="BL5" i="28"/>
  <c r="BK5" i="28"/>
  <c r="BJ5" i="28"/>
  <c r="BN5" i="28" s="1"/>
  <c r="BI5" i="28"/>
  <c r="BH5" i="28"/>
  <c r="AP5" i="28"/>
  <c r="AO5" i="28"/>
  <c r="AN5" i="28"/>
  <c r="AL5" i="28"/>
  <c r="AK5" i="28"/>
  <c r="AJ5" i="28"/>
  <c r="AI5" i="28"/>
  <c r="AM5" i="28" s="1"/>
  <c r="AH5" i="28"/>
  <c r="AG5" i="28"/>
  <c r="XE4" i="28"/>
  <c r="XC4" i="28"/>
  <c r="XB4" i="28"/>
  <c r="WZ4" i="28"/>
  <c r="WY4" i="28"/>
  <c r="XJ4" i="28" s="1"/>
  <c r="WX4" i="28"/>
  <c r="XI4" i="28" s="1"/>
  <c r="WW4" i="28"/>
  <c r="WV4" i="28"/>
  <c r="WU4" i="28"/>
  <c r="WT4" i="28"/>
  <c r="XF4" i="28" s="1"/>
  <c r="WS4" i="28"/>
  <c r="WR4" i="28"/>
  <c r="WQ4" i="28"/>
  <c r="WP4" i="28"/>
  <c r="WO4" i="28"/>
  <c r="WN4" i="28"/>
  <c r="WM4" i="28"/>
  <c r="WL4" i="28"/>
  <c r="WJ4" i="28"/>
  <c r="WI4" i="28"/>
  <c r="WH4" i="28"/>
  <c r="WG4" i="28"/>
  <c r="WF4" i="28"/>
  <c r="WE4" i="28"/>
  <c r="WC4" i="28"/>
  <c r="WB4" i="28"/>
  <c r="WA4" i="28"/>
  <c r="VZ4" i="28"/>
  <c r="WD4" i="28" s="1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F4" i="28" s="1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H4" i="28" s="1"/>
  <c r="OC4" i="28"/>
  <c r="OB4" i="28"/>
  <c r="NF4" i="28"/>
  <c r="NE4" i="28"/>
  <c r="ND4" i="28"/>
  <c r="NC4" i="28"/>
  <c r="NB4" i="28"/>
  <c r="NA4" i="28"/>
  <c r="MY4" i="28"/>
  <c r="MX4" i="28"/>
  <c r="MW4" i="28"/>
  <c r="MV4" i="28"/>
  <c r="MZ4" i="28" s="1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JB4" i="28" s="1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FD4" i="28" s="1"/>
  <c r="EY4" i="28"/>
  <c r="EX4" i="28"/>
  <c r="EB4" i="28"/>
  <c r="EA4" i="28"/>
  <c r="DZ4" i="28"/>
  <c r="DY4" i="28"/>
  <c r="DX4" i="28"/>
  <c r="DW4" i="28"/>
  <c r="DU4" i="28"/>
  <c r="DT4" i="28"/>
  <c r="DS4" i="28"/>
  <c r="DR4" i="28"/>
  <c r="DV4" i="28" s="1"/>
  <c r="DQ4" i="28"/>
  <c r="DP4" i="28"/>
  <c r="CR4" i="28"/>
  <c r="CQ4" i="28"/>
  <c r="CP4" i="28"/>
  <c r="CN4" i="28"/>
  <c r="CM4" i="28"/>
  <c r="CL4" i="28"/>
  <c r="CK4" i="28"/>
  <c r="CO4" i="28" s="1"/>
  <c r="CJ4" i="28"/>
  <c r="CI4" i="28"/>
  <c r="BQ4" i="28"/>
  <c r="BP4" i="28"/>
  <c r="BO4" i="28"/>
  <c r="BM4" i="28"/>
  <c r="BL4" i="28"/>
  <c r="BK4" i="28"/>
  <c r="BJ4" i="28"/>
  <c r="BN4" i="28" s="1"/>
  <c r="BI4" i="28"/>
  <c r="BH4" i="28"/>
  <c r="AP4" i="28"/>
  <c r="AO4" i="28"/>
  <c r="AN4" i="28"/>
  <c r="AL4" i="28"/>
  <c r="AK4" i="28"/>
  <c r="AJ4" i="28"/>
  <c r="AI4" i="28"/>
  <c r="AH4" i="28"/>
  <c r="AG4" i="28"/>
  <c r="BW17" i="27"/>
  <c r="CS7" i="28" l="1"/>
  <c r="VC7" i="28"/>
  <c r="TU6" i="28"/>
  <c r="VC6" i="28"/>
  <c r="KQ6" i="28"/>
  <c r="CS6" i="28"/>
  <c r="LY6" i="28"/>
  <c r="CS5" i="28"/>
  <c r="HT4" i="28"/>
  <c r="QX4" i="28"/>
  <c r="HT5" i="28"/>
  <c r="IA5" i="28" s="1"/>
  <c r="HT6" i="28"/>
  <c r="IA6" i="28" s="1"/>
  <c r="QX6" i="28"/>
  <c r="BR4" i="28"/>
  <c r="GL4" i="28"/>
  <c r="PP4" i="28"/>
  <c r="PP7" i="28"/>
  <c r="TU8" i="28"/>
  <c r="IA8" i="28"/>
  <c r="CS4" i="28"/>
  <c r="SF7" i="28"/>
  <c r="SM7" i="28" s="1"/>
  <c r="PW7" i="28"/>
  <c r="HT7" i="28"/>
  <c r="IA7" i="28" s="1"/>
  <c r="QX7" i="28"/>
  <c r="RE7" i="28" s="1"/>
  <c r="FK8" i="28"/>
  <c r="GS8" i="28"/>
  <c r="BR6" i="28"/>
  <c r="BR8" i="28"/>
  <c r="GL8" i="28"/>
  <c r="PP8" i="28"/>
  <c r="XD8" i="28"/>
  <c r="FK4" i="28"/>
  <c r="J8" i="28"/>
  <c r="K8" i="28" s="1"/>
  <c r="TU5" i="28"/>
  <c r="SM5" i="28"/>
  <c r="WD5" i="28"/>
  <c r="WK5" i="28" s="1"/>
  <c r="GL7" i="28"/>
  <c r="GS7" i="28" s="1"/>
  <c r="KQ8" i="28"/>
  <c r="MZ5" i="28"/>
  <c r="NG5" i="28" s="1"/>
  <c r="XG5" i="28"/>
  <c r="XH5" i="28" s="1"/>
  <c r="GS5" i="28"/>
  <c r="LR5" i="28"/>
  <c r="LY5" i="28" s="1"/>
  <c r="UV5" i="28"/>
  <c r="VC5" i="28" s="1"/>
  <c r="MZ7" i="28"/>
  <c r="NG7" i="28" s="1"/>
  <c r="FD8" i="28"/>
  <c r="OH8" i="28"/>
  <c r="OO8" i="28" s="1"/>
  <c r="SM8" i="28"/>
  <c r="WK4" i="28"/>
  <c r="JI5" i="28"/>
  <c r="L5" i="28"/>
  <c r="M5" i="28" s="1"/>
  <c r="DV7" i="28"/>
  <c r="EC7" i="28" s="1"/>
  <c r="RE8" i="28"/>
  <c r="WD7" i="28"/>
  <c r="WK7" i="28" s="1"/>
  <c r="PW8" i="28"/>
  <c r="VC8" i="28"/>
  <c r="FD6" i="28"/>
  <c r="FK6" i="28" s="1"/>
  <c r="OH6" i="28"/>
  <c r="OO6" i="28" s="1"/>
  <c r="DV8" i="28"/>
  <c r="EC8" i="28" s="1"/>
  <c r="FD7" i="28"/>
  <c r="FK7" i="28" s="1"/>
  <c r="KQ5" i="28"/>
  <c r="OO4" i="28"/>
  <c r="BR5" i="28"/>
  <c r="JI4" i="28"/>
  <c r="LY8" i="28"/>
  <c r="SM4" i="28"/>
  <c r="XG4" i="28"/>
  <c r="RE4" i="28"/>
  <c r="UV4" i="28"/>
  <c r="VC4" i="28" s="1"/>
  <c r="DV5" i="28"/>
  <c r="EC5" i="28" s="1"/>
  <c r="PP5" i="28"/>
  <c r="PW5" i="28" s="1"/>
  <c r="BR7" i="28"/>
  <c r="JB7" i="28"/>
  <c r="JI7" i="28" s="1"/>
  <c r="TN7" i="28"/>
  <c r="TU7" i="28" s="1"/>
  <c r="XK7" i="28"/>
  <c r="JI8" i="28"/>
  <c r="MZ8" i="28"/>
  <c r="NG8" i="28" s="1"/>
  <c r="PW4" i="28"/>
  <c r="OH7" i="28"/>
  <c r="OO7" i="28" s="1"/>
  <c r="LR7" i="28"/>
  <c r="LY7" i="28" s="1"/>
  <c r="NG4" i="28"/>
  <c r="KJ7" i="28"/>
  <c r="KQ7" i="28" s="1"/>
  <c r="J4" i="28"/>
  <c r="K4" i="28" s="1"/>
  <c r="LR4" i="28"/>
  <c r="LY4" i="28" s="1"/>
  <c r="FD5" i="28"/>
  <c r="FK5" i="28" s="1"/>
  <c r="QX5" i="28"/>
  <c r="RE5" i="28" s="1"/>
  <c r="KJ4" i="28"/>
  <c r="KQ4" i="28" s="1"/>
  <c r="GS4" i="28"/>
  <c r="TN4" i="28"/>
  <c r="TU4" i="28" s="1"/>
  <c r="AQ5" i="28"/>
  <c r="OH5" i="28"/>
  <c r="OO5" i="28" s="1"/>
  <c r="DV6" i="28"/>
  <c r="EC6" i="28" s="1"/>
  <c r="MZ6" i="28"/>
  <c r="NG6" i="28" s="1"/>
  <c r="WD6" i="28"/>
  <c r="WK6" i="28" s="1"/>
  <c r="WD8" i="28"/>
  <c r="WK8" i="28" s="1"/>
  <c r="IA4" i="28"/>
  <c r="CU5" i="28"/>
  <c r="I8" i="28"/>
  <c r="EC4" i="28"/>
  <c r="J5" i="28"/>
  <c r="I4" i="28"/>
  <c r="I5" i="28"/>
  <c r="L6" i="28"/>
  <c r="J6" i="28"/>
  <c r="AM6" i="28"/>
  <c r="AQ6" i="28" s="1"/>
  <c r="I6" i="28"/>
  <c r="F4" i="28"/>
  <c r="XK5" i="28"/>
  <c r="G5" i="28"/>
  <c r="XD4" i="28"/>
  <c r="XK4" i="28"/>
  <c r="XG6" i="28"/>
  <c r="XH6" i="28" s="1"/>
  <c r="XL6" i="28" s="1"/>
  <c r="JI6" i="28"/>
  <c r="SM6" i="28"/>
  <c r="G8" i="28"/>
  <c r="XH8" i="28"/>
  <c r="XK8" i="28"/>
  <c r="F5" i="28"/>
  <c r="I7" i="28"/>
  <c r="K5" i="28"/>
  <c r="F8" i="28"/>
  <c r="RE6" i="28"/>
  <c r="XD7" i="28"/>
  <c r="XH7" i="28" s="1"/>
  <c r="L4" i="28"/>
  <c r="G4" i="28"/>
  <c r="F6" i="28"/>
  <c r="L7" i="28"/>
  <c r="L8" i="28"/>
  <c r="AM4" i="28"/>
  <c r="AQ4" i="28" s="1"/>
  <c r="G6" i="28"/>
  <c r="GS6" i="28"/>
  <c r="PW6" i="28"/>
  <c r="F7" i="28"/>
  <c r="G7" i="28"/>
  <c r="AM7" i="28"/>
  <c r="AQ7" i="28" s="1"/>
  <c r="J7" i="28"/>
  <c r="AN21" i="21"/>
  <c r="AO21" i="21"/>
  <c r="AP21" i="21"/>
  <c r="AQ21" i="21"/>
  <c r="AS21" i="21"/>
  <c r="AT21" i="21"/>
  <c r="BQ21" i="21"/>
  <c r="BR21" i="21"/>
  <c r="BS21" i="21"/>
  <c r="BT21" i="21"/>
  <c r="BV21" i="21"/>
  <c r="BW21" i="21"/>
  <c r="CT21" i="21"/>
  <c r="CU21" i="21"/>
  <c r="CV21" i="21"/>
  <c r="CW21" i="21"/>
  <c r="CY21" i="21"/>
  <c r="CZ21" i="21"/>
  <c r="DX21" i="21"/>
  <c r="DY21" i="21"/>
  <c r="DZ21" i="21"/>
  <c r="EA21" i="21"/>
  <c r="EC21" i="21"/>
  <c r="ED21" i="21"/>
  <c r="EZ21" i="21"/>
  <c r="FA21" i="21"/>
  <c r="FB21" i="21"/>
  <c r="FC21" i="21"/>
  <c r="FE21" i="21"/>
  <c r="FF21" i="21"/>
  <c r="GB21" i="21"/>
  <c r="GC21" i="21"/>
  <c r="GD21" i="21"/>
  <c r="GE21" i="21"/>
  <c r="GG21" i="21"/>
  <c r="GH21" i="21"/>
  <c r="HD21" i="21"/>
  <c r="HE21" i="21"/>
  <c r="HF21" i="21"/>
  <c r="HG21" i="21"/>
  <c r="HI21" i="21"/>
  <c r="HJ21" i="21"/>
  <c r="IF21" i="21"/>
  <c r="IG21" i="21"/>
  <c r="IH21" i="21"/>
  <c r="IJ21" i="21" s="1"/>
  <c r="II21" i="21"/>
  <c r="IK21" i="21"/>
  <c r="IL21" i="21"/>
  <c r="JH21" i="21"/>
  <c r="JI21" i="21"/>
  <c r="JJ21" i="21"/>
  <c r="JK21" i="21"/>
  <c r="JM21" i="21"/>
  <c r="JN21" i="21"/>
  <c r="KJ21" i="21"/>
  <c r="KK21" i="21"/>
  <c r="KL21" i="21"/>
  <c r="KM21" i="21"/>
  <c r="KO21" i="21"/>
  <c r="KP21" i="21"/>
  <c r="LL21" i="21"/>
  <c r="LM21" i="21"/>
  <c r="LN21" i="21"/>
  <c r="LO21" i="21"/>
  <c r="LQ21" i="21"/>
  <c r="LR21" i="21"/>
  <c r="MN21" i="21"/>
  <c r="MO21" i="21"/>
  <c r="MP21" i="21"/>
  <c r="MQ21" i="21"/>
  <c r="MS21" i="21"/>
  <c r="MT21" i="21"/>
  <c r="NP21" i="21"/>
  <c r="NQ21" i="21"/>
  <c r="NR21" i="21"/>
  <c r="NS21" i="21"/>
  <c r="NU21" i="21"/>
  <c r="NV21" i="21"/>
  <c r="OR21" i="21"/>
  <c r="OS21" i="21"/>
  <c r="OT21" i="21"/>
  <c r="OV21" i="21" s="1"/>
  <c r="OU21" i="21"/>
  <c r="OW21" i="21"/>
  <c r="OX21" i="21"/>
  <c r="PT21" i="21"/>
  <c r="PU21" i="21"/>
  <c r="PV21" i="21"/>
  <c r="PW21" i="21"/>
  <c r="PY21" i="21"/>
  <c r="PZ21" i="21"/>
  <c r="QV21" i="21"/>
  <c r="QW21" i="21"/>
  <c r="QX21" i="21"/>
  <c r="QY21" i="21"/>
  <c r="RA21" i="21"/>
  <c r="RB21" i="21"/>
  <c r="RX21" i="21"/>
  <c r="RY21" i="21"/>
  <c r="RZ21" i="21"/>
  <c r="SA21" i="21"/>
  <c r="SC21" i="21"/>
  <c r="SD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AN25" i="21"/>
  <c r="AO25" i="21"/>
  <c r="AP25" i="21"/>
  <c r="AQ25" i="21"/>
  <c r="AS25" i="21"/>
  <c r="AT25" i="21"/>
  <c r="BQ25" i="21"/>
  <c r="BR25" i="21"/>
  <c r="BS25" i="21"/>
  <c r="BT25" i="21"/>
  <c r="BV25" i="21"/>
  <c r="BW25" i="21"/>
  <c r="CT25" i="21"/>
  <c r="CU25" i="21"/>
  <c r="CV25" i="21"/>
  <c r="CW25" i="21"/>
  <c r="CY25" i="21"/>
  <c r="CZ25" i="21"/>
  <c r="DX25" i="21"/>
  <c r="DY25" i="21"/>
  <c r="DZ25" i="21"/>
  <c r="EA25" i="21"/>
  <c r="EC25" i="21"/>
  <c r="ED25" i="21"/>
  <c r="EZ25" i="21"/>
  <c r="FA25" i="21"/>
  <c r="FB25" i="21"/>
  <c r="FC25" i="21"/>
  <c r="FE25" i="21"/>
  <c r="FF25" i="21"/>
  <c r="GB25" i="21"/>
  <c r="GC25" i="21"/>
  <c r="GD25" i="21"/>
  <c r="GE25" i="21"/>
  <c r="GG25" i="21"/>
  <c r="GH25" i="21"/>
  <c r="HD25" i="21"/>
  <c r="HE25" i="21"/>
  <c r="HF25" i="21"/>
  <c r="HG25" i="21"/>
  <c r="HI25" i="21"/>
  <c r="HJ25" i="21"/>
  <c r="IF25" i="21"/>
  <c r="IG25" i="21"/>
  <c r="IH25" i="21"/>
  <c r="II25" i="21"/>
  <c r="IK25" i="21"/>
  <c r="IL25" i="21"/>
  <c r="JH25" i="21"/>
  <c r="JI25" i="21"/>
  <c r="JJ25" i="21"/>
  <c r="JK25" i="21"/>
  <c r="JM25" i="21"/>
  <c r="JN25" i="21"/>
  <c r="KJ25" i="21"/>
  <c r="KK25" i="21"/>
  <c r="KL25" i="21"/>
  <c r="KM25" i="21"/>
  <c r="KO25" i="21"/>
  <c r="KP25" i="21"/>
  <c r="LL25" i="21"/>
  <c r="LM25" i="21"/>
  <c r="LN25" i="21"/>
  <c r="LO25" i="21"/>
  <c r="LQ25" i="21"/>
  <c r="LR25" i="21"/>
  <c r="MN25" i="21"/>
  <c r="MO25" i="21"/>
  <c r="MP25" i="21"/>
  <c r="MQ25" i="21"/>
  <c r="MS25" i="21"/>
  <c r="MT25" i="21"/>
  <c r="NP25" i="21"/>
  <c r="NQ25" i="21"/>
  <c r="NR25" i="21"/>
  <c r="NS25" i="21"/>
  <c r="NU25" i="21"/>
  <c r="NV25" i="21"/>
  <c r="OR25" i="21"/>
  <c r="OS25" i="21"/>
  <c r="OT25" i="21"/>
  <c r="OU25" i="21"/>
  <c r="OW25" i="21"/>
  <c r="OX25" i="21"/>
  <c r="PT25" i="21"/>
  <c r="PU25" i="21"/>
  <c r="PV25" i="21"/>
  <c r="PW25" i="21"/>
  <c r="PY25" i="21"/>
  <c r="PZ25" i="21"/>
  <c r="QV25" i="21"/>
  <c r="QW25" i="21"/>
  <c r="QX25" i="21"/>
  <c r="QY25" i="21"/>
  <c r="RA25" i="21"/>
  <c r="RB25" i="21"/>
  <c r="RX25" i="21"/>
  <c r="RY25" i="21"/>
  <c r="RZ25" i="21"/>
  <c r="SA25" i="21"/>
  <c r="SC25" i="21"/>
  <c r="SD25" i="21"/>
  <c r="SZ25" i="21"/>
  <c r="TA25" i="21"/>
  <c r="TB25" i="21"/>
  <c r="TC25" i="21"/>
  <c r="TE25" i="21"/>
  <c r="TF25" i="21"/>
  <c r="TH25" i="21"/>
  <c r="TI25" i="21"/>
  <c r="TJ25" i="21"/>
  <c r="TK25" i="21"/>
  <c r="TL25" i="21"/>
  <c r="TM25" i="21"/>
  <c r="TN25" i="21"/>
  <c r="TO25" i="21"/>
  <c r="TP25" i="21"/>
  <c r="TQ25" i="21"/>
  <c r="TR25" i="21"/>
  <c r="TS25" i="21"/>
  <c r="TT25" i="21"/>
  <c r="TU25" i="21"/>
  <c r="TV25" i="21"/>
  <c r="TW25" i="21"/>
  <c r="TX25" i="21"/>
  <c r="TY25" i="21"/>
  <c r="TZ25" i="21"/>
  <c r="UA25" i="21"/>
  <c r="AN20" i="21"/>
  <c r="AO20" i="21"/>
  <c r="AP20" i="21"/>
  <c r="AQ20" i="21"/>
  <c r="AS20" i="21"/>
  <c r="AT20" i="21"/>
  <c r="BQ20" i="21"/>
  <c r="BR20" i="21"/>
  <c r="BS20" i="21"/>
  <c r="BT20" i="21"/>
  <c r="BV20" i="21"/>
  <c r="BW20" i="21"/>
  <c r="CT20" i="21"/>
  <c r="CU20" i="21"/>
  <c r="CV20" i="21"/>
  <c r="CW20" i="21"/>
  <c r="CY20" i="21"/>
  <c r="CZ20" i="21"/>
  <c r="DX20" i="21"/>
  <c r="DY20" i="21"/>
  <c r="DZ20" i="21"/>
  <c r="EA20" i="21"/>
  <c r="EC20" i="21"/>
  <c r="ED20" i="21"/>
  <c r="EZ20" i="21"/>
  <c r="FA20" i="21"/>
  <c r="FB20" i="21"/>
  <c r="FC20" i="21"/>
  <c r="FE20" i="21"/>
  <c r="FF20" i="21"/>
  <c r="GB20" i="21"/>
  <c r="GC20" i="21"/>
  <c r="GD20" i="21"/>
  <c r="GE20" i="21"/>
  <c r="GG20" i="21"/>
  <c r="GH20" i="21"/>
  <c r="HD20" i="21"/>
  <c r="HE20" i="21"/>
  <c r="HF20" i="21"/>
  <c r="HG20" i="21"/>
  <c r="HI20" i="21"/>
  <c r="HJ20" i="21"/>
  <c r="IF20" i="21"/>
  <c r="IG20" i="21"/>
  <c r="IH20" i="21"/>
  <c r="II20" i="21"/>
  <c r="IK20" i="21"/>
  <c r="IL20" i="21"/>
  <c r="JH20" i="21"/>
  <c r="JI20" i="21"/>
  <c r="JJ20" i="21"/>
  <c r="JK20" i="21"/>
  <c r="JM20" i="21"/>
  <c r="JN20" i="21"/>
  <c r="KJ20" i="21"/>
  <c r="KK20" i="21"/>
  <c r="KL20" i="21"/>
  <c r="KM20" i="21"/>
  <c r="KO20" i="21"/>
  <c r="KP20" i="21"/>
  <c r="LL20" i="21"/>
  <c r="LM20" i="21"/>
  <c r="LN20" i="21"/>
  <c r="LO20" i="21"/>
  <c r="LQ20" i="21"/>
  <c r="LR20" i="21"/>
  <c r="MN20" i="21"/>
  <c r="MO20" i="21"/>
  <c r="MP20" i="21"/>
  <c r="MQ20" i="21"/>
  <c r="MS20" i="21"/>
  <c r="MT20" i="21"/>
  <c r="NP20" i="21"/>
  <c r="NQ20" i="21"/>
  <c r="NR20" i="21"/>
  <c r="NS20" i="21"/>
  <c r="NU20" i="21"/>
  <c r="NV20" i="21"/>
  <c r="OR20" i="21"/>
  <c r="OS20" i="21"/>
  <c r="OT20" i="21"/>
  <c r="OU20" i="21"/>
  <c r="OW20" i="21"/>
  <c r="OX20" i="21"/>
  <c r="PT20" i="21"/>
  <c r="PU20" i="21"/>
  <c r="PV20" i="21"/>
  <c r="PW20" i="21"/>
  <c r="PY20" i="21"/>
  <c r="PZ20" i="21"/>
  <c r="QV20" i="21"/>
  <c r="QW20" i="21"/>
  <c r="QX20" i="21"/>
  <c r="QY20" i="21"/>
  <c r="RA20" i="21"/>
  <c r="RB20" i="21"/>
  <c r="RX20" i="21"/>
  <c r="RY20" i="21"/>
  <c r="RZ20" i="21"/>
  <c r="SA20" i="21"/>
  <c r="SC20" i="21"/>
  <c r="SD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AN26" i="19"/>
  <c r="AO26" i="19"/>
  <c r="AP26" i="19"/>
  <c r="AQ26" i="19"/>
  <c r="AS26" i="19"/>
  <c r="AT26" i="19"/>
  <c r="BQ26" i="19"/>
  <c r="BR26" i="19"/>
  <c r="BS26" i="19"/>
  <c r="BT26" i="19"/>
  <c r="BV26" i="19"/>
  <c r="BW26" i="19"/>
  <c r="CT26" i="19"/>
  <c r="CU26" i="19"/>
  <c r="CV26" i="19"/>
  <c r="CW26" i="19"/>
  <c r="CY26" i="19"/>
  <c r="CZ26" i="19"/>
  <c r="DX26" i="19"/>
  <c r="DY26" i="19"/>
  <c r="DZ26" i="19"/>
  <c r="EA26" i="19"/>
  <c r="EC26" i="19"/>
  <c r="ED26" i="19"/>
  <c r="EZ26" i="19"/>
  <c r="FA26" i="19"/>
  <c r="FB26" i="19"/>
  <c r="FC26" i="19"/>
  <c r="FE26" i="19"/>
  <c r="FF26" i="19"/>
  <c r="GB26" i="19"/>
  <c r="GC26" i="19"/>
  <c r="GD26" i="19"/>
  <c r="GE26" i="19"/>
  <c r="GG26" i="19"/>
  <c r="GH26" i="19"/>
  <c r="HD26" i="19"/>
  <c r="HE26" i="19"/>
  <c r="HF26" i="19"/>
  <c r="HG26" i="19"/>
  <c r="HI26" i="19"/>
  <c r="HJ26" i="19"/>
  <c r="IF26" i="19"/>
  <c r="IG26" i="19"/>
  <c r="IH26" i="19"/>
  <c r="II26" i="19"/>
  <c r="IK26" i="19"/>
  <c r="IL26" i="19"/>
  <c r="JH26" i="19"/>
  <c r="JI26" i="19"/>
  <c r="JJ26" i="19"/>
  <c r="JK26" i="19"/>
  <c r="JM26" i="19"/>
  <c r="JN26" i="19"/>
  <c r="KJ26" i="19"/>
  <c r="KK26" i="19"/>
  <c r="KL26" i="19"/>
  <c r="KM26" i="19"/>
  <c r="KO26" i="19"/>
  <c r="KP26" i="19"/>
  <c r="LL26" i="19"/>
  <c r="LM26" i="19"/>
  <c r="LN26" i="19"/>
  <c r="LO26" i="19"/>
  <c r="LQ26" i="19"/>
  <c r="LR26" i="19"/>
  <c r="MN26" i="19"/>
  <c r="MO26" i="19"/>
  <c r="MP26" i="19"/>
  <c r="MQ26" i="19"/>
  <c r="MS26" i="19"/>
  <c r="MT26" i="19"/>
  <c r="NP26" i="19"/>
  <c r="NQ26" i="19"/>
  <c r="NR26" i="19"/>
  <c r="NS26" i="19"/>
  <c r="NU26" i="19"/>
  <c r="NV26" i="19"/>
  <c r="OR26" i="19"/>
  <c r="OS26" i="19"/>
  <c r="OT26" i="19"/>
  <c r="OU26" i="19"/>
  <c r="OW26" i="19"/>
  <c r="OX26" i="19"/>
  <c r="PT26" i="19"/>
  <c r="PU26" i="19"/>
  <c r="PV26" i="19"/>
  <c r="PW26" i="19"/>
  <c r="PY26" i="19"/>
  <c r="PZ26" i="19"/>
  <c r="QV26" i="19"/>
  <c r="QW26" i="19"/>
  <c r="QX26" i="19"/>
  <c r="QY26" i="19"/>
  <c r="RA26" i="19"/>
  <c r="RB26" i="19"/>
  <c r="RX26" i="19"/>
  <c r="RY26" i="19"/>
  <c r="RZ26" i="19"/>
  <c r="SA26" i="19"/>
  <c r="SC26" i="19"/>
  <c r="SD26" i="19"/>
  <c r="SZ26" i="19"/>
  <c r="TA26" i="19"/>
  <c r="TB26" i="19"/>
  <c r="TC26" i="19"/>
  <c r="TE26" i="19"/>
  <c r="TF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AN23" i="19"/>
  <c r="AO23" i="19"/>
  <c r="AP23" i="19"/>
  <c r="AQ23" i="19"/>
  <c r="AS23" i="19"/>
  <c r="AT23" i="19"/>
  <c r="BQ23" i="19"/>
  <c r="BR23" i="19"/>
  <c r="BS23" i="19"/>
  <c r="BT23" i="19"/>
  <c r="BV23" i="19"/>
  <c r="BW23" i="19"/>
  <c r="CT23" i="19"/>
  <c r="CU23" i="19"/>
  <c r="CV23" i="19"/>
  <c r="CW23" i="19"/>
  <c r="CY23" i="19"/>
  <c r="CZ23" i="19"/>
  <c r="DX23" i="19"/>
  <c r="DY23" i="19"/>
  <c r="DZ23" i="19"/>
  <c r="EA23" i="19"/>
  <c r="EC23" i="19"/>
  <c r="ED23" i="19"/>
  <c r="EZ23" i="19"/>
  <c r="FA23" i="19"/>
  <c r="FB23" i="19"/>
  <c r="FC23" i="19"/>
  <c r="FE23" i="19"/>
  <c r="FF23" i="19"/>
  <c r="GB23" i="19"/>
  <c r="GC23" i="19"/>
  <c r="GD23" i="19"/>
  <c r="GE23" i="19"/>
  <c r="GG23" i="19"/>
  <c r="GH23" i="19"/>
  <c r="HD23" i="19"/>
  <c r="HE23" i="19"/>
  <c r="HF23" i="19"/>
  <c r="HG23" i="19"/>
  <c r="HI23" i="19"/>
  <c r="HJ23" i="19"/>
  <c r="IF23" i="19"/>
  <c r="IG23" i="19"/>
  <c r="IH23" i="19"/>
  <c r="II23" i="19"/>
  <c r="IK23" i="19"/>
  <c r="IL23" i="19"/>
  <c r="JH23" i="19"/>
  <c r="JI23" i="19"/>
  <c r="JJ23" i="19"/>
  <c r="JK23" i="19"/>
  <c r="JM23" i="19"/>
  <c r="JN23" i="19"/>
  <c r="KJ23" i="19"/>
  <c r="KK23" i="19"/>
  <c r="KL23" i="19"/>
  <c r="KN23" i="19" s="1"/>
  <c r="KM23" i="19"/>
  <c r="KO23" i="19"/>
  <c r="KP23" i="19"/>
  <c r="LL23" i="19"/>
  <c r="LM23" i="19"/>
  <c r="LN23" i="19"/>
  <c r="LO23" i="19"/>
  <c r="LQ23" i="19"/>
  <c r="LR23" i="19"/>
  <c r="MN23" i="19"/>
  <c r="MO23" i="19"/>
  <c r="MP23" i="19"/>
  <c r="MQ23" i="19"/>
  <c r="MS23" i="19"/>
  <c r="MT23" i="19"/>
  <c r="NP23" i="19"/>
  <c r="NQ23" i="19"/>
  <c r="NR23" i="19"/>
  <c r="NS23" i="19"/>
  <c r="NU23" i="19"/>
  <c r="NV23" i="19"/>
  <c r="OR23" i="19"/>
  <c r="OS23" i="19"/>
  <c r="OT23" i="19"/>
  <c r="OU23" i="19"/>
  <c r="OW23" i="19"/>
  <c r="OX23" i="19"/>
  <c r="PT23" i="19"/>
  <c r="PU23" i="19"/>
  <c r="PV23" i="19"/>
  <c r="PW23" i="19"/>
  <c r="PY23" i="19"/>
  <c r="PZ23" i="19"/>
  <c r="QV23" i="19"/>
  <c r="QW23" i="19"/>
  <c r="QX23" i="19"/>
  <c r="QY23" i="19"/>
  <c r="RA23" i="19"/>
  <c r="RB23" i="19"/>
  <c r="RX23" i="19"/>
  <c r="RY23" i="19"/>
  <c r="RZ23" i="19"/>
  <c r="SA23" i="19"/>
  <c r="SC23" i="19"/>
  <c r="SD23" i="19"/>
  <c r="SZ23" i="19"/>
  <c r="TA23" i="19"/>
  <c r="TB23" i="19"/>
  <c r="TC23" i="19"/>
  <c r="TE23" i="19"/>
  <c r="TF23" i="19"/>
  <c r="TH23" i="19"/>
  <c r="TI23" i="19"/>
  <c r="TJ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AN9" i="19"/>
  <c r="AO9" i="19"/>
  <c r="AP9" i="19"/>
  <c r="AQ9" i="19"/>
  <c r="AS9" i="19"/>
  <c r="AT9" i="19"/>
  <c r="BQ9" i="19"/>
  <c r="BR9" i="19"/>
  <c r="BS9" i="19"/>
  <c r="BT9" i="19"/>
  <c r="BV9" i="19"/>
  <c r="BW9" i="19"/>
  <c r="CT9" i="19"/>
  <c r="CU9" i="19"/>
  <c r="CV9" i="19"/>
  <c r="CW9" i="19"/>
  <c r="CY9" i="19"/>
  <c r="CZ9" i="19"/>
  <c r="DX9" i="19"/>
  <c r="DY9" i="19"/>
  <c r="DZ9" i="19"/>
  <c r="EA9" i="19"/>
  <c r="EC9" i="19"/>
  <c r="ED9" i="19"/>
  <c r="EZ9" i="19"/>
  <c r="FA9" i="19"/>
  <c r="FB9" i="19"/>
  <c r="FC9" i="19"/>
  <c r="FE9" i="19"/>
  <c r="FF9" i="19"/>
  <c r="GB9" i="19"/>
  <c r="GC9" i="19"/>
  <c r="GD9" i="19"/>
  <c r="GE9" i="19"/>
  <c r="GG9" i="19"/>
  <c r="GH9" i="19"/>
  <c r="HD9" i="19"/>
  <c r="HE9" i="19"/>
  <c r="HF9" i="19"/>
  <c r="HG9" i="19"/>
  <c r="HI9" i="19"/>
  <c r="HJ9" i="19"/>
  <c r="IF9" i="19"/>
  <c r="IG9" i="19"/>
  <c r="IH9" i="19"/>
  <c r="II9" i="19"/>
  <c r="IK9" i="19"/>
  <c r="IL9" i="19"/>
  <c r="JH9" i="19"/>
  <c r="JI9" i="19"/>
  <c r="JJ9" i="19"/>
  <c r="JK9" i="19"/>
  <c r="JM9" i="19"/>
  <c r="JN9" i="19"/>
  <c r="KJ9" i="19"/>
  <c r="KK9" i="19"/>
  <c r="KL9" i="19"/>
  <c r="KM9" i="19"/>
  <c r="KO9" i="19"/>
  <c r="KP9" i="19"/>
  <c r="LL9" i="19"/>
  <c r="LM9" i="19"/>
  <c r="LN9" i="19"/>
  <c r="LO9" i="19"/>
  <c r="LQ9" i="19"/>
  <c r="LR9" i="19"/>
  <c r="MN9" i="19"/>
  <c r="MO9" i="19"/>
  <c r="MP9" i="19"/>
  <c r="MQ9" i="19"/>
  <c r="MS9" i="19"/>
  <c r="MT9" i="19"/>
  <c r="NP9" i="19"/>
  <c r="NQ9" i="19"/>
  <c r="NR9" i="19"/>
  <c r="NS9" i="19"/>
  <c r="NU9" i="19"/>
  <c r="NV9" i="19"/>
  <c r="OR9" i="19"/>
  <c r="OS9" i="19"/>
  <c r="OT9" i="19"/>
  <c r="OU9" i="19"/>
  <c r="OW9" i="19"/>
  <c r="OX9" i="19"/>
  <c r="PT9" i="19"/>
  <c r="PU9" i="19"/>
  <c r="PV9" i="19"/>
  <c r="PW9" i="19"/>
  <c r="PY9" i="19"/>
  <c r="PZ9" i="19"/>
  <c r="QV9" i="19"/>
  <c r="QW9" i="19"/>
  <c r="QX9" i="19"/>
  <c r="QY9" i="19"/>
  <c r="RA9" i="19"/>
  <c r="RB9" i="19"/>
  <c r="RX9" i="19"/>
  <c r="RY9" i="19"/>
  <c r="RZ9" i="19"/>
  <c r="SA9" i="19"/>
  <c r="SC9" i="19"/>
  <c r="SD9" i="19"/>
  <c r="SZ9" i="19"/>
  <c r="TA9" i="19"/>
  <c r="TB9" i="19"/>
  <c r="TC9" i="19"/>
  <c r="TE9" i="19"/>
  <c r="TF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AN17" i="27"/>
  <c r="AO17" i="27"/>
  <c r="AP17" i="27"/>
  <c r="AQ17" i="27"/>
  <c r="AS17" i="27"/>
  <c r="AT17" i="27"/>
  <c r="BQ17" i="27"/>
  <c r="BR17" i="27"/>
  <c r="BS17" i="27"/>
  <c r="BT17" i="27"/>
  <c r="BV17" i="27"/>
  <c r="CT17" i="27"/>
  <c r="CU17" i="27"/>
  <c r="CV17" i="27"/>
  <c r="CW17" i="27"/>
  <c r="CY17" i="27"/>
  <c r="CZ17" i="27"/>
  <c r="DX17" i="27"/>
  <c r="DY17" i="27"/>
  <c r="DZ17" i="27"/>
  <c r="EA17" i="27"/>
  <c r="EC17" i="27"/>
  <c r="ED17" i="27"/>
  <c r="EZ17" i="27"/>
  <c r="FA17" i="27"/>
  <c r="FB17" i="27"/>
  <c r="FC17" i="27"/>
  <c r="FE17" i="27"/>
  <c r="FF17" i="27"/>
  <c r="GB17" i="27"/>
  <c r="GC17" i="27"/>
  <c r="GD17" i="27"/>
  <c r="GE17" i="27"/>
  <c r="GG17" i="27"/>
  <c r="GH17" i="27"/>
  <c r="HD17" i="27"/>
  <c r="HE17" i="27"/>
  <c r="HF17" i="27"/>
  <c r="HG17" i="27"/>
  <c r="HI17" i="27"/>
  <c r="HJ17" i="27"/>
  <c r="IF17" i="27"/>
  <c r="IG17" i="27"/>
  <c r="IH17" i="27"/>
  <c r="II17" i="27"/>
  <c r="IK17" i="27"/>
  <c r="IL17" i="27"/>
  <c r="JH17" i="27"/>
  <c r="JI17" i="27"/>
  <c r="JJ17" i="27"/>
  <c r="JK17" i="27"/>
  <c r="JM17" i="27"/>
  <c r="JN17" i="27"/>
  <c r="KJ17" i="27"/>
  <c r="KK17" i="27"/>
  <c r="KL17" i="27"/>
  <c r="KM17" i="27"/>
  <c r="KO17" i="27"/>
  <c r="KP17" i="27"/>
  <c r="LL17" i="27"/>
  <c r="LM17" i="27"/>
  <c r="LN17" i="27"/>
  <c r="LO17" i="27"/>
  <c r="LQ17" i="27"/>
  <c r="LR17" i="27"/>
  <c r="MN17" i="27"/>
  <c r="MO17" i="27"/>
  <c r="MP17" i="27"/>
  <c r="MQ17" i="27"/>
  <c r="MS17" i="27"/>
  <c r="MT17" i="27"/>
  <c r="NP17" i="27"/>
  <c r="NQ17" i="27"/>
  <c r="NR17" i="27"/>
  <c r="NS17" i="27"/>
  <c r="NU17" i="27"/>
  <c r="NV17" i="27"/>
  <c r="OR17" i="27"/>
  <c r="OS17" i="27"/>
  <c r="OT17" i="27"/>
  <c r="OU17" i="27"/>
  <c r="OW17" i="27"/>
  <c r="OX17" i="27"/>
  <c r="PT17" i="27"/>
  <c r="PU17" i="27"/>
  <c r="PV17" i="27"/>
  <c r="PW17" i="27"/>
  <c r="PY17" i="27"/>
  <c r="PZ17" i="27"/>
  <c r="QV17" i="27"/>
  <c r="QW17" i="27"/>
  <c r="QX17" i="27"/>
  <c r="QY17" i="27"/>
  <c r="RA17" i="27"/>
  <c r="RB17" i="27"/>
  <c r="RX17" i="27"/>
  <c r="RY17" i="27"/>
  <c r="RZ17" i="27"/>
  <c r="SA17" i="27"/>
  <c r="SC17" i="27"/>
  <c r="SD17" i="27"/>
  <c r="SZ17" i="27"/>
  <c r="TA17" i="27"/>
  <c r="TB17" i="27"/>
  <c r="TC17" i="27"/>
  <c r="TE17" i="27"/>
  <c r="TF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AN11" i="27"/>
  <c r="AO11" i="27"/>
  <c r="AP11" i="27"/>
  <c r="AQ11" i="27"/>
  <c r="AS11" i="27"/>
  <c r="AT11" i="27"/>
  <c r="BQ11" i="27"/>
  <c r="BR11" i="27"/>
  <c r="BS11" i="27"/>
  <c r="BT11" i="27"/>
  <c r="BV11" i="27"/>
  <c r="BW11" i="27"/>
  <c r="CT11" i="27"/>
  <c r="CU11" i="27"/>
  <c r="CV11" i="27"/>
  <c r="CW11" i="27"/>
  <c r="CY11" i="27"/>
  <c r="CZ11" i="27"/>
  <c r="DX11" i="27"/>
  <c r="DY11" i="27"/>
  <c r="DZ11" i="27"/>
  <c r="EA11" i="27"/>
  <c r="EC11" i="27"/>
  <c r="ED11" i="27"/>
  <c r="EZ11" i="27"/>
  <c r="FA11" i="27"/>
  <c r="FB11" i="27"/>
  <c r="FC11" i="27"/>
  <c r="FE11" i="27"/>
  <c r="FF11" i="27"/>
  <c r="GB11" i="27"/>
  <c r="GC11" i="27"/>
  <c r="GD11" i="27"/>
  <c r="GE11" i="27"/>
  <c r="GG11" i="27"/>
  <c r="GH11" i="27"/>
  <c r="HD11" i="27"/>
  <c r="HE11" i="27"/>
  <c r="HF11" i="27"/>
  <c r="HG11" i="27"/>
  <c r="HI11" i="27"/>
  <c r="HJ11" i="27"/>
  <c r="IF11" i="27"/>
  <c r="IG11" i="27"/>
  <c r="IH11" i="27"/>
  <c r="II11" i="27"/>
  <c r="IK11" i="27"/>
  <c r="IL11" i="27"/>
  <c r="JH11" i="27"/>
  <c r="JI11" i="27"/>
  <c r="JJ11" i="27"/>
  <c r="JK11" i="27"/>
  <c r="JM11" i="27"/>
  <c r="JN11" i="27"/>
  <c r="KJ11" i="27"/>
  <c r="KK11" i="27"/>
  <c r="KL11" i="27"/>
  <c r="KM11" i="27"/>
  <c r="KO11" i="27"/>
  <c r="KP11" i="27"/>
  <c r="LL11" i="27"/>
  <c r="LM11" i="27"/>
  <c r="LN11" i="27"/>
  <c r="LO11" i="27"/>
  <c r="LQ11" i="27"/>
  <c r="LR11" i="27"/>
  <c r="MN11" i="27"/>
  <c r="MO11" i="27"/>
  <c r="MP11" i="27"/>
  <c r="MQ11" i="27"/>
  <c r="MS11" i="27"/>
  <c r="MT11" i="27"/>
  <c r="NP11" i="27"/>
  <c r="NQ11" i="27"/>
  <c r="NR11" i="27"/>
  <c r="NS11" i="27"/>
  <c r="NU11" i="27"/>
  <c r="NV11" i="27"/>
  <c r="OR11" i="27"/>
  <c r="OS11" i="27"/>
  <c r="OT11" i="27"/>
  <c r="OU11" i="27"/>
  <c r="OW11" i="27"/>
  <c r="OX11" i="27"/>
  <c r="PT11" i="27"/>
  <c r="PU11" i="27"/>
  <c r="PV11" i="27"/>
  <c r="PW11" i="27"/>
  <c r="PY11" i="27"/>
  <c r="PZ11" i="27"/>
  <c r="QV11" i="27"/>
  <c r="QW11" i="27"/>
  <c r="QX11" i="27"/>
  <c r="QY11" i="27"/>
  <c r="RA11" i="27"/>
  <c r="RB11" i="27"/>
  <c r="RX11" i="27"/>
  <c r="RY11" i="27"/>
  <c r="RZ11" i="27"/>
  <c r="SA11" i="27"/>
  <c r="SC11" i="27"/>
  <c r="SD11" i="27"/>
  <c r="SZ11" i="27"/>
  <c r="TA11" i="27"/>
  <c r="TB11" i="27"/>
  <c r="TC11" i="27"/>
  <c r="TE11" i="27"/>
  <c r="TF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AN12" i="26"/>
  <c r="AO12" i="26"/>
  <c r="AP12" i="26"/>
  <c r="AQ12" i="26"/>
  <c r="AS12" i="26"/>
  <c r="AT12" i="26"/>
  <c r="BQ12" i="26"/>
  <c r="BR12" i="26"/>
  <c r="BS12" i="26"/>
  <c r="BT12" i="26"/>
  <c r="BV12" i="26"/>
  <c r="BW12" i="26"/>
  <c r="CT12" i="26"/>
  <c r="CU12" i="26"/>
  <c r="CV12" i="26"/>
  <c r="CW12" i="26"/>
  <c r="CY12" i="26"/>
  <c r="CZ12" i="26"/>
  <c r="DX12" i="26"/>
  <c r="DY12" i="26"/>
  <c r="DZ12" i="26"/>
  <c r="EA12" i="26"/>
  <c r="EC12" i="26"/>
  <c r="ED12" i="26"/>
  <c r="EZ12" i="26"/>
  <c r="FA12" i="26"/>
  <c r="FB12" i="26"/>
  <c r="FC12" i="26"/>
  <c r="FE12" i="26"/>
  <c r="FF12" i="26"/>
  <c r="GB12" i="26"/>
  <c r="GC12" i="26"/>
  <c r="GD12" i="26"/>
  <c r="GE12" i="26"/>
  <c r="GG12" i="26"/>
  <c r="GH12" i="26"/>
  <c r="HD12" i="26"/>
  <c r="HE12" i="26"/>
  <c r="HF12" i="26"/>
  <c r="HG12" i="26"/>
  <c r="HI12" i="26"/>
  <c r="HJ12" i="26"/>
  <c r="IF12" i="26"/>
  <c r="IG12" i="26"/>
  <c r="IH12" i="26"/>
  <c r="II12" i="26"/>
  <c r="IK12" i="26"/>
  <c r="IL12" i="26"/>
  <c r="JH12" i="26"/>
  <c r="JI12" i="26"/>
  <c r="JJ12" i="26"/>
  <c r="JK12" i="26"/>
  <c r="JM12" i="26"/>
  <c r="JN12" i="26"/>
  <c r="KJ12" i="26"/>
  <c r="KK12" i="26"/>
  <c r="KL12" i="26"/>
  <c r="KM12" i="26"/>
  <c r="KO12" i="26"/>
  <c r="KP12" i="26"/>
  <c r="LL12" i="26"/>
  <c r="LM12" i="26"/>
  <c r="LN12" i="26"/>
  <c r="LO12" i="26"/>
  <c r="LQ12" i="26"/>
  <c r="LR12" i="26"/>
  <c r="MN12" i="26"/>
  <c r="MO12" i="26"/>
  <c r="MP12" i="26"/>
  <c r="MQ12" i="26"/>
  <c r="MS12" i="26"/>
  <c r="MT12" i="26"/>
  <c r="NP12" i="26"/>
  <c r="NQ12" i="26"/>
  <c r="NR12" i="26"/>
  <c r="NS12" i="26"/>
  <c r="NU12" i="26"/>
  <c r="NV12" i="26"/>
  <c r="OR12" i="26"/>
  <c r="OS12" i="26"/>
  <c r="OT12" i="26"/>
  <c r="OU12" i="26"/>
  <c r="OW12" i="26"/>
  <c r="OX12" i="26"/>
  <c r="PT12" i="26"/>
  <c r="PU12" i="26"/>
  <c r="PV12" i="26"/>
  <c r="PW12" i="26"/>
  <c r="PY12" i="26"/>
  <c r="PZ12" i="26"/>
  <c r="QV12" i="26"/>
  <c r="QW12" i="26"/>
  <c r="QX12" i="26"/>
  <c r="QY12" i="26"/>
  <c r="RA12" i="26"/>
  <c r="RB12" i="26"/>
  <c r="RX12" i="26"/>
  <c r="RY12" i="26"/>
  <c r="RZ12" i="26"/>
  <c r="SA12" i="26"/>
  <c r="SC12" i="26"/>
  <c r="SD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AN7" i="26"/>
  <c r="AO7" i="26"/>
  <c r="AP7" i="26"/>
  <c r="AQ7" i="26"/>
  <c r="AS7" i="26"/>
  <c r="AT7" i="26"/>
  <c r="BQ7" i="26"/>
  <c r="BR7" i="26"/>
  <c r="BS7" i="26"/>
  <c r="BT7" i="26"/>
  <c r="BV7" i="26"/>
  <c r="BW7" i="26"/>
  <c r="CT7" i="26"/>
  <c r="CU7" i="26"/>
  <c r="CV7" i="26"/>
  <c r="CW7" i="26"/>
  <c r="CY7" i="26"/>
  <c r="CZ7" i="26"/>
  <c r="DX7" i="26"/>
  <c r="DY7" i="26"/>
  <c r="DZ7" i="26"/>
  <c r="EA7" i="26"/>
  <c r="EC7" i="26"/>
  <c r="ED7" i="26"/>
  <c r="EZ7" i="26"/>
  <c r="FA7" i="26"/>
  <c r="FB7" i="26"/>
  <c r="FC7" i="26"/>
  <c r="FE7" i="26"/>
  <c r="FF7" i="26"/>
  <c r="GB7" i="26"/>
  <c r="GC7" i="26"/>
  <c r="GD7" i="26"/>
  <c r="GE7" i="26"/>
  <c r="GG7" i="26"/>
  <c r="GH7" i="26"/>
  <c r="HD7" i="26"/>
  <c r="HE7" i="26"/>
  <c r="HF7" i="26"/>
  <c r="HG7" i="26"/>
  <c r="HI7" i="26"/>
  <c r="HJ7" i="26"/>
  <c r="IF7" i="26"/>
  <c r="IG7" i="26"/>
  <c r="IH7" i="26"/>
  <c r="II7" i="26"/>
  <c r="IK7" i="26"/>
  <c r="IL7" i="26"/>
  <c r="JH7" i="26"/>
  <c r="JI7" i="26"/>
  <c r="JJ7" i="26"/>
  <c r="JK7" i="26"/>
  <c r="JM7" i="26"/>
  <c r="JN7" i="26"/>
  <c r="KJ7" i="26"/>
  <c r="KK7" i="26"/>
  <c r="KL7" i="26"/>
  <c r="KM7" i="26"/>
  <c r="KO7" i="26"/>
  <c r="KP7" i="26"/>
  <c r="LL7" i="26"/>
  <c r="LM7" i="26"/>
  <c r="LN7" i="26"/>
  <c r="LO7" i="26"/>
  <c r="LQ7" i="26"/>
  <c r="LR7" i="26"/>
  <c r="MN7" i="26"/>
  <c r="MO7" i="26"/>
  <c r="MP7" i="26"/>
  <c r="MQ7" i="26"/>
  <c r="MS7" i="26"/>
  <c r="MT7" i="26"/>
  <c r="NP7" i="26"/>
  <c r="NQ7" i="26"/>
  <c r="NR7" i="26"/>
  <c r="NS7" i="26"/>
  <c r="NU7" i="26"/>
  <c r="NV7" i="26"/>
  <c r="NW7" i="26" s="1"/>
  <c r="OR7" i="26"/>
  <c r="OS7" i="26"/>
  <c r="OT7" i="26"/>
  <c r="OU7" i="26"/>
  <c r="OW7" i="26"/>
  <c r="OX7" i="26"/>
  <c r="PT7" i="26"/>
  <c r="PU7" i="26"/>
  <c r="PV7" i="26"/>
  <c r="PW7" i="26"/>
  <c r="PY7" i="26"/>
  <c r="PZ7" i="26"/>
  <c r="QV7" i="26"/>
  <c r="QW7" i="26"/>
  <c r="QX7" i="26"/>
  <c r="QY7" i="26"/>
  <c r="RA7" i="26"/>
  <c r="RB7" i="26"/>
  <c r="RX7" i="26"/>
  <c r="RY7" i="26"/>
  <c r="RZ7" i="26"/>
  <c r="SA7" i="26"/>
  <c r="SC7" i="26"/>
  <c r="SD7" i="26"/>
  <c r="SZ7" i="26"/>
  <c r="TA7" i="26"/>
  <c r="TB7" i="26"/>
  <c r="TC7" i="26"/>
  <c r="TE7" i="26"/>
  <c r="TF7" i="26"/>
  <c r="TH7" i="26"/>
  <c r="TI7" i="26"/>
  <c r="TJ7" i="26"/>
  <c r="TK7" i="26"/>
  <c r="TL7" i="26"/>
  <c r="TM7" i="26"/>
  <c r="TN7" i="26"/>
  <c r="TO7" i="26"/>
  <c r="TP7" i="26"/>
  <c r="TQ7" i="26"/>
  <c r="TR7" i="26"/>
  <c r="TS7" i="26"/>
  <c r="TT7" i="26"/>
  <c r="TU7" i="26"/>
  <c r="TV7" i="26"/>
  <c r="TW7" i="26"/>
  <c r="TX7" i="26"/>
  <c r="TY7" i="26"/>
  <c r="TZ7" i="26"/>
  <c r="UA7" i="26"/>
  <c r="AO19" i="4"/>
  <c r="AP19" i="4"/>
  <c r="AQ19" i="4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R19" i="4" s="1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X19" i="4" s="1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TP19" i="4"/>
  <c r="TQ19" i="4"/>
  <c r="TR19" i="4"/>
  <c r="TS19" i="4"/>
  <c r="TT19" i="4"/>
  <c r="TU19" i="4"/>
  <c r="TW19" i="4"/>
  <c r="TX19" i="4"/>
  <c r="TY19" i="4"/>
  <c r="TZ19" i="4"/>
  <c r="UA19" i="4"/>
  <c r="UB19" i="4"/>
  <c r="UX19" i="4"/>
  <c r="UY19" i="4"/>
  <c r="UZ19" i="4"/>
  <c r="VA19" i="4"/>
  <c r="VB19" i="4"/>
  <c r="VC19" i="4"/>
  <c r="VE19" i="4"/>
  <c r="VF19" i="4"/>
  <c r="VG19" i="4"/>
  <c r="VH19" i="4"/>
  <c r="VI19" i="4"/>
  <c r="VJ19" i="4"/>
  <c r="WF19" i="4"/>
  <c r="WG19" i="4"/>
  <c r="WH19" i="4"/>
  <c r="WI19" i="4"/>
  <c r="WJ19" i="4"/>
  <c r="WK19" i="4"/>
  <c r="WM19" i="4"/>
  <c r="WN19" i="4"/>
  <c r="WO19" i="4"/>
  <c r="WP19" i="4"/>
  <c r="WQ19" i="4"/>
  <c r="WR19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AO14" i="4"/>
  <c r="AP14" i="4"/>
  <c r="AQ14" i="4"/>
  <c r="AR14" i="4"/>
  <c r="AS14" i="4"/>
  <c r="AT14" i="4"/>
  <c r="AV14" i="4"/>
  <c r="AW14" i="4"/>
  <c r="AX14" i="4"/>
  <c r="BP14" i="4"/>
  <c r="BQ14" i="4"/>
  <c r="BR14" i="4"/>
  <c r="BS14" i="4"/>
  <c r="BT14" i="4"/>
  <c r="BU14" i="4"/>
  <c r="BW14" i="4"/>
  <c r="BX14" i="4"/>
  <c r="BY14" i="4"/>
  <c r="CQ14" i="4"/>
  <c r="CR14" i="4"/>
  <c r="CS14" i="4"/>
  <c r="CT14" i="4"/>
  <c r="CU14" i="4"/>
  <c r="CV14" i="4"/>
  <c r="CX14" i="4"/>
  <c r="CY14" i="4"/>
  <c r="CZ14" i="4"/>
  <c r="DX14" i="4"/>
  <c r="DY14" i="4"/>
  <c r="DZ14" i="4"/>
  <c r="EA14" i="4"/>
  <c r="EB14" i="4"/>
  <c r="EC14" i="4"/>
  <c r="EE14" i="4"/>
  <c r="EF14" i="4"/>
  <c r="EG14" i="4"/>
  <c r="EH14" i="4"/>
  <c r="EI14" i="4"/>
  <c r="EJ14" i="4"/>
  <c r="FF14" i="4"/>
  <c r="FG14" i="4"/>
  <c r="FH14" i="4"/>
  <c r="FI14" i="4"/>
  <c r="FJ14" i="4"/>
  <c r="FK14" i="4"/>
  <c r="FM14" i="4"/>
  <c r="FN14" i="4"/>
  <c r="FO14" i="4"/>
  <c r="FP14" i="4"/>
  <c r="FQ14" i="4"/>
  <c r="FR14" i="4"/>
  <c r="GN14" i="4"/>
  <c r="GO14" i="4"/>
  <c r="GP14" i="4"/>
  <c r="GQ14" i="4"/>
  <c r="GR14" i="4"/>
  <c r="GS14" i="4"/>
  <c r="GT14" i="4" s="1"/>
  <c r="GU14" i="4"/>
  <c r="GV14" i="4"/>
  <c r="GW14" i="4"/>
  <c r="GX14" i="4"/>
  <c r="GY14" i="4"/>
  <c r="GZ14" i="4"/>
  <c r="HV14" i="4"/>
  <c r="HW14" i="4"/>
  <c r="HX14" i="4"/>
  <c r="HY14" i="4"/>
  <c r="HZ14" i="4"/>
  <c r="IA14" i="4"/>
  <c r="IC14" i="4"/>
  <c r="ID14" i="4"/>
  <c r="IE14" i="4"/>
  <c r="IF14" i="4"/>
  <c r="IG14" i="4"/>
  <c r="IH14" i="4"/>
  <c r="JD14" i="4"/>
  <c r="JE14" i="4"/>
  <c r="JF14" i="4"/>
  <c r="JG14" i="4"/>
  <c r="JH14" i="4"/>
  <c r="JI14" i="4"/>
  <c r="JK14" i="4"/>
  <c r="JL14" i="4"/>
  <c r="JM14" i="4"/>
  <c r="JN14" i="4"/>
  <c r="JO14" i="4"/>
  <c r="JP14" i="4"/>
  <c r="KL14" i="4"/>
  <c r="KM14" i="4"/>
  <c r="KN14" i="4"/>
  <c r="KO14" i="4"/>
  <c r="KP14" i="4"/>
  <c r="KQ14" i="4"/>
  <c r="KS14" i="4"/>
  <c r="KT14" i="4"/>
  <c r="KU14" i="4"/>
  <c r="KV14" i="4"/>
  <c r="KW14" i="4"/>
  <c r="KX14" i="4"/>
  <c r="LT14" i="4"/>
  <c r="LU14" i="4"/>
  <c r="LV14" i="4"/>
  <c r="LW14" i="4"/>
  <c r="LX14" i="4"/>
  <c r="LY14" i="4"/>
  <c r="MA14" i="4"/>
  <c r="MB14" i="4"/>
  <c r="MC14" i="4"/>
  <c r="MD14" i="4"/>
  <c r="ME14" i="4"/>
  <c r="MF14" i="4"/>
  <c r="NB14" i="4"/>
  <c r="NC14" i="4"/>
  <c r="ND14" i="4"/>
  <c r="NE14" i="4"/>
  <c r="NF14" i="4"/>
  <c r="NG14" i="4"/>
  <c r="NI14" i="4"/>
  <c r="NJ14" i="4"/>
  <c r="NK14" i="4"/>
  <c r="NL14" i="4"/>
  <c r="NM14" i="4"/>
  <c r="NN14" i="4"/>
  <c r="OJ14" i="4"/>
  <c r="OK14" i="4"/>
  <c r="OL14" i="4"/>
  <c r="OM14" i="4"/>
  <c r="ON14" i="4"/>
  <c r="OO14" i="4"/>
  <c r="OQ14" i="4"/>
  <c r="OR14" i="4"/>
  <c r="OS14" i="4"/>
  <c r="OT14" i="4"/>
  <c r="OU14" i="4"/>
  <c r="OV14" i="4"/>
  <c r="PR14" i="4"/>
  <c r="PS14" i="4"/>
  <c r="PT14" i="4"/>
  <c r="PU14" i="4"/>
  <c r="PV14" i="4"/>
  <c r="PW14" i="4"/>
  <c r="PY14" i="4"/>
  <c r="PZ14" i="4"/>
  <c r="QA14" i="4"/>
  <c r="QB14" i="4"/>
  <c r="QC14" i="4"/>
  <c r="QD14" i="4"/>
  <c r="QZ14" i="4"/>
  <c r="RA14" i="4"/>
  <c r="RB14" i="4"/>
  <c r="RC14" i="4"/>
  <c r="RD14" i="4"/>
  <c r="RE14" i="4"/>
  <c r="RG14" i="4"/>
  <c r="RH14" i="4"/>
  <c r="RI14" i="4"/>
  <c r="RJ14" i="4"/>
  <c r="RK14" i="4"/>
  <c r="RL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TP14" i="4"/>
  <c r="TQ14" i="4"/>
  <c r="TR14" i="4"/>
  <c r="TS14" i="4"/>
  <c r="TT14" i="4"/>
  <c r="TU14" i="4"/>
  <c r="TW14" i="4"/>
  <c r="TX14" i="4"/>
  <c r="TY14" i="4"/>
  <c r="TZ14" i="4"/>
  <c r="UA14" i="4"/>
  <c r="UB14" i="4"/>
  <c r="UX14" i="4"/>
  <c r="UY14" i="4"/>
  <c r="UZ14" i="4"/>
  <c r="VA14" i="4"/>
  <c r="VB14" i="4"/>
  <c r="VC14" i="4"/>
  <c r="VE14" i="4"/>
  <c r="VF14" i="4"/>
  <c r="VG14" i="4"/>
  <c r="VH14" i="4"/>
  <c r="VI14" i="4"/>
  <c r="VJ14" i="4"/>
  <c r="WF14" i="4"/>
  <c r="WG14" i="4"/>
  <c r="WH14" i="4"/>
  <c r="WI14" i="4"/>
  <c r="WJ14" i="4"/>
  <c r="WK14" i="4"/>
  <c r="WM14" i="4"/>
  <c r="WN14" i="4"/>
  <c r="WO14" i="4"/>
  <c r="WP14" i="4"/>
  <c r="WQ14" i="4"/>
  <c r="WR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DX15" i="4"/>
  <c r="DY15" i="4"/>
  <c r="DZ15" i="4"/>
  <c r="EA15" i="4"/>
  <c r="EB15" i="4"/>
  <c r="EC15" i="4"/>
  <c r="EE15" i="4"/>
  <c r="EF15" i="4"/>
  <c r="EG15" i="4"/>
  <c r="EH15" i="4"/>
  <c r="EI15" i="4"/>
  <c r="EJ15" i="4"/>
  <c r="FF15" i="4"/>
  <c r="FG15" i="4"/>
  <c r="FH15" i="4"/>
  <c r="FI15" i="4"/>
  <c r="FJ15" i="4"/>
  <c r="FK15" i="4"/>
  <c r="FM15" i="4"/>
  <c r="FN15" i="4"/>
  <c r="FO15" i="4"/>
  <c r="FP15" i="4"/>
  <c r="FQ15" i="4"/>
  <c r="FR15" i="4"/>
  <c r="GN15" i="4"/>
  <c r="GO15" i="4"/>
  <c r="GP15" i="4"/>
  <c r="GQ15" i="4"/>
  <c r="GR15" i="4"/>
  <c r="GS15" i="4"/>
  <c r="GU15" i="4"/>
  <c r="GV15" i="4"/>
  <c r="GW15" i="4"/>
  <c r="GX15" i="4"/>
  <c r="GY15" i="4"/>
  <c r="GZ15" i="4"/>
  <c r="HV15" i="4"/>
  <c r="HW15" i="4"/>
  <c r="HX15" i="4"/>
  <c r="HY15" i="4"/>
  <c r="HZ15" i="4"/>
  <c r="IA15" i="4"/>
  <c r="IC15" i="4"/>
  <c r="ID15" i="4"/>
  <c r="IE15" i="4"/>
  <c r="IF15" i="4"/>
  <c r="IG15" i="4"/>
  <c r="IH15" i="4"/>
  <c r="JD15" i="4"/>
  <c r="JE15" i="4"/>
  <c r="JF15" i="4"/>
  <c r="JG15" i="4"/>
  <c r="JH15" i="4"/>
  <c r="JI15" i="4"/>
  <c r="JK15" i="4"/>
  <c r="JL15" i="4"/>
  <c r="JM15" i="4"/>
  <c r="JN15" i="4"/>
  <c r="JO15" i="4"/>
  <c r="JP15" i="4"/>
  <c r="KL15" i="4"/>
  <c r="KM15" i="4"/>
  <c r="KN15" i="4"/>
  <c r="KO15" i="4"/>
  <c r="KP15" i="4"/>
  <c r="KQ15" i="4"/>
  <c r="KS15" i="4"/>
  <c r="KT15" i="4"/>
  <c r="KU15" i="4"/>
  <c r="KV15" i="4"/>
  <c r="KW15" i="4"/>
  <c r="KX15" i="4"/>
  <c r="LT15" i="4"/>
  <c r="LU15" i="4"/>
  <c r="LV15" i="4"/>
  <c r="LW15" i="4"/>
  <c r="LX15" i="4"/>
  <c r="LY15" i="4"/>
  <c r="LZ15" i="4"/>
  <c r="MA15" i="4"/>
  <c r="MB15" i="4"/>
  <c r="MC15" i="4"/>
  <c r="MD15" i="4"/>
  <c r="ME15" i="4"/>
  <c r="MF15" i="4"/>
  <c r="NB15" i="4"/>
  <c r="NC15" i="4"/>
  <c r="ND15" i="4"/>
  <c r="NH15" i="4" s="1"/>
  <c r="NE15" i="4"/>
  <c r="NF15" i="4"/>
  <c r="NG15" i="4"/>
  <c r="NI15" i="4"/>
  <c r="NJ15" i="4"/>
  <c r="NK15" i="4"/>
  <c r="NL15" i="4"/>
  <c r="NM15" i="4"/>
  <c r="NN15" i="4"/>
  <c r="OJ15" i="4"/>
  <c r="OK15" i="4"/>
  <c r="OL15" i="4"/>
  <c r="OM15" i="4"/>
  <c r="ON15" i="4"/>
  <c r="OO15" i="4"/>
  <c r="OQ15" i="4"/>
  <c r="OR15" i="4"/>
  <c r="OS15" i="4"/>
  <c r="OT15" i="4"/>
  <c r="OU15" i="4"/>
  <c r="OV15" i="4"/>
  <c r="PR15" i="4"/>
  <c r="PS15" i="4"/>
  <c r="PT15" i="4"/>
  <c r="PU15" i="4"/>
  <c r="PV15" i="4"/>
  <c r="PW15" i="4"/>
  <c r="PY15" i="4"/>
  <c r="PZ15" i="4"/>
  <c r="QA15" i="4"/>
  <c r="QB15" i="4"/>
  <c r="QC15" i="4"/>
  <c r="QD15" i="4"/>
  <c r="QZ15" i="4"/>
  <c r="RA15" i="4"/>
  <c r="RB15" i="4"/>
  <c r="RC15" i="4"/>
  <c r="RD15" i="4"/>
  <c r="RE15" i="4"/>
  <c r="RG15" i="4"/>
  <c r="RH15" i="4"/>
  <c r="RI15" i="4"/>
  <c r="RJ15" i="4"/>
  <c r="RK15" i="4"/>
  <c r="RL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TP15" i="4"/>
  <c r="TQ15" i="4"/>
  <c r="TR15" i="4"/>
  <c r="TS15" i="4"/>
  <c r="TT15" i="4"/>
  <c r="TU15" i="4"/>
  <c r="TW15" i="4"/>
  <c r="TX15" i="4"/>
  <c r="TY15" i="4"/>
  <c r="TZ15" i="4"/>
  <c r="UA15" i="4"/>
  <c r="UB15" i="4"/>
  <c r="UX15" i="4"/>
  <c r="UY15" i="4"/>
  <c r="UZ15" i="4"/>
  <c r="VA15" i="4"/>
  <c r="VB15" i="4"/>
  <c r="VC15" i="4"/>
  <c r="VE15" i="4"/>
  <c r="VF15" i="4"/>
  <c r="VG15" i="4"/>
  <c r="VH15" i="4"/>
  <c r="VI15" i="4"/>
  <c r="VJ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GF21" i="21" l="1"/>
  <c r="TD21" i="21"/>
  <c r="CX20" i="21"/>
  <c r="PX25" i="21"/>
  <c r="XL8" i="28"/>
  <c r="XL5" i="28"/>
  <c r="XL7" i="28"/>
  <c r="LZ19" i="4"/>
  <c r="CT5" i="28"/>
  <c r="N5" i="28" s="1"/>
  <c r="E5" i="28" s="1"/>
  <c r="H7" i="28"/>
  <c r="A7" i="28" s="1" a="1"/>
  <c r="A7" i="28" s="1"/>
  <c r="XH4" i="28"/>
  <c r="XL4" i="28" s="1"/>
  <c r="H4" i="28"/>
  <c r="CU7" i="28"/>
  <c r="CT7" i="28"/>
  <c r="N7" i="28" s="1"/>
  <c r="M7" i="28"/>
  <c r="H5" i="28"/>
  <c r="P5" i="28"/>
  <c r="O5" i="28"/>
  <c r="K6" i="28"/>
  <c r="K7" i="28"/>
  <c r="M6" i="28"/>
  <c r="CT6" i="28"/>
  <c r="CU6" i="28"/>
  <c r="H6" i="28"/>
  <c r="M4" i="28"/>
  <c r="CU4" i="28"/>
  <c r="CT4" i="28"/>
  <c r="M8" i="28"/>
  <c r="CU8" i="28"/>
  <c r="CT8" i="28"/>
  <c r="H8" i="28"/>
  <c r="A8" i="28" s="1" a="1"/>
  <c r="A8" i="28" s="1"/>
  <c r="EB25" i="21"/>
  <c r="QZ21" i="21"/>
  <c r="GI21" i="21"/>
  <c r="KN21" i="21"/>
  <c r="CX9" i="19"/>
  <c r="PX23" i="19"/>
  <c r="AR23" i="19"/>
  <c r="GF26" i="19"/>
  <c r="EE26" i="19"/>
  <c r="CX17" i="27"/>
  <c r="TD17" i="27"/>
  <c r="SB11" i="27"/>
  <c r="KN11" i="27"/>
  <c r="JL11" i="27"/>
  <c r="RC12" i="26"/>
  <c r="JL7" i="26"/>
  <c r="LS7" i="26"/>
  <c r="HH7" i="26"/>
  <c r="CW19" i="4"/>
  <c r="NH19" i="4"/>
  <c r="HH25" i="21"/>
  <c r="LP20" i="21"/>
  <c r="EB20" i="21"/>
  <c r="JL25" i="21"/>
  <c r="LP25" i="21"/>
  <c r="PX20" i="21"/>
  <c r="NT25" i="21"/>
  <c r="IJ25" i="21"/>
  <c r="LP21" i="21"/>
  <c r="EB21" i="21"/>
  <c r="NT21" i="21"/>
  <c r="JO25" i="21"/>
  <c r="SB20" i="21"/>
  <c r="KN20" i="21"/>
  <c r="GF25" i="21"/>
  <c r="HK25" i="21"/>
  <c r="SB23" i="19"/>
  <c r="LP9" i="19"/>
  <c r="JL9" i="19"/>
  <c r="PX9" i="19"/>
  <c r="QZ26" i="19"/>
  <c r="EB23" i="19"/>
  <c r="SB9" i="19"/>
  <c r="TD26" i="19"/>
  <c r="HH26" i="19"/>
  <c r="TG26" i="19"/>
  <c r="G26" i="19" s="1"/>
  <c r="NT9" i="19"/>
  <c r="OV26" i="19"/>
  <c r="IJ23" i="19"/>
  <c r="IJ17" i="27"/>
  <c r="EB11" i="27"/>
  <c r="KN7" i="26"/>
  <c r="HK7" i="26"/>
  <c r="JO7" i="26"/>
  <c r="GI12" i="26"/>
  <c r="CX7" i="26"/>
  <c r="JL12" i="26"/>
  <c r="SB12" i="26"/>
  <c r="NT7" i="26"/>
  <c r="UH12" i="26"/>
  <c r="QZ7" i="26"/>
  <c r="DA12" i="26"/>
  <c r="HH12" i="26"/>
  <c r="PX7" i="26"/>
  <c r="LP7" i="26"/>
  <c r="EE7" i="26"/>
  <c r="OV12" i="26"/>
  <c r="KN12" i="26"/>
  <c r="SB7" i="26"/>
  <c r="LP12" i="26"/>
  <c r="HH20" i="21"/>
  <c r="JL20" i="21"/>
  <c r="NT20" i="21"/>
  <c r="GF20" i="21"/>
  <c r="NW25" i="21"/>
  <c r="IJ20" i="21"/>
  <c r="OP19" i="4"/>
  <c r="ED19" i="4"/>
  <c r="AU19" i="4"/>
  <c r="AY19" i="4" s="1"/>
  <c r="IB19" i="4"/>
  <c r="II19" i="4" s="1"/>
  <c r="TV19" i="4"/>
  <c r="UC19" i="4" s="1"/>
  <c r="VD14" i="4"/>
  <c r="VK14" i="4" s="1"/>
  <c r="KN25" i="21"/>
  <c r="OV25" i="21"/>
  <c r="HH21" i="21"/>
  <c r="FD21" i="21"/>
  <c r="QZ25" i="21"/>
  <c r="LS25" i="21"/>
  <c r="JL21" i="21"/>
  <c r="TD25" i="21"/>
  <c r="OV20" i="21"/>
  <c r="QZ20" i="21"/>
  <c r="JO20" i="21"/>
  <c r="HK20" i="21"/>
  <c r="CX21" i="21"/>
  <c r="PX21" i="21"/>
  <c r="SB21" i="21"/>
  <c r="EE25" i="21"/>
  <c r="SB25" i="21"/>
  <c r="GI25" i="21"/>
  <c r="AU20" i="21"/>
  <c r="LS20" i="21"/>
  <c r="NW20" i="21"/>
  <c r="OY21" i="21"/>
  <c r="GI20" i="21"/>
  <c r="TG21" i="21"/>
  <c r="G21" i="21" s="1"/>
  <c r="RC21" i="21"/>
  <c r="EE21" i="21"/>
  <c r="NW21" i="21"/>
  <c r="LS21" i="21"/>
  <c r="JO21" i="21"/>
  <c r="HK21" i="21"/>
  <c r="DA21" i="21"/>
  <c r="TD20" i="21"/>
  <c r="EB9" i="19"/>
  <c r="IJ26" i="19"/>
  <c r="KN26" i="19"/>
  <c r="GF23" i="19"/>
  <c r="UE26" i="19"/>
  <c r="RC26" i="19"/>
  <c r="JL26" i="19"/>
  <c r="EE9" i="19"/>
  <c r="CX26" i="19"/>
  <c r="OV23" i="19"/>
  <c r="GI26" i="19"/>
  <c r="QZ23" i="19"/>
  <c r="EE23" i="19"/>
  <c r="TG23" i="19"/>
  <c r="G23" i="19" s="1"/>
  <c r="EB26" i="19"/>
  <c r="QZ9" i="19"/>
  <c r="NT23" i="19"/>
  <c r="OY26" i="19"/>
  <c r="TD11" i="27"/>
  <c r="HH17" i="27"/>
  <c r="QZ17" i="27"/>
  <c r="JO17" i="27"/>
  <c r="PX11" i="27"/>
  <c r="KN17" i="27"/>
  <c r="NT17" i="27"/>
  <c r="AR17" i="27"/>
  <c r="LP11" i="27"/>
  <c r="EB7" i="26"/>
  <c r="TG12" i="26"/>
  <c r="IJ7" i="26"/>
  <c r="GI7" i="26"/>
  <c r="QZ12" i="26"/>
  <c r="OV7" i="26"/>
  <c r="TD12" i="26"/>
  <c r="EB12" i="26"/>
  <c r="NW12" i="26"/>
  <c r="TD7" i="26"/>
  <c r="NT12" i="26"/>
  <c r="AU7" i="26"/>
  <c r="OY12" i="26"/>
  <c r="GF12" i="26"/>
  <c r="EE12" i="26"/>
  <c r="LS12" i="26"/>
  <c r="JO12" i="26"/>
  <c r="HK12" i="26"/>
  <c r="RC7" i="26"/>
  <c r="RF19" i="4"/>
  <c r="FL19" i="4"/>
  <c r="SN19" i="4"/>
  <c r="CW14" i="4"/>
  <c r="WL19" i="4"/>
  <c r="WS19" i="4" s="1"/>
  <c r="NH14" i="4"/>
  <c r="NO14" i="4" s="1"/>
  <c r="LZ14" i="4"/>
  <c r="MG14" i="4" s="1"/>
  <c r="VD19" i="4"/>
  <c r="VK19" i="4" s="1"/>
  <c r="KY19" i="4"/>
  <c r="OP15" i="4"/>
  <c r="OW15" i="4" s="1"/>
  <c r="BV14" i="4"/>
  <c r="BZ14" i="4" s="1"/>
  <c r="OP14" i="4"/>
  <c r="OW14" i="4" s="1"/>
  <c r="BV15" i="4"/>
  <c r="KR14" i="4"/>
  <c r="KY14" i="4" s="1"/>
  <c r="L21" i="21"/>
  <c r="DB21" i="21" s="1"/>
  <c r="AR21" i="21"/>
  <c r="AU26" i="19"/>
  <c r="XL19" i="4"/>
  <c r="BV19" i="4"/>
  <c r="BZ19" i="4" s="1"/>
  <c r="AU15" i="4"/>
  <c r="AY15" i="4" s="1"/>
  <c r="AU14" i="4"/>
  <c r="AY14" i="4" s="1"/>
  <c r="AR12" i="26"/>
  <c r="J12" i="26"/>
  <c r="K12" i="26" s="1"/>
  <c r="AU12" i="26"/>
  <c r="AU11" i="27"/>
  <c r="HH11" i="27"/>
  <c r="QZ11" i="27"/>
  <c r="JL17" i="27"/>
  <c r="NT11" i="27"/>
  <c r="DA17" i="27"/>
  <c r="GI11" i="27"/>
  <c r="AU17" i="27"/>
  <c r="UH11" i="27"/>
  <c r="IJ11" i="27"/>
  <c r="LP17" i="27"/>
  <c r="HK17" i="27"/>
  <c r="NW11" i="27"/>
  <c r="NW17" i="27"/>
  <c r="JO11" i="27"/>
  <c r="LS11" i="27"/>
  <c r="CX11" i="27"/>
  <c r="PX17" i="27"/>
  <c r="EB17" i="27"/>
  <c r="GF11" i="27"/>
  <c r="LS17" i="27"/>
  <c r="SB17" i="27"/>
  <c r="GI17" i="27"/>
  <c r="HK11" i="27"/>
  <c r="OV17" i="27"/>
  <c r="GF17" i="27"/>
  <c r="AR11" i="27"/>
  <c r="TG17" i="27"/>
  <c r="G17" i="27" s="1"/>
  <c r="RC17" i="27"/>
  <c r="EE17" i="27"/>
  <c r="AR9" i="19"/>
  <c r="LS23" i="19"/>
  <c r="RC23" i="19"/>
  <c r="TD9" i="19"/>
  <c r="NT26" i="19"/>
  <c r="GF9" i="19"/>
  <c r="OY23" i="19"/>
  <c r="JO26" i="19"/>
  <c r="LS26" i="19"/>
  <c r="HK26" i="19"/>
  <c r="IJ9" i="19"/>
  <c r="TD23" i="19"/>
  <c r="RC9" i="19"/>
  <c r="LP26" i="19"/>
  <c r="AR20" i="21"/>
  <c r="CX25" i="21"/>
  <c r="DA20" i="21"/>
  <c r="SE21" i="21"/>
  <c r="QA21" i="21"/>
  <c r="MR21" i="21"/>
  <c r="KQ21" i="21"/>
  <c r="IM21" i="21"/>
  <c r="UD21" i="21"/>
  <c r="UF21" i="21"/>
  <c r="UI21" i="21"/>
  <c r="N21" i="21"/>
  <c r="O21" i="21" s="1"/>
  <c r="UE21" i="21"/>
  <c r="AU21" i="21"/>
  <c r="UH21" i="21"/>
  <c r="MU21" i="21"/>
  <c r="FG21" i="21"/>
  <c r="UC21" i="21"/>
  <c r="BU21" i="21"/>
  <c r="J21" i="21"/>
  <c r="BX21" i="21"/>
  <c r="L25" i="21"/>
  <c r="DB25" i="21" s="1"/>
  <c r="TG25" i="21"/>
  <c r="G25" i="21" s="1"/>
  <c r="RC25" i="21"/>
  <c r="DA25" i="21"/>
  <c r="OY25" i="21"/>
  <c r="SE25" i="21"/>
  <c r="QA25" i="21"/>
  <c r="MR25" i="21"/>
  <c r="KQ25" i="21"/>
  <c r="IM25" i="21"/>
  <c r="FD25" i="21"/>
  <c r="UH25" i="21"/>
  <c r="UD25" i="21"/>
  <c r="UC25" i="21"/>
  <c r="N25" i="21"/>
  <c r="O25" i="21" s="1"/>
  <c r="UE25" i="21"/>
  <c r="AU25" i="21"/>
  <c r="AR25" i="21"/>
  <c r="UF25" i="21"/>
  <c r="BX25" i="21"/>
  <c r="UI25" i="21"/>
  <c r="J25" i="21"/>
  <c r="MU25" i="21"/>
  <c r="FG25" i="21"/>
  <c r="BU25" i="21"/>
  <c r="TG20" i="21"/>
  <c r="G20" i="21" s="1"/>
  <c r="MR20" i="21"/>
  <c r="EE20" i="21"/>
  <c r="SE20" i="21"/>
  <c r="RC20" i="21"/>
  <c r="QA20" i="21"/>
  <c r="OY20" i="21"/>
  <c r="KQ20" i="21"/>
  <c r="IM20" i="21"/>
  <c r="FD20" i="21"/>
  <c r="BU20" i="21"/>
  <c r="UD20" i="21"/>
  <c r="N20" i="21"/>
  <c r="O20" i="21" s="1"/>
  <c r="UC20" i="21"/>
  <c r="UH20" i="21"/>
  <c r="UE20" i="21"/>
  <c r="UI20" i="21"/>
  <c r="L20" i="21"/>
  <c r="DB20" i="21" s="1"/>
  <c r="UF20" i="21"/>
  <c r="BX20" i="21"/>
  <c r="MU20" i="21"/>
  <c r="FG20" i="21"/>
  <c r="J20" i="21"/>
  <c r="SE26" i="19"/>
  <c r="SB26" i="19"/>
  <c r="QA26" i="19"/>
  <c r="PX26" i="19"/>
  <c r="NW26" i="19"/>
  <c r="MR26" i="19"/>
  <c r="KQ26" i="19"/>
  <c r="IM26" i="19"/>
  <c r="FD26" i="19"/>
  <c r="BX26" i="19"/>
  <c r="N26" i="19"/>
  <c r="O26" i="19" s="1"/>
  <c r="UD26" i="19"/>
  <c r="UC26" i="19"/>
  <c r="UH26" i="19"/>
  <c r="UI26" i="19"/>
  <c r="L26" i="19"/>
  <c r="DB26" i="19" s="1"/>
  <c r="DA26" i="19"/>
  <c r="AR26" i="19"/>
  <c r="J26" i="19"/>
  <c r="UF26" i="19"/>
  <c r="MU26" i="19"/>
  <c r="FG26" i="19"/>
  <c r="BU26" i="19"/>
  <c r="AU9" i="19"/>
  <c r="NW23" i="19"/>
  <c r="HK9" i="19"/>
  <c r="JO9" i="19"/>
  <c r="GI9" i="19"/>
  <c r="NW9" i="19"/>
  <c r="HH23" i="19"/>
  <c r="JL23" i="19"/>
  <c r="TG9" i="19"/>
  <c r="G9" i="19" s="1"/>
  <c r="KN9" i="19"/>
  <c r="SE23" i="19"/>
  <c r="QA23" i="19"/>
  <c r="MR23" i="19"/>
  <c r="LP23" i="19"/>
  <c r="KQ23" i="19"/>
  <c r="JO23" i="19"/>
  <c r="IM23" i="19"/>
  <c r="HK23" i="19"/>
  <c r="GI23" i="19"/>
  <c r="FD23" i="19"/>
  <c r="CX23" i="19"/>
  <c r="UE23" i="19"/>
  <c r="BU23" i="19"/>
  <c r="N23" i="19"/>
  <c r="O23" i="19" s="1"/>
  <c r="UD23" i="19"/>
  <c r="UC23" i="19"/>
  <c r="UH23" i="19"/>
  <c r="AU23" i="19"/>
  <c r="DA23" i="19"/>
  <c r="UI23" i="19"/>
  <c r="L23" i="19"/>
  <c r="DB23" i="19" s="1"/>
  <c r="UF23" i="19"/>
  <c r="BX23" i="19"/>
  <c r="MU23" i="19"/>
  <c r="FG23" i="19"/>
  <c r="J23" i="19"/>
  <c r="LS9" i="19"/>
  <c r="MR9" i="19"/>
  <c r="OY9" i="19"/>
  <c r="BU9" i="19"/>
  <c r="SE9" i="19"/>
  <c r="QA9" i="19"/>
  <c r="OV9" i="19"/>
  <c r="KQ9" i="19"/>
  <c r="IM9" i="19"/>
  <c r="HH9" i="19"/>
  <c r="FD9" i="19"/>
  <c r="UE9" i="19"/>
  <c r="N9" i="19"/>
  <c r="O9" i="19" s="1"/>
  <c r="UD9" i="19"/>
  <c r="UI9" i="19"/>
  <c r="UC9" i="19"/>
  <c r="UH9" i="19"/>
  <c r="DA9" i="19"/>
  <c r="J9" i="19"/>
  <c r="UF9" i="19"/>
  <c r="BX9" i="19"/>
  <c r="MU9" i="19"/>
  <c r="FG9" i="19"/>
  <c r="L9" i="19"/>
  <c r="DB9" i="19" s="1"/>
  <c r="DA11" i="27"/>
  <c r="SE17" i="27"/>
  <c r="QA17" i="27"/>
  <c r="OY17" i="27"/>
  <c r="MR17" i="27"/>
  <c r="KQ17" i="27"/>
  <c r="IM17" i="27"/>
  <c r="FD17" i="27"/>
  <c r="UD17" i="27"/>
  <c r="UF17" i="27"/>
  <c r="BU17" i="27"/>
  <c r="UH17" i="27"/>
  <c r="UI17" i="27"/>
  <c r="N17" i="27"/>
  <c r="O17" i="27" s="1"/>
  <c r="UE17" i="27"/>
  <c r="F17" i="27"/>
  <c r="MU17" i="27"/>
  <c r="FG17" i="27"/>
  <c r="UC17" i="27"/>
  <c r="L17" i="27"/>
  <c r="DB17" i="27" s="1"/>
  <c r="J17" i="27"/>
  <c r="BX17" i="27"/>
  <c r="RC11" i="27"/>
  <c r="EE11" i="27"/>
  <c r="OV11" i="27"/>
  <c r="BU11" i="27"/>
  <c r="TG11" i="27"/>
  <c r="F11" i="27" s="1"/>
  <c r="SE11" i="27"/>
  <c r="QA11" i="27"/>
  <c r="OY11" i="27"/>
  <c r="MR11" i="27"/>
  <c r="KQ11" i="27"/>
  <c r="IM11" i="27"/>
  <c r="FD11" i="27"/>
  <c r="UD11" i="27"/>
  <c r="UI11" i="27"/>
  <c r="UC11" i="27"/>
  <c r="N11" i="27"/>
  <c r="O11" i="27" s="1"/>
  <c r="UE11" i="27"/>
  <c r="L11" i="27"/>
  <c r="DB11" i="27" s="1"/>
  <c r="J11" i="27"/>
  <c r="UF11" i="27"/>
  <c r="MU11" i="27"/>
  <c r="FG11" i="27"/>
  <c r="BX11" i="27"/>
  <c r="SE12" i="26"/>
  <c r="QA12" i="26"/>
  <c r="MR12" i="26"/>
  <c r="KQ12" i="26"/>
  <c r="IM12" i="26"/>
  <c r="FD12" i="26"/>
  <c r="CX12" i="26"/>
  <c r="UE12" i="26"/>
  <c r="N12" i="26"/>
  <c r="O12" i="26" s="1"/>
  <c r="UD12" i="26"/>
  <c r="UI12" i="26"/>
  <c r="UF12" i="26"/>
  <c r="G12" i="26"/>
  <c r="F12" i="26"/>
  <c r="PX12" i="26"/>
  <c r="IJ12" i="26"/>
  <c r="L12" i="26"/>
  <c r="DB12" i="26" s="1"/>
  <c r="BX12" i="26"/>
  <c r="MU12" i="26"/>
  <c r="FG12" i="26"/>
  <c r="UC12" i="26"/>
  <c r="BU12" i="26"/>
  <c r="FD7" i="26"/>
  <c r="TG7" i="26"/>
  <c r="G7" i="26" s="1"/>
  <c r="OY7" i="26"/>
  <c r="GF7" i="26"/>
  <c r="SE7" i="26"/>
  <c r="QA7" i="26"/>
  <c r="MR7" i="26"/>
  <c r="KQ7" i="26"/>
  <c r="IM7" i="26"/>
  <c r="BU7" i="26"/>
  <c r="UD7" i="26"/>
  <c r="UC7" i="26"/>
  <c r="UH7" i="26"/>
  <c r="UE7" i="26"/>
  <c r="AR7" i="26"/>
  <c r="N7" i="26"/>
  <c r="O7" i="26" s="1"/>
  <c r="F7" i="26"/>
  <c r="DA7" i="26"/>
  <c r="UI7" i="26"/>
  <c r="L7" i="26"/>
  <c r="DB7" i="26" s="1"/>
  <c r="J7" i="26"/>
  <c r="BX7" i="26"/>
  <c r="MU7" i="26"/>
  <c r="FG7" i="26"/>
  <c r="UF7" i="26"/>
  <c r="RF14" i="4"/>
  <c r="RM14" i="4" s="1"/>
  <c r="FL14" i="4"/>
  <c r="FS14" i="4" s="1"/>
  <c r="SN14" i="4"/>
  <c r="SU14" i="4" s="1"/>
  <c r="PX14" i="4"/>
  <c r="QE14" i="4" s="1"/>
  <c r="VD15" i="4"/>
  <c r="VK15" i="4" s="1"/>
  <c r="CW15" i="4"/>
  <c r="DA15" i="4" s="1"/>
  <c r="TV14" i="4"/>
  <c r="UC14" i="4" s="1"/>
  <c r="ED14" i="4"/>
  <c r="EK14" i="4" s="1"/>
  <c r="KR15" i="4"/>
  <c r="KY15" i="4" s="1"/>
  <c r="XL15" i="4"/>
  <c r="PX15" i="4"/>
  <c r="QE15" i="4" s="1"/>
  <c r="JJ19" i="4"/>
  <c r="JQ19" i="4" s="1"/>
  <c r="RF15" i="4"/>
  <c r="RM15" i="4" s="1"/>
  <c r="FL15" i="4"/>
  <c r="FS15" i="4" s="1"/>
  <c r="NO19" i="4"/>
  <c r="IB14" i="4"/>
  <c r="II14" i="4" s="1"/>
  <c r="XO19" i="4"/>
  <c r="WL14" i="4"/>
  <c r="WS14" i="4" s="1"/>
  <c r="ED15" i="4"/>
  <c r="EK15" i="4" s="1"/>
  <c r="JJ14" i="4"/>
  <c r="JQ14" i="4" s="1"/>
  <c r="SN15" i="4"/>
  <c r="SU15" i="4" s="1"/>
  <c r="GT15" i="4"/>
  <c r="HA15" i="4" s="1"/>
  <c r="GT19" i="4"/>
  <c r="HA19" i="4" s="1"/>
  <c r="MG19" i="4"/>
  <c r="TV15" i="4"/>
  <c r="UC15" i="4" s="1"/>
  <c r="DA19" i="4"/>
  <c r="XO14" i="4"/>
  <c r="SU19" i="4"/>
  <c r="RM19" i="4"/>
  <c r="QE19" i="4"/>
  <c r="OW19" i="4"/>
  <c r="FS19" i="4"/>
  <c r="EK19" i="4"/>
  <c r="P19" i="4"/>
  <c r="Q19" i="4" s="1"/>
  <c r="XS19" i="4"/>
  <c r="N19" i="4"/>
  <c r="R19" i="4"/>
  <c r="S19" i="4" s="1"/>
  <c r="L19" i="4"/>
  <c r="M19" i="4" s="1"/>
  <c r="J19" i="4"/>
  <c r="I19" i="4"/>
  <c r="G19" i="4"/>
  <c r="T19" i="4"/>
  <c r="U19" i="4" s="1"/>
  <c r="F19" i="4"/>
  <c r="DA14" i="4"/>
  <c r="WL15" i="4"/>
  <c r="WS15" i="4" s="1"/>
  <c r="JJ15" i="4"/>
  <c r="JQ15" i="4" s="1"/>
  <c r="BZ15" i="4"/>
  <c r="MG15" i="4"/>
  <c r="IB15" i="4"/>
  <c r="II15" i="4" s="1"/>
  <c r="NO15" i="4"/>
  <c r="XO15" i="4"/>
  <c r="HA14" i="4"/>
  <c r="P14" i="4"/>
  <c r="Q14" i="4" s="1"/>
  <c r="XL14" i="4"/>
  <c r="XS14" i="4"/>
  <c r="N14" i="4"/>
  <c r="O14" i="4" s="1"/>
  <c r="F14" i="4"/>
  <c r="L14" i="4"/>
  <c r="M14" i="4" s="1"/>
  <c r="G14" i="4"/>
  <c r="T14" i="4"/>
  <c r="U14" i="4" s="1"/>
  <c r="I14" i="4"/>
  <c r="R14" i="4"/>
  <c r="S14" i="4" s="1"/>
  <c r="J14" i="4"/>
  <c r="P15" i="4"/>
  <c r="Q15" i="4" s="1"/>
  <c r="XS15" i="4"/>
  <c r="N15" i="4"/>
  <c r="O15" i="4" s="1"/>
  <c r="R15" i="4"/>
  <c r="S15" i="4" s="1"/>
  <c r="L15" i="4"/>
  <c r="M15" i="4" s="1"/>
  <c r="J15" i="4"/>
  <c r="I15" i="4"/>
  <c r="G15" i="4"/>
  <c r="T15" i="4"/>
  <c r="U15" i="4" s="1"/>
  <c r="F15" i="4"/>
  <c r="F21" i="21" l="1"/>
  <c r="N8" i="28"/>
  <c r="N4" i="28"/>
  <c r="O4" i="28" s="1"/>
  <c r="P4" i="28"/>
  <c r="E4" i="28"/>
  <c r="P7" i="28"/>
  <c r="O7" i="28"/>
  <c r="N6" i="28"/>
  <c r="P8" i="28"/>
  <c r="O8" i="28"/>
  <c r="E7" i="28"/>
  <c r="E8" i="28"/>
  <c r="UG26" i="19"/>
  <c r="UJ26" i="19"/>
  <c r="F26" i="19"/>
  <c r="H26" i="19" s="1"/>
  <c r="A26" i="19" s="1" a="1"/>
  <c r="A26" i="19" s="1"/>
  <c r="XP14" i="4"/>
  <c r="XT14" i="4" s="1"/>
  <c r="UJ21" i="21"/>
  <c r="UG21" i="21"/>
  <c r="DC25" i="21"/>
  <c r="P25" i="21" s="1"/>
  <c r="I21" i="21"/>
  <c r="H21" i="21" s="1"/>
  <c r="A21" i="21" s="1" a="1"/>
  <c r="A21" i="21" s="1"/>
  <c r="F25" i="21"/>
  <c r="F20" i="21"/>
  <c r="F23" i="19"/>
  <c r="H23" i="19" s="1"/>
  <c r="A23" i="19" s="1" a="1"/>
  <c r="A23" i="19" s="1"/>
  <c r="DC7" i="26"/>
  <c r="P7" i="26" s="1"/>
  <c r="XP15" i="4"/>
  <c r="XT15" i="4" s="1"/>
  <c r="XP19" i="4"/>
  <c r="XT19" i="4" s="1"/>
  <c r="DB14" i="4"/>
  <c r="UG7" i="26"/>
  <c r="UG12" i="26"/>
  <c r="DC12" i="26"/>
  <c r="P12" i="26" s="1"/>
  <c r="I7" i="26"/>
  <c r="H7" i="26" s="1"/>
  <c r="I17" i="27"/>
  <c r="DC11" i="27"/>
  <c r="UG11" i="27"/>
  <c r="I11" i="27"/>
  <c r="DC17" i="27"/>
  <c r="P17" i="27" s="1"/>
  <c r="G11" i="27"/>
  <c r="I23" i="19"/>
  <c r="DC26" i="19"/>
  <c r="P26" i="19" s="1"/>
  <c r="F9" i="19"/>
  <c r="DC21" i="21"/>
  <c r="P21" i="21" s="1"/>
  <c r="UG25" i="21"/>
  <c r="K21" i="21"/>
  <c r="M21" i="21" s="1"/>
  <c r="UG20" i="21"/>
  <c r="I20" i="21"/>
  <c r="UJ25" i="21"/>
  <c r="K25" i="21"/>
  <c r="M25" i="21" s="1"/>
  <c r="I25" i="21"/>
  <c r="UJ20" i="21"/>
  <c r="DC20" i="21"/>
  <c r="P20" i="21" s="1"/>
  <c r="K20" i="21"/>
  <c r="M20" i="21" s="1"/>
  <c r="DC23" i="19"/>
  <c r="P23" i="19" s="1"/>
  <c r="UG23" i="19"/>
  <c r="I26" i="19"/>
  <c r="K26" i="19"/>
  <c r="M26" i="19" s="1"/>
  <c r="I9" i="19"/>
  <c r="UJ23" i="19"/>
  <c r="K23" i="19"/>
  <c r="M23" i="19" s="1"/>
  <c r="UJ9" i="19"/>
  <c r="UG9" i="19"/>
  <c r="DC9" i="19"/>
  <c r="K9" i="19"/>
  <c r="M9" i="19" s="1"/>
  <c r="UG17" i="27"/>
  <c r="H17" i="27"/>
  <c r="A17" i="27" s="1" a="1"/>
  <c r="A17" i="27" s="1"/>
  <c r="UJ17" i="27"/>
  <c r="K17" i="27"/>
  <c r="M17" i="27" s="1"/>
  <c r="UJ11" i="27"/>
  <c r="P11" i="27"/>
  <c r="K11" i="27"/>
  <c r="M11" i="27" s="1"/>
  <c r="UJ12" i="26"/>
  <c r="I12" i="26"/>
  <c r="H12" i="26" s="1"/>
  <c r="A12" i="26" s="1" a="1"/>
  <c r="A12" i="26" s="1"/>
  <c r="M12" i="26"/>
  <c r="UJ7" i="26"/>
  <c r="K7" i="26"/>
  <c r="M7" i="26" s="1"/>
  <c r="DC14" i="4"/>
  <c r="DB19" i="4"/>
  <c r="DC19" i="4"/>
  <c r="V19" i="4" s="1"/>
  <c r="O19" i="4"/>
  <c r="H19" i="4"/>
  <c r="A19" i="4" s="1" a="1"/>
  <c r="A19" i="4" s="1"/>
  <c r="K19" i="4"/>
  <c r="DC15" i="4"/>
  <c r="H14" i="4"/>
  <c r="K14" i="4"/>
  <c r="DB15" i="4"/>
  <c r="H15" i="4"/>
  <c r="K15" i="4"/>
  <c r="P6" i="28" l="1"/>
  <c r="O6" i="28"/>
  <c r="E6" i="28"/>
  <c r="A4" i="28" a="1"/>
  <c r="A4" i="28" s="1"/>
  <c r="H25" i="21"/>
  <c r="A25" i="21" s="1" a="1"/>
  <c r="A25" i="21" s="1"/>
  <c r="V15" i="4"/>
  <c r="X15" i="4" s="1"/>
  <c r="V14" i="4"/>
  <c r="H20" i="21"/>
  <c r="A20" i="21" s="1" a="1"/>
  <c r="A20" i="21" s="1"/>
  <c r="H11" i="27"/>
  <c r="E12" i="26"/>
  <c r="H9" i="19"/>
  <c r="E21" i="21"/>
  <c r="E25" i="21"/>
  <c r="E20" i="21"/>
  <c r="E26" i="19"/>
  <c r="P9" i="19"/>
  <c r="E23" i="19"/>
  <c r="E17" i="27"/>
  <c r="E11" i="27"/>
  <c r="E7" i="26"/>
  <c r="E19" i="4"/>
  <c r="W19" i="4"/>
  <c r="X19" i="4"/>
  <c r="E14" i="4"/>
  <c r="W14" i="4"/>
  <c r="X14" i="4"/>
  <c r="E15" i="4"/>
  <c r="W15" i="4"/>
  <c r="A6" i="28" l="1" a="1"/>
  <c r="A6" i="28" s="1"/>
  <c r="A5" i="28" a="1"/>
  <c r="A5" i="28" s="1"/>
  <c r="E9" i="19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15" i="24"/>
  <c r="SK15" i="24"/>
  <c r="SJ15" i="24"/>
  <c r="SI15" i="24"/>
  <c r="SH15" i="24"/>
  <c r="SG15" i="24"/>
  <c r="SE15" i="24"/>
  <c r="SD15" i="24"/>
  <c r="SC15" i="24"/>
  <c r="SB15" i="24"/>
  <c r="SF15" i="24" s="1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F8" i="24" s="1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X13" i="24" s="1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X7" i="24" s="1"/>
  <c r="QS7" i="24"/>
  <c r="QR7" i="24"/>
  <c r="RD6" i="24"/>
  <c r="RC6" i="24"/>
  <c r="RB6" i="24"/>
  <c r="RA6" i="24"/>
  <c r="QZ6" i="24"/>
  <c r="QY6" i="24"/>
  <c r="QW6" i="24"/>
  <c r="QV6" i="24"/>
  <c r="QU6" i="24"/>
  <c r="QT6" i="24"/>
  <c r="QX6" i="24" s="1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P12" i="24" s="1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P11" i="24" s="1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P4" i="24" s="1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H10" i="24" s="1"/>
  <c r="OC10" i="24"/>
  <c r="OB10" i="24"/>
  <c r="ON9" i="24"/>
  <c r="OM9" i="24"/>
  <c r="OL9" i="24"/>
  <c r="OK9" i="24"/>
  <c r="OJ9" i="24"/>
  <c r="OI9" i="24"/>
  <c r="OG9" i="24"/>
  <c r="OF9" i="24"/>
  <c r="OE9" i="24"/>
  <c r="OD9" i="24"/>
  <c r="OH9" i="24" s="1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5" i="24"/>
  <c r="NE15" i="24"/>
  <c r="ND15" i="24"/>
  <c r="NC15" i="24"/>
  <c r="NB15" i="24"/>
  <c r="NA15" i="24"/>
  <c r="MY15" i="24"/>
  <c r="MX15" i="24"/>
  <c r="MW15" i="24"/>
  <c r="MV15" i="24"/>
  <c r="MZ15" i="24" s="1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Z14" i="24" s="1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Z7" i="24" s="1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R12" i="24" s="1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R5" i="24" s="1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J10" i="24" s="1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J4" i="24" s="1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JB15" i="24" s="1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JB9" i="24" s="1"/>
  <c r="IW9" i="24"/>
  <c r="IV9" i="24"/>
  <c r="JH8" i="24"/>
  <c r="JG8" i="24"/>
  <c r="JF8" i="24"/>
  <c r="JE8" i="24"/>
  <c r="JD8" i="24"/>
  <c r="JC8" i="24"/>
  <c r="JA8" i="24"/>
  <c r="IZ8" i="24"/>
  <c r="IY8" i="24"/>
  <c r="IX8" i="24"/>
  <c r="JB8" i="24" s="1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T13" i="24" s="1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T7" i="24" s="1"/>
  <c r="HO7" i="24"/>
  <c r="HN7" i="24"/>
  <c r="HZ6" i="24"/>
  <c r="HY6" i="24"/>
  <c r="HX6" i="24"/>
  <c r="HW6" i="24"/>
  <c r="HV6" i="24"/>
  <c r="HU6" i="24"/>
  <c r="HS6" i="24"/>
  <c r="HR6" i="24"/>
  <c r="HQ6" i="24"/>
  <c r="HP6" i="24"/>
  <c r="HT6" i="24" s="1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L12" i="24" s="1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L11" i="24" s="1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L4" i="24" s="1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V7" i="24" s="1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V13" i="22" s="1"/>
  <c r="TQ13" i="22"/>
  <c r="TP13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V5" i="22" s="1"/>
  <c r="TQ5" i="22"/>
  <c r="TP5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A13" i="22"/>
  <c r="QZ13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F5" i="22" s="1"/>
  <c r="RA5" i="22"/>
  <c r="QZ5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J8" i="22" s="1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T14" i="22" s="1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T6" i="22" s="1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L9" i="22" s="1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ED14" i="22" s="1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VJ27" i="4"/>
  <c r="VI27" i="4"/>
  <c r="VH27" i="4"/>
  <c r="VG27" i="4"/>
  <c r="VF27" i="4"/>
  <c r="VE27" i="4"/>
  <c r="VC27" i="4"/>
  <c r="VB27" i="4"/>
  <c r="VA27" i="4"/>
  <c r="UZ27" i="4"/>
  <c r="UY27" i="4"/>
  <c r="UX27" i="4"/>
  <c r="VJ25" i="4"/>
  <c r="VI25" i="4"/>
  <c r="VH25" i="4"/>
  <c r="VG25" i="4"/>
  <c r="VF25" i="4"/>
  <c r="VE25" i="4"/>
  <c r="VC25" i="4"/>
  <c r="VB25" i="4"/>
  <c r="VA25" i="4"/>
  <c r="UZ25" i="4"/>
  <c r="UY25" i="4"/>
  <c r="UX25" i="4"/>
  <c r="VJ22" i="4"/>
  <c r="VI22" i="4"/>
  <c r="VH22" i="4"/>
  <c r="VG22" i="4"/>
  <c r="VF22" i="4"/>
  <c r="VE22" i="4"/>
  <c r="VC22" i="4"/>
  <c r="VB22" i="4"/>
  <c r="VA22" i="4"/>
  <c r="UZ22" i="4"/>
  <c r="VD22" i="4" s="1"/>
  <c r="UY22" i="4"/>
  <c r="UX22" i="4"/>
  <c r="VJ23" i="4"/>
  <c r="VI23" i="4"/>
  <c r="VH23" i="4"/>
  <c r="VG23" i="4"/>
  <c r="VF23" i="4"/>
  <c r="VE23" i="4"/>
  <c r="VC23" i="4"/>
  <c r="VB23" i="4"/>
  <c r="VA23" i="4"/>
  <c r="UZ23" i="4"/>
  <c r="VD23" i="4" s="1"/>
  <c r="UY23" i="4"/>
  <c r="UX23" i="4"/>
  <c r="VJ26" i="4"/>
  <c r="VI26" i="4"/>
  <c r="VH26" i="4"/>
  <c r="VG26" i="4"/>
  <c r="VF26" i="4"/>
  <c r="VE26" i="4"/>
  <c r="VC26" i="4"/>
  <c r="VB26" i="4"/>
  <c r="VA26" i="4"/>
  <c r="UZ26" i="4"/>
  <c r="UY26" i="4"/>
  <c r="UX26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7" i="4"/>
  <c r="VI17" i="4"/>
  <c r="VH17" i="4"/>
  <c r="VG17" i="4"/>
  <c r="VF17" i="4"/>
  <c r="VE17" i="4"/>
  <c r="VC17" i="4"/>
  <c r="VB17" i="4"/>
  <c r="VA17" i="4"/>
  <c r="UZ17" i="4"/>
  <c r="VD17" i="4" s="1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9" i="4"/>
  <c r="VI9" i="4"/>
  <c r="VH9" i="4"/>
  <c r="VG9" i="4"/>
  <c r="VF9" i="4"/>
  <c r="VE9" i="4"/>
  <c r="VC9" i="4"/>
  <c r="VB9" i="4"/>
  <c r="VA9" i="4"/>
  <c r="UZ9" i="4"/>
  <c r="UY9" i="4"/>
  <c r="UX9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18" i="4"/>
  <c r="VI18" i="4"/>
  <c r="VH18" i="4"/>
  <c r="VG18" i="4"/>
  <c r="VF18" i="4"/>
  <c r="VE18" i="4"/>
  <c r="VC18" i="4"/>
  <c r="VB18" i="4"/>
  <c r="VA18" i="4"/>
  <c r="UZ18" i="4"/>
  <c r="VD18" i="4" s="1"/>
  <c r="UY18" i="4"/>
  <c r="UX18" i="4"/>
  <c r="VJ7" i="4"/>
  <c r="VI7" i="4"/>
  <c r="VH7" i="4"/>
  <c r="VG7" i="4"/>
  <c r="VF7" i="4"/>
  <c r="VE7" i="4"/>
  <c r="VC7" i="4"/>
  <c r="VB7" i="4"/>
  <c r="VA7" i="4"/>
  <c r="UZ7" i="4"/>
  <c r="VD7" i="4" s="1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5" i="4"/>
  <c r="VI5" i="4"/>
  <c r="VH5" i="4"/>
  <c r="VG5" i="4"/>
  <c r="VF5" i="4"/>
  <c r="VE5" i="4"/>
  <c r="VC5" i="4"/>
  <c r="VB5" i="4"/>
  <c r="VA5" i="4"/>
  <c r="UZ5" i="4"/>
  <c r="UY5" i="4"/>
  <c r="UX5" i="4"/>
  <c r="VJ8" i="4"/>
  <c r="VI8" i="4"/>
  <c r="VH8" i="4"/>
  <c r="VG8" i="4"/>
  <c r="VF8" i="4"/>
  <c r="VE8" i="4"/>
  <c r="VC8" i="4"/>
  <c r="VB8" i="4"/>
  <c r="VA8" i="4"/>
  <c r="UZ8" i="4"/>
  <c r="UY8" i="4"/>
  <c r="UX8" i="4"/>
  <c r="VJ4" i="4"/>
  <c r="VI4" i="4"/>
  <c r="VH4" i="4"/>
  <c r="VG4" i="4"/>
  <c r="VF4" i="4"/>
  <c r="VE4" i="4"/>
  <c r="VC4" i="4"/>
  <c r="VB4" i="4"/>
  <c r="VA4" i="4"/>
  <c r="UZ4" i="4"/>
  <c r="UY4" i="4"/>
  <c r="UX4" i="4"/>
  <c r="UB27" i="4"/>
  <c r="UA27" i="4"/>
  <c r="TZ27" i="4"/>
  <c r="TY27" i="4"/>
  <c r="TX27" i="4"/>
  <c r="TW27" i="4"/>
  <c r="TU27" i="4"/>
  <c r="TT27" i="4"/>
  <c r="TS27" i="4"/>
  <c r="TR27" i="4"/>
  <c r="TQ27" i="4"/>
  <c r="TP27" i="4"/>
  <c r="UB25" i="4"/>
  <c r="UA25" i="4"/>
  <c r="TZ25" i="4"/>
  <c r="TY25" i="4"/>
  <c r="TX25" i="4"/>
  <c r="TW25" i="4"/>
  <c r="TU25" i="4"/>
  <c r="TT25" i="4"/>
  <c r="TS25" i="4"/>
  <c r="TR25" i="4"/>
  <c r="TV25" i="4" s="1"/>
  <c r="TQ25" i="4"/>
  <c r="TP25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6" i="4"/>
  <c r="UA26" i="4"/>
  <c r="TZ26" i="4"/>
  <c r="TY26" i="4"/>
  <c r="TX26" i="4"/>
  <c r="TW26" i="4"/>
  <c r="TU26" i="4"/>
  <c r="TT26" i="4"/>
  <c r="TS26" i="4"/>
  <c r="TR26" i="4"/>
  <c r="TQ26" i="4"/>
  <c r="TP26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7" i="4"/>
  <c r="UA17" i="4"/>
  <c r="TZ17" i="4"/>
  <c r="TY17" i="4"/>
  <c r="TX17" i="4"/>
  <c r="TW17" i="4"/>
  <c r="TU17" i="4"/>
  <c r="TT17" i="4"/>
  <c r="TS17" i="4"/>
  <c r="TR17" i="4"/>
  <c r="TV17" i="4" s="1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9" i="4"/>
  <c r="UA9" i="4"/>
  <c r="TZ9" i="4"/>
  <c r="TY9" i="4"/>
  <c r="TX9" i="4"/>
  <c r="TW9" i="4"/>
  <c r="TU9" i="4"/>
  <c r="TT9" i="4"/>
  <c r="TS9" i="4"/>
  <c r="TR9" i="4"/>
  <c r="TQ9" i="4"/>
  <c r="TP9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18" i="4"/>
  <c r="UA18" i="4"/>
  <c r="TZ18" i="4"/>
  <c r="TY18" i="4"/>
  <c r="TX18" i="4"/>
  <c r="TW18" i="4"/>
  <c r="TU18" i="4"/>
  <c r="TT18" i="4"/>
  <c r="TS18" i="4"/>
  <c r="TR18" i="4"/>
  <c r="TV18" i="4" s="1"/>
  <c r="TQ18" i="4"/>
  <c r="TP18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8" i="4"/>
  <c r="UA8" i="4"/>
  <c r="TZ8" i="4"/>
  <c r="TY8" i="4"/>
  <c r="TX8" i="4"/>
  <c r="TW8" i="4"/>
  <c r="TU8" i="4"/>
  <c r="TT8" i="4"/>
  <c r="TS8" i="4"/>
  <c r="TR8" i="4"/>
  <c r="TQ8" i="4"/>
  <c r="TP8" i="4"/>
  <c r="UB4" i="4"/>
  <c r="UA4" i="4"/>
  <c r="TZ4" i="4"/>
  <c r="TY4" i="4"/>
  <c r="TX4" i="4"/>
  <c r="TW4" i="4"/>
  <c r="TU4" i="4"/>
  <c r="TT4" i="4"/>
  <c r="TS4" i="4"/>
  <c r="TR4" i="4"/>
  <c r="TQ4" i="4"/>
  <c r="TP4" i="4"/>
  <c r="ST27" i="4"/>
  <c r="SS27" i="4"/>
  <c r="SR27" i="4"/>
  <c r="SQ27" i="4"/>
  <c r="SP27" i="4"/>
  <c r="SO27" i="4"/>
  <c r="SM27" i="4"/>
  <c r="SL27" i="4"/>
  <c r="SK27" i="4"/>
  <c r="SJ27" i="4"/>
  <c r="SI27" i="4"/>
  <c r="SH27" i="4"/>
  <c r="ST25" i="4"/>
  <c r="SS25" i="4"/>
  <c r="SR25" i="4"/>
  <c r="SQ25" i="4"/>
  <c r="SP25" i="4"/>
  <c r="SO25" i="4"/>
  <c r="SM25" i="4"/>
  <c r="SL25" i="4"/>
  <c r="SK25" i="4"/>
  <c r="SJ25" i="4"/>
  <c r="SN25" i="4" s="1"/>
  <c r="SI25" i="4"/>
  <c r="SH25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6" i="4"/>
  <c r="SS26" i="4"/>
  <c r="SR26" i="4"/>
  <c r="SQ26" i="4"/>
  <c r="SP26" i="4"/>
  <c r="SO26" i="4"/>
  <c r="SM26" i="4"/>
  <c r="SL26" i="4"/>
  <c r="SK26" i="4"/>
  <c r="SJ26" i="4"/>
  <c r="SI26" i="4"/>
  <c r="SH26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2" i="4"/>
  <c r="SS12" i="4"/>
  <c r="SR12" i="4"/>
  <c r="SQ12" i="4"/>
  <c r="SP12" i="4"/>
  <c r="SO12" i="4"/>
  <c r="SM12" i="4"/>
  <c r="SL12" i="4"/>
  <c r="SK12" i="4"/>
  <c r="SJ12" i="4"/>
  <c r="SN12" i="4" s="1"/>
  <c r="SI12" i="4"/>
  <c r="SH12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9" i="4"/>
  <c r="SS9" i="4"/>
  <c r="SR9" i="4"/>
  <c r="SQ9" i="4"/>
  <c r="SP9" i="4"/>
  <c r="SO9" i="4"/>
  <c r="SM9" i="4"/>
  <c r="SL9" i="4"/>
  <c r="SK9" i="4"/>
  <c r="SJ9" i="4"/>
  <c r="SI9" i="4"/>
  <c r="SH9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N5" i="4" s="1"/>
  <c r="SI5" i="4"/>
  <c r="SH5" i="4"/>
  <c r="ST8" i="4"/>
  <c r="SS8" i="4"/>
  <c r="SR8" i="4"/>
  <c r="SQ8" i="4"/>
  <c r="SP8" i="4"/>
  <c r="SO8" i="4"/>
  <c r="SM8" i="4"/>
  <c r="SL8" i="4"/>
  <c r="SK8" i="4"/>
  <c r="SJ8" i="4"/>
  <c r="SI8" i="4"/>
  <c r="SH8" i="4"/>
  <c r="ST4" i="4"/>
  <c r="SS4" i="4"/>
  <c r="SR4" i="4"/>
  <c r="SQ4" i="4"/>
  <c r="SP4" i="4"/>
  <c r="SO4" i="4"/>
  <c r="SM4" i="4"/>
  <c r="SL4" i="4"/>
  <c r="SK4" i="4"/>
  <c r="SJ4" i="4"/>
  <c r="SI4" i="4"/>
  <c r="SH4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6" i="4"/>
  <c r="RK26" i="4"/>
  <c r="RJ26" i="4"/>
  <c r="RI26" i="4"/>
  <c r="RH26" i="4"/>
  <c r="RG26" i="4"/>
  <c r="RE26" i="4"/>
  <c r="RD26" i="4"/>
  <c r="RC26" i="4"/>
  <c r="RB26" i="4"/>
  <c r="RF26" i="4" s="1"/>
  <c r="RA26" i="4"/>
  <c r="QZ26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9" i="4"/>
  <c r="RK9" i="4"/>
  <c r="RJ9" i="4"/>
  <c r="RI9" i="4"/>
  <c r="RH9" i="4"/>
  <c r="RG9" i="4"/>
  <c r="RE9" i="4"/>
  <c r="RD9" i="4"/>
  <c r="RC9" i="4"/>
  <c r="RB9" i="4"/>
  <c r="RA9" i="4"/>
  <c r="QZ9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F6" i="4" s="1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8" i="4"/>
  <c r="RK8" i="4"/>
  <c r="RJ8" i="4"/>
  <c r="RI8" i="4"/>
  <c r="RH8" i="4"/>
  <c r="RG8" i="4"/>
  <c r="RE8" i="4"/>
  <c r="RD8" i="4"/>
  <c r="RC8" i="4"/>
  <c r="RB8" i="4"/>
  <c r="RA8" i="4"/>
  <c r="QZ8" i="4"/>
  <c r="RL4" i="4"/>
  <c r="RK4" i="4"/>
  <c r="RJ4" i="4"/>
  <c r="RI4" i="4"/>
  <c r="RH4" i="4"/>
  <c r="RG4" i="4"/>
  <c r="RE4" i="4"/>
  <c r="RD4" i="4"/>
  <c r="RC4" i="4"/>
  <c r="RB4" i="4"/>
  <c r="RA4" i="4"/>
  <c r="QZ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3" i="4"/>
  <c r="QC23" i="4"/>
  <c r="QB23" i="4"/>
  <c r="QA23" i="4"/>
  <c r="PZ23" i="4"/>
  <c r="PY23" i="4"/>
  <c r="PW23" i="4"/>
  <c r="PV23" i="4"/>
  <c r="PU23" i="4"/>
  <c r="PT23" i="4"/>
  <c r="PX23" i="4" s="1"/>
  <c r="PS23" i="4"/>
  <c r="PR23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9" i="4"/>
  <c r="QC9" i="4"/>
  <c r="QB9" i="4"/>
  <c r="QA9" i="4"/>
  <c r="PZ9" i="4"/>
  <c r="PY9" i="4"/>
  <c r="PW9" i="4"/>
  <c r="PV9" i="4"/>
  <c r="PU9" i="4"/>
  <c r="PT9" i="4"/>
  <c r="PS9" i="4"/>
  <c r="PR9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8" i="4"/>
  <c r="QC8" i="4"/>
  <c r="QB8" i="4"/>
  <c r="QA8" i="4"/>
  <c r="PZ8" i="4"/>
  <c r="PY8" i="4"/>
  <c r="PW8" i="4"/>
  <c r="PV8" i="4"/>
  <c r="PU8" i="4"/>
  <c r="PT8" i="4"/>
  <c r="PS8" i="4"/>
  <c r="PR8" i="4"/>
  <c r="QD4" i="4"/>
  <c r="QC4" i="4"/>
  <c r="QB4" i="4"/>
  <c r="QA4" i="4"/>
  <c r="PZ4" i="4"/>
  <c r="PY4" i="4"/>
  <c r="PW4" i="4"/>
  <c r="PV4" i="4"/>
  <c r="PU4" i="4"/>
  <c r="PT4" i="4"/>
  <c r="PS4" i="4"/>
  <c r="PR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2" i="4"/>
  <c r="OU22" i="4"/>
  <c r="OT22" i="4"/>
  <c r="OS22" i="4"/>
  <c r="OR22" i="4"/>
  <c r="OQ22" i="4"/>
  <c r="OO22" i="4"/>
  <c r="ON22" i="4"/>
  <c r="OM22" i="4"/>
  <c r="OL22" i="4"/>
  <c r="OP22" i="4" s="1"/>
  <c r="OK22" i="4"/>
  <c r="OJ22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7" i="4"/>
  <c r="OU17" i="4"/>
  <c r="OT17" i="4"/>
  <c r="OS17" i="4"/>
  <c r="OR17" i="4"/>
  <c r="OQ17" i="4"/>
  <c r="OO17" i="4"/>
  <c r="ON17" i="4"/>
  <c r="OM17" i="4"/>
  <c r="OL17" i="4"/>
  <c r="OP17" i="4" s="1"/>
  <c r="OW17" i="4" s="1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P12" i="4" s="1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9" i="4"/>
  <c r="OU9" i="4"/>
  <c r="OT9" i="4"/>
  <c r="OS9" i="4"/>
  <c r="OR9" i="4"/>
  <c r="OQ9" i="4"/>
  <c r="OO9" i="4"/>
  <c r="ON9" i="4"/>
  <c r="OM9" i="4"/>
  <c r="OL9" i="4"/>
  <c r="OK9" i="4"/>
  <c r="OJ9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8" i="4"/>
  <c r="OU18" i="4"/>
  <c r="OT18" i="4"/>
  <c r="OS18" i="4"/>
  <c r="OR18" i="4"/>
  <c r="OQ18" i="4"/>
  <c r="OO18" i="4"/>
  <c r="ON18" i="4"/>
  <c r="OM18" i="4"/>
  <c r="OL18" i="4"/>
  <c r="OP18" i="4" s="1"/>
  <c r="OW18" i="4" s="1"/>
  <c r="OK18" i="4"/>
  <c r="OJ1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P5" i="4" s="1"/>
  <c r="OK5" i="4"/>
  <c r="OJ5" i="4"/>
  <c r="OV8" i="4"/>
  <c r="OU8" i="4"/>
  <c r="OT8" i="4"/>
  <c r="OS8" i="4"/>
  <c r="OR8" i="4"/>
  <c r="OQ8" i="4"/>
  <c r="OO8" i="4"/>
  <c r="ON8" i="4"/>
  <c r="OM8" i="4"/>
  <c r="OL8" i="4"/>
  <c r="OK8" i="4"/>
  <c r="OJ8" i="4"/>
  <c r="OV4" i="4"/>
  <c r="OU4" i="4"/>
  <c r="OT4" i="4"/>
  <c r="OS4" i="4"/>
  <c r="OR4" i="4"/>
  <c r="OQ4" i="4"/>
  <c r="OO4" i="4"/>
  <c r="ON4" i="4"/>
  <c r="OM4" i="4"/>
  <c r="OL4" i="4"/>
  <c r="OK4" i="4"/>
  <c r="OJ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5" i="4"/>
  <c r="NM25" i="4"/>
  <c r="NL25" i="4"/>
  <c r="NK25" i="4"/>
  <c r="NJ25" i="4"/>
  <c r="NI25" i="4"/>
  <c r="NG25" i="4"/>
  <c r="NF25" i="4"/>
  <c r="NE25" i="4"/>
  <c r="ND25" i="4"/>
  <c r="NH25" i="4" s="1"/>
  <c r="NO25" i="4" s="1"/>
  <c r="NC25" i="4"/>
  <c r="NB25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6" i="4"/>
  <c r="NM26" i="4"/>
  <c r="NL26" i="4"/>
  <c r="NK26" i="4"/>
  <c r="NJ26" i="4"/>
  <c r="NI26" i="4"/>
  <c r="NG26" i="4"/>
  <c r="NF26" i="4"/>
  <c r="NE26" i="4"/>
  <c r="ND26" i="4"/>
  <c r="NH26" i="4" s="1"/>
  <c r="NC26" i="4"/>
  <c r="NB26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9" i="4"/>
  <c r="NM9" i="4"/>
  <c r="NL9" i="4"/>
  <c r="NK9" i="4"/>
  <c r="NJ9" i="4"/>
  <c r="NI9" i="4"/>
  <c r="NG9" i="4"/>
  <c r="NF9" i="4"/>
  <c r="NE9" i="4"/>
  <c r="ND9" i="4"/>
  <c r="NC9" i="4"/>
  <c r="NB9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H6" i="4" s="1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8" i="4"/>
  <c r="NM8" i="4"/>
  <c r="NL8" i="4"/>
  <c r="NK8" i="4"/>
  <c r="NJ8" i="4"/>
  <c r="NI8" i="4"/>
  <c r="NG8" i="4"/>
  <c r="NF8" i="4"/>
  <c r="NE8" i="4"/>
  <c r="ND8" i="4"/>
  <c r="NC8" i="4"/>
  <c r="NB8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2" i="4"/>
  <c r="ME22" i="4"/>
  <c r="MD22" i="4"/>
  <c r="MC22" i="4"/>
  <c r="MB22" i="4"/>
  <c r="MA22" i="4"/>
  <c r="LY22" i="4"/>
  <c r="LX22" i="4"/>
  <c r="LW22" i="4"/>
  <c r="LV22" i="4"/>
  <c r="LZ22" i="4" s="1"/>
  <c r="LU22" i="4"/>
  <c r="LT22" i="4"/>
  <c r="MF23" i="4"/>
  <c r="ME23" i="4"/>
  <c r="MD23" i="4"/>
  <c r="MC23" i="4"/>
  <c r="MB23" i="4"/>
  <c r="MA23" i="4"/>
  <c r="LY23" i="4"/>
  <c r="LX23" i="4"/>
  <c r="LW23" i="4"/>
  <c r="LV23" i="4"/>
  <c r="LZ23" i="4" s="1"/>
  <c r="LU23" i="4"/>
  <c r="LT23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7" i="4"/>
  <c r="ME17" i="4"/>
  <c r="MD17" i="4"/>
  <c r="MC17" i="4"/>
  <c r="MB17" i="4"/>
  <c r="MA17" i="4"/>
  <c r="LY17" i="4"/>
  <c r="LX17" i="4"/>
  <c r="LW17" i="4"/>
  <c r="LV17" i="4"/>
  <c r="LZ17" i="4" s="1"/>
  <c r="LU17" i="4"/>
  <c r="LT17" i="4"/>
  <c r="MF16" i="4"/>
  <c r="ME16" i="4"/>
  <c r="MD16" i="4"/>
  <c r="MC16" i="4"/>
  <c r="MB16" i="4"/>
  <c r="MA16" i="4"/>
  <c r="LY16" i="4"/>
  <c r="LX16" i="4"/>
  <c r="LW16" i="4"/>
  <c r="LV16" i="4"/>
  <c r="LZ16" i="4" s="1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9" i="4"/>
  <c r="ME9" i="4"/>
  <c r="MD9" i="4"/>
  <c r="MC9" i="4"/>
  <c r="MB9" i="4"/>
  <c r="MA9" i="4"/>
  <c r="LY9" i="4"/>
  <c r="LX9" i="4"/>
  <c r="LW9" i="4"/>
  <c r="LV9" i="4"/>
  <c r="LU9" i="4"/>
  <c r="LT9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8" i="4"/>
  <c r="ME18" i="4"/>
  <c r="MD18" i="4"/>
  <c r="MC18" i="4"/>
  <c r="MB18" i="4"/>
  <c r="MA18" i="4"/>
  <c r="LY18" i="4"/>
  <c r="LX18" i="4"/>
  <c r="LW18" i="4"/>
  <c r="LV18" i="4"/>
  <c r="LZ18" i="4" s="1"/>
  <c r="LU18" i="4"/>
  <c r="LT18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8" i="4"/>
  <c r="ME8" i="4"/>
  <c r="MD8" i="4"/>
  <c r="MC8" i="4"/>
  <c r="MB8" i="4"/>
  <c r="MA8" i="4"/>
  <c r="LY8" i="4"/>
  <c r="LX8" i="4"/>
  <c r="LW8" i="4"/>
  <c r="LV8" i="4"/>
  <c r="LU8" i="4"/>
  <c r="LT8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5" i="4"/>
  <c r="KW25" i="4"/>
  <c r="KV25" i="4"/>
  <c r="KU25" i="4"/>
  <c r="KT25" i="4"/>
  <c r="KS25" i="4"/>
  <c r="KQ25" i="4"/>
  <c r="KP25" i="4"/>
  <c r="KO25" i="4"/>
  <c r="KN25" i="4"/>
  <c r="KR25" i="4" s="1"/>
  <c r="KM25" i="4"/>
  <c r="KL25" i="4"/>
  <c r="KX22" i="4"/>
  <c r="KW22" i="4"/>
  <c r="KV22" i="4"/>
  <c r="KU22" i="4"/>
  <c r="KT22" i="4"/>
  <c r="KS22" i="4"/>
  <c r="KQ22" i="4"/>
  <c r="KP22" i="4"/>
  <c r="KO22" i="4"/>
  <c r="KN22" i="4"/>
  <c r="KR22" i="4" s="1"/>
  <c r="KM22" i="4"/>
  <c r="KL22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7" i="4"/>
  <c r="KW17" i="4"/>
  <c r="KV17" i="4"/>
  <c r="KU17" i="4"/>
  <c r="KT17" i="4"/>
  <c r="KS17" i="4"/>
  <c r="KQ17" i="4"/>
  <c r="KP17" i="4"/>
  <c r="KO17" i="4"/>
  <c r="KN17" i="4"/>
  <c r="KR17" i="4" s="1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9" i="4"/>
  <c r="KW9" i="4"/>
  <c r="KV9" i="4"/>
  <c r="KU9" i="4"/>
  <c r="KT9" i="4"/>
  <c r="KS9" i="4"/>
  <c r="KQ9" i="4"/>
  <c r="KP9" i="4"/>
  <c r="KO9" i="4"/>
  <c r="KN9" i="4"/>
  <c r="KM9" i="4"/>
  <c r="KL9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8" i="4"/>
  <c r="KW18" i="4"/>
  <c r="KV18" i="4"/>
  <c r="KU18" i="4"/>
  <c r="KT18" i="4"/>
  <c r="KS18" i="4"/>
  <c r="KQ18" i="4"/>
  <c r="KP18" i="4"/>
  <c r="KO18" i="4"/>
  <c r="KN18" i="4"/>
  <c r="KR18" i="4" s="1"/>
  <c r="KM18" i="4"/>
  <c r="KL1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8" i="4"/>
  <c r="KW8" i="4"/>
  <c r="KV8" i="4"/>
  <c r="KU8" i="4"/>
  <c r="KT8" i="4"/>
  <c r="KS8" i="4"/>
  <c r="KQ8" i="4"/>
  <c r="KP8" i="4"/>
  <c r="KO8" i="4"/>
  <c r="KN8" i="4"/>
  <c r="KM8" i="4"/>
  <c r="KL8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5" i="4"/>
  <c r="JO25" i="4"/>
  <c r="JN25" i="4"/>
  <c r="JM25" i="4"/>
  <c r="JL25" i="4"/>
  <c r="JK25" i="4"/>
  <c r="JI25" i="4"/>
  <c r="JH25" i="4"/>
  <c r="JG25" i="4"/>
  <c r="JF25" i="4"/>
  <c r="JJ25" i="4" s="1"/>
  <c r="JE25" i="4"/>
  <c r="JD25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9" i="4"/>
  <c r="JO9" i="4"/>
  <c r="JN9" i="4"/>
  <c r="JM9" i="4"/>
  <c r="JL9" i="4"/>
  <c r="JK9" i="4"/>
  <c r="JI9" i="4"/>
  <c r="JH9" i="4"/>
  <c r="JG9" i="4"/>
  <c r="JF9" i="4"/>
  <c r="JE9" i="4"/>
  <c r="JD9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J5" i="4" s="1"/>
  <c r="JE5" i="4"/>
  <c r="JD5" i="4"/>
  <c r="JP8" i="4"/>
  <c r="JO8" i="4"/>
  <c r="JN8" i="4"/>
  <c r="JM8" i="4"/>
  <c r="JL8" i="4"/>
  <c r="JK8" i="4"/>
  <c r="JI8" i="4"/>
  <c r="JH8" i="4"/>
  <c r="JG8" i="4"/>
  <c r="JF8" i="4"/>
  <c r="JE8" i="4"/>
  <c r="JD8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6" i="4"/>
  <c r="IG26" i="4"/>
  <c r="IF26" i="4"/>
  <c r="IE26" i="4"/>
  <c r="ID26" i="4"/>
  <c r="IC26" i="4"/>
  <c r="IA26" i="4"/>
  <c r="HZ26" i="4"/>
  <c r="HY26" i="4"/>
  <c r="HX26" i="4"/>
  <c r="IB26" i="4" s="1"/>
  <c r="HW26" i="4"/>
  <c r="HV26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IB13" i="4" s="1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9" i="4"/>
  <c r="IG9" i="4"/>
  <c r="IF9" i="4"/>
  <c r="IE9" i="4"/>
  <c r="ID9" i="4"/>
  <c r="IC9" i="4"/>
  <c r="IA9" i="4"/>
  <c r="HZ9" i="4"/>
  <c r="HY9" i="4"/>
  <c r="HX9" i="4"/>
  <c r="HW9" i="4"/>
  <c r="HV9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IB6" i="4" s="1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8" i="4"/>
  <c r="IG8" i="4"/>
  <c r="IF8" i="4"/>
  <c r="IE8" i="4"/>
  <c r="ID8" i="4"/>
  <c r="IC8" i="4"/>
  <c r="IA8" i="4"/>
  <c r="HZ8" i="4"/>
  <c r="HY8" i="4"/>
  <c r="HX8" i="4"/>
  <c r="HW8" i="4"/>
  <c r="HV8" i="4"/>
  <c r="IH4" i="4"/>
  <c r="IG4" i="4"/>
  <c r="IF4" i="4"/>
  <c r="IE4" i="4"/>
  <c r="ID4" i="4"/>
  <c r="IC4" i="4"/>
  <c r="IA4" i="4"/>
  <c r="HZ4" i="4"/>
  <c r="HY4" i="4"/>
  <c r="HX4" i="4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3" i="4"/>
  <c r="GY23" i="4"/>
  <c r="GX23" i="4"/>
  <c r="GW23" i="4"/>
  <c r="GV23" i="4"/>
  <c r="GU23" i="4"/>
  <c r="GS23" i="4"/>
  <c r="GR23" i="4"/>
  <c r="GQ23" i="4"/>
  <c r="GP23" i="4"/>
  <c r="GT23" i="4" s="1"/>
  <c r="GO23" i="4"/>
  <c r="GN23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T16" i="4" s="1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T12" i="4" s="1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9" i="4"/>
  <c r="GY9" i="4"/>
  <c r="GX9" i="4"/>
  <c r="GW9" i="4"/>
  <c r="GV9" i="4"/>
  <c r="GU9" i="4"/>
  <c r="GS9" i="4"/>
  <c r="GR9" i="4"/>
  <c r="GQ9" i="4"/>
  <c r="GP9" i="4"/>
  <c r="GO9" i="4"/>
  <c r="GN9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7" i="4"/>
  <c r="GY7" i="4"/>
  <c r="GX7" i="4"/>
  <c r="GW7" i="4"/>
  <c r="GV7" i="4"/>
  <c r="GU7" i="4"/>
  <c r="GS7" i="4"/>
  <c r="GR7" i="4"/>
  <c r="GQ7" i="4"/>
  <c r="GP7" i="4"/>
  <c r="GT7" i="4" s="1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T5" i="4" s="1"/>
  <c r="GO5" i="4"/>
  <c r="GN5" i="4"/>
  <c r="GZ8" i="4"/>
  <c r="GY8" i="4"/>
  <c r="GX8" i="4"/>
  <c r="GW8" i="4"/>
  <c r="GV8" i="4"/>
  <c r="GU8" i="4"/>
  <c r="GS8" i="4"/>
  <c r="GR8" i="4"/>
  <c r="GQ8" i="4"/>
  <c r="GP8" i="4"/>
  <c r="GO8" i="4"/>
  <c r="GN8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2" i="4"/>
  <c r="FQ22" i="4"/>
  <c r="FP22" i="4"/>
  <c r="FO22" i="4"/>
  <c r="FN22" i="4"/>
  <c r="FM22" i="4"/>
  <c r="FK22" i="4"/>
  <c r="FJ22" i="4"/>
  <c r="FI22" i="4"/>
  <c r="FH22" i="4"/>
  <c r="FL22" i="4" s="1"/>
  <c r="FG22" i="4"/>
  <c r="FF22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6" i="4"/>
  <c r="FQ26" i="4"/>
  <c r="FP26" i="4"/>
  <c r="FO26" i="4"/>
  <c r="FN26" i="4"/>
  <c r="FM26" i="4"/>
  <c r="FK26" i="4"/>
  <c r="FJ26" i="4"/>
  <c r="FI26" i="4"/>
  <c r="FH26" i="4"/>
  <c r="FL26" i="4" s="1"/>
  <c r="FG26" i="4"/>
  <c r="FF26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7" i="4"/>
  <c r="FQ17" i="4"/>
  <c r="FP17" i="4"/>
  <c r="FO17" i="4"/>
  <c r="FN17" i="4"/>
  <c r="FM17" i="4"/>
  <c r="FK17" i="4"/>
  <c r="FJ17" i="4"/>
  <c r="FI17" i="4"/>
  <c r="FH17" i="4"/>
  <c r="FL17" i="4" s="1"/>
  <c r="FS17" i="4" s="1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L13" i="4" s="1"/>
  <c r="FG13" i="4"/>
  <c r="FF13" i="4"/>
  <c r="FR12" i="4"/>
  <c r="FQ12" i="4"/>
  <c r="FP12" i="4"/>
  <c r="FO12" i="4"/>
  <c r="FN12" i="4"/>
  <c r="FM12" i="4"/>
  <c r="FK12" i="4"/>
  <c r="FJ12" i="4"/>
  <c r="FI12" i="4"/>
  <c r="FH12" i="4"/>
  <c r="FL12" i="4" s="1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9" i="4"/>
  <c r="FQ9" i="4"/>
  <c r="FP9" i="4"/>
  <c r="FO9" i="4"/>
  <c r="FN9" i="4"/>
  <c r="FM9" i="4"/>
  <c r="FK9" i="4"/>
  <c r="FJ9" i="4"/>
  <c r="FI9" i="4"/>
  <c r="FH9" i="4"/>
  <c r="FG9" i="4"/>
  <c r="FF9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8" i="4"/>
  <c r="FQ18" i="4"/>
  <c r="FP18" i="4"/>
  <c r="FO18" i="4"/>
  <c r="FN18" i="4"/>
  <c r="FM18" i="4"/>
  <c r="FK18" i="4"/>
  <c r="FJ18" i="4"/>
  <c r="FI18" i="4"/>
  <c r="FH18" i="4"/>
  <c r="FL18" i="4" s="1"/>
  <c r="FS18" i="4" s="1"/>
  <c r="FG18" i="4"/>
  <c r="FF1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L6" i="4" s="1"/>
  <c r="FG6" i="4"/>
  <c r="FF6" i="4"/>
  <c r="FR5" i="4"/>
  <c r="FQ5" i="4"/>
  <c r="FP5" i="4"/>
  <c r="FO5" i="4"/>
  <c r="FN5" i="4"/>
  <c r="FM5" i="4"/>
  <c r="FK5" i="4"/>
  <c r="FJ5" i="4"/>
  <c r="FI5" i="4"/>
  <c r="FH5" i="4"/>
  <c r="FL5" i="4" s="1"/>
  <c r="FG5" i="4"/>
  <c r="FF5" i="4"/>
  <c r="FR8" i="4"/>
  <c r="FQ8" i="4"/>
  <c r="FP8" i="4"/>
  <c r="FO8" i="4"/>
  <c r="FN8" i="4"/>
  <c r="FM8" i="4"/>
  <c r="FK8" i="4"/>
  <c r="FJ8" i="4"/>
  <c r="FI8" i="4"/>
  <c r="FH8" i="4"/>
  <c r="FG8" i="4"/>
  <c r="FF8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5" i="4"/>
  <c r="EI25" i="4"/>
  <c r="EH25" i="4"/>
  <c r="EG25" i="4"/>
  <c r="EF25" i="4"/>
  <c r="EE25" i="4"/>
  <c r="EC25" i="4"/>
  <c r="EB25" i="4"/>
  <c r="EA25" i="4"/>
  <c r="DZ25" i="4"/>
  <c r="ED25" i="4" s="1"/>
  <c r="EK25" i="4" s="1"/>
  <c r="DY25" i="4"/>
  <c r="DX25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3" i="4"/>
  <c r="EI23" i="4"/>
  <c r="EH23" i="4"/>
  <c r="EG23" i="4"/>
  <c r="EF23" i="4"/>
  <c r="EE23" i="4"/>
  <c r="EC23" i="4"/>
  <c r="EB23" i="4"/>
  <c r="EA23" i="4"/>
  <c r="DZ23" i="4"/>
  <c r="ED23" i="4" s="1"/>
  <c r="DY23" i="4"/>
  <c r="DX23" i="4"/>
  <c r="EJ26" i="4"/>
  <c r="EI26" i="4"/>
  <c r="EH26" i="4"/>
  <c r="EG26" i="4"/>
  <c r="EF26" i="4"/>
  <c r="EE26" i="4"/>
  <c r="EC26" i="4"/>
  <c r="EB26" i="4"/>
  <c r="EA26" i="4"/>
  <c r="DZ26" i="4"/>
  <c r="ED26" i="4" s="1"/>
  <c r="DY26" i="4"/>
  <c r="DX26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ED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9" i="4"/>
  <c r="EI9" i="4"/>
  <c r="EH9" i="4"/>
  <c r="EG9" i="4"/>
  <c r="EF9" i="4"/>
  <c r="EE9" i="4"/>
  <c r="EC9" i="4"/>
  <c r="EB9" i="4"/>
  <c r="EA9" i="4"/>
  <c r="DZ9" i="4"/>
  <c r="DY9" i="4"/>
  <c r="DX9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7" i="4"/>
  <c r="EI7" i="4"/>
  <c r="EH7" i="4"/>
  <c r="EG7" i="4"/>
  <c r="EF7" i="4"/>
  <c r="EE7" i="4"/>
  <c r="EC7" i="4"/>
  <c r="EB7" i="4"/>
  <c r="EA7" i="4"/>
  <c r="DZ7" i="4"/>
  <c r="ED7" i="4" s="1"/>
  <c r="DY7" i="4"/>
  <c r="DX7" i="4"/>
  <c r="EJ6" i="4"/>
  <c r="EI6" i="4"/>
  <c r="EH6" i="4"/>
  <c r="EG6" i="4"/>
  <c r="EF6" i="4"/>
  <c r="EE6" i="4"/>
  <c r="EC6" i="4"/>
  <c r="EB6" i="4"/>
  <c r="EA6" i="4"/>
  <c r="DZ6" i="4"/>
  <c r="ED6" i="4" s="1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8" i="4"/>
  <c r="EI8" i="4"/>
  <c r="EH8" i="4"/>
  <c r="EG8" i="4"/>
  <c r="EF8" i="4"/>
  <c r="EE8" i="4"/>
  <c r="EC8" i="4"/>
  <c r="EB8" i="4"/>
  <c r="EA8" i="4"/>
  <c r="DZ8" i="4"/>
  <c r="DY8" i="4"/>
  <c r="DX8" i="4"/>
  <c r="EJ4" i="4"/>
  <c r="EI4" i="4"/>
  <c r="EH4" i="4"/>
  <c r="EG4" i="4"/>
  <c r="EF4" i="4"/>
  <c r="EE4" i="4"/>
  <c r="EC4" i="4"/>
  <c r="EB4" i="4"/>
  <c r="EA4" i="4"/>
  <c r="DZ4" i="4"/>
  <c r="DY4" i="4"/>
  <c r="DX4" i="4"/>
  <c r="BW23" i="21"/>
  <c r="BV23" i="21"/>
  <c r="BT23" i="21"/>
  <c r="BS23" i="21"/>
  <c r="BR23" i="21"/>
  <c r="BQ23" i="21"/>
  <c r="BW26" i="21"/>
  <c r="BV26" i="21"/>
  <c r="BT26" i="21"/>
  <c r="BS26" i="21"/>
  <c r="BR26" i="21"/>
  <c r="BQ26" i="21"/>
  <c r="BW24" i="21"/>
  <c r="BV24" i="21"/>
  <c r="BT24" i="21"/>
  <c r="BS24" i="21"/>
  <c r="BR24" i="21"/>
  <c r="BQ24" i="21"/>
  <c r="BW15" i="21"/>
  <c r="BV15" i="21"/>
  <c r="BT15" i="21"/>
  <c r="BS15" i="21"/>
  <c r="BR15" i="21"/>
  <c r="BQ15" i="21"/>
  <c r="BW16" i="21"/>
  <c r="BV16" i="21"/>
  <c r="BT16" i="21"/>
  <c r="BS16" i="21"/>
  <c r="BR16" i="21"/>
  <c r="BQ16" i="21"/>
  <c r="BW18" i="21"/>
  <c r="BV18" i="21"/>
  <c r="BT18" i="21"/>
  <c r="BS18" i="21"/>
  <c r="BR18" i="21"/>
  <c r="BQ18" i="21"/>
  <c r="BW22" i="21"/>
  <c r="BV22" i="21"/>
  <c r="BT22" i="21"/>
  <c r="BS22" i="21"/>
  <c r="BR22" i="21"/>
  <c r="BQ22" i="21"/>
  <c r="BW19" i="21"/>
  <c r="BV19" i="21"/>
  <c r="BT19" i="21"/>
  <c r="BS19" i="21"/>
  <c r="BR19" i="21"/>
  <c r="BQ19" i="21"/>
  <c r="BW6" i="21"/>
  <c r="BV6" i="21"/>
  <c r="BT6" i="21"/>
  <c r="BS6" i="21"/>
  <c r="BR6" i="21"/>
  <c r="BQ6" i="21"/>
  <c r="BW17" i="21"/>
  <c r="BV17" i="21"/>
  <c r="BT17" i="21"/>
  <c r="BS17" i="21"/>
  <c r="BR17" i="21"/>
  <c r="BQ17" i="21"/>
  <c r="BW12" i="21"/>
  <c r="BV12" i="21"/>
  <c r="BT12" i="21"/>
  <c r="BS12" i="21"/>
  <c r="BR12" i="21"/>
  <c r="BQ12" i="21"/>
  <c r="BW11" i="21"/>
  <c r="BV11" i="21"/>
  <c r="BT11" i="21"/>
  <c r="BS11" i="21"/>
  <c r="BR11" i="21"/>
  <c r="BQ11" i="21"/>
  <c r="BW13" i="21"/>
  <c r="BV13" i="21"/>
  <c r="BT13" i="21"/>
  <c r="BS13" i="21"/>
  <c r="BR13" i="21"/>
  <c r="BQ13" i="21"/>
  <c r="BW8" i="21"/>
  <c r="BV8" i="21"/>
  <c r="BT8" i="21"/>
  <c r="BS8" i="21"/>
  <c r="BR8" i="21"/>
  <c r="BQ8" i="21"/>
  <c r="BW9" i="21"/>
  <c r="BV9" i="21"/>
  <c r="BT9" i="21"/>
  <c r="BS9" i="21"/>
  <c r="BR9" i="21"/>
  <c r="BQ9" i="21"/>
  <c r="BW14" i="21"/>
  <c r="BV14" i="21"/>
  <c r="BT14" i="21"/>
  <c r="BS14" i="21"/>
  <c r="BR14" i="21"/>
  <c r="BQ14" i="21"/>
  <c r="BW10" i="21"/>
  <c r="BV10" i="21"/>
  <c r="BT10" i="21"/>
  <c r="BS10" i="21"/>
  <c r="BR10" i="21"/>
  <c r="BQ10" i="21"/>
  <c r="BW7" i="21"/>
  <c r="BV7" i="21"/>
  <c r="BT7" i="21"/>
  <c r="BS7" i="21"/>
  <c r="BR7" i="21"/>
  <c r="BQ7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23" i="21"/>
  <c r="AS23" i="21"/>
  <c r="AQ23" i="21"/>
  <c r="AP23" i="21"/>
  <c r="AO23" i="21"/>
  <c r="AN23" i="21"/>
  <c r="AT26" i="21"/>
  <c r="AS26" i="21"/>
  <c r="AQ26" i="21"/>
  <c r="AP26" i="21"/>
  <c r="AO26" i="21"/>
  <c r="AN26" i="21"/>
  <c r="AT24" i="21"/>
  <c r="AS24" i="21"/>
  <c r="AQ24" i="21"/>
  <c r="AP24" i="21"/>
  <c r="AO24" i="21"/>
  <c r="AN24" i="21"/>
  <c r="AT15" i="21"/>
  <c r="AS15" i="21"/>
  <c r="AQ15" i="21"/>
  <c r="AP15" i="21"/>
  <c r="AO15" i="21"/>
  <c r="AN15" i="21"/>
  <c r="AT16" i="21"/>
  <c r="AS16" i="21"/>
  <c r="AQ16" i="21"/>
  <c r="AP16" i="21"/>
  <c r="AO16" i="21"/>
  <c r="AN16" i="21"/>
  <c r="AT18" i="21"/>
  <c r="AS18" i="21"/>
  <c r="AQ18" i="21"/>
  <c r="AP18" i="21"/>
  <c r="AO18" i="21"/>
  <c r="AN18" i="21"/>
  <c r="AT22" i="21"/>
  <c r="AS22" i="21"/>
  <c r="AQ22" i="21"/>
  <c r="AP22" i="21"/>
  <c r="AO22" i="21"/>
  <c r="AN22" i="21"/>
  <c r="AT19" i="21"/>
  <c r="AS19" i="21"/>
  <c r="AQ19" i="21"/>
  <c r="AP19" i="21"/>
  <c r="AO19" i="21"/>
  <c r="AN19" i="21"/>
  <c r="AT6" i="21"/>
  <c r="AS6" i="21"/>
  <c r="AQ6" i="21"/>
  <c r="AP6" i="21"/>
  <c r="AO6" i="21"/>
  <c r="AN6" i="21"/>
  <c r="AT17" i="21"/>
  <c r="AS17" i="21"/>
  <c r="AQ17" i="21"/>
  <c r="AP17" i="21"/>
  <c r="AO17" i="21"/>
  <c r="AN17" i="21"/>
  <c r="AT12" i="21"/>
  <c r="AS12" i="21"/>
  <c r="AQ12" i="21"/>
  <c r="AP12" i="21"/>
  <c r="AO12" i="21"/>
  <c r="AN12" i="21"/>
  <c r="AT11" i="21"/>
  <c r="AS11" i="21"/>
  <c r="AQ11" i="21"/>
  <c r="AP11" i="21"/>
  <c r="AO11" i="21"/>
  <c r="AN11" i="21"/>
  <c r="AT13" i="21"/>
  <c r="AS13" i="21"/>
  <c r="AQ13" i="21"/>
  <c r="AP13" i="21"/>
  <c r="AO13" i="21"/>
  <c r="AN13" i="21"/>
  <c r="AT8" i="21"/>
  <c r="AS8" i="21"/>
  <c r="AQ8" i="21"/>
  <c r="AP8" i="21"/>
  <c r="AO8" i="21"/>
  <c r="AN8" i="21"/>
  <c r="AT9" i="21"/>
  <c r="AS9" i="21"/>
  <c r="AQ9" i="21"/>
  <c r="AP9" i="21"/>
  <c r="AO9" i="21"/>
  <c r="AN9" i="21"/>
  <c r="AT14" i="21"/>
  <c r="AS14" i="21"/>
  <c r="AQ14" i="21"/>
  <c r="AP14" i="21"/>
  <c r="AO14" i="21"/>
  <c r="AN14" i="21"/>
  <c r="AT10" i="21"/>
  <c r="AS10" i="21"/>
  <c r="AQ10" i="21"/>
  <c r="AP10" i="21"/>
  <c r="AO10" i="21"/>
  <c r="AN10" i="21"/>
  <c r="AT7" i="21"/>
  <c r="AS7" i="21"/>
  <c r="AQ7" i="21"/>
  <c r="AP7" i="21"/>
  <c r="AO7" i="21"/>
  <c r="AN7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29" i="19"/>
  <c r="BV29" i="19"/>
  <c r="BT29" i="19"/>
  <c r="BS29" i="19"/>
  <c r="BR29" i="19"/>
  <c r="BQ29" i="19"/>
  <c r="BW24" i="19"/>
  <c r="BV24" i="19"/>
  <c r="BT24" i="19"/>
  <c r="BS24" i="19"/>
  <c r="BR24" i="19"/>
  <c r="BQ24" i="19"/>
  <c r="BW30" i="19"/>
  <c r="BV30" i="19"/>
  <c r="BT30" i="19"/>
  <c r="BS30" i="19"/>
  <c r="BR30" i="19"/>
  <c r="BQ30" i="19"/>
  <c r="BW28" i="19"/>
  <c r="BV28" i="19"/>
  <c r="BT28" i="19"/>
  <c r="BS28" i="19"/>
  <c r="BR28" i="19"/>
  <c r="BQ28" i="19"/>
  <c r="BW31" i="19"/>
  <c r="BV31" i="19"/>
  <c r="BT31" i="19"/>
  <c r="BS31" i="19"/>
  <c r="BR31" i="19"/>
  <c r="BQ31" i="19"/>
  <c r="BW33" i="19"/>
  <c r="BV33" i="19"/>
  <c r="BT33" i="19"/>
  <c r="BS33" i="19"/>
  <c r="BR33" i="19"/>
  <c r="BQ33" i="19"/>
  <c r="BW25" i="19"/>
  <c r="BV25" i="19"/>
  <c r="BT25" i="19"/>
  <c r="BS25" i="19"/>
  <c r="BR25" i="19"/>
  <c r="BQ25" i="19"/>
  <c r="BW32" i="19"/>
  <c r="BV32" i="19"/>
  <c r="BT32" i="19"/>
  <c r="BS32" i="19"/>
  <c r="BR32" i="19"/>
  <c r="BQ32" i="19"/>
  <c r="BW22" i="19"/>
  <c r="BV22" i="19"/>
  <c r="BT22" i="19"/>
  <c r="BS22" i="19"/>
  <c r="BR22" i="19"/>
  <c r="BQ22" i="19"/>
  <c r="BW21" i="19"/>
  <c r="BV21" i="19"/>
  <c r="BT21" i="19"/>
  <c r="BS21" i="19"/>
  <c r="BR21" i="19"/>
  <c r="BQ21" i="19"/>
  <c r="BW27" i="19"/>
  <c r="BV27" i="19"/>
  <c r="BT27" i="19"/>
  <c r="BS27" i="19"/>
  <c r="BR27" i="19"/>
  <c r="BQ27" i="19"/>
  <c r="BW19" i="19"/>
  <c r="BV19" i="19"/>
  <c r="BT19" i="19"/>
  <c r="BS19" i="19"/>
  <c r="BR19" i="19"/>
  <c r="BQ19" i="19"/>
  <c r="BW16" i="19"/>
  <c r="BV16" i="19"/>
  <c r="BT16" i="19"/>
  <c r="BS16" i="19"/>
  <c r="BR16" i="19"/>
  <c r="BQ16" i="19"/>
  <c r="BW15" i="19"/>
  <c r="BV15" i="19"/>
  <c r="BT15" i="19"/>
  <c r="BS15" i="19"/>
  <c r="BR15" i="19"/>
  <c r="BQ15" i="19"/>
  <c r="BW11" i="19"/>
  <c r="BV11" i="19"/>
  <c r="BT11" i="19"/>
  <c r="BS11" i="19"/>
  <c r="BR11" i="19"/>
  <c r="BQ11" i="19"/>
  <c r="BW17" i="19"/>
  <c r="BV17" i="19"/>
  <c r="BT17" i="19"/>
  <c r="BS17" i="19"/>
  <c r="BR17" i="19"/>
  <c r="BQ17" i="19"/>
  <c r="BW13" i="19"/>
  <c r="BV13" i="19"/>
  <c r="BT13" i="19"/>
  <c r="BS13" i="19"/>
  <c r="BR13" i="19"/>
  <c r="BQ13" i="19"/>
  <c r="BW20" i="19"/>
  <c r="BV20" i="19"/>
  <c r="BT20" i="19"/>
  <c r="BS20" i="19"/>
  <c r="BR20" i="19"/>
  <c r="BQ20" i="19"/>
  <c r="BW14" i="19"/>
  <c r="BV14" i="19"/>
  <c r="BT14" i="19"/>
  <c r="BS14" i="19"/>
  <c r="BR14" i="19"/>
  <c r="BQ14" i="19"/>
  <c r="BW12" i="19"/>
  <c r="BV12" i="19"/>
  <c r="BT12" i="19"/>
  <c r="BS12" i="19"/>
  <c r="BR12" i="19"/>
  <c r="BQ12" i="19"/>
  <c r="BW8" i="19"/>
  <c r="BV8" i="19"/>
  <c r="BT8" i="19"/>
  <c r="BS8" i="19"/>
  <c r="BR8" i="19"/>
  <c r="BQ8" i="19"/>
  <c r="BW6" i="19"/>
  <c r="BV6" i="19"/>
  <c r="BT6" i="19"/>
  <c r="BS6" i="19"/>
  <c r="BR6" i="19"/>
  <c r="BQ6" i="19"/>
  <c r="BW18" i="19"/>
  <c r="BV18" i="19"/>
  <c r="BT18" i="19"/>
  <c r="BS18" i="19"/>
  <c r="BR18" i="19"/>
  <c r="BQ18" i="19"/>
  <c r="BW10" i="19"/>
  <c r="BV10" i="19"/>
  <c r="BT10" i="19"/>
  <c r="BS10" i="19"/>
  <c r="BR10" i="19"/>
  <c r="BQ10" i="19"/>
  <c r="BW5" i="19"/>
  <c r="BV5" i="19"/>
  <c r="BT5" i="19"/>
  <c r="BS5" i="19"/>
  <c r="BR5" i="19"/>
  <c r="BQ5" i="19"/>
  <c r="BW7" i="19"/>
  <c r="BV7" i="19"/>
  <c r="BT7" i="19"/>
  <c r="BS7" i="19"/>
  <c r="BR7" i="19"/>
  <c r="BQ7" i="19"/>
  <c r="BW4" i="19"/>
  <c r="BV4" i="19"/>
  <c r="BT4" i="19"/>
  <c r="BS4" i="19"/>
  <c r="BR4" i="19"/>
  <c r="BQ4" i="19"/>
  <c r="AT29" i="19"/>
  <c r="AS29" i="19"/>
  <c r="AQ29" i="19"/>
  <c r="AP29" i="19"/>
  <c r="AO29" i="19"/>
  <c r="AN29" i="19"/>
  <c r="AT24" i="19"/>
  <c r="AS24" i="19"/>
  <c r="AQ24" i="19"/>
  <c r="AP24" i="19"/>
  <c r="AO24" i="19"/>
  <c r="AN24" i="19"/>
  <c r="AT30" i="19"/>
  <c r="AS30" i="19"/>
  <c r="AQ30" i="19"/>
  <c r="AP30" i="19"/>
  <c r="AO30" i="19"/>
  <c r="AN30" i="19"/>
  <c r="AT28" i="19"/>
  <c r="AS28" i="19"/>
  <c r="AQ28" i="19"/>
  <c r="AP28" i="19"/>
  <c r="AO28" i="19"/>
  <c r="AN28" i="19"/>
  <c r="AT31" i="19"/>
  <c r="AS31" i="19"/>
  <c r="AQ31" i="19"/>
  <c r="AP31" i="19"/>
  <c r="AO31" i="19"/>
  <c r="AN31" i="19"/>
  <c r="AT33" i="19"/>
  <c r="AS33" i="19"/>
  <c r="AQ33" i="19"/>
  <c r="AP33" i="19"/>
  <c r="AO33" i="19"/>
  <c r="AN33" i="19"/>
  <c r="AT25" i="19"/>
  <c r="AS25" i="19"/>
  <c r="AQ25" i="19"/>
  <c r="AP25" i="19"/>
  <c r="AO25" i="19"/>
  <c r="AN25" i="19"/>
  <c r="AT32" i="19"/>
  <c r="AS32" i="19"/>
  <c r="AQ32" i="19"/>
  <c r="AP32" i="19"/>
  <c r="AO32" i="19"/>
  <c r="AN32" i="19"/>
  <c r="AT22" i="19"/>
  <c r="AS22" i="19"/>
  <c r="AQ22" i="19"/>
  <c r="AP22" i="19"/>
  <c r="AO22" i="19"/>
  <c r="AN22" i="19"/>
  <c r="AT21" i="19"/>
  <c r="AS21" i="19"/>
  <c r="AQ21" i="19"/>
  <c r="AP21" i="19"/>
  <c r="AO21" i="19"/>
  <c r="AN21" i="19"/>
  <c r="AT27" i="19"/>
  <c r="AS27" i="19"/>
  <c r="AQ27" i="19"/>
  <c r="AP27" i="19"/>
  <c r="AO27" i="19"/>
  <c r="AN27" i="19"/>
  <c r="AT19" i="19"/>
  <c r="AS19" i="19"/>
  <c r="AQ19" i="19"/>
  <c r="AP19" i="19"/>
  <c r="AO19" i="19"/>
  <c r="AN19" i="19"/>
  <c r="AT16" i="19"/>
  <c r="AS16" i="19"/>
  <c r="AQ16" i="19"/>
  <c r="AP16" i="19"/>
  <c r="AO16" i="19"/>
  <c r="AN16" i="19"/>
  <c r="AT15" i="19"/>
  <c r="AS15" i="19"/>
  <c r="AQ15" i="19"/>
  <c r="AP15" i="19"/>
  <c r="AO15" i="19"/>
  <c r="AN15" i="19"/>
  <c r="AT11" i="19"/>
  <c r="AS11" i="19"/>
  <c r="AQ11" i="19"/>
  <c r="AP11" i="19"/>
  <c r="AO11" i="19"/>
  <c r="AN11" i="19"/>
  <c r="AT17" i="19"/>
  <c r="AS17" i="19"/>
  <c r="AQ17" i="19"/>
  <c r="AP17" i="19"/>
  <c r="AO17" i="19"/>
  <c r="AN17" i="19"/>
  <c r="AT13" i="19"/>
  <c r="AS13" i="19"/>
  <c r="AQ13" i="19"/>
  <c r="AP13" i="19"/>
  <c r="AO13" i="19"/>
  <c r="AN13" i="19"/>
  <c r="AT20" i="19"/>
  <c r="AS20" i="19"/>
  <c r="AQ20" i="19"/>
  <c r="AP20" i="19"/>
  <c r="AO20" i="19"/>
  <c r="AN20" i="19"/>
  <c r="AT14" i="19"/>
  <c r="AS14" i="19"/>
  <c r="AQ14" i="19"/>
  <c r="AP14" i="19"/>
  <c r="AO14" i="19"/>
  <c r="AN14" i="19"/>
  <c r="AT12" i="19"/>
  <c r="AS12" i="19"/>
  <c r="AQ12" i="19"/>
  <c r="AP12" i="19"/>
  <c r="AO12" i="19"/>
  <c r="AN12" i="19"/>
  <c r="AT8" i="19"/>
  <c r="AS8" i="19"/>
  <c r="AQ8" i="19"/>
  <c r="AP8" i="19"/>
  <c r="AO8" i="19"/>
  <c r="AN8" i="19"/>
  <c r="AT6" i="19"/>
  <c r="AS6" i="19"/>
  <c r="AQ6" i="19"/>
  <c r="AP6" i="19"/>
  <c r="AO6" i="19"/>
  <c r="AN6" i="19"/>
  <c r="AT18" i="19"/>
  <c r="AS18" i="19"/>
  <c r="AQ18" i="19"/>
  <c r="AP18" i="19"/>
  <c r="AO18" i="19"/>
  <c r="AN18" i="19"/>
  <c r="AT10" i="19"/>
  <c r="AS10" i="19"/>
  <c r="AQ10" i="19"/>
  <c r="AP10" i="19"/>
  <c r="AO10" i="19"/>
  <c r="AN10" i="19"/>
  <c r="AT5" i="19"/>
  <c r="AS5" i="19"/>
  <c r="AQ5" i="19"/>
  <c r="AP5" i="19"/>
  <c r="AO5" i="19"/>
  <c r="AN5" i="19"/>
  <c r="AT7" i="19"/>
  <c r="AS7" i="19"/>
  <c r="AQ7" i="19"/>
  <c r="AP7" i="19"/>
  <c r="AO7" i="19"/>
  <c r="AN7" i="19"/>
  <c r="BW14" i="27"/>
  <c r="BV14" i="27"/>
  <c r="BT14" i="27"/>
  <c r="BS14" i="27"/>
  <c r="BR14" i="27"/>
  <c r="BQ14" i="27"/>
  <c r="BW16" i="27"/>
  <c r="BV16" i="27"/>
  <c r="BT16" i="27"/>
  <c r="BS16" i="27"/>
  <c r="BR16" i="27"/>
  <c r="BQ16" i="27"/>
  <c r="BW15" i="27"/>
  <c r="BV15" i="27"/>
  <c r="BT15" i="27"/>
  <c r="BS15" i="27"/>
  <c r="BR15" i="27"/>
  <c r="BQ15" i="27"/>
  <c r="BW9" i="27"/>
  <c r="BV9" i="27"/>
  <c r="BT9" i="27"/>
  <c r="BS9" i="27"/>
  <c r="BR9" i="27"/>
  <c r="BQ9" i="27"/>
  <c r="BW8" i="27"/>
  <c r="BV8" i="27"/>
  <c r="BT8" i="27"/>
  <c r="BS8" i="27"/>
  <c r="BR8" i="27"/>
  <c r="BQ8" i="27"/>
  <c r="BW13" i="27"/>
  <c r="BV13" i="27"/>
  <c r="BT13" i="27"/>
  <c r="BS13" i="27"/>
  <c r="BR13" i="27"/>
  <c r="BQ13" i="27"/>
  <c r="BW7" i="27"/>
  <c r="BV7" i="27"/>
  <c r="BT7" i="27"/>
  <c r="BS7" i="27"/>
  <c r="BR7" i="27"/>
  <c r="BQ7" i="27"/>
  <c r="BW12" i="27"/>
  <c r="BV12" i="27"/>
  <c r="BT12" i="27"/>
  <c r="BS12" i="27"/>
  <c r="BR12" i="27"/>
  <c r="BQ12" i="27"/>
  <c r="BW10" i="27"/>
  <c r="BV10" i="27"/>
  <c r="BT10" i="27"/>
  <c r="BS10" i="27"/>
  <c r="BR10" i="27"/>
  <c r="BQ10" i="27"/>
  <c r="BW5" i="27"/>
  <c r="BV5" i="27"/>
  <c r="BT5" i="27"/>
  <c r="BS5" i="27"/>
  <c r="BR5" i="27"/>
  <c r="BQ5" i="27"/>
  <c r="BW6" i="27"/>
  <c r="BV6" i="27"/>
  <c r="BT6" i="27"/>
  <c r="BS6" i="27"/>
  <c r="BR6" i="27"/>
  <c r="BQ6" i="27"/>
  <c r="BW4" i="27"/>
  <c r="BV4" i="27"/>
  <c r="BT4" i="27"/>
  <c r="BS4" i="27"/>
  <c r="BR4" i="27"/>
  <c r="BQ4" i="27"/>
  <c r="AT14" i="27"/>
  <c r="AS14" i="27"/>
  <c r="AQ14" i="27"/>
  <c r="AP14" i="27"/>
  <c r="AO14" i="27"/>
  <c r="AN14" i="27"/>
  <c r="AT16" i="27"/>
  <c r="AS16" i="27"/>
  <c r="AQ16" i="27"/>
  <c r="AP16" i="27"/>
  <c r="AO16" i="27"/>
  <c r="AN16" i="27"/>
  <c r="AT15" i="27"/>
  <c r="AS15" i="27"/>
  <c r="AQ15" i="27"/>
  <c r="AP15" i="27"/>
  <c r="AO15" i="27"/>
  <c r="AN15" i="27"/>
  <c r="AT9" i="27"/>
  <c r="AS9" i="27"/>
  <c r="AQ9" i="27"/>
  <c r="AP9" i="27"/>
  <c r="AO9" i="27"/>
  <c r="AN9" i="27"/>
  <c r="AT8" i="27"/>
  <c r="AS8" i="27"/>
  <c r="AQ8" i="27"/>
  <c r="AP8" i="27"/>
  <c r="AO8" i="27"/>
  <c r="AN8" i="27"/>
  <c r="AT13" i="27"/>
  <c r="AS13" i="27"/>
  <c r="AQ13" i="27"/>
  <c r="AP13" i="27"/>
  <c r="AO13" i="27"/>
  <c r="AN13" i="27"/>
  <c r="AT7" i="27"/>
  <c r="AS7" i="27"/>
  <c r="AQ7" i="27"/>
  <c r="AP7" i="27"/>
  <c r="AO7" i="27"/>
  <c r="AN7" i="27"/>
  <c r="AT12" i="27"/>
  <c r="AS12" i="27"/>
  <c r="AQ12" i="27"/>
  <c r="AP12" i="27"/>
  <c r="AO12" i="27"/>
  <c r="AN12" i="27"/>
  <c r="AT10" i="27"/>
  <c r="AS10" i="27"/>
  <c r="AQ10" i="27"/>
  <c r="AP10" i="27"/>
  <c r="AO10" i="27"/>
  <c r="AN10" i="27"/>
  <c r="AT5" i="27"/>
  <c r="AS5" i="27"/>
  <c r="AQ5" i="27"/>
  <c r="AP5" i="27"/>
  <c r="AO5" i="27"/>
  <c r="AN5" i="27"/>
  <c r="AT6" i="27"/>
  <c r="AS6" i="27"/>
  <c r="AQ6" i="27"/>
  <c r="AP6" i="27"/>
  <c r="AO6" i="27"/>
  <c r="AN6" i="27"/>
  <c r="AT4" i="27"/>
  <c r="AS4" i="27"/>
  <c r="AQ4" i="27"/>
  <c r="AP4" i="27"/>
  <c r="AO4" i="27"/>
  <c r="AN4" i="27"/>
  <c r="BW13" i="26"/>
  <c r="BV13" i="26"/>
  <c r="BT13" i="26"/>
  <c r="BS13" i="26"/>
  <c r="BR13" i="26"/>
  <c r="BQ13" i="26"/>
  <c r="BW8" i="26"/>
  <c r="BV8" i="26"/>
  <c r="BT8" i="26"/>
  <c r="BS8" i="26"/>
  <c r="BR8" i="26"/>
  <c r="BQ8" i="26"/>
  <c r="BW10" i="26"/>
  <c r="BV10" i="26"/>
  <c r="BT10" i="26"/>
  <c r="BS10" i="26"/>
  <c r="BR10" i="26"/>
  <c r="BQ10" i="26"/>
  <c r="BW9" i="26"/>
  <c r="BV9" i="26"/>
  <c r="BT9" i="26"/>
  <c r="BS9" i="26"/>
  <c r="BR9" i="26"/>
  <c r="BQ9" i="26"/>
  <c r="BW6" i="26"/>
  <c r="BV6" i="26"/>
  <c r="BT6" i="26"/>
  <c r="BS6" i="26"/>
  <c r="BR6" i="26"/>
  <c r="BQ6" i="26"/>
  <c r="BW14" i="26"/>
  <c r="BV14" i="26"/>
  <c r="BT14" i="26"/>
  <c r="BS14" i="26"/>
  <c r="BR14" i="26"/>
  <c r="BQ14" i="26"/>
  <c r="BW11" i="26"/>
  <c r="BV11" i="26"/>
  <c r="BT11" i="26"/>
  <c r="BS11" i="26"/>
  <c r="BR11" i="26"/>
  <c r="BQ11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3" i="26"/>
  <c r="AS13" i="26"/>
  <c r="AQ13" i="26"/>
  <c r="AP13" i="26"/>
  <c r="AO13" i="26"/>
  <c r="AN13" i="26"/>
  <c r="AT8" i="26"/>
  <c r="AS8" i="26"/>
  <c r="AQ8" i="26"/>
  <c r="AP8" i="26"/>
  <c r="AO8" i="26"/>
  <c r="AN8" i="26"/>
  <c r="AT10" i="26"/>
  <c r="AS10" i="26"/>
  <c r="AQ10" i="26"/>
  <c r="AP10" i="26"/>
  <c r="AO10" i="26"/>
  <c r="AN10" i="26"/>
  <c r="AT9" i="26"/>
  <c r="AS9" i="26"/>
  <c r="AQ9" i="26"/>
  <c r="AP9" i="26"/>
  <c r="AO9" i="26"/>
  <c r="AN9" i="26"/>
  <c r="AT6" i="26"/>
  <c r="AS6" i="26"/>
  <c r="AQ6" i="26"/>
  <c r="AP6" i="26"/>
  <c r="AO6" i="26"/>
  <c r="AN6" i="26"/>
  <c r="AT14" i="26"/>
  <c r="AS14" i="26"/>
  <c r="AQ14" i="26"/>
  <c r="AP14" i="26"/>
  <c r="AO14" i="26"/>
  <c r="AN14" i="26"/>
  <c r="AT11" i="26"/>
  <c r="AS11" i="26"/>
  <c r="AQ11" i="26"/>
  <c r="AP11" i="26"/>
  <c r="AO11" i="26"/>
  <c r="AN11" i="26"/>
  <c r="AT5" i="26"/>
  <c r="AS5" i="26"/>
  <c r="AQ5" i="26"/>
  <c r="AP5" i="26"/>
  <c r="AO5" i="26"/>
  <c r="AN5" i="26"/>
  <c r="AT4" i="26"/>
  <c r="AS4" i="26"/>
  <c r="AQ4" i="26"/>
  <c r="AP4" i="26"/>
  <c r="AO4" i="26"/>
  <c r="AR4" i="26" s="1"/>
  <c r="AN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N12" i="24" s="1"/>
  <c r="BI12" i="24"/>
  <c r="BH12" i="24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N6" i="24" s="1"/>
  <c r="BI6" i="24"/>
  <c r="BH6" i="24"/>
  <c r="BQ5" i="24"/>
  <c r="BP5" i="24"/>
  <c r="BO5" i="24"/>
  <c r="BM5" i="24"/>
  <c r="BL5" i="24"/>
  <c r="BK5" i="24"/>
  <c r="BJ5" i="24"/>
  <c r="BN5" i="24" s="1"/>
  <c r="BI5" i="24"/>
  <c r="BH5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9" i="24"/>
  <c r="AO9" i="24"/>
  <c r="AN9" i="24"/>
  <c r="AL9" i="24"/>
  <c r="AK9" i="24"/>
  <c r="AJ9" i="24"/>
  <c r="AI9" i="24"/>
  <c r="AM9" i="24" s="1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Q7" i="24" s="1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N13" i="23" s="1"/>
  <c r="BI13" i="23"/>
  <c r="BH13" i="23"/>
  <c r="BQ11" i="23"/>
  <c r="BP11" i="23"/>
  <c r="BO11" i="23"/>
  <c r="BM11" i="23"/>
  <c r="BL11" i="23"/>
  <c r="BK11" i="23"/>
  <c r="BJ11" i="23"/>
  <c r="BN11" i="23" s="1"/>
  <c r="BI11" i="23"/>
  <c r="BH11" i="23"/>
  <c r="BQ12" i="23"/>
  <c r="BP12" i="23"/>
  <c r="BO12" i="23"/>
  <c r="BM12" i="23"/>
  <c r="BL12" i="23"/>
  <c r="BK12" i="23"/>
  <c r="BJ12" i="23"/>
  <c r="BN12" i="23" s="1"/>
  <c r="BI12" i="23"/>
  <c r="BH12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18" i="23"/>
  <c r="BP18" i="23"/>
  <c r="BO18" i="23"/>
  <c r="BM18" i="23"/>
  <c r="BL18" i="23"/>
  <c r="BK18" i="23"/>
  <c r="BJ18" i="23"/>
  <c r="BN18" i="23" s="1"/>
  <c r="BI18" i="23"/>
  <c r="BH18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R6" i="23" s="1"/>
  <c r="BI6" i="23"/>
  <c r="BH6" i="23"/>
  <c r="BQ17" i="23"/>
  <c r="BP17" i="23"/>
  <c r="BO17" i="23"/>
  <c r="BM17" i="23"/>
  <c r="BL17" i="23"/>
  <c r="BK17" i="23"/>
  <c r="BJ17" i="23"/>
  <c r="BN17" i="23" s="1"/>
  <c r="BI17" i="23"/>
  <c r="BH17" i="23"/>
  <c r="BQ5" i="23"/>
  <c r="BP5" i="23"/>
  <c r="BO5" i="23"/>
  <c r="BM5" i="23"/>
  <c r="BL5" i="23"/>
  <c r="BK5" i="23"/>
  <c r="BJ5" i="23"/>
  <c r="BN5" i="23" s="1"/>
  <c r="BI5" i="23"/>
  <c r="BH5" i="23"/>
  <c r="BQ16" i="23"/>
  <c r="BP16" i="23"/>
  <c r="BO16" i="23"/>
  <c r="BM16" i="23"/>
  <c r="BL16" i="23"/>
  <c r="BK16" i="23"/>
  <c r="BJ16" i="23"/>
  <c r="BN16" i="23" s="1"/>
  <c r="BR16" i="23" s="1"/>
  <c r="BI16" i="23"/>
  <c r="BH16" i="23"/>
  <c r="BQ4" i="23"/>
  <c r="BP4" i="23"/>
  <c r="BO4" i="23"/>
  <c r="BM4" i="23"/>
  <c r="BL4" i="23"/>
  <c r="BK4" i="23"/>
  <c r="BJ4" i="23"/>
  <c r="BN4" i="23" s="1"/>
  <c r="BI4" i="23"/>
  <c r="BH4" i="23"/>
  <c r="AP15" i="23"/>
  <c r="AO15" i="23"/>
  <c r="AN15" i="23"/>
  <c r="AL15" i="23"/>
  <c r="AK15" i="23"/>
  <c r="AJ15" i="23"/>
  <c r="AI15" i="23"/>
  <c r="AH15" i="23"/>
  <c r="AG15" i="23"/>
  <c r="AP14" i="23"/>
  <c r="AO14" i="23"/>
  <c r="AN14" i="23"/>
  <c r="AL14" i="23"/>
  <c r="AK14" i="23"/>
  <c r="AJ14" i="23"/>
  <c r="AI14" i="23"/>
  <c r="AM14" i="23" s="1"/>
  <c r="AQ14" i="23" s="1"/>
  <c r="AH14" i="23"/>
  <c r="AG14" i="23"/>
  <c r="AP13" i="23"/>
  <c r="AO13" i="23"/>
  <c r="AN13" i="23"/>
  <c r="AL13" i="23"/>
  <c r="AK13" i="23"/>
  <c r="AJ13" i="23"/>
  <c r="AI13" i="23"/>
  <c r="AH13" i="23"/>
  <c r="AG13" i="23"/>
  <c r="AP11" i="23"/>
  <c r="AO11" i="23"/>
  <c r="AN11" i="23"/>
  <c r="AL11" i="23"/>
  <c r="AK11" i="23"/>
  <c r="AJ11" i="23"/>
  <c r="AI11" i="23"/>
  <c r="AM11" i="23" s="1"/>
  <c r="AH11" i="23"/>
  <c r="AG11" i="23"/>
  <c r="AP12" i="23"/>
  <c r="AO12" i="23"/>
  <c r="AN12" i="23"/>
  <c r="AL12" i="23"/>
  <c r="AK12" i="23"/>
  <c r="AJ12" i="23"/>
  <c r="AI12" i="23"/>
  <c r="AH12" i="23"/>
  <c r="AG12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18" i="23"/>
  <c r="AO18" i="23"/>
  <c r="AN18" i="23"/>
  <c r="AL18" i="23"/>
  <c r="AK18" i="23"/>
  <c r="AJ18" i="23"/>
  <c r="AI18" i="23"/>
  <c r="AM18" i="23" s="1"/>
  <c r="AH18" i="23"/>
  <c r="AG18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17" i="23"/>
  <c r="AO17" i="23"/>
  <c r="AN17" i="23"/>
  <c r="AL17" i="23"/>
  <c r="AK17" i="23"/>
  <c r="AJ17" i="23"/>
  <c r="AI17" i="23"/>
  <c r="AM17" i="23" s="1"/>
  <c r="AH17" i="23"/>
  <c r="AG17" i="23"/>
  <c r="AP5" i="23"/>
  <c r="AO5" i="23"/>
  <c r="AN5" i="23"/>
  <c r="AL5" i="23"/>
  <c r="AK5" i="23"/>
  <c r="AJ5" i="23"/>
  <c r="AI5" i="23"/>
  <c r="AH5" i="23"/>
  <c r="AG5" i="23"/>
  <c r="AP16" i="23"/>
  <c r="AO16" i="23"/>
  <c r="AN16" i="23"/>
  <c r="AL16" i="23"/>
  <c r="AK16" i="23"/>
  <c r="AJ16" i="23"/>
  <c r="AI16" i="23"/>
  <c r="AM16" i="23" s="1"/>
  <c r="AH16" i="23"/>
  <c r="AG16" i="23"/>
  <c r="AP4" i="23"/>
  <c r="AO4" i="23"/>
  <c r="AN4" i="23"/>
  <c r="AL4" i="23"/>
  <c r="AK4" i="23"/>
  <c r="AJ4" i="23"/>
  <c r="AI4" i="23"/>
  <c r="AH4" i="23"/>
  <c r="AG4" i="23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3" i="22"/>
  <c r="BX13" i="22"/>
  <c r="BW13" i="22"/>
  <c r="BU13" i="22"/>
  <c r="BT13" i="22"/>
  <c r="BS13" i="22"/>
  <c r="BR13" i="22"/>
  <c r="BQ13" i="22"/>
  <c r="BP13" i="22"/>
  <c r="BY11" i="22"/>
  <c r="BX11" i="22"/>
  <c r="BW11" i="22"/>
  <c r="BU11" i="22"/>
  <c r="BT11" i="22"/>
  <c r="BS11" i="22"/>
  <c r="BR11" i="22"/>
  <c r="BQ11" i="22"/>
  <c r="BP11" i="22"/>
  <c r="BY7" i="22"/>
  <c r="BX7" i="22"/>
  <c r="BW7" i="22"/>
  <c r="BU7" i="22"/>
  <c r="BT7" i="22"/>
  <c r="BS7" i="22"/>
  <c r="BR7" i="22"/>
  <c r="BQ7" i="22"/>
  <c r="BP7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12" i="22"/>
  <c r="BX12" i="22"/>
  <c r="BW12" i="22"/>
  <c r="BU12" i="22"/>
  <c r="BT12" i="22"/>
  <c r="BS12" i="22"/>
  <c r="BR12" i="22"/>
  <c r="BQ12" i="22"/>
  <c r="BP12" i="22"/>
  <c r="BY4" i="22"/>
  <c r="BX4" i="22"/>
  <c r="BW4" i="22"/>
  <c r="BU4" i="22"/>
  <c r="BT4" i="22"/>
  <c r="BS4" i="22"/>
  <c r="BR4" i="22"/>
  <c r="BQ4" i="22"/>
  <c r="BP4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1" i="22"/>
  <c r="AW11" i="22"/>
  <c r="AV11" i="22"/>
  <c r="AT11" i="22"/>
  <c r="AS11" i="22"/>
  <c r="AR11" i="22"/>
  <c r="AQ11" i="22"/>
  <c r="AP11" i="22"/>
  <c r="AO11" i="22"/>
  <c r="AX7" i="22"/>
  <c r="AW7" i="22"/>
  <c r="AV7" i="22"/>
  <c r="AT7" i="22"/>
  <c r="AS7" i="22"/>
  <c r="AR7" i="22"/>
  <c r="AQ7" i="22"/>
  <c r="AP7" i="22"/>
  <c r="AO7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U8" i="22" s="1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12" i="22"/>
  <c r="AW12" i="22"/>
  <c r="AV12" i="22"/>
  <c r="AT12" i="22"/>
  <c r="AS12" i="22"/>
  <c r="AR12" i="22"/>
  <c r="AQ12" i="22"/>
  <c r="AP12" i="22"/>
  <c r="AO12" i="22"/>
  <c r="AX4" i="22"/>
  <c r="AW4" i="22"/>
  <c r="AV4" i="22"/>
  <c r="AT4" i="22"/>
  <c r="AS4" i="22"/>
  <c r="AR4" i="22"/>
  <c r="AQ4" i="22"/>
  <c r="AP4" i="22"/>
  <c r="AO4" i="22"/>
  <c r="BY27" i="4"/>
  <c r="BX27" i="4"/>
  <c r="BW27" i="4"/>
  <c r="BU27" i="4"/>
  <c r="BT27" i="4"/>
  <c r="BS27" i="4"/>
  <c r="BR27" i="4"/>
  <c r="BV27" i="4" s="1"/>
  <c r="BQ27" i="4"/>
  <c r="BP27" i="4"/>
  <c r="BY25" i="4"/>
  <c r="BX25" i="4"/>
  <c r="BW25" i="4"/>
  <c r="BU25" i="4"/>
  <c r="BT25" i="4"/>
  <c r="BS25" i="4"/>
  <c r="BR25" i="4"/>
  <c r="BV25" i="4" s="1"/>
  <c r="BQ25" i="4"/>
  <c r="BP25" i="4"/>
  <c r="BY22" i="4"/>
  <c r="BX22" i="4"/>
  <c r="BW22" i="4"/>
  <c r="BU22" i="4"/>
  <c r="BT22" i="4"/>
  <c r="BS22" i="4"/>
  <c r="BR22" i="4"/>
  <c r="BQ22" i="4"/>
  <c r="BP22" i="4"/>
  <c r="BY23" i="4"/>
  <c r="BX23" i="4"/>
  <c r="BW23" i="4"/>
  <c r="BU23" i="4"/>
  <c r="BT23" i="4"/>
  <c r="BS23" i="4"/>
  <c r="BR23" i="4"/>
  <c r="BV23" i="4" s="1"/>
  <c r="BQ23" i="4"/>
  <c r="BP23" i="4"/>
  <c r="BY26" i="4"/>
  <c r="BX26" i="4"/>
  <c r="BW26" i="4"/>
  <c r="BU26" i="4"/>
  <c r="BT26" i="4"/>
  <c r="BS26" i="4"/>
  <c r="BR26" i="4"/>
  <c r="BV26" i="4" s="1"/>
  <c r="BQ26" i="4"/>
  <c r="BP26" i="4"/>
  <c r="BY21" i="4"/>
  <c r="BX21" i="4"/>
  <c r="BW21" i="4"/>
  <c r="BU21" i="4"/>
  <c r="BT21" i="4"/>
  <c r="BS21" i="4"/>
  <c r="BR21" i="4"/>
  <c r="BV21" i="4" s="1"/>
  <c r="BQ21" i="4"/>
  <c r="BP21" i="4"/>
  <c r="BY24" i="4"/>
  <c r="BX24" i="4"/>
  <c r="BW24" i="4"/>
  <c r="BU24" i="4"/>
  <c r="BT24" i="4"/>
  <c r="BS24" i="4"/>
  <c r="BR24" i="4"/>
  <c r="BV24" i="4" s="1"/>
  <c r="BQ24" i="4"/>
  <c r="BP24" i="4"/>
  <c r="BY20" i="4"/>
  <c r="BX20" i="4"/>
  <c r="BW20" i="4"/>
  <c r="BU20" i="4"/>
  <c r="BT20" i="4"/>
  <c r="BS20" i="4"/>
  <c r="BR20" i="4"/>
  <c r="BQ20" i="4"/>
  <c r="BP20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Q11" i="4"/>
  <c r="BP11" i="4"/>
  <c r="BY9" i="4"/>
  <c r="BX9" i="4"/>
  <c r="BW9" i="4"/>
  <c r="BU9" i="4"/>
  <c r="BT9" i="4"/>
  <c r="BS9" i="4"/>
  <c r="BR9" i="4"/>
  <c r="BQ9" i="4"/>
  <c r="BP9" i="4"/>
  <c r="BY10" i="4"/>
  <c r="BX10" i="4"/>
  <c r="BW10" i="4"/>
  <c r="BU10" i="4"/>
  <c r="BT10" i="4"/>
  <c r="BS10" i="4"/>
  <c r="BR10" i="4"/>
  <c r="BQ10" i="4"/>
  <c r="BP10" i="4"/>
  <c r="BY18" i="4"/>
  <c r="BX18" i="4"/>
  <c r="BW18" i="4"/>
  <c r="BU18" i="4"/>
  <c r="BT18" i="4"/>
  <c r="BS18" i="4"/>
  <c r="BR18" i="4"/>
  <c r="BQ18" i="4"/>
  <c r="BP1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8" i="4"/>
  <c r="BX8" i="4"/>
  <c r="BW8" i="4"/>
  <c r="BU8" i="4"/>
  <c r="BT8" i="4"/>
  <c r="BS8" i="4"/>
  <c r="BR8" i="4"/>
  <c r="BQ8" i="4"/>
  <c r="BP8" i="4"/>
  <c r="BY4" i="4"/>
  <c r="BX4" i="4"/>
  <c r="BW4" i="4"/>
  <c r="BU4" i="4"/>
  <c r="BT4" i="4"/>
  <c r="BS4" i="4"/>
  <c r="BR4" i="4"/>
  <c r="BQ4" i="4"/>
  <c r="BP4" i="4"/>
  <c r="AX27" i="4"/>
  <c r="AW27" i="4"/>
  <c r="AV27" i="4"/>
  <c r="AT27" i="4"/>
  <c r="AS27" i="4"/>
  <c r="AR27" i="4"/>
  <c r="AQ27" i="4"/>
  <c r="AP27" i="4"/>
  <c r="AO27" i="4"/>
  <c r="AX25" i="4"/>
  <c r="AW25" i="4"/>
  <c r="AV25" i="4"/>
  <c r="AT25" i="4"/>
  <c r="AS25" i="4"/>
  <c r="AR25" i="4"/>
  <c r="AQ25" i="4"/>
  <c r="AP25" i="4"/>
  <c r="AO25" i="4"/>
  <c r="AX22" i="4"/>
  <c r="AW22" i="4"/>
  <c r="AV22" i="4"/>
  <c r="AT22" i="4"/>
  <c r="AS22" i="4"/>
  <c r="AR22" i="4"/>
  <c r="AQ22" i="4"/>
  <c r="AP22" i="4"/>
  <c r="AO22" i="4"/>
  <c r="AX23" i="4"/>
  <c r="AW23" i="4"/>
  <c r="AV23" i="4"/>
  <c r="AT23" i="4"/>
  <c r="AS23" i="4"/>
  <c r="AR23" i="4"/>
  <c r="AQ23" i="4"/>
  <c r="AP23" i="4"/>
  <c r="AO23" i="4"/>
  <c r="AX26" i="4"/>
  <c r="AW26" i="4"/>
  <c r="AV26" i="4"/>
  <c r="AT26" i="4"/>
  <c r="AS26" i="4"/>
  <c r="AR26" i="4"/>
  <c r="AQ26" i="4"/>
  <c r="AU26" i="4" s="1"/>
  <c r="AP26" i="4"/>
  <c r="AO26" i="4"/>
  <c r="AX21" i="4"/>
  <c r="AW21" i="4"/>
  <c r="AV21" i="4"/>
  <c r="AT21" i="4"/>
  <c r="AS21" i="4"/>
  <c r="AR21" i="4"/>
  <c r="AQ21" i="4"/>
  <c r="AP21" i="4"/>
  <c r="AO21" i="4"/>
  <c r="AX24" i="4"/>
  <c r="AW24" i="4"/>
  <c r="AV24" i="4"/>
  <c r="AT24" i="4"/>
  <c r="AS24" i="4"/>
  <c r="AR24" i="4"/>
  <c r="AQ24" i="4"/>
  <c r="AP24" i="4"/>
  <c r="AO24" i="4"/>
  <c r="AX20" i="4"/>
  <c r="AW20" i="4"/>
  <c r="AV20" i="4"/>
  <c r="AT20" i="4"/>
  <c r="AS20" i="4"/>
  <c r="AR20" i="4"/>
  <c r="AQ20" i="4"/>
  <c r="AP20" i="4"/>
  <c r="AO20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9" i="4"/>
  <c r="AW9" i="4"/>
  <c r="AV9" i="4"/>
  <c r="AT9" i="4"/>
  <c r="AS9" i="4"/>
  <c r="AR9" i="4"/>
  <c r="AQ9" i="4"/>
  <c r="AP9" i="4"/>
  <c r="AO9" i="4"/>
  <c r="AX10" i="4"/>
  <c r="AW10" i="4"/>
  <c r="AV10" i="4"/>
  <c r="AT10" i="4"/>
  <c r="AS10" i="4"/>
  <c r="AR10" i="4"/>
  <c r="AQ10" i="4"/>
  <c r="AP10" i="4"/>
  <c r="AO10" i="4"/>
  <c r="AX18" i="4"/>
  <c r="AW18" i="4"/>
  <c r="AV18" i="4"/>
  <c r="AT18" i="4"/>
  <c r="AS18" i="4"/>
  <c r="AR18" i="4"/>
  <c r="AQ18" i="4"/>
  <c r="AP18" i="4"/>
  <c r="AO1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8" i="4"/>
  <c r="AW8" i="4"/>
  <c r="AV8" i="4"/>
  <c r="AT8" i="4"/>
  <c r="AS8" i="4"/>
  <c r="AR8" i="4"/>
  <c r="AQ8" i="4"/>
  <c r="AP8" i="4"/>
  <c r="AO8" i="4"/>
  <c r="AX4" i="4"/>
  <c r="AW4" i="4"/>
  <c r="AV4" i="4"/>
  <c r="AT4" i="4"/>
  <c r="AS4" i="4"/>
  <c r="AR4" i="4"/>
  <c r="AQ4" i="4"/>
  <c r="AP4" i="4"/>
  <c r="AO4" i="4"/>
  <c r="CT16" i="21"/>
  <c r="CU16" i="21"/>
  <c r="CV16" i="21"/>
  <c r="CW16" i="21"/>
  <c r="CY16" i="21"/>
  <c r="CZ16" i="21"/>
  <c r="DX16" i="21"/>
  <c r="DY16" i="21"/>
  <c r="DZ16" i="21"/>
  <c r="EA16" i="21"/>
  <c r="EC16" i="21"/>
  <c r="ED16" i="21"/>
  <c r="EZ16" i="21"/>
  <c r="FA16" i="21"/>
  <c r="FB16" i="21"/>
  <c r="FC16" i="21"/>
  <c r="FE16" i="21"/>
  <c r="FF16" i="21"/>
  <c r="GB16" i="21"/>
  <c r="GC16" i="21"/>
  <c r="GD16" i="21"/>
  <c r="GE16" i="21"/>
  <c r="GG16" i="21"/>
  <c r="GH16" i="21"/>
  <c r="HD16" i="21"/>
  <c r="HE16" i="21"/>
  <c r="HF16" i="21"/>
  <c r="HG16" i="21"/>
  <c r="HI16" i="21"/>
  <c r="HJ16" i="21"/>
  <c r="IF16" i="21"/>
  <c r="IG16" i="21"/>
  <c r="IH16" i="21"/>
  <c r="II16" i="21"/>
  <c r="IK16" i="21"/>
  <c r="IL16" i="21"/>
  <c r="JH16" i="21"/>
  <c r="JI16" i="21"/>
  <c r="JJ16" i="21"/>
  <c r="JK16" i="21"/>
  <c r="JM16" i="21"/>
  <c r="JN16" i="21"/>
  <c r="KJ16" i="21"/>
  <c r="KK16" i="21"/>
  <c r="KL16" i="21"/>
  <c r="KM16" i="21"/>
  <c r="KO16" i="21"/>
  <c r="KP16" i="21"/>
  <c r="LL16" i="21"/>
  <c r="LM16" i="21"/>
  <c r="LN16" i="21"/>
  <c r="LO16" i="21"/>
  <c r="LQ16" i="21"/>
  <c r="LR16" i="21"/>
  <c r="MN16" i="21"/>
  <c r="MO16" i="21"/>
  <c r="MP16" i="21"/>
  <c r="MQ16" i="21"/>
  <c r="MS16" i="21"/>
  <c r="MT16" i="21"/>
  <c r="NP16" i="21"/>
  <c r="NQ16" i="21"/>
  <c r="NR16" i="21"/>
  <c r="NS16" i="21"/>
  <c r="NU16" i="21"/>
  <c r="NV16" i="21"/>
  <c r="OR16" i="21"/>
  <c r="OS16" i="21"/>
  <c r="OT16" i="21"/>
  <c r="OU16" i="21"/>
  <c r="OW16" i="21"/>
  <c r="OX16" i="21"/>
  <c r="PT16" i="21"/>
  <c r="PU16" i="21"/>
  <c r="PV16" i="21"/>
  <c r="PW16" i="21"/>
  <c r="PY16" i="21"/>
  <c r="PZ16" i="21"/>
  <c r="QV16" i="21"/>
  <c r="QW16" i="21"/>
  <c r="QX16" i="21"/>
  <c r="QY16" i="21"/>
  <c r="RA16" i="21"/>
  <c r="RB16" i="21"/>
  <c r="RX16" i="21"/>
  <c r="RY16" i="21"/>
  <c r="RZ16" i="21"/>
  <c r="SA16" i="21"/>
  <c r="SC16" i="21"/>
  <c r="SD16" i="21"/>
  <c r="SZ16" i="21"/>
  <c r="TA16" i="21"/>
  <c r="TB16" i="21"/>
  <c r="TC16" i="21"/>
  <c r="TE16" i="21"/>
  <c r="TF16" i="21"/>
  <c r="TH16" i="21"/>
  <c r="TI16" i="21"/>
  <c r="TJ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CT6" i="19"/>
  <c r="CU6" i="19"/>
  <c r="CV6" i="19"/>
  <c r="CW6" i="19"/>
  <c r="CY6" i="19"/>
  <c r="CZ6" i="19"/>
  <c r="DX6" i="19"/>
  <c r="DY6" i="19"/>
  <c r="DZ6" i="19"/>
  <c r="EA6" i="19"/>
  <c r="EC6" i="19"/>
  <c r="ED6" i="19"/>
  <c r="EZ6" i="19"/>
  <c r="FA6" i="19"/>
  <c r="FB6" i="19"/>
  <c r="FC6" i="19"/>
  <c r="FE6" i="19"/>
  <c r="FF6" i="19"/>
  <c r="GB6" i="19"/>
  <c r="GC6" i="19"/>
  <c r="GD6" i="19"/>
  <c r="GE6" i="19"/>
  <c r="GG6" i="19"/>
  <c r="GH6" i="19"/>
  <c r="HD6" i="19"/>
  <c r="HE6" i="19"/>
  <c r="HF6" i="19"/>
  <c r="HG6" i="19"/>
  <c r="HI6" i="19"/>
  <c r="HJ6" i="19"/>
  <c r="IF6" i="19"/>
  <c r="IG6" i="19"/>
  <c r="IH6" i="19"/>
  <c r="II6" i="19"/>
  <c r="IK6" i="19"/>
  <c r="IL6" i="19"/>
  <c r="JH6" i="19"/>
  <c r="JI6" i="19"/>
  <c r="JJ6" i="19"/>
  <c r="JK6" i="19"/>
  <c r="JM6" i="19"/>
  <c r="JN6" i="19"/>
  <c r="KJ6" i="19"/>
  <c r="KK6" i="19"/>
  <c r="KL6" i="19"/>
  <c r="KM6" i="19"/>
  <c r="KO6" i="19"/>
  <c r="KP6" i="19"/>
  <c r="LL6" i="19"/>
  <c r="LM6" i="19"/>
  <c r="LN6" i="19"/>
  <c r="LO6" i="19"/>
  <c r="LQ6" i="19"/>
  <c r="LR6" i="19"/>
  <c r="MN6" i="19"/>
  <c r="MO6" i="19"/>
  <c r="MP6" i="19"/>
  <c r="MQ6" i="19"/>
  <c r="MS6" i="19"/>
  <c r="MT6" i="19"/>
  <c r="NP6" i="19"/>
  <c r="NQ6" i="19"/>
  <c r="NR6" i="19"/>
  <c r="NS6" i="19"/>
  <c r="NU6" i="19"/>
  <c r="NV6" i="19"/>
  <c r="OR6" i="19"/>
  <c r="OS6" i="19"/>
  <c r="OT6" i="19"/>
  <c r="OU6" i="19"/>
  <c r="OW6" i="19"/>
  <c r="OX6" i="19"/>
  <c r="PT6" i="19"/>
  <c r="PU6" i="19"/>
  <c r="PV6" i="19"/>
  <c r="PW6" i="19"/>
  <c r="PY6" i="19"/>
  <c r="PZ6" i="19"/>
  <c r="QV6" i="19"/>
  <c r="QW6" i="19"/>
  <c r="QX6" i="19"/>
  <c r="QY6" i="19"/>
  <c r="RA6" i="19"/>
  <c r="RB6" i="19"/>
  <c r="RX6" i="19"/>
  <c r="RY6" i="19"/>
  <c r="RZ6" i="19"/>
  <c r="SA6" i="19"/>
  <c r="SC6" i="19"/>
  <c r="SD6" i="19"/>
  <c r="SZ6" i="19"/>
  <c r="TA6" i="19"/>
  <c r="TB6" i="19"/>
  <c r="TC6" i="19"/>
  <c r="TE6" i="19"/>
  <c r="TF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0" i="26"/>
  <c r="CU10" i="26"/>
  <c r="CV10" i="26"/>
  <c r="CW10" i="26"/>
  <c r="CY10" i="26"/>
  <c r="CZ10" i="26"/>
  <c r="DX10" i="26"/>
  <c r="DY10" i="26"/>
  <c r="DZ10" i="26"/>
  <c r="EA10" i="26"/>
  <c r="EC10" i="26"/>
  <c r="ED10" i="26"/>
  <c r="EZ10" i="26"/>
  <c r="FA10" i="26"/>
  <c r="FB10" i="26"/>
  <c r="FC10" i="26"/>
  <c r="FE10" i="26"/>
  <c r="FF10" i="26"/>
  <c r="GB10" i="26"/>
  <c r="GC10" i="26"/>
  <c r="GD10" i="26"/>
  <c r="GE10" i="26"/>
  <c r="GG10" i="26"/>
  <c r="GH10" i="26"/>
  <c r="HD10" i="26"/>
  <c r="HE10" i="26"/>
  <c r="HF10" i="26"/>
  <c r="HG10" i="26"/>
  <c r="HI10" i="26"/>
  <c r="HJ10" i="26"/>
  <c r="IF10" i="26"/>
  <c r="IG10" i="26"/>
  <c r="IH10" i="26"/>
  <c r="II10" i="26"/>
  <c r="IK10" i="26"/>
  <c r="IL10" i="26"/>
  <c r="JH10" i="26"/>
  <c r="JI10" i="26"/>
  <c r="JJ10" i="26"/>
  <c r="JK10" i="26"/>
  <c r="JM10" i="26"/>
  <c r="JN10" i="26"/>
  <c r="KJ10" i="26"/>
  <c r="KK10" i="26"/>
  <c r="KL10" i="26"/>
  <c r="KM10" i="26"/>
  <c r="KO10" i="26"/>
  <c r="KP10" i="26"/>
  <c r="LL10" i="26"/>
  <c r="LM10" i="26"/>
  <c r="LN10" i="26"/>
  <c r="LO10" i="26"/>
  <c r="LQ10" i="26"/>
  <c r="LR10" i="26"/>
  <c r="MN10" i="26"/>
  <c r="MO10" i="26"/>
  <c r="MP10" i="26"/>
  <c r="MQ10" i="26"/>
  <c r="MS10" i="26"/>
  <c r="MT10" i="26"/>
  <c r="NP10" i="26"/>
  <c r="NQ10" i="26"/>
  <c r="NR10" i="26"/>
  <c r="NS10" i="26"/>
  <c r="NU10" i="26"/>
  <c r="NV10" i="26"/>
  <c r="OR10" i="26"/>
  <c r="OS10" i="26"/>
  <c r="OT10" i="26"/>
  <c r="OU10" i="26"/>
  <c r="OW10" i="26"/>
  <c r="OX10" i="26"/>
  <c r="PT10" i="26"/>
  <c r="PU10" i="26"/>
  <c r="PV10" i="26"/>
  <c r="PW10" i="26"/>
  <c r="PY10" i="26"/>
  <c r="PZ10" i="26"/>
  <c r="QV10" i="26"/>
  <c r="QW10" i="26"/>
  <c r="QX10" i="26"/>
  <c r="QY10" i="26"/>
  <c r="RA10" i="26"/>
  <c r="RB10" i="26"/>
  <c r="RX10" i="26"/>
  <c r="RY10" i="26"/>
  <c r="RZ10" i="26"/>
  <c r="SA10" i="26"/>
  <c r="SC10" i="26"/>
  <c r="SD10" i="26"/>
  <c r="SZ10" i="26"/>
  <c r="TA10" i="26"/>
  <c r="TB10" i="26"/>
  <c r="TC10" i="26"/>
  <c r="TE10" i="26"/>
  <c r="TF10" i="26"/>
  <c r="TH10" i="26"/>
  <c r="TI10" i="26"/>
  <c r="TJ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CT19" i="19"/>
  <c r="CU19" i="19"/>
  <c r="CV19" i="19"/>
  <c r="CW19" i="19"/>
  <c r="CY19" i="19"/>
  <c r="CZ19" i="19"/>
  <c r="DX19" i="19"/>
  <c r="DY19" i="19"/>
  <c r="DZ19" i="19"/>
  <c r="EA19" i="19"/>
  <c r="EC19" i="19"/>
  <c r="ED19" i="19"/>
  <c r="EZ19" i="19"/>
  <c r="FA19" i="19"/>
  <c r="FB19" i="19"/>
  <c r="FC19" i="19"/>
  <c r="FE19" i="19"/>
  <c r="FF19" i="19"/>
  <c r="GB19" i="19"/>
  <c r="GC19" i="19"/>
  <c r="GD19" i="19"/>
  <c r="GE19" i="19"/>
  <c r="GG19" i="19"/>
  <c r="GH19" i="19"/>
  <c r="HD19" i="19"/>
  <c r="HE19" i="19"/>
  <c r="HF19" i="19"/>
  <c r="HG19" i="19"/>
  <c r="HI19" i="19"/>
  <c r="HJ19" i="19"/>
  <c r="IF19" i="19"/>
  <c r="IG19" i="19"/>
  <c r="IH19" i="19"/>
  <c r="II19" i="19"/>
  <c r="IK19" i="19"/>
  <c r="IL19" i="19"/>
  <c r="JH19" i="19"/>
  <c r="JI19" i="19"/>
  <c r="JJ19" i="19"/>
  <c r="JK19" i="19"/>
  <c r="JM19" i="19"/>
  <c r="JN19" i="19"/>
  <c r="KJ19" i="19"/>
  <c r="KK19" i="19"/>
  <c r="KL19" i="19"/>
  <c r="KM19" i="19"/>
  <c r="KO19" i="19"/>
  <c r="KP19" i="19"/>
  <c r="LL19" i="19"/>
  <c r="LM19" i="19"/>
  <c r="LN19" i="19"/>
  <c r="LO19" i="19"/>
  <c r="LQ19" i="19"/>
  <c r="LR19" i="19"/>
  <c r="MN19" i="19"/>
  <c r="MO19" i="19"/>
  <c r="MP19" i="19"/>
  <c r="MQ19" i="19"/>
  <c r="MS19" i="19"/>
  <c r="MT19" i="19"/>
  <c r="NP19" i="19"/>
  <c r="NQ19" i="19"/>
  <c r="NR19" i="19"/>
  <c r="NS19" i="19"/>
  <c r="NU19" i="19"/>
  <c r="NV19" i="19"/>
  <c r="OR19" i="19"/>
  <c r="OS19" i="19"/>
  <c r="OT19" i="19"/>
  <c r="OU19" i="19"/>
  <c r="OW19" i="19"/>
  <c r="OX19" i="19"/>
  <c r="PT19" i="19"/>
  <c r="PU19" i="19"/>
  <c r="PV19" i="19"/>
  <c r="PW19" i="19"/>
  <c r="PY19" i="19"/>
  <c r="PZ19" i="19"/>
  <c r="QV19" i="19"/>
  <c r="QW19" i="19"/>
  <c r="QX19" i="19"/>
  <c r="QY19" i="19"/>
  <c r="RA19" i="19"/>
  <c r="RB19" i="19"/>
  <c r="RX19" i="19"/>
  <c r="RY19" i="19"/>
  <c r="RZ19" i="19"/>
  <c r="SA19" i="19"/>
  <c r="SC19" i="19"/>
  <c r="SD19" i="19"/>
  <c r="SZ19" i="19"/>
  <c r="TA19" i="19"/>
  <c r="TB19" i="19"/>
  <c r="TC19" i="19"/>
  <c r="TE19" i="19"/>
  <c r="TF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AR7" i="19" l="1"/>
  <c r="BU4" i="26"/>
  <c r="TN10" i="24"/>
  <c r="DV14" i="24"/>
  <c r="DV11" i="24"/>
  <c r="FD6" i="24"/>
  <c r="FD13" i="24"/>
  <c r="GL8" i="24"/>
  <c r="GL15" i="24"/>
  <c r="HT10" i="24"/>
  <c r="JB5" i="24"/>
  <c r="JB12" i="24"/>
  <c r="KJ7" i="24"/>
  <c r="KQ7" i="24" s="1"/>
  <c r="KJ14" i="24"/>
  <c r="KQ14" i="24" s="1"/>
  <c r="LR9" i="24"/>
  <c r="LY9" i="24" s="1"/>
  <c r="MZ4" i="24"/>
  <c r="NG4" i="24" s="1"/>
  <c r="MZ11" i="24"/>
  <c r="NG11" i="24" s="1"/>
  <c r="BR14" i="23"/>
  <c r="AQ11" i="23"/>
  <c r="BR12" i="23"/>
  <c r="ED6" i="22"/>
  <c r="GT8" i="22"/>
  <c r="KR6" i="22"/>
  <c r="KR14" i="22"/>
  <c r="LZ9" i="22"/>
  <c r="MG9" i="22" s="1"/>
  <c r="OP5" i="22"/>
  <c r="OP13" i="22"/>
  <c r="AU7" i="22"/>
  <c r="GT24" i="4"/>
  <c r="IB4" i="4"/>
  <c r="IB9" i="4"/>
  <c r="IB24" i="4"/>
  <c r="JJ4" i="4"/>
  <c r="JJ9" i="4"/>
  <c r="LZ9" i="4"/>
  <c r="MG9" i="4" s="1"/>
  <c r="PX24" i="4"/>
  <c r="RF4" i="4"/>
  <c r="RF9" i="4"/>
  <c r="TV24" i="4"/>
  <c r="UC24" i="4" s="1"/>
  <c r="VD4" i="4"/>
  <c r="VK4" i="4" s="1"/>
  <c r="VD9" i="4"/>
  <c r="VK9" i="4" s="1"/>
  <c r="BZ23" i="4"/>
  <c r="BZ24" i="4"/>
  <c r="DV9" i="24"/>
  <c r="EC9" i="24" s="1"/>
  <c r="GL6" i="24"/>
  <c r="GS6" i="24" s="1"/>
  <c r="GL13" i="24"/>
  <c r="HT8" i="24"/>
  <c r="HT15" i="24"/>
  <c r="IA15" i="24" s="1"/>
  <c r="JB10" i="24"/>
  <c r="JI10" i="24" s="1"/>
  <c r="KJ5" i="24"/>
  <c r="KQ5" i="24" s="1"/>
  <c r="KJ12" i="24"/>
  <c r="LR7" i="24"/>
  <c r="LY7" i="24" s="1"/>
  <c r="LR14" i="24"/>
  <c r="LY14" i="24" s="1"/>
  <c r="MZ9" i="24"/>
  <c r="NG9" i="24" s="1"/>
  <c r="OH4" i="24"/>
  <c r="OO4" i="24" s="1"/>
  <c r="OH11" i="24"/>
  <c r="OO11" i="24" s="1"/>
  <c r="PP6" i="24"/>
  <c r="PW6" i="24" s="1"/>
  <c r="PP13" i="24"/>
  <c r="PW13" i="24" s="1"/>
  <c r="QX8" i="24"/>
  <c r="RE8" i="24" s="1"/>
  <c r="QX15" i="24"/>
  <c r="SF10" i="24"/>
  <c r="TN5" i="24"/>
  <c r="TU5" i="24" s="1"/>
  <c r="TN12" i="24"/>
  <c r="TU12" i="24" s="1"/>
  <c r="UV7" i="24"/>
  <c r="VC7" i="24" s="1"/>
  <c r="UV14" i="24"/>
  <c r="VC14" i="24" s="1"/>
  <c r="QX14" i="24"/>
  <c r="RE14" i="24" s="1"/>
  <c r="TN11" i="24"/>
  <c r="TU11" i="24" s="1"/>
  <c r="UV6" i="24"/>
  <c r="VC6" i="24" s="1"/>
  <c r="HT14" i="24"/>
  <c r="IA14" i="24" s="1"/>
  <c r="UV13" i="24"/>
  <c r="VC13" i="24" s="1"/>
  <c r="AM5" i="24"/>
  <c r="AQ5" i="24" s="1"/>
  <c r="FL8" i="22"/>
  <c r="FS8" i="22" s="1"/>
  <c r="JJ6" i="22"/>
  <c r="JJ14" i="22"/>
  <c r="JQ14" i="22" s="1"/>
  <c r="KR9" i="22"/>
  <c r="KY9" i="22" s="1"/>
  <c r="NH5" i="22"/>
  <c r="NO5" i="22" s="1"/>
  <c r="NH13" i="22"/>
  <c r="BV8" i="22"/>
  <c r="BZ8" i="22" s="1"/>
  <c r="SB19" i="19"/>
  <c r="EB6" i="19"/>
  <c r="NT10" i="26"/>
  <c r="SB10" i="26"/>
  <c r="AM12" i="23"/>
  <c r="AQ12" i="23" s="1"/>
  <c r="AM13" i="23"/>
  <c r="AQ13" i="23" s="1"/>
  <c r="BR5" i="23"/>
  <c r="AU26" i="21"/>
  <c r="SN9" i="4"/>
  <c r="ED10" i="4"/>
  <c r="IB20" i="4"/>
  <c r="IB27" i="4"/>
  <c r="II27" i="4" s="1"/>
  <c r="JJ10" i="4"/>
  <c r="JQ10" i="4" s="1"/>
  <c r="JJ20" i="4"/>
  <c r="JQ20" i="4" s="1"/>
  <c r="LZ20" i="4"/>
  <c r="MG20" i="4" s="1"/>
  <c r="LZ27" i="4"/>
  <c r="MG27" i="4" s="1"/>
  <c r="NH10" i="4"/>
  <c r="NO10" i="4" s="1"/>
  <c r="RF20" i="4"/>
  <c r="RM20" i="4" s="1"/>
  <c r="RF27" i="4"/>
  <c r="RM27" i="4" s="1"/>
  <c r="SN10" i="4"/>
  <c r="SU10" i="4" s="1"/>
  <c r="TV10" i="4"/>
  <c r="VD20" i="4"/>
  <c r="VK20" i="4" s="1"/>
  <c r="VD27" i="4"/>
  <c r="VK27" i="4" s="1"/>
  <c r="OW22" i="4"/>
  <c r="QE7" i="4"/>
  <c r="QE16" i="4"/>
  <c r="FS22" i="4"/>
  <c r="HA7" i="4"/>
  <c r="HA16" i="4"/>
  <c r="II6" i="4"/>
  <c r="RM6" i="4"/>
  <c r="II26" i="4"/>
  <c r="JQ5" i="4"/>
  <c r="JQ12" i="4"/>
  <c r="RM26" i="4"/>
  <c r="SU5" i="4"/>
  <c r="SU12" i="4"/>
  <c r="HA23" i="4"/>
  <c r="RM13" i="4"/>
  <c r="BV7" i="4"/>
  <c r="BZ7" i="4" s="1"/>
  <c r="II13" i="4"/>
  <c r="FL21" i="4"/>
  <c r="FS21" i="4" s="1"/>
  <c r="GT8" i="4"/>
  <c r="HA8" i="4" s="1"/>
  <c r="GT11" i="4"/>
  <c r="GT21" i="4"/>
  <c r="IB8" i="4"/>
  <c r="II8" i="4" s="1"/>
  <c r="IB11" i="4"/>
  <c r="II11" i="4" s="1"/>
  <c r="JJ21" i="4"/>
  <c r="JQ21" i="4" s="1"/>
  <c r="KR8" i="4"/>
  <c r="KY8" i="4" s="1"/>
  <c r="KR11" i="4"/>
  <c r="KY11" i="4" s="1"/>
  <c r="OP21" i="4"/>
  <c r="PX8" i="4"/>
  <c r="PX11" i="4"/>
  <c r="QE11" i="4" s="1"/>
  <c r="RF8" i="4"/>
  <c r="RM8" i="4" s="1"/>
  <c r="RF11" i="4"/>
  <c r="RM11" i="4" s="1"/>
  <c r="SN21" i="4"/>
  <c r="SU21" i="4" s="1"/>
  <c r="TV8" i="4"/>
  <c r="UC8" i="4" s="1"/>
  <c r="TV11" i="4"/>
  <c r="UC11" i="4" s="1"/>
  <c r="QE23" i="4"/>
  <c r="IB9" i="22"/>
  <c r="II9" i="22" s="1"/>
  <c r="ED9" i="22"/>
  <c r="EK9" i="22" s="1"/>
  <c r="IB8" i="22"/>
  <c r="LZ14" i="22"/>
  <c r="MG14" i="22" s="1"/>
  <c r="PX5" i="22"/>
  <c r="QE5" i="22" s="1"/>
  <c r="PX13" i="22"/>
  <c r="QE13" i="22" s="1"/>
  <c r="ED8" i="22"/>
  <c r="EK8" i="22" s="1"/>
  <c r="IB6" i="22"/>
  <c r="II6" i="22" s="1"/>
  <c r="IB14" i="22"/>
  <c r="II14" i="22" s="1"/>
  <c r="JJ9" i="22"/>
  <c r="JQ9" i="22" s="1"/>
  <c r="VD5" i="22"/>
  <c r="VK5" i="22" s="1"/>
  <c r="VD13" i="22"/>
  <c r="VK13" i="22" s="1"/>
  <c r="FL6" i="22"/>
  <c r="FL14" i="22"/>
  <c r="FS14" i="22" s="1"/>
  <c r="GT9" i="22"/>
  <c r="HA9" i="22" s="1"/>
  <c r="KR8" i="22"/>
  <c r="KY8" i="22" s="1"/>
  <c r="SN5" i="22"/>
  <c r="SU5" i="22" s="1"/>
  <c r="SN13" i="22"/>
  <c r="SU13" i="22" s="1"/>
  <c r="BV7" i="22"/>
  <c r="BZ7" i="22" s="1"/>
  <c r="BU5" i="21"/>
  <c r="AR24" i="21"/>
  <c r="BU12" i="19"/>
  <c r="AR4" i="27"/>
  <c r="AR8" i="27"/>
  <c r="BU15" i="27"/>
  <c r="BU16" i="27"/>
  <c r="LP10" i="26"/>
  <c r="PX10" i="26"/>
  <c r="AR9" i="26"/>
  <c r="AU10" i="26"/>
  <c r="BX6" i="26"/>
  <c r="AU6" i="26"/>
  <c r="DV4" i="24"/>
  <c r="EC4" i="24" s="1"/>
  <c r="FD4" i="24"/>
  <c r="FK4" i="24" s="1"/>
  <c r="FD11" i="24"/>
  <c r="SF9" i="24"/>
  <c r="SM9" i="24" s="1"/>
  <c r="AM4" i="24"/>
  <c r="AQ4" i="24" s="1"/>
  <c r="DV8" i="24"/>
  <c r="EC8" i="24" s="1"/>
  <c r="DV15" i="24"/>
  <c r="EC15" i="24" s="1"/>
  <c r="FD10" i="24"/>
  <c r="FK10" i="24" s="1"/>
  <c r="GL5" i="24"/>
  <c r="GS5" i="24" s="1"/>
  <c r="KJ11" i="24"/>
  <c r="KQ11" i="24" s="1"/>
  <c r="LR6" i="24"/>
  <c r="LY6" i="24" s="1"/>
  <c r="LR13" i="24"/>
  <c r="LY13" i="24" s="1"/>
  <c r="MZ8" i="24"/>
  <c r="NG8" i="24" s="1"/>
  <c r="PP5" i="24"/>
  <c r="PW5" i="24" s="1"/>
  <c r="TN4" i="24"/>
  <c r="TU4" i="24" s="1"/>
  <c r="BR8" i="24"/>
  <c r="BR5" i="24"/>
  <c r="AQ14" i="24"/>
  <c r="AQ9" i="23"/>
  <c r="BR18" i="23"/>
  <c r="BR7" i="23"/>
  <c r="AM7" i="23"/>
  <c r="AQ7" i="23" s="1"/>
  <c r="AM6" i="23"/>
  <c r="AQ6" i="23" s="1"/>
  <c r="BR9" i="23"/>
  <c r="LZ10" i="22"/>
  <c r="MG10" i="22" s="1"/>
  <c r="LZ15" i="22"/>
  <c r="MG15" i="22" s="1"/>
  <c r="AY7" i="22"/>
  <c r="NH6" i="22"/>
  <c r="NO6" i="22" s="1"/>
  <c r="OP6" i="22"/>
  <c r="OW6" i="22" s="1"/>
  <c r="PX6" i="22"/>
  <c r="QE6" i="22" s="1"/>
  <c r="RF6" i="22"/>
  <c r="RM6" i="22" s="1"/>
  <c r="SN6" i="22"/>
  <c r="SU6" i="22" s="1"/>
  <c r="TV6" i="22"/>
  <c r="UC6" i="22" s="1"/>
  <c r="VD6" i="22"/>
  <c r="VK6" i="22" s="1"/>
  <c r="LZ5" i="22"/>
  <c r="MG5" i="22" s="1"/>
  <c r="LZ13" i="22"/>
  <c r="MG13" i="22" s="1"/>
  <c r="AU14" i="22"/>
  <c r="AY14" i="22" s="1"/>
  <c r="EK14" i="22"/>
  <c r="HA8" i="22"/>
  <c r="HA14" i="22"/>
  <c r="II8" i="22"/>
  <c r="JQ8" i="22"/>
  <c r="KY14" i="22"/>
  <c r="LZ8" i="22"/>
  <c r="MG8" i="22" s="1"/>
  <c r="BV15" i="22"/>
  <c r="BZ15" i="22" s="1"/>
  <c r="NH8" i="22"/>
  <c r="NO8" i="22" s="1"/>
  <c r="NH14" i="22"/>
  <c r="NO14" i="22" s="1"/>
  <c r="OP8" i="22"/>
  <c r="OP14" i="22"/>
  <c r="PX8" i="22"/>
  <c r="QE8" i="22" s="1"/>
  <c r="PX14" i="22"/>
  <c r="QE14" i="22" s="1"/>
  <c r="RF8" i="22"/>
  <c r="RM8" i="22" s="1"/>
  <c r="SN8" i="22"/>
  <c r="SU8" i="22" s="1"/>
  <c r="SN14" i="22"/>
  <c r="SU14" i="22" s="1"/>
  <c r="TV8" i="22"/>
  <c r="UC8" i="22" s="1"/>
  <c r="TV14" i="22"/>
  <c r="UC14" i="22" s="1"/>
  <c r="VD8" i="22"/>
  <c r="VK8" i="22" s="1"/>
  <c r="VD14" i="22"/>
  <c r="VK14" i="22" s="1"/>
  <c r="AY8" i="22"/>
  <c r="LZ12" i="22"/>
  <c r="MG12" i="22" s="1"/>
  <c r="AU13" i="22"/>
  <c r="AY13" i="22" s="1"/>
  <c r="BV13" i="22"/>
  <c r="BZ13" i="22" s="1"/>
  <c r="KR24" i="4"/>
  <c r="KY24" i="4" s="1"/>
  <c r="LZ4" i="4"/>
  <c r="MG4" i="4" s="1"/>
  <c r="ED16" i="4"/>
  <c r="EK16" i="4" s="1"/>
  <c r="JJ27" i="4"/>
  <c r="JQ27" i="4" s="1"/>
  <c r="KR10" i="4"/>
  <c r="KY10" i="4" s="1"/>
  <c r="NH7" i="4"/>
  <c r="NH16" i="4"/>
  <c r="NO16" i="4" s="1"/>
  <c r="NH23" i="4"/>
  <c r="OP6" i="4"/>
  <c r="OW6" i="4" s="1"/>
  <c r="OP13" i="4"/>
  <c r="OW13" i="4" s="1"/>
  <c r="OP26" i="4"/>
  <c r="OW26" i="4" s="1"/>
  <c r="PX5" i="4"/>
  <c r="QE5" i="4" s="1"/>
  <c r="PX12" i="4"/>
  <c r="QE12" i="4" s="1"/>
  <c r="PX21" i="4"/>
  <c r="QE21" i="4" s="1"/>
  <c r="RF24" i="4"/>
  <c r="RM24" i="4" s="1"/>
  <c r="SN4" i="4"/>
  <c r="SU4" i="4" s="1"/>
  <c r="SN20" i="4"/>
  <c r="SU20" i="4" s="1"/>
  <c r="SN27" i="4"/>
  <c r="SU27" i="4" s="1"/>
  <c r="BV10" i="4"/>
  <c r="BZ10" i="4" s="1"/>
  <c r="BV22" i="4"/>
  <c r="BZ22" i="4" s="1"/>
  <c r="AU13" i="4"/>
  <c r="AY13" i="4" s="1"/>
  <c r="AU24" i="4"/>
  <c r="AY24" i="4" s="1"/>
  <c r="BV9" i="4"/>
  <c r="BZ9" i="4" s="1"/>
  <c r="BZ25" i="4"/>
  <c r="AU16" i="4"/>
  <c r="AY16" i="4" s="1"/>
  <c r="BV6" i="4"/>
  <c r="BZ6" i="4" s="1"/>
  <c r="AU11" i="4"/>
  <c r="ED4" i="4"/>
  <c r="EK4" i="4" s="1"/>
  <c r="ED9" i="4"/>
  <c r="EK9" i="4" s="1"/>
  <c r="ED20" i="4"/>
  <c r="EK20" i="4" s="1"/>
  <c r="ED27" i="4"/>
  <c r="EK27" i="4" s="1"/>
  <c r="FL10" i="4"/>
  <c r="FS10" i="4" s="1"/>
  <c r="FL25" i="4"/>
  <c r="FS25" i="4" s="1"/>
  <c r="GT18" i="4"/>
  <c r="GT17" i="4"/>
  <c r="HA17" i="4" s="1"/>
  <c r="GT22" i="4"/>
  <c r="HA22" i="4" s="1"/>
  <c r="IB7" i="4"/>
  <c r="II7" i="4" s="1"/>
  <c r="IB16" i="4"/>
  <c r="II16" i="4" s="1"/>
  <c r="IB23" i="4"/>
  <c r="II23" i="4" s="1"/>
  <c r="JJ6" i="4"/>
  <c r="JQ6" i="4" s="1"/>
  <c r="JJ13" i="4"/>
  <c r="JQ13" i="4" s="1"/>
  <c r="JJ26" i="4"/>
  <c r="JQ26" i="4" s="1"/>
  <c r="KR5" i="4"/>
  <c r="KY5" i="4" s="1"/>
  <c r="KR12" i="4"/>
  <c r="KY12" i="4" s="1"/>
  <c r="KR21" i="4"/>
  <c r="KY21" i="4" s="1"/>
  <c r="LZ8" i="4"/>
  <c r="MG8" i="4" s="1"/>
  <c r="LZ11" i="4"/>
  <c r="MG11" i="4" s="1"/>
  <c r="LZ24" i="4"/>
  <c r="MG24" i="4" s="1"/>
  <c r="NH4" i="4"/>
  <c r="NO4" i="4" s="1"/>
  <c r="NH9" i="4"/>
  <c r="NO9" i="4" s="1"/>
  <c r="NH20" i="4"/>
  <c r="NO20" i="4" s="1"/>
  <c r="NH27" i="4"/>
  <c r="NO27" i="4" s="1"/>
  <c r="OP10" i="4"/>
  <c r="OW10" i="4" s="1"/>
  <c r="OP25" i="4"/>
  <c r="OW25" i="4" s="1"/>
  <c r="PX18" i="4"/>
  <c r="QE18" i="4" s="1"/>
  <c r="PX17" i="4"/>
  <c r="QE17" i="4" s="1"/>
  <c r="RF7" i="4"/>
  <c r="RM7" i="4" s="1"/>
  <c r="RF16" i="4"/>
  <c r="RM16" i="4" s="1"/>
  <c r="RF23" i="4"/>
  <c r="RM23" i="4" s="1"/>
  <c r="SN6" i="4"/>
  <c r="SU6" i="4" s="1"/>
  <c r="SN13" i="4"/>
  <c r="SU13" i="4" s="1"/>
  <c r="SN26" i="4"/>
  <c r="SU26" i="4" s="1"/>
  <c r="TV5" i="4"/>
  <c r="UC5" i="4" s="1"/>
  <c r="TV12" i="4"/>
  <c r="UC12" i="4" s="1"/>
  <c r="TV21" i="4"/>
  <c r="UC21" i="4" s="1"/>
  <c r="VD8" i="4"/>
  <c r="VK8" i="4" s="1"/>
  <c r="VD11" i="4"/>
  <c r="VK11" i="4" s="1"/>
  <c r="VD24" i="4"/>
  <c r="VK24" i="4" s="1"/>
  <c r="AY26" i="4"/>
  <c r="BV16" i="4"/>
  <c r="BZ16" i="4" s="1"/>
  <c r="BX15" i="27"/>
  <c r="BX5" i="27"/>
  <c r="BU6" i="27"/>
  <c r="BU9" i="27"/>
  <c r="AR9" i="21"/>
  <c r="BU17" i="21"/>
  <c r="EB16" i="21"/>
  <c r="BU24" i="21"/>
  <c r="BX7" i="21"/>
  <c r="BX12" i="21"/>
  <c r="LP16" i="21"/>
  <c r="LS16" i="21"/>
  <c r="BU10" i="21"/>
  <c r="BX8" i="21"/>
  <c r="BX22" i="21"/>
  <c r="AU6" i="21"/>
  <c r="IJ16" i="21"/>
  <c r="QZ16" i="21"/>
  <c r="AU13" i="21"/>
  <c r="NW16" i="21"/>
  <c r="BU20" i="19"/>
  <c r="BU27" i="19"/>
  <c r="BU28" i="19"/>
  <c r="BX17" i="19"/>
  <c r="JL6" i="19"/>
  <c r="HH19" i="19"/>
  <c r="QZ6" i="19"/>
  <c r="GF6" i="19"/>
  <c r="AR24" i="19"/>
  <c r="AR5" i="19"/>
  <c r="AR20" i="19"/>
  <c r="AR27" i="19"/>
  <c r="AR28" i="19"/>
  <c r="BU21" i="19"/>
  <c r="BX33" i="19"/>
  <c r="BX24" i="19"/>
  <c r="AU30" i="19"/>
  <c r="BX7" i="27"/>
  <c r="AR5" i="27"/>
  <c r="AR15" i="27"/>
  <c r="BX10" i="27"/>
  <c r="AU7" i="27"/>
  <c r="AR6" i="27"/>
  <c r="BU5" i="27"/>
  <c r="AR14" i="26"/>
  <c r="JL10" i="26"/>
  <c r="BU9" i="26"/>
  <c r="SB16" i="21"/>
  <c r="AR11" i="21"/>
  <c r="KN16" i="21"/>
  <c r="AU17" i="21"/>
  <c r="AU22" i="21"/>
  <c r="BU11" i="21"/>
  <c r="AU24" i="21"/>
  <c r="BX17" i="21"/>
  <c r="AU16" i="21"/>
  <c r="BX10" i="21"/>
  <c r="BX5" i="21"/>
  <c r="AU5" i="21"/>
  <c r="AU7" i="21"/>
  <c r="AU12" i="21"/>
  <c r="BX6" i="21"/>
  <c r="AU11" i="21"/>
  <c r="HK16" i="21"/>
  <c r="TD16" i="21"/>
  <c r="JO16" i="21"/>
  <c r="BX13" i="21"/>
  <c r="NT16" i="21"/>
  <c r="PX16" i="21"/>
  <c r="GF16" i="21"/>
  <c r="AR10" i="21"/>
  <c r="AR17" i="21"/>
  <c r="JL16" i="21"/>
  <c r="AR16" i="21"/>
  <c r="BX19" i="21"/>
  <c r="HH16" i="21"/>
  <c r="AU10" i="21"/>
  <c r="AU8" i="21"/>
  <c r="AU14" i="21"/>
  <c r="AU23" i="21"/>
  <c r="BU16" i="21"/>
  <c r="AU4" i="21"/>
  <c r="AU15" i="21"/>
  <c r="BU14" i="21"/>
  <c r="BX11" i="21"/>
  <c r="BX24" i="21"/>
  <c r="BX23" i="21"/>
  <c r="BX16" i="21"/>
  <c r="AU18" i="21"/>
  <c r="BX26" i="21"/>
  <c r="BX4" i="21"/>
  <c r="BX15" i="21"/>
  <c r="AR19" i="21"/>
  <c r="BX18" i="21"/>
  <c r="AR5" i="21"/>
  <c r="BX9" i="21"/>
  <c r="AU18" i="19"/>
  <c r="JL19" i="19"/>
  <c r="TD6" i="19"/>
  <c r="AR16" i="19"/>
  <c r="AU27" i="19"/>
  <c r="AU28" i="19"/>
  <c r="BU15" i="19"/>
  <c r="BU25" i="19"/>
  <c r="AU16" i="19"/>
  <c r="AU33" i="19"/>
  <c r="AU31" i="19"/>
  <c r="CX6" i="19"/>
  <c r="AU8" i="19"/>
  <c r="AR15" i="19"/>
  <c r="BU5" i="19"/>
  <c r="AU25" i="19"/>
  <c r="HH6" i="19"/>
  <c r="AU10" i="19"/>
  <c r="AU12" i="19"/>
  <c r="BX7" i="19"/>
  <c r="BX13" i="19"/>
  <c r="BX16" i="19"/>
  <c r="BX28" i="19"/>
  <c r="BX29" i="19"/>
  <c r="AU13" i="19"/>
  <c r="AU32" i="19"/>
  <c r="BX14" i="19"/>
  <c r="AR14" i="19"/>
  <c r="AU29" i="19"/>
  <c r="BX19" i="19"/>
  <c r="BX30" i="19"/>
  <c r="AR19" i="19"/>
  <c r="AU21" i="19"/>
  <c r="BX8" i="19"/>
  <c r="BX31" i="19"/>
  <c r="BX18" i="19"/>
  <c r="AU17" i="19"/>
  <c r="BU4" i="19"/>
  <c r="BX22" i="19"/>
  <c r="AR12" i="19"/>
  <c r="AU22" i="19"/>
  <c r="BU16" i="19"/>
  <c r="IJ6" i="19"/>
  <c r="BX5" i="19"/>
  <c r="BX6" i="19"/>
  <c r="BU33" i="19"/>
  <c r="AU5" i="19"/>
  <c r="AU6" i="19"/>
  <c r="BX4" i="19"/>
  <c r="BX20" i="19"/>
  <c r="BX11" i="19"/>
  <c r="AU20" i="19"/>
  <c r="AU11" i="19"/>
  <c r="AR33" i="19"/>
  <c r="BX10" i="19"/>
  <c r="BX12" i="19"/>
  <c r="BX27" i="19"/>
  <c r="BX32" i="19"/>
  <c r="AR13" i="27"/>
  <c r="AU12" i="27"/>
  <c r="BX4" i="27"/>
  <c r="AU16" i="27"/>
  <c r="BU12" i="27"/>
  <c r="BU8" i="27"/>
  <c r="AR14" i="27"/>
  <c r="AU5" i="27"/>
  <c r="AU4" i="27"/>
  <c r="AU15" i="27"/>
  <c r="AR10" i="27"/>
  <c r="AU8" i="27"/>
  <c r="BX13" i="27"/>
  <c r="AR9" i="27"/>
  <c r="BX8" i="27"/>
  <c r="BX14" i="27"/>
  <c r="BU4" i="27"/>
  <c r="AU11" i="26"/>
  <c r="BX8" i="26"/>
  <c r="HK10" i="26"/>
  <c r="AU4" i="26"/>
  <c r="JO10" i="26"/>
  <c r="LS10" i="26"/>
  <c r="NW10" i="26"/>
  <c r="CX10" i="26"/>
  <c r="HH10" i="26"/>
  <c r="BX11" i="26"/>
  <c r="AU8" i="26"/>
  <c r="BU14" i="26"/>
  <c r="DA10" i="26"/>
  <c r="BX5" i="26"/>
  <c r="AU5" i="26"/>
  <c r="BX9" i="26"/>
  <c r="BX13" i="26"/>
  <c r="AU9" i="26"/>
  <c r="AU13" i="26"/>
  <c r="BX14" i="26"/>
  <c r="AU14" i="26"/>
  <c r="BX10" i="26"/>
  <c r="FK11" i="24"/>
  <c r="GS13" i="24"/>
  <c r="IA8" i="24"/>
  <c r="KQ12" i="24"/>
  <c r="RE15" i="24"/>
  <c r="SM10" i="24"/>
  <c r="GS12" i="24"/>
  <c r="IA7" i="24"/>
  <c r="JI9" i="24"/>
  <c r="KQ4" i="24"/>
  <c r="NG15" i="24"/>
  <c r="OO10" i="24"/>
  <c r="PW12" i="24"/>
  <c r="RE7" i="24"/>
  <c r="AQ8" i="24"/>
  <c r="BR13" i="24"/>
  <c r="BR7" i="24"/>
  <c r="BR10" i="24"/>
  <c r="EC7" i="24"/>
  <c r="EC14" i="24"/>
  <c r="FK9" i="24"/>
  <c r="GS4" i="24"/>
  <c r="GS11" i="24"/>
  <c r="IA6" i="24"/>
  <c r="IA13" i="24"/>
  <c r="JI8" i="24"/>
  <c r="JI15" i="24"/>
  <c r="KQ10" i="24"/>
  <c r="LY5" i="24"/>
  <c r="LY12" i="24"/>
  <c r="NG7" i="24"/>
  <c r="NG14" i="24"/>
  <c r="OO9" i="24"/>
  <c r="PW4" i="24"/>
  <c r="PW11" i="24"/>
  <c r="RE6" i="24"/>
  <c r="RE13" i="24"/>
  <c r="SM8" i="24"/>
  <c r="SM15" i="24"/>
  <c r="TU10" i="24"/>
  <c r="UV5" i="24"/>
  <c r="VC5" i="24" s="1"/>
  <c r="UV12" i="24"/>
  <c r="VC12" i="24" s="1"/>
  <c r="BR4" i="24"/>
  <c r="AQ13" i="24"/>
  <c r="DV6" i="24"/>
  <c r="EC6" i="24" s="1"/>
  <c r="DV13" i="24"/>
  <c r="EC13" i="24" s="1"/>
  <c r="FD8" i="24"/>
  <c r="FK8" i="24" s="1"/>
  <c r="FD15" i="24"/>
  <c r="FK15" i="24" s="1"/>
  <c r="GL10" i="24"/>
  <c r="GS10" i="24" s="1"/>
  <c r="HT5" i="24"/>
  <c r="IA5" i="24" s="1"/>
  <c r="HT12" i="24"/>
  <c r="IA12" i="24" s="1"/>
  <c r="JB7" i="24"/>
  <c r="JI7" i="24" s="1"/>
  <c r="JB14" i="24"/>
  <c r="JI14" i="24" s="1"/>
  <c r="KJ9" i="24"/>
  <c r="KQ9" i="24" s="1"/>
  <c r="LR4" i="24"/>
  <c r="LY4" i="24" s="1"/>
  <c r="LR11" i="24"/>
  <c r="LY11" i="24" s="1"/>
  <c r="MZ6" i="24"/>
  <c r="NG6" i="24" s="1"/>
  <c r="MZ13" i="24"/>
  <c r="NG13" i="24" s="1"/>
  <c r="OH8" i="24"/>
  <c r="OO8" i="24" s="1"/>
  <c r="OH15" i="24"/>
  <c r="OO15" i="24" s="1"/>
  <c r="PP10" i="24"/>
  <c r="PW10" i="24" s="1"/>
  <c r="QX5" i="24"/>
  <c r="RE5" i="24" s="1"/>
  <c r="QX12" i="24"/>
  <c r="RE12" i="24" s="1"/>
  <c r="SF7" i="24"/>
  <c r="SM7" i="24" s="1"/>
  <c r="SF14" i="24"/>
  <c r="SM14" i="24" s="1"/>
  <c r="TN9" i="24"/>
  <c r="TU9" i="24" s="1"/>
  <c r="UV4" i="24"/>
  <c r="VC4" i="24" s="1"/>
  <c r="UV11" i="24"/>
  <c r="VC11" i="24" s="1"/>
  <c r="AM10" i="24"/>
  <c r="AQ10" i="24" s="1"/>
  <c r="EC11" i="24"/>
  <c r="FK6" i="24"/>
  <c r="FK13" i="24"/>
  <c r="GS8" i="24"/>
  <c r="GS15" i="24"/>
  <c r="IA10" i="24"/>
  <c r="JI5" i="24"/>
  <c r="JI12" i="24"/>
  <c r="OH6" i="24"/>
  <c r="OO6" i="24" s="1"/>
  <c r="OH13" i="24"/>
  <c r="OO13" i="24" s="1"/>
  <c r="PP8" i="24"/>
  <c r="PW8" i="24" s="1"/>
  <c r="PP15" i="24"/>
  <c r="PW15" i="24" s="1"/>
  <c r="QX10" i="24"/>
  <c r="RE10" i="24" s="1"/>
  <c r="SF5" i="24"/>
  <c r="SM5" i="24" s="1"/>
  <c r="SF12" i="24"/>
  <c r="SM12" i="24" s="1"/>
  <c r="TN7" i="24"/>
  <c r="TU7" i="24" s="1"/>
  <c r="TN14" i="24"/>
  <c r="TU14" i="24" s="1"/>
  <c r="UV9" i="24"/>
  <c r="VC9" i="24" s="1"/>
  <c r="BR11" i="24"/>
  <c r="BR14" i="24"/>
  <c r="DV10" i="24"/>
  <c r="EC10" i="24" s="1"/>
  <c r="FD5" i="24"/>
  <c r="FK5" i="24" s="1"/>
  <c r="FD12" i="24"/>
  <c r="FK12" i="24" s="1"/>
  <c r="GL7" i="24"/>
  <c r="GS7" i="24" s="1"/>
  <c r="GL14" i="24"/>
  <c r="GS14" i="24" s="1"/>
  <c r="HT9" i="24"/>
  <c r="IA9" i="24" s="1"/>
  <c r="JB4" i="24"/>
  <c r="JI4" i="24" s="1"/>
  <c r="JB11" i="24"/>
  <c r="JI11" i="24" s="1"/>
  <c r="KJ6" i="24"/>
  <c r="KQ6" i="24" s="1"/>
  <c r="KJ13" i="24"/>
  <c r="KQ13" i="24" s="1"/>
  <c r="LR8" i="24"/>
  <c r="LY8" i="24" s="1"/>
  <c r="LR15" i="24"/>
  <c r="LY15" i="24" s="1"/>
  <c r="MZ10" i="24"/>
  <c r="NG10" i="24" s="1"/>
  <c r="OH5" i="24"/>
  <c r="OO5" i="24" s="1"/>
  <c r="OH12" i="24"/>
  <c r="OO12" i="24" s="1"/>
  <c r="PP7" i="24"/>
  <c r="PW7" i="24" s="1"/>
  <c r="PP14" i="24"/>
  <c r="PW14" i="24" s="1"/>
  <c r="QX9" i="24"/>
  <c r="RE9" i="24" s="1"/>
  <c r="SF4" i="24"/>
  <c r="SM4" i="24" s="1"/>
  <c r="SF11" i="24"/>
  <c r="SM11" i="24" s="1"/>
  <c r="TN6" i="24"/>
  <c r="TU6" i="24" s="1"/>
  <c r="TN13" i="24"/>
  <c r="TU13" i="24" s="1"/>
  <c r="UV8" i="24"/>
  <c r="VC8" i="24" s="1"/>
  <c r="UV15" i="24"/>
  <c r="VC15" i="24" s="1"/>
  <c r="AM11" i="24"/>
  <c r="AQ11" i="24" s="1"/>
  <c r="BR12" i="24"/>
  <c r="BR15" i="24"/>
  <c r="AM12" i="24"/>
  <c r="AQ12" i="24" s="1"/>
  <c r="AQ15" i="24"/>
  <c r="BR6" i="24"/>
  <c r="BR9" i="24"/>
  <c r="DV5" i="24"/>
  <c r="EC5" i="24" s="1"/>
  <c r="DV12" i="24"/>
  <c r="EC12" i="24" s="1"/>
  <c r="FD7" i="24"/>
  <c r="FK7" i="24" s="1"/>
  <c r="FD14" i="24"/>
  <c r="FK14" i="24" s="1"/>
  <c r="GL9" i="24"/>
  <c r="GS9" i="24" s="1"/>
  <c r="HT4" i="24"/>
  <c r="IA4" i="24" s="1"/>
  <c r="HT11" i="24"/>
  <c r="IA11" i="24" s="1"/>
  <c r="JB6" i="24"/>
  <c r="JI6" i="24" s="1"/>
  <c r="JB13" i="24"/>
  <c r="JI13" i="24" s="1"/>
  <c r="KJ8" i="24"/>
  <c r="KQ8" i="24" s="1"/>
  <c r="KJ15" i="24"/>
  <c r="KQ15" i="24" s="1"/>
  <c r="LR10" i="24"/>
  <c r="LY10" i="24" s="1"/>
  <c r="MZ5" i="24"/>
  <c r="NG5" i="24" s="1"/>
  <c r="MZ12" i="24"/>
  <c r="NG12" i="24" s="1"/>
  <c r="OH7" i="24"/>
  <c r="OO7" i="24" s="1"/>
  <c r="OH14" i="24"/>
  <c r="OO14" i="24" s="1"/>
  <c r="PP9" i="24"/>
  <c r="PW9" i="24" s="1"/>
  <c r="QX4" i="24"/>
  <c r="RE4" i="24" s="1"/>
  <c r="QX11" i="24"/>
  <c r="RE11" i="24" s="1"/>
  <c r="SF6" i="24"/>
  <c r="SM6" i="24" s="1"/>
  <c r="SF13" i="24"/>
  <c r="SM13" i="24" s="1"/>
  <c r="TN8" i="24"/>
  <c r="TU8" i="24" s="1"/>
  <c r="TN15" i="24"/>
  <c r="TU15" i="24" s="1"/>
  <c r="UV10" i="24"/>
  <c r="VC10" i="24" s="1"/>
  <c r="AM6" i="24"/>
  <c r="AQ6" i="24" s="1"/>
  <c r="AQ9" i="24"/>
  <c r="AQ18" i="23"/>
  <c r="AQ16" i="23"/>
  <c r="BR17" i="23"/>
  <c r="BR13" i="23"/>
  <c r="AM15" i="23"/>
  <c r="AQ15" i="23" s="1"/>
  <c r="AQ17" i="23"/>
  <c r="AM5" i="23"/>
  <c r="AQ5" i="23" s="1"/>
  <c r="BR8" i="23"/>
  <c r="AM8" i="23"/>
  <c r="AQ8" i="23" s="1"/>
  <c r="AQ10" i="23"/>
  <c r="BR4" i="23"/>
  <c r="AM4" i="23"/>
  <c r="AQ4" i="23" s="1"/>
  <c r="BR10" i="23"/>
  <c r="BR11" i="23"/>
  <c r="BR15" i="23"/>
  <c r="AU5" i="22"/>
  <c r="AY5" i="22" s="1"/>
  <c r="BV5" i="22"/>
  <c r="BZ5" i="22" s="1"/>
  <c r="NH4" i="22"/>
  <c r="NO4" i="22" s="1"/>
  <c r="NH7" i="22"/>
  <c r="NO7" i="22" s="1"/>
  <c r="OP4" i="22"/>
  <c r="OW4" i="22" s="1"/>
  <c r="OP7" i="22"/>
  <c r="OW7" i="22" s="1"/>
  <c r="PX4" i="22"/>
  <c r="QE4" i="22" s="1"/>
  <c r="PX7" i="22"/>
  <c r="QE7" i="22" s="1"/>
  <c r="RF4" i="22"/>
  <c r="RM4" i="22" s="1"/>
  <c r="RF7" i="22"/>
  <c r="RM7" i="22" s="1"/>
  <c r="SN4" i="22"/>
  <c r="SU4" i="22" s="1"/>
  <c r="SN7" i="22"/>
  <c r="SU7" i="22" s="1"/>
  <c r="TV4" i="22"/>
  <c r="UC4" i="22" s="1"/>
  <c r="TV7" i="22"/>
  <c r="UC7" i="22" s="1"/>
  <c r="VD4" i="22"/>
  <c r="VK4" i="22" s="1"/>
  <c r="VD7" i="22"/>
  <c r="VK7" i="22" s="1"/>
  <c r="RF14" i="22"/>
  <c r="RM14" i="22" s="1"/>
  <c r="BV10" i="22"/>
  <c r="BZ10" i="22" s="1"/>
  <c r="BZ14" i="22"/>
  <c r="ED4" i="22"/>
  <c r="EK4" i="22" s="1"/>
  <c r="ED7" i="22"/>
  <c r="EK7" i="22" s="1"/>
  <c r="FL4" i="22"/>
  <c r="FS4" i="22" s="1"/>
  <c r="FL7" i="22"/>
  <c r="FS7" i="22" s="1"/>
  <c r="GT4" i="22"/>
  <c r="HA4" i="22" s="1"/>
  <c r="GT7" i="22"/>
  <c r="HA7" i="22" s="1"/>
  <c r="IB4" i="22"/>
  <c r="II4" i="22" s="1"/>
  <c r="IB7" i="22"/>
  <c r="II7" i="22" s="1"/>
  <c r="JJ4" i="22"/>
  <c r="JQ4" i="22" s="1"/>
  <c r="JJ7" i="22"/>
  <c r="JQ7" i="22" s="1"/>
  <c r="KR4" i="22"/>
  <c r="KY4" i="22" s="1"/>
  <c r="KR7" i="22"/>
  <c r="KY7" i="22" s="1"/>
  <c r="LZ4" i="22"/>
  <c r="MG4" i="22" s="1"/>
  <c r="LZ11" i="22"/>
  <c r="MG11" i="22" s="1"/>
  <c r="AU11" i="22"/>
  <c r="AY11" i="22" s="1"/>
  <c r="BV11" i="22"/>
  <c r="BZ11" i="22" s="1"/>
  <c r="AU9" i="22"/>
  <c r="AY9" i="22" s="1"/>
  <c r="ED10" i="22"/>
  <c r="EK10" i="22" s="1"/>
  <c r="ED15" i="22"/>
  <c r="EK15" i="22" s="1"/>
  <c r="FL15" i="22"/>
  <c r="FS15" i="22" s="1"/>
  <c r="GT10" i="22"/>
  <c r="HA10" i="22" s="1"/>
  <c r="GT15" i="22"/>
  <c r="HA15" i="22" s="1"/>
  <c r="IB10" i="22"/>
  <c r="II10" i="22" s="1"/>
  <c r="IB15" i="22"/>
  <c r="II15" i="22" s="1"/>
  <c r="JJ10" i="22"/>
  <c r="JQ10" i="22" s="1"/>
  <c r="JJ15" i="22"/>
  <c r="JQ15" i="22" s="1"/>
  <c r="KR10" i="22"/>
  <c r="KY10" i="22" s="1"/>
  <c r="KR15" i="22"/>
  <c r="KY15" i="22" s="1"/>
  <c r="LZ7" i="22"/>
  <c r="MG7" i="22" s="1"/>
  <c r="BV9" i="22"/>
  <c r="BZ9" i="22" s="1"/>
  <c r="NH10" i="22"/>
  <c r="NO10" i="22" s="1"/>
  <c r="NH15" i="22"/>
  <c r="NO15" i="22" s="1"/>
  <c r="OP10" i="22"/>
  <c r="OW10" i="22" s="1"/>
  <c r="OP15" i="22"/>
  <c r="OW15" i="22" s="1"/>
  <c r="PX10" i="22"/>
  <c r="QE10" i="22" s="1"/>
  <c r="PX15" i="22"/>
  <c r="QE15" i="22" s="1"/>
  <c r="RF10" i="22"/>
  <c r="RM10" i="22" s="1"/>
  <c r="RF15" i="22"/>
  <c r="RM15" i="22" s="1"/>
  <c r="SN10" i="22"/>
  <c r="SU10" i="22" s="1"/>
  <c r="SN15" i="22"/>
  <c r="SU15" i="22" s="1"/>
  <c r="TV10" i="22"/>
  <c r="UC10" i="22" s="1"/>
  <c r="TV15" i="22"/>
  <c r="UC15" i="22" s="1"/>
  <c r="VD10" i="22"/>
  <c r="VK10" i="22" s="1"/>
  <c r="VD15" i="22"/>
  <c r="VK15" i="22" s="1"/>
  <c r="AU15" i="22"/>
  <c r="AY15" i="22" s="1"/>
  <c r="FL10" i="22"/>
  <c r="FS10" i="22" s="1"/>
  <c r="NH9" i="22"/>
  <c r="NO9" i="22" s="1"/>
  <c r="OP9" i="22"/>
  <c r="OW9" i="22" s="1"/>
  <c r="PX9" i="22"/>
  <c r="QE9" i="22" s="1"/>
  <c r="RF9" i="22"/>
  <c r="RM9" i="22" s="1"/>
  <c r="SN9" i="22"/>
  <c r="SU9" i="22" s="1"/>
  <c r="TV9" i="22"/>
  <c r="UC9" i="22" s="1"/>
  <c r="VD9" i="22"/>
  <c r="VK9" i="22" s="1"/>
  <c r="FS9" i="22"/>
  <c r="OW8" i="22"/>
  <c r="OW14" i="22"/>
  <c r="AU12" i="22"/>
  <c r="AY12" i="22" s="1"/>
  <c r="EK6" i="22"/>
  <c r="FS6" i="22"/>
  <c r="HA6" i="22"/>
  <c r="JQ6" i="22"/>
  <c r="KY6" i="22"/>
  <c r="BV12" i="22"/>
  <c r="BZ12" i="22" s="1"/>
  <c r="NO13" i="22"/>
  <c r="OW5" i="22"/>
  <c r="OW13" i="22"/>
  <c r="RM5" i="22"/>
  <c r="RM13" i="22"/>
  <c r="UC5" i="22"/>
  <c r="UC13" i="22"/>
  <c r="AU4" i="22"/>
  <c r="AY4" i="22" s="1"/>
  <c r="AU6" i="22"/>
  <c r="AY6" i="22" s="1"/>
  <c r="ED5" i="22"/>
  <c r="EK5" i="22" s="1"/>
  <c r="ED13" i="22"/>
  <c r="EK13" i="22" s="1"/>
  <c r="FL5" i="22"/>
  <c r="FS5" i="22" s="1"/>
  <c r="FL13" i="22"/>
  <c r="FS13" i="22" s="1"/>
  <c r="GT5" i="22"/>
  <c r="HA5" i="22" s="1"/>
  <c r="GT13" i="22"/>
  <c r="HA13" i="22" s="1"/>
  <c r="IB5" i="22"/>
  <c r="II5" i="22" s="1"/>
  <c r="IB13" i="22"/>
  <c r="II13" i="22" s="1"/>
  <c r="JJ5" i="22"/>
  <c r="JQ5" i="22" s="1"/>
  <c r="JJ13" i="22"/>
  <c r="JQ13" i="22" s="1"/>
  <c r="KR5" i="22"/>
  <c r="KY5" i="22" s="1"/>
  <c r="KR13" i="22"/>
  <c r="KY13" i="22" s="1"/>
  <c r="BV4" i="22"/>
  <c r="BZ4" i="22" s="1"/>
  <c r="BV6" i="22"/>
  <c r="BZ6" i="22" s="1"/>
  <c r="LZ6" i="22"/>
  <c r="MG6" i="22" s="1"/>
  <c r="NH12" i="22"/>
  <c r="NO12" i="22" s="1"/>
  <c r="NH11" i="22"/>
  <c r="NO11" i="22" s="1"/>
  <c r="OP12" i="22"/>
  <c r="OW12" i="22" s="1"/>
  <c r="OP11" i="22"/>
  <c r="OW11" i="22" s="1"/>
  <c r="PX12" i="22"/>
  <c r="QE12" i="22" s="1"/>
  <c r="PX11" i="22"/>
  <c r="QE11" i="22" s="1"/>
  <c r="RF12" i="22"/>
  <c r="RM12" i="22" s="1"/>
  <c r="RF11" i="22"/>
  <c r="RM11" i="22" s="1"/>
  <c r="SN12" i="22"/>
  <c r="SU12" i="22" s="1"/>
  <c r="SN11" i="22"/>
  <c r="SU11" i="22" s="1"/>
  <c r="TV12" i="22"/>
  <c r="UC12" i="22" s="1"/>
  <c r="TV11" i="22"/>
  <c r="UC11" i="22" s="1"/>
  <c r="VD12" i="22"/>
  <c r="VK12" i="22" s="1"/>
  <c r="VD11" i="22"/>
  <c r="VK11" i="22" s="1"/>
  <c r="AU10" i="22"/>
  <c r="AY10" i="22" s="1"/>
  <c r="ED12" i="22"/>
  <c r="EK12" i="22" s="1"/>
  <c r="ED11" i="22"/>
  <c r="EK11" i="22" s="1"/>
  <c r="FL12" i="22"/>
  <c r="FS12" i="22" s="1"/>
  <c r="FL11" i="22"/>
  <c r="FS11" i="22" s="1"/>
  <c r="GT12" i="22"/>
  <c r="HA12" i="22" s="1"/>
  <c r="GT11" i="22"/>
  <c r="HA11" i="22" s="1"/>
  <c r="IB12" i="22"/>
  <c r="II12" i="22" s="1"/>
  <c r="IB11" i="22"/>
  <c r="II11" i="22" s="1"/>
  <c r="JJ12" i="22"/>
  <c r="JQ12" i="22" s="1"/>
  <c r="JJ11" i="22"/>
  <c r="JQ11" i="22" s="1"/>
  <c r="KR12" i="22"/>
  <c r="KY12" i="22" s="1"/>
  <c r="KR11" i="22"/>
  <c r="KY11" i="22" s="1"/>
  <c r="PX22" i="4"/>
  <c r="QE22" i="4" s="1"/>
  <c r="TV22" i="4"/>
  <c r="UC22" i="4" s="1"/>
  <c r="VD16" i="4"/>
  <c r="VK16" i="4" s="1"/>
  <c r="AU5" i="4"/>
  <c r="AY5" i="4" s="1"/>
  <c r="BV13" i="4"/>
  <c r="BZ13" i="4" s="1"/>
  <c r="AY11" i="4"/>
  <c r="BZ26" i="4"/>
  <c r="AU21" i="4"/>
  <c r="AY21" i="4" s="1"/>
  <c r="BV11" i="4"/>
  <c r="BZ11" i="4" s="1"/>
  <c r="ED5" i="4"/>
  <c r="EK5" i="4" s="1"/>
  <c r="ED12" i="4"/>
  <c r="EK12" i="4" s="1"/>
  <c r="ED21" i="4"/>
  <c r="EK21" i="4" s="1"/>
  <c r="FL8" i="4"/>
  <c r="FS8" i="4" s="1"/>
  <c r="FL11" i="4"/>
  <c r="FS11" i="4" s="1"/>
  <c r="FL24" i="4"/>
  <c r="FS24" i="4" s="1"/>
  <c r="GT4" i="4"/>
  <c r="HA4" i="4" s="1"/>
  <c r="GT9" i="4"/>
  <c r="HA9" i="4" s="1"/>
  <c r="GT27" i="4"/>
  <c r="HA27" i="4" s="1"/>
  <c r="IB10" i="4"/>
  <c r="II10" i="4" s="1"/>
  <c r="IB25" i="4"/>
  <c r="II25" i="4" s="1"/>
  <c r="JJ18" i="4"/>
  <c r="JQ18" i="4" s="1"/>
  <c r="JJ17" i="4"/>
  <c r="JQ17" i="4" s="1"/>
  <c r="AU12" i="4"/>
  <c r="AY12" i="4" s="1"/>
  <c r="EK7" i="4"/>
  <c r="EK23" i="4"/>
  <c r="FS6" i="4"/>
  <c r="FS13" i="4"/>
  <c r="FS26" i="4"/>
  <c r="HA5" i="4"/>
  <c r="HA12" i="4"/>
  <c r="HA21" i="4"/>
  <c r="II24" i="4"/>
  <c r="JQ4" i="4"/>
  <c r="JQ9" i="4"/>
  <c r="KY25" i="4"/>
  <c r="MG18" i="4"/>
  <c r="MG17" i="4"/>
  <c r="MG22" i="4"/>
  <c r="NO7" i="4"/>
  <c r="NO23" i="4"/>
  <c r="SU9" i="4"/>
  <c r="UC10" i="4"/>
  <c r="UC25" i="4"/>
  <c r="VK18" i="4"/>
  <c r="VK17" i="4"/>
  <c r="VK22" i="4"/>
  <c r="BV12" i="4"/>
  <c r="BZ12" i="4" s="1"/>
  <c r="GT20" i="4"/>
  <c r="HA20" i="4" s="1"/>
  <c r="JJ22" i="4"/>
  <c r="JQ22" i="4" s="1"/>
  <c r="KR7" i="4"/>
  <c r="KY7" i="4" s="1"/>
  <c r="KR16" i="4"/>
  <c r="KY16" i="4" s="1"/>
  <c r="KR23" i="4"/>
  <c r="KY23" i="4" s="1"/>
  <c r="LZ6" i="4"/>
  <c r="MG6" i="4" s="1"/>
  <c r="LZ13" i="4"/>
  <c r="MG13" i="4" s="1"/>
  <c r="LZ26" i="4"/>
  <c r="MG26" i="4" s="1"/>
  <c r="NH5" i="4"/>
  <c r="NO5" i="4" s="1"/>
  <c r="NH12" i="4"/>
  <c r="NO12" i="4" s="1"/>
  <c r="NH21" i="4"/>
  <c r="NO21" i="4" s="1"/>
  <c r="OP8" i="4"/>
  <c r="OW8" i="4" s="1"/>
  <c r="OP11" i="4"/>
  <c r="OW11" i="4" s="1"/>
  <c r="OP24" i="4"/>
  <c r="OW24" i="4" s="1"/>
  <c r="PX4" i="4"/>
  <c r="QE4" i="4" s="1"/>
  <c r="PX9" i="4"/>
  <c r="QE9" i="4" s="1"/>
  <c r="PX20" i="4"/>
  <c r="QE20" i="4" s="1"/>
  <c r="PX27" i="4"/>
  <c r="QE27" i="4" s="1"/>
  <c r="RF10" i="4"/>
  <c r="RM10" i="4" s="1"/>
  <c r="RF25" i="4"/>
  <c r="RM25" i="4" s="1"/>
  <c r="SN18" i="4"/>
  <c r="SU18" i="4" s="1"/>
  <c r="SN17" i="4"/>
  <c r="SU17" i="4" s="1"/>
  <c r="SN22" i="4"/>
  <c r="SU22" i="4" s="1"/>
  <c r="TV7" i="4"/>
  <c r="UC7" i="4" s="1"/>
  <c r="TV16" i="4"/>
  <c r="UC16" i="4" s="1"/>
  <c r="AU4" i="4"/>
  <c r="AY4" i="4" s="1"/>
  <c r="AU20" i="4"/>
  <c r="AY20" i="4" s="1"/>
  <c r="AU7" i="4"/>
  <c r="AY7" i="4" s="1"/>
  <c r="AU8" i="4"/>
  <c r="AY8" i="4" s="1"/>
  <c r="AU23" i="4"/>
  <c r="AY23" i="4" s="1"/>
  <c r="BV18" i="4"/>
  <c r="BZ18" i="4" s="1"/>
  <c r="HA18" i="4"/>
  <c r="AU17" i="4"/>
  <c r="AY17" i="4" s="1"/>
  <c r="BZ27" i="4"/>
  <c r="AU10" i="4"/>
  <c r="AY10" i="4" s="1"/>
  <c r="BV8" i="4"/>
  <c r="BZ8" i="4" s="1"/>
  <c r="EK10" i="4"/>
  <c r="AU6" i="4"/>
  <c r="AY6" i="4" s="1"/>
  <c r="AU25" i="4"/>
  <c r="AY25" i="4" s="1"/>
  <c r="BV17" i="4"/>
  <c r="BZ17" i="4" s="1"/>
  <c r="ED18" i="4"/>
  <c r="EK18" i="4" s="1"/>
  <c r="ED17" i="4"/>
  <c r="EK17" i="4" s="1"/>
  <c r="ED22" i="4"/>
  <c r="EK22" i="4" s="1"/>
  <c r="FL7" i="4"/>
  <c r="FS7" i="4" s="1"/>
  <c r="FL16" i="4"/>
  <c r="FS16" i="4" s="1"/>
  <c r="FL23" i="4"/>
  <c r="FS23" i="4" s="1"/>
  <c r="GT6" i="4"/>
  <c r="HA6" i="4" s="1"/>
  <c r="GT13" i="4"/>
  <c r="HA13" i="4" s="1"/>
  <c r="GT26" i="4"/>
  <c r="HA26" i="4" s="1"/>
  <c r="IB5" i="4"/>
  <c r="II5" i="4" s="1"/>
  <c r="IB12" i="4"/>
  <c r="II12" i="4" s="1"/>
  <c r="IB21" i="4"/>
  <c r="II21" i="4" s="1"/>
  <c r="JJ8" i="4"/>
  <c r="JQ8" i="4" s="1"/>
  <c r="JJ11" i="4"/>
  <c r="JQ11" i="4" s="1"/>
  <c r="JJ24" i="4"/>
  <c r="JQ24" i="4" s="1"/>
  <c r="KR4" i="4"/>
  <c r="KY4" i="4" s="1"/>
  <c r="KR9" i="4"/>
  <c r="KY9" i="4" s="1"/>
  <c r="KR20" i="4"/>
  <c r="KY20" i="4" s="1"/>
  <c r="KR27" i="4"/>
  <c r="KY27" i="4" s="1"/>
  <c r="LZ10" i="4"/>
  <c r="MG10" i="4" s="1"/>
  <c r="LZ25" i="4"/>
  <c r="MG25" i="4" s="1"/>
  <c r="NH18" i="4"/>
  <c r="NO18" i="4" s="1"/>
  <c r="NH17" i="4"/>
  <c r="NO17" i="4" s="1"/>
  <c r="NH22" i="4"/>
  <c r="NO22" i="4" s="1"/>
  <c r="OP7" i="4"/>
  <c r="OW7" i="4" s="1"/>
  <c r="OP16" i="4"/>
  <c r="OW16" i="4" s="1"/>
  <c r="OP23" i="4"/>
  <c r="OW23" i="4" s="1"/>
  <c r="PX6" i="4"/>
  <c r="QE6" i="4" s="1"/>
  <c r="PX13" i="4"/>
  <c r="QE13" i="4" s="1"/>
  <c r="PX26" i="4"/>
  <c r="QE26" i="4" s="1"/>
  <c r="RF5" i="4"/>
  <c r="RM5" i="4" s="1"/>
  <c r="RF12" i="4"/>
  <c r="RM12" i="4" s="1"/>
  <c r="RF21" i="4"/>
  <c r="RM21" i="4" s="1"/>
  <c r="SN8" i="4"/>
  <c r="SU8" i="4" s="1"/>
  <c r="SN11" i="4"/>
  <c r="SU11" i="4" s="1"/>
  <c r="SN24" i="4"/>
  <c r="SU24" i="4" s="1"/>
  <c r="TV4" i="4"/>
  <c r="UC4" i="4" s="1"/>
  <c r="TV9" i="4"/>
  <c r="UC9" i="4" s="1"/>
  <c r="TV20" i="4"/>
  <c r="UC20" i="4" s="1"/>
  <c r="TV27" i="4"/>
  <c r="UC27" i="4" s="1"/>
  <c r="VD10" i="4"/>
  <c r="VK10" i="4" s="1"/>
  <c r="VD25" i="4"/>
  <c r="VK25" i="4" s="1"/>
  <c r="EK6" i="4"/>
  <c r="EK13" i="4"/>
  <c r="EK26" i="4"/>
  <c r="FS5" i="4"/>
  <c r="FS12" i="4"/>
  <c r="HA24" i="4"/>
  <c r="II4" i="4"/>
  <c r="II9" i="4"/>
  <c r="II20" i="4"/>
  <c r="JQ25" i="4"/>
  <c r="KY18" i="4"/>
  <c r="KY17" i="4"/>
  <c r="KY22" i="4"/>
  <c r="MG7" i="4"/>
  <c r="MG16" i="4"/>
  <c r="MG23" i="4"/>
  <c r="NO6" i="4"/>
  <c r="NO13" i="4"/>
  <c r="NO26" i="4"/>
  <c r="OW5" i="4"/>
  <c r="OW12" i="4"/>
  <c r="OW21" i="4"/>
  <c r="QE8" i="4"/>
  <c r="QE24" i="4"/>
  <c r="RM4" i="4"/>
  <c r="RM9" i="4"/>
  <c r="SU25" i="4"/>
  <c r="UC18" i="4"/>
  <c r="UC17" i="4"/>
  <c r="VK7" i="4"/>
  <c r="VK23" i="4"/>
  <c r="AU18" i="4"/>
  <c r="AY18" i="4" s="1"/>
  <c r="BV4" i="4"/>
  <c r="BZ4" i="4" s="1"/>
  <c r="TV23" i="4"/>
  <c r="UC23" i="4" s="1"/>
  <c r="VD6" i="4"/>
  <c r="VK6" i="4" s="1"/>
  <c r="VD13" i="4"/>
  <c r="VK13" i="4" s="1"/>
  <c r="VD26" i="4"/>
  <c r="VK26" i="4" s="1"/>
  <c r="HA11" i="4"/>
  <c r="AU9" i="4"/>
  <c r="AY9" i="4" s="1"/>
  <c r="AU22" i="4"/>
  <c r="AY22" i="4" s="1"/>
  <c r="BV5" i="4"/>
  <c r="BZ5" i="4" s="1"/>
  <c r="BV20" i="4"/>
  <c r="BZ20" i="4" s="1"/>
  <c r="AU27" i="4"/>
  <c r="AY27" i="4" s="1"/>
  <c r="BZ21" i="4"/>
  <c r="ED8" i="4"/>
  <c r="EK8" i="4" s="1"/>
  <c r="ED11" i="4"/>
  <c r="EK11" i="4" s="1"/>
  <c r="ED24" i="4"/>
  <c r="EK24" i="4" s="1"/>
  <c r="FL4" i="4"/>
  <c r="FS4" i="4" s="1"/>
  <c r="FL9" i="4"/>
  <c r="FS9" i="4" s="1"/>
  <c r="FL20" i="4"/>
  <c r="FS20" i="4" s="1"/>
  <c r="FL27" i="4"/>
  <c r="FS27" i="4" s="1"/>
  <c r="GT10" i="4"/>
  <c r="HA10" i="4" s="1"/>
  <c r="GT25" i="4"/>
  <c r="HA25" i="4" s="1"/>
  <c r="IB18" i="4"/>
  <c r="II18" i="4" s="1"/>
  <c r="IB17" i="4"/>
  <c r="II17" i="4" s="1"/>
  <c r="IB22" i="4"/>
  <c r="II22" i="4" s="1"/>
  <c r="JJ7" i="4"/>
  <c r="JQ7" i="4" s="1"/>
  <c r="JJ16" i="4"/>
  <c r="JQ16" i="4" s="1"/>
  <c r="JJ23" i="4"/>
  <c r="JQ23" i="4" s="1"/>
  <c r="KR6" i="4"/>
  <c r="KY6" i="4" s="1"/>
  <c r="KR13" i="4"/>
  <c r="KY13" i="4" s="1"/>
  <c r="KR26" i="4"/>
  <c r="KY26" i="4" s="1"/>
  <c r="LZ5" i="4"/>
  <c r="MG5" i="4" s="1"/>
  <c r="LZ12" i="4"/>
  <c r="MG12" i="4" s="1"/>
  <c r="LZ21" i="4"/>
  <c r="MG21" i="4" s="1"/>
  <c r="NH8" i="4"/>
  <c r="NO8" i="4" s="1"/>
  <c r="NH11" i="4"/>
  <c r="NO11" i="4" s="1"/>
  <c r="NH24" i="4"/>
  <c r="NO24" i="4" s="1"/>
  <c r="OP4" i="4"/>
  <c r="OW4" i="4" s="1"/>
  <c r="OP9" i="4"/>
  <c r="OW9" i="4" s="1"/>
  <c r="OP20" i="4"/>
  <c r="OW20" i="4" s="1"/>
  <c r="OP27" i="4"/>
  <c r="OW27" i="4" s="1"/>
  <c r="PX10" i="4"/>
  <c r="QE10" i="4" s="1"/>
  <c r="PX25" i="4"/>
  <c r="QE25" i="4" s="1"/>
  <c r="RF18" i="4"/>
  <c r="RM18" i="4" s="1"/>
  <c r="RF17" i="4"/>
  <c r="RM17" i="4" s="1"/>
  <c r="RF22" i="4"/>
  <c r="RM22" i="4" s="1"/>
  <c r="SN7" i="4"/>
  <c r="SU7" i="4" s="1"/>
  <c r="SN16" i="4"/>
  <c r="SU16" i="4" s="1"/>
  <c r="SN23" i="4"/>
  <c r="SU23" i="4" s="1"/>
  <c r="TV6" i="4"/>
  <c r="UC6" i="4" s="1"/>
  <c r="TV13" i="4"/>
  <c r="UC13" i="4" s="1"/>
  <c r="TV26" i="4"/>
  <c r="UC26" i="4" s="1"/>
  <c r="VD5" i="4"/>
  <c r="VK5" i="4" s="1"/>
  <c r="VD12" i="4"/>
  <c r="VK12" i="4" s="1"/>
  <c r="VD21" i="4"/>
  <c r="VK21" i="4" s="1"/>
  <c r="CX16" i="21"/>
  <c r="DA16" i="21"/>
  <c r="BU9" i="21"/>
  <c r="BU19" i="21"/>
  <c r="BU4" i="21"/>
  <c r="BU13" i="21"/>
  <c r="BU18" i="21"/>
  <c r="BU7" i="21"/>
  <c r="BU12" i="21"/>
  <c r="BU15" i="21"/>
  <c r="BU6" i="21"/>
  <c r="BU26" i="21"/>
  <c r="BU8" i="21"/>
  <c r="BU22" i="21"/>
  <c r="BU23" i="21"/>
  <c r="BX14" i="21"/>
  <c r="AR4" i="21"/>
  <c r="AR13" i="21"/>
  <c r="AR18" i="21"/>
  <c r="AU9" i="21"/>
  <c r="AU19" i="21"/>
  <c r="AR7" i="21"/>
  <c r="AR12" i="21"/>
  <c r="AR15" i="21"/>
  <c r="AR14" i="21"/>
  <c r="AR6" i="21"/>
  <c r="AR26" i="21"/>
  <c r="AR8" i="21"/>
  <c r="AR22" i="21"/>
  <c r="AR23" i="21"/>
  <c r="BU18" i="19"/>
  <c r="BU17" i="19"/>
  <c r="BU22" i="19"/>
  <c r="BU24" i="19"/>
  <c r="BU8" i="19"/>
  <c r="BU7" i="19"/>
  <c r="BU14" i="19"/>
  <c r="BU19" i="19"/>
  <c r="BU31" i="19"/>
  <c r="BX15" i="19"/>
  <c r="BX25" i="19"/>
  <c r="BU10" i="19"/>
  <c r="BU13" i="19"/>
  <c r="BU30" i="19"/>
  <c r="BU6" i="19"/>
  <c r="BU11" i="19"/>
  <c r="BU32" i="19"/>
  <c r="BU29" i="19"/>
  <c r="BX21" i="19"/>
  <c r="AR18" i="19"/>
  <c r="AR22" i="19"/>
  <c r="AR8" i="19"/>
  <c r="AR31" i="19"/>
  <c r="AU15" i="19"/>
  <c r="AR30" i="19"/>
  <c r="AU7" i="19"/>
  <c r="AU14" i="19"/>
  <c r="AU19" i="19"/>
  <c r="AR17" i="19"/>
  <c r="AR10" i="19"/>
  <c r="AR13" i="19"/>
  <c r="AR21" i="19"/>
  <c r="AR6" i="19"/>
  <c r="AR11" i="19"/>
  <c r="AR32" i="19"/>
  <c r="AR29" i="19"/>
  <c r="AU24" i="19"/>
  <c r="AR25" i="19"/>
  <c r="BU14" i="27"/>
  <c r="BU13" i="27"/>
  <c r="BX6" i="27"/>
  <c r="BX9" i="27"/>
  <c r="BX12" i="27"/>
  <c r="BU10" i="27"/>
  <c r="BU7" i="27"/>
  <c r="BX16" i="27"/>
  <c r="AU14" i="27"/>
  <c r="AU13" i="27"/>
  <c r="AU6" i="27"/>
  <c r="AU9" i="27"/>
  <c r="AR16" i="27"/>
  <c r="AR7" i="27"/>
  <c r="AU10" i="27"/>
  <c r="AR12" i="27"/>
  <c r="BU8" i="26"/>
  <c r="BU11" i="26"/>
  <c r="BX4" i="26"/>
  <c r="BU6" i="26"/>
  <c r="BU10" i="26"/>
  <c r="BU5" i="26"/>
  <c r="BU13" i="26"/>
  <c r="AR8" i="26"/>
  <c r="AR11" i="26"/>
  <c r="AR6" i="26"/>
  <c r="AR10" i="26"/>
  <c r="AR5" i="26"/>
  <c r="AR13" i="26"/>
  <c r="NT19" i="19"/>
  <c r="PX19" i="19"/>
  <c r="LP19" i="19"/>
  <c r="EB10" i="26"/>
  <c r="KN10" i="26"/>
  <c r="QZ10" i="26"/>
  <c r="TD10" i="26"/>
  <c r="GI10" i="26"/>
  <c r="RC16" i="21"/>
  <c r="EE16" i="21"/>
  <c r="TG16" i="21"/>
  <c r="G16" i="21" s="1"/>
  <c r="OV16" i="21"/>
  <c r="GI16" i="21"/>
  <c r="EB19" i="19"/>
  <c r="GF19" i="19"/>
  <c r="KN6" i="19"/>
  <c r="IJ19" i="19"/>
  <c r="KN19" i="19"/>
  <c r="OV19" i="19"/>
  <c r="QZ19" i="19"/>
  <c r="TD19" i="19"/>
  <c r="DA6" i="19"/>
  <c r="DA19" i="19"/>
  <c r="LP6" i="19"/>
  <c r="JO6" i="19"/>
  <c r="NT6" i="19"/>
  <c r="PX6" i="19"/>
  <c r="SB6" i="19"/>
  <c r="HK6" i="19"/>
  <c r="IJ10" i="26"/>
  <c r="OV10" i="26"/>
  <c r="GF10" i="26"/>
  <c r="OY10" i="26"/>
  <c r="MR10" i="26"/>
  <c r="TG10" i="26"/>
  <c r="G10" i="26" s="1"/>
  <c r="RC10" i="26"/>
  <c r="EE10" i="26"/>
  <c r="CX19" i="19"/>
  <c r="GI19" i="19"/>
  <c r="NW6" i="19"/>
  <c r="LS6" i="19"/>
  <c r="J6" i="19"/>
  <c r="K6" i="19" s="1"/>
  <c r="HK19" i="19"/>
  <c r="SE16" i="21"/>
  <c r="QA16" i="21"/>
  <c r="OY16" i="21"/>
  <c r="MR16" i="21"/>
  <c r="KQ16" i="21"/>
  <c r="IM16" i="21"/>
  <c r="FD16" i="21"/>
  <c r="UF16" i="21"/>
  <c r="UD16" i="21"/>
  <c r="UH16" i="21"/>
  <c r="N16" i="21"/>
  <c r="O16" i="21" s="1"/>
  <c r="UE16" i="21"/>
  <c r="MU16" i="21"/>
  <c r="FG16" i="21"/>
  <c r="UC16" i="21"/>
  <c r="UI16" i="21"/>
  <c r="L16" i="21"/>
  <c r="DB16" i="21" s="1"/>
  <c r="J16" i="21"/>
  <c r="RC6" i="19"/>
  <c r="GI6" i="19"/>
  <c r="OV6" i="19"/>
  <c r="TG6" i="19"/>
  <c r="G6" i="19" s="1"/>
  <c r="NW19" i="19"/>
  <c r="EE6" i="19"/>
  <c r="LS19" i="19"/>
  <c r="JO19" i="19"/>
  <c r="SE6" i="19"/>
  <c r="QA6" i="19"/>
  <c r="OY6" i="19"/>
  <c r="MR6" i="19"/>
  <c r="KQ6" i="19"/>
  <c r="IM6" i="19"/>
  <c r="FD6" i="19"/>
  <c r="UD6" i="19"/>
  <c r="UF6" i="19"/>
  <c r="UH6" i="19"/>
  <c r="N6" i="19"/>
  <c r="O6" i="19" s="1"/>
  <c r="UE6" i="19"/>
  <c r="MU6" i="19"/>
  <c r="FG6" i="19"/>
  <c r="UC6" i="19"/>
  <c r="UI6" i="19"/>
  <c r="L6" i="19"/>
  <c r="DB6" i="19" s="1"/>
  <c r="TG19" i="19"/>
  <c r="F19" i="19" s="1"/>
  <c r="RC19" i="19"/>
  <c r="OY19" i="19"/>
  <c r="EE19" i="19"/>
  <c r="SE10" i="26"/>
  <c r="QA10" i="26"/>
  <c r="KQ10" i="26"/>
  <c r="IM10" i="26"/>
  <c r="FD10" i="26"/>
  <c r="UF10" i="26"/>
  <c r="UH10" i="26"/>
  <c r="UE10" i="26"/>
  <c r="UD10" i="26"/>
  <c r="N10" i="26"/>
  <c r="O10" i="26" s="1"/>
  <c r="UI10" i="26"/>
  <c r="L10" i="26"/>
  <c r="DB10" i="26" s="1"/>
  <c r="J10" i="26"/>
  <c r="MU10" i="26"/>
  <c r="FG10" i="26"/>
  <c r="UC10" i="26"/>
  <c r="SE19" i="19"/>
  <c r="QA19" i="19"/>
  <c r="MR19" i="19"/>
  <c r="KQ19" i="19"/>
  <c r="IM19" i="19"/>
  <c r="FD19" i="19"/>
  <c r="UD19" i="19"/>
  <c r="UH19" i="19"/>
  <c r="UC19" i="19"/>
  <c r="UE19" i="19"/>
  <c r="N19" i="19"/>
  <c r="O19" i="19" s="1"/>
  <c r="MU19" i="19"/>
  <c r="FG19" i="19"/>
  <c r="UI19" i="19"/>
  <c r="L19" i="19"/>
  <c r="DB19" i="19" s="1"/>
  <c r="J19" i="19"/>
  <c r="UF19" i="19"/>
  <c r="F10" i="26" l="1"/>
  <c r="H10" i="26" s="1"/>
  <c r="UG16" i="21"/>
  <c r="F16" i="21"/>
  <c r="I10" i="26"/>
  <c r="UG6" i="19"/>
  <c r="F6" i="19"/>
  <c r="H6" i="19" s="1"/>
  <c r="UG10" i="26"/>
  <c r="UJ10" i="26"/>
  <c r="G19" i="19"/>
  <c r="H19" i="19" s="1"/>
  <c r="I19" i="19"/>
  <c r="UJ16" i="21"/>
  <c r="DC16" i="21"/>
  <c r="P16" i="21" s="1"/>
  <c r="I16" i="21"/>
  <c r="K16" i="21"/>
  <c r="M16" i="21" s="1"/>
  <c r="UJ6" i="19"/>
  <c r="UG19" i="19"/>
  <c r="I6" i="19"/>
  <c r="DC6" i="19"/>
  <c r="P6" i="19" s="1"/>
  <c r="M6" i="19"/>
  <c r="DC10" i="26"/>
  <c r="P10" i="26" s="1"/>
  <c r="K10" i="26"/>
  <c r="M10" i="26" s="1"/>
  <c r="DC19" i="19"/>
  <c r="P19" i="19" s="1"/>
  <c r="UJ19" i="19"/>
  <c r="K19" i="19"/>
  <c r="M19" i="19" s="1"/>
  <c r="H16" i="21" l="1"/>
  <c r="E16" i="21"/>
  <c r="E6" i="19"/>
  <c r="E10" i="26"/>
  <c r="E19" i="19"/>
  <c r="CT12" i="21" l="1"/>
  <c r="CU12" i="21"/>
  <c r="CV12" i="21"/>
  <c r="CW12" i="21"/>
  <c r="CX12" i="21"/>
  <c r="CY12" i="21"/>
  <c r="CZ12" i="21"/>
  <c r="DA12" i="21" s="1"/>
  <c r="DX12" i="21"/>
  <c r="DY12" i="21"/>
  <c r="DZ12" i="21"/>
  <c r="EA12" i="21"/>
  <c r="EC12" i="21"/>
  <c r="ED12" i="21"/>
  <c r="EZ12" i="21"/>
  <c r="FA12" i="21"/>
  <c r="FB12" i="21"/>
  <c r="FC12" i="21"/>
  <c r="FE12" i="21"/>
  <c r="FF12" i="21"/>
  <c r="GB12" i="21"/>
  <c r="GC12" i="21"/>
  <c r="GD12" i="21"/>
  <c r="GE12" i="21"/>
  <c r="GG12" i="21"/>
  <c r="GH12" i="21"/>
  <c r="HD12" i="21"/>
  <c r="HE12" i="21"/>
  <c r="HF12" i="21"/>
  <c r="HG12" i="21"/>
  <c r="HI12" i="21"/>
  <c r="HJ12" i="21"/>
  <c r="IF12" i="21"/>
  <c r="IG12" i="21"/>
  <c r="IH12" i="21"/>
  <c r="II12" i="21"/>
  <c r="IK12" i="21"/>
  <c r="IL12" i="21"/>
  <c r="JH12" i="21"/>
  <c r="JI12" i="21"/>
  <c r="JJ12" i="21"/>
  <c r="JK12" i="21"/>
  <c r="JM12" i="21"/>
  <c r="JN12" i="21"/>
  <c r="KJ12" i="21"/>
  <c r="KK12" i="21"/>
  <c r="KL12" i="21"/>
  <c r="KM12" i="21"/>
  <c r="KO12" i="21"/>
  <c r="KP12" i="21"/>
  <c r="LL12" i="21"/>
  <c r="LM12" i="21"/>
  <c r="LN12" i="21"/>
  <c r="LO12" i="21"/>
  <c r="LQ12" i="21"/>
  <c r="LR12" i="21"/>
  <c r="MN12" i="21"/>
  <c r="MO12" i="21"/>
  <c r="MP12" i="21"/>
  <c r="MQ12" i="21"/>
  <c r="MS12" i="21"/>
  <c r="MT12" i="21"/>
  <c r="NP12" i="21"/>
  <c r="NQ12" i="21"/>
  <c r="NR12" i="21"/>
  <c r="NS12" i="21"/>
  <c r="NU12" i="21"/>
  <c r="NV12" i="21"/>
  <c r="OR12" i="21"/>
  <c r="OS12" i="21"/>
  <c r="OT12" i="21"/>
  <c r="OU12" i="21"/>
  <c r="OW12" i="21"/>
  <c r="OX12" i="21"/>
  <c r="PT12" i="21"/>
  <c r="PU12" i="21"/>
  <c r="PV12" i="21"/>
  <c r="PW12" i="21"/>
  <c r="PY12" i="21"/>
  <c r="PZ12" i="21"/>
  <c r="QV12" i="21"/>
  <c r="QW12" i="21"/>
  <c r="QX12" i="21"/>
  <c r="QY12" i="21"/>
  <c r="RA12" i="21"/>
  <c r="RB12" i="21"/>
  <c r="RX12" i="21"/>
  <c r="RY12" i="21"/>
  <c r="RZ12" i="21"/>
  <c r="SA12" i="21"/>
  <c r="SB12" i="21"/>
  <c r="SC12" i="21"/>
  <c r="SD12" i="21"/>
  <c r="SZ12" i="21"/>
  <c r="TA12" i="21"/>
  <c r="TB12" i="21"/>
  <c r="TC12" i="21"/>
  <c r="TE12" i="21"/>
  <c r="TF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T16" i="19"/>
  <c r="CU16" i="19"/>
  <c r="CV16" i="19"/>
  <c r="CW16" i="19"/>
  <c r="CY16" i="19"/>
  <c r="CZ16" i="19"/>
  <c r="DX16" i="19"/>
  <c r="DY16" i="19"/>
  <c r="DZ16" i="19"/>
  <c r="EA16" i="19"/>
  <c r="EC16" i="19"/>
  <c r="ED16" i="19"/>
  <c r="EZ16" i="19"/>
  <c r="FA16" i="19"/>
  <c r="FB16" i="19"/>
  <c r="FC16" i="19"/>
  <c r="FE16" i="19"/>
  <c r="FF16" i="19"/>
  <c r="GB16" i="19"/>
  <c r="GC16" i="19"/>
  <c r="GD16" i="19"/>
  <c r="GE16" i="19"/>
  <c r="GG16" i="19"/>
  <c r="GH16" i="19"/>
  <c r="HD16" i="19"/>
  <c r="HE16" i="19"/>
  <c r="HF16" i="19"/>
  <c r="HG16" i="19"/>
  <c r="HI16" i="19"/>
  <c r="HJ16" i="19"/>
  <c r="IF16" i="19"/>
  <c r="IG16" i="19"/>
  <c r="IH16" i="19"/>
  <c r="II16" i="19"/>
  <c r="IK16" i="19"/>
  <c r="IL16" i="19"/>
  <c r="JH16" i="19"/>
  <c r="JI16" i="19"/>
  <c r="JJ16" i="19"/>
  <c r="JK16" i="19"/>
  <c r="JM16" i="19"/>
  <c r="JN16" i="19"/>
  <c r="KJ16" i="19"/>
  <c r="KK16" i="19"/>
  <c r="KL16" i="19"/>
  <c r="KM16" i="19"/>
  <c r="KO16" i="19"/>
  <c r="KP16" i="19"/>
  <c r="LL16" i="19"/>
  <c r="LM16" i="19"/>
  <c r="LN16" i="19"/>
  <c r="LO16" i="19"/>
  <c r="LQ16" i="19"/>
  <c r="LR16" i="19"/>
  <c r="MN16" i="19"/>
  <c r="MO16" i="19"/>
  <c r="MP16" i="19"/>
  <c r="MQ16" i="19"/>
  <c r="MS16" i="19"/>
  <c r="MT16" i="19"/>
  <c r="NP16" i="19"/>
  <c r="NQ16" i="19"/>
  <c r="NR16" i="19"/>
  <c r="NS16" i="19"/>
  <c r="NU16" i="19"/>
  <c r="NV16" i="19"/>
  <c r="OR16" i="19"/>
  <c r="OS16" i="19"/>
  <c r="OT16" i="19"/>
  <c r="OU16" i="19"/>
  <c r="OW16" i="19"/>
  <c r="OX16" i="19"/>
  <c r="PT16" i="19"/>
  <c r="PU16" i="19"/>
  <c r="PV16" i="19"/>
  <c r="PW16" i="19"/>
  <c r="PX16" i="19"/>
  <c r="PY16" i="19"/>
  <c r="PZ16" i="19"/>
  <c r="QV16" i="19"/>
  <c r="QW16" i="19"/>
  <c r="QX16" i="19"/>
  <c r="QY16" i="19"/>
  <c r="RA16" i="19"/>
  <c r="RB16" i="19"/>
  <c r="RX16" i="19"/>
  <c r="RY16" i="19"/>
  <c r="RZ16" i="19"/>
  <c r="SA16" i="19"/>
  <c r="SB16" i="19"/>
  <c r="SC16" i="19"/>
  <c r="SD16" i="19"/>
  <c r="SZ16" i="19"/>
  <c r="TA16" i="19"/>
  <c r="TB16" i="19"/>
  <c r="TC16" i="19"/>
  <c r="TE16" i="19"/>
  <c r="TF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LP12" i="21" l="1"/>
  <c r="EB12" i="21"/>
  <c r="NT12" i="21"/>
  <c r="CW16" i="4"/>
  <c r="PX12" i="21"/>
  <c r="T16" i="4"/>
  <c r="U16" i="4" s="1"/>
  <c r="JL12" i="21"/>
  <c r="LS12" i="21"/>
  <c r="HH12" i="21"/>
  <c r="NW12" i="21"/>
  <c r="GF12" i="21"/>
  <c r="QZ12" i="21"/>
  <c r="HK12" i="21"/>
  <c r="TD12" i="21"/>
  <c r="JO12" i="21"/>
  <c r="IJ12" i="21"/>
  <c r="KN12" i="21"/>
  <c r="QZ16" i="19"/>
  <c r="TD16" i="19"/>
  <c r="XO16" i="4"/>
  <c r="OV16" i="19"/>
  <c r="NT16" i="19"/>
  <c r="LS16" i="19"/>
  <c r="GF16" i="19"/>
  <c r="LP16" i="19"/>
  <c r="EB16" i="19"/>
  <c r="NW16" i="19"/>
  <c r="KN16" i="19"/>
  <c r="OV12" i="21"/>
  <c r="RC12" i="21"/>
  <c r="TG12" i="21"/>
  <c r="EE12" i="21"/>
  <c r="GI12" i="21"/>
  <c r="DA16" i="19"/>
  <c r="HH16" i="19"/>
  <c r="JL16" i="19"/>
  <c r="OY16" i="19"/>
  <c r="IM16" i="19"/>
  <c r="EE16" i="19"/>
  <c r="JO16" i="19"/>
  <c r="HK16" i="19"/>
  <c r="CX16" i="19"/>
  <c r="RC16" i="19"/>
  <c r="TG16" i="19"/>
  <c r="F16" i="19" s="1"/>
  <c r="GI16" i="19"/>
  <c r="XL16" i="4"/>
  <c r="WL16" i="4"/>
  <c r="WS16" i="4" s="1"/>
  <c r="SE12" i="21"/>
  <c r="QA12" i="21"/>
  <c r="OY12" i="21"/>
  <c r="MR12" i="21"/>
  <c r="KQ12" i="21"/>
  <c r="IM12" i="21"/>
  <c r="FD12" i="21"/>
  <c r="UF12" i="21"/>
  <c r="UD12" i="21"/>
  <c r="UI12" i="21"/>
  <c r="N12" i="21"/>
  <c r="O12" i="21" s="1"/>
  <c r="UE12" i="21"/>
  <c r="G12" i="21"/>
  <c r="F12" i="21"/>
  <c r="UH12" i="21"/>
  <c r="J12" i="21"/>
  <c r="MU12" i="21"/>
  <c r="FG12" i="21"/>
  <c r="L12" i="21"/>
  <c r="DB12" i="21" s="1"/>
  <c r="UC12" i="21"/>
  <c r="DA16" i="4"/>
  <c r="P16" i="4"/>
  <c r="Q16" i="4" s="1"/>
  <c r="XS16" i="4"/>
  <c r="N16" i="4"/>
  <c r="R16" i="4"/>
  <c r="S16" i="4" s="1"/>
  <c r="L16" i="4"/>
  <c r="M16" i="4" s="1"/>
  <c r="J16" i="4"/>
  <c r="I16" i="4"/>
  <c r="G16" i="4"/>
  <c r="F16" i="4"/>
  <c r="SE16" i="19"/>
  <c r="QA16" i="19"/>
  <c r="MR16" i="19"/>
  <c r="KQ16" i="19"/>
  <c r="IJ16" i="19"/>
  <c r="FD16" i="19"/>
  <c r="UC16" i="19"/>
  <c r="UH16" i="19"/>
  <c r="N16" i="19"/>
  <c r="O16" i="19" s="1"/>
  <c r="UE16" i="19"/>
  <c r="UD16" i="19"/>
  <c r="UG16" i="19" s="1"/>
  <c r="MU16" i="19"/>
  <c r="FG16" i="19"/>
  <c r="UI16" i="19"/>
  <c r="L16" i="19"/>
  <c r="DB16" i="19" s="1"/>
  <c r="J16" i="19"/>
  <c r="UF16" i="19"/>
  <c r="G16" i="19" l="1"/>
  <c r="H16" i="19" s="1"/>
  <c r="XP16" i="4"/>
  <c r="XT16" i="4" s="1"/>
  <c r="I12" i="21"/>
  <c r="I16" i="19"/>
  <c r="DC16" i="19"/>
  <c r="DB16" i="4"/>
  <c r="UG12" i="21"/>
  <c r="UJ12" i="21"/>
  <c r="DC12" i="21"/>
  <c r="P12" i="21" s="1"/>
  <c r="H12" i="21"/>
  <c r="K12" i="21"/>
  <c r="M12" i="21" s="1"/>
  <c r="DC16" i="4"/>
  <c r="O16" i="4"/>
  <c r="H16" i="4"/>
  <c r="A16" i="4" s="1" a="1"/>
  <c r="A16" i="4" s="1"/>
  <c r="K16" i="4"/>
  <c r="UJ16" i="19"/>
  <c r="K16" i="19"/>
  <c r="M16" i="19" s="1"/>
  <c r="V16" i="4" l="1"/>
  <c r="P16" i="19"/>
  <c r="E12" i="21"/>
  <c r="E16" i="4"/>
  <c r="W16" i="4"/>
  <c r="X16" i="4"/>
  <c r="E16" i="19"/>
  <c r="SD18" i="21" l="1"/>
  <c r="SC18" i="21"/>
  <c r="SA18" i="21"/>
  <c r="RZ18" i="21"/>
  <c r="RY18" i="21"/>
  <c r="RX18" i="21"/>
  <c r="SD23" i="21"/>
  <c r="SC23" i="21"/>
  <c r="SA23" i="21"/>
  <c r="RZ23" i="21"/>
  <c r="RY23" i="21"/>
  <c r="RX23" i="21"/>
  <c r="SD6" i="21"/>
  <c r="SC6" i="21"/>
  <c r="SA6" i="21"/>
  <c r="RZ6" i="21"/>
  <c r="RY6" i="21"/>
  <c r="RX6" i="21"/>
  <c r="SD15" i="21"/>
  <c r="SC15" i="21"/>
  <c r="SA15" i="21"/>
  <c r="RZ15" i="21"/>
  <c r="RY15" i="21"/>
  <c r="RX15" i="21"/>
  <c r="SD11" i="21"/>
  <c r="SC11" i="21"/>
  <c r="SA11" i="21"/>
  <c r="RZ11" i="21"/>
  <c r="RY11" i="21"/>
  <c r="RX11" i="21"/>
  <c r="SD24" i="21"/>
  <c r="SC24" i="21"/>
  <c r="SA24" i="21"/>
  <c r="RZ24" i="21"/>
  <c r="RY24" i="21"/>
  <c r="RX24" i="21"/>
  <c r="SD19" i="21"/>
  <c r="SC19" i="21"/>
  <c r="SA19" i="21"/>
  <c r="RZ19" i="21"/>
  <c r="RY19" i="21"/>
  <c r="RX19" i="21"/>
  <c r="SD26" i="21"/>
  <c r="SC26" i="21"/>
  <c r="SA26" i="21"/>
  <c r="RZ26" i="21"/>
  <c r="RY26" i="21"/>
  <c r="RX26" i="21"/>
  <c r="SD13" i="21"/>
  <c r="SC13" i="21"/>
  <c r="SA13" i="21"/>
  <c r="RZ13" i="21"/>
  <c r="RY13" i="21"/>
  <c r="RX13" i="21"/>
  <c r="SD8" i="21"/>
  <c r="SC8" i="21"/>
  <c r="SA8" i="21"/>
  <c r="RZ8" i="21"/>
  <c r="RY8" i="21"/>
  <c r="RX8" i="21"/>
  <c r="SD22" i="21"/>
  <c r="SC22" i="21"/>
  <c r="SA22" i="21"/>
  <c r="RZ22" i="21"/>
  <c r="RY22" i="21"/>
  <c r="RX22" i="21"/>
  <c r="SD17" i="21"/>
  <c r="SC17" i="21"/>
  <c r="SA17" i="21"/>
  <c r="RZ17" i="21"/>
  <c r="RY17" i="21"/>
  <c r="RX17" i="21"/>
  <c r="SD14" i="21"/>
  <c r="SC14" i="21"/>
  <c r="SA14" i="21"/>
  <c r="RZ14" i="21"/>
  <c r="RY14" i="21"/>
  <c r="RX14" i="21"/>
  <c r="SD10" i="21"/>
  <c r="SC10" i="21"/>
  <c r="SA10" i="21"/>
  <c r="RZ10" i="21"/>
  <c r="RY10" i="21"/>
  <c r="RX10" i="21"/>
  <c r="SD9" i="21"/>
  <c r="SC9" i="21"/>
  <c r="SA9" i="21"/>
  <c r="RZ9" i="21"/>
  <c r="RY9" i="21"/>
  <c r="RX9" i="21"/>
  <c r="SD7" i="21"/>
  <c r="SC7" i="21"/>
  <c r="SA7" i="21"/>
  <c r="RZ7" i="21"/>
  <c r="RY7" i="21"/>
  <c r="RX7" i="21"/>
  <c r="SD5" i="21"/>
  <c r="SC5" i="21"/>
  <c r="SA5" i="21"/>
  <c r="RZ5" i="21"/>
  <c r="RY5" i="21"/>
  <c r="RX5" i="21"/>
  <c r="SD4" i="21"/>
  <c r="SC4" i="21"/>
  <c r="SA4" i="21"/>
  <c r="RZ4" i="21"/>
  <c r="RY4" i="21"/>
  <c r="RX4" i="21"/>
  <c r="RB18" i="21"/>
  <c r="RA18" i="21"/>
  <c r="QY18" i="21"/>
  <c r="QX18" i="21"/>
  <c r="QW18" i="21"/>
  <c r="QV18" i="21"/>
  <c r="RB23" i="21"/>
  <c r="RA23" i="21"/>
  <c r="QY23" i="21"/>
  <c r="QX23" i="21"/>
  <c r="QW23" i="21"/>
  <c r="QV23" i="21"/>
  <c r="RB6" i="21"/>
  <c r="RA6" i="21"/>
  <c r="QY6" i="21"/>
  <c r="QX6" i="21"/>
  <c r="QW6" i="21"/>
  <c r="QV6" i="21"/>
  <c r="RB15" i="21"/>
  <c r="RA15" i="21"/>
  <c r="QY15" i="21"/>
  <c r="QX15" i="21"/>
  <c r="QW15" i="21"/>
  <c r="QV15" i="21"/>
  <c r="RB11" i="21"/>
  <c r="RA11" i="21"/>
  <c r="QY11" i="21"/>
  <c r="QX11" i="21"/>
  <c r="QW11" i="21"/>
  <c r="QV11" i="21"/>
  <c r="RB24" i="21"/>
  <c r="RA24" i="21"/>
  <c r="QY24" i="21"/>
  <c r="QX24" i="21"/>
  <c r="QW24" i="21"/>
  <c r="QV24" i="21"/>
  <c r="RB19" i="21"/>
  <c r="RA19" i="21"/>
  <c r="QY19" i="21"/>
  <c r="QX19" i="21"/>
  <c r="QW19" i="21"/>
  <c r="QV19" i="21"/>
  <c r="RB26" i="21"/>
  <c r="RA26" i="21"/>
  <c r="QY26" i="21"/>
  <c r="QX26" i="21"/>
  <c r="QW26" i="21"/>
  <c r="QV26" i="21"/>
  <c r="RB13" i="21"/>
  <c r="RA13" i="21"/>
  <c r="QY13" i="21"/>
  <c r="QX13" i="21"/>
  <c r="QW13" i="21"/>
  <c r="QV13" i="21"/>
  <c r="RB8" i="21"/>
  <c r="RA8" i="21"/>
  <c r="QY8" i="21"/>
  <c r="QX8" i="21"/>
  <c r="QW8" i="21"/>
  <c r="QV8" i="21"/>
  <c r="RB22" i="21"/>
  <c r="RA22" i="21"/>
  <c r="QY22" i="21"/>
  <c r="QX22" i="21"/>
  <c r="QW22" i="21"/>
  <c r="QV22" i="21"/>
  <c r="RB17" i="21"/>
  <c r="RA17" i="21"/>
  <c r="QY17" i="21"/>
  <c r="QX17" i="21"/>
  <c r="QW17" i="21"/>
  <c r="QV17" i="21"/>
  <c r="RB14" i="21"/>
  <c r="RA14" i="21"/>
  <c r="QY14" i="21"/>
  <c r="QX14" i="21"/>
  <c r="QW14" i="21"/>
  <c r="QV14" i="21"/>
  <c r="RB10" i="21"/>
  <c r="RA10" i="21"/>
  <c r="QY10" i="21"/>
  <c r="QX10" i="21"/>
  <c r="QW10" i="21"/>
  <c r="QV10" i="21"/>
  <c r="RB9" i="21"/>
  <c r="RA9" i="21"/>
  <c r="QY9" i="21"/>
  <c r="QX9" i="21"/>
  <c r="QW9" i="21"/>
  <c r="QV9" i="21"/>
  <c r="RB7" i="21"/>
  <c r="RA7" i="21"/>
  <c r="QY7" i="21"/>
  <c r="QX7" i="21"/>
  <c r="QW7" i="21"/>
  <c r="QV7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18" i="21"/>
  <c r="PY18" i="21"/>
  <c r="PW18" i="21"/>
  <c r="PV18" i="21"/>
  <c r="PU18" i="21"/>
  <c r="PT18" i="21"/>
  <c r="PZ23" i="21"/>
  <c r="PY23" i="21"/>
  <c r="PW23" i="21"/>
  <c r="PV23" i="21"/>
  <c r="PU23" i="21"/>
  <c r="PT23" i="21"/>
  <c r="PZ6" i="21"/>
  <c r="PY6" i="21"/>
  <c r="PW6" i="21"/>
  <c r="PV6" i="21"/>
  <c r="PU6" i="21"/>
  <c r="PT6" i="21"/>
  <c r="PZ15" i="21"/>
  <c r="PY15" i="21"/>
  <c r="PW15" i="21"/>
  <c r="PV15" i="21"/>
  <c r="PU15" i="21"/>
  <c r="PT15" i="21"/>
  <c r="PZ11" i="21"/>
  <c r="PY11" i="21"/>
  <c r="PW11" i="21"/>
  <c r="PV11" i="21"/>
  <c r="PU11" i="21"/>
  <c r="PT11" i="21"/>
  <c r="PZ24" i="21"/>
  <c r="PY24" i="21"/>
  <c r="PW24" i="21"/>
  <c r="PV24" i="21"/>
  <c r="PU24" i="21"/>
  <c r="PT24" i="21"/>
  <c r="PZ19" i="21"/>
  <c r="PY19" i="21"/>
  <c r="PW19" i="21"/>
  <c r="PV19" i="21"/>
  <c r="PU19" i="21"/>
  <c r="PT19" i="21"/>
  <c r="PZ26" i="21"/>
  <c r="PY26" i="21"/>
  <c r="PW26" i="21"/>
  <c r="PV26" i="21"/>
  <c r="PU26" i="21"/>
  <c r="PT26" i="21"/>
  <c r="PZ13" i="21"/>
  <c r="PY13" i="21"/>
  <c r="PW13" i="21"/>
  <c r="PV13" i="21"/>
  <c r="PU13" i="21"/>
  <c r="PT13" i="21"/>
  <c r="PZ8" i="21"/>
  <c r="PY8" i="21"/>
  <c r="PW8" i="21"/>
  <c r="PV8" i="21"/>
  <c r="PU8" i="21"/>
  <c r="PT8" i="21"/>
  <c r="PZ22" i="21"/>
  <c r="PY22" i="21"/>
  <c r="PW22" i="21"/>
  <c r="PV22" i="21"/>
  <c r="PU22" i="21"/>
  <c r="PT22" i="21"/>
  <c r="PZ17" i="21"/>
  <c r="PY17" i="21"/>
  <c r="PW17" i="21"/>
  <c r="PV17" i="21"/>
  <c r="PU17" i="21"/>
  <c r="PT17" i="21"/>
  <c r="PZ14" i="21"/>
  <c r="PY14" i="21"/>
  <c r="PW14" i="21"/>
  <c r="PV14" i="21"/>
  <c r="PU14" i="21"/>
  <c r="PT14" i="21"/>
  <c r="PZ10" i="21"/>
  <c r="PY10" i="21"/>
  <c r="PW10" i="21"/>
  <c r="PV10" i="21"/>
  <c r="PU10" i="21"/>
  <c r="PT10" i="21"/>
  <c r="PZ9" i="21"/>
  <c r="PY9" i="21"/>
  <c r="PW9" i="21"/>
  <c r="PV9" i="21"/>
  <c r="PU9" i="21"/>
  <c r="PT9" i="21"/>
  <c r="PZ7" i="21"/>
  <c r="PY7" i="21"/>
  <c r="PW7" i="21"/>
  <c r="PV7" i="21"/>
  <c r="PU7" i="21"/>
  <c r="PT7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18" i="21"/>
  <c r="OW18" i="21"/>
  <c r="OU18" i="21"/>
  <c r="OT18" i="21"/>
  <c r="OS18" i="21"/>
  <c r="OR18" i="21"/>
  <c r="OX23" i="21"/>
  <c r="OW23" i="21"/>
  <c r="OU23" i="21"/>
  <c r="OT23" i="21"/>
  <c r="OS23" i="21"/>
  <c r="OR23" i="21"/>
  <c r="OX6" i="21"/>
  <c r="OW6" i="21"/>
  <c r="OU6" i="21"/>
  <c r="OT6" i="21"/>
  <c r="OS6" i="21"/>
  <c r="OR6" i="21"/>
  <c r="OX15" i="21"/>
  <c r="OW15" i="21"/>
  <c r="OU15" i="21"/>
  <c r="OT15" i="21"/>
  <c r="OS15" i="21"/>
  <c r="OR15" i="21"/>
  <c r="OX11" i="21"/>
  <c r="OW11" i="21"/>
  <c r="OU11" i="21"/>
  <c r="OT11" i="21"/>
  <c r="OS11" i="21"/>
  <c r="OR11" i="21"/>
  <c r="OX24" i="21"/>
  <c r="OW24" i="21"/>
  <c r="OU24" i="21"/>
  <c r="OT24" i="21"/>
  <c r="OS24" i="21"/>
  <c r="OR24" i="21"/>
  <c r="OX19" i="21"/>
  <c r="OW19" i="21"/>
  <c r="OU19" i="21"/>
  <c r="OT19" i="21"/>
  <c r="OS19" i="21"/>
  <c r="OR19" i="21"/>
  <c r="OX26" i="21"/>
  <c r="OW26" i="21"/>
  <c r="OU26" i="21"/>
  <c r="OT26" i="21"/>
  <c r="OS26" i="21"/>
  <c r="OR26" i="21"/>
  <c r="OX13" i="21"/>
  <c r="OW13" i="21"/>
  <c r="OU13" i="21"/>
  <c r="OT13" i="21"/>
  <c r="OS13" i="21"/>
  <c r="OR13" i="21"/>
  <c r="OX8" i="21"/>
  <c r="OW8" i="21"/>
  <c r="OU8" i="21"/>
  <c r="OT8" i="21"/>
  <c r="OS8" i="21"/>
  <c r="OR8" i="21"/>
  <c r="OX22" i="21"/>
  <c r="OW22" i="21"/>
  <c r="OU22" i="21"/>
  <c r="OT22" i="21"/>
  <c r="OS22" i="21"/>
  <c r="OR22" i="21"/>
  <c r="OX17" i="21"/>
  <c r="OW17" i="21"/>
  <c r="OU17" i="21"/>
  <c r="OT17" i="21"/>
  <c r="OS17" i="21"/>
  <c r="OR17" i="21"/>
  <c r="OX14" i="21"/>
  <c r="OW14" i="21"/>
  <c r="OU14" i="21"/>
  <c r="OT14" i="21"/>
  <c r="OS14" i="21"/>
  <c r="OR14" i="21"/>
  <c r="OX10" i="21"/>
  <c r="OW10" i="21"/>
  <c r="OU10" i="21"/>
  <c r="OT10" i="21"/>
  <c r="OS10" i="21"/>
  <c r="OR10" i="21"/>
  <c r="OX9" i="21"/>
  <c r="OW9" i="21"/>
  <c r="OU9" i="21"/>
  <c r="OT9" i="21"/>
  <c r="OS9" i="21"/>
  <c r="OR9" i="21"/>
  <c r="OX7" i="21"/>
  <c r="OW7" i="21"/>
  <c r="OU7" i="21"/>
  <c r="OT7" i="21"/>
  <c r="OS7" i="21"/>
  <c r="OR7" i="21"/>
  <c r="OX5" i="21"/>
  <c r="OW5" i="21"/>
  <c r="OU5" i="21"/>
  <c r="OT5" i="21"/>
  <c r="OS5" i="21"/>
  <c r="OR5" i="21"/>
  <c r="OX4" i="21"/>
  <c r="OW4" i="21"/>
  <c r="OU4" i="21"/>
  <c r="OT4" i="21"/>
  <c r="OS4" i="21"/>
  <c r="OR4" i="21"/>
  <c r="NV18" i="21"/>
  <c r="NU18" i="21"/>
  <c r="NS18" i="21"/>
  <c r="NR18" i="21"/>
  <c r="NQ18" i="21"/>
  <c r="NP18" i="21"/>
  <c r="NV23" i="21"/>
  <c r="NU23" i="21"/>
  <c r="NS23" i="21"/>
  <c r="NR23" i="21"/>
  <c r="NQ23" i="21"/>
  <c r="NP23" i="21"/>
  <c r="NV6" i="21"/>
  <c r="NU6" i="21"/>
  <c r="NS6" i="21"/>
  <c r="NR6" i="21"/>
  <c r="NQ6" i="21"/>
  <c r="NP6" i="21"/>
  <c r="NV15" i="21"/>
  <c r="NU15" i="21"/>
  <c r="NS15" i="21"/>
  <c r="NR15" i="21"/>
  <c r="NQ15" i="21"/>
  <c r="NP15" i="21"/>
  <c r="NV11" i="21"/>
  <c r="NU11" i="21"/>
  <c r="NS11" i="21"/>
  <c r="NR11" i="21"/>
  <c r="NQ11" i="21"/>
  <c r="NP11" i="21"/>
  <c r="NV24" i="21"/>
  <c r="NU24" i="21"/>
  <c r="NS24" i="21"/>
  <c r="NR24" i="21"/>
  <c r="NQ24" i="21"/>
  <c r="NP24" i="21"/>
  <c r="NV19" i="21"/>
  <c r="NU19" i="21"/>
  <c r="NS19" i="21"/>
  <c r="NR19" i="21"/>
  <c r="NQ19" i="21"/>
  <c r="NP19" i="21"/>
  <c r="NV26" i="21"/>
  <c r="NU26" i="21"/>
  <c r="NS26" i="21"/>
  <c r="NR26" i="21"/>
  <c r="NQ26" i="21"/>
  <c r="NP26" i="21"/>
  <c r="NV13" i="21"/>
  <c r="NU13" i="21"/>
  <c r="NS13" i="21"/>
  <c r="NR13" i="21"/>
  <c r="NQ13" i="21"/>
  <c r="NP13" i="21"/>
  <c r="NV8" i="21"/>
  <c r="NU8" i="21"/>
  <c r="NS8" i="21"/>
  <c r="NR8" i="21"/>
  <c r="NQ8" i="21"/>
  <c r="NP8" i="21"/>
  <c r="NV22" i="21"/>
  <c r="NU22" i="21"/>
  <c r="NS22" i="21"/>
  <c r="NR22" i="21"/>
  <c r="NQ22" i="21"/>
  <c r="NP22" i="21"/>
  <c r="NV17" i="21"/>
  <c r="NU17" i="21"/>
  <c r="NS17" i="21"/>
  <c r="NR17" i="21"/>
  <c r="NQ17" i="21"/>
  <c r="NP17" i="21"/>
  <c r="NV14" i="21"/>
  <c r="NU14" i="21"/>
  <c r="NS14" i="21"/>
  <c r="NR14" i="21"/>
  <c r="NQ14" i="21"/>
  <c r="NP14" i="21"/>
  <c r="NV10" i="21"/>
  <c r="NU10" i="21"/>
  <c r="NS10" i="21"/>
  <c r="NR10" i="21"/>
  <c r="NQ10" i="21"/>
  <c r="NP10" i="21"/>
  <c r="NV9" i="21"/>
  <c r="NU9" i="21"/>
  <c r="NS9" i="21"/>
  <c r="NR9" i="21"/>
  <c r="NQ9" i="21"/>
  <c r="NP9" i="21"/>
  <c r="NV7" i="21"/>
  <c r="NU7" i="21"/>
  <c r="NS7" i="21"/>
  <c r="NR7" i="21"/>
  <c r="NQ7" i="21"/>
  <c r="NP7" i="21"/>
  <c r="NV5" i="21"/>
  <c r="NU5" i="21"/>
  <c r="NS5" i="21"/>
  <c r="NR5" i="21"/>
  <c r="NQ5" i="21"/>
  <c r="NP5" i="21"/>
  <c r="NV4" i="21"/>
  <c r="NU4" i="21"/>
  <c r="NS4" i="21"/>
  <c r="NR4" i="21"/>
  <c r="NQ4" i="21"/>
  <c r="NP4" i="21"/>
  <c r="MT18" i="21"/>
  <c r="MS18" i="21"/>
  <c r="MQ18" i="21"/>
  <c r="MP18" i="21"/>
  <c r="MO18" i="21"/>
  <c r="MN18" i="21"/>
  <c r="MT23" i="21"/>
  <c r="MS23" i="21"/>
  <c r="MQ23" i="21"/>
  <c r="MP23" i="21"/>
  <c r="MO23" i="21"/>
  <c r="MN23" i="21"/>
  <c r="MT6" i="21"/>
  <c r="MS6" i="21"/>
  <c r="MQ6" i="21"/>
  <c r="MP6" i="21"/>
  <c r="MO6" i="21"/>
  <c r="MN6" i="21"/>
  <c r="MT15" i="21"/>
  <c r="MS15" i="21"/>
  <c r="MQ15" i="21"/>
  <c r="MP15" i="21"/>
  <c r="MO15" i="21"/>
  <c r="MN15" i="21"/>
  <c r="MT11" i="21"/>
  <c r="MS11" i="21"/>
  <c r="MQ11" i="21"/>
  <c r="MP11" i="21"/>
  <c r="MO11" i="21"/>
  <c r="MN11" i="21"/>
  <c r="MT24" i="21"/>
  <c r="MS24" i="21"/>
  <c r="MQ24" i="21"/>
  <c r="MP24" i="21"/>
  <c r="MO24" i="21"/>
  <c r="MN24" i="21"/>
  <c r="MT19" i="21"/>
  <c r="MS19" i="21"/>
  <c r="MQ19" i="21"/>
  <c r="MP19" i="21"/>
  <c r="MO19" i="21"/>
  <c r="MN19" i="21"/>
  <c r="MT26" i="21"/>
  <c r="MS26" i="21"/>
  <c r="MQ26" i="21"/>
  <c r="MP26" i="21"/>
  <c r="MO26" i="21"/>
  <c r="MN26" i="21"/>
  <c r="MT13" i="21"/>
  <c r="MS13" i="21"/>
  <c r="MQ13" i="21"/>
  <c r="MP13" i="21"/>
  <c r="MO13" i="21"/>
  <c r="MN13" i="21"/>
  <c r="MT8" i="21"/>
  <c r="MS8" i="21"/>
  <c r="MQ8" i="21"/>
  <c r="MP8" i="21"/>
  <c r="MO8" i="21"/>
  <c r="MN8" i="21"/>
  <c r="MT22" i="21"/>
  <c r="MS22" i="21"/>
  <c r="MQ22" i="21"/>
  <c r="MP22" i="21"/>
  <c r="MO22" i="21"/>
  <c r="MN22" i="21"/>
  <c r="MT17" i="21"/>
  <c r="MS17" i="21"/>
  <c r="MQ17" i="21"/>
  <c r="MP17" i="21"/>
  <c r="MO17" i="21"/>
  <c r="MN17" i="21"/>
  <c r="MT14" i="21"/>
  <c r="MS14" i="21"/>
  <c r="MQ14" i="21"/>
  <c r="MP14" i="21"/>
  <c r="MO14" i="21"/>
  <c r="MN14" i="21"/>
  <c r="MT10" i="21"/>
  <c r="MS10" i="21"/>
  <c r="MQ10" i="21"/>
  <c r="MP10" i="21"/>
  <c r="MO10" i="21"/>
  <c r="MN10" i="21"/>
  <c r="MT9" i="21"/>
  <c r="MS9" i="21"/>
  <c r="MQ9" i="21"/>
  <c r="MP9" i="21"/>
  <c r="MO9" i="21"/>
  <c r="MN9" i="21"/>
  <c r="MT7" i="21"/>
  <c r="MS7" i="21"/>
  <c r="MQ7" i="21"/>
  <c r="MP7" i="21"/>
  <c r="MO7" i="21"/>
  <c r="MN7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18" i="21"/>
  <c r="LQ18" i="21"/>
  <c r="LO18" i="21"/>
  <c r="LN18" i="21"/>
  <c r="LM18" i="21"/>
  <c r="LL18" i="21"/>
  <c r="LR23" i="21"/>
  <c r="LQ23" i="21"/>
  <c r="LO23" i="21"/>
  <c r="LN23" i="21"/>
  <c r="LM23" i="21"/>
  <c r="LL23" i="21"/>
  <c r="LR6" i="21"/>
  <c r="LQ6" i="21"/>
  <c r="LO6" i="21"/>
  <c r="LN6" i="21"/>
  <c r="LM6" i="21"/>
  <c r="LL6" i="21"/>
  <c r="LR15" i="21"/>
  <c r="LQ15" i="21"/>
  <c r="LO15" i="21"/>
  <c r="LN15" i="21"/>
  <c r="LM15" i="21"/>
  <c r="LL15" i="21"/>
  <c r="LR11" i="21"/>
  <c r="LQ11" i="21"/>
  <c r="LO11" i="21"/>
  <c r="LN11" i="21"/>
  <c r="LM11" i="21"/>
  <c r="LL11" i="21"/>
  <c r="LR24" i="21"/>
  <c r="LQ24" i="21"/>
  <c r="LO24" i="21"/>
  <c r="LN24" i="21"/>
  <c r="LM24" i="21"/>
  <c r="LL24" i="21"/>
  <c r="LR19" i="21"/>
  <c r="LQ19" i="21"/>
  <c r="LO19" i="21"/>
  <c r="LN19" i="21"/>
  <c r="LM19" i="21"/>
  <c r="LL19" i="21"/>
  <c r="LR26" i="21"/>
  <c r="LQ26" i="21"/>
  <c r="LO26" i="21"/>
  <c r="LN26" i="21"/>
  <c r="LM26" i="21"/>
  <c r="LL26" i="21"/>
  <c r="LR13" i="21"/>
  <c r="LQ13" i="21"/>
  <c r="LO13" i="21"/>
  <c r="LN13" i="21"/>
  <c r="LM13" i="21"/>
  <c r="LL13" i="21"/>
  <c r="LR8" i="21"/>
  <c r="LQ8" i="21"/>
  <c r="LO8" i="21"/>
  <c r="LN8" i="21"/>
  <c r="LM8" i="21"/>
  <c r="LL8" i="21"/>
  <c r="LR22" i="21"/>
  <c r="LQ22" i="21"/>
  <c r="LO22" i="21"/>
  <c r="LN22" i="21"/>
  <c r="LM22" i="21"/>
  <c r="LL22" i="21"/>
  <c r="LR17" i="21"/>
  <c r="LQ17" i="21"/>
  <c r="LO17" i="21"/>
  <c r="LN17" i="21"/>
  <c r="LM17" i="21"/>
  <c r="LL17" i="21"/>
  <c r="LR14" i="21"/>
  <c r="LQ14" i="21"/>
  <c r="LO14" i="21"/>
  <c r="LN14" i="21"/>
  <c r="LM14" i="21"/>
  <c r="LL14" i="21"/>
  <c r="LR10" i="21"/>
  <c r="LQ10" i="21"/>
  <c r="LO10" i="21"/>
  <c r="LN10" i="21"/>
  <c r="LM10" i="21"/>
  <c r="LL10" i="21"/>
  <c r="LR9" i="21"/>
  <c r="LQ9" i="21"/>
  <c r="LO9" i="21"/>
  <c r="LN9" i="21"/>
  <c r="LM9" i="21"/>
  <c r="LL9" i="21"/>
  <c r="LR7" i="21"/>
  <c r="LQ7" i="21"/>
  <c r="LO7" i="21"/>
  <c r="LN7" i="21"/>
  <c r="LM7" i="21"/>
  <c r="LL7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18" i="21"/>
  <c r="KO18" i="21"/>
  <c r="KM18" i="21"/>
  <c r="KL18" i="21"/>
  <c r="KK18" i="21"/>
  <c r="KJ18" i="21"/>
  <c r="KP23" i="21"/>
  <c r="KO23" i="21"/>
  <c r="KM23" i="21"/>
  <c r="KL23" i="21"/>
  <c r="KK23" i="21"/>
  <c r="KJ23" i="21"/>
  <c r="KP6" i="21"/>
  <c r="KO6" i="21"/>
  <c r="KM6" i="21"/>
  <c r="KL6" i="21"/>
  <c r="KK6" i="21"/>
  <c r="KJ6" i="21"/>
  <c r="KP15" i="21"/>
  <c r="KO15" i="21"/>
  <c r="KM15" i="21"/>
  <c r="KL15" i="21"/>
  <c r="KK15" i="21"/>
  <c r="KJ15" i="21"/>
  <c r="KP11" i="21"/>
  <c r="KO11" i="21"/>
  <c r="KM11" i="21"/>
  <c r="KL11" i="21"/>
  <c r="KK11" i="21"/>
  <c r="KJ11" i="21"/>
  <c r="KP24" i="21"/>
  <c r="KO24" i="21"/>
  <c r="KM24" i="21"/>
  <c r="KL24" i="21"/>
  <c r="KK24" i="21"/>
  <c r="KJ24" i="21"/>
  <c r="KP19" i="21"/>
  <c r="KO19" i="21"/>
  <c r="KM19" i="21"/>
  <c r="KL19" i="21"/>
  <c r="KK19" i="21"/>
  <c r="KJ19" i="21"/>
  <c r="KP26" i="21"/>
  <c r="KO26" i="21"/>
  <c r="KM26" i="21"/>
  <c r="KL26" i="21"/>
  <c r="KK26" i="21"/>
  <c r="KJ26" i="21"/>
  <c r="KP13" i="21"/>
  <c r="KO13" i="21"/>
  <c r="KM13" i="21"/>
  <c r="KL13" i="21"/>
  <c r="KK13" i="21"/>
  <c r="KJ13" i="21"/>
  <c r="KP8" i="21"/>
  <c r="KO8" i="21"/>
  <c r="KM8" i="21"/>
  <c r="KL8" i="21"/>
  <c r="KK8" i="21"/>
  <c r="KJ8" i="21"/>
  <c r="KP22" i="21"/>
  <c r="KO22" i="21"/>
  <c r="KM22" i="21"/>
  <c r="KL22" i="21"/>
  <c r="KK22" i="21"/>
  <c r="KJ22" i="21"/>
  <c r="KP17" i="21"/>
  <c r="KO17" i="21"/>
  <c r="KM17" i="21"/>
  <c r="KL17" i="21"/>
  <c r="KK17" i="21"/>
  <c r="KJ17" i="21"/>
  <c r="KP14" i="21"/>
  <c r="KO14" i="21"/>
  <c r="KM14" i="21"/>
  <c r="KL14" i="21"/>
  <c r="KK14" i="21"/>
  <c r="KJ14" i="21"/>
  <c r="KP10" i="21"/>
  <c r="KO10" i="21"/>
  <c r="KM10" i="21"/>
  <c r="KL10" i="21"/>
  <c r="KK10" i="21"/>
  <c r="KJ10" i="21"/>
  <c r="KP9" i="21"/>
  <c r="KO9" i="21"/>
  <c r="KM9" i="21"/>
  <c r="KL9" i="21"/>
  <c r="KK9" i="21"/>
  <c r="KJ9" i="21"/>
  <c r="KP7" i="21"/>
  <c r="KO7" i="21"/>
  <c r="KM7" i="21"/>
  <c r="KL7" i="21"/>
  <c r="KK7" i="21"/>
  <c r="KJ7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18" i="21"/>
  <c r="JM18" i="21"/>
  <c r="JK18" i="21"/>
  <c r="JJ18" i="21"/>
  <c r="JI18" i="21"/>
  <c r="JH18" i="21"/>
  <c r="JN23" i="21"/>
  <c r="JM23" i="21"/>
  <c r="JK23" i="21"/>
  <c r="JJ23" i="21"/>
  <c r="JI23" i="21"/>
  <c r="JH23" i="21"/>
  <c r="JN6" i="21"/>
  <c r="JM6" i="21"/>
  <c r="JK6" i="21"/>
  <c r="JJ6" i="21"/>
  <c r="JI6" i="21"/>
  <c r="JH6" i="21"/>
  <c r="JN15" i="21"/>
  <c r="JM15" i="21"/>
  <c r="JK15" i="21"/>
  <c r="JJ15" i="21"/>
  <c r="JI15" i="21"/>
  <c r="JH15" i="21"/>
  <c r="JN11" i="21"/>
  <c r="JM11" i="21"/>
  <c r="JK11" i="21"/>
  <c r="JJ11" i="21"/>
  <c r="JI11" i="21"/>
  <c r="JH11" i="21"/>
  <c r="JN24" i="21"/>
  <c r="JM24" i="21"/>
  <c r="JK24" i="21"/>
  <c r="JJ24" i="21"/>
  <c r="JI24" i="21"/>
  <c r="JH24" i="21"/>
  <c r="JN19" i="21"/>
  <c r="JM19" i="21"/>
  <c r="JK19" i="21"/>
  <c r="JJ19" i="21"/>
  <c r="JI19" i="21"/>
  <c r="JH19" i="21"/>
  <c r="JN26" i="21"/>
  <c r="JM26" i="21"/>
  <c r="JK26" i="21"/>
  <c r="JJ26" i="21"/>
  <c r="JI26" i="21"/>
  <c r="JH26" i="21"/>
  <c r="JN13" i="21"/>
  <c r="JM13" i="21"/>
  <c r="JK13" i="21"/>
  <c r="JJ13" i="21"/>
  <c r="JI13" i="21"/>
  <c r="JH13" i="21"/>
  <c r="JN8" i="21"/>
  <c r="JM8" i="21"/>
  <c r="JK8" i="21"/>
  <c r="JJ8" i="21"/>
  <c r="JI8" i="21"/>
  <c r="JH8" i="21"/>
  <c r="JN22" i="21"/>
  <c r="JM22" i="21"/>
  <c r="JK22" i="21"/>
  <c r="JJ22" i="21"/>
  <c r="JI22" i="21"/>
  <c r="JH22" i="21"/>
  <c r="JN17" i="21"/>
  <c r="JM17" i="21"/>
  <c r="JK17" i="21"/>
  <c r="JJ17" i="21"/>
  <c r="JI17" i="21"/>
  <c r="JH17" i="21"/>
  <c r="JN14" i="21"/>
  <c r="JM14" i="21"/>
  <c r="JK14" i="21"/>
  <c r="JJ14" i="21"/>
  <c r="JI14" i="21"/>
  <c r="JH14" i="21"/>
  <c r="JN10" i="21"/>
  <c r="JM10" i="21"/>
  <c r="JK10" i="21"/>
  <c r="JJ10" i="21"/>
  <c r="JI10" i="21"/>
  <c r="JH10" i="21"/>
  <c r="JN9" i="21"/>
  <c r="JM9" i="21"/>
  <c r="JK9" i="21"/>
  <c r="JJ9" i="21"/>
  <c r="JI9" i="21"/>
  <c r="JH9" i="21"/>
  <c r="JN7" i="21"/>
  <c r="JM7" i="21"/>
  <c r="JK7" i="21"/>
  <c r="JJ7" i="21"/>
  <c r="JI7" i="21"/>
  <c r="JH7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18" i="21"/>
  <c r="IK18" i="21"/>
  <c r="II18" i="21"/>
  <c r="IH18" i="21"/>
  <c r="IG18" i="21"/>
  <c r="IF18" i="21"/>
  <c r="IL23" i="21"/>
  <c r="IK23" i="21"/>
  <c r="II23" i="21"/>
  <c r="IH23" i="21"/>
  <c r="IG23" i="21"/>
  <c r="IF23" i="21"/>
  <c r="IL6" i="21"/>
  <c r="IK6" i="21"/>
  <c r="II6" i="21"/>
  <c r="IH6" i="21"/>
  <c r="IG6" i="21"/>
  <c r="IF6" i="21"/>
  <c r="IL15" i="21"/>
  <c r="IK15" i="21"/>
  <c r="II15" i="21"/>
  <c r="IH15" i="21"/>
  <c r="IG15" i="21"/>
  <c r="IF15" i="21"/>
  <c r="IL11" i="21"/>
  <c r="IK11" i="21"/>
  <c r="II11" i="21"/>
  <c r="IH11" i="21"/>
  <c r="IG11" i="21"/>
  <c r="IF11" i="21"/>
  <c r="IL24" i="21"/>
  <c r="IK24" i="21"/>
  <c r="II24" i="21"/>
  <c r="IH24" i="21"/>
  <c r="IG24" i="21"/>
  <c r="IF24" i="21"/>
  <c r="IL19" i="21"/>
  <c r="IK19" i="21"/>
  <c r="II19" i="21"/>
  <c r="IH19" i="21"/>
  <c r="IG19" i="21"/>
  <c r="IF19" i="21"/>
  <c r="IL26" i="21"/>
  <c r="IK26" i="21"/>
  <c r="II26" i="21"/>
  <c r="IH26" i="21"/>
  <c r="IG26" i="21"/>
  <c r="IF26" i="21"/>
  <c r="IL13" i="21"/>
  <c r="IK13" i="21"/>
  <c r="II13" i="21"/>
  <c r="IH13" i="21"/>
  <c r="IG13" i="21"/>
  <c r="IF13" i="21"/>
  <c r="IL8" i="21"/>
  <c r="IK8" i="21"/>
  <c r="II8" i="21"/>
  <c r="IH8" i="21"/>
  <c r="IG8" i="21"/>
  <c r="IF8" i="21"/>
  <c r="IL22" i="21"/>
  <c r="IK22" i="21"/>
  <c r="II22" i="21"/>
  <c r="IH22" i="21"/>
  <c r="IG22" i="21"/>
  <c r="IF22" i="21"/>
  <c r="IL17" i="21"/>
  <c r="IK17" i="21"/>
  <c r="II17" i="21"/>
  <c r="IH17" i="21"/>
  <c r="IG17" i="21"/>
  <c r="IF17" i="21"/>
  <c r="IL14" i="21"/>
  <c r="IK14" i="21"/>
  <c r="II14" i="21"/>
  <c r="IH14" i="21"/>
  <c r="IG14" i="21"/>
  <c r="IF14" i="21"/>
  <c r="IL10" i="21"/>
  <c r="IK10" i="21"/>
  <c r="II10" i="21"/>
  <c r="IH10" i="21"/>
  <c r="IG10" i="21"/>
  <c r="IF10" i="21"/>
  <c r="IL9" i="21"/>
  <c r="IK9" i="21"/>
  <c r="II9" i="21"/>
  <c r="IH9" i="21"/>
  <c r="IG9" i="21"/>
  <c r="IF9" i="21"/>
  <c r="IL7" i="21"/>
  <c r="IK7" i="21"/>
  <c r="II7" i="21"/>
  <c r="IH7" i="21"/>
  <c r="IG7" i="21"/>
  <c r="IF7" i="21"/>
  <c r="IL5" i="21"/>
  <c r="IK5" i="21"/>
  <c r="II5" i="21"/>
  <c r="IH5" i="21"/>
  <c r="IG5" i="21"/>
  <c r="IF5" i="21"/>
  <c r="IL4" i="21"/>
  <c r="IK4" i="21"/>
  <c r="II4" i="21"/>
  <c r="IH4" i="21"/>
  <c r="IG4" i="21"/>
  <c r="IF4" i="21"/>
  <c r="HJ18" i="21"/>
  <c r="HI18" i="21"/>
  <c r="HG18" i="21"/>
  <c r="HF18" i="21"/>
  <c r="HE18" i="21"/>
  <c r="HD18" i="21"/>
  <c r="HJ23" i="21"/>
  <c r="HI23" i="21"/>
  <c r="HG23" i="21"/>
  <c r="HF23" i="21"/>
  <c r="HE23" i="21"/>
  <c r="HD23" i="21"/>
  <c r="HJ6" i="21"/>
  <c r="HI6" i="21"/>
  <c r="HG6" i="21"/>
  <c r="HF6" i="21"/>
  <c r="HE6" i="21"/>
  <c r="HD6" i="21"/>
  <c r="HJ15" i="21"/>
  <c r="HI15" i="21"/>
  <c r="HG15" i="21"/>
  <c r="HF15" i="21"/>
  <c r="HE15" i="21"/>
  <c r="HD15" i="21"/>
  <c r="HJ11" i="21"/>
  <c r="HI11" i="21"/>
  <c r="HG11" i="21"/>
  <c r="HF11" i="21"/>
  <c r="HE11" i="21"/>
  <c r="HD11" i="21"/>
  <c r="HJ24" i="21"/>
  <c r="HI24" i="21"/>
  <c r="HG24" i="21"/>
  <c r="HF24" i="21"/>
  <c r="HE24" i="21"/>
  <c r="HD24" i="21"/>
  <c r="HJ19" i="21"/>
  <c r="HI19" i="21"/>
  <c r="HG19" i="21"/>
  <c r="HF19" i="21"/>
  <c r="HE19" i="21"/>
  <c r="HD19" i="21"/>
  <c r="HJ26" i="21"/>
  <c r="HI26" i="21"/>
  <c r="HG26" i="21"/>
  <c r="HF26" i="21"/>
  <c r="HE26" i="21"/>
  <c r="HD26" i="21"/>
  <c r="HJ13" i="21"/>
  <c r="HI13" i="21"/>
  <c r="HG13" i="21"/>
  <c r="HF13" i="21"/>
  <c r="HE13" i="21"/>
  <c r="HD13" i="21"/>
  <c r="HJ8" i="21"/>
  <c r="HI8" i="21"/>
  <c r="HG8" i="21"/>
  <c r="HF8" i="21"/>
  <c r="HE8" i="21"/>
  <c r="HD8" i="21"/>
  <c r="HJ22" i="21"/>
  <c r="HI22" i="21"/>
  <c r="HG22" i="21"/>
  <c r="HF22" i="21"/>
  <c r="HE22" i="21"/>
  <c r="HD22" i="21"/>
  <c r="HJ17" i="21"/>
  <c r="HI17" i="21"/>
  <c r="HG17" i="21"/>
  <c r="HF17" i="21"/>
  <c r="HE17" i="21"/>
  <c r="HD17" i="21"/>
  <c r="HJ14" i="21"/>
  <c r="HI14" i="21"/>
  <c r="HG14" i="21"/>
  <c r="HF14" i="21"/>
  <c r="HE14" i="21"/>
  <c r="HD14" i="21"/>
  <c r="HJ10" i="21"/>
  <c r="HI10" i="21"/>
  <c r="HG10" i="21"/>
  <c r="HF10" i="21"/>
  <c r="HE10" i="21"/>
  <c r="HD10" i="21"/>
  <c r="HJ9" i="21"/>
  <c r="HI9" i="21"/>
  <c r="HG9" i="21"/>
  <c r="HF9" i="21"/>
  <c r="HE9" i="21"/>
  <c r="HD9" i="21"/>
  <c r="HJ7" i="21"/>
  <c r="HI7" i="21"/>
  <c r="HG7" i="21"/>
  <c r="HF7" i="21"/>
  <c r="HE7" i="21"/>
  <c r="HD7" i="21"/>
  <c r="HJ5" i="21"/>
  <c r="HI5" i="21"/>
  <c r="HG5" i="21"/>
  <c r="HF5" i="21"/>
  <c r="HE5" i="21"/>
  <c r="HD5" i="21"/>
  <c r="HJ4" i="21"/>
  <c r="HI4" i="21"/>
  <c r="HG4" i="21"/>
  <c r="HF4" i="21"/>
  <c r="HE4" i="21"/>
  <c r="HD4" i="21"/>
  <c r="GH18" i="21"/>
  <c r="GG18" i="21"/>
  <c r="GE18" i="21"/>
  <c r="GD18" i="21"/>
  <c r="GC18" i="21"/>
  <c r="GB18" i="21"/>
  <c r="GH23" i="21"/>
  <c r="GG23" i="21"/>
  <c r="GE23" i="21"/>
  <c r="GD23" i="21"/>
  <c r="GC23" i="21"/>
  <c r="GB23" i="21"/>
  <c r="GH6" i="21"/>
  <c r="GG6" i="21"/>
  <c r="GE6" i="21"/>
  <c r="GD6" i="21"/>
  <c r="GC6" i="21"/>
  <c r="GB6" i="21"/>
  <c r="GH15" i="21"/>
  <c r="GG15" i="21"/>
  <c r="GE15" i="21"/>
  <c r="GD15" i="21"/>
  <c r="GC15" i="21"/>
  <c r="GB15" i="21"/>
  <c r="GH11" i="21"/>
  <c r="GG11" i="21"/>
  <c r="GE11" i="21"/>
  <c r="GD11" i="21"/>
  <c r="GC11" i="21"/>
  <c r="GB11" i="21"/>
  <c r="GH24" i="21"/>
  <c r="GG24" i="21"/>
  <c r="GE24" i="21"/>
  <c r="GD24" i="21"/>
  <c r="GC24" i="21"/>
  <c r="GB24" i="21"/>
  <c r="GH19" i="21"/>
  <c r="GG19" i="21"/>
  <c r="GE19" i="21"/>
  <c r="GD19" i="21"/>
  <c r="GC19" i="21"/>
  <c r="GB19" i="21"/>
  <c r="GH26" i="21"/>
  <c r="GG26" i="21"/>
  <c r="GE26" i="21"/>
  <c r="GD26" i="21"/>
  <c r="GC26" i="21"/>
  <c r="GB26" i="21"/>
  <c r="GH13" i="21"/>
  <c r="GG13" i="21"/>
  <c r="GE13" i="21"/>
  <c r="GD13" i="21"/>
  <c r="GC13" i="21"/>
  <c r="GB13" i="21"/>
  <c r="GH8" i="21"/>
  <c r="GG8" i="21"/>
  <c r="GE8" i="21"/>
  <c r="GD8" i="21"/>
  <c r="GC8" i="21"/>
  <c r="GB8" i="21"/>
  <c r="GH22" i="21"/>
  <c r="GG22" i="21"/>
  <c r="GE22" i="21"/>
  <c r="GD22" i="21"/>
  <c r="GC22" i="21"/>
  <c r="GB22" i="21"/>
  <c r="GH17" i="21"/>
  <c r="GG17" i="21"/>
  <c r="GE17" i="21"/>
  <c r="GD17" i="21"/>
  <c r="GC17" i="21"/>
  <c r="GB17" i="21"/>
  <c r="GH14" i="21"/>
  <c r="GG14" i="21"/>
  <c r="GE14" i="21"/>
  <c r="GD14" i="21"/>
  <c r="GC14" i="21"/>
  <c r="GB14" i="21"/>
  <c r="GH10" i="21"/>
  <c r="GG10" i="21"/>
  <c r="GE10" i="21"/>
  <c r="GD10" i="21"/>
  <c r="GC10" i="21"/>
  <c r="GB10" i="21"/>
  <c r="GH9" i="21"/>
  <c r="GG9" i="21"/>
  <c r="GE9" i="21"/>
  <c r="GD9" i="21"/>
  <c r="GC9" i="21"/>
  <c r="GB9" i="21"/>
  <c r="GH7" i="21"/>
  <c r="GG7" i="21"/>
  <c r="GE7" i="21"/>
  <c r="GD7" i="21"/>
  <c r="GC7" i="21"/>
  <c r="GB7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18" i="21"/>
  <c r="FE18" i="21"/>
  <c r="FC18" i="21"/>
  <c r="FB18" i="21"/>
  <c r="FA18" i="21"/>
  <c r="EZ18" i="21"/>
  <c r="FF23" i="21"/>
  <c r="FE23" i="21"/>
  <c r="FC23" i="21"/>
  <c r="FB23" i="21"/>
  <c r="FA23" i="21"/>
  <c r="EZ23" i="21"/>
  <c r="FF6" i="21"/>
  <c r="FE6" i="21"/>
  <c r="FC6" i="21"/>
  <c r="FB6" i="21"/>
  <c r="FA6" i="21"/>
  <c r="EZ6" i="21"/>
  <c r="FF15" i="21"/>
  <c r="FE15" i="21"/>
  <c r="FC15" i="21"/>
  <c r="FB15" i="21"/>
  <c r="FA15" i="21"/>
  <c r="EZ15" i="21"/>
  <c r="FF11" i="21"/>
  <c r="FE11" i="21"/>
  <c r="FC11" i="21"/>
  <c r="FB11" i="21"/>
  <c r="FA11" i="21"/>
  <c r="EZ11" i="21"/>
  <c r="FF24" i="21"/>
  <c r="FE24" i="21"/>
  <c r="FC24" i="21"/>
  <c r="FB24" i="21"/>
  <c r="FA24" i="21"/>
  <c r="EZ24" i="21"/>
  <c r="FF19" i="21"/>
  <c r="FE19" i="21"/>
  <c r="FC19" i="21"/>
  <c r="FB19" i="21"/>
  <c r="FA19" i="21"/>
  <c r="EZ19" i="21"/>
  <c r="FF26" i="21"/>
  <c r="FE26" i="21"/>
  <c r="FC26" i="21"/>
  <c r="FB26" i="21"/>
  <c r="FA26" i="21"/>
  <c r="EZ26" i="21"/>
  <c r="FF13" i="21"/>
  <c r="FE13" i="21"/>
  <c r="FC13" i="21"/>
  <c r="FB13" i="21"/>
  <c r="FA13" i="21"/>
  <c r="EZ13" i="21"/>
  <c r="FF8" i="21"/>
  <c r="FE8" i="21"/>
  <c r="FC8" i="21"/>
  <c r="FB8" i="21"/>
  <c r="FA8" i="21"/>
  <c r="EZ8" i="21"/>
  <c r="FF22" i="21"/>
  <c r="FE22" i="21"/>
  <c r="FC22" i="21"/>
  <c r="FB22" i="21"/>
  <c r="FA22" i="21"/>
  <c r="EZ22" i="21"/>
  <c r="FF17" i="21"/>
  <c r="FE17" i="21"/>
  <c r="FC17" i="21"/>
  <c r="FB17" i="21"/>
  <c r="FA17" i="21"/>
  <c r="EZ17" i="21"/>
  <c r="FF14" i="21"/>
  <c r="FE14" i="21"/>
  <c r="FC14" i="21"/>
  <c r="FB14" i="21"/>
  <c r="FA14" i="21"/>
  <c r="EZ14" i="21"/>
  <c r="FF10" i="21"/>
  <c r="FE10" i="21"/>
  <c r="FC10" i="21"/>
  <c r="FB10" i="21"/>
  <c r="FA10" i="21"/>
  <c r="EZ10" i="21"/>
  <c r="FF9" i="21"/>
  <c r="FE9" i="21"/>
  <c r="FC9" i="21"/>
  <c r="FB9" i="21"/>
  <c r="FA9" i="21"/>
  <c r="EZ9" i="21"/>
  <c r="FF7" i="21"/>
  <c r="FE7" i="21"/>
  <c r="FC7" i="21"/>
  <c r="FB7" i="21"/>
  <c r="FA7" i="21"/>
  <c r="EZ7" i="21"/>
  <c r="FF5" i="21"/>
  <c r="FE5" i="21"/>
  <c r="FC5" i="21"/>
  <c r="FB5" i="21"/>
  <c r="FA5" i="21"/>
  <c r="EZ5" i="21"/>
  <c r="FF4" i="21"/>
  <c r="FE4" i="21"/>
  <c r="FC4" i="21"/>
  <c r="FB4" i="21"/>
  <c r="FA4" i="21"/>
  <c r="EZ4" i="21"/>
  <c r="ED18" i="21"/>
  <c r="EC18" i="21"/>
  <c r="EA18" i="21"/>
  <c r="DZ18" i="21"/>
  <c r="DY18" i="21"/>
  <c r="DX18" i="21"/>
  <c r="ED23" i="21"/>
  <c r="EC23" i="21"/>
  <c r="EA23" i="21"/>
  <c r="DZ23" i="21"/>
  <c r="DY23" i="21"/>
  <c r="DX23" i="21"/>
  <c r="ED6" i="21"/>
  <c r="EC6" i="21"/>
  <c r="EA6" i="21"/>
  <c r="DZ6" i="21"/>
  <c r="DY6" i="21"/>
  <c r="DX6" i="21"/>
  <c r="ED15" i="21"/>
  <c r="EC15" i="21"/>
  <c r="EA15" i="21"/>
  <c r="DZ15" i="21"/>
  <c r="DY15" i="21"/>
  <c r="DX15" i="21"/>
  <c r="ED11" i="21"/>
  <c r="EC11" i="21"/>
  <c r="EA11" i="21"/>
  <c r="DZ11" i="21"/>
  <c r="DY11" i="21"/>
  <c r="DX11" i="21"/>
  <c r="ED24" i="21"/>
  <c r="EC24" i="21"/>
  <c r="EA24" i="21"/>
  <c r="DZ24" i="21"/>
  <c r="DY24" i="21"/>
  <c r="DX24" i="21"/>
  <c r="ED19" i="21"/>
  <c r="EC19" i="21"/>
  <c r="EA19" i="21"/>
  <c r="DZ19" i="21"/>
  <c r="DY19" i="21"/>
  <c r="DX19" i="21"/>
  <c r="ED26" i="21"/>
  <c r="EC26" i="21"/>
  <c r="EA26" i="21"/>
  <c r="DZ26" i="21"/>
  <c r="DY26" i="21"/>
  <c r="DX26" i="21"/>
  <c r="ED13" i="21"/>
  <c r="EC13" i="21"/>
  <c r="EA13" i="21"/>
  <c r="DZ13" i="21"/>
  <c r="DY13" i="21"/>
  <c r="DX13" i="21"/>
  <c r="ED8" i="21"/>
  <c r="EC8" i="21"/>
  <c r="EA8" i="21"/>
  <c r="DZ8" i="21"/>
  <c r="DY8" i="21"/>
  <c r="DX8" i="21"/>
  <c r="ED22" i="21"/>
  <c r="EC22" i="21"/>
  <c r="EA22" i="21"/>
  <c r="DZ22" i="21"/>
  <c r="DY22" i="21"/>
  <c r="DX22" i="21"/>
  <c r="ED17" i="21"/>
  <c r="EC17" i="21"/>
  <c r="EA17" i="21"/>
  <c r="DZ17" i="21"/>
  <c r="DY17" i="21"/>
  <c r="DX17" i="21"/>
  <c r="ED14" i="21"/>
  <c r="EC14" i="21"/>
  <c r="EA14" i="21"/>
  <c r="DZ14" i="21"/>
  <c r="DY14" i="21"/>
  <c r="DX14" i="21"/>
  <c r="ED10" i="21"/>
  <c r="EC10" i="21"/>
  <c r="EA10" i="21"/>
  <c r="DZ10" i="21"/>
  <c r="DY10" i="21"/>
  <c r="DX10" i="21"/>
  <c r="ED9" i="21"/>
  <c r="EC9" i="21"/>
  <c r="EA9" i="21"/>
  <c r="DZ9" i="21"/>
  <c r="DY9" i="21"/>
  <c r="DX9" i="21"/>
  <c r="ED7" i="21"/>
  <c r="EC7" i="21"/>
  <c r="EA7" i="21"/>
  <c r="DZ7" i="21"/>
  <c r="DY7" i="21"/>
  <c r="DX7" i="21"/>
  <c r="ED5" i="21"/>
  <c r="EC5" i="21"/>
  <c r="EA5" i="21"/>
  <c r="DZ5" i="21"/>
  <c r="DY5" i="21"/>
  <c r="DX5" i="21"/>
  <c r="ED4" i="21"/>
  <c r="EC4" i="21"/>
  <c r="EA4" i="21"/>
  <c r="DZ4" i="21"/>
  <c r="DY4" i="21"/>
  <c r="DX4" i="21"/>
  <c r="SD28" i="19"/>
  <c r="SC28" i="19"/>
  <c r="SA28" i="19"/>
  <c r="RZ28" i="19"/>
  <c r="RY28" i="19"/>
  <c r="RX28" i="19"/>
  <c r="SD24" i="19"/>
  <c r="SC24" i="19"/>
  <c r="SA24" i="19"/>
  <c r="RZ24" i="19"/>
  <c r="RY24" i="19"/>
  <c r="RX24" i="19"/>
  <c r="SD22" i="19"/>
  <c r="SC22" i="19"/>
  <c r="SA22" i="19"/>
  <c r="RZ22" i="19"/>
  <c r="RY22" i="19"/>
  <c r="RX22" i="19"/>
  <c r="SD30" i="19"/>
  <c r="SC30" i="19"/>
  <c r="SA30" i="19"/>
  <c r="RZ30" i="19"/>
  <c r="RY30" i="19"/>
  <c r="RX30" i="19"/>
  <c r="SD21" i="19"/>
  <c r="SC21" i="19"/>
  <c r="SA21" i="19"/>
  <c r="RZ21" i="19"/>
  <c r="RY21" i="19"/>
  <c r="RX21" i="19"/>
  <c r="SD25" i="19"/>
  <c r="SC25" i="19"/>
  <c r="SA25" i="19"/>
  <c r="RZ25" i="19"/>
  <c r="RY25" i="19"/>
  <c r="RX25" i="19"/>
  <c r="SD29" i="19"/>
  <c r="SC29" i="19"/>
  <c r="SA29" i="19"/>
  <c r="RZ29" i="19"/>
  <c r="RY29" i="19"/>
  <c r="RX29" i="19"/>
  <c r="SD31" i="19"/>
  <c r="SC31" i="19"/>
  <c r="SA31" i="19"/>
  <c r="RZ31" i="19"/>
  <c r="RY31" i="19"/>
  <c r="RX31" i="19"/>
  <c r="SD32" i="19"/>
  <c r="SC32" i="19"/>
  <c r="SA32" i="19"/>
  <c r="RZ32" i="19"/>
  <c r="RY32" i="19"/>
  <c r="RX32" i="19"/>
  <c r="SD27" i="19"/>
  <c r="SC27" i="19"/>
  <c r="SA27" i="19"/>
  <c r="RZ27" i="19"/>
  <c r="RY27" i="19"/>
  <c r="RX27" i="19"/>
  <c r="SD8" i="19"/>
  <c r="SC8" i="19"/>
  <c r="SA8" i="19"/>
  <c r="RZ8" i="19"/>
  <c r="RY8" i="19"/>
  <c r="RX8" i="19"/>
  <c r="SD17" i="19"/>
  <c r="SC17" i="19"/>
  <c r="SA17" i="19"/>
  <c r="RZ17" i="19"/>
  <c r="RY17" i="19"/>
  <c r="RX17" i="19"/>
  <c r="SD33" i="19"/>
  <c r="SC33" i="19"/>
  <c r="SA33" i="19"/>
  <c r="RZ33" i="19"/>
  <c r="RY33" i="19"/>
  <c r="RX33" i="19"/>
  <c r="SD11" i="19"/>
  <c r="SC11" i="19"/>
  <c r="SA11" i="19"/>
  <c r="RZ11" i="19"/>
  <c r="RY11" i="19"/>
  <c r="RX11" i="19"/>
  <c r="SD13" i="19"/>
  <c r="SC13" i="19"/>
  <c r="SA13" i="19"/>
  <c r="RZ13" i="19"/>
  <c r="RY13" i="19"/>
  <c r="RX13" i="19"/>
  <c r="SD15" i="19"/>
  <c r="SC15" i="19"/>
  <c r="SA15" i="19"/>
  <c r="RZ15" i="19"/>
  <c r="RY15" i="19"/>
  <c r="RX15" i="19"/>
  <c r="SD20" i="19"/>
  <c r="SC20" i="19"/>
  <c r="SA20" i="19"/>
  <c r="RZ20" i="19"/>
  <c r="RY20" i="19"/>
  <c r="RX20" i="19"/>
  <c r="SD14" i="19"/>
  <c r="SC14" i="19"/>
  <c r="SA14" i="19"/>
  <c r="RZ14" i="19"/>
  <c r="RY14" i="19"/>
  <c r="RX14" i="19"/>
  <c r="SD5" i="19"/>
  <c r="SC5" i="19"/>
  <c r="SA5" i="19"/>
  <c r="RZ5" i="19"/>
  <c r="RY5" i="19"/>
  <c r="RX5" i="19"/>
  <c r="SD12" i="19"/>
  <c r="SC12" i="19"/>
  <c r="SA12" i="19"/>
  <c r="RZ12" i="19"/>
  <c r="RY12" i="19"/>
  <c r="RX12" i="19"/>
  <c r="SD18" i="19"/>
  <c r="SC18" i="19"/>
  <c r="SA18" i="19"/>
  <c r="RZ18" i="19"/>
  <c r="RY18" i="19"/>
  <c r="RX18" i="19"/>
  <c r="SD10" i="19"/>
  <c r="SC10" i="19"/>
  <c r="SA10" i="19"/>
  <c r="RZ10" i="19"/>
  <c r="RY10" i="19"/>
  <c r="RX10" i="19"/>
  <c r="SD7" i="19"/>
  <c r="SC7" i="19"/>
  <c r="SA7" i="19"/>
  <c r="RZ7" i="19"/>
  <c r="RY7" i="19"/>
  <c r="RX7" i="19"/>
  <c r="SD4" i="19"/>
  <c r="SC4" i="19"/>
  <c r="SA4" i="19"/>
  <c r="RZ4" i="19"/>
  <c r="RY4" i="19"/>
  <c r="RX4" i="19"/>
  <c r="RB28" i="19"/>
  <c r="RA28" i="19"/>
  <c r="QY28" i="19"/>
  <c r="QX28" i="19"/>
  <c r="QW28" i="19"/>
  <c r="QV28" i="19"/>
  <c r="RB24" i="19"/>
  <c r="RA24" i="19"/>
  <c r="QY24" i="19"/>
  <c r="QX24" i="19"/>
  <c r="QW24" i="19"/>
  <c r="QV24" i="19"/>
  <c r="RB22" i="19"/>
  <c r="RA22" i="19"/>
  <c r="QY22" i="19"/>
  <c r="QX22" i="19"/>
  <c r="QW22" i="19"/>
  <c r="QV22" i="19"/>
  <c r="RB30" i="19"/>
  <c r="RA30" i="19"/>
  <c r="QY30" i="19"/>
  <c r="QX30" i="19"/>
  <c r="QW30" i="19"/>
  <c r="QV30" i="19"/>
  <c r="RB21" i="19"/>
  <c r="RA21" i="19"/>
  <c r="QY21" i="19"/>
  <c r="QX21" i="19"/>
  <c r="QW21" i="19"/>
  <c r="QV21" i="19"/>
  <c r="RB25" i="19"/>
  <c r="RA25" i="19"/>
  <c r="QY25" i="19"/>
  <c r="QX25" i="19"/>
  <c r="QW25" i="19"/>
  <c r="QV25" i="19"/>
  <c r="RB29" i="19"/>
  <c r="RA29" i="19"/>
  <c r="QY29" i="19"/>
  <c r="QX29" i="19"/>
  <c r="QW29" i="19"/>
  <c r="QV29" i="19"/>
  <c r="RB31" i="19"/>
  <c r="RA31" i="19"/>
  <c r="QY31" i="19"/>
  <c r="QX31" i="19"/>
  <c r="QW31" i="19"/>
  <c r="QV31" i="19"/>
  <c r="RB32" i="19"/>
  <c r="RA32" i="19"/>
  <c r="QY32" i="19"/>
  <c r="QX32" i="19"/>
  <c r="QW32" i="19"/>
  <c r="QV32" i="19"/>
  <c r="RB27" i="19"/>
  <c r="RA27" i="19"/>
  <c r="QY27" i="19"/>
  <c r="QX27" i="19"/>
  <c r="QW27" i="19"/>
  <c r="QV27" i="19"/>
  <c r="RB8" i="19"/>
  <c r="RA8" i="19"/>
  <c r="QY8" i="19"/>
  <c r="QX8" i="19"/>
  <c r="QW8" i="19"/>
  <c r="QV8" i="19"/>
  <c r="RB17" i="19"/>
  <c r="RA17" i="19"/>
  <c r="QY17" i="19"/>
  <c r="QX17" i="19"/>
  <c r="QW17" i="19"/>
  <c r="QV17" i="19"/>
  <c r="RB33" i="19"/>
  <c r="RA33" i="19"/>
  <c r="QY33" i="19"/>
  <c r="QX33" i="19"/>
  <c r="QW33" i="19"/>
  <c r="QV33" i="19"/>
  <c r="RB11" i="19"/>
  <c r="RA11" i="19"/>
  <c r="QY11" i="19"/>
  <c r="QX11" i="19"/>
  <c r="QW11" i="19"/>
  <c r="QV11" i="19"/>
  <c r="RB13" i="19"/>
  <c r="RA13" i="19"/>
  <c r="QY13" i="19"/>
  <c r="QX13" i="19"/>
  <c r="QW13" i="19"/>
  <c r="QV13" i="19"/>
  <c r="RB15" i="19"/>
  <c r="RA15" i="19"/>
  <c r="QY15" i="19"/>
  <c r="QX15" i="19"/>
  <c r="QW15" i="19"/>
  <c r="QV15" i="19"/>
  <c r="RB20" i="19"/>
  <c r="RA20" i="19"/>
  <c r="QY20" i="19"/>
  <c r="QX20" i="19"/>
  <c r="QW20" i="19"/>
  <c r="QV20" i="19"/>
  <c r="RB14" i="19"/>
  <c r="RA14" i="19"/>
  <c r="QY14" i="19"/>
  <c r="QX14" i="19"/>
  <c r="QW14" i="19"/>
  <c r="QV14" i="19"/>
  <c r="RB5" i="19"/>
  <c r="RA5" i="19"/>
  <c r="QY5" i="19"/>
  <c r="QX5" i="19"/>
  <c r="QW5" i="19"/>
  <c r="QV5" i="19"/>
  <c r="RB12" i="19"/>
  <c r="RA12" i="19"/>
  <c r="QY12" i="19"/>
  <c r="QX12" i="19"/>
  <c r="QW12" i="19"/>
  <c r="QV12" i="19"/>
  <c r="RB18" i="19"/>
  <c r="RA18" i="19"/>
  <c r="QY18" i="19"/>
  <c r="QX18" i="19"/>
  <c r="QW18" i="19"/>
  <c r="QV18" i="19"/>
  <c r="RB10" i="19"/>
  <c r="RA10" i="19"/>
  <c r="QY10" i="19"/>
  <c r="QX10" i="19"/>
  <c r="QW10" i="19"/>
  <c r="QV10" i="19"/>
  <c r="RB7" i="19"/>
  <c r="RA7" i="19"/>
  <c r="QY7" i="19"/>
  <c r="QX7" i="19"/>
  <c r="QW7" i="19"/>
  <c r="QV7" i="19"/>
  <c r="RB4" i="19"/>
  <c r="RA4" i="19"/>
  <c r="QY4" i="19"/>
  <c r="QX4" i="19"/>
  <c r="QW4" i="19"/>
  <c r="QV4" i="19"/>
  <c r="PZ28" i="19"/>
  <c r="PY28" i="19"/>
  <c r="PW28" i="19"/>
  <c r="PV28" i="19"/>
  <c r="PU28" i="19"/>
  <c r="PT28" i="19"/>
  <c r="PZ24" i="19"/>
  <c r="PY24" i="19"/>
  <c r="PW24" i="19"/>
  <c r="PV24" i="19"/>
  <c r="PU24" i="19"/>
  <c r="PT24" i="19"/>
  <c r="PZ22" i="19"/>
  <c r="PY22" i="19"/>
  <c r="PW22" i="19"/>
  <c r="PV22" i="19"/>
  <c r="PU22" i="19"/>
  <c r="PT22" i="19"/>
  <c r="PZ30" i="19"/>
  <c r="PY30" i="19"/>
  <c r="PW30" i="19"/>
  <c r="PV30" i="19"/>
  <c r="PU30" i="19"/>
  <c r="PT30" i="19"/>
  <c r="PZ21" i="19"/>
  <c r="PY21" i="19"/>
  <c r="PW21" i="19"/>
  <c r="PV21" i="19"/>
  <c r="PU21" i="19"/>
  <c r="PT21" i="19"/>
  <c r="PZ25" i="19"/>
  <c r="PY25" i="19"/>
  <c r="PW25" i="19"/>
  <c r="PV25" i="19"/>
  <c r="PU25" i="19"/>
  <c r="PT25" i="19"/>
  <c r="PZ29" i="19"/>
  <c r="PY29" i="19"/>
  <c r="PW29" i="19"/>
  <c r="PV29" i="19"/>
  <c r="PU29" i="19"/>
  <c r="PT29" i="19"/>
  <c r="PZ31" i="19"/>
  <c r="PY31" i="19"/>
  <c r="PW31" i="19"/>
  <c r="PV31" i="19"/>
  <c r="PU31" i="19"/>
  <c r="PT31" i="19"/>
  <c r="PZ32" i="19"/>
  <c r="PY32" i="19"/>
  <c r="PW32" i="19"/>
  <c r="PV32" i="19"/>
  <c r="PU32" i="19"/>
  <c r="PT32" i="19"/>
  <c r="PZ27" i="19"/>
  <c r="PY27" i="19"/>
  <c r="PW27" i="19"/>
  <c r="PV27" i="19"/>
  <c r="PU27" i="19"/>
  <c r="PT27" i="19"/>
  <c r="PZ8" i="19"/>
  <c r="PY8" i="19"/>
  <c r="PW8" i="19"/>
  <c r="PV8" i="19"/>
  <c r="PU8" i="19"/>
  <c r="PT8" i="19"/>
  <c r="PZ17" i="19"/>
  <c r="PY17" i="19"/>
  <c r="PW17" i="19"/>
  <c r="PV17" i="19"/>
  <c r="PU17" i="19"/>
  <c r="PT17" i="19"/>
  <c r="PZ33" i="19"/>
  <c r="PY33" i="19"/>
  <c r="PW33" i="19"/>
  <c r="PV33" i="19"/>
  <c r="PU33" i="19"/>
  <c r="PT33" i="19"/>
  <c r="PZ11" i="19"/>
  <c r="PY11" i="19"/>
  <c r="PW11" i="19"/>
  <c r="PV11" i="19"/>
  <c r="PU11" i="19"/>
  <c r="PT11" i="19"/>
  <c r="PZ13" i="19"/>
  <c r="PY13" i="19"/>
  <c r="PW13" i="19"/>
  <c r="PV13" i="19"/>
  <c r="PU13" i="19"/>
  <c r="PT13" i="19"/>
  <c r="PZ15" i="19"/>
  <c r="PY15" i="19"/>
  <c r="PW15" i="19"/>
  <c r="PV15" i="19"/>
  <c r="PU15" i="19"/>
  <c r="PT15" i="19"/>
  <c r="PZ20" i="19"/>
  <c r="PY20" i="19"/>
  <c r="PW20" i="19"/>
  <c r="PV20" i="19"/>
  <c r="PU20" i="19"/>
  <c r="PT20" i="19"/>
  <c r="PZ14" i="19"/>
  <c r="PY14" i="19"/>
  <c r="PW14" i="19"/>
  <c r="PV14" i="19"/>
  <c r="PU14" i="19"/>
  <c r="PT14" i="19"/>
  <c r="PZ5" i="19"/>
  <c r="PY5" i="19"/>
  <c r="PW5" i="19"/>
  <c r="PV5" i="19"/>
  <c r="PU5" i="19"/>
  <c r="PT5" i="19"/>
  <c r="PZ12" i="19"/>
  <c r="PY12" i="19"/>
  <c r="PW12" i="19"/>
  <c r="PV12" i="19"/>
  <c r="PU12" i="19"/>
  <c r="PT12" i="19"/>
  <c r="PZ18" i="19"/>
  <c r="PY18" i="19"/>
  <c r="PW18" i="19"/>
  <c r="PV18" i="19"/>
  <c r="PU18" i="19"/>
  <c r="PT18" i="19"/>
  <c r="PZ10" i="19"/>
  <c r="PY10" i="19"/>
  <c r="PW10" i="19"/>
  <c r="PV10" i="19"/>
  <c r="PU10" i="19"/>
  <c r="PT10" i="19"/>
  <c r="PZ7" i="19"/>
  <c r="PY7" i="19"/>
  <c r="PW7" i="19"/>
  <c r="PV7" i="19"/>
  <c r="PU7" i="19"/>
  <c r="PT7" i="19"/>
  <c r="PZ4" i="19"/>
  <c r="PY4" i="19"/>
  <c r="PW4" i="19"/>
  <c r="PV4" i="19"/>
  <c r="PU4" i="19"/>
  <c r="PT4" i="19"/>
  <c r="OX28" i="19"/>
  <c r="OW28" i="19"/>
  <c r="OU28" i="19"/>
  <c r="OT28" i="19"/>
  <c r="OS28" i="19"/>
  <c r="OR28" i="19"/>
  <c r="OX24" i="19"/>
  <c r="OW24" i="19"/>
  <c r="OU24" i="19"/>
  <c r="OT24" i="19"/>
  <c r="OS24" i="19"/>
  <c r="OR24" i="19"/>
  <c r="OX22" i="19"/>
  <c r="OW22" i="19"/>
  <c r="OU22" i="19"/>
  <c r="OT22" i="19"/>
  <c r="OS22" i="19"/>
  <c r="OR22" i="19"/>
  <c r="OX30" i="19"/>
  <c r="OW30" i="19"/>
  <c r="OU30" i="19"/>
  <c r="OT30" i="19"/>
  <c r="OS30" i="19"/>
  <c r="OR30" i="19"/>
  <c r="OX21" i="19"/>
  <c r="OW21" i="19"/>
  <c r="OU21" i="19"/>
  <c r="OT21" i="19"/>
  <c r="OS21" i="19"/>
  <c r="OR21" i="19"/>
  <c r="OX25" i="19"/>
  <c r="OW25" i="19"/>
  <c r="OU25" i="19"/>
  <c r="OT25" i="19"/>
  <c r="OS25" i="19"/>
  <c r="OR25" i="19"/>
  <c r="OX29" i="19"/>
  <c r="OW29" i="19"/>
  <c r="OU29" i="19"/>
  <c r="OT29" i="19"/>
  <c r="OS29" i="19"/>
  <c r="OR29" i="19"/>
  <c r="OX31" i="19"/>
  <c r="OW31" i="19"/>
  <c r="OU31" i="19"/>
  <c r="OT31" i="19"/>
  <c r="OS31" i="19"/>
  <c r="OR31" i="19"/>
  <c r="OX32" i="19"/>
  <c r="OW32" i="19"/>
  <c r="OU32" i="19"/>
  <c r="OT32" i="19"/>
  <c r="OS32" i="19"/>
  <c r="OR32" i="19"/>
  <c r="OX27" i="19"/>
  <c r="OW27" i="19"/>
  <c r="OU27" i="19"/>
  <c r="OT27" i="19"/>
  <c r="OS27" i="19"/>
  <c r="OR27" i="19"/>
  <c r="OX8" i="19"/>
  <c r="OW8" i="19"/>
  <c r="OU8" i="19"/>
  <c r="OT8" i="19"/>
  <c r="OS8" i="19"/>
  <c r="OR8" i="19"/>
  <c r="OX17" i="19"/>
  <c r="OW17" i="19"/>
  <c r="OU17" i="19"/>
  <c r="OT17" i="19"/>
  <c r="OS17" i="19"/>
  <c r="OR17" i="19"/>
  <c r="OX33" i="19"/>
  <c r="OW33" i="19"/>
  <c r="OU33" i="19"/>
  <c r="OT33" i="19"/>
  <c r="OS33" i="19"/>
  <c r="OR33" i="19"/>
  <c r="OX11" i="19"/>
  <c r="OW11" i="19"/>
  <c r="OU11" i="19"/>
  <c r="OT11" i="19"/>
  <c r="OS11" i="19"/>
  <c r="OR11" i="19"/>
  <c r="OX13" i="19"/>
  <c r="OW13" i="19"/>
  <c r="OU13" i="19"/>
  <c r="OT13" i="19"/>
  <c r="OS13" i="19"/>
  <c r="OR13" i="19"/>
  <c r="OX15" i="19"/>
  <c r="OW15" i="19"/>
  <c r="OU15" i="19"/>
  <c r="OT15" i="19"/>
  <c r="OS15" i="19"/>
  <c r="OR15" i="19"/>
  <c r="OX20" i="19"/>
  <c r="OW20" i="19"/>
  <c r="OU20" i="19"/>
  <c r="OT20" i="19"/>
  <c r="OS20" i="19"/>
  <c r="OR20" i="19"/>
  <c r="OX14" i="19"/>
  <c r="OW14" i="19"/>
  <c r="OU14" i="19"/>
  <c r="OT14" i="19"/>
  <c r="OS14" i="19"/>
  <c r="OR14" i="19"/>
  <c r="OX5" i="19"/>
  <c r="OW5" i="19"/>
  <c r="OU5" i="19"/>
  <c r="OT5" i="19"/>
  <c r="OS5" i="19"/>
  <c r="OR5" i="19"/>
  <c r="OX12" i="19"/>
  <c r="OW12" i="19"/>
  <c r="OU12" i="19"/>
  <c r="OT12" i="19"/>
  <c r="OS12" i="19"/>
  <c r="OR12" i="19"/>
  <c r="OX18" i="19"/>
  <c r="OW18" i="19"/>
  <c r="OU18" i="19"/>
  <c r="OT18" i="19"/>
  <c r="OS18" i="19"/>
  <c r="OR18" i="19"/>
  <c r="OX10" i="19"/>
  <c r="OW10" i="19"/>
  <c r="OU10" i="19"/>
  <c r="OT10" i="19"/>
  <c r="OS10" i="19"/>
  <c r="OR10" i="19"/>
  <c r="OX7" i="19"/>
  <c r="OW7" i="19"/>
  <c r="OU7" i="19"/>
  <c r="OT7" i="19"/>
  <c r="OS7" i="19"/>
  <c r="OR7" i="19"/>
  <c r="OX4" i="19"/>
  <c r="OW4" i="19"/>
  <c r="OU4" i="19"/>
  <c r="OT4" i="19"/>
  <c r="OS4" i="19"/>
  <c r="OR4" i="19"/>
  <c r="NV28" i="19"/>
  <c r="NU28" i="19"/>
  <c r="NS28" i="19"/>
  <c r="NR28" i="19"/>
  <c r="NQ28" i="19"/>
  <c r="NP28" i="19"/>
  <c r="NV24" i="19"/>
  <c r="NU24" i="19"/>
  <c r="NS24" i="19"/>
  <c r="NR24" i="19"/>
  <c r="NQ24" i="19"/>
  <c r="NP24" i="19"/>
  <c r="NV22" i="19"/>
  <c r="NU22" i="19"/>
  <c r="NS22" i="19"/>
  <c r="NR22" i="19"/>
  <c r="NQ22" i="19"/>
  <c r="NP22" i="19"/>
  <c r="NV30" i="19"/>
  <c r="NU30" i="19"/>
  <c r="NS30" i="19"/>
  <c r="NR30" i="19"/>
  <c r="NQ30" i="19"/>
  <c r="NP30" i="19"/>
  <c r="NV21" i="19"/>
  <c r="NU21" i="19"/>
  <c r="NS21" i="19"/>
  <c r="NR21" i="19"/>
  <c r="NQ21" i="19"/>
  <c r="NP21" i="19"/>
  <c r="NV25" i="19"/>
  <c r="NU25" i="19"/>
  <c r="NS25" i="19"/>
  <c r="NR25" i="19"/>
  <c r="NQ25" i="19"/>
  <c r="NP25" i="19"/>
  <c r="NV29" i="19"/>
  <c r="NU29" i="19"/>
  <c r="NS29" i="19"/>
  <c r="NR29" i="19"/>
  <c r="NQ29" i="19"/>
  <c r="NP29" i="19"/>
  <c r="NV31" i="19"/>
  <c r="NU31" i="19"/>
  <c r="NS31" i="19"/>
  <c r="NR31" i="19"/>
  <c r="NQ31" i="19"/>
  <c r="NP31" i="19"/>
  <c r="NV32" i="19"/>
  <c r="NU32" i="19"/>
  <c r="NS32" i="19"/>
  <c r="NR32" i="19"/>
  <c r="NQ32" i="19"/>
  <c r="NP32" i="19"/>
  <c r="NV27" i="19"/>
  <c r="NU27" i="19"/>
  <c r="NS27" i="19"/>
  <c r="NR27" i="19"/>
  <c r="NQ27" i="19"/>
  <c r="NP27" i="19"/>
  <c r="NV8" i="19"/>
  <c r="NU8" i="19"/>
  <c r="NS8" i="19"/>
  <c r="NR8" i="19"/>
  <c r="NQ8" i="19"/>
  <c r="NP8" i="19"/>
  <c r="NV17" i="19"/>
  <c r="NU17" i="19"/>
  <c r="NS17" i="19"/>
  <c r="NR17" i="19"/>
  <c r="NQ17" i="19"/>
  <c r="NP17" i="19"/>
  <c r="NV33" i="19"/>
  <c r="NU33" i="19"/>
  <c r="NS33" i="19"/>
  <c r="NR33" i="19"/>
  <c r="NQ33" i="19"/>
  <c r="NP33" i="19"/>
  <c r="NV11" i="19"/>
  <c r="NU11" i="19"/>
  <c r="NS11" i="19"/>
  <c r="NR11" i="19"/>
  <c r="NQ11" i="19"/>
  <c r="NP11" i="19"/>
  <c r="NV13" i="19"/>
  <c r="NU13" i="19"/>
  <c r="NS13" i="19"/>
  <c r="NR13" i="19"/>
  <c r="NQ13" i="19"/>
  <c r="NP13" i="19"/>
  <c r="NV15" i="19"/>
  <c r="NU15" i="19"/>
  <c r="NS15" i="19"/>
  <c r="NR15" i="19"/>
  <c r="NQ15" i="19"/>
  <c r="NP15" i="19"/>
  <c r="NV20" i="19"/>
  <c r="NU20" i="19"/>
  <c r="NS20" i="19"/>
  <c r="NR20" i="19"/>
  <c r="NQ20" i="19"/>
  <c r="NP20" i="19"/>
  <c r="NV14" i="19"/>
  <c r="NU14" i="19"/>
  <c r="NS14" i="19"/>
  <c r="NR14" i="19"/>
  <c r="NQ14" i="19"/>
  <c r="NP14" i="19"/>
  <c r="NV5" i="19"/>
  <c r="NU5" i="19"/>
  <c r="NS5" i="19"/>
  <c r="NR5" i="19"/>
  <c r="NQ5" i="19"/>
  <c r="NP5" i="19"/>
  <c r="NV12" i="19"/>
  <c r="NU12" i="19"/>
  <c r="NS12" i="19"/>
  <c r="NR12" i="19"/>
  <c r="NQ12" i="19"/>
  <c r="NP12" i="19"/>
  <c r="NV18" i="19"/>
  <c r="NU18" i="19"/>
  <c r="NS18" i="19"/>
  <c r="NR18" i="19"/>
  <c r="NQ18" i="19"/>
  <c r="NP18" i="19"/>
  <c r="NV10" i="19"/>
  <c r="NU10" i="19"/>
  <c r="NS10" i="19"/>
  <c r="NR10" i="19"/>
  <c r="NQ10" i="19"/>
  <c r="NP10" i="19"/>
  <c r="NV7" i="19"/>
  <c r="NU7" i="19"/>
  <c r="NS7" i="19"/>
  <c r="NR7" i="19"/>
  <c r="NQ7" i="19"/>
  <c r="NP7" i="19"/>
  <c r="NV4" i="19"/>
  <c r="NU4" i="19"/>
  <c r="NS4" i="19"/>
  <c r="NR4" i="19"/>
  <c r="NQ4" i="19"/>
  <c r="NP4" i="19"/>
  <c r="MT28" i="19"/>
  <c r="MS28" i="19"/>
  <c r="MQ28" i="19"/>
  <c r="MP28" i="19"/>
  <c r="MO28" i="19"/>
  <c r="MN28" i="19"/>
  <c r="MT24" i="19"/>
  <c r="MS24" i="19"/>
  <c r="MQ24" i="19"/>
  <c r="MP24" i="19"/>
  <c r="MO24" i="19"/>
  <c r="MN24" i="19"/>
  <c r="MT22" i="19"/>
  <c r="MS22" i="19"/>
  <c r="MQ22" i="19"/>
  <c r="MP22" i="19"/>
  <c r="MO22" i="19"/>
  <c r="MN22" i="19"/>
  <c r="MT30" i="19"/>
  <c r="MS30" i="19"/>
  <c r="MQ30" i="19"/>
  <c r="MP30" i="19"/>
  <c r="MO30" i="19"/>
  <c r="MN30" i="19"/>
  <c r="MT21" i="19"/>
  <c r="MS21" i="19"/>
  <c r="MQ21" i="19"/>
  <c r="MP21" i="19"/>
  <c r="MO21" i="19"/>
  <c r="MN21" i="19"/>
  <c r="MT25" i="19"/>
  <c r="MS25" i="19"/>
  <c r="MQ25" i="19"/>
  <c r="MP25" i="19"/>
  <c r="MO25" i="19"/>
  <c r="MN25" i="19"/>
  <c r="MT29" i="19"/>
  <c r="MS29" i="19"/>
  <c r="MQ29" i="19"/>
  <c r="MP29" i="19"/>
  <c r="MO29" i="19"/>
  <c r="MN29" i="19"/>
  <c r="MT31" i="19"/>
  <c r="MS31" i="19"/>
  <c r="MQ31" i="19"/>
  <c r="MP31" i="19"/>
  <c r="MO31" i="19"/>
  <c r="MN31" i="19"/>
  <c r="MT32" i="19"/>
  <c r="MS32" i="19"/>
  <c r="MQ32" i="19"/>
  <c r="MP32" i="19"/>
  <c r="MO32" i="19"/>
  <c r="MN32" i="19"/>
  <c r="MT27" i="19"/>
  <c r="MS27" i="19"/>
  <c r="MQ27" i="19"/>
  <c r="MP27" i="19"/>
  <c r="MO27" i="19"/>
  <c r="MN27" i="19"/>
  <c r="MT8" i="19"/>
  <c r="MS8" i="19"/>
  <c r="MQ8" i="19"/>
  <c r="MP8" i="19"/>
  <c r="MO8" i="19"/>
  <c r="MN8" i="19"/>
  <c r="MT17" i="19"/>
  <c r="MS17" i="19"/>
  <c r="MQ17" i="19"/>
  <c r="MP17" i="19"/>
  <c r="MO17" i="19"/>
  <c r="MN17" i="19"/>
  <c r="MT33" i="19"/>
  <c r="MS33" i="19"/>
  <c r="MQ33" i="19"/>
  <c r="MP33" i="19"/>
  <c r="MO33" i="19"/>
  <c r="MN33" i="19"/>
  <c r="MT11" i="19"/>
  <c r="MS11" i="19"/>
  <c r="MQ11" i="19"/>
  <c r="MP11" i="19"/>
  <c r="MO11" i="19"/>
  <c r="MN11" i="19"/>
  <c r="MT13" i="19"/>
  <c r="MS13" i="19"/>
  <c r="MQ13" i="19"/>
  <c r="MP13" i="19"/>
  <c r="MO13" i="19"/>
  <c r="MN13" i="19"/>
  <c r="MT15" i="19"/>
  <c r="MS15" i="19"/>
  <c r="MQ15" i="19"/>
  <c r="MP15" i="19"/>
  <c r="MO15" i="19"/>
  <c r="MN15" i="19"/>
  <c r="MT20" i="19"/>
  <c r="MS20" i="19"/>
  <c r="MQ20" i="19"/>
  <c r="MP20" i="19"/>
  <c r="MO20" i="19"/>
  <c r="MN20" i="19"/>
  <c r="MT14" i="19"/>
  <c r="MS14" i="19"/>
  <c r="MQ14" i="19"/>
  <c r="MP14" i="19"/>
  <c r="MO14" i="19"/>
  <c r="MN14" i="19"/>
  <c r="MT5" i="19"/>
  <c r="MS5" i="19"/>
  <c r="MQ5" i="19"/>
  <c r="MP5" i="19"/>
  <c r="MO5" i="19"/>
  <c r="MN5" i="19"/>
  <c r="MT12" i="19"/>
  <c r="MS12" i="19"/>
  <c r="MQ12" i="19"/>
  <c r="MP12" i="19"/>
  <c r="MO12" i="19"/>
  <c r="MN12" i="19"/>
  <c r="MT18" i="19"/>
  <c r="MS18" i="19"/>
  <c r="MQ18" i="19"/>
  <c r="MP18" i="19"/>
  <c r="MO18" i="19"/>
  <c r="MN18" i="19"/>
  <c r="MT10" i="19"/>
  <c r="MS10" i="19"/>
  <c r="MQ10" i="19"/>
  <c r="MP10" i="19"/>
  <c r="MO10" i="19"/>
  <c r="MN10" i="19"/>
  <c r="MT7" i="19"/>
  <c r="MS7" i="19"/>
  <c r="MQ7" i="19"/>
  <c r="MP7" i="19"/>
  <c r="MO7" i="19"/>
  <c r="MN7" i="19"/>
  <c r="MT4" i="19"/>
  <c r="MS4" i="19"/>
  <c r="MQ4" i="19"/>
  <c r="MP4" i="19"/>
  <c r="MO4" i="19"/>
  <c r="MN4" i="19"/>
  <c r="LR28" i="19"/>
  <c r="LQ28" i="19"/>
  <c r="LO28" i="19"/>
  <c r="LN28" i="19"/>
  <c r="LM28" i="19"/>
  <c r="LL28" i="19"/>
  <c r="LR24" i="19"/>
  <c r="LQ24" i="19"/>
  <c r="LO24" i="19"/>
  <c r="LN24" i="19"/>
  <c r="LM24" i="19"/>
  <c r="LL24" i="19"/>
  <c r="LR22" i="19"/>
  <c r="LQ22" i="19"/>
  <c r="LO22" i="19"/>
  <c r="LN22" i="19"/>
  <c r="LM22" i="19"/>
  <c r="LL22" i="19"/>
  <c r="LR30" i="19"/>
  <c r="LQ30" i="19"/>
  <c r="LO30" i="19"/>
  <c r="LN30" i="19"/>
  <c r="LM30" i="19"/>
  <c r="LL30" i="19"/>
  <c r="LR21" i="19"/>
  <c r="LQ21" i="19"/>
  <c r="LO21" i="19"/>
  <c r="LN21" i="19"/>
  <c r="LM21" i="19"/>
  <c r="LL21" i="19"/>
  <c r="LR25" i="19"/>
  <c r="LQ25" i="19"/>
  <c r="LO25" i="19"/>
  <c r="LN25" i="19"/>
  <c r="LM25" i="19"/>
  <c r="LL25" i="19"/>
  <c r="LR29" i="19"/>
  <c r="LQ29" i="19"/>
  <c r="LO29" i="19"/>
  <c r="LN29" i="19"/>
  <c r="LM29" i="19"/>
  <c r="LL29" i="19"/>
  <c r="LR31" i="19"/>
  <c r="LQ31" i="19"/>
  <c r="LO31" i="19"/>
  <c r="LN31" i="19"/>
  <c r="LM31" i="19"/>
  <c r="LL31" i="19"/>
  <c r="LR32" i="19"/>
  <c r="LQ32" i="19"/>
  <c r="LO32" i="19"/>
  <c r="LN32" i="19"/>
  <c r="LM32" i="19"/>
  <c r="LL32" i="19"/>
  <c r="LR27" i="19"/>
  <c r="LQ27" i="19"/>
  <c r="LO27" i="19"/>
  <c r="LN27" i="19"/>
  <c r="LM27" i="19"/>
  <c r="LL27" i="19"/>
  <c r="LR8" i="19"/>
  <c r="LQ8" i="19"/>
  <c r="LO8" i="19"/>
  <c r="LN8" i="19"/>
  <c r="LM8" i="19"/>
  <c r="LL8" i="19"/>
  <c r="LR17" i="19"/>
  <c r="LQ17" i="19"/>
  <c r="LO17" i="19"/>
  <c r="LN17" i="19"/>
  <c r="LM17" i="19"/>
  <c r="LL17" i="19"/>
  <c r="LR33" i="19"/>
  <c r="LQ33" i="19"/>
  <c r="LO33" i="19"/>
  <c r="LN33" i="19"/>
  <c r="LM33" i="19"/>
  <c r="LL33" i="19"/>
  <c r="LR11" i="19"/>
  <c r="LQ11" i="19"/>
  <c r="LO11" i="19"/>
  <c r="LN11" i="19"/>
  <c r="LM11" i="19"/>
  <c r="LL11" i="19"/>
  <c r="LR13" i="19"/>
  <c r="LQ13" i="19"/>
  <c r="LO13" i="19"/>
  <c r="LN13" i="19"/>
  <c r="LM13" i="19"/>
  <c r="LL13" i="19"/>
  <c r="LR15" i="19"/>
  <c r="LQ15" i="19"/>
  <c r="LO15" i="19"/>
  <c r="LN15" i="19"/>
  <c r="LM15" i="19"/>
  <c r="LL15" i="19"/>
  <c r="LR20" i="19"/>
  <c r="LQ20" i="19"/>
  <c r="LO20" i="19"/>
  <c r="LN20" i="19"/>
  <c r="LM20" i="19"/>
  <c r="LL20" i="19"/>
  <c r="LR14" i="19"/>
  <c r="LQ14" i="19"/>
  <c r="LO14" i="19"/>
  <c r="LN14" i="19"/>
  <c r="LM14" i="19"/>
  <c r="LL14" i="19"/>
  <c r="LR5" i="19"/>
  <c r="LQ5" i="19"/>
  <c r="LO5" i="19"/>
  <c r="LN5" i="19"/>
  <c r="LM5" i="19"/>
  <c r="LL5" i="19"/>
  <c r="LR12" i="19"/>
  <c r="LQ12" i="19"/>
  <c r="LO12" i="19"/>
  <c r="LN12" i="19"/>
  <c r="LM12" i="19"/>
  <c r="LL12" i="19"/>
  <c r="LR18" i="19"/>
  <c r="LQ18" i="19"/>
  <c r="LO18" i="19"/>
  <c r="LN18" i="19"/>
  <c r="LM18" i="19"/>
  <c r="LL18" i="19"/>
  <c r="LR10" i="19"/>
  <c r="LQ10" i="19"/>
  <c r="LO10" i="19"/>
  <c r="LN10" i="19"/>
  <c r="LM10" i="19"/>
  <c r="LL10" i="19"/>
  <c r="LR7" i="19"/>
  <c r="LQ7" i="19"/>
  <c r="LO7" i="19"/>
  <c r="LN7" i="19"/>
  <c r="LM7" i="19"/>
  <c r="LL7" i="19"/>
  <c r="LR4" i="19"/>
  <c r="LQ4" i="19"/>
  <c r="LO4" i="19"/>
  <c r="LN4" i="19"/>
  <c r="LM4" i="19"/>
  <c r="LL4" i="19"/>
  <c r="KP28" i="19"/>
  <c r="KO28" i="19"/>
  <c r="KM28" i="19"/>
  <c r="KL28" i="19"/>
  <c r="KK28" i="19"/>
  <c r="KJ28" i="19"/>
  <c r="KP24" i="19"/>
  <c r="KO24" i="19"/>
  <c r="KM24" i="19"/>
  <c r="KL24" i="19"/>
  <c r="KK24" i="19"/>
  <c r="KJ24" i="19"/>
  <c r="KP22" i="19"/>
  <c r="KO22" i="19"/>
  <c r="KM22" i="19"/>
  <c r="KL22" i="19"/>
  <c r="KK22" i="19"/>
  <c r="KJ22" i="19"/>
  <c r="KP30" i="19"/>
  <c r="KO30" i="19"/>
  <c r="KM30" i="19"/>
  <c r="KL30" i="19"/>
  <c r="KK30" i="19"/>
  <c r="KJ30" i="19"/>
  <c r="KP21" i="19"/>
  <c r="KO21" i="19"/>
  <c r="KM21" i="19"/>
  <c r="KL21" i="19"/>
  <c r="KK21" i="19"/>
  <c r="KJ21" i="19"/>
  <c r="KP25" i="19"/>
  <c r="KO25" i="19"/>
  <c r="KM25" i="19"/>
  <c r="KL25" i="19"/>
  <c r="KK25" i="19"/>
  <c r="KJ25" i="19"/>
  <c r="KP29" i="19"/>
  <c r="KO29" i="19"/>
  <c r="KM29" i="19"/>
  <c r="KL29" i="19"/>
  <c r="KK29" i="19"/>
  <c r="KJ29" i="19"/>
  <c r="KP31" i="19"/>
  <c r="KO31" i="19"/>
  <c r="KM31" i="19"/>
  <c r="KL31" i="19"/>
  <c r="KK31" i="19"/>
  <c r="KJ31" i="19"/>
  <c r="KP32" i="19"/>
  <c r="KO32" i="19"/>
  <c r="KM32" i="19"/>
  <c r="KL32" i="19"/>
  <c r="KK32" i="19"/>
  <c r="KJ32" i="19"/>
  <c r="KP27" i="19"/>
  <c r="KO27" i="19"/>
  <c r="KM27" i="19"/>
  <c r="KL27" i="19"/>
  <c r="KK27" i="19"/>
  <c r="KJ27" i="19"/>
  <c r="KP8" i="19"/>
  <c r="KO8" i="19"/>
  <c r="KM8" i="19"/>
  <c r="KL8" i="19"/>
  <c r="KK8" i="19"/>
  <c r="KJ8" i="19"/>
  <c r="KP17" i="19"/>
  <c r="KO17" i="19"/>
  <c r="KM17" i="19"/>
  <c r="KL17" i="19"/>
  <c r="KK17" i="19"/>
  <c r="KJ17" i="19"/>
  <c r="KP33" i="19"/>
  <c r="KO33" i="19"/>
  <c r="KM33" i="19"/>
  <c r="KL33" i="19"/>
  <c r="KK33" i="19"/>
  <c r="KJ33" i="19"/>
  <c r="KP11" i="19"/>
  <c r="KO11" i="19"/>
  <c r="KM11" i="19"/>
  <c r="KL11" i="19"/>
  <c r="KK11" i="19"/>
  <c r="KJ11" i="19"/>
  <c r="KP13" i="19"/>
  <c r="KO13" i="19"/>
  <c r="KM13" i="19"/>
  <c r="KL13" i="19"/>
  <c r="KK13" i="19"/>
  <c r="KJ13" i="19"/>
  <c r="KP15" i="19"/>
  <c r="KO15" i="19"/>
  <c r="KM15" i="19"/>
  <c r="KL15" i="19"/>
  <c r="KK15" i="19"/>
  <c r="KJ15" i="19"/>
  <c r="KP20" i="19"/>
  <c r="KO20" i="19"/>
  <c r="KM20" i="19"/>
  <c r="KL20" i="19"/>
  <c r="KK20" i="19"/>
  <c r="KJ20" i="19"/>
  <c r="KP14" i="19"/>
  <c r="KO14" i="19"/>
  <c r="KM14" i="19"/>
  <c r="KL14" i="19"/>
  <c r="KK14" i="19"/>
  <c r="KJ14" i="19"/>
  <c r="KP5" i="19"/>
  <c r="KO5" i="19"/>
  <c r="KM5" i="19"/>
  <c r="KL5" i="19"/>
  <c r="KK5" i="19"/>
  <c r="KJ5" i="19"/>
  <c r="KP12" i="19"/>
  <c r="KO12" i="19"/>
  <c r="KM12" i="19"/>
  <c r="KL12" i="19"/>
  <c r="KK12" i="19"/>
  <c r="KJ12" i="19"/>
  <c r="KP18" i="19"/>
  <c r="KO18" i="19"/>
  <c r="KM18" i="19"/>
  <c r="KL18" i="19"/>
  <c r="KK18" i="19"/>
  <c r="KJ18" i="19"/>
  <c r="KP10" i="19"/>
  <c r="KO10" i="19"/>
  <c r="KM10" i="19"/>
  <c r="KL10" i="19"/>
  <c r="KK10" i="19"/>
  <c r="KJ10" i="19"/>
  <c r="KP7" i="19"/>
  <c r="KO7" i="19"/>
  <c r="KM7" i="19"/>
  <c r="KL7" i="19"/>
  <c r="KK7" i="19"/>
  <c r="KJ7" i="19"/>
  <c r="KP4" i="19"/>
  <c r="KO4" i="19"/>
  <c r="KM4" i="19"/>
  <c r="KL4" i="19"/>
  <c r="KK4" i="19"/>
  <c r="KJ4" i="19"/>
  <c r="JN28" i="19"/>
  <c r="JM28" i="19"/>
  <c r="JK28" i="19"/>
  <c r="JJ28" i="19"/>
  <c r="JI28" i="19"/>
  <c r="JH28" i="19"/>
  <c r="JN24" i="19"/>
  <c r="JM24" i="19"/>
  <c r="JK24" i="19"/>
  <c r="JJ24" i="19"/>
  <c r="JI24" i="19"/>
  <c r="JH24" i="19"/>
  <c r="JN22" i="19"/>
  <c r="JM22" i="19"/>
  <c r="JK22" i="19"/>
  <c r="JJ22" i="19"/>
  <c r="JI22" i="19"/>
  <c r="JH22" i="19"/>
  <c r="JN30" i="19"/>
  <c r="JM30" i="19"/>
  <c r="JK30" i="19"/>
  <c r="JJ30" i="19"/>
  <c r="JI30" i="19"/>
  <c r="JH30" i="19"/>
  <c r="JN21" i="19"/>
  <c r="JM21" i="19"/>
  <c r="JK21" i="19"/>
  <c r="JJ21" i="19"/>
  <c r="JI21" i="19"/>
  <c r="JH21" i="19"/>
  <c r="JN25" i="19"/>
  <c r="JM25" i="19"/>
  <c r="JK25" i="19"/>
  <c r="JJ25" i="19"/>
  <c r="JI25" i="19"/>
  <c r="JH25" i="19"/>
  <c r="JN29" i="19"/>
  <c r="JM29" i="19"/>
  <c r="JK29" i="19"/>
  <c r="JJ29" i="19"/>
  <c r="JI29" i="19"/>
  <c r="JH29" i="19"/>
  <c r="JN31" i="19"/>
  <c r="JM31" i="19"/>
  <c r="JK31" i="19"/>
  <c r="JJ31" i="19"/>
  <c r="JI31" i="19"/>
  <c r="JH31" i="19"/>
  <c r="JN32" i="19"/>
  <c r="JM32" i="19"/>
  <c r="JK32" i="19"/>
  <c r="JJ32" i="19"/>
  <c r="JI32" i="19"/>
  <c r="JH32" i="19"/>
  <c r="JN27" i="19"/>
  <c r="JM27" i="19"/>
  <c r="JK27" i="19"/>
  <c r="JJ27" i="19"/>
  <c r="JI27" i="19"/>
  <c r="JH27" i="19"/>
  <c r="JN8" i="19"/>
  <c r="JM8" i="19"/>
  <c r="JK8" i="19"/>
  <c r="JJ8" i="19"/>
  <c r="JI8" i="19"/>
  <c r="JH8" i="19"/>
  <c r="JN17" i="19"/>
  <c r="JM17" i="19"/>
  <c r="JK17" i="19"/>
  <c r="JJ17" i="19"/>
  <c r="JI17" i="19"/>
  <c r="JH17" i="19"/>
  <c r="JN33" i="19"/>
  <c r="JM33" i="19"/>
  <c r="JK33" i="19"/>
  <c r="JJ33" i="19"/>
  <c r="JI33" i="19"/>
  <c r="JH33" i="19"/>
  <c r="JN11" i="19"/>
  <c r="JM11" i="19"/>
  <c r="JK11" i="19"/>
  <c r="JJ11" i="19"/>
  <c r="JI11" i="19"/>
  <c r="JH11" i="19"/>
  <c r="JN13" i="19"/>
  <c r="JM13" i="19"/>
  <c r="JK13" i="19"/>
  <c r="JJ13" i="19"/>
  <c r="JI13" i="19"/>
  <c r="JH13" i="19"/>
  <c r="JN15" i="19"/>
  <c r="JM15" i="19"/>
  <c r="JK15" i="19"/>
  <c r="JJ15" i="19"/>
  <c r="JI15" i="19"/>
  <c r="JH15" i="19"/>
  <c r="JN20" i="19"/>
  <c r="JM20" i="19"/>
  <c r="JK20" i="19"/>
  <c r="JJ20" i="19"/>
  <c r="JI20" i="19"/>
  <c r="JH20" i="19"/>
  <c r="JN14" i="19"/>
  <c r="JM14" i="19"/>
  <c r="JK14" i="19"/>
  <c r="JJ14" i="19"/>
  <c r="JI14" i="19"/>
  <c r="JH14" i="19"/>
  <c r="JN5" i="19"/>
  <c r="JM5" i="19"/>
  <c r="JK5" i="19"/>
  <c r="JJ5" i="19"/>
  <c r="JI5" i="19"/>
  <c r="JH5" i="19"/>
  <c r="JN12" i="19"/>
  <c r="JM12" i="19"/>
  <c r="JK12" i="19"/>
  <c r="JJ12" i="19"/>
  <c r="JI12" i="19"/>
  <c r="JH12" i="19"/>
  <c r="JN18" i="19"/>
  <c r="JM18" i="19"/>
  <c r="JK18" i="19"/>
  <c r="JJ18" i="19"/>
  <c r="JI18" i="19"/>
  <c r="JH18" i="19"/>
  <c r="JN10" i="19"/>
  <c r="JM10" i="19"/>
  <c r="JK10" i="19"/>
  <c r="JJ10" i="19"/>
  <c r="JI10" i="19"/>
  <c r="JH10" i="19"/>
  <c r="JN7" i="19"/>
  <c r="JM7" i="19"/>
  <c r="JK7" i="19"/>
  <c r="JJ7" i="19"/>
  <c r="JI7" i="19"/>
  <c r="JH7" i="19"/>
  <c r="JN4" i="19"/>
  <c r="JM4" i="19"/>
  <c r="JK4" i="19"/>
  <c r="JJ4" i="19"/>
  <c r="JI4" i="19"/>
  <c r="JH4" i="19"/>
  <c r="IL28" i="19"/>
  <c r="IK28" i="19"/>
  <c r="II28" i="19"/>
  <c r="IH28" i="19"/>
  <c r="IG28" i="19"/>
  <c r="IF28" i="19"/>
  <c r="IL24" i="19"/>
  <c r="IK24" i="19"/>
  <c r="II24" i="19"/>
  <c r="IH24" i="19"/>
  <c r="IG24" i="19"/>
  <c r="IF24" i="19"/>
  <c r="IL22" i="19"/>
  <c r="IK22" i="19"/>
  <c r="II22" i="19"/>
  <c r="IH22" i="19"/>
  <c r="IG22" i="19"/>
  <c r="IF22" i="19"/>
  <c r="IL30" i="19"/>
  <c r="IK30" i="19"/>
  <c r="II30" i="19"/>
  <c r="IH30" i="19"/>
  <c r="IG30" i="19"/>
  <c r="IF30" i="19"/>
  <c r="IL21" i="19"/>
  <c r="IK21" i="19"/>
  <c r="II21" i="19"/>
  <c r="IH21" i="19"/>
  <c r="IG21" i="19"/>
  <c r="IF21" i="19"/>
  <c r="IL25" i="19"/>
  <c r="IK25" i="19"/>
  <c r="II25" i="19"/>
  <c r="IH25" i="19"/>
  <c r="IG25" i="19"/>
  <c r="IF25" i="19"/>
  <c r="IL29" i="19"/>
  <c r="IK29" i="19"/>
  <c r="II29" i="19"/>
  <c r="IH29" i="19"/>
  <c r="IG29" i="19"/>
  <c r="IF29" i="19"/>
  <c r="IL31" i="19"/>
  <c r="IK31" i="19"/>
  <c r="II31" i="19"/>
  <c r="IH31" i="19"/>
  <c r="IG31" i="19"/>
  <c r="IF31" i="19"/>
  <c r="IL32" i="19"/>
  <c r="IK32" i="19"/>
  <c r="II32" i="19"/>
  <c r="IH32" i="19"/>
  <c r="IG32" i="19"/>
  <c r="IF32" i="19"/>
  <c r="IL27" i="19"/>
  <c r="IK27" i="19"/>
  <c r="II27" i="19"/>
  <c r="IH27" i="19"/>
  <c r="IG27" i="19"/>
  <c r="IF27" i="19"/>
  <c r="IL8" i="19"/>
  <c r="IK8" i="19"/>
  <c r="II8" i="19"/>
  <c r="IH8" i="19"/>
  <c r="IG8" i="19"/>
  <c r="IF8" i="19"/>
  <c r="IL17" i="19"/>
  <c r="IK17" i="19"/>
  <c r="II17" i="19"/>
  <c r="IH17" i="19"/>
  <c r="IG17" i="19"/>
  <c r="IF17" i="19"/>
  <c r="IL33" i="19"/>
  <c r="IK33" i="19"/>
  <c r="II33" i="19"/>
  <c r="IH33" i="19"/>
  <c r="IG33" i="19"/>
  <c r="IF33" i="19"/>
  <c r="IL11" i="19"/>
  <c r="IK11" i="19"/>
  <c r="II11" i="19"/>
  <c r="IH11" i="19"/>
  <c r="IG11" i="19"/>
  <c r="IF11" i="19"/>
  <c r="IL13" i="19"/>
  <c r="IK13" i="19"/>
  <c r="II13" i="19"/>
  <c r="IH13" i="19"/>
  <c r="IG13" i="19"/>
  <c r="IF13" i="19"/>
  <c r="IL15" i="19"/>
  <c r="IK15" i="19"/>
  <c r="II15" i="19"/>
  <c r="IH15" i="19"/>
  <c r="IG15" i="19"/>
  <c r="IF15" i="19"/>
  <c r="IL20" i="19"/>
  <c r="IK20" i="19"/>
  <c r="II20" i="19"/>
  <c r="IH20" i="19"/>
  <c r="IG20" i="19"/>
  <c r="IF20" i="19"/>
  <c r="IL14" i="19"/>
  <c r="IK14" i="19"/>
  <c r="II14" i="19"/>
  <c r="IH14" i="19"/>
  <c r="IG14" i="19"/>
  <c r="IF14" i="19"/>
  <c r="IL5" i="19"/>
  <c r="IK5" i="19"/>
  <c r="II5" i="19"/>
  <c r="IH5" i="19"/>
  <c r="IG5" i="19"/>
  <c r="IF5" i="19"/>
  <c r="IL12" i="19"/>
  <c r="IK12" i="19"/>
  <c r="II12" i="19"/>
  <c r="IH12" i="19"/>
  <c r="IG12" i="19"/>
  <c r="IF12" i="19"/>
  <c r="IL18" i="19"/>
  <c r="IK18" i="19"/>
  <c r="II18" i="19"/>
  <c r="IH18" i="19"/>
  <c r="IG18" i="19"/>
  <c r="IF18" i="19"/>
  <c r="IL10" i="19"/>
  <c r="IK10" i="19"/>
  <c r="II10" i="19"/>
  <c r="IH10" i="19"/>
  <c r="IG10" i="19"/>
  <c r="IF10" i="19"/>
  <c r="IL7" i="19"/>
  <c r="IK7" i="19"/>
  <c r="II7" i="19"/>
  <c r="IH7" i="19"/>
  <c r="IG7" i="19"/>
  <c r="IF7" i="19"/>
  <c r="IL4" i="19"/>
  <c r="IK4" i="19"/>
  <c r="II4" i="19"/>
  <c r="IH4" i="19"/>
  <c r="IG4" i="19"/>
  <c r="IF4" i="19"/>
  <c r="HJ28" i="19"/>
  <c r="HI28" i="19"/>
  <c r="HG28" i="19"/>
  <c r="HF28" i="19"/>
  <c r="HE28" i="19"/>
  <c r="HD28" i="19"/>
  <c r="HJ24" i="19"/>
  <c r="HI24" i="19"/>
  <c r="HG24" i="19"/>
  <c r="HF24" i="19"/>
  <c r="HE24" i="19"/>
  <c r="HD24" i="19"/>
  <c r="HJ22" i="19"/>
  <c r="HI22" i="19"/>
  <c r="HG22" i="19"/>
  <c r="HF22" i="19"/>
  <c r="HE22" i="19"/>
  <c r="HD22" i="19"/>
  <c r="HJ30" i="19"/>
  <c r="HI30" i="19"/>
  <c r="HG30" i="19"/>
  <c r="HF30" i="19"/>
  <c r="HE30" i="19"/>
  <c r="HD30" i="19"/>
  <c r="HJ21" i="19"/>
  <c r="HI21" i="19"/>
  <c r="HG21" i="19"/>
  <c r="HF21" i="19"/>
  <c r="HE21" i="19"/>
  <c r="HD21" i="19"/>
  <c r="HJ25" i="19"/>
  <c r="HI25" i="19"/>
  <c r="HG25" i="19"/>
  <c r="HF25" i="19"/>
  <c r="HE25" i="19"/>
  <c r="HD25" i="19"/>
  <c r="HJ29" i="19"/>
  <c r="HI29" i="19"/>
  <c r="HG29" i="19"/>
  <c r="HF29" i="19"/>
  <c r="HE29" i="19"/>
  <c r="HD29" i="19"/>
  <c r="HJ31" i="19"/>
  <c r="HI31" i="19"/>
  <c r="HG31" i="19"/>
  <c r="HF31" i="19"/>
  <c r="HE31" i="19"/>
  <c r="HD31" i="19"/>
  <c r="HJ32" i="19"/>
  <c r="HI32" i="19"/>
  <c r="HG32" i="19"/>
  <c r="HF32" i="19"/>
  <c r="HE32" i="19"/>
  <c r="HD32" i="19"/>
  <c r="HJ27" i="19"/>
  <c r="HI27" i="19"/>
  <c r="HG27" i="19"/>
  <c r="HF27" i="19"/>
  <c r="HE27" i="19"/>
  <c r="HD27" i="19"/>
  <c r="HJ8" i="19"/>
  <c r="HI8" i="19"/>
  <c r="HG8" i="19"/>
  <c r="HF8" i="19"/>
  <c r="HE8" i="19"/>
  <c r="HD8" i="19"/>
  <c r="HJ17" i="19"/>
  <c r="HI17" i="19"/>
  <c r="HG17" i="19"/>
  <c r="HF17" i="19"/>
  <c r="HE17" i="19"/>
  <c r="HD17" i="19"/>
  <c r="HJ33" i="19"/>
  <c r="HI33" i="19"/>
  <c r="HG33" i="19"/>
  <c r="HF33" i="19"/>
  <c r="HE33" i="19"/>
  <c r="HD33" i="19"/>
  <c r="HJ11" i="19"/>
  <c r="HI11" i="19"/>
  <c r="HG11" i="19"/>
  <c r="HF11" i="19"/>
  <c r="HE11" i="19"/>
  <c r="HD11" i="19"/>
  <c r="HJ13" i="19"/>
  <c r="HI13" i="19"/>
  <c r="HG13" i="19"/>
  <c r="HF13" i="19"/>
  <c r="HE13" i="19"/>
  <c r="HD13" i="19"/>
  <c r="HJ15" i="19"/>
  <c r="HI15" i="19"/>
  <c r="HG15" i="19"/>
  <c r="HF15" i="19"/>
  <c r="HE15" i="19"/>
  <c r="HD15" i="19"/>
  <c r="HJ20" i="19"/>
  <c r="HI20" i="19"/>
  <c r="HG20" i="19"/>
  <c r="HF20" i="19"/>
  <c r="HE20" i="19"/>
  <c r="HD20" i="19"/>
  <c r="HJ14" i="19"/>
  <c r="HI14" i="19"/>
  <c r="HG14" i="19"/>
  <c r="HF14" i="19"/>
  <c r="HE14" i="19"/>
  <c r="HD14" i="19"/>
  <c r="HJ5" i="19"/>
  <c r="HI5" i="19"/>
  <c r="HG5" i="19"/>
  <c r="HF5" i="19"/>
  <c r="HE5" i="19"/>
  <c r="HD5" i="19"/>
  <c r="HJ12" i="19"/>
  <c r="HI12" i="19"/>
  <c r="HG12" i="19"/>
  <c r="HF12" i="19"/>
  <c r="HE12" i="19"/>
  <c r="HD12" i="19"/>
  <c r="HJ18" i="19"/>
  <c r="HI18" i="19"/>
  <c r="HG18" i="19"/>
  <c r="HF18" i="19"/>
  <c r="HE18" i="19"/>
  <c r="HD18" i="19"/>
  <c r="HJ10" i="19"/>
  <c r="HI10" i="19"/>
  <c r="HG10" i="19"/>
  <c r="HF10" i="19"/>
  <c r="HE10" i="19"/>
  <c r="HD10" i="19"/>
  <c r="HJ7" i="19"/>
  <c r="HI7" i="19"/>
  <c r="HG7" i="19"/>
  <c r="HF7" i="19"/>
  <c r="HE7" i="19"/>
  <c r="HD7" i="19"/>
  <c r="HJ4" i="19"/>
  <c r="HI4" i="19"/>
  <c r="HG4" i="19"/>
  <c r="HF4" i="19"/>
  <c r="HE4" i="19"/>
  <c r="HD4" i="19"/>
  <c r="GH28" i="19"/>
  <c r="GG28" i="19"/>
  <c r="GE28" i="19"/>
  <c r="GD28" i="19"/>
  <c r="GC28" i="19"/>
  <c r="GB28" i="19"/>
  <c r="GH24" i="19"/>
  <c r="GG24" i="19"/>
  <c r="GE24" i="19"/>
  <c r="GD24" i="19"/>
  <c r="GC24" i="19"/>
  <c r="GB24" i="19"/>
  <c r="GH22" i="19"/>
  <c r="GG22" i="19"/>
  <c r="GE22" i="19"/>
  <c r="GD22" i="19"/>
  <c r="GC22" i="19"/>
  <c r="GB22" i="19"/>
  <c r="GH30" i="19"/>
  <c r="GG30" i="19"/>
  <c r="GE30" i="19"/>
  <c r="GD30" i="19"/>
  <c r="GC30" i="19"/>
  <c r="GB30" i="19"/>
  <c r="GH21" i="19"/>
  <c r="GG21" i="19"/>
  <c r="GE21" i="19"/>
  <c r="GD21" i="19"/>
  <c r="GC21" i="19"/>
  <c r="GB21" i="19"/>
  <c r="GH25" i="19"/>
  <c r="GG25" i="19"/>
  <c r="GE25" i="19"/>
  <c r="GD25" i="19"/>
  <c r="GC25" i="19"/>
  <c r="GB25" i="19"/>
  <c r="GH29" i="19"/>
  <c r="GG29" i="19"/>
  <c r="GE29" i="19"/>
  <c r="GD29" i="19"/>
  <c r="GC29" i="19"/>
  <c r="GB29" i="19"/>
  <c r="GH31" i="19"/>
  <c r="GG31" i="19"/>
  <c r="GE31" i="19"/>
  <c r="GD31" i="19"/>
  <c r="GC31" i="19"/>
  <c r="GB31" i="19"/>
  <c r="GH32" i="19"/>
  <c r="GG32" i="19"/>
  <c r="GE32" i="19"/>
  <c r="GD32" i="19"/>
  <c r="GC32" i="19"/>
  <c r="GB32" i="19"/>
  <c r="GH27" i="19"/>
  <c r="GG27" i="19"/>
  <c r="GE27" i="19"/>
  <c r="GD27" i="19"/>
  <c r="GC27" i="19"/>
  <c r="GB27" i="19"/>
  <c r="GH8" i="19"/>
  <c r="GG8" i="19"/>
  <c r="GE8" i="19"/>
  <c r="GD8" i="19"/>
  <c r="GC8" i="19"/>
  <c r="GB8" i="19"/>
  <c r="GH17" i="19"/>
  <c r="GG17" i="19"/>
  <c r="GE17" i="19"/>
  <c r="GD17" i="19"/>
  <c r="GC17" i="19"/>
  <c r="GB17" i="19"/>
  <c r="GH33" i="19"/>
  <c r="GG33" i="19"/>
  <c r="GE33" i="19"/>
  <c r="GD33" i="19"/>
  <c r="GC33" i="19"/>
  <c r="GB33" i="19"/>
  <c r="GH11" i="19"/>
  <c r="GG11" i="19"/>
  <c r="GE11" i="19"/>
  <c r="GD11" i="19"/>
  <c r="GC11" i="19"/>
  <c r="GB11" i="19"/>
  <c r="GH13" i="19"/>
  <c r="GG13" i="19"/>
  <c r="GE13" i="19"/>
  <c r="GD13" i="19"/>
  <c r="GC13" i="19"/>
  <c r="GB13" i="19"/>
  <c r="GH15" i="19"/>
  <c r="GG15" i="19"/>
  <c r="GE15" i="19"/>
  <c r="GD15" i="19"/>
  <c r="GC15" i="19"/>
  <c r="GB15" i="19"/>
  <c r="GH20" i="19"/>
  <c r="GG20" i="19"/>
  <c r="GE20" i="19"/>
  <c r="GD20" i="19"/>
  <c r="GC20" i="19"/>
  <c r="GB20" i="19"/>
  <c r="GH14" i="19"/>
  <c r="GG14" i="19"/>
  <c r="GE14" i="19"/>
  <c r="GD14" i="19"/>
  <c r="GC14" i="19"/>
  <c r="GB14" i="19"/>
  <c r="GH5" i="19"/>
  <c r="GG5" i="19"/>
  <c r="GE5" i="19"/>
  <c r="GD5" i="19"/>
  <c r="GC5" i="19"/>
  <c r="GB5" i="19"/>
  <c r="GH12" i="19"/>
  <c r="GG12" i="19"/>
  <c r="GE12" i="19"/>
  <c r="GD12" i="19"/>
  <c r="GC12" i="19"/>
  <c r="GB12" i="19"/>
  <c r="GH18" i="19"/>
  <c r="GG18" i="19"/>
  <c r="GE18" i="19"/>
  <c r="GD18" i="19"/>
  <c r="GC18" i="19"/>
  <c r="GB18" i="19"/>
  <c r="GH10" i="19"/>
  <c r="GG10" i="19"/>
  <c r="GE10" i="19"/>
  <c r="GD10" i="19"/>
  <c r="GC10" i="19"/>
  <c r="GB10" i="19"/>
  <c r="GH7" i="19"/>
  <c r="GG7" i="19"/>
  <c r="GE7" i="19"/>
  <c r="GD7" i="19"/>
  <c r="GC7" i="19"/>
  <c r="GB7" i="19"/>
  <c r="GH4" i="19"/>
  <c r="GG4" i="19"/>
  <c r="GE4" i="19"/>
  <c r="GD4" i="19"/>
  <c r="GC4" i="19"/>
  <c r="GB4" i="19"/>
  <c r="FF28" i="19"/>
  <c r="FE28" i="19"/>
  <c r="FC28" i="19"/>
  <c r="FB28" i="19"/>
  <c r="FA28" i="19"/>
  <c r="EZ28" i="19"/>
  <c r="FF24" i="19"/>
  <c r="FE24" i="19"/>
  <c r="FC24" i="19"/>
  <c r="FB24" i="19"/>
  <c r="FA24" i="19"/>
  <c r="EZ24" i="19"/>
  <c r="FF22" i="19"/>
  <c r="FE22" i="19"/>
  <c r="FC22" i="19"/>
  <c r="FB22" i="19"/>
  <c r="FA22" i="19"/>
  <c r="EZ22" i="19"/>
  <c r="FF30" i="19"/>
  <c r="FE30" i="19"/>
  <c r="FC30" i="19"/>
  <c r="FB30" i="19"/>
  <c r="FA30" i="19"/>
  <c r="EZ30" i="19"/>
  <c r="FF21" i="19"/>
  <c r="FE21" i="19"/>
  <c r="FC21" i="19"/>
  <c r="FB21" i="19"/>
  <c r="FA21" i="19"/>
  <c r="EZ21" i="19"/>
  <c r="FF25" i="19"/>
  <c r="FE25" i="19"/>
  <c r="FC25" i="19"/>
  <c r="FB25" i="19"/>
  <c r="FA25" i="19"/>
  <c r="EZ25" i="19"/>
  <c r="FF29" i="19"/>
  <c r="FE29" i="19"/>
  <c r="FC29" i="19"/>
  <c r="FB29" i="19"/>
  <c r="FA29" i="19"/>
  <c r="EZ29" i="19"/>
  <c r="FF31" i="19"/>
  <c r="FE31" i="19"/>
  <c r="FC31" i="19"/>
  <c r="FB31" i="19"/>
  <c r="FA31" i="19"/>
  <c r="EZ31" i="19"/>
  <c r="FF32" i="19"/>
  <c r="FE32" i="19"/>
  <c r="FC32" i="19"/>
  <c r="FB32" i="19"/>
  <c r="FA32" i="19"/>
  <c r="EZ32" i="19"/>
  <c r="FF27" i="19"/>
  <c r="FE27" i="19"/>
  <c r="FC27" i="19"/>
  <c r="FB27" i="19"/>
  <c r="FA27" i="19"/>
  <c r="EZ27" i="19"/>
  <c r="FF8" i="19"/>
  <c r="FE8" i="19"/>
  <c r="FC8" i="19"/>
  <c r="FB8" i="19"/>
  <c r="FA8" i="19"/>
  <c r="EZ8" i="19"/>
  <c r="FF17" i="19"/>
  <c r="FE17" i="19"/>
  <c r="FC17" i="19"/>
  <c r="FB17" i="19"/>
  <c r="FA17" i="19"/>
  <c r="EZ17" i="19"/>
  <c r="FF33" i="19"/>
  <c r="FE33" i="19"/>
  <c r="FC33" i="19"/>
  <c r="FB33" i="19"/>
  <c r="FA33" i="19"/>
  <c r="EZ33" i="19"/>
  <c r="FF11" i="19"/>
  <c r="FE11" i="19"/>
  <c r="FC11" i="19"/>
  <c r="FB11" i="19"/>
  <c r="FA11" i="19"/>
  <c r="EZ11" i="19"/>
  <c r="FF13" i="19"/>
  <c r="FE13" i="19"/>
  <c r="FC13" i="19"/>
  <c r="FB13" i="19"/>
  <c r="FA13" i="19"/>
  <c r="EZ13" i="19"/>
  <c r="FF15" i="19"/>
  <c r="FE15" i="19"/>
  <c r="FC15" i="19"/>
  <c r="FB15" i="19"/>
  <c r="FA15" i="19"/>
  <c r="EZ15" i="19"/>
  <c r="FF20" i="19"/>
  <c r="FE20" i="19"/>
  <c r="FC20" i="19"/>
  <c r="FB20" i="19"/>
  <c r="FA20" i="19"/>
  <c r="EZ20" i="19"/>
  <c r="FF14" i="19"/>
  <c r="FE14" i="19"/>
  <c r="FC14" i="19"/>
  <c r="FB14" i="19"/>
  <c r="FA14" i="19"/>
  <c r="EZ14" i="19"/>
  <c r="FF5" i="19"/>
  <c r="FE5" i="19"/>
  <c r="FC5" i="19"/>
  <c r="FB5" i="19"/>
  <c r="FA5" i="19"/>
  <c r="EZ5" i="19"/>
  <c r="FF12" i="19"/>
  <c r="FE12" i="19"/>
  <c r="FC12" i="19"/>
  <c r="FB12" i="19"/>
  <c r="FA12" i="19"/>
  <c r="EZ12" i="19"/>
  <c r="FF18" i="19"/>
  <c r="FE18" i="19"/>
  <c r="FC18" i="19"/>
  <c r="FB18" i="19"/>
  <c r="FA18" i="19"/>
  <c r="EZ18" i="19"/>
  <c r="FF10" i="19"/>
  <c r="FE10" i="19"/>
  <c r="FC10" i="19"/>
  <c r="FB10" i="19"/>
  <c r="FA10" i="19"/>
  <c r="EZ10" i="19"/>
  <c r="FF7" i="19"/>
  <c r="FE7" i="19"/>
  <c r="FC7" i="19"/>
  <c r="FB7" i="19"/>
  <c r="FA7" i="19"/>
  <c r="EZ7" i="19"/>
  <c r="FF4" i="19"/>
  <c r="FE4" i="19"/>
  <c r="FC4" i="19"/>
  <c r="FB4" i="19"/>
  <c r="FA4" i="19"/>
  <c r="EZ4" i="19"/>
  <c r="ED28" i="19"/>
  <c r="EC28" i="19"/>
  <c r="EA28" i="19"/>
  <c r="DZ28" i="19"/>
  <c r="DY28" i="19"/>
  <c r="DX28" i="19"/>
  <c r="ED24" i="19"/>
  <c r="EC24" i="19"/>
  <c r="EA24" i="19"/>
  <c r="DZ24" i="19"/>
  <c r="DY24" i="19"/>
  <c r="DX24" i="19"/>
  <c r="ED22" i="19"/>
  <c r="EC22" i="19"/>
  <c r="EA22" i="19"/>
  <c r="DZ22" i="19"/>
  <c r="DY22" i="19"/>
  <c r="DX22" i="19"/>
  <c r="ED30" i="19"/>
  <c r="EC30" i="19"/>
  <c r="EA30" i="19"/>
  <c r="DZ30" i="19"/>
  <c r="DY30" i="19"/>
  <c r="DX30" i="19"/>
  <c r="ED21" i="19"/>
  <c r="EC21" i="19"/>
  <c r="EA21" i="19"/>
  <c r="DZ21" i="19"/>
  <c r="DY21" i="19"/>
  <c r="DX21" i="19"/>
  <c r="ED25" i="19"/>
  <c r="EC25" i="19"/>
  <c r="EA25" i="19"/>
  <c r="DZ25" i="19"/>
  <c r="DY25" i="19"/>
  <c r="DX25" i="19"/>
  <c r="ED29" i="19"/>
  <c r="EC29" i="19"/>
  <c r="EA29" i="19"/>
  <c r="DZ29" i="19"/>
  <c r="DY29" i="19"/>
  <c r="DX29" i="19"/>
  <c r="ED31" i="19"/>
  <c r="EC31" i="19"/>
  <c r="EA31" i="19"/>
  <c r="DZ31" i="19"/>
  <c r="DY31" i="19"/>
  <c r="DX31" i="19"/>
  <c r="ED32" i="19"/>
  <c r="EC32" i="19"/>
  <c r="EA32" i="19"/>
  <c r="DZ32" i="19"/>
  <c r="DY32" i="19"/>
  <c r="DX32" i="19"/>
  <c r="ED27" i="19"/>
  <c r="EC27" i="19"/>
  <c r="EA27" i="19"/>
  <c r="DZ27" i="19"/>
  <c r="DY27" i="19"/>
  <c r="DX27" i="19"/>
  <c r="ED8" i="19"/>
  <c r="EC8" i="19"/>
  <c r="EA8" i="19"/>
  <c r="DZ8" i="19"/>
  <c r="DY8" i="19"/>
  <c r="DX8" i="19"/>
  <c r="ED17" i="19"/>
  <c r="EC17" i="19"/>
  <c r="EA17" i="19"/>
  <c r="DZ17" i="19"/>
  <c r="DY17" i="19"/>
  <c r="DX17" i="19"/>
  <c r="ED33" i="19"/>
  <c r="EC33" i="19"/>
  <c r="EA33" i="19"/>
  <c r="DZ33" i="19"/>
  <c r="DY33" i="19"/>
  <c r="DX33" i="19"/>
  <c r="ED11" i="19"/>
  <c r="EC11" i="19"/>
  <c r="EA11" i="19"/>
  <c r="DZ11" i="19"/>
  <c r="DY11" i="19"/>
  <c r="DX11" i="19"/>
  <c r="ED13" i="19"/>
  <c r="EC13" i="19"/>
  <c r="EA13" i="19"/>
  <c r="DZ13" i="19"/>
  <c r="DY13" i="19"/>
  <c r="DX13" i="19"/>
  <c r="ED15" i="19"/>
  <c r="EC15" i="19"/>
  <c r="EA15" i="19"/>
  <c r="DZ15" i="19"/>
  <c r="DY15" i="19"/>
  <c r="DX15" i="19"/>
  <c r="ED20" i="19"/>
  <c r="EC20" i="19"/>
  <c r="EA20" i="19"/>
  <c r="DZ20" i="19"/>
  <c r="DY20" i="19"/>
  <c r="DX20" i="19"/>
  <c r="ED14" i="19"/>
  <c r="EC14" i="19"/>
  <c r="EA14" i="19"/>
  <c r="DZ14" i="19"/>
  <c r="DY14" i="19"/>
  <c r="DX14" i="19"/>
  <c r="ED5" i="19"/>
  <c r="EC5" i="19"/>
  <c r="EA5" i="19"/>
  <c r="DZ5" i="19"/>
  <c r="DY5" i="19"/>
  <c r="DX5" i="19"/>
  <c r="ED12" i="19"/>
  <c r="EC12" i="19"/>
  <c r="EA12" i="19"/>
  <c r="DZ12" i="19"/>
  <c r="DY12" i="19"/>
  <c r="DX12" i="19"/>
  <c r="ED18" i="19"/>
  <c r="EC18" i="19"/>
  <c r="EA18" i="19"/>
  <c r="DZ18" i="19"/>
  <c r="DY18" i="19"/>
  <c r="DX18" i="19"/>
  <c r="ED10" i="19"/>
  <c r="EC10" i="19"/>
  <c r="EA10" i="19"/>
  <c r="DZ10" i="19"/>
  <c r="DY10" i="19"/>
  <c r="DX10" i="19"/>
  <c r="ED7" i="19"/>
  <c r="EC7" i="19"/>
  <c r="EA7" i="19"/>
  <c r="DZ7" i="19"/>
  <c r="DY7" i="19"/>
  <c r="DX7" i="19"/>
  <c r="ED4" i="19"/>
  <c r="EC4" i="19"/>
  <c r="EA4" i="19"/>
  <c r="DZ4" i="19"/>
  <c r="DY4" i="19"/>
  <c r="DX4" i="19"/>
  <c r="SD12" i="27"/>
  <c r="SC12" i="27"/>
  <c r="SA12" i="27"/>
  <c r="RZ12" i="27"/>
  <c r="RY12" i="27"/>
  <c r="RX12" i="27"/>
  <c r="SD16" i="27"/>
  <c r="SC16" i="27"/>
  <c r="SA16" i="27"/>
  <c r="RZ16" i="27"/>
  <c r="RY16" i="27"/>
  <c r="RX16" i="27"/>
  <c r="SD8" i="27"/>
  <c r="SC8" i="27"/>
  <c r="SA8" i="27"/>
  <c r="RZ8" i="27"/>
  <c r="RY8" i="27"/>
  <c r="RX8" i="27"/>
  <c r="SD14" i="27"/>
  <c r="SC14" i="27"/>
  <c r="SA14" i="27"/>
  <c r="RZ14" i="27"/>
  <c r="RY14" i="27"/>
  <c r="RX14" i="27"/>
  <c r="SD13" i="27"/>
  <c r="SC13" i="27"/>
  <c r="SA13" i="27"/>
  <c r="RZ13" i="27"/>
  <c r="RY13" i="27"/>
  <c r="RX13" i="27"/>
  <c r="SD9" i="27"/>
  <c r="SC9" i="27"/>
  <c r="SA9" i="27"/>
  <c r="RZ9" i="27"/>
  <c r="RY9" i="27"/>
  <c r="RX9" i="27"/>
  <c r="SD15" i="27"/>
  <c r="SC15" i="27"/>
  <c r="SA15" i="27"/>
  <c r="RZ15" i="27"/>
  <c r="RY15" i="27"/>
  <c r="RX15" i="27"/>
  <c r="SD10" i="27"/>
  <c r="SC10" i="27"/>
  <c r="SA10" i="27"/>
  <c r="RZ10" i="27"/>
  <c r="RY10" i="27"/>
  <c r="RX10" i="27"/>
  <c r="SD7" i="27"/>
  <c r="SC7" i="27"/>
  <c r="SA7" i="27"/>
  <c r="RZ7" i="27"/>
  <c r="RY7" i="27"/>
  <c r="RX7" i="27"/>
  <c r="SD4" i="27"/>
  <c r="SC4" i="27"/>
  <c r="SA4" i="27"/>
  <c r="RZ4" i="27"/>
  <c r="RY4" i="27"/>
  <c r="RX4" i="27"/>
  <c r="SD6" i="27"/>
  <c r="SC6" i="27"/>
  <c r="SA6" i="27"/>
  <c r="RZ6" i="27"/>
  <c r="RY6" i="27"/>
  <c r="RX6" i="27"/>
  <c r="SD5" i="27"/>
  <c r="SC5" i="27"/>
  <c r="SA5" i="27"/>
  <c r="RZ5" i="27"/>
  <c r="RY5" i="27"/>
  <c r="RX5" i="27"/>
  <c r="RB12" i="27"/>
  <c r="RA12" i="27"/>
  <c r="QY12" i="27"/>
  <c r="QX12" i="27"/>
  <c r="QW12" i="27"/>
  <c r="QV12" i="27"/>
  <c r="RB16" i="27"/>
  <c r="RA16" i="27"/>
  <c r="QY16" i="27"/>
  <c r="QX16" i="27"/>
  <c r="QW16" i="27"/>
  <c r="QV16" i="27"/>
  <c r="RB8" i="27"/>
  <c r="RA8" i="27"/>
  <c r="QY8" i="27"/>
  <c r="QX8" i="27"/>
  <c r="QW8" i="27"/>
  <c r="QV8" i="27"/>
  <c r="RB14" i="27"/>
  <c r="RA14" i="27"/>
  <c r="QY14" i="27"/>
  <c r="QX14" i="27"/>
  <c r="QW14" i="27"/>
  <c r="QV14" i="27"/>
  <c r="RB13" i="27"/>
  <c r="RA13" i="27"/>
  <c r="QY13" i="27"/>
  <c r="QX13" i="27"/>
  <c r="QW13" i="27"/>
  <c r="QV13" i="27"/>
  <c r="RB9" i="27"/>
  <c r="RA9" i="27"/>
  <c r="QY9" i="27"/>
  <c r="QX9" i="27"/>
  <c r="QW9" i="27"/>
  <c r="QV9" i="27"/>
  <c r="RB15" i="27"/>
  <c r="RA15" i="27"/>
  <c r="QY15" i="27"/>
  <c r="QX15" i="27"/>
  <c r="QW15" i="27"/>
  <c r="QV15" i="27"/>
  <c r="RB10" i="27"/>
  <c r="RA10" i="27"/>
  <c r="QY10" i="27"/>
  <c r="QX10" i="27"/>
  <c r="QW10" i="27"/>
  <c r="QV10" i="27"/>
  <c r="RB7" i="27"/>
  <c r="RA7" i="27"/>
  <c r="QY7" i="27"/>
  <c r="QX7" i="27"/>
  <c r="QW7" i="27"/>
  <c r="QV7" i="27"/>
  <c r="RB4" i="27"/>
  <c r="RA4" i="27"/>
  <c r="QY4" i="27"/>
  <c r="QX4" i="27"/>
  <c r="QW4" i="27"/>
  <c r="QV4" i="27"/>
  <c r="RB6" i="27"/>
  <c r="RA6" i="27"/>
  <c r="QY6" i="27"/>
  <c r="QX6" i="27"/>
  <c r="QW6" i="27"/>
  <c r="QV6" i="27"/>
  <c r="RB5" i="27"/>
  <c r="RA5" i="27"/>
  <c r="QY5" i="27"/>
  <c r="QX5" i="27"/>
  <c r="QW5" i="27"/>
  <c r="QV5" i="27"/>
  <c r="PZ12" i="27"/>
  <c r="PY12" i="27"/>
  <c r="PW12" i="27"/>
  <c r="PV12" i="27"/>
  <c r="PU12" i="27"/>
  <c r="PT12" i="27"/>
  <c r="PZ16" i="27"/>
  <c r="PY16" i="27"/>
  <c r="PW16" i="27"/>
  <c r="PV16" i="27"/>
  <c r="PU16" i="27"/>
  <c r="PT16" i="27"/>
  <c r="PZ8" i="27"/>
  <c r="PY8" i="27"/>
  <c r="PW8" i="27"/>
  <c r="PV8" i="27"/>
  <c r="PU8" i="27"/>
  <c r="PT8" i="27"/>
  <c r="PZ14" i="27"/>
  <c r="PY14" i="27"/>
  <c r="PW14" i="27"/>
  <c r="PV14" i="27"/>
  <c r="PU14" i="27"/>
  <c r="PT14" i="27"/>
  <c r="PZ13" i="27"/>
  <c r="PY13" i="27"/>
  <c r="PW13" i="27"/>
  <c r="PV13" i="27"/>
  <c r="PU13" i="27"/>
  <c r="PT13" i="27"/>
  <c r="PZ9" i="27"/>
  <c r="PY9" i="27"/>
  <c r="PW9" i="27"/>
  <c r="PV9" i="27"/>
  <c r="PU9" i="27"/>
  <c r="PT9" i="27"/>
  <c r="PZ15" i="27"/>
  <c r="PY15" i="27"/>
  <c r="PW15" i="27"/>
  <c r="PV15" i="27"/>
  <c r="PU15" i="27"/>
  <c r="PT15" i="27"/>
  <c r="PZ10" i="27"/>
  <c r="PY10" i="27"/>
  <c r="PW10" i="27"/>
  <c r="PV10" i="27"/>
  <c r="PU10" i="27"/>
  <c r="PT10" i="27"/>
  <c r="PZ7" i="27"/>
  <c r="PY7" i="27"/>
  <c r="PW7" i="27"/>
  <c r="PV7" i="27"/>
  <c r="PU7" i="27"/>
  <c r="PT7" i="27"/>
  <c r="PZ4" i="27"/>
  <c r="PY4" i="27"/>
  <c r="PW4" i="27"/>
  <c r="PV4" i="27"/>
  <c r="PU4" i="27"/>
  <c r="PT4" i="27"/>
  <c r="PZ6" i="27"/>
  <c r="PY6" i="27"/>
  <c r="PW6" i="27"/>
  <c r="PV6" i="27"/>
  <c r="PU6" i="27"/>
  <c r="PT6" i="27"/>
  <c r="PZ5" i="27"/>
  <c r="PY5" i="27"/>
  <c r="PW5" i="27"/>
  <c r="PV5" i="27"/>
  <c r="PU5" i="27"/>
  <c r="PT5" i="27"/>
  <c r="OX12" i="27"/>
  <c r="OW12" i="27"/>
  <c r="OU12" i="27"/>
  <c r="OT12" i="27"/>
  <c r="OS12" i="27"/>
  <c r="OR12" i="27"/>
  <c r="OX16" i="27"/>
  <c r="OW16" i="27"/>
  <c r="OU16" i="27"/>
  <c r="OT16" i="27"/>
  <c r="OS16" i="27"/>
  <c r="OR16" i="27"/>
  <c r="OX8" i="27"/>
  <c r="OW8" i="27"/>
  <c r="OU8" i="27"/>
  <c r="OT8" i="27"/>
  <c r="OS8" i="27"/>
  <c r="OR8" i="27"/>
  <c r="OX14" i="27"/>
  <c r="OW14" i="27"/>
  <c r="OU14" i="27"/>
  <c r="OT14" i="27"/>
  <c r="OS14" i="27"/>
  <c r="OR14" i="27"/>
  <c r="OX13" i="27"/>
  <c r="OW13" i="27"/>
  <c r="OU13" i="27"/>
  <c r="OT13" i="27"/>
  <c r="OS13" i="27"/>
  <c r="OR13" i="27"/>
  <c r="OX9" i="27"/>
  <c r="OW9" i="27"/>
  <c r="OU9" i="27"/>
  <c r="OT9" i="27"/>
  <c r="OS9" i="27"/>
  <c r="OR9" i="27"/>
  <c r="OX15" i="27"/>
  <c r="OW15" i="27"/>
  <c r="OU15" i="27"/>
  <c r="OT15" i="27"/>
  <c r="OS15" i="27"/>
  <c r="OR15" i="27"/>
  <c r="OX10" i="27"/>
  <c r="OW10" i="27"/>
  <c r="OU10" i="27"/>
  <c r="OT10" i="27"/>
  <c r="OS10" i="27"/>
  <c r="OR10" i="27"/>
  <c r="OX7" i="27"/>
  <c r="OW7" i="27"/>
  <c r="OU7" i="27"/>
  <c r="OT7" i="27"/>
  <c r="OS7" i="27"/>
  <c r="OR7" i="27"/>
  <c r="OX4" i="27"/>
  <c r="OW4" i="27"/>
  <c r="OU4" i="27"/>
  <c r="OT4" i="27"/>
  <c r="OS4" i="27"/>
  <c r="OR4" i="27"/>
  <c r="OX6" i="27"/>
  <c r="OW6" i="27"/>
  <c r="OU6" i="27"/>
  <c r="OT6" i="27"/>
  <c r="OS6" i="27"/>
  <c r="OR6" i="27"/>
  <c r="OX5" i="27"/>
  <c r="OW5" i="27"/>
  <c r="OU5" i="27"/>
  <c r="OT5" i="27"/>
  <c r="OS5" i="27"/>
  <c r="OR5" i="27"/>
  <c r="NV12" i="27"/>
  <c r="NU12" i="27"/>
  <c r="NS12" i="27"/>
  <c r="NR12" i="27"/>
  <c r="NQ12" i="27"/>
  <c r="NP12" i="27"/>
  <c r="NV16" i="27"/>
  <c r="NU16" i="27"/>
  <c r="NS16" i="27"/>
  <c r="NR16" i="27"/>
  <c r="NQ16" i="27"/>
  <c r="NP16" i="27"/>
  <c r="NV8" i="27"/>
  <c r="NU8" i="27"/>
  <c r="NS8" i="27"/>
  <c r="NR8" i="27"/>
  <c r="NQ8" i="27"/>
  <c r="NP8" i="27"/>
  <c r="NV14" i="27"/>
  <c r="NU14" i="27"/>
  <c r="NS14" i="27"/>
  <c r="NR14" i="27"/>
  <c r="NQ14" i="27"/>
  <c r="NP14" i="27"/>
  <c r="NV13" i="27"/>
  <c r="NU13" i="27"/>
  <c r="NS13" i="27"/>
  <c r="NR13" i="27"/>
  <c r="NQ13" i="27"/>
  <c r="NP13" i="27"/>
  <c r="NV9" i="27"/>
  <c r="NU9" i="27"/>
  <c r="NS9" i="27"/>
  <c r="NR9" i="27"/>
  <c r="NQ9" i="27"/>
  <c r="NP9" i="27"/>
  <c r="NV15" i="27"/>
  <c r="NU15" i="27"/>
  <c r="NS15" i="27"/>
  <c r="NR15" i="27"/>
  <c r="NQ15" i="27"/>
  <c r="NP15" i="27"/>
  <c r="NV10" i="27"/>
  <c r="NU10" i="27"/>
  <c r="NS10" i="27"/>
  <c r="NR10" i="27"/>
  <c r="NQ10" i="27"/>
  <c r="NP10" i="27"/>
  <c r="NV7" i="27"/>
  <c r="NU7" i="27"/>
  <c r="NS7" i="27"/>
  <c r="NR7" i="27"/>
  <c r="NQ7" i="27"/>
  <c r="NP7" i="27"/>
  <c r="NV4" i="27"/>
  <c r="NU4" i="27"/>
  <c r="NS4" i="27"/>
  <c r="NR4" i="27"/>
  <c r="NQ4" i="27"/>
  <c r="NP4" i="27"/>
  <c r="NV6" i="27"/>
  <c r="NU6" i="27"/>
  <c r="NS6" i="27"/>
  <c r="NR6" i="27"/>
  <c r="NQ6" i="27"/>
  <c r="NP6" i="27"/>
  <c r="NV5" i="27"/>
  <c r="NU5" i="27"/>
  <c r="NS5" i="27"/>
  <c r="NR5" i="27"/>
  <c r="NQ5" i="27"/>
  <c r="NP5" i="27"/>
  <c r="MT12" i="27"/>
  <c r="MS12" i="27"/>
  <c r="MQ12" i="27"/>
  <c r="MP12" i="27"/>
  <c r="MO12" i="27"/>
  <c r="MN12" i="27"/>
  <c r="MT16" i="27"/>
  <c r="MS16" i="27"/>
  <c r="MQ16" i="27"/>
  <c r="MP16" i="27"/>
  <c r="MO16" i="27"/>
  <c r="MN16" i="27"/>
  <c r="MT8" i="27"/>
  <c r="MS8" i="27"/>
  <c r="MQ8" i="27"/>
  <c r="MP8" i="27"/>
  <c r="MO8" i="27"/>
  <c r="MN8" i="27"/>
  <c r="MT14" i="27"/>
  <c r="MS14" i="27"/>
  <c r="MQ14" i="27"/>
  <c r="MP14" i="27"/>
  <c r="MO14" i="27"/>
  <c r="MN14" i="27"/>
  <c r="MT13" i="27"/>
  <c r="MS13" i="27"/>
  <c r="MQ13" i="27"/>
  <c r="MP13" i="27"/>
  <c r="MO13" i="27"/>
  <c r="MN13" i="27"/>
  <c r="MT9" i="27"/>
  <c r="MS9" i="27"/>
  <c r="MQ9" i="27"/>
  <c r="MP9" i="27"/>
  <c r="MO9" i="27"/>
  <c r="MN9" i="27"/>
  <c r="MT15" i="27"/>
  <c r="MS15" i="27"/>
  <c r="MQ15" i="27"/>
  <c r="MP15" i="27"/>
  <c r="MO15" i="27"/>
  <c r="MN15" i="27"/>
  <c r="MT10" i="27"/>
  <c r="MS10" i="27"/>
  <c r="MQ10" i="27"/>
  <c r="MP10" i="27"/>
  <c r="MO10" i="27"/>
  <c r="MN10" i="27"/>
  <c r="MT7" i="27"/>
  <c r="MS7" i="27"/>
  <c r="MQ7" i="27"/>
  <c r="MP7" i="27"/>
  <c r="MO7" i="27"/>
  <c r="MN7" i="27"/>
  <c r="MT4" i="27"/>
  <c r="MS4" i="27"/>
  <c r="MQ4" i="27"/>
  <c r="MP4" i="27"/>
  <c r="MO4" i="27"/>
  <c r="MN4" i="27"/>
  <c r="MT6" i="27"/>
  <c r="MS6" i="27"/>
  <c r="MQ6" i="27"/>
  <c r="MP6" i="27"/>
  <c r="MO6" i="27"/>
  <c r="MN6" i="27"/>
  <c r="MT5" i="27"/>
  <c r="MS5" i="27"/>
  <c r="MQ5" i="27"/>
  <c r="MP5" i="27"/>
  <c r="MO5" i="27"/>
  <c r="MN5" i="27"/>
  <c r="LR12" i="27"/>
  <c r="LQ12" i="27"/>
  <c r="LO12" i="27"/>
  <c r="LN12" i="27"/>
  <c r="LM12" i="27"/>
  <c r="LL12" i="27"/>
  <c r="LR16" i="27"/>
  <c r="LQ16" i="27"/>
  <c r="LO16" i="27"/>
  <c r="LN16" i="27"/>
  <c r="LM16" i="27"/>
  <c r="LL16" i="27"/>
  <c r="LR8" i="27"/>
  <c r="LQ8" i="27"/>
  <c r="LO8" i="27"/>
  <c r="LN8" i="27"/>
  <c r="LM8" i="27"/>
  <c r="LL8" i="27"/>
  <c r="LR14" i="27"/>
  <c r="LQ14" i="27"/>
  <c r="LO14" i="27"/>
  <c r="LN14" i="27"/>
  <c r="LM14" i="27"/>
  <c r="LL14" i="27"/>
  <c r="LR13" i="27"/>
  <c r="LQ13" i="27"/>
  <c r="LO13" i="27"/>
  <c r="LN13" i="27"/>
  <c r="LM13" i="27"/>
  <c r="LL13" i="27"/>
  <c r="LR9" i="27"/>
  <c r="LQ9" i="27"/>
  <c r="LO9" i="27"/>
  <c r="LN9" i="27"/>
  <c r="LM9" i="27"/>
  <c r="LL9" i="27"/>
  <c r="LR15" i="27"/>
  <c r="LQ15" i="27"/>
  <c r="LO15" i="27"/>
  <c r="LN15" i="27"/>
  <c r="LM15" i="27"/>
  <c r="LL15" i="27"/>
  <c r="LR10" i="27"/>
  <c r="LQ10" i="27"/>
  <c r="LO10" i="27"/>
  <c r="LN10" i="27"/>
  <c r="LM10" i="27"/>
  <c r="LL10" i="27"/>
  <c r="LR7" i="27"/>
  <c r="LQ7" i="27"/>
  <c r="LO7" i="27"/>
  <c r="LN7" i="27"/>
  <c r="LM7" i="27"/>
  <c r="LL7" i="27"/>
  <c r="LR4" i="27"/>
  <c r="LQ4" i="27"/>
  <c r="LO4" i="27"/>
  <c r="LN4" i="27"/>
  <c r="LM4" i="27"/>
  <c r="LL4" i="27"/>
  <c r="LR6" i="27"/>
  <c r="LQ6" i="27"/>
  <c r="LO6" i="27"/>
  <c r="LN6" i="27"/>
  <c r="LM6" i="27"/>
  <c r="LL6" i="27"/>
  <c r="LR5" i="27"/>
  <c r="LQ5" i="27"/>
  <c r="LO5" i="27"/>
  <c r="LN5" i="27"/>
  <c r="LM5" i="27"/>
  <c r="LL5" i="27"/>
  <c r="KP12" i="27"/>
  <c r="KO12" i="27"/>
  <c r="KM12" i="27"/>
  <c r="KL12" i="27"/>
  <c r="KK12" i="27"/>
  <c r="KJ12" i="27"/>
  <c r="KP16" i="27"/>
  <c r="KO16" i="27"/>
  <c r="KM16" i="27"/>
  <c r="KL16" i="27"/>
  <c r="KK16" i="27"/>
  <c r="KJ16" i="27"/>
  <c r="KP8" i="27"/>
  <c r="KO8" i="27"/>
  <c r="KM8" i="27"/>
  <c r="KL8" i="27"/>
  <c r="KK8" i="27"/>
  <c r="KJ8" i="27"/>
  <c r="KP14" i="27"/>
  <c r="KO14" i="27"/>
  <c r="KM14" i="27"/>
  <c r="KL14" i="27"/>
  <c r="KK14" i="27"/>
  <c r="KJ14" i="27"/>
  <c r="KP13" i="27"/>
  <c r="KO13" i="27"/>
  <c r="KM13" i="27"/>
  <c r="KL13" i="27"/>
  <c r="KK13" i="27"/>
  <c r="KJ13" i="27"/>
  <c r="KP9" i="27"/>
  <c r="KO9" i="27"/>
  <c r="KM9" i="27"/>
  <c r="KL9" i="27"/>
  <c r="KK9" i="27"/>
  <c r="KJ9" i="27"/>
  <c r="KP15" i="27"/>
  <c r="KO15" i="27"/>
  <c r="KM15" i="27"/>
  <c r="KL15" i="27"/>
  <c r="KK15" i="27"/>
  <c r="KJ15" i="27"/>
  <c r="KP10" i="27"/>
  <c r="KO10" i="27"/>
  <c r="KM10" i="27"/>
  <c r="KL10" i="27"/>
  <c r="KK10" i="27"/>
  <c r="KJ10" i="27"/>
  <c r="KP7" i="27"/>
  <c r="KO7" i="27"/>
  <c r="KM7" i="27"/>
  <c r="KL7" i="27"/>
  <c r="KK7" i="27"/>
  <c r="KJ7" i="27"/>
  <c r="KP4" i="27"/>
  <c r="KO4" i="27"/>
  <c r="KM4" i="27"/>
  <c r="KL4" i="27"/>
  <c r="KK4" i="27"/>
  <c r="KJ4" i="27"/>
  <c r="KP6" i="27"/>
  <c r="KO6" i="27"/>
  <c r="KM6" i="27"/>
  <c r="KL6" i="27"/>
  <c r="KK6" i="27"/>
  <c r="KJ6" i="27"/>
  <c r="KP5" i="27"/>
  <c r="KO5" i="27"/>
  <c r="KM5" i="27"/>
  <c r="KL5" i="27"/>
  <c r="KK5" i="27"/>
  <c r="KJ5" i="27"/>
  <c r="JN12" i="27"/>
  <c r="JM12" i="27"/>
  <c r="JK12" i="27"/>
  <c r="JJ12" i="27"/>
  <c r="JI12" i="27"/>
  <c r="JH12" i="27"/>
  <c r="JN16" i="27"/>
  <c r="JM16" i="27"/>
  <c r="JK16" i="27"/>
  <c r="JJ16" i="27"/>
  <c r="JI16" i="27"/>
  <c r="JH16" i="27"/>
  <c r="JN8" i="27"/>
  <c r="JM8" i="27"/>
  <c r="JK8" i="27"/>
  <c r="JJ8" i="27"/>
  <c r="JI8" i="27"/>
  <c r="JH8" i="27"/>
  <c r="JN14" i="27"/>
  <c r="JM14" i="27"/>
  <c r="JK14" i="27"/>
  <c r="JJ14" i="27"/>
  <c r="JI14" i="27"/>
  <c r="JH14" i="27"/>
  <c r="JN13" i="27"/>
  <c r="JM13" i="27"/>
  <c r="JK13" i="27"/>
  <c r="JJ13" i="27"/>
  <c r="JI13" i="27"/>
  <c r="JH13" i="27"/>
  <c r="JN9" i="27"/>
  <c r="JM9" i="27"/>
  <c r="JK9" i="27"/>
  <c r="JJ9" i="27"/>
  <c r="JI9" i="27"/>
  <c r="JH9" i="27"/>
  <c r="JN15" i="27"/>
  <c r="JM15" i="27"/>
  <c r="JK15" i="27"/>
  <c r="JJ15" i="27"/>
  <c r="JI15" i="27"/>
  <c r="JH15" i="27"/>
  <c r="JN10" i="27"/>
  <c r="JM10" i="27"/>
  <c r="JK10" i="27"/>
  <c r="JJ10" i="27"/>
  <c r="JI10" i="27"/>
  <c r="JH10" i="27"/>
  <c r="JN7" i="27"/>
  <c r="JM7" i="27"/>
  <c r="JK7" i="27"/>
  <c r="JJ7" i="27"/>
  <c r="JI7" i="27"/>
  <c r="JH7" i="27"/>
  <c r="JN4" i="27"/>
  <c r="JM4" i="27"/>
  <c r="JK4" i="27"/>
  <c r="JJ4" i="27"/>
  <c r="JI4" i="27"/>
  <c r="JH4" i="27"/>
  <c r="JN6" i="27"/>
  <c r="JM6" i="27"/>
  <c r="JK6" i="27"/>
  <c r="JJ6" i="27"/>
  <c r="JI6" i="27"/>
  <c r="JH6" i="27"/>
  <c r="JN5" i="27"/>
  <c r="JM5" i="27"/>
  <c r="JK5" i="27"/>
  <c r="JJ5" i="27"/>
  <c r="JI5" i="27"/>
  <c r="JH5" i="27"/>
  <c r="IL12" i="27"/>
  <c r="IK12" i="27"/>
  <c r="II12" i="27"/>
  <c r="IH12" i="27"/>
  <c r="IG12" i="27"/>
  <c r="IF12" i="27"/>
  <c r="IL16" i="27"/>
  <c r="IK16" i="27"/>
  <c r="II16" i="27"/>
  <c r="IH16" i="27"/>
  <c r="IG16" i="27"/>
  <c r="IF16" i="27"/>
  <c r="IL8" i="27"/>
  <c r="IK8" i="27"/>
  <c r="II8" i="27"/>
  <c r="IH8" i="27"/>
  <c r="IG8" i="27"/>
  <c r="IF8" i="27"/>
  <c r="IL14" i="27"/>
  <c r="IK14" i="27"/>
  <c r="II14" i="27"/>
  <c r="IH14" i="27"/>
  <c r="IG14" i="27"/>
  <c r="IF14" i="27"/>
  <c r="IL13" i="27"/>
  <c r="IK13" i="27"/>
  <c r="II13" i="27"/>
  <c r="IH13" i="27"/>
  <c r="IG13" i="27"/>
  <c r="IF13" i="27"/>
  <c r="IL9" i="27"/>
  <c r="IK9" i="27"/>
  <c r="II9" i="27"/>
  <c r="IH9" i="27"/>
  <c r="IG9" i="27"/>
  <c r="IF9" i="27"/>
  <c r="IL15" i="27"/>
  <c r="IK15" i="27"/>
  <c r="II15" i="27"/>
  <c r="IH15" i="27"/>
  <c r="IG15" i="27"/>
  <c r="IF15" i="27"/>
  <c r="IL10" i="27"/>
  <c r="IK10" i="27"/>
  <c r="II10" i="27"/>
  <c r="IH10" i="27"/>
  <c r="IG10" i="27"/>
  <c r="IF10" i="27"/>
  <c r="IL7" i="27"/>
  <c r="IK7" i="27"/>
  <c r="II7" i="27"/>
  <c r="IH7" i="27"/>
  <c r="IG7" i="27"/>
  <c r="IF7" i="27"/>
  <c r="IL4" i="27"/>
  <c r="IK4" i="27"/>
  <c r="II4" i="27"/>
  <c r="IH4" i="27"/>
  <c r="IG4" i="27"/>
  <c r="IF4" i="27"/>
  <c r="IL6" i="27"/>
  <c r="IK6" i="27"/>
  <c r="II6" i="27"/>
  <c r="IH6" i="27"/>
  <c r="IG6" i="27"/>
  <c r="IF6" i="27"/>
  <c r="IL5" i="27"/>
  <c r="IK5" i="27"/>
  <c r="II5" i="27"/>
  <c r="IH5" i="27"/>
  <c r="IG5" i="27"/>
  <c r="IF5" i="27"/>
  <c r="HJ12" i="27"/>
  <c r="HI12" i="27"/>
  <c r="HG12" i="27"/>
  <c r="HF12" i="27"/>
  <c r="HE12" i="27"/>
  <c r="HD12" i="27"/>
  <c r="HJ16" i="27"/>
  <c r="HI16" i="27"/>
  <c r="HG16" i="27"/>
  <c r="HF16" i="27"/>
  <c r="HE16" i="27"/>
  <c r="HD16" i="27"/>
  <c r="HJ8" i="27"/>
  <c r="HI8" i="27"/>
  <c r="HG8" i="27"/>
  <c r="HF8" i="27"/>
  <c r="HE8" i="27"/>
  <c r="HD8" i="27"/>
  <c r="HJ14" i="27"/>
  <c r="HI14" i="27"/>
  <c r="HG14" i="27"/>
  <c r="HF14" i="27"/>
  <c r="HE14" i="27"/>
  <c r="HD14" i="27"/>
  <c r="HJ13" i="27"/>
  <c r="HI13" i="27"/>
  <c r="HG13" i="27"/>
  <c r="HF13" i="27"/>
  <c r="HE13" i="27"/>
  <c r="HD13" i="27"/>
  <c r="HJ9" i="27"/>
  <c r="HI9" i="27"/>
  <c r="HG9" i="27"/>
  <c r="HF9" i="27"/>
  <c r="HE9" i="27"/>
  <c r="HD9" i="27"/>
  <c r="HJ15" i="27"/>
  <c r="HI15" i="27"/>
  <c r="HG15" i="27"/>
  <c r="HF15" i="27"/>
  <c r="HE15" i="27"/>
  <c r="HD15" i="27"/>
  <c r="HJ10" i="27"/>
  <c r="HI10" i="27"/>
  <c r="HG10" i="27"/>
  <c r="HF10" i="27"/>
  <c r="HE10" i="27"/>
  <c r="HD10" i="27"/>
  <c r="HJ7" i="27"/>
  <c r="HI7" i="27"/>
  <c r="HG7" i="27"/>
  <c r="HF7" i="27"/>
  <c r="HE7" i="27"/>
  <c r="HD7" i="27"/>
  <c r="HJ4" i="27"/>
  <c r="HI4" i="27"/>
  <c r="HG4" i="27"/>
  <c r="HF4" i="27"/>
  <c r="HE4" i="27"/>
  <c r="HD4" i="27"/>
  <c r="HJ6" i="27"/>
  <c r="HI6" i="27"/>
  <c r="HG6" i="27"/>
  <c r="HF6" i="27"/>
  <c r="HE6" i="27"/>
  <c r="HD6" i="27"/>
  <c r="HJ5" i="27"/>
  <c r="HI5" i="27"/>
  <c r="HG5" i="27"/>
  <c r="HF5" i="27"/>
  <c r="HE5" i="27"/>
  <c r="HD5" i="27"/>
  <c r="GH12" i="27"/>
  <c r="GG12" i="27"/>
  <c r="GE12" i="27"/>
  <c r="GD12" i="27"/>
  <c r="GC12" i="27"/>
  <c r="GB12" i="27"/>
  <c r="GH16" i="27"/>
  <c r="GG16" i="27"/>
  <c r="GE16" i="27"/>
  <c r="GD16" i="27"/>
  <c r="GC16" i="27"/>
  <c r="GB16" i="27"/>
  <c r="GH8" i="27"/>
  <c r="GG8" i="27"/>
  <c r="GE8" i="27"/>
  <c r="GD8" i="27"/>
  <c r="GC8" i="27"/>
  <c r="GB8" i="27"/>
  <c r="GH14" i="27"/>
  <c r="GG14" i="27"/>
  <c r="GE14" i="27"/>
  <c r="GD14" i="27"/>
  <c r="GC14" i="27"/>
  <c r="GB14" i="27"/>
  <c r="GH13" i="27"/>
  <c r="GG13" i="27"/>
  <c r="GE13" i="27"/>
  <c r="GD13" i="27"/>
  <c r="GC13" i="27"/>
  <c r="GB13" i="27"/>
  <c r="GH9" i="27"/>
  <c r="GG9" i="27"/>
  <c r="GE9" i="27"/>
  <c r="GD9" i="27"/>
  <c r="GC9" i="27"/>
  <c r="GB9" i="27"/>
  <c r="GH15" i="27"/>
  <c r="GG15" i="27"/>
  <c r="GE15" i="27"/>
  <c r="GD15" i="27"/>
  <c r="GC15" i="27"/>
  <c r="GB15" i="27"/>
  <c r="GH10" i="27"/>
  <c r="GG10" i="27"/>
  <c r="GE10" i="27"/>
  <c r="GD10" i="27"/>
  <c r="GC10" i="27"/>
  <c r="GB10" i="27"/>
  <c r="GH7" i="27"/>
  <c r="GG7" i="27"/>
  <c r="GE7" i="27"/>
  <c r="GD7" i="27"/>
  <c r="GC7" i="27"/>
  <c r="GB7" i="27"/>
  <c r="GH4" i="27"/>
  <c r="GG4" i="27"/>
  <c r="GE4" i="27"/>
  <c r="GD4" i="27"/>
  <c r="GC4" i="27"/>
  <c r="GB4" i="27"/>
  <c r="GH6" i="27"/>
  <c r="GG6" i="27"/>
  <c r="GE6" i="27"/>
  <c r="GD6" i="27"/>
  <c r="GC6" i="27"/>
  <c r="GB6" i="27"/>
  <c r="GH5" i="27"/>
  <c r="GG5" i="27"/>
  <c r="GE5" i="27"/>
  <c r="GD5" i="27"/>
  <c r="GC5" i="27"/>
  <c r="GB5" i="27"/>
  <c r="FF12" i="27"/>
  <c r="FE12" i="27"/>
  <c r="FC12" i="27"/>
  <c r="FB12" i="27"/>
  <c r="FA12" i="27"/>
  <c r="EZ12" i="27"/>
  <c r="FF16" i="27"/>
  <c r="FE16" i="27"/>
  <c r="FC16" i="27"/>
  <c r="FB16" i="27"/>
  <c r="FA16" i="27"/>
  <c r="EZ16" i="27"/>
  <c r="FF8" i="27"/>
  <c r="FE8" i="27"/>
  <c r="FC8" i="27"/>
  <c r="FB8" i="27"/>
  <c r="FA8" i="27"/>
  <c r="EZ8" i="27"/>
  <c r="FF14" i="27"/>
  <c r="FE14" i="27"/>
  <c r="FC14" i="27"/>
  <c r="FB14" i="27"/>
  <c r="FA14" i="27"/>
  <c r="EZ14" i="27"/>
  <c r="FF13" i="27"/>
  <c r="FE13" i="27"/>
  <c r="FC13" i="27"/>
  <c r="FB13" i="27"/>
  <c r="FA13" i="27"/>
  <c r="EZ13" i="27"/>
  <c r="FF9" i="27"/>
  <c r="FE9" i="27"/>
  <c r="FC9" i="27"/>
  <c r="FB9" i="27"/>
  <c r="FA9" i="27"/>
  <c r="EZ9" i="27"/>
  <c r="FF15" i="27"/>
  <c r="FE15" i="27"/>
  <c r="FC15" i="27"/>
  <c r="FB15" i="27"/>
  <c r="FA15" i="27"/>
  <c r="EZ15" i="27"/>
  <c r="FF10" i="27"/>
  <c r="FE10" i="27"/>
  <c r="FC10" i="27"/>
  <c r="FB10" i="27"/>
  <c r="FA10" i="27"/>
  <c r="EZ10" i="27"/>
  <c r="FF7" i="27"/>
  <c r="FE7" i="27"/>
  <c r="FC7" i="27"/>
  <c r="FB7" i="27"/>
  <c r="FA7" i="27"/>
  <c r="EZ7" i="27"/>
  <c r="FF4" i="27"/>
  <c r="FE4" i="27"/>
  <c r="FC4" i="27"/>
  <c r="FB4" i="27"/>
  <c r="FA4" i="27"/>
  <c r="EZ4" i="27"/>
  <c r="FF6" i="27"/>
  <c r="FE6" i="27"/>
  <c r="FC6" i="27"/>
  <c r="FB6" i="27"/>
  <c r="FA6" i="27"/>
  <c r="EZ6" i="27"/>
  <c r="FF5" i="27"/>
  <c r="FE5" i="27"/>
  <c r="FC5" i="27"/>
  <c r="FB5" i="27"/>
  <c r="FA5" i="27"/>
  <c r="EZ5" i="27"/>
  <c r="ED12" i="27"/>
  <c r="EC12" i="27"/>
  <c r="EA12" i="27"/>
  <c r="DZ12" i="27"/>
  <c r="DY12" i="27"/>
  <c r="DX12" i="27"/>
  <c r="ED16" i="27"/>
  <c r="EC16" i="27"/>
  <c r="EA16" i="27"/>
  <c r="DZ16" i="27"/>
  <c r="DY16" i="27"/>
  <c r="DX16" i="27"/>
  <c r="ED8" i="27"/>
  <c r="EC8" i="27"/>
  <c r="EA8" i="27"/>
  <c r="DZ8" i="27"/>
  <c r="DY8" i="27"/>
  <c r="DX8" i="27"/>
  <c r="ED14" i="27"/>
  <c r="EC14" i="27"/>
  <c r="EA14" i="27"/>
  <c r="DZ14" i="27"/>
  <c r="DY14" i="27"/>
  <c r="DX14" i="27"/>
  <c r="ED13" i="27"/>
  <c r="EC13" i="27"/>
  <c r="EA13" i="27"/>
  <c r="DZ13" i="27"/>
  <c r="DY13" i="27"/>
  <c r="DX13" i="27"/>
  <c r="ED9" i="27"/>
  <c r="EC9" i="27"/>
  <c r="EA9" i="27"/>
  <c r="DZ9" i="27"/>
  <c r="DY9" i="27"/>
  <c r="DX9" i="27"/>
  <c r="ED15" i="27"/>
  <c r="EC15" i="27"/>
  <c r="EA15" i="27"/>
  <c r="DZ15" i="27"/>
  <c r="DY15" i="27"/>
  <c r="DX15" i="27"/>
  <c r="ED10" i="27"/>
  <c r="EC10" i="27"/>
  <c r="EA10" i="27"/>
  <c r="DZ10" i="27"/>
  <c r="DY10" i="27"/>
  <c r="DX10" i="27"/>
  <c r="ED7" i="27"/>
  <c r="EC7" i="27"/>
  <c r="EA7" i="27"/>
  <c r="DZ7" i="27"/>
  <c r="DY7" i="27"/>
  <c r="DX7" i="27"/>
  <c r="ED4" i="27"/>
  <c r="EC4" i="27"/>
  <c r="EA4" i="27"/>
  <c r="DZ4" i="27"/>
  <c r="DY4" i="27"/>
  <c r="DX4" i="27"/>
  <c r="ED6" i="27"/>
  <c r="EC6" i="27"/>
  <c r="EA6" i="27"/>
  <c r="DZ6" i="27"/>
  <c r="DY6" i="27"/>
  <c r="DX6" i="27"/>
  <c r="ED5" i="27"/>
  <c r="EC5" i="27"/>
  <c r="EA5" i="27"/>
  <c r="DZ5" i="27"/>
  <c r="DY5" i="27"/>
  <c r="DX5" i="27"/>
  <c r="SD8" i="26"/>
  <c r="SC8" i="26"/>
  <c r="SA8" i="26"/>
  <c r="RZ8" i="26"/>
  <c r="RY8" i="26"/>
  <c r="RX8" i="26"/>
  <c r="SD13" i="26"/>
  <c r="SC13" i="26"/>
  <c r="SA13" i="26"/>
  <c r="RZ13" i="26"/>
  <c r="RY13" i="26"/>
  <c r="RX13" i="26"/>
  <c r="SD6" i="26"/>
  <c r="SC6" i="26"/>
  <c r="SA6" i="26"/>
  <c r="RZ6" i="26"/>
  <c r="RY6" i="26"/>
  <c r="RX6" i="26"/>
  <c r="SD9" i="26"/>
  <c r="SC9" i="26"/>
  <c r="SA9" i="26"/>
  <c r="RZ9" i="26"/>
  <c r="RY9" i="26"/>
  <c r="RX9" i="26"/>
  <c r="SD11" i="26"/>
  <c r="SC11" i="26"/>
  <c r="SA11" i="26"/>
  <c r="RZ11" i="26"/>
  <c r="RY11" i="26"/>
  <c r="RX11" i="26"/>
  <c r="SD5" i="26"/>
  <c r="SC5" i="26"/>
  <c r="SA5" i="26"/>
  <c r="RZ5" i="26"/>
  <c r="RY5" i="26"/>
  <c r="RX5" i="26"/>
  <c r="SD14" i="26"/>
  <c r="SC14" i="26"/>
  <c r="SA14" i="26"/>
  <c r="RZ14" i="26"/>
  <c r="RY14" i="26"/>
  <c r="RX14" i="26"/>
  <c r="SD4" i="26"/>
  <c r="SC4" i="26"/>
  <c r="SA4" i="26"/>
  <c r="RZ4" i="26"/>
  <c r="RY4" i="26"/>
  <c r="RX4" i="26"/>
  <c r="RB8" i="26"/>
  <c r="RA8" i="26"/>
  <c r="QY8" i="26"/>
  <c r="QX8" i="26"/>
  <c r="QW8" i="26"/>
  <c r="QV8" i="26"/>
  <c r="RB13" i="26"/>
  <c r="RA13" i="26"/>
  <c r="QY13" i="26"/>
  <c r="QX13" i="26"/>
  <c r="QW13" i="26"/>
  <c r="QV13" i="26"/>
  <c r="RB6" i="26"/>
  <c r="RA6" i="26"/>
  <c r="QY6" i="26"/>
  <c r="QX6" i="26"/>
  <c r="QW6" i="26"/>
  <c r="QV6" i="26"/>
  <c r="RB9" i="26"/>
  <c r="RA9" i="26"/>
  <c r="QY9" i="26"/>
  <c r="QX9" i="26"/>
  <c r="QW9" i="26"/>
  <c r="QV9" i="26"/>
  <c r="RB11" i="26"/>
  <c r="RA11" i="26"/>
  <c r="QY11" i="26"/>
  <c r="QX11" i="26"/>
  <c r="QW11" i="26"/>
  <c r="QV11" i="26"/>
  <c r="RB5" i="26"/>
  <c r="RA5" i="26"/>
  <c r="QY5" i="26"/>
  <c r="QX5" i="26"/>
  <c r="QW5" i="26"/>
  <c r="QV5" i="26"/>
  <c r="RB14" i="26"/>
  <c r="RA14" i="26"/>
  <c r="QY14" i="26"/>
  <c r="QX14" i="26"/>
  <c r="QW14" i="26"/>
  <c r="QV14" i="26"/>
  <c r="RB4" i="26"/>
  <c r="RA4" i="26"/>
  <c r="QY4" i="26"/>
  <c r="QX4" i="26"/>
  <c r="QW4" i="26"/>
  <c r="QV4" i="26"/>
  <c r="PZ8" i="26"/>
  <c r="PY8" i="26"/>
  <c r="PW8" i="26"/>
  <c r="PV8" i="26"/>
  <c r="PU8" i="26"/>
  <c r="PT8" i="26"/>
  <c r="PZ13" i="26"/>
  <c r="PY13" i="26"/>
  <c r="PW13" i="26"/>
  <c r="PV13" i="26"/>
  <c r="PU13" i="26"/>
  <c r="PT13" i="26"/>
  <c r="PZ6" i="26"/>
  <c r="PY6" i="26"/>
  <c r="PW6" i="26"/>
  <c r="PV6" i="26"/>
  <c r="PU6" i="26"/>
  <c r="PT6" i="26"/>
  <c r="PZ9" i="26"/>
  <c r="PY9" i="26"/>
  <c r="PW9" i="26"/>
  <c r="PV9" i="26"/>
  <c r="PU9" i="26"/>
  <c r="PT9" i="26"/>
  <c r="PZ11" i="26"/>
  <c r="PY11" i="26"/>
  <c r="PW11" i="26"/>
  <c r="PV11" i="26"/>
  <c r="PU11" i="26"/>
  <c r="PT11" i="26"/>
  <c r="PZ5" i="26"/>
  <c r="PY5" i="26"/>
  <c r="PW5" i="26"/>
  <c r="PV5" i="26"/>
  <c r="PU5" i="26"/>
  <c r="PT5" i="26"/>
  <c r="PZ14" i="26"/>
  <c r="PY14" i="26"/>
  <c r="PW14" i="26"/>
  <c r="PV14" i="26"/>
  <c r="PU14" i="26"/>
  <c r="PT14" i="26"/>
  <c r="PZ4" i="26"/>
  <c r="PY4" i="26"/>
  <c r="PW4" i="26"/>
  <c r="PV4" i="26"/>
  <c r="PU4" i="26"/>
  <c r="PT4" i="26"/>
  <c r="OX8" i="26"/>
  <c r="OW8" i="26"/>
  <c r="OU8" i="26"/>
  <c r="OT8" i="26"/>
  <c r="OS8" i="26"/>
  <c r="OR8" i="26"/>
  <c r="OX13" i="26"/>
  <c r="OW13" i="26"/>
  <c r="OU13" i="26"/>
  <c r="OT13" i="26"/>
  <c r="OS13" i="26"/>
  <c r="OR13" i="26"/>
  <c r="OX6" i="26"/>
  <c r="OW6" i="26"/>
  <c r="OU6" i="26"/>
  <c r="OT6" i="26"/>
  <c r="OS6" i="26"/>
  <c r="OR6" i="26"/>
  <c r="OX9" i="26"/>
  <c r="OW9" i="26"/>
  <c r="OU9" i="26"/>
  <c r="OT9" i="26"/>
  <c r="OS9" i="26"/>
  <c r="OR9" i="26"/>
  <c r="OX11" i="26"/>
  <c r="OW11" i="26"/>
  <c r="OU11" i="26"/>
  <c r="OT11" i="26"/>
  <c r="OS11" i="26"/>
  <c r="OR11" i="26"/>
  <c r="OX5" i="26"/>
  <c r="OW5" i="26"/>
  <c r="OU5" i="26"/>
  <c r="OT5" i="26"/>
  <c r="OS5" i="26"/>
  <c r="OR5" i="26"/>
  <c r="OX14" i="26"/>
  <c r="OW14" i="26"/>
  <c r="OU14" i="26"/>
  <c r="OT14" i="26"/>
  <c r="OS14" i="26"/>
  <c r="OR14" i="26"/>
  <c r="OX4" i="26"/>
  <c r="OW4" i="26"/>
  <c r="OU4" i="26"/>
  <c r="OT4" i="26"/>
  <c r="OS4" i="26"/>
  <c r="OR4" i="26"/>
  <c r="NV8" i="26"/>
  <c r="NU8" i="26"/>
  <c r="NS8" i="26"/>
  <c r="NR8" i="26"/>
  <c r="NQ8" i="26"/>
  <c r="NP8" i="26"/>
  <c r="NV13" i="26"/>
  <c r="NU13" i="26"/>
  <c r="NS13" i="26"/>
  <c r="NR13" i="26"/>
  <c r="NQ13" i="26"/>
  <c r="NP13" i="26"/>
  <c r="NV6" i="26"/>
  <c r="NU6" i="26"/>
  <c r="NS6" i="26"/>
  <c r="NR6" i="26"/>
  <c r="NQ6" i="26"/>
  <c r="NP6" i="26"/>
  <c r="NV9" i="26"/>
  <c r="NU9" i="26"/>
  <c r="NS9" i="26"/>
  <c r="NR9" i="26"/>
  <c r="NQ9" i="26"/>
  <c r="NP9" i="26"/>
  <c r="NV11" i="26"/>
  <c r="NU11" i="26"/>
  <c r="NS11" i="26"/>
  <c r="NR11" i="26"/>
  <c r="NQ11" i="26"/>
  <c r="NP11" i="26"/>
  <c r="NV5" i="26"/>
  <c r="NU5" i="26"/>
  <c r="NS5" i="26"/>
  <c r="NR5" i="26"/>
  <c r="NQ5" i="26"/>
  <c r="NP5" i="26"/>
  <c r="NV14" i="26"/>
  <c r="NU14" i="26"/>
  <c r="NS14" i="26"/>
  <c r="NR14" i="26"/>
  <c r="NQ14" i="26"/>
  <c r="NP14" i="26"/>
  <c r="NV4" i="26"/>
  <c r="NU4" i="26"/>
  <c r="NS4" i="26"/>
  <c r="NR4" i="26"/>
  <c r="NQ4" i="26"/>
  <c r="NP4" i="26"/>
  <c r="MT8" i="26"/>
  <c r="MS8" i="26"/>
  <c r="MQ8" i="26"/>
  <c r="MP8" i="26"/>
  <c r="MO8" i="26"/>
  <c r="MN8" i="26"/>
  <c r="MT13" i="26"/>
  <c r="MS13" i="26"/>
  <c r="MQ13" i="26"/>
  <c r="MP13" i="26"/>
  <c r="MO13" i="26"/>
  <c r="MN13" i="26"/>
  <c r="MT6" i="26"/>
  <c r="MS6" i="26"/>
  <c r="MQ6" i="26"/>
  <c r="MP6" i="26"/>
  <c r="MO6" i="26"/>
  <c r="MN6" i="26"/>
  <c r="MT9" i="26"/>
  <c r="MS9" i="26"/>
  <c r="MQ9" i="26"/>
  <c r="MP9" i="26"/>
  <c r="MO9" i="26"/>
  <c r="MN9" i="26"/>
  <c r="MT11" i="26"/>
  <c r="MS11" i="26"/>
  <c r="MQ11" i="26"/>
  <c r="MP11" i="26"/>
  <c r="MO11" i="26"/>
  <c r="MN11" i="26"/>
  <c r="MT5" i="26"/>
  <c r="MS5" i="26"/>
  <c r="MQ5" i="26"/>
  <c r="MP5" i="26"/>
  <c r="MO5" i="26"/>
  <c r="MN5" i="26"/>
  <c r="MT14" i="26"/>
  <c r="MS14" i="26"/>
  <c r="MQ14" i="26"/>
  <c r="MP14" i="26"/>
  <c r="MO14" i="26"/>
  <c r="MN14" i="26"/>
  <c r="MT4" i="26"/>
  <c r="MS4" i="26"/>
  <c r="MQ4" i="26"/>
  <c r="MP4" i="26"/>
  <c r="MO4" i="26"/>
  <c r="MN4" i="26"/>
  <c r="LR8" i="26"/>
  <c r="LQ8" i="26"/>
  <c r="LO8" i="26"/>
  <c r="LN8" i="26"/>
  <c r="LM8" i="26"/>
  <c r="LL8" i="26"/>
  <c r="LR13" i="26"/>
  <c r="LQ13" i="26"/>
  <c r="LO13" i="26"/>
  <c r="LN13" i="26"/>
  <c r="LM13" i="26"/>
  <c r="LL13" i="26"/>
  <c r="LR6" i="26"/>
  <c r="LQ6" i="26"/>
  <c r="LO6" i="26"/>
  <c r="LN6" i="26"/>
  <c r="LM6" i="26"/>
  <c r="LL6" i="26"/>
  <c r="LR9" i="26"/>
  <c r="LQ9" i="26"/>
  <c r="LO9" i="26"/>
  <c r="LN9" i="26"/>
  <c r="LM9" i="26"/>
  <c r="LL9" i="26"/>
  <c r="LR11" i="26"/>
  <c r="LQ11" i="26"/>
  <c r="LO11" i="26"/>
  <c r="LN11" i="26"/>
  <c r="LM11" i="26"/>
  <c r="LL11" i="26"/>
  <c r="LR5" i="26"/>
  <c r="LQ5" i="26"/>
  <c r="LO5" i="26"/>
  <c r="LN5" i="26"/>
  <c r="LM5" i="26"/>
  <c r="LL5" i="26"/>
  <c r="LR14" i="26"/>
  <c r="LQ14" i="26"/>
  <c r="LO14" i="26"/>
  <c r="LN14" i="26"/>
  <c r="LM14" i="26"/>
  <c r="LL14" i="26"/>
  <c r="LR4" i="26"/>
  <c r="LQ4" i="26"/>
  <c r="LO4" i="26"/>
  <c r="LN4" i="26"/>
  <c r="LM4" i="26"/>
  <c r="LL4" i="26"/>
  <c r="KP8" i="26"/>
  <c r="KO8" i="26"/>
  <c r="KM8" i="26"/>
  <c r="KL8" i="26"/>
  <c r="KK8" i="26"/>
  <c r="KJ8" i="26"/>
  <c r="KP13" i="26"/>
  <c r="KO13" i="26"/>
  <c r="KM13" i="26"/>
  <c r="KL13" i="26"/>
  <c r="KK13" i="26"/>
  <c r="KJ13" i="26"/>
  <c r="KP6" i="26"/>
  <c r="KO6" i="26"/>
  <c r="KM6" i="26"/>
  <c r="KL6" i="26"/>
  <c r="KK6" i="26"/>
  <c r="KJ6" i="26"/>
  <c r="KP9" i="26"/>
  <c r="KO9" i="26"/>
  <c r="KM9" i="26"/>
  <c r="KL9" i="26"/>
  <c r="KK9" i="26"/>
  <c r="KJ9" i="26"/>
  <c r="KP11" i="26"/>
  <c r="KO11" i="26"/>
  <c r="KM11" i="26"/>
  <c r="KL11" i="26"/>
  <c r="KK11" i="26"/>
  <c r="KJ11" i="26"/>
  <c r="KP5" i="26"/>
  <c r="KO5" i="26"/>
  <c r="KM5" i="26"/>
  <c r="KL5" i="26"/>
  <c r="KK5" i="26"/>
  <c r="KJ5" i="26"/>
  <c r="KP14" i="26"/>
  <c r="KO14" i="26"/>
  <c r="KM14" i="26"/>
  <c r="KL14" i="26"/>
  <c r="KK14" i="26"/>
  <c r="KJ14" i="26"/>
  <c r="KP4" i="26"/>
  <c r="KO4" i="26"/>
  <c r="KM4" i="26"/>
  <c r="KL4" i="26"/>
  <c r="KK4" i="26"/>
  <c r="KJ4" i="26"/>
  <c r="JN8" i="26"/>
  <c r="JM8" i="26"/>
  <c r="JK8" i="26"/>
  <c r="JJ8" i="26"/>
  <c r="JI8" i="26"/>
  <c r="JH8" i="26"/>
  <c r="JN13" i="26"/>
  <c r="JM13" i="26"/>
  <c r="JK13" i="26"/>
  <c r="JJ13" i="26"/>
  <c r="JI13" i="26"/>
  <c r="JH13" i="26"/>
  <c r="JN6" i="26"/>
  <c r="JM6" i="26"/>
  <c r="JK6" i="26"/>
  <c r="JJ6" i="26"/>
  <c r="JI6" i="26"/>
  <c r="JH6" i="26"/>
  <c r="JN9" i="26"/>
  <c r="JM9" i="26"/>
  <c r="JK9" i="26"/>
  <c r="JJ9" i="26"/>
  <c r="JI9" i="26"/>
  <c r="JH9" i="26"/>
  <c r="JN11" i="26"/>
  <c r="JM11" i="26"/>
  <c r="JK11" i="26"/>
  <c r="JJ11" i="26"/>
  <c r="JI11" i="26"/>
  <c r="JH11" i="26"/>
  <c r="JN5" i="26"/>
  <c r="JM5" i="26"/>
  <c r="JK5" i="26"/>
  <c r="JJ5" i="26"/>
  <c r="JI5" i="26"/>
  <c r="JH5" i="26"/>
  <c r="JN14" i="26"/>
  <c r="JM14" i="26"/>
  <c r="JK14" i="26"/>
  <c r="JJ14" i="26"/>
  <c r="JI14" i="26"/>
  <c r="JH14" i="26"/>
  <c r="JN4" i="26"/>
  <c r="JM4" i="26"/>
  <c r="JK4" i="26"/>
  <c r="JJ4" i="26"/>
  <c r="JI4" i="26"/>
  <c r="JH4" i="26"/>
  <c r="IL8" i="26"/>
  <c r="IK8" i="26"/>
  <c r="II8" i="26"/>
  <c r="IH8" i="26"/>
  <c r="IG8" i="26"/>
  <c r="IF8" i="26"/>
  <c r="IL13" i="26"/>
  <c r="IK13" i="26"/>
  <c r="II13" i="26"/>
  <c r="IH13" i="26"/>
  <c r="IG13" i="26"/>
  <c r="IF13" i="26"/>
  <c r="IL6" i="26"/>
  <c r="IK6" i="26"/>
  <c r="II6" i="26"/>
  <c r="IH6" i="26"/>
  <c r="IG6" i="26"/>
  <c r="IF6" i="26"/>
  <c r="IL9" i="26"/>
  <c r="IK9" i="26"/>
  <c r="II9" i="26"/>
  <c r="IH9" i="26"/>
  <c r="IG9" i="26"/>
  <c r="IF9" i="26"/>
  <c r="IL11" i="26"/>
  <c r="IK11" i="26"/>
  <c r="II11" i="26"/>
  <c r="IH11" i="26"/>
  <c r="IG11" i="26"/>
  <c r="IF11" i="26"/>
  <c r="IL5" i="26"/>
  <c r="IK5" i="26"/>
  <c r="II5" i="26"/>
  <c r="IH5" i="26"/>
  <c r="IG5" i="26"/>
  <c r="IF5" i="26"/>
  <c r="IL14" i="26"/>
  <c r="IK14" i="26"/>
  <c r="II14" i="26"/>
  <c r="IH14" i="26"/>
  <c r="IG14" i="26"/>
  <c r="IF14" i="26"/>
  <c r="IL4" i="26"/>
  <c r="IK4" i="26"/>
  <c r="II4" i="26"/>
  <c r="IH4" i="26"/>
  <c r="IG4" i="26"/>
  <c r="IF4" i="26"/>
  <c r="HJ8" i="26"/>
  <c r="HI8" i="26"/>
  <c r="HG8" i="26"/>
  <c r="HF8" i="26"/>
  <c r="HE8" i="26"/>
  <c r="HD8" i="26"/>
  <c r="HJ13" i="26"/>
  <c r="HI13" i="26"/>
  <c r="HG13" i="26"/>
  <c r="HF13" i="26"/>
  <c r="HE13" i="26"/>
  <c r="HD13" i="26"/>
  <c r="HJ6" i="26"/>
  <c r="HI6" i="26"/>
  <c r="HG6" i="26"/>
  <c r="HF6" i="26"/>
  <c r="HE6" i="26"/>
  <c r="HD6" i="26"/>
  <c r="HJ9" i="26"/>
  <c r="HI9" i="26"/>
  <c r="HG9" i="26"/>
  <c r="HF9" i="26"/>
  <c r="HE9" i="26"/>
  <c r="HD9" i="26"/>
  <c r="HJ11" i="26"/>
  <c r="HI11" i="26"/>
  <c r="HG11" i="26"/>
  <c r="HF11" i="26"/>
  <c r="HE11" i="26"/>
  <c r="HD11" i="26"/>
  <c r="HJ5" i="26"/>
  <c r="HI5" i="26"/>
  <c r="HG5" i="26"/>
  <c r="HF5" i="26"/>
  <c r="HE5" i="26"/>
  <c r="HD5" i="26"/>
  <c r="HJ14" i="26"/>
  <c r="HI14" i="26"/>
  <c r="HG14" i="26"/>
  <c r="HF14" i="26"/>
  <c r="HE14" i="26"/>
  <c r="HD14" i="26"/>
  <c r="HJ4" i="26"/>
  <c r="HI4" i="26"/>
  <c r="HG4" i="26"/>
  <c r="HF4" i="26"/>
  <c r="HE4" i="26"/>
  <c r="HD4" i="26"/>
  <c r="GH8" i="26"/>
  <c r="GG8" i="26"/>
  <c r="GE8" i="26"/>
  <c r="GD8" i="26"/>
  <c r="GC8" i="26"/>
  <c r="GB8" i="26"/>
  <c r="GH13" i="26"/>
  <c r="GG13" i="26"/>
  <c r="GE13" i="26"/>
  <c r="GD13" i="26"/>
  <c r="GC13" i="26"/>
  <c r="GB13" i="26"/>
  <c r="GH6" i="26"/>
  <c r="GG6" i="26"/>
  <c r="GE6" i="26"/>
  <c r="GD6" i="26"/>
  <c r="GC6" i="26"/>
  <c r="GB6" i="26"/>
  <c r="GH9" i="26"/>
  <c r="GG9" i="26"/>
  <c r="GE9" i="26"/>
  <c r="GD9" i="26"/>
  <c r="GC9" i="26"/>
  <c r="GB9" i="26"/>
  <c r="GH11" i="26"/>
  <c r="GG11" i="26"/>
  <c r="GE11" i="26"/>
  <c r="GD11" i="26"/>
  <c r="GC11" i="26"/>
  <c r="GB11" i="26"/>
  <c r="GH5" i="26"/>
  <c r="GG5" i="26"/>
  <c r="GE5" i="26"/>
  <c r="GD5" i="26"/>
  <c r="GC5" i="26"/>
  <c r="GB5" i="26"/>
  <c r="GH14" i="26"/>
  <c r="GG14" i="26"/>
  <c r="GE14" i="26"/>
  <c r="GD14" i="26"/>
  <c r="GC14" i="26"/>
  <c r="GB14" i="26"/>
  <c r="GH4" i="26"/>
  <c r="GG4" i="26"/>
  <c r="GE4" i="26"/>
  <c r="GD4" i="26"/>
  <c r="GC4" i="26"/>
  <c r="GB4" i="26"/>
  <c r="FF8" i="26"/>
  <c r="FE8" i="26"/>
  <c r="FC8" i="26"/>
  <c r="FB8" i="26"/>
  <c r="FA8" i="26"/>
  <c r="EZ8" i="26"/>
  <c r="FF13" i="26"/>
  <c r="FE13" i="26"/>
  <c r="FC13" i="26"/>
  <c r="FB13" i="26"/>
  <c r="FA13" i="26"/>
  <c r="EZ13" i="26"/>
  <c r="FF6" i="26"/>
  <c r="FE6" i="26"/>
  <c r="FC6" i="26"/>
  <c r="FB6" i="26"/>
  <c r="FA6" i="26"/>
  <c r="EZ6" i="26"/>
  <c r="FF9" i="26"/>
  <c r="FE9" i="26"/>
  <c r="FC9" i="26"/>
  <c r="FB9" i="26"/>
  <c r="FA9" i="26"/>
  <c r="EZ9" i="26"/>
  <c r="FF11" i="26"/>
  <c r="FE11" i="26"/>
  <c r="FC11" i="26"/>
  <c r="FB11" i="26"/>
  <c r="FA11" i="26"/>
  <c r="EZ11" i="26"/>
  <c r="FF5" i="26"/>
  <c r="FE5" i="26"/>
  <c r="FC5" i="26"/>
  <c r="FB5" i="26"/>
  <c r="FA5" i="26"/>
  <c r="EZ5" i="26"/>
  <c r="FF14" i="26"/>
  <c r="FE14" i="26"/>
  <c r="FC14" i="26"/>
  <c r="FB14" i="26"/>
  <c r="FA14" i="26"/>
  <c r="EZ14" i="26"/>
  <c r="FF4" i="26"/>
  <c r="FE4" i="26"/>
  <c r="FC4" i="26"/>
  <c r="FB4" i="26"/>
  <c r="FA4" i="26"/>
  <c r="EZ4" i="26"/>
  <c r="ED8" i="26"/>
  <c r="EC8" i="26"/>
  <c r="EA8" i="26"/>
  <c r="DZ8" i="26"/>
  <c r="DY8" i="26"/>
  <c r="DX8" i="26"/>
  <c r="ED13" i="26"/>
  <c r="EC13" i="26"/>
  <c r="EA13" i="26"/>
  <c r="DZ13" i="26"/>
  <c r="DY13" i="26"/>
  <c r="DX13" i="26"/>
  <c r="ED6" i="26"/>
  <c r="EC6" i="26"/>
  <c r="EA6" i="26"/>
  <c r="DZ6" i="26"/>
  <c r="DY6" i="26"/>
  <c r="DX6" i="26"/>
  <c r="ED9" i="26"/>
  <c r="EC9" i="26"/>
  <c r="EA9" i="26"/>
  <c r="DZ9" i="26"/>
  <c r="DY9" i="26"/>
  <c r="DX9" i="26"/>
  <c r="ED11" i="26"/>
  <c r="EC11" i="26"/>
  <c r="EA11" i="26"/>
  <c r="DZ11" i="26"/>
  <c r="DY11" i="26"/>
  <c r="DX11" i="26"/>
  <c r="ED5" i="26"/>
  <c r="EC5" i="26"/>
  <c r="EA5" i="26"/>
  <c r="DZ5" i="26"/>
  <c r="DY5" i="26"/>
  <c r="DX5" i="26"/>
  <c r="ED14" i="26"/>
  <c r="EC14" i="26"/>
  <c r="EA14" i="26"/>
  <c r="DZ14" i="26"/>
  <c r="DY14" i="26"/>
  <c r="DX14" i="26"/>
  <c r="ED4" i="26"/>
  <c r="EC4" i="26"/>
  <c r="EA4" i="26"/>
  <c r="DZ4" i="26"/>
  <c r="DY4" i="26"/>
  <c r="DX4" i="26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6" i="23"/>
  <c r="OM16" i="23"/>
  <c r="OL16" i="23"/>
  <c r="OK16" i="23"/>
  <c r="OJ16" i="23"/>
  <c r="OI16" i="23"/>
  <c r="OG16" i="23"/>
  <c r="OF16" i="23"/>
  <c r="OE16" i="23"/>
  <c r="OD16" i="23"/>
  <c r="OC16" i="23"/>
  <c r="OB16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CT18" i="21"/>
  <c r="CU18" i="21"/>
  <c r="CV18" i="21"/>
  <c r="CW18" i="21"/>
  <c r="CY18" i="21"/>
  <c r="CZ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CT12" i="27"/>
  <c r="CU12" i="27"/>
  <c r="CV12" i="27"/>
  <c r="CW12" i="27"/>
  <c r="CY12" i="27"/>
  <c r="CZ12" i="27"/>
  <c r="SZ12" i="27"/>
  <c r="TA12" i="27"/>
  <c r="TB12" i="27"/>
  <c r="TC12" i="27"/>
  <c r="TE12" i="27"/>
  <c r="TF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CT8" i="26"/>
  <c r="CU8" i="26"/>
  <c r="CV8" i="26"/>
  <c r="CW8" i="26"/>
  <c r="CY8" i="26"/>
  <c r="CZ8" i="26"/>
  <c r="SZ8" i="26"/>
  <c r="TA8" i="26"/>
  <c r="TB8" i="26"/>
  <c r="TC8" i="26"/>
  <c r="TE8" i="26"/>
  <c r="TF8" i="26"/>
  <c r="TH8" i="26"/>
  <c r="TI8" i="26"/>
  <c r="TJ8" i="26"/>
  <c r="TK8" i="26"/>
  <c r="TL8" i="26"/>
  <c r="TM8" i="26"/>
  <c r="TN8" i="26"/>
  <c r="TO8" i="26"/>
  <c r="TP8" i="26"/>
  <c r="TQ8" i="26"/>
  <c r="TR8" i="26"/>
  <c r="TS8" i="26"/>
  <c r="TT8" i="26"/>
  <c r="TU8" i="26"/>
  <c r="TV8" i="26"/>
  <c r="TW8" i="26"/>
  <c r="TX8" i="26"/>
  <c r="TY8" i="26"/>
  <c r="TZ8" i="26"/>
  <c r="UA8" i="26"/>
  <c r="UV16" i="23" l="1"/>
  <c r="UV7" i="23"/>
  <c r="QX17" i="23"/>
  <c r="RE17" i="23" s="1"/>
  <c r="QX7" i="23"/>
  <c r="RE7" i="23" s="1"/>
  <c r="QX18" i="23"/>
  <c r="RE18" i="23" s="1"/>
  <c r="SF4" i="23"/>
  <c r="SM4" i="23" s="1"/>
  <c r="SF5" i="23"/>
  <c r="SM5" i="23" s="1"/>
  <c r="SF8" i="23"/>
  <c r="SM8" i="23" s="1"/>
  <c r="SF9" i="23"/>
  <c r="SM9" i="23" s="1"/>
  <c r="TN17" i="23"/>
  <c r="TU17" i="23" s="1"/>
  <c r="UV4" i="23"/>
  <c r="VC4" i="23" s="1"/>
  <c r="UV6" i="23"/>
  <c r="VC6" i="23" s="1"/>
  <c r="UV9" i="23"/>
  <c r="VC9" i="23" s="1"/>
  <c r="UV12" i="23"/>
  <c r="VC12" i="23" s="1"/>
  <c r="QA13" i="21"/>
  <c r="QA24" i="21"/>
  <c r="QA23" i="21"/>
  <c r="RC7" i="21"/>
  <c r="RC17" i="21"/>
  <c r="RC11" i="21"/>
  <c r="RC18" i="21"/>
  <c r="SE9" i="21"/>
  <c r="SE22" i="21"/>
  <c r="SE26" i="21"/>
  <c r="HK27" i="19"/>
  <c r="JO25" i="19"/>
  <c r="JO24" i="19"/>
  <c r="KQ10" i="19"/>
  <c r="KQ14" i="19"/>
  <c r="KQ11" i="19"/>
  <c r="NW25" i="19"/>
  <c r="NW24" i="19"/>
  <c r="OY10" i="19"/>
  <c r="OY14" i="19"/>
  <c r="OY11" i="19"/>
  <c r="SE25" i="19"/>
  <c r="SE24" i="19"/>
  <c r="GF5" i="26"/>
  <c r="UV13" i="23"/>
  <c r="VC13" i="23" s="1"/>
  <c r="UV15" i="23"/>
  <c r="VC15" i="23" s="1"/>
  <c r="UV18" i="23"/>
  <c r="VC18" i="23" s="1"/>
  <c r="GI7" i="19"/>
  <c r="GI5" i="19"/>
  <c r="GI13" i="19"/>
  <c r="OY7" i="19"/>
  <c r="OY5" i="19"/>
  <c r="OY13" i="19"/>
  <c r="FG8" i="27"/>
  <c r="GI5" i="27"/>
  <c r="GI10" i="27"/>
  <c r="GI14" i="27"/>
  <c r="GI12" i="27"/>
  <c r="HK7" i="27"/>
  <c r="JO8" i="27"/>
  <c r="KQ5" i="27"/>
  <c r="KQ10" i="27"/>
  <c r="KQ14" i="27"/>
  <c r="KQ12" i="27"/>
  <c r="LS7" i="27"/>
  <c r="NW8" i="27"/>
  <c r="OY5" i="27"/>
  <c r="OY10" i="27"/>
  <c r="OY14" i="27"/>
  <c r="OY12" i="27"/>
  <c r="QA7" i="27"/>
  <c r="JO4" i="26"/>
  <c r="JO9" i="26"/>
  <c r="KQ4" i="26"/>
  <c r="KQ9" i="26"/>
  <c r="NW4" i="26"/>
  <c r="NW9" i="26"/>
  <c r="OY4" i="26"/>
  <c r="OY9" i="26"/>
  <c r="SE4" i="26"/>
  <c r="HK11" i="26"/>
  <c r="JO8" i="26"/>
  <c r="KQ11" i="26"/>
  <c r="KQ8" i="26"/>
  <c r="LS11" i="26"/>
  <c r="NW8" i="26"/>
  <c r="OY11" i="26"/>
  <c r="OY8" i="26"/>
  <c r="QA11" i="26"/>
  <c r="SE8" i="26"/>
  <c r="FD14" i="23"/>
  <c r="FK14" i="23" s="1"/>
  <c r="HT10" i="23"/>
  <c r="IA10" i="23" s="1"/>
  <c r="HT14" i="23"/>
  <c r="LR12" i="23"/>
  <c r="LY12" i="23" s="1"/>
  <c r="MZ17" i="23"/>
  <c r="NG17" i="23" s="1"/>
  <c r="MZ18" i="23"/>
  <c r="NG18" i="23" s="1"/>
  <c r="OH12" i="23"/>
  <c r="OO12" i="23" s="1"/>
  <c r="QX12" i="23"/>
  <c r="RE12" i="23" s="1"/>
  <c r="GL4" i="23"/>
  <c r="GS4" i="23" s="1"/>
  <c r="GI31" i="19"/>
  <c r="GI30" i="19"/>
  <c r="JO12" i="19"/>
  <c r="JO15" i="19"/>
  <c r="JO17" i="19"/>
  <c r="KQ31" i="19"/>
  <c r="KQ30" i="19"/>
  <c r="OY31" i="19"/>
  <c r="OY30" i="19"/>
  <c r="GI32" i="19"/>
  <c r="GI21" i="19"/>
  <c r="GI28" i="19"/>
  <c r="HK18" i="19"/>
  <c r="HK20" i="19"/>
  <c r="HK33" i="19"/>
  <c r="KQ32" i="19"/>
  <c r="KQ21" i="19"/>
  <c r="KQ28" i="19"/>
  <c r="OY32" i="19"/>
  <c r="OY21" i="19"/>
  <c r="FG25" i="19"/>
  <c r="FG24" i="19"/>
  <c r="GI10" i="19"/>
  <c r="GI14" i="19"/>
  <c r="GI11" i="19"/>
  <c r="GI8" i="19"/>
  <c r="KQ8" i="19"/>
  <c r="OY8" i="19"/>
  <c r="KQ7" i="19"/>
  <c r="KQ5" i="19"/>
  <c r="KQ13" i="19"/>
  <c r="LS18" i="19"/>
  <c r="LS20" i="19"/>
  <c r="LS33" i="19"/>
  <c r="LS27" i="19"/>
  <c r="OY28" i="19"/>
  <c r="QA18" i="19"/>
  <c r="QA20" i="19"/>
  <c r="QA33" i="19"/>
  <c r="QA27" i="19"/>
  <c r="FG4" i="19"/>
  <c r="FG12" i="19"/>
  <c r="FG15" i="19"/>
  <c r="FG17" i="19"/>
  <c r="HK29" i="19"/>
  <c r="HK22" i="19"/>
  <c r="JO4" i="19"/>
  <c r="LS29" i="19"/>
  <c r="LS22" i="19"/>
  <c r="NW4" i="19"/>
  <c r="NW12" i="19"/>
  <c r="NW15" i="19"/>
  <c r="NW17" i="19"/>
  <c r="QA29" i="19"/>
  <c r="QA22" i="19"/>
  <c r="SE4" i="19"/>
  <c r="SE12" i="19"/>
  <c r="SE15" i="19"/>
  <c r="SE17" i="19"/>
  <c r="HK10" i="19"/>
  <c r="HK14" i="19"/>
  <c r="HK11" i="19"/>
  <c r="HK8" i="19"/>
  <c r="HK31" i="19"/>
  <c r="HK30" i="19"/>
  <c r="IM4" i="19"/>
  <c r="IM12" i="19"/>
  <c r="IM15" i="19"/>
  <c r="IM17" i="19"/>
  <c r="IM25" i="19"/>
  <c r="IM24" i="19"/>
  <c r="LS10" i="19"/>
  <c r="LS14" i="19"/>
  <c r="LS11" i="19"/>
  <c r="LS8" i="19"/>
  <c r="LS31" i="19"/>
  <c r="LS30" i="19"/>
  <c r="MU4" i="19"/>
  <c r="MU12" i="19"/>
  <c r="MU15" i="19"/>
  <c r="MU17" i="19"/>
  <c r="MU25" i="19"/>
  <c r="MU24" i="19"/>
  <c r="QA10" i="19"/>
  <c r="QA14" i="19"/>
  <c r="QA11" i="19"/>
  <c r="QA8" i="19"/>
  <c r="QA31" i="19"/>
  <c r="QA30" i="19"/>
  <c r="RC4" i="19"/>
  <c r="RC12" i="19"/>
  <c r="RC15" i="19"/>
  <c r="RC17" i="19"/>
  <c r="RC25" i="19"/>
  <c r="RC24" i="19"/>
  <c r="EE18" i="19"/>
  <c r="EE20" i="19"/>
  <c r="EE33" i="19"/>
  <c r="EE27" i="19"/>
  <c r="EE29" i="19"/>
  <c r="EE22" i="19"/>
  <c r="FG32" i="19"/>
  <c r="FG21" i="19"/>
  <c r="FG28" i="19"/>
  <c r="IM18" i="19"/>
  <c r="IM20" i="19"/>
  <c r="IM33" i="19"/>
  <c r="IM27" i="19"/>
  <c r="IM29" i="19"/>
  <c r="IM22" i="19"/>
  <c r="JO7" i="19"/>
  <c r="JO5" i="19"/>
  <c r="JO13" i="19"/>
  <c r="JO32" i="19"/>
  <c r="JO21" i="19"/>
  <c r="JO28" i="19"/>
  <c r="MU18" i="19"/>
  <c r="MU20" i="19"/>
  <c r="MU33" i="19"/>
  <c r="MU27" i="19"/>
  <c r="MU29" i="19"/>
  <c r="MU22" i="19"/>
  <c r="NW7" i="19"/>
  <c r="NW5" i="19"/>
  <c r="NW13" i="19"/>
  <c r="NW32" i="19"/>
  <c r="NW21" i="19"/>
  <c r="NW28" i="19"/>
  <c r="RC18" i="19"/>
  <c r="RC20" i="19"/>
  <c r="RC33" i="19"/>
  <c r="RC27" i="19"/>
  <c r="RC29" i="19"/>
  <c r="RC22" i="19"/>
  <c r="SE7" i="19"/>
  <c r="SE5" i="19"/>
  <c r="SE13" i="19"/>
  <c r="SE32" i="19"/>
  <c r="SE21" i="19"/>
  <c r="SE28" i="19"/>
  <c r="EE6" i="27"/>
  <c r="EE15" i="27"/>
  <c r="GI13" i="27"/>
  <c r="HK4" i="27"/>
  <c r="HK9" i="27"/>
  <c r="HK16" i="27"/>
  <c r="IM6" i="27"/>
  <c r="IM15" i="27"/>
  <c r="KQ13" i="27"/>
  <c r="LS4" i="27"/>
  <c r="LS9" i="27"/>
  <c r="LS16" i="27"/>
  <c r="MU6" i="27"/>
  <c r="MU15" i="27"/>
  <c r="OY13" i="27"/>
  <c r="QA4" i="27"/>
  <c r="QA9" i="27"/>
  <c r="QA16" i="27"/>
  <c r="RC6" i="27"/>
  <c r="RC15" i="27"/>
  <c r="SE10" i="27"/>
  <c r="EE5" i="27"/>
  <c r="EE10" i="27"/>
  <c r="EE14" i="27"/>
  <c r="EE12" i="27"/>
  <c r="FG7" i="27"/>
  <c r="HK8" i="27"/>
  <c r="IM5" i="27"/>
  <c r="IM10" i="27"/>
  <c r="IM14" i="27"/>
  <c r="IM12" i="27"/>
  <c r="JO7" i="27"/>
  <c r="LS8" i="27"/>
  <c r="MU5" i="27"/>
  <c r="MU10" i="27"/>
  <c r="MU14" i="27"/>
  <c r="MU12" i="27"/>
  <c r="NW7" i="27"/>
  <c r="QA8" i="27"/>
  <c r="RC5" i="27"/>
  <c r="RC10" i="27"/>
  <c r="RC14" i="27"/>
  <c r="RC12" i="27"/>
  <c r="SE7" i="27"/>
  <c r="SE13" i="27"/>
  <c r="EE13" i="27"/>
  <c r="FG4" i="27"/>
  <c r="FG9" i="27"/>
  <c r="FG16" i="27"/>
  <c r="GI6" i="27"/>
  <c r="GI15" i="27"/>
  <c r="IM13" i="27"/>
  <c r="JO4" i="27"/>
  <c r="JO9" i="27"/>
  <c r="JO16" i="27"/>
  <c r="KQ6" i="27"/>
  <c r="KQ15" i="27"/>
  <c r="MU13" i="27"/>
  <c r="NW4" i="27"/>
  <c r="NW9" i="27"/>
  <c r="NW16" i="27"/>
  <c r="OY6" i="27"/>
  <c r="OY15" i="27"/>
  <c r="RC13" i="27"/>
  <c r="SE4" i="27"/>
  <c r="SE9" i="27"/>
  <c r="SE16" i="27"/>
  <c r="GF9" i="26"/>
  <c r="CX8" i="26"/>
  <c r="IM5" i="26"/>
  <c r="IM13" i="26"/>
  <c r="LS5" i="26"/>
  <c r="MU5" i="26"/>
  <c r="MU13" i="26"/>
  <c r="QA5" i="26"/>
  <c r="QA13" i="26"/>
  <c r="RC5" i="26"/>
  <c r="RC13" i="26"/>
  <c r="IM14" i="26"/>
  <c r="IM6" i="26"/>
  <c r="JO14" i="26"/>
  <c r="JO6" i="26"/>
  <c r="MU14" i="26"/>
  <c r="MU6" i="26"/>
  <c r="NW14" i="26"/>
  <c r="NW6" i="26"/>
  <c r="RC14" i="26"/>
  <c r="RC6" i="26"/>
  <c r="SE14" i="26"/>
  <c r="SE6" i="26"/>
  <c r="FD4" i="23"/>
  <c r="FK4" i="23" s="1"/>
  <c r="GL17" i="23"/>
  <c r="GS17" i="23" s="1"/>
  <c r="HT8" i="23"/>
  <c r="IA8" i="23" s="1"/>
  <c r="KJ5" i="23"/>
  <c r="KQ5" i="23" s="1"/>
  <c r="KJ8" i="23"/>
  <c r="KQ8" i="23" s="1"/>
  <c r="MZ12" i="23"/>
  <c r="NG12" i="23" s="1"/>
  <c r="MZ15" i="23"/>
  <c r="NG15" i="23" s="1"/>
  <c r="PP7" i="23"/>
  <c r="PW7" i="23" s="1"/>
  <c r="PP18" i="23"/>
  <c r="PW18" i="23" s="1"/>
  <c r="QX13" i="23"/>
  <c r="RE13" i="23" s="1"/>
  <c r="QX15" i="23"/>
  <c r="RE15" i="23" s="1"/>
  <c r="TN18" i="23"/>
  <c r="TU18" i="23" s="1"/>
  <c r="SF17" i="23"/>
  <c r="SM17" i="23" s="1"/>
  <c r="SF7" i="23"/>
  <c r="SM7" i="23" s="1"/>
  <c r="SF10" i="23"/>
  <c r="SM10" i="23" s="1"/>
  <c r="TN15" i="23"/>
  <c r="TU15" i="23" s="1"/>
  <c r="SF14" i="23"/>
  <c r="SM14" i="23" s="1"/>
  <c r="DV17" i="23"/>
  <c r="EC17" i="23" s="1"/>
  <c r="DV11" i="23"/>
  <c r="EC11" i="23" s="1"/>
  <c r="GL18" i="23"/>
  <c r="GS18" i="23" s="1"/>
  <c r="HT17" i="23"/>
  <c r="IA17" i="23" s="1"/>
  <c r="HT7" i="23"/>
  <c r="IA7" i="23" s="1"/>
  <c r="HT18" i="23"/>
  <c r="IA18" i="23" s="1"/>
  <c r="JB4" i="23"/>
  <c r="JI4" i="23" s="1"/>
  <c r="JB17" i="23"/>
  <c r="JI17" i="23" s="1"/>
  <c r="JB7" i="23"/>
  <c r="JI7" i="23" s="1"/>
  <c r="JB18" i="23"/>
  <c r="JI18" i="23" s="1"/>
  <c r="JB11" i="23"/>
  <c r="JI11" i="23" s="1"/>
  <c r="KJ4" i="23"/>
  <c r="KQ4" i="23" s="1"/>
  <c r="KJ17" i="23"/>
  <c r="KQ17" i="23" s="1"/>
  <c r="KJ7" i="23"/>
  <c r="KQ7" i="23" s="1"/>
  <c r="KJ18" i="23"/>
  <c r="KQ18" i="23" s="1"/>
  <c r="LR11" i="23"/>
  <c r="LY11" i="23" s="1"/>
  <c r="MZ4" i="23"/>
  <c r="NG4" i="23" s="1"/>
  <c r="MZ11" i="23"/>
  <c r="NG11" i="23" s="1"/>
  <c r="OH4" i="23"/>
  <c r="OO4" i="23" s="1"/>
  <c r="TN6" i="23"/>
  <c r="TU6" i="23" s="1"/>
  <c r="TN9" i="23"/>
  <c r="TU9" i="23" s="1"/>
  <c r="TN13" i="23"/>
  <c r="TU13" i="23" s="1"/>
  <c r="UV14" i="23"/>
  <c r="VC14" i="23" s="1"/>
  <c r="SF15" i="23"/>
  <c r="SM15" i="23" s="1"/>
  <c r="VC16" i="23"/>
  <c r="DV6" i="23"/>
  <c r="EC6" i="23" s="1"/>
  <c r="DV13" i="23"/>
  <c r="EC13" i="23" s="1"/>
  <c r="DV15" i="23"/>
  <c r="EC15" i="23" s="1"/>
  <c r="FD16" i="23"/>
  <c r="FK16" i="23" s="1"/>
  <c r="FD9" i="23"/>
  <c r="FK9" i="23" s="1"/>
  <c r="FD12" i="23"/>
  <c r="FK12" i="23" s="1"/>
  <c r="GL12" i="23"/>
  <c r="GS12" i="23" s="1"/>
  <c r="GL13" i="23"/>
  <c r="GS13" i="23" s="1"/>
  <c r="GL15" i="23"/>
  <c r="GS15" i="23" s="1"/>
  <c r="HT16" i="23"/>
  <c r="IA16" i="23" s="1"/>
  <c r="HT12" i="23"/>
  <c r="IA12" i="23" s="1"/>
  <c r="HT13" i="23"/>
  <c r="IA13" i="23" s="1"/>
  <c r="HT15" i="23"/>
  <c r="IA15" i="23" s="1"/>
  <c r="KJ12" i="23"/>
  <c r="KQ12" i="23" s="1"/>
  <c r="KJ15" i="23"/>
  <c r="KQ15" i="23" s="1"/>
  <c r="LR6" i="23"/>
  <c r="LY6" i="23" s="1"/>
  <c r="LR9" i="23"/>
  <c r="LY9" i="23" s="1"/>
  <c r="MZ16" i="23"/>
  <c r="NG16" i="23" s="1"/>
  <c r="MZ5" i="23"/>
  <c r="NG5" i="23" s="1"/>
  <c r="MZ6" i="23"/>
  <c r="NG6" i="23" s="1"/>
  <c r="MZ9" i="23"/>
  <c r="NG9" i="23" s="1"/>
  <c r="OH16" i="23"/>
  <c r="OO16" i="23" s="1"/>
  <c r="OH6" i="23"/>
  <c r="OO6" i="23" s="1"/>
  <c r="OH9" i="23"/>
  <c r="OO9" i="23" s="1"/>
  <c r="PP10" i="23"/>
  <c r="PW10" i="23" s="1"/>
  <c r="TN11" i="23"/>
  <c r="TU11" i="23" s="1"/>
  <c r="PP12" i="23"/>
  <c r="PW12" i="23" s="1"/>
  <c r="PP13" i="23"/>
  <c r="PW13" i="23" s="1"/>
  <c r="PP15" i="23"/>
  <c r="PW15" i="23" s="1"/>
  <c r="QX16" i="23"/>
  <c r="RE16" i="23" s="1"/>
  <c r="QX14" i="23"/>
  <c r="RE14" i="23" s="1"/>
  <c r="EE7" i="21"/>
  <c r="EE17" i="21"/>
  <c r="EE11" i="21"/>
  <c r="EE18" i="21"/>
  <c r="FG9" i="21"/>
  <c r="FG22" i="21"/>
  <c r="FG26" i="21"/>
  <c r="FG15" i="21"/>
  <c r="GI4" i="21"/>
  <c r="GI10" i="21"/>
  <c r="GI8" i="21"/>
  <c r="GI19" i="21"/>
  <c r="GI6" i="21"/>
  <c r="HK5" i="21"/>
  <c r="HK14" i="21"/>
  <c r="HK13" i="21"/>
  <c r="HK24" i="21"/>
  <c r="HK23" i="21"/>
  <c r="IM7" i="21"/>
  <c r="IM17" i="21"/>
  <c r="IM11" i="21"/>
  <c r="IM18" i="21"/>
  <c r="JO9" i="21"/>
  <c r="JO22" i="21"/>
  <c r="JO26" i="21"/>
  <c r="JO15" i="21"/>
  <c r="KQ4" i="21"/>
  <c r="KQ10" i="21"/>
  <c r="KQ8" i="21"/>
  <c r="KQ19" i="21"/>
  <c r="KQ6" i="21"/>
  <c r="LS5" i="21"/>
  <c r="LS14" i="21"/>
  <c r="LS13" i="21"/>
  <c r="LS24" i="21"/>
  <c r="LS23" i="21"/>
  <c r="MU7" i="21"/>
  <c r="MU17" i="21"/>
  <c r="MU11" i="21"/>
  <c r="MU18" i="21"/>
  <c r="NW9" i="21"/>
  <c r="NW22" i="21"/>
  <c r="NW26" i="21"/>
  <c r="NW15" i="21"/>
  <c r="OY4" i="21"/>
  <c r="OY10" i="21"/>
  <c r="OY8" i="21"/>
  <c r="OY19" i="21"/>
  <c r="OY6" i="21"/>
  <c r="QA5" i="21"/>
  <c r="QA14" i="21"/>
  <c r="SE15" i="21"/>
  <c r="UH18" i="21"/>
  <c r="UC18" i="21"/>
  <c r="EE5" i="21"/>
  <c r="EE14" i="21"/>
  <c r="EE13" i="21"/>
  <c r="EE24" i="21"/>
  <c r="EE23" i="21"/>
  <c r="FG7" i="21"/>
  <c r="FG17" i="21"/>
  <c r="FG11" i="21"/>
  <c r="FG18" i="21"/>
  <c r="GI9" i="21"/>
  <c r="GI22" i="21"/>
  <c r="GI26" i="21"/>
  <c r="GI15" i="21"/>
  <c r="HK4" i="21"/>
  <c r="HK10" i="21"/>
  <c r="HK8" i="21"/>
  <c r="HK19" i="21"/>
  <c r="HK6" i="21"/>
  <c r="IM5" i="21"/>
  <c r="IM14" i="21"/>
  <c r="IM13" i="21"/>
  <c r="IM24" i="21"/>
  <c r="IM23" i="21"/>
  <c r="JO7" i="21"/>
  <c r="JO17" i="21"/>
  <c r="JO11" i="21"/>
  <c r="JO18" i="21"/>
  <c r="KQ9" i="21"/>
  <c r="KQ22" i="21"/>
  <c r="KQ26" i="21"/>
  <c r="KQ15" i="21"/>
  <c r="LS4" i="21"/>
  <c r="LS10" i="21"/>
  <c r="LS8" i="21"/>
  <c r="LS19" i="21"/>
  <c r="LS6" i="21"/>
  <c r="MU5" i="21"/>
  <c r="MU14" i="21"/>
  <c r="MU13" i="21"/>
  <c r="MU24" i="21"/>
  <c r="MU23" i="21"/>
  <c r="NW7" i="21"/>
  <c r="NW17" i="21"/>
  <c r="NW11" i="21"/>
  <c r="NW18" i="21"/>
  <c r="OY9" i="21"/>
  <c r="OY22" i="21"/>
  <c r="OY26" i="21"/>
  <c r="OY15" i="21"/>
  <c r="QA4" i="21"/>
  <c r="QA10" i="21"/>
  <c r="QA8" i="21"/>
  <c r="QA19" i="21"/>
  <c r="QA6" i="21"/>
  <c r="RC5" i="21"/>
  <c r="RC14" i="21"/>
  <c r="RC13" i="21"/>
  <c r="RC24" i="21"/>
  <c r="RC23" i="21"/>
  <c r="SE7" i="21"/>
  <c r="SE17" i="21"/>
  <c r="SE11" i="21"/>
  <c r="SE18" i="21"/>
  <c r="EE4" i="21"/>
  <c r="EE10" i="21"/>
  <c r="EE8" i="21"/>
  <c r="EE19" i="21"/>
  <c r="EE6" i="21"/>
  <c r="FG5" i="21"/>
  <c r="FG14" i="21"/>
  <c r="FG13" i="21"/>
  <c r="FG24" i="21"/>
  <c r="FG23" i="21"/>
  <c r="GI7" i="21"/>
  <c r="GI17" i="21"/>
  <c r="GI11" i="21"/>
  <c r="GI18" i="21"/>
  <c r="HK9" i="21"/>
  <c r="HK22" i="21"/>
  <c r="HK26" i="21"/>
  <c r="HK15" i="21"/>
  <c r="IM4" i="21"/>
  <c r="IM10" i="21"/>
  <c r="IM8" i="21"/>
  <c r="IM19" i="21"/>
  <c r="IM6" i="21"/>
  <c r="JO5" i="21"/>
  <c r="JO14" i="21"/>
  <c r="JO13" i="21"/>
  <c r="JO24" i="21"/>
  <c r="JO23" i="21"/>
  <c r="KQ7" i="21"/>
  <c r="KQ17" i="21"/>
  <c r="KQ11" i="21"/>
  <c r="KQ18" i="21"/>
  <c r="LS9" i="21"/>
  <c r="LS22" i="21"/>
  <c r="LS26" i="21"/>
  <c r="LS15" i="21"/>
  <c r="MU4" i="21"/>
  <c r="MU10" i="21"/>
  <c r="MU8" i="21"/>
  <c r="MU19" i="21"/>
  <c r="MU6" i="21"/>
  <c r="NW5" i="21"/>
  <c r="NW14" i="21"/>
  <c r="NW13" i="21"/>
  <c r="NW24" i="21"/>
  <c r="NW23" i="21"/>
  <c r="OY7" i="21"/>
  <c r="OY17" i="21"/>
  <c r="OY11" i="21"/>
  <c r="OY18" i="21"/>
  <c r="QA9" i="21"/>
  <c r="QA22" i="21"/>
  <c r="QA26" i="21"/>
  <c r="QA15" i="21"/>
  <c r="RC4" i="21"/>
  <c r="RC10" i="21"/>
  <c r="RC8" i="21"/>
  <c r="RC19" i="21"/>
  <c r="RC6" i="21"/>
  <c r="SE5" i="21"/>
  <c r="SE14" i="21"/>
  <c r="SE13" i="21"/>
  <c r="SE24" i="21"/>
  <c r="SE23" i="21"/>
  <c r="EE9" i="21"/>
  <c r="EE22" i="21"/>
  <c r="EE26" i="21"/>
  <c r="EE15" i="21"/>
  <c r="FG4" i="21"/>
  <c r="FG10" i="21"/>
  <c r="FG8" i="21"/>
  <c r="FG19" i="21"/>
  <c r="FG6" i="21"/>
  <c r="GI5" i="21"/>
  <c r="GI14" i="21"/>
  <c r="GI13" i="21"/>
  <c r="GI24" i="21"/>
  <c r="GI23" i="21"/>
  <c r="HK7" i="21"/>
  <c r="HK17" i="21"/>
  <c r="HK11" i="21"/>
  <c r="HK18" i="21"/>
  <c r="IM9" i="21"/>
  <c r="IM22" i="21"/>
  <c r="IM26" i="21"/>
  <c r="IM15" i="21"/>
  <c r="JO4" i="21"/>
  <c r="JO10" i="21"/>
  <c r="JO8" i="21"/>
  <c r="JO19" i="21"/>
  <c r="JO6" i="21"/>
  <c r="KQ5" i="21"/>
  <c r="KQ14" i="21"/>
  <c r="KQ13" i="21"/>
  <c r="KQ24" i="21"/>
  <c r="KQ23" i="21"/>
  <c r="LS7" i="21"/>
  <c r="LS17" i="21"/>
  <c r="LS11" i="21"/>
  <c r="LS18" i="21"/>
  <c r="MU9" i="21"/>
  <c r="MU22" i="21"/>
  <c r="MU26" i="21"/>
  <c r="MU15" i="21"/>
  <c r="NW4" i="21"/>
  <c r="NW10" i="21"/>
  <c r="NW8" i="21"/>
  <c r="NW19" i="21"/>
  <c r="NW6" i="21"/>
  <c r="OY5" i="21"/>
  <c r="OY14" i="21"/>
  <c r="OY13" i="21"/>
  <c r="OY24" i="21"/>
  <c r="OY23" i="21"/>
  <c r="QA7" i="21"/>
  <c r="QA17" i="21"/>
  <c r="QA11" i="21"/>
  <c r="QA18" i="21"/>
  <c r="RC9" i="21"/>
  <c r="RC22" i="21"/>
  <c r="RC26" i="21"/>
  <c r="RC15" i="21"/>
  <c r="SE4" i="21"/>
  <c r="SE10" i="21"/>
  <c r="SE8" i="21"/>
  <c r="SE19" i="21"/>
  <c r="SE6" i="21"/>
  <c r="EE10" i="19"/>
  <c r="EE14" i="19"/>
  <c r="EE11" i="19"/>
  <c r="EE8" i="19"/>
  <c r="EE31" i="19"/>
  <c r="EE30" i="19"/>
  <c r="FG18" i="19"/>
  <c r="FG20" i="19"/>
  <c r="FG33" i="19"/>
  <c r="FG27" i="19"/>
  <c r="EE17" i="19"/>
  <c r="EE25" i="19"/>
  <c r="EE24" i="19"/>
  <c r="FG7" i="19"/>
  <c r="FG5" i="19"/>
  <c r="FG13" i="19"/>
  <c r="EE4" i="19"/>
  <c r="EE12" i="19"/>
  <c r="EE15" i="19"/>
  <c r="EE7" i="19"/>
  <c r="EE5" i="19"/>
  <c r="EE13" i="19"/>
  <c r="EE32" i="19"/>
  <c r="EE21" i="19"/>
  <c r="EE28" i="19"/>
  <c r="FG10" i="19"/>
  <c r="FG14" i="19"/>
  <c r="FG11" i="19"/>
  <c r="FG29" i="19"/>
  <c r="FG22" i="19"/>
  <c r="GI4" i="19"/>
  <c r="GI12" i="19"/>
  <c r="GI15" i="19"/>
  <c r="GI17" i="19"/>
  <c r="GI25" i="19"/>
  <c r="GI24" i="19"/>
  <c r="HK7" i="19"/>
  <c r="HK5" i="19"/>
  <c r="HK13" i="19"/>
  <c r="HK32" i="19"/>
  <c r="HK21" i="19"/>
  <c r="HK28" i="19"/>
  <c r="IM10" i="19"/>
  <c r="IM14" i="19"/>
  <c r="IM11" i="19"/>
  <c r="IM8" i="19"/>
  <c r="IM31" i="19"/>
  <c r="IM30" i="19"/>
  <c r="JO18" i="19"/>
  <c r="JO20" i="19"/>
  <c r="JO33" i="19"/>
  <c r="JO27" i="19"/>
  <c r="JO29" i="19"/>
  <c r="JO22" i="19"/>
  <c r="KQ4" i="19"/>
  <c r="KQ12" i="19"/>
  <c r="KQ15" i="19"/>
  <c r="KQ17" i="19"/>
  <c r="KQ25" i="19"/>
  <c r="KQ24" i="19"/>
  <c r="LS7" i="19"/>
  <c r="LS5" i="19"/>
  <c r="LS13" i="19"/>
  <c r="LS32" i="19"/>
  <c r="LS21" i="19"/>
  <c r="LS28" i="19"/>
  <c r="MU10" i="19"/>
  <c r="MU14" i="19"/>
  <c r="MU11" i="19"/>
  <c r="MU8" i="19"/>
  <c r="MU31" i="19"/>
  <c r="MU30" i="19"/>
  <c r="NW18" i="19"/>
  <c r="NW20" i="19"/>
  <c r="NW33" i="19"/>
  <c r="NW27" i="19"/>
  <c r="NW29" i="19"/>
  <c r="NW22" i="19"/>
  <c r="OY4" i="19"/>
  <c r="OY12" i="19"/>
  <c r="OY15" i="19"/>
  <c r="OY17" i="19"/>
  <c r="OY25" i="19"/>
  <c r="OY24" i="19"/>
  <c r="QA7" i="19"/>
  <c r="QA5" i="19"/>
  <c r="QA13" i="19"/>
  <c r="QA32" i="19"/>
  <c r="QA21" i="19"/>
  <c r="QA28" i="19"/>
  <c r="RC10" i="19"/>
  <c r="RC14" i="19"/>
  <c r="RC11" i="19"/>
  <c r="RC8" i="19"/>
  <c r="RC31" i="19"/>
  <c r="RC30" i="19"/>
  <c r="SE18" i="19"/>
  <c r="SE20" i="19"/>
  <c r="SE33" i="19"/>
  <c r="SE27" i="19"/>
  <c r="SE29" i="19"/>
  <c r="SE22" i="19"/>
  <c r="FG8" i="19"/>
  <c r="FG31" i="19"/>
  <c r="FG30" i="19"/>
  <c r="GI18" i="19"/>
  <c r="GI20" i="19"/>
  <c r="GI33" i="19"/>
  <c r="GI27" i="19"/>
  <c r="GI29" i="19"/>
  <c r="GI22" i="19"/>
  <c r="HK4" i="19"/>
  <c r="HK12" i="19"/>
  <c r="HK15" i="19"/>
  <c r="HK17" i="19"/>
  <c r="HK25" i="19"/>
  <c r="HK24" i="19"/>
  <c r="IM7" i="19"/>
  <c r="IM5" i="19"/>
  <c r="IM13" i="19"/>
  <c r="IM32" i="19"/>
  <c r="IM21" i="19"/>
  <c r="IM28" i="19"/>
  <c r="JO10" i="19"/>
  <c r="JO14" i="19"/>
  <c r="JO11" i="19"/>
  <c r="JO8" i="19"/>
  <c r="JO31" i="19"/>
  <c r="JO30" i="19"/>
  <c r="KQ18" i="19"/>
  <c r="KQ20" i="19"/>
  <c r="KQ33" i="19"/>
  <c r="KQ27" i="19"/>
  <c r="KQ29" i="19"/>
  <c r="KQ22" i="19"/>
  <c r="LS4" i="19"/>
  <c r="LS12" i="19"/>
  <c r="LS15" i="19"/>
  <c r="LS17" i="19"/>
  <c r="LS25" i="19"/>
  <c r="LS24" i="19"/>
  <c r="MU7" i="19"/>
  <c r="MU5" i="19"/>
  <c r="MU13" i="19"/>
  <c r="MU32" i="19"/>
  <c r="MU21" i="19"/>
  <c r="MU28" i="19"/>
  <c r="NW10" i="19"/>
  <c r="NW14" i="19"/>
  <c r="NW11" i="19"/>
  <c r="NW8" i="19"/>
  <c r="NW31" i="19"/>
  <c r="NW30" i="19"/>
  <c r="OY18" i="19"/>
  <c r="OY20" i="19"/>
  <c r="OY33" i="19"/>
  <c r="OY27" i="19"/>
  <c r="OY29" i="19"/>
  <c r="OY22" i="19"/>
  <c r="QA4" i="19"/>
  <c r="QA12" i="19"/>
  <c r="QA15" i="19"/>
  <c r="QA17" i="19"/>
  <c r="QA25" i="19"/>
  <c r="QA24" i="19"/>
  <c r="RC7" i="19"/>
  <c r="RC5" i="19"/>
  <c r="RC13" i="19"/>
  <c r="RC32" i="19"/>
  <c r="RC21" i="19"/>
  <c r="RC28" i="19"/>
  <c r="SE10" i="19"/>
  <c r="SE14" i="19"/>
  <c r="SE11" i="19"/>
  <c r="SE8" i="19"/>
  <c r="SE31" i="19"/>
  <c r="SE30" i="19"/>
  <c r="N12" i="27"/>
  <c r="O12" i="27" s="1"/>
  <c r="SE8" i="27"/>
  <c r="EE7" i="27"/>
  <c r="EE9" i="27"/>
  <c r="EE16" i="27"/>
  <c r="FG6" i="27"/>
  <c r="FG15" i="27"/>
  <c r="FG14" i="27"/>
  <c r="FG12" i="27"/>
  <c r="GI7" i="27"/>
  <c r="GI9" i="27"/>
  <c r="GI16" i="27"/>
  <c r="HK6" i="27"/>
  <c r="HK15" i="27"/>
  <c r="HK14" i="27"/>
  <c r="HK12" i="27"/>
  <c r="IM7" i="27"/>
  <c r="IM9" i="27"/>
  <c r="IM16" i="27"/>
  <c r="JO6" i="27"/>
  <c r="JO15" i="27"/>
  <c r="JO14" i="27"/>
  <c r="JO12" i="27"/>
  <c r="KQ7" i="27"/>
  <c r="KQ9" i="27"/>
  <c r="KQ16" i="27"/>
  <c r="LS6" i="27"/>
  <c r="LS15" i="27"/>
  <c r="LS14" i="27"/>
  <c r="LS12" i="27"/>
  <c r="MU7" i="27"/>
  <c r="MU9" i="27"/>
  <c r="MU16" i="27"/>
  <c r="NW6" i="27"/>
  <c r="NW15" i="27"/>
  <c r="NW14" i="27"/>
  <c r="NW12" i="27"/>
  <c r="OY7" i="27"/>
  <c r="OY9" i="27"/>
  <c r="OY16" i="27"/>
  <c r="QA6" i="27"/>
  <c r="QA15" i="27"/>
  <c r="QA14" i="27"/>
  <c r="QA12" i="27"/>
  <c r="RC7" i="27"/>
  <c r="RC9" i="27"/>
  <c r="RC16" i="27"/>
  <c r="SE6" i="27"/>
  <c r="SE15" i="27"/>
  <c r="SE14" i="27"/>
  <c r="SE12" i="27"/>
  <c r="EE4" i="27"/>
  <c r="EE8" i="27"/>
  <c r="FG5" i="27"/>
  <c r="FG10" i="27"/>
  <c r="FG13" i="27"/>
  <c r="GI4" i="27"/>
  <c r="GI8" i="27"/>
  <c r="HK5" i="27"/>
  <c r="HK10" i="27"/>
  <c r="HK13" i="27"/>
  <c r="IM4" i="27"/>
  <c r="IM8" i="27"/>
  <c r="JO5" i="27"/>
  <c r="JO10" i="27"/>
  <c r="JO13" i="27"/>
  <c r="KQ4" i="27"/>
  <c r="KQ8" i="27"/>
  <c r="LS5" i="27"/>
  <c r="LS10" i="27"/>
  <c r="LS13" i="27"/>
  <c r="MU4" i="27"/>
  <c r="MU8" i="27"/>
  <c r="NW5" i="27"/>
  <c r="NW10" i="27"/>
  <c r="NW13" i="27"/>
  <c r="OY4" i="27"/>
  <c r="OY8" i="27"/>
  <c r="QA5" i="27"/>
  <c r="QA10" i="27"/>
  <c r="QA13" i="27"/>
  <c r="RC4" i="27"/>
  <c r="RC8" i="27"/>
  <c r="SE5" i="27"/>
  <c r="GF4" i="26"/>
  <c r="GI11" i="26"/>
  <c r="GF8" i="26"/>
  <c r="UH8" i="26"/>
  <c r="GI14" i="26"/>
  <c r="GF13" i="26"/>
  <c r="GI6" i="26"/>
  <c r="HK4" i="26"/>
  <c r="HK9" i="26"/>
  <c r="HK8" i="26"/>
  <c r="IM11" i="26"/>
  <c r="JO5" i="26"/>
  <c r="EE5" i="26"/>
  <c r="EE13" i="26"/>
  <c r="FG14" i="26"/>
  <c r="FG6" i="26"/>
  <c r="GI4" i="26"/>
  <c r="GF11" i="26"/>
  <c r="GI8" i="26"/>
  <c r="EE14" i="26"/>
  <c r="EE6" i="26"/>
  <c r="FG4" i="26"/>
  <c r="FG9" i="26"/>
  <c r="FG8" i="26"/>
  <c r="GF14" i="26"/>
  <c r="GI13" i="26"/>
  <c r="HK5" i="26"/>
  <c r="HK13" i="26"/>
  <c r="LS13" i="26"/>
  <c r="SE9" i="26"/>
  <c r="EE4" i="26"/>
  <c r="EE9" i="26"/>
  <c r="EE8" i="26"/>
  <c r="FG11" i="26"/>
  <c r="GI9" i="26"/>
  <c r="HK14" i="26"/>
  <c r="HK6" i="26"/>
  <c r="IM4" i="26"/>
  <c r="IM9" i="26"/>
  <c r="IM8" i="26"/>
  <c r="JO11" i="26"/>
  <c r="KQ5" i="26"/>
  <c r="KQ13" i="26"/>
  <c r="LS14" i="26"/>
  <c r="LS6" i="26"/>
  <c r="MU4" i="26"/>
  <c r="MU9" i="26"/>
  <c r="MU8" i="26"/>
  <c r="NW11" i="26"/>
  <c r="OY5" i="26"/>
  <c r="OY13" i="26"/>
  <c r="QA14" i="26"/>
  <c r="QA6" i="26"/>
  <c r="RC4" i="26"/>
  <c r="RC9" i="26"/>
  <c r="RC8" i="26"/>
  <c r="SE11" i="26"/>
  <c r="EE11" i="26"/>
  <c r="FG5" i="26"/>
  <c r="FG13" i="26"/>
  <c r="GI5" i="26"/>
  <c r="GF6" i="26"/>
  <c r="JO13" i="26"/>
  <c r="KQ14" i="26"/>
  <c r="KQ6" i="26"/>
  <c r="LS4" i="26"/>
  <c r="LS9" i="26"/>
  <c r="LS8" i="26"/>
  <c r="MU11" i="26"/>
  <c r="NW5" i="26"/>
  <c r="NW13" i="26"/>
  <c r="OY14" i="26"/>
  <c r="OY6" i="26"/>
  <c r="QA4" i="26"/>
  <c r="QA9" i="26"/>
  <c r="QA8" i="26"/>
  <c r="RC11" i="26"/>
  <c r="SE5" i="26"/>
  <c r="SE13" i="26"/>
  <c r="DV16" i="23"/>
  <c r="EC16" i="23" s="1"/>
  <c r="DV18" i="23"/>
  <c r="EC18" i="23" s="1"/>
  <c r="DV12" i="23"/>
  <c r="EC12" i="23" s="1"/>
  <c r="GL7" i="23"/>
  <c r="GS7" i="23" s="1"/>
  <c r="GL10" i="23"/>
  <c r="GS10" i="23" s="1"/>
  <c r="GL14" i="23"/>
  <c r="GS14" i="23" s="1"/>
  <c r="HT4" i="23"/>
  <c r="IA4" i="23" s="1"/>
  <c r="LR15" i="23"/>
  <c r="LY15" i="23" s="1"/>
  <c r="OH14" i="23"/>
  <c r="OO14" i="23" s="1"/>
  <c r="PP4" i="23"/>
  <c r="PW4" i="23" s="1"/>
  <c r="PP17" i="23"/>
  <c r="PW17" i="23" s="1"/>
  <c r="TN4" i="23"/>
  <c r="TU4" i="23" s="1"/>
  <c r="JB5" i="23"/>
  <c r="JI5" i="23" s="1"/>
  <c r="JB8" i="23"/>
  <c r="JI8" i="23" s="1"/>
  <c r="JB10" i="23"/>
  <c r="JI10" i="23" s="1"/>
  <c r="OH13" i="23"/>
  <c r="OO13" i="23" s="1"/>
  <c r="OH15" i="23"/>
  <c r="OO15" i="23" s="1"/>
  <c r="PP16" i="23"/>
  <c r="PW16" i="23" s="1"/>
  <c r="PP6" i="23"/>
  <c r="PW6" i="23" s="1"/>
  <c r="JB12" i="23"/>
  <c r="JI12" i="23" s="1"/>
  <c r="JB13" i="23"/>
  <c r="JI13" i="23" s="1"/>
  <c r="JB15" i="23"/>
  <c r="JI15" i="23" s="1"/>
  <c r="KJ9" i="23"/>
  <c r="KQ9" i="23" s="1"/>
  <c r="KJ11" i="23"/>
  <c r="KQ11" i="23" s="1"/>
  <c r="LR5" i="23"/>
  <c r="LY5" i="23" s="1"/>
  <c r="MZ13" i="23"/>
  <c r="NG13" i="23" s="1"/>
  <c r="QX8" i="23"/>
  <c r="RE8" i="23" s="1"/>
  <c r="QX10" i="23"/>
  <c r="RE10" i="23" s="1"/>
  <c r="UV17" i="23"/>
  <c r="VC17" i="23" s="1"/>
  <c r="DV4" i="23"/>
  <c r="EC4" i="23" s="1"/>
  <c r="DV10" i="23"/>
  <c r="EC10" i="23" s="1"/>
  <c r="FD13" i="23"/>
  <c r="FK13" i="23" s="1"/>
  <c r="FD15" i="23"/>
  <c r="FK15" i="23" s="1"/>
  <c r="GL16" i="23"/>
  <c r="GS16" i="23" s="1"/>
  <c r="GL6" i="23"/>
  <c r="GS6" i="23" s="1"/>
  <c r="LR4" i="23"/>
  <c r="LY4" i="23" s="1"/>
  <c r="LR17" i="23"/>
  <c r="LY17" i="23" s="1"/>
  <c r="LR7" i="23"/>
  <c r="LY7" i="23" s="1"/>
  <c r="LR18" i="23"/>
  <c r="LY18" i="23" s="1"/>
  <c r="OH17" i="23"/>
  <c r="OO17" i="23" s="1"/>
  <c r="OH18" i="23"/>
  <c r="OO18" i="23" s="1"/>
  <c r="SF18" i="23"/>
  <c r="SM18" i="23" s="1"/>
  <c r="SF12" i="23"/>
  <c r="SM12" i="23" s="1"/>
  <c r="TN16" i="23"/>
  <c r="TU16" i="23" s="1"/>
  <c r="TN12" i="23"/>
  <c r="TU12" i="23" s="1"/>
  <c r="FD17" i="23"/>
  <c r="FK17" i="23" s="1"/>
  <c r="FD18" i="23"/>
  <c r="FK18" i="23" s="1"/>
  <c r="PP14" i="23"/>
  <c r="PW14" i="23" s="1"/>
  <c r="QX4" i="23"/>
  <c r="RE4" i="23" s="1"/>
  <c r="IA14" i="23"/>
  <c r="DV9" i="23"/>
  <c r="EC9" i="23" s="1"/>
  <c r="FD6" i="23"/>
  <c r="FK6" i="23" s="1"/>
  <c r="JB14" i="23"/>
  <c r="JI14" i="23" s="1"/>
  <c r="KJ10" i="23"/>
  <c r="KQ10" i="23" s="1"/>
  <c r="LR8" i="23"/>
  <c r="LY8" i="23" s="1"/>
  <c r="SF11" i="23"/>
  <c r="SM11" i="23" s="1"/>
  <c r="DV5" i="23"/>
  <c r="EC5" i="23" s="1"/>
  <c r="KJ14" i="23"/>
  <c r="KQ14" i="23" s="1"/>
  <c r="LR10" i="23"/>
  <c r="LY10" i="23" s="1"/>
  <c r="TN5" i="23"/>
  <c r="TU5" i="23" s="1"/>
  <c r="DV8" i="23"/>
  <c r="EC8" i="23" s="1"/>
  <c r="FD5" i="23"/>
  <c r="FK5" i="23" s="1"/>
  <c r="FD11" i="23"/>
  <c r="FK11" i="23" s="1"/>
  <c r="GL9" i="23"/>
  <c r="GS9" i="23" s="1"/>
  <c r="HT6" i="23"/>
  <c r="IA6" i="23" s="1"/>
  <c r="JB16" i="23"/>
  <c r="JI16" i="23" s="1"/>
  <c r="KJ13" i="23"/>
  <c r="KQ13" i="23" s="1"/>
  <c r="LR14" i="23"/>
  <c r="LY14" i="23" s="1"/>
  <c r="MZ8" i="23"/>
  <c r="NG8" i="23" s="1"/>
  <c r="OH5" i="23"/>
  <c r="OO5" i="23" s="1"/>
  <c r="OH11" i="23"/>
  <c r="OO11" i="23" s="1"/>
  <c r="PP9" i="23"/>
  <c r="PW9" i="23" s="1"/>
  <c r="QX6" i="23"/>
  <c r="RE6" i="23" s="1"/>
  <c r="SF16" i="23"/>
  <c r="SM16" i="23" s="1"/>
  <c r="TN8" i="23"/>
  <c r="TU8" i="23" s="1"/>
  <c r="UV5" i="23"/>
  <c r="VC5" i="23" s="1"/>
  <c r="UV11" i="23"/>
  <c r="VC11" i="23" s="1"/>
  <c r="DV7" i="23"/>
  <c r="EC7" i="23" s="1"/>
  <c r="FD8" i="23"/>
  <c r="FK8" i="23" s="1"/>
  <c r="GL5" i="23"/>
  <c r="GS5" i="23" s="1"/>
  <c r="GL11" i="23"/>
  <c r="GS11" i="23" s="1"/>
  <c r="HT9" i="23"/>
  <c r="IA9" i="23" s="1"/>
  <c r="JB6" i="23"/>
  <c r="JI6" i="23" s="1"/>
  <c r="KJ16" i="23"/>
  <c r="KQ16" i="23" s="1"/>
  <c r="LR13" i="23"/>
  <c r="LY13" i="23" s="1"/>
  <c r="MZ7" i="23"/>
  <c r="NG7" i="23" s="1"/>
  <c r="MZ10" i="23"/>
  <c r="NG10" i="23" s="1"/>
  <c r="OH8" i="23"/>
  <c r="OO8" i="23" s="1"/>
  <c r="PP5" i="23"/>
  <c r="PW5" i="23" s="1"/>
  <c r="PP11" i="23"/>
  <c r="PW11" i="23" s="1"/>
  <c r="QX9" i="23"/>
  <c r="RE9" i="23" s="1"/>
  <c r="TN7" i="23"/>
  <c r="TU7" i="23" s="1"/>
  <c r="TN10" i="23"/>
  <c r="TU10" i="23" s="1"/>
  <c r="UV8" i="23"/>
  <c r="VC8" i="23" s="1"/>
  <c r="DV14" i="23"/>
  <c r="EC14" i="23" s="1"/>
  <c r="FD7" i="23"/>
  <c r="FK7" i="23" s="1"/>
  <c r="FD10" i="23"/>
  <c r="FK10" i="23" s="1"/>
  <c r="GL8" i="23"/>
  <c r="GS8" i="23" s="1"/>
  <c r="HT5" i="23"/>
  <c r="IA5" i="23" s="1"/>
  <c r="HT11" i="23"/>
  <c r="IA11" i="23" s="1"/>
  <c r="JB9" i="23"/>
  <c r="JI9" i="23" s="1"/>
  <c r="KJ6" i="23"/>
  <c r="KQ6" i="23" s="1"/>
  <c r="LR16" i="23"/>
  <c r="LY16" i="23" s="1"/>
  <c r="MZ14" i="23"/>
  <c r="NG14" i="23" s="1"/>
  <c r="OH7" i="23"/>
  <c r="OO7" i="23" s="1"/>
  <c r="OH10" i="23"/>
  <c r="OO10" i="23" s="1"/>
  <c r="PP8" i="23"/>
  <c r="PW8" i="23" s="1"/>
  <c r="QX5" i="23"/>
  <c r="RE5" i="23" s="1"/>
  <c r="QX11" i="23"/>
  <c r="RE11" i="23" s="1"/>
  <c r="SF6" i="23"/>
  <c r="SM6" i="23" s="1"/>
  <c r="SF13" i="23"/>
  <c r="SM13" i="23" s="1"/>
  <c r="TN14" i="23"/>
  <c r="TU14" i="23" s="1"/>
  <c r="VC7" i="23"/>
  <c r="UV10" i="23"/>
  <c r="VC10" i="23" s="1"/>
  <c r="SB4" i="21"/>
  <c r="SB5" i="21"/>
  <c r="SB7" i="21"/>
  <c r="SB9" i="21"/>
  <c r="SB10" i="21"/>
  <c r="SB14" i="21"/>
  <c r="SB17" i="21"/>
  <c r="SB22" i="21"/>
  <c r="SB8" i="21"/>
  <c r="SB13" i="21"/>
  <c r="SB26" i="21"/>
  <c r="SB19" i="21"/>
  <c r="SB24" i="21"/>
  <c r="SB11" i="21"/>
  <c r="SB15" i="21"/>
  <c r="SB6" i="21"/>
  <c r="SB23" i="21"/>
  <c r="SB18" i="21"/>
  <c r="QZ4" i="21"/>
  <c r="QZ5" i="21"/>
  <c r="QZ7" i="21"/>
  <c r="QZ9" i="21"/>
  <c r="QZ10" i="21"/>
  <c r="QZ14" i="21"/>
  <c r="QZ17" i="21"/>
  <c r="QZ22" i="21"/>
  <c r="QZ8" i="21"/>
  <c r="QZ13" i="21"/>
  <c r="QZ26" i="21"/>
  <c r="QZ19" i="21"/>
  <c r="QZ24" i="21"/>
  <c r="QZ11" i="21"/>
  <c r="QZ15" i="21"/>
  <c r="QZ6" i="21"/>
  <c r="QZ23" i="21"/>
  <c r="QZ18" i="21"/>
  <c r="PX4" i="21"/>
  <c r="PX5" i="21"/>
  <c r="PX7" i="21"/>
  <c r="PX9" i="21"/>
  <c r="PX10" i="21"/>
  <c r="PX14" i="21"/>
  <c r="PX17" i="21"/>
  <c r="PX22" i="21"/>
  <c r="PX8" i="21"/>
  <c r="PX13" i="21"/>
  <c r="PX26" i="21"/>
  <c r="PX19" i="21"/>
  <c r="PX24" i="21"/>
  <c r="PX11" i="21"/>
  <c r="PX15" i="21"/>
  <c r="PX6" i="21"/>
  <c r="PX23" i="21"/>
  <c r="PX18" i="21"/>
  <c r="OV4" i="21"/>
  <c r="OV5" i="21"/>
  <c r="OV7" i="21"/>
  <c r="OV9" i="21"/>
  <c r="OV10" i="21"/>
  <c r="OV14" i="21"/>
  <c r="OV17" i="21"/>
  <c r="OV22" i="21"/>
  <c r="OV8" i="21"/>
  <c r="OV13" i="21"/>
  <c r="OV26" i="21"/>
  <c r="OV19" i="21"/>
  <c r="OV24" i="21"/>
  <c r="OV11" i="21"/>
  <c r="OV15" i="21"/>
  <c r="OV6" i="21"/>
  <c r="OV23" i="21"/>
  <c r="OV18" i="21"/>
  <c r="NT4" i="21"/>
  <c r="NT9" i="21"/>
  <c r="NT17" i="21"/>
  <c r="NT24" i="21"/>
  <c r="NT23" i="21"/>
  <c r="NT7" i="21"/>
  <c r="NT14" i="21"/>
  <c r="NT8" i="21"/>
  <c r="NT19" i="21"/>
  <c r="NT6" i="21"/>
  <c r="NT5" i="21"/>
  <c r="NT10" i="21"/>
  <c r="NT22" i="21"/>
  <c r="NT13" i="21"/>
  <c r="NT26" i="21"/>
  <c r="NT11" i="21"/>
  <c r="NT15" i="21"/>
  <c r="NT18" i="21"/>
  <c r="MR4" i="21"/>
  <c r="MR5" i="21"/>
  <c r="MR7" i="21"/>
  <c r="MR9" i="21"/>
  <c r="MR10" i="21"/>
  <c r="MR14" i="21"/>
  <c r="MR17" i="21"/>
  <c r="MR22" i="21"/>
  <c r="MR8" i="21"/>
  <c r="MR13" i="21"/>
  <c r="MR26" i="21"/>
  <c r="MR19" i="21"/>
  <c r="MR24" i="21"/>
  <c r="MR11" i="21"/>
  <c r="MR15" i="21"/>
  <c r="MR6" i="21"/>
  <c r="MR23" i="21"/>
  <c r="MR18" i="21"/>
  <c r="LP4" i="21"/>
  <c r="LP5" i="21"/>
  <c r="LP7" i="21"/>
  <c r="LP9" i="21"/>
  <c r="LP10" i="21"/>
  <c r="LP14" i="21"/>
  <c r="LP17" i="21"/>
  <c r="LP22" i="21"/>
  <c r="LP8" i="21"/>
  <c r="LP13" i="21"/>
  <c r="LP26" i="21"/>
  <c r="LP19" i="21"/>
  <c r="LP24" i="21"/>
  <c r="LP11" i="21"/>
  <c r="LP15" i="21"/>
  <c r="LP6" i="21"/>
  <c r="LP23" i="21"/>
  <c r="LP18" i="21"/>
  <c r="KN4" i="21"/>
  <c r="KN5" i="21"/>
  <c r="KN7" i="21"/>
  <c r="KN9" i="21"/>
  <c r="KN10" i="21"/>
  <c r="KN14" i="21"/>
  <c r="KN17" i="21"/>
  <c r="KN22" i="21"/>
  <c r="KN8" i="21"/>
  <c r="KN13" i="21"/>
  <c r="KN26" i="21"/>
  <c r="KN19" i="21"/>
  <c r="KN24" i="21"/>
  <c r="KN11" i="21"/>
  <c r="KN15" i="21"/>
  <c r="KN6" i="21"/>
  <c r="KN23" i="21"/>
  <c r="KN18" i="21"/>
  <c r="JL4" i="21"/>
  <c r="JL5" i="21"/>
  <c r="JL7" i="21"/>
  <c r="JL9" i="21"/>
  <c r="JL10" i="21"/>
  <c r="JL14" i="21"/>
  <c r="JL17" i="21"/>
  <c r="JL22" i="21"/>
  <c r="JL8" i="21"/>
  <c r="JL13" i="21"/>
  <c r="JL26" i="21"/>
  <c r="JL19" i="21"/>
  <c r="JL24" i="21"/>
  <c r="JL11" i="21"/>
  <c r="JL15" i="21"/>
  <c r="JL6" i="21"/>
  <c r="JL23" i="21"/>
  <c r="JL18" i="21"/>
  <c r="IJ4" i="21"/>
  <c r="IJ5" i="21"/>
  <c r="IJ7" i="21"/>
  <c r="IJ9" i="21"/>
  <c r="IJ10" i="21"/>
  <c r="IJ14" i="21"/>
  <c r="IJ17" i="21"/>
  <c r="IJ22" i="21"/>
  <c r="IJ8" i="21"/>
  <c r="IJ13" i="21"/>
  <c r="IJ26" i="21"/>
  <c r="IJ19" i="21"/>
  <c r="IJ24" i="21"/>
  <c r="IJ11" i="21"/>
  <c r="IJ15" i="21"/>
  <c r="IJ6" i="21"/>
  <c r="IJ23" i="21"/>
  <c r="IJ18" i="21"/>
  <c r="HH4" i="21"/>
  <c r="HH5" i="21"/>
  <c r="HH7" i="21"/>
  <c r="HH9" i="21"/>
  <c r="HH10" i="21"/>
  <c r="HH14" i="21"/>
  <c r="HH17" i="21"/>
  <c r="HH22" i="21"/>
  <c r="HH8" i="21"/>
  <c r="HH13" i="21"/>
  <c r="HH26" i="21"/>
  <c r="HH19" i="21"/>
  <c r="HH24" i="21"/>
  <c r="HH11" i="21"/>
  <c r="HH15" i="21"/>
  <c r="HH6" i="21"/>
  <c r="HH23" i="21"/>
  <c r="HH18" i="21"/>
  <c r="GF4" i="21"/>
  <c r="GF5" i="21"/>
  <c r="GF7" i="21"/>
  <c r="GF9" i="21"/>
  <c r="GF10" i="21"/>
  <c r="GF14" i="21"/>
  <c r="GF17" i="21"/>
  <c r="GF22" i="21"/>
  <c r="GF8" i="21"/>
  <c r="GF13" i="21"/>
  <c r="GF26" i="21"/>
  <c r="GF19" i="21"/>
  <c r="GF24" i="21"/>
  <c r="GF11" i="21"/>
  <c r="GF15" i="21"/>
  <c r="GF6" i="21"/>
  <c r="GF23" i="21"/>
  <c r="GF18" i="21"/>
  <c r="FD4" i="21"/>
  <c r="FD5" i="21"/>
  <c r="FD7" i="21"/>
  <c r="FD9" i="21"/>
  <c r="FD10" i="21"/>
  <c r="FD14" i="21"/>
  <c r="FD17" i="21"/>
  <c r="FD22" i="21"/>
  <c r="FD8" i="21"/>
  <c r="FD13" i="21"/>
  <c r="FD26" i="21"/>
  <c r="FD19" i="21"/>
  <c r="FD24" i="21"/>
  <c r="FD11" i="21"/>
  <c r="FD15" i="21"/>
  <c r="FD6" i="21"/>
  <c r="FD23" i="21"/>
  <c r="FD18" i="21"/>
  <c r="EB4" i="21"/>
  <c r="EB5" i="21"/>
  <c r="EB7" i="21"/>
  <c r="EB9" i="21"/>
  <c r="EB10" i="21"/>
  <c r="EB14" i="21"/>
  <c r="EB17" i="21"/>
  <c r="EB22" i="21"/>
  <c r="EB8" i="21"/>
  <c r="EB13" i="21"/>
  <c r="EB26" i="21"/>
  <c r="EB19" i="21"/>
  <c r="EB24" i="21"/>
  <c r="EB11" i="21"/>
  <c r="EB15" i="21"/>
  <c r="EB6" i="21"/>
  <c r="EB23" i="21"/>
  <c r="EB18" i="21"/>
  <c r="TD18" i="21"/>
  <c r="SB4" i="19"/>
  <c r="SB7" i="19"/>
  <c r="SB10" i="19"/>
  <c r="SB18" i="19"/>
  <c r="SB12" i="19"/>
  <c r="SB5" i="19"/>
  <c r="SB14" i="19"/>
  <c r="SB20" i="19"/>
  <c r="SB15" i="19"/>
  <c r="SB13" i="19"/>
  <c r="SB11" i="19"/>
  <c r="SB33" i="19"/>
  <c r="SB17" i="19"/>
  <c r="SB8" i="19"/>
  <c r="SB27" i="19"/>
  <c r="SB32" i="19"/>
  <c r="SB31" i="19"/>
  <c r="SB29" i="19"/>
  <c r="SB25" i="19"/>
  <c r="SB21" i="19"/>
  <c r="SB30" i="19"/>
  <c r="SB22" i="19"/>
  <c r="SB24" i="19"/>
  <c r="SB28" i="19"/>
  <c r="QZ4" i="19"/>
  <c r="QZ7" i="19"/>
  <c r="QZ10" i="19"/>
  <c r="QZ18" i="19"/>
  <c r="QZ12" i="19"/>
  <c r="QZ5" i="19"/>
  <c r="QZ14" i="19"/>
  <c r="QZ20" i="19"/>
  <c r="QZ15" i="19"/>
  <c r="QZ13" i="19"/>
  <c r="QZ11" i="19"/>
  <c r="QZ33" i="19"/>
  <c r="QZ17" i="19"/>
  <c r="QZ8" i="19"/>
  <c r="QZ27" i="19"/>
  <c r="QZ32" i="19"/>
  <c r="QZ31" i="19"/>
  <c r="QZ29" i="19"/>
  <c r="QZ25" i="19"/>
  <c r="QZ21" i="19"/>
  <c r="QZ30" i="19"/>
  <c r="QZ22" i="19"/>
  <c r="QZ24" i="19"/>
  <c r="QZ28" i="19"/>
  <c r="PX4" i="19"/>
  <c r="PX7" i="19"/>
  <c r="PX10" i="19"/>
  <c r="PX18" i="19"/>
  <c r="PX12" i="19"/>
  <c r="PX5" i="19"/>
  <c r="PX14" i="19"/>
  <c r="PX20" i="19"/>
  <c r="PX15" i="19"/>
  <c r="PX13" i="19"/>
  <c r="PX11" i="19"/>
  <c r="PX33" i="19"/>
  <c r="PX17" i="19"/>
  <c r="PX8" i="19"/>
  <c r="PX27" i="19"/>
  <c r="PX32" i="19"/>
  <c r="PX31" i="19"/>
  <c r="PX29" i="19"/>
  <c r="PX25" i="19"/>
  <c r="PX21" i="19"/>
  <c r="PX30" i="19"/>
  <c r="PX22" i="19"/>
  <c r="PX24" i="19"/>
  <c r="PX28" i="19"/>
  <c r="OV4" i="19"/>
  <c r="OV7" i="19"/>
  <c r="OV10" i="19"/>
  <c r="OV18" i="19"/>
  <c r="OV12" i="19"/>
  <c r="OV5" i="19"/>
  <c r="OV14" i="19"/>
  <c r="OV20" i="19"/>
  <c r="OV15" i="19"/>
  <c r="OV13" i="19"/>
  <c r="OV11" i="19"/>
  <c r="OV33" i="19"/>
  <c r="OV17" i="19"/>
  <c r="OV8" i="19"/>
  <c r="OV27" i="19"/>
  <c r="OV32" i="19"/>
  <c r="OV31" i="19"/>
  <c r="OV29" i="19"/>
  <c r="OV25" i="19"/>
  <c r="OV21" i="19"/>
  <c r="OV30" i="19"/>
  <c r="OV22" i="19"/>
  <c r="OV24" i="19"/>
  <c r="OV28" i="19"/>
  <c r="NT4" i="19"/>
  <c r="NT7" i="19"/>
  <c r="NT10" i="19"/>
  <c r="NT18" i="19"/>
  <c r="NT12" i="19"/>
  <c r="NT5" i="19"/>
  <c r="NT14" i="19"/>
  <c r="NT20" i="19"/>
  <c r="NT15" i="19"/>
  <c r="NT13" i="19"/>
  <c r="NT11" i="19"/>
  <c r="NT33" i="19"/>
  <c r="NT17" i="19"/>
  <c r="NT8" i="19"/>
  <c r="NT27" i="19"/>
  <c r="NT32" i="19"/>
  <c r="NT31" i="19"/>
  <c r="NT29" i="19"/>
  <c r="NT25" i="19"/>
  <c r="NT21" i="19"/>
  <c r="NT30" i="19"/>
  <c r="NT22" i="19"/>
  <c r="NT24" i="19"/>
  <c r="NT28" i="19"/>
  <c r="MR4" i="19"/>
  <c r="MR7" i="19"/>
  <c r="MR10" i="19"/>
  <c r="MR18" i="19"/>
  <c r="MR12" i="19"/>
  <c r="MR5" i="19"/>
  <c r="MR14" i="19"/>
  <c r="MR20" i="19"/>
  <c r="MR15" i="19"/>
  <c r="MR13" i="19"/>
  <c r="MR11" i="19"/>
  <c r="MR33" i="19"/>
  <c r="MR17" i="19"/>
  <c r="MR8" i="19"/>
  <c r="MR27" i="19"/>
  <c r="MR32" i="19"/>
  <c r="MR31" i="19"/>
  <c r="MR29" i="19"/>
  <c r="MR25" i="19"/>
  <c r="MR21" i="19"/>
  <c r="MR30" i="19"/>
  <c r="MR22" i="19"/>
  <c r="MR24" i="19"/>
  <c r="MR28" i="19"/>
  <c r="LP4" i="19"/>
  <c r="LP7" i="19"/>
  <c r="LP10" i="19"/>
  <c r="LP18" i="19"/>
  <c r="LP12" i="19"/>
  <c r="LP5" i="19"/>
  <c r="LP14" i="19"/>
  <c r="LP20" i="19"/>
  <c r="LP15" i="19"/>
  <c r="LP13" i="19"/>
  <c r="LP11" i="19"/>
  <c r="LP33" i="19"/>
  <c r="LP17" i="19"/>
  <c r="LP8" i="19"/>
  <c r="LP27" i="19"/>
  <c r="LP32" i="19"/>
  <c r="LP31" i="19"/>
  <c r="LP29" i="19"/>
  <c r="LP25" i="19"/>
  <c r="LP21" i="19"/>
  <c r="LP30" i="19"/>
  <c r="LP22" i="19"/>
  <c r="LP24" i="19"/>
  <c r="LP28" i="19"/>
  <c r="KN4" i="19"/>
  <c r="KN7" i="19"/>
  <c r="KN10" i="19"/>
  <c r="KN18" i="19"/>
  <c r="KN12" i="19"/>
  <c r="KN5" i="19"/>
  <c r="KN14" i="19"/>
  <c r="KN20" i="19"/>
  <c r="KN15" i="19"/>
  <c r="KN13" i="19"/>
  <c r="KN11" i="19"/>
  <c r="KN33" i="19"/>
  <c r="KN17" i="19"/>
  <c r="KN8" i="19"/>
  <c r="KN27" i="19"/>
  <c r="KN32" i="19"/>
  <c r="KN31" i="19"/>
  <c r="KN29" i="19"/>
  <c r="KN25" i="19"/>
  <c r="KN21" i="19"/>
  <c r="KN30" i="19"/>
  <c r="KN22" i="19"/>
  <c r="KN24" i="19"/>
  <c r="KN28" i="19"/>
  <c r="JL4" i="19"/>
  <c r="JL7" i="19"/>
  <c r="JL10" i="19"/>
  <c r="JL18" i="19"/>
  <c r="JL12" i="19"/>
  <c r="JL5" i="19"/>
  <c r="JL14" i="19"/>
  <c r="JL20" i="19"/>
  <c r="JL15" i="19"/>
  <c r="JL13" i="19"/>
  <c r="JL11" i="19"/>
  <c r="JL33" i="19"/>
  <c r="JL17" i="19"/>
  <c r="JL8" i="19"/>
  <c r="JL27" i="19"/>
  <c r="JL32" i="19"/>
  <c r="JL31" i="19"/>
  <c r="JL29" i="19"/>
  <c r="JL25" i="19"/>
  <c r="JL21" i="19"/>
  <c r="JL30" i="19"/>
  <c r="JL22" i="19"/>
  <c r="JL24" i="19"/>
  <c r="JL28" i="19"/>
  <c r="IJ4" i="19"/>
  <c r="IJ7" i="19"/>
  <c r="IJ10" i="19"/>
  <c r="IJ18" i="19"/>
  <c r="IJ12" i="19"/>
  <c r="IJ5" i="19"/>
  <c r="IJ14" i="19"/>
  <c r="IJ20" i="19"/>
  <c r="IJ15" i="19"/>
  <c r="IJ13" i="19"/>
  <c r="IJ11" i="19"/>
  <c r="IJ33" i="19"/>
  <c r="IJ17" i="19"/>
  <c r="IJ8" i="19"/>
  <c r="IJ27" i="19"/>
  <c r="IJ32" i="19"/>
  <c r="IJ31" i="19"/>
  <c r="IJ29" i="19"/>
  <c r="IJ25" i="19"/>
  <c r="IJ21" i="19"/>
  <c r="IJ30" i="19"/>
  <c r="IJ22" i="19"/>
  <c r="IJ24" i="19"/>
  <c r="IJ28" i="19"/>
  <c r="HH4" i="19"/>
  <c r="HH7" i="19"/>
  <c r="HH10" i="19"/>
  <c r="HH18" i="19"/>
  <c r="HH12" i="19"/>
  <c r="HH5" i="19"/>
  <c r="HH14" i="19"/>
  <c r="HH20" i="19"/>
  <c r="HH15" i="19"/>
  <c r="HH13" i="19"/>
  <c r="HH11" i="19"/>
  <c r="HH33" i="19"/>
  <c r="HH17" i="19"/>
  <c r="HH8" i="19"/>
  <c r="HH27" i="19"/>
  <c r="HH32" i="19"/>
  <c r="HH31" i="19"/>
  <c r="HH29" i="19"/>
  <c r="HH25" i="19"/>
  <c r="HH21" i="19"/>
  <c r="HH30" i="19"/>
  <c r="HH22" i="19"/>
  <c r="HH24" i="19"/>
  <c r="HH28" i="19"/>
  <c r="GF4" i="19"/>
  <c r="GF7" i="19"/>
  <c r="GF10" i="19"/>
  <c r="GF18" i="19"/>
  <c r="GF12" i="19"/>
  <c r="GF5" i="19"/>
  <c r="GF14" i="19"/>
  <c r="GF20" i="19"/>
  <c r="GF15" i="19"/>
  <c r="GF13" i="19"/>
  <c r="GF11" i="19"/>
  <c r="GF33" i="19"/>
  <c r="GF17" i="19"/>
  <c r="GF8" i="19"/>
  <c r="GF27" i="19"/>
  <c r="GF32" i="19"/>
  <c r="GF31" i="19"/>
  <c r="GF29" i="19"/>
  <c r="GF25" i="19"/>
  <c r="GF21" i="19"/>
  <c r="GF30" i="19"/>
  <c r="GF22" i="19"/>
  <c r="GF24" i="19"/>
  <c r="GF28" i="19"/>
  <c r="FD4" i="19"/>
  <c r="FD7" i="19"/>
  <c r="FD10" i="19"/>
  <c r="FD18" i="19"/>
  <c r="FD12" i="19"/>
  <c r="FD5" i="19"/>
  <c r="FD14" i="19"/>
  <c r="FD20" i="19"/>
  <c r="FD15" i="19"/>
  <c r="FD13" i="19"/>
  <c r="FD11" i="19"/>
  <c r="FD33" i="19"/>
  <c r="FD17" i="19"/>
  <c r="FD8" i="19"/>
  <c r="FD27" i="19"/>
  <c r="FD32" i="19"/>
  <c r="FD31" i="19"/>
  <c r="FD29" i="19"/>
  <c r="FD25" i="19"/>
  <c r="FD21" i="19"/>
  <c r="FD30" i="19"/>
  <c r="FD22" i="19"/>
  <c r="FD24" i="19"/>
  <c r="FD28" i="19"/>
  <c r="EB4" i="19"/>
  <c r="EB7" i="19"/>
  <c r="EB10" i="19"/>
  <c r="EB18" i="19"/>
  <c r="EB12" i="19"/>
  <c r="EB5" i="19"/>
  <c r="EB14" i="19"/>
  <c r="EB20" i="19"/>
  <c r="EB15" i="19"/>
  <c r="EB13" i="19"/>
  <c r="EB11" i="19"/>
  <c r="EB33" i="19"/>
  <c r="EB17" i="19"/>
  <c r="EB8" i="19"/>
  <c r="EB27" i="19"/>
  <c r="EB32" i="19"/>
  <c r="EB31" i="19"/>
  <c r="EB29" i="19"/>
  <c r="EB25" i="19"/>
  <c r="EB21" i="19"/>
  <c r="EB30" i="19"/>
  <c r="EB22" i="19"/>
  <c r="EB24" i="19"/>
  <c r="EB28" i="19"/>
  <c r="SB5" i="27"/>
  <c r="SB6" i="27"/>
  <c r="SB4" i="27"/>
  <c r="SB7" i="27"/>
  <c r="SB10" i="27"/>
  <c r="SB15" i="27"/>
  <c r="SB9" i="27"/>
  <c r="SB13" i="27"/>
  <c r="SB14" i="27"/>
  <c r="SB8" i="27"/>
  <c r="SB16" i="27"/>
  <c r="SB12" i="27"/>
  <c r="QZ5" i="27"/>
  <c r="QZ6" i="27"/>
  <c r="QZ4" i="27"/>
  <c r="QZ7" i="27"/>
  <c r="QZ10" i="27"/>
  <c r="QZ15" i="27"/>
  <c r="QZ9" i="27"/>
  <c r="QZ13" i="27"/>
  <c r="QZ14" i="27"/>
  <c r="QZ8" i="27"/>
  <c r="QZ16" i="27"/>
  <c r="QZ12" i="27"/>
  <c r="PX5" i="27"/>
  <c r="PX6" i="27"/>
  <c r="PX4" i="27"/>
  <c r="PX7" i="27"/>
  <c r="PX10" i="27"/>
  <c r="PX15" i="27"/>
  <c r="PX9" i="27"/>
  <c r="PX13" i="27"/>
  <c r="PX14" i="27"/>
  <c r="PX8" i="27"/>
  <c r="PX16" i="27"/>
  <c r="PX12" i="27"/>
  <c r="OV5" i="27"/>
  <c r="OV6" i="27"/>
  <c r="OV4" i="27"/>
  <c r="OV7" i="27"/>
  <c r="OV10" i="27"/>
  <c r="OV15" i="27"/>
  <c r="OV9" i="27"/>
  <c r="OV13" i="27"/>
  <c r="OV14" i="27"/>
  <c r="OV8" i="27"/>
  <c r="OV16" i="27"/>
  <c r="OV12" i="27"/>
  <c r="NT5" i="27"/>
  <c r="NT6" i="27"/>
  <c r="NT4" i="27"/>
  <c r="NT7" i="27"/>
  <c r="NT10" i="27"/>
  <c r="NT15" i="27"/>
  <c r="NT9" i="27"/>
  <c r="NT13" i="27"/>
  <c r="NT14" i="27"/>
  <c r="NT8" i="27"/>
  <c r="NT16" i="27"/>
  <c r="NT12" i="27"/>
  <c r="MR5" i="27"/>
  <c r="MR6" i="27"/>
  <c r="MR4" i="27"/>
  <c r="MR7" i="27"/>
  <c r="MR10" i="27"/>
  <c r="MR15" i="27"/>
  <c r="MR9" i="27"/>
  <c r="MR13" i="27"/>
  <c r="MR14" i="27"/>
  <c r="MR8" i="27"/>
  <c r="MR16" i="27"/>
  <c r="MR12" i="27"/>
  <c r="LP5" i="27"/>
  <c r="LP6" i="27"/>
  <c r="LP4" i="27"/>
  <c r="LP7" i="27"/>
  <c r="LP10" i="27"/>
  <c r="LP15" i="27"/>
  <c r="LP9" i="27"/>
  <c r="LP13" i="27"/>
  <c r="LP14" i="27"/>
  <c r="LP8" i="27"/>
  <c r="LP16" i="27"/>
  <c r="LP12" i="27"/>
  <c r="KN5" i="27"/>
  <c r="KN6" i="27"/>
  <c r="KN4" i="27"/>
  <c r="KN7" i="27"/>
  <c r="KN10" i="27"/>
  <c r="KN15" i="27"/>
  <c r="KN9" i="27"/>
  <c r="KN13" i="27"/>
  <c r="KN14" i="27"/>
  <c r="KN8" i="27"/>
  <c r="KN16" i="27"/>
  <c r="KN12" i="27"/>
  <c r="JL5" i="27"/>
  <c r="JL6" i="27"/>
  <c r="JL4" i="27"/>
  <c r="JL7" i="27"/>
  <c r="JL10" i="27"/>
  <c r="JL15" i="27"/>
  <c r="JL9" i="27"/>
  <c r="JL13" i="27"/>
  <c r="JL14" i="27"/>
  <c r="JL8" i="27"/>
  <c r="JL16" i="27"/>
  <c r="JL12" i="27"/>
  <c r="IJ5" i="27"/>
  <c r="IJ6" i="27"/>
  <c r="IJ4" i="27"/>
  <c r="IJ7" i="27"/>
  <c r="IJ10" i="27"/>
  <c r="IJ15" i="27"/>
  <c r="IJ9" i="27"/>
  <c r="IJ13" i="27"/>
  <c r="IJ14" i="27"/>
  <c r="IJ8" i="27"/>
  <c r="IJ16" i="27"/>
  <c r="IJ12" i="27"/>
  <c r="HH5" i="27"/>
  <c r="HH6" i="27"/>
  <c r="HH4" i="27"/>
  <c r="HH7" i="27"/>
  <c r="HH10" i="27"/>
  <c r="HH15" i="27"/>
  <c r="HH9" i="27"/>
  <c r="HH13" i="27"/>
  <c r="HH14" i="27"/>
  <c r="HH8" i="27"/>
  <c r="HH16" i="27"/>
  <c r="HH12" i="27"/>
  <c r="GF5" i="27"/>
  <c r="GF6" i="27"/>
  <c r="GF4" i="27"/>
  <c r="GF7" i="27"/>
  <c r="GF10" i="27"/>
  <c r="GF15" i="27"/>
  <c r="GF9" i="27"/>
  <c r="GF13" i="27"/>
  <c r="GF14" i="27"/>
  <c r="GF8" i="27"/>
  <c r="GF16" i="27"/>
  <c r="GF12" i="27"/>
  <c r="FD5" i="27"/>
  <c r="FD6" i="27"/>
  <c r="FD4" i="27"/>
  <c r="FD7" i="27"/>
  <c r="FD10" i="27"/>
  <c r="FD15" i="27"/>
  <c r="FD9" i="27"/>
  <c r="FD13" i="27"/>
  <c r="FD14" i="27"/>
  <c r="FD8" i="27"/>
  <c r="FD16" i="27"/>
  <c r="FD12" i="27"/>
  <c r="EB5" i="27"/>
  <c r="EB6" i="27"/>
  <c r="EB4" i="27"/>
  <c r="EB7" i="27"/>
  <c r="EB10" i="27"/>
  <c r="EB15" i="27"/>
  <c r="EB9" i="27"/>
  <c r="EB13" i="27"/>
  <c r="EB14" i="27"/>
  <c r="EB8" i="27"/>
  <c r="EB16" i="27"/>
  <c r="EB12" i="27"/>
  <c r="TD12" i="27"/>
  <c r="SB4" i="26"/>
  <c r="SB14" i="26"/>
  <c r="SB5" i="26"/>
  <c r="SB11" i="26"/>
  <c r="SB9" i="26"/>
  <c r="SB6" i="26"/>
  <c r="SB13" i="26"/>
  <c r="SB8" i="26"/>
  <c r="QZ4" i="26"/>
  <c r="QZ14" i="26"/>
  <c r="QZ5" i="26"/>
  <c r="QZ11" i="26"/>
  <c r="QZ9" i="26"/>
  <c r="QZ6" i="26"/>
  <c r="QZ13" i="26"/>
  <c r="QZ8" i="26"/>
  <c r="PX4" i="26"/>
  <c r="PX14" i="26"/>
  <c r="PX5" i="26"/>
  <c r="PX11" i="26"/>
  <c r="PX9" i="26"/>
  <c r="PX6" i="26"/>
  <c r="PX13" i="26"/>
  <c r="PX8" i="26"/>
  <c r="OV4" i="26"/>
  <c r="OV14" i="26"/>
  <c r="OV5" i="26"/>
  <c r="OV11" i="26"/>
  <c r="OV9" i="26"/>
  <c r="OV6" i="26"/>
  <c r="OV13" i="26"/>
  <c r="OV8" i="26"/>
  <c r="NT4" i="26"/>
  <c r="NT14" i="26"/>
  <c r="NT5" i="26"/>
  <c r="NT11" i="26"/>
  <c r="NT9" i="26"/>
  <c r="NT6" i="26"/>
  <c r="NT13" i="26"/>
  <c r="NT8" i="26"/>
  <c r="MR4" i="26"/>
  <c r="MR14" i="26"/>
  <c r="MR5" i="26"/>
  <c r="MR11" i="26"/>
  <c r="MR9" i="26"/>
  <c r="MR6" i="26"/>
  <c r="MR13" i="26"/>
  <c r="MR8" i="26"/>
  <c r="LP4" i="26"/>
  <c r="LP14" i="26"/>
  <c r="LP5" i="26"/>
  <c r="LP11" i="26"/>
  <c r="LP9" i="26"/>
  <c r="LP6" i="26"/>
  <c r="LP13" i="26"/>
  <c r="LP8" i="26"/>
  <c r="KN4" i="26"/>
  <c r="KN14" i="26"/>
  <c r="KN5" i="26"/>
  <c r="KN11" i="26"/>
  <c r="KN9" i="26"/>
  <c r="KN6" i="26"/>
  <c r="KN13" i="26"/>
  <c r="KN8" i="26"/>
  <c r="JL4" i="26"/>
  <c r="JL14" i="26"/>
  <c r="JL5" i="26"/>
  <c r="JL11" i="26"/>
  <c r="JL9" i="26"/>
  <c r="JL6" i="26"/>
  <c r="JL13" i="26"/>
  <c r="JL8" i="26"/>
  <c r="IJ4" i="26"/>
  <c r="IJ14" i="26"/>
  <c r="IJ5" i="26"/>
  <c r="IJ11" i="26"/>
  <c r="IJ9" i="26"/>
  <c r="IJ6" i="26"/>
  <c r="IJ13" i="26"/>
  <c r="IJ8" i="26"/>
  <c r="HH4" i="26"/>
  <c r="HH14" i="26"/>
  <c r="HH5" i="26"/>
  <c r="HH11" i="26"/>
  <c r="HH9" i="26"/>
  <c r="HH6" i="26"/>
  <c r="HH13" i="26"/>
  <c r="HH8" i="26"/>
  <c r="FD4" i="26"/>
  <c r="FD14" i="26"/>
  <c r="FD5" i="26"/>
  <c r="FD11" i="26"/>
  <c r="FD9" i="26"/>
  <c r="FD6" i="26"/>
  <c r="FD13" i="26"/>
  <c r="FD8" i="26"/>
  <c r="EB4" i="26"/>
  <c r="EB14" i="26"/>
  <c r="EB5" i="26"/>
  <c r="EB11" i="26"/>
  <c r="EB9" i="26"/>
  <c r="EB6" i="26"/>
  <c r="EB13" i="26"/>
  <c r="EB8" i="26"/>
  <c r="DA18" i="21"/>
  <c r="UI18" i="21"/>
  <c r="CX18" i="21"/>
  <c r="N18" i="21"/>
  <c r="DC18" i="21" s="1"/>
  <c r="L18" i="21"/>
  <c r="DB18" i="21" s="1"/>
  <c r="UE18" i="21"/>
  <c r="UD18" i="21"/>
  <c r="J18" i="21"/>
  <c r="K18" i="21" s="1"/>
  <c r="UF18" i="21"/>
  <c r="TG18" i="21"/>
  <c r="F18" i="21" s="1"/>
  <c r="UI12" i="27"/>
  <c r="DA12" i="27"/>
  <c r="CX12" i="27"/>
  <c r="L12" i="27"/>
  <c r="DB12" i="27" s="1"/>
  <c r="UE12" i="27"/>
  <c r="UD12" i="27"/>
  <c r="UH12" i="27"/>
  <c r="UC12" i="27"/>
  <c r="J12" i="27"/>
  <c r="K12" i="27" s="1"/>
  <c r="UF12" i="27"/>
  <c r="TG12" i="27"/>
  <c r="F12" i="27" s="1"/>
  <c r="UI8" i="26"/>
  <c r="TD8" i="26"/>
  <c r="DA8" i="26"/>
  <c r="N8" i="26"/>
  <c r="O8" i="26" s="1"/>
  <c r="UE8" i="26"/>
  <c r="UD8" i="26"/>
  <c r="L8" i="26"/>
  <c r="DB8" i="26" s="1"/>
  <c r="UC8" i="26"/>
  <c r="J8" i="26"/>
  <c r="K8" i="26" s="1"/>
  <c r="UF8" i="26"/>
  <c r="TG8" i="26"/>
  <c r="G8" i="26" s="1"/>
  <c r="F8" i="26" l="1"/>
  <c r="DC12" i="27"/>
  <c r="UG8" i="26"/>
  <c r="UG12" i="27"/>
  <c r="P18" i="21"/>
  <c r="P12" i="27"/>
  <c r="I12" i="27"/>
  <c r="I8" i="26"/>
  <c r="M18" i="21"/>
  <c r="O18" i="21"/>
  <c r="UJ18" i="21"/>
  <c r="I18" i="21"/>
  <c r="UG18" i="21"/>
  <c r="G18" i="21"/>
  <c r="UJ12" i="27"/>
  <c r="G12" i="27"/>
  <c r="H12" i="27" s="1"/>
  <c r="M12" i="27"/>
  <c r="UJ8" i="26"/>
  <c r="DC8" i="26"/>
  <c r="P8" i="26" s="1"/>
  <c r="M8" i="26"/>
  <c r="H8" i="26" l="1"/>
  <c r="H18" i="21"/>
  <c r="A18" i="21" s="1" a="1"/>
  <c r="A18" i="21" s="1"/>
  <c r="E18" i="21"/>
  <c r="E12" i="27"/>
  <c r="E8" i="26"/>
  <c r="CI8" i="24" l="1"/>
  <c r="CJ8" i="24"/>
  <c r="CK8" i="24"/>
  <c r="CO8" i="24" s="1"/>
  <c r="CL8" i="24"/>
  <c r="CM8" i="24"/>
  <c r="CN8" i="24"/>
  <c r="CP8" i="24"/>
  <c r="CQ8" i="24"/>
  <c r="CR8" i="24"/>
  <c r="VX8" i="24"/>
  <c r="VY8" i="24"/>
  <c r="VZ8" i="24"/>
  <c r="WA8" i="24"/>
  <c r="WB8" i="24"/>
  <c r="WC8" i="24"/>
  <c r="WE8" i="24"/>
  <c r="WF8" i="24"/>
  <c r="WG8" i="24"/>
  <c r="WH8" i="24"/>
  <c r="WI8" i="24"/>
  <c r="WJ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14" i="23"/>
  <c r="CJ14" i="23"/>
  <c r="CK14" i="23"/>
  <c r="CO14" i="23" s="1"/>
  <c r="CL14" i="23"/>
  <c r="CM14" i="23"/>
  <c r="CN14" i="23"/>
  <c r="CP14" i="23"/>
  <c r="CQ14" i="23"/>
  <c r="CR14" i="23"/>
  <c r="VX14" i="23"/>
  <c r="VY14" i="23"/>
  <c r="VZ14" i="23"/>
  <c r="WA14" i="23"/>
  <c r="WB14" i="23"/>
  <c r="WC14" i="23"/>
  <c r="WE14" i="23"/>
  <c r="WF14" i="23"/>
  <c r="WG14" i="23"/>
  <c r="WH14" i="23"/>
  <c r="WI14" i="23"/>
  <c r="WJ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XD8" i="24" l="1"/>
  <c r="CS8" i="24"/>
  <c r="CS14" i="23"/>
  <c r="WD14" i="23"/>
  <c r="WK14" i="23" s="1"/>
  <c r="WD8" i="24"/>
  <c r="WK8" i="24" s="1"/>
  <c r="XG8" i="24"/>
  <c r="XK8" i="24"/>
  <c r="L8" i="24"/>
  <c r="J8" i="24"/>
  <c r="K8" i="24" s="1"/>
  <c r="F8" i="24"/>
  <c r="I8" i="24"/>
  <c r="G8" i="24"/>
  <c r="XG14" i="23"/>
  <c r="XK14" i="23"/>
  <c r="XD14" i="23"/>
  <c r="L14" i="23"/>
  <c r="CU14" i="23" s="1"/>
  <c r="J14" i="23"/>
  <c r="K14" i="23" s="1"/>
  <c r="F14" i="23"/>
  <c r="I14" i="23"/>
  <c r="G14" i="23"/>
  <c r="CI9" i="24"/>
  <c r="CJ9" i="24"/>
  <c r="CK9" i="24"/>
  <c r="CO9" i="24" s="1"/>
  <c r="CL9" i="24"/>
  <c r="CM9" i="24"/>
  <c r="CN9" i="24"/>
  <c r="CP9" i="24"/>
  <c r="CQ9" i="24"/>
  <c r="CR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1" i="23"/>
  <c r="CJ11" i="23"/>
  <c r="CK11" i="23"/>
  <c r="CO11" i="23" s="1"/>
  <c r="CL11" i="23"/>
  <c r="CM11" i="23"/>
  <c r="CN11" i="23"/>
  <c r="CP11" i="23"/>
  <c r="CQ11" i="23"/>
  <c r="CR11" i="23"/>
  <c r="VX11" i="23"/>
  <c r="VY11" i="23"/>
  <c r="VZ11" i="23"/>
  <c r="WA11" i="23"/>
  <c r="WB11" i="23"/>
  <c r="WC11" i="23"/>
  <c r="WE11" i="23"/>
  <c r="WF11" i="23"/>
  <c r="WG11" i="23"/>
  <c r="WH11" i="23"/>
  <c r="WI11" i="23"/>
  <c r="WJ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TF23" i="21"/>
  <c r="TE23" i="21"/>
  <c r="TC23" i="21"/>
  <c r="TB23" i="21"/>
  <c r="TA23" i="21"/>
  <c r="SZ23" i="21"/>
  <c r="TF6" i="21"/>
  <c r="TE6" i="21"/>
  <c r="TC6" i="21"/>
  <c r="TB6" i="21"/>
  <c r="TA6" i="21"/>
  <c r="SZ6" i="21"/>
  <c r="TF15" i="21"/>
  <c r="TE15" i="21"/>
  <c r="TC15" i="21"/>
  <c r="TB15" i="21"/>
  <c r="TA15" i="21"/>
  <c r="SZ15" i="21"/>
  <c r="TF11" i="21"/>
  <c r="TE11" i="21"/>
  <c r="TC11" i="21"/>
  <c r="TB11" i="21"/>
  <c r="TA11" i="21"/>
  <c r="SZ11" i="21"/>
  <c r="TF24" i="21"/>
  <c r="TE24" i="21"/>
  <c r="TC24" i="21"/>
  <c r="TB24" i="21"/>
  <c r="TA24" i="21"/>
  <c r="SZ24" i="21"/>
  <c r="TF19" i="21"/>
  <c r="TE19" i="21"/>
  <c r="TC19" i="21"/>
  <c r="TB19" i="21"/>
  <c r="TA19" i="21"/>
  <c r="SZ19" i="21"/>
  <c r="TF26" i="21"/>
  <c r="TE26" i="21"/>
  <c r="TC26" i="21"/>
  <c r="TB26" i="21"/>
  <c r="TA26" i="21"/>
  <c r="SZ26" i="21"/>
  <c r="TF13" i="21"/>
  <c r="TE13" i="21"/>
  <c r="TC13" i="21"/>
  <c r="TB13" i="21"/>
  <c r="TA13" i="21"/>
  <c r="SZ13" i="21"/>
  <c r="TF8" i="21"/>
  <c r="TE8" i="21"/>
  <c r="TC8" i="21"/>
  <c r="TB8" i="21"/>
  <c r="TA8" i="21"/>
  <c r="SZ8" i="21"/>
  <c r="TF10" i="21"/>
  <c r="TE10" i="21"/>
  <c r="TC10" i="21"/>
  <c r="TB10" i="21"/>
  <c r="TA10" i="21"/>
  <c r="SZ10" i="21"/>
  <c r="TF17" i="21"/>
  <c r="TE17" i="21"/>
  <c r="TC17" i="21"/>
  <c r="TB17" i="21"/>
  <c r="TA17" i="21"/>
  <c r="SZ17" i="21"/>
  <c r="TF14" i="21"/>
  <c r="TE14" i="21"/>
  <c r="TC14" i="21"/>
  <c r="TB14" i="21"/>
  <c r="TA14" i="21"/>
  <c r="SZ14" i="21"/>
  <c r="TF22" i="21"/>
  <c r="TE22" i="21"/>
  <c r="TC22" i="21"/>
  <c r="TB22" i="21"/>
  <c r="TA22" i="21"/>
  <c r="SZ22" i="21"/>
  <c r="TF9" i="21"/>
  <c r="TE9" i="21"/>
  <c r="TC9" i="21"/>
  <c r="TB9" i="21"/>
  <c r="TA9" i="21"/>
  <c r="SZ9" i="21"/>
  <c r="TF7" i="21"/>
  <c r="TE7" i="21"/>
  <c r="TC7" i="21"/>
  <c r="TB7" i="21"/>
  <c r="TA7" i="21"/>
  <c r="SZ7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28" i="19"/>
  <c r="TE28" i="19"/>
  <c r="TC28" i="19"/>
  <c r="TB28" i="19"/>
  <c r="TA28" i="19"/>
  <c r="SZ28" i="19"/>
  <c r="TF11" i="19"/>
  <c r="TE11" i="19"/>
  <c r="TC11" i="19"/>
  <c r="TB11" i="19"/>
  <c r="TA11" i="19"/>
  <c r="SZ11" i="19"/>
  <c r="TF24" i="19"/>
  <c r="TE24" i="19"/>
  <c r="TC24" i="19"/>
  <c r="TB24" i="19"/>
  <c r="TA24" i="19"/>
  <c r="SZ24" i="19"/>
  <c r="TF22" i="19"/>
  <c r="TE22" i="19"/>
  <c r="TC22" i="19"/>
  <c r="TB22" i="19"/>
  <c r="TA22" i="19"/>
  <c r="SZ22" i="19"/>
  <c r="TF30" i="19"/>
  <c r="TE30" i="19"/>
  <c r="TC30" i="19"/>
  <c r="TB30" i="19"/>
  <c r="TA30" i="19"/>
  <c r="SZ30" i="19"/>
  <c r="TF21" i="19"/>
  <c r="TE21" i="19"/>
  <c r="TC21" i="19"/>
  <c r="TB21" i="19"/>
  <c r="TA21" i="19"/>
  <c r="SZ21" i="19"/>
  <c r="TF25" i="19"/>
  <c r="TE25" i="19"/>
  <c r="TC25" i="19"/>
  <c r="TB25" i="19"/>
  <c r="TA25" i="19"/>
  <c r="SZ25" i="19"/>
  <c r="TF29" i="19"/>
  <c r="TE29" i="19"/>
  <c r="TC29" i="19"/>
  <c r="TB29" i="19"/>
  <c r="TA29" i="19"/>
  <c r="SZ29" i="19"/>
  <c r="TF31" i="19"/>
  <c r="TE31" i="19"/>
  <c r="TC31" i="19"/>
  <c r="TB31" i="19"/>
  <c r="TA31" i="19"/>
  <c r="SZ31" i="19"/>
  <c r="TF32" i="19"/>
  <c r="TE32" i="19"/>
  <c r="TC32" i="19"/>
  <c r="TB32" i="19"/>
  <c r="TA32" i="19"/>
  <c r="SZ32" i="19"/>
  <c r="TF27" i="19"/>
  <c r="TE27" i="19"/>
  <c r="TC27" i="19"/>
  <c r="TB27" i="19"/>
  <c r="TA27" i="19"/>
  <c r="SZ27" i="19"/>
  <c r="TF8" i="19"/>
  <c r="TE8" i="19"/>
  <c r="TC8" i="19"/>
  <c r="TB8" i="19"/>
  <c r="TA8" i="19"/>
  <c r="SZ8" i="19"/>
  <c r="TF17" i="19"/>
  <c r="TE17" i="19"/>
  <c r="TC17" i="19"/>
  <c r="TB17" i="19"/>
  <c r="TA17" i="19"/>
  <c r="SZ17" i="19"/>
  <c r="TF33" i="19"/>
  <c r="TE33" i="19"/>
  <c r="TC33" i="19"/>
  <c r="TB33" i="19"/>
  <c r="TA33" i="19"/>
  <c r="SZ33" i="19"/>
  <c r="TF13" i="19"/>
  <c r="TE13" i="19"/>
  <c r="TC13" i="19"/>
  <c r="TB13" i="19"/>
  <c r="TA13" i="19"/>
  <c r="SZ13" i="19"/>
  <c r="TF15" i="19"/>
  <c r="TE15" i="19"/>
  <c r="TC15" i="19"/>
  <c r="TB15" i="19"/>
  <c r="TA15" i="19"/>
  <c r="SZ15" i="19"/>
  <c r="TF12" i="19"/>
  <c r="TE12" i="19"/>
  <c r="TC12" i="19"/>
  <c r="TB12" i="19"/>
  <c r="TA12" i="19"/>
  <c r="SZ12" i="19"/>
  <c r="TF20" i="19"/>
  <c r="TE20" i="19"/>
  <c r="TC20" i="19"/>
  <c r="TB20" i="19"/>
  <c r="TA20" i="19"/>
  <c r="SZ20" i="19"/>
  <c r="TF14" i="19"/>
  <c r="TE14" i="19"/>
  <c r="TC14" i="19"/>
  <c r="TB14" i="19"/>
  <c r="TA14" i="19"/>
  <c r="SZ14" i="19"/>
  <c r="TF18" i="19"/>
  <c r="TE18" i="19"/>
  <c r="TC18" i="19"/>
  <c r="TB18" i="19"/>
  <c r="TA18" i="19"/>
  <c r="SZ18" i="19"/>
  <c r="TF5" i="19"/>
  <c r="TE5" i="19"/>
  <c r="TC5" i="19"/>
  <c r="TB5" i="19"/>
  <c r="TA5" i="19"/>
  <c r="SZ5" i="19"/>
  <c r="TF7" i="19"/>
  <c r="TE7" i="19"/>
  <c r="TC7" i="19"/>
  <c r="TB7" i="19"/>
  <c r="TA7" i="19"/>
  <c r="SZ7" i="19"/>
  <c r="TF10" i="19"/>
  <c r="TE10" i="19"/>
  <c r="TC10" i="19"/>
  <c r="TB10" i="19"/>
  <c r="TA10" i="19"/>
  <c r="SZ10" i="19"/>
  <c r="TF4" i="19"/>
  <c r="TE4" i="19"/>
  <c r="TC4" i="19"/>
  <c r="TB4" i="19"/>
  <c r="TA4" i="19"/>
  <c r="SZ4" i="19"/>
  <c r="TF16" i="27"/>
  <c r="TE16" i="27"/>
  <c r="TC16" i="27"/>
  <c r="TB16" i="27"/>
  <c r="TA16" i="27"/>
  <c r="SZ16" i="27"/>
  <c r="TF14" i="27"/>
  <c r="TE14" i="27"/>
  <c r="TC14" i="27"/>
  <c r="TB14" i="27"/>
  <c r="TA14" i="27"/>
  <c r="SZ14" i="27"/>
  <c r="TF8" i="27"/>
  <c r="TE8" i="27"/>
  <c r="TC8" i="27"/>
  <c r="TB8" i="27"/>
  <c r="TA8" i="27"/>
  <c r="SZ8" i="27"/>
  <c r="TF13" i="27"/>
  <c r="TE13" i="27"/>
  <c r="TC13" i="27"/>
  <c r="TB13" i="27"/>
  <c r="TA13" i="27"/>
  <c r="SZ13" i="27"/>
  <c r="TF10" i="27"/>
  <c r="TE10" i="27"/>
  <c r="TC10" i="27"/>
  <c r="TB10" i="27"/>
  <c r="TA10" i="27"/>
  <c r="SZ10" i="27"/>
  <c r="TF9" i="27"/>
  <c r="TE9" i="27"/>
  <c r="TC9" i="27"/>
  <c r="TB9" i="27"/>
  <c r="TA9" i="27"/>
  <c r="SZ9" i="27"/>
  <c r="TF15" i="27"/>
  <c r="TE15" i="27"/>
  <c r="TC15" i="27"/>
  <c r="TB15" i="27"/>
  <c r="TA15" i="27"/>
  <c r="SZ15" i="27"/>
  <c r="TF7" i="27"/>
  <c r="TE7" i="27"/>
  <c r="TC7" i="27"/>
  <c r="TB7" i="27"/>
  <c r="TA7" i="27"/>
  <c r="SZ7" i="27"/>
  <c r="TF4" i="27"/>
  <c r="TE4" i="27"/>
  <c r="TC4" i="27"/>
  <c r="TB4" i="27"/>
  <c r="TA4" i="27"/>
  <c r="SZ4" i="27"/>
  <c r="TF6" i="27"/>
  <c r="TE6" i="27"/>
  <c r="TC6" i="27"/>
  <c r="TB6" i="27"/>
  <c r="TA6" i="27"/>
  <c r="SZ6" i="27"/>
  <c r="TF5" i="27"/>
  <c r="TE5" i="27"/>
  <c r="TC5" i="27"/>
  <c r="TB5" i="27"/>
  <c r="TA5" i="27"/>
  <c r="SZ5" i="27"/>
  <c r="TF13" i="26"/>
  <c r="TE13" i="26"/>
  <c r="TC13" i="26"/>
  <c r="TB13" i="26"/>
  <c r="TA13" i="26"/>
  <c r="SZ13" i="26"/>
  <c r="TF6" i="26"/>
  <c r="TE6" i="26"/>
  <c r="TC6" i="26"/>
  <c r="TB6" i="26"/>
  <c r="TA6" i="26"/>
  <c r="SZ6" i="26"/>
  <c r="TF9" i="26"/>
  <c r="TE9" i="26"/>
  <c r="TC9" i="26"/>
  <c r="TB9" i="26"/>
  <c r="TA9" i="26"/>
  <c r="SZ9" i="26"/>
  <c r="TF11" i="26"/>
  <c r="TE11" i="26"/>
  <c r="TC11" i="26"/>
  <c r="TB11" i="26"/>
  <c r="TA11" i="26"/>
  <c r="SZ11" i="26"/>
  <c r="TF5" i="26"/>
  <c r="TE5" i="26"/>
  <c r="TC5" i="26"/>
  <c r="TB5" i="26"/>
  <c r="TA5" i="26"/>
  <c r="SZ5" i="26"/>
  <c r="TF14" i="26"/>
  <c r="TE14" i="26"/>
  <c r="TC14" i="26"/>
  <c r="TB14" i="26"/>
  <c r="TA14" i="26"/>
  <c r="SZ14" i="26"/>
  <c r="TF4" i="26"/>
  <c r="TE4" i="26"/>
  <c r="TC4" i="26"/>
  <c r="TB4" i="26"/>
  <c r="TA4" i="26"/>
  <c r="SZ4" i="26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7" i="4"/>
  <c r="WQ27" i="4"/>
  <c r="WP27" i="4"/>
  <c r="WO27" i="4"/>
  <c r="WN27" i="4"/>
  <c r="WM27" i="4"/>
  <c r="WK27" i="4"/>
  <c r="WJ27" i="4"/>
  <c r="WI27" i="4"/>
  <c r="WH27" i="4"/>
  <c r="WG27" i="4"/>
  <c r="WF27" i="4"/>
  <c r="WR25" i="4"/>
  <c r="WQ25" i="4"/>
  <c r="WP25" i="4"/>
  <c r="WO25" i="4"/>
  <c r="WN25" i="4"/>
  <c r="WM25" i="4"/>
  <c r="WK25" i="4"/>
  <c r="WJ25" i="4"/>
  <c r="WI25" i="4"/>
  <c r="WH25" i="4"/>
  <c r="WG25" i="4"/>
  <c r="WF25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9" i="4"/>
  <c r="WQ9" i="4"/>
  <c r="WP9" i="4"/>
  <c r="WO9" i="4"/>
  <c r="WN9" i="4"/>
  <c r="WM9" i="4"/>
  <c r="WK9" i="4"/>
  <c r="WJ9" i="4"/>
  <c r="WI9" i="4"/>
  <c r="WH9" i="4"/>
  <c r="WG9" i="4"/>
  <c r="WF9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6" i="4"/>
  <c r="WQ26" i="4"/>
  <c r="WP26" i="4"/>
  <c r="WO26" i="4"/>
  <c r="WN26" i="4"/>
  <c r="WM26" i="4"/>
  <c r="WK26" i="4"/>
  <c r="WJ26" i="4"/>
  <c r="WI26" i="4"/>
  <c r="WH26" i="4"/>
  <c r="WG26" i="4"/>
  <c r="WF26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R8" i="4"/>
  <c r="WQ8" i="4"/>
  <c r="WP8" i="4"/>
  <c r="WO8" i="4"/>
  <c r="WN8" i="4"/>
  <c r="WM8" i="4"/>
  <c r="WK8" i="4"/>
  <c r="WJ8" i="4"/>
  <c r="WI8" i="4"/>
  <c r="WH8" i="4"/>
  <c r="WG8" i="4"/>
  <c r="WF8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26" i="4"/>
  <c r="WU26" i="4"/>
  <c r="WV26" i="4"/>
  <c r="XJ26" i="4" s="1"/>
  <c r="WW26" i="4"/>
  <c r="XK26" i="4" s="1"/>
  <c r="WX26" i="4"/>
  <c r="WY26" i="4"/>
  <c r="WZ26" i="4"/>
  <c r="XA26" i="4"/>
  <c r="XM26" i="4" s="1"/>
  <c r="XB26" i="4"/>
  <c r="XN26" i="4" s="1"/>
  <c r="XC26" i="4"/>
  <c r="XD26" i="4"/>
  <c r="XE26" i="4"/>
  <c r="XF26" i="4"/>
  <c r="XQ26" i="4" s="1"/>
  <c r="XG26" i="4"/>
  <c r="XR26" i="4" s="1"/>
  <c r="XH26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WT27" i="4"/>
  <c r="WU27" i="4"/>
  <c r="WV27" i="4"/>
  <c r="XJ27" i="4" s="1"/>
  <c r="WW27" i="4"/>
  <c r="XK27" i="4" s="1"/>
  <c r="WX27" i="4"/>
  <c r="WY27" i="4"/>
  <c r="WZ27" i="4"/>
  <c r="XA27" i="4"/>
  <c r="XM27" i="4" s="1"/>
  <c r="XB27" i="4"/>
  <c r="XN27" i="4" s="1"/>
  <c r="XC27" i="4"/>
  <c r="XD27" i="4"/>
  <c r="XE27" i="4"/>
  <c r="XF27" i="4"/>
  <c r="XQ27" i="4" s="1"/>
  <c r="XG27" i="4"/>
  <c r="XR27" i="4" s="1"/>
  <c r="XH27" i="4"/>
  <c r="XH8" i="24" l="1"/>
  <c r="XL8" i="24" s="1"/>
  <c r="M14" i="23"/>
  <c r="CT8" i="24"/>
  <c r="CU8" i="24"/>
  <c r="XH14" i="23"/>
  <c r="XL14" i="23" s="1"/>
  <c r="M8" i="24"/>
  <c r="H8" i="24"/>
  <c r="CT14" i="23"/>
  <c r="N14" i="23" s="1"/>
  <c r="O14" i="23" s="1"/>
  <c r="H14" i="23"/>
  <c r="F11" i="23"/>
  <c r="I11" i="23"/>
  <c r="G11" i="23"/>
  <c r="G9" i="24"/>
  <c r="F9" i="24"/>
  <c r="I9" i="24"/>
  <c r="TG5" i="26"/>
  <c r="WD9" i="24"/>
  <c r="WK9" i="24" s="1"/>
  <c r="TG13" i="26"/>
  <c r="WL23" i="4"/>
  <c r="WS23" i="4" s="1"/>
  <c r="TG7" i="19"/>
  <c r="TG20" i="19"/>
  <c r="WD4" i="24"/>
  <c r="WK4" i="24" s="1"/>
  <c r="WD6" i="24"/>
  <c r="WK6" i="24" s="1"/>
  <c r="WD7" i="24"/>
  <c r="WK7" i="24" s="1"/>
  <c r="CS9" i="24"/>
  <c r="WD16" i="23"/>
  <c r="WK16" i="23" s="1"/>
  <c r="WD17" i="23"/>
  <c r="WK17" i="23" s="1"/>
  <c r="WD7" i="23"/>
  <c r="WK7" i="23" s="1"/>
  <c r="WD18" i="23"/>
  <c r="WK18" i="23" s="1"/>
  <c r="WD12" i="23"/>
  <c r="WK12" i="23" s="1"/>
  <c r="WD15" i="23"/>
  <c r="WK15" i="23" s="1"/>
  <c r="TG7" i="21"/>
  <c r="TG17" i="21"/>
  <c r="TG11" i="21"/>
  <c r="TG5" i="21"/>
  <c r="TG14" i="21"/>
  <c r="TG13" i="21"/>
  <c r="TG24" i="21"/>
  <c r="TG23" i="21"/>
  <c r="TG33" i="19"/>
  <c r="TG31" i="19"/>
  <c r="TG30" i="19"/>
  <c r="TG28" i="19"/>
  <c r="TG10" i="19"/>
  <c r="TG14" i="19"/>
  <c r="TG13" i="19"/>
  <c r="TG8" i="19"/>
  <c r="TG32" i="19"/>
  <c r="TG21" i="19"/>
  <c r="TG11" i="19"/>
  <c r="TG7" i="27"/>
  <c r="TG10" i="27"/>
  <c r="TG16" i="27"/>
  <c r="XD11" i="23"/>
  <c r="CS11" i="23"/>
  <c r="WD11" i="23"/>
  <c r="WK11" i="23" s="1"/>
  <c r="WL12" i="22"/>
  <c r="WS12" i="22" s="1"/>
  <c r="WL9" i="22"/>
  <c r="WS9" i="22" s="1"/>
  <c r="WL13" i="22"/>
  <c r="WS13" i="22" s="1"/>
  <c r="WL11" i="22"/>
  <c r="WS11" i="22" s="1"/>
  <c r="WL8" i="4"/>
  <c r="WS8" i="4" s="1"/>
  <c r="WL7" i="4"/>
  <c r="WS7" i="4" s="1"/>
  <c r="WL10" i="4"/>
  <c r="WS10" i="4" s="1"/>
  <c r="WL17" i="4"/>
  <c r="WS17" i="4" s="1"/>
  <c r="WL4" i="4"/>
  <c r="WS4" i="4" s="1"/>
  <c r="WL6" i="4"/>
  <c r="WS6" i="4" s="1"/>
  <c r="WL11" i="4"/>
  <c r="WS11" i="4" s="1"/>
  <c r="WL13" i="4"/>
  <c r="WS13" i="4" s="1"/>
  <c r="WL12" i="4"/>
  <c r="WS12" i="4" s="1"/>
  <c r="WL26" i="4"/>
  <c r="WS26" i="4" s="1"/>
  <c r="WL20" i="4"/>
  <c r="WS20" i="4" s="1"/>
  <c r="WL9" i="4"/>
  <c r="WS9" i="4" s="1"/>
  <c r="WL27" i="4"/>
  <c r="WS27" i="4" s="1"/>
  <c r="XS20" i="4"/>
  <c r="XS9" i="4"/>
  <c r="XL13" i="4"/>
  <c r="XS11" i="4"/>
  <c r="XK9" i="24"/>
  <c r="XG9" i="24"/>
  <c r="L9" i="24"/>
  <c r="CU9" i="24" s="1"/>
  <c r="J9" i="24"/>
  <c r="K9" i="24" s="1"/>
  <c r="XD9" i="24"/>
  <c r="XG11" i="23"/>
  <c r="L11" i="23"/>
  <c r="M11" i="23" s="1"/>
  <c r="XK11" i="23"/>
  <c r="J11" i="23"/>
  <c r="K11" i="23" s="1"/>
  <c r="WD4" i="23"/>
  <c r="WK4" i="23" s="1"/>
  <c r="TG4" i="21"/>
  <c r="TG22" i="21"/>
  <c r="TG8" i="21"/>
  <c r="TG19" i="21"/>
  <c r="TG6" i="21"/>
  <c r="TG9" i="21"/>
  <c r="TG10" i="21"/>
  <c r="TG26" i="21"/>
  <c r="TG15" i="21"/>
  <c r="TG4" i="19"/>
  <c r="TG18" i="19"/>
  <c r="TG15" i="19"/>
  <c r="TG25" i="19"/>
  <c r="TG24" i="19"/>
  <c r="TG5" i="19"/>
  <c r="TG12" i="19"/>
  <c r="TG17" i="19"/>
  <c r="TG27" i="19"/>
  <c r="TG29" i="19"/>
  <c r="TG22" i="19"/>
  <c r="TG15" i="27"/>
  <c r="TG13" i="27"/>
  <c r="TG6" i="27"/>
  <c r="TG8" i="27"/>
  <c r="TG5" i="27"/>
  <c r="TG4" i="27"/>
  <c r="TG9" i="27"/>
  <c r="TG14" i="27"/>
  <c r="TG11" i="26"/>
  <c r="TG14" i="26"/>
  <c r="TG6" i="26"/>
  <c r="TG4" i="26"/>
  <c r="TG9" i="26"/>
  <c r="WD10" i="24"/>
  <c r="WK10" i="24" s="1"/>
  <c r="WD14" i="24"/>
  <c r="WK14" i="24" s="1"/>
  <c r="WD5" i="24"/>
  <c r="WK5" i="24" s="1"/>
  <c r="WD13" i="24"/>
  <c r="WK13" i="24" s="1"/>
  <c r="WD15" i="24"/>
  <c r="WK15" i="24" s="1"/>
  <c r="WD12" i="24"/>
  <c r="WK12" i="24" s="1"/>
  <c r="WD11" i="24"/>
  <c r="WK11" i="24" s="1"/>
  <c r="WD6" i="23"/>
  <c r="WK6" i="23" s="1"/>
  <c r="WD9" i="23"/>
  <c r="WK9" i="23" s="1"/>
  <c r="WD13" i="23"/>
  <c r="WK13" i="23" s="1"/>
  <c r="WD5" i="23"/>
  <c r="WK5" i="23" s="1"/>
  <c r="WD8" i="23"/>
  <c r="WK8" i="23" s="1"/>
  <c r="WD10" i="23"/>
  <c r="WK10" i="23" s="1"/>
  <c r="WL8" i="22"/>
  <c r="WS8" i="22" s="1"/>
  <c r="WL7" i="22"/>
  <c r="WS7" i="22" s="1"/>
  <c r="WL10" i="22"/>
  <c r="WS10" i="22" s="1"/>
  <c r="WL5" i="22"/>
  <c r="WS5" i="22" s="1"/>
  <c r="WL4" i="22"/>
  <c r="WS4" i="22" s="1"/>
  <c r="WL6" i="22"/>
  <c r="WS6" i="22" s="1"/>
  <c r="WL14" i="22"/>
  <c r="WS14" i="22" s="1"/>
  <c r="WL15" i="22"/>
  <c r="WS15" i="22" s="1"/>
  <c r="XS18" i="4"/>
  <c r="XL26" i="4"/>
  <c r="XL6" i="4"/>
  <c r="XO27" i="4"/>
  <c r="XL20" i="4"/>
  <c r="XO20" i="4"/>
  <c r="WL24" i="4"/>
  <c r="WS24" i="4" s="1"/>
  <c r="XO24" i="4"/>
  <c r="XL17" i="4"/>
  <c r="XO6" i="4"/>
  <c r="XO22" i="4"/>
  <c r="XL11" i="4"/>
  <c r="XS25" i="4"/>
  <c r="XO23" i="4"/>
  <c r="XL24" i="4"/>
  <c r="XS17" i="4"/>
  <c r="XO26" i="4"/>
  <c r="XS5" i="4"/>
  <c r="XO4" i="4"/>
  <c r="XL8" i="4"/>
  <c r="XO9" i="4"/>
  <c r="XO17" i="4"/>
  <c r="XS10" i="4"/>
  <c r="XO13" i="4"/>
  <c r="XL4" i="4"/>
  <c r="WL25" i="4"/>
  <c r="WS25" i="4" s="1"/>
  <c r="XS12" i="4"/>
  <c r="XO10" i="4"/>
  <c r="WL5" i="4"/>
  <c r="WS5" i="4" s="1"/>
  <c r="XS23" i="4"/>
  <c r="XS26" i="4"/>
  <c r="XO21" i="4"/>
  <c r="XL10" i="4"/>
  <c r="XS7" i="4"/>
  <c r="WL18" i="4"/>
  <c r="WS18" i="4" s="1"/>
  <c r="XO12" i="4"/>
  <c r="XS13" i="4"/>
  <c r="XO18" i="4"/>
  <c r="XO7" i="4"/>
  <c r="WL21" i="4"/>
  <c r="WS21" i="4" s="1"/>
  <c r="XS27" i="4"/>
  <c r="XO25" i="4"/>
  <c r="XS22" i="4"/>
  <c r="XL7" i="4"/>
  <c r="XS6" i="4"/>
  <c r="XO5" i="4"/>
  <c r="WL22" i="4"/>
  <c r="WS22" i="4" s="1"/>
  <c r="XL25" i="4"/>
  <c r="XS24" i="4"/>
  <c r="XS21" i="4"/>
  <c r="XO11" i="4"/>
  <c r="XS8" i="4"/>
  <c r="TD4" i="21"/>
  <c r="TD5" i="21"/>
  <c r="TD7" i="21"/>
  <c r="TD9" i="21"/>
  <c r="TD22" i="21"/>
  <c r="TD14" i="21"/>
  <c r="TD17" i="21"/>
  <c r="TD10" i="21"/>
  <c r="TD8" i="21"/>
  <c r="TD13" i="21"/>
  <c r="TD26" i="21"/>
  <c r="TD19" i="21"/>
  <c r="TD24" i="21"/>
  <c r="TD11" i="21"/>
  <c r="TD15" i="21"/>
  <c r="TD6" i="21"/>
  <c r="TD23" i="21"/>
  <c r="TD4" i="19"/>
  <c r="TD10" i="19"/>
  <c r="TD7" i="19"/>
  <c r="TD5" i="19"/>
  <c r="TD18" i="19"/>
  <c r="TD14" i="19"/>
  <c r="TD20" i="19"/>
  <c r="TD12" i="19"/>
  <c r="TD15" i="19"/>
  <c r="TD13" i="19"/>
  <c r="TD33" i="19"/>
  <c r="TD17" i="19"/>
  <c r="TD8" i="19"/>
  <c r="TD27" i="19"/>
  <c r="TD32" i="19"/>
  <c r="TD31" i="19"/>
  <c r="TD29" i="19"/>
  <c r="TD25" i="19"/>
  <c r="TD21" i="19"/>
  <c r="TD30" i="19"/>
  <c r="TD22" i="19"/>
  <c r="TD24" i="19"/>
  <c r="TD11" i="19"/>
  <c r="TD28" i="19"/>
  <c r="TD5" i="27"/>
  <c r="TD6" i="27"/>
  <c r="TD4" i="27"/>
  <c r="TD7" i="27"/>
  <c r="TD15" i="27"/>
  <c r="TD9" i="27"/>
  <c r="TD10" i="27"/>
  <c r="TD13" i="27"/>
  <c r="TD8" i="27"/>
  <c r="TD14" i="27"/>
  <c r="TD16" i="27"/>
  <c r="TD4" i="26"/>
  <c r="TD14" i="26"/>
  <c r="TD5" i="26"/>
  <c r="TD11" i="26"/>
  <c r="TD9" i="26"/>
  <c r="TD6" i="26"/>
  <c r="TD13" i="26"/>
  <c r="XL5" i="4"/>
  <c r="XL23" i="4"/>
  <c r="XL22" i="4"/>
  <c r="XL21" i="4"/>
  <c r="XL18" i="4"/>
  <c r="XO8" i="4"/>
  <c r="XL27" i="4"/>
  <c r="XL9" i="4"/>
  <c r="XL12" i="4"/>
  <c r="XS4" i="4"/>
  <c r="CT28" i="19"/>
  <c r="CU28" i="19"/>
  <c r="CV28" i="19"/>
  <c r="CW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CT24" i="21"/>
  <c r="CU24" i="21"/>
  <c r="CV24" i="21"/>
  <c r="CW24" i="21"/>
  <c r="CY24" i="21"/>
  <c r="CZ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G28" i="19" l="1"/>
  <c r="XP25" i="4"/>
  <c r="XT25" i="4" s="1"/>
  <c r="XP10" i="4"/>
  <c r="XT10" i="4" s="1"/>
  <c r="XP22" i="4"/>
  <c r="XT22" i="4" s="1"/>
  <c r="N8" i="24"/>
  <c r="O8" i="24" s="1"/>
  <c r="F24" i="21"/>
  <c r="G24" i="21"/>
  <c r="F28" i="19"/>
  <c r="H11" i="23"/>
  <c r="A11" i="23" s="1" a="1"/>
  <c r="A11" i="23" s="1"/>
  <c r="A14" i="23" a="1"/>
  <c r="A14" i="23" s="1"/>
  <c r="E14" i="23"/>
  <c r="P14" i="23"/>
  <c r="H9" i="24"/>
  <c r="XP7" i="4"/>
  <c r="XT7" i="4" s="1"/>
  <c r="XP13" i="4"/>
  <c r="XT13" i="4" s="1"/>
  <c r="XH11" i="23"/>
  <c r="XL11" i="23" s="1"/>
  <c r="XH9" i="24"/>
  <c r="XL9" i="24" s="1"/>
  <c r="M9" i="24"/>
  <c r="CU11" i="23"/>
  <c r="XP20" i="4"/>
  <c r="XT20" i="4" s="1"/>
  <c r="XP21" i="4"/>
  <c r="XT21" i="4" s="1"/>
  <c r="XP24" i="4"/>
  <c r="XT24" i="4" s="1"/>
  <c r="XP27" i="4"/>
  <c r="XT27" i="4" s="1"/>
  <c r="XP26" i="4"/>
  <c r="XT26" i="4" s="1"/>
  <c r="XP23" i="4"/>
  <c r="XT23" i="4" s="1"/>
  <c r="XP18" i="4"/>
  <c r="XT18" i="4" s="1"/>
  <c r="XP17" i="4"/>
  <c r="XT17" i="4" s="1"/>
  <c r="CT9" i="24"/>
  <c r="N9" i="24" s="1"/>
  <c r="E9" i="24" s="1"/>
  <c r="CT11" i="23"/>
  <c r="XP11" i="4"/>
  <c r="XT11" i="4" s="1"/>
  <c r="XP12" i="4"/>
  <c r="XT12" i="4" s="1"/>
  <c r="XP6" i="4"/>
  <c r="XT6" i="4" s="1"/>
  <c r="XP8" i="4"/>
  <c r="XT8" i="4" s="1"/>
  <c r="XP5" i="4"/>
  <c r="XT5" i="4" s="1"/>
  <c r="XP9" i="4"/>
  <c r="XT9" i="4" s="1"/>
  <c r="XP4" i="4"/>
  <c r="XT4" i="4" s="1"/>
  <c r="N28" i="19"/>
  <c r="DC28" i="19" s="1"/>
  <c r="UC28" i="19"/>
  <c r="DA28" i="19"/>
  <c r="UI28" i="19"/>
  <c r="UH28" i="19"/>
  <c r="CX28" i="19"/>
  <c r="UE28" i="19"/>
  <c r="UD28" i="19"/>
  <c r="L28" i="19"/>
  <c r="J28" i="19"/>
  <c r="K28" i="19" s="1"/>
  <c r="UF28" i="19"/>
  <c r="UC24" i="21"/>
  <c r="UH24" i="21"/>
  <c r="CX24" i="21"/>
  <c r="DA24" i="21"/>
  <c r="UF24" i="21"/>
  <c r="UE24" i="21"/>
  <c r="UD24" i="21"/>
  <c r="UI24" i="21"/>
  <c r="L24" i="21"/>
  <c r="J24" i="21"/>
  <c r="N24" i="21"/>
  <c r="DC24" i="21" s="1"/>
  <c r="H28" i="19" l="1"/>
  <c r="P8" i="24"/>
  <c r="E8" i="24"/>
  <c r="I24" i="21"/>
  <c r="H24" i="21" s="1"/>
  <c r="A24" i="21" s="1" a="1"/>
  <c r="A24" i="21" s="1"/>
  <c r="I28" i="19"/>
  <c r="M28" i="19"/>
  <c r="O28" i="19"/>
  <c r="N11" i="23"/>
  <c r="E11" i="23" s="1"/>
  <c r="P9" i="24"/>
  <c r="O9" i="24"/>
  <c r="DB24" i="21"/>
  <c r="DB28" i="19"/>
  <c r="P28" i="19" s="1"/>
  <c r="UG28" i="19"/>
  <c r="UJ28" i="19"/>
  <c r="UG24" i="21"/>
  <c r="UJ24" i="21"/>
  <c r="K24" i="21"/>
  <c r="M24" i="21" s="1"/>
  <c r="O24" i="21"/>
  <c r="P11" i="23" l="1"/>
  <c r="O11" i="23"/>
  <c r="E28" i="19"/>
  <c r="P24" i="21"/>
  <c r="E24" i="21" l="1"/>
  <c r="CT4" i="27" l="1"/>
  <c r="CU4" i="27"/>
  <c r="CV4" i="27"/>
  <c r="CW4" i="27"/>
  <c r="CY4" i="27"/>
  <c r="CZ4" i="27"/>
  <c r="TH4" i="27"/>
  <c r="TI4" i="27"/>
  <c r="TJ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5" i="23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CI13" i="24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0" i="23"/>
  <c r="CJ10" i="23"/>
  <c r="CK10" i="23"/>
  <c r="CO10" i="23" s="1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G4" i="27" l="1"/>
  <c r="F4" i="27"/>
  <c r="F6" i="23"/>
  <c r="I6" i="23"/>
  <c r="CO15" i="23"/>
  <c r="CS15" i="23" s="1"/>
  <c r="G15" i="23"/>
  <c r="F10" i="23"/>
  <c r="I10" i="23"/>
  <c r="I15" i="23"/>
  <c r="F15" i="23"/>
  <c r="G10" i="23"/>
  <c r="G6" i="23"/>
  <c r="F13" i="24"/>
  <c r="I13" i="24"/>
  <c r="G13" i="24"/>
  <c r="CS13" i="24"/>
  <c r="XD6" i="23"/>
  <c r="XG6" i="23"/>
  <c r="CO6" i="23"/>
  <c r="CS6" i="23" s="1"/>
  <c r="UH4" i="27"/>
  <c r="UC4" i="27"/>
  <c r="DA4" i="27"/>
  <c r="UI4" i="27"/>
  <c r="CX4" i="27"/>
  <c r="N4" i="27"/>
  <c r="UD4" i="27"/>
  <c r="UE4" i="27"/>
  <c r="L4" i="27"/>
  <c r="J4" i="27"/>
  <c r="K4" i="27" s="1"/>
  <c r="UF4" i="27"/>
  <c r="J15" i="23"/>
  <c r="K15" i="23" s="1"/>
  <c r="XK15" i="23"/>
  <c r="J6" i="23"/>
  <c r="K6" i="23" s="1"/>
  <c r="L6" i="23"/>
  <c r="XG15" i="23"/>
  <c r="XK6" i="23"/>
  <c r="XD15" i="23"/>
  <c r="L15" i="23"/>
  <c r="XD13" i="24"/>
  <c r="CS10" i="23"/>
  <c r="L13" i="24"/>
  <c r="XK13" i="24"/>
  <c r="XG13" i="24"/>
  <c r="J13" i="24"/>
  <c r="K13" i="24" s="1"/>
  <c r="XK10" i="23"/>
  <c r="XG10" i="23"/>
  <c r="L10" i="23"/>
  <c r="J10" i="23"/>
  <c r="K10" i="23" s="1"/>
  <c r="XD10" i="23"/>
  <c r="I4" i="27" l="1"/>
  <c r="H4" i="27" s="1"/>
  <c r="M4" i="27"/>
  <c r="H6" i="23"/>
  <c r="A6" i="23" s="1" a="1"/>
  <c r="A6" i="23" s="1"/>
  <c r="H15" i="23"/>
  <c r="A15" i="23" s="1" a="1"/>
  <c r="A15" i="23" s="1"/>
  <c r="H10" i="23"/>
  <c r="A10" i="23" s="1" a="1"/>
  <c r="A10" i="23" s="1"/>
  <c r="H13" i="24"/>
  <c r="DB4" i="27"/>
  <c r="O4" i="27"/>
  <c r="DC4" i="27"/>
  <c r="M13" i="24"/>
  <c r="CT13" i="24"/>
  <c r="CU13" i="24"/>
  <c r="M10" i="23"/>
  <c r="CU10" i="23"/>
  <c r="CT10" i="23"/>
  <c r="CU6" i="23"/>
  <c r="CT6" i="23"/>
  <c r="CU15" i="23"/>
  <c r="CT15" i="23"/>
  <c r="XH6" i="23"/>
  <c r="XL6" i="23" s="1"/>
  <c r="XH15" i="23"/>
  <c r="XL15" i="23" s="1"/>
  <c r="UG4" i="27"/>
  <c r="UJ4" i="27"/>
  <c r="M6" i="23"/>
  <c r="M15" i="23"/>
  <c r="XH13" i="24"/>
  <c r="XL13" i="24" s="1"/>
  <c r="XH10" i="23"/>
  <c r="XL10" i="23" s="1"/>
  <c r="P4" i="27" l="1"/>
  <c r="N6" i="23"/>
  <c r="P6" i="23" s="1"/>
  <c r="N15" i="23"/>
  <c r="P15" i="23" s="1"/>
  <c r="N10" i="23"/>
  <c r="N13" i="24"/>
  <c r="E6" i="23" l="1"/>
  <c r="E4" i="27"/>
  <c r="O6" i="23"/>
  <c r="E13" i="24"/>
  <c r="P13" i="24"/>
  <c r="E10" i="23"/>
  <c r="P10" i="23"/>
  <c r="O15" i="23"/>
  <c r="E15" i="23"/>
  <c r="O10" i="23"/>
  <c r="O13" i="24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G21" i="19" l="1"/>
  <c r="F21" i="19"/>
  <c r="UH21" i="19"/>
  <c r="UE21" i="19"/>
  <c r="N21" i="19"/>
  <c r="DC21" i="19" s="1"/>
  <c r="UC21" i="19"/>
  <c r="CX21" i="19"/>
  <c r="DA21" i="19"/>
  <c r="UD21" i="19"/>
  <c r="UI21" i="19"/>
  <c r="L21" i="19"/>
  <c r="UF21" i="19"/>
  <c r="J21" i="19"/>
  <c r="I21" i="19" l="1"/>
  <c r="H21" i="19" s="1"/>
  <c r="A21" i="19" s="1" a="1"/>
  <c r="A21" i="19" s="1"/>
  <c r="DB21" i="19"/>
  <c r="P21" i="19" s="1"/>
  <c r="O21" i="19"/>
  <c r="UG21" i="19"/>
  <c r="UJ21" i="19"/>
  <c r="K21" i="19"/>
  <c r="M21" i="19" s="1"/>
  <c r="E21" i="19" l="1"/>
  <c r="CT11" i="21" l="1"/>
  <c r="CU11" i="21"/>
  <c r="CV11" i="21"/>
  <c r="CW11" i="21"/>
  <c r="CY11" i="21"/>
  <c r="CZ11" i="21"/>
  <c r="TH11" i="21"/>
  <c r="TI11" i="21"/>
  <c r="TJ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CT6" i="21"/>
  <c r="CU6" i="21"/>
  <c r="CV6" i="21"/>
  <c r="CW6" i="21"/>
  <c r="CY6" i="21"/>
  <c r="CZ6" i="21"/>
  <c r="TH6" i="21"/>
  <c r="TI6" i="21"/>
  <c r="TJ6" i="21"/>
  <c r="TK6" i="21"/>
  <c r="TL6" i="21"/>
  <c r="TM6" i="21"/>
  <c r="TN6" i="21"/>
  <c r="TO6" i="21"/>
  <c r="TP6" i="21"/>
  <c r="TQ6" i="21"/>
  <c r="TR6" i="21"/>
  <c r="TS6" i="21"/>
  <c r="TT6" i="21"/>
  <c r="TU6" i="21"/>
  <c r="TV6" i="21"/>
  <c r="TW6" i="21"/>
  <c r="TX6" i="21"/>
  <c r="TY6" i="21"/>
  <c r="TZ6" i="21"/>
  <c r="UA6" i="21"/>
  <c r="CT32" i="19"/>
  <c r="CU32" i="19"/>
  <c r="CV32" i="19"/>
  <c r="CW32" i="19"/>
  <c r="CY32" i="19"/>
  <c r="CZ32" i="19"/>
  <c r="TH32" i="19"/>
  <c r="TI32" i="19"/>
  <c r="TJ32" i="19"/>
  <c r="TK32" i="19"/>
  <c r="TL32" i="19"/>
  <c r="TM32" i="19"/>
  <c r="TN32" i="19"/>
  <c r="TO32" i="19"/>
  <c r="TP32" i="19"/>
  <c r="TQ32" i="19"/>
  <c r="TR32" i="19"/>
  <c r="TS32" i="19"/>
  <c r="TT32" i="19"/>
  <c r="TU32" i="19"/>
  <c r="TV32" i="19"/>
  <c r="TW32" i="19"/>
  <c r="TX32" i="19"/>
  <c r="TY32" i="19"/>
  <c r="TZ32" i="19"/>
  <c r="UA32" i="19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CT30" i="19"/>
  <c r="CU30" i="19"/>
  <c r="CV30" i="19"/>
  <c r="CW30" i="19"/>
  <c r="CY30" i="19"/>
  <c r="CZ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CT29" i="19"/>
  <c r="CU29" i="19"/>
  <c r="CV29" i="19"/>
  <c r="CW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CT8" i="27"/>
  <c r="CU8" i="27"/>
  <c r="CV8" i="27"/>
  <c r="CW8" i="27"/>
  <c r="CY8" i="27"/>
  <c r="CZ8" i="27"/>
  <c r="TH8" i="27"/>
  <c r="TI8" i="27"/>
  <c r="TJ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CT10" i="27"/>
  <c r="CU10" i="27"/>
  <c r="CV10" i="27"/>
  <c r="CW10" i="27"/>
  <c r="CY10" i="27"/>
  <c r="CZ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I10" i="24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2" i="23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Q23" i="4"/>
  <c r="CR23" i="4"/>
  <c r="CS23" i="4"/>
  <c r="CT23" i="4"/>
  <c r="CU23" i="4"/>
  <c r="CV23" i="4"/>
  <c r="CX23" i="4"/>
  <c r="CY23" i="4"/>
  <c r="CZ23" i="4"/>
  <c r="CQ20" i="4"/>
  <c r="CR20" i="4"/>
  <c r="CS20" i="4"/>
  <c r="CT20" i="4"/>
  <c r="CU20" i="4"/>
  <c r="CV20" i="4"/>
  <c r="CX20" i="4"/>
  <c r="CY20" i="4"/>
  <c r="CZ20" i="4"/>
  <c r="CQ17" i="4"/>
  <c r="CR17" i="4"/>
  <c r="CS17" i="4"/>
  <c r="CT17" i="4"/>
  <c r="CU17" i="4"/>
  <c r="CV17" i="4"/>
  <c r="CX17" i="4"/>
  <c r="CY17" i="4"/>
  <c r="CZ17" i="4"/>
  <c r="T23" i="4" l="1"/>
  <c r="U23" i="4" s="1"/>
  <c r="T20" i="4"/>
  <c r="U20" i="4" s="1"/>
  <c r="T17" i="4"/>
  <c r="U17" i="4" s="1"/>
  <c r="G11" i="21"/>
  <c r="G6" i="21"/>
  <c r="F6" i="21"/>
  <c r="F11" i="21"/>
  <c r="G29" i="19"/>
  <c r="G30" i="19"/>
  <c r="G22" i="19"/>
  <c r="G32" i="19"/>
  <c r="F29" i="19"/>
  <c r="F30" i="19"/>
  <c r="F22" i="19"/>
  <c r="F32" i="19"/>
  <c r="G10" i="27"/>
  <c r="F10" i="27"/>
  <c r="G16" i="27"/>
  <c r="F16" i="27"/>
  <c r="G8" i="27"/>
  <c r="F8" i="27"/>
  <c r="F20" i="4"/>
  <c r="I20" i="4"/>
  <c r="G23" i="4"/>
  <c r="F23" i="4"/>
  <c r="I23" i="4"/>
  <c r="G20" i="4"/>
  <c r="G17" i="4"/>
  <c r="F17" i="4"/>
  <c r="I17" i="4"/>
  <c r="G10" i="24"/>
  <c r="F18" i="23"/>
  <c r="I18" i="23"/>
  <c r="I12" i="23"/>
  <c r="F12" i="23"/>
  <c r="I16" i="23"/>
  <c r="F16" i="23"/>
  <c r="G8" i="23"/>
  <c r="F8" i="23"/>
  <c r="I8" i="23"/>
  <c r="G5" i="23"/>
  <c r="F5" i="23"/>
  <c r="I5" i="23"/>
  <c r="G16" i="23"/>
  <c r="G18" i="23"/>
  <c r="G12" i="23"/>
  <c r="I10" i="24"/>
  <c r="F10" i="24"/>
  <c r="G11" i="24"/>
  <c r="I11" i="24"/>
  <c r="F11" i="24"/>
  <c r="R23" i="4"/>
  <c r="S23" i="4" s="1"/>
  <c r="R20" i="4"/>
  <c r="S20" i="4" s="1"/>
  <c r="R17" i="4"/>
  <c r="S17" i="4" s="1"/>
  <c r="CO11" i="24"/>
  <c r="CS11" i="24" s="1"/>
  <c r="CO10" i="24"/>
  <c r="CS10" i="24" s="1"/>
  <c r="CO18" i="23"/>
  <c r="CS18" i="23" s="1"/>
  <c r="CO5" i="23"/>
  <c r="CS5" i="23" s="1"/>
  <c r="CO8" i="23"/>
  <c r="CS8" i="23" s="1"/>
  <c r="CO16" i="23"/>
  <c r="CS16" i="23" s="1"/>
  <c r="CO12" i="23"/>
  <c r="CS12" i="23" s="1"/>
  <c r="N16" i="27"/>
  <c r="DC16" i="27" s="1"/>
  <c r="N32" i="19"/>
  <c r="DC32" i="19" s="1"/>
  <c r="UH6" i="21"/>
  <c r="UC6" i="21"/>
  <c r="DA6" i="21"/>
  <c r="N22" i="19"/>
  <c r="UH32" i="19"/>
  <c r="UC32" i="19"/>
  <c r="DA32" i="19"/>
  <c r="N10" i="27"/>
  <c r="DA8" i="27"/>
  <c r="XD10" i="24"/>
  <c r="XG10" i="24"/>
  <c r="XG12" i="23"/>
  <c r="CW17" i="4"/>
  <c r="DA17" i="4" s="1"/>
  <c r="CW23" i="4"/>
  <c r="DA23" i="4" s="1"/>
  <c r="CW20" i="4"/>
  <c r="DA20" i="4" s="1"/>
  <c r="UC11" i="21"/>
  <c r="L11" i="21"/>
  <c r="DB11" i="21" s="1"/>
  <c r="J11" i="21"/>
  <c r="K11" i="21" s="1"/>
  <c r="UI11" i="21"/>
  <c r="UH11" i="21"/>
  <c r="CX11" i="21"/>
  <c r="N11" i="21"/>
  <c r="DC11" i="21" s="1"/>
  <c r="UE11" i="21"/>
  <c r="UD11" i="21"/>
  <c r="UF11" i="21"/>
  <c r="DA11" i="21"/>
  <c r="UE6" i="21"/>
  <c r="UD6" i="21"/>
  <c r="N6" i="21"/>
  <c r="UI6" i="21"/>
  <c r="CX6" i="21"/>
  <c r="I6" i="21" s="1"/>
  <c r="L6" i="21"/>
  <c r="J6" i="21"/>
  <c r="K6" i="21" s="1"/>
  <c r="UF6" i="21"/>
  <c r="UE32" i="19"/>
  <c r="UD32" i="19"/>
  <c r="UI32" i="19"/>
  <c r="CX32" i="19"/>
  <c r="L32" i="19"/>
  <c r="J32" i="19"/>
  <c r="K32" i="19" s="1"/>
  <c r="UF32" i="19"/>
  <c r="UC22" i="19"/>
  <c r="UH30" i="19"/>
  <c r="UC30" i="19"/>
  <c r="UH29" i="19"/>
  <c r="UC29" i="19"/>
  <c r="DA22" i="19"/>
  <c r="UI22" i="19"/>
  <c r="UH22" i="19"/>
  <c r="CX22" i="19"/>
  <c r="UE22" i="19"/>
  <c r="UD22" i="19"/>
  <c r="L22" i="19"/>
  <c r="J22" i="19"/>
  <c r="K22" i="19" s="1"/>
  <c r="UF22" i="19"/>
  <c r="DA29" i="19"/>
  <c r="UE30" i="19"/>
  <c r="UD30" i="19"/>
  <c r="DA30" i="19"/>
  <c r="UI30" i="19"/>
  <c r="CX30" i="19"/>
  <c r="N30" i="19"/>
  <c r="DC30" i="19" s="1"/>
  <c r="L30" i="19"/>
  <c r="DB30" i="19" s="1"/>
  <c r="J30" i="19"/>
  <c r="K30" i="19" s="1"/>
  <c r="UF30" i="19"/>
  <c r="UE29" i="19"/>
  <c r="UD29" i="19"/>
  <c r="N29" i="19"/>
  <c r="UI29" i="19"/>
  <c r="CX29" i="19"/>
  <c r="L29" i="19"/>
  <c r="J29" i="19"/>
  <c r="K29" i="19" s="1"/>
  <c r="UF29" i="19"/>
  <c r="N8" i="27"/>
  <c r="DC8" i="27" s="1"/>
  <c r="UH8" i="27"/>
  <c r="UE8" i="27"/>
  <c r="UF8" i="27"/>
  <c r="UD8" i="27"/>
  <c r="CX8" i="27"/>
  <c r="UI8" i="27"/>
  <c r="L8" i="27"/>
  <c r="J8" i="27"/>
  <c r="K8" i="27" s="1"/>
  <c r="UC8" i="27"/>
  <c r="UC16" i="27"/>
  <c r="DA10" i="27"/>
  <c r="UC10" i="27"/>
  <c r="DA16" i="27"/>
  <c r="UI16" i="27"/>
  <c r="UH16" i="27"/>
  <c r="CX16" i="27"/>
  <c r="UE16" i="27"/>
  <c r="UD16" i="27"/>
  <c r="L16" i="27"/>
  <c r="J16" i="27"/>
  <c r="K16" i="27" s="1"/>
  <c r="UF16" i="27"/>
  <c r="UE10" i="27"/>
  <c r="UD10" i="27"/>
  <c r="UI10" i="27"/>
  <c r="UH10" i="27"/>
  <c r="CX10" i="27"/>
  <c r="L10" i="27"/>
  <c r="J10" i="27"/>
  <c r="K10" i="27" s="1"/>
  <c r="UF10" i="27"/>
  <c r="XK10" i="24"/>
  <c r="L10" i="24"/>
  <c r="J10" i="24"/>
  <c r="K10" i="24" s="1"/>
  <c r="XD11" i="24"/>
  <c r="XK11" i="24"/>
  <c r="XG11" i="24"/>
  <c r="L11" i="24"/>
  <c r="J11" i="24"/>
  <c r="XD12" i="23"/>
  <c r="L12" i="23"/>
  <c r="XK12" i="23"/>
  <c r="J12" i="23"/>
  <c r="XD8" i="23"/>
  <c r="XK8" i="23"/>
  <c r="XG8" i="23"/>
  <c r="L8" i="23"/>
  <c r="J8" i="23"/>
  <c r="K8" i="23" s="1"/>
  <c r="XD18" i="23"/>
  <c r="J18" i="23"/>
  <c r="K18" i="23" s="1"/>
  <c r="XK18" i="23"/>
  <c r="XG18" i="23"/>
  <c r="L18" i="23"/>
  <c r="XD5" i="23"/>
  <c r="L5" i="23"/>
  <c r="J5" i="23"/>
  <c r="K5" i="23" s="1"/>
  <c r="XK5" i="23"/>
  <c r="XG5" i="23"/>
  <c r="XG16" i="23"/>
  <c r="XD16" i="23"/>
  <c r="XK16" i="23"/>
  <c r="L16" i="23"/>
  <c r="J16" i="23"/>
  <c r="J23" i="4"/>
  <c r="K23" i="4" s="1"/>
  <c r="P23" i="4"/>
  <c r="L23" i="4"/>
  <c r="M23" i="4" s="1"/>
  <c r="N23" i="4"/>
  <c r="P20" i="4"/>
  <c r="DC20" i="4" s="1"/>
  <c r="L20" i="4"/>
  <c r="M20" i="4" s="1"/>
  <c r="J20" i="4"/>
  <c r="K20" i="4" s="1"/>
  <c r="N20" i="4"/>
  <c r="N17" i="4"/>
  <c r="P17" i="4"/>
  <c r="DC17" i="4" s="1"/>
  <c r="L17" i="4"/>
  <c r="M17" i="4" s="1"/>
  <c r="J17" i="4"/>
  <c r="K17" i="4" s="1"/>
  <c r="M30" i="19" l="1"/>
  <c r="M8" i="27"/>
  <c r="M29" i="19"/>
  <c r="H10" i="24"/>
  <c r="M22" i="19"/>
  <c r="I29" i="19"/>
  <c r="H29" i="19" s="1"/>
  <c r="A29" i="19" s="1" a="1"/>
  <c r="A29" i="19" s="1"/>
  <c r="M10" i="27"/>
  <c r="I8" i="27"/>
  <c r="H8" i="27" s="1"/>
  <c r="DB20" i="4"/>
  <c r="V20" i="4" s="1"/>
  <c r="X20" i="4" s="1"/>
  <c r="I11" i="21"/>
  <c r="H11" i="21" s="1"/>
  <c r="M6" i="21"/>
  <c r="H6" i="21"/>
  <c r="I22" i="19"/>
  <c r="H22" i="19" s="1"/>
  <c r="A22" i="19" s="1" a="1"/>
  <c r="A22" i="19" s="1"/>
  <c r="I32" i="19"/>
  <c r="H32" i="19" s="1"/>
  <c r="A32" i="19" s="1" a="1"/>
  <c r="A32" i="19" s="1"/>
  <c r="I30" i="19"/>
  <c r="H30" i="19" s="1"/>
  <c r="A30" i="19" s="1" a="1"/>
  <c r="A30" i="19" s="1"/>
  <c r="I10" i="27"/>
  <c r="H10" i="27" s="1"/>
  <c r="I16" i="27"/>
  <c r="H16" i="27" s="1"/>
  <c r="A16" i="27" s="1" a="1"/>
  <c r="A16" i="27" s="1"/>
  <c r="M16" i="27"/>
  <c r="H18" i="23"/>
  <c r="A18" i="23" s="1" a="1"/>
  <c r="A18" i="23" s="1"/>
  <c r="H16" i="23"/>
  <c r="H5" i="23"/>
  <c r="H12" i="23"/>
  <c r="A12" i="23" s="1" a="1"/>
  <c r="A12" i="23" s="1"/>
  <c r="H20" i="4"/>
  <c r="A20" i="4" s="1" a="1"/>
  <c r="A20" i="4" s="1"/>
  <c r="DB17" i="4"/>
  <c r="V17" i="4" s="1"/>
  <c r="X17" i="4" s="1"/>
  <c r="DB23" i="4"/>
  <c r="H17" i="4"/>
  <c r="A17" i="4" s="1" a="1"/>
  <c r="A17" i="4" s="1"/>
  <c r="H23" i="4"/>
  <c r="A23" i="4" s="1" a="1"/>
  <c r="A23" i="4" s="1"/>
  <c r="H8" i="23"/>
  <c r="A8" i="23" s="1" a="1"/>
  <c r="A8" i="23" s="1"/>
  <c r="H11" i="24"/>
  <c r="M32" i="19"/>
  <c r="M11" i="21"/>
  <c r="DB6" i="21"/>
  <c r="P11" i="21"/>
  <c r="O6" i="21"/>
  <c r="DC6" i="21"/>
  <c r="DB32" i="19"/>
  <c r="P32" i="19" s="1"/>
  <c r="DB29" i="19"/>
  <c r="O22" i="19"/>
  <c r="DC22" i="19"/>
  <c r="O29" i="19"/>
  <c r="DC29" i="19"/>
  <c r="DB22" i="19"/>
  <c r="P30" i="19"/>
  <c r="DB10" i="27"/>
  <c r="DB16" i="27"/>
  <c r="DB8" i="27"/>
  <c r="O10" i="27"/>
  <c r="DC10" i="27"/>
  <c r="CT11" i="24"/>
  <c r="CU11" i="24"/>
  <c r="CU10" i="24"/>
  <c r="CT10" i="24"/>
  <c r="CT5" i="23"/>
  <c r="CU5" i="23"/>
  <c r="CU8" i="23"/>
  <c r="CT8" i="23"/>
  <c r="CU12" i="23"/>
  <c r="CT12" i="23"/>
  <c r="M16" i="23"/>
  <c r="CU16" i="23"/>
  <c r="CT16" i="23"/>
  <c r="CU18" i="23"/>
  <c r="CT18" i="23"/>
  <c r="Q23" i="4"/>
  <c r="DC23" i="4"/>
  <c r="O17" i="4"/>
  <c r="O16" i="27"/>
  <c r="XH11" i="24"/>
  <c r="XL11" i="24" s="1"/>
  <c r="XH12" i="23"/>
  <c r="XL12" i="23" s="1"/>
  <c r="UJ6" i="21"/>
  <c r="UG6" i="21"/>
  <c r="O32" i="19"/>
  <c r="UJ32" i="19"/>
  <c r="UG30" i="19"/>
  <c r="UG32" i="19"/>
  <c r="UJ30" i="19"/>
  <c r="UG16" i="27"/>
  <c r="O8" i="27"/>
  <c r="XH10" i="24"/>
  <c r="XL10" i="24" s="1"/>
  <c r="M10" i="24"/>
  <c r="XH8" i="23"/>
  <c r="XL8" i="23" s="1"/>
  <c r="M5" i="23"/>
  <c r="UJ11" i="21"/>
  <c r="O11" i="21"/>
  <c r="UG11" i="21"/>
  <c r="UJ29" i="19"/>
  <c r="UJ22" i="19"/>
  <c r="UG29" i="19"/>
  <c r="UG22" i="19"/>
  <c r="O30" i="19"/>
  <c r="UJ8" i="27"/>
  <c r="UG8" i="27"/>
  <c r="UJ10" i="27"/>
  <c r="UG10" i="27"/>
  <c r="UJ16" i="27"/>
  <c r="M11" i="24"/>
  <c r="K11" i="24"/>
  <c r="M12" i="23"/>
  <c r="K12" i="23"/>
  <c r="XH16" i="23"/>
  <c r="XL16" i="23" s="1"/>
  <c r="XH18" i="23"/>
  <c r="XL18" i="23" s="1"/>
  <c r="M8" i="23"/>
  <c r="M18" i="23"/>
  <c r="XH5" i="23"/>
  <c r="XL5" i="23" s="1"/>
  <c r="K16" i="23"/>
  <c r="O23" i="4"/>
  <c r="Q17" i="4"/>
  <c r="Q20" i="4"/>
  <c r="O20" i="4"/>
  <c r="N10" i="24" l="1"/>
  <c r="P10" i="24" s="1"/>
  <c r="N5" i="23"/>
  <c r="E5" i="23" s="1"/>
  <c r="N18" i="23"/>
  <c r="P18" i="23" s="1"/>
  <c r="P22" i="19"/>
  <c r="P10" i="27"/>
  <c r="P16" i="27"/>
  <c r="P6" i="21"/>
  <c r="E32" i="19"/>
  <c r="N11" i="24"/>
  <c r="N16" i="23"/>
  <c r="N12" i="23"/>
  <c r="V23" i="4"/>
  <c r="X23" i="4" s="1"/>
  <c r="E11" i="21"/>
  <c r="P29" i="19"/>
  <c r="E30" i="19"/>
  <c r="P8" i="27"/>
  <c r="N8" i="23"/>
  <c r="P8" i="23" s="1"/>
  <c r="E17" i="4"/>
  <c r="W20" i="4"/>
  <c r="E20" i="4"/>
  <c r="W17" i="4"/>
  <c r="O5" i="23" l="1"/>
  <c r="E18" i="23"/>
  <c r="E10" i="24"/>
  <c r="O10" i="24"/>
  <c r="P5" i="23"/>
  <c r="O18" i="23"/>
  <c r="E6" i="21"/>
  <c r="E22" i="19"/>
  <c r="E29" i="19"/>
  <c r="E16" i="27"/>
  <c r="E10" i="27"/>
  <c r="O11" i="24"/>
  <c r="P11" i="24"/>
  <c r="O12" i="23"/>
  <c r="P12" i="23"/>
  <c r="E16" i="23"/>
  <c r="P16" i="23"/>
  <c r="E23" i="4"/>
  <c r="E11" i="24"/>
  <c r="O16" i="23"/>
  <c r="E12" i="23"/>
  <c r="W23" i="4"/>
  <c r="E8" i="27"/>
  <c r="E8" i="23"/>
  <c r="O8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5" i="19"/>
  <c r="CU25" i="19"/>
  <c r="CV25" i="19"/>
  <c r="CW25" i="19"/>
  <c r="CY25" i="19"/>
  <c r="CZ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12" i="19"/>
  <c r="CU12" i="19"/>
  <c r="G12" i="19" s="1"/>
  <c r="CV12" i="19"/>
  <c r="CW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12" i="4"/>
  <c r="CR12" i="4"/>
  <c r="CS12" i="4"/>
  <c r="CT12" i="4"/>
  <c r="CU12" i="4"/>
  <c r="CV12" i="4"/>
  <c r="CX12" i="4"/>
  <c r="CY12" i="4"/>
  <c r="CZ12" i="4"/>
  <c r="T12" i="4" l="1"/>
  <c r="U12" i="4" s="1"/>
  <c r="T10" i="22"/>
  <c r="U10" i="22" s="1"/>
  <c r="G5" i="21"/>
  <c r="G25" i="19"/>
  <c r="F5" i="21"/>
  <c r="F25" i="19"/>
  <c r="F12" i="19"/>
  <c r="G12" i="4"/>
  <c r="F12" i="4"/>
  <c r="I12" i="4"/>
  <c r="I10" i="22"/>
  <c r="F10" i="22"/>
  <c r="G10" i="22"/>
  <c r="R12" i="4"/>
  <c r="S12" i="4" s="1"/>
  <c r="R10" i="22"/>
  <c r="S10" i="22" s="1"/>
  <c r="UC5" i="21"/>
  <c r="DA5" i="21"/>
  <c r="UF25" i="19"/>
  <c r="DA25" i="19"/>
  <c r="N12" i="19"/>
  <c r="N25" i="19"/>
  <c r="UC12" i="19"/>
  <c r="UH12" i="19"/>
  <c r="CW10" i="22"/>
  <c r="DA10" i="22" s="1"/>
  <c r="XO10" i="22"/>
  <c r="XL10" i="22"/>
  <c r="CW12" i="4"/>
  <c r="DA12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5" i="19"/>
  <c r="UD25" i="19"/>
  <c r="UI25" i="19"/>
  <c r="CX25" i="19"/>
  <c r="UH25" i="19"/>
  <c r="L25" i="19"/>
  <c r="J25" i="19"/>
  <c r="K25" i="19" s="1"/>
  <c r="UC25" i="19"/>
  <c r="UD12" i="19"/>
  <c r="UE12" i="19"/>
  <c r="DA12" i="19"/>
  <c r="UI12" i="19"/>
  <c r="CX12" i="19"/>
  <c r="L12" i="19"/>
  <c r="J12" i="19"/>
  <c r="K12" i="19" s="1"/>
  <c r="UF12" i="19"/>
  <c r="J10" i="22"/>
  <c r="K10" i="22" s="1"/>
  <c r="XS10" i="22"/>
  <c r="P10" i="22"/>
  <c r="L10" i="22"/>
  <c r="M10" i="22" s="1"/>
  <c r="N10" i="22"/>
  <c r="DB10" i="22" s="1"/>
  <c r="L12" i="4"/>
  <c r="M12" i="4" s="1"/>
  <c r="N12" i="4"/>
  <c r="P12" i="4"/>
  <c r="DC12" i="4" s="1"/>
  <c r="J12" i="4"/>
  <c r="H5" i="21" l="1"/>
  <c r="M5" i="21"/>
  <c r="M12" i="19"/>
  <c r="I12" i="19"/>
  <c r="H12" i="19" s="1"/>
  <c r="I25" i="19"/>
  <c r="H25" i="19" s="1"/>
  <c r="A25" i="19" s="1" a="1"/>
  <c r="A25" i="19" s="1"/>
  <c r="H10" i="22"/>
  <c r="DB12" i="4"/>
  <c r="V12" i="4" s="1"/>
  <c r="X12" i="4" s="1"/>
  <c r="H12" i="4"/>
  <c r="M25" i="19"/>
  <c r="DB25" i="19"/>
  <c r="O25" i="19"/>
  <c r="DC25" i="19"/>
  <c r="O12" i="19"/>
  <c r="DC12" i="19"/>
  <c r="DB12" i="19"/>
  <c r="Q10" i="22"/>
  <c r="DC10" i="22"/>
  <c r="O12" i="4"/>
  <c r="XP10" i="22"/>
  <c r="XT10" i="22" s="1"/>
  <c r="UG5" i="21"/>
  <c r="UJ12" i="19"/>
  <c r="UJ25" i="19"/>
  <c r="O5" i="21"/>
  <c r="UG12" i="19"/>
  <c r="UG25" i="19"/>
  <c r="UJ5" i="21"/>
  <c r="P5" i="21"/>
  <c r="O10" i="22"/>
  <c r="Q12" i="4"/>
  <c r="K12" i="4"/>
  <c r="P25" i="19" l="1"/>
  <c r="P12" i="19"/>
  <c r="V10" i="22"/>
  <c r="X10" i="22" s="1"/>
  <c r="E5" i="21"/>
  <c r="E12" i="4"/>
  <c r="W12" i="4"/>
  <c r="E25" i="19" l="1"/>
  <c r="E12" i="19"/>
  <c r="E10" i="22"/>
  <c r="W10" i="22"/>
  <c r="CV6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4" i="4"/>
  <c r="T24" i="4" s="1"/>
  <c r="CR24" i="4"/>
  <c r="CS24" i="4"/>
  <c r="CT24" i="4"/>
  <c r="CU24" i="4"/>
  <c r="CV24" i="4"/>
  <c r="CX24" i="4"/>
  <c r="CY24" i="4"/>
  <c r="CZ24" i="4"/>
  <c r="CQ18" i="4"/>
  <c r="CR18" i="4"/>
  <c r="CS18" i="4"/>
  <c r="CT18" i="4"/>
  <c r="CU18" i="4"/>
  <c r="CV18" i="4"/>
  <c r="CX18" i="4"/>
  <c r="CY18" i="4"/>
  <c r="CZ18" i="4"/>
  <c r="T18" i="4" l="1"/>
  <c r="U18" i="4" s="1"/>
  <c r="G18" i="4"/>
  <c r="H14" i="27"/>
  <c r="A14" i="27" s="1" a="1"/>
  <c r="A14" i="27" s="1"/>
  <c r="F18" i="4"/>
  <c r="I18" i="4"/>
  <c r="F24" i="4"/>
  <c r="I24" i="4"/>
  <c r="G24" i="4"/>
  <c r="G5" i="26"/>
  <c r="F5" i="26"/>
  <c r="R18" i="4"/>
  <c r="S18" i="4" s="1"/>
  <c r="U24" i="4"/>
  <c r="R24" i="4"/>
  <c r="S24" i="4" s="1"/>
  <c r="DB14" i="27"/>
  <c r="P14" i="27" s="1"/>
  <c r="UJ14" i="27"/>
  <c r="O14" i="27"/>
  <c r="DA5" i="26"/>
  <c r="CW18" i="4"/>
  <c r="DA18" i="4" s="1"/>
  <c r="CW24" i="4"/>
  <c r="DA24" i="4" s="1"/>
  <c r="UG14" i="27"/>
  <c r="K14" i="27"/>
  <c r="M14" i="27" s="1"/>
  <c r="UI5" i="26"/>
  <c r="UE5" i="26"/>
  <c r="UD5" i="26"/>
  <c r="UH5" i="26"/>
  <c r="CX5" i="26"/>
  <c r="UC5" i="26"/>
  <c r="N5" i="26"/>
  <c r="DC5" i="26" s="1"/>
  <c r="L5" i="26"/>
  <c r="J5" i="26"/>
  <c r="K5" i="26" s="1"/>
  <c r="UF5" i="26"/>
  <c r="L24" i="4"/>
  <c r="M24" i="4" s="1"/>
  <c r="P24" i="4"/>
  <c r="DC24" i="4" s="1"/>
  <c r="J24" i="4"/>
  <c r="K24" i="4" s="1"/>
  <c r="N24" i="4"/>
  <c r="L18" i="4"/>
  <c r="M18" i="4" s="1"/>
  <c r="P18" i="4"/>
  <c r="DC18" i="4" s="1"/>
  <c r="N18" i="4"/>
  <c r="J18" i="4"/>
  <c r="K18" i="4" s="1"/>
  <c r="H18" i="4" l="1"/>
  <c r="DB18" i="4"/>
  <c r="V18" i="4" s="1"/>
  <c r="X18" i="4" s="1"/>
  <c r="M5" i="26"/>
  <c r="DB24" i="4"/>
  <c r="V24" i="4" s="1"/>
  <c r="X24" i="4" s="1"/>
  <c r="H24" i="4"/>
  <c r="I5" i="26"/>
  <c r="H5" i="26"/>
  <c r="DB5" i="26"/>
  <c r="P5" i="26" s="1"/>
  <c r="O18" i="4"/>
  <c r="UJ5" i="26"/>
  <c r="E14" i="27"/>
  <c r="UG5" i="26"/>
  <c r="O5" i="26"/>
  <c r="Q24" i="4"/>
  <c r="O24" i="4"/>
  <c r="Q18" i="4"/>
  <c r="E5" i="26" l="1"/>
  <c r="E24" i="4"/>
  <c r="W24" i="4"/>
  <c r="W18" i="4"/>
  <c r="E18" i="4"/>
  <c r="CT19" i="21" l="1"/>
  <c r="CU19" i="21"/>
  <c r="CV19" i="21"/>
  <c r="CW19" i="21"/>
  <c r="CY19" i="21"/>
  <c r="CZ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15" i="19"/>
  <c r="CU15" i="19"/>
  <c r="CV15" i="19"/>
  <c r="CW15" i="19"/>
  <c r="CY15" i="19"/>
  <c r="CZ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G19" i="21" l="1"/>
  <c r="F19" i="21"/>
  <c r="G15" i="19"/>
  <c r="F15" i="19"/>
  <c r="DA19" i="21"/>
  <c r="DA15" i="19"/>
  <c r="UH19" i="21"/>
  <c r="UF19" i="21"/>
  <c r="N19" i="21"/>
  <c r="DC19" i="21" s="1"/>
  <c r="UD19" i="21"/>
  <c r="UI19" i="21"/>
  <c r="UE19" i="21"/>
  <c r="L19" i="21"/>
  <c r="DB19" i="21" s="1"/>
  <c r="UC19" i="21"/>
  <c r="J19" i="21"/>
  <c r="K19" i="21" s="1"/>
  <c r="CX19" i="21"/>
  <c r="I19" i="21" s="1"/>
  <c r="UC15" i="19"/>
  <c r="UI15" i="19"/>
  <c r="UH15" i="19"/>
  <c r="CX15" i="19"/>
  <c r="I15" i="19" s="1"/>
  <c r="UE15" i="19"/>
  <c r="UD15" i="19"/>
  <c r="L15" i="19"/>
  <c r="J15" i="19"/>
  <c r="K15" i="19" s="1"/>
  <c r="N15" i="19"/>
  <c r="DC15" i="19" s="1"/>
  <c r="UF15" i="19"/>
  <c r="CT13" i="27"/>
  <c r="CU13" i="27"/>
  <c r="CV13" i="27"/>
  <c r="CW13" i="27"/>
  <c r="CY13" i="27"/>
  <c r="CZ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H19" i="21" l="1"/>
  <c r="M19" i="21"/>
  <c r="H15" i="19"/>
  <c r="G13" i="27"/>
  <c r="F13" i="27"/>
  <c r="M15" i="19"/>
  <c r="P19" i="21"/>
  <c r="DB15" i="19"/>
  <c r="UJ19" i="21"/>
  <c r="UJ15" i="19"/>
  <c r="DA13" i="27"/>
  <c r="UC13" i="27"/>
  <c r="N13" i="27"/>
  <c r="DC13" i="27" s="1"/>
  <c r="O19" i="21"/>
  <c r="UG19" i="21"/>
  <c r="UG15" i="19"/>
  <c r="O15" i="19"/>
  <c r="UE13" i="27"/>
  <c r="UD13" i="27"/>
  <c r="UH13" i="27"/>
  <c r="CX13" i="27"/>
  <c r="I13" i="27" s="1"/>
  <c r="L13" i="27"/>
  <c r="DB13" i="27" s="1"/>
  <c r="UI13" i="27"/>
  <c r="J13" i="27"/>
  <c r="K13" i="27" s="1"/>
  <c r="UF13" i="27"/>
  <c r="H13" i="27" l="1"/>
  <c r="M13" i="27"/>
  <c r="P13" i="27"/>
  <c r="UJ13" i="27"/>
  <c r="O13" i="27"/>
  <c r="P15" i="19"/>
  <c r="E19" i="21"/>
  <c r="UG13" i="27"/>
  <c r="E15" i="19" l="1"/>
  <c r="A19" i="21" a="1"/>
  <c r="A19" i="21" s="1"/>
  <c r="E13" i="27"/>
  <c r="CI7" i="23" l="1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7" i="24"/>
  <c r="CJ7" i="24"/>
  <c r="CK7" i="24"/>
  <c r="CL7" i="24"/>
  <c r="CM7" i="24"/>
  <c r="CN7" i="24"/>
  <c r="CP7" i="24"/>
  <c r="CQ7" i="24"/>
  <c r="CR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5" i="24"/>
  <c r="CJ15" i="24"/>
  <c r="CK15" i="24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G7" i="23" l="1"/>
  <c r="G4" i="23"/>
  <c r="I7" i="23"/>
  <c r="F7" i="23"/>
  <c r="F4" i="23"/>
  <c r="I4" i="23"/>
  <c r="CO7" i="24"/>
  <c r="CS7" i="24" s="1"/>
  <c r="G7" i="24"/>
  <c r="F15" i="24"/>
  <c r="I15" i="24"/>
  <c r="CO14" i="24"/>
  <c r="CS14" i="24" s="1"/>
  <c r="G14" i="24"/>
  <c r="I14" i="24"/>
  <c r="F14" i="24"/>
  <c r="F7" i="24"/>
  <c r="I7" i="24"/>
  <c r="CO15" i="24"/>
  <c r="CS15" i="24" s="1"/>
  <c r="G15" i="24"/>
  <c r="XK7" i="23"/>
  <c r="CO4" i="23"/>
  <c r="CS4" i="23" s="1"/>
  <c r="CO7" i="23"/>
  <c r="CS7" i="23" s="1"/>
  <c r="XG7" i="23"/>
  <c r="J7" i="23"/>
  <c r="K7" i="23" s="1"/>
  <c r="L7" i="23"/>
  <c r="XD7" i="23"/>
  <c r="J4" i="23"/>
  <c r="K4" i="23" s="1"/>
  <c r="XD4" i="23"/>
  <c r="XK4" i="23"/>
  <c r="L4" i="23"/>
  <c r="XG4" i="23"/>
  <c r="XD7" i="24"/>
  <c r="L7" i="24"/>
  <c r="J7" i="24"/>
  <c r="K7" i="24" s="1"/>
  <c r="XK7" i="24"/>
  <c r="XG7" i="24"/>
  <c r="XD14" i="24"/>
  <c r="L14" i="24"/>
  <c r="XK14" i="24"/>
  <c r="J14" i="24"/>
  <c r="K14" i="24" s="1"/>
  <c r="XG14" i="24"/>
  <c r="XD15" i="24"/>
  <c r="L15" i="24"/>
  <c r="XK15" i="24"/>
  <c r="XG15" i="24"/>
  <c r="J15" i="24"/>
  <c r="K15" i="24" s="1"/>
  <c r="H7" i="23" l="1"/>
  <c r="A7" i="23" s="1" a="1"/>
  <c r="A7" i="23" s="1"/>
  <c r="H4" i="23"/>
  <c r="H15" i="24"/>
  <c r="H14" i="24"/>
  <c r="H7" i="24"/>
  <c r="CT7" i="24"/>
  <c r="CU7" i="24"/>
  <c r="CT15" i="24"/>
  <c r="CU15" i="24"/>
  <c r="CU14" i="24"/>
  <c r="CT14" i="24"/>
  <c r="CU7" i="23"/>
  <c r="CT7" i="23"/>
  <c r="CU4" i="23"/>
  <c r="CT4" i="23"/>
  <c r="XH7" i="23"/>
  <c r="XL7" i="23" s="1"/>
  <c r="M7" i="23"/>
  <c r="XH4" i="23"/>
  <c r="XL4" i="23" s="1"/>
  <c r="M4" i="23"/>
  <c r="XH7" i="24"/>
  <c r="XL7" i="24" s="1"/>
  <c r="M7" i="24"/>
  <c r="XH15" i="24"/>
  <c r="XL15" i="24" s="1"/>
  <c r="XH14" i="24"/>
  <c r="XL14" i="24" s="1"/>
  <c r="M14" i="24"/>
  <c r="M15" i="24"/>
  <c r="N7" i="23" l="1"/>
  <c r="P7" i="23" s="1"/>
  <c r="N14" i="24"/>
  <c r="E14" i="24" s="1"/>
  <c r="N15" i="24"/>
  <c r="O15" i="24" s="1"/>
  <c r="A14" i="24" a="1"/>
  <c r="A14" i="24" s="1"/>
  <c r="N7" i="24"/>
  <c r="N4" i="23"/>
  <c r="P4" i="23" s="1"/>
  <c r="E7" i="23" l="1"/>
  <c r="O14" i="24"/>
  <c r="P14" i="24"/>
  <c r="O7" i="23"/>
  <c r="P15" i="24"/>
  <c r="E15" i="24"/>
  <c r="E7" i="24"/>
  <c r="P7" i="24"/>
  <c r="O7" i="24"/>
  <c r="E4" i="23"/>
  <c r="O4" i="23"/>
  <c r="CI17" i="23"/>
  <c r="CJ17" i="23"/>
  <c r="CK17" i="23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I17" i="23" l="1"/>
  <c r="F17" i="23"/>
  <c r="G17" i="23"/>
  <c r="CO17" i="23"/>
  <c r="CS17" i="23" s="1"/>
  <c r="XD17" i="23"/>
  <c r="XG17" i="23"/>
  <c r="XK17" i="23"/>
  <c r="L17" i="23"/>
  <c r="J17" i="23"/>
  <c r="K17" i="23" s="1"/>
  <c r="H17" i="23" l="1"/>
  <c r="CU17" i="23"/>
  <c r="CT17" i="23"/>
  <c r="XH17" i="23"/>
  <c r="XL17" i="23" s="1"/>
  <c r="M17" i="23"/>
  <c r="CT23" i="21"/>
  <c r="CU23" i="21"/>
  <c r="CV23" i="21"/>
  <c r="CW23" i="21"/>
  <c r="CY23" i="21"/>
  <c r="CZ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13" i="21"/>
  <c r="CU13" i="21"/>
  <c r="CV13" i="21"/>
  <c r="CW13" i="21"/>
  <c r="CY13" i="21"/>
  <c r="CZ13" i="21"/>
  <c r="TH13" i="21"/>
  <c r="TI13" i="21"/>
  <c r="TJ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CT8" i="19"/>
  <c r="CU8" i="19"/>
  <c r="CV8" i="19"/>
  <c r="CW8" i="19"/>
  <c r="CY8" i="19"/>
  <c r="CZ8" i="19"/>
  <c r="TH8" i="19"/>
  <c r="TI8" i="19"/>
  <c r="TJ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CT11" i="19"/>
  <c r="CU11" i="19"/>
  <c r="CV11" i="19"/>
  <c r="CW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24" i="19"/>
  <c r="CU24" i="19"/>
  <c r="CV24" i="19"/>
  <c r="CW24" i="19"/>
  <c r="CY24" i="19"/>
  <c r="CZ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3" i="26"/>
  <c r="CU13" i="26"/>
  <c r="CV13" i="26"/>
  <c r="CW13" i="26"/>
  <c r="CY13" i="26"/>
  <c r="CZ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13" i="21" l="1"/>
  <c r="G23" i="21"/>
  <c r="F13" i="21"/>
  <c r="F23" i="21"/>
  <c r="G24" i="19"/>
  <c r="G11" i="19"/>
  <c r="G8" i="19"/>
  <c r="F24" i="19"/>
  <c r="F11" i="19"/>
  <c r="F8" i="19"/>
  <c r="G15" i="27"/>
  <c r="F15" i="27"/>
  <c r="G13" i="26"/>
  <c r="F13" i="26"/>
  <c r="N17" i="23"/>
  <c r="P17" i="23" s="1"/>
  <c r="DA13" i="21"/>
  <c r="DA23" i="21"/>
  <c r="DA24" i="19"/>
  <c r="DA8" i="19"/>
  <c r="DA11" i="19"/>
  <c r="DA15" i="27"/>
  <c r="DA4" i="26"/>
  <c r="DA13" i="26"/>
  <c r="UH8" i="19"/>
  <c r="UC4" i="26"/>
  <c r="UH4" i="26"/>
  <c r="N23" i="21"/>
  <c r="UC23" i="21"/>
  <c r="UH11" i="19"/>
  <c r="UC11" i="19"/>
  <c r="CX8" i="19"/>
  <c r="I8" i="19" s="1"/>
  <c r="N15" i="27"/>
  <c r="DC15" i="27" s="1"/>
  <c r="N13" i="26"/>
  <c r="UE23" i="21"/>
  <c r="UD23" i="21"/>
  <c r="UC13" i="21"/>
  <c r="UH23" i="21"/>
  <c r="CX23" i="21"/>
  <c r="I23" i="21" s="1"/>
  <c r="L23" i="21"/>
  <c r="UI23" i="21"/>
  <c r="J23" i="21"/>
  <c r="K23" i="21" s="1"/>
  <c r="UF23" i="21"/>
  <c r="UE13" i="21"/>
  <c r="UD13" i="21"/>
  <c r="N13" i="21"/>
  <c r="DC13" i="21" s="1"/>
  <c r="CX13" i="21"/>
  <c r="L13" i="21"/>
  <c r="UH13" i="21"/>
  <c r="UI13" i="21"/>
  <c r="J13" i="21"/>
  <c r="K13" i="21" s="1"/>
  <c r="UF13" i="21"/>
  <c r="UC8" i="19"/>
  <c r="UI8" i="19"/>
  <c r="UE8" i="19"/>
  <c r="L8" i="19"/>
  <c r="UD8" i="19"/>
  <c r="J8" i="19"/>
  <c r="K8" i="19" s="1"/>
  <c r="N8" i="19"/>
  <c r="DC8" i="19" s="1"/>
  <c r="UF8" i="19"/>
  <c r="UE11" i="19"/>
  <c r="UD11" i="19"/>
  <c r="CX11" i="19"/>
  <c r="L11" i="19"/>
  <c r="DB11" i="19" s="1"/>
  <c r="N11" i="19"/>
  <c r="UI11" i="19"/>
  <c r="J11" i="19"/>
  <c r="K11" i="19" s="1"/>
  <c r="UF11" i="19"/>
  <c r="UC24" i="19"/>
  <c r="UE24" i="19"/>
  <c r="UD24" i="19"/>
  <c r="N24" i="19"/>
  <c r="UH24" i="19"/>
  <c r="CX24" i="19"/>
  <c r="L24" i="19"/>
  <c r="UI24" i="19"/>
  <c r="J24" i="19"/>
  <c r="K24" i="19" s="1"/>
  <c r="UF24" i="19"/>
  <c r="UH15" i="27"/>
  <c r="UC15" i="27"/>
  <c r="UD15" i="27"/>
  <c r="UE15" i="27"/>
  <c r="CX15" i="27"/>
  <c r="I15" i="27" s="1"/>
  <c r="L15" i="27"/>
  <c r="DB15" i="27" s="1"/>
  <c r="UI15" i="27"/>
  <c r="J15" i="27"/>
  <c r="K15" i="27" s="1"/>
  <c r="UF15" i="27"/>
  <c r="UH13" i="26"/>
  <c r="UC13" i="26"/>
  <c r="CX13" i="26"/>
  <c r="L13" i="26"/>
  <c r="UE13" i="26"/>
  <c r="UI13" i="26"/>
  <c r="J13" i="26"/>
  <c r="UF13" i="26"/>
  <c r="UD13" i="26"/>
  <c r="UE4" i="26"/>
  <c r="UD4" i="26"/>
  <c r="CX4" i="26"/>
  <c r="UI4" i="26"/>
  <c r="UF4" i="26"/>
  <c r="I13" i="21" l="1"/>
  <c r="I24" i="19"/>
  <c r="H24" i="19" s="1"/>
  <c r="I11" i="19"/>
  <c r="H11" i="19" s="1"/>
  <c r="H23" i="21"/>
  <c r="H13" i="21"/>
  <c r="M24" i="19"/>
  <c r="H8" i="19"/>
  <c r="H15" i="27"/>
  <c r="E17" i="23"/>
  <c r="I13" i="26"/>
  <c r="H13" i="26" s="1"/>
  <c r="M13" i="21"/>
  <c r="M23" i="21"/>
  <c r="M15" i="27"/>
  <c r="M8" i="19"/>
  <c r="M11" i="19"/>
  <c r="O17" i="23"/>
  <c r="O23" i="21"/>
  <c r="DC23" i="21"/>
  <c r="DB13" i="21"/>
  <c r="P13" i="21" s="1"/>
  <c r="DB23" i="21"/>
  <c r="O11" i="19"/>
  <c r="DC11" i="19"/>
  <c r="P11" i="19" s="1"/>
  <c r="DB8" i="19"/>
  <c r="O24" i="19"/>
  <c r="DC24" i="19"/>
  <c r="DB24" i="19"/>
  <c r="DB13" i="26"/>
  <c r="O13" i="26"/>
  <c r="DC13" i="26"/>
  <c r="UJ24" i="19"/>
  <c r="UJ13" i="26"/>
  <c r="UJ23" i="21"/>
  <c r="UJ13" i="21"/>
  <c r="UJ8" i="19"/>
  <c r="UJ11" i="19"/>
  <c r="UJ15" i="27"/>
  <c r="UJ4" i="26"/>
  <c r="UG23" i="21"/>
  <c r="UG8" i="19"/>
  <c r="UG15" i="27"/>
  <c r="UG11" i="19"/>
  <c r="UG13" i="21"/>
  <c r="UG24" i="19"/>
  <c r="O15" i="27"/>
  <c r="O13" i="21"/>
  <c r="O8" i="19"/>
  <c r="P15" i="27"/>
  <c r="UG13" i="26"/>
  <c r="K13" i="26"/>
  <c r="M13" i="26" s="1"/>
  <c r="UG4" i="26"/>
  <c r="A23" i="21" l="1" a="1"/>
  <c r="A23" i="21" s="1"/>
  <c r="P8" i="19"/>
  <c r="P13" i="26"/>
  <c r="P23" i="21"/>
  <c r="E13" i="21"/>
  <c r="E11" i="19"/>
  <c r="P24" i="19"/>
  <c r="E15" i="27"/>
  <c r="E8" i="19" l="1"/>
  <c r="A24" i="19" a="1"/>
  <c r="A24" i="19" s="1"/>
  <c r="A13" i="26" a="1"/>
  <c r="A13" i="26" s="1"/>
  <c r="E23" i="21"/>
  <c r="E13" i="26"/>
  <c r="E24" i="19"/>
  <c r="CQ14" i="22" l="1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U13" i="22" s="1"/>
  <c r="T14" i="22"/>
  <c r="U14" i="22" s="1"/>
  <c r="G13" i="22"/>
  <c r="G14" i="22"/>
  <c r="F13" i="22"/>
  <c r="I13" i="22"/>
  <c r="I14" i="22"/>
  <c r="F14" i="22"/>
  <c r="R13" i="22"/>
  <c r="S13" i="22" s="1"/>
  <c r="R14" i="22"/>
  <c r="S14" i="22" s="1"/>
  <c r="CW13" i="22"/>
  <c r="DA13" i="22" s="1"/>
  <c r="CW14" i="22"/>
  <c r="DA14" i="22" s="1"/>
  <c r="XL14" i="22"/>
  <c r="XS14" i="22"/>
  <c r="XO14" i="22"/>
  <c r="L14" i="22"/>
  <c r="M14" i="22" s="1"/>
  <c r="J14" i="22"/>
  <c r="K14" i="22" s="1"/>
  <c r="P14" i="22"/>
  <c r="DC14" i="22" s="1"/>
  <c r="N14" i="22"/>
  <c r="DB14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4" i="22"/>
  <c r="Q13" i="22"/>
  <c r="DC13" i="22"/>
  <c r="XP14" i="22"/>
  <c r="XT14" i="22" s="1"/>
  <c r="XP13" i="22"/>
  <c r="XT13" i="22" s="1"/>
  <c r="Q14" i="22"/>
  <c r="O14" i="22"/>
  <c r="O13" i="22"/>
  <c r="V14" i="22" l="1"/>
  <c r="X14" i="22" s="1"/>
  <c r="V13" i="22"/>
  <c r="X13" i="22" s="1"/>
  <c r="W14" i="22" l="1"/>
  <c r="E14" i="22"/>
  <c r="E13" i="22"/>
  <c r="W13" i="22"/>
  <c r="CQ6" i="4" l="1"/>
  <c r="CR6" i="4"/>
  <c r="CS6" i="4"/>
  <c r="CT6" i="4"/>
  <c r="CU6" i="4"/>
  <c r="CV6" i="4"/>
  <c r="CX6" i="4"/>
  <c r="CY6" i="4"/>
  <c r="CZ6" i="4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TJ9" i="27"/>
  <c r="TI9" i="27"/>
  <c r="TH9" i="27"/>
  <c r="CZ9" i="27"/>
  <c r="CY9" i="27"/>
  <c r="CW9" i="27"/>
  <c r="CV9" i="27"/>
  <c r="CU9" i="27"/>
  <c r="CT9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U6" i="27"/>
  <c r="CT6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V7" i="27"/>
  <c r="CU7" i="27"/>
  <c r="CT7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TJ5" i="27"/>
  <c r="TI5" i="27"/>
  <c r="TH5" i="27"/>
  <c r="CZ5" i="27"/>
  <c r="CY5" i="27"/>
  <c r="CW5" i="27"/>
  <c r="CV5" i="27"/>
  <c r="CU5" i="27"/>
  <c r="CT5" i="27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TJ9" i="26"/>
  <c r="TI9" i="26"/>
  <c r="TH9" i="26"/>
  <c r="CZ9" i="26"/>
  <c r="CY9" i="26"/>
  <c r="CW9" i="26"/>
  <c r="CV9" i="26"/>
  <c r="CU9" i="26"/>
  <c r="CT9" i="26"/>
  <c r="UA11" i="26"/>
  <c r="TZ11" i="26"/>
  <c r="TY11" i="26"/>
  <c r="TX11" i="26"/>
  <c r="TW11" i="26"/>
  <c r="TV11" i="26"/>
  <c r="TU11" i="26"/>
  <c r="TT11" i="26"/>
  <c r="TS11" i="26"/>
  <c r="TR11" i="26"/>
  <c r="TQ11" i="26"/>
  <c r="TP11" i="26"/>
  <c r="TO11" i="26"/>
  <c r="TN11" i="26"/>
  <c r="TM11" i="26"/>
  <c r="TL11" i="26"/>
  <c r="TK11" i="26"/>
  <c r="TJ11" i="26"/>
  <c r="TI11" i="26"/>
  <c r="TH11" i="26"/>
  <c r="CZ11" i="26"/>
  <c r="CY11" i="26"/>
  <c r="CW11" i="26"/>
  <c r="CV11" i="26"/>
  <c r="CU11" i="26"/>
  <c r="CT11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TJ6" i="26"/>
  <c r="TI6" i="26"/>
  <c r="TH6" i="26"/>
  <c r="CZ6" i="26"/>
  <c r="CY6" i="26"/>
  <c r="CW6" i="26"/>
  <c r="CV6" i="26"/>
  <c r="CU6" i="26"/>
  <c r="CT6" i="26"/>
  <c r="UA14" i="26"/>
  <c r="TZ14" i="26"/>
  <c r="TY14" i="26"/>
  <c r="TX14" i="26"/>
  <c r="TW14" i="26"/>
  <c r="TV14" i="26"/>
  <c r="TU14" i="26"/>
  <c r="TT14" i="26"/>
  <c r="TS14" i="26"/>
  <c r="TR14" i="26"/>
  <c r="TQ14" i="26"/>
  <c r="TP14" i="26"/>
  <c r="TO14" i="26"/>
  <c r="TN14" i="26"/>
  <c r="TM14" i="26"/>
  <c r="TL14" i="26"/>
  <c r="TK14" i="26"/>
  <c r="TJ14" i="26"/>
  <c r="TI14" i="26"/>
  <c r="TH14" i="26"/>
  <c r="CZ14" i="26"/>
  <c r="CY14" i="26"/>
  <c r="CW14" i="26"/>
  <c r="CV14" i="26"/>
  <c r="CU14" i="26"/>
  <c r="CT14" i="26"/>
  <c r="TH4" i="19"/>
  <c r="T6" i="4" l="1"/>
  <c r="U6" i="4" s="1"/>
  <c r="F5" i="27"/>
  <c r="F9" i="27"/>
  <c r="G5" i="27"/>
  <c r="F7" i="27"/>
  <c r="F6" i="27"/>
  <c r="G9" i="27"/>
  <c r="G7" i="27"/>
  <c r="G6" i="27"/>
  <c r="G6" i="4"/>
  <c r="I6" i="4"/>
  <c r="F6" i="4"/>
  <c r="F6" i="26"/>
  <c r="F14" i="26"/>
  <c r="F11" i="26"/>
  <c r="F9" i="26"/>
  <c r="G14" i="26"/>
  <c r="G6" i="26"/>
  <c r="G11" i="26"/>
  <c r="G9" i="26"/>
  <c r="R6" i="4"/>
  <c r="S6" i="4" s="1"/>
  <c r="DA9" i="27"/>
  <c r="DA5" i="27"/>
  <c r="DA7" i="27"/>
  <c r="DA6" i="27"/>
  <c r="DA14" i="26"/>
  <c r="DA6" i="26"/>
  <c r="DA11" i="26"/>
  <c r="DA9" i="26"/>
  <c r="N6" i="26"/>
  <c r="CW6" i="4"/>
  <c r="DA6" i="4" s="1"/>
  <c r="J6" i="4"/>
  <c r="K6" i="4" s="1"/>
  <c r="UF9" i="27"/>
  <c r="UH9" i="27"/>
  <c r="CX9" i="27"/>
  <c r="N6" i="4"/>
  <c r="DB6" i="4" s="1"/>
  <c r="P6" i="4"/>
  <c r="DC6" i="4" s="1"/>
  <c r="L6" i="4"/>
  <c r="M6" i="4" s="1"/>
  <c r="UC14" i="26"/>
  <c r="UC9" i="26"/>
  <c r="N9" i="27"/>
  <c r="N6" i="27"/>
  <c r="UE9" i="27"/>
  <c r="UE9" i="26"/>
  <c r="UC11" i="26"/>
  <c r="CX11" i="26"/>
  <c r="UC9" i="27"/>
  <c r="N5" i="27"/>
  <c r="UC7" i="27"/>
  <c r="UH7" i="27"/>
  <c r="N7" i="27"/>
  <c r="UI9" i="27"/>
  <c r="UE7" i="27"/>
  <c r="UD6" i="27"/>
  <c r="UE6" i="27"/>
  <c r="L6" i="27"/>
  <c r="J5" i="27"/>
  <c r="K5" i="27" s="1"/>
  <c r="UD9" i="27"/>
  <c r="UD5" i="27"/>
  <c r="UE5" i="27"/>
  <c r="J6" i="27"/>
  <c r="K6" i="27" s="1"/>
  <c r="J7" i="27"/>
  <c r="K7" i="27" s="1"/>
  <c r="UC6" i="27"/>
  <c r="UH6" i="27"/>
  <c r="UF5" i="27"/>
  <c r="UH5" i="27"/>
  <c r="UE14" i="26"/>
  <c r="N14" i="26"/>
  <c r="UE11" i="26"/>
  <c r="UD6" i="26"/>
  <c r="UF6" i="26"/>
  <c r="UD14" i="26"/>
  <c r="UE6" i="26"/>
  <c r="N11" i="26"/>
  <c r="UD11" i="26"/>
  <c r="UI11" i="26"/>
  <c r="UF11" i="26"/>
  <c r="UH11" i="26"/>
  <c r="N9" i="26"/>
  <c r="UD9" i="26"/>
  <c r="UI9" i="26"/>
  <c r="L9" i="26"/>
  <c r="UF9" i="26"/>
  <c r="UH9" i="26"/>
  <c r="UF14" i="26"/>
  <c r="UC6" i="26"/>
  <c r="CX5" i="27"/>
  <c r="I5" i="27" s="1"/>
  <c r="UD7" i="27"/>
  <c r="L7" i="27"/>
  <c r="DB7" i="27" s="1"/>
  <c r="UF7" i="27"/>
  <c r="UF6" i="27"/>
  <c r="CX7" i="27"/>
  <c r="I7" i="27" s="1"/>
  <c r="CX6" i="27"/>
  <c r="I6" i="27" s="1"/>
  <c r="L5" i="27"/>
  <c r="DB5" i="27" s="1"/>
  <c r="UI5" i="27"/>
  <c r="UC5" i="27"/>
  <c r="UI7" i="27"/>
  <c r="UI6" i="27"/>
  <c r="L9" i="27"/>
  <c r="DB9" i="27" s="1"/>
  <c r="J9" i="27"/>
  <c r="L14" i="26"/>
  <c r="DB14" i="26" s="1"/>
  <c r="J14" i="26"/>
  <c r="L6" i="26"/>
  <c r="DB6" i="26" s="1"/>
  <c r="J6" i="26"/>
  <c r="CX9" i="26"/>
  <c r="I9" i="26" s="1"/>
  <c r="CX14" i="26"/>
  <c r="J11" i="26"/>
  <c r="UI14" i="26"/>
  <c r="UH14" i="26"/>
  <c r="CX6" i="26"/>
  <c r="J9" i="26"/>
  <c r="UI6" i="26"/>
  <c r="UH6" i="26"/>
  <c r="L11" i="26"/>
  <c r="DB11" i="26" s="1"/>
  <c r="I9" i="27" l="1"/>
  <c r="H6" i="27"/>
  <c r="H7" i="27"/>
  <c r="H5" i="27"/>
  <c r="H9" i="27"/>
  <c r="M5" i="27"/>
  <c r="M7" i="27"/>
  <c r="H6" i="4"/>
  <c r="I14" i="26"/>
  <c r="I11" i="26"/>
  <c r="H11" i="26" s="1"/>
  <c r="I6" i="26"/>
  <c r="H6" i="26" s="1"/>
  <c r="H9" i="26"/>
  <c r="H14" i="26"/>
  <c r="M6" i="27"/>
  <c r="O7" i="27"/>
  <c r="DC7" i="27"/>
  <c r="DB6" i="27"/>
  <c r="O6" i="27"/>
  <c r="DC6" i="27"/>
  <c r="O9" i="27"/>
  <c r="DC9" i="27"/>
  <c r="O5" i="27"/>
  <c r="DC5" i="27"/>
  <c r="DB9" i="26"/>
  <c r="O9" i="26"/>
  <c r="DC9" i="26"/>
  <c r="O14" i="26"/>
  <c r="DC14" i="26"/>
  <c r="O6" i="26"/>
  <c r="DC6" i="26"/>
  <c r="O11" i="26"/>
  <c r="DC11" i="26"/>
  <c r="UJ7" i="27"/>
  <c r="UJ5" i="27"/>
  <c r="UJ6" i="27"/>
  <c r="UJ9" i="27"/>
  <c r="UJ9" i="26"/>
  <c r="UJ6" i="26"/>
  <c r="UJ11" i="26"/>
  <c r="UJ14" i="26"/>
  <c r="V6" i="4"/>
  <c r="X6" i="4" s="1"/>
  <c r="O6" i="4"/>
  <c r="Q6" i="4"/>
  <c r="UG14" i="26"/>
  <c r="UG9" i="26"/>
  <c r="UG6" i="27"/>
  <c r="UG6" i="26"/>
  <c r="UG9" i="27"/>
  <c r="UG5" i="27"/>
  <c r="UG11" i="26"/>
  <c r="UG7" i="27"/>
  <c r="K9" i="27"/>
  <c r="M9" i="27" s="1"/>
  <c r="K11" i="26"/>
  <c r="M11" i="26" s="1"/>
  <c r="K9" i="26"/>
  <c r="M9" i="26" s="1"/>
  <c r="K6" i="26"/>
  <c r="M6" i="26" s="1"/>
  <c r="K14" i="26"/>
  <c r="M14" i="26" s="1"/>
  <c r="P6" i="26" l="1"/>
  <c r="P6" i="27"/>
  <c r="E6" i="4"/>
  <c r="P9" i="27"/>
  <c r="W6" i="4"/>
  <c r="P9" i="26"/>
  <c r="P5" i="27"/>
  <c r="P7" i="27"/>
  <c r="P14" i="26"/>
  <c r="P11" i="26"/>
  <c r="E9" i="27" l="1"/>
  <c r="E6" i="27"/>
  <c r="E6" i="26"/>
  <c r="E9" i="26"/>
  <c r="E7" i="27"/>
  <c r="E5" i="27"/>
  <c r="A11" i="27" s="1" a="1"/>
  <c r="A11" i="27" s="1"/>
  <c r="E14" i="26"/>
  <c r="E11" i="26"/>
  <c r="CT33" i="19"/>
  <c r="CU33" i="19"/>
  <c r="CV33" i="19"/>
  <c r="CW33" i="19"/>
  <c r="CY33" i="19"/>
  <c r="CZ33" i="19"/>
  <c r="TH33" i="19"/>
  <c r="TI33" i="19"/>
  <c r="TJ33" i="19"/>
  <c r="TK33" i="19"/>
  <c r="TL33" i="19"/>
  <c r="TM33" i="19"/>
  <c r="TN33" i="19"/>
  <c r="TO33" i="19"/>
  <c r="TP33" i="19"/>
  <c r="TQ33" i="19"/>
  <c r="TR33" i="19"/>
  <c r="TS33" i="19"/>
  <c r="TT33" i="19"/>
  <c r="TU33" i="19"/>
  <c r="TV33" i="19"/>
  <c r="TW33" i="19"/>
  <c r="TX33" i="19"/>
  <c r="TY33" i="19"/>
  <c r="TZ33" i="19"/>
  <c r="UA33" i="19"/>
  <c r="A12" i="27" l="1" a="1"/>
  <c r="A12" i="27" s="1"/>
  <c r="A13" i="27" a="1"/>
  <c r="A13" i="27" s="1"/>
  <c r="F33" i="19"/>
  <c r="G33" i="19"/>
  <c r="A4" i="27" a="1"/>
  <c r="A4" i="27" s="1"/>
  <c r="A8" i="27" a="1"/>
  <c r="A8" i="27" s="1"/>
  <c r="A10" i="27" a="1"/>
  <c r="A10" i="27" s="1"/>
  <c r="A15" i="27" a="1"/>
  <c r="A15" i="27" s="1"/>
  <c r="DA33" i="19"/>
  <c r="A7" i="27" a="1"/>
  <c r="A7" i="27" s="1"/>
  <c r="A6" i="27" a="1"/>
  <c r="A6" i="27" s="1"/>
  <c r="A5" i="27" a="1"/>
  <c r="A5" i="27" s="1"/>
  <c r="A9" i="27" a="1"/>
  <c r="A9" i="27" s="1"/>
  <c r="UC33" i="19"/>
  <c r="N33" i="19"/>
  <c r="DC33" i="19" s="1"/>
  <c r="UH33" i="19"/>
  <c r="CX33" i="19"/>
  <c r="UE33" i="19"/>
  <c r="UI33" i="19"/>
  <c r="UD33" i="19"/>
  <c r="L33" i="19"/>
  <c r="DB33" i="19" s="1"/>
  <c r="J33" i="19"/>
  <c r="UF33" i="19"/>
  <c r="I33" i="19" l="1"/>
  <c r="H33" i="19" s="1"/>
  <c r="UJ33" i="19"/>
  <c r="O33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UG33" i="19"/>
  <c r="K33" i="19"/>
  <c r="M33" i="19" s="1"/>
  <c r="P33" i="19" l="1"/>
  <c r="E33" i="19" l="1"/>
  <c r="CT31" i="19" l="1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7" i="19"/>
  <c r="CU27" i="19"/>
  <c r="CV27" i="19"/>
  <c r="CW27" i="19"/>
  <c r="CY27" i="19"/>
  <c r="CZ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G27" i="19" l="1"/>
  <c r="G31" i="19"/>
  <c r="F27" i="19"/>
  <c r="F31" i="19"/>
  <c r="DA27" i="19"/>
  <c r="DA31" i="19"/>
  <c r="UH31" i="19"/>
  <c r="UC31" i="19"/>
  <c r="N31" i="19"/>
  <c r="DC31" i="19" s="1"/>
  <c r="CX31" i="19"/>
  <c r="I31" i="19" s="1"/>
  <c r="UE31" i="19"/>
  <c r="UD31" i="19"/>
  <c r="UI31" i="19"/>
  <c r="L31" i="19"/>
  <c r="DB31" i="19" s="1"/>
  <c r="J31" i="19"/>
  <c r="UF31" i="19"/>
  <c r="UH27" i="19"/>
  <c r="UC27" i="19"/>
  <c r="N27" i="19"/>
  <c r="DC27" i="19" s="1"/>
  <c r="CX27" i="19"/>
  <c r="I27" i="19" s="1"/>
  <c r="UD27" i="19"/>
  <c r="UE27" i="19"/>
  <c r="UI27" i="19"/>
  <c r="L27" i="19"/>
  <c r="DB27" i="19" s="1"/>
  <c r="J27" i="19"/>
  <c r="K27" i="19" s="1"/>
  <c r="UF27" i="19"/>
  <c r="M27" i="19" l="1"/>
  <c r="H31" i="19"/>
  <c r="H27" i="19"/>
  <c r="UJ31" i="19"/>
  <c r="UJ27" i="19"/>
  <c r="O31" i="19"/>
  <c r="P27" i="19"/>
  <c r="O27" i="19"/>
  <c r="UG31" i="19"/>
  <c r="K31" i="19"/>
  <c r="M31" i="19" s="1"/>
  <c r="UG27" i="19"/>
  <c r="A31" i="19" l="1" a="1"/>
  <c r="A31" i="19" s="1"/>
  <c r="P31" i="19"/>
  <c r="E27" i="19"/>
  <c r="E31" i="19" l="1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Q9" i="22"/>
  <c r="CR9" i="22"/>
  <c r="CS9" i="22"/>
  <c r="CT9" i="22"/>
  <c r="CU9" i="22"/>
  <c r="CV9" i="22"/>
  <c r="CX9" i="22"/>
  <c r="CY9" i="22"/>
  <c r="CZ9" i="22"/>
  <c r="WT9" i="22"/>
  <c r="WU9" i="22"/>
  <c r="WV9" i="22"/>
  <c r="XJ9" i="22" s="1"/>
  <c r="WW9" i="22"/>
  <c r="XK9" i="22" s="1"/>
  <c r="WX9" i="22"/>
  <c r="WY9" i="22"/>
  <c r="WZ9" i="22"/>
  <c r="XA9" i="22"/>
  <c r="XM9" i="22" s="1"/>
  <c r="XB9" i="22"/>
  <c r="XN9" i="22" s="1"/>
  <c r="XC9" i="22"/>
  <c r="XD9" i="22"/>
  <c r="XE9" i="22"/>
  <c r="XF9" i="22"/>
  <c r="XQ9" i="22" s="1"/>
  <c r="XG9" i="22"/>
  <c r="XR9" i="22" s="1"/>
  <c r="XH9" i="22"/>
  <c r="CQ6" i="22"/>
  <c r="CR6" i="22"/>
  <c r="CS6" i="22"/>
  <c r="CT6" i="22"/>
  <c r="CU6" i="22"/>
  <c r="CV6" i="22"/>
  <c r="CX6" i="22"/>
  <c r="CY6" i="22"/>
  <c r="CZ6" i="22"/>
  <c r="WT6" i="22"/>
  <c r="WU6" i="22"/>
  <c r="WV6" i="22"/>
  <c r="XJ6" i="22" s="1"/>
  <c r="WW6" i="22"/>
  <c r="XK6" i="22" s="1"/>
  <c r="WX6" i="22"/>
  <c r="WY6" i="22"/>
  <c r="WZ6" i="22"/>
  <c r="XA6" i="22"/>
  <c r="XM6" i="22" s="1"/>
  <c r="XB6" i="22"/>
  <c r="XN6" i="22" s="1"/>
  <c r="XC6" i="22"/>
  <c r="XD6" i="22"/>
  <c r="XE6" i="22"/>
  <c r="XF6" i="22"/>
  <c r="XQ6" i="22" s="1"/>
  <c r="XG6" i="22"/>
  <c r="XR6" i="22" s="1"/>
  <c r="XH6" i="22"/>
  <c r="CQ15" i="22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27" i="4"/>
  <c r="CR27" i="4"/>
  <c r="CS27" i="4"/>
  <c r="CT27" i="4"/>
  <c r="CU27" i="4"/>
  <c r="CV27" i="4"/>
  <c r="CX27" i="4"/>
  <c r="CY27" i="4"/>
  <c r="CZ27" i="4"/>
  <c r="CQ26" i="4"/>
  <c r="CR26" i="4"/>
  <c r="CS26" i="4"/>
  <c r="CT26" i="4"/>
  <c r="CU26" i="4"/>
  <c r="CV26" i="4"/>
  <c r="CX26" i="4"/>
  <c r="CY26" i="4"/>
  <c r="CZ26" i="4"/>
  <c r="T27" i="4" l="1"/>
  <c r="U27" i="4" s="1"/>
  <c r="T26" i="4"/>
  <c r="U26" i="4" s="1"/>
  <c r="T9" i="22"/>
  <c r="U9" i="22" s="1"/>
  <c r="T6" i="22"/>
  <c r="U6" i="22" s="1"/>
  <c r="T15" i="22"/>
  <c r="U15" i="22" s="1"/>
  <c r="G26" i="4"/>
  <c r="G15" i="22"/>
  <c r="F27" i="4"/>
  <c r="I27" i="4"/>
  <c r="I26" i="4"/>
  <c r="F26" i="4"/>
  <c r="H26" i="4" s="1"/>
  <c r="G27" i="4"/>
  <c r="F13" i="23"/>
  <c r="I13" i="23"/>
  <c r="G13" i="23"/>
  <c r="G12" i="24"/>
  <c r="F12" i="24"/>
  <c r="I12" i="24"/>
  <c r="I6" i="22"/>
  <c r="F6" i="22"/>
  <c r="G9" i="22"/>
  <c r="I9" i="22"/>
  <c r="F9" i="22"/>
  <c r="I15" i="22"/>
  <c r="F15" i="22"/>
  <c r="G6" i="22"/>
  <c r="R26" i="4"/>
  <c r="S26" i="4" s="1"/>
  <c r="R27" i="4"/>
  <c r="S27" i="4" s="1"/>
  <c r="R6" i="22"/>
  <c r="S6" i="22" s="1"/>
  <c r="R15" i="22"/>
  <c r="S15" i="22" s="1"/>
  <c r="R9" i="22"/>
  <c r="S9" i="22" s="1"/>
  <c r="L12" i="24"/>
  <c r="L13" i="23"/>
  <c r="CO13" i="23"/>
  <c r="CS13" i="23" s="1"/>
  <c r="CW9" i="22"/>
  <c r="DA9" i="22" s="1"/>
  <c r="CW6" i="22"/>
  <c r="DA6" i="22" s="1"/>
  <c r="CO12" i="24"/>
  <c r="CS12" i="24" s="1"/>
  <c r="XG12" i="24"/>
  <c r="XD12" i="24"/>
  <c r="XK12" i="24"/>
  <c r="J12" i="24"/>
  <c r="XK13" i="23"/>
  <c r="XG13" i="23"/>
  <c r="XD13" i="23"/>
  <c r="J13" i="23"/>
  <c r="J9" i="22"/>
  <c r="K9" i="22" s="1"/>
  <c r="XS9" i="22"/>
  <c r="XO9" i="22"/>
  <c r="XL9" i="22"/>
  <c r="L9" i="22"/>
  <c r="M9" i="22" s="1"/>
  <c r="P9" i="22"/>
  <c r="DC9" i="22" s="1"/>
  <c r="N9" i="22"/>
  <c r="CW15" i="22"/>
  <c r="DA15" i="22" s="1"/>
  <c r="J6" i="22"/>
  <c r="K6" i="22" s="1"/>
  <c r="XO6" i="22"/>
  <c r="XL6" i="22"/>
  <c r="XS6" i="22"/>
  <c r="L6" i="22"/>
  <c r="M6" i="22" s="1"/>
  <c r="P6" i="22"/>
  <c r="DC6" i="22" s="1"/>
  <c r="N6" i="22"/>
  <c r="DB6" i="22" s="1"/>
  <c r="XL15" i="22"/>
  <c r="J15" i="22"/>
  <c r="K15" i="22" s="1"/>
  <c r="XO15" i="22"/>
  <c r="XS15" i="22"/>
  <c r="L15" i="22"/>
  <c r="M15" i="22" s="1"/>
  <c r="P15" i="22"/>
  <c r="DC15" i="22" s="1"/>
  <c r="N15" i="22"/>
  <c r="CW27" i="4"/>
  <c r="DA27" i="4" s="1"/>
  <c r="J27" i="4"/>
  <c r="K27" i="4" s="1"/>
  <c r="CW26" i="4"/>
  <c r="DA26" i="4" s="1"/>
  <c r="L27" i="4"/>
  <c r="M27" i="4" s="1"/>
  <c r="P27" i="4"/>
  <c r="DC27" i="4" s="1"/>
  <c r="N27" i="4"/>
  <c r="DB27" i="4" s="1"/>
  <c r="L26" i="4"/>
  <c r="M26" i="4" s="1"/>
  <c r="P26" i="4"/>
  <c r="DC26" i="4" s="1"/>
  <c r="N26" i="4"/>
  <c r="J26" i="4"/>
  <c r="K26" i="4" s="1"/>
  <c r="H15" i="22" l="1"/>
  <c r="A15" i="22" s="1" a="1"/>
  <c r="A15" i="22" s="1"/>
  <c r="DB26" i="4"/>
  <c r="V26" i="4" s="1"/>
  <c r="X26" i="4" s="1"/>
  <c r="DB15" i="22"/>
  <c r="DB9" i="22"/>
  <c r="H27" i="4"/>
  <c r="H13" i="23"/>
  <c r="A13" i="23" s="1" a="1"/>
  <c r="A13" i="23" s="1"/>
  <c r="H12" i="24"/>
  <c r="H9" i="22"/>
  <c r="H6" i="22"/>
  <c r="CT12" i="24"/>
  <c r="CU12" i="24"/>
  <c r="CU13" i="23"/>
  <c r="CT13" i="23"/>
  <c r="M12" i="24"/>
  <c r="M13" i="23"/>
  <c r="XP9" i="22"/>
  <c r="XT9" i="22" s="1"/>
  <c r="XP6" i="22"/>
  <c r="XT6" i="22" s="1"/>
  <c r="XH12" i="24"/>
  <c r="XL12" i="24" s="1"/>
  <c r="K12" i="24"/>
  <c r="XH13" i="23"/>
  <c r="XL13" i="23" s="1"/>
  <c r="K13" i="23"/>
  <c r="O9" i="22"/>
  <c r="Q9" i="22"/>
  <c r="XP15" i="22"/>
  <c r="XT15" i="22" s="1"/>
  <c r="Q6" i="22"/>
  <c r="O6" i="22"/>
  <c r="O15" i="22"/>
  <c r="Q15" i="22"/>
  <c r="O27" i="4"/>
  <c r="Q27" i="4"/>
  <c r="O26" i="4"/>
  <c r="Q26" i="4"/>
  <c r="A27" i="4" l="1" a="1"/>
  <c r="A27" i="4" s="1"/>
  <c r="N12" i="24"/>
  <c r="P12" i="24" s="1"/>
  <c r="N13" i="23"/>
  <c r="P13" i="23" s="1"/>
  <c r="V9" i="22"/>
  <c r="X9" i="22" s="1"/>
  <c r="V6" i="22"/>
  <c r="X6" i="22" s="1"/>
  <c r="V15" i="22"/>
  <c r="X15" i="22" s="1"/>
  <c r="E26" i="4"/>
  <c r="V27" i="4"/>
  <c r="X27" i="4" s="1"/>
  <c r="W26" i="4"/>
  <c r="W15" i="22" l="1"/>
  <c r="W6" i="22"/>
  <c r="W9" i="22"/>
  <c r="E12" i="24"/>
  <c r="O13" i="23"/>
  <c r="E13" i="23"/>
  <c r="O12" i="24"/>
  <c r="E9" i="22"/>
  <c r="E6" i="22"/>
  <c r="E15" i="22"/>
  <c r="W27" i="4"/>
  <c r="E27" i="4"/>
  <c r="CQ5" i="4" l="1"/>
  <c r="CR5" i="4"/>
  <c r="CS5" i="4"/>
  <c r="CT5" i="4"/>
  <c r="CU5" i="4"/>
  <c r="CV5" i="4"/>
  <c r="CX5" i="4"/>
  <c r="CY5" i="4"/>
  <c r="CZ5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T5" i="4" l="1"/>
  <c r="U5" i="4" s="1"/>
  <c r="G6" i="24"/>
  <c r="G5" i="4"/>
  <c r="F5" i="4"/>
  <c r="I5" i="4"/>
  <c r="I6" i="24"/>
  <c r="F6" i="24"/>
  <c r="H6" i="24" s="1"/>
  <c r="R5" i="4"/>
  <c r="S5" i="4" s="1"/>
  <c r="L6" i="24"/>
  <c r="CO6" i="24"/>
  <c r="CS6" i="24" s="1"/>
  <c r="CW5" i="4"/>
  <c r="DA5" i="4" s="1"/>
  <c r="J5" i="4"/>
  <c r="K5" i="4" s="1"/>
  <c r="L5" i="4"/>
  <c r="M5" i="4" s="1"/>
  <c r="P5" i="4"/>
  <c r="DC5" i="4" s="1"/>
  <c r="N5" i="4"/>
  <c r="DB5" i="4" s="1"/>
  <c r="XD6" i="24"/>
  <c r="XK6" i="24"/>
  <c r="XG6" i="24"/>
  <c r="J6" i="24"/>
  <c r="CT14" i="21"/>
  <c r="CU14" i="21"/>
  <c r="CV14" i="21"/>
  <c r="CW14" i="21"/>
  <c r="CY14" i="21"/>
  <c r="CZ14" i="21"/>
  <c r="TH14" i="21"/>
  <c r="TI14" i="21"/>
  <c r="TJ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CT14" i="19"/>
  <c r="CU14" i="19"/>
  <c r="CV14" i="19"/>
  <c r="CW14" i="19"/>
  <c r="CY14" i="19"/>
  <c r="CZ14" i="19"/>
  <c r="TH14" i="19"/>
  <c r="TI14" i="19"/>
  <c r="TJ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H5" i="4" l="1"/>
  <c r="G14" i="21"/>
  <c r="F14" i="21"/>
  <c r="G14" i="19"/>
  <c r="F14" i="19"/>
  <c r="CT6" i="24"/>
  <c r="CU6" i="24"/>
  <c r="DA14" i="21"/>
  <c r="DA14" i="19"/>
  <c r="M6" i="24"/>
  <c r="O5" i="4"/>
  <c r="Q5" i="4"/>
  <c r="XH6" i="24"/>
  <c r="XL6" i="24" s="1"/>
  <c r="K6" i="24"/>
  <c r="UC14" i="21"/>
  <c r="UH14" i="21"/>
  <c r="CX14" i="21"/>
  <c r="I14" i="21" s="1"/>
  <c r="N14" i="21"/>
  <c r="DC14" i="21" s="1"/>
  <c r="UE14" i="21"/>
  <c r="UD14" i="21"/>
  <c r="UI14" i="21"/>
  <c r="L14" i="21"/>
  <c r="DB14" i="21" s="1"/>
  <c r="J14" i="21"/>
  <c r="UF14" i="21"/>
  <c r="UC14" i="19"/>
  <c r="UH14" i="19"/>
  <c r="N14" i="19"/>
  <c r="DC14" i="19" s="1"/>
  <c r="CX14" i="19"/>
  <c r="I14" i="19" s="1"/>
  <c r="UE14" i="19"/>
  <c r="UD14" i="19"/>
  <c r="UI14" i="19"/>
  <c r="L14" i="19"/>
  <c r="DB14" i="19" s="1"/>
  <c r="J14" i="19"/>
  <c r="K14" i="19" s="1"/>
  <c r="UF14" i="19"/>
  <c r="M14" i="19" l="1"/>
  <c r="H14" i="19"/>
  <c r="H14" i="21"/>
  <c r="UJ14" i="21"/>
  <c r="UJ14" i="19"/>
  <c r="O14" i="19"/>
  <c r="K14" i="21"/>
  <c r="M14" i="21" s="1"/>
  <c r="UG14" i="19"/>
  <c r="V5" i="4"/>
  <c r="X5" i="4" s="1"/>
  <c r="N6" i="24"/>
  <c r="P6" i="24" s="1"/>
  <c r="UG14" i="21"/>
  <c r="O14" i="21"/>
  <c r="E5" i="4" l="1"/>
  <c r="E6" i="24"/>
  <c r="W5" i="4"/>
  <c r="P14" i="21"/>
  <c r="O6" i="24"/>
  <c r="P14" i="19"/>
  <c r="E14" i="21" l="1"/>
  <c r="E14" i="19"/>
  <c r="CI9" i="23" l="1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7" i="22"/>
  <c r="XG7" i="22"/>
  <c r="XF7" i="22"/>
  <c r="XQ7" i="22" s="1"/>
  <c r="XE7" i="22"/>
  <c r="XD7" i="22"/>
  <c r="XC7" i="22"/>
  <c r="XB7" i="22"/>
  <c r="XN7" i="22" s="1"/>
  <c r="XA7" i="22"/>
  <c r="XM7" i="22" s="1"/>
  <c r="WZ7" i="22"/>
  <c r="WY7" i="22"/>
  <c r="WX7" i="22"/>
  <c r="WW7" i="22"/>
  <c r="XK7" i="22" s="1"/>
  <c r="WV7" i="22"/>
  <c r="XJ7" i="22" s="1"/>
  <c r="WU7" i="22"/>
  <c r="WT7" i="22"/>
  <c r="CZ7" i="22"/>
  <c r="CY7" i="22"/>
  <c r="CX7" i="22"/>
  <c r="CV7" i="22"/>
  <c r="CU7" i="22"/>
  <c r="CT7" i="22"/>
  <c r="CS7" i="22"/>
  <c r="CR7" i="22"/>
  <c r="CQ7" i="22"/>
  <c r="T7" i="22" s="1"/>
  <c r="XH11" i="22"/>
  <c r="XG11" i="22"/>
  <c r="XR11" i="22" s="1"/>
  <c r="XF11" i="22"/>
  <c r="XQ11" i="22" s="1"/>
  <c r="XE11" i="22"/>
  <c r="XD11" i="22"/>
  <c r="XC11" i="22"/>
  <c r="XB11" i="22"/>
  <c r="XN11" i="22" s="1"/>
  <c r="XA11" i="22"/>
  <c r="XM11" i="22" s="1"/>
  <c r="WZ11" i="22"/>
  <c r="WY11" i="22"/>
  <c r="WX11" i="22"/>
  <c r="WW11" i="22"/>
  <c r="XK11" i="22" s="1"/>
  <c r="WV11" i="22"/>
  <c r="XJ11" i="22" s="1"/>
  <c r="WU11" i="22"/>
  <c r="WT11" i="22"/>
  <c r="CZ11" i="22"/>
  <c r="CY11" i="22"/>
  <c r="CX11" i="22"/>
  <c r="CV11" i="22"/>
  <c r="CU11" i="22"/>
  <c r="CT11" i="22"/>
  <c r="CS11" i="22"/>
  <c r="CR11" i="22"/>
  <c r="CQ11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T4" i="22" s="1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T8" i="22" l="1"/>
  <c r="T12" i="22"/>
  <c r="U12" i="22" s="1"/>
  <c r="T11" i="22"/>
  <c r="T5" i="22"/>
  <c r="U5" i="22" s="1"/>
  <c r="G5" i="22"/>
  <c r="G4" i="24"/>
  <c r="G4" i="22"/>
  <c r="G9" i="23"/>
  <c r="F9" i="23"/>
  <c r="I9" i="23"/>
  <c r="I4" i="24"/>
  <c r="F4" i="24"/>
  <c r="F5" i="24"/>
  <c r="I5" i="24"/>
  <c r="G5" i="24"/>
  <c r="F12" i="22"/>
  <c r="I12" i="22"/>
  <c r="F5" i="22"/>
  <c r="I5" i="22"/>
  <c r="I4" i="22"/>
  <c r="F4" i="22"/>
  <c r="F8" i="22"/>
  <c r="I8" i="22"/>
  <c r="I7" i="22"/>
  <c r="F7" i="22"/>
  <c r="G8" i="22"/>
  <c r="G7" i="22"/>
  <c r="F11" i="22"/>
  <c r="I11" i="22"/>
  <c r="G12" i="22"/>
  <c r="G11" i="22"/>
  <c r="U8" i="22"/>
  <c r="R8" i="22"/>
  <c r="S8" i="22" s="1"/>
  <c r="R7" i="22"/>
  <c r="S7" i="22" s="1"/>
  <c r="U7" i="22"/>
  <c r="R5" i="22"/>
  <c r="S5" i="22" s="1"/>
  <c r="U4" i="22"/>
  <c r="R4" i="22"/>
  <c r="S4" i="22" s="1"/>
  <c r="R11" i="22"/>
  <c r="S11" i="22" s="1"/>
  <c r="U11" i="22"/>
  <c r="R12" i="22"/>
  <c r="S12" i="22" s="1"/>
  <c r="L5" i="24"/>
  <c r="L4" i="24"/>
  <c r="L9" i="23"/>
  <c r="CO5" i="24"/>
  <c r="CS5" i="24" s="1"/>
  <c r="CO4" i="24"/>
  <c r="CS4" i="24" s="1"/>
  <c r="CO9" i="23"/>
  <c r="CS9" i="23" s="1"/>
  <c r="P4" i="22"/>
  <c r="DC4" i="22" s="1"/>
  <c r="XK9" i="23"/>
  <c r="XG9" i="23"/>
  <c r="XD9" i="23"/>
  <c r="J9" i="23"/>
  <c r="K9" i="23" s="1"/>
  <c r="J4" i="24"/>
  <c r="XG5" i="24"/>
  <c r="J5" i="24"/>
  <c r="K5" i="24" s="1"/>
  <c r="P8" i="22"/>
  <c r="DC8" i="22" s="1"/>
  <c r="CW4" i="22"/>
  <c r="DA4" i="22" s="1"/>
  <c r="P11" i="22"/>
  <c r="DC11" i="22" s="1"/>
  <c r="XD4" i="24"/>
  <c r="XG4" i="24"/>
  <c r="XK4" i="24"/>
  <c r="XD5" i="24"/>
  <c r="XK5" i="24"/>
  <c r="J5" i="22"/>
  <c r="K5" i="22" s="1"/>
  <c r="XS11" i="22"/>
  <c r="CW5" i="22"/>
  <c r="DA5" i="22" s="1"/>
  <c r="XO4" i="22"/>
  <c r="XS5" i="22"/>
  <c r="XL11" i="22"/>
  <c r="L8" i="22"/>
  <c r="M8" i="22" s="1"/>
  <c r="L11" i="22"/>
  <c r="M11" i="22" s="1"/>
  <c r="XS4" i="22"/>
  <c r="XL8" i="22"/>
  <c r="N11" i="22"/>
  <c r="XO8" i="22"/>
  <c r="P12" i="22"/>
  <c r="DC12" i="22" s="1"/>
  <c r="XL12" i="22"/>
  <c r="XO12" i="22"/>
  <c r="N8" i="22"/>
  <c r="DB8" i="22" s="1"/>
  <c r="P7" i="22"/>
  <c r="DC7" i="22" s="1"/>
  <c r="L5" i="22"/>
  <c r="M5" i="22" s="1"/>
  <c r="J4" i="22"/>
  <c r="K4" i="22" s="1"/>
  <c r="XS8" i="22"/>
  <c r="XO11" i="22"/>
  <c r="XL7" i="22"/>
  <c r="N5" i="22"/>
  <c r="DB5" i="22" s="1"/>
  <c r="XO5" i="22"/>
  <c r="CW12" i="22"/>
  <c r="DA12" i="22" s="1"/>
  <c r="N4" i="22"/>
  <c r="XO7" i="22"/>
  <c r="P5" i="22"/>
  <c r="DC5" i="22" s="1"/>
  <c r="CW8" i="22"/>
  <c r="DA8" i="22" s="1"/>
  <c r="CW7" i="22"/>
  <c r="DA7" i="22" s="1"/>
  <c r="XL4" i="22"/>
  <c r="XL5" i="22"/>
  <c r="L12" i="22"/>
  <c r="J12" i="22"/>
  <c r="N12" i="22"/>
  <c r="CW11" i="22"/>
  <c r="DA11" i="22" s="1"/>
  <c r="J11" i="22"/>
  <c r="XS12" i="22"/>
  <c r="J7" i="22"/>
  <c r="XS7" i="22"/>
  <c r="XR7" i="22"/>
  <c r="J8" i="22"/>
  <c r="L4" i="22"/>
  <c r="N7" i="22"/>
  <c r="L7" i="22"/>
  <c r="H5" i="22" l="1"/>
  <c r="H12" i="22"/>
  <c r="H4" i="24"/>
  <c r="H4" i="22"/>
  <c r="DB7" i="22"/>
  <c r="V7" i="22" s="1"/>
  <c r="X7" i="22" s="1"/>
  <c r="DB4" i="22"/>
  <c r="V4" i="22" s="1"/>
  <c r="X4" i="22" s="1"/>
  <c r="DB12" i="22"/>
  <c r="DB11" i="22"/>
  <c r="V11" i="22" s="1"/>
  <c r="X11" i="22" s="1"/>
  <c r="H9" i="23"/>
  <c r="H5" i="24"/>
  <c r="H8" i="22"/>
  <c r="H11" i="22"/>
  <c r="H7" i="22"/>
  <c r="CT4" i="24"/>
  <c r="CU4" i="24"/>
  <c r="CU5" i="24"/>
  <c r="CT5" i="24"/>
  <c r="CU9" i="23"/>
  <c r="CT9" i="23"/>
  <c r="M4" i="24"/>
  <c r="M5" i="24"/>
  <c r="M9" i="23"/>
  <c r="Q12" i="22"/>
  <c r="Q8" i="22"/>
  <c r="XP8" i="22"/>
  <c r="XT8" i="22" s="1"/>
  <c r="Q4" i="22"/>
  <c r="XP5" i="22"/>
  <c r="XT5" i="22" s="1"/>
  <c r="Q7" i="22"/>
  <c r="Q11" i="22"/>
  <c r="O8" i="22"/>
  <c r="O7" i="22"/>
  <c r="O5" i="22"/>
  <c r="O11" i="22"/>
  <c r="O12" i="22"/>
  <c r="Q5" i="22"/>
  <c r="O4" i="22"/>
  <c r="XP11" i="22"/>
  <c r="XT11" i="22" s="1"/>
  <c r="XP4" i="22"/>
  <c r="XT4" i="22" s="1"/>
  <c r="XP7" i="22"/>
  <c r="XT7" i="22" s="1"/>
  <c r="XH9" i="23"/>
  <c r="XL9" i="23" s="1"/>
  <c r="XH5" i="24"/>
  <c r="XL5" i="24" s="1"/>
  <c r="K4" i="24"/>
  <c r="XH4" i="24"/>
  <c r="XL4" i="24" s="1"/>
  <c r="XP12" i="22"/>
  <c r="XT12" i="22" s="1"/>
  <c r="K8" i="22"/>
  <c r="M4" i="22"/>
  <c r="K12" i="22"/>
  <c r="K11" i="22"/>
  <c r="M12" i="22"/>
  <c r="M7" i="22"/>
  <c r="K7" i="22"/>
  <c r="N9" i="23" l="1"/>
  <c r="P9" i="23" s="1"/>
  <c r="V8" i="22"/>
  <c r="X8" i="22" s="1"/>
  <c r="N4" i="24"/>
  <c r="P4" i="24" s="1"/>
  <c r="N5" i="24"/>
  <c r="P5" i="24" s="1"/>
  <c r="V12" i="22"/>
  <c r="X12" i="22" s="1"/>
  <c r="V5" i="22"/>
  <c r="X5" i="22" s="1"/>
  <c r="E4" i="22"/>
  <c r="E11" i="22"/>
  <c r="E7" i="22"/>
  <c r="W11" i="22"/>
  <c r="W7" i="22"/>
  <c r="W4" i="22"/>
  <c r="E4" i="24" l="1"/>
  <c r="O9" i="23"/>
  <c r="E9" i="23"/>
  <c r="A9" i="23" s="1" a="1"/>
  <c r="A9" i="23" s="1"/>
  <c r="E5" i="24"/>
  <c r="W8" i="22"/>
  <c r="E8" i="22"/>
  <c r="W12" i="22"/>
  <c r="E5" i="22"/>
  <c r="O4" i="24"/>
  <c r="O5" i="24"/>
  <c r="W5" i="22"/>
  <c r="E12" i="22"/>
  <c r="A8" i="24" l="1" a="1"/>
  <c r="A8" i="24" s="1"/>
  <c r="A9" i="24" a="1"/>
  <c r="A9" i="24" s="1"/>
  <c r="A10" i="24" a="1"/>
  <c r="A10" i="24" s="1"/>
  <c r="A11" i="24" a="1"/>
  <c r="A11" i="24" s="1"/>
  <c r="A13" i="24" a="1"/>
  <c r="A13" i="24" s="1"/>
  <c r="A17" i="23" a="1"/>
  <c r="A17" i="23" s="1"/>
  <c r="A5" i="23" a="1"/>
  <c r="A5" i="23" s="1"/>
  <c r="A16" i="23" a="1"/>
  <c r="A16" i="23" s="1"/>
  <c r="A10" i="22" a="1"/>
  <c r="A10" i="22" s="1"/>
  <c r="A9" i="22" a="1"/>
  <c r="A9" i="22" s="1"/>
  <c r="A14" i="22" a="1"/>
  <c r="A14" i="22" s="1"/>
  <c r="A11" i="22" a="1"/>
  <c r="A11" i="22" s="1"/>
  <c r="A12" i="24" a="1"/>
  <c r="A12" i="24" s="1"/>
  <c r="A5" i="24" a="1"/>
  <c r="A5" i="24" s="1"/>
  <c r="A6" i="24" a="1"/>
  <c r="A6" i="24" s="1"/>
  <c r="A7" i="24" a="1"/>
  <c r="A7" i="24" s="1"/>
  <c r="A15" i="24" a="1"/>
  <c r="A15" i="24" s="1"/>
  <c r="A4" i="24" a="1"/>
  <c r="A4" i="24" s="1"/>
  <c r="A4" i="23" a="1"/>
  <c r="A4" i="23" s="1"/>
  <c r="A5" i="22" a="1"/>
  <c r="A5" i="22" s="1"/>
  <c r="A12" i="22" a="1"/>
  <c r="A12" i="22" s="1"/>
  <c r="A8" i="22" a="1"/>
  <c r="A8" i="22" s="1"/>
  <c r="A6" i="22" a="1"/>
  <c r="A6" i="22" s="1"/>
  <c r="A7" i="22" a="1"/>
  <c r="A7" i="22" s="1"/>
  <c r="A4" i="22" a="1"/>
  <c r="A4" i="22" s="1"/>
  <c r="A13" i="22" a="1"/>
  <c r="A13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7" i="4" l="1"/>
  <c r="CR7" i="4"/>
  <c r="CS7" i="4"/>
  <c r="CT7" i="4"/>
  <c r="CU7" i="4"/>
  <c r="CV7" i="4"/>
  <c r="CX7" i="4"/>
  <c r="CY7" i="4"/>
  <c r="CZ7" i="4"/>
  <c r="T7" i="4" l="1"/>
  <c r="U7" i="4" s="1"/>
  <c r="G7" i="4"/>
  <c r="F7" i="4"/>
  <c r="H7" i="4" s="1"/>
  <c r="I7" i="4"/>
  <c r="R7" i="4"/>
  <c r="S7" i="4" s="1"/>
  <c r="CW7" i="4"/>
  <c r="DA7" i="4" s="1"/>
  <c r="P7" i="4"/>
  <c r="DC7" i="4" s="1"/>
  <c r="L7" i="4"/>
  <c r="J7" i="4"/>
  <c r="N7" i="4"/>
  <c r="DB7" i="4" s="1"/>
  <c r="V7" i="4" l="1"/>
  <c r="X7" i="4" s="1"/>
  <c r="O7" i="4"/>
  <c r="M7" i="4"/>
  <c r="Q7" i="4"/>
  <c r="K7" i="4"/>
  <c r="W7" i="4" l="1"/>
  <c r="E7" i="4"/>
  <c r="UA26" i="21" l="1"/>
  <c r="TZ26" i="21"/>
  <c r="TY26" i="21"/>
  <c r="TX26" i="21"/>
  <c r="TW26" i="21"/>
  <c r="TV26" i="21"/>
  <c r="TU26" i="21"/>
  <c r="TT26" i="21"/>
  <c r="TS26" i="21"/>
  <c r="TR26" i="21"/>
  <c r="TQ26" i="21"/>
  <c r="TP26" i="21"/>
  <c r="TO26" i="21"/>
  <c r="TN26" i="21"/>
  <c r="TM26" i="21"/>
  <c r="TL26" i="21"/>
  <c r="TK26" i="21"/>
  <c r="TJ26" i="21"/>
  <c r="TI26" i="21"/>
  <c r="TH26" i="21"/>
  <c r="CZ26" i="21"/>
  <c r="CY26" i="21"/>
  <c r="CW26" i="21"/>
  <c r="CV26" i="21"/>
  <c r="CU26" i="21"/>
  <c r="CT26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TJ7" i="21"/>
  <c r="TI7" i="21"/>
  <c r="TH7" i="21"/>
  <c r="CZ7" i="21"/>
  <c r="CY7" i="21"/>
  <c r="CW7" i="21"/>
  <c r="CV7" i="21"/>
  <c r="CU7" i="21"/>
  <c r="CT7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TJ15" i="21"/>
  <c r="TI15" i="21"/>
  <c r="TH15" i="21"/>
  <c r="CZ15" i="21"/>
  <c r="CY15" i="21"/>
  <c r="CW15" i="21"/>
  <c r="CV15" i="21"/>
  <c r="CU15" i="21"/>
  <c r="G15" i="21" s="1"/>
  <c r="CT15" i="21"/>
  <c r="UA8" i="21"/>
  <c r="TZ8" i="21"/>
  <c r="TY8" i="21"/>
  <c r="TX8" i="21"/>
  <c r="TW8" i="21"/>
  <c r="TV8" i="21"/>
  <c r="TU8" i="21"/>
  <c r="TT8" i="21"/>
  <c r="TS8" i="21"/>
  <c r="TR8" i="21"/>
  <c r="TQ8" i="21"/>
  <c r="TP8" i="21"/>
  <c r="TO8" i="21"/>
  <c r="TN8" i="21"/>
  <c r="TM8" i="21"/>
  <c r="TL8" i="21"/>
  <c r="TK8" i="21"/>
  <c r="TJ8" i="21"/>
  <c r="TI8" i="21"/>
  <c r="TH8" i="21"/>
  <c r="CZ8" i="21"/>
  <c r="CY8" i="21"/>
  <c r="CW8" i="21"/>
  <c r="CV8" i="21"/>
  <c r="CU8" i="21"/>
  <c r="CT8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TJ10" i="21"/>
  <c r="TI10" i="21"/>
  <c r="TH10" i="21"/>
  <c r="CZ10" i="21"/>
  <c r="CY10" i="21"/>
  <c r="CW10" i="21"/>
  <c r="CV10" i="21"/>
  <c r="CU10" i="21"/>
  <c r="CT10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TJ9" i="21"/>
  <c r="TI9" i="21"/>
  <c r="TH9" i="21"/>
  <c r="CZ9" i="21"/>
  <c r="CY9" i="21"/>
  <c r="CW9" i="21"/>
  <c r="CV9" i="21"/>
  <c r="CU9" i="21"/>
  <c r="CT9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G4" i="21" s="1"/>
  <c r="CT4" i="21"/>
  <c r="UA17" i="21"/>
  <c r="TZ17" i="21"/>
  <c r="TY17" i="21"/>
  <c r="TX17" i="21"/>
  <c r="TW17" i="21"/>
  <c r="TV17" i="21"/>
  <c r="TU17" i="21"/>
  <c r="TT17" i="21"/>
  <c r="TS17" i="21"/>
  <c r="TR17" i="21"/>
  <c r="TQ17" i="21"/>
  <c r="TP17" i="21"/>
  <c r="TO17" i="21"/>
  <c r="TN17" i="21"/>
  <c r="TM17" i="21"/>
  <c r="TL17" i="21"/>
  <c r="TK17" i="21"/>
  <c r="TJ17" i="21"/>
  <c r="TI17" i="21"/>
  <c r="TH17" i="21"/>
  <c r="CZ17" i="21"/>
  <c r="CY17" i="21"/>
  <c r="CW17" i="21"/>
  <c r="CV17" i="21"/>
  <c r="CU17" i="21"/>
  <c r="CT17" i="21"/>
  <c r="UA22" i="21"/>
  <c r="TZ22" i="21"/>
  <c r="TY22" i="21"/>
  <c r="TX22" i="21"/>
  <c r="TW22" i="21"/>
  <c r="TV22" i="21"/>
  <c r="TU22" i="21"/>
  <c r="TT22" i="21"/>
  <c r="TS22" i="21"/>
  <c r="TR22" i="21"/>
  <c r="TQ22" i="21"/>
  <c r="TP22" i="21"/>
  <c r="TO22" i="21"/>
  <c r="TN22" i="21"/>
  <c r="TM22" i="21"/>
  <c r="TL22" i="21"/>
  <c r="TK22" i="21"/>
  <c r="TJ22" i="21"/>
  <c r="TI22" i="21"/>
  <c r="TH22" i="21"/>
  <c r="CZ22" i="21"/>
  <c r="CY22" i="21"/>
  <c r="CW22" i="21"/>
  <c r="CV22" i="21"/>
  <c r="CU22" i="21"/>
  <c r="CT22" i="21"/>
  <c r="CW7" i="19"/>
  <c r="CW17" i="19"/>
  <c r="CW18" i="19"/>
  <c r="CW20" i="19"/>
  <c r="CW10" i="19"/>
  <c r="CW13" i="19"/>
  <c r="CW4" i="19"/>
  <c r="CW5" i="19"/>
  <c r="CV5" i="19"/>
  <c r="CV4" i="19"/>
  <c r="CV13" i="19"/>
  <c r="CV10" i="19"/>
  <c r="CV20" i="19"/>
  <c r="CV18" i="19"/>
  <c r="CV17" i="19"/>
  <c r="CV7" i="19"/>
  <c r="CT20" i="19"/>
  <c r="CU20" i="19"/>
  <c r="CY20" i="19"/>
  <c r="CZ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CT18" i="19"/>
  <c r="CU18" i="19"/>
  <c r="CY18" i="19"/>
  <c r="CZ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CT17" i="19"/>
  <c r="CU17" i="19"/>
  <c r="CY17" i="19"/>
  <c r="CZ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CT7" i="19"/>
  <c r="CU7" i="19"/>
  <c r="CY7" i="19"/>
  <c r="CZ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UA10" i="19"/>
  <c r="TZ10" i="19"/>
  <c r="TY10" i="19"/>
  <c r="TX10" i="19"/>
  <c r="TW10" i="19"/>
  <c r="TV10" i="19"/>
  <c r="TU10" i="19"/>
  <c r="TT10" i="19"/>
  <c r="TS10" i="19"/>
  <c r="TR10" i="19"/>
  <c r="TQ10" i="19"/>
  <c r="TP10" i="19"/>
  <c r="TO10" i="19"/>
  <c r="TN10" i="19"/>
  <c r="TM10" i="19"/>
  <c r="TL10" i="19"/>
  <c r="TK10" i="19"/>
  <c r="TJ10" i="19"/>
  <c r="TI10" i="19"/>
  <c r="TH10" i="19"/>
  <c r="CZ10" i="19"/>
  <c r="CY10" i="19"/>
  <c r="CU10" i="19"/>
  <c r="CT10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TJ13" i="19"/>
  <c r="TI13" i="19"/>
  <c r="TH13" i="19"/>
  <c r="CZ13" i="19"/>
  <c r="CY13" i="19"/>
  <c r="CU13" i="19"/>
  <c r="CT13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17" i="21" l="1"/>
  <c r="G8" i="21"/>
  <c r="F17" i="21"/>
  <c r="F8" i="21"/>
  <c r="F22" i="21"/>
  <c r="F10" i="21"/>
  <c r="F26" i="21"/>
  <c r="F4" i="21"/>
  <c r="F15" i="21"/>
  <c r="F9" i="21"/>
  <c r="F7" i="21"/>
  <c r="G9" i="21"/>
  <c r="G7" i="21"/>
  <c r="G22" i="21"/>
  <c r="G10" i="21"/>
  <c r="G26" i="21"/>
  <c r="G7" i="19"/>
  <c r="F7" i="19"/>
  <c r="F13" i="19"/>
  <c r="F5" i="19"/>
  <c r="G13" i="19"/>
  <c r="G5" i="19"/>
  <c r="G17" i="19"/>
  <c r="G20" i="19"/>
  <c r="F17" i="19"/>
  <c r="F20" i="19"/>
  <c r="F10" i="19"/>
  <c r="G10" i="19"/>
  <c r="G18" i="19"/>
  <c r="F18" i="19"/>
  <c r="DA17" i="21"/>
  <c r="DA22" i="21"/>
  <c r="DA9" i="21"/>
  <c r="DA10" i="21"/>
  <c r="DA8" i="21"/>
  <c r="DA15" i="21"/>
  <c r="DA4" i="21"/>
  <c r="DA7" i="21"/>
  <c r="DA26" i="21"/>
  <c r="DA13" i="19"/>
  <c r="DA5" i="19"/>
  <c r="DA7" i="19"/>
  <c r="DA17" i="19"/>
  <c r="DA18" i="19"/>
  <c r="DA10" i="19"/>
  <c r="DA4" i="19"/>
  <c r="DA20" i="19"/>
  <c r="CX10" i="19"/>
  <c r="CX20" i="19"/>
  <c r="CX17" i="19"/>
  <c r="I17" i="19" s="1"/>
  <c r="CX4" i="19"/>
  <c r="N7" i="21"/>
  <c r="DC7" i="21" s="1"/>
  <c r="UC26" i="21"/>
  <c r="UH26" i="21"/>
  <c r="CX7" i="21"/>
  <c r="UI26" i="21"/>
  <c r="L26" i="21"/>
  <c r="DB26" i="21" s="1"/>
  <c r="UE9" i="21"/>
  <c r="UC17" i="21"/>
  <c r="UH17" i="21"/>
  <c r="N4" i="21"/>
  <c r="DC4" i="21" s="1"/>
  <c r="UF15" i="21"/>
  <c r="L7" i="21"/>
  <c r="DB7" i="21" s="1"/>
  <c r="N15" i="21"/>
  <c r="DC15" i="21" s="1"/>
  <c r="N26" i="21"/>
  <c r="DC26" i="21" s="1"/>
  <c r="UE26" i="21"/>
  <c r="UC4" i="21"/>
  <c r="UF9" i="21"/>
  <c r="CX7" i="19"/>
  <c r="I7" i="19" s="1"/>
  <c r="CX13" i="19"/>
  <c r="I13" i="19" s="1"/>
  <c r="UC10" i="21"/>
  <c r="N8" i="21"/>
  <c r="DC8" i="21" s="1"/>
  <c r="CX8" i="21"/>
  <c r="N22" i="21"/>
  <c r="DC22" i="21" s="1"/>
  <c r="UC22" i="21"/>
  <c r="CX17" i="21"/>
  <c r="I17" i="21" s="1"/>
  <c r="UF7" i="21"/>
  <c r="CX26" i="21"/>
  <c r="UH15" i="21"/>
  <c r="CX4" i="21"/>
  <c r="UD15" i="21"/>
  <c r="UE15" i="21"/>
  <c r="UI15" i="21"/>
  <c r="UE10" i="21"/>
  <c r="UI7" i="21"/>
  <c r="UE17" i="21"/>
  <c r="N9" i="21"/>
  <c r="DC9" i="21" s="1"/>
  <c r="UC7" i="21"/>
  <c r="UH7" i="21"/>
  <c r="UH9" i="21"/>
  <c r="L10" i="21"/>
  <c r="DB10" i="21" s="1"/>
  <c r="UI10" i="21"/>
  <c r="L8" i="21"/>
  <c r="DB8" i="21" s="1"/>
  <c r="UF8" i="21"/>
  <c r="UH8" i="21"/>
  <c r="CX15" i="21"/>
  <c r="UI22" i="21"/>
  <c r="UH10" i="21"/>
  <c r="UE8" i="21"/>
  <c r="UE7" i="21"/>
  <c r="UF26" i="21"/>
  <c r="UH22" i="21"/>
  <c r="UD4" i="21"/>
  <c r="UE4" i="21"/>
  <c r="CX10" i="21"/>
  <c r="UI8" i="21"/>
  <c r="UE22" i="21"/>
  <c r="UF5" i="19"/>
  <c r="UF10" i="19"/>
  <c r="CX18" i="19"/>
  <c r="UF20" i="19"/>
  <c r="UF4" i="19"/>
  <c r="UF7" i="19"/>
  <c r="UF17" i="19"/>
  <c r="UF13" i="19"/>
  <c r="UF18" i="19"/>
  <c r="CX5" i="19"/>
  <c r="L17" i="21"/>
  <c r="DB17" i="21" s="1"/>
  <c r="UD8" i="21"/>
  <c r="UF17" i="21"/>
  <c r="UD10" i="21"/>
  <c r="UD22" i="21"/>
  <c r="UF4" i="21"/>
  <c r="UC9" i="21"/>
  <c r="J10" i="21"/>
  <c r="UF22" i="21"/>
  <c r="UF10" i="21"/>
  <c r="J8" i="21"/>
  <c r="UD26" i="21"/>
  <c r="L22" i="21"/>
  <c r="DB22" i="21" s="1"/>
  <c r="J17" i="21"/>
  <c r="J15" i="21"/>
  <c r="L15" i="21"/>
  <c r="DB15" i="21" s="1"/>
  <c r="UI17" i="21"/>
  <c r="UD9" i="21"/>
  <c r="J22" i="21"/>
  <c r="N17" i="21"/>
  <c r="DC17" i="21" s="1"/>
  <c r="CX22" i="21"/>
  <c r="L4" i="21"/>
  <c r="DB4" i="21" s="1"/>
  <c r="J4" i="21"/>
  <c r="CX9" i="21"/>
  <c r="N10" i="21"/>
  <c r="DC10" i="21" s="1"/>
  <c r="UI4" i="21"/>
  <c r="UH4" i="21"/>
  <c r="UD17" i="21"/>
  <c r="UI9" i="21"/>
  <c r="L9" i="21"/>
  <c r="DB9" i="21" s="1"/>
  <c r="J9" i="21"/>
  <c r="UD7" i="21"/>
  <c r="UC8" i="21"/>
  <c r="UC15" i="21"/>
  <c r="J7" i="21"/>
  <c r="J26" i="21"/>
  <c r="J5" i="19"/>
  <c r="UH17" i="19"/>
  <c r="UE17" i="19"/>
  <c r="J7" i="19"/>
  <c r="K7" i="19" s="1"/>
  <c r="UC17" i="19"/>
  <c r="N18" i="19"/>
  <c r="DC18" i="19" s="1"/>
  <c r="UD18" i="19"/>
  <c r="UH7" i="19"/>
  <c r="N17" i="19"/>
  <c r="DC17" i="19" s="1"/>
  <c r="UE18" i="19"/>
  <c r="UD17" i="19"/>
  <c r="N20" i="19"/>
  <c r="DC20" i="19" s="1"/>
  <c r="UI7" i="19"/>
  <c r="UE7" i="19"/>
  <c r="UD7" i="19"/>
  <c r="UI17" i="19"/>
  <c r="J17" i="19"/>
  <c r="N7" i="19"/>
  <c r="DC7" i="19" s="1"/>
  <c r="UH18" i="19"/>
  <c r="UC18" i="19"/>
  <c r="UC7" i="19"/>
  <c r="UI18" i="19"/>
  <c r="UE20" i="19"/>
  <c r="UD20" i="19"/>
  <c r="UH20" i="19"/>
  <c r="UC20" i="19"/>
  <c r="L20" i="19"/>
  <c r="DB20" i="19" s="1"/>
  <c r="L18" i="19"/>
  <c r="DB18" i="19" s="1"/>
  <c r="J20" i="19"/>
  <c r="UI20" i="19"/>
  <c r="L17" i="19"/>
  <c r="DB17" i="19" s="1"/>
  <c r="J18" i="19"/>
  <c r="L7" i="19"/>
  <c r="DB7" i="19" s="1"/>
  <c r="UI10" i="19"/>
  <c r="UH10" i="19"/>
  <c r="N13" i="19"/>
  <c r="DC13" i="19" s="1"/>
  <c r="UC4" i="19"/>
  <c r="UH5" i="19"/>
  <c r="L5" i="19"/>
  <c r="DB5" i="19" s="1"/>
  <c r="UC13" i="19"/>
  <c r="UI4" i="19"/>
  <c r="N5" i="19"/>
  <c r="DC5" i="19" s="1"/>
  <c r="UD13" i="19"/>
  <c r="UI5" i="19"/>
  <c r="UI13" i="19"/>
  <c r="L10" i="19"/>
  <c r="DB10" i="19" s="1"/>
  <c r="UD4" i="19"/>
  <c r="UE4" i="19"/>
  <c r="UH13" i="19"/>
  <c r="N10" i="19"/>
  <c r="DC10" i="19" s="1"/>
  <c r="UC5" i="19"/>
  <c r="J10" i="19"/>
  <c r="UC10" i="19"/>
  <c r="UD5" i="19"/>
  <c r="UE5" i="19"/>
  <c r="J13" i="19"/>
  <c r="UD10" i="19"/>
  <c r="UE10" i="19"/>
  <c r="UE13" i="19"/>
  <c r="UH4" i="19"/>
  <c r="L13" i="19"/>
  <c r="DB13" i="19" s="1"/>
  <c r="H7" i="19" l="1"/>
  <c r="I4" i="21"/>
  <c r="I5" i="19"/>
  <c r="H5" i="19" s="1"/>
  <c r="I8" i="21"/>
  <c r="H8" i="21" s="1"/>
  <c r="I15" i="21"/>
  <c r="I10" i="21"/>
  <c r="H10" i="21" s="1"/>
  <c r="I22" i="21"/>
  <c r="H22" i="21" s="1"/>
  <c r="I9" i="21"/>
  <c r="H9" i="21" s="1"/>
  <c r="H4" i="21"/>
  <c r="H17" i="21"/>
  <c r="I26" i="21"/>
  <c r="H26" i="21" s="1"/>
  <c r="H15" i="21"/>
  <c r="I7" i="21"/>
  <c r="H7" i="21" s="1"/>
  <c r="I10" i="19"/>
  <c r="H10" i="19" s="1"/>
  <c r="I18" i="19"/>
  <c r="H18" i="19" s="1"/>
  <c r="I20" i="19"/>
  <c r="H20" i="19" s="1"/>
  <c r="H17" i="19"/>
  <c r="H13" i="19"/>
  <c r="M7" i="19"/>
  <c r="UJ7" i="21"/>
  <c r="UJ17" i="21"/>
  <c r="UJ10" i="19"/>
  <c r="UJ22" i="21"/>
  <c r="UJ7" i="19"/>
  <c r="UJ4" i="21"/>
  <c r="UJ15" i="21"/>
  <c r="UJ26" i="21"/>
  <c r="UJ10" i="21"/>
  <c r="UJ9" i="21"/>
  <c r="UJ8" i="21"/>
  <c r="UJ18" i="19"/>
  <c r="UJ5" i="19"/>
  <c r="UJ20" i="19"/>
  <c r="UJ13" i="19"/>
  <c r="UJ4" i="19"/>
  <c r="UJ17" i="19"/>
  <c r="K8" i="21"/>
  <c r="M8" i="21" s="1"/>
  <c r="P20" i="19"/>
  <c r="UG26" i="21"/>
  <c r="O8" i="21"/>
  <c r="O26" i="21"/>
  <c r="O4" i="21"/>
  <c r="O7" i="21"/>
  <c r="P10" i="21"/>
  <c r="P15" i="21"/>
  <c r="O9" i="21"/>
  <c r="O22" i="21"/>
  <c r="P8" i="21"/>
  <c r="O13" i="19"/>
  <c r="O17" i="19"/>
  <c r="O7" i="19"/>
  <c r="O18" i="19"/>
  <c r="O10" i="19"/>
  <c r="UG8" i="21"/>
  <c r="UG15" i="21"/>
  <c r="UG7" i="19"/>
  <c r="UG10" i="19"/>
  <c r="UG4" i="21"/>
  <c r="UG22" i="21"/>
  <c r="O15" i="21"/>
  <c r="K17" i="21"/>
  <c r="M17" i="21" s="1"/>
  <c r="K10" i="21"/>
  <c r="M10" i="21" s="1"/>
  <c r="K15" i="21"/>
  <c r="M15" i="21" s="1"/>
  <c r="K10" i="19"/>
  <c r="M10" i="19" s="1"/>
  <c r="K13" i="19"/>
  <c r="M13" i="19" s="1"/>
  <c r="K17" i="19"/>
  <c r="M17" i="19" s="1"/>
  <c r="UG10" i="21"/>
  <c r="UG20" i="19"/>
  <c r="UG4" i="19"/>
  <c r="UG13" i="19"/>
  <c r="UG18" i="19"/>
  <c r="UG5" i="19"/>
  <c r="UG17" i="19"/>
  <c r="K4" i="21"/>
  <c r="M4" i="21" s="1"/>
  <c r="UG17" i="21"/>
  <c r="UG7" i="21"/>
  <c r="K9" i="21"/>
  <c r="M9" i="21" s="1"/>
  <c r="O10" i="21"/>
  <c r="UG9" i="21"/>
  <c r="K26" i="21"/>
  <c r="M26" i="21" s="1"/>
  <c r="O17" i="21"/>
  <c r="K7" i="21"/>
  <c r="M7" i="21" s="1"/>
  <c r="K22" i="21"/>
  <c r="M22" i="21" s="1"/>
  <c r="O20" i="19"/>
  <c r="K20" i="19"/>
  <c r="M20" i="19" s="1"/>
  <c r="K18" i="19"/>
  <c r="M18" i="19" s="1"/>
  <c r="O5" i="19"/>
  <c r="K5" i="19"/>
  <c r="M5" i="19" s="1"/>
  <c r="E8" i="21" l="1"/>
  <c r="E15" i="21"/>
  <c r="E10" i="21"/>
  <c r="P17" i="21"/>
  <c r="P7" i="21"/>
  <c r="P22" i="21"/>
  <c r="P5" i="19"/>
  <c r="P26" i="21"/>
  <c r="P9" i="21"/>
  <c r="P4" i="21"/>
  <c r="E20" i="19"/>
  <c r="P18" i="19"/>
  <c r="P17" i="19"/>
  <c r="P7" i="19"/>
  <c r="P13" i="19"/>
  <c r="P10" i="19"/>
  <c r="E4" i="21" l="1"/>
  <c r="E17" i="19"/>
  <c r="E10" i="19"/>
  <c r="E22" i="21"/>
  <c r="E7" i="21"/>
  <c r="E17" i="21"/>
  <c r="E26" i="21"/>
  <c r="E9" i="21"/>
  <c r="A15" i="21" s="1" a="1"/>
  <c r="A15" i="21" s="1"/>
  <c r="E5" i="19"/>
  <c r="E18" i="19"/>
  <c r="E13" i="19"/>
  <c r="E7" i="19"/>
  <c r="A16" i="21" l="1" a="1"/>
  <c r="A16" i="21" s="1"/>
  <c r="A12" i="21" a="1"/>
  <c r="A12" i="21" s="1"/>
  <c r="A11" i="21" a="1"/>
  <c r="A11" i="21" s="1"/>
  <c r="A6" i="21" a="1"/>
  <c r="A6" i="21" s="1"/>
  <c r="A13" i="21" a="1"/>
  <c r="A13" i="21" s="1"/>
  <c r="A5" i="21" a="1"/>
  <c r="A5" i="21" s="1"/>
  <c r="A8" i="21" a="1"/>
  <c r="A8" i="21" s="1"/>
  <c r="A7" i="21" a="1"/>
  <c r="A7" i="21" s="1"/>
  <c r="A4" i="21" a="1"/>
  <c r="A4" i="21" s="1"/>
  <c r="A17" i="21" a="1"/>
  <c r="A17" i="21" s="1"/>
  <c r="A26" i="21" a="1"/>
  <c r="A26" i="21" s="1"/>
  <c r="A9" i="21" a="1"/>
  <c r="A9" i="21" s="1"/>
  <c r="A14" i="21" a="1"/>
  <c r="A14" i="21" s="1"/>
  <c r="A22" i="21" a="1"/>
  <c r="A22" i="21" s="1"/>
  <c r="A10" i="21" a="1"/>
  <c r="A10" i="21" s="1"/>
  <c r="CY11" i="4"/>
  <c r="CY4" i="4"/>
  <c r="CY13" i="4"/>
  <c r="CY22" i="4"/>
  <c r="CY25" i="4"/>
  <c r="CY9" i="4"/>
  <c r="CY21" i="4"/>
  <c r="CY10" i="4"/>
  <c r="CY8" i="4"/>
  <c r="CX8" i="4"/>
  <c r="CU8" i="4"/>
  <c r="CU4" i="4"/>
  <c r="CU13" i="4"/>
  <c r="CU22" i="4"/>
  <c r="CU25" i="4"/>
  <c r="CU9" i="4"/>
  <c r="CU21" i="4"/>
  <c r="CU10" i="4"/>
  <c r="CU11" i="4"/>
  <c r="CT11" i="4"/>
  <c r="CR8" i="4"/>
  <c r="CR4" i="4"/>
  <c r="CR13" i="4"/>
  <c r="CR22" i="4"/>
  <c r="CR25" i="4"/>
  <c r="CR9" i="4"/>
  <c r="CR21" i="4"/>
  <c r="CR10" i="4"/>
  <c r="CR11" i="4"/>
  <c r="CQ11" i="4"/>
  <c r="CQ8" i="4"/>
  <c r="CQ4" i="4"/>
  <c r="CQ13" i="4"/>
  <c r="CQ22" i="4"/>
  <c r="CQ25" i="4"/>
  <c r="CQ9" i="4"/>
  <c r="CQ21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CS10" i="4" l="1"/>
  <c r="CT10" i="4"/>
  <c r="CV10" i="4"/>
  <c r="CX10" i="4"/>
  <c r="CZ10" i="4"/>
  <c r="T10" i="4" l="1"/>
  <c r="U10" i="4" s="1"/>
  <c r="G10" i="4"/>
  <c r="I10" i="4"/>
  <c r="F10" i="4"/>
  <c r="R10" i="4"/>
  <c r="S10" i="4" s="1"/>
  <c r="N10" i="4"/>
  <c r="DB10" i="4" s="1"/>
  <c r="L10" i="4"/>
  <c r="J10" i="4"/>
  <c r="CW10" i="4"/>
  <c r="DA10" i="4" s="1"/>
  <c r="P10" i="4"/>
  <c r="DC10" i="4" s="1"/>
  <c r="CS21" i="4"/>
  <c r="CT21" i="4"/>
  <c r="CV21" i="4"/>
  <c r="CX21" i="4"/>
  <c r="CZ21" i="4"/>
  <c r="P21" i="4" s="1"/>
  <c r="DC21" i="4" s="1"/>
  <c r="CS22" i="4"/>
  <c r="CT22" i="4"/>
  <c r="CV22" i="4"/>
  <c r="CX22" i="4"/>
  <c r="CZ22" i="4"/>
  <c r="P22" i="4" s="1"/>
  <c r="DC22" i="4" s="1"/>
  <c r="T21" i="4" l="1"/>
  <c r="T22" i="4"/>
  <c r="U22" i="4" s="1"/>
  <c r="G22" i="4"/>
  <c r="F22" i="4"/>
  <c r="I22" i="4"/>
  <c r="G21" i="4"/>
  <c r="I21" i="4"/>
  <c r="F21" i="4"/>
  <c r="H10" i="4"/>
  <c r="R21" i="4"/>
  <c r="S21" i="4" s="1"/>
  <c r="U21" i="4"/>
  <c r="R22" i="4"/>
  <c r="S22" i="4" s="1"/>
  <c r="O10" i="4"/>
  <c r="V10" i="4"/>
  <c r="X10" i="4" s="1"/>
  <c r="N22" i="4"/>
  <c r="DB22" i="4" s="1"/>
  <c r="N21" i="4"/>
  <c r="DB21" i="4" s="1"/>
  <c r="K10" i="4"/>
  <c r="L22" i="4"/>
  <c r="J21" i="4"/>
  <c r="K21" i="4" s="1"/>
  <c r="J22" i="4"/>
  <c r="L21" i="4"/>
  <c r="Q21" i="4"/>
  <c r="Q22" i="4"/>
  <c r="M10" i="4"/>
  <c r="Q10" i="4"/>
  <c r="CW22" i="4"/>
  <c r="DA22" i="4" s="1"/>
  <c r="CW21" i="4"/>
  <c r="DA21" i="4" s="1"/>
  <c r="H21" i="4" l="1"/>
  <c r="A21" i="4" s="1" a="1"/>
  <c r="A21" i="4" s="1"/>
  <c r="H22" i="4"/>
  <c r="O21" i="4"/>
  <c r="V21" i="4"/>
  <c r="X21" i="4" s="1"/>
  <c r="O22" i="4"/>
  <c r="V22" i="4"/>
  <c r="X22" i="4" s="1"/>
  <c r="W10" i="4"/>
  <c r="K22" i="4"/>
  <c r="M21" i="4"/>
  <c r="M22" i="4"/>
  <c r="A22" i="4" l="1" a="1"/>
  <c r="A22" i="4" s="1"/>
  <c r="W22" i="4"/>
  <c r="W21" i="4"/>
  <c r="E10" i="4" l="1"/>
  <c r="E21" i="4"/>
  <c r="E22" i="4" l="1"/>
  <c r="CS4" i="4"/>
  <c r="CT4" i="4"/>
  <c r="CV4" i="4"/>
  <c r="CX4" i="4"/>
  <c r="CZ4" i="4"/>
  <c r="P4" i="4" s="1"/>
  <c r="DC4" i="4" s="1"/>
  <c r="CS13" i="4"/>
  <c r="CT13" i="4"/>
  <c r="CV13" i="4"/>
  <c r="CX13" i="4"/>
  <c r="CZ13" i="4"/>
  <c r="P13" i="4" s="1"/>
  <c r="DC13" i="4" s="1"/>
  <c r="CS8" i="4"/>
  <c r="CT8" i="4"/>
  <c r="T8" i="4" s="1"/>
  <c r="CV8" i="4"/>
  <c r="CZ8" i="4"/>
  <c r="P8" i="4" s="1"/>
  <c r="DC8" i="4" s="1"/>
  <c r="CS25" i="4"/>
  <c r="CT25" i="4"/>
  <c r="CV25" i="4"/>
  <c r="CX25" i="4"/>
  <c r="CZ25" i="4"/>
  <c r="P25" i="4" s="1"/>
  <c r="DC25" i="4" s="1"/>
  <c r="CS9" i="4"/>
  <c r="CT9" i="4"/>
  <c r="CV9" i="4"/>
  <c r="CX9" i="4"/>
  <c r="CZ9" i="4"/>
  <c r="P9" i="4" s="1"/>
  <c r="DC9" i="4" s="1"/>
  <c r="CV11" i="4"/>
  <c r="CS11" i="4"/>
  <c r="T4" i="4" l="1"/>
  <c r="T9" i="4"/>
  <c r="U9" i="4" s="1"/>
  <c r="T25" i="4"/>
  <c r="U25" i="4" s="1"/>
  <c r="T13" i="4"/>
  <c r="G13" i="4"/>
  <c r="F13" i="4"/>
  <c r="I13" i="4"/>
  <c r="G8" i="4"/>
  <c r="F8" i="4"/>
  <c r="I8" i="4"/>
  <c r="G25" i="4"/>
  <c r="F25" i="4"/>
  <c r="I25" i="4"/>
  <c r="G9" i="4"/>
  <c r="F9" i="4"/>
  <c r="I9" i="4"/>
  <c r="G4" i="4"/>
  <c r="I4" i="4"/>
  <c r="F4" i="4"/>
  <c r="U13" i="4"/>
  <c r="R13" i="4"/>
  <c r="S13" i="4" s="1"/>
  <c r="U4" i="4"/>
  <c r="R4" i="4"/>
  <c r="S4" i="4" s="1"/>
  <c r="R9" i="4"/>
  <c r="S9" i="4" s="1"/>
  <c r="U8" i="4"/>
  <c r="R8" i="4"/>
  <c r="S8" i="4" s="1"/>
  <c r="R25" i="4"/>
  <c r="S25" i="4" s="1"/>
  <c r="L11" i="4"/>
  <c r="N4" i="4"/>
  <c r="DB4" i="4" s="1"/>
  <c r="N9" i="4"/>
  <c r="DB9" i="4" s="1"/>
  <c r="N11" i="4"/>
  <c r="DB11" i="4" s="1"/>
  <c r="N25" i="4"/>
  <c r="DB25" i="4" s="1"/>
  <c r="N13" i="4"/>
  <c r="DB13" i="4" s="1"/>
  <c r="L8" i="4"/>
  <c r="M8" i="4" s="1"/>
  <c r="N8" i="4"/>
  <c r="DB8" i="4" s="1"/>
  <c r="J9" i="4"/>
  <c r="K9" i="4" s="1"/>
  <c r="L9" i="4"/>
  <c r="J11" i="4"/>
  <c r="L25" i="4"/>
  <c r="J25" i="4"/>
  <c r="K25" i="4" s="1"/>
  <c r="L13" i="4"/>
  <c r="J13" i="4"/>
  <c r="L4" i="4"/>
  <c r="J4" i="4"/>
  <c r="K4" i="4" s="1"/>
  <c r="J8" i="4"/>
  <c r="K8" i="4" s="1"/>
  <c r="Q9" i="4"/>
  <c r="Q25" i="4"/>
  <c r="Q8" i="4"/>
  <c r="Q4" i="4"/>
  <c r="Q13" i="4"/>
  <c r="CW25" i="4"/>
  <c r="DA25" i="4" s="1"/>
  <c r="CW13" i="4"/>
  <c r="DA13" i="4" s="1"/>
  <c r="CW4" i="4"/>
  <c r="DA4" i="4" s="1"/>
  <c r="CW11" i="4"/>
  <c r="CW8" i="4"/>
  <c r="DA8" i="4" s="1"/>
  <c r="CW9" i="4"/>
  <c r="DA9" i="4" s="1"/>
  <c r="H9" i="4" l="1"/>
  <c r="H8" i="4"/>
  <c r="H25" i="4"/>
  <c r="A25" i="4" s="1" a="1"/>
  <c r="A25" i="4" s="1"/>
  <c r="H4" i="4"/>
  <c r="H13" i="4"/>
  <c r="O8" i="4"/>
  <c r="O9" i="4"/>
  <c r="V9" i="4"/>
  <c r="X9" i="4" s="1"/>
  <c r="O4" i="4"/>
  <c r="V4" i="4"/>
  <c r="X4" i="4" s="1"/>
  <c r="O13" i="4"/>
  <c r="V13" i="4"/>
  <c r="X13" i="4" s="1"/>
  <c r="O25" i="4"/>
  <c r="V25" i="4"/>
  <c r="X25" i="4" s="1"/>
  <c r="O11" i="4"/>
  <c r="K13" i="4"/>
  <c r="M9" i="4"/>
  <c r="M11" i="4"/>
  <c r="M13" i="4"/>
  <c r="M4" i="4"/>
  <c r="M25" i="4"/>
  <c r="K11" i="4"/>
  <c r="CZ11" i="4"/>
  <c r="G11" i="4" s="1"/>
  <c r="CX11" i="4"/>
  <c r="T11" i="4" s="1"/>
  <c r="F11" i="4" l="1"/>
  <c r="H11" i="4" s="1"/>
  <c r="I11" i="4"/>
  <c r="R11" i="4"/>
  <c r="S11" i="4" s="1"/>
  <c r="U11" i="4"/>
  <c r="W9" i="4"/>
  <c r="W4" i="4"/>
  <c r="W25" i="4"/>
  <c r="W13" i="4"/>
  <c r="P11" i="4"/>
  <c r="DC11" i="4" s="1"/>
  <c r="DA11" i="4"/>
  <c r="V11" i="4" l="1"/>
  <c r="X11" i="4" s="1"/>
  <c r="Q11" i="4"/>
  <c r="W11" i="4" l="1"/>
  <c r="E9" i="4"/>
  <c r="E25" i="4" l="1"/>
  <c r="E11" i="4" l="1"/>
  <c r="E13" i="4" l="1"/>
  <c r="E4" i="4" l="1"/>
  <c r="V8" i="4" l="1"/>
  <c r="X8" i="4" s="1"/>
  <c r="W8" i="4" l="1"/>
  <c r="E8" i="4"/>
  <c r="A14" i="4" l="1" a="1"/>
  <c r="A14" i="4" s="1"/>
  <c r="A15" i="4" a="1"/>
  <c r="A15" i="4" s="1"/>
  <c r="A7" i="4" a="1"/>
  <c r="A7" i="4" s="1"/>
  <c r="A10" i="4" a="1"/>
  <c r="A10" i="4" s="1"/>
  <c r="A9" i="4" a="1"/>
  <c r="A9" i="4" s="1"/>
  <c r="A12" i="4" a="1"/>
  <c r="A12" i="4" s="1"/>
  <c r="A18" i="4" a="1"/>
  <c r="A18" i="4" s="1"/>
  <c r="A24" i="4" a="1"/>
  <c r="A24" i="4" s="1"/>
  <c r="A5" i="4" a="1"/>
  <c r="A5" i="4" s="1"/>
  <c r="A26" i="4" a="1"/>
  <c r="A26" i="4" s="1"/>
  <c r="A11" i="4" a="1"/>
  <c r="A11" i="4" s="1"/>
  <c r="A6" i="4" a="1"/>
  <c r="A6" i="4" s="1"/>
  <c r="A13" i="4" a="1"/>
  <c r="A13" i="4" s="1"/>
  <c r="A8" i="4" a="1"/>
  <c r="A8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A33" i="19" l="1" a="1"/>
  <c r="A33" i="19" s="1"/>
  <c r="A27" i="19" a="1"/>
  <c r="A27" i="19" s="1"/>
  <c r="N4" i="26" l="1"/>
  <c r="DC4" i="26" l="1"/>
  <c r="O4" i="26"/>
  <c r="F4" i="26"/>
  <c r="G4" i="26"/>
  <c r="I4" i="26"/>
  <c r="J4" i="26"/>
  <c r="L4" i="26"/>
  <c r="DB4" i="26" s="1"/>
  <c r="P4" i="26" s="1"/>
  <c r="H4" i="26" l="1"/>
  <c r="K4" i="26"/>
  <c r="M4" i="26" s="1"/>
  <c r="E4" i="26" s="1"/>
  <c r="A7" i="26" l="1" a="1"/>
  <c r="A7" i="26" s="1"/>
  <c r="A8" i="26" a="1"/>
  <c r="A8" i="26" s="1"/>
  <c r="A10" i="26" a="1"/>
  <c r="A10" i="26" s="1"/>
  <c r="A6" i="26" a="1"/>
  <c r="A6" i="26" s="1"/>
  <c r="A9" i="26" a="1"/>
  <c r="A9" i="26" s="1"/>
  <c r="A14" i="26" a="1"/>
  <c r="A14" i="26" s="1"/>
  <c r="A5" i="26" a="1"/>
  <c r="A5" i="26" s="1"/>
  <c r="A11" i="26" a="1"/>
  <c r="A11" i="26" s="1"/>
  <c r="A4" i="26" a="1"/>
  <c r="A4" i="26" s="1"/>
  <c r="D30" i="11" l="1"/>
  <c r="C26" i="11"/>
  <c r="C32" i="11"/>
  <c r="D31" i="11"/>
  <c r="C30" i="11"/>
  <c r="D32" i="11"/>
  <c r="D26" i="11"/>
  <c r="D27" i="11"/>
  <c r="C33" i="11"/>
  <c r="C31" i="11"/>
  <c r="C29" i="11"/>
  <c r="D33" i="11"/>
  <c r="D29" i="11"/>
  <c r="D28" i="11"/>
  <c r="C28" i="11"/>
  <c r="C27" i="11"/>
  <c r="K4" i="19"/>
  <c r="AT4" i="19"/>
  <c r="N4" i="19" s="1"/>
  <c r="J4" i="19"/>
  <c r="AQ4" i="19"/>
  <c r="I4" i="19" s="1"/>
  <c r="AN4" i="19"/>
  <c r="F4" i="19" s="1"/>
  <c r="AR4" i="19"/>
  <c r="AP4" i="19"/>
  <c r="AS4" i="19"/>
  <c r="AO4" i="19"/>
  <c r="G4" i="19" s="1"/>
  <c r="L4" i="19"/>
  <c r="DB4" i="19"/>
  <c r="H4" i="19" l="1"/>
  <c r="DC4" i="19"/>
  <c r="P4" i="19" s="1"/>
  <c r="O4" i="19"/>
  <c r="M4" i="19"/>
  <c r="E4" i="19" s="1"/>
  <c r="AU4" i="19"/>
  <c r="Q4" i="19" l="1"/>
  <c r="R4" i="19"/>
  <c r="A11" i="19" a="1"/>
  <c r="A11" i="19" s="1"/>
  <c r="A19" i="19" a="1"/>
  <c r="A19" i="19" s="1"/>
  <c r="A5" i="19" a="1"/>
  <c r="A5" i="19" s="1"/>
  <c r="A10" i="19" a="1"/>
  <c r="A10" i="19" s="1"/>
  <c r="A8" i="19" a="1"/>
  <c r="A8" i="19" s="1"/>
  <c r="A14" i="19" a="1"/>
  <c r="A14" i="19" s="1"/>
  <c r="A7" i="19" a="1"/>
  <c r="A7" i="19" s="1"/>
  <c r="A18" i="19" a="1"/>
  <c r="A18" i="19" s="1"/>
  <c r="A4" i="19" a="1"/>
  <c r="A4" i="19" s="1"/>
  <c r="A20" i="19" a="1"/>
  <c r="A20" i="19" s="1"/>
  <c r="A28" i="19" a="1"/>
  <c r="A28" i="19" s="1"/>
  <c r="A9" i="19" a="1"/>
  <c r="A9" i="19" s="1"/>
  <c r="A17" i="19" a="1"/>
  <c r="A17" i="19" s="1"/>
  <c r="A16" i="19" a="1"/>
  <c r="A16" i="19" s="1"/>
  <c r="A6" i="19" a="1"/>
  <c r="A6" i="19" s="1"/>
  <c r="A13" i="19" a="1"/>
  <c r="A13" i="19" s="1"/>
  <c r="A15" i="19" a="1"/>
  <c r="A15" i="19" s="1"/>
  <c r="A12" i="19" a="1"/>
  <c r="A12" i="19" s="1"/>
  <c r="D43" i="11" l="1"/>
  <c r="D42" i="11"/>
  <c r="C47" i="11"/>
  <c r="D45" i="11"/>
  <c r="C46" i="11"/>
  <c r="D47" i="11"/>
  <c r="C42" i="11"/>
  <c r="C49" i="11"/>
  <c r="D48" i="11"/>
  <c r="C48" i="11"/>
  <c r="C44" i="11"/>
  <c r="D44" i="11"/>
  <c r="C45" i="11"/>
  <c r="D49" i="11"/>
  <c r="C43" i="11"/>
  <c r="D4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<sst xmlns="http://schemas.openxmlformats.org/spreadsheetml/2006/main" count="6838" uniqueCount="274">
  <si>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</si>
  <si>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</si>
  <si>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</si>
  <si>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</si>
  <si>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</si>
  <si>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</si>
  <si>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</si>
  <si>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</si>
  <si>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</si>
  <si>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</si>
  <si>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</si>
  <si>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</si>
  <si>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</si>
  <si>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</si>
  <si>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</si>
  <si>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</si>
  <si>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</si>
  <si>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</si>
  <si>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</si>
  <si>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</si>
  <si>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</si>
  <si>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</si>
  <si>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</si>
  <si>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</si>
  <si>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</si>
  <si>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</si>
  <si>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</si>
  <si>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</si>
  <si>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</si>
  <si>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</si>
  <si>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</si>
  <si>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</si>
  <si>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</si>
  <si>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</si>
  <si>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</si>
  <si>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</si>
  <si>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</si>
  <si>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</si>
  <si>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</si>
  <si>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</si>
  <si>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</si>
  <si>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</si>
  <si>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</si>
  <si>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</si>
  <si>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</si>
  <si>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</si>
  <si>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</si>
  <si>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</si>
  <si>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</si>
  <si>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</si>
  <si>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</si>
  <si>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</si>
  <si>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</si>
  <si>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</si>
  <si>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</si>
  <si>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</si>
  <si>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</si>
  <si>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</si>
  <si>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</si>
  <si>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</si>
  <si>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</si>
  <si>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</si>
  <si>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</si>
  <si>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</si>
  <si>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</si>
  <si>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</si>
  <si>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</si>
  <si>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</si>
  <si>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</si>
  <si>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</si>
  <si>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</si>
  <si>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</si>
  <si>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</si>
  <si>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</si>
  <si>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</si>
  <si>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</si>
  <si>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</si>
  <si>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</si>
  <si>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</si>
  <si>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</si>
  <si>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</si>
  <si>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</si>
  <si>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</si>
  <si>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</si>
  <si>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</si>
  <si>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</si>
  <si>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</si>
  <si>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</si>
  <si>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</si>
  <si>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</si>
  <si>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</si>
  <si>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</si>
  <si>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</si>
  <si>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</si>
  <si>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</si>
  <si>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</si>
  <si>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</si>
  <si>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</si>
  <si>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</si>
  <si>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</si>
  <si>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</si>
  <si>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</si>
  <si>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</si>
  <si>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</si>
  <si>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</si>
  <si>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</si>
  <si>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</si>
  <si>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</si>
  <si>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</si>
  <si>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</si>
  <si>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</si>
  <si>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</si>
  <si>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</si>
  <si>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</si>
  <si>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</si>
  <si>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</si>
  <si>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</si>
  <si>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</si>
  <si>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THOMPSON, Justin</t>
  </si>
  <si>
    <t>DYKMAN, Matvey</t>
  </si>
  <si>
    <t>NEUFELD, Simon</t>
  </si>
  <si>
    <t>CLOUTIER, Étienne</t>
  </si>
  <si>
    <t>ANAKA, Ashley</t>
  </si>
  <si>
    <t>BC/ON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</si>
  <si>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</si>
  <si>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</si>
  <si>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</si>
  <si>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</si>
  <si>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</si>
  <si>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</si>
  <si>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</si>
  <si>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</si>
  <si>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</si>
  <si>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</si>
  <si>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</si>
  <si>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</si>
  <si>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</si>
  <si>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</si>
  <si>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</si>
  <si>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</si>
  <si>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</si>
  <si>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</si>
  <si>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</si>
  <si>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</si>
  <si>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</si>
  <si>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</si>
  <si>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BOWDITCH, Courtney</t>
  </si>
  <si>
    <t>MB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</si>
  <si>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</si>
  <si>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</si>
  <si>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</si>
  <si>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</si>
  <si>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</si>
  <si>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</si>
  <si>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</si>
  <si>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</si>
  <si>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</si>
  <si>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</si>
  <si>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</si>
  <si>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</si>
  <si>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LOVELL-SCHMIDT, Sydney</t>
  </si>
  <si>
    <t>2004/2006</t>
  </si>
  <si>
    <t>ADJEMIAN, Alexan</t>
  </si>
  <si>
    <t>QC/BC</t>
  </si>
  <si>
    <t>2001/1998</t>
  </si>
  <si>
    <t>FLYNN &amp; TAM</t>
  </si>
  <si>
    <t>2001/1992</t>
  </si>
  <si>
    <t>QC/AB</t>
  </si>
  <si>
    <t>AUBIN &amp; SOEHN</t>
  </si>
  <si>
    <t>2004/2003</t>
  </si>
  <si>
    <t>NEUFELD &amp; ZUREK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</si>
  <si>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</si>
  <si>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</si>
  <si>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</si>
  <si>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</si>
  <si>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</si>
  <si>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</si>
  <si>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</si>
  <si>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</si>
  <si>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</si>
  <si>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</si>
  <si>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</si>
  <si>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</si>
  <si>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2024 World Cup GER (Mar 23)</t>
  </si>
  <si>
    <t>2024 World Cup GER (Mar 22)</t>
  </si>
  <si>
    <t>2024 World Cup GER (Mar 24)</t>
  </si>
  <si>
    <t>KOOMAN, Spencer</t>
  </si>
  <si>
    <t>SMITH, Haiden</t>
  </si>
  <si>
    <t>BLAIS, Ben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</si>
  <si>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</si>
  <si>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</si>
  <si>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</si>
  <si>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</si>
  <si>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</si>
  <si>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</si>
  <si>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</si>
  <si>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</si>
  <si>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</si>
  <si>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</si>
  <si>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</si>
  <si>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</si>
  <si>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</si>
  <si>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</si>
  <si>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</si>
  <si>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</si>
  <si>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</si>
  <si>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</si>
  <si>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</si>
  <si>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</si>
  <si>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2024 Pacific Rim (April 23)</t>
  </si>
  <si>
    <t>2024 Pan Am [Club] Championships (May 19)</t>
  </si>
  <si>
    <t>2024 Pan Am Championships (May 19)</t>
  </si>
  <si>
    <t>2024 Pan Am Club Championships (May 19)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</si>
  <si>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</si>
  <si>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</si>
  <si>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</si>
  <si>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</si>
  <si>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</si>
  <si>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</si>
  <si>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</si>
  <si>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</si>
  <si>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</si>
  <si>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</si>
  <si>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</si>
  <si>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</si>
  <si>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</si>
  <si>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</si>
  <si>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</si>
  <si>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</si>
  <si>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</si>
  <si>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</si>
  <si>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</si>
  <si>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</si>
  <si>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</si>
  <si>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</si>
  <si>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2001/2003</t>
  </si>
  <si>
    <t>2004/2007</t>
  </si>
  <si>
    <t>BONNE &amp; CORRIVEAU</t>
  </si>
  <si>
    <t>2024 Olympic Games (Aug 2)</t>
  </si>
  <si>
    <t>2024 3rd Domestic Trial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</si>
  <si>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</si>
  <si>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</si>
  <si>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</si>
  <si>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</si>
  <si>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</si>
  <si>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</si>
  <si>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</si>
  <si>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</si>
  <si>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</si>
  <si>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</si>
  <si>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</si>
  <si>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</si>
  <si>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</si>
  <si>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</si>
  <si>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</si>
  <si>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</si>
  <si>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</si>
  <si>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</si>
  <si>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</si>
  <si>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</si>
  <si>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</si>
  <si>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</si>
  <si>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</si>
  <si>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</si>
  <si>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</si>
  <si>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</si>
  <si>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</si>
  <si>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</si>
  <si>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</si>
  <si>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FLYNN &amp; DODD</t>
  </si>
  <si>
    <t>QC/ON</t>
  </si>
  <si>
    <t>COOK &amp; NOGA-BARD</t>
  </si>
  <si>
    <t>2004/2005</t>
  </si>
  <si>
    <t>2005/1998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</si>
</sst>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922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DODD, Gavin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ADJEMIAN, Alexan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CLOUTIER, Étienne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AUBIN, Rémi</v>
      </c>
      <c r="D6" s="14" t="str">
        <f>IF(B6&gt;MAX('TRA-M'!A:A),"",INDEX('TRA-M'!H:H,MATCH(B6,'TRA-M'!A:A,0)))</f>
        <v>Merit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RICHARD, Dexter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DON, Alexander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CHARTIER, Jérémy</v>
      </c>
      <c r="D9" s="14" t="str">
        <f>IF(B9&gt;MAX('TRA-M'!A:A),"",INDEX('TRA-M'!H:H,MATCH(B9,'TRA-M'!A:A,0)))</f>
        <v>Excellence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BONNE, Rielle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NOGA-BARD, Kasha</v>
      </c>
      <c r="D13" s="13" t="str">
        <f>IF(B5&gt;MAX('TRA-W'!A:A),"",INDEX('TRA-W'!H:H,MATCH(B5,'TRA-W'!A:A,0)))</f>
        <v>Worlds Team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SOEHN, Kalena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hidden="1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hidden="1" x14ac:dyDescent="0.2">
      <c r="A19" s="6"/>
      <c r="B19" s="6">
        <v>2</v>
      </c>
      <c r="C19" s="6" t="str">
        <f>IF(B3&gt;MAX('SYN-M'!A:A),"",INDEX('SYN-M'!B:B,MATCH(B3,'SYN-M'!A:A,0)))</f>
        <v>CLOUTIER &amp; VIAU</v>
      </c>
      <c r="D19" s="14" t="str">
        <f>IF(B3&gt;MAX('SYN-M'!A:A),"",INDEX('SYN-M'!H:H,MATCH(B3,'SYN-M'!A:A,0)))</f>
        <v>No DD</v>
      </c>
    </row>
    <row r="20" spans="1:4" hidden="1" x14ac:dyDescent="0.2">
      <c r="A20" s="6"/>
      <c r="B20" s="6">
        <v>3</v>
      </c>
      <c r="C20" s="6" t="str">
        <f>IF(B4&gt;MAX('SYN-M'!A:A),"",INDEX('SYN-M'!B:B,MATCH(B4,'SYN-M'!A:A,0)))</f>
        <v>ADJEMIAN &amp; CLOUTIER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hidden="1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hidden="1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hidden="1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hidden="1" x14ac:dyDescent="0.2">
      <c r="A25" s="7"/>
      <c r="B25" s="7">
        <v>4</v>
      </c>
      <c r="C25" s="7" t="str">
        <f>IF(B5&gt;MAX('SYN-W'!A:A),"",INDEX('SYN-W'!B:B,MATCH(B5,'SYN-W'!A:A,0)))</f>
        <v>FLYNN &amp; TAM</v>
      </c>
      <c r="D25" s="13" t="str">
        <f>IF(B5&gt;MAX('SYN-W'!A:A),"",INDEX('SYN-W'!H:H,MATCH(B5,'SYN-W'!A:A,0)))</f>
        <v>Excellence</v>
      </c>
    </row>
    <row r="26" spans="1:4" x14ac:dyDescent="0.2">
      <c r="A26" s="6" t="s">
        <v>44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CANUEL, Victor</v>
      </c>
      <c r="D27" s="14" t="str">
        <f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PEDERSEN, Mitchel</v>
      </c>
      <c r="D28" s="14" t="str">
        <f>IF(B4&gt;MAX('TUM-M'!A:A),"",INDEX('TUM-M'!H:H,MATCH(B4,'TUM-M'!A:A,0)))</f>
        <v>National Team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PINSK, Benjamin</v>
      </c>
      <c r="D29" s="14" t="str">
        <f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VIAU, Nathan</v>
      </c>
      <c r="D30" s="14" t="str">
        <f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STANNARD, Adam</v>
      </c>
      <c r="D31" s="14" t="str">
        <f>IF(B7&gt;MAX('TUM-M'!A:A),"",INDEX('TUM-M'!H:H,MATCH(B7,'TUM-M'!A:A,0)))</f>
        <v>Worlds Team</v>
      </c>
    </row>
    <row r="32" spans="1:4" x14ac:dyDescent="0.2">
      <c r="A32" s="6"/>
      <c r="B32" s="6">
        <v>7</v>
      </c>
      <c r="C32" s="6" t="str">
        <f>IF(B8&gt;MAX('TUM-M'!A:A),"",INDEX('TUM-M'!B:B,MATCH(B8,'TUM-M'!A:A,0)))</f>
        <v>GIBBS, Gavin</v>
      </c>
      <c r="D32" s="14" t="str">
        <f>IF(B8&gt;MAX('TUM-M'!A:A),"",INDEX('TUM-M'!H:H,MATCH(B8,'TUM-M'!A:A,0)))</f>
        <v>National Team</v>
      </c>
    </row>
    <row r="33" spans="1:4" x14ac:dyDescent="0.2">
      <c r="A33" s="6"/>
      <c r="B33" s="6">
        <v>8</v>
      </c>
      <c r="C33" s="6" t="str">
        <f>IF(B9&gt;MAX('TUM-M'!A:A),"",INDEX('TUM-M'!B:B,MATCH(B9,'TUM-M'!A:A,0)))</f>
        <v>NEUFELD, Simon</v>
      </c>
      <c r="D33" s="14" t="str">
        <f>IF(B9&gt;MAX('TUM-M'!A:A),"",INDEX('TUM-M'!H:H,MATCH(B9,'TUM-M'!A:A,0)))</f>
        <v>Worlds Team</v>
      </c>
    </row>
    <row r="34" spans="1:4" x14ac:dyDescent="0.2">
      <c r="A34" s="7" t="s">
        <v>45</v>
      </c>
      <c r="B34" s="7">
        <v>1</v>
      </c>
      <c r="C34" s="7" t="str">
        <f>IF(B2&gt;MAX('TUM-W'!A:A),"",INDEX('TUM-W'!B:B,MATCH(B2,'TUM-W'!A:A,0)))</f>
        <v>BERGER, Ophélie</v>
      </c>
      <c r="D34" s="13" t="str">
        <f>IF(B2&gt;MAX('TUM-W'!A:A),"",INDEX('TUM-W'!H:H,MATCH(B2,'TUM-W'!A:A,0)))</f>
        <v>Excellence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Excellence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PILLINGER, Taylor</v>
      </c>
      <c r="D36" s="13" t="str">
        <f>IF(B4&gt;MAX('TUM-W'!A:A),"",INDEX('TUM-W'!H:H,MATCH(B4,'TUM-W'!A:A,0)))</f>
        <v>National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MOORE, Sara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BOWDITCH, Courtney</v>
      </c>
      <c r="D39" s="13" t="str">
        <f>IF(B7&gt;MAX('TUM-W'!A:A),"",INDEX('TUM-W'!H:H,MATCH(B7,'TUM-W'!A:A,0)))</f>
        <v>Worlds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PECK, Rachel</v>
      </c>
      <c r="D40" s="13" t="str">
        <f>IF(B8&gt;MAX('TUM-W'!A:A),"",INDEX('TUM-W'!H:H,MATCH(B8,'TUM-W'!A:A,0)))</f>
        <v>National Team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NEWMAN, Olivia</v>
      </c>
      <c r="D41" s="13" t="str">
        <f>IF(B9&gt;MAX('TUM-W'!A:A),"",INDEX('TUM-W'!H:H,MATCH(B9,'TUM-W'!A:A,0)))</f>
        <v>National Team</v>
      </c>
    </row>
    <row r="42" spans="1:4" x14ac:dyDescent="0.2">
      <c r="A42" s="6" t="s">
        <v>46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LUPISH, Kieran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BLOOM, Tristan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NEUFELD, Simon</v>
      </c>
      <c r="D45" s="14" t="str">
        <f>IF(B5&gt;MAX('DMT-M'!A:A),"",INDEX('DMT-M'!H:H,MATCH(B5,'DMT-M'!A:A,0)))</f>
        <v>National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MALLAIS, Rylan</v>
      </c>
      <c r="D46" s="14" t="str">
        <f>IF(B6&gt;MAX('DMT-M'!A:A),"",INDEX('DMT-M'!H:H,MATCH(B6,'DMT-M'!A:A,0)))</f>
        <v>Excellence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ROBERTSON, Griffyn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ZUREK, Nolan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VIAU, Nathan</v>
      </c>
      <c r="D49" s="14" t="str">
        <f>IF(B9&gt;MAX('DMT-M'!A:A),"",INDEX('DMT-M'!H:H,MATCH(B9,'DMT-M'!A:A,0)))</f>
        <v>Worlds Team</v>
      </c>
    </row>
    <row r="50" spans="1:5" x14ac:dyDescent="0.2">
      <c r="A50" s="7" t="s">
        <v>47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OLSEN, Brooklyn</v>
      </c>
      <c r="D52" s="13" t="str">
        <f>IF(B4&gt;MAX('DMT-W'!A:A),"",INDEX('DMT-W'!H:H,MATCH(B4,'DMT-W'!A:A,0)))</f>
        <v>Excellence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SOEHN, Kalena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DODD, Kristina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PHANEUF, Zoe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HOWELL, Kayla</v>
      </c>
      <c r="D56" s="13" t="str">
        <f>IF(B8&gt;MAX('DMT-W'!A:A),"",INDEX('DMT-W'!H:H,MATCH(B8,'DMT-W'!A:A,0)))</f>
        <v>Merit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WAX, Sophie</v>
      </c>
      <c r="D57" s="13" t="str">
        <f>IF(B9&gt;MAX('DMT-W'!A:A),"",INDEX('DMT-W'!H:H,MATCH(B9,'DMT-W'!A:A,0)))</f>
        <v>Worlds Team</v>
      </c>
    </row>
    <row r="58" spans="1:5" x14ac:dyDescent="0.2">
      <c r="D58" s="36"/>
    </row>
    <row r="59" spans="1:5" x14ac:dyDescent="0.2">
      <c r="B59" t="s">
        <v>35</v>
      </c>
    </row>
    <row r="60" spans="1:5" x14ac:dyDescent="0.2">
      <c r="B60" t="s">
        <v>33</v>
      </c>
    </row>
    <row r="61" spans="1:5" x14ac:dyDescent="0.2">
      <c r="B61" t="s">
        <v>34</v>
      </c>
    </row>
    <row r="62" spans="1:5" x14ac:dyDescent="0.2">
      <c r="B62" s="12" t="s">
        <v>58</v>
      </c>
      <c r="D62" t="s">
        <v>56</v>
      </c>
    </row>
    <row r="63" spans="1:5" x14ac:dyDescent="0.2">
      <c r="B63" s="12" t="s">
        <v>67</v>
      </c>
      <c r="D63" t="s">
        <v>56</v>
      </c>
      <c r="E63" t="s">
        <v>56</v>
      </c>
    </row>
    <row r="64" spans="1:5" x14ac:dyDescent="0.2">
      <c r="B64" t="s">
        <v>57</v>
      </c>
    </row>
    <row r="65" spans="1:3" x14ac:dyDescent="0.2">
      <c r="B65" t="s">
        <v>68</v>
      </c>
    </row>
    <row r="66" spans="1:3" x14ac:dyDescent="0.2">
      <c r="A66" t="s">
        <v>40</v>
      </c>
      <c r="B66" s="63">
        <v>45735</v>
      </c>
      <c r="C66" s="63"/>
    </row>
    <row r="67" spans="1:3" x14ac:dyDescent="0.2">
      <c r="B67" t="s">
        <v>249</v>
      </c>
    </row>
  </sheetData>
  <sheetProtection formatCells="0" formatColumns="0" formatRows="0"/>
  <mergeCells count="1">
    <mergeCell ref="B66:C66"/>
  </mergeCells>
  <conditionalFormatting sqref="D2:D57">
    <cfRule type="containsText" dxfId="921" priority="1" operator="containsText" text="No DD">
      <formula>NOT(ISERROR(SEARCH("No DD",D2)))</formula>
    </cfRule>
    <cfRule type="containsText" dxfId="920" priority="4" operator="containsText" text="Merit">
      <formula>NOT(ISERROR(SEARCH("Merit",D2)))</formula>
    </cfRule>
    <cfRule type="containsText" dxfId="919" priority="5" operator="containsText" text="Excellence">
      <formula>NOT(ISERROR(SEARCH("Excellence",D2)))</formula>
    </cfRule>
    <cfRule type="containsText" dxfId="918" priority="6" operator="containsText" text="Worlds Team">
      <formula>NOT(ISERROR(SEARCH("Worlds Team",D2)))</formula>
    </cfRule>
    <cfRule type="containsText" dxfId="91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"Select,TRA-M,TRA-W,SYN-M,SYN-W,SYN-X,TUM-M,TUM-W,DMT-M,DMT-W"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92</v>
      </c>
      <c r="K1" s="69" t="s">
        <v>30</v>
      </c>
      <c r="L1" s="71" t="s">
        <v>93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69" t="s">
        <v>94</v>
      </c>
      <c r="S1" s="69" t="s">
        <v>30</v>
      </c>
      <c r="T1" s="71" t="s">
        <v>95</v>
      </c>
      <c r="U1" s="69" t="s">
        <v>30</v>
      </c>
      <c r="V1" s="73" t="s">
        <v>13</v>
      </c>
      <c r="W1" s="69" t="s">
        <v>31</v>
      </c>
      <c r="X1" s="69" t="s">
        <v>30</v>
      </c>
      <c r="Y1" s="64" t="s">
        <v>220</v>
      </c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7" t="s">
        <v>239</v>
      </c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249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13</v>
      </c>
      <c r="DC1" s="68"/>
      <c r="DD1" s="64" t="s">
        <v>184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7" t="s">
        <v>209</v>
      </c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7"/>
      <c r="FS1" s="67"/>
      <c r="FT1" s="64" t="s">
        <v>211</v>
      </c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7" t="s">
        <v>212</v>
      </c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4" t="s">
        <v>228</v>
      </c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7" t="s">
        <v>233</v>
      </c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7"/>
      <c r="KY1" s="67"/>
      <c r="KZ1" s="64" t="s">
        <v>232</v>
      </c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7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7"/>
      <c r="VE1" s="67"/>
      <c r="VF1" s="67"/>
      <c r="VG1" s="67"/>
      <c r="VH1" s="67"/>
      <c r="VI1" s="67"/>
      <c r="VJ1" s="67"/>
      <c r="VK1" s="67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4"/>
      <c r="WM1" s="64"/>
      <c r="WN1" s="64"/>
      <c r="WO1" s="64"/>
      <c r="WP1" s="64"/>
      <c r="WQ1" s="64"/>
      <c r="WR1" s="64"/>
      <c r="WS1" s="64"/>
      <c r="WT1" s="67" t="s">
        <v>64</v>
      </c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  <c r="XM1" s="67"/>
      <c r="XN1" s="67"/>
      <c r="XO1" s="67"/>
      <c r="XP1" s="67"/>
      <c r="XQ1" s="67"/>
      <c r="XR1" s="67"/>
      <c r="XS1" s="67"/>
      <c r="XT1" s="67"/>
    </row>
    <row r="2" spans="1:644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1"/>
      <c r="O2" s="69"/>
      <c r="P2" s="69"/>
      <c r="Q2" s="69"/>
      <c r="R2" s="69"/>
      <c r="S2" s="69"/>
      <c r="T2" s="71"/>
      <c r="U2" s="69"/>
      <c r="V2" s="73"/>
      <c r="W2" s="69"/>
      <c r="X2" s="69"/>
      <c r="Y2" s="65" t="s">
        <v>18</v>
      </c>
      <c r="Z2" s="65"/>
      <c r="AA2" s="65"/>
      <c r="AB2" s="65"/>
      <c r="AC2" s="65"/>
      <c r="AD2" s="65" t="s">
        <v>19</v>
      </c>
      <c r="AE2" s="65"/>
      <c r="AF2" s="65"/>
      <c r="AG2" s="65"/>
      <c r="AH2" s="65"/>
      <c r="AI2" s="65" t="s">
        <v>22</v>
      </c>
      <c r="AJ2" s="65"/>
      <c r="AK2" s="65"/>
      <c r="AL2" s="65"/>
      <c r="AM2" s="65"/>
      <c r="AN2" s="14"/>
      <c r="AO2" s="14" t="s">
        <v>96</v>
      </c>
      <c r="AP2" s="14" t="s">
        <v>97</v>
      </c>
      <c r="AQ2" s="14" t="s">
        <v>20</v>
      </c>
      <c r="AR2" s="14" t="s">
        <v>77</v>
      </c>
      <c r="AS2" s="14" t="s">
        <v>98</v>
      </c>
      <c r="AT2" s="14" t="s">
        <v>21</v>
      </c>
      <c r="AU2" s="14" t="s">
        <v>23</v>
      </c>
      <c r="AV2" s="14" t="s">
        <v>99</v>
      </c>
      <c r="AW2" s="14" t="s">
        <v>100</v>
      </c>
      <c r="AX2" s="14" t="s">
        <v>22</v>
      </c>
      <c r="AY2" s="14" t="s">
        <v>17</v>
      </c>
      <c r="AZ2" s="66" t="s">
        <v>18</v>
      </c>
      <c r="BA2" s="66"/>
      <c r="BB2" s="66"/>
      <c r="BC2" s="66"/>
      <c r="BD2" s="66"/>
      <c r="BE2" s="66" t="s">
        <v>19</v>
      </c>
      <c r="BF2" s="66"/>
      <c r="BG2" s="66"/>
      <c r="BH2" s="66"/>
      <c r="BI2" s="66"/>
      <c r="BJ2" s="66" t="s">
        <v>22</v>
      </c>
      <c r="BK2" s="66"/>
      <c r="BL2" s="66"/>
      <c r="BM2" s="66"/>
      <c r="BN2" s="66"/>
      <c r="BO2" s="13"/>
      <c r="BP2" s="13" t="s">
        <v>96</v>
      </c>
      <c r="BQ2" s="13" t="s">
        <v>97</v>
      </c>
      <c r="BR2" s="13" t="s">
        <v>20</v>
      </c>
      <c r="BS2" s="13" t="s">
        <v>77</v>
      </c>
      <c r="BT2" s="13" t="s">
        <v>98</v>
      </c>
      <c r="BU2" s="13" t="s">
        <v>21</v>
      </c>
      <c r="BV2" s="13" t="s">
        <v>23</v>
      </c>
      <c r="BW2" s="13" t="s">
        <v>99</v>
      </c>
      <c r="BX2" s="13" t="s">
        <v>100</v>
      </c>
      <c r="BY2" s="13" t="s">
        <v>22</v>
      </c>
      <c r="BZ2" s="13" t="s">
        <v>17</v>
      </c>
      <c r="CA2" s="65" t="s">
        <v>18</v>
      </c>
      <c r="CB2" s="65"/>
      <c r="CC2" s="65"/>
      <c r="CD2" s="65"/>
      <c r="CE2" s="65"/>
      <c r="CF2" s="65" t="s">
        <v>19</v>
      </c>
      <c r="CG2" s="65"/>
      <c r="CH2" s="65"/>
      <c r="CI2" s="65"/>
      <c r="CJ2" s="65"/>
      <c r="CK2" s="65" t="s">
        <v>22</v>
      </c>
      <c r="CL2" s="65"/>
      <c r="CM2" s="65"/>
      <c r="CN2" s="65"/>
      <c r="CO2" s="65"/>
      <c r="CP2" s="14"/>
      <c r="CQ2" s="14" t="s">
        <v>96</v>
      </c>
      <c r="CR2" s="14" t="s">
        <v>97</v>
      </c>
      <c r="CS2" s="14" t="s">
        <v>20</v>
      </c>
      <c r="CT2" s="14" t="s">
        <v>77</v>
      </c>
      <c r="CU2" s="14" t="s">
        <v>98</v>
      </c>
      <c r="CV2" s="14" t="s">
        <v>21</v>
      </c>
      <c r="CW2" s="14" t="s">
        <v>23</v>
      </c>
      <c r="CX2" s="14" t="s">
        <v>99</v>
      </c>
      <c r="CY2" s="14" t="s">
        <v>100</v>
      </c>
      <c r="CZ2" s="14" t="s">
        <v>22</v>
      </c>
      <c r="DA2" s="14" t="s">
        <v>17</v>
      </c>
      <c r="DB2" s="50" t="s">
        <v>23</v>
      </c>
      <c r="DC2" s="50" t="s">
        <v>22</v>
      </c>
      <c r="DD2" s="65" t="s">
        <v>18</v>
      </c>
      <c r="DE2" s="65"/>
      <c r="DF2" s="65"/>
      <c r="DG2" s="65"/>
      <c r="DH2" s="65"/>
      <c r="DI2" s="65" t="s">
        <v>19</v>
      </c>
      <c r="DJ2" s="65"/>
      <c r="DK2" s="65"/>
      <c r="DL2" s="65"/>
      <c r="DM2" s="65"/>
      <c r="DN2" s="65" t="s">
        <v>101</v>
      </c>
      <c r="DO2" s="65"/>
      <c r="DP2" s="65"/>
      <c r="DQ2" s="65"/>
      <c r="DR2" s="65"/>
      <c r="DS2" s="65" t="s">
        <v>22</v>
      </c>
      <c r="DT2" s="65"/>
      <c r="DU2" s="65"/>
      <c r="DV2" s="65"/>
      <c r="DW2" s="65"/>
      <c r="DX2" s="14" t="s">
        <v>96</v>
      </c>
      <c r="DY2" s="14" t="s">
        <v>97</v>
      </c>
      <c r="DZ2" s="14" t="s">
        <v>20</v>
      </c>
      <c r="EA2" s="14" t="s">
        <v>77</v>
      </c>
      <c r="EB2" s="14" t="s">
        <v>98</v>
      </c>
      <c r="EC2" s="14" t="s">
        <v>21</v>
      </c>
      <c r="ED2" s="14" t="s">
        <v>23</v>
      </c>
      <c r="EE2" s="14" t="s">
        <v>102</v>
      </c>
      <c r="EF2" s="14" t="s">
        <v>103</v>
      </c>
      <c r="EG2" s="14" t="s">
        <v>101</v>
      </c>
      <c r="EH2" s="14" t="s">
        <v>99</v>
      </c>
      <c r="EI2" s="14" t="s">
        <v>100</v>
      </c>
      <c r="EJ2" s="14" t="s">
        <v>22</v>
      </c>
      <c r="EK2" s="14" t="s">
        <v>17</v>
      </c>
      <c r="EL2" s="66" t="s">
        <v>18</v>
      </c>
      <c r="EM2" s="66"/>
      <c r="EN2" s="66"/>
      <c r="EO2" s="66"/>
      <c r="EP2" s="66"/>
      <c r="EQ2" s="66" t="s">
        <v>19</v>
      </c>
      <c r="ER2" s="66"/>
      <c r="ES2" s="66"/>
      <c r="ET2" s="66"/>
      <c r="EU2" s="66"/>
      <c r="EV2" s="66" t="s">
        <v>101</v>
      </c>
      <c r="EW2" s="66"/>
      <c r="EX2" s="66"/>
      <c r="EY2" s="66"/>
      <c r="EZ2" s="66"/>
      <c r="FA2" s="66" t="s">
        <v>22</v>
      </c>
      <c r="FB2" s="66"/>
      <c r="FC2" s="66"/>
      <c r="FD2" s="66"/>
      <c r="FE2" s="66"/>
      <c r="FF2" s="13" t="s">
        <v>96</v>
      </c>
      <c r="FG2" s="13" t="s">
        <v>97</v>
      </c>
      <c r="FH2" s="13" t="s">
        <v>20</v>
      </c>
      <c r="FI2" s="13" t="s">
        <v>77</v>
      </c>
      <c r="FJ2" s="13" t="s">
        <v>98</v>
      </c>
      <c r="FK2" s="13" t="s">
        <v>21</v>
      </c>
      <c r="FL2" s="13" t="s">
        <v>23</v>
      </c>
      <c r="FM2" s="13" t="s">
        <v>102</v>
      </c>
      <c r="FN2" s="13" t="s">
        <v>103</v>
      </c>
      <c r="FO2" s="13" t="s">
        <v>101</v>
      </c>
      <c r="FP2" s="13" t="s">
        <v>99</v>
      </c>
      <c r="FQ2" s="13" t="s">
        <v>100</v>
      </c>
      <c r="FR2" s="13" t="s">
        <v>22</v>
      </c>
      <c r="FS2" s="13" t="s">
        <v>17</v>
      </c>
      <c r="FT2" s="65" t="s">
        <v>18</v>
      </c>
      <c r="FU2" s="65"/>
      <c r="FV2" s="65"/>
      <c r="FW2" s="65"/>
      <c r="FX2" s="65"/>
      <c r="FY2" s="65" t="s">
        <v>19</v>
      </c>
      <c r="FZ2" s="65"/>
      <c r="GA2" s="65"/>
      <c r="GB2" s="65"/>
      <c r="GC2" s="65"/>
      <c r="GD2" s="65" t="s">
        <v>101</v>
      </c>
      <c r="GE2" s="65"/>
      <c r="GF2" s="65"/>
      <c r="GG2" s="65"/>
      <c r="GH2" s="65"/>
      <c r="GI2" s="65" t="s">
        <v>22</v>
      </c>
      <c r="GJ2" s="65"/>
      <c r="GK2" s="65"/>
      <c r="GL2" s="65"/>
      <c r="GM2" s="65"/>
      <c r="GN2" s="14" t="s">
        <v>96</v>
      </c>
      <c r="GO2" s="14" t="s">
        <v>97</v>
      </c>
      <c r="GP2" s="14" t="s">
        <v>20</v>
      </c>
      <c r="GQ2" s="14" t="s">
        <v>77</v>
      </c>
      <c r="GR2" s="14" t="s">
        <v>98</v>
      </c>
      <c r="GS2" s="14" t="s">
        <v>21</v>
      </c>
      <c r="GT2" s="14" t="s">
        <v>23</v>
      </c>
      <c r="GU2" s="14" t="s">
        <v>102</v>
      </c>
      <c r="GV2" s="14" t="s">
        <v>103</v>
      </c>
      <c r="GW2" s="14" t="s">
        <v>101</v>
      </c>
      <c r="GX2" s="14" t="s">
        <v>99</v>
      </c>
      <c r="GY2" s="14" t="s">
        <v>100</v>
      </c>
      <c r="GZ2" s="14" t="s">
        <v>22</v>
      </c>
      <c r="HA2" s="14" t="s">
        <v>17</v>
      </c>
      <c r="HB2" s="66" t="s">
        <v>18</v>
      </c>
      <c r="HC2" s="66"/>
      <c r="HD2" s="66"/>
      <c r="HE2" s="66"/>
      <c r="HF2" s="66"/>
      <c r="HG2" s="66" t="s">
        <v>19</v>
      </c>
      <c r="HH2" s="66"/>
      <c r="HI2" s="66"/>
      <c r="HJ2" s="66"/>
      <c r="HK2" s="66"/>
      <c r="HL2" s="66" t="s">
        <v>101</v>
      </c>
      <c r="HM2" s="66"/>
      <c r="HN2" s="66"/>
      <c r="HO2" s="66"/>
      <c r="HP2" s="66"/>
      <c r="HQ2" s="66" t="s">
        <v>22</v>
      </c>
      <c r="HR2" s="66"/>
      <c r="HS2" s="66"/>
      <c r="HT2" s="66"/>
      <c r="HU2" s="66"/>
      <c r="HV2" s="13" t="s">
        <v>96</v>
      </c>
      <c r="HW2" s="13" t="s">
        <v>97</v>
      </c>
      <c r="HX2" s="13" t="s">
        <v>20</v>
      </c>
      <c r="HY2" s="13" t="s">
        <v>77</v>
      </c>
      <c r="HZ2" s="13" t="s">
        <v>98</v>
      </c>
      <c r="IA2" s="13" t="s">
        <v>21</v>
      </c>
      <c r="IB2" s="13" t="s">
        <v>23</v>
      </c>
      <c r="IC2" s="13" t="s">
        <v>102</v>
      </c>
      <c r="ID2" s="13" t="s">
        <v>103</v>
      </c>
      <c r="IE2" s="13" t="s">
        <v>101</v>
      </c>
      <c r="IF2" s="13" t="s">
        <v>99</v>
      </c>
      <c r="IG2" s="13" t="s">
        <v>100</v>
      </c>
      <c r="IH2" s="13" t="s">
        <v>22</v>
      </c>
      <c r="II2" s="13" t="s">
        <v>17</v>
      </c>
      <c r="IJ2" s="65" t="s">
        <v>18</v>
      </c>
      <c r="IK2" s="65"/>
      <c r="IL2" s="65"/>
      <c r="IM2" s="65"/>
      <c r="IN2" s="65"/>
      <c r="IO2" s="65" t="s">
        <v>19</v>
      </c>
      <c r="IP2" s="65"/>
      <c r="IQ2" s="65"/>
      <c r="IR2" s="65"/>
      <c r="IS2" s="65"/>
      <c r="IT2" s="65" t="s">
        <v>101</v>
      </c>
      <c r="IU2" s="65"/>
      <c r="IV2" s="65"/>
      <c r="IW2" s="65"/>
      <c r="IX2" s="65"/>
      <c r="IY2" s="65" t="s">
        <v>22</v>
      </c>
      <c r="IZ2" s="65"/>
      <c r="JA2" s="65"/>
      <c r="JB2" s="65"/>
      <c r="JC2" s="65"/>
      <c r="JD2" s="14" t="s">
        <v>96</v>
      </c>
      <c r="JE2" s="14" t="s">
        <v>97</v>
      </c>
      <c r="JF2" s="14" t="s">
        <v>20</v>
      </c>
      <c r="JG2" s="14" t="s">
        <v>77</v>
      </c>
      <c r="JH2" s="14" t="s">
        <v>98</v>
      </c>
      <c r="JI2" s="14" t="s">
        <v>21</v>
      </c>
      <c r="JJ2" s="14" t="s">
        <v>23</v>
      </c>
      <c r="JK2" s="14" t="s">
        <v>102</v>
      </c>
      <c r="JL2" s="14" t="s">
        <v>103</v>
      </c>
      <c r="JM2" s="14" t="s">
        <v>101</v>
      </c>
      <c r="JN2" s="14" t="s">
        <v>99</v>
      </c>
      <c r="JO2" s="14" t="s">
        <v>100</v>
      </c>
      <c r="JP2" s="14" t="s">
        <v>22</v>
      </c>
      <c r="JQ2" s="14" t="s">
        <v>17</v>
      </c>
      <c r="JR2" s="66" t="s">
        <v>18</v>
      </c>
      <c r="JS2" s="66"/>
      <c r="JT2" s="66"/>
      <c r="JU2" s="66"/>
      <c r="JV2" s="66"/>
      <c r="JW2" s="66" t="s">
        <v>19</v>
      </c>
      <c r="JX2" s="66"/>
      <c r="JY2" s="66"/>
      <c r="JZ2" s="66"/>
      <c r="KA2" s="66"/>
      <c r="KB2" s="66" t="s">
        <v>101</v>
      </c>
      <c r="KC2" s="66"/>
      <c r="KD2" s="66"/>
      <c r="KE2" s="66"/>
      <c r="KF2" s="66"/>
      <c r="KG2" s="66" t="s">
        <v>22</v>
      </c>
      <c r="KH2" s="66"/>
      <c r="KI2" s="66"/>
      <c r="KJ2" s="66"/>
      <c r="KK2" s="66"/>
      <c r="KL2" s="13" t="s">
        <v>96</v>
      </c>
      <c r="KM2" s="13" t="s">
        <v>97</v>
      </c>
      <c r="KN2" s="13" t="s">
        <v>20</v>
      </c>
      <c r="KO2" s="13" t="s">
        <v>77</v>
      </c>
      <c r="KP2" s="13" t="s">
        <v>98</v>
      </c>
      <c r="KQ2" s="13" t="s">
        <v>21</v>
      </c>
      <c r="KR2" s="13" t="s">
        <v>23</v>
      </c>
      <c r="KS2" s="13" t="s">
        <v>102</v>
      </c>
      <c r="KT2" s="13" t="s">
        <v>103</v>
      </c>
      <c r="KU2" s="13" t="s">
        <v>101</v>
      </c>
      <c r="KV2" s="13" t="s">
        <v>99</v>
      </c>
      <c r="KW2" s="13" t="s">
        <v>100</v>
      </c>
      <c r="KX2" s="13" t="s">
        <v>22</v>
      </c>
      <c r="KY2" s="13" t="s">
        <v>17</v>
      </c>
      <c r="KZ2" s="65" t="s">
        <v>18</v>
      </c>
      <c r="LA2" s="65"/>
      <c r="LB2" s="65"/>
      <c r="LC2" s="65"/>
      <c r="LD2" s="65"/>
      <c r="LE2" s="65" t="s">
        <v>19</v>
      </c>
      <c r="LF2" s="65"/>
      <c r="LG2" s="65"/>
      <c r="LH2" s="65"/>
      <c r="LI2" s="65"/>
      <c r="LJ2" s="65" t="s">
        <v>101</v>
      </c>
      <c r="LK2" s="65"/>
      <c r="LL2" s="65"/>
      <c r="LM2" s="65"/>
      <c r="LN2" s="65"/>
      <c r="LO2" s="65" t="s">
        <v>22</v>
      </c>
      <c r="LP2" s="65"/>
      <c r="LQ2" s="65"/>
      <c r="LR2" s="65"/>
      <c r="LS2" s="65"/>
      <c r="LT2" s="14" t="s">
        <v>96</v>
      </c>
      <c r="LU2" s="14" t="s">
        <v>97</v>
      </c>
      <c r="LV2" s="14" t="s">
        <v>20</v>
      </c>
      <c r="LW2" s="14" t="s">
        <v>77</v>
      </c>
      <c r="LX2" s="14" t="s">
        <v>98</v>
      </c>
      <c r="LY2" s="14" t="s">
        <v>21</v>
      </c>
      <c r="LZ2" s="14" t="s">
        <v>23</v>
      </c>
      <c r="MA2" s="14" t="s">
        <v>102</v>
      </c>
      <c r="MB2" s="14" t="s">
        <v>103</v>
      </c>
      <c r="MC2" s="14" t="s">
        <v>101</v>
      </c>
      <c r="MD2" s="14" t="s">
        <v>99</v>
      </c>
      <c r="ME2" s="14" t="s">
        <v>100</v>
      </c>
      <c r="MF2" s="14" t="s">
        <v>22</v>
      </c>
      <c r="MG2" s="14" t="s">
        <v>17</v>
      </c>
      <c r="MH2" s="66" t="s">
        <v>18</v>
      </c>
      <c r="MI2" s="66"/>
      <c r="MJ2" s="66"/>
      <c r="MK2" s="66"/>
      <c r="ML2" s="66"/>
      <c r="MM2" s="66" t="s">
        <v>19</v>
      </c>
      <c r="MN2" s="66"/>
      <c r="MO2" s="66"/>
      <c r="MP2" s="66"/>
      <c r="MQ2" s="66"/>
      <c r="MR2" s="66" t="s">
        <v>101</v>
      </c>
      <c r="MS2" s="66"/>
      <c r="MT2" s="66"/>
      <c r="MU2" s="66"/>
      <c r="MV2" s="66"/>
      <c r="MW2" s="66" t="s">
        <v>22</v>
      </c>
      <c r="MX2" s="66"/>
      <c r="MY2" s="66"/>
      <c r="MZ2" s="66"/>
      <c r="NA2" s="66"/>
      <c r="NB2" s="13" t="s">
        <v>96</v>
      </c>
      <c r="NC2" s="13" t="s">
        <v>97</v>
      </c>
      <c r="ND2" s="13" t="s">
        <v>20</v>
      </c>
      <c r="NE2" s="13" t="s">
        <v>77</v>
      </c>
      <c r="NF2" s="13" t="s">
        <v>98</v>
      </c>
      <c r="NG2" s="13" t="s">
        <v>21</v>
      </c>
      <c r="NH2" s="13" t="s">
        <v>23</v>
      </c>
      <c r="NI2" s="13" t="s">
        <v>102</v>
      </c>
      <c r="NJ2" s="13" t="s">
        <v>103</v>
      </c>
      <c r="NK2" s="13" t="s">
        <v>101</v>
      </c>
      <c r="NL2" s="13" t="s">
        <v>99</v>
      </c>
      <c r="NM2" s="13" t="s">
        <v>100</v>
      </c>
      <c r="NN2" s="13" t="s">
        <v>22</v>
      </c>
      <c r="NO2" s="13" t="s">
        <v>17</v>
      </c>
      <c r="NP2" s="65" t="s">
        <v>18</v>
      </c>
      <c r="NQ2" s="65"/>
      <c r="NR2" s="65"/>
      <c r="NS2" s="65"/>
      <c r="NT2" s="65"/>
      <c r="NU2" s="65" t="s">
        <v>19</v>
      </c>
      <c r="NV2" s="65"/>
      <c r="NW2" s="65"/>
      <c r="NX2" s="65"/>
      <c r="NY2" s="65"/>
      <c r="NZ2" s="65" t="s">
        <v>101</v>
      </c>
      <c r="OA2" s="65"/>
      <c r="OB2" s="65"/>
      <c r="OC2" s="65"/>
      <c r="OD2" s="65"/>
      <c r="OE2" s="65" t="s">
        <v>22</v>
      </c>
      <c r="OF2" s="65"/>
      <c r="OG2" s="65"/>
      <c r="OH2" s="65"/>
      <c r="OI2" s="65"/>
      <c r="OJ2" s="14" t="s">
        <v>96</v>
      </c>
      <c r="OK2" s="14" t="s">
        <v>97</v>
      </c>
      <c r="OL2" s="14" t="s">
        <v>20</v>
      </c>
      <c r="OM2" s="14" t="s">
        <v>77</v>
      </c>
      <c r="ON2" s="14" t="s">
        <v>98</v>
      </c>
      <c r="OO2" s="14" t="s">
        <v>21</v>
      </c>
      <c r="OP2" s="14" t="s">
        <v>23</v>
      </c>
      <c r="OQ2" s="14" t="s">
        <v>102</v>
      </c>
      <c r="OR2" s="14" t="s">
        <v>103</v>
      </c>
      <c r="OS2" s="14" t="s">
        <v>101</v>
      </c>
      <c r="OT2" s="14" t="s">
        <v>99</v>
      </c>
      <c r="OU2" s="14" t="s">
        <v>100</v>
      </c>
      <c r="OV2" s="14" t="s">
        <v>22</v>
      </c>
      <c r="OW2" s="14" t="s">
        <v>17</v>
      </c>
      <c r="OX2" s="66" t="s">
        <v>18</v>
      </c>
      <c r="OY2" s="66"/>
      <c r="OZ2" s="66"/>
      <c r="PA2" s="66"/>
      <c r="PB2" s="66"/>
      <c r="PC2" s="66" t="s">
        <v>19</v>
      </c>
      <c r="PD2" s="66"/>
      <c r="PE2" s="66"/>
      <c r="PF2" s="66"/>
      <c r="PG2" s="66"/>
      <c r="PH2" s="66" t="s">
        <v>101</v>
      </c>
      <c r="PI2" s="66"/>
      <c r="PJ2" s="66"/>
      <c r="PK2" s="66"/>
      <c r="PL2" s="66"/>
      <c r="PM2" s="66" t="s">
        <v>22</v>
      </c>
      <c r="PN2" s="66"/>
      <c r="PO2" s="66"/>
      <c r="PP2" s="66"/>
      <c r="PQ2" s="66"/>
      <c r="PR2" s="13" t="s">
        <v>96</v>
      </c>
      <c r="PS2" s="13" t="s">
        <v>97</v>
      </c>
      <c r="PT2" s="13" t="s">
        <v>20</v>
      </c>
      <c r="PU2" s="13" t="s">
        <v>77</v>
      </c>
      <c r="PV2" s="13" t="s">
        <v>98</v>
      </c>
      <c r="PW2" s="13" t="s">
        <v>21</v>
      </c>
      <c r="PX2" s="13" t="s">
        <v>23</v>
      </c>
      <c r="PY2" s="13" t="s">
        <v>102</v>
      </c>
      <c r="PZ2" s="13" t="s">
        <v>103</v>
      </c>
      <c r="QA2" s="13" t="s">
        <v>101</v>
      </c>
      <c r="QB2" s="13" t="s">
        <v>99</v>
      </c>
      <c r="QC2" s="13" t="s">
        <v>100</v>
      </c>
      <c r="QD2" s="13" t="s">
        <v>22</v>
      </c>
      <c r="QE2" s="13" t="s">
        <v>17</v>
      </c>
      <c r="QF2" s="65" t="s">
        <v>18</v>
      </c>
      <c r="QG2" s="65"/>
      <c r="QH2" s="65"/>
      <c r="QI2" s="65"/>
      <c r="QJ2" s="65"/>
      <c r="QK2" s="65" t="s">
        <v>19</v>
      </c>
      <c r="QL2" s="65"/>
      <c r="QM2" s="65"/>
      <c r="QN2" s="65"/>
      <c r="QO2" s="65"/>
      <c r="QP2" s="65" t="s">
        <v>101</v>
      </c>
      <c r="QQ2" s="65"/>
      <c r="QR2" s="65"/>
      <c r="QS2" s="65"/>
      <c r="QT2" s="65"/>
      <c r="QU2" s="65" t="s">
        <v>22</v>
      </c>
      <c r="QV2" s="65"/>
      <c r="QW2" s="65"/>
      <c r="QX2" s="65"/>
      <c r="QY2" s="65"/>
      <c r="QZ2" s="14" t="s">
        <v>96</v>
      </c>
      <c r="RA2" s="14" t="s">
        <v>97</v>
      </c>
      <c r="RB2" s="14" t="s">
        <v>20</v>
      </c>
      <c r="RC2" s="14" t="s">
        <v>77</v>
      </c>
      <c r="RD2" s="14" t="s">
        <v>98</v>
      </c>
      <c r="RE2" s="14" t="s">
        <v>21</v>
      </c>
      <c r="RF2" s="14" t="s">
        <v>23</v>
      </c>
      <c r="RG2" s="14" t="s">
        <v>102</v>
      </c>
      <c r="RH2" s="14" t="s">
        <v>103</v>
      </c>
      <c r="RI2" s="14" t="s">
        <v>101</v>
      </c>
      <c r="RJ2" s="14" t="s">
        <v>99</v>
      </c>
      <c r="RK2" s="14" t="s">
        <v>100</v>
      </c>
      <c r="RL2" s="14" t="s">
        <v>22</v>
      </c>
      <c r="RM2" s="14" t="s">
        <v>17</v>
      </c>
      <c r="RN2" s="66" t="s">
        <v>18</v>
      </c>
      <c r="RO2" s="66"/>
      <c r="RP2" s="66"/>
      <c r="RQ2" s="66"/>
      <c r="RR2" s="66"/>
      <c r="RS2" s="66" t="s">
        <v>19</v>
      </c>
      <c r="RT2" s="66"/>
      <c r="RU2" s="66"/>
      <c r="RV2" s="66"/>
      <c r="RW2" s="66"/>
      <c r="RX2" s="66" t="s">
        <v>101</v>
      </c>
      <c r="RY2" s="66"/>
      <c r="RZ2" s="66"/>
      <c r="SA2" s="66"/>
      <c r="SB2" s="66"/>
      <c r="SC2" s="66" t="s">
        <v>22</v>
      </c>
      <c r="SD2" s="66"/>
      <c r="SE2" s="66"/>
      <c r="SF2" s="66"/>
      <c r="SG2" s="66"/>
      <c r="SH2" s="13" t="s">
        <v>96</v>
      </c>
      <c r="SI2" s="13" t="s">
        <v>97</v>
      </c>
      <c r="SJ2" s="13" t="s">
        <v>20</v>
      </c>
      <c r="SK2" s="13" t="s">
        <v>77</v>
      </c>
      <c r="SL2" s="13" t="s">
        <v>98</v>
      </c>
      <c r="SM2" s="13" t="s">
        <v>21</v>
      </c>
      <c r="SN2" s="13" t="s">
        <v>23</v>
      </c>
      <c r="SO2" s="13" t="s">
        <v>102</v>
      </c>
      <c r="SP2" s="13" t="s">
        <v>103</v>
      </c>
      <c r="SQ2" s="13" t="s">
        <v>101</v>
      </c>
      <c r="SR2" s="13" t="s">
        <v>99</v>
      </c>
      <c r="SS2" s="13" t="s">
        <v>100</v>
      </c>
      <c r="ST2" s="13" t="s">
        <v>22</v>
      </c>
      <c r="SU2" s="13" t="s">
        <v>17</v>
      </c>
      <c r="SV2" s="65" t="s">
        <v>18</v>
      </c>
      <c r="SW2" s="65"/>
      <c r="SX2" s="65"/>
      <c r="SY2" s="65"/>
      <c r="SZ2" s="65"/>
      <c r="TA2" s="65" t="s">
        <v>19</v>
      </c>
      <c r="TB2" s="65"/>
      <c r="TC2" s="65"/>
      <c r="TD2" s="65"/>
      <c r="TE2" s="65"/>
      <c r="TF2" s="65" t="s">
        <v>101</v>
      </c>
      <c r="TG2" s="65"/>
      <c r="TH2" s="65"/>
      <c r="TI2" s="65"/>
      <c r="TJ2" s="65"/>
      <c r="TK2" s="65" t="s">
        <v>22</v>
      </c>
      <c r="TL2" s="65"/>
      <c r="TM2" s="65"/>
      <c r="TN2" s="65"/>
      <c r="TO2" s="65"/>
      <c r="TP2" s="14" t="s">
        <v>96</v>
      </c>
      <c r="TQ2" s="14" t="s">
        <v>97</v>
      </c>
      <c r="TR2" s="14" t="s">
        <v>20</v>
      </c>
      <c r="TS2" s="14" t="s">
        <v>77</v>
      </c>
      <c r="TT2" s="14" t="s">
        <v>98</v>
      </c>
      <c r="TU2" s="14" t="s">
        <v>21</v>
      </c>
      <c r="TV2" s="14" t="s">
        <v>23</v>
      </c>
      <c r="TW2" s="14" t="s">
        <v>102</v>
      </c>
      <c r="TX2" s="14" t="s">
        <v>103</v>
      </c>
      <c r="TY2" s="14" t="s">
        <v>101</v>
      </c>
      <c r="TZ2" s="14" t="s">
        <v>99</v>
      </c>
      <c r="UA2" s="14" t="s">
        <v>100</v>
      </c>
      <c r="UB2" s="14" t="s">
        <v>22</v>
      </c>
      <c r="UC2" s="14" t="s">
        <v>17</v>
      </c>
      <c r="UD2" s="66" t="s">
        <v>18</v>
      </c>
      <c r="UE2" s="66"/>
      <c r="UF2" s="66"/>
      <c r="UG2" s="66"/>
      <c r="UH2" s="66"/>
      <c r="UI2" s="66" t="s">
        <v>19</v>
      </c>
      <c r="UJ2" s="66"/>
      <c r="UK2" s="66"/>
      <c r="UL2" s="66"/>
      <c r="UM2" s="66"/>
      <c r="UN2" s="66" t="s">
        <v>101</v>
      </c>
      <c r="UO2" s="66"/>
      <c r="UP2" s="66"/>
      <c r="UQ2" s="66"/>
      <c r="UR2" s="66"/>
      <c r="US2" s="66" t="s">
        <v>22</v>
      </c>
      <c r="UT2" s="66"/>
      <c r="UU2" s="66"/>
      <c r="UV2" s="66"/>
      <c r="UW2" s="66"/>
      <c r="UX2" s="13" t="s">
        <v>96</v>
      </c>
      <c r="UY2" s="13" t="s">
        <v>97</v>
      </c>
      <c r="UZ2" s="13" t="s">
        <v>20</v>
      </c>
      <c r="VA2" s="13" t="s">
        <v>77</v>
      </c>
      <c r="VB2" s="13" t="s">
        <v>98</v>
      </c>
      <c r="VC2" s="13" t="s">
        <v>21</v>
      </c>
      <c r="VD2" s="13" t="s">
        <v>23</v>
      </c>
      <c r="VE2" s="13" t="s">
        <v>102</v>
      </c>
      <c r="VF2" s="13" t="s">
        <v>103</v>
      </c>
      <c r="VG2" s="13" t="s">
        <v>101</v>
      </c>
      <c r="VH2" s="13" t="s">
        <v>99</v>
      </c>
      <c r="VI2" s="13" t="s">
        <v>100</v>
      </c>
      <c r="VJ2" s="13" t="s">
        <v>22</v>
      </c>
      <c r="VK2" s="13" t="s">
        <v>17</v>
      </c>
      <c r="VL2" s="65" t="s">
        <v>18</v>
      </c>
      <c r="VM2" s="65"/>
      <c r="VN2" s="65"/>
      <c r="VO2" s="65"/>
      <c r="VP2" s="65"/>
      <c r="VQ2" s="65" t="s">
        <v>19</v>
      </c>
      <c r="VR2" s="65"/>
      <c r="VS2" s="65"/>
      <c r="VT2" s="65"/>
      <c r="VU2" s="65"/>
      <c r="VV2" s="65" t="s">
        <v>101</v>
      </c>
      <c r="VW2" s="65"/>
      <c r="VX2" s="65"/>
      <c r="VY2" s="65"/>
      <c r="VZ2" s="65"/>
      <c r="WA2" s="65" t="s">
        <v>22</v>
      </c>
      <c r="WB2" s="65"/>
      <c r="WC2" s="65"/>
      <c r="WD2" s="65"/>
      <c r="WE2" s="65"/>
      <c r="WF2" s="14" t="s">
        <v>96</v>
      </c>
      <c r="WG2" s="14" t="s">
        <v>97</v>
      </c>
      <c r="WH2" s="14" t="s">
        <v>20</v>
      </c>
      <c r="WI2" s="14" t="s">
        <v>77</v>
      </c>
      <c r="WJ2" s="14" t="s">
        <v>98</v>
      </c>
      <c r="WK2" s="14" t="s">
        <v>21</v>
      </c>
      <c r="WL2" s="14" t="s">
        <v>23</v>
      </c>
      <c r="WM2" s="14" t="s">
        <v>102</v>
      </c>
      <c r="WN2" s="14" t="s">
        <v>103</v>
      </c>
      <c r="WO2" s="14" t="s">
        <v>101</v>
      </c>
      <c r="WP2" s="14" t="s">
        <v>99</v>
      </c>
      <c r="WQ2" s="14" t="s">
        <v>100</v>
      </c>
      <c r="WR2" s="14" t="s">
        <v>22</v>
      </c>
      <c r="WS2" s="14" t="s">
        <v>17</v>
      </c>
      <c r="WT2" s="66" t="s">
        <v>18</v>
      </c>
      <c r="WU2" s="66"/>
      <c r="WV2" s="66"/>
      <c r="WW2" s="66"/>
      <c r="WX2" s="66"/>
      <c r="WY2" s="66" t="s">
        <v>19</v>
      </c>
      <c r="WZ2" s="66"/>
      <c r="XA2" s="66"/>
      <c r="XB2" s="66"/>
      <c r="XC2" s="66"/>
      <c r="XD2" s="66" t="s">
        <v>22</v>
      </c>
      <c r="XE2" s="66"/>
      <c r="XF2" s="66"/>
      <c r="XG2" s="66"/>
      <c r="XH2" s="66"/>
      <c r="XI2" s="13"/>
      <c r="XJ2" s="13" t="s">
        <v>96</v>
      </c>
      <c r="XK2" s="13" t="s">
        <v>97</v>
      </c>
      <c r="XL2" s="13" t="s">
        <v>20</v>
      </c>
      <c r="XM2" s="13" t="s">
        <v>77</v>
      </c>
      <c r="XN2" s="13" t="s">
        <v>98</v>
      </c>
      <c r="XO2" s="13" t="s">
        <v>21</v>
      </c>
      <c r="XP2" s="13" t="s">
        <v>23</v>
      </c>
      <c r="XQ2" s="13" t="s">
        <v>99</v>
      </c>
      <c r="XR2" s="13" t="s">
        <v>100</v>
      </c>
      <c r="XS2" s="13" t="s">
        <v>22</v>
      </c>
      <c r="XT2" s="13" t="s">
        <v>17</v>
      </c>
    </row>
    <row r="3" spans="1:644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1"/>
      <c r="O3" s="69"/>
      <c r="P3" s="69"/>
      <c r="Q3" s="69"/>
      <c r="R3" s="69"/>
      <c r="S3" s="69"/>
      <c r="T3" s="71"/>
      <c r="U3" s="69"/>
      <c r="V3" s="73"/>
      <c r="W3" s="69"/>
      <c r="X3" s="69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4</v>
      </c>
      <c r="C4" s="4" t="s">
        <v>5</v>
      </c>
      <c r="D4" s="4">
        <v>1992</v>
      </c>
      <c r="E4" s="9">
        <f t="shared" ref="E4:E27" si="0">SUM(J4:V4)+SUM(J4:T4)*0.0000001+SUM(J4)*0.0000000000001</f>
        <v>269.73002697300592</v>
      </c>
      <c r="F4" s="3" t="str">
        <f t="shared" ref="F4:F27" si="1"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P","")</f>
        <v>P</v>
      </c>
      <c r="G4" s="3" t="str">
        <f t="shared" ref="G4:G27" si="2"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,AND(TR4&gt;=UC$34,TR4&lt;&gt;""),AND(TU4&gt;=UC$34,TU4&lt;&gt;""),AND(TY4&gt;=UC$34,TYY4&lt;&gt;""),AND(UB4&gt;=UC$34,UB4&lt;&gt;""),AND(UZ4&gt;=VK$34,UZ4&lt;&gt;""),AND(VC4&gt;=VK$34,VC4&lt;&gt;""),AND(VG4&gt;=VK$34,VG4&lt;&gt;""),AND(VJ4&gt;=VK$34,VJ4&lt;&gt;""),AND(WH4&gt;=WS$34,WH4&lt;&gt;""),AND(WK4&gt;=WS$34,WK4&lt;&gt;""),AND(WO4&gt;=WS$34,WO4&lt;&gt;""),AND(WR4&gt;=WS$34,WR4&lt;&gt;"")),"P","")</f>
        <v>P</v>
      </c>
      <c r="H4" s="36" t="str">
        <f t="shared" ref="H4:H27" si="3">IF(AND(G4="P",F4=""),"No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,AND(TP4&gt;=UC$33,TP4&lt;&gt;"",TR4&gt;=UC$37,TR4&lt;&gt;""),AND(TS4&gt;=UC$33,TS4&lt;&gt;"",TU4&gt;=UC$37,TU4&lt;&gt;""),AND(TW4&gt;=UC$33,TW4&lt;&gt;"",TY4&gt;=UC$357,TYY4&lt;&gt;""),AND(TZ4&gt;=UC$33,TZ4&lt;&gt;"",UB4&gt;=UC$37,UB4&lt;&gt;""),AND(UX4&gt;=VK$33,UX4&lt;&gt;"",UZ4&gt;=VK$37,UZ4&lt;&gt;""),AND(VA4&gt;=VK$33,VA4&lt;&gt;"",VC4&gt;=VK$37,VC4&lt;&gt;""),AND(VE4&gt;=VK$33,VE4&lt;&gt;"",VG4&gt;=VK$37,VG4&lt;&gt;""),AND(VH4&gt;=VK$33,VH4&lt;&gt;"",VJ4&gt;=VK$37,VJ4&lt;&gt;""),AND(WF4&gt;=WS$33,WF4&lt;&gt;"",WH4&gt;=WS$37,WH4&lt;&gt;""),AND(WI4&gt;=WS$33,WI4&lt;&gt;"",WK4&gt;=WS$37,WK4&lt;&gt;""),AND(WM4&gt;=WS$33,WM4&lt;&gt;"",WO4&gt;=WS$37,WO4&lt;&gt;""),AND(WP4&gt;=WS$33,WP4&lt;&gt;"",WR4&gt;=WS$37,WR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,AND(TP4&gt;=UC$32,TP4&lt;&gt;"",TR4&gt;=UC$36,TR4&lt;&gt;""),AND(TS4&gt;=UC$32,TS4&lt;&gt;"",TU4&gt;=UC$36,TU4&lt;&gt;""),AND(TW4&gt;=UC$32,TW4&lt;&gt;"",TY4&gt;=UC$36,TYY4&lt;&gt;""),AND(TZ4&gt;=UC$32,TZ4&lt;&gt;"",UB4&gt;=UC$36,UB4&lt;&gt;""),AND(UX4&gt;=VK$32,UX4&lt;&gt;"",UZ4&gt;=VK$36,UZ4&lt;&gt;""),AND(VA4&gt;=VK$32,VA4&lt;&gt;"",VC4&gt;=VK$36,VC4&lt;&gt;""),AND(VE4&gt;=VK$32,VE4&lt;&gt;"",VG4&gt;=VK$36,VG4&lt;&gt;""),AND(VH4&gt;=VK$32,VH4&lt;&gt;"",VJ4&gt;=VK$36,VJ4&lt;&gt;""),AND(WF4&gt;=WS$32,WF4&lt;&gt;"",WH4&gt;=WS$36,WH4&lt;&gt;""),AND(WI4&gt;=WS$32,WI4&lt;&gt;"",WK4&gt;=WS$36,WK4&lt;&gt;""),AND(WM4&gt;=WS$32,WM4&lt;&gt;"",WO4&gt;=WS$36,WO4&lt;&gt;""),AND(WP4&gt;=WS$32,WP4&lt;&gt;"",WR4&gt;=WS$36,WR4&lt;&gt;"")),"Excellence",IF(I4="P","Worlds Team",IF(F4="P","National Team","")))))</f>
        <v>Excellence</v>
      </c>
      <c r="I4" s="3" t="str">
        <f t="shared" ref="I4:I27" si="4"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P","")</f>
        <v>P</v>
      </c>
      <c r="J4" s="8">
        <f>IF(COUNT(AQ4,AT4,BR4,BU4,CS4,CV4)&gt;0,LARGE((AQ4,AT4,BR4,BU4,CS4,CV4),1),0)</f>
        <v>59.32</v>
      </c>
      <c r="K4" s="8" t="str">
        <f t="shared" ref="K4:K27" si="5"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 t="shared" ref="M4:M27" si="6"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58.58</v>
      </c>
      <c r="O4" s="8" t="str">
        <f t="shared" ref="O4:O27" si="7">IF(N4="","",IF(OR(N4=CS4,N4=CV4),$CA$1,IF(OR(N4=BR4,N4=BU4),$AZ$1,IF(OR(N4=AQ4,N4=AT4),$Y$1,""))))</f>
        <v>2025 Elite Canada</v>
      </c>
      <c r="P4" s="8">
        <f t="shared" ref="P4:P27" si="8">IF(MAX(AX4,BY4,CZ4)&gt;0,MAX(AX4,BY4,CZ4),0)</f>
        <v>59.47</v>
      </c>
      <c r="Q4" s="8" t="str">
        <f t="shared" ref="Q4:Q27" si="9">IF(P4="","",IF(P4=CZ4,$CA$1,IF(P4=BY4,$AZ$1,IF(P4=AX4,$Y$1,""))))</f>
        <v>2024 3rd Domestic Trial</v>
      </c>
      <c r="R4" s="8">
        <f t="shared" ref="R4:R27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16.5</v>
      </c>
      <c r="S4" s="8" t="str">
        <f t="shared" ref="S4:S27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Elite Canada</v>
      </c>
      <c r="T4" s="8">
        <f t="shared" ref="T4:T27" si="12">MAX(IF(AND(AO4&lt;&gt;"",AO4&gt;=$AY$30),AP4,0),IF(AND(AR4&lt;&gt;"",AR4&gt;=$AY$30),AS4,0),IF(AND(AV4&lt;&gt;"",AV4&gt;=$AY$30),AW4,0),IF(AND(BP4&lt;&gt;"",BP4&gt;=$BZ$30),BQ4,0),IF(AND(BS4&lt;&gt;"",BS4&gt;=$BZ$30),BT4,0),IF(AND(BW4&lt;&gt;"",BW4&gt;=$BZ$30),BX4,0),IF(AND(CQ4&lt;&gt;"",CQ4&gt;=$DA$30),CR4,0),IF(AND(CT4&lt;&gt;"",CT4&gt;=$DA$30),CU4,0),IF(AND(CX4&lt;&gt;"",CX4&gt;=$DA$30),CY4,0),IF(AND(DX4&lt;&gt;"",DX4&gt;=$EK$30),DY4,0),IF(AND(EA4&lt;&gt;"",EA4&gt;=$EK$30),EB4,0),IF(AND(EE4&lt;&gt;"",EE4&gt;=$EK$30),EF4,0),IF(AND(EH4&lt;&gt;"",EH4&gt;=$EK$30),EI4,0),IF(AND(FF4&lt;&gt;"",FF4&gt;=$FS$30),FG4,0),IF(AND(FI4&lt;&gt;"",FI4&gt;=$FS$30),FJ4,0),IF(AND(FM4&lt;&gt;"",FM4&gt;=$FS$30),FN4,0),IF(AND(FP4&lt;&gt;"",FP4&gt;=$FS$30),FQ4,0),IF(AND(GN4&lt;&gt;"",GN4&gt;=$HA$30),GO4,0),IF(AND(GQ4&lt;&gt;"",GQ4&gt;=$HA$30),GR4,0),IF(AND(GU4&lt;&gt;"",GU4&gt;=$HA$30),GV4,0),IF(AND(GX4&lt;&gt;"",GX4&gt;=$HA$30),GY4,0),IF(AND(HV4&lt;&gt;"",HV4&gt;=$II$30),HW4,0),IF(AND(HY4&lt;&gt;"",HY4&gt;=$II$30),HZ4,0),IF(AND(IC4&lt;&gt;"",IC4&gt;=$II$30),ID4,0),IF(AND(IF4&lt;&gt;"",IF4&gt;=$II$30),IG4,0),IF(AND(JD4&lt;&gt;"",JD4&gt;=$JQ$30),JE4,0),IF(AND(JG4&lt;&gt;"",JG4&gt;=$JQ$30),JH4,0),IF(AND(JK4&lt;&gt;"",JK4&gt;=$JQ$30),JL4,0),IF(AND(JN4&lt;&gt;"",JN4&gt;=$JQ$30),JO4,0),IF(AND(KL4&lt;&gt;"",KL4&gt;=$KY$30),KM4,0),IF(AND(KO4&lt;&gt;"",KO4&gt;=$KY$30),KP4,0),IF(AND(KS4&lt;&gt;"",KS4&gt;=$KY$30),KT4,0),IF(AND(KV4&lt;&gt;"",KV4&gt;=$KY$30),KW4,0),IF(AND(LT4&lt;&gt;"",LT4&gt;=$MG$30),LU4,0),IF(AND(LW4&lt;&gt;"",LW4&gt;=$MG$30),LX4,0),IF(AND(MA4&lt;&gt;"",MA4&gt;=$MG$30),MB4,0),IF(AND(MD4&lt;&gt;"",MD4&gt;=$MG$30),ME4,0),IF(AND(NB4&lt;&gt;"",NB4&gt;=$NO$30),NC4,0),IF(AND(NE4&lt;&gt;"",NE4&gt;=$NO$30),NF4,0),IF(AND(NI4&lt;&gt;"",NI4&gt;=$NO$30),NJ4,0),IF(AND(NL4&lt;&gt;"",NL4&gt;=$NO$30),NM4,0),IF(AND(OJ4&lt;&gt;"",OJ4&gt;=$OW$30),OK4,0),IF(AND(OM4&lt;&gt;"",OM4&gt;=$OW$30),ON4,0),IF(AND(OQ4&lt;&gt;"",OQ4&gt;=$OW$30),OR4,0),IF(AND(OT4&lt;&gt;"",OT4&gt;=$OW$30),OU4,0),IF(AND(PR4&lt;&gt;"",PR4&gt;=$QE$30),PS4,0),IF(AND(PU4&lt;&gt;"",PU4&gt;=$QE$30),PV4,0),IF(AND(PY4&lt;&gt;"",PY4&gt;=$QE$30),PZ4,0),IF(AND(QB4&lt;&gt;"",QB4&gt;=$QE$30),QC4,0),IF(AND(QZ4&lt;&gt;"",QZ4&gt;=$RM$30),RA4,0),IF(AND(RC4&lt;&gt;"",RC4&gt;=$RM$30),RD4,0),IF(AND(RG4&lt;&gt;"",RG4&gt;=$RM$30),RH4,0),IF(AND(RJ4&lt;&gt;"",RJ4&gt;=$RM$30),RK4,0),IF(AND(SH4&lt;&gt;"",SH4&gt;=$SU$30),SI4,0),IF(AND(SK4&lt;&gt;"",SK4&gt;=$SU$30),SL4,0),IF(AND(SO4&lt;&gt;"",SO4&gt;=$SU$30),SP4,0),IF(AND(SR4&lt;&gt;"",SR4&gt;=$SU$30),SS4,0),IF(AND(TP4&lt;&gt;"",TP4&gt;=$UC$30),TQ4,0),IF(AND(TS4&lt;&gt;"",TS4&gt;=$UC$30),TT4,0),IF(AND(TW4&lt;&gt;"",TW4&gt;=$UC$30),TX4,0),IF(AND(TZ4&lt;&gt;"",TZ4&gt;=$UC$30),UA4,0),IF(AND(UX4&lt;&gt;"",UX4&gt;=$VK$30),UY4,0),IF(AND(VA4&lt;&gt;"",VA4&gt;=$VK$30),VB4,0),IF(AND(VE4&lt;&gt;"",VE4&gt;=$VK$30),VF4,0),IF(AND(VH4&lt;&gt;"",VH4&gt;=$VK$30),VI4,0),IF(AND(WF4&lt;&gt;"",WF4&gt;=$WS$30),WG4,0),IF(AND(WI4&lt;&gt;"",WI4&gt;=$WS$30),WJ4,0),IF(AND(WM4&lt;&gt;"",WM4&gt;=$WS$30),WN4,0),IF(AND(WP4&lt;&gt;"",WP4&gt;=$WS$30),WQ4,0),0)</f>
        <v>16.88</v>
      </c>
      <c r="U4" s="8" t="str">
        <f t="shared" ref="U4:U27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 t="shared" ref="V4:V27" si="14">IF(MAX(DB4,DC4)&gt;0,MAX(DB4,DC4),"")</f>
        <v/>
      </c>
      <c r="W4" s="11" t="str">
        <f t="shared" ref="W4:W27" si="15">IF(V4="","",IF(V4=DB4,"("&amp;DB$2&amp;")",IF(V4=DC4,"("&amp;DC$2&amp;")")))</f>
        <v/>
      </c>
      <c r="X4" s="8" t="str">
        <f t="shared" ref="X4:X27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2.58</v>
      </c>
      <c r="Z4" s="22">
        <v>2.4</v>
      </c>
      <c r="AA4" s="22">
        <v>5.0999999999999996</v>
      </c>
      <c r="AB4" s="22">
        <v>16.809999999999999</v>
      </c>
      <c r="AC4" s="22">
        <v>0</v>
      </c>
      <c r="AD4" s="22">
        <v>16.2</v>
      </c>
      <c r="AE4" s="22">
        <v>9</v>
      </c>
      <c r="AF4" s="22">
        <v>15</v>
      </c>
      <c r="AG4" s="22">
        <v>15.94</v>
      </c>
      <c r="AH4" s="22">
        <v>0</v>
      </c>
      <c r="AI4" s="22">
        <v>16.899999999999999</v>
      </c>
      <c r="AJ4" s="22">
        <v>9.8000000000000007</v>
      </c>
      <c r="AK4" s="22">
        <v>15.6</v>
      </c>
      <c r="AL4" s="22">
        <v>15.99</v>
      </c>
      <c r="AM4" s="22">
        <v>0</v>
      </c>
      <c r="AN4" s="27"/>
      <c r="AO4" s="38">
        <f t="shared" ref="AO4:AO27" si="17">IF(AA4&gt;0,AA4,"")</f>
        <v>5.0999999999999996</v>
      </c>
      <c r="AP4" s="38">
        <f t="shared" ref="AP4:AP27" si="18">IF(AB4&gt;0,AB4,"")</f>
        <v>16.809999999999999</v>
      </c>
      <c r="AQ4" s="40">
        <f t="shared" ref="AQ4:AQ27" si="19">IF(SUM(Y4:AB4)-AC4&gt;0,SUM(Y4:AB4)-AC4,"")</f>
        <v>26.89</v>
      </c>
      <c r="AR4" s="40">
        <f t="shared" ref="AR4:AR27" si="20">IF(AF4&gt;0,AF4,"")</f>
        <v>15</v>
      </c>
      <c r="AS4" s="40">
        <f t="shared" ref="AS4:AS27" si="21">IF(AG4&gt;0,AG4,"")</f>
        <v>15.94</v>
      </c>
      <c r="AT4" s="40">
        <f t="shared" ref="AT4:AT27" si="22">IF(SUM(AD4:AG4)-AH4&gt;0,SUM(AD4:AG4)-AH4,"")</f>
        <v>56.14</v>
      </c>
      <c r="AU4" s="40">
        <f t="shared" ref="AU4:AU27" si="23">IF(AQ4="","",MAX(AQ4,AT4))</f>
        <v>56.14</v>
      </c>
      <c r="AV4" s="40">
        <f t="shared" ref="AV4:AV27" si="24">IF(AK4&gt;0,AK4,"")</f>
        <v>15.6</v>
      </c>
      <c r="AW4" s="40">
        <f t="shared" ref="AW4:AW27" si="25">IF(AL4&gt;0,AL4,"")</f>
        <v>15.99</v>
      </c>
      <c r="AX4" s="40">
        <f t="shared" ref="AX4:AX27" si="26">IF(SUM(AI4:AL4)-AM4&gt;0,SUM(AI4:AL4)-AM4,"")</f>
        <v>58.29</v>
      </c>
      <c r="AY4" s="40">
        <f t="shared" ref="AY4:AY27" si="27">IF(SUM(AU4,AX4)&gt;0,SUM(AU4,AX4),"")</f>
        <v>114.43</v>
      </c>
      <c r="AZ4" s="26">
        <v>17.8</v>
      </c>
      <c r="BA4" s="26">
        <v>9.1</v>
      </c>
      <c r="BB4" s="26">
        <v>15.6</v>
      </c>
      <c r="BC4" s="26">
        <v>16.82</v>
      </c>
      <c r="BD4" s="26">
        <v>0</v>
      </c>
      <c r="BE4" s="26">
        <v>17.2</v>
      </c>
      <c r="BF4" s="26">
        <v>8.6999999999999993</v>
      </c>
      <c r="BG4" s="26">
        <v>16.2</v>
      </c>
      <c r="BH4" s="26">
        <v>16.88</v>
      </c>
      <c r="BI4" s="26">
        <v>0</v>
      </c>
      <c r="BJ4" s="26">
        <v>17.2</v>
      </c>
      <c r="BK4" s="26">
        <v>9.3000000000000007</v>
      </c>
      <c r="BL4" s="26">
        <v>16.2</v>
      </c>
      <c r="BM4" s="26">
        <v>16.77</v>
      </c>
      <c r="BN4" s="26">
        <v>0</v>
      </c>
      <c r="BO4" s="28"/>
      <c r="BP4" s="39">
        <f t="shared" ref="BP4:BP27" si="28">IF(BB4&gt;0,BB4,"")</f>
        <v>15.6</v>
      </c>
      <c r="BQ4" s="39">
        <f t="shared" ref="BQ4:BQ27" si="29">IF(BC4&gt;0,BC4,"")</f>
        <v>16.82</v>
      </c>
      <c r="BR4" s="11">
        <f t="shared" ref="BR4:BR27" si="30">IF(SUM(AZ4:BC4)-BD4&gt;0,SUM(AZ4:BC4)-BD4,"")</f>
        <v>59.32</v>
      </c>
      <c r="BS4" s="11">
        <f t="shared" ref="BS4:BS27" si="31">IF(BG4&gt;0,BG4,"")</f>
        <v>16.2</v>
      </c>
      <c r="BT4" s="11">
        <f t="shared" ref="BT4:BT27" si="32">IF(BH4&gt;0,BH4,"")</f>
        <v>16.88</v>
      </c>
      <c r="BU4" s="11">
        <f t="shared" ref="BU4:BU27" si="33">IF(SUM(BE4:BH4)-BI4&gt;0,SUM(BE4:BH4)-BI4,"")</f>
        <v>58.97999999999999</v>
      </c>
      <c r="BV4" s="11">
        <f t="shared" ref="BV4:BV27" si="34">IF(BR4="","",MAX(BR4,BU4))</f>
        <v>59.32</v>
      </c>
      <c r="BW4" s="11">
        <f t="shared" ref="BW4:BW27" si="35">IF(BL4&gt;0,BL4,"")</f>
        <v>16.2</v>
      </c>
      <c r="BX4" s="11">
        <f t="shared" ref="BX4:BX27" si="36">IF(BM4&gt;0,BM4,"")</f>
        <v>16.77</v>
      </c>
      <c r="BY4" s="11">
        <f t="shared" ref="BY4:BY27" si="37">IF(SUM(BJ4:BM4)-BN4&gt;0,SUM(BJ4:BM4)-BN4,"")</f>
        <v>59.47</v>
      </c>
      <c r="BZ4" s="11">
        <f t="shared" ref="BZ4:BZ27" si="38">IF(SUM(BV4,BY4)&gt;0,SUM(BV4,BY4),"")</f>
        <v>118.78999999999999</v>
      </c>
      <c r="CA4" s="22">
        <v>16.8</v>
      </c>
      <c r="CB4" s="22">
        <v>9.3000000000000007</v>
      </c>
      <c r="CC4" s="22">
        <v>16.5</v>
      </c>
      <c r="CD4" s="22">
        <v>15.98</v>
      </c>
      <c r="CE4" s="22">
        <v>0</v>
      </c>
      <c r="CF4" s="22">
        <v>1.8</v>
      </c>
      <c r="CG4" s="22">
        <v>0.8</v>
      </c>
      <c r="CH4" s="22">
        <v>2</v>
      </c>
      <c r="CI4" s="22">
        <v>1.75</v>
      </c>
      <c r="CJ4" s="22">
        <v>0</v>
      </c>
      <c r="CK4" s="22">
        <v>16.8</v>
      </c>
      <c r="CL4" s="22">
        <v>8.8000000000000007</v>
      </c>
      <c r="CM4" s="22">
        <v>16.100000000000001</v>
      </c>
      <c r="CN4" s="22">
        <v>16.190000000000001</v>
      </c>
      <c r="CO4" s="22">
        <v>0</v>
      </c>
      <c r="CP4" s="27"/>
      <c r="CQ4" s="38">
        <f t="shared" ref="CQ4:CQ27" si="39">IF(CC4&gt;0,CC4,"")</f>
        <v>16.5</v>
      </c>
      <c r="CR4" s="38">
        <f t="shared" ref="CR4:CR27" si="40">IF(CD4&gt;0,CD4,"")</f>
        <v>15.98</v>
      </c>
      <c r="CS4" s="40">
        <f t="shared" ref="CS4:CS27" si="41">IF(SUM(CA4:CD4)-CE4&gt;0,SUM(CA4:CD4)-CE4,"")</f>
        <v>58.58</v>
      </c>
      <c r="CT4" s="40">
        <f t="shared" ref="CT4:CT27" si="42">IF(CH4&gt;0,CH4,"")</f>
        <v>2</v>
      </c>
      <c r="CU4" s="40">
        <f t="shared" ref="CU4:CU27" si="43">IF(CI4&gt;0,CI4,"")</f>
        <v>1.75</v>
      </c>
      <c r="CV4" s="40">
        <f t="shared" ref="CV4:CV27" si="44">IF(SUM(CF4:CI4)-CJ4&gt;0,SUM(CF4:CI4)-CJ4,"")</f>
        <v>6.35</v>
      </c>
      <c r="CW4" s="40">
        <f t="shared" ref="CW4:CW27" si="45">IF(CS4="","",MAX(CS4,CV4))</f>
        <v>58.58</v>
      </c>
      <c r="CX4" s="40">
        <f t="shared" ref="CX4:CX27" si="46">IF(CM4&gt;0,CM4,"")</f>
        <v>16.100000000000001</v>
      </c>
      <c r="CY4" s="40">
        <f t="shared" ref="CY4:CY27" si="47">IF(CN4&gt;0,CN4,"")</f>
        <v>16.190000000000001</v>
      </c>
      <c r="CZ4" s="40">
        <f t="shared" ref="CZ4:CZ27" si="48">IF(SUM(CK4:CN4)-CO4&gt;0,SUM(CK4:CN4)-CO4,"")</f>
        <v>57.89</v>
      </c>
      <c r="DA4" s="40">
        <f t="shared" ref="DA4:DA27" si="49">IF(SUM(CW4,CZ4)&gt;0,SUM(CW4,CZ4),"")</f>
        <v>116.47</v>
      </c>
      <c r="DB4" s="51" t="str">
        <f t="shared" ref="DB4:DB27" si="50">IF(MAX(ED4,FL4,GT4,IB4,JJ4,KR4,LZ4,NH4,OP4,PX4,RF4,SN4,TV4,VD4,WL4)-IF(N4="",0,N4)&gt;0.001,MAX(ED4,FL4,GT4,IB4,JJ4,KR4,LZ4,NH4,OP4,PX4,RF4,SN4,TV4,VD4,WL4)-IF(N4="",0,N4),"")</f>
        <v/>
      </c>
      <c r="DC4" s="51" t="str">
        <f t="shared" ref="DC4:DC27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14.8</v>
      </c>
      <c r="DE4" s="17">
        <v>9.1999999999999993</v>
      </c>
      <c r="DF4" s="17">
        <v>16.2</v>
      </c>
      <c r="DG4" s="17">
        <v>16.12</v>
      </c>
      <c r="DH4" s="17">
        <v>0</v>
      </c>
      <c r="DI4" s="17">
        <v>7</v>
      </c>
      <c r="DJ4" s="17">
        <v>4.5</v>
      </c>
      <c r="DK4" s="17">
        <v>9.1</v>
      </c>
      <c r="DL4" s="17">
        <v>8.34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27" si="52">IF(DF4&gt;0,DF4,"")</f>
        <v>16.2</v>
      </c>
      <c r="DY4" s="40">
        <f t="shared" ref="DY4:DY27" si="53">IF(DG4&gt;0,DG4,"")</f>
        <v>16.12</v>
      </c>
      <c r="DZ4" s="40">
        <f t="shared" ref="DZ4:DZ27" si="54">IF(SUM(DD4:DG4)-DH4&gt;0,SUM(DD4:DG4)-DH4,"")</f>
        <v>56.320000000000007</v>
      </c>
      <c r="EA4" s="40">
        <f t="shared" ref="EA4:EA27" si="55">IF(DK4&gt;0,DK4,"")</f>
        <v>9.1</v>
      </c>
      <c r="EB4" s="40">
        <f t="shared" ref="EB4:EB27" si="56">IF(DL4&gt;0,DL4,"")</f>
        <v>8.34</v>
      </c>
      <c r="EC4" s="40">
        <f t="shared" ref="EC4:EC27" si="57">IF(SUM(DI4:DL4)-DM4&gt;0,SUM(DI4:DL4)-DM4,"")</f>
        <v>28.94</v>
      </c>
      <c r="ED4" s="40">
        <f t="shared" ref="ED4:ED27" si="58">IF(MAX(DZ4,EC4)&gt;0,MAX(DZ4,EC4),"")</f>
        <v>56.320000000000007</v>
      </c>
      <c r="EE4" s="40" t="str">
        <f t="shared" ref="EE4:EE27" si="59">IF(DP4&gt;0,DP4,"")</f>
        <v/>
      </c>
      <c r="EF4" s="40" t="str">
        <f t="shared" ref="EF4:EF27" si="60">IF(DQ4&gt;0,DQ4,"")</f>
        <v/>
      </c>
      <c r="EG4" s="40" t="str">
        <f t="shared" ref="EG4:EG27" si="61">IF(SUM(DN4:DQ4)-DR4&gt;0,SUM(DN4:DQ4)-DR4,"")</f>
        <v/>
      </c>
      <c r="EH4" s="40" t="str">
        <f t="shared" ref="EH4:EH27" si="62">IF(DU4&gt;0,DU4,"")</f>
        <v/>
      </c>
      <c r="EI4" s="40" t="str">
        <f t="shared" ref="EI4:EI27" si="63">IF(DV4&gt;0,DV4,"")</f>
        <v/>
      </c>
      <c r="EJ4" s="40" t="str">
        <f t="shared" ref="EJ4:EJ27" si="64">IF(SUM(DS4:DV4)-DW4&gt;0,SUM(DS4:DV4)-DW4,"")</f>
        <v/>
      </c>
      <c r="EK4" s="40">
        <f t="shared" ref="EK4:EK27" si="65">IF(SUM(ED4,EG4,EJ4)&gt;0,SUM(ED4,EG4,EJ4),"")</f>
        <v>56.320000000000007</v>
      </c>
      <c r="EL4" s="18">
        <v>16.600000000000001</v>
      </c>
      <c r="EM4" s="18">
        <v>9.3000000000000007</v>
      </c>
      <c r="EN4" s="18">
        <v>15</v>
      </c>
      <c r="EO4" s="18">
        <v>16.14</v>
      </c>
      <c r="EP4" s="18">
        <v>0</v>
      </c>
      <c r="EQ4" s="18">
        <v>16.3</v>
      </c>
      <c r="ER4" s="18">
        <v>9.4</v>
      </c>
      <c r="ES4" s="18">
        <v>15.6</v>
      </c>
      <c r="ET4" s="18">
        <v>16.2</v>
      </c>
      <c r="EU4" s="18">
        <v>0</v>
      </c>
      <c r="EV4" s="18"/>
      <c r="EW4" s="18"/>
      <c r="EX4" s="18"/>
      <c r="EY4" s="18"/>
      <c r="EZ4" s="18"/>
      <c r="FA4" s="18">
        <v>1.6</v>
      </c>
      <c r="FB4" s="18">
        <v>0.9</v>
      </c>
      <c r="FC4" s="18">
        <v>2</v>
      </c>
      <c r="FD4" s="18">
        <v>1.79</v>
      </c>
      <c r="FE4" s="18">
        <v>0</v>
      </c>
      <c r="FF4" s="11">
        <f t="shared" ref="FF4:FF27" si="66">IF(EN4&gt;0,EN4,"")</f>
        <v>15</v>
      </c>
      <c r="FG4" s="11">
        <f t="shared" ref="FG4:FG27" si="67">IF(EO4&gt;0,EO4,"")</f>
        <v>16.14</v>
      </c>
      <c r="FH4" s="11">
        <f t="shared" ref="FH4:FH27" si="68">IF(SUM(EL4:EO4)-EP4&gt;0,SUM(EL4:EO4)-EP4,"")</f>
        <v>57.040000000000006</v>
      </c>
      <c r="FI4" s="11">
        <f t="shared" ref="FI4:FI27" si="69">IF(ES4&gt;0,ES4,"")</f>
        <v>15.6</v>
      </c>
      <c r="FJ4" s="11">
        <f t="shared" ref="FJ4:FJ27" si="70">IF(ET4&gt;0,ET4,"")</f>
        <v>16.2</v>
      </c>
      <c r="FK4" s="11">
        <f t="shared" ref="FK4:FK27" si="71">IF(SUM(EQ4:ET4)-EU4&gt;0,SUM(EQ4:ET4)-EU4,"")</f>
        <v>57.5</v>
      </c>
      <c r="FL4" s="11">
        <f t="shared" ref="FL4:FL27" si="72">IF(MAX(FH4,FK4)&gt;0,MAX(FH4,FK4),"")</f>
        <v>57.5</v>
      </c>
      <c r="FM4" s="11" t="str">
        <f t="shared" ref="FM4:FM27" si="73">IF(EX4&gt;0,EX4,"")</f>
        <v/>
      </c>
      <c r="FN4" s="11" t="str">
        <f t="shared" ref="FN4:FN27" si="74">IF(EY4&gt;0,EY4,"")</f>
        <v/>
      </c>
      <c r="FO4" s="11" t="str">
        <f t="shared" ref="FO4:FO27" si="75">IF(SUM(EV4:EY4)-EZ4&gt;0,SUM(EV4:EY4)-EZ4,"")</f>
        <v/>
      </c>
      <c r="FP4" s="11">
        <f t="shared" ref="FP4:FP27" si="76">IF(FC4&gt;0,FC4,"")</f>
        <v>2</v>
      </c>
      <c r="FQ4" s="11">
        <f t="shared" ref="FQ4:FQ27" si="77">IF(FD4&gt;0,FD4,"")</f>
        <v>1.79</v>
      </c>
      <c r="FR4" s="11">
        <f t="shared" ref="FR4:FR27" si="78">IF(SUM(FA4:FD4)-FE4&gt;0,SUM(FA4:FD4)-FE4,"")</f>
        <v>6.29</v>
      </c>
      <c r="FS4" s="11">
        <f t="shared" ref="FS4:FS27" si="79">IF(SUM(FL4,FO4,FR4)&gt;0,SUM(FL4,FO4,FR4),"")</f>
        <v>63.79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27" si="80">IF(FV4&gt;0,FV4,"")</f>
        <v/>
      </c>
      <c r="GO4" s="40" t="str">
        <f t="shared" ref="GO4:GO27" si="81">IF(FW4&gt;0,FW4,"")</f>
        <v/>
      </c>
      <c r="GP4" s="40" t="str">
        <f t="shared" ref="GP4:GP27" si="82">IF(SUM(FT4:FW4)-FX4&gt;0,SUM(FT4:FW4)-FX4,"")</f>
        <v/>
      </c>
      <c r="GQ4" s="40" t="str">
        <f t="shared" ref="GQ4:GQ27" si="83">IF(GA4&gt;0,GA4,"")</f>
        <v/>
      </c>
      <c r="GR4" s="40" t="str">
        <f t="shared" ref="GR4:GR27" si="84">IF(GB4&gt;0,GB4,"")</f>
        <v/>
      </c>
      <c r="GS4" s="40" t="str">
        <f t="shared" ref="GS4:GS27" si="85">IF(SUM(FY4:GB4)-GC4&gt;0,SUM(FY4:GB4)-GC4,"")</f>
        <v/>
      </c>
      <c r="GT4" s="40" t="str">
        <f t="shared" ref="GT4:GT27" si="86">IF(MAX(GP4,GS4)&gt;0,MAX(GP4,GS4),"")</f>
        <v/>
      </c>
      <c r="GU4" s="40" t="str">
        <f t="shared" ref="GU4:GU27" si="87">IF(GF4&gt;0,GF4,"")</f>
        <v/>
      </c>
      <c r="GV4" s="40" t="str">
        <f t="shared" ref="GV4:GV27" si="88">IF(GG4&gt;0,GG4,"")</f>
        <v/>
      </c>
      <c r="GW4" s="40" t="str">
        <f t="shared" ref="GW4:GW27" si="89">IF(SUM(GD4:GG4)-GH4&gt;0,SUM(GD4:GG4)-GH4,"")</f>
        <v/>
      </c>
      <c r="GX4" s="40" t="str">
        <f t="shared" ref="GX4:GX27" si="90">IF(GK4&gt;0,GK4,"")</f>
        <v/>
      </c>
      <c r="GY4" s="40" t="str">
        <f t="shared" ref="GY4:GY27" si="91">IF(GL4&gt;0,GL4,"")</f>
        <v/>
      </c>
      <c r="GZ4" s="40" t="str">
        <f t="shared" ref="GZ4:GZ27" si="92">IF(SUM(GI4:GL4)-GM4&gt;0,SUM(GI4:GL4)-GM4,"")</f>
        <v/>
      </c>
      <c r="HA4" s="40" t="str">
        <f t="shared" ref="HA4:HA27" si="93"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27" si="94">IF(HD4&gt;0,HD4,"")</f>
        <v/>
      </c>
      <c r="HW4" s="11" t="str">
        <f t="shared" ref="HW4:HW27" si="95">IF(HE4&gt;0,HE4,"")</f>
        <v/>
      </c>
      <c r="HX4" s="11" t="str">
        <f t="shared" ref="HX4:HX27" si="96">IF(SUM(HB4:HE4)-HF4&gt;0,SUM(HB4:HE4)-HF4,"")</f>
        <v/>
      </c>
      <c r="HY4" s="11" t="str">
        <f t="shared" ref="HY4:HY27" si="97">IF(HI4&gt;0,HI4,"")</f>
        <v/>
      </c>
      <c r="HZ4" s="11" t="str">
        <f t="shared" ref="HZ4:HZ27" si="98">IF(HJ4&gt;0,HJ4,"")</f>
        <v/>
      </c>
      <c r="IA4" s="11" t="str">
        <f t="shared" ref="IA4:IA27" si="99">IF(SUM(HG4:HJ4)-HK4&gt;0,SUM(HG4:HJ4)-HK4,"")</f>
        <v/>
      </c>
      <c r="IB4" s="11" t="str">
        <f t="shared" ref="IB4:IB27" si="100">IF(MAX(HX4,IA4)&gt;0,MAX(HX4,IA4),"")</f>
        <v/>
      </c>
      <c r="IC4" s="11" t="str">
        <f t="shared" ref="IC4:IC27" si="101">IF(HN4&gt;0,HN4,"")</f>
        <v/>
      </c>
      <c r="ID4" s="11" t="str">
        <f t="shared" ref="ID4:ID27" si="102">IF(HO4&gt;0,HO4,"")</f>
        <v/>
      </c>
      <c r="IE4" s="11" t="str">
        <f t="shared" ref="IE4:IE27" si="103">IF(SUM(HL4:HO4)-HP4&gt;0,SUM(HL4:HO4)-HP4,"")</f>
        <v/>
      </c>
      <c r="IF4" s="11" t="str">
        <f t="shared" ref="IF4:IF27" si="104">IF(HS4&gt;0,HS4,"")</f>
        <v/>
      </c>
      <c r="IG4" s="11" t="str">
        <f t="shared" ref="IG4:IG27" si="105">IF(HT4&gt;0,HT4,"")</f>
        <v/>
      </c>
      <c r="IH4" s="11" t="str">
        <f t="shared" ref="IH4:IH27" si="106">IF(SUM(HQ4:HT4)-HU4&gt;0,SUM(HQ4:HT4)-HU4,"")</f>
        <v/>
      </c>
      <c r="II4" s="11" t="str">
        <f t="shared" ref="II4:II27" si="107">IF(SUM(IB4,IE4,IH4)&gt;0,SUM(IB4,IE4,IH4),"")</f>
        <v/>
      </c>
      <c r="IJ4" s="17">
        <v>6</v>
      </c>
      <c r="IK4" s="17">
        <v>3.7</v>
      </c>
      <c r="IL4" s="17">
        <v>6.7</v>
      </c>
      <c r="IM4" s="17">
        <v>6.96</v>
      </c>
      <c r="IN4" s="17">
        <v>0</v>
      </c>
      <c r="IO4" s="17">
        <v>15.3</v>
      </c>
      <c r="IP4" s="17">
        <v>9.5</v>
      </c>
      <c r="IQ4" s="17">
        <v>15.6</v>
      </c>
      <c r="IR4" s="17">
        <v>16.489999999999998</v>
      </c>
      <c r="IS4" s="17">
        <v>0</v>
      </c>
      <c r="IT4" s="17">
        <v>4.3</v>
      </c>
      <c r="IU4" s="17">
        <v>2.5</v>
      </c>
      <c r="IV4" s="17">
        <v>5.6</v>
      </c>
      <c r="IW4" s="17">
        <v>5.34</v>
      </c>
      <c r="IX4" s="17">
        <v>0</v>
      </c>
      <c r="IY4" s="17"/>
      <c r="IZ4" s="17"/>
      <c r="JA4" s="17"/>
      <c r="JB4" s="17"/>
      <c r="JC4" s="17"/>
      <c r="JD4" s="40">
        <f t="shared" ref="JD4:JD27" si="108">IF(IL4&gt;0,IL4,"")</f>
        <v>6.7</v>
      </c>
      <c r="JE4" s="40">
        <f t="shared" ref="JE4:JE27" si="109">IF(IM4&gt;0,IM4,"")</f>
        <v>6.96</v>
      </c>
      <c r="JF4" s="40">
        <f t="shared" ref="JF4:JF27" si="110">IF(SUM(IJ4:IM4)-IN4&gt;0,SUM(IJ4:IM4)-IN4,"")</f>
        <v>23.36</v>
      </c>
      <c r="JG4" s="40">
        <f t="shared" ref="JG4:JG27" si="111">IF(IQ4&gt;0,IQ4,"")</f>
        <v>15.6</v>
      </c>
      <c r="JH4" s="40">
        <f t="shared" ref="JH4:JH27" si="112">IF(IR4&gt;0,IR4,"")</f>
        <v>16.489999999999998</v>
      </c>
      <c r="JI4" s="40">
        <f t="shared" ref="JI4:JI27" si="113">IF(SUM(IO4:IR4)-IS4&gt;0,SUM(IO4:IR4)-IS4,"")</f>
        <v>56.89</v>
      </c>
      <c r="JJ4" s="40">
        <f t="shared" ref="JJ4:JJ27" si="114">IF(MAX(JF4,JI4)&gt;0,MAX(JF4,JI4),"")</f>
        <v>56.89</v>
      </c>
      <c r="JK4" s="40">
        <f t="shared" ref="JK4:JK27" si="115">IF(IV4&gt;0,IV4,"")</f>
        <v>5.6</v>
      </c>
      <c r="JL4" s="40">
        <f t="shared" ref="JL4:JL27" si="116">IF(IW4&gt;0,IW4,"")</f>
        <v>5.34</v>
      </c>
      <c r="JM4" s="40">
        <f t="shared" ref="JM4:JM27" si="117">IF(SUM(IT4:IW4)-IX4&gt;0,SUM(IT4:IW4)-IX4,"")</f>
        <v>17.739999999999998</v>
      </c>
      <c r="JN4" s="40" t="str">
        <f t="shared" ref="JN4:JN27" si="118">IF(JA4&gt;0,JA4,"")</f>
        <v/>
      </c>
      <c r="JO4" s="40" t="str">
        <f t="shared" ref="JO4:JO27" si="119">IF(JB4&gt;0,JB4,"")</f>
        <v/>
      </c>
      <c r="JP4" s="40" t="str">
        <f t="shared" ref="JP4:JP27" si="120">IF(SUM(IY4:JB4)-JC4&gt;0,SUM(IY4:JB4)-JC4,"")</f>
        <v/>
      </c>
      <c r="JQ4" s="40">
        <f t="shared" ref="JQ4:JQ27" si="121">IF(SUM(JJ4,JM4,JP4)&gt;0,SUM(JJ4,JM4,JP4),"")</f>
        <v>74.63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27" si="122">IF(JT4&gt;0,JT4,"")</f>
        <v/>
      </c>
      <c r="KM4" s="11" t="str">
        <f t="shared" ref="KM4:KM27" si="123">IF(JU4&gt;0,JU4,"")</f>
        <v/>
      </c>
      <c r="KN4" s="11" t="str">
        <f t="shared" ref="KN4:KN27" si="124">IF(SUM(JR4:JU4)-JV4&gt;0,SUM(JR4:JU4)-JV4,"")</f>
        <v/>
      </c>
      <c r="KO4" s="11" t="str">
        <f t="shared" ref="KO4:KO27" si="125">IF(JY4&gt;0,JY4,"")</f>
        <v/>
      </c>
      <c r="KP4" s="11" t="str">
        <f t="shared" ref="KP4:KP27" si="126">IF(JZ4&gt;0,JZ4,"")</f>
        <v/>
      </c>
      <c r="KQ4" s="11" t="str">
        <f t="shared" ref="KQ4:KQ27" si="127">IF(SUM(JW4:JZ4)-KA4&gt;0,SUM(JW4:JZ4)-KA4,"")</f>
        <v/>
      </c>
      <c r="KR4" s="11" t="str">
        <f t="shared" ref="KR4:KR27" si="128">IF(MAX(KN4,KQ4)&gt;0,MAX(KN4,KQ4),"")</f>
        <v/>
      </c>
      <c r="KS4" s="11" t="str">
        <f t="shared" ref="KS4:KS27" si="129">IF(KD4&gt;0,KD4,"")</f>
        <v/>
      </c>
      <c r="KT4" s="11" t="str">
        <f t="shared" ref="KT4:KT27" si="130">IF(KE4&gt;0,KE4,"")</f>
        <v/>
      </c>
      <c r="KU4" s="11" t="str">
        <f t="shared" ref="KU4:KU27" si="131">IF(SUM(KB4:KE4)-KF4&gt;0,SUM(KB4:KE4)-KF4,"")</f>
        <v/>
      </c>
      <c r="KV4" s="11" t="str">
        <f t="shared" ref="KV4:KV27" si="132">IF(KI4&gt;0,KI4,"")</f>
        <v/>
      </c>
      <c r="KW4" s="11" t="str">
        <f t="shared" ref="KW4:KW27" si="133">IF(KJ4&gt;0,KJ4,"")</f>
        <v/>
      </c>
      <c r="KX4" s="11" t="str">
        <f t="shared" ref="KX4:KX27" si="134">IF(SUM(KG4:KJ4)-KK4&gt;0,SUM(KG4:KJ4)-KK4,"")</f>
        <v/>
      </c>
      <c r="KY4" s="11" t="str">
        <f t="shared" ref="KY4:KY27" si="135"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 t="shared" ref="LT4:LT27" si="136">IF(LB4&gt;0,LB4,"")</f>
        <v/>
      </c>
      <c r="LU4" s="40" t="str">
        <f t="shared" ref="LU4:LU27" si="137">IF(LC4&gt;0,LC4,"")</f>
        <v/>
      </c>
      <c r="LV4" s="40" t="str">
        <f t="shared" ref="LV4:LV27" si="138">IF(SUM(KZ4:LC4)-LD4&gt;0,SUM(KZ4:LC4)-LD4,"")</f>
        <v/>
      </c>
      <c r="LW4" s="40" t="str">
        <f t="shared" ref="LW4:LW27" si="139">IF(LG4&gt;0,LG4,"")</f>
        <v/>
      </c>
      <c r="LX4" s="40" t="str">
        <f t="shared" ref="LX4:LX27" si="140">IF(LH4&gt;0,LH4,"")</f>
        <v/>
      </c>
      <c r="LY4" s="40" t="str">
        <f t="shared" ref="LY4:LY27" si="141">IF(SUM(LE4:LH4)-LI4&gt;0,SUM(LE4:LH4)-LI4,"")</f>
        <v/>
      </c>
      <c r="LZ4" s="40" t="str">
        <f t="shared" ref="LZ4:LZ27" si="142">IF(MAX(LV4,LY4)&gt;0,MAX(LV4,LY4),"")</f>
        <v/>
      </c>
      <c r="MA4" s="40" t="str">
        <f t="shared" ref="MA4:MA27" si="143">IF(LL4&gt;0,LL4,"")</f>
        <v/>
      </c>
      <c r="MB4" s="40" t="str">
        <f t="shared" ref="MB4:MB27" si="144">IF(LM4&gt;0,LM4,"")</f>
        <v/>
      </c>
      <c r="MC4" s="40" t="str">
        <f t="shared" ref="MC4:MC27" si="145">IF(SUM(LJ4:LM4)-LN4&gt;0,SUM(LJ4:LM4)-LN4,"")</f>
        <v/>
      </c>
      <c r="MD4" s="40" t="str">
        <f t="shared" ref="MD4:MD27" si="146">IF(LQ4&gt;0,LQ4,"")</f>
        <v/>
      </c>
      <c r="ME4" s="40" t="str">
        <f t="shared" ref="ME4:ME27" si="147">IF(LR4&gt;0,LR4,"")</f>
        <v/>
      </c>
      <c r="MF4" s="40" t="str">
        <f t="shared" ref="MF4:MF27" si="148">IF(SUM(LO4:LR4)-LS4&gt;0,SUM(LO4:LR4)-LS4,"")</f>
        <v/>
      </c>
      <c r="MG4" s="40" t="str">
        <f t="shared" ref="MG4:MG27" si="149"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 t="shared" ref="NB4:NB27" si="150">IF(MJ4&gt;0,MJ4,"")</f>
        <v/>
      </c>
      <c r="NC4" s="11" t="str">
        <f t="shared" ref="NC4:NC27" si="151">IF(MK4&gt;0,MK4,"")</f>
        <v/>
      </c>
      <c r="ND4" s="11" t="str">
        <f t="shared" ref="ND4:ND27" si="152">IF(SUM(MH4:MK4)-ML4&gt;0,SUM(MH4:MK4)-ML4,"")</f>
        <v/>
      </c>
      <c r="NE4" s="11" t="str">
        <f t="shared" ref="NE4:NE27" si="153">IF(MO4&gt;0,MO4,"")</f>
        <v/>
      </c>
      <c r="NF4" s="11" t="str">
        <f t="shared" ref="NF4:NF27" si="154">IF(MP4&gt;0,MP4,"")</f>
        <v/>
      </c>
      <c r="NG4" s="11" t="str">
        <f t="shared" ref="NG4:NG27" si="155">IF(SUM(MM4:MP4)-MQ4&gt;0,SUM(MM4:MP4)-MQ4,"")</f>
        <v/>
      </c>
      <c r="NH4" s="11" t="str">
        <f t="shared" ref="NH4:NH27" si="156">IF(MAX(ND4,NG4)&gt;0,MAX(ND4,NG4),"")</f>
        <v/>
      </c>
      <c r="NI4" s="11" t="str">
        <f t="shared" ref="NI4:NI27" si="157">IF(MT4&gt;0,MT4,"")</f>
        <v/>
      </c>
      <c r="NJ4" s="11" t="str">
        <f t="shared" ref="NJ4:NJ27" si="158">IF(MU4&gt;0,MU4,"")</f>
        <v/>
      </c>
      <c r="NK4" s="11" t="str">
        <f t="shared" ref="NK4:NK27" si="159">IF(SUM(MR4:MU4)-MV4&gt;0,SUM(MR4:MU4)-MV4,"")</f>
        <v/>
      </c>
      <c r="NL4" s="11" t="str">
        <f t="shared" ref="NL4:NL27" si="160">IF(MY4&gt;0,MY4,"")</f>
        <v/>
      </c>
      <c r="NM4" s="11" t="str">
        <f t="shared" ref="NM4:NM27" si="161">IF(MZ4&gt;0,MZ4,"")</f>
        <v/>
      </c>
      <c r="NN4" s="11" t="str">
        <f t="shared" ref="NN4:NN27" si="162">IF(SUM(MW4:MZ4)-NA4&gt;0,SUM(MW4:MZ4)-NA4,"")</f>
        <v/>
      </c>
      <c r="NO4" s="11" t="str">
        <f t="shared" ref="NO4:NO27" si="163"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27" si="164">IF(NR4&gt;0,NR4,"")</f>
        <v/>
      </c>
      <c r="OK4" s="40" t="str">
        <f t="shared" ref="OK4:OK27" si="165">IF(NS4&gt;0,NS4,"")</f>
        <v/>
      </c>
      <c r="OL4" s="40" t="str">
        <f t="shared" ref="OL4:OL27" si="166">IF(SUM(NP4:NS4)-NT4&gt;0,SUM(NP4:NS4)-NT4,"")</f>
        <v/>
      </c>
      <c r="OM4" s="40" t="str">
        <f t="shared" ref="OM4:OM27" si="167">IF(NW4&gt;0,NW4,"")</f>
        <v/>
      </c>
      <c r="ON4" s="40" t="str">
        <f t="shared" ref="ON4:ON27" si="168">IF(NX4&gt;0,NX4,"")</f>
        <v/>
      </c>
      <c r="OO4" s="40" t="str">
        <f t="shared" ref="OO4:OO27" si="169">IF(SUM(NU4:NX4)-NY4&gt;0,SUM(NU4:NX4)-NY4,"")</f>
        <v/>
      </c>
      <c r="OP4" s="40" t="str">
        <f t="shared" ref="OP4:OP27" si="170">IF(MAX(OL4,OO4)&gt;0,MAX(OL4,OO4),"")</f>
        <v/>
      </c>
      <c r="OQ4" s="40" t="str">
        <f t="shared" ref="OQ4:OQ27" si="171">IF(OB4&gt;0,OB4,"")</f>
        <v/>
      </c>
      <c r="OR4" s="40" t="str">
        <f t="shared" ref="OR4:OR27" si="172">IF(OC4&gt;0,OC4,"")</f>
        <v/>
      </c>
      <c r="OS4" s="40" t="str">
        <f t="shared" ref="OS4:OS27" si="173">IF(SUM(NZ4:OC4)-OD4&gt;0,SUM(NZ4:OC4)-OD4,"")</f>
        <v/>
      </c>
      <c r="OT4" s="40" t="str">
        <f t="shared" ref="OT4:OT27" si="174">IF(OG4&gt;0,OG4,"")</f>
        <v/>
      </c>
      <c r="OU4" s="40" t="str">
        <f t="shared" ref="OU4:OU27" si="175">IF(OH4&gt;0,OH4,"")</f>
        <v/>
      </c>
      <c r="OV4" s="40" t="str">
        <f t="shared" ref="OV4:OV27" si="176">IF(SUM(OE4:OH4)-OI4&gt;0,SUM(OE4:OH4)-OI4,"")</f>
        <v/>
      </c>
      <c r="OW4" s="40" t="str">
        <f t="shared" ref="OW4:OW27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7" si="178">IF(OZ4&gt;0,OZ4,"")</f>
        <v/>
      </c>
      <c r="PS4" s="11" t="str">
        <f t="shared" ref="PS4:PS27" si="179">IF(PA4&gt;0,PA4,"")</f>
        <v/>
      </c>
      <c r="PT4" s="11" t="str">
        <f t="shared" ref="PT4:PT27" si="180">IF(SUM(OX4:PA4)-PB4&gt;0,SUM(OX4:PA4)-PB4,"")</f>
        <v/>
      </c>
      <c r="PU4" s="11" t="str">
        <f t="shared" ref="PU4:PU27" si="181">IF(PE4&gt;0,PE4,"")</f>
        <v/>
      </c>
      <c r="PV4" s="11" t="str">
        <f t="shared" ref="PV4:PV27" si="182">IF(PF4&gt;0,PF4,"")</f>
        <v/>
      </c>
      <c r="PW4" s="11" t="str">
        <f t="shared" ref="PW4:PW27" si="183">IF(SUM(PC4:PF4)-PG4&gt;0,SUM(PC4:PF4)-PG4,"")</f>
        <v/>
      </c>
      <c r="PX4" s="11" t="str">
        <f t="shared" ref="PX4:PX27" si="184">IF(MAX(PT4,PW4)&gt;0,MAX(PT4,PW4),"")</f>
        <v/>
      </c>
      <c r="PY4" s="11" t="str">
        <f t="shared" ref="PY4:PY27" si="185">IF(PJ4&gt;0,PJ4,"")</f>
        <v/>
      </c>
      <c r="PZ4" s="11" t="str">
        <f t="shared" ref="PZ4:PZ27" si="186">IF(PK4&gt;0,PK4,"")</f>
        <v/>
      </c>
      <c r="QA4" s="11" t="str">
        <f t="shared" ref="QA4:QA27" si="187">IF(SUM(PH4:PK4)-PL4&gt;0,SUM(PH4:PK4)-PL4,"")</f>
        <v/>
      </c>
      <c r="QB4" s="11" t="str">
        <f t="shared" ref="QB4:QB27" si="188">IF(PO4&gt;0,PO4,"")</f>
        <v/>
      </c>
      <c r="QC4" s="11" t="str">
        <f t="shared" ref="QC4:QC27" si="189">IF(PP4&gt;0,PP4,"")</f>
        <v/>
      </c>
      <c r="QD4" s="11" t="str">
        <f t="shared" ref="QD4:QD27" si="190">IF(SUM(PM4:PP4)-PQ4&gt;0,SUM(PM4:PP4)-PQ4,"")</f>
        <v/>
      </c>
      <c r="QE4" s="11" t="str">
        <f t="shared" ref="QE4:QE27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27" si="192">IF(QH4&gt;0,QH4,"")</f>
        <v/>
      </c>
      <c r="RA4" s="40" t="str">
        <f t="shared" ref="RA4:RA27" si="193">IF(QI4&gt;0,QI4,"")</f>
        <v/>
      </c>
      <c r="RB4" s="40" t="str">
        <f t="shared" ref="RB4:RB27" si="194">IF(SUM(QF4:QI4)-QJ4&gt;0,SUM(QF4:QI4)-QJ4,"")</f>
        <v/>
      </c>
      <c r="RC4" s="40" t="str">
        <f t="shared" ref="RC4:RC27" si="195">IF(QM4&gt;0,QM4,"")</f>
        <v/>
      </c>
      <c r="RD4" s="40" t="str">
        <f t="shared" ref="RD4:RD27" si="196">IF(QN4&gt;0,QN4,"")</f>
        <v/>
      </c>
      <c r="RE4" s="40" t="str">
        <f t="shared" ref="RE4:RE27" si="197">IF(SUM(QK4:QN4)-QO4&gt;0,SUM(QK4:QN4)-QO4,"")</f>
        <v/>
      </c>
      <c r="RF4" s="40" t="str">
        <f t="shared" ref="RF4:RF27" si="198">IF(MAX(RB4,RE4)&gt;0,MAX(RB4,RE4),"")</f>
        <v/>
      </c>
      <c r="RG4" s="40" t="str">
        <f t="shared" ref="RG4:RG27" si="199">IF(QR4&gt;0,QR4,"")</f>
        <v/>
      </c>
      <c r="RH4" s="40" t="str">
        <f t="shared" ref="RH4:RH27" si="200">IF(QS4&gt;0,QS4,"")</f>
        <v/>
      </c>
      <c r="RI4" s="40" t="str">
        <f t="shared" ref="RI4:RI27" si="201">IF(SUM(QP4:QS4)-QT4&gt;0,SUM(QP4:QS4)-QT4,"")</f>
        <v/>
      </c>
      <c r="RJ4" s="40" t="str">
        <f t="shared" ref="RJ4:RJ27" si="202">IF(QW4&gt;0,QW4,"")</f>
        <v/>
      </c>
      <c r="RK4" s="40" t="str">
        <f t="shared" ref="RK4:RK27" si="203">IF(QX4&gt;0,QX4,"")</f>
        <v/>
      </c>
      <c r="RL4" s="40" t="str">
        <f t="shared" ref="RL4:RL27" si="204">IF(SUM(QU4:QX4)-QY4&gt;0,SUM(QU4:QX4)-QY4,"")</f>
        <v/>
      </c>
      <c r="RM4" s="40" t="str">
        <f t="shared" ref="RM4:RM27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7" si="206">IF(RP4&gt;0,RP4,"")</f>
        <v/>
      </c>
      <c r="SI4" s="11" t="str">
        <f t="shared" ref="SI4:SI27" si="207">IF(RQ4&gt;0,RQ4,"")</f>
        <v/>
      </c>
      <c r="SJ4" s="11" t="str">
        <f t="shared" ref="SJ4:SJ27" si="208">IF(SUM(RN4:RQ4)-RR4&gt;0,SUM(RN4:RQ4)-RR4,"")</f>
        <v/>
      </c>
      <c r="SK4" s="11" t="str">
        <f t="shared" ref="SK4:SK27" si="209">IF(RU4&gt;0,RU4,"")</f>
        <v/>
      </c>
      <c r="SL4" s="11" t="str">
        <f t="shared" ref="SL4:SL27" si="210">IF(RV4&gt;0,RV4,"")</f>
        <v/>
      </c>
      <c r="SM4" s="11" t="str">
        <f t="shared" ref="SM4:SM27" si="211">IF(SUM(RS4:RV4)-RW4&gt;0,SUM(RS4:RV4)-RW4,"")</f>
        <v/>
      </c>
      <c r="SN4" s="11" t="str">
        <f t="shared" ref="SN4:SN27" si="212">IF(MAX(SJ4,SM4)&gt;0,MAX(SJ4,SM4),"")</f>
        <v/>
      </c>
      <c r="SO4" s="11" t="str">
        <f t="shared" ref="SO4:SO27" si="213">IF(RZ4&gt;0,RZ4,"")</f>
        <v/>
      </c>
      <c r="SP4" s="11" t="str">
        <f t="shared" ref="SP4:SP27" si="214">IF(SA4&gt;0,SA4,"")</f>
        <v/>
      </c>
      <c r="SQ4" s="11" t="str">
        <f t="shared" ref="SQ4:SQ27" si="215">IF(SUM(RX4:SA4)-SB4&gt;0,SUM(RX4:SA4)-SB4,"")</f>
        <v/>
      </c>
      <c r="SR4" s="11" t="str">
        <f t="shared" ref="SR4:SR27" si="216">IF(SE4&gt;0,SE4,"")</f>
        <v/>
      </c>
      <c r="SS4" s="11" t="str">
        <f t="shared" ref="SS4:SS27" si="217">IF(SF4&gt;0,SF4,"")</f>
        <v/>
      </c>
      <c r="ST4" s="11" t="str">
        <f t="shared" ref="ST4:ST27" si="218">IF(SUM(SC4:SF4)-SG4&gt;0,SUM(SC4:SF4)-SG4,"")</f>
        <v/>
      </c>
      <c r="SU4" s="11" t="str">
        <f t="shared" ref="SU4:SU27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27" si="220">IF(SX4&gt;0,SX4,"")</f>
        <v/>
      </c>
      <c r="TQ4" s="40" t="str">
        <f t="shared" ref="TQ4:TQ27" si="221">IF(SY4&gt;0,SY4,"")</f>
        <v/>
      </c>
      <c r="TR4" s="40" t="str">
        <f t="shared" ref="TR4:TR27" si="222">IF(SUM(SV4:SY4)-SZ4&gt;0,SUM(SV4:SY4)-SZ4,"")</f>
        <v/>
      </c>
      <c r="TS4" s="40" t="str">
        <f t="shared" ref="TS4:TS27" si="223">IF(TC4&gt;0,TC4,"")</f>
        <v/>
      </c>
      <c r="TT4" s="40" t="str">
        <f t="shared" ref="TT4:TT27" si="224">IF(TD4&gt;0,TD4,"")</f>
        <v/>
      </c>
      <c r="TU4" s="40" t="str">
        <f t="shared" ref="TU4:TU27" si="225">IF(SUM(TA4:TD4)-TE4&gt;0,SUM(TA4:TD4)-TE4,"")</f>
        <v/>
      </c>
      <c r="TV4" s="40" t="str">
        <f t="shared" ref="TV4:TV27" si="226">IF(MAX(TR4,TU4)&gt;0,MAX(TR4,TU4),"")</f>
        <v/>
      </c>
      <c r="TW4" s="40" t="str">
        <f t="shared" ref="TW4:TW27" si="227">IF(TH4&gt;0,TH4,"")</f>
        <v/>
      </c>
      <c r="TX4" s="40" t="str">
        <f t="shared" ref="TX4:TX27" si="228">IF(TI4&gt;0,TI4,"")</f>
        <v/>
      </c>
      <c r="TY4" s="40" t="str">
        <f t="shared" ref="TY4:TY27" si="229">IF(SUM(TF4:TI4)-TJ4&gt;0,SUM(TF4:TI4)-TJ4,"")</f>
        <v/>
      </c>
      <c r="TZ4" s="40" t="str">
        <f t="shared" ref="TZ4:TZ27" si="230">IF(TM4&gt;0,TM4,"")</f>
        <v/>
      </c>
      <c r="UA4" s="40" t="str">
        <f t="shared" ref="UA4:UA27" si="231">IF(TN4&gt;0,TN4,"")</f>
        <v/>
      </c>
      <c r="UB4" s="40" t="str">
        <f t="shared" ref="UB4:UB27" si="232">IF(SUM(TK4:TN4)-TO4&gt;0,SUM(TK4:TN4)-TO4,"")</f>
        <v/>
      </c>
      <c r="UC4" s="40" t="str">
        <f t="shared" ref="UC4:UC27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27" si="234">IF(UF4&gt;0,UF4,"")</f>
        <v/>
      </c>
      <c r="UY4" s="11" t="str">
        <f t="shared" ref="UY4:UY27" si="235">IF(UG4&gt;0,UG4,"")</f>
        <v/>
      </c>
      <c r="UZ4" s="11" t="str">
        <f t="shared" ref="UZ4:UZ27" si="236">IF(SUM(UD4:UG4)-UH4&gt;0,SUM(UD4:UG4)-UH4,"")</f>
        <v/>
      </c>
      <c r="VA4" s="11" t="str">
        <f t="shared" ref="VA4:VA27" si="237">IF(UK4&gt;0,UK4,"")</f>
        <v/>
      </c>
      <c r="VB4" s="11" t="str">
        <f t="shared" ref="VB4:VB27" si="238">IF(UL4&gt;0,UL4,"")</f>
        <v/>
      </c>
      <c r="VC4" s="11" t="str">
        <f t="shared" ref="VC4:VC27" si="239">IF(SUM(UI4:UL4)-UM4&gt;0,SUM(UI4:UL4)-UM4,"")</f>
        <v/>
      </c>
      <c r="VD4" s="11" t="str">
        <f t="shared" ref="VD4:VD27" si="240">IF(MAX(UZ4,VC4)&gt;0,MAX(UZ4,VC4),"")</f>
        <v/>
      </c>
      <c r="VE4" s="11" t="str">
        <f t="shared" ref="VE4:VE27" si="241">IF(UP4&gt;0,UP4,"")</f>
        <v/>
      </c>
      <c r="VF4" s="11" t="str">
        <f t="shared" ref="VF4:VF27" si="242">IF(UQ4&gt;0,UQ4,"")</f>
        <v/>
      </c>
      <c r="VG4" s="11" t="str">
        <f t="shared" ref="VG4:VG27" si="243">IF(SUM(UN4:UQ4)-UR4&gt;0,SUM(UN4:UQ4)-UR4,"")</f>
        <v/>
      </c>
      <c r="VH4" s="11" t="str">
        <f t="shared" ref="VH4:VH27" si="244">IF(UU4&gt;0,UU4,"")</f>
        <v/>
      </c>
      <c r="VI4" s="11" t="str">
        <f t="shared" ref="VI4:VI27" si="245">IF(UV4&gt;0,UV4,"")</f>
        <v/>
      </c>
      <c r="VJ4" s="11" t="str">
        <f t="shared" ref="VJ4:VJ27" si="246">IF(SUM(US4:UV4)-UW4&gt;0,SUM(US4:UV4)-UW4,"")</f>
        <v/>
      </c>
      <c r="VK4" s="11" t="str">
        <f t="shared" ref="VK4:VK27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27" si="248">IF(VN4&gt;0,VN4,"")</f>
        <v/>
      </c>
      <c r="WG4" s="40" t="str">
        <f t="shared" ref="WG4:WG27" si="249">IF(VO4&gt;0,VO4,"")</f>
        <v/>
      </c>
      <c r="WH4" s="40" t="str">
        <f t="shared" ref="WH4:WH27" si="250">IF(SUM(VL4:VO4)-VP4&gt;0,SUM(VL4:VO4)-VP4,"")</f>
        <v/>
      </c>
      <c r="WI4" s="40" t="str">
        <f t="shared" ref="WI4:WI27" si="251">IF(VS4&gt;0,VS4,"")</f>
        <v/>
      </c>
      <c r="WJ4" s="40" t="str">
        <f t="shared" ref="WJ4:WJ27" si="252">IF(VT4&gt;0,VT4,"")</f>
        <v/>
      </c>
      <c r="WK4" s="40" t="str">
        <f t="shared" ref="WK4:WK27" si="253">IF(SUM(VQ4:VT4)-VU4&gt;0,SUM(VQ4:VT4)-VU4,"")</f>
        <v/>
      </c>
      <c r="WL4" s="40" t="str">
        <f t="shared" ref="WL4:WL27" si="254">IF(MAX(WH4,WK4)&gt;0,MAX(WH4,WK4),"")</f>
        <v/>
      </c>
      <c r="WM4" s="40" t="str">
        <f t="shared" ref="WM4:WM27" si="255">IF(VX4&gt;0,VX4,"")</f>
        <v/>
      </c>
      <c r="WN4" s="40" t="str">
        <f t="shared" ref="WN4:WN27" si="256">IF(VY4&gt;0,VY4,"")</f>
        <v/>
      </c>
      <c r="WO4" s="40" t="str">
        <f t="shared" ref="WO4:WO27" si="257">IF(SUM(VV4:VY4)-VZ4&gt;0,SUM(VV4:VY4)-VZ4,"")</f>
        <v/>
      </c>
      <c r="WP4" s="40" t="str">
        <f t="shared" ref="WP4:WP27" si="258">IF(WC4&gt;0,WC4,"")</f>
        <v/>
      </c>
      <c r="WQ4" s="40" t="str">
        <f t="shared" ref="WQ4:WQ27" si="259">IF(WD4&gt;0,WD4,"")</f>
        <v/>
      </c>
      <c r="WR4" s="40" t="str">
        <f t="shared" ref="WR4:WR27" si="260">IF(SUM(WA4:WD4)-WE4&gt;0,SUM(WA4:WD4)-WE4,"")</f>
        <v/>
      </c>
      <c r="WS4" s="40" t="str">
        <f t="shared" ref="WS4:WS27" si="261">IF(SUM(WL4,WO4,WR4)&gt;0,SUM(WL4,WO4,WR4),"")</f>
        <v/>
      </c>
      <c r="WT4" s="26">
        <f t="shared" ref="WT4:WT27" si="262">IF($CP4="P",CA4,(CA4+AZ4)/2)</f>
        <v>17.3</v>
      </c>
      <c r="WU4" s="26">
        <f t="shared" ref="WU4:WU27" si="263">IF($CP4="P",CB4,(CB4+BA4)/2)</f>
        <v>9.1999999999999993</v>
      </c>
      <c r="WV4" s="26">
        <f t="shared" ref="WV4:WV27" si="264">IF($CP4="P",CC4,(CC4+BB4)/2)</f>
        <v>16.05</v>
      </c>
      <c r="WW4" s="26">
        <f t="shared" ref="WW4:WW27" si="265">IF($CP4="P",CD4,(CD4+BC4)/2)</f>
        <v>16.399999999999999</v>
      </c>
      <c r="WX4" s="26">
        <f t="shared" ref="WX4:WX27" si="266">IF($CP4="P",CE4,(CE4+BD4)/2)</f>
        <v>0</v>
      </c>
      <c r="WY4" s="26">
        <f t="shared" ref="WY4:WY27" si="267">IF($CP4="P",CF4,(CF4+BE4)/2)</f>
        <v>9.5</v>
      </c>
      <c r="WZ4" s="26">
        <f t="shared" ref="WZ4:WZ27" si="268">IF($CP4="P",CG4,(CG4+BF4)/2)</f>
        <v>4.75</v>
      </c>
      <c r="XA4" s="26">
        <f t="shared" ref="XA4:XA27" si="269">IF($CP4="P",CH4,(CH4+BG4)/2)</f>
        <v>9.1</v>
      </c>
      <c r="XB4" s="26">
        <f t="shared" ref="XB4:XB27" si="270">IF($CP4="P",CI4,(CI4+BH4)/2)</f>
        <v>9.3149999999999995</v>
      </c>
      <c r="XC4" s="26">
        <f t="shared" ref="XC4:XC27" si="271">IF($CP4="P",CJ4,(CJ4+BI4)/2)</f>
        <v>0</v>
      </c>
      <c r="XD4" s="26">
        <f t="shared" ref="XD4:XD27" si="272">IF($CP4="P",CK4,(CK4+BJ4)/2)</f>
        <v>17</v>
      </c>
      <c r="XE4" s="26">
        <f t="shared" ref="XE4:XE27" si="273">IF($CP4="P",CL4,(CL4+BK4)/2)</f>
        <v>9.0500000000000007</v>
      </c>
      <c r="XF4" s="26">
        <f t="shared" ref="XF4:XF27" si="274">IF($CP4="P",CM4,(CM4+BL4)/2)</f>
        <v>16.149999999999999</v>
      </c>
      <c r="XG4" s="26">
        <f t="shared" ref="XG4:XG27" si="275">IF($CP4="P",CN4,(CN4+BM4)/2)</f>
        <v>16.48</v>
      </c>
      <c r="XH4" s="26">
        <f t="shared" ref="XH4:XH27" si="276">IF($CP4="P",CO4,(CO4+BN4)/2)</f>
        <v>0</v>
      </c>
      <c r="XI4" s="28" t="s">
        <v>53</v>
      </c>
      <c r="XJ4" s="11">
        <f t="shared" ref="XJ4:XJ27" si="277">IF(WV4&gt;0,WV4,"")</f>
        <v>16.05</v>
      </c>
      <c r="XK4" s="11">
        <f t="shared" ref="XK4:XK27" si="278">IF(WW4&gt;0,WW4,"")</f>
        <v>16.399999999999999</v>
      </c>
      <c r="XL4" s="11">
        <f t="shared" ref="XL4:XL27" si="279">IF(SUM(WT4:WW4)-WX4&gt;0,SUM(WT4:WW4)-WX4,"")</f>
        <v>58.949999999999996</v>
      </c>
      <c r="XM4" s="11">
        <f t="shared" ref="XM4:XM27" si="280">IF(XA4&gt;0,XA4,"")</f>
        <v>9.1</v>
      </c>
      <c r="XN4" s="11">
        <f t="shared" ref="XN4:XN27" si="281">IF(XB4&gt;0,XB4,"")</f>
        <v>9.3149999999999995</v>
      </c>
      <c r="XO4" s="11">
        <f t="shared" ref="XO4:XO27" si="282">IF(SUM(WY4:XB4)-XC4&gt;0,SUM(WY4:XB4)-XC4,"")</f>
        <v>32.664999999999999</v>
      </c>
      <c r="XP4" s="11">
        <f t="shared" ref="XP4:XP27" si="283">IF(MAX(XL4,XO4)&gt;0,MAX(XL4,XO4),"")</f>
        <v>58.949999999999996</v>
      </c>
      <c r="XQ4" s="11">
        <f t="shared" ref="XQ4:XQ27" si="284">IF(XF4&gt;0,XF4,"")</f>
        <v>16.149999999999999</v>
      </c>
      <c r="XR4" s="11">
        <f t="shared" ref="XR4:XR27" si="285">IF(XG4&gt;0,XG4,"")</f>
        <v>16.48</v>
      </c>
      <c r="XS4" s="11">
        <f t="shared" ref="XS4:XS27" si="286">IF(SUM(XD4:XG4)-XH4&gt;0,SUM(XD4:XG4)-XH4,"")</f>
        <v>58.680000000000007</v>
      </c>
      <c r="XT4" s="11">
        <f t="shared" ref="XT4:XT27" si="287">IF(SUM(XP4,XS4)&gt;0,SUM(XP4,XS4),"")</f>
        <v>117.63</v>
      </c>
    </row>
    <row r="5" spans="1:644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84</v>
      </c>
      <c r="C5" s="4" t="s">
        <v>6</v>
      </c>
      <c r="D5" s="4">
        <v>2003</v>
      </c>
      <c r="E5" s="9">
        <f t="shared" si="0"/>
        <v>265.50002655000594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59.84</v>
      </c>
      <c r="K5" s="8" t="str">
        <f t="shared" si="5"/>
        <v>2024 3rd Domestic Trial</v>
      </c>
      <c r="L5" s="8">
        <f>IF(COUNT(AQ5,AT5,BR5,BU5,CS5,CV5)&gt;1,LARGE((AQ5,AT5,BR5,BU5,CS5,CV5),2),0)</f>
        <v>57.55</v>
      </c>
      <c r="M5" s="8" t="str">
        <f t="shared" si="6"/>
        <v>2024 3rd Domestic Trial</v>
      </c>
      <c r="N5" s="8">
        <f>IF(COUNT(AQ5,AT5,BR5,BU5,CS5,CV5)&gt;2,LARGE((AQ5,AT5,BR5,BU5,CS5,CV5),3),0)</f>
        <v>56.56</v>
      </c>
      <c r="O5" s="8" t="str">
        <f t="shared" si="7"/>
        <v>2024 Nationals</v>
      </c>
      <c r="P5" s="8">
        <f t="shared" si="8"/>
        <v>57.81</v>
      </c>
      <c r="Q5" s="8" t="str">
        <f t="shared" si="9"/>
        <v>2024 3rd Domestic Trial</v>
      </c>
      <c r="R5" s="8">
        <f t="shared" si="10"/>
        <v>16.600000000000001</v>
      </c>
      <c r="S5" s="8" t="str">
        <f t="shared" si="11"/>
        <v>2025 Elite Canada</v>
      </c>
      <c r="T5" s="8">
        <f t="shared" si="12"/>
        <v>17.14</v>
      </c>
      <c r="U5" s="8" t="str">
        <f t="shared" si="13"/>
        <v>2024 3rd Domestic Trial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2">
        <v>16.2</v>
      </c>
      <c r="Z5" s="22">
        <v>8.9</v>
      </c>
      <c r="AA5" s="22">
        <v>15.2</v>
      </c>
      <c r="AB5" s="22">
        <v>16.260000000000002</v>
      </c>
      <c r="AC5" s="22">
        <v>0</v>
      </c>
      <c r="AD5" s="22">
        <v>15.6</v>
      </c>
      <c r="AE5" s="22">
        <v>8.8000000000000007</v>
      </c>
      <c r="AF5" s="22">
        <v>14.5</v>
      </c>
      <c r="AG5" s="22">
        <v>16.11</v>
      </c>
      <c r="AH5" s="22">
        <v>0</v>
      </c>
      <c r="AI5" s="22">
        <v>15.5</v>
      </c>
      <c r="AJ5" s="22">
        <v>8.9</v>
      </c>
      <c r="AK5" s="22">
        <v>15</v>
      </c>
      <c r="AL5" s="22">
        <v>15.98</v>
      </c>
      <c r="AM5" s="22">
        <v>0</v>
      </c>
      <c r="AN5" s="27"/>
      <c r="AO5" s="38">
        <f t="shared" si="17"/>
        <v>15.2</v>
      </c>
      <c r="AP5" s="38">
        <f t="shared" si="18"/>
        <v>16.260000000000002</v>
      </c>
      <c r="AQ5" s="40">
        <f t="shared" si="19"/>
        <v>56.56</v>
      </c>
      <c r="AR5" s="40">
        <f t="shared" si="20"/>
        <v>14.5</v>
      </c>
      <c r="AS5" s="40">
        <f t="shared" si="21"/>
        <v>16.11</v>
      </c>
      <c r="AT5" s="40">
        <f t="shared" si="22"/>
        <v>55.01</v>
      </c>
      <c r="AU5" s="40">
        <f t="shared" si="23"/>
        <v>56.56</v>
      </c>
      <c r="AV5" s="40">
        <f t="shared" si="24"/>
        <v>15</v>
      </c>
      <c r="AW5" s="40">
        <f t="shared" si="25"/>
        <v>15.98</v>
      </c>
      <c r="AX5" s="40">
        <f t="shared" si="26"/>
        <v>55.379999999999995</v>
      </c>
      <c r="AY5" s="40">
        <f t="shared" si="27"/>
        <v>111.94</v>
      </c>
      <c r="AZ5" s="26">
        <v>16.899999999999999</v>
      </c>
      <c r="BA5" s="26">
        <v>8.4</v>
      </c>
      <c r="BB5" s="26">
        <v>15.2</v>
      </c>
      <c r="BC5" s="26">
        <v>17.05</v>
      </c>
      <c r="BD5" s="26">
        <v>0</v>
      </c>
      <c r="BE5" s="26">
        <v>17.7</v>
      </c>
      <c r="BF5" s="26">
        <v>9.1999999999999993</v>
      </c>
      <c r="BG5" s="26">
        <v>15.8</v>
      </c>
      <c r="BH5" s="26">
        <v>17.14</v>
      </c>
      <c r="BI5" s="26">
        <v>0</v>
      </c>
      <c r="BJ5" s="26">
        <v>15.6</v>
      </c>
      <c r="BK5" s="26">
        <v>9</v>
      </c>
      <c r="BL5" s="26">
        <v>16.2</v>
      </c>
      <c r="BM5" s="26">
        <v>17.010000000000002</v>
      </c>
      <c r="BN5" s="26">
        <v>0</v>
      </c>
      <c r="BO5" s="28"/>
      <c r="BP5" s="39">
        <f t="shared" si="28"/>
        <v>15.2</v>
      </c>
      <c r="BQ5" s="39">
        <f t="shared" si="29"/>
        <v>17.05</v>
      </c>
      <c r="BR5" s="11">
        <f t="shared" si="30"/>
        <v>57.55</v>
      </c>
      <c r="BS5" s="11">
        <f t="shared" si="31"/>
        <v>15.8</v>
      </c>
      <c r="BT5" s="11">
        <f t="shared" si="32"/>
        <v>17.14</v>
      </c>
      <c r="BU5" s="11">
        <f t="shared" si="33"/>
        <v>59.84</v>
      </c>
      <c r="BV5" s="11">
        <f t="shared" si="34"/>
        <v>59.84</v>
      </c>
      <c r="BW5" s="11">
        <f t="shared" si="35"/>
        <v>16.2</v>
      </c>
      <c r="BX5" s="11">
        <f t="shared" si="36"/>
        <v>17.010000000000002</v>
      </c>
      <c r="BY5" s="11">
        <f t="shared" si="37"/>
        <v>57.81</v>
      </c>
      <c r="BZ5" s="11">
        <f t="shared" si="38"/>
        <v>117.65</v>
      </c>
      <c r="CA5" s="22">
        <v>14.3</v>
      </c>
      <c r="CB5" s="22">
        <v>9.1</v>
      </c>
      <c r="CC5" s="22">
        <v>16.399999999999999</v>
      </c>
      <c r="CD5" s="22">
        <v>16.37</v>
      </c>
      <c r="CE5" s="22">
        <v>0</v>
      </c>
      <c r="CF5" s="22">
        <v>3.2</v>
      </c>
      <c r="CG5" s="22">
        <v>1.9</v>
      </c>
      <c r="CH5" s="22">
        <v>4</v>
      </c>
      <c r="CI5" s="22">
        <v>3.52</v>
      </c>
      <c r="CJ5" s="22">
        <v>0</v>
      </c>
      <c r="CK5" s="22">
        <v>15.1</v>
      </c>
      <c r="CL5" s="22">
        <v>8.9</v>
      </c>
      <c r="CM5" s="22">
        <v>16.600000000000001</v>
      </c>
      <c r="CN5" s="22">
        <v>17.04</v>
      </c>
      <c r="CO5" s="22">
        <v>0</v>
      </c>
      <c r="CP5" s="27"/>
      <c r="CQ5" s="38">
        <f t="shared" si="39"/>
        <v>16.399999999999999</v>
      </c>
      <c r="CR5" s="38">
        <f t="shared" si="40"/>
        <v>16.37</v>
      </c>
      <c r="CS5" s="40">
        <f t="shared" si="41"/>
        <v>56.17</v>
      </c>
      <c r="CT5" s="40">
        <f t="shared" si="42"/>
        <v>4</v>
      </c>
      <c r="CU5" s="40">
        <f t="shared" si="43"/>
        <v>3.52</v>
      </c>
      <c r="CV5" s="40">
        <f t="shared" si="44"/>
        <v>12.62</v>
      </c>
      <c r="CW5" s="40">
        <f t="shared" si="45"/>
        <v>56.17</v>
      </c>
      <c r="CX5" s="40">
        <f t="shared" si="46"/>
        <v>16.600000000000001</v>
      </c>
      <c r="CY5" s="40">
        <f t="shared" si="47"/>
        <v>17.04</v>
      </c>
      <c r="CZ5" s="40">
        <f t="shared" si="48"/>
        <v>57.64</v>
      </c>
      <c r="DA5" s="40">
        <f t="shared" si="49"/>
        <v>113.81</v>
      </c>
      <c r="DB5" s="51" t="str">
        <f t="shared" si="50"/>
        <v/>
      </c>
      <c r="DC5" s="51" t="str">
        <f t="shared" si="51"/>
        <v/>
      </c>
      <c r="DD5" s="17">
        <v>14.4</v>
      </c>
      <c r="DE5" s="17">
        <v>8.8000000000000007</v>
      </c>
      <c r="DF5" s="17">
        <v>16.2</v>
      </c>
      <c r="DG5" s="17">
        <v>16.54</v>
      </c>
      <c r="DH5" s="17">
        <v>0</v>
      </c>
      <c r="DI5" s="17">
        <v>2.8</v>
      </c>
      <c r="DJ5" s="17">
        <v>1.8</v>
      </c>
      <c r="DK5" s="17">
        <v>3.8</v>
      </c>
      <c r="DL5" s="17">
        <v>3.65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 t="shared" si="52"/>
        <v>16.2</v>
      </c>
      <c r="DY5" s="40">
        <f t="shared" si="53"/>
        <v>16.54</v>
      </c>
      <c r="DZ5" s="40">
        <f t="shared" si="54"/>
        <v>55.940000000000005</v>
      </c>
      <c r="EA5" s="40">
        <f t="shared" si="55"/>
        <v>3.8</v>
      </c>
      <c r="EB5" s="40">
        <f t="shared" si="56"/>
        <v>3.65</v>
      </c>
      <c r="EC5" s="40">
        <f t="shared" si="57"/>
        <v>12.049999999999999</v>
      </c>
      <c r="ED5" s="40">
        <f t="shared" si="58"/>
        <v>55.940000000000005</v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>
        <f t="shared" si="65"/>
        <v>55.940000000000005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14.7</v>
      </c>
      <c r="IK5" s="17">
        <v>9</v>
      </c>
      <c r="IL5" s="17">
        <v>15.8</v>
      </c>
      <c r="IM5" s="17">
        <v>16.920000000000002</v>
      </c>
      <c r="IN5" s="17">
        <v>0.2</v>
      </c>
      <c r="IO5" s="17">
        <v>1.6</v>
      </c>
      <c r="IP5" s="17">
        <v>0.8</v>
      </c>
      <c r="IQ5" s="17">
        <v>2</v>
      </c>
      <c r="IR5" s="17">
        <v>1.83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 t="shared" si="108"/>
        <v>15.8</v>
      </c>
      <c r="JE5" s="40">
        <f t="shared" si="109"/>
        <v>16.920000000000002</v>
      </c>
      <c r="JF5" s="40">
        <f t="shared" si="110"/>
        <v>56.22</v>
      </c>
      <c r="JG5" s="40">
        <f t="shared" si="111"/>
        <v>2</v>
      </c>
      <c r="JH5" s="40">
        <f t="shared" si="112"/>
        <v>1.83</v>
      </c>
      <c r="JI5" s="40">
        <f t="shared" si="113"/>
        <v>6.23</v>
      </c>
      <c r="JJ5" s="40">
        <f t="shared" si="114"/>
        <v>56.22</v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>
        <f t="shared" si="121"/>
        <v>56.22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 t="str">
        <f t="shared" si="149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15.6</v>
      </c>
      <c r="WU5" s="26">
        <f t="shared" si="263"/>
        <v>8.75</v>
      </c>
      <c r="WV5" s="26">
        <f t="shared" si="264"/>
        <v>15.799999999999999</v>
      </c>
      <c r="WW5" s="26">
        <f t="shared" si="265"/>
        <v>16.71</v>
      </c>
      <c r="WX5" s="26">
        <f t="shared" si="266"/>
        <v>0</v>
      </c>
      <c r="WY5" s="26">
        <f t="shared" si="267"/>
        <v>10.45</v>
      </c>
      <c r="WZ5" s="26">
        <f t="shared" si="268"/>
        <v>5.55</v>
      </c>
      <c r="XA5" s="26">
        <f t="shared" si="269"/>
        <v>9.9</v>
      </c>
      <c r="XB5" s="26">
        <f t="shared" si="270"/>
        <v>10.33</v>
      </c>
      <c r="XC5" s="26">
        <f t="shared" si="271"/>
        <v>0</v>
      </c>
      <c r="XD5" s="26">
        <f t="shared" si="272"/>
        <v>15.35</v>
      </c>
      <c r="XE5" s="26">
        <f t="shared" si="273"/>
        <v>8.9499999999999993</v>
      </c>
      <c r="XF5" s="26">
        <f t="shared" si="274"/>
        <v>16.399999999999999</v>
      </c>
      <c r="XG5" s="26">
        <f t="shared" si="275"/>
        <v>17.024999999999999</v>
      </c>
      <c r="XH5" s="26">
        <f t="shared" si="276"/>
        <v>0</v>
      </c>
      <c r="XI5" s="28" t="s">
        <v>53</v>
      </c>
      <c r="XJ5" s="11">
        <f t="shared" si="277"/>
        <v>15.799999999999999</v>
      </c>
      <c r="XK5" s="11">
        <f t="shared" si="278"/>
        <v>16.71</v>
      </c>
      <c r="XL5" s="11">
        <f t="shared" si="279"/>
        <v>56.86</v>
      </c>
      <c r="XM5" s="11">
        <f t="shared" si="280"/>
        <v>9.9</v>
      </c>
      <c r="XN5" s="11">
        <f t="shared" si="281"/>
        <v>10.33</v>
      </c>
      <c r="XO5" s="11">
        <f t="shared" si="282"/>
        <v>36.229999999999997</v>
      </c>
      <c r="XP5" s="11">
        <f t="shared" si="283"/>
        <v>56.86</v>
      </c>
      <c r="XQ5" s="11">
        <f t="shared" si="284"/>
        <v>16.399999999999999</v>
      </c>
      <c r="XR5" s="11">
        <f t="shared" si="285"/>
        <v>17.024999999999999</v>
      </c>
      <c r="XS5" s="11">
        <f t="shared" si="286"/>
        <v>57.724999999999994</v>
      </c>
      <c r="XT5" s="11">
        <f t="shared" si="287"/>
        <v>114.58499999999999</v>
      </c>
    </row>
    <row r="6" spans="1:644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162</v>
      </c>
      <c r="C6" s="4" t="s">
        <v>7</v>
      </c>
      <c r="D6" s="4">
        <v>2006</v>
      </c>
      <c r="E6" s="9">
        <f t="shared" si="0"/>
        <v>257.12002381200563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56.34</v>
      </c>
      <c r="K6" s="8" t="str">
        <f t="shared" si="5"/>
        <v>2024 Nationals</v>
      </c>
      <c r="L6" s="8">
        <f>IF(COUNT(AQ6,AT6,BR6,BU6,CS6,CV6)&gt;1,LARGE((AQ6,AT6,BR6,BU6,CS6,CV6),2),0)</f>
        <v>56.190000000000005</v>
      </c>
      <c r="M6" s="8" t="str">
        <f t="shared" si="6"/>
        <v>2024 3rd Domestic Trial</v>
      </c>
      <c r="N6" s="8">
        <f>IF(COUNT(AQ6,AT6,BR6,BU6,CS6,CV6)&gt;2,LARGE((AQ6,AT6,BR6,BU6,CS6,CV6),3),0)</f>
        <v>35.85</v>
      </c>
      <c r="O6" s="8" t="str">
        <f t="shared" si="7"/>
        <v>2025 Elite Canada</v>
      </c>
      <c r="P6" s="8">
        <f t="shared" si="8"/>
        <v>57.120000000000005</v>
      </c>
      <c r="Q6" s="8" t="str">
        <f t="shared" si="9"/>
        <v>2024 3rd Domestic Trial</v>
      </c>
      <c r="R6" s="8">
        <f t="shared" si="10"/>
        <v>16.2</v>
      </c>
      <c r="S6" s="8" t="str">
        <f t="shared" si="11"/>
        <v>2024 3rd Domestic Trial</v>
      </c>
      <c r="T6" s="8">
        <f t="shared" si="12"/>
        <v>16.420000000000002</v>
      </c>
      <c r="U6" s="8" t="str">
        <f t="shared" si="13"/>
        <v>2024 3rd Domestic Trial</v>
      </c>
      <c r="V6" s="8">
        <f t="shared" si="14"/>
        <v>19</v>
      </c>
      <c r="W6" s="11" t="str">
        <f t="shared" si="15"/>
        <v>(Prelim)</v>
      </c>
      <c r="X6" s="8" t="str">
        <f t="shared" si="16"/>
        <v>2024 World Cup POR (July 7)</v>
      </c>
      <c r="Y6" s="22">
        <v>3.2</v>
      </c>
      <c r="Z6" s="22">
        <v>1.9</v>
      </c>
      <c r="AA6" s="22">
        <v>3.2</v>
      </c>
      <c r="AB6" s="22">
        <v>3.48</v>
      </c>
      <c r="AC6" s="22">
        <v>0</v>
      </c>
      <c r="AD6" s="22">
        <v>15.4</v>
      </c>
      <c r="AE6" s="22">
        <v>9.3000000000000007</v>
      </c>
      <c r="AF6" s="22">
        <v>16</v>
      </c>
      <c r="AG6" s="22">
        <v>15.64</v>
      </c>
      <c r="AH6" s="22">
        <v>0</v>
      </c>
      <c r="AI6" s="22">
        <v>15.8</v>
      </c>
      <c r="AJ6" s="22">
        <v>9.1</v>
      </c>
      <c r="AK6" s="22">
        <v>16</v>
      </c>
      <c r="AL6" s="22">
        <v>15.5</v>
      </c>
      <c r="AM6" s="22">
        <v>0</v>
      </c>
      <c r="AN6" s="27"/>
      <c r="AO6" s="38">
        <f t="shared" si="17"/>
        <v>3.2</v>
      </c>
      <c r="AP6" s="38">
        <f t="shared" si="18"/>
        <v>3.48</v>
      </c>
      <c r="AQ6" s="40">
        <f t="shared" si="19"/>
        <v>11.780000000000001</v>
      </c>
      <c r="AR6" s="40">
        <f t="shared" si="20"/>
        <v>16</v>
      </c>
      <c r="AS6" s="40">
        <f t="shared" si="21"/>
        <v>15.64</v>
      </c>
      <c r="AT6" s="40">
        <f t="shared" si="22"/>
        <v>56.34</v>
      </c>
      <c r="AU6" s="40">
        <f t="shared" si="23"/>
        <v>56.34</v>
      </c>
      <c r="AV6" s="40">
        <f t="shared" si="24"/>
        <v>16</v>
      </c>
      <c r="AW6" s="40">
        <f t="shared" si="25"/>
        <v>15.5</v>
      </c>
      <c r="AX6" s="40">
        <f t="shared" si="26"/>
        <v>56.4</v>
      </c>
      <c r="AY6" s="40">
        <f t="shared" si="27"/>
        <v>112.74000000000001</v>
      </c>
      <c r="AZ6" s="26">
        <v>3.1</v>
      </c>
      <c r="BA6" s="26">
        <v>1.8</v>
      </c>
      <c r="BB6" s="26">
        <v>3.8</v>
      </c>
      <c r="BC6" s="26">
        <v>3.5</v>
      </c>
      <c r="BD6" s="26">
        <v>0</v>
      </c>
      <c r="BE6" s="26">
        <v>15</v>
      </c>
      <c r="BF6" s="26">
        <v>9</v>
      </c>
      <c r="BG6" s="26">
        <v>16.2</v>
      </c>
      <c r="BH6" s="26">
        <v>15.99</v>
      </c>
      <c r="BI6" s="26">
        <v>0</v>
      </c>
      <c r="BJ6" s="26">
        <v>16</v>
      </c>
      <c r="BK6" s="26">
        <v>8.5</v>
      </c>
      <c r="BL6" s="26">
        <v>16.2</v>
      </c>
      <c r="BM6" s="26">
        <v>16.420000000000002</v>
      </c>
      <c r="BN6" s="26">
        <v>0</v>
      </c>
      <c r="BO6" s="28"/>
      <c r="BP6" s="39">
        <f t="shared" si="28"/>
        <v>3.8</v>
      </c>
      <c r="BQ6" s="39">
        <f t="shared" si="29"/>
        <v>3.5</v>
      </c>
      <c r="BR6" s="11">
        <f t="shared" si="30"/>
        <v>12.2</v>
      </c>
      <c r="BS6" s="11">
        <f t="shared" si="31"/>
        <v>16.2</v>
      </c>
      <c r="BT6" s="11">
        <f t="shared" si="32"/>
        <v>15.99</v>
      </c>
      <c r="BU6" s="11">
        <f t="shared" si="33"/>
        <v>56.190000000000005</v>
      </c>
      <c r="BV6" s="11">
        <f t="shared" si="34"/>
        <v>56.190000000000005</v>
      </c>
      <c r="BW6" s="11">
        <f t="shared" si="35"/>
        <v>16.2</v>
      </c>
      <c r="BX6" s="11">
        <f t="shared" si="36"/>
        <v>16.420000000000002</v>
      </c>
      <c r="BY6" s="11">
        <f t="shared" si="37"/>
        <v>57.120000000000005</v>
      </c>
      <c r="BZ6" s="11">
        <f t="shared" si="38"/>
        <v>113.31</v>
      </c>
      <c r="CA6" s="22">
        <v>1.6</v>
      </c>
      <c r="CB6" s="22">
        <v>1</v>
      </c>
      <c r="CC6" s="22">
        <v>2</v>
      </c>
      <c r="CD6" s="22">
        <v>1.72</v>
      </c>
      <c r="CE6" s="22">
        <v>0</v>
      </c>
      <c r="CF6" s="22">
        <v>9.8000000000000007</v>
      </c>
      <c r="CG6" s="22">
        <v>5.9</v>
      </c>
      <c r="CH6" s="22">
        <v>9</v>
      </c>
      <c r="CI6" s="22">
        <v>11.15</v>
      </c>
      <c r="CJ6" s="22">
        <v>0</v>
      </c>
      <c r="CK6" s="22"/>
      <c r="CL6" s="22"/>
      <c r="CM6" s="22"/>
      <c r="CN6" s="22"/>
      <c r="CO6" s="22"/>
      <c r="CP6" s="27"/>
      <c r="CQ6" s="38">
        <f t="shared" si="39"/>
        <v>2</v>
      </c>
      <c r="CR6" s="38">
        <f t="shared" si="40"/>
        <v>1.72</v>
      </c>
      <c r="CS6" s="40">
        <f t="shared" si="41"/>
        <v>6.3199999999999994</v>
      </c>
      <c r="CT6" s="40">
        <f t="shared" si="42"/>
        <v>9</v>
      </c>
      <c r="CU6" s="40">
        <f t="shared" si="43"/>
        <v>11.15</v>
      </c>
      <c r="CV6" s="40">
        <f t="shared" si="44"/>
        <v>35.85</v>
      </c>
      <c r="CW6" s="40">
        <f t="shared" si="45"/>
        <v>35.85</v>
      </c>
      <c r="CX6" s="40" t="str">
        <f t="shared" si="46"/>
        <v/>
      </c>
      <c r="CY6" s="40" t="str">
        <f t="shared" si="47"/>
        <v/>
      </c>
      <c r="CZ6" s="40" t="str">
        <f t="shared" si="48"/>
        <v/>
      </c>
      <c r="DA6" s="40">
        <f t="shared" si="49"/>
        <v>35.85</v>
      </c>
      <c r="DB6" s="51">
        <f t="shared" si="50"/>
        <v>19</v>
      </c>
      <c r="DC6" s="51" t="str">
        <f t="shared" si="51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 t="str">
        <f t="shared" si="65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>
        <v>11.8</v>
      </c>
      <c r="FU6" s="17">
        <v>7</v>
      </c>
      <c r="FV6" s="17">
        <v>12.3</v>
      </c>
      <c r="FW6" s="17">
        <v>12.61</v>
      </c>
      <c r="FX6" s="17">
        <v>0</v>
      </c>
      <c r="FY6" s="17">
        <v>14.2</v>
      </c>
      <c r="FZ6" s="17">
        <v>9.3000000000000007</v>
      </c>
      <c r="GA6" s="17">
        <v>15.4</v>
      </c>
      <c r="GB6" s="17">
        <v>15.44</v>
      </c>
      <c r="GC6" s="17">
        <v>0</v>
      </c>
      <c r="GD6" s="17"/>
      <c r="GE6" s="17"/>
      <c r="GF6" s="17"/>
      <c r="GG6" s="17"/>
      <c r="GH6" s="17"/>
      <c r="GI6" s="17">
        <v>1.6</v>
      </c>
      <c r="GJ6" s="17">
        <v>1</v>
      </c>
      <c r="GK6" s="17">
        <v>2</v>
      </c>
      <c r="GL6" s="17">
        <v>1.72</v>
      </c>
      <c r="GM6" s="17">
        <v>0</v>
      </c>
      <c r="GN6" s="40">
        <f t="shared" si="80"/>
        <v>12.3</v>
      </c>
      <c r="GO6" s="40">
        <f t="shared" si="81"/>
        <v>12.61</v>
      </c>
      <c r="GP6" s="40">
        <f t="shared" si="82"/>
        <v>43.71</v>
      </c>
      <c r="GQ6" s="40">
        <f t="shared" si="83"/>
        <v>15.4</v>
      </c>
      <c r="GR6" s="40">
        <f t="shared" si="84"/>
        <v>15.44</v>
      </c>
      <c r="GS6" s="40">
        <f t="shared" si="85"/>
        <v>54.339999999999996</v>
      </c>
      <c r="GT6" s="40">
        <f t="shared" si="86"/>
        <v>54.339999999999996</v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>
        <f t="shared" si="90"/>
        <v>2</v>
      </c>
      <c r="GY6" s="40">
        <f t="shared" si="91"/>
        <v>1.72</v>
      </c>
      <c r="GZ6" s="40">
        <f t="shared" si="92"/>
        <v>6.3199999999999994</v>
      </c>
      <c r="HA6" s="40">
        <f t="shared" si="93"/>
        <v>60.66</v>
      </c>
      <c r="HB6" s="18">
        <v>12.8</v>
      </c>
      <c r="HC6" s="18">
        <v>8.9</v>
      </c>
      <c r="HD6" s="18">
        <v>15.4</v>
      </c>
      <c r="HE6" s="18">
        <v>15.56</v>
      </c>
      <c r="HF6" s="18">
        <v>0</v>
      </c>
      <c r="HG6" s="18">
        <v>14.9</v>
      </c>
      <c r="HH6" s="18">
        <v>9.1</v>
      </c>
      <c r="HI6" s="18">
        <v>15.4</v>
      </c>
      <c r="HJ6" s="18">
        <v>15.34</v>
      </c>
      <c r="HK6" s="18">
        <v>0</v>
      </c>
      <c r="HL6" s="18"/>
      <c r="HM6" s="18"/>
      <c r="HN6" s="18"/>
      <c r="HO6" s="18"/>
      <c r="HP6" s="18"/>
      <c r="HQ6" s="18">
        <v>4.8</v>
      </c>
      <c r="HR6" s="18">
        <v>2.8</v>
      </c>
      <c r="HS6" s="18">
        <v>4.9000000000000004</v>
      </c>
      <c r="HT6" s="18">
        <v>5.05</v>
      </c>
      <c r="HU6" s="18">
        <v>0</v>
      </c>
      <c r="HV6" s="11">
        <f t="shared" si="94"/>
        <v>15.4</v>
      </c>
      <c r="HW6" s="11">
        <f t="shared" si="95"/>
        <v>15.56</v>
      </c>
      <c r="HX6" s="11">
        <f t="shared" si="96"/>
        <v>52.660000000000004</v>
      </c>
      <c r="HY6" s="11">
        <f t="shared" si="97"/>
        <v>15.4</v>
      </c>
      <c r="HZ6" s="11">
        <f t="shared" si="98"/>
        <v>15.34</v>
      </c>
      <c r="IA6" s="11">
        <f t="shared" si="99"/>
        <v>54.739999999999995</v>
      </c>
      <c r="IB6" s="11">
        <f t="shared" si="100"/>
        <v>54.739999999999995</v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>
        <f t="shared" si="104"/>
        <v>4.9000000000000004</v>
      </c>
      <c r="IG6" s="11">
        <f t="shared" si="105"/>
        <v>5.05</v>
      </c>
      <c r="IH6" s="11">
        <f t="shared" si="106"/>
        <v>17.55</v>
      </c>
      <c r="II6" s="11">
        <f t="shared" si="107"/>
        <v>72.289999999999992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 t="str">
        <f t="shared" si="121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>
        <v>14.3</v>
      </c>
      <c r="LA6" s="17">
        <v>9.1</v>
      </c>
      <c r="LB6" s="17">
        <v>16</v>
      </c>
      <c r="LC6" s="17">
        <v>15.4</v>
      </c>
      <c r="LD6" s="17">
        <v>0</v>
      </c>
      <c r="LE6" s="17">
        <v>15.4</v>
      </c>
      <c r="LF6" s="17">
        <v>8.6999999999999993</v>
      </c>
      <c r="LG6" s="17">
        <v>14.6</v>
      </c>
      <c r="LH6" s="17">
        <v>16.149999999999999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>
        <f t="shared" si="136"/>
        <v>16</v>
      </c>
      <c r="LU6" s="40">
        <f t="shared" si="137"/>
        <v>15.4</v>
      </c>
      <c r="LV6" s="40">
        <f t="shared" si="138"/>
        <v>54.8</v>
      </c>
      <c r="LW6" s="40">
        <f t="shared" si="139"/>
        <v>14.6</v>
      </c>
      <c r="LX6" s="40">
        <f t="shared" si="140"/>
        <v>16.149999999999999</v>
      </c>
      <c r="LY6" s="40">
        <f t="shared" si="141"/>
        <v>54.85</v>
      </c>
      <c r="LZ6" s="40">
        <f t="shared" si="142"/>
        <v>54.85</v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>
        <f t="shared" si="149"/>
        <v>54.85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2.35</v>
      </c>
      <c r="WU6" s="26">
        <f t="shared" si="263"/>
        <v>1.4</v>
      </c>
      <c r="WV6" s="26">
        <f t="shared" si="264"/>
        <v>2.9</v>
      </c>
      <c r="WW6" s="26">
        <f t="shared" si="265"/>
        <v>2.61</v>
      </c>
      <c r="WX6" s="26">
        <f t="shared" si="266"/>
        <v>0</v>
      </c>
      <c r="WY6" s="26">
        <f t="shared" si="267"/>
        <v>12.4</v>
      </c>
      <c r="WZ6" s="26">
        <f t="shared" si="268"/>
        <v>7.45</v>
      </c>
      <c r="XA6" s="26">
        <f t="shared" si="269"/>
        <v>12.6</v>
      </c>
      <c r="XB6" s="26">
        <f t="shared" si="270"/>
        <v>13.57</v>
      </c>
      <c r="XC6" s="26">
        <f t="shared" si="271"/>
        <v>0</v>
      </c>
      <c r="XD6" s="26">
        <f t="shared" si="272"/>
        <v>8</v>
      </c>
      <c r="XE6" s="26">
        <f t="shared" si="273"/>
        <v>4.25</v>
      </c>
      <c r="XF6" s="26">
        <f t="shared" si="274"/>
        <v>8.1</v>
      </c>
      <c r="XG6" s="26">
        <f t="shared" si="275"/>
        <v>8.2100000000000009</v>
      </c>
      <c r="XH6" s="26">
        <f t="shared" si="276"/>
        <v>0</v>
      </c>
      <c r="XI6" s="28" t="s">
        <v>53</v>
      </c>
      <c r="XJ6" s="11">
        <f t="shared" si="277"/>
        <v>2.9</v>
      </c>
      <c r="XK6" s="11">
        <f t="shared" si="278"/>
        <v>2.61</v>
      </c>
      <c r="XL6" s="11">
        <f t="shared" si="279"/>
        <v>9.26</v>
      </c>
      <c r="XM6" s="11">
        <f t="shared" si="280"/>
        <v>12.6</v>
      </c>
      <c r="XN6" s="11">
        <f t="shared" si="281"/>
        <v>13.57</v>
      </c>
      <c r="XO6" s="11">
        <f t="shared" si="282"/>
        <v>46.02</v>
      </c>
      <c r="XP6" s="11">
        <f t="shared" si="283"/>
        <v>46.02</v>
      </c>
      <c r="XQ6" s="11">
        <f t="shared" si="284"/>
        <v>8.1</v>
      </c>
      <c r="XR6" s="11">
        <f t="shared" si="285"/>
        <v>8.2100000000000009</v>
      </c>
      <c r="XS6" s="11">
        <f t="shared" si="286"/>
        <v>28.560000000000002</v>
      </c>
      <c r="XT6" s="11">
        <f t="shared" si="287"/>
        <v>74.580000000000013</v>
      </c>
    </row>
    <row r="7" spans="1:644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121</v>
      </c>
      <c r="C7" s="4" t="s">
        <v>7</v>
      </c>
      <c r="D7" s="4">
        <v>2005</v>
      </c>
      <c r="E7" s="9">
        <f t="shared" si="0"/>
        <v>254.20002514700565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IF(COUNT(AQ7,AT7,BR7,BU7,CS7,CV7)&gt;0,LARGE((AQ7,AT7,BR7,BU7,CS7,CV7),1),0)</f>
        <v>56.529999999999994</v>
      </c>
      <c r="K7" s="8" t="str">
        <f t="shared" si="5"/>
        <v>2024 3rd Domestic Trial</v>
      </c>
      <c r="L7" s="8">
        <f>IF(COUNT(AQ7,AT7,BR7,BU7,CS7,CV7)&gt;1,LARGE((AQ7,AT7,BR7,BU7,CS7,CV7),2),0)</f>
        <v>56.26</v>
      </c>
      <c r="M7" s="8" t="str">
        <f t="shared" si="6"/>
        <v>2024 3rd Domestic Trial</v>
      </c>
      <c r="N7" s="8">
        <f>IF(COUNT(AQ7,AT7,BR7,BU7,CS7,CV7)&gt;2,LARGE((AQ7,AT7,BR7,BU7,CS7,CV7),3),0)</f>
        <v>51.989999999999995</v>
      </c>
      <c r="O7" s="8" t="str">
        <f t="shared" si="7"/>
        <v>2025 Elite Canada</v>
      </c>
      <c r="P7" s="8">
        <f t="shared" si="8"/>
        <v>56.36</v>
      </c>
      <c r="Q7" s="8" t="str">
        <f t="shared" si="9"/>
        <v>2024 3rd Domestic Trial</v>
      </c>
      <c r="R7" s="8">
        <f t="shared" si="10"/>
        <v>15.4</v>
      </c>
      <c r="S7" s="8" t="str">
        <f t="shared" si="11"/>
        <v>2024 Pan Am Championships (May 19)</v>
      </c>
      <c r="T7" s="8">
        <f t="shared" si="12"/>
        <v>14.93</v>
      </c>
      <c r="U7" s="8" t="str">
        <f t="shared" si="13"/>
        <v>2024 Pan Am Championships (May 19)</v>
      </c>
      <c r="V7" s="8">
        <f t="shared" si="14"/>
        <v>2.730000000000004</v>
      </c>
      <c r="W7" s="11" t="str">
        <f t="shared" si="15"/>
        <v>(Prelim)</v>
      </c>
      <c r="X7" s="8" t="str">
        <f t="shared" si="16"/>
        <v>2024 Pan Am Club Championships (May 19)</v>
      </c>
      <c r="Y7" s="22">
        <v>4.5999999999999996</v>
      </c>
      <c r="Z7" s="22">
        <v>2.7</v>
      </c>
      <c r="AA7" s="22">
        <v>5.0999999999999996</v>
      </c>
      <c r="AB7" s="22">
        <v>4.7699999999999996</v>
      </c>
      <c r="AC7" s="22">
        <v>0</v>
      </c>
      <c r="AD7" s="22">
        <v>3.2</v>
      </c>
      <c r="AE7" s="22">
        <v>1.8</v>
      </c>
      <c r="AF7" s="22">
        <v>3.2</v>
      </c>
      <c r="AG7" s="22">
        <v>3.16</v>
      </c>
      <c r="AH7" s="22">
        <v>0</v>
      </c>
      <c r="AI7" s="22"/>
      <c r="AJ7" s="22"/>
      <c r="AK7" s="22"/>
      <c r="AL7" s="22"/>
      <c r="AM7" s="22"/>
      <c r="AN7" s="27"/>
      <c r="AO7" s="38">
        <f t="shared" si="17"/>
        <v>5.0999999999999996</v>
      </c>
      <c r="AP7" s="38">
        <f t="shared" si="18"/>
        <v>4.7699999999999996</v>
      </c>
      <c r="AQ7" s="40">
        <f t="shared" si="19"/>
        <v>17.169999999999998</v>
      </c>
      <c r="AR7" s="40">
        <f t="shared" si="20"/>
        <v>3.2</v>
      </c>
      <c r="AS7" s="40">
        <f t="shared" si="21"/>
        <v>3.16</v>
      </c>
      <c r="AT7" s="40">
        <f t="shared" si="22"/>
        <v>11.36</v>
      </c>
      <c r="AU7" s="40">
        <f t="shared" si="23"/>
        <v>17.169999999999998</v>
      </c>
      <c r="AV7" s="40" t="str">
        <f t="shared" si="24"/>
        <v/>
      </c>
      <c r="AW7" s="40" t="str">
        <f t="shared" si="25"/>
        <v/>
      </c>
      <c r="AX7" s="40" t="str">
        <f t="shared" si="26"/>
        <v/>
      </c>
      <c r="AY7" s="40">
        <f t="shared" si="27"/>
        <v>17.169999999999998</v>
      </c>
      <c r="AZ7" s="26">
        <v>16.8</v>
      </c>
      <c r="BA7" s="26">
        <v>9.5</v>
      </c>
      <c r="BB7" s="26">
        <v>14.2</v>
      </c>
      <c r="BC7" s="26">
        <v>15.76</v>
      </c>
      <c r="BD7" s="26">
        <v>0</v>
      </c>
      <c r="BE7" s="26">
        <v>16.899999999999999</v>
      </c>
      <c r="BF7" s="26">
        <v>9.4</v>
      </c>
      <c r="BG7" s="26">
        <v>14.4</v>
      </c>
      <c r="BH7" s="26">
        <v>15.83</v>
      </c>
      <c r="BI7" s="26">
        <v>0</v>
      </c>
      <c r="BJ7" s="26">
        <v>17</v>
      </c>
      <c r="BK7" s="26">
        <v>9.3000000000000007</v>
      </c>
      <c r="BL7" s="26">
        <v>14.4</v>
      </c>
      <c r="BM7" s="26">
        <v>15.66</v>
      </c>
      <c r="BN7" s="26">
        <v>0</v>
      </c>
      <c r="BO7" s="28"/>
      <c r="BP7" s="39">
        <f t="shared" si="28"/>
        <v>14.2</v>
      </c>
      <c r="BQ7" s="39">
        <f t="shared" si="29"/>
        <v>15.76</v>
      </c>
      <c r="BR7" s="11">
        <f t="shared" si="30"/>
        <v>56.26</v>
      </c>
      <c r="BS7" s="11">
        <f t="shared" si="31"/>
        <v>14.4</v>
      </c>
      <c r="BT7" s="11">
        <f t="shared" si="32"/>
        <v>15.83</v>
      </c>
      <c r="BU7" s="11">
        <f t="shared" si="33"/>
        <v>56.529999999999994</v>
      </c>
      <c r="BV7" s="11">
        <f t="shared" si="34"/>
        <v>56.529999999999994</v>
      </c>
      <c r="BW7" s="11">
        <f t="shared" si="35"/>
        <v>14.4</v>
      </c>
      <c r="BX7" s="11">
        <f t="shared" si="36"/>
        <v>15.66</v>
      </c>
      <c r="BY7" s="11">
        <f t="shared" si="37"/>
        <v>56.36</v>
      </c>
      <c r="BZ7" s="11">
        <f t="shared" si="38"/>
        <v>112.88999999999999</v>
      </c>
      <c r="CA7" s="22">
        <v>12.9</v>
      </c>
      <c r="CB7" s="22">
        <v>7.9</v>
      </c>
      <c r="CC7" s="22">
        <v>14.2</v>
      </c>
      <c r="CD7" s="22">
        <v>13.71</v>
      </c>
      <c r="CE7" s="22">
        <v>0</v>
      </c>
      <c r="CF7" s="22">
        <v>13</v>
      </c>
      <c r="CG7" s="22">
        <v>8.6999999999999993</v>
      </c>
      <c r="CH7" s="22">
        <v>15.1</v>
      </c>
      <c r="CI7" s="22">
        <v>15.19</v>
      </c>
      <c r="CJ7" s="22">
        <v>0</v>
      </c>
      <c r="CK7" s="22">
        <v>15.3</v>
      </c>
      <c r="CL7" s="22">
        <v>9.3000000000000007</v>
      </c>
      <c r="CM7" s="22">
        <v>14.7</v>
      </c>
      <c r="CN7" s="22">
        <v>15.29</v>
      </c>
      <c r="CO7" s="22">
        <v>0</v>
      </c>
      <c r="CP7" s="27"/>
      <c r="CQ7" s="38">
        <f t="shared" si="39"/>
        <v>14.2</v>
      </c>
      <c r="CR7" s="38">
        <f t="shared" si="40"/>
        <v>13.71</v>
      </c>
      <c r="CS7" s="40">
        <f t="shared" si="41"/>
        <v>48.71</v>
      </c>
      <c r="CT7" s="40">
        <f t="shared" si="42"/>
        <v>15.1</v>
      </c>
      <c r="CU7" s="40">
        <f t="shared" si="43"/>
        <v>15.19</v>
      </c>
      <c r="CV7" s="40">
        <f t="shared" si="44"/>
        <v>51.989999999999995</v>
      </c>
      <c r="CW7" s="40">
        <f t="shared" si="45"/>
        <v>51.989999999999995</v>
      </c>
      <c r="CX7" s="40">
        <f t="shared" si="46"/>
        <v>14.7</v>
      </c>
      <c r="CY7" s="40">
        <f t="shared" si="47"/>
        <v>15.29</v>
      </c>
      <c r="CZ7" s="40">
        <f t="shared" si="48"/>
        <v>54.589999999999996</v>
      </c>
      <c r="DA7" s="40">
        <f t="shared" si="49"/>
        <v>106.57999999999998</v>
      </c>
      <c r="DB7" s="51">
        <f t="shared" si="50"/>
        <v>2.730000000000004</v>
      </c>
      <c r="DC7" s="51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2"/>
        <v/>
      </c>
      <c r="DY7" s="40" t="str">
        <f t="shared" si="53"/>
        <v/>
      </c>
      <c r="DZ7" s="40" t="str">
        <f t="shared" si="54"/>
        <v/>
      </c>
      <c r="EA7" s="40" t="str">
        <f t="shared" si="55"/>
        <v/>
      </c>
      <c r="EB7" s="40" t="str">
        <f t="shared" si="56"/>
        <v/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 t="str">
        <f t="shared" si="65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14.3</v>
      </c>
      <c r="FU7" s="17">
        <v>9.5</v>
      </c>
      <c r="FV7" s="17">
        <v>15.4</v>
      </c>
      <c r="FW7" s="17">
        <v>14.93</v>
      </c>
      <c r="FX7" s="17">
        <v>0</v>
      </c>
      <c r="FY7" s="17">
        <v>13.5</v>
      </c>
      <c r="FZ7" s="17">
        <v>9.1999999999999993</v>
      </c>
      <c r="GA7" s="17">
        <v>15.2</v>
      </c>
      <c r="GB7" s="17">
        <v>14.44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 t="shared" si="80"/>
        <v>15.4</v>
      </c>
      <c r="GO7" s="40">
        <f t="shared" si="81"/>
        <v>14.93</v>
      </c>
      <c r="GP7" s="40">
        <f t="shared" si="82"/>
        <v>54.13</v>
      </c>
      <c r="GQ7" s="40">
        <f t="shared" si="83"/>
        <v>15.2</v>
      </c>
      <c r="GR7" s="40">
        <f t="shared" si="84"/>
        <v>14.44</v>
      </c>
      <c r="GS7" s="40">
        <f t="shared" si="85"/>
        <v>52.339999999999996</v>
      </c>
      <c r="GT7" s="40">
        <f t="shared" si="86"/>
        <v>54.13</v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>
        <f t="shared" si="93"/>
        <v>54.13</v>
      </c>
      <c r="HB7" s="18">
        <v>14.7</v>
      </c>
      <c r="HC7" s="18">
        <v>9.1999999999999993</v>
      </c>
      <c r="HD7" s="18">
        <v>15</v>
      </c>
      <c r="HE7" s="18">
        <v>15.22</v>
      </c>
      <c r="HF7" s="18">
        <v>0</v>
      </c>
      <c r="HG7" s="18">
        <v>15.2</v>
      </c>
      <c r="HH7" s="18">
        <v>9.4</v>
      </c>
      <c r="HI7" s="18">
        <v>15</v>
      </c>
      <c r="HJ7" s="18">
        <v>15.12</v>
      </c>
      <c r="HK7" s="18">
        <v>0</v>
      </c>
      <c r="HL7" s="18"/>
      <c r="HM7" s="18"/>
      <c r="HN7" s="18"/>
      <c r="HO7" s="18"/>
      <c r="HP7" s="18"/>
      <c r="HQ7" s="18">
        <v>7.6</v>
      </c>
      <c r="HR7" s="18">
        <v>4.5999999999999996</v>
      </c>
      <c r="HS7" s="18">
        <v>8.1999999999999993</v>
      </c>
      <c r="HT7" s="18">
        <v>7.85</v>
      </c>
      <c r="HU7" s="18">
        <v>0</v>
      </c>
      <c r="HV7" s="11">
        <f t="shared" si="94"/>
        <v>15</v>
      </c>
      <c r="HW7" s="11">
        <f t="shared" si="95"/>
        <v>15.22</v>
      </c>
      <c r="HX7" s="11">
        <f t="shared" si="96"/>
        <v>54.12</v>
      </c>
      <c r="HY7" s="11">
        <f t="shared" si="97"/>
        <v>15</v>
      </c>
      <c r="HZ7" s="11">
        <f t="shared" si="98"/>
        <v>15.12</v>
      </c>
      <c r="IA7" s="11">
        <f t="shared" si="99"/>
        <v>54.72</v>
      </c>
      <c r="IB7" s="11">
        <f t="shared" si="100"/>
        <v>54.72</v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>
        <f t="shared" si="104"/>
        <v>8.1999999999999993</v>
      </c>
      <c r="IG7" s="11">
        <f t="shared" si="105"/>
        <v>7.85</v>
      </c>
      <c r="IH7" s="11">
        <f t="shared" si="106"/>
        <v>28.25</v>
      </c>
      <c r="II7" s="11">
        <f t="shared" si="107"/>
        <v>82.97</v>
      </c>
      <c r="IJ7" s="17">
        <v>14.5</v>
      </c>
      <c r="IK7" s="17">
        <v>9.6999999999999993</v>
      </c>
      <c r="IL7" s="17">
        <v>13.4</v>
      </c>
      <c r="IM7" s="17">
        <v>15.39</v>
      </c>
      <c r="IN7" s="17">
        <v>0</v>
      </c>
      <c r="IO7" s="17">
        <v>14.6</v>
      </c>
      <c r="IP7" s="17">
        <v>9.4</v>
      </c>
      <c r="IQ7" s="17">
        <v>14.4</v>
      </c>
      <c r="IR7" s="17">
        <v>15.23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 t="shared" si="108"/>
        <v>13.4</v>
      </c>
      <c r="JE7" s="40">
        <f t="shared" si="109"/>
        <v>15.39</v>
      </c>
      <c r="JF7" s="40">
        <f t="shared" si="110"/>
        <v>52.99</v>
      </c>
      <c r="JG7" s="40">
        <f t="shared" si="111"/>
        <v>14.4</v>
      </c>
      <c r="JH7" s="40">
        <f t="shared" si="112"/>
        <v>15.23</v>
      </c>
      <c r="JI7" s="40">
        <f t="shared" si="113"/>
        <v>53.629999999999995</v>
      </c>
      <c r="JJ7" s="40">
        <f t="shared" si="114"/>
        <v>53.629999999999995</v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>
        <f t="shared" si="121"/>
        <v>53.629999999999995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>
        <v>14.8</v>
      </c>
      <c r="LA7" s="17">
        <v>9.5</v>
      </c>
      <c r="LB7" s="17">
        <v>15</v>
      </c>
      <c r="LC7" s="17">
        <v>14.99</v>
      </c>
      <c r="LD7" s="17">
        <v>0</v>
      </c>
      <c r="LE7" s="17">
        <v>15</v>
      </c>
      <c r="LF7" s="17">
        <v>9.4</v>
      </c>
      <c r="LG7" s="17">
        <v>14.4</v>
      </c>
      <c r="LH7" s="17">
        <v>15.24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>
        <f t="shared" si="136"/>
        <v>15</v>
      </c>
      <c r="LU7" s="40">
        <f t="shared" si="137"/>
        <v>14.99</v>
      </c>
      <c r="LV7" s="40">
        <f t="shared" si="138"/>
        <v>54.29</v>
      </c>
      <c r="LW7" s="40">
        <f t="shared" si="139"/>
        <v>14.4</v>
      </c>
      <c r="LX7" s="40">
        <f t="shared" si="140"/>
        <v>15.24</v>
      </c>
      <c r="LY7" s="40">
        <f t="shared" si="141"/>
        <v>54.04</v>
      </c>
      <c r="LZ7" s="40">
        <f t="shared" si="142"/>
        <v>54.29</v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>
        <f t="shared" si="149"/>
        <v>54.29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14.850000000000001</v>
      </c>
      <c r="WU7" s="26">
        <f t="shared" si="263"/>
        <v>8.6999999999999993</v>
      </c>
      <c r="WV7" s="26">
        <f t="shared" si="264"/>
        <v>14.2</v>
      </c>
      <c r="WW7" s="26">
        <f t="shared" si="265"/>
        <v>14.734999999999999</v>
      </c>
      <c r="WX7" s="26">
        <f t="shared" si="266"/>
        <v>0</v>
      </c>
      <c r="WY7" s="26">
        <f t="shared" si="267"/>
        <v>14.95</v>
      </c>
      <c r="WZ7" s="26">
        <f t="shared" si="268"/>
        <v>9.0500000000000007</v>
      </c>
      <c r="XA7" s="26">
        <f t="shared" si="269"/>
        <v>14.75</v>
      </c>
      <c r="XB7" s="26">
        <f t="shared" si="270"/>
        <v>15.51</v>
      </c>
      <c r="XC7" s="26">
        <f t="shared" si="271"/>
        <v>0</v>
      </c>
      <c r="XD7" s="26">
        <f t="shared" si="272"/>
        <v>16.149999999999999</v>
      </c>
      <c r="XE7" s="26">
        <f t="shared" si="273"/>
        <v>9.3000000000000007</v>
      </c>
      <c r="XF7" s="26">
        <f t="shared" si="274"/>
        <v>14.55</v>
      </c>
      <c r="XG7" s="26">
        <f t="shared" si="275"/>
        <v>15.475</v>
      </c>
      <c r="XH7" s="26">
        <f t="shared" si="276"/>
        <v>0</v>
      </c>
      <c r="XI7" s="28" t="s">
        <v>53</v>
      </c>
      <c r="XJ7" s="11">
        <f t="shared" si="277"/>
        <v>14.2</v>
      </c>
      <c r="XK7" s="11">
        <f t="shared" si="278"/>
        <v>14.734999999999999</v>
      </c>
      <c r="XL7" s="11">
        <f t="shared" si="279"/>
        <v>52.484999999999999</v>
      </c>
      <c r="XM7" s="11">
        <f t="shared" si="280"/>
        <v>14.75</v>
      </c>
      <c r="XN7" s="11">
        <f t="shared" si="281"/>
        <v>15.51</v>
      </c>
      <c r="XO7" s="11">
        <f t="shared" si="282"/>
        <v>54.26</v>
      </c>
      <c r="XP7" s="11">
        <f t="shared" si="283"/>
        <v>54.26</v>
      </c>
      <c r="XQ7" s="11">
        <f t="shared" si="284"/>
        <v>14.55</v>
      </c>
      <c r="XR7" s="11">
        <f t="shared" si="285"/>
        <v>15.475</v>
      </c>
      <c r="XS7" s="11">
        <f t="shared" si="286"/>
        <v>55.475000000000001</v>
      </c>
      <c r="XT7" s="11">
        <f t="shared" si="287"/>
        <v>109.735</v>
      </c>
    </row>
    <row r="8" spans="1:644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69</v>
      </c>
      <c r="C8" s="4" t="s">
        <v>7</v>
      </c>
      <c r="D8" s="4">
        <v>2001</v>
      </c>
      <c r="E8" s="9">
        <f t="shared" si="0"/>
        <v>254.03752400275573</v>
      </c>
      <c r="F8" s="3" t="str">
        <f t="shared" si="1"/>
        <v>P</v>
      </c>
      <c r="G8" s="3" t="str">
        <f t="shared" si="2"/>
        <v>P</v>
      </c>
      <c r="H8" s="36" t="str">
        <f t="shared" si="3"/>
        <v>Merit</v>
      </c>
      <c r="I8" s="3" t="str">
        <f t="shared" si="4"/>
        <v>P</v>
      </c>
      <c r="J8" s="8">
        <f>IF(COUNT(AQ8,AT8,BR8,BU8,CS8,CV8)&gt;0,LARGE((AQ8,AT8,BR8,BU8,CS8,CV8),1),0)</f>
        <v>57.61</v>
      </c>
      <c r="K8" s="8" t="str">
        <f t="shared" si="5"/>
        <v>2024 Nationals</v>
      </c>
      <c r="L8" s="8">
        <f>IF(COUNT(AQ8,AT8,BR8,BU8,CS8,CV8)&gt;1,LARGE((AQ8,AT8,BR8,BU8,CS8,CV8),2),0)</f>
        <v>45.17</v>
      </c>
      <c r="M8" s="8" t="str">
        <f t="shared" si="6"/>
        <v>2025 Elite Canada</v>
      </c>
      <c r="N8" s="8">
        <f>IF(COUNT(AQ8,AT8,BR8,BU8,CS8,CV8)&gt;2,LARGE((AQ8,AT8,BR8,BU8,CS8,CV8),3),0)</f>
        <v>45.17</v>
      </c>
      <c r="O8" s="8" t="str">
        <f t="shared" si="7"/>
        <v>2025 Elite Canada</v>
      </c>
      <c r="P8" s="8">
        <f t="shared" si="8"/>
        <v>57.697499999999998</v>
      </c>
      <c r="Q8" s="8" t="str">
        <f t="shared" si="9"/>
        <v>2025 Elite Canada</v>
      </c>
      <c r="R8" s="8">
        <f t="shared" si="10"/>
        <v>17.100000000000001</v>
      </c>
      <c r="S8" s="8" t="str">
        <f t="shared" si="11"/>
        <v>2024 World Cup POR (July 7)</v>
      </c>
      <c r="T8" s="8">
        <f t="shared" si="12"/>
        <v>17.28</v>
      </c>
      <c r="U8" s="8" t="str">
        <f t="shared" si="13"/>
        <v>2024 World Cup POR (July 7)</v>
      </c>
      <c r="V8" s="8">
        <f t="shared" si="14"/>
        <v>14.010000000000005</v>
      </c>
      <c r="W8" s="11" t="str">
        <f t="shared" si="15"/>
        <v>(Prelim)</v>
      </c>
      <c r="X8" s="8" t="str">
        <f t="shared" si="16"/>
        <v>2024 World Cup POR (July 7)</v>
      </c>
      <c r="Y8" s="22">
        <v>16.399999999999999</v>
      </c>
      <c r="Z8" s="22">
        <v>9.4</v>
      </c>
      <c r="AA8" s="22">
        <v>15</v>
      </c>
      <c r="AB8" s="22">
        <v>16.809999999999999</v>
      </c>
      <c r="AC8" s="22">
        <v>0</v>
      </c>
      <c r="AD8" s="22">
        <v>3.4</v>
      </c>
      <c r="AE8" s="22">
        <v>2</v>
      </c>
      <c r="AF8" s="22">
        <v>3.8</v>
      </c>
      <c r="AG8" s="22">
        <v>3.58</v>
      </c>
      <c r="AH8" s="22">
        <v>0</v>
      </c>
      <c r="AI8" s="22">
        <v>16.399999999999999</v>
      </c>
      <c r="AJ8" s="22">
        <v>9.1999999999999993</v>
      </c>
      <c r="AK8" s="22">
        <v>14.6</v>
      </c>
      <c r="AL8" s="22">
        <v>16.5</v>
      </c>
      <c r="AM8" s="22">
        <v>0</v>
      </c>
      <c r="AN8" s="27"/>
      <c r="AO8" s="38">
        <f t="shared" si="17"/>
        <v>15</v>
      </c>
      <c r="AP8" s="38">
        <f t="shared" si="18"/>
        <v>16.809999999999999</v>
      </c>
      <c r="AQ8" s="40">
        <f t="shared" si="19"/>
        <v>57.61</v>
      </c>
      <c r="AR8" s="40">
        <f t="shared" si="20"/>
        <v>3.8</v>
      </c>
      <c r="AS8" s="40">
        <f t="shared" si="21"/>
        <v>3.58</v>
      </c>
      <c r="AT8" s="40">
        <f t="shared" si="22"/>
        <v>12.78</v>
      </c>
      <c r="AU8" s="40">
        <f t="shared" si="23"/>
        <v>57.61</v>
      </c>
      <c r="AV8" s="40">
        <f t="shared" si="24"/>
        <v>14.6</v>
      </c>
      <c r="AW8" s="40">
        <f t="shared" si="25"/>
        <v>16.5</v>
      </c>
      <c r="AX8" s="40">
        <f t="shared" si="26"/>
        <v>56.699999999999996</v>
      </c>
      <c r="AY8" s="40">
        <f t="shared" si="27"/>
        <v>114.31</v>
      </c>
      <c r="AZ8" s="26">
        <v>12.475</v>
      </c>
      <c r="BA8" s="26">
        <v>7.2</v>
      </c>
      <c r="BB8" s="26">
        <v>12.324999999999999</v>
      </c>
      <c r="BC8" s="26">
        <v>13.17</v>
      </c>
      <c r="BD8" s="26">
        <v>0</v>
      </c>
      <c r="BE8" s="26">
        <v>9.2249999999999996</v>
      </c>
      <c r="BF8" s="26">
        <v>5.5750000000000002</v>
      </c>
      <c r="BG8" s="26">
        <v>10.15</v>
      </c>
      <c r="BH8" s="26">
        <v>10.1175</v>
      </c>
      <c r="BI8" s="26">
        <v>0</v>
      </c>
      <c r="BJ8" s="26">
        <v>15.85</v>
      </c>
      <c r="BK8" s="26">
        <v>9.2249999999999996</v>
      </c>
      <c r="BL8" s="26">
        <v>15.95</v>
      </c>
      <c r="BM8" s="26">
        <v>16.672499999999999</v>
      </c>
      <c r="BN8" s="26">
        <v>0</v>
      </c>
      <c r="BO8" s="28" t="s">
        <v>53</v>
      </c>
      <c r="BP8" s="39">
        <f t="shared" si="28"/>
        <v>12.324999999999999</v>
      </c>
      <c r="BQ8" s="39">
        <f t="shared" si="29"/>
        <v>13.17</v>
      </c>
      <c r="BR8" s="11">
        <f t="shared" si="30"/>
        <v>45.17</v>
      </c>
      <c r="BS8" s="11">
        <f t="shared" si="31"/>
        <v>10.15</v>
      </c>
      <c r="BT8" s="11">
        <f t="shared" si="32"/>
        <v>10.1175</v>
      </c>
      <c r="BU8" s="11">
        <f t="shared" si="33"/>
        <v>35.067500000000003</v>
      </c>
      <c r="BV8" s="11">
        <f t="shared" si="34"/>
        <v>45.17</v>
      </c>
      <c r="BW8" s="11">
        <f t="shared" si="35"/>
        <v>15.95</v>
      </c>
      <c r="BX8" s="11">
        <f t="shared" si="36"/>
        <v>16.672499999999999</v>
      </c>
      <c r="BY8" s="11">
        <f t="shared" si="37"/>
        <v>57.697499999999998</v>
      </c>
      <c r="BZ8" s="11">
        <f t="shared" si="38"/>
        <v>102.86750000000001</v>
      </c>
      <c r="CA8" s="22">
        <v>12.475</v>
      </c>
      <c r="CB8" s="22">
        <v>7.2</v>
      </c>
      <c r="CC8" s="22">
        <v>12.324999999999999</v>
      </c>
      <c r="CD8" s="22">
        <v>13.17</v>
      </c>
      <c r="CE8" s="22">
        <v>0</v>
      </c>
      <c r="CF8" s="22">
        <v>9.2249999999999996</v>
      </c>
      <c r="CG8" s="22">
        <v>5.5750000000000002</v>
      </c>
      <c r="CH8" s="22">
        <v>10.15</v>
      </c>
      <c r="CI8" s="22">
        <v>10.1175</v>
      </c>
      <c r="CJ8" s="22">
        <v>0</v>
      </c>
      <c r="CK8" s="22">
        <v>15.85</v>
      </c>
      <c r="CL8" s="22">
        <v>9.2249999999999996</v>
      </c>
      <c r="CM8" s="22">
        <v>15.95</v>
      </c>
      <c r="CN8" s="22">
        <v>16.672499999999999</v>
      </c>
      <c r="CO8" s="22">
        <v>0</v>
      </c>
      <c r="CP8" s="27" t="s">
        <v>53</v>
      </c>
      <c r="CQ8" s="38">
        <f t="shared" si="39"/>
        <v>12.324999999999999</v>
      </c>
      <c r="CR8" s="38">
        <f t="shared" si="40"/>
        <v>13.17</v>
      </c>
      <c r="CS8" s="40">
        <f t="shared" si="41"/>
        <v>45.17</v>
      </c>
      <c r="CT8" s="40">
        <f t="shared" si="42"/>
        <v>10.15</v>
      </c>
      <c r="CU8" s="40">
        <f t="shared" si="43"/>
        <v>10.1175</v>
      </c>
      <c r="CV8" s="40">
        <f t="shared" si="44"/>
        <v>35.067500000000003</v>
      </c>
      <c r="CW8" s="40">
        <f t="shared" si="45"/>
        <v>45.17</v>
      </c>
      <c r="CX8" s="40">
        <f t="shared" si="46"/>
        <v>15.95</v>
      </c>
      <c r="CY8" s="40">
        <f t="shared" si="47"/>
        <v>16.672499999999999</v>
      </c>
      <c r="CZ8" s="40">
        <f t="shared" si="48"/>
        <v>57.697499999999998</v>
      </c>
      <c r="DA8" s="40">
        <f t="shared" si="49"/>
        <v>102.86750000000001</v>
      </c>
      <c r="DB8" s="51">
        <f t="shared" si="50"/>
        <v>14.010000000000005</v>
      </c>
      <c r="DC8" s="51" t="str">
        <f t="shared" si="51"/>
        <v/>
      </c>
      <c r="DD8" s="17">
        <v>15.1</v>
      </c>
      <c r="DE8" s="17">
        <v>8.6</v>
      </c>
      <c r="DF8" s="17">
        <v>16.2</v>
      </c>
      <c r="DG8" s="17">
        <v>16.88</v>
      </c>
      <c r="DH8" s="17">
        <v>0</v>
      </c>
      <c r="DI8" s="17">
        <v>1.4</v>
      </c>
      <c r="DJ8" s="17">
        <v>0.9</v>
      </c>
      <c r="DK8" s="17">
        <v>2</v>
      </c>
      <c r="DL8" s="17">
        <v>1.85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 t="shared" si="52"/>
        <v>16.2</v>
      </c>
      <c r="DY8" s="40">
        <f t="shared" si="53"/>
        <v>16.88</v>
      </c>
      <c r="DZ8" s="40">
        <f t="shared" si="54"/>
        <v>56.78</v>
      </c>
      <c r="EA8" s="40">
        <f t="shared" si="55"/>
        <v>2</v>
      </c>
      <c r="EB8" s="40">
        <f t="shared" si="56"/>
        <v>1.85</v>
      </c>
      <c r="EC8" s="40">
        <f t="shared" si="57"/>
        <v>6.15</v>
      </c>
      <c r="ED8" s="40">
        <f t="shared" si="58"/>
        <v>56.78</v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>
        <f t="shared" si="65"/>
        <v>56.78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>
        <v>5.8</v>
      </c>
      <c r="IK8" s="17">
        <v>3.5</v>
      </c>
      <c r="IL8" s="17">
        <v>7.4</v>
      </c>
      <c r="IM8" s="17">
        <v>7.06</v>
      </c>
      <c r="IN8" s="17">
        <v>0</v>
      </c>
      <c r="IO8" s="17">
        <v>14.7</v>
      </c>
      <c r="IP8" s="17">
        <v>9.1</v>
      </c>
      <c r="IQ8" s="17">
        <v>16.100000000000001</v>
      </c>
      <c r="IR8" s="17">
        <v>17.04</v>
      </c>
      <c r="IS8" s="17">
        <v>0.2</v>
      </c>
      <c r="IT8" s="17">
        <v>1.6</v>
      </c>
      <c r="IU8" s="17">
        <v>1</v>
      </c>
      <c r="IV8" s="17">
        <v>2.2000000000000002</v>
      </c>
      <c r="IW8" s="17">
        <v>1.83</v>
      </c>
      <c r="IX8" s="17">
        <v>0</v>
      </c>
      <c r="IY8" s="17"/>
      <c r="IZ8" s="17"/>
      <c r="JA8" s="17"/>
      <c r="JB8" s="17"/>
      <c r="JC8" s="17"/>
      <c r="JD8" s="40">
        <f t="shared" si="108"/>
        <v>7.4</v>
      </c>
      <c r="JE8" s="40">
        <f t="shared" si="109"/>
        <v>7.06</v>
      </c>
      <c r="JF8" s="40">
        <f t="shared" si="110"/>
        <v>23.76</v>
      </c>
      <c r="JG8" s="40">
        <f t="shared" si="111"/>
        <v>16.100000000000001</v>
      </c>
      <c r="JH8" s="40">
        <f t="shared" si="112"/>
        <v>17.04</v>
      </c>
      <c r="JI8" s="40">
        <f t="shared" si="113"/>
        <v>56.739999999999995</v>
      </c>
      <c r="JJ8" s="40">
        <f t="shared" si="114"/>
        <v>56.739999999999995</v>
      </c>
      <c r="JK8" s="40">
        <f t="shared" si="115"/>
        <v>2.2000000000000002</v>
      </c>
      <c r="JL8" s="40">
        <f t="shared" si="116"/>
        <v>1.83</v>
      </c>
      <c r="JM8" s="40">
        <f t="shared" si="117"/>
        <v>6.6300000000000008</v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>
        <f t="shared" si="121"/>
        <v>63.37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>
        <v>15.7</v>
      </c>
      <c r="LA8" s="17">
        <v>9</v>
      </c>
      <c r="LB8" s="17">
        <v>16.7</v>
      </c>
      <c r="LC8" s="17">
        <v>17.260000000000002</v>
      </c>
      <c r="LD8" s="17">
        <v>0</v>
      </c>
      <c r="LE8" s="17">
        <v>15.5</v>
      </c>
      <c r="LF8" s="17">
        <v>9.3000000000000007</v>
      </c>
      <c r="LG8" s="17">
        <v>17.100000000000001</v>
      </c>
      <c r="LH8" s="17">
        <v>17.28</v>
      </c>
      <c r="LI8" s="17">
        <v>0</v>
      </c>
      <c r="LJ8" s="17">
        <v>14.4</v>
      </c>
      <c r="LK8" s="17">
        <v>9.1</v>
      </c>
      <c r="LL8" s="17">
        <v>14.7</v>
      </c>
      <c r="LM8" s="17">
        <v>16.829999999999998</v>
      </c>
      <c r="LN8" s="17">
        <v>0</v>
      </c>
      <c r="LO8" s="17"/>
      <c r="LP8" s="17"/>
      <c r="LQ8" s="17"/>
      <c r="LR8" s="17"/>
      <c r="LS8" s="17"/>
      <c r="LT8" s="40">
        <f t="shared" si="136"/>
        <v>16.7</v>
      </c>
      <c r="LU8" s="40">
        <f t="shared" si="137"/>
        <v>17.260000000000002</v>
      </c>
      <c r="LV8" s="40">
        <f t="shared" si="138"/>
        <v>58.66</v>
      </c>
      <c r="LW8" s="40">
        <f t="shared" si="139"/>
        <v>17.100000000000001</v>
      </c>
      <c r="LX8" s="40">
        <f t="shared" si="140"/>
        <v>17.28</v>
      </c>
      <c r="LY8" s="40">
        <f t="shared" si="141"/>
        <v>59.180000000000007</v>
      </c>
      <c r="LZ8" s="40">
        <f t="shared" si="142"/>
        <v>59.180000000000007</v>
      </c>
      <c r="MA8" s="40">
        <f t="shared" si="143"/>
        <v>14.7</v>
      </c>
      <c r="MB8" s="40">
        <f t="shared" si="144"/>
        <v>16.829999999999998</v>
      </c>
      <c r="MC8" s="40">
        <f t="shared" si="145"/>
        <v>55.03</v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>
        <f t="shared" si="149"/>
        <v>114.21000000000001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12.475</v>
      </c>
      <c r="WU8" s="26">
        <f t="shared" si="263"/>
        <v>7.2</v>
      </c>
      <c r="WV8" s="26">
        <f t="shared" si="264"/>
        <v>12.324999999999999</v>
      </c>
      <c r="WW8" s="26">
        <f t="shared" si="265"/>
        <v>13.17</v>
      </c>
      <c r="WX8" s="26">
        <f t="shared" si="266"/>
        <v>0</v>
      </c>
      <c r="WY8" s="26">
        <f t="shared" si="267"/>
        <v>9.2249999999999996</v>
      </c>
      <c r="WZ8" s="26">
        <f t="shared" si="268"/>
        <v>5.5750000000000002</v>
      </c>
      <c r="XA8" s="26">
        <f t="shared" si="269"/>
        <v>10.15</v>
      </c>
      <c r="XB8" s="26">
        <f t="shared" si="270"/>
        <v>10.1175</v>
      </c>
      <c r="XC8" s="26">
        <f t="shared" si="271"/>
        <v>0</v>
      </c>
      <c r="XD8" s="26">
        <f t="shared" si="272"/>
        <v>15.85</v>
      </c>
      <c r="XE8" s="26">
        <f t="shared" si="273"/>
        <v>9.2249999999999996</v>
      </c>
      <c r="XF8" s="26">
        <f t="shared" si="274"/>
        <v>15.95</v>
      </c>
      <c r="XG8" s="26">
        <f t="shared" si="275"/>
        <v>16.672499999999999</v>
      </c>
      <c r="XH8" s="26">
        <f t="shared" si="276"/>
        <v>0</v>
      </c>
      <c r="XI8" s="28" t="s">
        <v>53</v>
      </c>
      <c r="XJ8" s="11">
        <f t="shared" si="277"/>
        <v>12.324999999999999</v>
      </c>
      <c r="XK8" s="11">
        <f t="shared" si="278"/>
        <v>13.17</v>
      </c>
      <c r="XL8" s="11">
        <f t="shared" si="279"/>
        <v>45.17</v>
      </c>
      <c r="XM8" s="11">
        <f t="shared" si="280"/>
        <v>10.15</v>
      </c>
      <c r="XN8" s="11">
        <f t="shared" si="281"/>
        <v>10.1175</v>
      </c>
      <c r="XO8" s="11">
        <f t="shared" si="282"/>
        <v>35.067500000000003</v>
      </c>
      <c r="XP8" s="11">
        <f t="shared" si="283"/>
        <v>45.17</v>
      </c>
      <c r="XQ8" s="11">
        <f t="shared" si="284"/>
        <v>15.95</v>
      </c>
      <c r="XR8" s="11">
        <f t="shared" si="285"/>
        <v>16.672499999999999</v>
      </c>
      <c r="XS8" s="11">
        <f t="shared" si="286"/>
        <v>57.697499999999998</v>
      </c>
      <c r="XT8" s="11">
        <f t="shared" si="287"/>
        <v>102.86750000000001</v>
      </c>
    </row>
    <row r="9" spans="1:644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73</v>
      </c>
      <c r="C9" s="4" t="s">
        <v>72</v>
      </c>
      <c r="D9" s="4">
        <v>2001</v>
      </c>
      <c r="E9" s="9">
        <f t="shared" si="0"/>
        <v>227.31002273100546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IF(COUNT(AQ9,AT9,BR9,BU9,CS9,CV9)&gt;0,LARGE((AQ9,AT9,BR9,BU9,CS9,CV9),1),0)</f>
        <v>54.739999999999995</v>
      </c>
      <c r="K9" s="8" t="str">
        <f t="shared" si="5"/>
        <v>2024 3rd Domestic Trial</v>
      </c>
      <c r="L9" s="8">
        <f>IF(COUNT(AQ9,AT9,BR9,BU9,CS9,CV9)&gt;1,LARGE((AQ9,AT9,BR9,BU9,CS9,CV9),2),0)</f>
        <v>52.55</v>
      </c>
      <c r="M9" s="8" t="str">
        <f t="shared" si="6"/>
        <v>2024 Nationals</v>
      </c>
      <c r="N9" s="8">
        <f>IF(COUNT(AQ9,AT9,BR9,BU9,CS9,CV9)&gt;2,LARGE((AQ9,AT9,BR9,BU9,CS9,CV9),3),0)</f>
        <v>34.660000000000004</v>
      </c>
      <c r="O9" s="8" t="str">
        <f t="shared" si="7"/>
        <v>2024 3rd Domestic Trial</v>
      </c>
      <c r="P9" s="8">
        <f t="shared" si="8"/>
        <v>53.83</v>
      </c>
      <c r="Q9" s="8" t="str">
        <f t="shared" si="9"/>
        <v>2024 3rd Domestic Trial</v>
      </c>
      <c r="R9" s="8">
        <f t="shared" si="10"/>
        <v>15.6</v>
      </c>
      <c r="S9" s="8" t="str">
        <f t="shared" si="11"/>
        <v>2024 3rd Domestic Trial</v>
      </c>
      <c r="T9" s="8">
        <f t="shared" si="12"/>
        <v>15.93</v>
      </c>
      <c r="U9" s="8" t="str">
        <f t="shared" si="13"/>
        <v>2024 3rd Domestic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2">
        <v>14.4</v>
      </c>
      <c r="Z9" s="22">
        <v>8.5</v>
      </c>
      <c r="AA9" s="22">
        <v>15</v>
      </c>
      <c r="AB9" s="22">
        <v>14.65</v>
      </c>
      <c r="AC9" s="22">
        <v>0</v>
      </c>
      <c r="AD9" s="22">
        <v>1.4</v>
      </c>
      <c r="AE9" s="22">
        <v>0.9</v>
      </c>
      <c r="AF9" s="22">
        <v>2</v>
      </c>
      <c r="AG9" s="22">
        <v>1.6</v>
      </c>
      <c r="AH9" s="22">
        <v>0</v>
      </c>
      <c r="AI9" s="22">
        <v>7.5</v>
      </c>
      <c r="AJ9" s="22">
        <v>4.2</v>
      </c>
      <c r="AK9" s="22">
        <v>7.6</v>
      </c>
      <c r="AL9" s="22">
        <v>7.74</v>
      </c>
      <c r="AM9" s="22">
        <v>0</v>
      </c>
      <c r="AN9" s="27"/>
      <c r="AO9" s="38">
        <f t="shared" si="17"/>
        <v>15</v>
      </c>
      <c r="AP9" s="38">
        <f t="shared" si="18"/>
        <v>14.65</v>
      </c>
      <c r="AQ9" s="40">
        <f t="shared" si="19"/>
        <v>52.55</v>
      </c>
      <c r="AR9" s="40">
        <f t="shared" si="20"/>
        <v>2</v>
      </c>
      <c r="AS9" s="40">
        <f t="shared" si="21"/>
        <v>1.6</v>
      </c>
      <c r="AT9" s="40">
        <f t="shared" si="22"/>
        <v>5.9</v>
      </c>
      <c r="AU9" s="40">
        <f t="shared" si="23"/>
        <v>52.55</v>
      </c>
      <c r="AV9" s="40">
        <f t="shared" si="24"/>
        <v>7.6</v>
      </c>
      <c r="AW9" s="40">
        <f t="shared" si="25"/>
        <v>7.74</v>
      </c>
      <c r="AX9" s="40">
        <f t="shared" si="26"/>
        <v>27.04</v>
      </c>
      <c r="AY9" s="40">
        <f t="shared" si="27"/>
        <v>79.59</v>
      </c>
      <c r="AZ9" s="26">
        <v>11.1</v>
      </c>
      <c r="BA9" s="26">
        <v>6</v>
      </c>
      <c r="BB9" s="26">
        <v>6.5</v>
      </c>
      <c r="BC9" s="26">
        <v>11.06</v>
      </c>
      <c r="BD9" s="26">
        <v>0</v>
      </c>
      <c r="BE9" s="26">
        <v>14.8</v>
      </c>
      <c r="BF9" s="26">
        <v>8.6999999999999993</v>
      </c>
      <c r="BG9" s="26">
        <v>15.4</v>
      </c>
      <c r="BH9" s="26">
        <v>15.84</v>
      </c>
      <c r="BI9" s="26">
        <v>0</v>
      </c>
      <c r="BJ9" s="26">
        <v>13.1</v>
      </c>
      <c r="BK9" s="26">
        <v>9.1999999999999993</v>
      </c>
      <c r="BL9" s="26">
        <v>15.6</v>
      </c>
      <c r="BM9" s="26">
        <v>15.93</v>
      </c>
      <c r="BN9" s="26">
        <v>0</v>
      </c>
      <c r="BO9" s="28"/>
      <c r="BP9" s="39">
        <f t="shared" si="28"/>
        <v>6.5</v>
      </c>
      <c r="BQ9" s="39">
        <f t="shared" si="29"/>
        <v>11.06</v>
      </c>
      <c r="BR9" s="11">
        <f t="shared" si="30"/>
        <v>34.660000000000004</v>
      </c>
      <c r="BS9" s="11">
        <f t="shared" si="31"/>
        <v>15.4</v>
      </c>
      <c r="BT9" s="11">
        <f t="shared" si="32"/>
        <v>15.84</v>
      </c>
      <c r="BU9" s="11">
        <f t="shared" si="33"/>
        <v>54.739999999999995</v>
      </c>
      <c r="BV9" s="11">
        <f t="shared" si="34"/>
        <v>54.739999999999995</v>
      </c>
      <c r="BW9" s="11">
        <f t="shared" si="35"/>
        <v>15.6</v>
      </c>
      <c r="BX9" s="11">
        <f t="shared" si="36"/>
        <v>15.93</v>
      </c>
      <c r="BY9" s="11">
        <f t="shared" si="37"/>
        <v>53.83</v>
      </c>
      <c r="BZ9" s="11">
        <f t="shared" si="38"/>
        <v>108.57</v>
      </c>
      <c r="CA9" s="22">
        <v>3.2</v>
      </c>
      <c r="CB9" s="22">
        <v>1.6</v>
      </c>
      <c r="CC9" s="22">
        <v>3.3</v>
      </c>
      <c r="CD9" s="22">
        <v>3.24</v>
      </c>
      <c r="CE9" s="22">
        <v>0</v>
      </c>
      <c r="CF9" s="22">
        <v>8.1</v>
      </c>
      <c r="CG9" s="22">
        <v>5.3</v>
      </c>
      <c r="CH9" s="22">
        <v>7</v>
      </c>
      <c r="CI9" s="22">
        <v>8.89</v>
      </c>
      <c r="CJ9" s="22">
        <v>0</v>
      </c>
      <c r="CK9" s="22"/>
      <c r="CL9" s="22"/>
      <c r="CM9" s="22"/>
      <c r="CN9" s="22"/>
      <c r="CO9" s="22"/>
      <c r="CP9" s="27"/>
      <c r="CQ9" s="38">
        <f t="shared" si="39"/>
        <v>3.3</v>
      </c>
      <c r="CR9" s="38">
        <f t="shared" si="40"/>
        <v>3.24</v>
      </c>
      <c r="CS9" s="40">
        <f t="shared" si="41"/>
        <v>11.340000000000002</v>
      </c>
      <c r="CT9" s="40">
        <f t="shared" si="42"/>
        <v>7</v>
      </c>
      <c r="CU9" s="40">
        <f t="shared" si="43"/>
        <v>8.89</v>
      </c>
      <c r="CV9" s="40">
        <f t="shared" si="44"/>
        <v>29.29</v>
      </c>
      <c r="CW9" s="40">
        <f t="shared" si="45"/>
        <v>29.29</v>
      </c>
      <c r="CX9" s="40" t="str">
        <f t="shared" si="46"/>
        <v/>
      </c>
      <c r="CY9" s="40" t="str">
        <f t="shared" si="47"/>
        <v/>
      </c>
      <c r="CZ9" s="40" t="str">
        <f t="shared" si="48"/>
        <v/>
      </c>
      <c r="DA9" s="40">
        <f t="shared" si="49"/>
        <v>29.29</v>
      </c>
      <c r="DB9" s="51" t="str">
        <f t="shared" si="50"/>
        <v/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40" t="str">
        <f t="shared" si="92"/>
        <v/>
      </c>
      <c r="HA9" s="40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7.15</v>
      </c>
      <c r="WU9" s="26">
        <f t="shared" si="263"/>
        <v>3.8</v>
      </c>
      <c r="WV9" s="26">
        <f t="shared" si="264"/>
        <v>4.9000000000000004</v>
      </c>
      <c r="WW9" s="26">
        <f t="shared" si="265"/>
        <v>7.15</v>
      </c>
      <c r="WX9" s="26">
        <f t="shared" si="266"/>
        <v>0</v>
      </c>
      <c r="WY9" s="26">
        <f t="shared" si="267"/>
        <v>11.45</v>
      </c>
      <c r="WZ9" s="26">
        <f t="shared" si="268"/>
        <v>7</v>
      </c>
      <c r="XA9" s="26">
        <f t="shared" si="269"/>
        <v>11.2</v>
      </c>
      <c r="XB9" s="26">
        <f t="shared" si="270"/>
        <v>12.365</v>
      </c>
      <c r="XC9" s="26">
        <f t="shared" si="271"/>
        <v>0</v>
      </c>
      <c r="XD9" s="26">
        <f t="shared" si="272"/>
        <v>6.55</v>
      </c>
      <c r="XE9" s="26">
        <f t="shared" si="273"/>
        <v>4.5999999999999996</v>
      </c>
      <c r="XF9" s="26">
        <f t="shared" si="274"/>
        <v>7.8</v>
      </c>
      <c r="XG9" s="26">
        <f t="shared" si="275"/>
        <v>7.9649999999999999</v>
      </c>
      <c r="XH9" s="26">
        <f t="shared" si="276"/>
        <v>0</v>
      </c>
      <c r="XI9" s="28" t="s">
        <v>53</v>
      </c>
      <c r="XJ9" s="11">
        <f t="shared" si="277"/>
        <v>4.9000000000000004</v>
      </c>
      <c r="XK9" s="11">
        <f t="shared" si="278"/>
        <v>7.15</v>
      </c>
      <c r="XL9" s="11">
        <f t="shared" si="279"/>
        <v>23</v>
      </c>
      <c r="XM9" s="11">
        <f t="shared" si="280"/>
        <v>11.2</v>
      </c>
      <c r="XN9" s="11">
        <f t="shared" si="281"/>
        <v>12.365</v>
      </c>
      <c r="XO9" s="11">
        <f t="shared" si="282"/>
        <v>42.015000000000001</v>
      </c>
      <c r="XP9" s="11">
        <f t="shared" si="283"/>
        <v>42.015000000000001</v>
      </c>
      <c r="XQ9" s="11">
        <f t="shared" si="284"/>
        <v>7.8</v>
      </c>
      <c r="XR9" s="11">
        <f t="shared" si="285"/>
        <v>7.9649999999999999</v>
      </c>
      <c r="XS9" s="11">
        <f t="shared" si="286"/>
        <v>26.914999999999999</v>
      </c>
      <c r="XT9" s="11">
        <f t="shared" si="287"/>
        <v>68.930000000000007</v>
      </c>
    </row>
    <row r="10" spans="1:644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87</v>
      </c>
      <c r="C10" s="4" t="s">
        <v>3</v>
      </c>
      <c r="D10" s="4">
        <v>2002</v>
      </c>
      <c r="E10" s="9">
        <f t="shared" si="0"/>
        <v>193.74001937400558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55.760000000000005</v>
      </c>
      <c r="K10" s="8" t="str">
        <f t="shared" si="5"/>
        <v>2024 3rd Domestic Trial</v>
      </c>
      <c r="L10" s="8">
        <f>IF(COUNT(AQ10,AT10,BR10,BU10,CS10,CV10)&gt;1,LARGE((AQ10,AT10,BR10,BU10,CS10,CV10),2),0)</f>
        <v>53.93</v>
      </c>
      <c r="M10" s="8" t="str">
        <f t="shared" si="6"/>
        <v>2024 3rd Domestic Trial</v>
      </c>
      <c r="N10" s="8">
        <f>IF(COUNT(AQ10,AT10,BR10,BU10,CS10,CV10)&gt;2,LARGE((AQ10,AT10,BR10,BU10,CS10,CV10),3),0)</f>
        <v>46.43</v>
      </c>
      <c r="O10" s="8" t="str">
        <f t="shared" si="7"/>
        <v>2024 Nationals</v>
      </c>
      <c r="P10" s="8">
        <f t="shared" si="8"/>
        <v>6.3599999999999994</v>
      </c>
      <c r="Q10" s="8" t="str">
        <f t="shared" si="9"/>
        <v>2024 3rd Domestic Trial</v>
      </c>
      <c r="R10" s="8">
        <f t="shared" si="10"/>
        <v>15.6</v>
      </c>
      <c r="S10" s="8" t="str">
        <f t="shared" si="11"/>
        <v>2024 3rd Domestic Trial</v>
      </c>
      <c r="T10" s="8">
        <f t="shared" si="12"/>
        <v>15.66</v>
      </c>
      <c r="U10" s="8" t="str">
        <f t="shared" si="13"/>
        <v>2024 3rd Domestic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2">
        <v>4.5999999999999996</v>
      </c>
      <c r="Z10" s="22">
        <v>2.9</v>
      </c>
      <c r="AA10" s="22">
        <v>5.5</v>
      </c>
      <c r="AB10" s="22">
        <v>4.9400000000000004</v>
      </c>
      <c r="AC10" s="22">
        <v>0.2</v>
      </c>
      <c r="AD10" s="22">
        <v>13.8</v>
      </c>
      <c r="AE10" s="22">
        <v>9.1</v>
      </c>
      <c r="AF10" s="22">
        <v>11.1</v>
      </c>
      <c r="AG10" s="22">
        <v>14.83</v>
      </c>
      <c r="AH10" s="22">
        <v>2.4</v>
      </c>
      <c r="AI10" s="22"/>
      <c r="AJ10" s="22"/>
      <c r="AK10" s="22"/>
      <c r="AL10" s="22"/>
      <c r="AM10" s="22"/>
      <c r="AN10" s="27"/>
      <c r="AO10" s="38">
        <f t="shared" si="17"/>
        <v>5.5</v>
      </c>
      <c r="AP10" s="38">
        <f t="shared" si="18"/>
        <v>4.9400000000000004</v>
      </c>
      <c r="AQ10" s="40">
        <f t="shared" si="19"/>
        <v>17.740000000000002</v>
      </c>
      <c r="AR10" s="40">
        <f t="shared" si="20"/>
        <v>11.1</v>
      </c>
      <c r="AS10" s="40">
        <f t="shared" si="21"/>
        <v>14.83</v>
      </c>
      <c r="AT10" s="40">
        <f t="shared" si="22"/>
        <v>46.43</v>
      </c>
      <c r="AU10" s="40">
        <f t="shared" si="23"/>
        <v>46.43</v>
      </c>
      <c r="AV10" s="40" t="str">
        <f t="shared" si="24"/>
        <v/>
      </c>
      <c r="AW10" s="40" t="str">
        <f t="shared" si="25"/>
        <v/>
      </c>
      <c r="AX10" s="40" t="str">
        <f t="shared" si="26"/>
        <v/>
      </c>
      <c r="AY10" s="40">
        <f t="shared" si="27"/>
        <v>46.43</v>
      </c>
      <c r="AZ10" s="26">
        <v>14.3</v>
      </c>
      <c r="BA10" s="26">
        <v>8.6999999999999993</v>
      </c>
      <c r="BB10" s="26">
        <v>15.6</v>
      </c>
      <c r="BC10" s="26">
        <v>15.33</v>
      </c>
      <c r="BD10" s="26">
        <v>0</v>
      </c>
      <c r="BE10" s="26">
        <v>14.9</v>
      </c>
      <c r="BF10" s="26">
        <v>9.6999999999999993</v>
      </c>
      <c r="BG10" s="26">
        <v>15.5</v>
      </c>
      <c r="BH10" s="26">
        <v>15.66</v>
      </c>
      <c r="BI10" s="26">
        <v>0</v>
      </c>
      <c r="BJ10" s="26">
        <v>1.6</v>
      </c>
      <c r="BK10" s="26">
        <v>1</v>
      </c>
      <c r="BL10" s="26">
        <v>2</v>
      </c>
      <c r="BM10" s="26">
        <v>1.76</v>
      </c>
      <c r="BN10" s="26">
        <v>0</v>
      </c>
      <c r="BO10" s="28"/>
      <c r="BP10" s="39">
        <f t="shared" si="28"/>
        <v>15.6</v>
      </c>
      <c r="BQ10" s="39">
        <f t="shared" si="29"/>
        <v>15.33</v>
      </c>
      <c r="BR10" s="11">
        <f t="shared" si="30"/>
        <v>53.93</v>
      </c>
      <c r="BS10" s="11">
        <f t="shared" si="31"/>
        <v>15.5</v>
      </c>
      <c r="BT10" s="11">
        <f t="shared" si="32"/>
        <v>15.66</v>
      </c>
      <c r="BU10" s="11">
        <f t="shared" si="33"/>
        <v>55.760000000000005</v>
      </c>
      <c r="BV10" s="11">
        <f t="shared" si="34"/>
        <v>55.760000000000005</v>
      </c>
      <c r="BW10" s="11">
        <f t="shared" si="35"/>
        <v>2</v>
      </c>
      <c r="BX10" s="11">
        <f t="shared" si="36"/>
        <v>1.76</v>
      </c>
      <c r="BY10" s="11">
        <f t="shared" si="37"/>
        <v>6.3599999999999994</v>
      </c>
      <c r="BZ10" s="11">
        <f t="shared" si="38"/>
        <v>62.120000000000005</v>
      </c>
      <c r="CA10" s="22">
        <v>1.8</v>
      </c>
      <c r="CB10" s="22">
        <v>0.8</v>
      </c>
      <c r="CC10" s="22">
        <v>2</v>
      </c>
      <c r="CD10" s="22">
        <v>1.7</v>
      </c>
      <c r="CE10" s="22">
        <v>0</v>
      </c>
      <c r="CF10" s="22">
        <v>3</v>
      </c>
      <c r="CG10" s="22">
        <v>1.8</v>
      </c>
      <c r="CH10" s="22">
        <v>4</v>
      </c>
      <c r="CI10" s="22">
        <v>3.34</v>
      </c>
      <c r="CJ10" s="22">
        <v>0</v>
      </c>
      <c r="CK10" s="22"/>
      <c r="CL10" s="22"/>
      <c r="CM10" s="22"/>
      <c r="CN10" s="22"/>
      <c r="CO10" s="22"/>
      <c r="CP10" s="27"/>
      <c r="CQ10" s="38">
        <f t="shared" si="39"/>
        <v>2</v>
      </c>
      <c r="CR10" s="38">
        <f t="shared" si="40"/>
        <v>1.7</v>
      </c>
      <c r="CS10" s="40">
        <f t="shared" si="41"/>
        <v>6.3</v>
      </c>
      <c r="CT10" s="40">
        <f t="shared" si="42"/>
        <v>4</v>
      </c>
      <c r="CU10" s="40">
        <f t="shared" si="43"/>
        <v>3.34</v>
      </c>
      <c r="CV10" s="40">
        <f t="shared" si="44"/>
        <v>12.14</v>
      </c>
      <c r="CW10" s="40">
        <f t="shared" si="45"/>
        <v>12.14</v>
      </c>
      <c r="CX10" s="40" t="str">
        <f t="shared" si="46"/>
        <v/>
      </c>
      <c r="CY10" s="40" t="str">
        <f t="shared" si="47"/>
        <v/>
      </c>
      <c r="CZ10" s="40" t="str">
        <f t="shared" si="48"/>
        <v/>
      </c>
      <c r="DA10" s="40">
        <f t="shared" si="49"/>
        <v>12.14</v>
      </c>
      <c r="DB10" s="51" t="str">
        <f t="shared" si="50"/>
        <v/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8.0500000000000007</v>
      </c>
      <c r="WU10" s="26">
        <f t="shared" si="263"/>
        <v>4.75</v>
      </c>
      <c r="WV10" s="26">
        <f t="shared" si="264"/>
        <v>8.8000000000000007</v>
      </c>
      <c r="WW10" s="26">
        <f t="shared" si="265"/>
        <v>8.5150000000000006</v>
      </c>
      <c r="WX10" s="26">
        <f t="shared" si="266"/>
        <v>0</v>
      </c>
      <c r="WY10" s="26">
        <f t="shared" si="267"/>
        <v>8.9499999999999993</v>
      </c>
      <c r="WZ10" s="26">
        <f t="shared" si="268"/>
        <v>5.75</v>
      </c>
      <c r="XA10" s="26">
        <f t="shared" si="269"/>
        <v>9.75</v>
      </c>
      <c r="XB10" s="26">
        <f t="shared" si="270"/>
        <v>9.5</v>
      </c>
      <c r="XC10" s="26">
        <f t="shared" si="271"/>
        <v>0</v>
      </c>
      <c r="XD10" s="26">
        <f t="shared" si="272"/>
        <v>0.8</v>
      </c>
      <c r="XE10" s="26">
        <f t="shared" si="273"/>
        <v>0.5</v>
      </c>
      <c r="XF10" s="26">
        <f t="shared" si="274"/>
        <v>1</v>
      </c>
      <c r="XG10" s="26">
        <f t="shared" si="275"/>
        <v>0.88</v>
      </c>
      <c r="XH10" s="26">
        <f t="shared" si="276"/>
        <v>0</v>
      </c>
      <c r="XI10" s="28" t="s">
        <v>53</v>
      </c>
      <c r="XJ10" s="11">
        <f t="shared" si="277"/>
        <v>8.8000000000000007</v>
      </c>
      <c r="XK10" s="11">
        <f t="shared" si="278"/>
        <v>8.5150000000000006</v>
      </c>
      <c r="XL10" s="11">
        <f t="shared" si="279"/>
        <v>30.115000000000002</v>
      </c>
      <c r="XM10" s="11">
        <f t="shared" si="280"/>
        <v>9.75</v>
      </c>
      <c r="XN10" s="11">
        <f t="shared" si="281"/>
        <v>9.5</v>
      </c>
      <c r="XO10" s="11">
        <f t="shared" si="282"/>
        <v>33.950000000000003</v>
      </c>
      <c r="XP10" s="11">
        <f t="shared" si="283"/>
        <v>33.950000000000003</v>
      </c>
      <c r="XQ10" s="11">
        <f t="shared" si="284"/>
        <v>1</v>
      </c>
      <c r="XR10" s="11">
        <f t="shared" si="285"/>
        <v>0.88</v>
      </c>
      <c r="XS10" s="11">
        <f t="shared" si="286"/>
        <v>3.1799999999999997</v>
      </c>
      <c r="XT10" s="11">
        <f t="shared" si="287"/>
        <v>37.130000000000003</v>
      </c>
    </row>
    <row r="11" spans="1:644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59</v>
      </c>
      <c r="C11" s="4" t="s">
        <v>7</v>
      </c>
      <c r="D11" s="4">
        <v>2001</v>
      </c>
      <c r="E11" s="9">
        <f t="shared" si="0"/>
        <v>186.43501603900324</v>
      </c>
      <c r="F11" s="3" t="str">
        <f t="shared" si="1"/>
        <v>P</v>
      </c>
      <c r="G11" s="3" t="str">
        <f t="shared" si="2"/>
        <v>P</v>
      </c>
      <c r="H11" s="36" t="str">
        <f t="shared" si="3"/>
        <v>Excellence</v>
      </c>
      <c r="I11" s="3" t="str">
        <f t="shared" si="4"/>
        <v>P</v>
      </c>
      <c r="J11" s="8">
        <f>IF(COUNT(AQ11,AT11,BR11,BU11,CS11,CV11)&gt;0,LARGE((AQ11,AT11,BR11,BU11,CS11,CV11),1),0)</f>
        <v>32.664999999999999</v>
      </c>
      <c r="K11" s="8" t="str">
        <f t="shared" si="5"/>
        <v>2025 Elite Canada</v>
      </c>
      <c r="L11" s="8">
        <f>IF(COUNT(AQ11,AT11,BR11,BU11,CS11,CV11)&gt;1,LARGE((AQ11,AT11,BR11,BU11,CS11,CV11),2),0)</f>
        <v>32.664999999999999</v>
      </c>
      <c r="M11" s="8" t="str">
        <f t="shared" si="6"/>
        <v>2025 Elite Canada</v>
      </c>
      <c r="N11" s="8">
        <f>IF(COUNT(AQ11,AT11,BR11,BU11,CS11,CV11)&gt;2,LARGE((AQ11,AT11,BR11,BU11,CS11,CV11),3),0)</f>
        <v>32.664999999999999</v>
      </c>
      <c r="O11" s="8" t="str">
        <f t="shared" si="7"/>
        <v>2025 Elite Canada</v>
      </c>
      <c r="P11" s="8">
        <f t="shared" si="8"/>
        <v>28.884999999999998</v>
      </c>
      <c r="Q11" s="8" t="str">
        <f t="shared" si="9"/>
        <v>2025 Elite Canada</v>
      </c>
      <c r="R11" s="8">
        <f t="shared" si="10"/>
        <v>16.2</v>
      </c>
      <c r="S11" s="8" t="str">
        <f t="shared" si="11"/>
        <v>2024 World Cup POR (July 7)</v>
      </c>
      <c r="T11" s="8">
        <f t="shared" si="12"/>
        <v>17.309999999999999</v>
      </c>
      <c r="U11" s="8" t="str">
        <f t="shared" si="13"/>
        <v>2024 World Cup POR (July 7)</v>
      </c>
      <c r="V11" s="8">
        <f t="shared" si="14"/>
        <v>26.044999999999995</v>
      </c>
      <c r="W11" s="11" t="str">
        <f t="shared" si="15"/>
        <v>(Prelim)</v>
      </c>
      <c r="X11" s="8" t="str">
        <f t="shared" si="16"/>
        <v>2024 World Cup POR (July 7)</v>
      </c>
      <c r="Y11" s="22">
        <v>6.65</v>
      </c>
      <c r="Z11" s="22">
        <v>3.35</v>
      </c>
      <c r="AA11" s="22">
        <v>6.9</v>
      </c>
      <c r="AB11" s="22">
        <v>6.8149999999999995</v>
      </c>
      <c r="AC11" s="22">
        <v>0</v>
      </c>
      <c r="AD11" s="22">
        <v>9.1</v>
      </c>
      <c r="AE11" s="22">
        <v>5.0999999999999996</v>
      </c>
      <c r="AF11" s="22">
        <v>9.25</v>
      </c>
      <c r="AG11" s="22">
        <v>9.2149999999999999</v>
      </c>
      <c r="AH11" s="22">
        <v>0</v>
      </c>
      <c r="AI11" s="22">
        <v>8.1</v>
      </c>
      <c r="AJ11" s="22">
        <v>4.1500000000000004</v>
      </c>
      <c r="AK11" s="22">
        <v>8.25</v>
      </c>
      <c r="AL11" s="22">
        <v>8.3849999999999998</v>
      </c>
      <c r="AM11" s="22">
        <v>0</v>
      </c>
      <c r="AN11" s="27" t="s">
        <v>53</v>
      </c>
      <c r="AO11" s="38">
        <f t="shared" si="17"/>
        <v>6.9</v>
      </c>
      <c r="AP11" s="38">
        <f t="shared" si="18"/>
        <v>6.8149999999999995</v>
      </c>
      <c r="AQ11" s="40">
        <f t="shared" si="19"/>
        <v>23.714999999999996</v>
      </c>
      <c r="AR11" s="40">
        <f t="shared" si="20"/>
        <v>9.25</v>
      </c>
      <c r="AS11" s="40">
        <f t="shared" si="21"/>
        <v>9.2149999999999999</v>
      </c>
      <c r="AT11" s="40">
        <f t="shared" si="22"/>
        <v>32.664999999999999</v>
      </c>
      <c r="AU11" s="40">
        <f t="shared" si="23"/>
        <v>32.664999999999999</v>
      </c>
      <c r="AV11" s="40">
        <f t="shared" si="24"/>
        <v>8.25</v>
      </c>
      <c r="AW11" s="40">
        <f t="shared" si="25"/>
        <v>8.3849999999999998</v>
      </c>
      <c r="AX11" s="40">
        <f t="shared" si="26"/>
        <v>28.884999999999998</v>
      </c>
      <c r="AY11" s="40">
        <f t="shared" si="27"/>
        <v>61.55</v>
      </c>
      <c r="AZ11" s="26">
        <v>6.65</v>
      </c>
      <c r="BA11" s="26">
        <v>3.35</v>
      </c>
      <c r="BB11" s="26">
        <v>6.9</v>
      </c>
      <c r="BC11" s="26">
        <v>6.8149999999999995</v>
      </c>
      <c r="BD11" s="26">
        <v>0</v>
      </c>
      <c r="BE11" s="26">
        <v>9.1</v>
      </c>
      <c r="BF11" s="26">
        <v>5.0999999999999996</v>
      </c>
      <c r="BG11" s="26">
        <v>9.25</v>
      </c>
      <c r="BH11" s="26">
        <v>9.2149999999999999</v>
      </c>
      <c r="BI11" s="26">
        <v>0</v>
      </c>
      <c r="BJ11" s="26">
        <v>8.1</v>
      </c>
      <c r="BK11" s="26">
        <v>4.1500000000000004</v>
      </c>
      <c r="BL11" s="26">
        <v>8.25</v>
      </c>
      <c r="BM11" s="26">
        <v>8.3849999999999998</v>
      </c>
      <c r="BN11" s="26">
        <v>0</v>
      </c>
      <c r="BO11" s="28" t="s">
        <v>53</v>
      </c>
      <c r="BP11" s="39">
        <f t="shared" si="28"/>
        <v>6.9</v>
      </c>
      <c r="BQ11" s="39">
        <f t="shared" si="29"/>
        <v>6.8149999999999995</v>
      </c>
      <c r="BR11" s="11">
        <f t="shared" si="30"/>
        <v>23.714999999999996</v>
      </c>
      <c r="BS11" s="11">
        <f t="shared" si="31"/>
        <v>9.25</v>
      </c>
      <c r="BT11" s="11">
        <f t="shared" si="32"/>
        <v>9.2149999999999999</v>
      </c>
      <c r="BU11" s="11">
        <f t="shared" si="33"/>
        <v>32.664999999999999</v>
      </c>
      <c r="BV11" s="11">
        <f t="shared" si="34"/>
        <v>32.664999999999999</v>
      </c>
      <c r="BW11" s="11">
        <f t="shared" si="35"/>
        <v>8.25</v>
      </c>
      <c r="BX11" s="11">
        <f t="shared" si="36"/>
        <v>8.3849999999999998</v>
      </c>
      <c r="BY11" s="11">
        <f t="shared" si="37"/>
        <v>28.884999999999998</v>
      </c>
      <c r="BZ11" s="11">
        <f t="shared" si="38"/>
        <v>61.55</v>
      </c>
      <c r="CA11" s="22">
        <v>6.65</v>
      </c>
      <c r="CB11" s="22">
        <v>3.35</v>
      </c>
      <c r="CC11" s="22">
        <v>6.9</v>
      </c>
      <c r="CD11" s="22">
        <v>6.8149999999999995</v>
      </c>
      <c r="CE11" s="22">
        <v>0</v>
      </c>
      <c r="CF11" s="22">
        <v>9.1</v>
      </c>
      <c r="CG11" s="22">
        <v>5.0999999999999996</v>
      </c>
      <c r="CH11" s="22">
        <v>9.25</v>
      </c>
      <c r="CI11" s="22">
        <v>9.2149999999999999</v>
      </c>
      <c r="CJ11" s="22">
        <v>0</v>
      </c>
      <c r="CK11" s="22">
        <v>8.1</v>
      </c>
      <c r="CL11" s="22">
        <v>4.1500000000000004</v>
      </c>
      <c r="CM11" s="22">
        <v>8.25</v>
      </c>
      <c r="CN11" s="22">
        <v>8.3849999999999998</v>
      </c>
      <c r="CO11" s="22">
        <v>0</v>
      </c>
      <c r="CP11" s="27" t="s">
        <v>53</v>
      </c>
      <c r="CQ11" s="38">
        <f t="shared" si="39"/>
        <v>6.9</v>
      </c>
      <c r="CR11" s="38">
        <f t="shared" si="40"/>
        <v>6.8149999999999995</v>
      </c>
      <c r="CS11" s="40">
        <f t="shared" si="41"/>
        <v>23.714999999999996</v>
      </c>
      <c r="CT11" s="40">
        <f t="shared" si="42"/>
        <v>9.25</v>
      </c>
      <c r="CU11" s="40">
        <f t="shared" si="43"/>
        <v>9.2149999999999999</v>
      </c>
      <c r="CV11" s="40">
        <f t="shared" si="44"/>
        <v>32.664999999999999</v>
      </c>
      <c r="CW11" s="40">
        <f t="shared" si="45"/>
        <v>32.664999999999999</v>
      </c>
      <c r="CX11" s="40">
        <f t="shared" si="46"/>
        <v>8.25</v>
      </c>
      <c r="CY11" s="40">
        <f t="shared" si="47"/>
        <v>8.3849999999999998</v>
      </c>
      <c r="CZ11" s="40">
        <f t="shared" si="48"/>
        <v>28.884999999999998</v>
      </c>
      <c r="DA11" s="40">
        <f t="shared" si="49"/>
        <v>61.55</v>
      </c>
      <c r="DB11" s="51">
        <f t="shared" si="50"/>
        <v>26.044999999999995</v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>
        <v>16.2</v>
      </c>
      <c r="LA11" s="17">
        <v>9</v>
      </c>
      <c r="LB11" s="17">
        <v>16.2</v>
      </c>
      <c r="LC11" s="17">
        <v>17.309999999999999</v>
      </c>
      <c r="LD11" s="17">
        <v>0</v>
      </c>
      <c r="LE11" s="17"/>
      <c r="LF11" s="17"/>
      <c r="LG11" s="17"/>
      <c r="LH11" s="17"/>
      <c r="LI11" s="17"/>
      <c r="LJ11" s="17">
        <v>1.6</v>
      </c>
      <c r="LK11" s="17">
        <v>1</v>
      </c>
      <c r="LL11" s="17">
        <v>2</v>
      </c>
      <c r="LM11" s="17">
        <v>1.83</v>
      </c>
      <c r="LN11" s="17">
        <v>0</v>
      </c>
      <c r="LO11" s="17"/>
      <c r="LP11" s="17"/>
      <c r="LQ11" s="17"/>
      <c r="LR11" s="17"/>
      <c r="LS11" s="17"/>
      <c r="LT11" s="40">
        <f t="shared" si="136"/>
        <v>16.2</v>
      </c>
      <c r="LU11" s="40">
        <f t="shared" si="137"/>
        <v>17.309999999999999</v>
      </c>
      <c r="LV11" s="40">
        <f t="shared" si="138"/>
        <v>58.709999999999994</v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>
        <f t="shared" si="142"/>
        <v>58.709999999999994</v>
      </c>
      <c r="MA11" s="40">
        <f t="shared" si="143"/>
        <v>2</v>
      </c>
      <c r="MB11" s="40">
        <f t="shared" si="144"/>
        <v>1.83</v>
      </c>
      <c r="MC11" s="40">
        <f t="shared" si="145"/>
        <v>6.43</v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>
        <f t="shared" si="149"/>
        <v>65.139999999999986</v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6.65</v>
      </c>
      <c r="WU11" s="26">
        <f t="shared" si="263"/>
        <v>3.35</v>
      </c>
      <c r="WV11" s="26">
        <f t="shared" si="264"/>
        <v>6.9</v>
      </c>
      <c r="WW11" s="26">
        <f t="shared" si="265"/>
        <v>6.8149999999999995</v>
      </c>
      <c r="WX11" s="26">
        <f t="shared" si="266"/>
        <v>0</v>
      </c>
      <c r="WY11" s="26">
        <f t="shared" si="267"/>
        <v>9.1</v>
      </c>
      <c r="WZ11" s="26">
        <f t="shared" si="268"/>
        <v>5.0999999999999996</v>
      </c>
      <c r="XA11" s="26">
        <f t="shared" si="269"/>
        <v>9.25</v>
      </c>
      <c r="XB11" s="26">
        <f t="shared" si="270"/>
        <v>9.2149999999999999</v>
      </c>
      <c r="XC11" s="26">
        <f t="shared" si="271"/>
        <v>0</v>
      </c>
      <c r="XD11" s="26">
        <f t="shared" si="272"/>
        <v>8.1</v>
      </c>
      <c r="XE11" s="26">
        <f t="shared" si="273"/>
        <v>4.1500000000000004</v>
      </c>
      <c r="XF11" s="26">
        <f t="shared" si="274"/>
        <v>8.25</v>
      </c>
      <c r="XG11" s="26">
        <f t="shared" si="275"/>
        <v>8.3849999999999998</v>
      </c>
      <c r="XH11" s="26">
        <f t="shared" si="276"/>
        <v>0</v>
      </c>
      <c r="XI11" s="28" t="s">
        <v>53</v>
      </c>
      <c r="XJ11" s="11">
        <f t="shared" si="277"/>
        <v>6.9</v>
      </c>
      <c r="XK11" s="11">
        <f t="shared" si="278"/>
        <v>6.8149999999999995</v>
      </c>
      <c r="XL11" s="11">
        <f t="shared" si="279"/>
        <v>23.714999999999996</v>
      </c>
      <c r="XM11" s="11">
        <f t="shared" si="280"/>
        <v>9.25</v>
      </c>
      <c r="XN11" s="11">
        <f t="shared" si="281"/>
        <v>9.2149999999999999</v>
      </c>
      <c r="XO11" s="11">
        <f t="shared" si="282"/>
        <v>32.664999999999999</v>
      </c>
      <c r="XP11" s="11">
        <f t="shared" si="283"/>
        <v>32.664999999999999</v>
      </c>
      <c r="XQ11" s="11">
        <f t="shared" si="284"/>
        <v>8.25</v>
      </c>
      <c r="XR11" s="11">
        <f t="shared" si="285"/>
        <v>8.3849999999999998</v>
      </c>
      <c r="XS11" s="11">
        <f t="shared" si="286"/>
        <v>28.884999999999998</v>
      </c>
      <c r="XT11" s="11">
        <f t="shared" si="287"/>
        <v>61.55</v>
      </c>
    </row>
    <row r="12" spans="1:644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180</v>
      </c>
      <c r="C12" s="4" t="s">
        <v>5</v>
      </c>
      <c r="D12" s="4">
        <v>2007</v>
      </c>
      <c r="E12" s="9">
        <f t="shared" si="0"/>
        <v>233.33002298600553</v>
      </c>
      <c r="F12" s="3" t="str">
        <f t="shared" si="1"/>
        <v/>
      </c>
      <c r="G12" s="3" t="str">
        <f t="shared" si="2"/>
        <v>P</v>
      </c>
      <c r="H12" s="36" t="str">
        <f t="shared" si="3"/>
        <v>No DD</v>
      </c>
      <c r="I12" s="3" t="str">
        <f t="shared" si="4"/>
        <v/>
      </c>
      <c r="J12" s="8">
        <f>IF(COUNT(AQ12,AT12,BR12,BU12,CS12,CV12)&gt;0,LARGE((AQ12,AT12,BR12,BU12,CS12,CV12),1),0)</f>
        <v>55.410000000000004</v>
      </c>
      <c r="K12" s="8" t="str">
        <f t="shared" si="5"/>
        <v>2025 Elite Canada</v>
      </c>
      <c r="L12" s="8">
        <f>IF(COUNT(AQ12,AT12,BR12,BU12,CS12,CV12)&gt;1,LARGE((AQ12,AT12,BR12,BU12,CS12,CV12),2),0)</f>
        <v>53.56</v>
      </c>
      <c r="M12" s="8" t="str">
        <f t="shared" si="6"/>
        <v>2024 Nationals</v>
      </c>
      <c r="N12" s="8">
        <f>IF(COUNT(AQ12,AT12,BR12,BU12,CS12,CV12)&gt;2,LARGE((AQ12,AT12,BR12,BU12,CS12,CV12),3),0)</f>
        <v>51.910000000000004</v>
      </c>
      <c r="O12" s="8" t="str">
        <f t="shared" si="7"/>
        <v>2024 3rd Domestic Trial</v>
      </c>
      <c r="P12" s="8">
        <f t="shared" si="8"/>
        <v>54.58</v>
      </c>
      <c r="Q12" s="8" t="str">
        <f t="shared" si="9"/>
        <v>2024 Nationals</v>
      </c>
      <c r="R12" s="8">
        <f t="shared" si="10"/>
        <v>14.4</v>
      </c>
      <c r="S12" s="8" t="str">
        <f t="shared" si="11"/>
        <v>2025 Elite Canada</v>
      </c>
      <c r="T12" s="8">
        <f t="shared" si="12"/>
        <v>0</v>
      </c>
      <c r="U12" s="8" t="str">
        <f t="shared" si="13"/>
        <v/>
      </c>
      <c r="V12" s="8">
        <f t="shared" si="14"/>
        <v>3.4699999999999918</v>
      </c>
      <c r="W12" s="11" t="str">
        <f t="shared" si="15"/>
        <v>(Prelim)</v>
      </c>
      <c r="X12" s="8" t="str">
        <f t="shared" si="16"/>
        <v>2024 Coimbra Gym Fest (July 7)</v>
      </c>
      <c r="Y12" s="22">
        <v>15.5</v>
      </c>
      <c r="Z12" s="22">
        <v>9.3000000000000007</v>
      </c>
      <c r="AA12" s="22">
        <v>13.3</v>
      </c>
      <c r="AB12" s="22">
        <v>15.66</v>
      </c>
      <c r="AC12" s="22">
        <v>0.2</v>
      </c>
      <c r="AD12" s="22">
        <v>4.0999999999999996</v>
      </c>
      <c r="AE12" s="22">
        <v>2.7</v>
      </c>
      <c r="AF12" s="22">
        <v>4.7</v>
      </c>
      <c r="AG12" s="22">
        <v>4.71</v>
      </c>
      <c r="AH12" s="22">
        <v>0</v>
      </c>
      <c r="AI12" s="22">
        <v>16.5</v>
      </c>
      <c r="AJ12" s="22">
        <v>9</v>
      </c>
      <c r="AK12" s="22">
        <v>13.4</v>
      </c>
      <c r="AL12" s="22">
        <v>15.78</v>
      </c>
      <c r="AM12" s="22">
        <v>0.1</v>
      </c>
      <c r="AN12" s="27"/>
      <c r="AO12" s="38">
        <f t="shared" si="17"/>
        <v>13.3</v>
      </c>
      <c r="AP12" s="38">
        <f t="shared" si="18"/>
        <v>15.66</v>
      </c>
      <c r="AQ12" s="40">
        <f t="shared" si="19"/>
        <v>53.56</v>
      </c>
      <c r="AR12" s="40">
        <f t="shared" si="20"/>
        <v>4.7</v>
      </c>
      <c r="AS12" s="40">
        <f t="shared" si="21"/>
        <v>4.71</v>
      </c>
      <c r="AT12" s="40">
        <f t="shared" si="22"/>
        <v>16.21</v>
      </c>
      <c r="AU12" s="40">
        <f t="shared" si="23"/>
        <v>53.56</v>
      </c>
      <c r="AV12" s="40">
        <f t="shared" si="24"/>
        <v>13.4</v>
      </c>
      <c r="AW12" s="40">
        <f t="shared" si="25"/>
        <v>15.78</v>
      </c>
      <c r="AX12" s="40">
        <f t="shared" si="26"/>
        <v>54.58</v>
      </c>
      <c r="AY12" s="40">
        <f t="shared" si="27"/>
        <v>108.14</v>
      </c>
      <c r="AZ12" s="26">
        <v>11.9</v>
      </c>
      <c r="BA12" s="26">
        <v>6.2</v>
      </c>
      <c r="BB12" s="26">
        <v>10.3</v>
      </c>
      <c r="BC12" s="26">
        <v>12.19</v>
      </c>
      <c r="BD12" s="26">
        <v>0</v>
      </c>
      <c r="BE12" s="26">
        <v>15.3</v>
      </c>
      <c r="BF12" s="26">
        <v>7.9</v>
      </c>
      <c r="BG12" s="26">
        <v>13.2</v>
      </c>
      <c r="BH12" s="26">
        <v>15.51</v>
      </c>
      <c r="BI12" s="26">
        <v>0</v>
      </c>
      <c r="BJ12" s="26">
        <v>14.2</v>
      </c>
      <c r="BK12" s="26">
        <v>7.2</v>
      </c>
      <c r="BL12" s="26">
        <v>11.7</v>
      </c>
      <c r="BM12" s="26">
        <v>13.91</v>
      </c>
      <c r="BN12" s="26">
        <v>0</v>
      </c>
      <c r="BO12" s="28"/>
      <c r="BP12" s="39">
        <f t="shared" si="28"/>
        <v>10.3</v>
      </c>
      <c r="BQ12" s="39">
        <f t="shared" si="29"/>
        <v>12.19</v>
      </c>
      <c r="BR12" s="11">
        <f t="shared" si="30"/>
        <v>40.590000000000003</v>
      </c>
      <c r="BS12" s="11">
        <f t="shared" si="31"/>
        <v>13.2</v>
      </c>
      <c r="BT12" s="11">
        <f t="shared" si="32"/>
        <v>15.51</v>
      </c>
      <c r="BU12" s="11">
        <f t="shared" si="33"/>
        <v>51.910000000000004</v>
      </c>
      <c r="BV12" s="11">
        <f t="shared" si="34"/>
        <v>51.910000000000004</v>
      </c>
      <c r="BW12" s="11">
        <f t="shared" si="35"/>
        <v>11.7</v>
      </c>
      <c r="BX12" s="11">
        <f t="shared" si="36"/>
        <v>13.91</v>
      </c>
      <c r="BY12" s="11">
        <f t="shared" si="37"/>
        <v>47.009999999999991</v>
      </c>
      <c r="BZ12" s="11">
        <f t="shared" si="38"/>
        <v>98.919999999999987</v>
      </c>
      <c r="CA12" s="22">
        <v>16</v>
      </c>
      <c r="CB12" s="22">
        <v>9.3000000000000007</v>
      </c>
      <c r="CC12" s="22">
        <v>14.4</v>
      </c>
      <c r="CD12" s="22">
        <v>15.81</v>
      </c>
      <c r="CE12" s="22">
        <v>0.1</v>
      </c>
      <c r="CF12" s="22">
        <v>1.6</v>
      </c>
      <c r="CG12" s="22">
        <v>1</v>
      </c>
      <c r="CH12" s="22">
        <v>2</v>
      </c>
      <c r="CI12" s="22">
        <v>1.67</v>
      </c>
      <c r="CJ12" s="22">
        <v>0</v>
      </c>
      <c r="CK12" s="22">
        <v>7.3</v>
      </c>
      <c r="CL12" s="22">
        <v>4.4000000000000004</v>
      </c>
      <c r="CM12" s="22">
        <v>7.6</v>
      </c>
      <c r="CN12" s="22">
        <v>7.8</v>
      </c>
      <c r="CO12" s="22">
        <v>0</v>
      </c>
      <c r="CP12" s="27"/>
      <c r="CQ12" s="38">
        <f t="shared" si="39"/>
        <v>14.4</v>
      </c>
      <c r="CR12" s="38">
        <f t="shared" si="40"/>
        <v>15.81</v>
      </c>
      <c r="CS12" s="40">
        <f t="shared" si="41"/>
        <v>55.410000000000004</v>
      </c>
      <c r="CT12" s="40">
        <f t="shared" si="42"/>
        <v>2</v>
      </c>
      <c r="CU12" s="40">
        <f t="shared" si="43"/>
        <v>1.67</v>
      </c>
      <c r="CV12" s="40">
        <f t="shared" si="44"/>
        <v>6.27</v>
      </c>
      <c r="CW12" s="40">
        <f t="shared" si="45"/>
        <v>55.410000000000004</v>
      </c>
      <c r="CX12" s="40">
        <f t="shared" si="46"/>
        <v>7.6</v>
      </c>
      <c r="CY12" s="40">
        <f t="shared" si="47"/>
        <v>7.8</v>
      </c>
      <c r="CZ12" s="40">
        <f t="shared" si="48"/>
        <v>27.099999999999998</v>
      </c>
      <c r="DA12" s="40">
        <f t="shared" si="49"/>
        <v>82.51</v>
      </c>
      <c r="DB12" s="51">
        <f t="shared" si="50"/>
        <v>3.4699999999999918</v>
      </c>
      <c r="DC12" s="51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>
        <v>1.6</v>
      </c>
      <c r="HC12" s="18">
        <v>0.9</v>
      </c>
      <c r="HD12" s="18">
        <v>2</v>
      </c>
      <c r="HE12" s="18">
        <v>1.75</v>
      </c>
      <c r="HF12" s="18">
        <v>0</v>
      </c>
      <c r="HG12" s="18">
        <v>7.6</v>
      </c>
      <c r="HH12" s="18">
        <v>4.5</v>
      </c>
      <c r="HI12" s="18">
        <v>7</v>
      </c>
      <c r="HJ12" s="18">
        <v>8.17</v>
      </c>
      <c r="HK12" s="18">
        <v>0</v>
      </c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>
        <f t="shared" si="94"/>
        <v>2</v>
      </c>
      <c r="HW12" s="11">
        <f t="shared" si="95"/>
        <v>1.75</v>
      </c>
      <c r="HX12" s="11">
        <f t="shared" si="96"/>
        <v>6.25</v>
      </c>
      <c r="HY12" s="11">
        <f t="shared" si="97"/>
        <v>7</v>
      </c>
      <c r="HZ12" s="11">
        <f t="shared" si="98"/>
        <v>8.17</v>
      </c>
      <c r="IA12" s="11">
        <f t="shared" si="99"/>
        <v>27.270000000000003</v>
      </c>
      <c r="IB12" s="11">
        <f t="shared" si="100"/>
        <v>27.270000000000003</v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>
        <f t="shared" si="107"/>
        <v>27.270000000000003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 t="str">
        <f t="shared" si="121"/>
        <v/>
      </c>
      <c r="JR12" s="18">
        <v>15.5</v>
      </c>
      <c r="JS12" s="18">
        <v>9.8000000000000007</v>
      </c>
      <c r="JT12" s="18">
        <v>14</v>
      </c>
      <c r="JU12" s="18">
        <v>16.079999999999998</v>
      </c>
      <c r="JV12" s="18">
        <v>0</v>
      </c>
      <c r="JW12" s="18">
        <v>12.1</v>
      </c>
      <c r="JX12" s="18">
        <v>7</v>
      </c>
      <c r="JY12" s="18">
        <v>9.6999999999999993</v>
      </c>
      <c r="JZ12" s="18">
        <v>13.08</v>
      </c>
      <c r="KA12" s="18">
        <v>0</v>
      </c>
      <c r="KB12" s="18">
        <v>10.3</v>
      </c>
      <c r="KC12" s="18">
        <v>6.2</v>
      </c>
      <c r="KD12" s="18">
        <v>10.3</v>
      </c>
      <c r="KE12" s="18">
        <v>11.26</v>
      </c>
      <c r="KF12" s="18">
        <v>0</v>
      </c>
      <c r="KG12" s="18"/>
      <c r="KH12" s="18"/>
      <c r="KI12" s="18"/>
      <c r="KJ12" s="18"/>
      <c r="KK12" s="18"/>
      <c r="KL12" s="11">
        <f t="shared" si="122"/>
        <v>14</v>
      </c>
      <c r="KM12" s="11">
        <f t="shared" si="123"/>
        <v>16.079999999999998</v>
      </c>
      <c r="KN12" s="11">
        <f t="shared" si="124"/>
        <v>55.379999999999995</v>
      </c>
      <c r="KO12" s="11">
        <f t="shared" si="125"/>
        <v>9.6999999999999993</v>
      </c>
      <c r="KP12" s="11">
        <f t="shared" si="126"/>
        <v>13.08</v>
      </c>
      <c r="KQ12" s="11">
        <f t="shared" si="127"/>
        <v>41.88</v>
      </c>
      <c r="KR12" s="11">
        <f t="shared" si="128"/>
        <v>55.379999999999995</v>
      </c>
      <c r="KS12" s="11">
        <f t="shared" si="129"/>
        <v>10.3</v>
      </c>
      <c r="KT12" s="11">
        <f t="shared" si="130"/>
        <v>11.26</v>
      </c>
      <c r="KU12" s="11">
        <f t="shared" si="131"/>
        <v>38.06</v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>
        <f t="shared" si="135"/>
        <v>93.44</v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13.95</v>
      </c>
      <c r="WU12" s="26">
        <f t="shared" si="263"/>
        <v>7.75</v>
      </c>
      <c r="WV12" s="26">
        <f t="shared" si="264"/>
        <v>12.350000000000001</v>
      </c>
      <c r="WW12" s="26">
        <f t="shared" si="265"/>
        <v>14</v>
      </c>
      <c r="WX12" s="26">
        <f t="shared" si="266"/>
        <v>0.05</v>
      </c>
      <c r="WY12" s="26">
        <f t="shared" si="267"/>
        <v>8.4500000000000011</v>
      </c>
      <c r="WZ12" s="26">
        <f t="shared" si="268"/>
        <v>4.45</v>
      </c>
      <c r="XA12" s="26">
        <f t="shared" si="269"/>
        <v>7.6</v>
      </c>
      <c r="XB12" s="26">
        <f t="shared" si="270"/>
        <v>8.59</v>
      </c>
      <c r="XC12" s="26">
        <f t="shared" si="271"/>
        <v>0</v>
      </c>
      <c r="XD12" s="26">
        <f t="shared" si="272"/>
        <v>10.75</v>
      </c>
      <c r="XE12" s="26">
        <f t="shared" si="273"/>
        <v>5.8000000000000007</v>
      </c>
      <c r="XF12" s="26">
        <f t="shared" si="274"/>
        <v>9.6499999999999986</v>
      </c>
      <c r="XG12" s="26">
        <f t="shared" si="275"/>
        <v>10.855</v>
      </c>
      <c r="XH12" s="26">
        <f t="shared" si="276"/>
        <v>0</v>
      </c>
      <c r="XI12" s="28" t="s">
        <v>53</v>
      </c>
      <c r="XJ12" s="11">
        <f t="shared" si="277"/>
        <v>12.350000000000001</v>
      </c>
      <c r="XK12" s="11">
        <f t="shared" si="278"/>
        <v>14</v>
      </c>
      <c r="XL12" s="11">
        <f t="shared" si="279"/>
        <v>48</v>
      </c>
      <c r="XM12" s="11">
        <f t="shared" si="280"/>
        <v>7.6</v>
      </c>
      <c r="XN12" s="11">
        <f t="shared" si="281"/>
        <v>8.59</v>
      </c>
      <c r="XO12" s="11">
        <f t="shared" si="282"/>
        <v>29.09</v>
      </c>
      <c r="XP12" s="11">
        <f t="shared" si="283"/>
        <v>48</v>
      </c>
      <c r="XQ12" s="11">
        <f t="shared" si="284"/>
        <v>9.6499999999999986</v>
      </c>
      <c r="XR12" s="11">
        <f t="shared" si="285"/>
        <v>10.855</v>
      </c>
      <c r="XS12" s="11">
        <f t="shared" si="286"/>
        <v>37.055</v>
      </c>
      <c r="XT12" s="11">
        <f t="shared" si="287"/>
        <v>85.055000000000007</v>
      </c>
    </row>
    <row r="13" spans="1:644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157</v>
      </c>
      <c r="C13" s="4" t="s">
        <v>7</v>
      </c>
      <c r="D13" s="4">
        <v>2006</v>
      </c>
      <c r="E13" s="9">
        <f t="shared" si="0"/>
        <v>231.44002303400549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54.92</v>
      </c>
      <c r="K13" s="8" t="str">
        <f t="shared" si="5"/>
        <v>2025 Elite Canada</v>
      </c>
      <c r="L13" s="8">
        <f>IF(COUNT(AQ13,AT13,BR13,BU13,CS13,CV13)&gt;1,LARGE((AQ13,AT13,BR13,BU13,CS13,CV13),2),0)</f>
        <v>54.11</v>
      </c>
      <c r="M13" s="8" t="str">
        <f t="shared" si="6"/>
        <v>2024 3rd Domestic Trial</v>
      </c>
      <c r="N13" s="8">
        <f>IF(COUNT(AQ13,AT13,BR13,BU13,CS13,CV13)&gt;2,LARGE((AQ13,AT13,BR13,BU13,CS13,CV13),3),0)</f>
        <v>52</v>
      </c>
      <c r="O13" s="8" t="str">
        <f t="shared" si="7"/>
        <v>2024 Nationals</v>
      </c>
      <c r="P13" s="8">
        <f t="shared" si="8"/>
        <v>54.41</v>
      </c>
      <c r="Q13" s="8" t="str">
        <f t="shared" si="9"/>
        <v>2025 Elite Canada</v>
      </c>
      <c r="R13" s="8">
        <f t="shared" si="10"/>
        <v>14.9</v>
      </c>
      <c r="S13" s="8" t="str">
        <f t="shared" si="11"/>
        <v>2025 Elite Canada</v>
      </c>
      <c r="T13" s="8">
        <f t="shared" si="12"/>
        <v>0</v>
      </c>
      <c r="U13" s="8" t="str">
        <f t="shared" si="13"/>
        <v/>
      </c>
      <c r="V13" s="8">
        <f t="shared" si="14"/>
        <v>1.1000000000000014</v>
      </c>
      <c r="W13" s="11" t="str">
        <f t="shared" si="15"/>
        <v>(Prelim)</v>
      </c>
      <c r="X13" s="8" t="str">
        <f t="shared" si="16"/>
        <v>2024 Coimbra Gym Fest (July 7)</v>
      </c>
      <c r="Y13" s="22">
        <v>14</v>
      </c>
      <c r="Z13" s="22">
        <v>8.6999999999999993</v>
      </c>
      <c r="AA13" s="22">
        <v>12</v>
      </c>
      <c r="AB13" s="22">
        <v>14.73</v>
      </c>
      <c r="AC13" s="22">
        <v>0</v>
      </c>
      <c r="AD13" s="22">
        <v>14.2</v>
      </c>
      <c r="AE13" s="22">
        <v>9.1</v>
      </c>
      <c r="AF13" s="22">
        <v>14</v>
      </c>
      <c r="AG13" s="22">
        <v>14.7</v>
      </c>
      <c r="AH13" s="22">
        <v>0</v>
      </c>
      <c r="AI13" s="22">
        <v>13.8</v>
      </c>
      <c r="AJ13" s="22">
        <v>8.4</v>
      </c>
      <c r="AK13" s="22">
        <v>12.4</v>
      </c>
      <c r="AL13" s="22">
        <v>13.98</v>
      </c>
      <c r="AM13" s="22">
        <v>0</v>
      </c>
      <c r="AN13" s="27"/>
      <c r="AO13" s="38">
        <f t="shared" si="17"/>
        <v>12</v>
      </c>
      <c r="AP13" s="38">
        <f t="shared" si="18"/>
        <v>14.73</v>
      </c>
      <c r="AQ13" s="40">
        <f t="shared" si="19"/>
        <v>49.430000000000007</v>
      </c>
      <c r="AR13" s="40">
        <f t="shared" si="20"/>
        <v>14</v>
      </c>
      <c r="AS13" s="40">
        <f t="shared" si="21"/>
        <v>14.7</v>
      </c>
      <c r="AT13" s="40">
        <f t="shared" si="22"/>
        <v>52</v>
      </c>
      <c r="AU13" s="40">
        <f t="shared" si="23"/>
        <v>52</v>
      </c>
      <c r="AV13" s="40">
        <f t="shared" si="24"/>
        <v>12.4</v>
      </c>
      <c r="AW13" s="40">
        <f t="shared" si="25"/>
        <v>13.98</v>
      </c>
      <c r="AX13" s="40">
        <f t="shared" si="26"/>
        <v>48.58</v>
      </c>
      <c r="AY13" s="40">
        <f t="shared" si="27"/>
        <v>100.58</v>
      </c>
      <c r="AZ13" s="26">
        <v>13.4</v>
      </c>
      <c r="BA13" s="26">
        <v>7.9</v>
      </c>
      <c r="BB13" s="26">
        <v>12.8</v>
      </c>
      <c r="BC13" s="26">
        <v>14.64</v>
      </c>
      <c r="BD13" s="26">
        <v>0</v>
      </c>
      <c r="BE13" s="26">
        <v>14.1</v>
      </c>
      <c r="BF13" s="26">
        <v>9.6</v>
      </c>
      <c r="BG13" s="26">
        <v>14.4</v>
      </c>
      <c r="BH13" s="26">
        <v>16.010000000000002</v>
      </c>
      <c r="BI13" s="26">
        <v>0</v>
      </c>
      <c r="BJ13" s="26">
        <v>14.4</v>
      </c>
      <c r="BK13" s="26">
        <v>9</v>
      </c>
      <c r="BL13" s="26">
        <v>14.4</v>
      </c>
      <c r="BM13" s="26">
        <v>16.03</v>
      </c>
      <c r="BN13" s="26">
        <v>0</v>
      </c>
      <c r="BO13" s="28"/>
      <c r="BP13" s="39">
        <f t="shared" si="28"/>
        <v>12.8</v>
      </c>
      <c r="BQ13" s="39">
        <f t="shared" si="29"/>
        <v>14.64</v>
      </c>
      <c r="BR13" s="11">
        <f t="shared" si="30"/>
        <v>48.74</v>
      </c>
      <c r="BS13" s="11">
        <f t="shared" si="31"/>
        <v>14.4</v>
      </c>
      <c r="BT13" s="11">
        <f t="shared" si="32"/>
        <v>16.010000000000002</v>
      </c>
      <c r="BU13" s="11">
        <f t="shared" si="33"/>
        <v>54.11</v>
      </c>
      <c r="BV13" s="11">
        <f t="shared" si="34"/>
        <v>54.11</v>
      </c>
      <c r="BW13" s="11">
        <f t="shared" si="35"/>
        <v>14.4</v>
      </c>
      <c r="BX13" s="11">
        <f t="shared" si="36"/>
        <v>16.03</v>
      </c>
      <c r="BY13" s="11">
        <f t="shared" si="37"/>
        <v>53.83</v>
      </c>
      <c r="BZ13" s="11">
        <f t="shared" si="38"/>
        <v>107.94</v>
      </c>
      <c r="CA13" s="22">
        <v>15.5</v>
      </c>
      <c r="CB13" s="22">
        <v>9.1999999999999993</v>
      </c>
      <c r="CC13" s="22">
        <v>14.9</v>
      </c>
      <c r="CD13" s="22">
        <v>15.32</v>
      </c>
      <c r="CE13" s="22">
        <v>0</v>
      </c>
      <c r="CF13" s="22">
        <v>14.1</v>
      </c>
      <c r="CG13" s="22">
        <v>9.1999999999999993</v>
      </c>
      <c r="CH13" s="22">
        <v>13.7</v>
      </c>
      <c r="CI13" s="22">
        <v>15.55</v>
      </c>
      <c r="CJ13" s="22">
        <v>0.8</v>
      </c>
      <c r="CK13" s="22">
        <v>14.8</v>
      </c>
      <c r="CL13" s="22">
        <v>9.3000000000000007</v>
      </c>
      <c r="CM13" s="22">
        <v>14.9</v>
      </c>
      <c r="CN13" s="22">
        <v>15.41</v>
      </c>
      <c r="CO13" s="22">
        <v>0</v>
      </c>
      <c r="CP13" s="27"/>
      <c r="CQ13" s="38">
        <f t="shared" si="39"/>
        <v>14.9</v>
      </c>
      <c r="CR13" s="38">
        <f t="shared" si="40"/>
        <v>15.32</v>
      </c>
      <c r="CS13" s="40">
        <f t="shared" si="41"/>
        <v>54.92</v>
      </c>
      <c r="CT13" s="40">
        <f t="shared" si="42"/>
        <v>13.7</v>
      </c>
      <c r="CU13" s="40">
        <f t="shared" si="43"/>
        <v>15.55</v>
      </c>
      <c r="CV13" s="40">
        <f t="shared" si="44"/>
        <v>51.75</v>
      </c>
      <c r="CW13" s="40">
        <f t="shared" si="45"/>
        <v>54.92</v>
      </c>
      <c r="CX13" s="40">
        <f t="shared" si="46"/>
        <v>14.9</v>
      </c>
      <c r="CY13" s="40">
        <f t="shared" si="47"/>
        <v>15.41</v>
      </c>
      <c r="CZ13" s="40">
        <f t="shared" si="48"/>
        <v>54.41</v>
      </c>
      <c r="DA13" s="40">
        <f t="shared" si="49"/>
        <v>109.33</v>
      </c>
      <c r="DB13" s="51">
        <f t="shared" si="50"/>
        <v>1.1000000000000014</v>
      </c>
      <c r="DC13" s="51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 t="str">
        <f t="shared" si="121"/>
        <v/>
      </c>
      <c r="JR13" s="18">
        <v>14.2</v>
      </c>
      <c r="JS13" s="18">
        <v>8.3000000000000007</v>
      </c>
      <c r="JT13" s="18">
        <v>14</v>
      </c>
      <c r="JU13" s="18">
        <v>15.15</v>
      </c>
      <c r="JV13" s="18">
        <v>0</v>
      </c>
      <c r="JW13" s="18">
        <v>14.3</v>
      </c>
      <c r="JX13" s="18">
        <v>9.1999999999999993</v>
      </c>
      <c r="JY13" s="18">
        <v>14</v>
      </c>
      <c r="JZ13" s="18">
        <v>15.6</v>
      </c>
      <c r="KA13" s="18">
        <v>0</v>
      </c>
      <c r="KB13" s="18">
        <v>13.5</v>
      </c>
      <c r="KC13" s="18">
        <v>9.6</v>
      </c>
      <c r="KD13" s="18">
        <v>12.2</v>
      </c>
      <c r="KE13" s="18">
        <v>14.84</v>
      </c>
      <c r="KF13" s="18">
        <v>0</v>
      </c>
      <c r="KG13" s="18">
        <v>10.5</v>
      </c>
      <c r="KH13" s="18">
        <v>7</v>
      </c>
      <c r="KI13" s="18">
        <v>9.6999999999999993</v>
      </c>
      <c r="KJ13" s="18">
        <v>12.1</v>
      </c>
      <c r="KK13" s="18">
        <v>0</v>
      </c>
      <c r="KL13" s="11">
        <f t="shared" si="122"/>
        <v>14</v>
      </c>
      <c r="KM13" s="11">
        <f t="shared" si="123"/>
        <v>15.15</v>
      </c>
      <c r="KN13" s="11">
        <f t="shared" si="124"/>
        <v>51.65</v>
      </c>
      <c r="KO13" s="11">
        <f t="shared" si="125"/>
        <v>14</v>
      </c>
      <c r="KP13" s="11">
        <f t="shared" si="126"/>
        <v>15.6</v>
      </c>
      <c r="KQ13" s="11">
        <f t="shared" si="127"/>
        <v>53.1</v>
      </c>
      <c r="KR13" s="11">
        <f t="shared" si="128"/>
        <v>53.1</v>
      </c>
      <c r="KS13" s="11">
        <f t="shared" si="129"/>
        <v>12.2</v>
      </c>
      <c r="KT13" s="11">
        <f t="shared" si="130"/>
        <v>14.84</v>
      </c>
      <c r="KU13" s="11">
        <f t="shared" si="131"/>
        <v>50.14</v>
      </c>
      <c r="KV13" s="11">
        <f t="shared" si="132"/>
        <v>9.6999999999999993</v>
      </c>
      <c r="KW13" s="11">
        <f t="shared" si="133"/>
        <v>12.1</v>
      </c>
      <c r="KX13" s="11">
        <f t="shared" si="134"/>
        <v>39.299999999999997</v>
      </c>
      <c r="KY13" s="11">
        <f t="shared" si="135"/>
        <v>142.54000000000002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14.45</v>
      </c>
      <c r="WU13" s="26">
        <f t="shared" si="263"/>
        <v>8.5500000000000007</v>
      </c>
      <c r="WV13" s="26">
        <f t="shared" si="264"/>
        <v>13.850000000000001</v>
      </c>
      <c r="WW13" s="26">
        <f t="shared" si="265"/>
        <v>14.98</v>
      </c>
      <c r="WX13" s="26">
        <f t="shared" si="266"/>
        <v>0</v>
      </c>
      <c r="WY13" s="26">
        <f t="shared" si="267"/>
        <v>14.1</v>
      </c>
      <c r="WZ13" s="26">
        <f t="shared" si="268"/>
        <v>9.3999999999999986</v>
      </c>
      <c r="XA13" s="26">
        <f t="shared" si="269"/>
        <v>14.05</v>
      </c>
      <c r="XB13" s="26">
        <f t="shared" si="270"/>
        <v>15.780000000000001</v>
      </c>
      <c r="XC13" s="26">
        <f t="shared" si="271"/>
        <v>0.4</v>
      </c>
      <c r="XD13" s="26">
        <f t="shared" si="272"/>
        <v>14.600000000000001</v>
      </c>
      <c r="XE13" s="26">
        <f t="shared" si="273"/>
        <v>9.15</v>
      </c>
      <c r="XF13" s="26">
        <f t="shared" si="274"/>
        <v>14.65</v>
      </c>
      <c r="XG13" s="26">
        <f t="shared" si="275"/>
        <v>15.72</v>
      </c>
      <c r="XH13" s="26">
        <f t="shared" si="276"/>
        <v>0</v>
      </c>
      <c r="XI13" s="28" t="s">
        <v>53</v>
      </c>
      <c r="XJ13" s="11">
        <f t="shared" si="277"/>
        <v>13.850000000000001</v>
      </c>
      <c r="XK13" s="11">
        <f t="shared" si="278"/>
        <v>14.98</v>
      </c>
      <c r="XL13" s="11">
        <f t="shared" si="279"/>
        <v>51.83</v>
      </c>
      <c r="XM13" s="11">
        <f t="shared" si="280"/>
        <v>14.05</v>
      </c>
      <c r="XN13" s="11">
        <f t="shared" si="281"/>
        <v>15.780000000000001</v>
      </c>
      <c r="XO13" s="11">
        <f t="shared" si="282"/>
        <v>52.93</v>
      </c>
      <c r="XP13" s="11">
        <f t="shared" si="283"/>
        <v>52.93</v>
      </c>
      <c r="XQ13" s="11">
        <f t="shared" si="284"/>
        <v>14.65</v>
      </c>
      <c r="XR13" s="11">
        <f t="shared" si="285"/>
        <v>15.72</v>
      </c>
      <c r="XS13" s="11">
        <f t="shared" si="286"/>
        <v>54.12</v>
      </c>
      <c r="XT13" s="11">
        <f t="shared" si="287"/>
        <v>107.05</v>
      </c>
    </row>
    <row r="14" spans="1:644" x14ac:dyDescent="0.2">
      <c r="A14" s="4" t="str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/>
      </c>
      <c r="B14" s="5" t="s">
        <v>250</v>
      </c>
      <c r="C14" s="4" t="s">
        <v>3</v>
      </c>
      <c r="D14" s="4">
        <v>2007</v>
      </c>
      <c r="E14" s="9">
        <f t="shared" si="0"/>
        <v>227.67002276700538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IF(COUNT(AQ14,AT14,BR14,BU14,CS14,CV14)&gt;0,LARGE((AQ14,AT14,BR14,BU14,CS14,CV14),1),0)</f>
        <v>53.67</v>
      </c>
      <c r="K14" s="8" t="str">
        <f t="shared" si="5"/>
        <v>2024 3rd Domestic Trial</v>
      </c>
      <c r="L14" s="8">
        <f>IF(COUNT(AQ14,AT14,BR14,BU14,CS14,CV14)&gt;1,LARGE((AQ14,AT14,BR14,BU14,CS14,CV14),2),0)</f>
        <v>52.150000000000006</v>
      </c>
      <c r="M14" s="8" t="str">
        <f t="shared" si="6"/>
        <v>2024 Nationals</v>
      </c>
      <c r="N14" s="8">
        <f>IF(COUNT(AQ14,AT14,BR14,BU14,CS14,CV14)&gt;2,LARGE((AQ14,AT14,BR14,BU14,CS14,CV14),3),0)</f>
        <v>52.010000000000005</v>
      </c>
      <c r="O14" s="8" t="str">
        <f t="shared" si="7"/>
        <v>2024 Nationals</v>
      </c>
      <c r="P14" s="8">
        <f t="shared" si="8"/>
        <v>54.74</v>
      </c>
      <c r="Q14" s="8" t="str">
        <f t="shared" si="9"/>
        <v>2025 Elite Canada</v>
      </c>
      <c r="R14" s="8">
        <f t="shared" si="10"/>
        <v>15.1</v>
      </c>
      <c r="S14" s="8" t="str">
        <f t="shared" si="11"/>
        <v>2025 Elite Canada</v>
      </c>
      <c r="T14" s="8">
        <f t="shared" si="12"/>
        <v>0</v>
      </c>
      <c r="U14" s="8" t="str">
        <f t="shared" si="13"/>
        <v/>
      </c>
      <c r="V14" s="8" t="str">
        <f t="shared" si="14"/>
        <v/>
      </c>
      <c r="W14" s="11" t="str">
        <f t="shared" si="15"/>
        <v/>
      </c>
      <c r="X14" s="8" t="str">
        <f t="shared" si="16"/>
        <v/>
      </c>
      <c r="Y14" s="22">
        <v>15.2</v>
      </c>
      <c r="Z14" s="22">
        <v>8.9</v>
      </c>
      <c r="AA14" s="22">
        <v>13.6</v>
      </c>
      <c r="AB14" s="22">
        <v>14.45</v>
      </c>
      <c r="AC14" s="22">
        <v>0</v>
      </c>
      <c r="AD14" s="22">
        <v>15.5</v>
      </c>
      <c r="AE14" s="22">
        <v>9.1</v>
      </c>
      <c r="AF14" s="22">
        <v>12.6</v>
      </c>
      <c r="AG14" s="22">
        <v>14.81</v>
      </c>
      <c r="AH14" s="22">
        <v>0</v>
      </c>
      <c r="AI14" s="22">
        <v>12.7</v>
      </c>
      <c r="AJ14" s="22">
        <v>8.8000000000000007</v>
      </c>
      <c r="AK14" s="22">
        <v>11.6</v>
      </c>
      <c r="AL14" s="22">
        <v>14.47</v>
      </c>
      <c r="AM14" s="22">
        <v>0</v>
      </c>
      <c r="AN14" s="27"/>
      <c r="AO14" s="38">
        <f t="shared" si="17"/>
        <v>13.6</v>
      </c>
      <c r="AP14" s="38">
        <f t="shared" si="18"/>
        <v>14.45</v>
      </c>
      <c r="AQ14" s="40">
        <f t="shared" si="19"/>
        <v>52.150000000000006</v>
      </c>
      <c r="AR14" s="40">
        <f t="shared" si="20"/>
        <v>12.6</v>
      </c>
      <c r="AS14" s="40">
        <f t="shared" si="21"/>
        <v>14.81</v>
      </c>
      <c r="AT14" s="40">
        <f t="shared" si="22"/>
        <v>52.010000000000005</v>
      </c>
      <c r="AU14" s="40">
        <f t="shared" si="23"/>
        <v>52.150000000000006</v>
      </c>
      <c r="AV14" s="40">
        <f t="shared" si="24"/>
        <v>11.6</v>
      </c>
      <c r="AW14" s="40">
        <f t="shared" si="25"/>
        <v>14.47</v>
      </c>
      <c r="AX14" s="40">
        <f t="shared" si="26"/>
        <v>47.57</v>
      </c>
      <c r="AY14" s="40">
        <f t="shared" si="27"/>
        <v>99.72</v>
      </c>
      <c r="AZ14" s="26">
        <v>15.6</v>
      </c>
      <c r="BA14" s="26">
        <v>9.1999999999999993</v>
      </c>
      <c r="BB14" s="26">
        <v>13.6</v>
      </c>
      <c r="BC14" s="26">
        <v>15.27</v>
      </c>
      <c r="BD14" s="26">
        <v>0</v>
      </c>
      <c r="BE14" s="26">
        <v>14.8</v>
      </c>
      <c r="BF14" s="26">
        <v>8.4</v>
      </c>
      <c r="BG14" s="26">
        <v>11.3</v>
      </c>
      <c r="BH14" s="26">
        <v>15.09</v>
      </c>
      <c r="BI14" s="26">
        <v>0</v>
      </c>
      <c r="BJ14" s="26">
        <v>13.7</v>
      </c>
      <c r="BK14" s="26">
        <v>8.1999999999999993</v>
      </c>
      <c r="BL14" s="26">
        <v>10.9</v>
      </c>
      <c r="BM14" s="26">
        <v>13.71</v>
      </c>
      <c r="BN14" s="26">
        <v>0</v>
      </c>
      <c r="BO14" s="28"/>
      <c r="BP14" s="39">
        <f t="shared" si="28"/>
        <v>13.6</v>
      </c>
      <c r="BQ14" s="39">
        <f t="shared" si="29"/>
        <v>15.27</v>
      </c>
      <c r="BR14" s="11">
        <f t="shared" si="30"/>
        <v>53.67</v>
      </c>
      <c r="BS14" s="11">
        <f t="shared" si="31"/>
        <v>11.3</v>
      </c>
      <c r="BT14" s="11">
        <f t="shared" si="32"/>
        <v>15.09</v>
      </c>
      <c r="BU14" s="11">
        <f t="shared" si="33"/>
        <v>49.59</v>
      </c>
      <c r="BV14" s="11">
        <f t="shared" si="34"/>
        <v>53.67</v>
      </c>
      <c r="BW14" s="11">
        <f t="shared" si="35"/>
        <v>10.9</v>
      </c>
      <c r="BX14" s="11">
        <f t="shared" si="36"/>
        <v>13.71</v>
      </c>
      <c r="BY14" s="11">
        <f t="shared" si="37"/>
        <v>46.51</v>
      </c>
      <c r="BZ14" s="11">
        <f t="shared" si="38"/>
        <v>100.18</v>
      </c>
      <c r="CA14" s="22">
        <v>12.2</v>
      </c>
      <c r="CB14" s="22">
        <v>8.4</v>
      </c>
      <c r="CC14" s="22">
        <v>12.8</v>
      </c>
      <c r="CD14" s="22">
        <v>13.33</v>
      </c>
      <c r="CE14" s="22">
        <v>0.2</v>
      </c>
      <c r="CF14" s="22">
        <v>15.2</v>
      </c>
      <c r="CG14" s="22">
        <v>9.1999999999999993</v>
      </c>
      <c r="CH14" s="22">
        <v>12.6</v>
      </c>
      <c r="CI14" s="22">
        <v>15.27</v>
      </c>
      <c r="CJ14" s="22">
        <v>1.9</v>
      </c>
      <c r="CK14" s="22">
        <v>15.3</v>
      </c>
      <c r="CL14" s="22">
        <v>9.1</v>
      </c>
      <c r="CM14" s="22">
        <v>15.1</v>
      </c>
      <c r="CN14" s="22">
        <v>15.24</v>
      </c>
      <c r="CO14" s="22">
        <v>0</v>
      </c>
      <c r="CP14" s="27"/>
      <c r="CQ14" s="38">
        <f t="shared" si="39"/>
        <v>12.8</v>
      </c>
      <c r="CR14" s="38">
        <f t="shared" si="40"/>
        <v>13.33</v>
      </c>
      <c r="CS14" s="40">
        <f t="shared" si="41"/>
        <v>46.53</v>
      </c>
      <c r="CT14" s="40">
        <f t="shared" si="42"/>
        <v>12.6</v>
      </c>
      <c r="CU14" s="40">
        <f t="shared" si="43"/>
        <v>15.27</v>
      </c>
      <c r="CV14" s="40">
        <f t="shared" si="44"/>
        <v>50.37</v>
      </c>
      <c r="CW14" s="40">
        <f t="shared" si="45"/>
        <v>50.37</v>
      </c>
      <c r="CX14" s="40">
        <f t="shared" si="46"/>
        <v>15.1</v>
      </c>
      <c r="CY14" s="40">
        <f t="shared" si="47"/>
        <v>15.24</v>
      </c>
      <c r="CZ14" s="40">
        <f t="shared" si="48"/>
        <v>54.74</v>
      </c>
      <c r="DA14" s="40">
        <f t="shared" si="49"/>
        <v>105.11</v>
      </c>
      <c r="DB14" s="51" t="str">
        <f t="shared" si="50"/>
        <v/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13.899999999999999</v>
      </c>
      <c r="WU14" s="26">
        <f t="shared" si="263"/>
        <v>8.8000000000000007</v>
      </c>
      <c r="WV14" s="26">
        <f t="shared" si="264"/>
        <v>13.2</v>
      </c>
      <c r="WW14" s="26">
        <f t="shared" si="265"/>
        <v>14.3</v>
      </c>
      <c r="WX14" s="26">
        <f t="shared" si="266"/>
        <v>0.1</v>
      </c>
      <c r="WY14" s="26">
        <f t="shared" si="267"/>
        <v>15</v>
      </c>
      <c r="WZ14" s="26">
        <f t="shared" si="268"/>
        <v>8.8000000000000007</v>
      </c>
      <c r="XA14" s="26">
        <f t="shared" si="269"/>
        <v>11.95</v>
      </c>
      <c r="XB14" s="26">
        <f t="shared" si="270"/>
        <v>15.18</v>
      </c>
      <c r="XC14" s="26">
        <f t="shared" si="271"/>
        <v>0.95</v>
      </c>
      <c r="XD14" s="26">
        <f t="shared" si="272"/>
        <v>14.5</v>
      </c>
      <c r="XE14" s="26">
        <f t="shared" si="273"/>
        <v>8.6499999999999986</v>
      </c>
      <c r="XF14" s="26">
        <f t="shared" si="274"/>
        <v>13</v>
      </c>
      <c r="XG14" s="26">
        <f t="shared" si="275"/>
        <v>14.475000000000001</v>
      </c>
      <c r="XH14" s="26">
        <f t="shared" si="276"/>
        <v>0</v>
      </c>
      <c r="XI14" s="28" t="s">
        <v>53</v>
      </c>
      <c r="XJ14" s="11">
        <f t="shared" si="277"/>
        <v>13.2</v>
      </c>
      <c r="XK14" s="11">
        <f t="shared" si="278"/>
        <v>14.3</v>
      </c>
      <c r="XL14" s="11">
        <f t="shared" si="279"/>
        <v>50.1</v>
      </c>
      <c r="XM14" s="11">
        <f t="shared" si="280"/>
        <v>11.95</v>
      </c>
      <c r="XN14" s="11">
        <f t="shared" si="281"/>
        <v>15.18</v>
      </c>
      <c r="XO14" s="11">
        <f t="shared" si="282"/>
        <v>49.98</v>
      </c>
      <c r="XP14" s="11">
        <f t="shared" si="283"/>
        <v>50.1</v>
      </c>
      <c r="XQ14" s="11">
        <f t="shared" si="284"/>
        <v>13</v>
      </c>
      <c r="XR14" s="11">
        <f t="shared" si="285"/>
        <v>14.475000000000001</v>
      </c>
      <c r="XS14" s="11">
        <f t="shared" si="286"/>
        <v>50.625</v>
      </c>
      <c r="XT14" s="11">
        <f t="shared" si="287"/>
        <v>100.72499999999999</v>
      </c>
    </row>
    <row r="15" spans="1:644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11</v>
      </c>
      <c r="B15" s="5" t="s">
        <v>156</v>
      </c>
      <c r="C15" s="4" t="s">
        <v>3</v>
      </c>
      <c r="D15" s="4">
        <v>2005</v>
      </c>
      <c r="E15" s="9">
        <f t="shared" si="0"/>
        <v>226.39002263900537</v>
      </c>
      <c r="F15" s="3" t="str">
        <f t="shared" si="1"/>
        <v/>
      </c>
      <c r="G15" s="3" t="str">
        <f t="shared" si="2"/>
        <v>P</v>
      </c>
      <c r="H15" s="36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53.7</v>
      </c>
      <c r="K15" s="8" t="str">
        <f t="shared" si="5"/>
        <v>2024 3rd Domestic Trial</v>
      </c>
      <c r="L15" s="8">
        <f>IF(COUNT(AQ15,AT15,BR15,BU15,CS15,CV15)&gt;1,LARGE((AQ15,AT15,BR15,BU15,CS15,CV15),2),0)</f>
        <v>52.44</v>
      </c>
      <c r="M15" s="8" t="str">
        <f t="shared" si="6"/>
        <v>2024 3rd Domestic Trial</v>
      </c>
      <c r="N15" s="8">
        <f>IF(COUNT(AQ15,AT15,BR15,BU15,CS15,CV15)&gt;2,LARGE((AQ15,AT15,BR15,BU15,CS15,CV15),3),0)</f>
        <v>51.749999999999993</v>
      </c>
      <c r="O15" s="8" t="str">
        <f t="shared" si="7"/>
        <v>2025 Elite Canada</v>
      </c>
      <c r="P15" s="8">
        <f t="shared" si="8"/>
        <v>54.6</v>
      </c>
      <c r="Q15" s="8" t="str">
        <f t="shared" si="9"/>
        <v>2024 3rd Domestic Trial</v>
      </c>
      <c r="R15" s="8">
        <f t="shared" si="10"/>
        <v>13.9</v>
      </c>
      <c r="S15" s="8" t="str">
        <f t="shared" si="11"/>
        <v>2025 Elite Canada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2">
        <v>13.4</v>
      </c>
      <c r="Z15" s="22">
        <v>9.4</v>
      </c>
      <c r="AA15" s="22">
        <v>10.7</v>
      </c>
      <c r="AB15" s="22">
        <v>15.11</v>
      </c>
      <c r="AC15" s="22">
        <v>0</v>
      </c>
      <c r="AD15" s="22">
        <v>3.2</v>
      </c>
      <c r="AE15" s="22">
        <v>1.9</v>
      </c>
      <c r="AF15" s="22">
        <v>2.9</v>
      </c>
      <c r="AG15" s="22">
        <v>3.09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7"/>
        <v>10.7</v>
      </c>
      <c r="AP15" s="38">
        <f t="shared" si="18"/>
        <v>15.11</v>
      </c>
      <c r="AQ15" s="40">
        <f t="shared" si="19"/>
        <v>48.61</v>
      </c>
      <c r="AR15" s="40">
        <f t="shared" si="20"/>
        <v>2.9</v>
      </c>
      <c r="AS15" s="40">
        <f t="shared" si="21"/>
        <v>3.09</v>
      </c>
      <c r="AT15" s="40">
        <f t="shared" si="22"/>
        <v>11.09</v>
      </c>
      <c r="AU15" s="40">
        <f t="shared" si="23"/>
        <v>48.61</v>
      </c>
      <c r="AV15" s="40" t="str">
        <f t="shared" si="24"/>
        <v/>
      </c>
      <c r="AW15" s="40" t="str">
        <f t="shared" si="25"/>
        <v/>
      </c>
      <c r="AX15" s="40" t="str">
        <f t="shared" si="26"/>
        <v/>
      </c>
      <c r="AY15" s="40">
        <f t="shared" si="27"/>
        <v>48.61</v>
      </c>
      <c r="AZ15" s="26">
        <v>14.9</v>
      </c>
      <c r="BA15" s="26">
        <v>9.1999999999999993</v>
      </c>
      <c r="BB15" s="26">
        <v>12.2</v>
      </c>
      <c r="BC15" s="26">
        <v>16.14</v>
      </c>
      <c r="BD15" s="26">
        <v>0</v>
      </c>
      <c r="BE15" s="26">
        <v>14.4</v>
      </c>
      <c r="BF15" s="26">
        <v>9.3000000000000007</v>
      </c>
      <c r="BG15" s="26">
        <v>13.7</v>
      </c>
      <c r="BH15" s="26">
        <v>16.3</v>
      </c>
      <c r="BI15" s="26">
        <v>0</v>
      </c>
      <c r="BJ15" s="26">
        <v>15.2</v>
      </c>
      <c r="BK15" s="26">
        <v>9.3000000000000007</v>
      </c>
      <c r="BL15" s="26">
        <v>13.7</v>
      </c>
      <c r="BM15" s="26">
        <v>16.399999999999999</v>
      </c>
      <c r="BN15" s="26">
        <v>0</v>
      </c>
      <c r="BO15" s="28"/>
      <c r="BP15" s="39">
        <f t="shared" si="28"/>
        <v>12.2</v>
      </c>
      <c r="BQ15" s="39">
        <f t="shared" si="29"/>
        <v>16.14</v>
      </c>
      <c r="BR15" s="11">
        <f t="shared" si="30"/>
        <v>52.44</v>
      </c>
      <c r="BS15" s="11">
        <f t="shared" si="31"/>
        <v>13.7</v>
      </c>
      <c r="BT15" s="11">
        <f t="shared" si="32"/>
        <v>16.3</v>
      </c>
      <c r="BU15" s="11">
        <f t="shared" si="33"/>
        <v>53.7</v>
      </c>
      <c r="BV15" s="11">
        <f t="shared" si="34"/>
        <v>53.7</v>
      </c>
      <c r="BW15" s="11">
        <f t="shared" si="35"/>
        <v>13.7</v>
      </c>
      <c r="BX15" s="11">
        <f t="shared" si="36"/>
        <v>16.399999999999999</v>
      </c>
      <c r="BY15" s="11">
        <f t="shared" si="37"/>
        <v>54.6</v>
      </c>
      <c r="BZ15" s="11">
        <f t="shared" si="38"/>
        <v>108.30000000000001</v>
      </c>
      <c r="CA15" s="22">
        <v>13.1</v>
      </c>
      <c r="CB15" s="22">
        <v>9</v>
      </c>
      <c r="CC15" s="22">
        <v>12.5</v>
      </c>
      <c r="CD15" s="22">
        <v>15.37</v>
      </c>
      <c r="CE15" s="22">
        <v>2.4</v>
      </c>
      <c r="CF15" s="22">
        <v>14</v>
      </c>
      <c r="CG15" s="22">
        <v>8.9</v>
      </c>
      <c r="CH15" s="22">
        <v>13.9</v>
      </c>
      <c r="CI15" s="22">
        <v>15.55</v>
      </c>
      <c r="CJ15" s="22">
        <v>0.6</v>
      </c>
      <c r="CK15" s="22">
        <v>1.6</v>
      </c>
      <c r="CL15" s="22">
        <v>1</v>
      </c>
      <c r="CM15" s="22">
        <v>2</v>
      </c>
      <c r="CN15" s="22">
        <v>1.72</v>
      </c>
      <c r="CO15" s="22">
        <v>0</v>
      </c>
      <c r="CP15" s="27"/>
      <c r="CQ15" s="38">
        <f t="shared" si="39"/>
        <v>12.5</v>
      </c>
      <c r="CR15" s="38">
        <f t="shared" si="40"/>
        <v>15.37</v>
      </c>
      <c r="CS15" s="40">
        <f t="shared" si="41"/>
        <v>47.57</v>
      </c>
      <c r="CT15" s="40">
        <f t="shared" si="42"/>
        <v>13.9</v>
      </c>
      <c r="CU15" s="40">
        <f t="shared" si="43"/>
        <v>15.55</v>
      </c>
      <c r="CV15" s="40">
        <f t="shared" si="44"/>
        <v>51.749999999999993</v>
      </c>
      <c r="CW15" s="40">
        <f t="shared" si="45"/>
        <v>51.749999999999993</v>
      </c>
      <c r="CX15" s="40">
        <f t="shared" si="46"/>
        <v>2</v>
      </c>
      <c r="CY15" s="40">
        <f t="shared" si="47"/>
        <v>1.72</v>
      </c>
      <c r="CZ15" s="40">
        <f t="shared" si="48"/>
        <v>6.3199999999999994</v>
      </c>
      <c r="DA15" s="40">
        <f t="shared" si="49"/>
        <v>58.069999999999993</v>
      </c>
      <c r="DB15" s="51" t="str">
        <f t="shared" si="50"/>
        <v/>
      </c>
      <c r="DC15" s="51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14</v>
      </c>
      <c r="WU15" s="26">
        <f t="shared" si="263"/>
        <v>9.1</v>
      </c>
      <c r="WV15" s="26">
        <f t="shared" si="264"/>
        <v>12.35</v>
      </c>
      <c r="WW15" s="26">
        <f t="shared" si="265"/>
        <v>15.754999999999999</v>
      </c>
      <c r="WX15" s="26">
        <f t="shared" si="266"/>
        <v>1.2</v>
      </c>
      <c r="WY15" s="26">
        <f t="shared" si="267"/>
        <v>14.2</v>
      </c>
      <c r="WZ15" s="26">
        <f t="shared" si="268"/>
        <v>9.1000000000000014</v>
      </c>
      <c r="XA15" s="26">
        <f t="shared" si="269"/>
        <v>13.8</v>
      </c>
      <c r="XB15" s="26">
        <f t="shared" si="270"/>
        <v>15.925000000000001</v>
      </c>
      <c r="XC15" s="26">
        <f t="shared" si="271"/>
        <v>0.3</v>
      </c>
      <c r="XD15" s="26">
        <f t="shared" si="272"/>
        <v>8.4</v>
      </c>
      <c r="XE15" s="26">
        <f t="shared" si="273"/>
        <v>5.15</v>
      </c>
      <c r="XF15" s="26">
        <f t="shared" si="274"/>
        <v>7.85</v>
      </c>
      <c r="XG15" s="26">
        <f t="shared" si="275"/>
        <v>9.0599999999999987</v>
      </c>
      <c r="XH15" s="26">
        <f t="shared" si="276"/>
        <v>0</v>
      </c>
      <c r="XI15" s="28" t="s">
        <v>53</v>
      </c>
      <c r="XJ15" s="11">
        <f t="shared" si="277"/>
        <v>12.35</v>
      </c>
      <c r="XK15" s="11">
        <f t="shared" si="278"/>
        <v>15.754999999999999</v>
      </c>
      <c r="XL15" s="11">
        <f t="shared" si="279"/>
        <v>50.004999999999995</v>
      </c>
      <c r="XM15" s="11">
        <f t="shared" si="280"/>
        <v>13.8</v>
      </c>
      <c r="XN15" s="11">
        <f t="shared" si="281"/>
        <v>15.925000000000001</v>
      </c>
      <c r="XO15" s="11">
        <f t="shared" si="282"/>
        <v>52.725000000000009</v>
      </c>
      <c r="XP15" s="11">
        <f t="shared" si="283"/>
        <v>52.725000000000009</v>
      </c>
      <c r="XQ15" s="11">
        <f t="shared" si="284"/>
        <v>7.85</v>
      </c>
      <c r="XR15" s="11">
        <f t="shared" si="285"/>
        <v>9.0599999999999987</v>
      </c>
      <c r="XS15" s="11">
        <f t="shared" si="286"/>
        <v>30.459999999999997</v>
      </c>
      <c r="XT15" s="11">
        <f t="shared" si="287"/>
        <v>83.185000000000002</v>
      </c>
    </row>
    <row r="16" spans="1:644" x14ac:dyDescent="0.2">
      <c r="A16" s="4" t="str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/>
      </c>
      <c r="B16" s="5" t="s">
        <v>243</v>
      </c>
      <c r="C16" s="4" t="s">
        <v>7</v>
      </c>
      <c r="D16" s="4">
        <v>2008</v>
      </c>
      <c r="E16" s="9">
        <f t="shared" si="0"/>
        <v>220.63002206000525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52.480000000000004</v>
      </c>
      <c r="K16" s="8" t="str">
        <f t="shared" si="5"/>
        <v>2024 Nationals</v>
      </c>
      <c r="L16" s="8">
        <f>IF(COUNT(AQ16,AT16,BR16,BU16,CS16,CV16)&gt;1,LARGE((AQ16,AT16,BR16,BU16,CS16,CV16),2),0)</f>
        <v>50.71</v>
      </c>
      <c r="M16" s="8" t="str">
        <f t="shared" si="6"/>
        <v>2025 Elite Canada</v>
      </c>
      <c r="N16" s="8">
        <f>IF(COUNT(AQ16,AT16,BR16,BU16,CS16,CV16)&gt;2,LARGE((AQ16,AT16,BR16,BU16,CS16,CV16),3),0)</f>
        <v>49.12</v>
      </c>
      <c r="O16" s="8" t="str">
        <f t="shared" si="7"/>
        <v>2024 3rd Domestic Trial</v>
      </c>
      <c r="P16" s="8">
        <f t="shared" si="8"/>
        <v>53.89</v>
      </c>
      <c r="Q16" s="8" t="str">
        <f t="shared" si="9"/>
        <v>2024 3rd Domestic Trial</v>
      </c>
      <c r="R16" s="8">
        <f t="shared" si="10"/>
        <v>14.4</v>
      </c>
      <c r="S16" s="8" t="str">
        <f t="shared" si="11"/>
        <v>2024 3rd Domestic Trial</v>
      </c>
      <c r="T16" s="8">
        <f t="shared" si="12"/>
        <v>0</v>
      </c>
      <c r="U16" s="8" t="str">
        <f t="shared" si="13"/>
        <v/>
      </c>
      <c r="V16" s="8">
        <f t="shared" si="14"/>
        <v>3.0000000000001137E-2</v>
      </c>
      <c r="W16" s="11" t="str">
        <f t="shared" si="15"/>
        <v>(Prelim)</v>
      </c>
      <c r="X16" s="8" t="str">
        <f t="shared" si="16"/>
        <v>2024 Coimbra Gym Fest (July 7)</v>
      </c>
      <c r="Y16" s="22">
        <v>17.899999999999999</v>
      </c>
      <c r="Z16" s="22">
        <v>9.4</v>
      </c>
      <c r="AA16" s="22">
        <v>0</v>
      </c>
      <c r="AB16" s="22">
        <v>15.82</v>
      </c>
      <c r="AC16" s="22">
        <v>0</v>
      </c>
      <c r="AD16" s="22">
        <v>15</v>
      </c>
      <c r="AE16" s="22">
        <v>9.1</v>
      </c>
      <c r="AF16" s="22">
        <v>13.5</v>
      </c>
      <c r="AG16" s="22">
        <v>14.88</v>
      </c>
      <c r="AH16" s="22">
        <v>0</v>
      </c>
      <c r="AI16" s="22">
        <v>14.9</v>
      </c>
      <c r="AJ16" s="22">
        <v>9</v>
      </c>
      <c r="AK16" s="22">
        <v>12.6</v>
      </c>
      <c r="AL16" s="22">
        <v>14.84</v>
      </c>
      <c r="AM16" s="22">
        <v>0</v>
      </c>
      <c r="AN16" s="27"/>
      <c r="AO16" s="38" t="str">
        <f t="shared" si="17"/>
        <v/>
      </c>
      <c r="AP16" s="38">
        <f t="shared" si="18"/>
        <v>15.82</v>
      </c>
      <c r="AQ16" s="40">
        <f t="shared" si="19"/>
        <v>43.12</v>
      </c>
      <c r="AR16" s="40">
        <f t="shared" si="20"/>
        <v>13.5</v>
      </c>
      <c r="AS16" s="40">
        <f t="shared" si="21"/>
        <v>14.88</v>
      </c>
      <c r="AT16" s="40">
        <f t="shared" si="22"/>
        <v>52.480000000000004</v>
      </c>
      <c r="AU16" s="40">
        <f t="shared" si="23"/>
        <v>52.480000000000004</v>
      </c>
      <c r="AV16" s="40">
        <f t="shared" si="24"/>
        <v>12.6</v>
      </c>
      <c r="AW16" s="40">
        <f t="shared" si="25"/>
        <v>14.84</v>
      </c>
      <c r="AX16" s="40">
        <f t="shared" si="26"/>
        <v>51.34</v>
      </c>
      <c r="AY16" s="40">
        <f t="shared" si="27"/>
        <v>103.82000000000001</v>
      </c>
      <c r="AZ16" s="26">
        <v>18</v>
      </c>
      <c r="BA16" s="26">
        <v>9.4</v>
      </c>
      <c r="BB16" s="26">
        <v>0</v>
      </c>
      <c r="BC16" s="26">
        <v>16.57</v>
      </c>
      <c r="BD16" s="26">
        <v>0</v>
      </c>
      <c r="BE16" s="26">
        <v>13.5</v>
      </c>
      <c r="BF16" s="26">
        <v>8.5</v>
      </c>
      <c r="BG16" s="26">
        <v>12.8</v>
      </c>
      <c r="BH16" s="26">
        <v>14.32</v>
      </c>
      <c r="BI16" s="26">
        <v>0</v>
      </c>
      <c r="BJ16" s="26">
        <v>14.7</v>
      </c>
      <c r="BK16" s="26">
        <v>8.8000000000000007</v>
      </c>
      <c r="BL16" s="26">
        <v>14.4</v>
      </c>
      <c r="BM16" s="26">
        <v>15.99</v>
      </c>
      <c r="BN16" s="26">
        <v>0</v>
      </c>
      <c r="BO16" s="28"/>
      <c r="BP16" s="39" t="str">
        <f t="shared" si="28"/>
        <v/>
      </c>
      <c r="BQ16" s="39">
        <f t="shared" si="29"/>
        <v>16.57</v>
      </c>
      <c r="BR16" s="11">
        <f t="shared" si="30"/>
        <v>43.97</v>
      </c>
      <c r="BS16" s="11">
        <f t="shared" si="31"/>
        <v>12.8</v>
      </c>
      <c r="BT16" s="11">
        <f t="shared" si="32"/>
        <v>14.32</v>
      </c>
      <c r="BU16" s="11">
        <f t="shared" si="33"/>
        <v>49.12</v>
      </c>
      <c r="BV16" s="11">
        <f t="shared" si="34"/>
        <v>49.12</v>
      </c>
      <c r="BW16" s="11">
        <f t="shared" si="35"/>
        <v>14.4</v>
      </c>
      <c r="BX16" s="11">
        <f t="shared" si="36"/>
        <v>15.99</v>
      </c>
      <c r="BY16" s="11">
        <f t="shared" si="37"/>
        <v>53.89</v>
      </c>
      <c r="BZ16" s="11">
        <f t="shared" si="38"/>
        <v>103.00999999999999</v>
      </c>
      <c r="CA16" s="22">
        <v>14</v>
      </c>
      <c r="CB16" s="22">
        <v>9.1999999999999993</v>
      </c>
      <c r="CC16" s="22">
        <v>13.4</v>
      </c>
      <c r="CD16" s="22">
        <v>15.21</v>
      </c>
      <c r="CE16" s="22">
        <v>1.1000000000000001</v>
      </c>
      <c r="CF16" s="22">
        <v>4.7</v>
      </c>
      <c r="CG16" s="22">
        <v>3</v>
      </c>
      <c r="CH16" s="22">
        <v>5</v>
      </c>
      <c r="CI16" s="22">
        <v>5.03</v>
      </c>
      <c r="CJ16" s="22">
        <v>0</v>
      </c>
      <c r="CK16" s="22">
        <v>7.6</v>
      </c>
      <c r="CL16" s="22">
        <v>5.3</v>
      </c>
      <c r="CM16" s="22">
        <v>6.9</v>
      </c>
      <c r="CN16" s="22">
        <v>9.18</v>
      </c>
      <c r="CO16" s="22">
        <v>0</v>
      </c>
      <c r="CP16" s="27"/>
      <c r="CQ16" s="38">
        <f t="shared" si="39"/>
        <v>13.4</v>
      </c>
      <c r="CR16" s="38">
        <f t="shared" si="40"/>
        <v>15.21</v>
      </c>
      <c r="CS16" s="40">
        <f t="shared" si="41"/>
        <v>50.71</v>
      </c>
      <c r="CT16" s="40">
        <f t="shared" si="42"/>
        <v>5</v>
      </c>
      <c r="CU16" s="40">
        <f t="shared" si="43"/>
        <v>5.03</v>
      </c>
      <c r="CV16" s="40">
        <f t="shared" si="44"/>
        <v>17.73</v>
      </c>
      <c r="CW16" s="40">
        <f t="shared" si="45"/>
        <v>50.71</v>
      </c>
      <c r="CX16" s="40">
        <f t="shared" si="46"/>
        <v>6.9</v>
      </c>
      <c r="CY16" s="40">
        <f t="shared" si="47"/>
        <v>9.18</v>
      </c>
      <c r="CZ16" s="40">
        <f t="shared" si="48"/>
        <v>28.979999999999997</v>
      </c>
      <c r="DA16" s="40">
        <f t="shared" si="49"/>
        <v>79.69</v>
      </c>
      <c r="DB16" s="51">
        <f t="shared" si="50"/>
        <v>3.0000000000001137E-2</v>
      </c>
      <c r="DC16" s="51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40" t="str">
        <f t="shared" si="64"/>
        <v/>
      </c>
      <c r="EK16" s="40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40" t="str">
        <f t="shared" si="92"/>
        <v/>
      </c>
      <c r="HA16" s="40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40" t="str">
        <f t="shared" si="120"/>
        <v/>
      </c>
      <c r="JQ16" s="40" t="str">
        <f t="shared" si="121"/>
        <v/>
      </c>
      <c r="JR16" s="18">
        <v>16.5</v>
      </c>
      <c r="JS16" s="18">
        <v>9.4</v>
      </c>
      <c r="JT16" s="18">
        <v>0</v>
      </c>
      <c r="JU16" s="18">
        <v>16.34</v>
      </c>
      <c r="JV16" s="18">
        <v>0</v>
      </c>
      <c r="JW16" s="18">
        <v>12</v>
      </c>
      <c r="JX16" s="18">
        <v>8.5</v>
      </c>
      <c r="JY16" s="18">
        <v>13.5</v>
      </c>
      <c r="JZ16" s="18">
        <v>15.15</v>
      </c>
      <c r="KA16" s="18">
        <v>0</v>
      </c>
      <c r="KB16" s="18"/>
      <c r="KC16" s="18"/>
      <c r="KD16" s="18"/>
      <c r="KE16" s="18"/>
      <c r="KF16" s="18"/>
      <c r="KG16" s="18">
        <v>14.3</v>
      </c>
      <c r="KH16" s="18">
        <v>9.1999999999999993</v>
      </c>
      <c r="KI16" s="18">
        <v>13.5</v>
      </c>
      <c r="KJ16" s="18">
        <v>15.49</v>
      </c>
      <c r="KK16" s="18">
        <v>0</v>
      </c>
      <c r="KL16" s="11" t="str">
        <f t="shared" si="122"/>
        <v/>
      </c>
      <c r="KM16" s="11">
        <f t="shared" si="123"/>
        <v>16.34</v>
      </c>
      <c r="KN16" s="11">
        <f t="shared" si="124"/>
        <v>42.239999999999995</v>
      </c>
      <c r="KO16" s="11">
        <f t="shared" si="125"/>
        <v>13.5</v>
      </c>
      <c r="KP16" s="11">
        <f t="shared" si="126"/>
        <v>15.15</v>
      </c>
      <c r="KQ16" s="11">
        <f t="shared" si="127"/>
        <v>49.15</v>
      </c>
      <c r="KR16" s="11">
        <f t="shared" si="128"/>
        <v>49.15</v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>
        <f t="shared" si="132"/>
        <v>13.5</v>
      </c>
      <c r="KW16" s="11">
        <f t="shared" si="133"/>
        <v>15.49</v>
      </c>
      <c r="KX16" s="11">
        <f t="shared" si="134"/>
        <v>52.49</v>
      </c>
      <c r="KY16" s="11">
        <f t="shared" si="135"/>
        <v>101.64</v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40" t="str">
        <f t="shared" si="148"/>
        <v/>
      </c>
      <c r="MG16" s="40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40" t="str">
        <f t="shared" si="176"/>
        <v/>
      </c>
      <c r="OW16" s="40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40" t="str">
        <f t="shared" si="204"/>
        <v/>
      </c>
      <c r="RM16" s="40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 t="shared" si="220"/>
        <v/>
      </c>
      <c r="TQ16" s="40" t="str">
        <f t="shared" si="221"/>
        <v/>
      </c>
      <c r="TR16" s="40" t="str">
        <f t="shared" si="222"/>
        <v/>
      </c>
      <c r="TS16" s="40" t="str">
        <f t="shared" si="223"/>
        <v/>
      </c>
      <c r="TT16" s="40" t="str">
        <f t="shared" si="224"/>
        <v/>
      </c>
      <c r="TU16" s="40" t="str">
        <f t="shared" si="225"/>
        <v/>
      </c>
      <c r="TV16" s="40" t="str">
        <f t="shared" si="226"/>
        <v/>
      </c>
      <c r="TW16" s="40" t="str">
        <f t="shared" si="227"/>
        <v/>
      </c>
      <c r="TX16" s="40" t="str">
        <f t="shared" si="228"/>
        <v/>
      </c>
      <c r="TY16" s="40" t="str">
        <f t="shared" si="229"/>
        <v/>
      </c>
      <c r="TZ16" s="40" t="str">
        <f t="shared" si="230"/>
        <v/>
      </c>
      <c r="UA16" s="40" t="str">
        <f t="shared" si="231"/>
        <v/>
      </c>
      <c r="UB16" s="40" t="str">
        <f t="shared" si="232"/>
        <v/>
      </c>
      <c r="UC16" s="40" t="str">
        <f t="shared" si="233"/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 t="shared" si="234"/>
        <v/>
      </c>
      <c r="UY16" s="11" t="str">
        <f t="shared" si="235"/>
        <v/>
      </c>
      <c r="UZ16" s="11" t="str">
        <f t="shared" si="236"/>
        <v/>
      </c>
      <c r="VA16" s="11" t="str">
        <f t="shared" si="237"/>
        <v/>
      </c>
      <c r="VB16" s="11" t="str">
        <f t="shared" si="238"/>
        <v/>
      </c>
      <c r="VC16" s="11" t="str">
        <f t="shared" si="239"/>
        <v/>
      </c>
      <c r="VD16" s="11" t="str">
        <f t="shared" si="240"/>
        <v/>
      </c>
      <c r="VE16" s="11" t="str">
        <f t="shared" si="241"/>
        <v/>
      </c>
      <c r="VF16" s="11" t="str">
        <f t="shared" si="242"/>
        <v/>
      </c>
      <c r="VG16" s="11" t="str">
        <f t="shared" si="243"/>
        <v/>
      </c>
      <c r="VH16" s="11" t="str">
        <f t="shared" si="244"/>
        <v/>
      </c>
      <c r="VI16" s="11" t="str">
        <f t="shared" si="245"/>
        <v/>
      </c>
      <c r="VJ16" s="11" t="str">
        <f t="shared" si="246"/>
        <v/>
      </c>
      <c r="VK16" s="11" t="str">
        <f t="shared" si="247"/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 t="shared" si="248"/>
        <v/>
      </c>
      <c r="WG16" s="40" t="str">
        <f t="shared" si="249"/>
        <v/>
      </c>
      <c r="WH16" s="40" t="str">
        <f t="shared" si="250"/>
        <v/>
      </c>
      <c r="WI16" s="40" t="str">
        <f t="shared" si="251"/>
        <v/>
      </c>
      <c r="WJ16" s="40" t="str">
        <f t="shared" si="252"/>
        <v/>
      </c>
      <c r="WK16" s="40" t="str">
        <f t="shared" si="253"/>
        <v/>
      </c>
      <c r="WL16" s="40" t="str">
        <f t="shared" si="254"/>
        <v/>
      </c>
      <c r="WM16" s="40" t="str">
        <f t="shared" si="255"/>
        <v/>
      </c>
      <c r="WN16" s="40" t="str">
        <f t="shared" si="256"/>
        <v/>
      </c>
      <c r="WO16" s="40" t="str">
        <f t="shared" si="257"/>
        <v/>
      </c>
      <c r="WP16" s="40" t="str">
        <f t="shared" si="258"/>
        <v/>
      </c>
      <c r="WQ16" s="40" t="str">
        <f t="shared" si="259"/>
        <v/>
      </c>
      <c r="WR16" s="40" t="str">
        <f t="shared" si="260"/>
        <v/>
      </c>
      <c r="WS16" s="40" t="str">
        <f t="shared" si="261"/>
        <v/>
      </c>
      <c r="WT16" s="26">
        <f t="shared" si="262"/>
        <v>16</v>
      </c>
      <c r="WU16" s="26">
        <f t="shared" si="263"/>
        <v>9.3000000000000007</v>
      </c>
      <c r="WV16" s="26">
        <f t="shared" si="264"/>
        <v>6.7</v>
      </c>
      <c r="WW16" s="26">
        <f t="shared" si="265"/>
        <v>15.89</v>
      </c>
      <c r="WX16" s="26">
        <f t="shared" si="266"/>
        <v>0.55000000000000004</v>
      </c>
      <c r="WY16" s="26">
        <f t="shared" si="267"/>
        <v>9.1</v>
      </c>
      <c r="WZ16" s="26">
        <f t="shared" si="268"/>
        <v>5.75</v>
      </c>
      <c r="XA16" s="26">
        <f t="shared" si="269"/>
        <v>8.9</v>
      </c>
      <c r="XB16" s="26">
        <f t="shared" si="270"/>
        <v>9.6750000000000007</v>
      </c>
      <c r="XC16" s="26">
        <f t="shared" si="271"/>
        <v>0</v>
      </c>
      <c r="XD16" s="26">
        <f t="shared" si="272"/>
        <v>11.149999999999999</v>
      </c>
      <c r="XE16" s="26">
        <f t="shared" si="273"/>
        <v>7.0500000000000007</v>
      </c>
      <c r="XF16" s="26">
        <f t="shared" si="274"/>
        <v>10.65</v>
      </c>
      <c r="XG16" s="26">
        <f t="shared" si="275"/>
        <v>12.585000000000001</v>
      </c>
      <c r="XH16" s="26">
        <f t="shared" si="276"/>
        <v>0</v>
      </c>
      <c r="XI16" s="28" t="s">
        <v>53</v>
      </c>
      <c r="XJ16" s="11">
        <f t="shared" si="277"/>
        <v>6.7</v>
      </c>
      <c r="XK16" s="11">
        <f t="shared" si="278"/>
        <v>15.89</v>
      </c>
      <c r="XL16" s="11">
        <f t="shared" si="279"/>
        <v>47.34</v>
      </c>
      <c r="XM16" s="11">
        <f t="shared" si="280"/>
        <v>8.9</v>
      </c>
      <c r="XN16" s="11">
        <f t="shared" si="281"/>
        <v>9.6750000000000007</v>
      </c>
      <c r="XO16" s="11">
        <f t="shared" si="282"/>
        <v>33.424999999999997</v>
      </c>
      <c r="XP16" s="11">
        <f t="shared" si="283"/>
        <v>47.34</v>
      </c>
      <c r="XQ16" s="11">
        <f t="shared" si="284"/>
        <v>10.65</v>
      </c>
      <c r="XR16" s="11">
        <f t="shared" si="285"/>
        <v>12.585000000000001</v>
      </c>
      <c r="XS16" s="11">
        <f t="shared" si="286"/>
        <v>41.435000000000002</v>
      </c>
      <c r="XT16" s="11">
        <f t="shared" si="287"/>
        <v>88.775000000000006</v>
      </c>
    </row>
    <row r="17" spans="1:644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186</v>
      </c>
      <c r="C17" s="4" t="s">
        <v>5</v>
      </c>
      <c r="D17" s="4">
        <v>2002</v>
      </c>
      <c r="E17" s="9">
        <f t="shared" si="0"/>
        <v>215.01002150100501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50.43</v>
      </c>
      <c r="K17" s="8" t="str">
        <f t="shared" si="5"/>
        <v>2024 Nationals</v>
      </c>
      <c r="L17" s="8">
        <f>IF(COUNT(AQ17,AT17,BR17,BU17,CS17,CV17)&gt;1,LARGE((AQ17,AT17,BR17,BU17,CS17,CV17),2),0)</f>
        <v>49.419999999999987</v>
      </c>
      <c r="M17" s="8" t="str">
        <f t="shared" si="6"/>
        <v>2025 Elite Canada</v>
      </c>
      <c r="N17" s="8">
        <f>IF(COUNT(AQ17,AT17,BR17,BU17,CS17,CV17)&gt;2,LARGE((AQ17,AT17,BR17,BU17,CS17,CV17),3),0)</f>
        <v>48.33</v>
      </c>
      <c r="O17" s="8" t="str">
        <f t="shared" si="7"/>
        <v>2024 Nationals</v>
      </c>
      <c r="P17" s="8">
        <f t="shared" si="8"/>
        <v>52.129999999999995</v>
      </c>
      <c r="Q17" s="8" t="str">
        <f t="shared" si="9"/>
        <v>2024 Nationals</v>
      </c>
      <c r="R17" s="8">
        <f t="shared" si="10"/>
        <v>14.7</v>
      </c>
      <c r="S17" s="8" t="str">
        <f t="shared" si="11"/>
        <v>2025 Elite Canada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2">
        <v>12.8</v>
      </c>
      <c r="Z17" s="22">
        <v>9.4</v>
      </c>
      <c r="AA17" s="22">
        <v>13.8</v>
      </c>
      <c r="AB17" s="22">
        <v>14.43</v>
      </c>
      <c r="AC17" s="22">
        <v>0</v>
      </c>
      <c r="AD17" s="22">
        <v>13.2</v>
      </c>
      <c r="AE17" s="22">
        <v>9.1</v>
      </c>
      <c r="AF17" s="22">
        <v>12.6</v>
      </c>
      <c r="AG17" s="22">
        <v>14.33</v>
      </c>
      <c r="AH17" s="22">
        <v>0.9</v>
      </c>
      <c r="AI17" s="22">
        <v>14.5</v>
      </c>
      <c r="AJ17" s="22">
        <v>9</v>
      </c>
      <c r="AK17" s="22">
        <v>13.8</v>
      </c>
      <c r="AL17" s="22">
        <v>14.83</v>
      </c>
      <c r="AM17" s="22">
        <v>0</v>
      </c>
      <c r="AN17" s="27"/>
      <c r="AO17" s="38">
        <f t="shared" si="17"/>
        <v>13.8</v>
      </c>
      <c r="AP17" s="38">
        <f t="shared" si="18"/>
        <v>14.43</v>
      </c>
      <c r="AQ17" s="40">
        <f t="shared" si="19"/>
        <v>50.43</v>
      </c>
      <c r="AR17" s="40">
        <f t="shared" si="20"/>
        <v>12.6</v>
      </c>
      <c r="AS17" s="40">
        <f t="shared" si="21"/>
        <v>14.33</v>
      </c>
      <c r="AT17" s="40">
        <f t="shared" si="22"/>
        <v>48.33</v>
      </c>
      <c r="AU17" s="40">
        <f t="shared" si="23"/>
        <v>50.43</v>
      </c>
      <c r="AV17" s="40">
        <f t="shared" si="24"/>
        <v>13.8</v>
      </c>
      <c r="AW17" s="40">
        <f t="shared" si="25"/>
        <v>14.83</v>
      </c>
      <c r="AX17" s="40">
        <f t="shared" si="26"/>
        <v>52.129999999999995</v>
      </c>
      <c r="AY17" s="40">
        <f t="shared" si="27"/>
        <v>102.56</v>
      </c>
      <c r="AZ17" s="26">
        <v>5.7</v>
      </c>
      <c r="BA17" s="26">
        <v>3.3</v>
      </c>
      <c r="BB17" s="26">
        <v>6.3</v>
      </c>
      <c r="BC17" s="26">
        <v>6.6</v>
      </c>
      <c r="BD17" s="26">
        <v>0</v>
      </c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>
        <f t="shared" si="28"/>
        <v>6.3</v>
      </c>
      <c r="BQ17" s="39">
        <f t="shared" si="29"/>
        <v>6.6</v>
      </c>
      <c r="BR17" s="11">
        <f t="shared" si="30"/>
        <v>21.9</v>
      </c>
      <c r="BS17" s="11" t="str">
        <f t="shared" si="31"/>
        <v/>
      </c>
      <c r="BT17" s="11" t="str">
        <f t="shared" si="32"/>
        <v/>
      </c>
      <c r="BU17" s="11" t="str">
        <f t="shared" si="33"/>
        <v/>
      </c>
      <c r="BV17" s="11">
        <f t="shared" si="34"/>
        <v>21.9</v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>
        <f t="shared" si="38"/>
        <v>21.9</v>
      </c>
      <c r="CA17" s="22">
        <v>6.7</v>
      </c>
      <c r="CB17" s="22">
        <v>4.5999999999999996</v>
      </c>
      <c r="CC17" s="22">
        <v>7.6</v>
      </c>
      <c r="CD17" s="22">
        <v>7.67</v>
      </c>
      <c r="CE17" s="22">
        <v>0</v>
      </c>
      <c r="CF17" s="22">
        <v>10.7</v>
      </c>
      <c r="CG17" s="22">
        <v>9.1999999999999993</v>
      </c>
      <c r="CH17" s="22">
        <v>14.7</v>
      </c>
      <c r="CI17" s="22">
        <v>15.02</v>
      </c>
      <c r="CJ17" s="22">
        <v>0.2</v>
      </c>
      <c r="CK17" s="22">
        <v>12.2</v>
      </c>
      <c r="CL17" s="22">
        <v>8.8000000000000007</v>
      </c>
      <c r="CM17" s="22">
        <v>10.8</v>
      </c>
      <c r="CN17" s="22">
        <v>14.67</v>
      </c>
      <c r="CO17" s="22">
        <v>3.7</v>
      </c>
      <c r="CP17" s="27"/>
      <c r="CQ17" s="38">
        <f t="shared" si="39"/>
        <v>7.6</v>
      </c>
      <c r="CR17" s="38">
        <f t="shared" si="40"/>
        <v>7.67</v>
      </c>
      <c r="CS17" s="40">
        <f t="shared" si="41"/>
        <v>26.57</v>
      </c>
      <c r="CT17" s="40">
        <f t="shared" si="42"/>
        <v>14.7</v>
      </c>
      <c r="CU17" s="40">
        <f t="shared" si="43"/>
        <v>15.02</v>
      </c>
      <c r="CV17" s="40">
        <f t="shared" si="44"/>
        <v>49.419999999999987</v>
      </c>
      <c r="CW17" s="40">
        <f t="shared" si="45"/>
        <v>49.419999999999987</v>
      </c>
      <c r="CX17" s="40">
        <f t="shared" si="46"/>
        <v>10.8</v>
      </c>
      <c r="CY17" s="40">
        <f t="shared" si="47"/>
        <v>14.67</v>
      </c>
      <c r="CZ17" s="40">
        <f t="shared" si="48"/>
        <v>42.769999999999996</v>
      </c>
      <c r="DA17" s="40">
        <f t="shared" si="49"/>
        <v>92.189999999999984</v>
      </c>
      <c r="DB17" s="51" t="str">
        <f t="shared" si="50"/>
        <v/>
      </c>
      <c r="DC17" s="51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40" t="str">
        <f t="shared" si="64"/>
        <v/>
      </c>
      <c r="EK17" s="40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40" t="str">
        <f t="shared" si="92"/>
        <v/>
      </c>
      <c r="HA17" s="40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40" t="str">
        <f t="shared" si="120"/>
        <v/>
      </c>
      <c r="JQ17" s="40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40" t="str">
        <f t="shared" si="148"/>
        <v/>
      </c>
      <c r="MG17" s="40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40" t="str">
        <f t="shared" si="176"/>
        <v/>
      </c>
      <c r="OW17" s="40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40" t="str">
        <f t="shared" si="204"/>
        <v/>
      </c>
      <c r="RM17" s="40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 t="shared" si="220"/>
        <v/>
      </c>
      <c r="TQ17" s="40" t="str">
        <f t="shared" si="221"/>
        <v/>
      </c>
      <c r="TR17" s="40" t="str">
        <f t="shared" si="222"/>
        <v/>
      </c>
      <c r="TS17" s="40" t="str">
        <f t="shared" si="223"/>
        <v/>
      </c>
      <c r="TT17" s="40" t="str">
        <f t="shared" si="224"/>
        <v/>
      </c>
      <c r="TU17" s="40" t="str">
        <f t="shared" si="225"/>
        <v/>
      </c>
      <c r="TV17" s="40" t="str">
        <f t="shared" si="226"/>
        <v/>
      </c>
      <c r="TW17" s="40" t="str">
        <f t="shared" si="227"/>
        <v/>
      </c>
      <c r="TX17" s="40" t="str">
        <f t="shared" si="228"/>
        <v/>
      </c>
      <c r="TY17" s="40" t="str">
        <f t="shared" si="229"/>
        <v/>
      </c>
      <c r="TZ17" s="40" t="str">
        <f t="shared" si="230"/>
        <v/>
      </c>
      <c r="UA17" s="40" t="str">
        <f t="shared" si="231"/>
        <v/>
      </c>
      <c r="UB17" s="40" t="str">
        <f t="shared" si="232"/>
        <v/>
      </c>
      <c r="UC17" s="40" t="str">
        <f t="shared" si="233"/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 t="shared" si="234"/>
        <v/>
      </c>
      <c r="UY17" s="11" t="str">
        <f t="shared" si="235"/>
        <v/>
      </c>
      <c r="UZ17" s="11" t="str">
        <f t="shared" si="236"/>
        <v/>
      </c>
      <c r="VA17" s="11" t="str">
        <f t="shared" si="237"/>
        <v/>
      </c>
      <c r="VB17" s="11" t="str">
        <f t="shared" si="238"/>
        <v/>
      </c>
      <c r="VC17" s="11" t="str">
        <f t="shared" si="239"/>
        <v/>
      </c>
      <c r="VD17" s="11" t="str">
        <f t="shared" si="240"/>
        <v/>
      </c>
      <c r="VE17" s="11" t="str">
        <f t="shared" si="241"/>
        <v/>
      </c>
      <c r="VF17" s="11" t="str">
        <f t="shared" si="242"/>
        <v/>
      </c>
      <c r="VG17" s="11" t="str">
        <f t="shared" si="243"/>
        <v/>
      </c>
      <c r="VH17" s="11" t="str">
        <f t="shared" si="244"/>
        <v/>
      </c>
      <c r="VI17" s="11" t="str">
        <f t="shared" si="245"/>
        <v/>
      </c>
      <c r="VJ17" s="11" t="str">
        <f t="shared" si="246"/>
        <v/>
      </c>
      <c r="VK17" s="11" t="str">
        <f t="shared" si="247"/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 t="shared" si="248"/>
        <v/>
      </c>
      <c r="WG17" s="40" t="str">
        <f t="shared" si="249"/>
        <v/>
      </c>
      <c r="WH17" s="40" t="str">
        <f t="shared" si="250"/>
        <v/>
      </c>
      <c r="WI17" s="40" t="str">
        <f t="shared" si="251"/>
        <v/>
      </c>
      <c r="WJ17" s="40" t="str">
        <f t="shared" si="252"/>
        <v/>
      </c>
      <c r="WK17" s="40" t="str">
        <f t="shared" si="253"/>
        <v/>
      </c>
      <c r="WL17" s="40" t="str">
        <f t="shared" si="254"/>
        <v/>
      </c>
      <c r="WM17" s="40" t="str">
        <f t="shared" si="255"/>
        <v/>
      </c>
      <c r="WN17" s="40" t="str">
        <f t="shared" si="256"/>
        <v/>
      </c>
      <c r="WO17" s="40" t="str">
        <f t="shared" si="257"/>
        <v/>
      </c>
      <c r="WP17" s="40" t="str">
        <f t="shared" si="258"/>
        <v/>
      </c>
      <c r="WQ17" s="40" t="str">
        <f t="shared" si="259"/>
        <v/>
      </c>
      <c r="WR17" s="40" t="str">
        <f t="shared" si="260"/>
        <v/>
      </c>
      <c r="WS17" s="40" t="str">
        <f t="shared" si="261"/>
        <v/>
      </c>
      <c r="WT17" s="26">
        <f t="shared" si="262"/>
        <v>6.2</v>
      </c>
      <c r="WU17" s="26">
        <f t="shared" si="263"/>
        <v>3.9499999999999997</v>
      </c>
      <c r="WV17" s="26">
        <f t="shared" si="264"/>
        <v>6.9499999999999993</v>
      </c>
      <c r="WW17" s="26">
        <f t="shared" si="265"/>
        <v>7.1349999999999998</v>
      </c>
      <c r="WX17" s="26">
        <f t="shared" si="266"/>
        <v>0</v>
      </c>
      <c r="WY17" s="26">
        <f t="shared" si="267"/>
        <v>5.35</v>
      </c>
      <c r="WZ17" s="26">
        <f t="shared" si="268"/>
        <v>4.5999999999999996</v>
      </c>
      <c r="XA17" s="26">
        <f t="shared" si="269"/>
        <v>7.35</v>
      </c>
      <c r="XB17" s="26">
        <f t="shared" si="270"/>
        <v>7.51</v>
      </c>
      <c r="XC17" s="26">
        <f t="shared" si="271"/>
        <v>0.1</v>
      </c>
      <c r="XD17" s="26">
        <f t="shared" si="272"/>
        <v>6.1</v>
      </c>
      <c r="XE17" s="26">
        <f t="shared" si="273"/>
        <v>4.4000000000000004</v>
      </c>
      <c r="XF17" s="26">
        <f t="shared" si="274"/>
        <v>5.4</v>
      </c>
      <c r="XG17" s="26">
        <f t="shared" si="275"/>
        <v>7.335</v>
      </c>
      <c r="XH17" s="26">
        <f t="shared" si="276"/>
        <v>1.85</v>
      </c>
      <c r="XI17" s="28" t="s">
        <v>53</v>
      </c>
      <c r="XJ17" s="11">
        <f t="shared" si="277"/>
        <v>6.9499999999999993</v>
      </c>
      <c r="XK17" s="11">
        <f t="shared" si="278"/>
        <v>7.1349999999999998</v>
      </c>
      <c r="XL17" s="11">
        <f t="shared" si="279"/>
        <v>24.234999999999999</v>
      </c>
      <c r="XM17" s="11">
        <f t="shared" si="280"/>
        <v>7.35</v>
      </c>
      <c r="XN17" s="11">
        <f t="shared" si="281"/>
        <v>7.51</v>
      </c>
      <c r="XO17" s="11">
        <f t="shared" si="282"/>
        <v>24.709999999999994</v>
      </c>
      <c r="XP17" s="11">
        <f t="shared" si="283"/>
        <v>24.709999999999994</v>
      </c>
      <c r="XQ17" s="11">
        <f t="shared" si="284"/>
        <v>5.4</v>
      </c>
      <c r="XR17" s="11">
        <f t="shared" si="285"/>
        <v>7.335</v>
      </c>
      <c r="XS17" s="11">
        <f t="shared" si="286"/>
        <v>21.384999999999998</v>
      </c>
      <c r="XT17" s="11">
        <f t="shared" si="287"/>
        <v>46.094999999999992</v>
      </c>
    </row>
    <row r="18" spans="1:644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174</v>
      </c>
      <c r="C18" s="4" t="s">
        <v>6</v>
      </c>
      <c r="D18" s="4">
        <v>2001</v>
      </c>
      <c r="E18" s="9">
        <f t="shared" si="0"/>
        <v>208.10502081050538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54.07</v>
      </c>
      <c r="K18" s="8" t="str">
        <f t="shared" si="5"/>
        <v>2024 3rd Domestic Trial</v>
      </c>
      <c r="L18" s="8">
        <f>IF(COUNT(AQ18,AT18,BR18,BU18,CS18,CV18)&gt;1,LARGE((AQ18,AT18,BR18,BU18,CS18,CV18),2),0)</f>
        <v>53.52</v>
      </c>
      <c r="M18" s="8" t="str">
        <f t="shared" si="6"/>
        <v>2024 Nationals</v>
      </c>
      <c r="N18" s="8">
        <f>IF(COUNT(AQ18,AT18,BR18,BU18,CS18,CV18)&gt;2,LARGE((AQ18,AT18,BR18,BU18,CS18,CV18),3),0)</f>
        <v>32.11</v>
      </c>
      <c r="O18" s="8" t="str">
        <f t="shared" si="7"/>
        <v>2025 Elite Canada</v>
      </c>
      <c r="P18" s="8">
        <f t="shared" si="8"/>
        <v>53.505000000000003</v>
      </c>
      <c r="Q18" s="8" t="str">
        <f t="shared" si="9"/>
        <v>2024 3rd Domestic Trial</v>
      </c>
      <c r="R18" s="8">
        <f t="shared" si="10"/>
        <v>14.9</v>
      </c>
      <c r="S18" s="8" t="str">
        <f t="shared" si="11"/>
        <v>2024 3rd Domestic Trial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2">
        <v>3</v>
      </c>
      <c r="Z18" s="22">
        <v>1.8</v>
      </c>
      <c r="AA18" s="22">
        <v>3.2</v>
      </c>
      <c r="AB18" s="22">
        <v>3.47</v>
      </c>
      <c r="AC18" s="22">
        <v>0</v>
      </c>
      <c r="AD18" s="22">
        <v>14.4</v>
      </c>
      <c r="AE18" s="22">
        <v>9.3000000000000007</v>
      </c>
      <c r="AF18" s="22">
        <v>14.2</v>
      </c>
      <c r="AG18" s="22">
        <v>15.62</v>
      </c>
      <c r="AH18" s="22">
        <v>0</v>
      </c>
      <c r="AI18" s="22">
        <v>13.7</v>
      </c>
      <c r="AJ18" s="22">
        <v>8.9</v>
      </c>
      <c r="AK18" s="22">
        <v>14.4</v>
      </c>
      <c r="AL18" s="22">
        <v>15.65</v>
      </c>
      <c r="AM18" s="22">
        <v>0</v>
      </c>
      <c r="AN18" s="27"/>
      <c r="AO18" s="38">
        <f t="shared" si="17"/>
        <v>3.2</v>
      </c>
      <c r="AP18" s="38">
        <f t="shared" si="18"/>
        <v>3.47</v>
      </c>
      <c r="AQ18" s="40">
        <f t="shared" si="19"/>
        <v>11.47</v>
      </c>
      <c r="AR18" s="40">
        <f t="shared" si="20"/>
        <v>14.2</v>
      </c>
      <c r="AS18" s="40">
        <f t="shared" si="21"/>
        <v>15.62</v>
      </c>
      <c r="AT18" s="40">
        <f t="shared" si="22"/>
        <v>53.52</v>
      </c>
      <c r="AU18" s="40">
        <f t="shared" si="23"/>
        <v>53.52</v>
      </c>
      <c r="AV18" s="40">
        <f t="shared" si="24"/>
        <v>14.4</v>
      </c>
      <c r="AW18" s="40">
        <f t="shared" si="25"/>
        <v>15.65</v>
      </c>
      <c r="AX18" s="40">
        <f t="shared" si="26"/>
        <v>52.65</v>
      </c>
      <c r="AY18" s="40">
        <f t="shared" si="27"/>
        <v>106.17</v>
      </c>
      <c r="AZ18" s="26">
        <v>6.2</v>
      </c>
      <c r="BA18" s="26">
        <v>3.65</v>
      </c>
      <c r="BB18" s="26">
        <v>6.3000000000000007</v>
      </c>
      <c r="BC18" s="26">
        <v>6.8000000000000007</v>
      </c>
      <c r="BD18" s="26">
        <v>0</v>
      </c>
      <c r="BE18" s="26">
        <v>14.8</v>
      </c>
      <c r="BF18" s="26">
        <v>9.1000000000000014</v>
      </c>
      <c r="BG18" s="26">
        <v>14.2</v>
      </c>
      <c r="BH18" s="26">
        <v>15.969999999999999</v>
      </c>
      <c r="BI18" s="26">
        <v>0</v>
      </c>
      <c r="BJ18" s="26">
        <v>13.6</v>
      </c>
      <c r="BK18" s="26">
        <v>9.1000000000000014</v>
      </c>
      <c r="BL18" s="26">
        <v>14.9</v>
      </c>
      <c r="BM18" s="26">
        <v>15.905000000000001</v>
      </c>
      <c r="BN18" s="26">
        <v>0</v>
      </c>
      <c r="BO18" s="28" t="s">
        <v>53</v>
      </c>
      <c r="BP18" s="39">
        <f t="shared" si="28"/>
        <v>6.3000000000000007</v>
      </c>
      <c r="BQ18" s="39">
        <f t="shared" si="29"/>
        <v>6.8000000000000007</v>
      </c>
      <c r="BR18" s="11">
        <f t="shared" si="30"/>
        <v>22.95</v>
      </c>
      <c r="BS18" s="11">
        <f t="shared" si="31"/>
        <v>14.2</v>
      </c>
      <c r="BT18" s="11">
        <f t="shared" si="32"/>
        <v>15.969999999999999</v>
      </c>
      <c r="BU18" s="11">
        <f t="shared" si="33"/>
        <v>54.07</v>
      </c>
      <c r="BV18" s="11">
        <f t="shared" si="34"/>
        <v>54.07</v>
      </c>
      <c r="BW18" s="11">
        <f t="shared" si="35"/>
        <v>14.9</v>
      </c>
      <c r="BX18" s="11">
        <f t="shared" si="36"/>
        <v>15.905000000000001</v>
      </c>
      <c r="BY18" s="11">
        <f t="shared" si="37"/>
        <v>53.505000000000003</v>
      </c>
      <c r="BZ18" s="11">
        <f t="shared" si="38"/>
        <v>107.575</v>
      </c>
      <c r="CA18" s="22">
        <v>9</v>
      </c>
      <c r="CB18" s="22">
        <v>5.5</v>
      </c>
      <c r="CC18" s="22">
        <v>7.7</v>
      </c>
      <c r="CD18" s="22">
        <v>9.91</v>
      </c>
      <c r="CE18" s="22">
        <v>0</v>
      </c>
      <c r="CF18" s="22">
        <v>6.2</v>
      </c>
      <c r="CG18" s="22">
        <v>3.7</v>
      </c>
      <c r="CH18" s="22">
        <v>5.0999999999999996</v>
      </c>
      <c r="CI18" s="22">
        <v>6.75</v>
      </c>
      <c r="CJ18" s="22">
        <v>0</v>
      </c>
      <c r="CK18" s="22"/>
      <c r="CL18" s="22"/>
      <c r="CM18" s="22"/>
      <c r="CN18" s="22"/>
      <c r="CO18" s="22"/>
      <c r="CP18" s="27"/>
      <c r="CQ18" s="38">
        <f t="shared" si="39"/>
        <v>7.7</v>
      </c>
      <c r="CR18" s="38">
        <f t="shared" si="40"/>
        <v>9.91</v>
      </c>
      <c r="CS18" s="40">
        <f t="shared" si="41"/>
        <v>32.11</v>
      </c>
      <c r="CT18" s="40">
        <f t="shared" si="42"/>
        <v>5.0999999999999996</v>
      </c>
      <c r="CU18" s="40">
        <f t="shared" si="43"/>
        <v>6.75</v>
      </c>
      <c r="CV18" s="40">
        <f t="shared" si="44"/>
        <v>21.75</v>
      </c>
      <c r="CW18" s="40">
        <f t="shared" si="45"/>
        <v>32.11</v>
      </c>
      <c r="CX18" s="40" t="str">
        <f t="shared" si="46"/>
        <v/>
      </c>
      <c r="CY18" s="40" t="str">
        <f t="shared" si="47"/>
        <v/>
      </c>
      <c r="CZ18" s="40" t="str">
        <f t="shared" si="48"/>
        <v/>
      </c>
      <c r="DA18" s="40">
        <f t="shared" si="49"/>
        <v>32.11</v>
      </c>
      <c r="DB18" s="51" t="str">
        <f t="shared" si="50"/>
        <v/>
      </c>
      <c r="DC18" s="51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40" t="str">
        <f t="shared" si="64"/>
        <v/>
      </c>
      <c r="EK18" s="40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40" t="str">
        <f t="shared" si="92"/>
        <v/>
      </c>
      <c r="HA18" s="40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40" t="str">
        <f t="shared" si="120"/>
        <v/>
      </c>
      <c r="JQ18" s="40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40" t="str">
        <f t="shared" si="148"/>
        <v/>
      </c>
      <c r="MG18" s="40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40" t="str">
        <f t="shared" si="176"/>
        <v/>
      </c>
      <c r="OW18" s="40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40" t="str">
        <f t="shared" si="204"/>
        <v/>
      </c>
      <c r="RM18" s="40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 t="shared" si="220"/>
        <v/>
      </c>
      <c r="TQ18" s="40" t="str">
        <f t="shared" si="221"/>
        <v/>
      </c>
      <c r="TR18" s="40" t="str">
        <f t="shared" si="222"/>
        <v/>
      </c>
      <c r="TS18" s="40" t="str">
        <f t="shared" si="223"/>
        <v/>
      </c>
      <c r="TT18" s="40" t="str">
        <f t="shared" si="224"/>
        <v/>
      </c>
      <c r="TU18" s="40" t="str">
        <f t="shared" si="225"/>
        <v/>
      </c>
      <c r="TV18" s="40" t="str">
        <f t="shared" si="226"/>
        <v/>
      </c>
      <c r="TW18" s="40" t="str">
        <f t="shared" si="227"/>
        <v/>
      </c>
      <c r="TX18" s="40" t="str">
        <f t="shared" si="228"/>
        <v/>
      </c>
      <c r="TY18" s="40" t="str">
        <f t="shared" si="229"/>
        <v/>
      </c>
      <c r="TZ18" s="40" t="str">
        <f t="shared" si="230"/>
        <v/>
      </c>
      <c r="UA18" s="40" t="str">
        <f t="shared" si="231"/>
        <v/>
      </c>
      <c r="UB18" s="40" t="str">
        <f t="shared" si="232"/>
        <v/>
      </c>
      <c r="UC18" s="40" t="str">
        <f t="shared" si="233"/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 t="shared" si="234"/>
        <v/>
      </c>
      <c r="UY18" s="11" t="str">
        <f t="shared" si="235"/>
        <v/>
      </c>
      <c r="UZ18" s="11" t="str">
        <f t="shared" si="236"/>
        <v/>
      </c>
      <c r="VA18" s="11" t="str">
        <f t="shared" si="237"/>
        <v/>
      </c>
      <c r="VB18" s="11" t="str">
        <f t="shared" si="238"/>
        <v/>
      </c>
      <c r="VC18" s="11" t="str">
        <f t="shared" si="239"/>
        <v/>
      </c>
      <c r="VD18" s="11" t="str">
        <f t="shared" si="240"/>
        <v/>
      </c>
      <c r="VE18" s="11" t="str">
        <f t="shared" si="241"/>
        <v/>
      </c>
      <c r="VF18" s="11" t="str">
        <f t="shared" si="242"/>
        <v/>
      </c>
      <c r="VG18" s="11" t="str">
        <f t="shared" si="243"/>
        <v/>
      </c>
      <c r="VH18" s="11" t="str">
        <f t="shared" si="244"/>
        <v/>
      </c>
      <c r="VI18" s="11" t="str">
        <f t="shared" si="245"/>
        <v/>
      </c>
      <c r="VJ18" s="11" t="str">
        <f t="shared" si="246"/>
        <v/>
      </c>
      <c r="VK18" s="11" t="str">
        <f t="shared" si="247"/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 t="shared" si="248"/>
        <v/>
      </c>
      <c r="WG18" s="40" t="str">
        <f t="shared" si="249"/>
        <v/>
      </c>
      <c r="WH18" s="40" t="str">
        <f t="shared" si="250"/>
        <v/>
      </c>
      <c r="WI18" s="40" t="str">
        <f t="shared" si="251"/>
        <v/>
      </c>
      <c r="WJ18" s="40" t="str">
        <f t="shared" si="252"/>
        <v/>
      </c>
      <c r="WK18" s="40" t="str">
        <f t="shared" si="253"/>
        <v/>
      </c>
      <c r="WL18" s="40" t="str">
        <f t="shared" si="254"/>
        <v/>
      </c>
      <c r="WM18" s="40" t="str">
        <f t="shared" si="255"/>
        <v/>
      </c>
      <c r="WN18" s="40" t="str">
        <f t="shared" si="256"/>
        <v/>
      </c>
      <c r="WO18" s="40" t="str">
        <f t="shared" si="257"/>
        <v/>
      </c>
      <c r="WP18" s="40" t="str">
        <f t="shared" si="258"/>
        <v/>
      </c>
      <c r="WQ18" s="40" t="str">
        <f t="shared" si="259"/>
        <v/>
      </c>
      <c r="WR18" s="40" t="str">
        <f t="shared" si="260"/>
        <v/>
      </c>
      <c r="WS18" s="40" t="str">
        <f t="shared" si="261"/>
        <v/>
      </c>
      <c r="WT18" s="26">
        <f t="shared" si="262"/>
        <v>7.6</v>
      </c>
      <c r="WU18" s="26">
        <f t="shared" si="263"/>
        <v>4.5750000000000002</v>
      </c>
      <c r="WV18" s="26">
        <f t="shared" si="264"/>
        <v>7</v>
      </c>
      <c r="WW18" s="26">
        <f t="shared" si="265"/>
        <v>8.3550000000000004</v>
      </c>
      <c r="WX18" s="26">
        <f t="shared" si="266"/>
        <v>0</v>
      </c>
      <c r="WY18" s="26">
        <f t="shared" si="267"/>
        <v>10.5</v>
      </c>
      <c r="WZ18" s="26">
        <f t="shared" si="268"/>
        <v>6.4</v>
      </c>
      <c r="XA18" s="26">
        <f t="shared" si="269"/>
        <v>9.6499999999999986</v>
      </c>
      <c r="XB18" s="26">
        <f t="shared" si="270"/>
        <v>11.36</v>
      </c>
      <c r="XC18" s="26">
        <f t="shared" si="271"/>
        <v>0</v>
      </c>
      <c r="XD18" s="26">
        <f t="shared" si="272"/>
        <v>6.8</v>
      </c>
      <c r="XE18" s="26">
        <f t="shared" si="273"/>
        <v>4.5500000000000007</v>
      </c>
      <c r="XF18" s="26">
        <f t="shared" si="274"/>
        <v>7.45</v>
      </c>
      <c r="XG18" s="26">
        <f t="shared" si="275"/>
        <v>7.9525000000000006</v>
      </c>
      <c r="XH18" s="26">
        <f t="shared" si="276"/>
        <v>0</v>
      </c>
      <c r="XI18" s="28" t="s">
        <v>53</v>
      </c>
      <c r="XJ18" s="11">
        <f t="shared" si="277"/>
        <v>7</v>
      </c>
      <c r="XK18" s="11">
        <f t="shared" si="278"/>
        <v>8.3550000000000004</v>
      </c>
      <c r="XL18" s="11">
        <f t="shared" si="279"/>
        <v>27.53</v>
      </c>
      <c r="XM18" s="11">
        <f t="shared" si="280"/>
        <v>9.6499999999999986</v>
      </c>
      <c r="XN18" s="11">
        <f t="shared" si="281"/>
        <v>11.36</v>
      </c>
      <c r="XO18" s="11">
        <f t="shared" si="282"/>
        <v>37.909999999999997</v>
      </c>
      <c r="XP18" s="11">
        <f t="shared" si="283"/>
        <v>37.909999999999997</v>
      </c>
      <c r="XQ18" s="11">
        <f t="shared" si="284"/>
        <v>7.45</v>
      </c>
      <c r="XR18" s="11">
        <f t="shared" si="285"/>
        <v>7.9525000000000006</v>
      </c>
      <c r="XS18" s="11">
        <f t="shared" si="286"/>
        <v>26.752500000000001</v>
      </c>
      <c r="XT18" s="11">
        <f t="shared" si="287"/>
        <v>64.662499999999994</v>
      </c>
    </row>
    <row r="19" spans="1:644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251</v>
      </c>
      <c r="C19" s="4" t="s">
        <v>5</v>
      </c>
      <c r="D19" s="4">
        <v>2007</v>
      </c>
      <c r="E19" s="9">
        <f t="shared" si="0"/>
        <v>202.83002028300518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52.320000000000007</v>
      </c>
      <c r="K19" s="8" t="str">
        <f t="shared" si="5"/>
        <v>2024 3rd Domestic Trial</v>
      </c>
      <c r="L19" s="8">
        <f>IF(COUNT(AQ19,AT19,BR19,BU19,CS19,CV19)&gt;1,LARGE((AQ19,AT19,BR19,BU19,CS19,CV19),2),0)</f>
        <v>49.62</v>
      </c>
      <c r="M19" s="8" t="str">
        <f t="shared" si="6"/>
        <v>2024 Nationals</v>
      </c>
      <c r="N19" s="8">
        <f>IF(COUNT(AQ19,AT19,BR19,BU19,CS19,CV19)&gt;2,LARGE((AQ19,AT19,BR19,BU19,CS19,CV19),3),0)</f>
        <v>43.959999999999994</v>
      </c>
      <c r="O19" s="8" t="str">
        <f t="shared" si="7"/>
        <v>2024 3rd Domestic Trial</v>
      </c>
      <c r="P19" s="8">
        <f t="shared" si="8"/>
        <v>44.23</v>
      </c>
      <c r="Q19" s="8" t="str">
        <f t="shared" si="9"/>
        <v>2024 3rd Domestic Trial</v>
      </c>
      <c r="R19" s="8">
        <f t="shared" si="10"/>
        <v>12.7</v>
      </c>
      <c r="S19" s="8" t="str">
        <f t="shared" si="11"/>
        <v>2024 3rd Domestic Trial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2">
        <v>13.7</v>
      </c>
      <c r="Z19" s="22">
        <v>9.6</v>
      </c>
      <c r="AA19" s="22">
        <v>12.2</v>
      </c>
      <c r="AB19" s="22">
        <v>14.12</v>
      </c>
      <c r="AC19" s="22">
        <v>0</v>
      </c>
      <c r="AD19" s="22">
        <v>10.8</v>
      </c>
      <c r="AE19" s="22">
        <v>7.1</v>
      </c>
      <c r="AF19" s="22">
        <v>9.6999999999999993</v>
      </c>
      <c r="AG19" s="22">
        <v>12.45</v>
      </c>
      <c r="AH19" s="22">
        <v>0.2</v>
      </c>
      <c r="AI19" s="22">
        <v>2.6</v>
      </c>
      <c r="AJ19" s="22">
        <v>1.5</v>
      </c>
      <c r="AK19" s="22">
        <v>3.2</v>
      </c>
      <c r="AL19" s="22">
        <v>3</v>
      </c>
      <c r="AM19" s="22">
        <v>0</v>
      </c>
      <c r="AN19" s="27"/>
      <c r="AO19" s="38">
        <f t="shared" si="17"/>
        <v>12.2</v>
      </c>
      <c r="AP19" s="38">
        <f t="shared" si="18"/>
        <v>14.12</v>
      </c>
      <c r="AQ19" s="40">
        <f t="shared" si="19"/>
        <v>49.62</v>
      </c>
      <c r="AR19" s="40">
        <f t="shared" si="20"/>
        <v>9.6999999999999993</v>
      </c>
      <c r="AS19" s="40">
        <f t="shared" si="21"/>
        <v>12.45</v>
      </c>
      <c r="AT19" s="40">
        <f t="shared" si="22"/>
        <v>39.849999999999994</v>
      </c>
      <c r="AU19" s="40">
        <f t="shared" si="23"/>
        <v>49.62</v>
      </c>
      <c r="AV19" s="40">
        <f t="shared" si="24"/>
        <v>3.2</v>
      </c>
      <c r="AW19" s="40">
        <f t="shared" si="25"/>
        <v>3</v>
      </c>
      <c r="AX19" s="40">
        <f t="shared" si="26"/>
        <v>10.3</v>
      </c>
      <c r="AY19" s="40">
        <f t="shared" si="27"/>
        <v>59.92</v>
      </c>
      <c r="AZ19" s="26">
        <v>12.1</v>
      </c>
      <c r="BA19" s="26">
        <v>7.8</v>
      </c>
      <c r="BB19" s="26">
        <v>10.199999999999999</v>
      </c>
      <c r="BC19" s="26">
        <v>13.86</v>
      </c>
      <c r="BD19" s="26">
        <v>0</v>
      </c>
      <c r="BE19" s="26">
        <v>14.9</v>
      </c>
      <c r="BF19" s="26">
        <v>8.8000000000000007</v>
      </c>
      <c r="BG19" s="26">
        <v>12.7</v>
      </c>
      <c r="BH19" s="26">
        <v>15.92</v>
      </c>
      <c r="BI19" s="26">
        <v>0</v>
      </c>
      <c r="BJ19" s="26">
        <v>12.5</v>
      </c>
      <c r="BK19" s="26">
        <v>7.4</v>
      </c>
      <c r="BL19" s="26">
        <v>11.3</v>
      </c>
      <c r="BM19" s="26">
        <v>13.03</v>
      </c>
      <c r="BN19" s="26">
        <v>0</v>
      </c>
      <c r="BO19" s="28"/>
      <c r="BP19" s="39">
        <f t="shared" si="28"/>
        <v>10.199999999999999</v>
      </c>
      <c r="BQ19" s="39">
        <f t="shared" si="29"/>
        <v>13.86</v>
      </c>
      <c r="BR19" s="11">
        <f t="shared" si="30"/>
        <v>43.959999999999994</v>
      </c>
      <c r="BS19" s="11">
        <f t="shared" si="31"/>
        <v>12.7</v>
      </c>
      <c r="BT19" s="11">
        <f t="shared" si="32"/>
        <v>15.92</v>
      </c>
      <c r="BU19" s="11">
        <f t="shared" si="33"/>
        <v>52.320000000000007</v>
      </c>
      <c r="BV19" s="11">
        <f t="shared" si="34"/>
        <v>52.320000000000007</v>
      </c>
      <c r="BW19" s="11">
        <f t="shared" si="35"/>
        <v>11.3</v>
      </c>
      <c r="BX19" s="11">
        <f t="shared" si="36"/>
        <v>13.03</v>
      </c>
      <c r="BY19" s="11">
        <f t="shared" si="37"/>
        <v>44.23</v>
      </c>
      <c r="BZ19" s="11">
        <f t="shared" si="38"/>
        <v>96.550000000000011</v>
      </c>
      <c r="CA19" s="22">
        <v>11.3</v>
      </c>
      <c r="CB19" s="22">
        <v>7.7</v>
      </c>
      <c r="CC19" s="22">
        <v>11.7</v>
      </c>
      <c r="CD19" s="22">
        <v>12.46</v>
      </c>
      <c r="CE19" s="22">
        <v>0</v>
      </c>
      <c r="CF19" s="22">
        <v>2.8</v>
      </c>
      <c r="CG19" s="22">
        <v>1.7</v>
      </c>
      <c r="CH19" s="22">
        <v>3.3</v>
      </c>
      <c r="CI19" s="22">
        <v>3.3</v>
      </c>
      <c r="CJ19" s="22">
        <v>0</v>
      </c>
      <c r="CK19" s="22"/>
      <c r="CL19" s="22"/>
      <c r="CM19" s="22"/>
      <c r="CN19" s="22"/>
      <c r="CO19" s="22"/>
      <c r="CP19" s="27"/>
      <c r="CQ19" s="38">
        <f t="shared" si="39"/>
        <v>11.7</v>
      </c>
      <c r="CR19" s="38">
        <f t="shared" si="40"/>
        <v>12.46</v>
      </c>
      <c r="CS19" s="40">
        <f t="shared" si="41"/>
        <v>43.16</v>
      </c>
      <c r="CT19" s="40">
        <f t="shared" si="42"/>
        <v>3.3</v>
      </c>
      <c r="CU19" s="40">
        <f t="shared" si="43"/>
        <v>3.3</v>
      </c>
      <c r="CV19" s="40">
        <f t="shared" si="44"/>
        <v>11.1</v>
      </c>
      <c r="CW19" s="40">
        <f t="shared" si="45"/>
        <v>43.16</v>
      </c>
      <c r="CX19" s="40" t="str">
        <f t="shared" si="46"/>
        <v/>
      </c>
      <c r="CY19" s="40" t="str">
        <f t="shared" si="47"/>
        <v/>
      </c>
      <c r="CZ19" s="40" t="str">
        <f t="shared" si="48"/>
        <v/>
      </c>
      <c r="DA19" s="40">
        <f t="shared" si="49"/>
        <v>43.16</v>
      </c>
      <c r="DB19" s="51" t="str">
        <f t="shared" si="50"/>
        <v/>
      </c>
      <c r="DC19" s="51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40" t="str">
        <f t="shared" si="64"/>
        <v/>
      </c>
      <c r="EK19" s="40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40" t="str">
        <f t="shared" si="92"/>
        <v/>
      </c>
      <c r="HA19" s="40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40" t="str">
        <f t="shared" si="120"/>
        <v/>
      </c>
      <c r="JQ19" s="40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40" t="str">
        <f t="shared" si="148"/>
        <v/>
      </c>
      <c r="MG19" s="40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40" t="str">
        <f t="shared" si="176"/>
        <v/>
      </c>
      <c r="OW19" s="40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40" t="str">
        <f t="shared" si="204"/>
        <v/>
      </c>
      <c r="RM19" s="40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 t="shared" si="220"/>
        <v/>
      </c>
      <c r="TQ19" s="40" t="str">
        <f t="shared" si="221"/>
        <v/>
      </c>
      <c r="TR19" s="40" t="str">
        <f t="shared" si="222"/>
        <v/>
      </c>
      <c r="TS19" s="40" t="str">
        <f t="shared" si="223"/>
        <v/>
      </c>
      <c r="TT19" s="40" t="str">
        <f t="shared" si="224"/>
        <v/>
      </c>
      <c r="TU19" s="40" t="str">
        <f t="shared" si="225"/>
        <v/>
      </c>
      <c r="TV19" s="40" t="str">
        <f t="shared" si="226"/>
        <v/>
      </c>
      <c r="TW19" s="40" t="str">
        <f t="shared" si="227"/>
        <v/>
      </c>
      <c r="TX19" s="40" t="str">
        <f t="shared" si="228"/>
        <v/>
      </c>
      <c r="TY19" s="40" t="str">
        <f t="shared" si="229"/>
        <v/>
      </c>
      <c r="TZ19" s="40" t="str">
        <f t="shared" si="230"/>
        <v/>
      </c>
      <c r="UA19" s="40" t="str">
        <f t="shared" si="231"/>
        <v/>
      </c>
      <c r="UB19" s="40" t="str">
        <f t="shared" si="232"/>
        <v/>
      </c>
      <c r="UC19" s="40" t="str">
        <f t="shared" si="233"/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 t="shared" si="234"/>
        <v/>
      </c>
      <c r="UY19" s="11" t="str">
        <f t="shared" si="235"/>
        <v/>
      </c>
      <c r="UZ19" s="11" t="str">
        <f t="shared" si="236"/>
        <v/>
      </c>
      <c r="VA19" s="11" t="str">
        <f t="shared" si="237"/>
        <v/>
      </c>
      <c r="VB19" s="11" t="str">
        <f t="shared" si="238"/>
        <v/>
      </c>
      <c r="VC19" s="11" t="str">
        <f t="shared" si="239"/>
        <v/>
      </c>
      <c r="VD19" s="11" t="str">
        <f t="shared" si="240"/>
        <v/>
      </c>
      <c r="VE19" s="11" t="str">
        <f t="shared" si="241"/>
        <v/>
      </c>
      <c r="VF19" s="11" t="str">
        <f t="shared" si="242"/>
        <v/>
      </c>
      <c r="VG19" s="11" t="str">
        <f t="shared" si="243"/>
        <v/>
      </c>
      <c r="VH19" s="11" t="str">
        <f t="shared" si="244"/>
        <v/>
      </c>
      <c r="VI19" s="11" t="str">
        <f t="shared" si="245"/>
        <v/>
      </c>
      <c r="VJ19" s="11" t="str">
        <f t="shared" si="246"/>
        <v/>
      </c>
      <c r="VK19" s="11" t="str">
        <f t="shared" si="247"/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 t="shared" si="248"/>
        <v/>
      </c>
      <c r="WG19" s="40" t="str">
        <f t="shared" si="249"/>
        <v/>
      </c>
      <c r="WH19" s="40" t="str">
        <f t="shared" si="250"/>
        <v/>
      </c>
      <c r="WI19" s="40" t="str">
        <f t="shared" si="251"/>
        <v/>
      </c>
      <c r="WJ19" s="40" t="str">
        <f t="shared" si="252"/>
        <v/>
      </c>
      <c r="WK19" s="40" t="str">
        <f t="shared" si="253"/>
        <v/>
      </c>
      <c r="WL19" s="40" t="str">
        <f t="shared" si="254"/>
        <v/>
      </c>
      <c r="WM19" s="40" t="str">
        <f t="shared" si="255"/>
        <v/>
      </c>
      <c r="WN19" s="40" t="str">
        <f t="shared" si="256"/>
        <v/>
      </c>
      <c r="WO19" s="40" t="str">
        <f t="shared" si="257"/>
        <v/>
      </c>
      <c r="WP19" s="40" t="str">
        <f t="shared" si="258"/>
        <v/>
      </c>
      <c r="WQ19" s="40" t="str">
        <f t="shared" si="259"/>
        <v/>
      </c>
      <c r="WR19" s="40" t="str">
        <f t="shared" si="260"/>
        <v/>
      </c>
      <c r="WS19" s="40" t="str">
        <f t="shared" si="261"/>
        <v/>
      </c>
      <c r="WT19" s="26">
        <f t="shared" si="262"/>
        <v>11.7</v>
      </c>
      <c r="WU19" s="26">
        <f t="shared" si="263"/>
        <v>7.75</v>
      </c>
      <c r="WV19" s="26">
        <f t="shared" si="264"/>
        <v>10.95</v>
      </c>
      <c r="WW19" s="26">
        <f t="shared" si="265"/>
        <v>13.16</v>
      </c>
      <c r="WX19" s="26">
        <f t="shared" si="266"/>
        <v>0</v>
      </c>
      <c r="WY19" s="26">
        <f t="shared" si="267"/>
        <v>8.85</v>
      </c>
      <c r="WZ19" s="26">
        <f t="shared" si="268"/>
        <v>5.25</v>
      </c>
      <c r="XA19" s="26">
        <f t="shared" si="269"/>
        <v>8</v>
      </c>
      <c r="XB19" s="26">
        <f t="shared" si="270"/>
        <v>9.61</v>
      </c>
      <c r="XC19" s="26">
        <f t="shared" si="271"/>
        <v>0</v>
      </c>
      <c r="XD19" s="26">
        <f t="shared" si="272"/>
        <v>6.25</v>
      </c>
      <c r="XE19" s="26">
        <f t="shared" si="273"/>
        <v>3.7</v>
      </c>
      <c r="XF19" s="26">
        <f t="shared" si="274"/>
        <v>5.65</v>
      </c>
      <c r="XG19" s="26">
        <f t="shared" si="275"/>
        <v>6.5149999999999997</v>
      </c>
      <c r="XH19" s="26">
        <f t="shared" si="276"/>
        <v>0</v>
      </c>
      <c r="XI19" s="28" t="s">
        <v>53</v>
      </c>
      <c r="XJ19" s="11">
        <f t="shared" si="277"/>
        <v>10.95</v>
      </c>
      <c r="XK19" s="11">
        <f t="shared" si="278"/>
        <v>13.16</v>
      </c>
      <c r="XL19" s="11">
        <f t="shared" si="279"/>
        <v>43.56</v>
      </c>
      <c r="XM19" s="11">
        <f t="shared" si="280"/>
        <v>8</v>
      </c>
      <c r="XN19" s="11">
        <f t="shared" si="281"/>
        <v>9.61</v>
      </c>
      <c r="XO19" s="11">
        <f t="shared" si="282"/>
        <v>31.71</v>
      </c>
      <c r="XP19" s="11">
        <f t="shared" si="283"/>
        <v>43.56</v>
      </c>
      <c r="XQ19" s="11">
        <f t="shared" si="284"/>
        <v>5.65</v>
      </c>
      <c r="XR19" s="11">
        <f t="shared" si="285"/>
        <v>6.5149999999999997</v>
      </c>
      <c r="XS19" s="11">
        <f t="shared" si="286"/>
        <v>22.114999999999998</v>
      </c>
      <c r="XT19" s="11">
        <f t="shared" si="287"/>
        <v>65.674999999999997</v>
      </c>
    </row>
    <row r="20" spans="1:644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187</v>
      </c>
      <c r="C20" s="4" t="s">
        <v>3</v>
      </c>
      <c r="D20" s="4">
        <v>2002</v>
      </c>
      <c r="E20" s="9">
        <f t="shared" si="0"/>
        <v>201.22002012200531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53.129999999999995</v>
      </c>
      <c r="K20" s="8" t="str">
        <f t="shared" si="5"/>
        <v>2024 3rd Domestic Trial</v>
      </c>
      <c r="L20" s="8">
        <f>IF(COUNT(AQ20,AT20,BR20,BU20,CS20,CV20)&gt;1,LARGE((AQ20,AT20,BR20,BU20,CS20,CV20),2),0)</f>
        <v>45.010000000000005</v>
      </c>
      <c r="M20" s="8" t="str">
        <f t="shared" si="6"/>
        <v>2025 Elite Canada</v>
      </c>
      <c r="N20" s="8">
        <f>IF(COUNT(AQ20,AT20,BR20,BU20,CS20,CV20)&gt;2,LARGE((AQ20,AT20,BR20,BU20,CS20,CV20),3),0)</f>
        <v>37.1</v>
      </c>
      <c r="O20" s="8" t="str">
        <f t="shared" si="7"/>
        <v>2024 3rd Domestic Trial</v>
      </c>
      <c r="P20" s="8">
        <f t="shared" si="8"/>
        <v>51.98</v>
      </c>
      <c r="Q20" s="8" t="str">
        <f t="shared" si="9"/>
        <v>2024 3rd Domestic Trial</v>
      </c>
      <c r="R20" s="8">
        <f t="shared" si="10"/>
        <v>14</v>
      </c>
      <c r="S20" s="8" t="str">
        <f t="shared" si="11"/>
        <v>2024 3rd Domestic Trial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2">
        <v>2.6</v>
      </c>
      <c r="Z20" s="22">
        <v>1.7</v>
      </c>
      <c r="AA20" s="22">
        <v>3</v>
      </c>
      <c r="AB20" s="22">
        <v>3.02</v>
      </c>
      <c r="AC20" s="22">
        <v>0</v>
      </c>
      <c r="AD20" s="22">
        <v>7.8</v>
      </c>
      <c r="AE20" s="22">
        <v>5.5</v>
      </c>
      <c r="AF20" s="22">
        <v>7.9</v>
      </c>
      <c r="AG20" s="22">
        <v>8.6199999999999992</v>
      </c>
      <c r="AH20" s="22">
        <v>0</v>
      </c>
      <c r="AI20" s="22"/>
      <c r="AJ20" s="22"/>
      <c r="AK20" s="22"/>
      <c r="AL20" s="22"/>
      <c r="AM20" s="22"/>
      <c r="AN20" s="27"/>
      <c r="AO20" s="38">
        <f t="shared" si="17"/>
        <v>3</v>
      </c>
      <c r="AP20" s="38">
        <f t="shared" si="18"/>
        <v>3.02</v>
      </c>
      <c r="AQ20" s="40">
        <f t="shared" si="19"/>
        <v>10.32</v>
      </c>
      <c r="AR20" s="40">
        <f t="shared" si="20"/>
        <v>7.9</v>
      </c>
      <c r="AS20" s="40">
        <f t="shared" si="21"/>
        <v>8.6199999999999992</v>
      </c>
      <c r="AT20" s="40">
        <f t="shared" si="22"/>
        <v>29.82</v>
      </c>
      <c r="AU20" s="40">
        <f t="shared" si="23"/>
        <v>29.82</v>
      </c>
      <c r="AV20" s="40" t="str">
        <f t="shared" si="24"/>
        <v/>
      </c>
      <c r="AW20" s="40" t="str">
        <f t="shared" si="25"/>
        <v/>
      </c>
      <c r="AX20" s="40" t="str">
        <f t="shared" si="26"/>
        <v/>
      </c>
      <c r="AY20" s="40">
        <f t="shared" si="27"/>
        <v>29.82</v>
      </c>
      <c r="AZ20" s="26">
        <v>14.6</v>
      </c>
      <c r="BA20" s="26">
        <v>9.1999999999999993</v>
      </c>
      <c r="BB20" s="26">
        <v>14</v>
      </c>
      <c r="BC20" s="26">
        <v>15.33</v>
      </c>
      <c r="BD20" s="26">
        <v>0</v>
      </c>
      <c r="BE20" s="26">
        <v>10.5</v>
      </c>
      <c r="BF20" s="26">
        <v>8.6999999999999993</v>
      </c>
      <c r="BG20" s="26">
        <v>8.5</v>
      </c>
      <c r="BH20" s="26">
        <v>14.4</v>
      </c>
      <c r="BI20" s="26">
        <v>5</v>
      </c>
      <c r="BJ20" s="26">
        <v>13.8</v>
      </c>
      <c r="BK20" s="26">
        <v>9.1999999999999993</v>
      </c>
      <c r="BL20" s="26">
        <v>13.8</v>
      </c>
      <c r="BM20" s="26">
        <v>15.18</v>
      </c>
      <c r="BN20" s="26">
        <v>0</v>
      </c>
      <c r="BO20" s="28"/>
      <c r="BP20" s="39">
        <f t="shared" si="28"/>
        <v>14</v>
      </c>
      <c r="BQ20" s="39">
        <f t="shared" si="29"/>
        <v>15.33</v>
      </c>
      <c r="BR20" s="11">
        <f t="shared" si="30"/>
        <v>53.129999999999995</v>
      </c>
      <c r="BS20" s="11">
        <f t="shared" si="31"/>
        <v>8.5</v>
      </c>
      <c r="BT20" s="11">
        <f t="shared" si="32"/>
        <v>14.4</v>
      </c>
      <c r="BU20" s="11">
        <f t="shared" si="33"/>
        <v>37.1</v>
      </c>
      <c r="BV20" s="11">
        <f t="shared" si="34"/>
        <v>53.129999999999995</v>
      </c>
      <c r="BW20" s="11">
        <f t="shared" si="35"/>
        <v>13.8</v>
      </c>
      <c r="BX20" s="11">
        <f t="shared" si="36"/>
        <v>15.18</v>
      </c>
      <c r="BY20" s="11">
        <f t="shared" si="37"/>
        <v>51.98</v>
      </c>
      <c r="BZ20" s="11">
        <f t="shared" si="38"/>
        <v>105.10999999999999</v>
      </c>
      <c r="CA20" s="22">
        <v>9</v>
      </c>
      <c r="CB20" s="22">
        <v>6.3</v>
      </c>
      <c r="CC20" s="22">
        <v>5.5</v>
      </c>
      <c r="CD20" s="22">
        <v>9.69</v>
      </c>
      <c r="CE20" s="22">
        <v>0</v>
      </c>
      <c r="CF20" s="22">
        <v>9.6999999999999993</v>
      </c>
      <c r="CG20" s="22">
        <v>9.3000000000000007</v>
      </c>
      <c r="CH20" s="22">
        <v>13.2</v>
      </c>
      <c r="CI20" s="22">
        <v>14.11</v>
      </c>
      <c r="CJ20" s="22">
        <v>1.3</v>
      </c>
      <c r="CK20" s="22"/>
      <c r="CL20" s="22"/>
      <c r="CM20" s="22"/>
      <c r="CN20" s="22"/>
      <c r="CO20" s="22"/>
      <c r="CP20" s="27"/>
      <c r="CQ20" s="38">
        <f t="shared" si="39"/>
        <v>5.5</v>
      </c>
      <c r="CR20" s="38">
        <f t="shared" si="40"/>
        <v>9.69</v>
      </c>
      <c r="CS20" s="40">
        <f t="shared" si="41"/>
        <v>30.490000000000002</v>
      </c>
      <c r="CT20" s="40">
        <f t="shared" si="42"/>
        <v>13.2</v>
      </c>
      <c r="CU20" s="40">
        <f t="shared" si="43"/>
        <v>14.11</v>
      </c>
      <c r="CV20" s="40">
        <f t="shared" si="44"/>
        <v>45.010000000000005</v>
      </c>
      <c r="CW20" s="40">
        <f t="shared" si="45"/>
        <v>45.010000000000005</v>
      </c>
      <c r="CX20" s="40" t="str">
        <f t="shared" si="46"/>
        <v/>
      </c>
      <c r="CY20" s="40" t="str">
        <f t="shared" si="47"/>
        <v/>
      </c>
      <c r="CZ20" s="40" t="str">
        <f t="shared" si="48"/>
        <v/>
      </c>
      <c r="DA20" s="40">
        <f t="shared" si="49"/>
        <v>45.010000000000005</v>
      </c>
      <c r="DB20" s="51" t="str">
        <f t="shared" si="50"/>
        <v/>
      </c>
      <c r="DC20" s="51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40" t="str">
        <f t="shared" si="64"/>
        <v/>
      </c>
      <c r="EK20" s="40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40" t="str">
        <f t="shared" si="92"/>
        <v/>
      </c>
      <c r="HA20" s="40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40" t="str">
        <f t="shared" si="120"/>
        <v/>
      </c>
      <c r="JQ20" s="40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40" t="str">
        <f t="shared" si="148"/>
        <v/>
      </c>
      <c r="MG20" s="40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40" t="str">
        <f t="shared" si="176"/>
        <v/>
      </c>
      <c r="OW20" s="40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40" t="str">
        <f t="shared" si="204"/>
        <v/>
      </c>
      <c r="RM20" s="40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 t="shared" si="220"/>
        <v/>
      </c>
      <c r="TQ20" s="40" t="str">
        <f t="shared" si="221"/>
        <v/>
      </c>
      <c r="TR20" s="40" t="str">
        <f t="shared" si="222"/>
        <v/>
      </c>
      <c r="TS20" s="40" t="str">
        <f t="shared" si="223"/>
        <v/>
      </c>
      <c r="TT20" s="40" t="str">
        <f t="shared" si="224"/>
        <v/>
      </c>
      <c r="TU20" s="40" t="str">
        <f t="shared" si="225"/>
        <v/>
      </c>
      <c r="TV20" s="40" t="str">
        <f t="shared" si="226"/>
        <v/>
      </c>
      <c r="TW20" s="40" t="str">
        <f t="shared" si="227"/>
        <v/>
      </c>
      <c r="TX20" s="40" t="str">
        <f t="shared" si="228"/>
        <v/>
      </c>
      <c r="TY20" s="40" t="str">
        <f t="shared" si="229"/>
        <v/>
      </c>
      <c r="TZ20" s="40" t="str">
        <f t="shared" si="230"/>
        <v/>
      </c>
      <c r="UA20" s="40" t="str">
        <f t="shared" si="231"/>
        <v/>
      </c>
      <c r="UB20" s="40" t="str">
        <f t="shared" si="232"/>
        <v/>
      </c>
      <c r="UC20" s="40" t="str">
        <f t="shared" si="233"/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 t="shared" si="234"/>
        <v/>
      </c>
      <c r="UY20" s="11" t="str">
        <f t="shared" si="235"/>
        <v/>
      </c>
      <c r="UZ20" s="11" t="str">
        <f t="shared" si="236"/>
        <v/>
      </c>
      <c r="VA20" s="11" t="str">
        <f t="shared" si="237"/>
        <v/>
      </c>
      <c r="VB20" s="11" t="str">
        <f t="shared" si="238"/>
        <v/>
      </c>
      <c r="VC20" s="11" t="str">
        <f t="shared" si="239"/>
        <v/>
      </c>
      <c r="VD20" s="11" t="str">
        <f t="shared" si="240"/>
        <v/>
      </c>
      <c r="VE20" s="11" t="str">
        <f t="shared" si="241"/>
        <v/>
      </c>
      <c r="VF20" s="11" t="str">
        <f t="shared" si="242"/>
        <v/>
      </c>
      <c r="VG20" s="11" t="str">
        <f t="shared" si="243"/>
        <v/>
      </c>
      <c r="VH20" s="11" t="str">
        <f t="shared" si="244"/>
        <v/>
      </c>
      <c r="VI20" s="11" t="str">
        <f t="shared" si="245"/>
        <v/>
      </c>
      <c r="VJ20" s="11" t="str">
        <f t="shared" si="246"/>
        <v/>
      </c>
      <c r="VK20" s="11" t="str">
        <f t="shared" si="247"/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 t="shared" si="248"/>
        <v/>
      </c>
      <c r="WG20" s="40" t="str">
        <f t="shared" si="249"/>
        <v/>
      </c>
      <c r="WH20" s="40" t="str">
        <f t="shared" si="250"/>
        <v/>
      </c>
      <c r="WI20" s="40" t="str">
        <f t="shared" si="251"/>
        <v/>
      </c>
      <c r="WJ20" s="40" t="str">
        <f t="shared" si="252"/>
        <v/>
      </c>
      <c r="WK20" s="40" t="str">
        <f t="shared" si="253"/>
        <v/>
      </c>
      <c r="WL20" s="40" t="str">
        <f t="shared" si="254"/>
        <v/>
      </c>
      <c r="WM20" s="40" t="str">
        <f t="shared" si="255"/>
        <v/>
      </c>
      <c r="WN20" s="40" t="str">
        <f t="shared" si="256"/>
        <v/>
      </c>
      <c r="WO20" s="40" t="str">
        <f t="shared" si="257"/>
        <v/>
      </c>
      <c r="WP20" s="40" t="str">
        <f t="shared" si="258"/>
        <v/>
      </c>
      <c r="WQ20" s="40" t="str">
        <f t="shared" si="259"/>
        <v/>
      </c>
      <c r="WR20" s="40" t="str">
        <f t="shared" si="260"/>
        <v/>
      </c>
      <c r="WS20" s="40" t="str">
        <f t="shared" si="261"/>
        <v/>
      </c>
      <c r="WT20" s="26">
        <f t="shared" si="262"/>
        <v>11.8</v>
      </c>
      <c r="WU20" s="26">
        <f t="shared" si="263"/>
        <v>7.75</v>
      </c>
      <c r="WV20" s="26">
        <f t="shared" si="264"/>
        <v>9.75</v>
      </c>
      <c r="WW20" s="26">
        <f t="shared" si="265"/>
        <v>12.51</v>
      </c>
      <c r="WX20" s="26">
        <f t="shared" si="266"/>
        <v>0</v>
      </c>
      <c r="WY20" s="26">
        <f t="shared" si="267"/>
        <v>10.1</v>
      </c>
      <c r="WZ20" s="26">
        <f t="shared" si="268"/>
        <v>9</v>
      </c>
      <c r="XA20" s="26">
        <f t="shared" si="269"/>
        <v>10.85</v>
      </c>
      <c r="XB20" s="26">
        <f t="shared" si="270"/>
        <v>14.254999999999999</v>
      </c>
      <c r="XC20" s="26">
        <f t="shared" si="271"/>
        <v>3.15</v>
      </c>
      <c r="XD20" s="26">
        <f t="shared" si="272"/>
        <v>6.9</v>
      </c>
      <c r="XE20" s="26">
        <f t="shared" si="273"/>
        <v>4.5999999999999996</v>
      </c>
      <c r="XF20" s="26">
        <f t="shared" si="274"/>
        <v>6.9</v>
      </c>
      <c r="XG20" s="26">
        <f t="shared" si="275"/>
        <v>7.59</v>
      </c>
      <c r="XH20" s="26">
        <f t="shared" si="276"/>
        <v>0</v>
      </c>
      <c r="XI20" s="28" t="s">
        <v>53</v>
      </c>
      <c r="XJ20" s="11">
        <f t="shared" si="277"/>
        <v>9.75</v>
      </c>
      <c r="XK20" s="11">
        <f t="shared" si="278"/>
        <v>12.51</v>
      </c>
      <c r="XL20" s="11">
        <f t="shared" si="279"/>
        <v>41.81</v>
      </c>
      <c r="XM20" s="11">
        <f t="shared" si="280"/>
        <v>10.85</v>
      </c>
      <c r="XN20" s="11">
        <f t="shared" si="281"/>
        <v>14.254999999999999</v>
      </c>
      <c r="XO20" s="11">
        <f t="shared" si="282"/>
        <v>41.055</v>
      </c>
      <c r="XP20" s="11">
        <f t="shared" si="283"/>
        <v>41.81</v>
      </c>
      <c r="XQ20" s="11">
        <f t="shared" si="284"/>
        <v>6.9</v>
      </c>
      <c r="XR20" s="11">
        <f t="shared" si="285"/>
        <v>7.59</v>
      </c>
      <c r="XS20" s="11">
        <f t="shared" si="286"/>
        <v>25.99</v>
      </c>
      <c r="XT20" s="11">
        <f t="shared" si="287"/>
        <v>67.8</v>
      </c>
    </row>
    <row r="21" spans="1:644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82</v>
      </c>
      <c r="C21" s="4" t="s">
        <v>5</v>
      </c>
      <c r="D21" s="4">
        <v>2003</v>
      </c>
      <c r="E21" s="9">
        <f t="shared" si="0"/>
        <v>187.84001878400514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51.53</v>
      </c>
      <c r="K21" s="8" t="str">
        <f t="shared" si="5"/>
        <v>2025 Elite Canada</v>
      </c>
      <c r="L21" s="8">
        <f>IF(COUNT(AQ21,AT21,BR21,BU21,CS21,CV21)&gt;1,LARGE((AQ21,AT21,BR21,BU21,CS21,CV21),2),0)</f>
        <v>44.9</v>
      </c>
      <c r="M21" s="8" t="str">
        <f t="shared" si="6"/>
        <v>2024 Nationals</v>
      </c>
      <c r="N21" s="8">
        <f>IF(COUNT(AQ21,AT21,BR21,BU21,CS21,CV21)&gt;2,LARGE((AQ21,AT21,BR21,BU21,CS21,CV21),3),0)</f>
        <v>30.56</v>
      </c>
      <c r="O21" s="8" t="str">
        <f t="shared" si="7"/>
        <v>2024 Nationals</v>
      </c>
      <c r="P21" s="8">
        <f t="shared" si="8"/>
        <v>46.45</v>
      </c>
      <c r="Q21" s="8" t="str">
        <f t="shared" si="9"/>
        <v>2025 Elite Canada</v>
      </c>
      <c r="R21" s="8">
        <f t="shared" si="10"/>
        <v>14.4</v>
      </c>
      <c r="S21" s="8" t="str">
        <f t="shared" si="11"/>
        <v>2025 Elite Canada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2">
        <v>7.8</v>
      </c>
      <c r="Z21" s="22">
        <v>5.3</v>
      </c>
      <c r="AA21" s="22">
        <v>8.1</v>
      </c>
      <c r="AB21" s="22">
        <v>9.36</v>
      </c>
      <c r="AC21" s="22">
        <v>0</v>
      </c>
      <c r="AD21" s="22">
        <v>12.4</v>
      </c>
      <c r="AE21" s="22">
        <v>9</v>
      </c>
      <c r="AF21" s="22">
        <v>11.1</v>
      </c>
      <c r="AG21" s="22">
        <v>14.8</v>
      </c>
      <c r="AH21" s="22">
        <v>2.4</v>
      </c>
      <c r="AI21" s="22"/>
      <c r="AJ21" s="22"/>
      <c r="AK21" s="22"/>
      <c r="AL21" s="22"/>
      <c r="AM21" s="22"/>
      <c r="AN21" s="27"/>
      <c r="AO21" s="38">
        <f t="shared" si="17"/>
        <v>8.1</v>
      </c>
      <c r="AP21" s="38">
        <f t="shared" si="18"/>
        <v>9.36</v>
      </c>
      <c r="AQ21" s="40">
        <f t="shared" si="19"/>
        <v>30.56</v>
      </c>
      <c r="AR21" s="40">
        <f t="shared" si="20"/>
        <v>11.1</v>
      </c>
      <c r="AS21" s="40">
        <f t="shared" si="21"/>
        <v>14.8</v>
      </c>
      <c r="AT21" s="40">
        <f t="shared" si="22"/>
        <v>44.9</v>
      </c>
      <c r="AU21" s="40">
        <f t="shared" si="23"/>
        <v>44.9</v>
      </c>
      <c r="AV21" s="40" t="str">
        <f t="shared" si="24"/>
        <v/>
      </c>
      <c r="AW21" s="40" t="str">
        <f t="shared" si="25"/>
        <v/>
      </c>
      <c r="AX21" s="40" t="str">
        <f t="shared" si="26"/>
        <v/>
      </c>
      <c r="AY21" s="40">
        <f t="shared" si="27"/>
        <v>44.9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 t="shared" si="28"/>
        <v/>
      </c>
      <c r="BQ21" s="39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 t="str">
        <f t="shared" si="38"/>
        <v/>
      </c>
      <c r="CA21" s="22">
        <v>2.2999999999999998</v>
      </c>
      <c r="CB21" s="22">
        <v>1.7</v>
      </c>
      <c r="CC21" s="22">
        <v>3</v>
      </c>
      <c r="CD21" s="22">
        <v>3.29</v>
      </c>
      <c r="CE21" s="22">
        <v>0</v>
      </c>
      <c r="CF21" s="22">
        <v>13</v>
      </c>
      <c r="CG21" s="22">
        <v>9.3000000000000007</v>
      </c>
      <c r="CH21" s="22">
        <v>14.4</v>
      </c>
      <c r="CI21" s="22">
        <v>14.93</v>
      </c>
      <c r="CJ21" s="22">
        <v>0.1</v>
      </c>
      <c r="CK21" s="22">
        <v>11.6</v>
      </c>
      <c r="CL21" s="22">
        <v>9.5</v>
      </c>
      <c r="CM21" s="22">
        <v>12.5</v>
      </c>
      <c r="CN21" s="22">
        <v>14.85</v>
      </c>
      <c r="CO21" s="22">
        <v>2</v>
      </c>
      <c r="CP21" s="27"/>
      <c r="CQ21" s="38">
        <f t="shared" si="39"/>
        <v>3</v>
      </c>
      <c r="CR21" s="38">
        <f t="shared" si="40"/>
        <v>3.29</v>
      </c>
      <c r="CS21" s="40">
        <f t="shared" si="41"/>
        <v>10.29</v>
      </c>
      <c r="CT21" s="40">
        <f t="shared" si="42"/>
        <v>14.4</v>
      </c>
      <c r="CU21" s="40">
        <f t="shared" si="43"/>
        <v>14.93</v>
      </c>
      <c r="CV21" s="40">
        <f t="shared" si="44"/>
        <v>51.53</v>
      </c>
      <c r="CW21" s="40">
        <f t="shared" si="45"/>
        <v>51.53</v>
      </c>
      <c r="CX21" s="40">
        <f t="shared" si="46"/>
        <v>12.5</v>
      </c>
      <c r="CY21" s="40">
        <f t="shared" si="47"/>
        <v>14.85</v>
      </c>
      <c r="CZ21" s="40">
        <f t="shared" si="48"/>
        <v>46.45</v>
      </c>
      <c r="DA21" s="40">
        <f t="shared" si="49"/>
        <v>97.98</v>
      </c>
      <c r="DB21" s="51" t="str">
        <f t="shared" si="50"/>
        <v/>
      </c>
      <c r="DC21" s="51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40" t="str">
        <f t="shared" si="64"/>
        <v/>
      </c>
      <c r="EK21" s="40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40" t="str">
        <f t="shared" si="92"/>
        <v/>
      </c>
      <c r="HA21" s="40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40" t="str">
        <f t="shared" si="120"/>
        <v/>
      </c>
      <c r="JQ21" s="40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40" t="str">
        <f t="shared" si="148"/>
        <v/>
      </c>
      <c r="MG21" s="40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40" t="str">
        <f t="shared" si="176"/>
        <v/>
      </c>
      <c r="OW21" s="40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40" t="str">
        <f t="shared" si="204"/>
        <v/>
      </c>
      <c r="RM21" s="40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 t="shared" si="220"/>
        <v/>
      </c>
      <c r="TQ21" s="40" t="str">
        <f t="shared" si="221"/>
        <v/>
      </c>
      <c r="TR21" s="40" t="str">
        <f t="shared" si="222"/>
        <v/>
      </c>
      <c r="TS21" s="40" t="str">
        <f t="shared" si="223"/>
        <v/>
      </c>
      <c r="TT21" s="40" t="str">
        <f t="shared" si="224"/>
        <v/>
      </c>
      <c r="TU21" s="40" t="str">
        <f t="shared" si="225"/>
        <v/>
      </c>
      <c r="TV21" s="40" t="str">
        <f t="shared" si="226"/>
        <v/>
      </c>
      <c r="TW21" s="40" t="str">
        <f t="shared" si="227"/>
        <v/>
      </c>
      <c r="TX21" s="40" t="str">
        <f t="shared" si="228"/>
        <v/>
      </c>
      <c r="TY21" s="40" t="str">
        <f t="shared" si="229"/>
        <v/>
      </c>
      <c r="TZ21" s="40" t="str">
        <f t="shared" si="230"/>
        <v/>
      </c>
      <c r="UA21" s="40" t="str">
        <f t="shared" si="231"/>
        <v/>
      </c>
      <c r="UB21" s="40" t="str">
        <f t="shared" si="232"/>
        <v/>
      </c>
      <c r="UC21" s="40" t="str">
        <f t="shared" si="233"/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 t="shared" si="234"/>
        <v/>
      </c>
      <c r="UY21" s="11" t="str">
        <f t="shared" si="235"/>
        <v/>
      </c>
      <c r="UZ21" s="11" t="str">
        <f t="shared" si="236"/>
        <v/>
      </c>
      <c r="VA21" s="11" t="str">
        <f t="shared" si="237"/>
        <v/>
      </c>
      <c r="VB21" s="11" t="str">
        <f t="shared" si="238"/>
        <v/>
      </c>
      <c r="VC21" s="11" t="str">
        <f t="shared" si="239"/>
        <v/>
      </c>
      <c r="VD21" s="11" t="str">
        <f t="shared" si="240"/>
        <v/>
      </c>
      <c r="VE21" s="11" t="str">
        <f t="shared" si="241"/>
        <v/>
      </c>
      <c r="VF21" s="11" t="str">
        <f t="shared" si="242"/>
        <v/>
      </c>
      <c r="VG21" s="11" t="str">
        <f t="shared" si="243"/>
        <v/>
      </c>
      <c r="VH21" s="11" t="str">
        <f t="shared" si="244"/>
        <v/>
      </c>
      <c r="VI21" s="11" t="str">
        <f t="shared" si="245"/>
        <v/>
      </c>
      <c r="VJ21" s="11" t="str">
        <f t="shared" si="246"/>
        <v/>
      </c>
      <c r="VK21" s="11" t="str">
        <f t="shared" si="247"/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 t="shared" si="248"/>
        <v/>
      </c>
      <c r="WG21" s="40" t="str">
        <f t="shared" si="249"/>
        <v/>
      </c>
      <c r="WH21" s="40" t="str">
        <f t="shared" si="250"/>
        <v/>
      </c>
      <c r="WI21" s="40" t="str">
        <f t="shared" si="251"/>
        <v/>
      </c>
      <c r="WJ21" s="40" t="str">
        <f t="shared" si="252"/>
        <v/>
      </c>
      <c r="WK21" s="40" t="str">
        <f t="shared" si="253"/>
        <v/>
      </c>
      <c r="WL21" s="40" t="str">
        <f t="shared" si="254"/>
        <v/>
      </c>
      <c r="WM21" s="40" t="str">
        <f t="shared" si="255"/>
        <v/>
      </c>
      <c r="WN21" s="40" t="str">
        <f t="shared" si="256"/>
        <v/>
      </c>
      <c r="WO21" s="40" t="str">
        <f t="shared" si="257"/>
        <v/>
      </c>
      <c r="WP21" s="40" t="str">
        <f t="shared" si="258"/>
        <v/>
      </c>
      <c r="WQ21" s="40" t="str">
        <f t="shared" si="259"/>
        <v/>
      </c>
      <c r="WR21" s="40" t="str">
        <f t="shared" si="260"/>
        <v/>
      </c>
      <c r="WS21" s="40" t="str">
        <f t="shared" si="261"/>
        <v/>
      </c>
      <c r="WT21" s="26">
        <f t="shared" si="262"/>
        <v>1.1499999999999999</v>
      </c>
      <c r="WU21" s="26">
        <f t="shared" si="263"/>
        <v>0.85</v>
      </c>
      <c r="WV21" s="26">
        <f t="shared" si="264"/>
        <v>1.5</v>
      </c>
      <c r="WW21" s="26">
        <f t="shared" si="265"/>
        <v>1.645</v>
      </c>
      <c r="WX21" s="26">
        <f t="shared" si="266"/>
        <v>0</v>
      </c>
      <c r="WY21" s="26">
        <f t="shared" si="267"/>
        <v>6.5</v>
      </c>
      <c r="WZ21" s="26">
        <f t="shared" si="268"/>
        <v>4.6500000000000004</v>
      </c>
      <c r="XA21" s="26">
        <f t="shared" si="269"/>
        <v>7.2</v>
      </c>
      <c r="XB21" s="26">
        <f t="shared" si="270"/>
        <v>7.4649999999999999</v>
      </c>
      <c r="XC21" s="26">
        <f t="shared" si="271"/>
        <v>0.05</v>
      </c>
      <c r="XD21" s="26">
        <f t="shared" si="272"/>
        <v>5.8</v>
      </c>
      <c r="XE21" s="26">
        <f t="shared" si="273"/>
        <v>4.75</v>
      </c>
      <c r="XF21" s="26">
        <f t="shared" si="274"/>
        <v>6.25</v>
      </c>
      <c r="XG21" s="26">
        <f t="shared" si="275"/>
        <v>7.4249999999999998</v>
      </c>
      <c r="XH21" s="26">
        <f t="shared" si="276"/>
        <v>1</v>
      </c>
      <c r="XI21" s="28" t="s">
        <v>53</v>
      </c>
      <c r="XJ21" s="11">
        <f t="shared" si="277"/>
        <v>1.5</v>
      </c>
      <c r="XK21" s="11">
        <f t="shared" si="278"/>
        <v>1.645</v>
      </c>
      <c r="XL21" s="11">
        <f t="shared" si="279"/>
        <v>5.1449999999999996</v>
      </c>
      <c r="XM21" s="11">
        <f t="shared" si="280"/>
        <v>7.2</v>
      </c>
      <c r="XN21" s="11">
        <f t="shared" si="281"/>
        <v>7.4649999999999999</v>
      </c>
      <c r="XO21" s="11">
        <f t="shared" si="282"/>
        <v>25.765000000000001</v>
      </c>
      <c r="XP21" s="11">
        <f t="shared" si="283"/>
        <v>25.765000000000001</v>
      </c>
      <c r="XQ21" s="11">
        <f t="shared" si="284"/>
        <v>6.25</v>
      </c>
      <c r="XR21" s="11">
        <f t="shared" si="285"/>
        <v>7.4249999999999998</v>
      </c>
      <c r="XS21" s="11">
        <f t="shared" si="286"/>
        <v>23.225000000000001</v>
      </c>
      <c r="XT21" s="11">
        <f t="shared" si="287"/>
        <v>48.99</v>
      </c>
    </row>
    <row r="22" spans="1:644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86</v>
      </c>
      <c r="C22" s="4" t="s">
        <v>3</v>
      </c>
      <c r="D22" s="4">
        <v>1988</v>
      </c>
      <c r="E22" s="9">
        <f t="shared" si="0"/>
        <v>163.3900163390052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52.019999999999996</v>
      </c>
      <c r="K22" s="8" t="str">
        <f t="shared" si="5"/>
        <v>2024 3rd Domestic Trial</v>
      </c>
      <c r="L22" s="8">
        <f>IF(COUNT(AQ22,AT22,BR22,BU22,CS22,CV22)&gt;1,LARGE((AQ22,AT22,BR22,BU22,CS22,CV22),2),0)</f>
        <v>47.86</v>
      </c>
      <c r="M22" s="8" t="str">
        <f t="shared" si="6"/>
        <v>2024 Nationals</v>
      </c>
      <c r="N22" s="8">
        <f>IF(COUNT(AQ22,AT22,BR22,BU22,CS22,CV22)&gt;2,LARGE((AQ22,AT22,BR22,BU22,CS22,CV22),3),0)</f>
        <v>42.25</v>
      </c>
      <c r="O22" s="8" t="str">
        <f t="shared" si="7"/>
        <v>2025 Elite Canada</v>
      </c>
      <c r="P22" s="8">
        <f t="shared" si="8"/>
        <v>6.0600000000000005</v>
      </c>
      <c r="Q22" s="8" t="str">
        <f t="shared" si="9"/>
        <v>2024 3rd Domestic Trial</v>
      </c>
      <c r="R22" s="8">
        <f t="shared" si="10"/>
        <v>15.2</v>
      </c>
      <c r="S22" s="8" t="str">
        <f t="shared" si="11"/>
        <v>2024 3rd Domestic Trial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2">
        <v>13.2</v>
      </c>
      <c r="Z22" s="22">
        <v>9.1999999999999993</v>
      </c>
      <c r="AA22" s="22">
        <v>12.6</v>
      </c>
      <c r="AB22" s="22">
        <v>13.76</v>
      </c>
      <c r="AC22" s="22">
        <v>0.9</v>
      </c>
      <c r="AD22" s="22">
        <v>5.5</v>
      </c>
      <c r="AE22" s="22">
        <v>3.8</v>
      </c>
      <c r="AF22" s="22">
        <v>6.3</v>
      </c>
      <c r="AG22" s="22">
        <v>6</v>
      </c>
      <c r="AH22" s="22">
        <v>0</v>
      </c>
      <c r="AI22" s="22"/>
      <c r="AJ22" s="22"/>
      <c r="AK22" s="22"/>
      <c r="AL22" s="22"/>
      <c r="AM22" s="22"/>
      <c r="AN22" s="27"/>
      <c r="AO22" s="38">
        <f t="shared" si="17"/>
        <v>12.6</v>
      </c>
      <c r="AP22" s="38">
        <f t="shared" si="18"/>
        <v>13.76</v>
      </c>
      <c r="AQ22" s="40">
        <f t="shared" si="19"/>
        <v>47.86</v>
      </c>
      <c r="AR22" s="40">
        <f t="shared" si="20"/>
        <v>6.3</v>
      </c>
      <c r="AS22" s="40">
        <f t="shared" si="21"/>
        <v>6</v>
      </c>
      <c r="AT22" s="40">
        <f t="shared" si="22"/>
        <v>21.6</v>
      </c>
      <c r="AU22" s="40">
        <f t="shared" si="23"/>
        <v>47.86</v>
      </c>
      <c r="AV22" s="40" t="str">
        <f t="shared" si="24"/>
        <v/>
      </c>
      <c r="AW22" s="40" t="str">
        <f t="shared" si="25"/>
        <v/>
      </c>
      <c r="AX22" s="40" t="str">
        <f t="shared" si="26"/>
        <v/>
      </c>
      <c r="AY22" s="40">
        <f t="shared" si="27"/>
        <v>47.86</v>
      </c>
      <c r="AZ22" s="26">
        <v>1.5</v>
      </c>
      <c r="BA22" s="26">
        <v>1</v>
      </c>
      <c r="BB22" s="26">
        <v>2</v>
      </c>
      <c r="BC22" s="26">
        <v>1.65</v>
      </c>
      <c r="BD22" s="26">
        <v>0</v>
      </c>
      <c r="BE22" s="26">
        <v>13.3</v>
      </c>
      <c r="BF22" s="26">
        <v>8.6</v>
      </c>
      <c r="BG22" s="26">
        <v>15.2</v>
      </c>
      <c r="BH22" s="26">
        <v>14.92</v>
      </c>
      <c r="BI22" s="26">
        <v>0</v>
      </c>
      <c r="BJ22" s="26">
        <v>1.6</v>
      </c>
      <c r="BK22" s="26">
        <v>0.8</v>
      </c>
      <c r="BL22" s="26">
        <v>2</v>
      </c>
      <c r="BM22" s="26">
        <v>1.66</v>
      </c>
      <c r="BN22" s="26">
        <v>0</v>
      </c>
      <c r="BO22" s="28"/>
      <c r="BP22" s="39">
        <f t="shared" si="28"/>
        <v>2</v>
      </c>
      <c r="BQ22" s="39">
        <f t="shared" si="29"/>
        <v>1.65</v>
      </c>
      <c r="BR22" s="11">
        <f t="shared" si="30"/>
        <v>6.15</v>
      </c>
      <c r="BS22" s="11">
        <f t="shared" si="31"/>
        <v>15.2</v>
      </c>
      <c r="BT22" s="11">
        <f t="shared" si="32"/>
        <v>14.92</v>
      </c>
      <c r="BU22" s="11">
        <f t="shared" si="33"/>
        <v>52.019999999999996</v>
      </c>
      <c r="BV22" s="11">
        <f t="shared" si="34"/>
        <v>52.019999999999996</v>
      </c>
      <c r="BW22" s="11">
        <f t="shared" si="35"/>
        <v>2</v>
      </c>
      <c r="BX22" s="11">
        <f t="shared" si="36"/>
        <v>1.66</v>
      </c>
      <c r="BY22" s="11">
        <f t="shared" si="37"/>
        <v>6.0600000000000005</v>
      </c>
      <c r="BZ22" s="11">
        <f t="shared" si="38"/>
        <v>58.08</v>
      </c>
      <c r="CA22" s="22">
        <v>12.6</v>
      </c>
      <c r="CB22" s="22">
        <v>9.1999999999999993</v>
      </c>
      <c r="CC22" s="22">
        <v>10.5</v>
      </c>
      <c r="CD22" s="22">
        <v>13.95</v>
      </c>
      <c r="CE22" s="22">
        <v>4</v>
      </c>
      <c r="CF22" s="22">
        <v>5.5</v>
      </c>
      <c r="CG22" s="22">
        <v>3.7</v>
      </c>
      <c r="CH22" s="22">
        <v>6.3</v>
      </c>
      <c r="CI22" s="22">
        <v>6.06</v>
      </c>
      <c r="CJ22" s="22">
        <v>0</v>
      </c>
      <c r="CK22" s="22"/>
      <c r="CL22" s="22"/>
      <c r="CM22" s="22"/>
      <c r="CN22" s="22"/>
      <c r="CO22" s="22"/>
      <c r="CP22" s="27"/>
      <c r="CQ22" s="38">
        <f t="shared" si="39"/>
        <v>10.5</v>
      </c>
      <c r="CR22" s="38">
        <f t="shared" si="40"/>
        <v>13.95</v>
      </c>
      <c r="CS22" s="40">
        <f t="shared" si="41"/>
        <v>42.25</v>
      </c>
      <c r="CT22" s="40">
        <f t="shared" si="42"/>
        <v>6.3</v>
      </c>
      <c r="CU22" s="40">
        <f t="shared" si="43"/>
        <v>6.06</v>
      </c>
      <c r="CV22" s="40">
        <f t="shared" si="44"/>
        <v>21.56</v>
      </c>
      <c r="CW22" s="40">
        <f t="shared" si="45"/>
        <v>42.25</v>
      </c>
      <c r="CX22" s="40" t="str">
        <f t="shared" si="46"/>
        <v/>
      </c>
      <c r="CY22" s="40" t="str">
        <f t="shared" si="47"/>
        <v/>
      </c>
      <c r="CZ22" s="40" t="str">
        <f t="shared" si="48"/>
        <v/>
      </c>
      <c r="DA22" s="40">
        <f t="shared" si="49"/>
        <v>42.25</v>
      </c>
      <c r="DB22" s="51" t="str">
        <f t="shared" si="50"/>
        <v/>
      </c>
      <c r="DC22" s="51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40" t="str">
        <f t="shared" si="64"/>
        <v/>
      </c>
      <c r="EK22" s="40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40" t="str">
        <f t="shared" si="92"/>
        <v/>
      </c>
      <c r="HA22" s="40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40" t="str">
        <f t="shared" si="120"/>
        <v/>
      </c>
      <c r="JQ22" s="40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40" t="str">
        <f t="shared" si="148"/>
        <v/>
      </c>
      <c r="MG22" s="40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40" t="str">
        <f t="shared" si="176"/>
        <v/>
      </c>
      <c r="OW22" s="40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40" t="str">
        <f t="shared" si="204"/>
        <v/>
      </c>
      <c r="RM22" s="40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 t="shared" si="220"/>
        <v/>
      </c>
      <c r="TQ22" s="40" t="str">
        <f t="shared" si="221"/>
        <v/>
      </c>
      <c r="TR22" s="40" t="str">
        <f t="shared" si="222"/>
        <v/>
      </c>
      <c r="TS22" s="40" t="str">
        <f t="shared" si="223"/>
        <v/>
      </c>
      <c r="TT22" s="40" t="str">
        <f t="shared" si="224"/>
        <v/>
      </c>
      <c r="TU22" s="40" t="str">
        <f t="shared" si="225"/>
        <v/>
      </c>
      <c r="TV22" s="40" t="str">
        <f t="shared" si="226"/>
        <v/>
      </c>
      <c r="TW22" s="40" t="str">
        <f t="shared" si="227"/>
        <v/>
      </c>
      <c r="TX22" s="40" t="str">
        <f t="shared" si="228"/>
        <v/>
      </c>
      <c r="TY22" s="40" t="str">
        <f t="shared" si="229"/>
        <v/>
      </c>
      <c r="TZ22" s="40" t="str">
        <f t="shared" si="230"/>
        <v/>
      </c>
      <c r="UA22" s="40" t="str">
        <f t="shared" si="231"/>
        <v/>
      </c>
      <c r="UB22" s="40" t="str">
        <f t="shared" si="232"/>
        <v/>
      </c>
      <c r="UC22" s="40" t="str">
        <f t="shared" si="233"/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 t="shared" si="234"/>
        <v/>
      </c>
      <c r="UY22" s="11" t="str">
        <f t="shared" si="235"/>
        <v/>
      </c>
      <c r="UZ22" s="11" t="str">
        <f t="shared" si="236"/>
        <v/>
      </c>
      <c r="VA22" s="11" t="str">
        <f t="shared" si="237"/>
        <v/>
      </c>
      <c r="VB22" s="11" t="str">
        <f t="shared" si="238"/>
        <v/>
      </c>
      <c r="VC22" s="11" t="str">
        <f t="shared" si="239"/>
        <v/>
      </c>
      <c r="VD22" s="11" t="str">
        <f t="shared" si="240"/>
        <v/>
      </c>
      <c r="VE22" s="11" t="str">
        <f t="shared" si="241"/>
        <v/>
      </c>
      <c r="VF22" s="11" t="str">
        <f t="shared" si="242"/>
        <v/>
      </c>
      <c r="VG22" s="11" t="str">
        <f t="shared" si="243"/>
        <v/>
      </c>
      <c r="VH22" s="11" t="str">
        <f t="shared" si="244"/>
        <v/>
      </c>
      <c r="VI22" s="11" t="str">
        <f t="shared" si="245"/>
        <v/>
      </c>
      <c r="VJ22" s="11" t="str">
        <f t="shared" si="246"/>
        <v/>
      </c>
      <c r="VK22" s="11" t="str">
        <f t="shared" si="247"/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 t="shared" si="248"/>
        <v/>
      </c>
      <c r="WG22" s="40" t="str">
        <f t="shared" si="249"/>
        <v/>
      </c>
      <c r="WH22" s="40" t="str">
        <f t="shared" si="250"/>
        <v/>
      </c>
      <c r="WI22" s="40" t="str">
        <f t="shared" si="251"/>
        <v/>
      </c>
      <c r="WJ22" s="40" t="str">
        <f t="shared" si="252"/>
        <v/>
      </c>
      <c r="WK22" s="40" t="str">
        <f t="shared" si="253"/>
        <v/>
      </c>
      <c r="WL22" s="40" t="str">
        <f t="shared" si="254"/>
        <v/>
      </c>
      <c r="WM22" s="40" t="str">
        <f t="shared" si="255"/>
        <v/>
      </c>
      <c r="WN22" s="40" t="str">
        <f t="shared" si="256"/>
        <v/>
      </c>
      <c r="WO22" s="40" t="str">
        <f t="shared" si="257"/>
        <v/>
      </c>
      <c r="WP22" s="40" t="str">
        <f t="shared" si="258"/>
        <v/>
      </c>
      <c r="WQ22" s="40" t="str">
        <f t="shared" si="259"/>
        <v/>
      </c>
      <c r="WR22" s="40" t="str">
        <f t="shared" si="260"/>
        <v/>
      </c>
      <c r="WS22" s="40" t="str">
        <f t="shared" si="261"/>
        <v/>
      </c>
      <c r="WT22" s="26">
        <f t="shared" si="262"/>
        <v>7.05</v>
      </c>
      <c r="WU22" s="26">
        <f t="shared" si="263"/>
        <v>5.0999999999999996</v>
      </c>
      <c r="WV22" s="26">
        <f t="shared" si="264"/>
        <v>6.25</v>
      </c>
      <c r="WW22" s="26">
        <f t="shared" si="265"/>
        <v>7.8</v>
      </c>
      <c r="WX22" s="26">
        <f t="shared" si="266"/>
        <v>2</v>
      </c>
      <c r="WY22" s="26">
        <f t="shared" si="267"/>
        <v>9.4</v>
      </c>
      <c r="WZ22" s="26">
        <f t="shared" si="268"/>
        <v>6.15</v>
      </c>
      <c r="XA22" s="26">
        <f t="shared" si="269"/>
        <v>10.75</v>
      </c>
      <c r="XB22" s="26">
        <f t="shared" si="270"/>
        <v>10.49</v>
      </c>
      <c r="XC22" s="26">
        <f t="shared" si="271"/>
        <v>0</v>
      </c>
      <c r="XD22" s="26">
        <f t="shared" si="272"/>
        <v>0.8</v>
      </c>
      <c r="XE22" s="26">
        <f t="shared" si="273"/>
        <v>0.4</v>
      </c>
      <c r="XF22" s="26">
        <f t="shared" si="274"/>
        <v>1</v>
      </c>
      <c r="XG22" s="26">
        <f t="shared" si="275"/>
        <v>0.83</v>
      </c>
      <c r="XH22" s="26">
        <f t="shared" si="276"/>
        <v>0</v>
      </c>
      <c r="XI22" s="28" t="s">
        <v>53</v>
      </c>
      <c r="XJ22" s="11">
        <f t="shared" si="277"/>
        <v>6.25</v>
      </c>
      <c r="XK22" s="11">
        <f t="shared" si="278"/>
        <v>7.8</v>
      </c>
      <c r="XL22" s="11">
        <f t="shared" si="279"/>
        <v>24.2</v>
      </c>
      <c r="XM22" s="11">
        <f t="shared" si="280"/>
        <v>10.75</v>
      </c>
      <c r="XN22" s="11">
        <f t="shared" si="281"/>
        <v>10.49</v>
      </c>
      <c r="XO22" s="11">
        <f t="shared" si="282"/>
        <v>36.79</v>
      </c>
      <c r="XP22" s="11">
        <f t="shared" si="283"/>
        <v>36.79</v>
      </c>
      <c r="XQ22" s="11">
        <f t="shared" si="284"/>
        <v>1</v>
      </c>
      <c r="XR22" s="11">
        <f t="shared" si="285"/>
        <v>0.83</v>
      </c>
      <c r="XS22" s="11">
        <f t="shared" si="286"/>
        <v>3.0300000000000002</v>
      </c>
      <c r="XT22" s="11">
        <f t="shared" si="287"/>
        <v>39.82</v>
      </c>
    </row>
    <row r="23" spans="1:644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188</v>
      </c>
      <c r="C23" s="4" t="s">
        <v>6</v>
      </c>
      <c r="D23" s="4">
        <v>1998</v>
      </c>
      <c r="E23" s="9">
        <f t="shared" si="0"/>
        <v>132.39001323900504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50.43</v>
      </c>
      <c r="K23" s="8" t="str">
        <f t="shared" si="5"/>
        <v>2024 Nationals</v>
      </c>
      <c r="L23" s="8">
        <f>IF(COUNT(AQ23,AT23,BR23,BU23,CS23,CV23)&gt;1,LARGE((AQ23,AT23,BR23,BU23,CS23,CV23),2),0)</f>
        <v>49.53</v>
      </c>
      <c r="M23" s="8" t="str">
        <f t="shared" si="6"/>
        <v>2024 Nationals</v>
      </c>
      <c r="N23" s="8">
        <f>IF(COUNT(AQ23,AT23,BR23,BU23,CS23,CV23)&gt;2,LARGE((AQ23,AT23,BR23,BU23,CS23,CV23),3),0)</f>
        <v>0</v>
      </c>
      <c r="O23" s="8" t="str">
        <f t="shared" si="7"/>
        <v/>
      </c>
      <c r="P23" s="8">
        <f t="shared" si="8"/>
        <v>20.53</v>
      </c>
      <c r="Q23" s="8" t="str">
        <f t="shared" si="9"/>
        <v>2024 Nationals</v>
      </c>
      <c r="R23" s="8">
        <f t="shared" si="10"/>
        <v>11.9</v>
      </c>
      <c r="S23" s="8" t="str">
        <f t="shared" si="11"/>
        <v>2024 Nationals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2">
        <v>15.3</v>
      </c>
      <c r="Z23" s="22">
        <v>9.3000000000000007</v>
      </c>
      <c r="AA23" s="22">
        <v>11.9</v>
      </c>
      <c r="AB23" s="22">
        <v>15.53</v>
      </c>
      <c r="AC23" s="22">
        <v>1.6</v>
      </c>
      <c r="AD23" s="22">
        <v>14.8</v>
      </c>
      <c r="AE23" s="22">
        <v>9.3000000000000007</v>
      </c>
      <c r="AF23" s="22">
        <v>11.9</v>
      </c>
      <c r="AG23" s="22">
        <v>15.13</v>
      </c>
      <c r="AH23" s="22">
        <v>1.6</v>
      </c>
      <c r="AI23" s="22">
        <v>5.8</v>
      </c>
      <c r="AJ23" s="22">
        <v>3.5</v>
      </c>
      <c r="AK23" s="22">
        <v>5.2</v>
      </c>
      <c r="AL23" s="22">
        <v>6.23</v>
      </c>
      <c r="AM23" s="22">
        <v>0.2</v>
      </c>
      <c r="AN23" s="27"/>
      <c r="AO23" s="38">
        <f t="shared" si="17"/>
        <v>11.9</v>
      </c>
      <c r="AP23" s="38">
        <f t="shared" si="18"/>
        <v>15.53</v>
      </c>
      <c r="AQ23" s="40">
        <f t="shared" si="19"/>
        <v>50.43</v>
      </c>
      <c r="AR23" s="40">
        <f t="shared" si="20"/>
        <v>11.9</v>
      </c>
      <c r="AS23" s="40">
        <f t="shared" si="21"/>
        <v>15.13</v>
      </c>
      <c r="AT23" s="40">
        <f t="shared" si="22"/>
        <v>49.53</v>
      </c>
      <c r="AU23" s="40">
        <f t="shared" si="23"/>
        <v>50.43</v>
      </c>
      <c r="AV23" s="40">
        <f t="shared" si="24"/>
        <v>5.2</v>
      </c>
      <c r="AW23" s="40">
        <f t="shared" si="25"/>
        <v>6.23</v>
      </c>
      <c r="AX23" s="40">
        <f t="shared" si="26"/>
        <v>20.53</v>
      </c>
      <c r="AY23" s="40">
        <f t="shared" si="27"/>
        <v>70.960000000000008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 t="shared" si="28"/>
        <v/>
      </c>
      <c r="BQ23" s="39" t="str">
        <f t="shared" si="29"/>
        <v/>
      </c>
      <c r="BR23" s="11" t="str">
        <f t="shared" si="30"/>
        <v/>
      </c>
      <c r="BS23" s="11" t="str">
        <f t="shared" si="31"/>
        <v/>
      </c>
      <c r="BT23" s="11" t="str">
        <f t="shared" si="32"/>
        <v/>
      </c>
      <c r="BU23" s="11" t="str">
        <f t="shared" si="33"/>
        <v/>
      </c>
      <c r="BV23" s="11" t="str">
        <f t="shared" si="34"/>
        <v/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 t="str">
        <f t="shared" si="38"/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 t="shared" si="39"/>
        <v/>
      </c>
      <c r="CR23" s="38" t="str">
        <f t="shared" si="40"/>
        <v/>
      </c>
      <c r="CS23" s="40" t="str">
        <f t="shared" si="41"/>
        <v/>
      </c>
      <c r="CT23" s="40" t="str">
        <f t="shared" si="42"/>
        <v/>
      </c>
      <c r="CU23" s="40" t="str">
        <f t="shared" si="43"/>
        <v/>
      </c>
      <c r="CV23" s="40" t="str">
        <f t="shared" si="44"/>
        <v/>
      </c>
      <c r="CW23" s="40" t="str">
        <f t="shared" si="45"/>
        <v/>
      </c>
      <c r="CX23" s="40" t="str">
        <f t="shared" si="46"/>
        <v/>
      </c>
      <c r="CY23" s="40" t="str">
        <f t="shared" si="47"/>
        <v/>
      </c>
      <c r="CZ23" s="40" t="str">
        <f t="shared" si="48"/>
        <v/>
      </c>
      <c r="DA23" s="40" t="str">
        <f t="shared" si="49"/>
        <v/>
      </c>
      <c r="DB23" s="51" t="str">
        <f t="shared" si="50"/>
        <v/>
      </c>
      <c r="DC23" s="51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40" t="str">
        <f t="shared" si="64"/>
        <v/>
      </c>
      <c r="EK23" s="40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40" t="str">
        <f t="shared" si="92"/>
        <v/>
      </c>
      <c r="HA23" s="40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40" t="str">
        <f t="shared" si="120"/>
        <v/>
      </c>
      <c r="JQ23" s="40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40" t="str">
        <f t="shared" si="148"/>
        <v/>
      </c>
      <c r="MG23" s="40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40" t="str">
        <f t="shared" si="176"/>
        <v/>
      </c>
      <c r="OW23" s="40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40" t="str">
        <f t="shared" si="204"/>
        <v/>
      </c>
      <c r="RM23" s="40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 t="shared" si="220"/>
        <v/>
      </c>
      <c r="TQ23" s="40" t="str">
        <f t="shared" si="221"/>
        <v/>
      </c>
      <c r="TR23" s="40" t="str">
        <f t="shared" si="222"/>
        <v/>
      </c>
      <c r="TS23" s="40" t="str">
        <f t="shared" si="223"/>
        <v/>
      </c>
      <c r="TT23" s="40" t="str">
        <f t="shared" si="224"/>
        <v/>
      </c>
      <c r="TU23" s="40" t="str">
        <f t="shared" si="225"/>
        <v/>
      </c>
      <c r="TV23" s="40" t="str">
        <f t="shared" si="226"/>
        <v/>
      </c>
      <c r="TW23" s="40" t="str">
        <f t="shared" si="227"/>
        <v/>
      </c>
      <c r="TX23" s="40" t="str">
        <f t="shared" si="228"/>
        <v/>
      </c>
      <c r="TY23" s="40" t="str">
        <f t="shared" si="229"/>
        <v/>
      </c>
      <c r="TZ23" s="40" t="str">
        <f t="shared" si="230"/>
        <v/>
      </c>
      <c r="UA23" s="40" t="str">
        <f t="shared" si="231"/>
        <v/>
      </c>
      <c r="UB23" s="40" t="str">
        <f t="shared" si="232"/>
        <v/>
      </c>
      <c r="UC23" s="40" t="str">
        <f t="shared" si="233"/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 t="shared" si="234"/>
        <v/>
      </c>
      <c r="UY23" s="11" t="str">
        <f t="shared" si="235"/>
        <v/>
      </c>
      <c r="UZ23" s="11" t="str">
        <f t="shared" si="236"/>
        <v/>
      </c>
      <c r="VA23" s="11" t="str">
        <f t="shared" si="237"/>
        <v/>
      </c>
      <c r="VB23" s="11" t="str">
        <f t="shared" si="238"/>
        <v/>
      </c>
      <c r="VC23" s="11" t="str">
        <f t="shared" si="239"/>
        <v/>
      </c>
      <c r="VD23" s="11" t="str">
        <f t="shared" si="240"/>
        <v/>
      </c>
      <c r="VE23" s="11" t="str">
        <f t="shared" si="241"/>
        <v/>
      </c>
      <c r="VF23" s="11" t="str">
        <f t="shared" si="242"/>
        <v/>
      </c>
      <c r="VG23" s="11" t="str">
        <f t="shared" si="243"/>
        <v/>
      </c>
      <c r="VH23" s="11" t="str">
        <f t="shared" si="244"/>
        <v/>
      </c>
      <c r="VI23" s="11" t="str">
        <f t="shared" si="245"/>
        <v/>
      </c>
      <c r="VJ23" s="11" t="str">
        <f t="shared" si="246"/>
        <v/>
      </c>
      <c r="VK23" s="11" t="str">
        <f t="shared" si="247"/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 t="shared" si="248"/>
        <v/>
      </c>
      <c r="WG23" s="40" t="str">
        <f t="shared" si="249"/>
        <v/>
      </c>
      <c r="WH23" s="40" t="str">
        <f t="shared" si="250"/>
        <v/>
      </c>
      <c r="WI23" s="40" t="str">
        <f t="shared" si="251"/>
        <v/>
      </c>
      <c r="WJ23" s="40" t="str">
        <f t="shared" si="252"/>
        <v/>
      </c>
      <c r="WK23" s="40" t="str">
        <f t="shared" si="253"/>
        <v/>
      </c>
      <c r="WL23" s="40" t="str">
        <f t="shared" si="254"/>
        <v/>
      </c>
      <c r="WM23" s="40" t="str">
        <f t="shared" si="255"/>
        <v/>
      </c>
      <c r="WN23" s="40" t="str">
        <f t="shared" si="256"/>
        <v/>
      </c>
      <c r="WO23" s="40" t="str">
        <f t="shared" si="257"/>
        <v/>
      </c>
      <c r="WP23" s="40" t="str">
        <f t="shared" si="258"/>
        <v/>
      </c>
      <c r="WQ23" s="40" t="str">
        <f t="shared" si="259"/>
        <v/>
      </c>
      <c r="WR23" s="40" t="str">
        <f t="shared" si="260"/>
        <v/>
      </c>
      <c r="WS23" s="40" t="str">
        <f t="shared" si="261"/>
        <v/>
      </c>
      <c r="WT23" s="26">
        <f t="shared" si="262"/>
        <v>0</v>
      </c>
      <c r="WU23" s="26">
        <f t="shared" si="263"/>
        <v>0</v>
      </c>
      <c r="WV23" s="26">
        <f t="shared" si="264"/>
        <v>0</v>
      </c>
      <c r="WW23" s="26">
        <f t="shared" si="265"/>
        <v>0</v>
      </c>
      <c r="WX23" s="26">
        <f t="shared" si="266"/>
        <v>0</v>
      </c>
      <c r="WY23" s="26">
        <f t="shared" si="267"/>
        <v>0</v>
      </c>
      <c r="WZ23" s="26">
        <f t="shared" si="268"/>
        <v>0</v>
      </c>
      <c r="XA23" s="26">
        <f t="shared" si="269"/>
        <v>0</v>
      </c>
      <c r="XB23" s="26">
        <f t="shared" si="270"/>
        <v>0</v>
      </c>
      <c r="XC23" s="26">
        <f t="shared" si="271"/>
        <v>0</v>
      </c>
      <c r="XD23" s="26">
        <f t="shared" si="272"/>
        <v>0</v>
      </c>
      <c r="XE23" s="26">
        <f t="shared" si="273"/>
        <v>0</v>
      </c>
      <c r="XF23" s="26">
        <f t="shared" si="274"/>
        <v>0</v>
      </c>
      <c r="XG23" s="26">
        <f t="shared" si="275"/>
        <v>0</v>
      </c>
      <c r="XH23" s="26">
        <f t="shared" si="276"/>
        <v>0</v>
      </c>
      <c r="XI23" s="28" t="s">
        <v>53</v>
      </c>
      <c r="XJ23" s="11" t="str">
        <f t="shared" si="277"/>
        <v/>
      </c>
      <c r="XK23" s="11" t="str">
        <f t="shared" si="278"/>
        <v/>
      </c>
      <c r="XL23" s="11" t="str">
        <f t="shared" si="279"/>
        <v/>
      </c>
      <c r="XM23" s="11" t="str">
        <f t="shared" si="280"/>
        <v/>
      </c>
      <c r="XN23" s="11" t="str">
        <f t="shared" si="281"/>
        <v/>
      </c>
      <c r="XO23" s="11" t="str">
        <f t="shared" si="282"/>
        <v/>
      </c>
      <c r="XP23" s="11" t="str">
        <f t="shared" si="283"/>
        <v/>
      </c>
      <c r="XQ23" s="11" t="str">
        <f t="shared" si="284"/>
        <v/>
      </c>
      <c r="XR23" s="11" t="str">
        <f t="shared" si="285"/>
        <v/>
      </c>
      <c r="XS23" s="11" t="str">
        <f t="shared" si="286"/>
        <v/>
      </c>
      <c r="XT23" s="11" t="str">
        <f t="shared" si="287"/>
        <v/>
      </c>
    </row>
    <row r="24" spans="1:644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175</v>
      </c>
      <c r="C24" s="4" t="s">
        <v>3</v>
      </c>
      <c r="D24" s="4">
        <v>2005</v>
      </c>
      <c r="E24" s="9">
        <f t="shared" si="0"/>
        <v>106.08000641900216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21.73</v>
      </c>
      <c r="K24" s="8" t="str">
        <f t="shared" si="5"/>
        <v>2025 Elite Canada</v>
      </c>
      <c r="L24" s="8">
        <f>IF(COUNT(AQ24,AT24,BR24,BU24,CS24,CV24)&gt;1,LARGE((AQ24,AT24,BR24,BU24,CS24,CV24),2),0)</f>
        <v>16.260000000000002</v>
      </c>
      <c r="M24" s="8" t="str">
        <f t="shared" si="6"/>
        <v>2025 Elite Canada</v>
      </c>
      <c r="N24" s="8">
        <f>IF(COUNT(AQ24,AT24,BR24,BU24,CS24,CV24)&gt;2,LARGE((AQ24,AT24,BR24,BU24,CS24,CV24),3),0)</f>
        <v>11.600000000000001</v>
      </c>
      <c r="O24" s="8" t="str">
        <f t="shared" si="7"/>
        <v>2024 Nationals</v>
      </c>
      <c r="P24" s="8">
        <f t="shared" si="8"/>
        <v>0</v>
      </c>
      <c r="Q24" s="8" t="str">
        <f t="shared" si="9"/>
        <v/>
      </c>
      <c r="R24" s="8">
        <f t="shared" si="10"/>
        <v>14.6</v>
      </c>
      <c r="S24" s="8" t="str">
        <f t="shared" si="11"/>
        <v>2024 Coimbra Gym Fest (July 7)</v>
      </c>
      <c r="T24" s="8">
        <f t="shared" si="12"/>
        <v>0</v>
      </c>
      <c r="U24" s="8" t="str">
        <f t="shared" si="13"/>
        <v/>
      </c>
      <c r="V24" s="8">
        <f t="shared" si="14"/>
        <v>41.889999999999993</v>
      </c>
      <c r="W24" s="11" t="str">
        <f t="shared" si="15"/>
        <v>(Prelim)</v>
      </c>
      <c r="X24" s="8" t="str">
        <f t="shared" si="16"/>
        <v>2024 Coimbra Gym Fest (July 7)</v>
      </c>
      <c r="Y24" s="22">
        <v>3</v>
      </c>
      <c r="Z24" s="22">
        <v>1.9</v>
      </c>
      <c r="AA24" s="22">
        <v>3.4</v>
      </c>
      <c r="AB24" s="22">
        <v>3.29</v>
      </c>
      <c r="AC24" s="22">
        <v>0</v>
      </c>
      <c r="AD24" s="22">
        <v>3</v>
      </c>
      <c r="AE24" s="22">
        <v>1.9</v>
      </c>
      <c r="AF24" s="22">
        <v>3.4</v>
      </c>
      <c r="AG24" s="22">
        <v>3.3</v>
      </c>
      <c r="AH24" s="22">
        <v>0</v>
      </c>
      <c r="AI24" s="22"/>
      <c r="AJ24" s="22"/>
      <c r="AK24" s="22"/>
      <c r="AL24" s="22"/>
      <c r="AM24" s="22"/>
      <c r="AN24" s="27"/>
      <c r="AO24" s="38">
        <f t="shared" si="17"/>
        <v>3.4</v>
      </c>
      <c r="AP24" s="38">
        <f t="shared" si="18"/>
        <v>3.29</v>
      </c>
      <c r="AQ24" s="40">
        <f t="shared" si="19"/>
        <v>11.59</v>
      </c>
      <c r="AR24" s="40">
        <f t="shared" si="20"/>
        <v>3.4</v>
      </c>
      <c r="AS24" s="40">
        <f t="shared" si="21"/>
        <v>3.3</v>
      </c>
      <c r="AT24" s="40">
        <f t="shared" si="22"/>
        <v>11.600000000000001</v>
      </c>
      <c r="AU24" s="40">
        <f t="shared" si="23"/>
        <v>11.600000000000001</v>
      </c>
      <c r="AV24" s="40" t="str">
        <f t="shared" si="24"/>
        <v/>
      </c>
      <c r="AW24" s="40" t="str">
        <f t="shared" si="25"/>
        <v/>
      </c>
      <c r="AX24" s="40" t="str">
        <f t="shared" si="26"/>
        <v/>
      </c>
      <c r="AY24" s="40">
        <f t="shared" si="27"/>
        <v>11.600000000000001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 t="shared" si="28"/>
        <v/>
      </c>
      <c r="BQ24" s="39" t="str">
        <f t="shared" si="29"/>
        <v/>
      </c>
      <c r="BR24" s="11" t="str">
        <f t="shared" si="30"/>
        <v/>
      </c>
      <c r="BS24" s="11" t="str">
        <f t="shared" si="31"/>
        <v/>
      </c>
      <c r="BT24" s="11" t="str">
        <f t="shared" si="32"/>
        <v/>
      </c>
      <c r="BU24" s="11" t="str">
        <f t="shared" si="33"/>
        <v/>
      </c>
      <c r="BV24" s="11" t="str">
        <f t="shared" si="34"/>
        <v/>
      </c>
      <c r="BW24" s="11" t="str">
        <f t="shared" si="35"/>
        <v/>
      </c>
      <c r="BX24" s="11" t="str">
        <f t="shared" si="36"/>
        <v/>
      </c>
      <c r="BY24" s="11" t="str">
        <f t="shared" si="37"/>
        <v/>
      </c>
      <c r="BZ24" s="11" t="str">
        <f t="shared" si="38"/>
        <v/>
      </c>
      <c r="CA24" s="22">
        <v>4.2</v>
      </c>
      <c r="CB24" s="22">
        <v>2.7</v>
      </c>
      <c r="CC24" s="22">
        <v>4.7</v>
      </c>
      <c r="CD24" s="22">
        <v>4.66</v>
      </c>
      <c r="CE24" s="22">
        <v>0</v>
      </c>
      <c r="CF24" s="22">
        <v>5.6</v>
      </c>
      <c r="CG24" s="22">
        <v>3.4</v>
      </c>
      <c r="CH24" s="22">
        <v>6.4</v>
      </c>
      <c r="CI24" s="22">
        <v>6.33</v>
      </c>
      <c r="CJ24" s="22">
        <v>0</v>
      </c>
      <c r="CK24" s="22"/>
      <c r="CL24" s="22"/>
      <c r="CM24" s="22"/>
      <c r="CN24" s="22"/>
      <c r="CO24" s="22"/>
      <c r="CP24" s="27"/>
      <c r="CQ24" s="38">
        <f t="shared" si="39"/>
        <v>4.7</v>
      </c>
      <c r="CR24" s="38">
        <f t="shared" si="40"/>
        <v>4.66</v>
      </c>
      <c r="CS24" s="40">
        <f t="shared" si="41"/>
        <v>16.260000000000002</v>
      </c>
      <c r="CT24" s="40">
        <f t="shared" si="42"/>
        <v>6.4</v>
      </c>
      <c r="CU24" s="40">
        <f t="shared" si="43"/>
        <v>6.33</v>
      </c>
      <c r="CV24" s="40">
        <f t="shared" si="44"/>
        <v>21.73</v>
      </c>
      <c r="CW24" s="40">
        <f t="shared" si="45"/>
        <v>21.73</v>
      </c>
      <c r="CX24" s="40" t="str">
        <f t="shared" si="46"/>
        <v/>
      </c>
      <c r="CY24" s="40" t="str">
        <f t="shared" si="47"/>
        <v/>
      </c>
      <c r="CZ24" s="40" t="str">
        <f t="shared" si="48"/>
        <v/>
      </c>
      <c r="DA24" s="40">
        <f t="shared" si="49"/>
        <v>21.73</v>
      </c>
      <c r="DB24" s="51">
        <f t="shared" si="50"/>
        <v>41.889999999999993</v>
      </c>
      <c r="DC24" s="51">
        <f t="shared" si="51"/>
        <v>26.73</v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40" t="str">
        <f t="shared" si="64"/>
        <v/>
      </c>
      <c r="EK24" s="40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40" t="str">
        <f t="shared" si="92"/>
        <v/>
      </c>
      <c r="HA24" s="40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40" t="str">
        <f t="shared" si="120"/>
        <v/>
      </c>
      <c r="JQ24" s="40" t="str">
        <f t="shared" si="121"/>
        <v/>
      </c>
      <c r="JR24" s="18">
        <v>13</v>
      </c>
      <c r="JS24" s="18">
        <v>8.9</v>
      </c>
      <c r="JT24" s="18">
        <v>14.6</v>
      </c>
      <c r="JU24" s="18">
        <v>15.24</v>
      </c>
      <c r="JV24" s="18">
        <v>0</v>
      </c>
      <c r="JW24" s="18">
        <v>13.9</v>
      </c>
      <c r="JX24" s="18">
        <v>9.4</v>
      </c>
      <c r="JY24" s="18">
        <v>14.6</v>
      </c>
      <c r="JZ24" s="18">
        <v>15.59</v>
      </c>
      <c r="KA24" s="18">
        <v>0</v>
      </c>
      <c r="KB24" s="18">
        <v>6.8</v>
      </c>
      <c r="KC24" s="18">
        <v>4.4000000000000004</v>
      </c>
      <c r="KD24" s="18">
        <v>7.8</v>
      </c>
      <c r="KE24" s="18">
        <v>7.73</v>
      </c>
      <c r="KF24" s="18">
        <v>0</v>
      </c>
      <c r="KG24" s="18"/>
      <c r="KH24" s="18"/>
      <c r="KI24" s="18"/>
      <c r="KJ24" s="18"/>
      <c r="KK24" s="18"/>
      <c r="KL24" s="11">
        <f t="shared" si="122"/>
        <v>14.6</v>
      </c>
      <c r="KM24" s="11">
        <f t="shared" si="123"/>
        <v>15.24</v>
      </c>
      <c r="KN24" s="11">
        <f t="shared" si="124"/>
        <v>51.74</v>
      </c>
      <c r="KO24" s="11">
        <f t="shared" si="125"/>
        <v>14.6</v>
      </c>
      <c r="KP24" s="11">
        <f t="shared" si="126"/>
        <v>15.59</v>
      </c>
      <c r="KQ24" s="11">
        <f t="shared" si="127"/>
        <v>53.489999999999995</v>
      </c>
      <c r="KR24" s="11">
        <f t="shared" si="128"/>
        <v>53.489999999999995</v>
      </c>
      <c r="KS24" s="11">
        <f t="shared" si="129"/>
        <v>7.8</v>
      </c>
      <c r="KT24" s="11">
        <f t="shared" si="130"/>
        <v>7.73</v>
      </c>
      <c r="KU24" s="11">
        <f t="shared" si="131"/>
        <v>26.73</v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>
        <f t="shared" si="135"/>
        <v>80.22</v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40" t="str">
        <f t="shared" si="148"/>
        <v/>
      </c>
      <c r="MG24" s="40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40" t="str">
        <f t="shared" si="176"/>
        <v/>
      </c>
      <c r="OW24" s="40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40" t="str">
        <f t="shared" si="204"/>
        <v/>
      </c>
      <c r="RM24" s="40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 t="shared" si="220"/>
        <v/>
      </c>
      <c r="TQ24" s="40" t="str">
        <f t="shared" si="221"/>
        <v/>
      </c>
      <c r="TR24" s="40" t="str">
        <f t="shared" si="222"/>
        <v/>
      </c>
      <c r="TS24" s="40" t="str">
        <f t="shared" si="223"/>
        <v/>
      </c>
      <c r="TT24" s="40" t="str">
        <f t="shared" si="224"/>
        <v/>
      </c>
      <c r="TU24" s="40" t="str">
        <f t="shared" si="225"/>
        <v/>
      </c>
      <c r="TV24" s="40" t="str">
        <f t="shared" si="226"/>
        <v/>
      </c>
      <c r="TW24" s="40" t="str">
        <f t="shared" si="227"/>
        <v/>
      </c>
      <c r="TX24" s="40" t="str">
        <f t="shared" si="228"/>
        <v/>
      </c>
      <c r="TY24" s="40" t="str">
        <f t="shared" si="229"/>
        <v/>
      </c>
      <c r="TZ24" s="40" t="str">
        <f t="shared" si="230"/>
        <v/>
      </c>
      <c r="UA24" s="40" t="str">
        <f t="shared" si="231"/>
        <v/>
      </c>
      <c r="UB24" s="40" t="str">
        <f t="shared" si="232"/>
        <v/>
      </c>
      <c r="UC24" s="40" t="str">
        <f t="shared" si="233"/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 t="shared" si="234"/>
        <v/>
      </c>
      <c r="UY24" s="11" t="str">
        <f t="shared" si="235"/>
        <v/>
      </c>
      <c r="UZ24" s="11" t="str">
        <f t="shared" si="236"/>
        <v/>
      </c>
      <c r="VA24" s="11" t="str">
        <f t="shared" si="237"/>
        <v/>
      </c>
      <c r="VB24" s="11" t="str">
        <f t="shared" si="238"/>
        <v/>
      </c>
      <c r="VC24" s="11" t="str">
        <f t="shared" si="239"/>
        <v/>
      </c>
      <c r="VD24" s="11" t="str">
        <f t="shared" si="240"/>
        <v/>
      </c>
      <c r="VE24" s="11" t="str">
        <f t="shared" si="241"/>
        <v/>
      </c>
      <c r="VF24" s="11" t="str">
        <f t="shared" si="242"/>
        <v/>
      </c>
      <c r="VG24" s="11" t="str">
        <f t="shared" si="243"/>
        <v/>
      </c>
      <c r="VH24" s="11" t="str">
        <f t="shared" si="244"/>
        <v/>
      </c>
      <c r="VI24" s="11" t="str">
        <f t="shared" si="245"/>
        <v/>
      </c>
      <c r="VJ24" s="11" t="str">
        <f t="shared" si="246"/>
        <v/>
      </c>
      <c r="VK24" s="11" t="str">
        <f t="shared" si="247"/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 t="shared" si="248"/>
        <v/>
      </c>
      <c r="WG24" s="40" t="str">
        <f t="shared" si="249"/>
        <v/>
      </c>
      <c r="WH24" s="40" t="str">
        <f t="shared" si="250"/>
        <v/>
      </c>
      <c r="WI24" s="40" t="str">
        <f t="shared" si="251"/>
        <v/>
      </c>
      <c r="WJ24" s="40" t="str">
        <f t="shared" si="252"/>
        <v/>
      </c>
      <c r="WK24" s="40" t="str">
        <f t="shared" si="253"/>
        <v/>
      </c>
      <c r="WL24" s="40" t="str">
        <f t="shared" si="254"/>
        <v/>
      </c>
      <c r="WM24" s="40" t="str">
        <f t="shared" si="255"/>
        <v/>
      </c>
      <c r="WN24" s="40" t="str">
        <f t="shared" si="256"/>
        <v/>
      </c>
      <c r="WO24" s="40" t="str">
        <f t="shared" si="257"/>
        <v/>
      </c>
      <c r="WP24" s="40" t="str">
        <f t="shared" si="258"/>
        <v/>
      </c>
      <c r="WQ24" s="40" t="str">
        <f t="shared" si="259"/>
        <v/>
      </c>
      <c r="WR24" s="40" t="str">
        <f t="shared" si="260"/>
        <v/>
      </c>
      <c r="WS24" s="40" t="str">
        <f t="shared" si="261"/>
        <v/>
      </c>
      <c r="WT24" s="26">
        <f t="shared" si="262"/>
        <v>2.1</v>
      </c>
      <c r="WU24" s="26">
        <f t="shared" si="263"/>
        <v>1.35</v>
      </c>
      <c r="WV24" s="26">
        <f t="shared" si="264"/>
        <v>2.35</v>
      </c>
      <c r="WW24" s="26">
        <f t="shared" si="265"/>
        <v>2.33</v>
      </c>
      <c r="WX24" s="26">
        <f t="shared" si="266"/>
        <v>0</v>
      </c>
      <c r="WY24" s="26">
        <f t="shared" si="267"/>
        <v>2.8</v>
      </c>
      <c r="WZ24" s="26">
        <f t="shared" si="268"/>
        <v>1.7</v>
      </c>
      <c r="XA24" s="26">
        <f t="shared" si="269"/>
        <v>3.2</v>
      </c>
      <c r="XB24" s="26">
        <f t="shared" si="270"/>
        <v>3.165</v>
      </c>
      <c r="XC24" s="26">
        <f t="shared" si="271"/>
        <v>0</v>
      </c>
      <c r="XD24" s="26">
        <f t="shared" si="272"/>
        <v>0</v>
      </c>
      <c r="XE24" s="26">
        <f t="shared" si="273"/>
        <v>0</v>
      </c>
      <c r="XF24" s="26">
        <f t="shared" si="274"/>
        <v>0</v>
      </c>
      <c r="XG24" s="26">
        <f t="shared" si="275"/>
        <v>0</v>
      </c>
      <c r="XH24" s="26">
        <f t="shared" si="276"/>
        <v>0</v>
      </c>
      <c r="XI24" s="28" t="s">
        <v>53</v>
      </c>
      <c r="XJ24" s="11">
        <f t="shared" si="277"/>
        <v>2.35</v>
      </c>
      <c r="XK24" s="11">
        <f t="shared" si="278"/>
        <v>2.33</v>
      </c>
      <c r="XL24" s="11">
        <f t="shared" si="279"/>
        <v>8.1300000000000008</v>
      </c>
      <c r="XM24" s="11">
        <f t="shared" si="280"/>
        <v>3.2</v>
      </c>
      <c r="XN24" s="11">
        <f t="shared" si="281"/>
        <v>3.165</v>
      </c>
      <c r="XO24" s="11">
        <f t="shared" si="282"/>
        <v>10.865</v>
      </c>
      <c r="XP24" s="11">
        <f t="shared" si="283"/>
        <v>10.865</v>
      </c>
      <c r="XQ24" s="11" t="str">
        <f t="shared" si="284"/>
        <v/>
      </c>
      <c r="XR24" s="11" t="str">
        <f t="shared" si="285"/>
        <v/>
      </c>
      <c r="XS24" s="11" t="str">
        <f t="shared" si="286"/>
        <v/>
      </c>
      <c r="XT24" s="11">
        <f t="shared" si="287"/>
        <v>10.865</v>
      </c>
    </row>
    <row r="25" spans="1:644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65</v>
      </c>
      <c r="C25" s="4" t="s">
        <v>5</v>
      </c>
      <c r="D25" s="4">
        <v>1991</v>
      </c>
      <c r="E25" s="9">
        <f t="shared" si="0"/>
        <v>65.56000655600478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IF(COUNT(AQ25,AT25,BR25,BU25,CS25,CV25)&gt;0,LARGE((AQ25,AT25,BR25,BU25,CS25,CV25),1),0)</f>
        <v>47.74</v>
      </c>
      <c r="K25" s="8" t="str">
        <f t="shared" si="5"/>
        <v>2024 Nationals</v>
      </c>
      <c r="L25" s="8">
        <f>IF(COUNT(AQ25,AT25,BR25,BU25,CS25,CV25)&gt;1,LARGE((AQ25,AT25,BR25,BU25,CS25,CV25),2),0)</f>
        <v>5.62</v>
      </c>
      <c r="M25" s="8" t="str">
        <f t="shared" si="6"/>
        <v>2024 Nationals</v>
      </c>
      <c r="N25" s="8">
        <f>IF(COUNT(AQ25,AT25,BR25,BU25,CS25,CV25)&gt;2,LARGE((AQ25,AT25,BR25,BU25,CS25,CV25),3),0)</f>
        <v>0</v>
      </c>
      <c r="O25" s="8" t="str">
        <f t="shared" si="7"/>
        <v/>
      </c>
      <c r="P25" s="8">
        <f t="shared" si="8"/>
        <v>0</v>
      </c>
      <c r="Q25" s="8" t="str">
        <f t="shared" si="9"/>
        <v/>
      </c>
      <c r="R25" s="8">
        <f t="shared" si="10"/>
        <v>12.2</v>
      </c>
      <c r="S25" s="8" t="str">
        <f t="shared" si="11"/>
        <v>2024 Nationals</v>
      </c>
      <c r="T25" s="8">
        <f t="shared" si="12"/>
        <v>0</v>
      </c>
      <c r="U25" s="8" t="str">
        <f t="shared" si="13"/>
        <v/>
      </c>
      <c r="V25" s="8" t="str">
        <f t="shared" si="14"/>
        <v/>
      </c>
      <c r="W25" s="11" t="str">
        <f t="shared" si="15"/>
        <v/>
      </c>
      <c r="X25" s="8" t="str">
        <f t="shared" si="16"/>
        <v/>
      </c>
      <c r="Y25" s="22">
        <v>1.4</v>
      </c>
      <c r="Z25" s="22">
        <v>1</v>
      </c>
      <c r="AA25" s="22">
        <v>1.5</v>
      </c>
      <c r="AB25" s="22">
        <v>1.72</v>
      </c>
      <c r="AC25" s="22">
        <v>0</v>
      </c>
      <c r="AD25" s="22">
        <v>12.4</v>
      </c>
      <c r="AE25" s="22">
        <v>9.1999999999999993</v>
      </c>
      <c r="AF25" s="22">
        <v>12.2</v>
      </c>
      <c r="AG25" s="22">
        <v>15.24</v>
      </c>
      <c r="AH25" s="22">
        <v>1.3</v>
      </c>
      <c r="AI25" s="22"/>
      <c r="AJ25" s="22"/>
      <c r="AK25" s="22"/>
      <c r="AL25" s="22"/>
      <c r="AM25" s="22"/>
      <c r="AN25" s="27"/>
      <c r="AO25" s="38">
        <f t="shared" si="17"/>
        <v>1.5</v>
      </c>
      <c r="AP25" s="38">
        <f t="shared" si="18"/>
        <v>1.72</v>
      </c>
      <c r="AQ25" s="40">
        <f t="shared" si="19"/>
        <v>5.62</v>
      </c>
      <c r="AR25" s="40">
        <f t="shared" si="20"/>
        <v>12.2</v>
      </c>
      <c r="AS25" s="40">
        <f t="shared" si="21"/>
        <v>15.24</v>
      </c>
      <c r="AT25" s="40">
        <f t="shared" si="22"/>
        <v>47.74</v>
      </c>
      <c r="AU25" s="40">
        <f t="shared" si="23"/>
        <v>47.74</v>
      </c>
      <c r="AV25" s="40" t="str">
        <f t="shared" si="24"/>
        <v/>
      </c>
      <c r="AW25" s="40" t="str">
        <f t="shared" si="25"/>
        <v/>
      </c>
      <c r="AX25" s="40" t="str">
        <f t="shared" si="26"/>
        <v/>
      </c>
      <c r="AY25" s="40">
        <f t="shared" si="27"/>
        <v>47.74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 t="shared" si="28"/>
        <v/>
      </c>
      <c r="BQ25" s="39" t="str">
        <f t="shared" si="29"/>
        <v/>
      </c>
      <c r="BR25" s="11" t="str">
        <f t="shared" si="30"/>
        <v/>
      </c>
      <c r="BS25" s="11" t="str">
        <f t="shared" si="31"/>
        <v/>
      </c>
      <c r="BT25" s="11" t="str">
        <f t="shared" si="32"/>
        <v/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 t="str">
        <f t="shared" si="36"/>
        <v/>
      </c>
      <c r="BY25" s="11" t="str">
        <f t="shared" si="37"/>
        <v/>
      </c>
      <c r="BZ25" s="11" t="str">
        <f t="shared" si="38"/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 t="shared" si="39"/>
        <v/>
      </c>
      <c r="CR25" s="38" t="str">
        <f t="shared" si="40"/>
        <v/>
      </c>
      <c r="CS25" s="40" t="str">
        <f t="shared" si="41"/>
        <v/>
      </c>
      <c r="CT25" s="40" t="str">
        <f t="shared" si="42"/>
        <v/>
      </c>
      <c r="CU25" s="40" t="str">
        <f t="shared" si="43"/>
        <v/>
      </c>
      <c r="CV25" s="40" t="str">
        <f t="shared" si="44"/>
        <v/>
      </c>
      <c r="CW25" s="40" t="str">
        <f t="shared" si="45"/>
        <v/>
      </c>
      <c r="CX25" s="40" t="str">
        <f t="shared" si="46"/>
        <v/>
      </c>
      <c r="CY25" s="40" t="str">
        <f t="shared" si="47"/>
        <v/>
      </c>
      <c r="CZ25" s="40" t="str">
        <f t="shared" si="48"/>
        <v/>
      </c>
      <c r="DA25" s="40" t="str">
        <f t="shared" si="49"/>
        <v/>
      </c>
      <c r="DB25" s="51" t="str">
        <f t="shared" si="50"/>
        <v/>
      </c>
      <c r="DC25" s="51" t="str">
        <f t="shared" si="51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52"/>
        <v/>
      </c>
      <c r="DY25" s="40" t="str">
        <f t="shared" si="53"/>
        <v/>
      </c>
      <c r="DZ25" s="40" t="str">
        <f t="shared" si="54"/>
        <v/>
      </c>
      <c r="EA25" s="40" t="str">
        <f t="shared" si="55"/>
        <v/>
      </c>
      <c r="EB25" s="40" t="str">
        <f t="shared" si="56"/>
        <v/>
      </c>
      <c r="EC25" s="40" t="str">
        <f t="shared" si="57"/>
        <v/>
      </c>
      <c r="ED25" s="40" t="str">
        <f t="shared" si="58"/>
        <v/>
      </c>
      <c r="EE25" s="40" t="str">
        <f t="shared" si="59"/>
        <v/>
      </c>
      <c r="EF25" s="40" t="str">
        <f t="shared" si="60"/>
        <v/>
      </c>
      <c r="EG25" s="40" t="str">
        <f t="shared" si="61"/>
        <v/>
      </c>
      <c r="EH25" s="40" t="str">
        <f t="shared" si="62"/>
        <v/>
      </c>
      <c r="EI25" s="40" t="str">
        <f t="shared" si="63"/>
        <v/>
      </c>
      <c r="EJ25" s="40" t="str">
        <f t="shared" si="64"/>
        <v/>
      </c>
      <c r="EK25" s="40" t="str">
        <f t="shared" si="65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1" t="str">
        <f t="shared" si="78"/>
        <v/>
      </c>
      <c r="FS25" s="11" t="str">
        <f t="shared" si="79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 t="shared" si="80"/>
        <v/>
      </c>
      <c r="GO25" s="40" t="str">
        <f t="shared" si="81"/>
        <v/>
      </c>
      <c r="GP25" s="40" t="str">
        <f t="shared" si="82"/>
        <v/>
      </c>
      <c r="GQ25" s="40" t="str">
        <f t="shared" si="83"/>
        <v/>
      </c>
      <c r="GR25" s="40" t="str">
        <f t="shared" si="84"/>
        <v/>
      </c>
      <c r="GS25" s="40" t="str">
        <f t="shared" si="85"/>
        <v/>
      </c>
      <c r="GT25" s="40" t="str">
        <f t="shared" si="86"/>
        <v/>
      </c>
      <c r="GU25" s="40" t="str">
        <f t="shared" si="87"/>
        <v/>
      </c>
      <c r="GV25" s="40" t="str">
        <f t="shared" si="88"/>
        <v/>
      </c>
      <c r="GW25" s="40" t="str">
        <f t="shared" si="89"/>
        <v/>
      </c>
      <c r="GX25" s="40" t="str">
        <f t="shared" si="90"/>
        <v/>
      </c>
      <c r="GY25" s="40" t="str">
        <f t="shared" si="91"/>
        <v/>
      </c>
      <c r="GZ25" s="40" t="str">
        <f t="shared" si="92"/>
        <v/>
      </c>
      <c r="HA25" s="40" t="str">
        <f t="shared" si="93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1" t="str">
        <f t="shared" si="106"/>
        <v/>
      </c>
      <c r="II25" s="11" t="str">
        <f t="shared" si="107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 t="shared" si="108"/>
        <v/>
      </c>
      <c r="JE25" s="40" t="str">
        <f t="shared" si="109"/>
        <v/>
      </c>
      <c r="JF25" s="40" t="str">
        <f t="shared" si="110"/>
        <v/>
      </c>
      <c r="JG25" s="40" t="str">
        <f t="shared" si="111"/>
        <v/>
      </c>
      <c r="JH25" s="40" t="str">
        <f t="shared" si="112"/>
        <v/>
      </c>
      <c r="JI25" s="40" t="str">
        <f t="shared" si="113"/>
        <v/>
      </c>
      <c r="JJ25" s="40" t="str">
        <f t="shared" si="114"/>
        <v/>
      </c>
      <c r="JK25" s="40" t="str">
        <f t="shared" si="115"/>
        <v/>
      </c>
      <c r="JL25" s="40" t="str">
        <f t="shared" si="116"/>
        <v/>
      </c>
      <c r="JM25" s="40" t="str">
        <f t="shared" si="117"/>
        <v/>
      </c>
      <c r="JN25" s="40" t="str">
        <f t="shared" si="118"/>
        <v/>
      </c>
      <c r="JO25" s="40" t="str">
        <f t="shared" si="119"/>
        <v/>
      </c>
      <c r="JP25" s="40" t="str">
        <f t="shared" si="120"/>
        <v/>
      </c>
      <c r="JQ25" s="40" t="str">
        <f t="shared" si="121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1" t="str">
        <f t="shared" si="134"/>
        <v/>
      </c>
      <c r="KY25" s="11" t="str">
        <f t="shared" si="135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 t="shared" si="136"/>
        <v/>
      </c>
      <c r="LU25" s="40" t="str">
        <f t="shared" si="137"/>
        <v/>
      </c>
      <c r="LV25" s="40" t="str">
        <f t="shared" si="138"/>
        <v/>
      </c>
      <c r="LW25" s="40" t="str">
        <f t="shared" si="139"/>
        <v/>
      </c>
      <c r="LX25" s="40" t="str">
        <f t="shared" si="140"/>
        <v/>
      </c>
      <c r="LY25" s="40" t="str">
        <f t="shared" si="141"/>
        <v/>
      </c>
      <c r="LZ25" s="40" t="str">
        <f t="shared" si="142"/>
        <v/>
      </c>
      <c r="MA25" s="40" t="str">
        <f t="shared" si="143"/>
        <v/>
      </c>
      <c r="MB25" s="40" t="str">
        <f t="shared" si="144"/>
        <v/>
      </c>
      <c r="MC25" s="40" t="str">
        <f t="shared" si="145"/>
        <v/>
      </c>
      <c r="MD25" s="40" t="str">
        <f t="shared" si="146"/>
        <v/>
      </c>
      <c r="ME25" s="40" t="str">
        <f t="shared" si="147"/>
        <v/>
      </c>
      <c r="MF25" s="40" t="str">
        <f t="shared" si="148"/>
        <v/>
      </c>
      <c r="MG25" s="40" t="str">
        <f t="shared" si="149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1" t="str">
        <f t="shared" si="162"/>
        <v/>
      </c>
      <c r="NO25" s="11" t="str">
        <f t="shared" si="163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 t="shared" si="164"/>
        <v/>
      </c>
      <c r="OK25" s="40" t="str">
        <f t="shared" si="165"/>
        <v/>
      </c>
      <c r="OL25" s="40" t="str">
        <f t="shared" si="166"/>
        <v/>
      </c>
      <c r="OM25" s="40" t="str">
        <f t="shared" si="167"/>
        <v/>
      </c>
      <c r="ON25" s="40" t="str">
        <f t="shared" si="168"/>
        <v/>
      </c>
      <c r="OO25" s="40" t="str">
        <f t="shared" si="169"/>
        <v/>
      </c>
      <c r="OP25" s="40" t="str">
        <f t="shared" si="170"/>
        <v/>
      </c>
      <c r="OQ25" s="40" t="str">
        <f t="shared" si="171"/>
        <v/>
      </c>
      <c r="OR25" s="40" t="str">
        <f t="shared" si="172"/>
        <v/>
      </c>
      <c r="OS25" s="40" t="str">
        <f t="shared" si="173"/>
        <v/>
      </c>
      <c r="OT25" s="40" t="str">
        <f t="shared" si="174"/>
        <v/>
      </c>
      <c r="OU25" s="40" t="str">
        <f t="shared" si="175"/>
        <v/>
      </c>
      <c r="OV25" s="40" t="str">
        <f t="shared" si="176"/>
        <v/>
      </c>
      <c r="OW25" s="40" t="str">
        <f t="shared" si="177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1" t="str">
        <f t="shared" si="190"/>
        <v/>
      </c>
      <c r="QE25" s="11" t="str">
        <f t="shared" si="191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 t="shared" si="192"/>
        <v/>
      </c>
      <c r="RA25" s="40" t="str">
        <f t="shared" si="193"/>
        <v/>
      </c>
      <c r="RB25" s="40" t="str">
        <f t="shared" si="194"/>
        <v/>
      </c>
      <c r="RC25" s="40" t="str">
        <f t="shared" si="195"/>
        <v/>
      </c>
      <c r="RD25" s="40" t="str">
        <f t="shared" si="196"/>
        <v/>
      </c>
      <c r="RE25" s="40" t="str">
        <f t="shared" si="197"/>
        <v/>
      </c>
      <c r="RF25" s="40" t="str">
        <f t="shared" si="198"/>
        <v/>
      </c>
      <c r="RG25" s="40" t="str">
        <f t="shared" si="199"/>
        <v/>
      </c>
      <c r="RH25" s="40" t="str">
        <f t="shared" si="200"/>
        <v/>
      </c>
      <c r="RI25" s="40" t="str">
        <f t="shared" si="201"/>
        <v/>
      </c>
      <c r="RJ25" s="40" t="str">
        <f t="shared" si="202"/>
        <v/>
      </c>
      <c r="RK25" s="40" t="str">
        <f t="shared" si="203"/>
        <v/>
      </c>
      <c r="RL25" s="40" t="str">
        <f t="shared" si="204"/>
        <v/>
      </c>
      <c r="RM25" s="40" t="str">
        <f t="shared" si="205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11" t="str">
        <f t="shared" si="218"/>
        <v/>
      </c>
      <c r="SU25" s="11" t="str">
        <f t="shared" si="219"/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 t="shared" si="220"/>
        <v/>
      </c>
      <c r="TQ25" s="40" t="str">
        <f t="shared" si="221"/>
        <v/>
      </c>
      <c r="TR25" s="40" t="str">
        <f t="shared" si="222"/>
        <v/>
      </c>
      <c r="TS25" s="40" t="str">
        <f t="shared" si="223"/>
        <v/>
      </c>
      <c r="TT25" s="40" t="str">
        <f t="shared" si="224"/>
        <v/>
      </c>
      <c r="TU25" s="40" t="str">
        <f t="shared" si="225"/>
        <v/>
      </c>
      <c r="TV25" s="40" t="str">
        <f t="shared" si="226"/>
        <v/>
      </c>
      <c r="TW25" s="40" t="str">
        <f t="shared" si="227"/>
        <v/>
      </c>
      <c r="TX25" s="40" t="str">
        <f t="shared" si="228"/>
        <v/>
      </c>
      <c r="TY25" s="40" t="str">
        <f t="shared" si="229"/>
        <v/>
      </c>
      <c r="TZ25" s="40" t="str">
        <f t="shared" si="230"/>
        <v/>
      </c>
      <c r="UA25" s="40" t="str">
        <f t="shared" si="231"/>
        <v/>
      </c>
      <c r="UB25" s="40" t="str">
        <f t="shared" si="232"/>
        <v/>
      </c>
      <c r="UC25" s="40" t="str">
        <f t="shared" si="233"/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 t="shared" si="234"/>
        <v/>
      </c>
      <c r="UY25" s="11" t="str">
        <f t="shared" si="235"/>
        <v/>
      </c>
      <c r="UZ25" s="11" t="str">
        <f t="shared" si="236"/>
        <v/>
      </c>
      <c r="VA25" s="11" t="str">
        <f t="shared" si="237"/>
        <v/>
      </c>
      <c r="VB25" s="11" t="str">
        <f t="shared" si="238"/>
        <v/>
      </c>
      <c r="VC25" s="11" t="str">
        <f t="shared" si="239"/>
        <v/>
      </c>
      <c r="VD25" s="11" t="str">
        <f t="shared" si="240"/>
        <v/>
      </c>
      <c r="VE25" s="11" t="str">
        <f t="shared" si="241"/>
        <v/>
      </c>
      <c r="VF25" s="11" t="str">
        <f t="shared" si="242"/>
        <v/>
      </c>
      <c r="VG25" s="11" t="str">
        <f t="shared" si="243"/>
        <v/>
      </c>
      <c r="VH25" s="11" t="str">
        <f t="shared" si="244"/>
        <v/>
      </c>
      <c r="VI25" s="11" t="str">
        <f t="shared" si="245"/>
        <v/>
      </c>
      <c r="VJ25" s="11" t="str">
        <f t="shared" si="246"/>
        <v/>
      </c>
      <c r="VK25" s="11" t="str">
        <f t="shared" si="247"/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 t="shared" si="248"/>
        <v/>
      </c>
      <c r="WG25" s="40" t="str">
        <f t="shared" si="249"/>
        <v/>
      </c>
      <c r="WH25" s="40" t="str">
        <f t="shared" si="250"/>
        <v/>
      </c>
      <c r="WI25" s="40" t="str">
        <f t="shared" si="251"/>
        <v/>
      </c>
      <c r="WJ25" s="40" t="str">
        <f t="shared" si="252"/>
        <v/>
      </c>
      <c r="WK25" s="40" t="str">
        <f t="shared" si="253"/>
        <v/>
      </c>
      <c r="WL25" s="40" t="str">
        <f t="shared" si="254"/>
        <v/>
      </c>
      <c r="WM25" s="40" t="str">
        <f t="shared" si="255"/>
        <v/>
      </c>
      <c r="WN25" s="40" t="str">
        <f t="shared" si="256"/>
        <v/>
      </c>
      <c r="WO25" s="40" t="str">
        <f t="shared" si="257"/>
        <v/>
      </c>
      <c r="WP25" s="40" t="str">
        <f t="shared" si="258"/>
        <v/>
      </c>
      <c r="WQ25" s="40" t="str">
        <f t="shared" si="259"/>
        <v/>
      </c>
      <c r="WR25" s="40" t="str">
        <f t="shared" si="260"/>
        <v/>
      </c>
      <c r="WS25" s="40" t="str">
        <f t="shared" si="261"/>
        <v/>
      </c>
      <c r="WT25" s="26">
        <f t="shared" si="262"/>
        <v>0</v>
      </c>
      <c r="WU25" s="26">
        <f t="shared" si="263"/>
        <v>0</v>
      </c>
      <c r="WV25" s="26">
        <f t="shared" si="264"/>
        <v>0</v>
      </c>
      <c r="WW25" s="26">
        <f t="shared" si="265"/>
        <v>0</v>
      </c>
      <c r="WX25" s="26">
        <f t="shared" si="266"/>
        <v>0</v>
      </c>
      <c r="WY25" s="26">
        <f t="shared" si="267"/>
        <v>0</v>
      </c>
      <c r="WZ25" s="26">
        <f t="shared" si="268"/>
        <v>0</v>
      </c>
      <c r="XA25" s="26">
        <f t="shared" si="269"/>
        <v>0</v>
      </c>
      <c r="XB25" s="26">
        <f t="shared" si="270"/>
        <v>0</v>
      </c>
      <c r="XC25" s="26">
        <f t="shared" si="271"/>
        <v>0</v>
      </c>
      <c r="XD25" s="26">
        <f t="shared" si="272"/>
        <v>0</v>
      </c>
      <c r="XE25" s="26">
        <f t="shared" si="273"/>
        <v>0</v>
      </c>
      <c r="XF25" s="26">
        <f t="shared" si="274"/>
        <v>0</v>
      </c>
      <c r="XG25" s="26">
        <f t="shared" si="275"/>
        <v>0</v>
      </c>
      <c r="XH25" s="26">
        <f t="shared" si="276"/>
        <v>0</v>
      </c>
      <c r="XI25" s="28" t="s">
        <v>53</v>
      </c>
      <c r="XJ25" s="11" t="str">
        <f t="shared" si="277"/>
        <v/>
      </c>
      <c r="XK25" s="11" t="str">
        <f t="shared" si="278"/>
        <v/>
      </c>
      <c r="XL25" s="11" t="str">
        <f t="shared" si="279"/>
        <v/>
      </c>
      <c r="XM25" s="11" t="str">
        <f t="shared" si="280"/>
        <v/>
      </c>
      <c r="XN25" s="11" t="str">
        <f t="shared" si="281"/>
        <v/>
      </c>
      <c r="XO25" s="11" t="str">
        <f t="shared" si="282"/>
        <v/>
      </c>
      <c r="XP25" s="11" t="str">
        <f t="shared" si="283"/>
        <v/>
      </c>
      <c r="XQ25" s="11" t="str">
        <f t="shared" si="284"/>
        <v/>
      </c>
      <c r="XR25" s="11" t="str">
        <f t="shared" si="285"/>
        <v/>
      </c>
      <c r="XS25" s="11" t="str">
        <f t="shared" si="286"/>
        <v/>
      </c>
      <c r="XT25" s="11" t="str">
        <f t="shared" si="287"/>
        <v/>
      </c>
    </row>
    <row r="26" spans="1:644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135</v>
      </c>
      <c r="C26" s="4" t="s">
        <v>134</v>
      </c>
      <c r="D26" s="4">
        <v>2004</v>
      </c>
      <c r="E26" s="9">
        <f t="shared" si="0"/>
        <v>54.06000117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IF(COUNT(AQ26,AT26,BR26,BU26,CS26,CV26)&gt;0,LARGE((AQ26,AT26,BR26,BU26,CS26,CV26),1),0)</f>
        <v>0</v>
      </c>
      <c r="K26" s="8" t="str">
        <f t="shared" si="5"/>
        <v/>
      </c>
      <c r="L26" s="8">
        <f>IF(COUNT(AQ26,AT26,BR26,BU26,CS26,CV26)&gt;1,LARGE((AQ26,AT26,BR26,BU26,CS26,CV26),2),0)</f>
        <v>0</v>
      </c>
      <c r="M26" s="8" t="str">
        <f t="shared" si="6"/>
        <v/>
      </c>
      <c r="N26" s="8">
        <f>IF(COUNT(AQ26,AT26,BR26,BU26,CS26,CV26)&gt;2,LARGE((AQ26,AT26,BR26,BU26,CS26,CV26),3),0)</f>
        <v>0</v>
      </c>
      <c r="O26" s="8" t="str">
        <f t="shared" si="7"/>
        <v/>
      </c>
      <c r="P26" s="8">
        <f t="shared" si="8"/>
        <v>0</v>
      </c>
      <c r="Q26" s="8" t="str">
        <f t="shared" si="9"/>
        <v/>
      </c>
      <c r="R26" s="8">
        <f t="shared" si="10"/>
        <v>11.7</v>
      </c>
      <c r="S26" s="8" t="str">
        <f t="shared" si="11"/>
        <v>2024 Pan Am Club Championships (May 19)</v>
      </c>
      <c r="T26" s="8">
        <f t="shared" si="12"/>
        <v>0</v>
      </c>
      <c r="U26" s="8" t="str">
        <f t="shared" si="13"/>
        <v/>
      </c>
      <c r="V26" s="8">
        <f t="shared" si="14"/>
        <v>42.36</v>
      </c>
      <c r="W26" s="11" t="str">
        <f t="shared" si="15"/>
        <v>(Prelim)</v>
      </c>
      <c r="X26" s="8" t="str">
        <f t="shared" si="16"/>
        <v>2024 Pan Am Club Championships (May 19)</v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 t="shared" si="17"/>
        <v/>
      </c>
      <c r="AP26" s="38" t="str">
        <f t="shared" si="18"/>
        <v/>
      </c>
      <c r="AQ26" s="40" t="str">
        <f t="shared" si="19"/>
        <v/>
      </c>
      <c r="AR26" s="40" t="str">
        <f t="shared" si="20"/>
        <v/>
      </c>
      <c r="AS26" s="40" t="str">
        <f t="shared" si="21"/>
        <v/>
      </c>
      <c r="AT26" s="40" t="str">
        <f t="shared" si="22"/>
        <v/>
      </c>
      <c r="AU26" s="40" t="str">
        <f t="shared" si="23"/>
        <v/>
      </c>
      <c r="AV26" s="40" t="str">
        <f t="shared" si="24"/>
        <v/>
      </c>
      <c r="AW26" s="40" t="str">
        <f t="shared" si="25"/>
        <v/>
      </c>
      <c r="AX26" s="40" t="str">
        <f t="shared" si="26"/>
        <v/>
      </c>
      <c r="AY26" s="40" t="str">
        <f t="shared" si="27"/>
        <v/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 t="shared" si="28"/>
        <v/>
      </c>
      <c r="BQ26" s="39" t="str">
        <f t="shared" si="29"/>
        <v/>
      </c>
      <c r="BR26" s="11" t="str">
        <f t="shared" si="30"/>
        <v/>
      </c>
      <c r="BS26" s="11" t="str">
        <f t="shared" si="31"/>
        <v/>
      </c>
      <c r="BT26" s="11" t="str">
        <f t="shared" si="32"/>
        <v/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 t="str">
        <f t="shared" si="36"/>
        <v/>
      </c>
      <c r="BY26" s="11" t="str">
        <f t="shared" si="37"/>
        <v/>
      </c>
      <c r="BZ26" s="11" t="str">
        <f t="shared" si="38"/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 t="shared" si="39"/>
        <v/>
      </c>
      <c r="CR26" s="38" t="str">
        <f t="shared" si="40"/>
        <v/>
      </c>
      <c r="CS26" s="40" t="str">
        <f t="shared" si="41"/>
        <v/>
      </c>
      <c r="CT26" s="40" t="str">
        <f t="shared" si="42"/>
        <v/>
      </c>
      <c r="CU26" s="40" t="str">
        <f t="shared" si="43"/>
        <v/>
      </c>
      <c r="CV26" s="40" t="str">
        <f t="shared" si="44"/>
        <v/>
      </c>
      <c r="CW26" s="40" t="str">
        <f t="shared" si="45"/>
        <v/>
      </c>
      <c r="CX26" s="40" t="str">
        <f t="shared" si="46"/>
        <v/>
      </c>
      <c r="CY26" s="40" t="str">
        <f t="shared" si="47"/>
        <v/>
      </c>
      <c r="CZ26" s="40" t="str">
        <f t="shared" si="48"/>
        <v/>
      </c>
      <c r="DA26" s="40" t="str">
        <f t="shared" si="49"/>
        <v/>
      </c>
      <c r="DB26" s="51">
        <f t="shared" si="50"/>
        <v>42.36</v>
      </c>
      <c r="DC26" s="51" t="str">
        <f t="shared" si="51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52"/>
        <v/>
      </c>
      <c r="DY26" s="40" t="str">
        <f t="shared" si="53"/>
        <v/>
      </c>
      <c r="DZ26" s="40" t="str">
        <f t="shared" si="54"/>
        <v/>
      </c>
      <c r="EA26" s="40" t="str">
        <f t="shared" si="55"/>
        <v/>
      </c>
      <c r="EB26" s="40" t="str">
        <f t="shared" si="56"/>
        <v/>
      </c>
      <c r="EC26" s="40" t="str">
        <f t="shared" si="57"/>
        <v/>
      </c>
      <c r="ED26" s="40" t="str">
        <f t="shared" si="58"/>
        <v/>
      </c>
      <c r="EE26" s="40" t="str">
        <f t="shared" si="59"/>
        <v/>
      </c>
      <c r="EF26" s="40" t="str">
        <f t="shared" si="60"/>
        <v/>
      </c>
      <c r="EG26" s="40" t="str">
        <f t="shared" si="61"/>
        <v/>
      </c>
      <c r="EH26" s="40" t="str">
        <f t="shared" si="62"/>
        <v/>
      </c>
      <c r="EI26" s="40" t="str">
        <f t="shared" si="63"/>
        <v/>
      </c>
      <c r="EJ26" s="40" t="str">
        <f t="shared" si="64"/>
        <v/>
      </c>
      <c r="EK26" s="40" t="str">
        <f t="shared" si="65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 t="str">
        <f t="shared" si="77"/>
        <v/>
      </c>
      <c r="FR26" s="11" t="str">
        <f t="shared" si="78"/>
        <v/>
      </c>
      <c r="FS26" s="11" t="str">
        <f t="shared" si="79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 t="shared" si="80"/>
        <v/>
      </c>
      <c r="GO26" s="40" t="str">
        <f t="shared" si="81"/>
        <v/>
      </c>
      <c r="GP26" s="40" t="str">
        <f t="shared" si="82"/>
        <v/>
      </c>
      <c r="GQ26" s="40" t="str">
        <f t="shared" si="83"/>
        <v/>
      </c>
      <c r="GR26" s="40" t="str">
        <f t="shared" si="84"/>
        <v/>
      </c>
      <c r="GS26" s="40" t="str">
        <f t="shared" si="85"/>
        <v/>
      </c>
      <c r="GT26" s="40" t="str">
        <f t="shared" si="86"/>
        <v/>
      </c>
      <c r="GU26" s="40" t="str">
        <f t="shared" si="87"/>
        <v/>
      </c>
      <c r="GV26" s="40" t="str">
        <f t="shared" si="88"/>
        <v/>
      </c>
      <c r="GW26" s="40" t="str">
        <f t="shared" si="89"/>
        <v/>
      </c>
      <c r="GX26" s="40" t="str">
        <f t="shared" si="90"/>
        <v/>
      </c>
      <c r="GY26" s="40" t="str">
        <f t="shared" si="91"/>
        <v/>
      </c>
      <c r="GZ26" s="40" t="str">
        <f t="shared" si="92"/>
        <v/>
      </c>
      <c r="HA26" s="40" t="str">
        <f t="shared" si="93"/>
        <v/>
      </c>
      <c r="HB26" s="18">
        <v>11.4</v>
      </c>
      <c r="HC26" s="18">
        <v>6.9</v>
      </c>
      <c r="HD26" s="18">
        <v>11.7</v>
      </c>
      <c r="HE26" s="18">
        <v>12.36</v>
      </c>
      <c r="HF26" s="18">
        <v>0</v>
      </c>
      <c r="HG26" s="18">
        <v>8.8000000000000007</v>
      </c>
      <c r="HH26" s="18">
        <v>5.3</v>
      </c>
      <c r="HI26" s="18">
        <v>7.3</v>
      </c>
      <c r="HJ26" s="18">
        <v>9.57</v>
      </c>
      <c r="HK26" s="18">
        <v>0</v>
      </c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>
        <f t="shared" si="94"/>
        <v>11.7</v>
      </c>
      <c r="HW26" s="11">
        <f t="shared" si="95"/>
        <v>12.36</v>
      </c>
      <c r="HX26" s="11">
        <f t="shared" si="96"/>
        <v>42.36</v>
      </c>
      <c r="HY26" s="11">
        <f t="shared" si="97"/>
        <v>7.3</v>
      </c>
      <c r="HZ26" s="11">
        <f t="shared" si="98"/>
        <v>9.57</v>
      </c>
      <c r="IA26" s="11">
        <f t="shared" si="99"/>
        <v>30.970000000000002</v>
      </c>
      <c r="IB26" s="11">
        <f t="shared" si="100"/>
        <v>42.36</v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1" t="str">
        <f t="shared" si="106"/>
        <v/>
      </c>
      <c r="II26" s="11">
        <f t="shared" si="107"/>
        <v>42.36</v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 t="shared" si="108"/>
        <v/>
      </c>
      <c r="JE26" s="40" t="str">
        <f t="shared" si="109"/>
        <v/>
      </c>
      <c r="JF26" s="40" t="str">
        <f t="shared" si="110"/>
        <v/>
      </c>
      <c r="JG26" s="40" t="str">
        <f t="shared" si="111"/>
        <v/>
      </c>
      <c r="JH26" s="40" t="str">
        <f t="shared" si="112"/>
        <v/>
      </c>
      <c r="JI26" s="40" t="str">
        <f t="shared" si="113"/>
        <v/>
      </c>
      <c r="JJ26" s="40" t="str">
        <f t="shared" si="114"/>
        <v/>
      </c>
      <c r="JK26" s="40" t="str">
        <f t="shared" si="115"/>
        <v/>
      </c>
      <c r="JL26" s="40" t="str">
        <f t="shared" si="116"/>
        <v/>
      </c>
      <c r="JM26" s="40" t="str">
        <f t="shared" si="117"/>
        <v/>
      </c>
      <c r="JN26" s="40" t="str">
        <f t="shared" si="118"/>
        <v/>
      </c>
      <c r="JO26" s="40" t="str">
        <f t="shared" si="119"/>
        <v/>
      </c>
      <c r="JP26" s="40" t="str">
        <f t="shared" si="120"/>
        <v/>
      </c>
      <c r="JQ26" s="40" t="str">
        <f t="shared" si="121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1" t="str">
        <f t="shared" si="134"/>
        <v/>
      </c>
      <c r="KY26" s="11" t="str">
        <f t="shared" si="135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 t="shared" si="136"/>
        <v/>
      </c>
      <c r="LU26" s="40" t="str">
        <f t="shared" si="137"/>
        <v/>
      </c>
      <c r="LV26" s="40" t="str">
        <f t="shared" si="138"/>
        <v/>
      </c>
      <c r="LW26" s="40" t="str">
        <f t="shared" si="139"/>
        <v/>
      </c>
      <c r="LX26" s="40" t="str">
        <f t="shared" si="140"/>
        <v/>
      </c>
      <c r="LY26" s="40" t="str">
        <f t="shared" si="141"/>
        <v/>
      </c>
      <c r="LZ26" s="40" t="str">
        <f t="shared" si="142"/>
        <v/>
      </c>
      <c r="MA26" s="40" t="str">
        <f t="shared" si="143"/>
        <v/>
      </c>
      <c r="MB26" s="40" t="str">
        <f t="shared" si="144"/>
        <v/>
      </c>
      <c r="MC26" s="40" t="str">
        <f t="shared" si="145"/>
        <v/>
      </c>
      <c r="MD26" s="40" t="str">
        <f t="shared" si="146"/>
        <v/>
      </c>
      <c r="ME26" s="40" t="str">
        <f t="shared" si="147"/>
        <v/>
      </c>
      <c r="MF26" s="40" t="str">
        <f t="shared" si="148"/>
        <v/>
      </c>
      <c r="MG26" s="40" t="str">
        <f t="shared" si="149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1" t="str">
        <f t="shared" si="162"/>
        <v/>
      </c>
      <c r="NO26" s="11" t="str">
        <f t="shared" si="163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 t="shared" si="164"/>
        <v/>
      </c>
      <c r="OK26" s="40" t="str">
        <f t="shared" si="165"/>
        <v/>
      </c>
      <c r="OL26" s="40" t="str">
        <f t="shared" si="166"/>
        <v/>
      </c>
      <c r="OM26" s="40" t="str">
        <f t="shared" si="167"/>
        <v/>
      </c>
      <c r="ON26" s="40" t="str">
        <f t="shared" si="168"/>
        <v/>
      </c>
      <c r="OO26" s="40" t="str">
        <f t="shared" si="169"/>
        <v/>
      </c>
      <c r="OP26" s="40" t="str">
        <f t="shared" si="170"/>
        <v/>
      </c>
      <c r="OQ26" s="40" t="str">
        <f t="shared" si="171"/>
        <v/>
      </c>
      <c r="OR26" s="40" t="str">
        <f t="shared" si="172"/>
        <v/>
      </c>
      <c r="OS26" s="40" t="str">
        <f t="shared" si="173"/>
        <v/>
      </c>
      <c r="OT26" s="40" t="str">
        <f t="shared" si="174"/>
        <v/>
      </c>
      <c r="OU26" s="40" t="str">
        <f t="shared" si="175"/>
        <v/>
      </c>
      <c r="OV26" s="40" t="str">
        <f t="shared" si="176"/>
        <v/>
      </c>
      <c r="OW26" s="40" t="str">
        <f t="shared" si="177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1" t="str">
        <f t="shared" si="190"/>
        <v/>
      </c>
      <c r="QE26" s="11" t="str">
        <f t="shared" si="191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 t="shared" si="192"/>
        <v/>
      </c>
      <c r="RA26" s="40" t="str">
        <f t="shared" si="193"/>
        <v/>
      </c>
      <c r="RB26" s="40" t="str">
        <f t="shared" si="194"/>
        <v/>
      </c>
      <c r="RC26" s="40" t="str">
        <f t="shared" si="195"/>
        <v/>
      </c>
      <c r="RD26" s="40" t="str">
        <f t="shared" si="196"/>
        <v/>
      </c>
      <c r="RE26" s="40" t="str">
        <f t="shared" si="197"/>
        <v/>
      </c>
      <c r="RF26" s="40" t="str">
        <f t="shared" si="198"/>
        <v/>
      </c>
      <c r="RG26" s="40" t="str">
        <f t="shared" si="199"/>
        <v/>
      </c>
      <c r="RH26" s="40" t="str">
        <f t="shared" si="200"/>
        <v/>
      </c>
      <c r="RI26" s="40" t="str">
        <f t="shared" si="201"/>
        <v/>
      </c>
      <c r="RJ26" s="40" t="str">
        <f t="shared" si="202"/>
        <v/>
      </c>
      <c r="RK26" s="40" t="str">
        <f t="shared" si="203"/>
        <v/>
      </c>
      <c r="RL26" s="40" t="str">
        <f t="shared" si="204"/>
        <v/>
      </c>
      <c r="RM26" s="40" t="str">
        <f t="shared" si="205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11" t="str">
        <f t="shared" si="218"/>
        <v/>
      </c>
      <c r="SU26" s="11" t="str">
        <f t="shared" si="219"/>
        <v/>
      </c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40" t="str">
        <f t="shared" si="220"/>
        <v/>
      </c>
      <c r="TQ26" s="40" t="str">
        <f t="shared" si="221"/>
        <v/>
      </c>
      <c r="TR26" s="40" t="str">
        <f t="shared" si="222"/>
        <v/>
      </c>
      <c r="TS26" s="40" t="str">
        <f t="shared" si="223"/>
        <v/>
      </c>
      <c r="TT26" s="40" t="str">
        <f t="shared" si="224"/>
        <v/>
      </c>
      <c r="TU26" s="40" t="str">
        <f t="shared" si="225"/>
        <v/>
      </c>
      <c r="TV26" s="40" t="str">
        <f t="shared" si="226"/>
        <v/>
      </c>
      <c r="TW26" s="40" t="str">
        <f t="shared" si="227"/>
        <v/>
      </c>
      <c r="TX26" s="40" t="str">
        <f t="shared" si="228"/>
        <v/>
      </c>
      <c r="TY26" s="40" t="str">
        <f t="shared" si="229"/>
        <v/>
      </c>
      <c r="TZ26" s="40" t="str">
        <f t="shared" si="230"/>
        <v/>
      </c>
      <c r="UA26" s="40" t="str">
        <f t="shared" si="231"/>
        <v/>
      </c>
      <c r="UB26" s="40" t="str">
        <f t="shared" si="232"/>
        <v/>
      </c>
      <c r="UC26" s="40" t="str">
        <f t="shared" si="233"/>
        <v/>
      </c>
      <c r="UD26" s="18"/>
      <c r="UE26" s="18"/>
      <c r="UF26" s="18"/>
      <c r="UG26" s="18"/>
      <c r="UH26" s="18"/>
      <c r="UI26" s="18"/>
      <c r="UJ26" s="18"/>
      <c r="UK26" s="18"/>
      <c r="UL26" s="18"/>
      <c r="UM26" s="18"/>
      <c r="UN26" s="18"/>
      <c r="UO26" s="18"/>
      <c r="UP26" s="18"/>
      <c r="UQ26" s="18"/>
      <c r="UR26" s="18"/>
      <c r="US26" s="18"/>
      <c r="UT26" s="18"/>
      <c r="UU26" s="18"/>
      <c r="UV26" s="18"/>
      <c r="UW26" s="18"/>
      <c r="UX26" s="11" t="str">
        <f t="shared" si="234"/>
        <v/>
      </c>
      <c r="UY26" s="11" t="str">
        <f t="shared" si="235"/>
        <v/>
      </c>
      <c r="UZ26" s="11" t="str">
        <f t="shared" si="236"/>
        <v/>
      </c>
      <c r="VA26" s="11" t="str">
        <f t="shared" si="237"/>
        <v/>
      </c>
      <c r="VB26" s="11" t="str">
        <f t="shared" si="238"/>
        <v/>
      </c>
      <c r="VC26" s="11" t="str">
        <f t="shared" si="239"/>
        <v/>
      </c>
      <c r="VD26" s="11" t="str">
        <f t="shared" si="240"/>
        <v/>
      </c>
      <c r="VE26" s="11" t="str">
        <f t="shared" si="241"/>
        <v/>
      </c>
      <c r="VF26" s="11" t="str">
        <f t="shared" si="242"/>
        <v/>
      </c>
      <c r="VG26" s="11" t="str">
        <f t="shared" si="243"/>
        <v/>
      </c>
      <c r="VH26" s="11" t="str">
        <f t="shared" si="244"/>
        <v/>
      </c>
      <c r="VI26" s="11" t="str">
        <f t="shared" si="245"/>
        <v/>
      </c>
      <c r="VJ26" s="11" t="str">
        <f t="shared" si="246"/>
        <v/>
      </c>
      <c r="VK26" s="11" t="str">
        <f t="shared" si="247"/>
        <v/>
      </c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40" t="str">
        <f t="shared" si="248"/>
        <v/>
      </c>
      <c r="WG26" s="40" t="str">
        <f t="shared" si="249"/>
        <v/>
      </c>
      <c r="WH26" s="40" t="str">
        <f t="shared" si="250"/>
        <v/>
      </c>
      <c r="WI26" s="40" t="str">
        <f t="shared" si="251"/>
        <v/>
      </c>
      <c r="WJ26" s="40" t="str">
        <f t="shared" si="252"/>
        <v/>
      </c>
      <c r="WK26" s="40" t="str">
        <f t="shared" si="253"/>
        <v/>
      </c>
      <c r="WL26" s="40" t="str">
        <f t="shared" si="254"/>
        <v/>
      </c>
      <c r="WM26" s="40" t="str">
        <f t="shared" si="255"/>
        <v/>
      </c>
      <c r="WN26" s="40" t="str">
        <f t="shared" si="256"/>
        <v/>
      </c>
      <c r="WO26" s="40" t="str">
        <f t="shared" si="257"/>
        <v/>
      </c>
      <c r="WP26" s="40" t="str">
        <f t="shared" si="258"/>
        <v/>
      </c>
      <c r="WQ26" s="40" t="str">
        <f t="shared" si="259"/>
        <v/>
      </c>
      <c r="WR26" s="40" t="str">
        <f t="shared" si="260"/>
        <v/>
      </c>
      <c r="WS26" s="40" t="str">
        <f t="shared" si="261"/>
        <v/>
      </c>
      <c r="WT26" s="26">
        <f t="shared" si="262"/>
        <v>0</v>
      </c>
      <c r="WU26" s="26">
        <f t="shared" si="263"/>
        <v>0</v>
      </c>
      <c r="WV26" s="26">
        <f t="shared" si="264"/>
        <v>0</v>
      </c>
      <c r="WW26" s="26">
        <f t="shared" si="265"/>
        <v>0</v>
      </c>
      <c r="WX26" s="26">
        <f t="shared" si="266"/>
        <v>0</v>
      </c>
      <c r="WY26" s="26">
        <f t="shared" si="267"/>
        <v>0</v>
      </c>
      <c r="WZ26" s="26">
        <f t="shared" si="268"/>
        <v>0</v>
      </c>
      <c r="XA26" s="26">
        <f t="shared" si="269"/>
        <v>0</v>
      </c>
      <c r="XB26" s="26">
        <f t="shared" si="270"/>
        <v>0</v>
      </c>
      <c r="XC26" s="26">
        <f t="shared" si="271"/>
        <v>0</v>
      </c>
      <c r="XD26" s="26">
        <f t="shared" si="272"/>
        <v>0</v>
      </c>
      <c r="XE26" s="26">
        <f t="shared" si="273"/>
        <v>0</v>
      </c>
      <c r="XF26" s="26">
        <f t="shared" si="274"/>
        <v>0</v>
      </c>
      <c r="XG26" s="26">
        <f t="shared" si="275"/>
        <v>0</v>
      </c>
      <c r="XH26" s="26">
        <f t="shared" si="276"/>
        <v>0</v>
      </c>
      <c r="XI26" s="28" t="s">
        <v>53</v>
      </c>
      <c r="XJ26" s="11" t="str">
        <f t="shared" si="277"/>
        <v/>
      </c>
      <c r="XK26" s="11" t="str">
        <f t="shared" si="278"/>
        <v/>
      </c>
      <c r="XL26" s="11" t="str">
        <f t="shared" si="279"/>
        <v/>
      </c>
      <c r="XM26" s="11" t="str">
        <f t="shared" si="280"/>
        <v/>
      </c>
      <c r="XN26" s="11" t="str">
        <f t="shared" si="281"/>
        <v/>
      </c>
      <c r="XO26" s="11" t="str">
        <f t="shared" si="282"/>
        <v/>
      </c>
      <c r="XP26" s="11" t="str">
        <f t="shared" si="283"/>
        <v/>
      </c>
      <c r="XQ26" s="11" t="str">
        <f t="shared" si="284"/>
        <v/>
      </c>
      <c r="XR26" s="11" t="str">
        <f t="shared" si="285"/>
        <v/>
      </c>
      <c r="XS26" s="11" t="str">
        <f t="shared" si="286"/>
        <v/>
      </c>
      <c r="XT26" s="11" t="str">
        <f t="shared" si="287"/>
        <v/>
      </c>
    </row>
    <row r="27" spans="1:644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136</v>
      </c>
      <c r="C27" s="4" t="s">
        <v>5</v>
      </c>
      <c r="D27" s="4">
        <v>1993</v>
      </c>
      <c r="E27" s="9">
        <f t="shared" si="0"/>
        <v>48.130004813003175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IF(COUNT(AQ27,AT27,BR27,BU27,CS27,CV27)&gt;0,LARGE((AQ27,AT27,BR27,BU27,CS27,CV27),1),0)</f>
        <v>31.810000000000002</v>
      </c>
      <c r="K27" s="8" t="str">
        <f t="shared" si="5"/>
        <v>2024 Nationals</v>
      </c>
      <c r="L27" s="8">
        <f>IF(COUNT(AQ27,AT27,BR27,BU27,CS27,CV27)&gt;1,LARGE((AQ27,AT27,BR27,BU27,CS27,CV27),2),0)</f>
        <v>9.52</v>
      </c>
      <c r="M27" s="8" t="str">
        <f t="shared" si="6"/>
        <v>2024 Nationals</v>
      </c>
      <c r="N27" s="8">
        <f>IF(COUNT(AQ27,AT27,BR27,BU27,CS27,CV27)&gt;2,LARGE((AQ27,AT27,BR27,BU27,CS27,CV27),3),0)</f>
        <v>0</v>
      </c>
      <c r="O27" s="8" t="str">
        <f t="shared" si="7"/>
        <v/>
      </c>
      <c r="P27" s="8">
        <f t="shared" si="8"/>
        <v>0</v>
      </c>
      <c r="Q27" s="8" t="str">
        <f t="shared" si="9"/>
        <v/>
      </c>
      <c r="R27" s="8">
        <f t="shared" si="10"/>
        <v>6.8</v>
      </c>
      <c r="S27" s="8" t="str">
        <f t="shared" si="11"/>
        <v>2024 Nationals</v>
      </c>
      <c r="T27" s="8">
        <f t="shared" si="12"/>
        <v>0</v>
      </c>
      <c r="U27" s="8" t="str">
        <f t="shared" si="13"/>
        <v/>
      </c>
      <c r="V27" s="8" t="str">
        <f t="shared" si="14"/>
        <v/>
      </c>
      <c r="W27" s="11" t="str">
        <f t="shared" si="15"/>
        <v/>
      </c>
      <c r="X27" s="8" t="str">
        <f t="shared" si="16"/>
        <v/>
      </c>
      <c r="Y27" s="22">
        <v>2.4</v>
      </c>
      <c r="Z27" s="22">
        <v>1.8</v>
      </c>
      <c r="AA27" s="22">
        <v>2.2999999999999998</v>
      </c>
      <c r="AB27" s="22">
        <v>3.02</v>
      </c>
      <c r="AC27" s="22">
        <v>0</v>
      </c>
      <c r="AD27" s="22">
        <v>8.6</v>
      </c>
      <c r="AE27" s="22">
        <v>6.1</v>
      </c>
      <c r="AF27" s="22">
        <v>6.8</v>
      </c>
      <c r="AG27" s="22">
        <v>10.31</v>
      </c>
      <c r="AH27" s="22">
        <v>0</v>
      </c>
      <c r="AI27" s="22"/>
      <c r="AJ27" s="22"/>
      <c r="AK27" s="22"/>
      <c r="AL27" s="22"/>
      <c r="AM27" s="22"/>
      <c r="AN27" s="27"/>
      <c r="AO27" s="38">
        <f t="shared" si="17"/>
        <v>2.2999999999999998</v>
      </c>
      <c r="AP27" s="38">
        <f t="shared" si="18"/>
        <v>3.02</v>
      </c>
      <c r="AQ27" s="40">
        <f t="shared" si="19"/>
        <v>9.52</v>
      </c>
      <c r="AR27" s="40">
        <f t="shared" si="20"/>
        <v>6.8</v>
      </c>
      <c r="AS27" s="40">
        <f t="shared" si="21"/>
        <v>10.31</v>
      </c>
      <c r="AT27" s="40">
        <f t="shared" si="22"/>
        <v>31.810000000000002</v>
      </c>
      <c r="AU27" s="40">
        <f t="shared" si="23"/>
        <v>31.810000000000002</v>
      </c>
      <c r="AV27" s="40" t="str">
        <f t="shared" si="24"/>
        <v/>
      </c>
      <c r="AW27" s="40" t="str">
        <f t="shared" si="25"/>
        <v/>
      </c>
      <c r="AX27" s="40" t="str">
        <f t="shared" si="26"/>
        <v/>
      </c>
      <c r="AY27" s="40">
        <f t="shared" si="27"/>
        <v>31.810000000000002</v>
      </c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8"/>
      <c r="BP27" s="39" t="str">
        <f t="shared" si="28"/>
        <v/>
      </c>
      <c r="BQ27" s="39" t="str">
        <f t="shared" si="29"/>
        <v/>
      </c>
      <c r="BR27" s="11" t="str">
        <f t="shared" si="30"/>
        <v/>
      </c>
      <c r="BS27" s="11" t="str">
        <f t="shared" si="31"/>
        <v/>
      </c>
      <c r="BT27" s="11" t="str">
        <f t="shared" si="32"/>
        <v/>
      </c>
      <c r="BU27" s="11" t="str">
        <f t="shared" si="33"/>
        <v/>
      </c>
      <c r="BV27" s="11" t="str">
        <f t="shared" si="34"/>
        <v/>
      </c>
      <c r="BW27" s="11" t="str">
        <f t="shared" si="35"/>
        <v/>
      </c>
      <c r="BX27" s="11" t="str">
        <f t="shared" si="36"/>
        <v/>
      </c>
      <c r="BY27" s="11" t="str">
        <f t="shared" si="37"/>
        <v/>
      </c>
      <c r="BZ27" s="11" t="str">
        <f t="shared" si="38"/>
        <v/>
      </c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7"/>
      <c r="CQ27" s="38" t="str">
        <f t="shared" si="39"/>
        <v/>
      </c>
      <c r="CR27" s="38" t="str">
        <f t="shared" si="40"/>
        <v/>
      </c>
      <c r="CS27" s="40" t="str">
        <f t="shared" si="41"/>
        <v/>
      </c>
      <c r="CT27" s="40" t="str">
        <f t="shared" si="42"/>
        <v/>
      </c>
      <c r="CU27" s="40" t="str">
        <f t="shared" si="43"/>
        <v/>
      </c>
      <c r="CV27" s="40" t="str">
        <f t="shared" si="44"/>
        <v/>
      </c>
      <c r="CW27" s="40" t="str">
        <f t="shared" si="45"/>
        <v/>
      </c>
      <c r="CX27" s="40" t="str">
        <f t="shared" si="46"/>
        <v/>
      </c>
      <c r="CY27" s="40" t="str">
        <f t="shared" si="47"/>
        <v/>
      </c>
      <c r="CZ27" s="40" t="str">
        <f t="shared" si="48"/>
        <v/>
      </c>
      <c r="DA27" s="40" t="str">
        <f t="shared" si="49"/>
        <v/>
      </c>
      <c r="DB27" s="51" t="str">
        <f t="shared" si="50"/>
        <v/>
      </c>
      <c r="DC27" s="51" t="str">
        <f t="shared" si="51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52"/>
        <v/>
      </c>
      <c r="DY27" s="40" t="str">
        <f t="shared" si="53"/>
        <v/>
      </c>
      <c r="DZ27" s="40" t="str">
        <f t="shared" si="54"/>
        <v/>
      </c>
      <c r="EA27" s="40" t="str">
        <f t="shared" si="55"/>
        <v/>
      </c>
      <c r="EB27" s="40" t="str">
        <f t="shared" si="56"/>
        <v/>
      </c>
      <c r="EC27" s="40" t="str">
        <f t="shared" si="57"/>
        <v/>
      </c>
      <c r="ED27" s="40" t="str">
        <f t="shared" si="58"/>
        <v/>
      </c>
      <c r="EE27" s="40" t="str">
        <f t="shared" si="59"/>
        <v/>
      </c>
      <c r="EF27" s="40" t="str">
        <f t="shared" si="60"/>
        <v/>
      </c>
      <c r="EG27" s="40" t="str">
        <f t="shared" si="61"/>
        <v/>
      </c>
      <c r="EH27" s="40" t="str">
        <f t="shared" si="62"/>
        <v/>
      </c>
      <c r="EI27" s="40" t="str">
        <f t="shared" si="63"/>
        <v/>
      </c>
      <c r="EJ27" s="40" t="str">
        <f t="shared" si="64"/>
        <v/>
      </c>
      <c r="EK27" s="40" t="str">
        <f t="shared" si="65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1" t="str">
        <f t="shared" si="71"/>
        <v/>
      </c>
      <c r="FL27" s="11" t="str">
        <f t="shared" si="72"/>
        <v/>
      </c>
      <c r="FM27" s="11" t="str">
        <f t="shared" si="73"/>
        <v/>
      </c>
      <c r="FN27" s="11" t="str">
        <f t="shared" si="74"/>
        <v/>
      </c>
      <c r="FO27" s="11" t="str">
        <f t="shared" si="75"/>
        <v/>
      </c>
      <c r="FP27" s="11" t="str">
        <f t="shared" si="76"/>
        <v/>
      </c>
      <c r="FQ27" s="11" t="str">
        <f t="shared" si="77"/>
        <v/>
      </c>
      <c r="FR27" s="11" t="str">
        <f t="shared" si="78"/>
        <v/>
      </c>
      <c r="FS27" s="11" t="str">
        <f t="shared" si="79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 t="shared" si="80"/>
        <v/>
      </c>
      <c r="GO27" s="40" t="str">
        <f t="shared" si="81"/>
        <v/>
      </c>
      <c r="GP27" s="40" t="str">
        <f t="shared" si="82"/>
        <v/>
      </c>
      <c r="GQ27" s="40" t="str">
        <f t="shared" si="83"/>
        <v/>
      </c>
      <c r="GR27" s="40" t="str">
        <f t="shared" si="84"/>
        <v/>
      </c>
      <c r="GS27" s="40" t="str">
        <f t="shared" si="85"/>
        <v/>
      </c>
      <c r="GT27" s="40" t="str">
        <f t="shared" si="86"/>
        <v/>
      </c>
      <c r="GU27" s="40" t="str">
        <f t="shared" si="87"/>
        <v/>
      </c>
      <c r="GV27" s="40" t="str">
        <f t="shared" si="88"/>
        <v/>
      </c>
      <c r="GW27" s="40" t="str">
        <f t="shared" si="89"/>
        <v/>
      </c>
      <c r="GX27" s="40" t="str">
        <f t="shared" si="90"/>
        <v/>
      </c>
      <c r="GY27" s="40" t="str">
        <f t="shared" si="91"/>
        <v/>
      </c>
      <c r="GZ27" s="40" t="str">
        <f t="shared" si="92"/>
        <v/>
      </c>
      <c r="HA27" s="40" t="str">
        <f t="shared" si="93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1" t="str">
        <f t="shared" si="99"/>
        <v/>
      </c>
      <c r="IB27" s="11" t="str">
        <f t="shared" si="100"/>
        <v/>
      </c>
      <c r="IC27" s="11" t="str">
        <f t="shared" si="101"/>
        <v/>
      </c>
      <c r="ID27" s="11" t="str">
        <f t="shared" si="102"/>
        <v/>
      </c>
      <c r="IE27" s="11" t="str">
        <f t="shared" si="103"/>
        <v/>
      </c>
      <c r="IF27" s="11" t="str">
        <f t="shared" si="104"/>
        <v/>
      </c>
      <c r="IG27" s="11" t="str">
        <f t="shared" si="105"/>
        <v/>
      </c>
      <c r="IH27" s="11" t="str">
        <f t="shared" si="106"/>
        <v/>
      </c>
      <c r="II27" s="11" t="str">
        <f t="shared" si="107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 t="shared" si="108"/>
        <v/>
      </c>
      <c r="JE27" s="40" t="str">
        <f t="shared" si="109"/>
        <v/>
      </c>
      <c r="JF27" s="40" t="str">
        <f t="shared" si="110"/>
        <v/>
      </c>
      <c r="JG27" s="40" t="str">
        <f t="shared" si="111"/>
        <v/>
      </c>
      <c r="JH27" s="40" t="str">
        <f t="shared" si="112"/>
        <v/>
      </c>
      <c r="JI27" s="40" t="str">
        <f t="shared" si="113"/>
        <v/>
      </c>
      <c r="JJ27" s="40" t="str">
        <f t="shared" si="114"/>
        <v/>
      </c>
      <c r="JK27" s="40" t="str">
        <f t="shared" si="115"/>
        <v/>
      </c>
      <c r="JL27" s="40" t="str">
        <f t="shared" si="116"/>
        <v/>
      </c>
      <c r="JM27" s="40" t="str">
        <f t="shared" si="117"/>
        <v/>
      </c>
      <c r="JN27" s="40" t="str">
        <f t="shared" si="118"/>
        <v/>
      </c>
      <c r="JO27" s="40" t="str">
        <f t="shared" si="119"/>
        <v/>
      </c>
      <c r="JP27" s="40" t="str">
        <f t="shared" si="120"/>
        <v/>
      </c>
      <c r="JQ27" s="40" t="str">
        <f t="shared" si="121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1" t="str">
        <f t="shared" si="127"/>
        <v/>
      </c>
      <c r="KR27" s="11" t="str">
        <f t="shared" si="128"/>
        <v/>
      </c>
      <c r="KS27" s="11" t="str">
        <f t="shared" si="129"/>
        <v/>
      </c>
      <c r="KT27" s="11" t="str">
        <f t="shared" si="130"/>
        <v/>
      </c>
      <c r="KU27" s="11" t="str">
        <f t="shared" si="131"/>
        <v/>
      </c>
      <c r="KV27" s="11" t="str">
        <f t="shared" si="132"/>
        <v/>
      </c>
      <c r="KW27" s="11" t="str">
        <f t="shared" si="133"/>
        <v/>
      </c>
      <c r="KX27" s="11" t="str">
        <f t="shared" si="134"/>
        <v/>
      </c>
      <c r="KY27" s="11" t="str">
        <f t="shared" si="135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 t="shared" si="136"/>
        <v/>
      </c>
      <c r="LU27" s="40" t="str">
        <f t="shared" si="137"/>
        <v/>
      </c>
      <c r="LV27" s="40" t="str">
        <f t="shared" si="138"/>
        <v/>
      </c>
      <c r="LW27" s="40" t="str">
        <f t="shared" si="139"/>
        <v/>
      </c>
      <c r="LX27" s="40" t="str">
        <f t="shared" si="140"/>
        <v/>
      </c>
      <c r="LY27" s="40" t="str">
        <f t="shared" si="141"/>
        <v/>
      </c>
      <c r="LZ27" s="40" t="str">
        <f t="shared" si="142"/>
        <v/>
      </c>
      <c r="MA27" s="40" t="str">
        <f t="shared" si="143"/>
        <v/>
      </c>
      <c r="MB27" s="40" t="str">
        <f t="shared" si="144"/>
        <v/>
      </c>
      <c r="MC27" s="40" t="str">
        <f t="shared" si="145"/>
        <v/>
      </c>
      <c r="MD27" s="40" t="str">
        <f t="shared" si="146"/>
        <v/>
      </c>
      <c r="ME27" s="40" t="str">
        <f t="shared" si="147"/>
        <v/>
      </c>
      <c r="MF27" s="40" t="str">
        <f t="shared" si="148"/>
        <v/>
      </c>
      <c r="MG27" s="40" t="str">
        <f t="shared" si="149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1" t="str">
        <f t="shared" si="155"/>
        <v/>
      </c>
      <c r="NH27" s="11" t="str">
        <f t="shared" si="156"/>
        <v/>
      </c>
      <c r="NI27" s="11" t="str">
        <f t="shared" si="157"/>
        <v/>
      </c>
      <c r="NJ27" s="11" t="str">
        <f t="shared" si="158"/>
        <v/>
      </c>
      <c r="NK27" s="11" t="str">
        <f t="shared" si="159"/>
        <v/>
      </c>
      <c r="NL27" s="11" t="str">
        <f t="shared" si="160"/>
        <v/>
      </c>
      <c r="NM27" s="11" t="str">
        <f t="shared" si="161"/>
        <v/>
      </c>
      <c r="NN27" s="11" t="str">
        <f t="shared" si="162"/>
        <v/>
      </c>
      <c r="NO27" s="11" t="str">
        <f t="shared" si="163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 t="shared" si="164"/>
        <v/>
      </c>
      <c r="OK27" s="40" t="str">
        <f t="shared" si="165"/>
        <v/>
      </c>
      <c r="OL27" s="40" t="str">
        <f t="shared" si="166"/>
        <v/>
      </c>
      <c r="OM27" s="40" t="str">
        <f t="shared" si="167"/>
        <v/>
      </c>
      <c r="ON27" s="40" t="str">
        <f t="shared" si="168"/>
        <v/>
      </c>
      <c r="OO27" s="40" t="str">
        <f t="shared" si="169"/>
        <v/>
      </c>
      <c r="OP27" s="40" t="str">
        <f t="shared" si="170"/>
        <v/>
      </c>
      <c r="OQ27" s="40" t="str">
        <f t="shared" si="171"/>
        <v/>
      </c>
      <c r="OR27" s="40" t="str">
        <f t="shared" si="172"/>
        <v/>
      </c>
      <c r="OS27" s="40" t="str">
        <f t="shared" si="173"/>
        <v/>
      </c>
      <c r="OT27" s="40" t="str">
        <f t="shared" si="174"/>
        <v/>
      </c>
      <c r="OU27" s="40" t="str">
        <f t="shared" si="175"/>
        <v/>
      </c>
      <c r="OV27" s="40" t="str">
        <f t="shared" si="176"/>
        <v/>
      </c>
      <c r="OW27" s="40" t="str">
        <f t="shared" si="177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1" t="str">
        <f t="shared" si="183"/>
        <v/>
      </c>
      <c r="PX27" s="11" t="str">
        <f t="shared" si="184"/>
        <v/>
      </c>
      <c r="PY27" s="11" t="str">
        <f t="shared" si="185"/>
        <v/>
      </c>
      <c r="PZ27" s="11" t="str">
        <f t="shared" si="186"/>
        <v/>
      </c>
      <c r="QA27" s="11" t="str">
        <f t="shared" si="187"/>
        <v/>
      </c>
      <c r="QB27" s="11" t="str">
        <f t="shared" si="188"/>
        <v/>
      </c>
      <c r="QC27" s="11" t="str">
        <f t="shared" si="189"/>
        <v/>
      </c>
      <c r="QD27" s="11" t="str">
        <f t="shared" si="190"/>
        <v/>
      </c>
      <c r="QE27" s="11" t="str">
        <f t="shared" si="191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 t="shared" si="192"/>
        <v/>
      </c>
      <c r="RA27" s="40" t="str">
        <f t="shared" si="193"/>
        <v/>
      </c>
      <c r="RB27" s="40" t="str">
        <f t="shared" si="194"/>
        <v/>
      </c>
      <c r="RC27" s="40" t="str">
        <f t="shared" si="195"/>
        <v/>
      </c>
      <c r="RD27" s="40" t="str">
        <f t="shared" si="196"/>
        <v/>
      </c>
      <c r="RE27" s="40" t="str">
        <f t="shared" si="197"/>
        <v/>
      </c>
      <c r="RF27" s="40" t="str">
        <f t="shared" si="198"/>
        <v/>
      </c>
      <c r="RG27" s="40" t="str">
        <f t="shared" si="199"/>
        <v/>
      </c>
      <c r="RH27" s="40" t="str">
        <f t="shared" si="200"/>
        <v/>
      </c>
      <c r="RI27" s="40" t="str">
        <f t="shared" si="201"/>
        <v/>
      </c>
      <c r="RJ27" s="40" t="str">
        <f t="shared" si="202"/>
        <v/>
      </c>
      <c r="RK27" s="40" t="str">
        <f t="shared" si="203"/>
        <v/>
      </c>
      <c r="RL27" s="40" t="str">
        <f t="shared" si="204"/>
        <v/>
      </c>
      <c r="RM27" s="40" t="str">
        <f t="shared" si="205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1" t="str">
        <f t="shared" si="211"/>
        <v/>
      </c>
      <c r="SN27" s="11" t="str">
        <f t="shared" si="212"/>
        <v/>
      </c>
      <c r="SO27" s="11" t="str">
        <f t="shared" si="213"/>
        <v/>
      </c>
      <c r="SP27" s="11" t="str">
        <f t="shared" si="214"/>
        <v/>
      </c>
      <c r="SQ27" s="11" t="str">
        <f t="shared" si="215"/>
        <v/>
      </c>
      <c r="SR27" s="11" t="str">
        <f t="shared" si="216"/>
        <v/>
      </c>
      <c r="SS27" s="11" t="str">
        <f t="shared" si="217"/>
        <v/>
      </c>
      <c r="ST27" s="11" t="str">
        <f t="shared" si="218"/>
        <v/>
      </c>
      <c r="SU27" s="11" t="str">
        <f t="shared" si="219"/>
        <v/>
      </c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40" t="str">
        <f t="shared" si="220"/>
        <v/>
      </c>
      <c r="TQ27" s="40" t="str">
        <f t="shared" si="221"/>
        <v/>
      </c>
      <c r="TR27" s="40" t="str">
        <f t="shared" si="222"/>
        <v/>
      </c>
      <c r="TS27" s="40" t="str">
        <f t="shared" si="223"/>
        <v/>
      </c>
      <c r="TT27" s="40" t="str">
        <f t="shared" si="224"/>
        <v/>
      </c>
      <c r="TU27" s="40" t="str">
        <f t="shared" si="225"/>
        <v/>
      </c>
      <c r="TV27" s="40" t="str">
        <f t="shared" si="226"/>
        <v/>
      </c>
      <c r="TW27" s="40" t="str">
        <f t="shared" si="227"/>
        <v/>
      </c>
      <c r="TX27" s="40" t="str">
        <f t="shared" si="228"/>
        <v/>
      </c>
      <c r="TY27" s="40" t="str">
        <f t="shared" si="229"/>
        <v/>
      </c>
      <c r="TZ27" s="40" t="str">
        <f t="shared" si="230"/>
        <v/>
      </c>
      <c r="UA27" s="40" t="str">
        <f t="shared" si="231"/>
        <v/>
      </c>
      <c r="UB27" s="40" t="str">
        <f t="shared" si="232"/>
        <v/>
      </c>
      <c r="UC27" s="40" t="str">
        <f t="shared" si="233"/>
        <v/>
      </c>
      <c r="UD27" s="18"/>
      <c r="UE27" s="18"/>
      <c r="UF27" s="18"/>
      <c r="UG27" s="18"/>
      <c r="UH27" s="18"/>
      <c r="UI27" s="18"/>
      <c r="UJ27" s="18"/>
      <c r="UK27" s="18"/>
      <c r="UL27" s="18"/>
      <c r="UM27" s="18"/>
      <c r="UN27" s="18"/>
      <c r="UO27" s="18"/>
      <c r="UP27" s="18"/>
      <c r="UQ27" s="18"/>
      <c r="UR27" s="18"/>
      <c r="US27" s="18"/>
      <c r="UT27" s="18"/>
      <c r="UU27" s="18"/>
      <c r="UV27" s="18"/>
      <c r="UW27" s="18"/>
      <c r="UX27" s="11" t="str">
        <f t="shared" si="234"/>
        <v/>
      </c>
      <c r="UY27" s="11" t="str">
        <f t="shared" si="235"/>
        <v/>
      </c>
      <c r="UZ27" s="11" t="str">
        <f t="shared" si="236"/>
        <v/>
      </c>
      <c r="VA27" s="11" t="str">
        <f t="shared" si="237"/>
        <v/>
      </c>
      <c r="VB27" s="11" t="str">
        <f t="shared" si="238"/>
        <v/>
      </c>
      <c r="VC27" s="11" t="str">
        <f t="shared" si="239"/>
        <v/>
      </c>
      <c r="VD27" s="11" t="str">
        <f t="shared" si="240"/>
        <v/>
      </c>
      <c r="VE27" s="11" t="str">
        <f t="shared" si="241"/>
        <v/>
      </c>
      <c r="VF27" s="11" t="str">
        <f t="shared" si="242"/>
        <v/>
      </c>
      <c r="VG27" s="11" t="str">
        <f t="shared" si="243"/>
        <v/>
      </c>
      <c r="VH27" s="11" t="str">
        <f t="shared" si="244"/>
        <v/>
      </c>
      <c r="VI27" s="11" t="str">
        <f t="shared" si="245"/>
        <v/>
      </c>
      <c r="VJ27" s="11" t="str">
        <f t="shared" si="246"/>
        <v/>
      </c>
      <c r="VK27" s="11" t="str">
        <f t="shared" si="247"/>
        <v/>
      </c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40" t="str">
        <f t="shared" si="248"/>
        <v/>
      </c>
      <c r="WG27" s="40" t="str">
        <f t="shared" si="249"/>
        <v/>
      </c>
      <c r="WH27" s="40" t="str">
        <f t="shared" si="250"/>
        <v/>
      </c>
      <c r="WI27" s="40" t="str">
        <f t="shared" si="251"/>
        <v/>
      </c>
      <c r="WJ27" s="40" t="str">
        <f t="shared" si="252"/>
        <v/>
      </c>
      <c r="WK27" s="40" t="str">
        <f t="shared" si="253"/>
        <v/>
      </c>
      <c r="WL27" s="40" t="str">
        <f t="shared" si="254"/>
        <v/>
      </c>
      <c r="WM27" s="40" t="str">
        <f t="shared" si="255"/>
        <v/>
      </c>
      <c r="WN27" s="40" t="str">
        <f t="shared" si="256"/>
        <v/>
      </c>
      <c r="WO27" s="40" t="str">
        <f t="shared" si="257"/>
        <v/>
      </c>
      <c r="WP27" s="40" t="str">
        <f t="shared" si="258"/>
        <v/>
      </c>
      <c r="WQ27" s="40" t="str">
        <f t="shared" si="259"/>
        <v/>
      </c>
      <c r="WR27" s="40" t="str">
        <f t="shared" si="260"/>
        <v/>
      </c>
      <c r="WS27" s="40" t="str">
        <f t="shared" si="261"/>
        <v/>
      </c>
      <c r="WT27" s="26">
        <f t="shared" si="262"/>
        <v>0</v>
      </c>
      <c r="WU27" s="26">
        <f t="shared" si="263"/>
        <v>0</v>
      </c>
      <c r="WV27" s="26">
        <f t="shared" si="264"/>
        <v>0</v>
      </c>
      <c r="WW27" s="26">
        <f t="shared" si="265"/>
        <v>0</v>
      </c>
      <c r="WX27" s="26">
        <f t="shared" si="266"/>
        <v>0</v>
      </c>
      <c r="WY27" s="26">
        <f t="shared" si="267"/>
        <v>0</v>
      </c>
      <c r="WZ27" s="26">
        <f t="shared" si="268"/>
        <v>0</v>
      </c>
      <c r="XA27" s="26">
        <f t="shared" si="269"/>
        <v>0</v>
      </c>
      <c r="XB27" s="26">
        <f t="shared" si="270"/>
        <v>0</v>
      </c>
      <c r="XC27" s="26">
        <f t="shared" si="271"/>
        <v>0</v>
      </c>
      <c r="XD27" s="26">
        <f t="shared" si="272"/>
        <v>0</v>
      </c>
      <c r="XE27" s="26">
        <f t="shared" si="273"/>
        <v>0</v>
      </c>
      <c r="XF27" s="26">
        <f t="shared" si="274"/>
        <v>0</v>
      </c>
      <c r="XG27" s="26">
        <f t="shared" si="275"/>
        <v>0</v>
      </c>
      <c r="XH27" s="26">
        <f t="shared" si="276"/>
        <v>0</v>
      </c>
      <c r="XI27" s="28" t="s">
        <v>53</v>
      </c>
      <c r="XJ27" s="11" t="str">
        <f t="shared" si="277"/>
        <v/>
      </c>
      <c r="XK27" s="11" t="str">
        <f t="shared" si="278"/>
        <v/>
      </c>
      <c r="XL27" s="11" t="str">
        <f t="shared" si="279"/>
        <v/>
      </c>
      <c r="XM27" s="11" t="str">
        <f t="shared" si="280"/>
        <v/>
      </c>
      <c r="XN27" s="11" t="str">
        <f t="shared" si="281"/>
        <v/>
      </c>
      <c r="XO27" s="11" t="str">
        <f t="shared" si="282"/>
        <v/>
      </c>
      <c r="XP27" s="11" t="str">
        <f t="shared" si="283"/>
        <v/>
      </c>
      <c r="XQ27" s="11" t="str">
        <f t="shared" si="284"/>
        <v/>
      </c>
      <c r="XR27" s="11" t="str">
        <f t="shared" si="285"/>
        <v/>
      </c>
      <c r="XS27" s="11" t="str">
        <f t="shared" si="286"/>
        <v/>
      </c>
      <c r="XT27" s="11" t="str">
        <f t="shared" si="287"/>
        <v/>
      </c>
    </row>
    <row r="28" spans="1:644" x14ac:dyDescent="0.2">
      <c r="B28" s="5"/>
      <c r="D28" s="1"/>
    </row>
    <row r="29" spans="1:644" x14ac:dyDescent="0.2">
      <c r="G29" s="36"/>
      <c r="I29" s="36"/>
    </row>
    <row r="30" spans="1:644" x14ac:dyDescent="0.2">
      <c r="B30" s="23" t="s">
        <v>51</v>
      </c>
      <c r="C30" s="5"/>
      <c r="G30" s="3"/>
      <c r="AR30" s="41"/>
      <c r="AS30" s="41"/>
      <c r="AT30" s="41"/>
      <c r="AV30" s="32"/>
      <c r="AW30" s="32"/>
      <c r="AY30" s="42">
        <v>15.4</v>
      </c>
      <c r="BS30" s="41"/>
      <c r="BT30" s="41"/>
      <c r="BU30" s="41"/>
      <c r="BW30" s="32"/>
      <c r="BX30" s="32"/>
      <c r="BZ30" s="42">
        <v>15.4</v>
      </c>
      <c r="CT30" s="41"/>
      <c r="CU30" s="41"/>
      <c r="CV30" s="41"/>
      <c r="CX30" s="32"/>
      <c r="CY30" s="32"/>
      <c r="DA30" s="42">
        <v>15.9</v>
      </c>
      <c r="DX30" s="5"/>
      <c r="DY30" s="5"/>
      <c r="EH30" s="2"/>
      <c r="EI30" s="2"/>
      <c r="EK30" s="42">
        <v>15.4</v>
      </c>
      <c r="FF30" s="5"/>
      <c r="FG30" s="5"/>
      <c r="FP30" s="2"/>
      <c r="FQ30" s="2"/>
      <c r="FS30" s="42">
        <v>15.4</v>
      </c>
      <c r="GN30" s="5"/>
      <c r="GO30" s="5"/>
      <c r="GX30" s="2"/>
      <c r="GY30" s="2"/>
      <c r="HA30" s="42">
        <v>15.4</v>
      </c>
      <c r="HV30" s="5"/>
      <c r="HW30" s="5"/>
      <c r="IF30" s="2"/>
      <c r="IG30" s="2"/>
      <c r="II30" s="42">
        <v>15.4</v>
      </c>
      <c r="JD30" s="5"/>
      <c r="JE30" s="5"/>
      <c r="JN30" s="2"/>
      <c r="JO30" s="2"/>
      <c r="JQ30" s="42">
        <v>15.4</v>
      </c>
      <c r="KL30" s="5"/>
      <c r="KM30" s="5"/>
      <c r="KV30" s="2"/>
      <c r="KW30" s="2"/>
      <c r="KY30" s="42">
        <v>15.4</v>
      </c>
      <c r="LT30" s="5"/>
      <c r="LU30" s="5"/>
      <c r="MD30" s="2"/>
      <c r="ME30" s="2"/>
      <c r="MG30" s="42">
        <v>15.4</v>
      </c>
      <c r="NB30" s="5"/>
      <c r="NC30" s="5"/>
      <c r="NL30" s="2"/>
      <c r="NM30" s="2"/>
      <c r="NO30" s="42">
        <v>15.9</v>
      </c>
      <c r="OJ30" s="5"/>
      <c r="OK30" s="5"/>
      <c r="OT30" s="2"/>
      <c r="OU30" s="2"/>
      <c r="OW30" s="42">
        <v>15.9</v>
      </c>
      <c r="PR30" s="5"/>
      <c r="PS30" s="5"/>
      <c r="QB30" s="2"/>
      <c r="QC30" s="2"/>
      <c r="QE30" s="42">
        <v>15.9</v>
      </c>
      <c r="QZ30" s="5"/>
      <c r="RA30" s="5"/>
      <c r="RJ30" s="2"/>
      <c r="RK30" s="2"/>
      <c r="RM30" s="42">
        <v>15.9</v>
      </c>
      <c r="SH30" s="5"/>
      <c r="SI30" s="5"/>
      <c r="SR30" s="2"/>
      <c r="SS30" s="2"/>
      <c r="SU30" s="42">
        <v>15.9</v>
      </c>
      <c r="TP30" s="5"/>
      <c r="TQ30" s="5"/>
      <c r="TZ30" s="2"/>
      <c r="UA30" s="2"/>
      <c r="UC30" s="42">
        <v>15.9</v>
      </c>
      <c r="UX30" s="5"/>
      <c r="UY30" s="5"/>
      <c r="VH30" s="2"/>
      <c r="VI30" s="2"/>
      <c r="VK30" s="42">
        <v>15.9</v>
      </c>
      <c r="WF30" s="5"/>
      <c r="WG30" s="5"/>
      <c r="WP30" s="2"/>
      <c r="WQ30" s="2"/>
      <c r="WS30" s="42">
        <v>15.9</v>
      </c>
    </row>
    <row r="31" spans="1:644" x14ac:dyDescent="0.2">
      <c r="B31" s="30" t="s">
        <v>50</v>
      </c>
      <c r="C31" s="5"/>
      <c r="X31" s="2"/>
      <c r="AR31" s="41"/>
      <c r="AS31" s="41"/>
      <c r="AT31" s="41"/>
      <c r="AV31" s="32"/>
      <c r="AW31" s="32"/>
      <c r="AY31" s="43">
        <v>16</v>
      </c>
      <c r="BS31" s="41"/>
      <c r="BT31" s="41"/>
      <c r="BU31" s="41"/>
      <c r="BW31" s="32"/>
      <c r="BX31" s="32"/>
      <c r="BZ31" s="43">
        <v>16</v>
      </c>
      <c r="CT31" s="41"/>
      <c r="CU31" s="41"/>
      <c r="CV31" s="41"/>
      <c r="CX31" s="32"/>
      <c r="CY31" s="32"/>
      <c r="DA31" s="43">
        <v>17</v>
      </c>
      <c r="DX31" s="5"/>
      <c r="DY31" s="5"/>
      <c r="EH31" s="2"/>
      <c r="EI31" s="2"/>
      <c r="EK31" s="43">
        <v>16</v>
      </c>
      <c r="FF31" s="5"/>
      <c r="FG31" s="5"/>
      <c r="FP31" s="2"/>
      <c r="FQ31" s="2"/>
      <c r="FS31" s="43">
        <v>16</v>
      </c>
      <c r="GN31" s="5"/>
      <c r="GO31" s="5"/>
      <c r="GX31" s="2"/>
      <c r="GY31" s="2"/>
      <c r="HA31" s="43">
        <v>16</v>
      </c>
      <c r="HV31" s="5"/>
      <c r="HW31" s="5"/>
      <c r="IF31" s="2"/>
      <c r="IG31" s="2"/>
      <c r="II31" s="43">
        <v>16</v>
      </c>
      <c r="JD31" s="5"/>
      <c r="JE31" s="5"/>
      <c r="JN31" s="2"/>
      <c r="JO31" s="2"/>
      <c r="JQ31" s="43">
        <v>16</v>
      </c>
      <c r="KL31" s="5"/>
      <c r="KM31" s="5"/>
      <c r="KV31" s="2"/>
      <c r="KW31" s="2"/>
      <c r="KY31" s="43">
        <v>16</v>
      </c>
      <c r="LT31" s="5"/>
      <c r="LU31" s="5"/>
      <c r="MD31" s="2"/>
      <c r="ME31" s="2"/>
      <c r="MG31" s="43">
        <v>16</v>
      </c>
      <c r="NB31" s="5"/>
      <c r="NC31" s="5"/>
      <c r="NL31" s="2"/>
      <c r="NM31" s="2"/>
      <c r="NO31" s="43">
        <v>17</v>
      </c>
      <c r="OJ31" s="5"/>
      <c r="OK31" s="5"/>
      <c r="OT31" s="2"/>
      <c r="OU31" s="2"/>
      <c r="OW31" s="43">
        <v>17</v>
      </c>
      <c r="PR31" s="5"/>
      <c r="PS31" s="5"/>
      <c r="QB31" s="2"/>
      <c r="QC31" s="2"/>
      <c r="QE31" s="43">
        <v>17</v>
      </c>
      <c r="QZ31" s="5"/>
      <c r="RA31" s="5"/>
      <c r="RJ31" s="2"/>
      <c r="RK31" s="2"/>
      <c r="RM31" s="43">
        <v>17</v>
      </c>
      <c r="SH31" s="5"/>
      <c r="SI31" s="5"/>
      <c r="SR31" s="2"/>
      <c r="SS31" s="2"/>
      <c r="SU31" s="43">
        <v>17</v>
      </c>
      <c r="TP31" s="5"/>
      <c r="TQ31" s="5"/>
      <c r="TZ31" s="2"/>
      <c r="UA31" s="2"/>
      <c r="UC31" s="43">
        <v>17</v>
      </c>
      <c r="UX31" s="5"/>
      <c r="UY31" s="5"/>
      <c r="VH31" s="2"/>
      <c r="VI31" s="2"/>
      <c r="VK31" s="43">
        <v>17</v>
      </c>
      <c r="WF31" s="5"/>
      <c r="WG31" s="5"/>
      <c r="WP31" s="2"/>
      <c r="WQ31" s="2"/>
      <c r="WS31" s="43">
        <v>17</v>
      </c>
    </row>
    <row r="32" spans="1:644" x14ac:dyDescent="0.2">
      <c r="A32" s="5"/>
      <c r="B32" s="31" t="s">
        <v>63</v>
      </c>
      <c r="C32" s="5"/>
      <c r="E32" s="2"/>
      <c r="AR32" s="41"/>
      <c r="AS32" s="41"/>
      <c r="AT32" s="41"/>
      <c r="AU32" s="32"/>
      <c r="AV32" s="32"/>
      <c r="AW32" s="32"/>
      <c r="AX32" s="32"/>
      <c r="AY32" s="44">
        <v>16.2</v>
      </c>
      <c r="BS32" s="41"/>
      <c r="BT32" s="41"/>
      <c r="BU32" s="41"/>
      <c r="BW32" s="32"/>
      <c r="BX32" s="32"/>
      <c r="BZ32" s="44">
        <v>16.2</v>
      </c>
      <c r="CT32" s="41"/>
      <c r="CU32" s="41"/>
      <c r="CV32" s="41"/>
      <c r="CW32" s="32"/>
      <c r="CX32" s="32"/>
      <c r="CY32" s="32"/>
      <c r="CZ32" s="32"/>
      <c r="DA32" s="44">
        <v>18.100000000000001</v>
      </c>
      <c r="DX32" s="5"/>
      <c r="DY32" s="5"/>
      <c r="EH32" s="2"/>
      <c r="EI32" s="2"/>
      <c r="EK32" s="44">
        <v>16.2</v>
      </c>
      <c r="FF32" s="5"/>
      <c r="FG32" s="5"/>
      <c r="FP32" s="2"/>
      <c r="FQ32" s="2"/>
      <c r="FS32" s="44">
        <v>16.2</v>
      </c>
      <c r="GN32" s="5"/>
      <c r="GO32" s="5"/>
      <c r="GX32" s="2"/>
      <c r="GY32" s="2"/>
      <c r="HA32" s="44">
        <v>16.2</v>
      </c>
      <c r="HV32" s="5"/>
      <c r="HW32" s="5"/>
      <c r="IF32" s="2"/>
      <c r="IG32" s="2"/>
      <c r="II32" s="44">
        <v>16.2</v>
      </c>
      <c r="JD32" s="5"/>
      <c r="JE32" s="5"/>
      <c r="JN32" s="2"/>
      <c r="JO32" s="2"/>
      <c r="JQ32" s="44">
        <v>16.2</v>
      </c>
      <c r="KL32" s="5"/>
      <c r="KM32" s="5"/>
      <c r="KV32" s="2"/>
      <c r="KW32" s="2"/>
      <c r="KY32" s="44">
        <v>16.2</v>
      </c>
      <c r="LT32" s="5"/>
      <c r="LU32" s="5"/>
      <c r="MD32" s="2"/>
      <c r="ME32" s="2"/>
      <c r="MG32" s="44">
        <v>16.2</v>
      </c>
      <c r="NB32" s="5"/>
      <c r="NC32" s="5"/>
      <c r="NL32" s="2"/>
      <c r="NM32" s="2"/>
      <c r="NO32" s="44">
        <v>18.100000000000001</v>
      </c>
      <c r="OJ32" s="5"/>
      <c r="OK32" s="5"/>
      <c r="OT32" s="2"/>
      <c r="OU32" s="2"/>
      <c r="OW32" s="44">
        <v>18.100000000000001</v>
      </c>
      <c r="PR32" s="5"/>
      <c r="PS32" s="5"/>
      <c r="QB32" s="2"/>
      <c r="QC32" s="2"/>
      <c r="QE32" s="44">
        <v>18.100000000000001</v>
      </c>
      <c r="QZ32" s="5"/>
      <c r="RA32" s="5"/>
      <c r="RJ32" s="2"/>
      <c r="RK32" s="2"/>
      <c r="RM32" s="44">
        <v>18.100000000000001</v>
      </c>
      <c r="SH32" s="5"/>
      <c r="SI32" s="5"/>
      <c r="SR32" s="2"/>
      <c r="SS32" s="2"/>
      <c r="SU32" s="44">
        <v>18.100000000000001</v>
      </c>
      <c r="TP32" s="5"/>
      <c r="TQ32" s="5"/>
      <c r="TZ32" s="2"/>
      <c r="UA32" s="2"/>
      <c r="UC32" s="44">
        <v>18.100000000000001</v>
      </c>
      <c r="UX32" s="5"/>
      <c r="UY32" s="5"/>
      <c r="VH32" s="2"/>
      <c r="VI32" s="2"/>
      <c r="VK32" s="44">
        <v>18.100000000000001</v>
      </c>
      <c r="WF32" s="5"/>
      <c r="WG32" s="5"/>
      <c r="WP32" s="2"/>
      <c r="WQ32" s="2"/>
      <c r="WS32" s="44">
        <v>18.100000000000001</v>
      </c>
    </row>
    <row r="33" spans="1:617" x14ac:dyDescent="0.2">
      <c r="A33" s="5"/>
      <c r="B33" s="35" t="s">
        <v>76</v>
      </c>
      <c r="C33" s="5"/>
      <c r="E33" s="2"/>
      <c r="AR33" s="41"/>
      <c r="AS33" s="41"/>
      <c r="AT33" s="41"/>
      <c r="AU33" s="32"/>
      <c r="AV33" s="32"/>
      <c r="AW33" s="32"/>
      <c r="AX33" s="32"/>
      <c r="AY33" s="45">
        <v>17.100000000000001</v>
      </c>
      <c r="BS33" s="41"/>
      <c r="BT33" s="41"/>
      <c r="BU33" s="41"/>
      <c r="BW33" s="32"/>
      <c r="BX33" s="32"/>
      <c r="BZ33" s="45">
        <v>17.100000000000001</v>
      </c>
      <c r="CT33" s="41"/>
      <c r="CU33" s="41"/>
      <c r="CV33" s="41"/>
      <c r="CW33" s="32"/>
      <c r="CX33" s="32"/>
      <c r="CY33" s="32"/>
      <c r="CZ33" s="32"/>
      <c r="DA33" s="45">
        <v>18.899999999999999</v>
      </c>
      <c r="DX33" s="5"/>
      <c r="DY33" s="5"/>
      <c r="EH33" s="2"/>
      <c r="EI33" s="2"/>
      <c r="EK33" s="45">
        <v>17.100000000000001</v>
      </c>
      <c r="FF33" s="5"/>
      <c r="FG33" s="5"/>
      <c r="FP33" s="2"/>
      <c r="FQ33" s="2"/>
      <c r="FS33" s="45">
        <v>17.100000000000001</v>
      </c>
      <c r="GN33" s="5"/>
      <c r="GO33" s="5"/>
      <c r="GX33" s="2"/>
      <c r="GY33" s="2"/>
      <c r="HA33" s="45">
        <v>17.100000000000001</v>
      </c>
      <c r="HV33" s="5"/>
      <c r="HW33" s="5"/>
      <c r="IF33" s="2"/>
      <c r="IG33" s="2"/>
      <c r="II33" s="45">
        <v>17.100000000000001</v>
      </c>
      <c r="JD33" s="5"/>
      <c r="JE33" s="5"/>
      <c r="JN33" s="2"/>
      <c r="JO33" s="2"/>
      <c r="JQ33" s="45">
        <v>17.100000000000001</v>
      </c>
      <c r="KL33" s="5"/>
      <c r="KM33" s="5"/>
      <c r="KV33" s="2"/>
      <c r="KW33" s="2"/>
      <c r="KY33" s="45">
        <v>17.100000000000001</v>
      </c>
      <c r="LT33" s="5"/>
      <c r="LU33" s="5"/>
      <c r="MD33" s="2"/>
      <c r="ME33" s="2"/>
      <c r="MG33" s="45">
        <v>17.100000000000001</v>
      </c>
      <c r="NB33" s="5"/>
      <c r="NC33" s="5"/>
      <c r="NL33" s="2"/>
      <c r="NM33" s="2"/>
      <c r="NO33" s="45">
        <v>18.899999999999999</v>
      </c>
      <c r="OJ33" s="5"/>
      <c r="OK33" s="5"/>
      <c r="OT33" s="2"/>
      <c r="OU33" s="2"/>
      <c r="OW33" s="45">
        <v>18.899999999999999</v>
      </c>
      <c r="PR33" s="5"/>
      <c r="PS33" s="5"/>
      <c r="QB33" s="2"/>
      <c r="QC33" s="2"/>
      <c r="QE33" s="45">
        <v>18.899999999999999</v>
      </c>
      <c r="QZ33" s="5"/>
      <c r="RA33" s="5"/>
      <c r="RJ33" s="2"/>
      <c r="RK33" s="2"/>
      <c r="RM33" s="45">
        <v>18.899999999999999</v>
      </c>
      <c r="SH33" s="5"/>
      <c r="SI33" s="5"/>
      <c r="SR33" s="2"/>
      <c r="SS33" s="2"/>
      <c r="SU33" s="45">
        <v>18.899999999999999</v>
      </c>
      <c r="TP33" s="5"/>
      <c r="TQ33" s="5"/>
      <c r="TZ33" s="2"/>
      <c r="UA33" s="2"/>
      <c r="UC33" s="45">
        <v>18.899999999999999</v>
      </c>
      <c r="UX33" s="5"/>
      <c r="UY33" s="5"/>
      <c r="VH33" s="2"/>
      <c r="VI33" s="2"/>
      <c r="VK33" s="45">
        <v>18.899999999999999</v>
      </c>
      <c r="WF33" s="5"/>
      <c r="WG33" s="5"/>
      <c r="WP33" s="2"/>
      <c r="WQ33" s="2"/>
      <c r="WS33" s="45">
        <v>18.899999999999999</v>
      </c>
    </row>
    <row r="34" spans="1:617" x14ac:dyDescent="0.2">
      <c r="A34" s="5"/>
      <c r="B34" s="34" t="s">
        <v>48</v>
      </c>
      <c r="C34" s="5"/>
      <c r="P34" s="2"/>
      <c r="AR34" s="41"/>
      <c r="AS34" s="41"/>
      <c r="AT34" s="41"/>
      <c r="AU34" s="32"/>
      <c r="AV34" s="32"/>
      <c r="AW34" s="32"/>
      <c r="AX34" s="32"/>
      <c r="AY34" s="46">
        <v>54</v>
      </c>
      <c r="BS34" s="41"/>
      <c r="BT34" s="41"/>
      <c r="BU34" s="41"/>
      <c r="BW34" s="32"/>
      <c r="BX34" s="32"/>
      <c r="BZ34" s="46">
        <v>54</v>
      </c>
      <c r="CT34" s="41"/>
      <c r="CU34" s="41"/>
      <c r="CV34" s="41"/>
      <c r="CW34" s="32"/>
      <c r="CX34" s="32"/>
      <c r="CY34" s="32"/>
      <c r="CZ34" s="32"/>
      <c r="DA34" s="46">
        <v>54.9</v>
      </c>
      <c r="DX34" s="5"/>
      <c r="DY34" s="5"/>
      <c r="EH34" s="2"/>
      <c r="EI34" s="2"/>
      <c r="EK34" s="46">
        <v>54</v>
      </c>
      <c r="FF34" s="5"/>
      <c r="FG34" s="5"/>
      <c r="FP34" s="2"/>
      <c r="FQ34" s="2"/>
      <c r="FS34" s="46">
        <v>54</v>
      </c>
      <c r="GN34" s="5"/>
      <c r="GO34" s="5"/>
      <c r="GX34" s="2"/>
      <c r="GY34" s="2"/>
      <c r="HA34" s="46">
        <v>54</v>
      </c>
      <c r="HV34" s="5"/>
      <c r="HW34" s="5"/>
      <c r="IF34" s="2"/>
      <c r="IG34" s="2"/>
      <c r="II34" s="46">
        <v>54</v>
      </c>
      <c r="JD34" s="5"/>
      <c r="JE34" s="5"/>
      <c r="JN34" s="2"/>
      <c r="JO34" s="2"/>
      <c r="JQ34" s="46">
        <v>54</v>
      </c>
      <c r="KL34" s="5"/>
      <c r="KM34" s="5"/>
      <c r="KV34" s="2"/>
      <c r="KW34" s="2"/>
      <c r="KY34" s="46">
        <v>54</v>
      </c>
      <c r="LT34" s="5"/>
      <c r="LU34" s="5"/>
      <c r="MD34" s="2"/>
      <c r="ME34" s="2"/>
      <c r="MG34" s="46">
        <v>54</v>
      </c>
      <c r="NB34" s="5"/>
      <c r="NC34" s="5"/>
      <c r="NL34" s="2"/>
      <c r="NM34" s="2"/>
      <c r="NO34" s="46">
        <v>54.9</v>
      </c>
      <c r="OJ34" s="5"/>
      <c r="OK34" s="5"/>
      <c r="OT34" s="2"/>
      <c r="OU34" s="2"/>
      <c r="OW34" s="46">
        <v>54.9</v>
      </c>
      <c r="PR34" s="5"/>
      <c r="PS34" s="5"/>
      <c r="QB34" s="2"/>
      <c r="QC34" s="2"/>
      <c r="QE34" s="46">
        <v>54.9</v>
      </c>
      <c r="QZ34" s="5"/>
      <c r="RA34" s="5"/>
      <c r="RJ34" s="2"/>
      <c r="RK34" s="2"/>
      <c r="RM34" s="46">
        <v>54.9</v>
      </c>
      <c r="SH34" s="5"/>
      <c r="SI34" s="5"/>
      <c r="SR34" s="2"/>
      <c r="SS34" s="2"/>
      <c r="SU34" s="46">
        <v>54.9</v>
      </c>
      <c r="TP34" s="5"/>
      <c r="TQ34" s="5"/>
      <c r="TZ34" s="2"/>
      <c r="UA34" s="2"/>
      <c r="UC34" s="46">
        <v>54.9</v>
      </c>
      <c r="UX34" s="5"/>
      <c r="UY34" s="5"/>
      <c r="VH34" s="2"/>
      <c r="VI34" s="2"/>
      <c r="VK34" s="46">
        <v>54.9</v>
      </c>
      <c r="WF34" s="5"/>
      <c r="WG34" s="5"/>
      <c r="WP34" s="2"/>
      <c r="WQ34" s="2"/>
      <c r="WS34" s="46">
        <v>54.9</v>
      </c>
    </row>
    <row r="35" spans="1:617" x14ac:dyDescent="0.2">
      <c r="A35" s="5"/>
      <c r="B35" s="24" t="s">
        <v>49</v>
      </c>
      <c r="C35" s="5"/>
      <c r="P35" s="2"/>
      <c r="AR35" s="41"/>
      <c r="AS35" s="41"/>
      <c r="AT35" s="41"/>
      <c r="AU35" s="32"/>
      <c r="AV35" s="32"/>
      <c r="AW35" s="32"/>
      <c r="AX35" s="32"/>
      <c r="AY35" s="47">
        <v>56</v>
      </c>
      <c r="BS35" s="41"/>
      <c r="BT35" s="41"/>
      <c r="BU35" s="41"/>
      <c r="BW35" s="32"/>
      <c r="BX35" s="32"/>
      <c r="BZ35" s="47">
        <v>56</v>
      </c>
      <c r="CT35" s="41"/>
      <c r="CU35" s="41"/>
      <c r="CV35" s="41"/>
      <c r="CW35" s="32"/>
      <c r="CX35" s="32"/>
      <c r="CY35" s="32"/>
      <c r="CZ35" s="32"/>
      <c r="DA35" s="47">
        <v>56.7</v>
      </c>
      <c r="DX35" s="5"/>
      <c r="DY35" s="5"/>
      <c r="EH35" s="2"/>
      <c r="EI35" s="2"/>
      <c r="EK35" s="47">
        <v>56</v>
      </c>
      <c r="FF35" s="5"/>
      <c r="FG35" s="5"/>
      <c r="FP35" s="2"/>
      <c r="FQ35" s="2"/>
      <c r="FS35" s="47">
        <v>56</v>
      </c>
      <c r="GN35" s="5"/>
      <c r="GO35" s="5"/>
      <c r="GX35" s="2"/>
      <c r="GY35" s="2"/>
      <c r="HA35" s="47">
        <v>56</v>
      </c>
      <c r="HV35" s="5"/>
      <c r="HW35" s="5"/>
      <c r="IF35" s="2"/>
      <c r="IG35" s="2"/>
      <c r="II35" s="47">
        <v>56</v>
      </c>
      <c r="JD35" s="5"/>
      <c r="JE35" s="5"/>
      <c r="JN35" s="2"/>
      <c r="JO35" s="2"/>
      <c r="JQ35" s="47">
        <v>56</v>
      </c>
      <c r="KL35" s="5"/>
      <c r="KM35" s="5"/>
      <c r="KV35" s="2"/>
      <c r="KW35" s="2"/>
      <c r="KY35" s="47">
        <v>56</v>
      </c>
      <c r="LT35" s="5"/>
      <c r="LU35" s="5"/>
      <c r="MD35" s="2"/>
      <c r="ME35" s="2"/>
      <c r="MG35" s="47">
        <v>56</v>
      </c>
      <c r="NB35" s="5"/>
      <c r="NC35" s="5"/>
      <c r="NL35" s="2"/>
      <c r="NM35" s="2"/>
      <c r="NO35" s="47">
        <v>56.7</v>
      </c>
      <c r="OJ35" s="5"/>
      <c r="OK35" s="5"/>
      <c r="OT35" s="2"/>
      <c r="OU35" s="2"/>
      <c r="OW35" s="47">
        <v>56.7</v>
      </c>
      <c r="PR35" s="5"/>
      <c r="PS35" s="5"/>
      <c r="QB35" s="2"/>
      <c r="QC35" s="2"/>
      <c r="QE35" s="47">
        <v>56.7</v>
      </c>
      <c r="QZ35" s="5"/>
      <c r="RA35" s="5"/>
      <c r="RJ35" s="2"/>
      <c r="RK35" s="2"/>
      <c r="RM35" s="47">
        <v>56.7</v>
      </c>
      <c r="SH35" s="5"/>
      <c r="SI35" s="5"/>
      <c r="SR35" s="2"/>
      <c r="SS35" s="2"/>
      <c r="SU35" s="47">
        <v>56.7</v>
      </c>
      <c r="TP35" s="5"/>
      <c r="TQ35" s="5"/>
      <c r="TZ35" s="2"/>
      <c r="UA35" s="2"/>
      <c r="UC35" s="47">
        <v>56.7</v>
      </c>
      <c r="UX35" s="5"/>
      <c r="UY35" s="5"/>
      <c r="VH35" s="2"/>
      <c r="VI35" s="2"/>
      <c r="VK35" s="47">
        <v>56.7</v>
      </c>
      <c r="WF35" s="5"/>
      <c r="WG35" s="5"/>
      <c r="WP35" s="2"/>
      <c r="WQ35" s="2"/>
      <c r="WS35" s="47">
        <v>56.7</v>
      </c>
    </row>
    <row r="36" spans="1:617" x14ac:dyDescent="0.2">
      <c r="A36" s="5"/>
      <c r="B36" s="33" t="s">
        <v>62</v>
      </c>
      <c r="C36" s="5"/>
      <c r="AR36" s="41"/>
      <c r="AS36" s="41"/>
      <c r="AT36" s="41"/>
      <c r="AU36" s="32"/>
      <c r="AV36" s="32"/>
      <c r="AW36" s="32"/>
      <c r="AX36" s="32"/>
      <c r="AY36" s="48">
        <v>57</v>
      </c>
      <c r="BS36" s="41"/>
      <c r="BT36" s="41"/>
      <c r="BU36" s="41"/>
      <c r="BW36" s="32"/>
      <c r="BX36" s="32"/>
      <c r="BZ36" s="48">
        <v>57</v>
      </c>
      <c r="CT36" s="41"/>
      <c r="CU36" s="41"/>
      <c r="CV36" s="41"/>
      <c r="CW36" s="32"/>
      <c r="CX36" s="32"/>
      <c r="CY36" s="32"/>
      <c r="CZ36" s="32"/>
      <c r="DA36" s="48">
        <v>58.4</v>
      </c>
      <c r="DX36" s="5"/>
      <c r="DY36" s="5"/>
      <c r="EH36" s="2"/>
      <c r="EI36" s="2"/>
      <c r="EJ36" s="37"/>
      <c r="EK36" s="48">
        <v>57</v>
      </c>
      <c r="FF36" s="5"/>
      <c r="FG36" s="5"/>
      <c r="FP36" s="2"/>
      <c r="FQ36" s="2"/>
      <c r="FR36" s="37"/>
      <c r="FS36" s="48">
        <v>57</v>
      </c>
      <c r="GN36" s="5"/>
      <c r="GO36" s="5"/>
      <c r="GX36" s="2"/>
      <c r="GY36" s="2"/>
      <c r="GZ36" s="37"/>
      <c r="HA36" s="48">
        <v>57</v>
      </c>
      <c r="HV36" s="5"/>
      <c r="HW36" s="5"/>
      <c r="IF36" s="2"/>
      <c r="IG36" s="2"/>
      <c r="IH36" s="37"/>
      <c r="II36" s="48">
        <v>57</v>
      </c>
      <c r="JD36" s="5"/>
      <c r="JE36" s="5"/>
      <c r="JN36" s="2"/>
      <c r="JO36" s="2"/>
      <c r="JP36" s="37"/>
      <c r="JQ36" s="48">
        <v>57</v>
      </c>
      <c r="KL36" s="5"/>
      <c r="KM36" s="5"/>
      <c r="KV36" s="2"/>
      <c r="KW36" s="2"/>
      <c r="KX36" s="37"/>
      <c r="KY36" s="48">
        <v>57</v>
      </c>
      <c r="LT36" s="5"/>
      <c r="LU36" s="5"/>
      <c r="MD36" s="2"/>
      <c r="ME36" s="2"/>
      <c r="MF36" s="37"/>
      <c r="MG36" s="48">
        <v>57</v>
      </c>
      <c r="NB36" s="5"/>
      <c r="NC36" s="5"/>
      <c r="NL36" s="2"/>
      <c r="NM36" s="2"/>
      <c r="NN36" s="37"/>
      <c r="NO36" s="48">
        <v>58.4</v>
      </c>
      <c r="OJ36" s="5"/>
      <c r="OK36" s="5"/>
      <c r="OT36" s="2"/>
      <c r="OU36" s="2"/>
      <c r="OV36" s="37"/>
      <c r="OW36" s="48">
        <v>58.4</v>
      </c>
      <c r="PR36" s="5"/>
      <c r="PS36" s="5"/>
      <c r="QB36" s="2"/>
      <c r="QC36" s="2"/>
      <c r="QD36" s="37"/>
      <c r="QE36" s="48">
        <v>58.4</v>
      </c>
      <c r="QZ36" s="5"/>
      <c r="RA36" s="5"/>
      <c r="RJ36" s="2"/>
      <c r="RK36" s="2"/>
      <c r="RL36" s="37"/>
      <c r="RM36" s="48">
        <v>58.4</v>
      </c>
      <c r="SH36" s="5"/>
      <c r="SI36" s="5"/>
      <c r="SR36" s="2"/>
      <c r="SS36" s="2"/>
      <c r="ST36" s="37"/>
      <c r="SU36" s="48">
        <v>58.4</v>
      </c>
      <c r="TP36" s="5"/>
      <c r="TQ36" s="5"/>
      <c r="TZ36" s="2"/>
      <c r="UA36" s="2"/>
      <c r="UB36" s="37"/>
      <c r="UC36" s="48">
        <v>58.4</v>
      </c>
      <c r="UX36" s="5"/>
      <c r="UY36" s="5"/>
      <c r="VH36" s="2"/>
      <c r="VI36" s="2"/>
      <c r="VJ36" s="37"/>
      <c r="VK36" s="48">
        <v>58.4</v>
      </c>
      <c r="WF36" s="5"/>
      <c r="WG36" s="5"/>
      <c r="WP36" s="2"/>
      <c r="WQ36" s="2"/>
      <c r="WR36" s="37"/>
      <c r="WS36" s="48">
        <v>58.4</v>
      </c>
    </row>
    <row r="37" spans="1:617" x14ac:dyDescent="0.2">
      <c r="A37" s="5"/>
      <c r="B37" s="25" t="s">
        <v>32</v>
      </c>
      <c r="C37" s="5"/>
      <c r="P37" s="2"/>
      <c r="AR37" s="41"/>
      <c r="AS37" s="41"/>
      <c r="AT37" s="41"/>
      <c r="AU37" s="32"/>
      <c r="AV37" s="41"/>
      <c r="AW37" s="41"/>
      <c r="AX37" s="32"/>
      <c r="AY37" s="49">
        <v>59</v>
      </c>
      <c r="BS37" s="41"/>
      <c r="BT37" s="41"/>
      <c r="BU37" s="41"/>
      <c r="BW37" s="41"/>
      <c r="BX37" s="32"/>
      <c r="BZ37" s="49">
        <v>59</v>
      </c>
      <c r="CT37" s="41"/>
      <c r="CU37" s="41"/>
      <c r="CV37" s="41"/>
      <c r="CW37" s="32"/>
      <c r="CX37" s="41"/>
      <c r="CY37" s="32"/>
      <c r="CZ37" s="32"/>
      <c r="DA37" s="49">
        <v>60</v>
      </c>
      <c r="DX37" s="5"/>
      <c r="DY37" s="5"/>
      <c r="EH37" s="41"/>
      <c r="EI37" s="2"/>
      <c r="EK37" s="49">
        <v>59</v>
      </c>
      <c r="FF37" s="5"/>
      <c r="FG37" s="5"/>
      <c r="FP37" s="41"/>
      <c r="FQ37" s="2"/>
      <c r="FS37" s="49">
        <v>59</v>
      </c>
      <c r="GN37" s="5"/>
      <c r="GO37" s="5"/>
      <c r="GX37" s="2"/>
      <c r="GY37" s="2"/>
      <c r="HA37" s="49">
        <v>59</v>
      </c>
      <c r="HV37" s="5"/>
      <c r="HW37" s="5"/>
      <c r="IF37" s="41"/>
      <c r="IG37" s="2"/>
      <c r="II37" s="49">
        <v>59</v>
      </c>
      <c r="JD37" s="5"/>
      <c r="JE37" s="5"/>
      <c r="JN37" s="2"/>
      <c r="JO37" s="2"/>
      <c r="JQ37" s="49">
        <v>59</v>
      </c>
      <c r="KL37" s="5"/>
      <c r="KM37" s="5"/>
      <c r="KV37" s="2"/>
      <c r="KW37" s="2"/>
      <c r="KY37" s="49">
        <v>59</v>
      </c>
      <c r="LT37" s="5"/>
      <c r="LU37" s="5"/>
      <c r="MD37" s="2"/>
      <c r="ME37" s="2"/>
      <c r="MG37" s="49">
        <v>59</v>
      </c>
      <c r="NB37" s="5"/>
      <c r="NC37" s="5"/>
      <c r="NL37" s="2"/>
      <c r="NM37" s="2"/>
      <c r="NO37" s="49">
        <v>60</v>
      </c>
      <c r="OJ37" s="5"/>
      <c r="OK37" s="5"/>
      <c r="OT37" s="2"/>
      <c r="OU37" s="2"/>
      <c r="OW37" s="49">
        <v>60</v>
      </c>
      <c r="PR37" s="5"/>
      <c r="PS37" s="5"/>
      <c r="QB37" s="2"/>
      <c r="QC37" s="2"/>
      <c r="QE37" s="49">
        <v>60</v>
      </c>
      <c r="QZ37" s="5"/>
      <c r="RA37" s="5"/>
      <c r="RJ37" s="2"/>
      <c r="RK37" s="2"/>
      <c r="RM37" s="49">
        <v>60</v>
      </c>
      <c r="SH37" s="5"/>
      <c r="SI37" s="5"/>
      <c r="SR37" s="2"/>
      <c r="SS37" s="2"/>
      <c r="SU37" s="49">
        <v>60</v>
      </c>
      <c r="TP37" s="5"/>
      <c r="TQ37" s="5"/>
      <c r="TZ37" s="2"/>
      <c r="UA37" s="2"/>
      <c r="UC37" s="49">
        <v>60</v>
      </c>
      <c r="UX37" s="5"/>
      <c r="UY37" s="5"/>
      <c r="VH37" s="2"/>
      <c r="VI37" s="2"/>
      <c r="VK37" s="49">
        <v>60</v>
      </c>
      <c r="WF37" s="5"/>
      <c r="WG37" s="5"/>
      <c r="WP37" s="2"/>
      <c r="WQ37" s="2"/>
      <c r="WS37" s="49">
        <v>60</v>
      </c>
    </row>
    <row r="38" spans="1:617" x14ac:dyDescent="0.2">
      <c r="B38" s="29" t="s">
        <v>54</v>
      </c>
      <c r="C38" s="2"/>
      <c r="AU38" s="32"/>
      <c r="AX38" s="32"/>
      <c r="CW38" s="32"/>
      <c r="CZ38" s="32"/>
    </row>
    <row r="39" spans="1:617" x14ac:dyDescent="0.2">
      <c r="A39" s="5"/>
      <c r="B39" s="5"/>
      <c r="C39" s="2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A40" s="5"/>
      <c r="B40" s="5"/>
      <c r="C40" s="20"/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A41" s="5"/>
      <c r="B41" s="5"/>
      <c r="C41" s="20"/>
      <c r="V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617" ht="17" x14ac:dyDescent="0.2">
      <c r="V44" s="10"/>
      <c r="W44" s="10"/>
      <c r="AQ44" s="32"/>
      <c r="AR44" s="32"/>
      <c r="AS44" s="32"/>
      <c r="AT44" s="32"/>
      <c r="AU44" s="32"/>
      <c r="AX44" s="32"/>
      <c r="CS44" s="32"/>
      <c r="CT44" s="32"/>
      <c r="CU44" s="32"/>
      <c r="CV44" s="32"/>
      <c r="CW44" s="32"/>
      <c r="CZ44" s="32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27">
      <sortCondition descending="1" ref="F1:F28"/>
    </sortState>
  </autoFilter>
  <sortState xmlns:xlrd2="http://schemas.microsoft.com/office/spreadsheetml/2017/richdata2" ref="A1:Q3">
    <sortCondition ref="A1"/>
  </sortState>
  <mergeCells count="116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</mergeCells>
  <conditionalFormatting sqref="H1:H1048576">
    <cfRule type="containsText" dxfId="916" priority="259" operator="containsText" text="No DD">
      <formula>NOT(ISERROR(SEARCH("No DD",H1)))</formula>
    </cfRule>
    <cfRule type="containsText" dxfId="915" priority="260" operator="containsText" text="Merit">
      <formula>NOT(ISERROR(SEARCH("Merit",H1)))</formula>
    </cfRule>
    <cfRule type="containsText" dxfId="914" priority="261" operator="containsText" text="Excellence">
      <formula>NOT(ISERROR(SEARCH("Excellence",H1)))</formula>
    </cfRule>
    <cfRule type="containsText" dxfId="913" priority="262" operator="containsText" text="Worlds Team">
      <formula>NOT(ISERROR(SEARCH("Worlds Team",H1)))</formula>
    </cfRule>
    <cfRule type="containsText" dxfId="912" priority="263" operator="containsText" text="National Team">
      <formula>NOT(ISERROR(SEARCH("National Team",H1)))</formula>
    </cfRule>
  </conditionalFormatting>
  <conditionalFormatting sqref="Y4:AY27">
    <cfRule type="expression" dxfId="911" priority="51305" stopIfTrue="1">
      <formula>IF($AN4&lt;&gt;"",1,0)</formula>
    </cfRule>
  </conditionalFormatting>
  <conditionalFormatting sqref="AZ4:BZ27">
    <cfRule type="expression" dxfId="910" priority="240" stopIfTrue="1">
      <formula>IF($BO4&lt;&gt;"",1,0)</formula>
    </cfRule>
  </conditionalFormatting>
  <conditionalFormatting sqref="CA4:DA27">
    <cfRule type="expression" dxfId="909" priority="236" stopIfTrue="1">
      <formula>IF($CP4&lt;&gt;"",1,0)</formula>
    </cfRule>
  </conditionalFormatting>
  <conditionalFormatting sqref="BW38:BW1048576 BP1:BP1048576 BS1:BS1048576 BW1:BW36">
    <cfRule type="cellIs" dxfId="908" priority="52662" operator="between">
      <formula>$BZ$33</formula>
      <formula>1000</formula>
    </cfRule>
    <cfRule type="cellIs" dxfId="907" priority="52663" operator="between">
      <formula>$BZ$32</formula>
      <formula>$BZ$33</formula>
    </cfRule>
    <cfRule type="cellIs" dxfId="906" priority="52664" operator="between">
      <formula>$BZ$31</formula>
      <formula>$BZ$32</formula>
    </cfRule>
    <cfRule type="cellIs" dxfId="905" priority="52665" operator="between">
      <formula>$BZ$30</formula>
      <formula>$BZ$31</formula>
    </cfRule>
  </conditionalFormatting>
  <conditionalFormatting sqref="CX38:CX1048576 CQ1:CQ1048576 CT1:CT1048576 CX1:CX36">
    <cfRule type="cellIs" dxfId="904" priority="51539" operator="between">
      <formula>$DA$33</formula>
      <formula>1000</formula>
    </cfRule>
    <cfRule type="cellIs" dxfId="903" priority="51540" operator="between">
      <formula>$DA$32</formula>
      <formula>$DA$33</formula>
    </cfRule>
    <cfRule type="cellIs" dxfId="902" priority="51541" operator="between">
      <formula>$DA$31</formula>
      <formula>$DA$32</formula>
    </cfRule>
    <cfRule type="cellIs" dxfId="901" priority="51542" operator="between">
      <formula>$DA$30</formula>
      <formula>$DA$31</formula>
    </cfRule>
  </conditionalFormatting>
  <conditionalFormatting sqref="EH38:EH1048576 DX1:DX1048576 EA1:EA1048576 EE1:EE1048576 EH1:EH36">
    <cfRule type="cellIs" dxfId="900" priority="52690" operator="between">
      <formula>$EK$33</formula>
      <formula>1000</formula>
    </cfRule>
    <cfRule type="cellIs" dxfId="899" priority="52691" operator="between">
      <formula>$EK$32</formula>
      <formula>$EK$33</formula>
    </cfRule>
    <cfRule type="cellIs" dxfId="898" priority="52692" operator="between">
      <formula>$EK$31</formula>
      <formula>$EK$32</formula>
    </cfRule>
    <cfRule type="cellIs" dxfId="897" priority="52693" operator="between">
      <formula>$EK$30</formula>
      <formula>$EK$31</formula>
    </cfRule>
  </conditionalFormatting>
  <conditionalFormatting sqref="FP38:FP1048576 FF1:FF1048576 FI1:FI1048576 FM1:FM1048576 FP1:FP36">
    <cfRule type="cellIs" dxfId="896" priority="220" operator="between">
      <formula>$FS$33</formula>
      <formula>1000</formula>
    </cfRule>
    <cfRule type="cellIs" dxfId="895" priority="221" operator="between">
      <formula>$FS$32</formula>
      <formula>$FS$33</formula>
    </cfRule>
    <cfRule type="cellIs" dxfId="894" priority="222" operator="between">
      <formula>$FS$31</formula>
      <formula>$FS$32</formula>
    </cfRule>
    <cfRule type="cellIs" dxfId="893" priority="223" operator="between">
      <formula>$FS$30</formula>
      <formula>$FS$31</formula>
    </cfRule>
  </conditionalFormatting>
  <conditionalFormatting sqref="IF38:IF1048576 HV1:HV1048576 HY1:HY1048576 IC1:IC1048576 IF1:IF36">
    <cfRule type="cellIs" dxfId="892" priority="188" operator="between">
      <formula>$II$33</formula>
      <formula>1000</formula>
    </cfRule>
    <cfRule type="cellIs" dxfId="891" priority="189" operator="between">
      <formula>$II$32</formula>
      <formula>$II$33</formula>
    </cfRule>
    <cfRule type="cellIs" dxfId="890" priority="190" operator="between">
      <formula>$II$31</formula>
      <formula>$II$32</formula>
    </cfRule>
    <cfRule type="cellIs" dxfId="889" priority="191" operator="between">
      <formula>$II$30</formula>
      <formula>$II$31</formula>
    </cfRule>
  </conditionalFormatting>
  <conditionalFormatting sqref="AW37 AO1:AO1048576 AR1:AR1048576 AV1:AV1048576">
    <cfRule type="cellIs" dxfId="888" priority="52" operator="between">
      <formula>$AY$33</formula>
      <formula>1000</formula>
    </cfRule>
    <cfRule type="cellIs" dxfId="887" priority="53" operator="between">
      <formula>$AY$32</formula>
      <formula>$AY$33</formula>
    </cfRule>
    <cfRule type="cellIs" dxfId="886" priority="54" operator="between">
      <formula>$AY$31</formula>
      <formula>$AY$32</formula>
    </cfRule>
    <cfRule type="cellIs" dxfId="885" priority="55" operator="between">
      <formula>$AY$30</formula>
      <formula>$AY$31</formula>
    </cfRule>
  </conditionalFormatting>
  <conditionalFormatting sqref="BW37">
    <cfRule type="cellIs" dxfId="884" priority="48" operator="between">
      <formula>$AY$33</formula>
      <formula>1000</formula>
    </cfRule>
    <cfRule type="cellIs" dxfId="883" priority="49" operator="between">
      <formula>$AY$32</formula>
      <formula>$AY$33</formula>
    </cfRule>
    <cfRule type="cellIs" dxfId="882" priority="50" operator="between">
      <formula>$AY$31</formula>
      <formula>$AY$32</formula>
    </cfRule>
    <cfRule type="cellIs" dxfId="881" priority="51" operator="between">
      <formula>$AY$30</formula>
      <formula>$AY$31</formula>
    </cfRule>
  </conditionalFormatting>
  <conditionalFormatting sqref="CX37">
    <cfRule type="cellIs" dxfId="880" priority="44" operator="between">
      <formula>$AY$33</formula>
      <formula>1000</formula>
    </cfRule>
    <cfRule type="cellIs" dxfId="879" priority="45" operator="between">
      <formula>$AY$32</formula>
      <formula>$AY$33</formula>
    </cfRule>
    <cfRule type="cellIs" dxfId="878" priority="46" operator="between">
      <formula>$AY$31</formula>
      <formula>$AY$32</formula>
    </cfRule>
    <cfRule type="cellIs" dxfId="877" priority="47" operator="between">
      <formula>$AY$30</formula>
      <formula>$AY$31</formula>
    </cfRule>
  </conditionalFormatting>
  <conditionalFormatting sqref="EH37">
    <cfRule type="cellIs" dxfId="876" priority="40" operator="between">
      <formula>$AY$33</formula>
      <formula>1000</formula>
    </cfRule>
    <cfRule type="cellIs" dxfId="875" priority="41" operator="between">
      <formula>$AY$32</formula>
      <formula>$AY$33</formula>
    </cfRule>
    <cfRule type="cellIs" dxfId="874" priority="42" operator="between">
      <formula>$AY$31</formula>
      <formula>$AY$32</formula>
    </cfRule>
    <cfRule type="cellIs" dxfId="873" priority="43" operator="between">
      <formula>$AY$30</formula>
      <formula>$AY$31</formula>
    </cfRule>
  </conditionalFormatting>
  <conditionalFormatting sqref="FP37">
    <cfRule type="cellIs" dxfId="872" priority="36" operator="between">
      <formula>$AY$33</formula>
      <formula>1000</formula>
    </cfRule>
    <cfRule type="cellIs" dxfId="871" priority="37" operator="between">
      <formula>$AY$32</formula>
      <formula>$AY$33</formula>
    </cfRule>
    <cfRule type="cellIs" dxfId="870" priority="38" operator="between">
      <formula>$AY$31</formula>
      <formula>$AY$32</formula>
    </cfRule>
    <cfRule type="cellIs" dxfId="869" priority="39" operator="between">
      <formula>$AY$30</formula>
      <formula>$AY$31</formula>
    </cfRule>
  </conditionalFormatting>
  <conditionalFormatting sqref="IF37">
    <cfRule type="cellIs" dxfId="868" priority="32" operator="between">
      <formula>$AY$33</formula>
      <formula>1000</formula>
    </cfRule>
    <cfRule type="cellIs" dxfId="867" priority="33" operator="between">
      <formula>$AY$32</formula>
      <formula>$AY$33</formula>
    </cfRule>
    <cfRule type="cellIs" dxfId="866" priority="34" operator="between">
      <formula>$AY$31</formula>
      <formula>$AY$32</formula>
    </cfRule>
    <cfRule type="cellIs" dxfId="865" priority="35" operator="between">
      <formula>$AY$30</formula>
      <formula>$AY$31</formula>
    </cfRule>
  </conditionalFormatting>
  <conditionalFormatting sqref="K1:K1048576 M1:M1048576 O1:O1048576 Q1:Q1048576 S1:S1048576 U1:U1048576">
    <cfRule type="expression" dxfId="864" priority="52681" stopIfTrue="1">
      <formula>IF(K1=$CA$1,1,0)</formula>
    </cfRule>
    <cfRule type="expression" dxfId="863" priority="52682">
      <formula>IF(K1=$AZ$1,1,0)</formula>
    </cfRule>
    <cfRule type="expression" dxfId="862" priority="52683">
      <formula>IF(K1=$Y$1,1,0)</formula>
    </cfRule>
  </conditionalFormatting>
  <conditionalFormatting sqref="A4:A1048576">
    <cfRule type="expression" dxfId="861" priority="31">
      <formula>AND(G4&lt;&gt;"",F4="")</formula>
    </cfRule>
    <cfRule type="expression" dxfId="860" priority="37593">
      <formula>IF(A4&gt;8,1,0)</formula>
    </cfRule>
  </conditionalFormatting>
  <conditionalFormatting sqref="CV1:CV1048576 AT1:AT1048576">
    <cfRule type="cellIs" dxfId="859" priority="135115" operator="between">
      <formula>AY$37</formula>
      <formula>1000</formula>
    </cfRule>
    <cfRule type="cellIs" dxfId="858" priority="135116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 TU1:TU37 VC1:VC37 WK1:WK37">
    <cfRule type="cellIs" dxfId="857" priority="135127" operator="between">
      <formula>EK$37</formula>
      <formula>1000</formula>
    </cfRule>
    <cfRule type="cellIs" dxfId="856" priority="135128" operator="between">
      <formula>EK$36</formula>
      <formula>EK$37</formula>
    </cfRule>
  </conditionalFormatting>
  <conditionalFormatting sqref="AQ1:AQ1048576 AT1:AT1048576 AX1:AX1048576">
    <cfRule type="cellIs" dxfId="855" priority="135211" operator="between">
      <formula>$AY$37</formula>
      <formula>1000</formula>
    </cfRule>
    <cfRule type="cellIs" dxfId="854" priority="135212" operator="between">
      <formula>$AY$36</formula>
      <formula>$AY$37</formula>
    </cfRule>
    <cfRule type="cellIs" dxfId="853" priority="135213" operator="between">
      <formula>$AY$35</formula>
      <formula>$AY$36</formula>
    </cfRule>
    <cfRule type="cellIs" dxfId="852" priority="135214" operator="between">
      <formula>$AY$34</formula>
      <formula>$AY$35</formula>
    </cfRule>
  </conditionalFormatting>
  <conditionalFormatting sqref="BR1:BR1048576 BU1:BU1048576 BY1:BY1048576">
    <cfRule type="cellIs" dxfId="851" priority="135247" operator="between">
      <formula>$BZ$37</formula>
      <formula>1000</formula>
    </cfRule>
    <cfRule type="cellIs" dxfId="850" priority="135248" operator="between">
      <formula>$BZ$36</formula>
      <formula>$BZ$37</formula>
    </cfRule>
    <cfRule type="cellIs" dxfId="849" priority="135249" operator="between">
      <formula>$BZ$35</formula>
      <formula>$BZ$36</formula>
    </cfRule>
    <cfRule type="cellIs" dxfId="848" priority="135250" operator="between">
      <formula>$BZ$34</formula>
      <formula>$BZ$35</formula>
    </cfRule>
  </conditionalFormatting>
  <conditionalFormatting sqref="CS1:CS1048576 CV1:CV1048576 CZ1:CZ1048576">
    <cfRule type="cellIs" dxfId="847" priority="135283" operator="between">
      <formula>$DA$37</formula>
      <formula>1000</formula>
    </cfRule>
    <cfRule type="cellIs" dxfId="846" priority="135284" operator="between">
      <formula>$DA$36</formula>
      <formula>$DA$37</formula>
    </cfRule>
    <cfRule type="cellIs" dxfId="845" priority="135285" operator="between">
      <formula>$DA$35</formula>
      <formula>$DA$36</formula>
    </cfRule>
    <cfRule type="cellIs" dxfId="844" priority="135286" operator="between">
      <formula>$DA$34</formula>
      <formula>$DA$35</formula>
    </cfRule>
  </conditionalFormatting>
  <conditionalFormatting sqref="NB1:NB1048576 NE1:NE1048576 NI1:NI1048576 NL1:NL1048576">
    <cfRule type="cellIs" dxfId="843" priority="135319" operator="between">
      <formula>$NO$30</formula>
      <formula>$NO$31</formula>
    </cfRule>
  </conditionalFormatting>
  <conditionalFormatting sqref="DZ1:DZ1048576 EC1:EC1048576 EG1:EG1048576 EJ1:EJ1048576">
    <cfRule type="cellIs" dxfId="842" priority="135331" operator="between">
      <formula>$EK$37</formula>
      <formula>1000</formula>
    </cfRule>
    <cfRule type="cellIs" dxfId="841" priority="135332" operator="between">
      <formula>$EK$36</formula>
      <formula>$EK$37</formula>
    </cfRule>
    <cfRule type="cellIs" dxfId="840" priority="135333" operator="between">
      <formula>$EK$35</formula>
      <formula>$EK$36</formula>
    </cfRule>
    <cfRule type="cellIs" dxfId="839" priority="135334" operator="between">
      <formula>$EK$34</formula>
      <formula>$EK$35</formula>
    </cfRule>
  </conditionalFormatting>
  <conditionalFormatting sqref="FH1:FH1048576 FK1:FK1048576 FO1:FO1048576 FR1:FR1048576">
    <cfRule type="cellIs" dxfId="838" priority="135379" operator="between">
      <formula>$FS$37</formula>
      <formula>1000</formula>
    </cfRule>
    <cfRule type="cellIs" dxfId="837" priority="135380" operator="between">
      <formula>$FS$36</formula>
      <formula>$FS$37</formula>
    </cfRule>
    <cfRule type="cellIs" dxfId="836" priority="135381" operator="between">
      <formula>$FS$35</formula>
      <formula>$FS$36</formula>
    </cfRule>
    <cfRule type="cellIs" dxfId="835" priority="135382" operator="between">
      <formula>$FS$34</formula>
      <formula>$FS$35</formula>
    </cfRule>
  </conditionalFormatting>
  <conditionalFormatting sqref="GN1:GN1048576 GQ1:GQ1048576 GU1:GU1048576 GX1:GX1048576">
    <cfRule type="cellIs" dxfId="834" priority="135427" operator="between">
      <formula>$HA$33</formula>
      <formula>1000</formula>
    </cfRule>
    <cfRule type="cellIs" dxfId="833" priority="135428" operator="between">
      <formula>$HA$32</formula>
      <formula>$HA$33</formula>
    </cfRule>
    <cfRule type="cellIs" dxfId="832" priority="135429" operator="between">
      <formula>$HA$31</formula>
      <formula>$HA$32</formula>
    </cfRule>
    <cfRule type="cellIs" dxfId="831" priority="135430" operator="between">
      <formula>$HA$30</formula>
      <formula>$HA$31</formula>
    </cfRule>
  </conditionalFormatting>
  <conditionalFormatting sqref="GP1:GP1048576 GS1:GS1048576 GW1:GW1048576 GZ1:GZ1048576">
    <cfRule type="cellIs" dxfId="830" priority="135475" operator="between">
      <formula>$HA$37</formula>
      <formula>1000</formula>
    </cfRule>
    <cfRule type="cellIs" dxfId="829" priority="135476" operator="between">
      <formula>$HA$36</formula>
      <formula>$HA$37</formula>
    </cfRule>
    <cfRule type="cellIs" dxfId="828" priority="135477" operator="between">
      <formula>$HA$35</formula>
      <formula>$HA$36</formula>
    </cfRule>
    <cfRule type="cellIs" dxfId="827" priority="135478" operator="between">
      <formula>$HA$34</formula>
      <formula>$HA$35</formula>
    </cfRule>
  </conditionalFormatting>
  <conditionalFormatting sqref="HX1:HX1048576 IA1:IA1048576 IE1:IE1048576 IH1:IH1048576">
    <cfRule type="cellIs" dxfId="826" priority="135523" operator="between">
      <formula>$II$37</formula>
      <formula>1000</formula>
    </cfRule>
    <cfRule type="cellIs" dxfId="825" priority="135524" operator="between">
      <formula>$II$36</formula>
      <formula>$II$37</formula>
    </cfRule>
    <cfRule type="cellIs" dxfId="824" priority="135525" operator="between">
      <formula>$II$35</formula>
      <formula>$II$36</formula>
    </cfRule>
    <cfRule type="cellIs" dxfId="823" priority="135526" operator="between">
      <formula>$II$34</formula>
      <formula>$II$35</formula>
    </cfRule>
  </conditionalFormatting>
  <conditionalFormatting sqref="JD1:JD1048576 JG1:JG1048576 JK1:JK1048576 JN1:JN1048576">
    <cfRule type="cellIs" dxfId="822" priority="135571" operator="between">
      <formula>$JQ$33</formula>
      <formula>1000</formula>
    </cfRule>
    <cfRule type="cellIs" dxfId="821" priority="135572" operator="between">
      <formula>$JQ$32</formula>
      <formula>$JQ$33</formula>
    </cfRule>
    <cfRule type="cellIs" dxfId="820" priority="135573" operator="between">
      <formula>$JQ$31</formula>
      <formula>$JQ$32</formula>
    </cfRule>
    <cfRule type="cellIs" dxfId="819" priority="135574" operator="between">
      <formula>$JQ$30</formula>
      <formula>$JQ$31</formula>
    </cfRule>
  </conditionalFormatting>
  <conditionalFormatting sqref="JF1:JF1048576 JI1:JI1048576 JM1:JM1048576 JP1:JP1048576">
    <cfRule type="cellIs" dxfId="818" priority="135619" operator="between">
      <formula>$JQ$37</formula>
      <formula>1000</formula>
    </cfRule>
    <cfRule type="cellIs" dxfId="817" priority="135620" operator="between">
      <formula>$JQ$36</formula>
      <formula>$JQ$37</formula>
    </cfRule>
    <cfRule type="cellIs" dxfId="816" priority="135621" operator="between">
      <formula>$JQ$35</formula>
      <formula>$JQ$36</formula>
    </cfRule>
    <cfRule type="cellIs" dxfId="815" priority="135622" operator="between">
      <formula>$JQ$34</formula>
      <formula>$JQ$35</formula>
    </cfRule>
  </conditionalFormatting>
  <conditionalFormatting sqref="KL1:KL1048576 KO1:KO1048576 KS1:KS1048576 KV1:KV1048576">
    <cfRule type="cellIs" dxfId="814" priority="135667" operator="between">
      <formula>$KY$33</formula>
      <formula>1000</formula>
    </cfRule>
    <cfRule type="cellIs" dxfId="813" priority="135668" operator="between">
      <formula>$KY$32</formula>
      <formula>$KY$33</formula>
    </cfRule>
    <cfRule type="cellIs" dxfId="812" priority="135669" operator="between">
      <formula>$KY$31</formula>
      <formula>$KY$32</formula>
    </cfRule>
    <cfRule type="cellIs" dxfId="811" priority="135670" operator="between">
      <formula>$KY$30</formula>
      <formula>$KY$31</formula>
    </cfRule>
  </conditionalFormatting>
  <conditionalFormatting sqref="KN1:KN1048576 KQ1:KQ1048576 KU1:KU1048576 KX1:KX1048576">
    <cfRule type="cellIs" dxfId="810" priority="135715" operator="between">
      <formula>$KY$37</formula>
      <formula>1000</formula>
    </cfRule>
    <cfRule type="cellIs" dxfId="809" priority="135716" operator="between">
      <formula>$KY$36</formula>
      <formula>$KY$37</formula>
    </cfRule>
    <cfRule type="cellIs" dxfId="808" priority="135717" operator="between">
      <formula>$KY$35</formula>
      <formula>$KY$36</formula>
    </cfRule>
    <cfRule type="cellIs" dxfId="807" priority="135718" operator="between">
      <formula>$KY$34</formula>
      <formula>$KY$35</formula>
    </cfRule>
  </conditionalFormatting>
  <conditionalFormatting sqref="LT1:LT1048576 LW1:LW1048576 MA1:MA1048576 MD1:MD1048576">
    <cfRule type="cellIs" dxfId="806" priority="135763" operator="between">
      <formula>$MG$33</formula>
      <formula>1000</formula>
    </cfRule>
    <cfRule type="cellIs" dxfId="805" priority="135764" operator="between">
      <formula>$MG$32</formula>
      <formula>$MG$33</formula>
    </cfRule>
    <cfRule type="cellIs" dxfId="804" priority="135765" operator="between">
      <formula>$MG$31</formula>
      <formula>$MG$32</formula>
    </cfRule>
    <cfRule type="cellIs" dxfId="803" priority="135766" operator="between">
      <formula>$MG$30</formula>
      <formula>$MG$31</formula>
    </cfRule>
  </conditionalFormatting>
  <conditionalFormatting sqref="LV1:LV1048576 LY1:LY1048576 MC1:MC1048576 MF1:MF1048576">
    <cfRule type="cellIs" dxfId="802" priority="135811" operator="between">
      <formula>$MG$37</formula>
      <formula>1000</formula>
    </cfRule>
    <cfRule type="cellIs" dxfId="801" priority="135812" operator="between">
      <formula>$MG$36</formula>
      <formula>$MG$37</formula>
    </cfRule>
    <cfRule type="cellIs" dxfId="800" priority="135813" operator="between">
      <formula>$MG$35</formula>
      <formula>$MG$36</formula>
    </cfRule>
    <cfRule type="cellIs" dxfId="799" priority="135814" operator="between">
      <formula>$MG$34</formula>
      <formula>$MG$35</formula>
    </cfRule>
  </conditionalFormatting>
  <conditionalFormatting sqref="NB1:NB1048576 NE1:NE1048576 NI1:NI1048576">
    <cfRule type="cellIs" dxfId="798" priority="135859" operator="between">
      <formula>$NO$33</formula>
      <formula>1000</formula>
    </cfRule>
    <cfRule type="cellIs" dxfId="797" priority="135860" operator="between">
      <formula>$NO$32</formula>
      <formula>$NO$33</formula>
    </cfRule>
    <cfRule type="cellIs" dxfId="796" priority="135861" operator="between">
      <formula>$NO$31</formula>
      <formula>$NO$32</formula>
    </cfRule>
  </conditionalFormatting>
  <conditionalFormatting sqref="ND1:ND1048576 NG1:NG1048576 NK1:NK1048576 NN1:NN1048576">
    <cfRule type="cellIs" dxfId="795" priority="135886" operator="between">
      <formula>$NO$37</formula>
      <formula>1000</formula>
    </cfRule>
    <cfRule type="cellIs" dxfId="794" priority="135887" operator="between">
      <formula>$NO$36</formula>
      <formula>$NO$37</formula>
    </cfRule>
    <cfRule type="cellIs" dxfId="793" priority="135888" operator="between">
      <formula>$NO$35</formula>
      <formula>$NO$36</formula>
    </cfRule>
    <cfRule type="cellIs" dxfId="792" priority="135889" operator="between">
      <formula>$NO$34</formula>
      <formula>$NO$35</formula>
    </cfRule>
  </conditionalFormatting>
  <conditionalFormatting sqref="OJ1:OJ1048576 OM1:OM1048576 OQ1:OQ1048576 OT1:OT1048576">
    <cfRule type="cellIs" dxfId="791" priority="135934" operator="between">
      <formula>$OW$33</formula>
      <formula>1000</formula>
    </cfRule>
    <cfRule type="cellIs" dxfId="790" priority="135935" operator="between">
      <formula>$OW$32</formula>
      <formula>$OW$33</formula>
    </cfRule>
    <cfRule type="cellIs" dxfId="789" priority="135936" operator="between">
      <formula>$OW$31</formula>
      <formula>$OW$32</formula>
    </cfRule>
    <cfRule type="cellIs" dxfId="788" priority="135937" operator="between">
      <formula>$OW$30</formula>
      <formula>$OW$31</formula>
    </cfRule>
  </conditionalFormatting>
  <conditionalFormatting sqref="OL1:OL1048576 OO1:OO1048576 OS1:OS1048576 OV1:OV1048576">
    <cfRule type="cellIs" dxfId="787" priority="135982" operator="between">
      <formula>$OW$37</formula>
      <formula>1000</formula>
    </cfRule>
    <cfRule type="cellIs" dxfId="786" priority="135983" operator="between">
      <formula>$OW$36</formula>
      <formula>$OW$37</formula>
    </cfRule>
    <cfRule type="cellIs" dxfId="785" priority="135984" operator="between">
      <formula>$OW$35</formula>
      <formula>$OW$36</formula>
    </cfRule>
    <cfRule type="cellIs" dxfId="784" priority="135985" operator="between">
      <formula>$OW$34</formula>
      <formula>$OW$35</formula>
    </cfRule>
  </conditionalFormatting>
  <conditionalFormatting sqref="PR1:PR1048576 PU1:PU1048576 PY1:PY1048576 QB1:QB1048576">
    <cfRule type="cellIs" dxfId="783" priority="136030" operator="between">
      <formula>$QE$33</formula>
      <formula>1000</formula>
    </cfRule>
    <cfRule type="cellIs" dxfId="782" priority="136031" operator="between">
      <formula>$QE$32</formula>
      <formula>$QE$33</formula>
    </cfRule>
    <cfRule type="cellIs" dxfId="781" priority="136032" operator="between">
      <formula>$QE$31</formula>
      <formula>$QE$32</formula>
    </cfRule>
    <cfRule type="cellIs" dxfId="780" priority="136033" operator="between">
      <formula>$QE$30</formula>
      <formula>$QE$31</formula>
    </cfRule>
  </conditionalFormatting>
  <conditionalFormatting sqref="PT1:PT1048576 PW1:PW1048576 QA1:QA1048576 QD1:QD1048576">
    <cfRule type="cellIs" dxfId="779" priority="136078" operator="between">
      <formula>$QE$37</formula>
      <formula>1000</formula>
    </cfRule>
    <cfRule type="cellIs" dxfId="778" priority="136079" operator="between">
      <formula>$QE$36</formula>
      <formula>$QE$37</formula>
    </cfRule>
    <cfRule type="cellIs" dxfId="777" priority="136080" operator="between">
      <formula>$QE$35</formula>
      <formula>$QE$36</formula>
    </cfRule>
    <cfRule type="cellIs" dxfId="776" priority="136081" operator="between">
      <formula>$QE$34</formula>
      <formula>$QE$35</formula>
    </cfRule>
  </conditionalFormatting>
  <conditionalFormatting sqref="QZ1:QZ1048576 RC1:RC1048576 RG1:RG1048576 RJ1:RJ1048576">
    <cfRule type="cellIs" dxfId="775" priority="136126" operator="between">
      <formula>$RM$33</formula>
      <formula>1000</formula>
    </cfRule>
    <cfRule type="cellIs" dxfId="774" priority="136127" operator="between">
      <formula>$RM$32</formula>
      <formula>$RM$33</formula>
    </cfRule>
    <cfRule type="cellIs" dxfId="773" priority="136128" operator="between">
      <formula>$RM$31</formula>
      <formula>$RM$32</formula>
    </cfRule>
    <cfRule type="cellIs" dxfId="772" priority="136129" operator="between">
      <formula>$RM$30</formula>
      <formula>$RM$31</formula>
    </cfRule>
  </conditionalFormatting>
  <conditionalFormatting sqref="RB1:RB1048576 RE1:RE1048576 RI1:RI1048576 RL1:RL1048576">
    <cfRule type="cellIs" dxfId="771" priority="136174" operator="between">
      <formula>$RM$37</formula>
      <formula>1000</formula>
    </cfRule>
    <cfRule type="cellIs" dxfId="770" priority="136175" operator="between">
      <formula>$RM$36</formula>
      <formula>$RM$37</formula>
    </cfRule>
    <cfRule type="cellIs" dxfId="769" priority="136176" operator="between">
      <formula>$RM$35</formula>
      <formula>$RM$36</formula>
    </cfRule>
    <cfRule type="cellIs" dxfId="768" priority="136177" operator="between">
      <formula>$RM$34</formula>
      <formula>$RM$35</formula>
    </cfRule>
  </conditionalFormatting>
  <conditionalFormatting sqref="SH1:SH1048576 SK1:SK1048576 SO1:SO1048576 SR1:SR1048576 TP1:TP37 TS1:TS37 TW1:TW37 TZ1:TZ37 UX1:UX37 VA1:VA37 VE1:VE37 VH1:VH37 WF1:WF37 WI1:WI37 WM1:WM37 WP1:WP37">
    <cfRule type="cellIs" dxfId="767" priority="136222" operator="between">
      <formula>$SU$33</formula>
      <formula>1000</formula>
    </cfRule>
    <cfRule type="cellIs" dxfId="766" priority="136223" operator="between">
      <formula>$SU$32</formula>
      <formula>$SU$33</formula>
    </cfRule>
    <cfRule type="cellIs" dxfId="765" priority="136224" operator="between">
      <formula>$SU$31</formula>
      <formula>$SU$32</formula>
    </cfRule>
    <cfRule type="cellIs" dxfId="764" priority="136225" operator="between">
      <formula>$SU$30</formula>
      <formula>$SU$31</formula>
    </cfRule>
  </conditionalFormatting>
  <conditionalFormatting sqref="SJ1:SJ1048576 SM1:SM1048576 SQ1:SQ1048576 ST1:ST1048576 TR1:TR37 TU1:TU37 TY1:TY37 UB1:UB37 UZ1:UZ37 VC1:VC37 VG1:VG37 VJ1:VJ37 WH1:WH37 WK1:WK37 WO1:WO37 WR1:WR37">
    <cfRule type="cellIs" dxfId="763" priority="136366" operator="between">
      <formula>$SU$37</formula>
      <formula>1000</formula>
    </cfRule>
    <cfRule type="cellIs" dxfId="762" priority="136367" operator="between">
      <formula>$SU$36</formula>
      <formula>$SU$37</formula>
    </cfRule>
    <cfRule type="cellIs" dxfId="761" priority="136368" operator="between">
      <formula>$SU$35</formula>
      <formula>$SU$36</formula>
    </cfRule>
    <cfRule type="cellIs" dxfId="760" priority="136369" operator="between">
      <formula>$SU$34</formula>
      <formula>$SU$35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644" width="10.83203125" hidden="1" customWidth="1"/>
  </cols>
  <sheetData>
    <row r="1" spans="1:644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92</v>
      </c>
      <c r="K1" s="69" t="s">
        <v>30</v>
      </c>
      <c r="L1" s="71" t="s">
        <v>93</v>
      </c>
      <c r="M1" s="69" t="s">
        <v>30</v>
      </c>
      <c r="N1" s="71" t="s">
        <v>116</v>
      </c>
      <c r="O1" s="69" t="s">
        <v>30</v>
      </c>
      <c r="P1" s="69" t="s">
        <v>12</v>
      </c>
      <c r="Q1" s="69" t="s">
        <v>30</v>
      </c>
      <c r="R1" s="69" t="s">
        <v>94</v>
      </c>
      <c r="S1" s="69" t="s">
        <v>30</v>
      </c>
      <c r="T1" s="71" t="s">
        <v>95</v>
      </c>
      <c r="U1" s="69" t="s">
        <v>30</v>
      </c>
      <c r="V1" s="73" t="s">
        <v>13</v>
      </c>
      <c r="W1" s="69" t="s">
        <v>31</v>
      </c>
      <c r="X1" s="69" t="s">
        <v>30</v>
      </c>
      <c r="Y1" s="64" t="s">
        <v>220</v>
      </c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7" t="s">
        <v>239</v>
      </c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4" t="s">
        <v>249</v>
      </c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13</v>
      </c>
      <c r="DC1" s="68"/>
      <c r="DD1" s="64" t="s">
        <v>183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7" t="s">
        <v>209</v>
      </c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7"/>
      <c r="FS1" s="67"/>
      <c r="FT1" s="64" t="s">
        <v>213</v>
      </c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7" t="s">
        <v>212</v>
      </c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4" t="s">
        <v>228</v>
      </c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7" t="s">
        <v>233</v>
      </c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7"/>
      <c r="KY1" s="67"/>
      <c r="KZ1" s="64" t="s">
        <v>232</v>
      </c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7" t="s">
        <v>238</v>
      </c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7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7"/>
      <c r="SU1" s="67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7"/>
      <c r="VE1" s="67"/>
      <c r="VF1" s="67"/>
      <c r="VG1" s="67"/>
      <c r="VH1" s="67"/>
      <c r="VI1" s="67"/>
      <c r="VJ1" s="67"/>
      <c r="VK1" s="67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4"/>
      <c r="WM1" s="64"/>
      <c r="WN1" s="64"/>
      <c r="WO1" s="64"/>
      <c r="WP1" s="64"/>
      <c r="WQ1" s="64"/>
      <c r="WR1" s="64"/>
      <c r="WS1" s="64"/>
      <c r="WT1" s="67" t="s">
        <v>64</v>
      </c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  <c r="XM1" s="67"/>
      <c r="XN1" s="67"/>
      <c r="XO1" s="67"/>
      <c r="XP1" s="67"/>
      <c r="XQ1" s="67"/>
      <c r="XR1" s="67"/>
      <c r="XS1" s="67"/>
      <c r="XT1" s="67"/>
    </row>
    <row r="2" spans="1:644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1"/>
      <c r="O2" s="69"/>
      <c r="P2" s="69"/>
      <c r="Q2" s="69"/>
      <c r="R2" s="69"/>
      <c r="S2" s="69"/>
      <c r="T2" s="71"/>
      <c r="U2" s="69"/>
      <c r="V2" s="73"/>
      <c r="W2" s="69"/>
      <c r="X2" s="69"/>
      <c r="Y2" s="65" t="s">
        <v>18</v>
      </c>
      <c r="Z2" s="65"/>
      <c r="AA2" s="65"/>
      <c r="AB2" s="65"/>
      <c r="AC2" s="65"/>
      <c r="AD2" s="65" t="s">
        <v>19</v>
      </c>
      <c r="AE2" s="65"/>
      <c r="AF2" s="65"/>
      <c r="AG2" s="65"/>
      <c r="AH2" s="65"/>
      <c r="AI2" s="65" t="s">
        <v>22</v>
      </c>
      <c r="AJ2" s="65"/>
      <c r="AK2" s="65"/>
      <c r="AL2" s="65"/>
      <c r="AM2" s="65"/>
      <c r="AN2" s="14"/>
      <c r="AO2" s="14" t="s">
        <v>96</v>
      </c>
      <c r="AP2" s="14" t="s">
        <v>97</v>
      </c>
      <c r="AQ2" s="14" t="s">
        <v>20</v>
      </c>
      <c r="AR2" s="14" t="s">
        <v>77</v>
      </c>
      <c r="AS2" s="14" t="s">
        <v>98</v>
      </c>
      <c r="AT2" s="14" t="s">
        <v>21</v>
      </c>
      <c r="AU2" s="14" t="s">
        <v>23</v>
      </c>
      <c r="AV2" s="14" t="s">
        <v>99</v>
      </c>
      <c r="AW2" s="14" t="s">
        <v>100</v>
      </c>
      <c r="AX2" s="14" t="s">
        <v>22</v>
      </c>
      <c r="AY2" s="14" t="s">
        <v>17</v>
      </c>
      <c r="AZ2" s="66" t="s">
        <v>18</v>
      </c>
      <c r="BA2" s="66"/>
      <c r="BB2" s="66"/>
      <c r="BC2" s="66"/>
      <c r="BD2" s="66"/>
      <c r="BE2" s="66" t="s">
        <v>19</v>
      </c>
      <c r="BF2" s="66"/>
      <c r="BG2" s="66"/>
      <c r="BH2" s="66"/>
      <c r="BI2" s="66"/>
      <c r="BJ2" s="66" t="s">
        <v>22</v>
      </c>
      <c r="BK2" s="66"/>
      <c r="BL2" s="66"/>
      <c r="BM2" s="66"/>
      <c r="BN2" s="66"/>
      <c r="BO2" s="13"/>
      <c r="BP2" s="13" t="s">
        <v>96</v>
      </c>
      <c r="BQ2" s="13" t="s">
        <v>97</v>
      </c>
      <c r="BR2" s="13" t="s">
        <v>20</v>
      </c>
      <c r="BS2" s="13" t="s">
        <v>77</v>
      </c>
      <c r="BT2" s="13" t="s">
        <v>98</v>
      </c>
      <c r="BU2" s="13" t="s">
        <v>21</v>
      </c>
      <c r="BV2" s="13" t="s">
        <v>23</v>
      </c>
      <c r="BW2" s="13" t="s">
        <v>99</v>
      </c>
      <c r="BX2" s="13" t="s">
        <v>100</v>
      </c>
      <c r="BY2" s="13" t="s">
        <v>22</v>
      </c>
      <c r="BZ2" s="13" t="s">
        <v>17</v>
      </c>
      <c r="CA2" s="65" t="s">
        <v>18</v>
      </c>
      <c r="CB2" s="65"/>
      <c r="CC2" s="65"/>
      <c r="CD2" s="65"/>
      <c r="CE2" s="65"/>
      <c r="CF2" s="65" t="s">
        <v>19</v>
      </c>
      <c r="CG2" s="65"/>
      <c r="CH2" s="65"/>
      <c r="CI2" s="65"/>
      <c r="CJ2" s="65"/>
      <c r="CK2" s="65" t="s">
        <v>22</v>
      </c>
      <c r="CL2" s="65"/>
      <c r="CM2" s="65"/>
      <c r="CN2" s="65"/>
      <c r="CO2" s="65"/>
      <c r="CP2" s="14"/>
      <c r="CQ2" s="14" t="s">
        <v>96</v>
      </c>
      <c r="CR2" s="14" t="s">
        <v>97</v>
      </c>
      <c r="CS2" s="14" t="s">
        <v>20</v>
      </c>
      <c r="CT2" s="14" t="s">
        <v>77</v>
      </c>
      <c r="CU2" s="14" t="s">
        <v>98</v>
      </c>
      <c r="CV2" s="14" t="s">
        <v>21</v>
      </c>
      <c r="CW2" s="14" t="s">
        <v>23</v>
      </c>
      <c r="CX2" s="14" t="s">
        <v>99</v>
      </c>
      <c r="CY2" s="14" t="s">
        <v>100</v>
      </c>
      <c r="CZ2" s="14" t="s">
        <v>22</v>
      </c>
      <c r="DA2" s="14" t="s">
        <v>17</v>
      </c>
      <c r="DB2" s="50" t="s">
        <v>23</v>
      </c>
      <c r="DC2" s="50" t="s">
        <v>22</v>
      </c>
      <c r="DD2" s="65" t="s">
        <v>18</v>
      </c>
      <c r="DE2" s="65"/>
      <c r="DF2" s="65"/>
      <c r="DG2" s="65"/>
      <c r="DH2" s="65"/>
      <c r="DI2" s="65" t="s">
        <v>19</v>
      </c>
      <c r="DJ2" s="65"/>
      <c r="DK2" s="65"/>
      <c r="DL2" s="65"/>
      <c r="DM2" s="65"/>
      <c r="DN2" s="65" t="s">
        <v>101</v>
      </c>
      <c r="DO2" s="65"/>
      <c r="DP2" s="65"/>
      <c r="DQ2" s="65"/>
      <c r="DR2" s="65"/>
      <c r="DS2" s="65" t="s">
        <v>22</v>
      </c>
      <c r="DT2" s="65"/>
      <c r="DU2" s="65"/>
      <c r="DV2" s="65"/>
      <c r="DW2" s="65"/>
      <c r="DX2" s="14" t="s">
        <v>96</v>
      </c>
      <c r="DY2" s="14" t="s">
        <v>97</v>
      </c>
      <c r="DZ2" s="14" t="s">
        <v>20</v>
      </c>
      <c r="EA2" s="14" t="s">
        <v>77</v>
      </c>
      <c r="EB2" s="14" t="s">
        <v>98</v>
      </c>
      <c r="EC2" s="14" t="s">
        <v>21</v>
      </c>
      <c r="ED2" s="14" t="s">
        <v>23</v>
      </c>
      <c r="EE2" s="14" t="s">
        <v>102</v>
      </c>
      <c r="EF2" s="14" t="s">
        <v>103</v>
      </c>
      <c r="EG2" s="14" t="s">
        <v>101</v>
      </c>
      <c r="EH2" s="14" t="s">
        <v>99</v>
      </c>
      <c r="EI2" s="14" t="s">
        <v>100</v>
      </c>
      <c r="EJ2" s="14" t="s">
        <v>22</v>
      </c>
      <c r="EK2" s="14" t="s">
        <v>17</v>
      </c>
      <c r="EL2" s="66" t="s">
        <v>18</v>
      </c>
      <c r="EM2" s="66"/>
      <c r="EN2" s="66"/>
      <c r="EO2" s="66"/>
      <c r="EP2" s="66"/>
      <c r="EQ2" s="66" t="s">
        <v>19</v>
      </c>
      <c r="ER2" s="66"/>
      <c r="ES2" s="66"/>
      <c r="ET2" s="66"/>
      <c r="EU2" s="66"/>
      <c r="EV2" s="66" t="s">
        <v>101</v>
      </c>
      <c r="EW2" s="66"/>
      <c r="EX2" s="66"/>
      <c r="EY2" s="66"/>
      <c r="EZ2" s="66"/>
      <c r="FA2" s="66" t="s">
        <v>22</v>
      </c>
      <c r="FB2" s="66"/>
      <c r="FC2" s="66"/>
      <c r="FD2" s="66"/>
      <c r="FE2" s="66"/>
      <c r="FF2" s="13" t="s">
        <v>96</v>
      </c>
      <c r="FG2" s="13" t="s">
        <v>97</v>
      </c>
      <c r="FH2" s="13" t="s">
        <v>20</v>
      </c>
      <c r="FI2" s="13" t="s">
        <v>77</v>
      </c>
      <c r="FJ2" s="13" t="s">
        <v>98</v>
      </c>
      <c r="FK2" s="13" t="s">
        <v>21</v>
      </c>
      <c r="FL2" s="13" t="s">
        <v>23</v>
      </c>
      <c r="FM2" s="13" t="s">
        <v>102</v>
      </c>
      <c r="FN2" s="13" t="s">
        <v>103</v>
      </c>
      <c r="FO2" s="13" t="s">
        <v>101</v>
      </c>
      <c r="FP2" s="13" t="s">
        <v>99</v>
      </c>
      <c r="FQ2" s="13" t="s">
        <v>100</v>
      </c>
      <c r="FR2" s="13" t="s">
        <v>22</v>
      </c>
      <c r="FS2" s="13" t="s">
        <v>17</v>
      </c>
      <c r="FT2" s="65" t="s">
        <v>18</v>
      </c>
      <c r="FU2" s="65"/>
      <c r="FV2" s="65"/>
      <c r="FW2" s="65"/>
      <c r="FX2" s="65"/>
      <c r="FY2" s="65" t="s">
        <v>19</v>
      </c>
      <c r="FZ2" s="65"/>
      <c r="GA2" s="65"/>
      <c r="GB2" s="65"/>
      <c r="GC2" s="65"/>
      <c r="GD2" s="65" t="s">
        <v>101</v>
      </c>
      <c r="GE2" s="65"/>
      <c r="GF2" s="65"/>
      <c r="GG2" s="65"/>
      <c r="GH2" s="65"/>
      <c r="GI2" s="65" t="s">
        <v>22</v>
      </c>
      <c r="GJ2" s="65"/>
      <c r="GK2" s="65"/>
      <c r="GL2" s="65"/>
      <c r="GM2" s="65"/>
      <c r="GN2" s="14" t="s">
        <v>96</v>
      </c>
      <c r="GO2" s="14" t="s">
        <v>97</v>
      </c>
      <c r="GP2" s="14" t="s">
        <v>20</v>
      </c>
      <c r="GQ2" s="14" t="s">
        <v>77</v>
      </c>
      <c r="GR2" s="14" t="s">
        <v>98</v>
      </c>
      <c r="GS2" s="14" t="s">
        <v>21</v>
      </c>
      <c r="GT2" s="14" t="s">
        <v>23</v>
      </c>
      <c r="GU2" s="14" t="s">
        <v>102</v>
      </c>
      <c r="GV2" s="14" t="s">
        <v>103</v>
      </c>
      <c r="GW2" s="14" t="s">
        <v>101</v>
      </c>
      <c r="GX2" s="14" t="s">
        <v>99</v>
      </c>
      <c r="GY2" s="14" t="s">
        <v>100</v>
      </c>
      <c r="GZ2" s="14" t="s">
        <v>22</v>
      </c>
      <c r="HA2" s="14" t="s">
        <v>17</v>
      </c>
      <c r="HB2" s="66" t="s">
        <v>18</v>
      </c>
      <c r="HC2" s="66"/>
      <c r="HD2" s="66"/>
      <c r="HE2" s="66"/>
      <c r="HF2" s="66"/>
      <c r="HG2" s="66" t="s">
        <v>19</v>
      </c>
      <c r="HH2" s="66"/>
      <c r="HI2" s="66"/>
      <c r="HJ2" s="66"/>
      <c r="HK2" s="66"/>
      <c r="HL2" s="66" t="s">
        <v>101</v>
      </c>
      <c r="HM2" s="66"/>
      <c r="HN2" s="66"/>
      <c r="HO2" s="66"/>
      <c r="HP2" s="66"/>
      <c r="HQ2" s="66" t="s">
        <v>22</v>
      </c>
      <c r="HR2" s="66"/>
      <c r="HS2" s="66"/>
      <c r="HT2" s="66"/>
      <c r="HU2" s="66"/>
      <c r="HV2" s="13" t="s">
        <v>96</v>
      </c>
      <c r="HW2" s="13" t="s">
        <v>97</v>
      </c>
      <c r="HX2" s="13" t="s">
        <v>20</v>
      </c>
      <c r="HY2" s="13" t="s">
        <v>77</v>
      </c>
      <c r="HZ2" s="13" t="s">
        <v>98</v>
      </c>
      <c r="IA2" s="13" t="s">
        <v>21</v>
      </c>
      <c r="IB2" s="13" t="s">
        <v>23</v>
      </c>
      <c r="IC2" s="13" t="s">
        <v>102</v>
      </c>
      <c r="ID2" s="13" t="s">
        <v>103</v>
      </c>
      <c r="IE2" s="13" t="s">
        <v>101</v>
      </c>
      <c r="IF2" s="13" t="s">
        <v>99</v>
      </c>
      <c r="IG2" s="13" t="s">
        <v>100</v>
      </c>
      <c r="IH2" s="13" t="s">
        <v>22</v>
      </c>
      <c r="II2" s="13" t="s">
        <v>17</v>
      </c>
      <c r="IJ2" s="65" t="s">
        <v>18</v>
      </c>
      <c r="IK2" s="65"/>
      <c r="IL2" s="65"/>
      <c r="IM2" s="65"/>
      <c r="IN2" s="65"/>
      <c r="IO2" s="65" t="s">
        <v>19</v>
      </c>
      <c r="IP2" s="65"/>
      <c r="IQ2" s="65"/>
      <c r="IR2" s="65"/>
      <c r="IS2" s="65"/>
      <c r="IT2" s="65" t="s">
        <v>101</v>
      </c>
      <c r="IU2" s="65"/>
      <c r="IV2" s="65"/>
      <c r="IW2" s="65"/>
      <c r="IX2" s="65"/>
      <c r="IY2" s="65" t="s">
        <v>22</v>
      </c>
      <c r="IZ2" s="65"/>
      <c r="JA2" s="65"/>
      <c r="JB2" s="65"/>
      <c r="JC2" s="65"/>
      <c r="JD2" s="14" t="s">
        <v>96</v>
      </c>
      <c r="JE2" s="14" t="s">
        <v>97</v>
      </c>
      <c r="JF2" s="14" t="s">
        <v>20</v>
      </c>
      <c r="JG2" s="14" t="s">
        <v>77</v>
      </c>
      <c r="JH2" s="14" t="s">
        <v>98</v>
      </c>
      <c r="JI2" s="14" t="s">
        <v>21</v>
      </c>
      <c r="JJ2" s="14" t="s">
        <v>23</v>
      </c>
      <c r="JK2" s="14" t="s">
        <v>102</v>
      </c>
      <c r="JL2" s="14" t="s">
        <v>103</v>
      </c>
      <c r="JM2" s="14" t="s">
        <v>101</v>
      </c>
      <c r="JN2" s="14" t="s">
        <v>99</v>
      </c>
      <c r="JO2" s="14" t="s">
        <v>100</v>
      </c>
      <c r="JP2" s="14" t="s">
        <v>22</v>
      </c>
      <c r="JQ2" s="14" t="s">
        <v>17</v>
      </c>
      <c r="JR2" s="66" t="s">
        <v>18</v>
      </c>
      <c r="JS2" s="66"/>
      <c r="JT2" s="66"/>
      <c r="JU2" s="66"/>
      <c r="JV2" s="66"/>
      <c r="JW2" s="66" t="s">
        <v>19</v>
      </c>
      <c r="JX2" s="66"/>
      <c r="JY2" s="66"/>
      <c r="JZ2" s="66"/>
      <c r="KA2" s="66"/>
      <c r="KB2" s="66" t="s">
        <v>101</v>
      </c>
      <c r="KC2" s="66"/>
      <c r="KD2" s="66"/>
      <c r="KE2" s="66"/>
      <c r="KF2" s="66"/>
      <c r="KG2" s="66" t="s">
        <v>22</v>
      </c>
      <c r="KH2" s="66"/>
      <c r="KI2" s="66"/>
      <c r="KJ2" s="66"/>
      <c r="KK2" s="66"/>
      <c r="KL2" s="13" t="s">
        <v>96</v>
      </c>
      <c r="KM2" s="13" t="s">
        <v>97</v>
      </c>
      <c r="KN2" s="13" t="s">
        <v>20</v>
      </c>
      <c r="KO2" s="13" t="s">
        <v>77</v>
      </c>
      <c r="KP2" s="13" t="s">
        <v>98</v>
      </c>
      <c r="KQ2" s="13" t="s">
        <v>21</v>
      </c>
      <c r="KR2" s="13" t="s">
        <v>23</v>
      </c>
      <c r="KS2" s="13" t="s">
        <v>102</v>
      </c>
      <c r="KT2" s="13" t="s">
        <v>103</v>
      </c>
      <c r="KU2" s="13" t="s">
        <v>101</v>
      </c>
      <c r="KV2" s="13" t="s">
        <v>99</v>
      </c>
      <c r="KW2" s="13" t="s">
        <v>100</v>
      </c>
      <c r="KX2" s="13" t="s">
        <v>22</v>
      </c>
      <c r="KY2" s="13" t="s">
        <v>17</v>
      </c>
      <c r="KZ2" s="65" t="s">
        <v>18</v>
      </c>
      <c r="LA2" s="65"/>
      <c r="LB2" s="65"/>
      <c r="LC2" s="65"/>
      <c r="LD2" s="65"/>
      <c r="LE2" s="65" t="s">
        <v>19</v>
      </c>
      <c r="LF2" s="65"/>
      <c r="LG2" s="65"/>
      <c r="LH2" s="65"/>
      <c r="LI2" s="65"/>
      <c r="LJ2" s="65" t="s">
        <v>101</v>
      </c>
      <c r="LK2" s="65"/>
      <c r="LL2" s="65"/>
      <c r="LM2" s="65"/>
      <c r="LN2" s="65"/>
      <c r="LO2" s="65" t="s">
        <v>22</v>
      </c>
      <c r="LP2" s="65"/>
      <c r="LQ2" s="65"/>
      <c r="LR2" s="65"/>
      <c r="LS2" s="65"/>
      <c r="LT2" s="14" t="s">
        <v>96</v>
      </c>
      <c r="LU2" s="14" t="s">
        <v>97</v>
      </c>
      <c r="LV2" s="14" t="s">
        <v>20</v>
      </c>
      <c r="LW2" s="14" t="s">
        <v>77</v>
      </c>
      <c r="LX2" s="14" t="s">
        <v>98</v>
      </c>
      <c r="LY2" s="14" t="s">
        <v>21</v>
      </c>
      <c r="LZ2" s="14" t="s">
        <v>23</v>
      </c>
      <c r="MA2" s="14" t="s">
        <v>102</v>
      </c>
      <c r="MB2" s="14" t="s">
        <v>103</v>
      </c>
      <c r="MC2" s="14" t="s">
        <v>101</v>
      </c>
      <c r="MD2" s="14" t="s">
        <v>99</v>
      </c>
      <c r="ME2" s="14" t="s">
        <v>100</v>
      </c>
      <c r="MF2" s="14" t="s">
        <v>22</v>
      </c>
      <c r="MG2" s="14" t="s">
        <v>17</v>
      </c>
      <c r="MH2" s="66" t="s">
        <v>18</v>
      </c>
      <c r="MI2" s="66"/>
      <c r="MJ2" s="66"/>
      <c r="MK2" s="66"/>
      <c r="ML2" s="66"/>
      <c r="MM2" s="66" t="s">
        <v>19</v>
      </c>
      <c r="MN2" s="66"/>
      <c r="MO2" s="66"/>
      <c r="MP2" s="66"/>
      <c r="MQ2" s="66"/>
      <c r="MR2" s="66" t="s">
        <v>101</v>
      </c>
      <c r="MS2" s="66"/>
      <c r="MT2" s="66"/>
      <c r="MU2" s="66"/>
      <c r="MV2" s="66"/>
      <c r="MW2" s="66" t="s">
        <v>22</v>
      </c>
      <c r="MX2" s="66"/>
      <c r="MY2" s="66"/>
      <c r="MZ2" s="66"/>
      <c r="NA2" s="66"/>
      <c r="NB2" s="13" t="s">
        <v>96</v>
      </c>
      <c r="NC2" s="13" t="s">
        <v>97</v>
      </c>
      <c r="ND2" s="13" t="s">
        <v>20</v>
      </c>
      <c r="NE2" s="13" t="s">
        <v>77</v>
      </c>
      <c r="NF2" s="13" t="s">
        <v>98</v>
      </c>
      <c r="NG2" s="13" t="s">
        <v>21</v>
      </c>
      <c r="NH2" s="13" t="s">
        <v>23</v>
      </c>
      <c r="NI2" s="13" t="s">
        <v>102</v>
      </c>
      <c r="NJ2" s="13" t="s">
        <v>103</v>
      </c>
      <c r="NK2" s="13" t="s">
        <v>101</v>
      </c>
      <c r="NL2" s="13" t="s">
        <v>99</v>
      </c>
      <c r="NM2" s="13" t="s">
        <v>100</v>
      </c>
      <c r="NN2" s="13" t="s">
        <v>22</v>
      </c>
      <c r="NO2" s="13" t="s">
        <v>17</v>
      </c>
      <c r="NP2" s="65" t="s">
        <v>18</v>
      </c>
      <c r="NQ2" s="65"/>
      <c r="NR2" s="65"/>
      <c r="NS2" s="65"/>
      <c r="NT2" s="65"/>
      <c r="NU2" s="65" t="s">
        <v>19</v>
      </c>
      <c r="NV2" s="65"/>
      <c r="NW2" s="65"/>
      <c r="NX2" s="65"/>
      <c r="NY2" s="65"/>
      <c r="NZ2" s="65" t="s">
        <v>101</v>
      </c>
      <c r="OA2" s="65"/>
      <c r="OB2" s="65"/>
      <c r="OC2" s="65"/>
      <c r="OD2" s="65"/>
      <c r="OE2" s="65" t="s">
        <v>22</v>
      </c>
      <c r="OF2" s="65"/>
      <c r="OG2" s="65"/>
      <c r="OH2" s="65"/>
      <c r="OI2" s="65"/>
      <c r="OJ2" s="14" t="s">
        <v>96</v>
      </c>
      <c r="OK2" s="14" t="s">
        <v>97</v>
      </c>
      <c r="OL2" s="14" t="s">
        <v>20</v>
      </c>
      <c r="OM2" s="14" t="s">
        <v>77</v>
      </c>
      <c r="ON2" s="14" t="s">
        <v>98</v>
      </c>
      <c r="OO2" s="14" t="s">
        <v>21</v>
      </c>
      <c r="OP2" s="14" t="s">
        <v>23</v>
      </c>
      <c r="OQ2" s="14" t="s">
        <v>102</v>
      </c>
      <c r="OR2" s="14" t="s">
        <v>103</v>
      </c>
      <c r="OS2" s="14" t="s">
        <v>101</v>
      </c>
      <c r="OT2" s="14" t="s">
        <v>99</v>
      </c>
      <c r="OU2" s="14" t="s">
        <v>100</v>
      </c>
      <c r="OV2" s="14" t="s">
        <v>22</v>
      </c>
      <c r="OW2" s="14" t="s">
        <v>17</v>
      </c>
      <c r="OX2" s="66" t="s">
        <v>18</v>
      </c>
      <c r="OY2" s="66"/>
      <c r="OZ2" s="66"/>
      <c r="PA2" s="66"/>
      <c r="PB2" s="66"/>
      <c r="PC2" s="66" t="s">
        <v>19</v>
      </c>
      <c r="PD2" s="66"/>
      <c r="PE2" s="66"/>
      <c r="PF2" s="66"/>
      <c r="PG2" s="66"/>
      <c r="PH2" s="66" t="s">
        <v>101</v>
      </c>
      <c r="PI2" s="66"/>
      <c r="PJ2" s="66"/>
      <c r="PK2" s="66"/>
      <c r="PL2" s="66"/>
      <c r="PM2" s="66" t="s">
        <v>22</v>
      </c>
      <c r="PN2" s="66"/>
      <c r="PO2" s="66"/>
      <c r="PP2" s="66"/>
      <c r="PQ2" s="66"/>
      <c r="PR2" s="13" t="s">
        <v>96</v>
      </c>
      <c r="PS2" s="13" t="s">
        <v>97</v>
      </c>
      <c r="PT2" s="13" t="s">
        <v>20</v>
      </c>
      <c r="PU2" s="13" t="s">
        <v>77</v>
      </c>
      <c r="PV2" s="13" t="s">
        <v>98</v>
      </c>
      <c r="PW2" s="13" t="s">
        <v>21</v>
      </c>
      <c r="PX2" s="13" t="s">
        <v>23</v>
      </c>
      <c r="PY2" s="13" t="s">
        <v>102</v>
      </c>
      <c r="PZ2" s="13" t="s">
        <v>103</v>
      </c>
      <c r="QA2" s="13" t="s">
        <v>101</v>
      </c>
      <c r="QB2" s="13" t="s">
        <v>99</v>
      </c>
      <c r="QC2" s="13" t="s">
        <v>100</v>
      </c>
      <c r="QD2" s="13" t="s">
        <v>22</v>
      </c>
      <c r="QE2" s="13" t="s">
        <v>17</v>
      </c>
      <c r="QF2" s="65" t="s">
        <v>18</v>
      </c>
      <c r="QG2" s="65"/>
      <c r="QH2" s="65"/>
      <c r="QI2" s="65"/>
      <c r="QJ2" s="65"/>
      <c r="QK2" s="65" t="s">
        <v>19</v>
      </c>
      <c r="QL2" s="65"/>
      <c r="QM2" s="65"/>
      <c r="QN2" s="65"/>
      <c r="QO2" s="65"/>
      <c r="QP2" s="65" t="s">
        <v>101</v>
      </c>
      <c r="QQ2" s="65"/>
      <c r="QR2" s="65"/>
      <c r="QS2" s="65"/>
      <c r="QT2" s="65"/>
      <c r="QU2" s="65" t="s">
        <v>22</v>
      </c>
      <c r="QV2" s="65"/>
      <c r="QW2" s="65"/>
      <c r="QX2" s="65"/>
      <c r="QY2" s="65"/>
      <c r="QZ2" s="14" t="s">
        <v>96</v>
      </c>
      <c r="RA2" s="14" t="s">
        <v>97</v>
      </c>
      <c r="RB2" s="14" t="s">
        <v>20</v>
      </c>
      <c r="RC2" s="14" t="s">
        <v>77</v>
      </c>
      <c r="RD2" s="14" t="s">
        <v>98</v>
      </c>
      <c r="RE2" s="14" t="s">
        <v>21</v>
      </c>
      <c r="RF2" s="14" t="s">
        <v>23</v>
      </c>
      <c r="RG2" s="14" t="s">
        <v>102</v>
      </c>
      <c r="RH2" s="14" t="s">
        <v>103</v>
      </c>
      <c r="RI2" s="14" t="s">
        <v>101</v>
      </c>
      <c r="RJ2" s="14" t="s">
        <v>99</v>
      </c>
      <c r="RK2" s="14" t="s">
        <v>100</v>
      </c>
      <c r="RL2" s="14" t="s">
        <v>22</v>
      </c>
      <c r="RM2" s="14" t="s">
        <v>17</v>
      </c>
      <c r="RN2" s="66" t="s">
        <v>18</v>
      </c>
      <c r="RO2" s="66"/>
      <c r="RP2" s="66"/>
      <c r="RQ2" s="66"/>
      <c r="RR2" s="66"/>
      <c r="RS2" s="66" t="s">
        <v>19</v>
      </c>
      <c r="RT2" s="66"/>
      <c r="RU2" s="66"/>
      <c r="RV2" s="66"/>
      <c r="RW2" s="66"/>
      <c r="RX2" s="66" t="s">
        <v>101</v>
      </c>
      <c r="RY2" s="66"/>
      <c r="RZ2" s="66"/>
      <c r="SA2" s="66"/>
      <c r="SB2" s="66"/>
      <c r="SC2" s="66" t="s">
        <v>22</v>
      </c>
      <c r="SD2" s="66"/>
      <c r="SE2" s="66"/>
      <c r="SF2" s="66"/>
      <c r="SG2" s="66"/>
      <c r="SH2" s="13" t="s">
        <v>96</v>
      </c>
      <c r="SI2" s="13" t="s">
        <v>97</v>
      </c>
      <c r="SJ2" s="13" t="s">
        <v>20</v>
      </c>
      <c r="SK2" s="13" t="s">
        <v>77</v>
      </c>
      <c r="SL2" s="13" t="s">
        <v>98</v>
      </c>
      <c r="SM2" s="13" t="s">
        <v>21</v>
      </c>
      <c r="SN2" s="13" t="s">
        <v>23</v>
      </c>
      <c r="SO2" s="13" t="s">
        <v>102</v>
      </c>
      <c r="SP2" s="13" t="s">
        <v>103</v>
      </c>
      <c r="SQ2" s="13" t="s">
        <v>101</v>
      </c>
      <c r="SR2" s="13" t="s">
        <v>99</v>
      </c>
      <c r="SS2" s="13" t="s">
        <v>100</v>
      </c>
      <c r="ST2" s="13" t="s">
        <v>22</v>
      </c>
      <c r="SU2" s="13" t="s">
        <v>17</v>
      </c>
      <c r="SV2" s="65" t="s">
        <v>18</v>
      </c>
      <c r="SW2" s="65"/>
      <c r="SX2" s="65"/>
      <c r="SY2" s="65"/>
      <c r="SZ2" s="65"/>
      <c r="TA2" s="65" t="s">
        <v>19</v>
      </c>
      <c r="TB2" s="65"/>
      <c r="TC2" s="65"/>
      <c r="TD2" s="65"/>
      <c r="TE2" s="65"/>
      <c r="TF2" s="65" t="s">
        <v>101</v>
      </c>
      <c r="TG2" s="65"/>
      <c r="TH2" s="65"/>
      <c r="TI2" s="65"/>
      <c r="TJ2" s="65"/>
      <c r="TK2" s="65" t="s">
        <v>22</v>
      </c>
      <c r="TL2" s="65"/>
      <c r="TM2" s="65"/>
      <c r="TN2" s="65"/>
      <c r="TO2" s="65"/>
      <c r="TP2" s="14" t="s">
        <v>96</v>
      </c>
      <c r="TQ2" s="14" t="s">
        <v>97</v>
      </c>
      <c r="TR2" s="14" t="s">
        <v>20</v>
      </c>
      <c r="TS2" s="14" t="s">
        <v>77</v>
      </c>
      <c r="TT2" s="14" t="s">
        <v>98</v>
      </c>
      <c r="TU2" s="14" t="s">
        <v>21</v>
      </c>
      <c r="TV2" s="14" t="s">
        <v>23</v>
      </c>
      <c r="TW2" s="14" t="s">
        <v>102</v>
      </c>
      <c r="TX2" s="14" t="s">
        <v>103</v>
      </c>
      <c r="TY2" s="14" t="s">
        <v>101</v>
      </c>
      <c r="TZ2" s="14" t="s">
        <v>99</v>
      </c>
      <c r="UA2" s="14" t="s">
        <v>100</v>
      </c>
      <c r="UB2" s="14" t="s">
        <v>22</v>
      </c>
      <c r="UC2" s="14" t="s">
        <v>17</v>
      </c>
      <c r="UD2" s="66" t="s">
        <v>18</v>
      </c>
      <c r="UE2" s="66"/>
      <c r="UF2" s="66"/>
      <c r="UG2" s="66"/>
      <c r="UH2" s="66"/>
      <c r="UI2" s="66" t="s">
        <v>19</v>
      </c>
      <c r="UJ2" s="66"/>
      <c r="UK2" s="66"/>
      <c r="UL2" s="66"/>
      <c r="UM2" s="66"/>
      <c r="UN2" s="66" t="s">
        <v>101</v>
      </c>
      <c r="UO2" s="66"/>
      <c r="UP2" s="66"/>
      <c r="UQ2" s="66"/>
      <c r="UR2" s="66"/>
      <c r="US2" s="66" t="s">
        <v>22</v>
      </c>
      <c r="UT2" s="66"/>
      <c r="UU2" s="66"/>
      <c r="UV2" s="66"/>
      <c r="UW2" s="66"/>
      <c r="UX2" s="13" t="s">
        <v>96</v>
      </c>
      <c r="UY2" s="13" t="s">
        <v>97</v>
      </c>
      <c r="UZ2" s="13" t="s">
        <v>20</v>
      </c>
      <c r="VA2" s="13" t="s">
        <v>77</v>
      </c>
      <c r="VB2" s="13" t="s">
        <v>98</v>
      </c>
      <c r="VC2" s="13" t="s">
        <v>21</v>
      </c>
      <c r="VD2" s="13" t="s">
        <v>23</v>
      </c>
      <c r="VE2" s="13" t="s">
        <v>102</v>
      </c>
      <c r="VF2" s="13" t="s">
        <v>103</v>
      </c>
      <c r="VG2" s="13" t="s">
        <v>101</v>
      </c>
      <c r="VH2" s="13" t="s">
        <v>99</v>
      </c>
      <c r="VI2" s="13" t="s">
        <v>100</v>
      </c>
      <c r="VJ2" s="13" t="s">
        <v>22</v>
      </c>
      <c r="VK2" s="13" t="s">
        <v>17</v>
      </c>
      <c r="VL2" s="65" t="s">
        <v>18</v>
      </c>
      <c r="VM2" s="65"/>
      <c r="VN2" s="65"/>
      <c r="VO2" s="65"/>
      <c r="VP2" s="65"/>
      <c r="VQ2" s="65" t="s">
        <v>19</v>
      </c>
      <c r="VR2" s="65"/>
      <c r="VS2" s="65"/>
      <c r="VT2" s="65"/>
      <c r="VU2" s="65"/>
      <c r="VV2" s="65" t="s">
        <v>101</v>
      </c>
      <c r="VW2" s="65"/>
      <c r="VX2" s="65"/>
      <c r="VY2" s="65"/>
      <c r="VZ2" s="65"/>
      <c r="WA2" s="65" t="s">
        <v>22</v>
      </c>
      <c r="WB2" s="65"/>
      <c r="WC2" s="65"/>
      <c r="WD2" s="65"/>
      <c r="WE2" s="65"/>
      <c r="WF2" s="14" t="s">
        <v>96</v>
      </c>
      <c r="WG2" s="14" t="s">
        <v>97</v>
      </c>
      <c r="WH2" s="14" t="s">
        <v>20</v>
      </c>
      <c r="WI2" s="14" t="s">
        <v>77</v>
      </c>
      <c r="WJ2" s="14" t="s">
        <v>98</v>
      </c>
      <c r="WK2" s="14" t="s">
        <v>21</v>
      </c>
      <c r="WL2" s="14" t="s">
        <v>23</v>
      </c>
      <c r="WM2" s="14" t="s">
        <v>102</v>
      </c>
      <c r="WN2" s="14" t="s">
        <v>103</v>
      </c>
      <c r="WO2" s="14" t="s">
        <v>101</v>
      </c>
      <c r="WP2" s="14" t="s">
        <v>99</v>
      </c>
      <c r="WQ2" s="14" t="s">
        <v>100</v>
      </c>
      <c r="WR2" s="14" t="s">
        <v>22</v>
      </c>
      <c r="WS2" s="14" t="s">
        <v>17</v>
      </c>
      <c r="WT2" s="66" t="s">
        <v>18</v>
      </c>
      <c r="WU2" s="66"/>
      <c r="WV2" s="66"/>
      <c r="WW2" s="66"/>
      <c r="WX2" s="66"/>
      <c r="WY2" s="66" t="s">
        <v>19</v>
      </c>
      <c r="WZ2" s="66"/>
      <c r="XA2" s="66"/>
      <c r="XB2" s="66"/>
      <c r="XC2" s="66"/>
      <c r="XD2" s="66" t="s">
        <v>22</v>
      </c>
      <c r="XE2" s="66"/>
      <c r="XF2" s="66"/>
      <c r="XG2" s="66"/>
      <c r="XH2" s="66"/>
      <c r="XI2" s="13"/>
      <c r="XJ2" s="13" t="s">
        <v>96</v>
      </c>
      <c r="XK2" s="13" t="s">
        <v>97</v>
      </c>
      <c r="XL2" s="13" t="s">
        <v>20</v>
      </c>
      <c r="XM2" s="13" t="s">
        <v>77</v>
      </c>
      <c r="XN2" s="13" t="s">
        <v>98</v>
      </c>
      <c r="XO2" s="13" t="s">
        <v>21</v>
      </c>
      <c r="XP2" s="13" t="s">
        <v>23</v>
      </c>
      <c r="XQ2" s="13" t="s">
        <v>99</v>
      </c>
      <c r="XR2" s="13" t="s">
        <v>100</v>
      </c>
      <c r="XS2" s="13" t="s">
        <v>22</v>
      </c>
      <c r="XT2" s="13" t="s">
        <v>17</v>
      </c>
    </row>
    <row r="3" spans="1:644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1"/>
      <c r="O3" s="69"/>
      <c r="P3" s="69"/>
      <c r="Q3" s="69"/>
      <c r="R3" s="69"/>
      <c r="S3" s="69"/>
      <c r="T3" s="71"/>
      <c r="U3" s="69"/>
      <c r="V3" s="73"/>
      <c r="W3" s="69"/>
      <c r="X3" s="69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24</v>
      </c>
      <c r="C4" s="4" t="s">
        <v>7</v>
      </c>
      <c r="D4" s="4">
        <v>1998</v>
      </c>
      <c r="E4" s="9">
        <f t="shared" ref="E4:E15" si="0">SUM(J4:V4)+SUM(J4:T4)*0.0000001+SUM(J4)*0.0000000000001</f>
        <v>255.69002552900568</v>
      </c>
      <c r="F4" s="3" t="str">
        <f t="shared" ref="F4:F15" si="1"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G4" s="3" t="str">
        <f t="shared" ref="G4:G15" si="2">IF(OR(AND(AQ4&gt;=AY$22,AQ4&lt;&gt;"",AN4=""),AND(AT4&gt;=AY$22,AT4&lt;&gt;"",AN4=""),AND(AX4&gt;=AY$22,AX4&lt;&gt;"",AN4=""),AND(BR4&gt;=BZ$22,BR4&lt;&gt;"",BO4=""),AND(BU4&gt;=BZ$22,BU4&lt;&gt;"",BO4=""),AND(BY4&gt;=BZ$22,BY4&lt;&gt;"",BO4=""),AND(CS4&gt;=DA$22,CS4&lt;&gt;"",CP4=""),AND(CV4&gt;=DA$22,CV4&lt;&gt;"",CP4=""),AND(CZ4&gt;=DA$22,CZ4&lt;&gt;"",CP4=""),AND(DZ4&gt;=EK$22,DZ4&lt;&gt;""),AND(EC4&gt;=EK$22,EC4&lt;&gt;""),AND(EG4&gt;=EK$22,EG4&lt;&gt;""),AND(EJ4&gt;=EK$22,EJ4&lt;&gt;""),AND(FH4&gt;=FS$22,FH4&lt;&gt;""),AND(FK4&gt;=FS$22,FK4&lt;&gt;""),AND(FO4&gt;=FS$22,FO4&lt;&gt;""),AND(FR4&gt;=FS$22,FR4&lt;&gt;""),AND(GP4&gt;=HA$22,GP4&lt;&gt;""),AND(GS4&gt;=HA$22,GS4&lt;&gt;""),AND(GW4&gt;=HA$22,GW4&lt;&gt;""),AND(GZ4&gt;=HA$22,GZ4&lt;&gt;""),AND(HX4&gt;=II$22,HX4&lt;&gt;""),AND(IA4&gt;=II$22,IA4&lt;&gt;""),AND(IE4&gt;=II$22,IE4&lt;&gt;""),AND(IH4&gt;=II$22,IH4&lt;&gt;""),AND(JF4&gt;=JQ$22,JF4&lt;&gt;""),AND(JI4&gt;=JQ$22,JI4&lt;&gt;""),AND(JM4&gt;=JQ$22,JM4&lt;&gt;""),AND(JP4&gt;=JQ$22,JP4&lt;&gt;""),AND(KN4&gt;=KY$22,KN4&lt;&gt;""),AND(KQ4&gt;=KY$22,KQ4&lt;&gt;""),AND(KU4&gt;=KY$22,KU4&lt;&gt;""),AND(KX4&gt;=KY$22,KX4&lt;&gt;""),AND(LV4&gt;=MG$22,LV4&lt;&gt;""),AND(LY4&gt;=MG$22,LY4&lt;&gt;""),AND(MC4&gt;=MG$22,MC4&lt;&gt;""),AND(MF4&gt;=MG$22,MF4&lt;&gt;""),AND(ND4&gt;=NO$22,ND4&lt;&gt;""),AND(NG4&gt;=NO$22,NG4&lt;&gt;""),AND(NK4&gt;=NO$22,NK4&lt;&gt;""),AND(NN4&gt;=NO$22,NN4&lt;&gt;""),AND(OL4&gt;=OW$22,OL4&lt;&gt;""),AND(OO4&gt;=OW$22,OO4&lt;&gt;""),AND(OS4&gt;=OW$22,OS4&lt;&gt;""),AND(OV4&gt;=OW$22,OV4&lt;&gt;""),AND(PT4&gt;=QE$22,PT4&lt;&gt;""),AND(PW4&gt;=QE$22,PW4&lt;&gt;""),AND(QA4&gt;=QE$22,QA4&lt;&gt;""),AND(QD4&gt;=QE$22,QD4&lt;&gt;""),AND(RB4&gt;=RM$22,RB4&lt;&gt;""),AND(RE4&gt;=RM$22,RE4&lt;&gt;""),AND(RI4&gt;=RM$22,RI4&lt;&gt;""),AND(RL4&gt;=RM$22,RL4&lt;&gt;""),AND(SJ4&gt;=SU$22,SJ4&lt;&gt;""),AND(SM4&gt;=SU$22,SM4&lt;&gt;""),AND(SQ4&gt;=SU$22,SQ4&lt;&gt;""),AND(ST4&gt;=SU$22,ST4&lt;&gt;""),AND(TR4&gt;=UC$22,TR4&lt;&gt;""),AND(TU4&gt;=UC$22,TU4&lt;&gt;""),AND(TY4&gt;=UC$22,TYY4&lt;&gt;""),AND(UB4&gt;=UC$22,UB4&lt;&gt;""),AND(UZ4&gt;=VK$22,UZ4&lt;&gt;""),AND(VC4&gt;=VK$22,VC4&lt;&gt;""),AND(VG4&gt;=VK$22,VG4&lt;&gt;""),AND(VJ4&gt;=VK$22,VJ4&lt;&gt;""),AND(WH4&gt;=WS$22,WH4&lt;&gt;""),AND(WK4&gt;=WS$22,WK4&lt;&gt;""),AND(WO4&gt;=WS$22,WO4&lt;&gt;""),AND(WR4&gt;=WS$22,WR4&lt;&gt;"")),"P","")</f>
        <v>P</v>
      </c>
      <c r="H4" s="36" t="str">
        <f t="shared" ref="H4:H15" si="3">IF(AND(G4="P",F4=""),"No DD",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$345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Merit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Excellence",IF(I4="P","Worlds Team",IF(F4="P","National Team","")))))</f>
        <v>Merit</v>
      </c>
      <c r="I4" s="3" t="str">
        <f t="shared" ref="I4:I15" si="4">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P","")</f>
        <v>P</v>
      </c>
      <c r="J4" s="8">
        <f>IF(COUNT(AQ4,AT4,BR4,BU4,CS4,CV4)&gt;0,LARGE((AQ4,AT4,BR4,BU4,CS4,CV4),1),0)</f>
        <v>56.94</v>
      </c>
      <c r="K4" s="8" t="str">
        <f t="shared" ref="K4:K15" si="5">IF(J4="","",IF(OR(J4=CS4,J4=CV4),$CA$1,IF(OR(J4=BR4,J4=BU4),$AZ$1,IF(OR(J4=AQ4,J4=AT4),$Y$1,""))))</f>
        <v>2025 Elite Canada</v>
      </c>
      <c r="L4" s="8">
        <f>IF(COUNT(AQ4,AT4,BR4,BU4,CS4,CV4)&gt;1,LARGE((AQ4,AT4,BR4,BU4,CS4,CV4),2),0)</f>
        <v>56.11</v>
      </c>
      <c r="M4" s="8" t="str">
        <f t="shared" ref="M4:M15" si="6">IF(L4="","",IF(OR(L4=CS4,L4=CV4),$CA$1,IF(OR(L4=BR4,L4=BU4),$AZ$1,IF(OR(L4=AQ4,L4=AT4),$Y$1,""))))</f>
        <v>2025 Elite Canada</v>
      </c>
      <c r="N4" s="8">
        <f>IF(COUNT(AQ4,AT4,BR4,BU4,CS4,CV4)&gt;2,LARGE((AQ4,AT4,BR4,BU4,CS4,CV4),3),0)</f>
        <v>55.980000000000004</v>
      </c>
      <c r="O4" s="8" t="str">
        <f t="shared" ref="O4:O15" si="7">IF(N4="","",IF(OR(N4=CS4,N4=CV4),$CA$1,IF(OR(N4=BR4,N4=BU4),$AZ$1,IF(OR(N4=AQ4,N4=AT4),$Y$1,""))))</f>
        <v>2024 3rd Domestic Trial</v>
      </c>
      <c r="P4" s="8">
        <f t="shared" ref="P4:P15" si="8">IF(MAX(AX4,BY4,CZ4)&gt;0,MAX(AX4,BY4,CZ4),0)</f>
        <v>55.650000000000006</v>
      </c>
      <c r="Q4" s="8" t="str">
        <f t="shared" ref="Q4:Q15" si="9">IF(P4="","",IF(P4=CZ4,$CA$1,IF(P4=BY4,$AZ$1,IF(P4=AX4,$Y$1,""))))</f>
        <v>2024 3rd Domestic Trial</v>
      </c>
      <c r="R4" s="8">
        <f t="shared" ref="R4:R15" si="10"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 t="shared" ref="S4:S15" si="11"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 t="shared" ref="T4:T15" si="12">MAX(IF(AND(AO4&lt;&gt;"",AO4&gt;=$AY$18),AP4,0),IF(AND(AR4&lt;&gt;"",AR4&gt;=$AY$18),AS4,0),IF(AND(AV4&lt;&gt;"",AV4&gt;=$AY$18),AW4,0),IF(AND(BP4&lt;&gt;"",BP4&gt;=$BZ$18),BQ4,0),IF(AND(BS4&lt;&gt;"",BS4&gt;=$BZ$18),BT4,0),IF(AND(BW4&lt;&gt;"",BW4&gt;=$BZ$18),BX4,0),IF(AND(CQ4&lt;&gt;"",CQ4&gt;=$DA$18),CR4,0),IF(AND(CT4&lt;&gt;"",CT4&gt;=$DA$18),CU4,0),IF(AND(CX4&lt;&gt;"",CX4&gt;=$DA$18),CY4,0),IF(AND(DX4&lt;&gt;"",DX4&gt;=$EK$18),DY4,0),IF(AND(EA4&lt;&gt;"",EA4&gt;=$EK$18),EB4,0),IF(AND(EE4&lt;&gt;"",EE4&gt;=$EK$18),EF4,0),IF(AND(EH4&lt;&gt;"",EH4&gt;=$EK$18),EI4,0),IF(AND(FF4&lt;&gt;"",FF4&gt;=$FS$18),FG4,0),IF(AND(FI4&lt;&gt;"",FI4&gt;=$FS$18),FJ4,0),IF(AND(FM4&lt;&gt;"",FM4&gt;=$FS$18),FN4,0),IF(AND(FP4&lt;&gt;"",FP4&gt;=$FS$18),FQ4,0),IF(AND(GN4&lt;&gt;"",GN4&gt;=$HA$18),GO4,0),IF(AND(GQ4&lt;&gt;"",GQ4&gt;=$HA$18),GR4,0),IF(AND(GU4&lt;&gt;"",GU4&gt;=$HA$18),GV4,0),IF(AND(GX4&lt;&gt;"",GX4&gt;=$HA$18),GY4,0),IF(AND(HV4&lt;&gt;"",HV4&gt;=$II$18),HW4,0),IF(AND(HY4&lt;&gt;"",HY4&gt;=$II$18),HZ4,0),IF(AND(IC4&lt;&gt;"",IC4&gt;=$II$18),ID4,0),IF(AND(IF4&lt;&gt;"",IF4&gt;=$II$18),IG4,0),IF(AND(JD4&lt;&gt;"",JD4&gt;=$JQ$18),JE4,0),IF(AND(JG4&lt;&gt;"",JG4&gt;=$JQ$18),JH4,0),IF(AND(JK4&lt;&gt;"",JK4&gt;=$JQ$18),JL4,0),IF(AND(JN4&lt;&gt;"",JN4&gt;=$JQ$18),JO4,0),IF(AND(KL4&lt;&gt;"",KL4&gt;=$KY$18),KM4,0),IF(AND(KO4&lt;&gt;"",KO4&gt;=$KY$18),KP4,0),IF(AND(KS4&lt;&gt;"",KS4&gt;=$KY$18),KT4,0),IF(AND(KV4&lt;&gt;"",KV4&gt;=$KY$18),KW4,0),IF(AND(LT4&lt;&gt;"",LT4&gt;=$MG$18),LU4,0),IF(AND(LW4&lt;&gt;"",LW4&gt;=$MG$18),LX4,0),IF(AND(MA4&lt;&gt;"",MA4&gt;=$MG$18),MB4,0),IF(AND(MD4&lt;&gt;"",MD4&gt;=$MG$18),ME4,0),IF(AND(NB4&lt;&gt;"",NB4&gt;=$NO$18),NC4,0),IF(AND(NE4&lt;&gt;"",NE4&gt;=$NO$18),NF4,0),IF(AND(NI4&lt;&gt;"",NI4&gt;=$NO$18),NJ4,0),IF(AND(NL4&lt;&gt;"",NL4&gt;=$NO$18),NM4,0),IF(AND(OJ4&lt;&gt;"",OJ4&gt;=$OW$18),OK4,0),IF(AND(OM4&lt;&gt;"",OM4&gt;=$OW$18),ON4,0),IF(AND(OQ4&lt;&gt;"",OQ4&gt;=$OW$18),OR4,0),IF(AND(OT4&lt;&gt;"",OT4&gt;=$OW$18),OU4,0),IF(AND(PR4&lt;&gt;"",PR4&gt;=$QE$18),PS4,0),IF(AND(PU4&lt;&gt;"",PU4&gt;=$QE$18),PV4,0),IF(AND(PY4&lt;&gt;"",PY4&gt;=$QE$18),PZ4,0),IF(AND(QB4&lt;&gt;"",QB4&gt;=$QE$18),QC4,0),IF(AND(QZ4&lt;&gt;"",QZ4&gt;=$RM$18),RA4,0),IF(AND(RC4&lt;&gt;"",RC4&gt;=$RM$18),RD4,0),IF(AND(RG4&lt;&gt;"",RG4&gt;=$RM$18),RH4,0),IF(AND(RJ4&lt;&gt;"",RJ4&gt;=$RM$18),RK4,0),IF(AND(SH4&lt;&gt;"",SH4&gt;=$SU$18),SI4,0),IF(AND(SK4&lt;&gt;"",SK4&gt;=$SU$18),SL4,0),IF(AND(SO4&lt;&gt;"",SO4&gt;=$SU$18),SP4,0),IF(AND(SR4&lt;&gt;"",SR4&gt;=$SU$18),SS4,0),IF(AND(TP4&lt;&gt;"",TP4&gt;=$UC$18),TQ4,0),IF(AND(TS4&lt;&gt;"",TS4&gt;=$UC$18),TT4,0),IF(AND(TW4&lt;&gt;"",TW4&gt;=$UC$18),TX4,0),IF(AND(TZ4&lt;&gt;"",TZ4&gt;=$UC$18),UA4,0),IF(AND(UX4&lt;&gt;"",UX4&gt;=$VK$18),UY4,0),IF(AND(VA4&lt;&gt;"",VA4&gt;=$VK$18),VB4,0),IF(AND(VE4&lt;&gt;"",VE4&gt;=$VK$18),VF4,0),IF(AND(VH4&lt;&gt;"",VH4&gt;=$VK$18),VI4,0),IF(AND(WF4&lt;&gt;"",WF4&gt;=$WS$18),WG4,0),IF(AND(WI4&lt;&gt;"",WI4&gt;=$WS$18),WJ4,0),IF(AND(WM4&lt;&gt;"",WM4&gt;=$WS$18),WN4,0),IF(AND(WP4&lt;&gt;"",WP4&gt;=$WS$18),WQ4,0),0)</f>
        <v>15.61</v>
      </c>
      <c r="U4" s="8" t="str">
        <f t="shared" ref="U4:U15" si="13"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 t="shared" ref="V4:V15" si="14">IF(MAX(DB4,DC4)&gt;0,MAX(DB4,DC4),"")</f>
        <v>0.39999999999999147</v>
      </c>
      <c r="W4" s="11" t="str">
        <f t="shared" ref="W4:W15" si="15">IF(V4="","",IF(V4=DB4,"("&amp;DB$2&amp;")",IF(V4=DC4,"("&amp;DC$2&amp;")")))</f>
        <v>(Final)</v>
      </c>
      <c r="X4" s="8" t="str">
        <f t="shared" ref="X4:X15" si="16"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16.7</v>
      </c>
      <c r="Z4" s="22">
        <v>8.6</v>
      </c>
      <c r="AA4" s="22">
        <v>14.4</v>
      </c>
      <c r="AB4" s="22">
        <v>15.1</v>
      </c>
      <c r="AC4" s="22">
        <v>0</v>
      </c>
      <c r="AD4" s="22">
        <v>16.600000000000001</v>
      </c>
      <c r="AE4" s="22">
        <v>9</v>
      </c>
      <c r="AF4" s="22">
        <v>14.4</v>
      </c>
      <c r="AG4" s="22">
        <v>15.18</v>
      </c>
      <c r="AH4" s="22">
        <v>0</v>
      </c>
      <c r="AI4" s="22">
        <v>16.7</v>
      </c>
      <c r="AJ4" s="22">
        <v>8.9</v>
      </c>
      <c r="AK4" s="22">
        <v>14.6</v>
      </c>
      <c r="AL4" s="22">
        <v>14.87</v>
      </c>
      <c r="AM4" s="22">
        <v>0</v>
      </c>
      <c r="AN4" s="27"/>
      <c r="AO4" s="38">
        <f t="shared" ref="AO4:AO15" si="17">IF(AA4&gt;0,AA4,"")</f>
        <v>14.4</v>
      </c>
      <c r="AP4" s="38">
        <f t="shared" ref="AP4:AP15" si="18">IF(AB4&gt;0,AB4,"")</f>
        <v>15.1</v>
      </c>
      <c r="AQ4" s="40">
        <f t="shared" ref="AQ4:AQ15" si="19">IF(SUM(Y4:AB4)-AC4&gt;0,SUM(Y4:AB4)-AC4,"")</f>
        <v>54.8</v>
      </c>
      <c r="AR4" s="40">
        <f t="shared" ref="AR4:AR15" si="20">IF(AF4&gt;0,AF4,"")</f>
        <v>14.4</v>
      </c>
      <c r="AS4" s="40">
        <f t="shared" ref="AS4:AS15" si="21">IF(AG4&gt;0,AG4,"")</f>
        <v>15.18</v>
      </c>
      <c r="AT4" s="40">
        <f t="shared" ref="AT4:AT15" si="22">IF(SUM(AD4:AG4)-AH4&gt;0,SUM(AD4:AG4)-AH4,"")</f>
        <v>55.18</v>
      </c>
      <c r="AU4" s="40">
        <f t="shared" ref="AU4:AU15" si="23">IF(AQ4="","",MAX(AQ4,AT4))</f>
        <v>55.18</v>
      </c>
      <c r="AV4" s="40">
        <f t="shared" ref="AV4:AV15" si="24">IF(AK4&gt;0,AK4,"")</f>
        <v>14.6</v>
      </c>
      <c r="AW4" s="40">
        <f t="shared" ref="AW4:AW15" si="25">IF(AL4&gt;0,AL4,"")</f>
        <v>14.87</v>
      </c>
      <c r="AX4" s="40">
        <f t="shared" ref="AX4:AX15" si="26">IF(SUM(AI4:AL4)-AM4&gt;0,SUM(AI4:AL4)-AM4,"")</f>
        <v>55.07</v>
      </c>
      <c r="AY4" s="40">
        <f t="shared" ref="AY4:AY15" si="27">IF(SUM(AU4,AX4)&gt;0,SUM(AU4,AX4),"")</f>
        <v>110.25</v>
      </c>
      <c r="AZ4" s="26">
        <v>16.75</v>
      </c>
      <c r="BA4" s="26">
        <v>9.0500000000000007</v>
      </c>
      <c r="BB4" s="26">
        <v>14.2</v>
      </c>
      <c r="BC4" s="26">
        <v>14.969999999999999</v>
      </c>
      <c r="BD4" s="26">
        <v>0.1</v>
      </c>
      <c r="BE4" s="26">
        <v>17.149999999999999</v>
      </c>
      <c r="BF4" s="26">
        <v>9.3000000000000007</v>
      </c>
      <c r="BG4" s="26">
        <v>14.4</v>
      </c>
      <c r="BH4" s="26">
        <v>15.129999999999999</v>
      </c>
      <c r="BI4" s="26">
        <v>0</v>
      </c>
      <c r="BJ4" s="26">
        <v>16.95</v>
      </c>
      <c r="BK4" s="26">
        <v>9.25</v>
      </c>
      <c r="BL4" s="26">
        <v>14.5</v>
      </c>
      <c r="BM4" s="26">
        <v>14.95</v>
      </c>
      <c r="BN4" s="26">
        <v>0</v>
      </c>
      <c r="BO4" s="28" t="s">
        <v>53</v>
      </c>
      <c r="BP4" s="39">
        <f t="shared" ref="BP4:BP15" si="28">IF(BB4&gt;0,BB4,"")</f>
        <v>14.2</v>
      </c>
      <c r="BQ4" s="39">
        <f t="shared" ref="BQ4:BQ15" si="29">IF(BC4&gt;0,BC4,"")</f>
        <v>14.969999999999999</v>
      </c>
      <c r="BR4" s="11">
        <f t="shared" ref="BR4:BR15" si="30">IF(SUM(AZ4:BC4)-BD4&gt;0,SUM(AZ4:BC4)-BD4,"")</f>
        <v>54.87</v>
      </c>
      <c r="BS4" s="11">
        <f t="shared" ref="BS4:BS15" si="31">IF(BG4&gt;0,BG4,"")</f>
        <v>14.4</v>
      </c>
      <c r="BT4" s="11">
        <f t="shared" ref="BT4:BT15" si="32">IF(BH4&gt;0,BH4,"")</f>
        <v>15.129999999999999</v>
      </c>
      <c r="BU4" s="11">
        <f t="shared" ref="BU4:BU15" si="33">IF(SUM(BE4:BH4)-BI4&gt;0,SUM(BE4:BH4)-BI4,"")</f>
        <v>55.980000000000004</v>
      </c>
      <c r="BV4" s="11">
        <f t="shared" ref="BV4:BV15" si="34">IF(BR4="","",MAX(BR4,BU4))</f>
        <v>55.980000000000004</v>
      </c>
      <c r="BW4" s="11">
        <f t="shared" ref="BW4:BW15" si="35">IF(BL4&gt;0,BL4,"")</f>
        <v>14.5</v>
      </c>
      <c r="BX4" s="11">
        <f t="shared" ref="BX4:BX15" si="36">IF(BM4&gt;0,BM4,"")</f>
        <v>14.95</v>
      </c>
      <c r="BY4" s="11">
        <f t="shared" ref="BY4:BY15" si="37">IF(SUM(BJ4:BM4)-BN4&gt;0,SUM(BJ4:BM4)-BN4,"")</f>
        <v>55.650000000000006</v>
      </c>
      <c r="BZ4" s="11">
        <f t="shared" ref="BZ4:BZ15" si="38">IF(SUM(BV4,BY4)&gt;0,SUM(BV4,BY4),"")</f>
        <v>111.63000000000001</v>
      </c>
      <c r="CA4" s="22">
        <v>17.7</v>
      </c>
      <c r="CB4" s="22">
        <v>9.1</v>
      </c>
      <c r="CC4" s="22">
        <v>14.9</v>
      </c>
      <c r="CD4" s="22">
        <v>15.24</v>
      </c>
      <c r="CE4" s="22">
        <v>0</v>
      </c>
      <c r="CF4" s="22">
        <v>17</v>
      </c>
      <c r="CG4" s="22">
        <v>9.3000000000000007</v>
      </c>
      <c r="CH4" s="22">
        <v>14.9</v>
      </c>
      <c r="CI4" s="22">
        <v>14.91</v>
      </c>
      <c r="CJ4" s="22">
        <v>0</v>
      </c>
      <c r="CK4" s="22">
        <v>16.5</v>
      </c>
      <c r="CL4" s="22">
        <v>9.6</v>
      </c>
      <c r="CM4" s="22">
        <v>14.5</v>
      </c>
      <c r="CN4" s="22">
        <v>15.01</v>
      </c>
      <c r="CO4" s="22">
        <v>0</v>
      </c>
      <c r="CP4" s="27"/>
      <c r="CQ4" s="38">
        <f t="shared" ref="CQ4:CQ15" si="39">IF(CC4&gt;0,CC4,"")</f>
        <v>14.9</v>
      </c>
      <c r="CR4" s="38">
        <f t="shared" ref="CR4:CR15" si="40">IF(CD4&gt;0,CD4,"")</f>
        <v>15.24</v>
      </c>
      <c r="CS4" s="40">
        <f t="shared" ref="CS4:CS15" si="41">IF(SUM(CA4:CD4)-CE4&gt;0,SUM(CA4:CD4)-CE4,"")</f>
        <v>56.94</v>
      </c>
      <c r="CT4" s="40">
        <f t="shared" ref="CT4:CT15" si="42">IF(CH4&gt;0,CH4,"")</f>
        <v>14.9</v>
      </c>
      <c r="CU4" s="40">
        <f t="shared" ref="CU4:CU15" si="43">IF(CI4&gt;0,CI4,"")</f>
        <v>14.91</v>
      </c>
      <c r="CV4" s="40">
        <f t="shared" ref="CV4:CV15" si="44">IF(SUM(CF4:CI4)-CJ4&gt;0,SUM(CF4:CI4)-CJ4,"")</f>
        <v>56.11</v>
      </c>
      <c r="CW4" s="40">
        <f t="shared" ref="CW4:CW15" si="45">IF(CS4="","",MAX(CS4,CV4))</f>
        <v>56.94</v>
      </c>
      <c r="CX4" s="40">
        <f t="shared" ref="CX4:CX15" si="46">IF(CM4&gt;0,CM4,"")</f>
        <v>14.5</v>
      </c>
      <c r="CY4" s="40">
        <f t="shared" ref="CY4:CY15" si="47">IF(CN4&gt;0,CN4,"")</f>
        <v>15.01</v>
      </c>
      <c r="CZ4" s="40">
        <f t="shared" ref="CZ4:CZ15" si="48">IF(SUM(CK4:CN4)-CO4&gt;0,SUM(CK4:CN4)-CO4,"")</f>
        <v>55.61</v>
      </c>
      <c r="DA4" s="40">
        <f t="shared" ref="DA4:DA15" si="49">IF(SUM(CW4,CZ4)&gt;0,SUM(CW4,CZ4),"")</f>
        <v>112.55</v>
      </c>
      <c r="DB4" s="51">
        <f t="shared" ref="DB4:DB15" si="50">IF(MAX(ED4,FL4,GT4,IB4,JJ4,KR4,LZ4,NH4,OP4,PX4,RF4,SN4,TV4,VD4,WWL4)-IF(N4="",0,N4)&gt;0.001,MAX(ED4,FL4,GT4,IB4,JJ4,KR4,LZ4,NH4,OP4,PX4,RF4,SN4,TV4,VD4,WL4)-IF(N4="",0,N4),"")</f>
        <v>0.35999999999999943</v>
      </c>
      <c r="DC4" s="51">
        <f t="shared" ref="DC4:DC15" si="51"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>0.39999999999999147</v>
      </c>
      <c r="DD4" s="17">
        <v>8</v>
      </c>
      <c r="DE4" s="17">
        <v>4.2</v>
      </c>
      <c r="DF4" s="17">
        <v>5.9</v>
      </c>
      <c r="DG4" s="17">
        <v>7.62</v>
      </c>
      <c r="DH4" s="17">
        <v>0</v>
      </c>
      <c r="DI4" s="17">
        <v>15.6</v>
      </c>
      <c r="DJ4" s="17">
        <v>9.1999999999999993</v>
      </c>
      <c r="DK4" s="17">
        <v>13</v>
      </c>
      <c r="DL4" s="17">
        <v>14.88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 t="shared" ref="DX4:DX15" si="52">IF(DF4&gt;0,DF4,"")</f>
        <v>5.9</v>
      </c>
      <c r="DY4" s="40">
        <f t="shared" ref="DY4:DY15" si="53">IF(DG4&gt;0,DG4,"")</f>
        <v>7.62</v>
      </c>
      <c r="DZ4" s="40">
        <f t="shared" ref="DZ4:DZ15" si="54">IF(SUM(DD4:DG4)-DH4&gt;0,SUM(DD4:DG4)-DH4,"")</f>
        <v>25.720000000000002</v>
      </c>
      <c r="EA4" s="40">
        <f t="shared" ref="EA4:EA15" si="55">IF(DK4&gt;0,DK4,"")</f>
        <v>13</v>
      </c>
      <c r="EB4" s="40">
        <f t="shared" ref="EB4:EB15" si="56">IF(DL4&gt;0,DL4,"")</f>
        <v>14.88</v>
      </c>
      <c r="EC4" s="40">
        <f t="shared" ref="EC4:EC15" si="57">IF(SUM(DI4:DL4)-DM4&gt;0,SUM(DI4:DL4)-DM4,"")</f>
        <v>52.68</v>
      </c>
      <c r="ED4" s="40">
        <f t="shared" ref="ED4:ED15" si="58">IF(MAX(DZ4,EC4)&gt;0,MAX(DZ4,EC4),"")</f>
        <v>52.68</v>
      </c>
      <c r="EE4" s="40" t="str">
        <f t="shared" ref="EE4:EE15" si="59">IF(DP4&gt;0,DP4,"")</f>
        <v/>
      </c>
      <c r="EF4" s="40" t="str">
        <f t="shared" ref="EF4:EF15" si="60">IF(DQ4&gt;0,DQ4,"")</f>
        <v/>
      </c>
      <c r="EG4" s="40" t="str">
        <f t="shared" ref="EG4:EG15" si="61">IF(SUM(DN4:DQ4)-DR4&gt;0,SUM(DN4:DQ4)-DR4,"")</f>
        <v/>
      </c>
      <c r="EH4" s="40" t="str">
        <f t="shared" ref="EH4:EH15" si="62">IF(DU4&gt;0,DU4,"")</f>
        <v/>
      </c>
      <c r="EI4" s="40" t="str">
        <f t="shared" ref="EI4:EI15" si="63">IF(DV4&gt;0,DV4,"")</f>
        <v/>
      </c>
      <c r="EJ4" s="40" t="str">
        <f t="shared" ref="EJ4:EJ15" si="64">IF(SUM(DS4:DV4)-DW4&gt;0,SUM(DS4:DV4)-DW4,"")</f>
        <v/>
      </c>
      <c r="EK4" s="40">
        <f t="shared" ref="EK4:EK15" si="65">IF(SUM(ED4,EG4,EJ4)&gt;0,SUM(ED4,EG4,EJ4),"")</f>
        <v>52.68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15" si="66">IF(EN4&gt;0,EN4,"")</f>
        <v/>
      </c>
      <c r="FG4" s="11" t="str">
        <f t="shared" ref="FG4:FG15" si="67">IF(EO4&gt;0,EO4,"")</f>
        <v/>
      </c>
      <c r="FH4" s="11" t="str">
        <f t="shared" ref="FH4:FH15" si="68">IF(SUM(EL4:EO4)-EP4&gt;0,SUM(EL4:EO4)-EP4,"")</f>
        <v/>
      </c>
      <c r="FI4" s="11" t="str">
        <f t="shared" ref="FI4:FI15" si="69">IF(ES4&gt;0,ES4,"")</f>
        <v/>
      </c>
      <c r="FJ4" s="11" t="str">
        <f t="shared" ref="FJ4:FJ15" si="70">IF(ET4&gt;0,ET4,"")</f>
        <v/>
      </c>
      <c r="FK4" s="11" t="str">
        <f t="shared" ref="FK4:FK15" si="71">IF(SUM(EQ4:ET4)-EU4&gt;0,SUM(EQ4:ET4)-EU4,"")</f>
        <v/>
      </c>
      <c r="FL4" s="11" t="str">
        <f t="shared" ref="FL4:FL15" si="72">IF(MAX(FH4,FK4)&gt;0,MAX(FH4,FK4),"")</f>
        <v/>
      </c>
      <c r="FM4" s="11" t="str">
        <f t="shared" ref="FM4:FM15" si="73">IF(EX4&gt;0,EX4,"")</f>
        <v/>
      </c>
      <c r="FN4" s="11" t="str">
        <f t="shared" ref="FN4:FN15" si="74">IF(EY4&gt;0,EY4,"")</f>
        <v/>
      </c>
      <c r="FO4" s="11" t="str">
        <f t="shared" ref="FO4:FO15" si="75">IF(SUM(EV4:EY4)-EZ4&gt;0,SUM(EV4:EY4)-EZ4,"")</f>
        <v/>
      </c>
      <c r="FP4" s="11" t="str">
        <f t="shared" ref="FP4:FP15" si="76">IF(FC4&gt;0,FC4,"")</f>
        <v/>
      </c>
      <c r="FQ4" s="11" t="str">
        <f t="shared" ref="FQ4:FQ15" si="77">IF(FD4&gt;0,FD4,"")</f>
        <v/>
      </c>
      <c r="FR4" s="11" t="str">
        <f t="shared" ref="FR4:FR15" si="78">IF(SUM(FA4:FD4)-FE4&gt;0,SUM(FA4:FD4)-FE4,"")</f>
        <v/>
      </c>
      <c r="FS4" s="11" t="str">
        <f t="shared" ref="FS4:FS15" si="79"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 t="shared" ref="GN4:GN15" si="80">IF(FV4&gt;0,FV4,"")</f>
        <v/>
      </c>
      <c r="GO4" s="40" t="str">
        <f t="shared" ref="GO4:GO15" si="81">IF(FW4&gt;0,FW4,"")</f>
        <v/>
      </c>
      <c r="GP4" s="40" t="str">
        <f t="shared" ref="GP4:GP15" si="82">IF(SUM(FT4:FW4)-FX4&gt;0,SUM(FT4:FW4)-FX4,"")</f>
        <v/>
      </c>
      <c r="GQ4" s="40" t="str">
        <f t="shared" ref="GQ4:GQ15" si="83">IF(GA4&gt;0,GA4,"")</f>
        <v/>
      </c>
      <c r="GR4" s="40" t="str">
        <f t="shared" ref="GR4:GR15" si="84">IF(GB4&gt;0,GB4,"")</f>
        <v/>
      </c>
      <c r="GS4" s="40" t="str">
        <f t="shared" ref="GS4:GS15" si="85">IF(SUM(FY4:GB4)-GC4&gt;0,SUM(FY4:GB4)-GC4,"")</f>
        <v/>
      </c>
      <c r="GT4" s="40" t="str">
        <f t="shared" ref="GT4:GT15" si="86">IF(MAX(GP4,GS4)&gt;0,MAX(GP4,GS4),"")</f>
        <v/>
      </c>
      <c r="GU4" s="40" t="str">
        <f t="shared" ref="GU4:GU15" si="87">IF(GF4&gt;0,GF4,"")</f>
        <v/>
      </c>
      <c r="GV4" s="40" t="str">
        <f t="shared" ref="GV4:GV15" si="88">IF(GG4&gt;0,GG4,"")</f>
        <v/>
      </c>
      <c r="GW4" s="40" t="str">
        <f t="shared" ref="GW4:GW15" si="89">IF(SUM(GD4:GG4)-GH4&gt;0,SUM(GD4:GG4)-GH4,"")</f>
        <v/>
      </c>
      <c r="GX4" s="40" t="str">
        <f t="shared" ref="GX4:GX15" si="90">IF(GK4&gt;0,GK4,"")</f>
        <v/>
      </c>
      <c r="GY4" s="40" t="str">
        <f t="shared" ref="GY4:GY15" si="91">IF(GL4&gt;0,GL4,"")</f>
        <v/>
      </c>
      <c r="GZ4" s="40" t="str">
        <f t="shared" ref="GZ4:GZ15" si="92">IF(SUM(GI4:GL4)-GM4&gt;0,SUM(GI4:GL4)-GM4,"")</f>
        <v/>
      </c>
      <c r="HA4" s="40" t="str">
        <f t="shared" ref="HA4:HA15" si="93"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5" si="94">IF(HD4&gt;0,HD4,"")</f>
        <v/>
      </c>
      <c r="HW4" s="11" t="str">
        <f t="shared" ref="HW4:HW15" si="95">IF(HE4&gt;0,HE4,"")</f>
        <v/>
      </c>
      <c r="HX4" s="11" t="str">
        <f t="shared" ref="HX4:HX15" si="96">IF(SUM(HB4:HE4)-HF4&gt;0,SUM(HB4:HE4)-HF4,"")</f>
        <v/>
      </c>
      <c r="HY4" s="11" t="str">
        <f t="shared" ref="HY4:HY15" si="97">IF(HI4&gt;0,HI4,"")</f>
        <v/>
      </c>
      <c r="HZ4" s="11" t="str">
        <f t="shared" ref="HZ4:HZ15" si="98">IF(HJ4&gt;0,HJ4,"")</f>
        <v/>
      </c>
      <c r="IA4" s="11" t="str">
        <f t="shared" ref="IA4:IA15" si="99">IF(SUM(HG4:HJ4)-HK4&gt;0,SUM(HG4:HJ4)-HK4,"")</f>
        <v/>
      </c>
      <c r="IB4" s="11" t="str">
        <f t="shared" ref="IB4:IB15" si="100">IF(MAX(HX4,IA4)&gt;0,MAX(HX4,IA4),"")</f>
        <v/>
      </c>
      <c r="IC4" s="11" t="str">
        <f t="shared" ref="IC4:IC15" si="101">IF(HN4&gt;0,HN4,"")</f>
        <v/>
      </c>
      <c r="ID4" s="11" t="str">
        <f t="shared" ref="ID4:ID15" si="102">IF(HO4&gt;0,HO4,"")</f>
        <v/>
      </c>
      <c r="IE4" s="11" t="str">
        <f t="shared" ref="IE4:IE15" si="103">IF(SUM(HL4:HO4)-HP4&gt;0,SUM(HL4:HO4)-HP4,"")</f>
        <v/>
      </c>
      <c r="IF4" s="11" t="str">
        <f t="shared" ref="IF4:IF15" si="104">IF(HS4&gt;0,HS4,"")</f>
        <v/>
      </c>
      <c r="IG4" s="11" t="str">
        <f t="shared" ref="IG4:IG15" si="105">IF(HT4&gt;0,HT4,"")</f>
        <v/>
      </c>
      <c r="IH4" s="11" t="str">
        <f t="shared" ref="IH4:IH15" si="106">IF(SUM(HQ4:HT4)-HU4&gt;0,SUM(HQ4:HT4)-HU4,"")</f>
        <v/>
      </c>
      <c r="II4" s="11" t="str">
        <f t="shared" ref="II4:II15" si="107"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 t="shared" ref="JD4:JD15" si="108">IF(IL4&gt;0,IL4,"")</f>
        <v/>
      </c>
      <c r="JE4" s="40" t="str">
        <f t="shared" ref="JE4:JE15" si="109">IF(IM4&gt;0,IM4,"")</f>
        <v/>
      </c>
      <c r="JF4" s="40" t="str">
        <f t="shared" ref="JF4:JF15" si="110">IF(SUM(IJ4:IM4)-IN4&gt;0,SUM(IJ4:IM4)-IN4,"")</f>
        <v/>
      </c>
      <c r="JG4" s="40" t="str">
        <f t="shared" ref="JG4:JG15" si="111">IF(IQ4&gt;0,IQ4,"")</f>
        <v/>
      </c>
      <c r="JH4" s="40" t="str">
        <f t="shared" ref="JH4:JH15" si="112">IF(IR4&gt;0,IR4,"")</f>
        <v/>
      </c>
      <c r="JI4" s="40" t="str">
        <f t="shared" ref="JI4:JI15" si="113">IF(SUM(IO4:IR4)-IS4&gt;0,SUM(IO4:IR4)-IS4,"")</f>
        <v/>
      </c>
      <c r="JJ4" s="40" t="str">
        <f t="shared" ref="JJ4:JJ15" si="114">IF(MAX(JF4,JI4)&gt;0,MAX(JF4,JI4),"")</f>
        <v/>
      </c>
      <c r="JK4" s="40" t="str">
        <f t="shared" ref="JK4:JK15" si="115">IF(IV4&gt;0,IV4,"")</f>
        <v/>
      </c>
      <c r="JL4" s="40" t="str">
        <f t="shared" ref="JL4:JL15" si="116">IF(IW4&gt;0,IW4,"")</f>
        <v/>
      </c>
      <c r="JM4" s="40" t="str">
        <f t="shared" ref="JM4:JM15" si="117">IF(SUM(IT4:IW4)-IX4&gt;0,SUM(IT4:IW4)-IX4,"")</f>
        <v/>
      </c>
      <c r="JN4" s="40" t="str">
        <f t="shared" ref="JN4:JN15" si="118">IF(JA4&gt;0,JA4,"")</f>
        <v/>
      </c>
      <c r="JO4" s="40" t="str">
        <f t="shared" ref="JO4:JO15" si="119">IF(JB4&gt;0,JB4,"")</f>
        <v/>
      </c>
      <c r="JP4" s="40" t="str">
        <f t="shared" ref="JP4:JP15" si="120">IF(SUM(IY4:JB4)-JC4&gt;0,SUM(IY4:JB4)-JC4,"")</f>
        <v/>
      </c>
      <c r="JQ4" s="40" t="str">
        <f t="shared" ref="JQ4:JQ15" si="121"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5" si="122">IF(JT4&gt;0,JT4,"")</f>
        <v/>
      </c>
      <c r="KM4" s="11" t="str">
        <f t="shared" ref="KM4:KM15" si="123">IF(JU4&gt;0,JU4,"")</f>
        <v/>
      </c>
      <c r="KN4" s="11" t="str">
        <f t="shared" ref="KN4:KN15" si="124">IF(SUM(JR4:JU4)-JV4&gt;0,SUM(JR4:JU4)-JV4,"")</f>
        <v/>
      </c>
      <c r="KO4" s="11" t="str">
        <f t="shared" ref="KO4:KO15" si="125">IF(JY4&gt;0,JY4,"")</f>
        <v/>
      </c>
      <c r="KP4" s="11" t="str">
        <f t="shared" ref="KP4:KP15" si="126">IF(JZ4&gt;0,JZ4,"")</f>
        <v/>
      </c>
      <c r="KQ4" s="11" t="str">
        <f t="shared" ref="KQ4:KQ15" si="127">IF(SUM(JW4:JZ4)-KA4&gt;0,SUM(JW4:JZ4)-KA4,"")</f>
        <v/>
      </c>
      <c r="KR4" s="11" t="str">
        <f t="shared" ref="KR4:KR15" si="128">IF(MAX(KN4,KQ4)&gt;0,MAX(KN4,KQ4),"")</f>
        <v/>
      </c>
      <c r="KS4" s="11" t="str">
        <f t="shared" ref="KS4:KS15" si="129">IF(KD4&gt;0,KD4,"")</f>
        <v/>
      </c>
      <c r="KT4" s="11" t="str">
        <f t="shared" ref="KT4:KT15" si="130">IF(KE4&gt;0,KE4,"")</f>
        <v/>
      </c>
      <c r="KU4" s="11" t="str">
        <f t="shared" ref="KU4:KU15" si="131">IF(SUM(KB4:KE4)-KF4&gt;0,SUM(KB4:KE4)-KF4,"")</f>
        <v/>
      </c>
      <c r="KV4" s="11" t="str">
        <f t="shared" ref="KV4:KV15" si="132">IF(KI4&gt;0,KI4,"")</f>
        <v/>
      </c>
      <c r="KW4" s="11" t="str">
        <f t="shared" ref="KW4:KW15" si="133">IF(KJ4&gt;0,KJ4,"")</f>
        <v/>
      </c>
      <c r="KX4" s="11" t="str">
        <f t="shared" ref="KX4:KX15" si="134">IF(SUM(KG4:KJ4)-KK4&gt;0,SUM(KG4:KJ4)-KK4,"")</f>
        <v/>
      </c>
      <c r="KY4" s="11" t="str">
        <f t="shared" ref="KY4:KY15" si="135">IF(SUM(KR4,KU4,KX4)&gt;0,SUM(KR4,KU4,KX4),"")</f>
        <v/>
      </c>
      <c r="KZ4" s="17">
        <v>15.8</v>
      </c>
      <c r="LA4" s="17">
        <v>9.1</v>
      </c>
      <c r="LB4" s="17">
        <v>14.8</v>
      </c>
      <c r="LC4" s="17">
        <v>15.04</v>
      </c>
      <c r="LD4" s="17">
        <v>0</v>
      </c>
      <c r="LE4" s="17">
        <v>16.7</v>
      </c>
      <c r="LF4" s="17">
        <v>9.6999999999999993</v>
      </c>
      <c r="LG4" s="17">
        <v>14.6</v>
      </c>
      <c r="LH4" s="17">
        <v>15.34</v>
      </c>
      <c r="LI4" s="17">
        <v>0</v>
      </c>
      <c r="LJ4" s="17">
        <v>16.2</v>
      </c>
      <c r="LK4" s="17">
        <v>9.6999999999999993</v>
      </c>
      <c r="LL4" s="17">
        <v>15</v>
      </c>
      <c r="LM4" s="17">
        <v>15.15</v>
      </c>
      <c r="LN4" s="17">
        <v>0</v>
      </c>
      <c r="LO4" s="17">
        <v>16.399999999999999</v>
      </c>
      <c r="LP4" s="17">
        <v>9.1</v>
      </c>
      <c r="LQ4" s="17">
        <v>14.4</v>
      </c>
      <c r="LR4" s="17">
        <v>15.61</v>
      </c>
      <c r="LS4" s="17">
        <v>0</v>
      </c>
      <c r="LT4" s="40">
        <f t="shared" ref="LT4:LT15" si="136">IF(LB4&gt;0,LB4,"")</f>
        <v>14.8</v>
      </c>
      <c r="LU4" s="40">
        <f t="shared" ref="LU4:LU15" si="137">IF(LC4&gt;0,LC4,"")</f>
        <v>15.04</v>
      </c>
      <c r="LV4" s="40">
        <f t="shared" ref="LV4:LV15" si="138">IF(SUM(KZ4:LC4)-LD4&gt;0,SUM(KZ4:LC4)-LD4,"")</f>
        <v>54.74</v>
      </c>
      <c r="LW4" s="40">
        <f t="shared" ref="LW4:LW15" si="139">IF(LG4&gt;0,LG4,"")</f>
        <v>14.6</v>
      </c>
      <c r="LX4" s="40">
        <f t="shared" ref="LX4:LX15" si="140">IF(LH4&gt;0,LH4,"")</f>
        <v>15.34</v>
      </c>
      <c r="LY4" s="40">
        <f t="shared" ref="LY4:LY15" si="141">IF(SUM(LE4:LH4)-LI4&gt;0,SUM(LE4:LH4)-LI4,"")</f>
        <v>56.34</v>
      </c>
      <c r="LZ4" s="40">
        <f t="shared" ref="LZ4:LZ15" si="142">IF(MAX(LV4,LY4)&gt;0,MAX(LV4,LY4),"")</f>
        <v>56.34</v>
      </c>
      <c r="MA4" s="40">
        <f t="shared" ref="MA4:MA15" si="143">IF(LL4&gt;0,LL4,"")</f>
        <v>15</v>
      </c>
      <c r="MB4" s="40">
        <f t="shared" ref="MB4:MB15" si="144">IF(LM4&gt;0,LM4,"")</f>
        <v>15.15</v>
      </c>
      <c r="MC4" s="40">
        <f t="shared" ref="MC4:MC15" si="145">IF(SUM(LJ4:LM4)-LN4&gt;0,SUM(LJ4:LM4)-LN4,"")</f>
        <v>56.05</v>
      </c>
      <c r="MD4" s="40">
        <f t="shared" ref="MD4:MD15" si="146">IF(LQ4&gt;0,LQ4,"")</f>
        <v>14.4</v>
      </c>
      <c r="ME4" s="40">
        <f t="shared" ref="ME4:ME15" si="147">IF(LR4&gt;0,LR4,"")</f>
        <v>15.61</v>
      </c>
      <c r="MF4" s="40">
        <f t="shared" ref="MF4:MF15" si="148">IF(SUM(LO4:LR4)-LS4&gt;0,SUM(LO4:LR4)-LS4,"")</f>
        <v>55.51</v>
      </c>
      <c r="MG4" s="40">
        <f t="shared" ref="MG4:MG15" si="149">IF(SUM(LZ4,MC4,MF4)&gt;0,SUM(LZ4,MC4,MF4),"")</f>
        <v>167.9</v>
      </c>
      <c r="MH4" s="18">
        <v>15.6</v>
      </c>
      <c r="MI4" s="18">
        <v>9.6</v>
      </c>
      <c r="MJ4" s="18">
        <v>14.4</v>
      </c>
      <c r="MK4" s="18">
        <v>15.04</v>
      </c>
      <c r="ML4" s="18">
        <v>0</v>
      </c>
      <c r="MM4" s="18">
        <v>14.8</v>
      </c>
      <c r="MN4" s="18">
        <v>9.1999999999999993</v>
      </c>
      <c r="MO4" s="18">
        <v>14.4</v>
      </c>
      <c r="MP4" s="18">
        <v>14.96</v>
      </c>
      <c r="MQ4" s="18">
        <v>0.2</v>
      </c>
      <c r="MR4" s="18"/>
      <c r="MS4" s="18"/>
      <c r="MT4" s="18"/>
      <c r="MU4" s="18"/>
      <c r="MV4" s="18"/>
      <c r="MW4" s="18">
        <v>15.6</v>
      </c>
      <c r="MX4" s="18">
        <v>9.8000000000000007</v>
      </c>
      <c r="MY4" s="18">
        <v>15</v>
      </c>
      <c r="MZ4" s="18">
        <v>15.25</v>
      </c>
      <c r="NA4" s="18">
        <v>0</v>
      </c>
      <c r="NB4" s="11">
        <f t="shared" ref="NB4:NB15" si="150">IF(MJ4&gt;0,MJ4,"")</f>
        <v>14.4</v>
      </c>
      <c r="NC4" s="11">
        <f t="shared" ref="NC4:NC15" si="151">IF(MK4&gt;0,MK4,"")</f>
        <v>15.04</v>
      </c>
      <c r="ND4" s="11">
        <f t="shared" ref="ND4:ND15" si="152">IF(SUM(MH4:MK4)-ML4&gt;0,SUM(MH4:MK4)-ML4,"")</f>
        <v>54.64</v>
      </c>
      <c r="NE4" s="11">
        <f t="shared" ref="NE4:NE15" si="153">IF(MO4&gt;0,MO4,"")</f>
        <v>14.4</v>
      </c>
      <c r="NF4" s="11">
        <f t="shared" ref="NF4:NF15" si="154">IF(MP4&gt;0,MP4,"")</f>
        <v>14.96</v>
      </c>
      <c r="NG4" s="11">
        <f t="shared" ref="NG4:NG15" si="155">IF(SUM(MM4:MP4)-MQ4&gt;0,SUM(MM4:MP4)-MQ4,"")</f>
        <v>53.16</v>
      </c>
      <c r="NH4" s="11">
        <f t="shared" ref="NH4:NH15" si="156">IF(MAX(ND4,NG4)&gt;0,MAX(ND4,NG4),"")</f>
        <v>54.64</v>
      </c>
      <c r="NI4" s="11" t="str">
        <f t="shared" ref="NI4:NI15" si="157">IF(MT4&gt;0,MT4,"")</f>
        <v/>
      </c>
      <c r="NJ4" s="11" t="str">
        <f t="shared" ref="NJ4:NJ15" si="158">IF(MU4&gt;0,MU4,"")</f>
        <v/>
      </c>
      <c r="NK4" s="11" t="str">
        <f t="shared" ref="NK4:NK15" si="159">IF(SUM(MR4:MU4)-MV4&gt;0,SUM(MR4:MU4)-MV4,"")</f>
        <v/>
      </c>
      <c r="NL4" s="11">
        <f t="shared" ref="NL4:NL15" si="160">IF(MY4&gt;0,MY4,"")</f>
        <v>15</v>
      </c>
      <c r="NM4" s="11">
        <f t="shared" ref="NM4:NM15" si="161">IF(MZ4&gt;0,MZ4,"")</f>
        <v>15.25</v>
      </c>
      <c r="NN4" s="11">
        <f t="shared" ref="NN4:NN15" si="162">IF(SUM(MW4:MZ4)-NA4&gt;0,SUM(MW4:MZ4)-NA4,"")</f>
        <v>55.65</v>
      </c>
      <c r="NO4" s="11">
        <f t="shared" ref="NO4:NO15" si="163">IF(SUM(NH4,NK4,NN4)&gt;0,SUM(NH4,NK4,NN4),"")</f>
        <v>110.28999999999999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 t="shared" ref="OJ4:OJ15" si="164">IF(NR4&gt;0,NR4,"")</f>
        <v/>
      </c>
      <c r="OK4" s="40" t="str">
        <f t="shared" ref="OK4:OK15" si="165">IF(NS4&gt;0,NS4,"")</f>
        <v/>
      </c>
      <c r="OL4" s="40" t="str">
        <f t="shared" ref="OL4:OL15" si="166">IF(SUM(NP4:NS4)-NT4&gt;0,SUM(NP4:NS4)-NT4,"")</f>
        <v/>
      </c>
      <c r="OM4" s="40" t="str">
        <f t="shared" ref="OM4:OM15" si="167">IF(NW4&gt;0,NW4,"")</f>
        <v/>
      </c>
      <c r="ON4" s="40" t="str">
        <f t="shared" ref="ON4:ON15" si="168">IF(NX4&gt;0,NX4,"")</f>
        <v/>
      </c>
      <c r="OO4" s="40" t="str">
        <f t="shared" ref="OO4:OO15" si="169">IF(SUM(NU4:NX4)-NY4&gt;0,SUM(NU4:NX4)-NY4,"")</f>
        <v/>
      </c>
      <c r="OP4" s="40" t="str">
        <f t="shared" ref="OP4:OP15" si="170">IF(MAX(OL4,OO4)&gt;0,MAX(OL4,OO4),"")</f>
        <v/>
      </c>
      <c r="OQ4" s="40" t="str">
        <f t="shared" ref="OQ4:OQ15" si="171">IF(OB4&gt;0,OB4,"")</f>
        <v/>
      </c>
      <c r="OR4" s="40" t="str">
        <f t="shared" ref="OR4:OR15" si="172">IF(OC4&gt;0,OC4,"")</f>
        <v/>
      </c>
      <c r="OS4" s="40" t="str">
        <f t="shared" ref="OS4:OS15" si="173">IF(SUM(NZ4:OC4)-OD4&gt;0,SUM(NZ4:OC4)-OD4,"")</f>
        <v/>
      </c>
      <c r="OT4" s="40" t="str">
        <f t="shared" ref="OT4:OT15" si="174">IF(OG4&gt;0,OG4,"")</f>
        <v/>
      </c>
      <c r="OU4" s="40" t="str">
        <f t="shared" ref="OU4:OU15" si="175">IF(OH4&gt;0,OH4,"")</f>
        <v/>
      </c>
      <c r="OV4" s="40" t="str">
        <f t="shared" ref="OV4:OV15" si="176">IF(SUM(OE4:OH4)-OI4&gt;0,SUM(OE4:OH4)-OI4,"")</f>
        <v/>
      </c>
      <c r="OW4" s="40" t="str">
        <f t="shared" ref="OW4:OW15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15" si="178">IF(OZ4&gt;0,OZ4,"")</f>
        <v/>
      </c>
      <c r="PS4" s="11" t="str">
        <f t="shared" ref="PS4:PS15" si="179">IF(PA4&gt;0,PA4,"")</f>
        <v/>
      </c>
      <c r="PT4" s="11" t="str">
        <f t="shared" ref="PT4:PT15" si="180">IF(SUM(OX4:PA4)-PB4&gt;0,SUM(OX4:PA4)-PB4,"")</f>
        <v/>
      </c>
      <c r="PU4" s="11" t="str">
        <f t="shared" ref="PU4:PU15" si="181">IF(PE4&gt;0,PE4,"")</f>
        <v/>
      </c>
      <c r="PV4" s="11" t="str">
        <f t="shared" ref="PV4:PV15" si="182">IF(PF4&gt;0,PF4,"")</f>
        <v/>
      </c>
      <c r="PW4" s="11" t="str">
        <f t="shared" ref="PW4:PW15" si="183">IF(SUM(PC4:PF4)-PG4&gt;0,SUM(PC4:PF4)-PG4,"")</f>
        <v/>
      </c>
      <c r="PX4" s="11" t="str">
        <f t="shared" ref="PX4:PX15" si="184">IF(MAX(PT4,PW4)&gt;0,MAX(PT4,PW4),"")</f>
        <v/>
      </c>
      <c r="PY4" s="11" t="str">
        <f t="shared" ref="PY4:PY15" si="185">IF(PJ4&gt;0,PJ4,"")</f>
        <v/>
      </c>
      <c r="PZ4" s="11" t="str">
        <f t="shared" ref="PZ4:PZ15" si="186">IF(PK4&gt;0,PK4,"")</f>
        <v/>
      </c>
      <c r="QA4" s="11" t="str">
        <f t="shared" ref="QA4:QA15" si="187">IF(SUM(PH4:PK4)-PL4&gt;0,SUM(PH4:PK4)-PL4,"")</f>
        <v/>
      </c>
      <c r="QB4" s="11" t="str">
        <f t="shared" ref="QB4:QB15" si="188">IF(PO4&gt;0,PO4,"")</f>
        <v/>
      </c>
      <c r="QC4" s="11" t="str">
        <f t="shared" ref="QC4:QC15" si="189">IF(PP4&gt;0,PP4,"")</f>
        <v/>
      </c>
      <c r="QD4" s="11" t="str">
        <f t="shared" ref="QD4:QD15" si="190">IF(SUM(PM4:PP4)-PQ4&gt;0,SUM(PM4:PP4)-PQ4,"")</f>
        <v/>
      </c>
      <c r="QE4" s="11" t="str">
        <f t="shared" ref="QE4:QE15" si="191"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 t="shared" ref="QZ4:QZ15" si="192">IF(QH4&gt;0,QH4,"")</f>
        <v/>
      </c>
      <c r="RA4" s="40" t="str">
        <f t="shared" ref="RA4:RA15" si="193">IF(QI4&gt;0,QI4,"")</f>
        <v/>
      </c>
      <c r="RB4" s="40" t="str">
        <f t="shared" ref="RB4:RB15" si="194">IF(SUM(QF4:QI4)-QJ4&gt;0,SUM(QF4:QI4)-QJ4,"")</f>
        <v/>
      </c>
      <c r="RC4" s="40" t="str">
        <f t="shared" ref="RC4:RC15" si="195">IF(QM4&gt;0,QM4,"")</f>
        <v/>
      </c>
      <c r="RD4" s="40" t="str">
        <f t="shared" ref="RD4:RD15" si="196">IF(QN4&gt;0,QN4,"")</f>
        <v/>
      </c>
      <c r="RE4" s="40" t="str">
        <f t="shared" ref="RE4:RE15" si="197">IF(SUM(QK4:QN4)-QO4&gt;0,SUM(QK4:QN4)-QO4,"")</f>
        <v/>
      </c>
      <c r="RF4" s="40" t="str">
        <f t="shared" ref="RF4:RF15" si="198">IF(MAX(RB4,RE4)&gt;0,MAX(RB4,RE4),"")</f>
        <v/>
      </c>
      <c r="RG4" s="40" t="str">
        <f t="shared" ref="RG4:RG15" si="199">IF(QR4&gt;0,QR4,"")</f>
        <v/>
      </c>
      <c r="RH4" s="40" t="str">
        <f t="shared" ref="RH4:RH15" si="200">IF(QS4&gt;0,QS4,"")</f>
        <v/>
      </c>
      <c r="RI4" s="40" t="str">
        <f t="shared" ref="RI4:RI15" si="201">IF(SUM(QP4:QS4)-QT4&gt;0,SUM(QP4:QS4)-QT4,"")</f>
        <v/>
      </c>
      <c r="RJ4" s="40" t="str">
        <f t="shared" ref="RJ4:RJ15" si="202">IF(QW4&gt;0,QW4,"")</f>
        <v/>
      </c>
      <c r="RK4" s="40" t="str">
        <f t="shared" ref="RK4:RK15" si="203">IF(QX4&gt;0,QX4,"")</f>
        <v/>
      </c>
      <c r="RL4" s="40" t="str">
        <f t="shared" ref="RL4:RL15" si="204">IF(SUM(QU4:QX4)-QY4&gt;0,SUM(QU4:QX4)-QY4,"")</f>
        <v/>
      </c>
      <c r="RM4" s="40" t="str">
        <f t="shared" ref="RM4:RM15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5" si="206">IF(RP4&gt;0,RP4,"")</f>
        <v/>
      </c>
      <c r="SI4" s="11" t="str">
        <f t="shared" ref="SI4:SI15" si="207">IF(RQ4&gt;0,RQ4,"")</f>
        <v/>
      </c>
      <c r="SJ4" s="11" t="str">
        <f t="shared" ref="SJ4:SJ15" si="208">IF(SUM(RN4:RQ4)-RR4&gt;0,SUM(RN4:RQ4)-RR4,"")</f>
        <v/>
      </c>
      <c r="SK4" s="11" t="str">
        <f t="shared" ref="SK4:SK15" si="209">IF(RU4&gt;0,RU4,"")</f>
        <v/>
      </c>
      <c r="SL4" s="11" t="str">
        <f t="shared" ref="SL4:SL15" si="210">IF(RV4&gt;0,RV4,"")</f>
        <v/>
      </c>
      <c r="SM4" s="11" t="str">
        <f t="shared" ref="SM4:SM15" si="211">IF(SUM(RS4:RV4)-RW4&gt;0,SUM(RS4:RV4)-RW4,"")</f>
        <v/>
      </c>
      <c r="SN4" s="11" t="str">
        <f t="shared" ref="SN4:SN15" si="212">IF(MAX(SJ4,SM4)&gt;0,MAX(SJ4,SM4),"")</f>
        <v/>
      </c>
      <c r="SO4" s="11" t="str">
        <f t="shared" ref="SO4:SO15" si="213">IF(RZ4&gt;0,RZ4,"")</f>
        <v/>
      </c>
      <c r="SP4" s="11" t="str">
        <f t="shared" ref="SP4:SP15" si="214">IF(SA4&gt;0,SA4,"")</f>
        <v/>
      </c>
      <c r="SQ4" s="11" t="str">
        <f t="shared" ref="SQ4:SQ15" si="215">IF(SUM(RX4:SA4)-SB4&gt;0,SUM(RX4:SA4)-SB4,"")</f>
        <v/>
      </c>
      <c r="SR4" s="11" t="str">
        <f t="shared" ref="SR4:SR15" si="216">IF(SE4&gt;0,SE4,"")</f>
        <v/>
      </c>
      <c r="SS4" s="11" t="str">
        <f t="shared" ref="SS4:SS15" si="217">IF(SF4&gt;0,SF4,"")</f>
        <v/>
      </c>
      <c r="ST4" s="11" t="str">
        <f t="shared" ref="ST4:ST15" si="218">IF(SUM(SC4:SF4)-SG4&gt;0,SUM(SC4:SF4)-SG4,"")</f>
        <v/>
      </c>
      <c r="SU4" s="11" t="str">
        <f t="shared" ref="SU4:SU15" si="219"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 t="shared" ref="TP4:TP15" si="220">IF(SX4&gt;0,SX4,"")</f>
        <v/>
      </c>
      <c r="TQ4" s="40" t="str">
        <f t="shared" ref="TQ4:TQ15" si="221">IF(SY4&gt;0,SY4,"")</f>
        <v/>
      </c>
      <c r="TR4" s="40" t="str">
        <f t="shared" ref="TR4:TR15" si="222">IF(SUM(SV4:SY4)-SZ4&gt;0,SUM(SV4:SY4)-SZ4,"")</f>
        <v/>
      </c>
      <c r="TS4" s="40" t="str">
        <f t="shared" ref="TS4:TS15" si="223">IF(TC4&gt;0,TC4,"")</f>
        <v/>
      </c>
      <c r="TT4" s="40" t="str">
        <f t="shared" ref="TT4:TT15" si="224">IF(TD4&gt;0,TD4,"")</f>
        <v/>
      </c>
      <c r="TU4" s="40" t="str">
        <f t="shared" ref="TU4:TU15" si="225">IF(SUM(TA4:TD4)-TE4&gt;0,SUM(TA4:TD4)-TE4,"")</f>
        <v/>
      </c>
      <c r="TV4" s="40" t="str">
        <f t="shared" ref="TV4:TV15" si="226">IF(MAX(TR4,TU4)&gt;0,MAX(TR4,TU4),"")</f>
        <v/>
      </c>
      <c r="TW4" s="40" t="str">
        <f t="shared" ref="TW4:TW15" si="227">IF(TH4&gt;0,TH4,"")</f>
        <v/>
      </c>
      <c r="TX4" s="40" t="str">
        <f t="shared" ref="TX4:TX15" si="228">IF(TI4&gt;0,TI4,"")</f>
        <v/>
      </c>
      <c r="TY4" s="40" t="str">
        <f t="shared" ref="TY4:TY15" si="229">IF(SUM(TF4:TI4)-TJ4&gt;0,SUM(TF4:TI4)-TJ4,"")</f>
        <v/>
      </c>
      <c r="TZ4" s="40" t="str">
        <f t="shared" ref="TZ4:TZ15" si="230">IF(TM4&gt;0,TM4,"")</f>
        <v/>
      </c>
      <c r="UA4" s="40" t="str">
        <f t="shared" ref="UA4:UA15" si="231">IF(TN4&gt;0,TN4,"")</f>
        <v/>
      </c>
      <c r="UB4" s="40" t="str">
        <f t="shared" ref="UB4:UB15" si="232">IF(SUM(TK4:TN4)-TO4&gt;0,SUM(TK4:TN4)-TO4,"")</f>
        <v/>
      </c>
      <c r="UC4" s="40" t="str">
        <f t="shared" ref="UC4:UC15" si="233"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 t="shared" ref="UX4:UX15" si="234">IF(UF4&gt;0,UF4,"")</f>
        <v/>
      </c>
      <c r="UY4" s="11" t="str">
        <f t="shared" ref="UY4:UY15" si="235">IF(UG4&gt;0,UG4,"")</f>
        <v/>
      </c>
      <c r="UZ4" s="11" t="str">
        <f t="shared" ref="UZ4:UZ15" si="236">IF(SUM(UD4:UG4)-UH4&gt;0,SUM(UD4:UG4)-UH4,"")</f>
        <v/>
      </c>
      <c r="VA4" s="11" t="str">
        <f t="shared" ref="VA4:VA15" si="237">IF(UK4&gt;0,UK4,"")</f>
        <v/>
      </c>
      <c r="VB4" s="11" t="str">
        <f t="shared" ref="VB4:VB15" si="238">IF(UL4&gt;0,UL4,"")</f>
        <v/>
      </c>
      <c r="VC4" s="11" t="str">
        <f t="shared" ref="VC4:VC15" si="239">IF(SUM(UI4:UL4)-UM4&gt;0,SUM(UI4:UL4)-UM4,"")</f>
        <v/>
      </c>
      <c r="VD4" s="11" t="str">
        <f t="shared" ref="VD4:VD15" si="240">IF(MAX(UZ4,VC4)&gt;0,MAX(UZ4,VC4),"")</f>
        <v/>
      </c>
      <c r="VE4" s="11" t="str">
        <f t="shared" ref="VE4:VE15" si="241">IF(UP4&gt;0,UP4,"")</f>
        <v/>
      </c>
      <c r="VF4" s="11" t="str">
        <f t="shared" ref="VF4:VF15" si="242">IF(UQ4&gt;0,UQ4,"")</f>
        <v/>
      </c>
      <c r="VG4" s="11" t="str">
        <f t="shared" ref="VG4:VG15" si="243">IF(SUM(UN4:UQ4)-UR4&gt;0,SUM(UN4:UQ4)-UR4,"")</f>
        <v/>
      </c>
      <c r="VH4" s="11" t="str">
        <f t="shared" ref="VH4:VH15" si="244">IF(UU4&gt;0,UU4,"")</f>
        <v/>
      </c>
      <c r="VI4" s="11" t="str">
        <f t="shared" ref="VI4:VI15" si="245">IF(UV4&gt;0,UV4,"")</f>
        <v/>
      </c>
      <c r="VJ4" s="11" t="str">
        <f t="shared" ref="VJ4:VJ15" si="246">IF(SUM(US4:UV4)-UW4&gt;0,SUM(US4:UV4)-UW4,"")</f>
        <v/>
      </c>
      <c r="VK4" s="11" t="str">
        <f t="shared" ref="VK4:VK15" si="247"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 t="shared" ref="WF4:WF15" si="248">IF(VN4&gt;0,VN4,"")</f>
        <v/>
      </c>
      <c r="WG4" s="40" t="str">
        <f t="shared" ref="WG4:WG15" si="249">IF(VO4&gt;0,VO4,"")</f>
        <v/>
      </c>
      <c r="WH4" s="40" t="str">
        <f t="shared" ref="WH4:WH15" si="250">IF(SUM(VL4:VO4)-VP4&gt;0,SUM(VL4:VO4)-VP4,"")</f>
        <v/>
      </c>
      <c r="WI4" s="40" t="str">
        <f t="shared" ref="WI4:WI15" si="251">IF(VS4&gt;0,VS4,"")</f>
        <v/>
      </c>
      <c r="WJ4" s="40" t="str">
        <f t="shared" ref="WJ4:WJ15" si="252">IF(VT4&gt;0,VT4,"")</f>
        <v/>
      </c>
      <c r="WK4" s="40" t="str">
        <f t="shared" ref="WK4:WK15" si="253">IF(SUM(VQ4:VT4)-VU4&gt;0,SUM(VQ4:VT4)-VU4,"")</f>
        <v/>
      </c>
      <c r="WL4" s="40" t="str">
        <f t="shared" ref="WL4:WL15" si="254">IF(MAX(WH4,WK4)&gt;0,MAX(WH4,WK4),"")</f>
        <v/>
      </c>
      <c r="WM4" s="40" t="str">
        <f t="shared" ref="WM4:WM15" si="255">IF(VX4&gt;0,VX4,"")</f>
        <v/>
      </c>
      <c r="WN4" s="40" t="str">
        <f t="shared" ref="WN4:WN15" si="256">IF(VY4&gt;0,VY4,"")</f>
        <v/>
      </c>
      <c r="WO4" s="40" t="str">
        <f t="shared" ref="WO4:WO15" si="257">IF(SUM(VV4:VY4)-VZ4&gt;0,SUM(VV4:VY4)-VZ4,"")</f>
        <v/>
      </c>
      <c r="WP4" s="40" t="str">
        <f t="shared" ref="WP4:WP15" si="258">IF(WC4&gt;0,WC4,"")</f>
        <v/>
      </c>
      <c r="WQ4" s="40" t="str">
        <f t="shared" ref="WQ4:WQ15" si="259">IF(WD4&gt;0,WD4,"")</f>
        <v/>
      </c>
      <c r="WR4" s="40" t="str">
        <f t="shared" ref="WR4:WR15" si="260">IF(SUM(WA4:WD4)-WE4&gt;0,SUM(WA4:WD4)-WE4,"")</f>
        <v/>
      </c>
      <c r="WS4" s="40" t="str">
        <f t="shared" ref="WS4:WS15" si="261">IF(SUM(WL4,WO4,WR4)&gt;0,SUM(WL4,WO4,WR4),"")</f>
        <v/>
      </c>
      <c r="WT4" s="26">
        <f t="shared" ref="WT4:WT15" si="262">IF($CP4="P",CA4,(CA4+AZ4)/2)</f>
        <v>17.225000000000001</v>
      </c>
      <c r="WU4" s="26">
        <f t="shared" ref="WU4:WU15" si="263">IF($CP4="P",CB4,(CB4+BA4)/2)</f>
        <v>9.0749999999999993</v>
      </c>
      <c r="WV4" s="26">
        <f t="shared" ref="WV4:WV15" si="264">IF($CP4="P",CC4,(CC4+BB4)/2)</f>
        <v>14.55</v>
      </c>
      <c r="WW4" s="26">
        <f t="shared" ref="WW4:WW15" si="265">IF($CP4="P",CD4,(CD4+BC4)/2)</f>
        <v>15.105</v>
      </c>
      <c r="WX4" s="26">
        <f t="shared" ref="WX4:WX15" si="266">IF($CP4="P",CE4,(CE4+BD4)/2)</f>
        <v>0.05</v>
      </c>
      <c r="WY4" s="26">
        <f t="shared" ref="WY4:WY15" si="267">IF($CP4="P",CF4,(CF4+BE4)/2)</f>
        <v>17.074999999999999</v>
      </c>
      <c r="WZ4" s="26">
        <f t="shared" ref="WZ4:WZ15" si="268">IF($CP4="P",CG4,(CG4+BF4)/2)</f>
        <v>9.3000000000000007</v>
      </c>
      <c r="XA4" s="26">
        <f t="shared" ref="XA4:XA15" si="269">IF($CP4="P",CH4,(CH4+BG4)/2)</f>
        <v>14.65</v>
      </c>
      <c r="XB4" s="26">
        <f t="shared" ref="XB4:XB15" si="270">IF($CP4="P",CI4,(CI4+BH4)/2)</f>
        <v>15.02</v>
      </c>
      <c r="XC4" s="26">
        <f t="shared" ref="XC4:XC15" si="271">IF($CP4="P",CJ4,(CJ4+BI4)/2)</f>
        <v>0</v>
      </c>
      <c r="XD4" s="26">
        <f t="shared" ref="XD4:XD15" si="272">IF($CP4="P",CK4,(CK4+BJ4)/2)</f>
        <v>16.725000000000001</v>
      </c>
      <c r="XE4" s="26">
        <f t="shared" ref="XE4:XE15" si="273">IF($CP4="P",CL4,(CL4+BK4)/2)</f>
        <v>9.4250000000000007</v>
      </c>
      <c r="XF4" s="26">
        <f t="shared" ref="XF4:XF15" si="274">IF($CP4="P",CM4,(CM4+BL4)/2)</f>
        <v>14.5</v>
      </c>
      <c r="XG4" s="26">
        <f t="shared" ref="XG4:XG15" si="275">IF($CP4="P",CN4,(CN4+BM4)/2)</f>
        <v>14.98</v>
      </c>
      <c r="XH4" s="26">
        <f t="shared" ref="XH4:XH15" si="276">IF($CP4="P",CO4,(CO4+BN4)/2)</f>
        <v>0</v>
      </c>
      <c r="XI4" s="28" t="s">
        <v>53</v>
      </c>
      <c r="XJ4" s="11">
        <f t="shared" ref="XJ4:XJ15" si="277">IF(WV4&gt;0,WV4,"")</f>
        <v>14.55</v>
      </c>
      <c r="XK4" s="11">
        <f t="shared" ref="XK4:XK15" si="278">IF(WW4&gt;0,WW4,"")</f>
        <v>15.105</v>
      </c>
      <c r="XL4" s="11">
        <f t="shared" ref="XL4:XL15" si="279">IF(SUM(WT4:WW4)-WX4&gt;0,SUM(WT4:WW4)-WX4,"")</f>
        <v>55.905000000000001</v>
      </c>
      <c r="XM4" s="11">
        <f t="shared" ref="XM4:XM15" si="280">IF(XA4&gt;0,XA4,"")</f>
        <v>14.65</v>
      </c>
      <c r="XN4" s="11">
        <f t="shared" ref="XN4:XN15" si="281">IF(XB4&gt;0,XB4,"")</f>
        <v>15.02</v>
      </c>
      <c r="XO4" s="11">
        <f t="shared" ref="XO4:XO15" si="282">IF(SUM(WY4:XB4)-XC4&gt;0,SUM(WY4:XB4)-XC4,"")</f>
        <v>56.045000000000002</v>
      </c>
      <c r="XP4" s="11">
        <f t="shared" ref="XP4:XP15" si="283">IF(MAX(XL4,XO4)&gt;0,MAX(XL4,XO4),"")</f>
        <v>56.045000000000002</v>
      </c>
      <c r="XQ4" s="11">
        <f t="shared" ref="XQ4:XQ15" si="284">IF(XF4&gt;0,XF4,"")</f>
        <v>14.5</v>
      </c>
      <c r="XR4" s="11">
        <f t="shared" ref="XR4:XR15" si="285">IF(XG4&gt;0,XG4,"")</f>
        <v>14.98</v>
      </c>
      <c r="XS4" s="11">
        <f t="shared" ref="XS4:XS15" si="286">IF(SUM(XD4:XG4)-XH4&gt;0,SUM(XD4:XG4)-XH4,"")</f>
        <v>55.63000000000001</v>
      </c>
      <c r="XT4" s="11">
        <f t="shared" ref="XT4:XT15" si="287">IF(SUM(XP4,XS4)&gt;0,SUM(XP4,XS4),"")</f>
        <v>111.67500000000001</v>
      </c>
    </row>
    <row r="5" spans="1:64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25</v>
      </c>
      <c r="C5" s="4" t="s">
        <v>7</v>
      </c>
      <c r="D5" s="4">
        <v>1997</v>
      </c>
      <c r="E5" s="9">
        <f t="shared" si="0"/>
        <v>242.18002415400537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53.21</v>
      </c>
      <c r="K5" s="8" t="str">
        <f t="shared" si="5"/>
        <v>2025 Elite Canada</v>
      </c>
      <c r="L5" s="8">
        <f>IF(COUNT(AQ5,AT5,BR5,BU5,CS5,CV5)&gt;1,LARGE((AQ5,AT5,BR5,BU5,CS5,CV5),2),0)</f>
        <v>52.97</v>
      </c>
      <c r="M5" s="8" t="str">
        <f t="shared" si="6"/>
        <v>2024 3rd Domestic Trial</v>
      </c>
      <c r="N5" s="8">
        <f>IF(COUNT(AQ5,AT5,BR5,BU5,CS5,CV5)&gt;2,LARGE((AQ5,AT5,BR5,BU5,CS5,CV5),3),0)</f>
        <v>52.92</v>
      </c>
      <c r="O5" s="8" t="str">
        <f t="shared" si="7"/>
        <v>2024 Nationals</v>
      </c>
      <c r="P5" s="8">
        <f t="shared" si="8"/>
        <v>53.460000000000008</v>
      </c>
      <c r="Q5" s="8" t="str">
        <f t="shared" si="9"/>
        <v>2024 Nationals</v>
      </c>
      <c r="R5" s="8">
        <f t="shared" si="10"/>
        <v>13.8</v>
      </c>
      <c r="S5" s="8" t="str">
        <f t="shared" si="11"/>
        <v>2024 Nationals</v>
      </c>
      <c r="T5" s="8">
        <f t="shared" si="12"/>
        <v>15.18</v>
      </c>
      <c r="U5" s="8" t="str">
        <f t="shared" si="13"/>
        <v>2024 World Cup POR (July 7)</v>
      </c>
      <c r="V5" s="8">
        <f t="shared" si="14"/>
        <v>0.64000000000000057</v>
      </c>
      <c r="W5" s="11" t="str">
        <f t="shared" si="15"/>
        <v>(Prelim)</v>
      </c>
      <c r="X5" s="8" t="str">
        <f t="shared" si="16"/>
        <v>2024 World Cup GER (Mar 23)</v>
      </c>
      <c r="Y5" s="22">
        <v>3.2</v>
      </c>
      <c r="Z5" s="22">
        <v>1.7</v>
      </c>
      <c r="AA5" s="22">
        <v>3.2</v>
      </c>
      <c r="AB5" s="22">
        <v>3.31</v>
      </c>
      <c r="AC5" s="22">
        <v>0</v>
      </c>
      <c r="AD5" s="22">
        <v>15.3</v>
      </c>
      <c r="AE5" s="22">
        <v>9.1</v>
      </c>
      <c r="AF5" s="22">
        <v>13.8</v>
      </c>
      <c r="AG5" s="22">
        <v>14.72</v>
      </c>
      <c r="AH5" s="22">
        <v>0</v>
      </c>
      <c r="AI5" s="22">
        <v>16.3</v>
      </c>
      <c r="AJ5" s="22">
        <v>8.8000000000000007</v>
      </c>
      <c r="AK5" s="22">
        <v>13.8</v>
      </c>
      <c r="AL5" s="22">
        <v>14.56</v>
      </c>
      <c r="AM5" s="22">
        <v>0</v>
      </c>
      <c r="AN5" s="27"/>
      <c r="AO5" s="38">
        <f t="shared" si="17"/>
        <v>3.2</v>
      </c>
      <c r="AP5" s="38">
        <f t="shared" si="18"/>
        <v>3.31</v>
      </c>
      <c r="AQ5" s="40">
        <f t="shared" si="19"/>
        <v>11.410000000000002</v>
      </c>
      <c r="AR5" s="40">
        <f t="shared" si="20"/>
        <v>13.8</v>
      </c>
      <c r="AS5" s="40">
        <f t="shared" si="21"/>
        <v>14.72</v>
      </c>
      <c r="AT5" s="40">
        <f t="shared" si="22"/>
        <v>52.92</v>
      </c>
      <c r="AU5" s="40">
        <f t="shared" si="23"/>
        <v>52.92</v>
      </c>
      <c r="AV5" s="40">
        <f t="shared" si="24"/>
        <v>13.8</v>
      </c>
      <c r="AW5" s="40">
        <f t="shared" si="25"/>
        <v>14.56</v>
      </c>
      <c r="AX5" s="40">
        <f t="shared" si="26"/>
        <v>53.460000000000008</v>
      </c>
      <c r="AY5" s="40">
        <f t="shared" si="27"/>
        <v>106.38000000000001</v>
      </c>
      <c r="AZ5" s="26">
        <v>2.2999999999999998</v>
      </c>
      <c r="BA5" s="26">
        <v>1.35</v>
      </c>
      <c r="BB5" s="26">
        <v>2.6</v>
      </c>
      <c r="BC5" s="26">
        <v>2.4900000000000002</v>
      </c>
      <c r="BD5" s="26">
        <v>0.1</v>
      </c>
      <c r="BE5" s="26">
        <v>15.85</v>
      </c>
      <c r="BF5" s="26">
        <v>9.1499999999999986</v>
      </c>
      <c r="BG5" s="26">
        <v>12.95</v>
      </c>
      <c r="BH5" s="26">
        <v>15.02</v>
      </c>
      <c r="BI5" s="26">
        <v>0</v>
      </c>
      <c r="BJ5" s="26">
        <v>16.5</v>
      </c>
      <c r="BK5" s="26">
        <v>8.9499999999999993</v>
      </c>
      <c r="BL5" s="26">
        <v>12.8</v>
      </c>
      <c r="BM5" s="26">
        <v>14.895</v>
      </c>
      <c r="BN5" s="26">
        <v>0.1</v>
      </c>
      <c r="BO5" s="28" t="s">
        <v>53</v>
      </c>
      <c r="BP5" s="39">
        <f t="shared" si="28"/>
        <v>2.6</v>
      </c>
      <c r="BQ5" s="39">
        <f t="shared" si="29"/>
        <v>2.4900000000000002</v>
      </c>
      <c r="BR5" s="11">
        <f t="shared" si="30"/>
        <v>8.64</v>
      </c>
      <c r="BS5" s="11">
        <f t="shared" si="31"/>
        <v>12.95</v>
      </c>
      <c r="BT5" s="11">
        <f t="shared" si="32"/>
        <v>15.02</v>
      </c>
      <c r="BU5" s="11">
        <f t="shared" si="33"/>
        <v>52.97</v>
      </c>
      <c r="BV5" s="11">
        <f t="shared" si="34"/>
        <v>52.97</v>
      </c>
      <c r="BW5" s="11">
        <f t="shared" si="35"/>
        <v>12.8</v>
      </c>
      <c r="BX5" s="11">
        <f t="shared" si="36"/>
        <v>14.895</v>
      </c>
      <c r="BY5" s="11">
        <f t="shared" si="37"/>
        <v>53.044999999999995</v>
      </c>
      <c r="BZ5" s="11">
        <f t="shared" si="38"/>
        <v>106.01499999999999</v>
      </c>
      <c r="CA5" s="22">
        <v>15.7</v>
      </c>
      <c r="CB5" s="22">
        <v>9.3000000000000007</v>
      </c>
      <c r="CC5" s="22">
        <v>13.6</v>
      </c>
      <c r="CD5" s="22">
        <v>14.61</v>
      </c>
      <c r="CE5" s="22">
        <v>0</v>
      </c>
      <c r="CF5" s="22">
        <v>3.4</v>
      </c>
      <c r="CG5" s="22">
        <v>2</v>
      </c>
      <c r="CH5" s="22">
        <v>3.3</v>
      </c>
      <c r="CI5" s="22">
        <v>3.23</v>
      </c>
      <c r="CJ5" s="22">
        <v>0</v>
      </c>
      <c r="CK5" s="22">
        <v>15.3</v>
      </c>
      <c r="CL5" s="22">
        <v>9.5</v>
      </c>
      <c r="CM5" s="22">
        <v>13.4</v>
      </c>
      <c r="CN5" s="22">
        <v>14.56</v>
      </c>
      <c r="CO5" s="22">
        <v>0</v>
      </c>
      <c r="CP5" s="27"/>
      <c r="CQ5" s="38">
        <f t="shared" si="39"/>
        <v>13.6</v>
      </c>
      <c r="CR5" s="38">
        <f t="shared" si="40"/>
        <v>14.61</v>
      </c>
      <c r="CS5" s="40">
        <f t="shared" si="41"/>
        <v>53.21</v>
      </c>
      <c r="CT5" s="40">
        <f t="shared" si="42"/>
        <v>3.3</v>
      </c>
      <c r="CU5" s="40">
        <f t="shared" si="43"/>
        <v>3.23</v>
      </c>
      <c r="CV5" s="40">
        <f t="shared" si="44"/>
        <v>11.93</v>
      </c>
      <c r="CW5" s="40">
        <f t="shared" si="45"/>
        <v>53.21</v>
      </c>
      <c r="CX5" s="40">
        <f t="shared" si="46"/>
        <v>13.4</v>
      </c>
      <c r="CY5" s="40">
        <f t="shared" si="47"/>
        <v>14.56</v>
      </c>
      <c r="CZ5" s="40">
        <f t="shared" si="48"/>
        <v>52.760000000000005</v>
      </c>
      <c r="DA5" s="40">
        <f t="shared" si="49"/>
        <v>105.97</v>
      </c>
      <c r="DB5" s="51">
        <f t="shared" si="50"/>
        <v>0.64000000000000057</v>
      </c>
      <c r="DC5" s="51" t="str">
        <f t="shared" si="51"/>
        <v/>
      </c>
      <c r="DD5" s="17">
        <v>15.1</v>
      </c>
      <c r="DE5" s="17">
        <v>9.5</v>
      </c>
      <c r="DF5" s="17">
        <v>13.8</v>
      </c>
      <c r="DG5" s="17">
        <v>15.16</v>
      </c>
      <c r="DH5" s="17">
        <v>0</v>
      </c>
      <c r="DI5" s="17">
        <v>14.4</v>
      </c>
      <c r="DJ5" s="17">
        <v>8.8000000000000007</v>
      </c>
      <c r="DK5" s="17">
        <v>11.9</v>
      </c>
      <c r="DL5" s="17">
        <v>15.04</v>
      </c>
      <c r="DM5" s="17">
        <v>0</v>
      </c>
      <c r="DN5" s="17">
        <v>14.8</v>
      </c>
      <c r="DO5" s="17">
        <v>9</v>
      </c>
      <c r="DP5" s="17">
        <v>12.8</v>
      </c>
      <c r="DQ5" s="17">
        <v>15.11</v>
      </c>
      <c r="DR5" s="17">
        <v>0</v>
      </c>
      <c r="DS5" s="17"/>
      <c r="DT5" s="17"/>
      <c r="DU5" s="17"/>
      <c r="DV5" s="17"/>
      <c r="DW5" s="17"/>
      <c r="DX5" s="40">
        <f t="shared" si="52"/>
        <v>13.8</v>
      </c>
      <c r="DY5" s="40">
        <f t="shared" si="53"/>
        <v>15.16</v>
      </c>
      <c r="DZ5" s="40">
        <f t="shared" si="54"/>
        <v>53.56</v>
      </c>
      <c r="EA5" s="40">
        <f t="shared" si="55"/>
        <v>11.9</v>
      </c>
      <c r="EB5" s="40">
        <f t="shared" si="56"/>
        <v>15.04</v>
      </c>
      <c r="EC5" s="40">
        <f t="shared" si="57"/>
        <v>50.14</v>
      </c>
      <c r="ED5" s="40">
        <f t="shared" si="58"/>
        <v>53.56</v>
      </c>
      <c r="EE5" s="40">
        <f t="shared" si="59"/>
        <v>12.8</v>
      </c>
      <c r="EF5" s="40">
        <f t="shared" si="60"/>
        <v>15.11</v>
      </c>
      <c r="EG5" s="40">
        <f t="shared" si="61"/>
        <v>51.71</v>
      </c>
      <c r="EH5" s="40" t="str">
        <f t="shared" si="62"/>
        <v/>
      </c>
      <c r="EI5" s="40" t="str">
        <f t="shared" si="63"/>
        <v/>
      </c>
      <c r="EJ5" s="40" t="str">
        <f t="shared" si="64"/>
        <v/>
      </c>
      <c r="EK5" s="40">
        <f t="shared" si="65"/>
        <v>105.27000000000001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40" t="str">
        <f t="shared" si="92"/>
        <v/>
      </c>
      <c r="HA5" s="40" t="str">
        <f t="shared" si="93"/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40" t="str">
        <f t="shared" si="120"/>
        <v/>
      </c>
      <c r="JQ5" s="40" t="str">
        <f t="shared" si="121"/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>
        <v>1.6</v>
      </c>
      <c r="LA5" s="17">
        <v>1</v>
      </c>
      <c r="LB5" s="17">
        <v>2</v>
      </c>
      <c r="LC5" s="17">
        <v>1.69</v>
      </c>
      <c r="LD5" s="17">
        <v>0</v>
      </c>
      <c r="LE5" s="17">
        <v>15.2</v>
      </c>
      <c r="LF5" s="17">
        <v>9.4</v>
      </c>
      <c r="LG5" s="17">
        <v>13.6</v>
      </c>
      <c r="LH5" s="17">
        <v>15.18</v>
      </c>
      <c r="LI5" s="17">
        <v>0</v>
      </c>
      <c r="LJ5" s="17">
        <v>15.4</v>
      </c>
      <c r="LK5" s="17">
        <v>9</v>
      </c>
      <c r="LL5" s="17">
        <v>12</v>
      </c>
      <c r="LM5" s="17">
        <v>15.06</v>
      </c>
      <c r="LN5" s="17">
        <v>0</v>
      </c>
      <c r="LO5" s="17"/>
      <c r="LP5" s="17"/>
      <c r="LQ5" s="17"/>
      <c r="LR5" s="17"/>
      <c r="LS5" s="17"/>
      <c r="LT5" s="40">
        <f t="shared" si="136"/>
        <v>2</v>
      </c>
      <c r="LU5" s="40">
        <f t="shared" si="137"/>
        <v>1.69</v>
      </c>
      <c r="LV5" s="40">
        <f t="shared" si="138"/>
        <v>6.2899999999999991</v>
      </c>
      <c r="LW5" s="40">
        <f t="shared" si="139"/>
        <v>13.6</v>
      </c>
      <c r="LX5" s="40">
        <f t="shared" si="140"/>
        <v>15.18</v>
      </c>
      <c r="LY5" s="40">
        <f t="shared" si="141"/>
        <v>53.38</v>
      </c>
      <c r="LZ5" s="40">
        <f t="shared" si="142"/>
        <v>53.38</v>
      </c>
      <c r="MA5" s="40">
        <f t="shared" si="143"/>
        <v>12</v>
      </c>
      <c r="MB5" s="40">
        <f t="shared" si="144"/>
        <v>15.06</v>
      </c>
      <c r="MC5" s="40">
        <f t="shared" si="145"/>
        <v>51.46</v>
      </c>
      <c r="MD5" s="40" t="str">
        <f t="shared" si="146"/>
        <v/>
      </c>
      <c r="ME5" s="40" t="str">
        <f t="shared" si="147"/>
        <v/>
      </c>
      <c r="MF5" s="40" t="str">
        <f t="shared" si="148"/>
        <v/>
      </c>
      <c r="MG5" s="40">
        <f t="shared" si="149"/>
        <v>104.84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 t="str">
        <f t="shared" si="163"/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40" t="str">
        <f t="shared" si="176"/>
        <v/>
      </c>
      <c r="OW5" s="40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40" t="str">
        <f t="shared" si="204"/>
        <v/>
      </c>
      <c r="RM5" s="40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 t="shared" si="220"/>
        <v/>
      </c>
      <c r="TQ5" s="40" t="str">
        <f t="shared" si="221"/>
        <v/>
      </c>
      <c r="TR5" s="40" t="str">
        <f t="shared" si="222"/>
        <v/>
      </c>
      <c r="TS5" s="40" t="str">
        <f t="shared" si="223"/>
        <v/>
      </c>
      <c r="TT5" s="40" t="str">
        <f t="shared" si="224"/>
        <v/>
      </c>
      <c r="TU5" s="40" t="str">
        <f t="shared" si="225"/>
        <v/>
      </c>
      <c r="TV5" s="40" t="str">
        <f t="shared" si="226"/>
        <v/>
      </c>
      <c r="TW5" s="40" t="str">
        <f t="shared" si="227"/>
        <v/>
      </c>
      <c r="TX5" s="40" t="str">
        <f t="shared" si="228"/>
        <v/>
      </c>
      <c r="TY5" s="40" t="str">
        <f t="shared" si="229"/>
        <v/>
      </c>
      <c r="TZ5" s="40" t="str">
        <f t="shared" si="230"/>
        <v/>
      </c>
      <c r="UA5" s="40" t="str">
        <f t="shared" si="231"/>
        <v/>
      </c>
      <c r="UB5" s="40" t="str">
        <f t="shared" si="232"/>
        <v/>
      </c>
      <c r="UC5" s="40" t="str">
        <f t="shared" si="233"/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 t="shared" si="234"/>
        <v/>
      </c>
      <c r="UY5" s="11" t="str">
        <f t="shared" si="235"/>
        <v/>
      </c>
      <c r="UZ5" s="11" t="str">
        <f t="shared" si="236"/>
        <v/>
      </c>
      <c r="VA5" s="11" t="str">
        <f t="shared" si="237"/>
        <v/>
      </c>
      <c r="VB5" s="11" t="str">
        <f t="shared" si="238"/>
        <v/>
      </c>
      <c r="VC5" s="11" t="str">
        <f t="shared" si="239"/>
        <v/>
      </c>
      <c r="VD5" s="11" t="str">
        <f t="shared" si="240"/>
        <v/>
      </c>
      <c r="VE5" s="11" t="str">
        <f t="shared" si="241"/>
        <v/>
      </c>
      <c r="VF5" s="11" t="str">
        <f t="shared" si="242"/>
        <v/>
      </c>
      <c r="VG5" s="11" t="str">
        <f t="shared" si="243"/>
        <v/>
      </c>
      <c r="VH5" s="11" t="str">
        <f t="shared" si="244"/>
        <v/>
      </c>
      <c r="VI5" s="11" t="str">
        <f t="shared" si="245"/>
        <v/>
      </c>
      <c r="VJ5" s="11" t="str">
        <f t="shared" si="246"/>
        <v/>
      </c>
      <c r="VK5" s="11" t="str">
        <f t="shared" si="247"/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 t="shared" si="248"/>
        <v/>
      </c>
      <c r="WG5" s="40" t="str">
        <f t="shared" si="249"/>
        <v/>
      </c>
      <c r="WH5" s="40" t="str">
        <f t="shared" si="250"/>
        <v/>
      </c>
      <c r="WI5" s="40" t="str">
        <f t="shared" si="251"/>
        <v/>
      </c>
      <c r="WJ5" s="40" t="str">
        <f t="shared" si="252"/>
        <v/>
      </c>
      <c r="WK5" s="40" t="str">
        <f t="shared" si="253"/>
        <v/>
      </c>
      <c r="WL5" s="40" t="str">
        <f t="shared" si="254"/>
        <v/>
      </c>
      <c r="WM5" s="40" t="str">
        <f t="shared" si="255"/>
        <v/>
      </c>
      <c r="WN5" s="40" t="str">
        <f t="shared" si="256"/>
        <v/>
      </c>
      <c r="WO5" s="40" t="str">
        <f t="shared" si="257"/>
        <v/>
      </c>
      <c r="WP5" s="40" t="str">
        <f t="shared" si="258"/>
        <v/>
      </c>
      <c r="WQ5" s="40" t="str">
        <f t="shared" si="259"/>
        <v/>
      </c>
      <c r="WR5" s="40" t="str">
        <f t="shared" si="260"/>
        <v/>
      </c>
      <c r="WS5" s="40" t="str">
        <f t="shared" si="261"/>
        <v/>
      </c>
      <c r="WT5" s="26">
        <f t="shared" si="262"/>
        <v>9</v>
      </c>
      <c r="WU5" s="26">
        <f t="shared" si="263"/>
        <v>5.3250000000000002</v>
      </c>
      <c r="WV5" s="26">
        <f t="shared" si="264"/>
        <v>8.1</v>
      </c>
      <c r="WW5" s="26">
        <f t="shared" si="265"/>
        <v>8.5500000000000007</v>
      </c>
      <c r="WX5" s="26">
        <f t="shared" si="266"/>
        <v>0.05</v>
      </c>
      <c r="WY5" s="26">
        <f t="shared" si="267"/>
        <v>9.625</v>
      </c>
      <c r="WZ5" s="26">
        <f t="shared" si="268"/>
        <v>5.5749999999999993</v>
      </c>
      <c r="XA5" s="26">
        <f t="shared" si="269"/>
        <v>8.125</v>
      </c>
      <c r="XB5" s="26">
        <f t="shared" si="270"/>
        <v>9.125</v>
      </c>
      <c r="XC5" s="26">
        <f t="shared" si="271"/>
        <v>0</v>
      </c>
      <c r="XD5" s="26">
        <f t="shared" si="272"/>
        <v>15.9</v>
      </c>
      <c r="XE5" s="26">
        <f t="shared" si="273"/>
        <v>9.2249999999999996</v>
      </c>
      <c r="XF5" s="26">
        <f t="shared" si="274"/>
        <v>13.100000000000001</v>
      </c>
      <c r="XG5" s="26">
        <f t="shared" si="275"/>
        <v>14.727499999999999</v>
      </c>
      <c r="XH5" s="26">
        <f t="shared" si="276"/>
        <v>0.05</v>
      </c>
      <c r="XI5" s="28" t="s">
        <v>53</v>
      </c>
      <c r="XJ5" s="11">
        <f t="shared" si="277"/>
        <v>8.1</v>
      </c>
      <c r="XK5" s="11">
        <f t="shared" si="278"/>
        <v>8.5500000000000007</v>
      </c>
      <c r="XL5" s="11">
        <f t="shared" si="279"/>
        <v>30.924999999999997</v>
      </c>
      <c r="XM5" s="11">
        <f t="shared" si="280"/>
        <v>8.125</v>
      </c>
      <c r="XN5" s="11">
        <f t="shared" si="281"/>
        <v>9.125</v>
      </c>
      <c r="XO5" s="11">
        <f t="shared" si="282"/>
        <v>32.450000000000003</v>
      </c>
      <c r="XP5" s="11">
        <f t="shared" si="283"/>
        <v>32.450000000000003</v>
      </c>
      <c r="XQ5" s="11">
        <f t="shared" si="284"/>
        <v>13.100000000000001</v>
      </c>
      <c r="XR5" s="11">
        <f t="shared" si="285"/>
        <v>14.727499999999999</v>
      </c>
      <c r="XS5" s="11">
        <f t="shared" si="286"/>
        <v>52.902500000000003</v>
      </c>
      <c r="XT5" s="11">
        <f t="shared" si="287"/>
        <v>85.352500000000006</v>
      </c>
    </row>
    <row r="6" spans="1:64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138</v>
      </c>
      <c r="C6" s="4" t="s">
        <v>3</v>
      </c>
      <c r="D6" s="4">
        <v>2004</v>
      </c>
      <c r="E6" s="9">
        <f t="shared" si="0"/>
        <v>239.99002371700533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53.07</v>
      </c>
      <c r="K6" s="8" t="str">
        <f t="shared" si="5"/>
        <v>2024 Nationals</v>
      </c>
      <c r="L6" s="8">
        <f>IF(COUNT(AQ6,AT6,BR6,BU6,CS6,CV6)&gt;1,LARGE((AQ6,AT6,BR6,BU6,CS6,CV6),2),0)</f>
        <v>52.29</v>
      </c>
      <c r="M6" s="8" t="str">
        <f t="shared" si="6"/>
        <v>2024 Nationals</v>
      </c>
      <c r="N6" s="8">
        <f>IF(COUNT(AQ6,AT6,BR6,BU6,CS6,CV6)&gt;2,LARGE((AQ6,AT6,BR6,BU6,CS6,CV6),3),0)</f>
        <v>51.150000000000006</v>
      </c>
      <c r="O6" s="8" t="str">
        <f t="shared" si="7"/>
        <v>2025 Elite Canada</v>
      </c>
      <c r="P6" s="8">
        <f t="shared" si="8"/>
        <v>50.89</v>
      </c>
      <c r="Q6" s="8" t="str">
        <f t="shared" si="9"/>
        <v>2025 Elite Canada</v>
      </c>
      <c r="R6" s="8">
        <f t="shared" si="10"/>
        <v>14.3</v>
      </c>
      <c r="S6" s="8" t="str">
        <f t="shared" si="11"/>
        <v>2025 Elite Canada</v>
      </c>
      <c r="T6" s="8">
        <f t="shared" si="12"/>
        <v>15.47</v>
      </c>
      <c r="U6" s="8" t="str">
        <f t="shared" si="13"/>
        <v>2024 World Cup POR (July 7)</v>
      </c>
      <c r="V6" s="8">
        <f t="shared" si="14"/>
        <v>2.8200000000000074</v>
      </c>
      <c r="W6" s="11" t="str">
        <f t="shared" si="15"/>
        <v>(Final)</v>
      </c>
      <c r="X6" s="8" t="str">
        <f t="shared" si="16"/>
        <v>2024 World Cup POR (July 7)</v>
      </c>
      <c r="Y6" s="22">
        <v>14.7</v>
      </c>
      <c r="Z6" s="22">
        <v>9</v>
      </c>
      <c r="AA6" s="22">
        <v>13.8</v>
      </c>
      <c r="AB6" s="22">
        <v>14.79</v>
      </c>
      <c r="AC6" s="22">
        <v>0</v>
      </c>
      <c r="AD6" s="22">
        <v>15</v>
      </c>
      <c r="AE6" s="22">
        <v>9.4</v>
      </c>
      <c r="AF6" s="22">
        <v>13.8</v>
      </c>
      <c r="AG6" s="22">
        <v>14.87</v>
      </c>
      <c r="AH6" s="22">
        <v>0</v>
      </c>
      <c r="AI6" s="22">
        <v>7.1</v>
      </c>
      <c r="AJ6" s="22">
        <v>4.7</v>
      </c>
      <c r="AK6" s="22">
        <v>7.2</v>
      </c>
      <c r="AL6" s="22">
        <v>7.7</v>
      </c>
      <c r="AM6" s="22">
        <v>0</v>
      </c>
      <c r="AN6" s="27"/>
      <c r="AO6" s="38">
        <f t="shared" si="17"/>
        <v>13.8</v>
      </c>
      <c r="AP6" s="38">
        <f t="shared" si="18"/>
        <v>14.79</v>
      </c>
      <c r="AQ6" s="40">
        <f t="shared" si="19"/>
        <v>52.29</v>
      </c>
      <c r="AR6" s="40">
        <f t="shared" si="20"/>
        <v>13.8</v>
      </c>
      <c r="AS6" s="40">
        <f t="shared" si="21"/>
        <v>14.87</v>
      </c>
      <c r="AT6" s="40">
        <f t="shared" si="22"/>
        <v>53.07</v>
      </c>
      <c r="AU6" s="40">
        <f t="shared" si="23"/>
        <v>53.07</v>
      </c>
      <c r="AV6" s="40">
        <f t="shared" si="24"/>
        <v>7.2</v>
      </c>
      <c r="AW6" s="40">
        <f t="shared" si="25"/>
        <v>7.7</v>
      </c>
      <c r="AX6" s="40">
        <f t="shared" si="26"/>
        <v>26.7</v>
      </c>
      <c r="AY6" s="40">
        <f t="shared" si="27"/>
        <v>79.77</v>
      </c>
      <c r="AZ6" s="26">
        <v>9.3999999999999986</v>
      </c>
      <c r="BA6" s="26">
        <v>5.75</v>
      </c>
      <c r="BB6" s="26">
        <v>9.25</v>
      </c>
      <c r="BC6" s="26">
        <v>9.6649999999999991</v>
      </c>
      <c r="BD6" s="26">
        <v>0</v>
      </c>
      <c r="BE6" s="26">
        <v>12.45</v>
      </c>
      <c r="BF6" s="26">
        <v>9.3000000000000007</v>
      </c>
      <c r="BG6" s="26">
        <v>13.3</v>
      </c>
      <c r="BH6" s="26">
        <v>14.62</v>
      </c>
      <c r="BI6" s="26">
        <v>0</v>
      </c>
      <c r="BJ6" s="26">
        <v>10.5</v>
      </c>
      <c r="BK6" s="26">
        <v>6.85</v>
      </c>
      <c r="BL6" s="26">
        <v>10.6</v>
      </c>
      <c r="BM6" s="26">
        <v>11.315</v>
      </c>
      <c r="BN6" s="26">
        <v>0</v>
      </c>
      <c r="BO6" s="28" t="s">
        <v>53</v>
      </c>
      <c r="BP6" s="39">
        <f t="shared" si="28"/>
        <v>9.25</v>
      </c>
      <c r="BQ6" s="39">
        <f t="shared" si="29"/>
        <v>9.6649999999999991</v>
      </c>
      <c r="BR6" s="11">
        <f t="shared" si="30"/>
        <v>34.064999999999998</v>
      </c>
      <c r="BS6" s="11">
        <f t="shared" si="31"/>
        <v>13.3</v>
      </c>
      <c r="BT6" s="11">
        <f t="shared" si="32"/>
        <v>14.62</v>
      </c>
      <c r="BU6" s="11">
        <f t="shared" si="33"/>
        <v>49.669999999999995</v>
      </c>
      <c r="BV6" s="11">
        <f t="shared" si="34"/>
        <v>49.669999999999995</v>
      </c>
      <c r="BW6" s="11">
        <f t="shared" si="35"/>
        <v>10.6</v>
      </c>
      <c r="BX6" s="11">
        <f t="shared" si="36"/>
        <v>11.315</v>
      </c>
      <c r="BY6" s="11">
        <f t="shared" si="37"/>
        <v>39.265000000000001</v>
      </c>
      <c r="BZ6" s="11">
        <f t="shared" si="38"/>
        <v>88.935000000000002</v>
      </c>
      <c r="CA6" s="22">
        <v>14</v>
      </c>
      <c r="CB6" s="22">
        <v>8.6999999999999993</v>
      </c>
      <c r="CC6" s="22">
        <v>13.9</v>
      </c>
      <c r="CD6" s="22">
        <v>14.55</v>
      </c>
      <c r="CE6" s="22">
        <v>0</v>
      </c>
      <c r="CF6" s="22">
        <v>1.4</v>
      </c>
      <c r="CG6" s="22">
        <v>0.9</v>
      </c>
      <c r="CH6" s="22">
        <v>2</v>
      </c>
      <c r="CI6" s="22">
        <v>1.55</v>
      </c>
      <c r="CJ6" s="22">
        <v>0</v>
      </c>
      <c r="CK6" s="22">
        <v>12.5</v>
      </c>
      <c r="CL6" s="22">
        <v>9.3000000000000007</v>
      </c>
      <c r="CM6" s="22">
        <v>14.3</v>
      </c>
      <c r="CN6" s="22">
        <v>14.79</v>
      </c>
      <c r="CO6" s="22">
        <v>0</v>
      </c>
      <c r="CP6" s="27"/>
      <c r="CQ6" s="38">
        <f t="shared" si="39"/>
        <v>13.9</v>
      </c>
      <c r="CR6" s="38">
        <f t="shared" si="40"/>
        <v>14.55</v>
      </c>
      <c r="CS6" s="40">
        <f t="shared" si="41"/>
        <v>51.150000000000006</v>
      </c>
      <c r="CT6" s="40">
        <f t="shared" si="42"/>
        <v>2</v>
      </c>
      <c r="CU6" s="40">
        <f t="shared" si="43"/>
        <v>1.55</v>
      </c>
      <c r="CV6" s="40">
        <f t="shared" si="44"/>
        <v>5.85</v>
      </c>
      <c r="CW6" s="40">
        <f t="shared" si="45"/>
        <v>51.150000000000006</v>
      </c>
      <c r="CX6" s="40">
        <f t="shared" si="46"/>
        <v>14.3</v>
      </c>
      <c r="CY6" s="40">
        <f t="shared" si="47"/>
        <v>14.79</v>
      </c>
      <c r="CZ6" s="40">
        <f t="shared" si="48"/>
        <v>50.89</v>
      </c>
      <c r="DA6" s="40">
        <f t="shared" si="49"/>
        <v>102.04</v>
      </c>
      <c r="DB6" s="51">
        <f t="shared" si="50"/>
        <v>2.019999999999996</v>
      </c>
      <c r="DC6" s="51">
        <f t="shared" si="51"/>
        <v>2.8200000000000074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52"/>
        <v/>
      </c>
      <c r="DY6" s="40" t="str">
        <f t="shared" si="53"/>
        <v/>
      </c>
      <c r="DZ6" s="40" t="str">
        <f t="shared" si="54"/>
        <v/>
      </c>
      <c r="EA6" s="40" t="str">
        <f t="shared" si="55"/>
        <v/>
      </c>
      <c r="EB6" s="40" t="str">
        <f t="shared" si="56"/>
        <v/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 t="str">
        <f t="shared" si="63"/>
        <v/>
      </c>
      <c r="EJ6" s="40" t="str">
        <f t="shared" si="64"/>
        <v/>
      </c>
      <c r="EK6" s="40" t="str">
        <f t="shared" si="65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>
        <v>13.2</v>
      </c>
      <c r="FU6" s="17">
        <v>9.1999999999999993</v>
      </c>
      <c r="FV6" s="17">
        <v>13.8</v>
      </c>
      <c r="FW6" s="17">
        <v>14.65</v>
      </c>
      <c r="FX6" s="17">
        <v>0</v>
      </c>
      <c r="FY6" s="17">
        <v>13.4</v>
      </c>
      <c r="FZ6" s="17">
        <v>9.1999999999999993</v>
      </c>
      <c r="GA6" s="17">
        <v>13.8</v>
      </c>
      <c r="GB6" s="17">
        <v>14.65</v>
      </c>
      <c r="GC6" s="17">
        <v>0</v>
      </c>
      <c r="GD6" s="17">
        <v>13.7</v>
      </c>
      <c r="GE6" s="17">
        <v>9.1</v>
      </c>
      <c r="GF6" s="17">
        <v>12.8</v>
      </c>
      <c r="GG6" s="17">
        <v>14.77</v>
      </c>
      <c r="GH6" s="17">
        <v>0</v>
      </c>
      <c r="GI6" s="17">
        <v>13.4</v>
      </c>
      <c r="GJ6" s="17">
        <v>9.3000000000000007</v>
      </c>
      <c r="GK6" s="17">
        <v>13.8</v>
      </c>
      <c r="GL6" s="17">
        <v>14.69</v>
      </c>
      <c r="GM6" s="17">
        <v>0</v>
      </c>
      <c r="GN6" s="40">
        <f t="shared" si="80"/>
        <v>13.8</v>
      </c>
      <c r="GO6" s="40">
        <f t="shared" si="81"/>
        <v>14.65</v>
      </c>
      <c r="GP6" s="40">
        <f t="shared" si="82"/>
        <v>50.85</v>
      </c>
      <c r="GQ6" s="40">
        <f t="shared" si="83"/>
        <v>13.8</v>
      </c>
      <c r="GR6" s="40">
        <f t="shared" si="84"/>
        <v>14.65</v>
      </c>
      <c r="GS6" s="40">
        <f t="shared" si="85"/>
        <v>51.050000000000004</v>
      </c>
      <c r="GT6" s="40">
        <f t="shared" si="86"/>
        <v>51.050000000000004</v>
      </c>
      <c r="GU6" s="40">
        <f t="shared" si="87"/>
        <v>12.8</v>
      </c>
      <c r="GV6" s="40">
        <f t="shared" si="88"/>
        <v>14.77</v>
      </c>
      <c r="GW6" s="40">
        <f t="shared" si="89"/>
        <v>50.36999999999999</v>
      </c>
      <c r="GX6" s="40">
        <f t="shared" si="90"/>
        <v>13.8</v>
      </c>
      <c r="GY6" s="40">
        <f t="shared" si="91"/>
        <v>14.69</v>
      </c>
      <c r="GZ6" s="40">
        <f t="shared" si="92"/>
        <v>51.19</v>
      </c>
      <c r="HA6" s="40">
        <f t="shared" si="93"/>
        <v>152.60999999999999</v>
      </c>
      <c r="HB6" s="18">
        <v>1.4</v>
      </c>
      <c r="HC6" s="18">
        <v>0.8</v>
      </c>
      <c r="HD6" s="18">
        <v>2</v>
      </c>
      <c r="HE6" s="18">
        <v>1.58</v>
      </c>
      <c r="HF6" s="18">
        <v>0</v>
      </c>
      <c r="HG6" s="18">
        <v>13.9</v>
      </c>
      <c r="HH6" s="18">
        <v>9.1999999999999993</v>
      </c>
      <c r="HI6" s="18">
        <v>13.8</v>
      </c>
      <c r="HJ6" s="18">
        <v>14.68</v>
      </c>
      <c r="HK6" s="18">
        <v>0</v>
      </c>
      <c r="HL6" s="18"/>
      <c r="HM6" s="18"/>
      <c r="HN6" s="18"/>
      <c r="HO6" s="18"/>
      <c r="HP6" s="18"/>
      <c r="HQ6" s="18">
        <v>6.5</v>
      </c>
      <c r="HR6" s="18">
        <v>4.5999999999999996</v>
      </c>
      <c r="HS6" s="18">
        <v>7.4</v>
      </c>
      <c r="HT6" s="18">
        <v>7.61</v>
      </c>
      <c r="HU6" s="18">
        <v>0</v>
      </c>
      <c r="HV6" s="11">
        <f t="shared" si="94"/>
        <v>2</v>
      </c>
      <c r="HW6" s="11">
        <f t="shared" si="95"/>
        <v>1.58</v>
      </c>
      <c r="HX6" s="11">
        <f t="shared" si="96"/>
        <v>5.78</v>
      </c>
      <c r="HY6" s="11">
        <f t="shared" si="97"/>
        <v>13.8</v>
      </c>
      <c r="HZ6" s="11">
        <f t="shared" si="98"/>
        <v>14.68</v>
      </c>
      <c r="IA6" s="11">
        <f t="shared" si="99"/>
        <v>51.580000000000005</v>
      </c>
      <c r="IB6" s="11">
        <f t="shared" si="100"/>
        <v>51.580000000000005</v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>
        <f t="shared" si="104"/>
        <v>7.4</v>
      </c>
      <c r="IG6" s="11">
        <f t="shared" si="105"/>
        <v>7.61</v>
      </c>
      <c r="IH6" s="11">
        <f t="shared" si="106"/>
        <v>26.11</v>
      </c>
      <c r="II6" s="11">
        <f t="shared" si="107"/>
        <v>77.69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40" t="str">
        <f t="shared" si="120"/>
        <v/>
      </c>
      <c r="JQ6" s="40" t="str">
        <f t="shared" si="121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>
        <v>14.3</v>
      </c>
      <c r="LA6" s="17">
        <v>9.6</v>
      </c>
      <c r="LB6" s="17">
        <v>13.8</v>
      </c>
      <c r="LC6" s="17">
        <v>15.47</v>
      </c>
      <c r="LD6" s="17">
        <v>0</v>
      </c>
      <c r="LE6" s="17">
        <v>14.1</v>
      </c>
      <c r="LF6" s="17">
        <v>9.5</v>
      </c>
      <c r="LG6" s="17">
        <v>13.8</v>
      </c>
      <c r="LH6" s="17">
        <v>15.23</v>
      </c>
      <c r="LI6" s="17">
        <v>0</v>
      </c>
      <c r="LJ6" s="17">
        <v>15.3</v>
      </c>
      <c r="LK6" s="17">
        <v>9.3000000000000007</v>
      </c>
      <c r="LL6" s="17">
        <v>13.8</v>
      </c>
      <c r="LM6" s="17">
        <v>15.31</v>
      </c>
      <c r="LN6" s="17">
        <v>0</v>
      </c>
      <c r="LO6" s="17"/>
      <c r="LP6" s="17"/>
      <c r="LQ6" s="17"/>
      <c r="LR6" s="17"/>
      <c r="LS6" s="17"/>
      <c r="LT6" s="40">
        <f t="shared" si="136"/>
        <v>13.8</v>
      </c>
      <c r="LU6" s="40">
        <f t="shared" si="137"/>
        <v>15.47</v>
      </c>
      <c r="LV6" s="40">
        <f t="shared" si="138"/>
        <v>53.17</v>
      </c>
      <c r="LW6" s="40">
        <f t="shared" si="139"/>
        <v>13.8</v>
      </c>
      <c r="LX6" s="40">
        <f t="shared" si="140"/>
        <v>15.23</v>
      </c>
      <c r="LY6" s="40">
        <f t="shared" si="141"/>
        <v>52.63000000000001</v>
      </c>
      <c r="LZ6" s="40">
        <f t="shared" si="142"/>
        <v>53.17</v>
      </c>
      <c r="MA6" s="40">
        <f t="shared" si="143"/>
        <v>13.8</v>
      </c>
      <c r="MB6" s="40">
        <f t="shared" si="144"/>
        <v>15.31</v>
      </c>
      <c r="MC6" s="40">
        <f t="shared" si="145"/>
        <v>53.710000000000008</v>
      </c>
      <c r="MD6" s="40" t="str">
        <f t="shared" si="146"/>
        <v/>
      </c>
      <c r="ME6" s="40" t="str">
        <f t="shared" si="147"/>
        <v/>
      </c>
      <c r="MF6" s="40" t="str">
        <f t="shared" si="148"/>
        <v/>
      </c>
      <c r="MG6" s="40">
        <f t="shared" si="149"/>
        <v>106.88000000000001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40" t="str">
        <f t="shared" si="176"/>
        <v/>
      </c>
      <c r="OW6" s="40" t="str">
        <f t="shared" si="177"/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 t="str">
        <f t="shared" si="191"/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40" t="str">
        <f t="shared" si="204"/>
        <v/>
      </c>
      <c r="RM6" s="40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 t="shared" si="220"/>
        <v/>
      </c>
      <c r="TQ6" s="40" t="str">
        <f t="shared" si="221"/>
        <v/>
      </c>
      <c r="TR6" s="40" t="str">
        <f t="shared" si="222"/>
        <v/>
      </c>
      <c r="TS6" s="40" t="str">
        <f t="shared" si="223"/>
        <v/>
      </c>
      <c r="TT6" s="40" t="str">
        <f t="shared" si="224"/>
        <v/>
      </c>
      <c r="TU6" s="40" t="str">
        <f t="shared" si="225"/>
        <v/>
      </c>
      <c r="TV6" s="40" t="str">
        <f t="shared" si="226"/>
        <v/>
      </c>
      <c r="TW6" s="40" t="str">
        <f t="shared" si="227"/>
        <v/>
      </c>
      <c r="TX6" s="40" t="str">
        <f t="shared" si="228"/>
        <v/>
      </c>
      <c r="TY6" s="40" t="str">
        <f t="shared" si="229"/>
        <v/>
      </c>
      <c r="TZ6" s="40" t="str">
        <f t="shared" si="230"/>
        <v/>
      </c>
      <c r="UA6" s="40" t="str">
        <f t="shared" si="231"/>
        <v/>
      </c>
      <c r="UB6" s="40" t="str">
        <f t="shared" si="232"/>
        <v/>
      </c>
      <c r="UC6" s="40" t="str">
        <f t="shared" si="233"/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 t="shared" si="234"/>
        <v/>
      </c>
      <c r="UY6" s="11" t="str">
        <f t="shared" si="235"/>
        <v/>
      </c>
      <c r="UZ6" s="11" t="str">
        <f t="shared" si="236"/>
        <v/>
      </c>
      <c r="VA6" s="11" t="str">
        <f t="shared" si="237"/>
        <v/>
      </c>
      <c r="VB6" s="11" t="str">
        <f t="shared" si="238"/>
        <v/>
      </c>
      <c r="VC6" s="11" t="str">
        <f t="shared" si="239"/>
        <v/>
      </c>
      <c r="VD6" s="11" t="str">
        <f t="shared" si="240"/>
        <v/>
      </c>
      <c r="VE6" s="11" t="str">
        <f t="shared" si="241"/>
        <v/>
      </c>
      <c r="VF6" s="11" t="str">
        <f t="shared" si="242"/>
        <v/>
      </c>
      <c r="VG6" s="11" t="str">
        <f t="shared" si="243"/>
        <v/>
      </c>
      <c r="VH6" s="11" t="str">
        <f t="shared" si="244"/>
        <v/>
      </c>
      <c r="VI6" s="11" t="str">
        <f t="shared" si="245"/>
        <v/>
      </c>
      <c r="VJ6" s="11" t="str">
        <f t="shared" si="246"/>
        <v/>
      </c>
      <c r="VK6" s="11" t="str">
        <f t="shared" si="247"/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 t="shared" si="248"/>
        <v/>
      </c>
      <c r="WG6" s="40" t="str">
        <f t="shared" si="249"/>
        <v/>
      </c>
      <c r="WH6" s="40" t="str">
        <f t="shared" si="250"/>
        <v/>
      </c>
      <c r="WI6" s="40" t="str">
        <f t="shared" si="251"/>
        <v/>
      </c>
      <c r="WJ6" s="40" t="str">
        <f t="shared" si="252"/>
        <v/>
      </c>
      <c r="WK6" s="40" t="str">
        <f t="shared" si="253"/>
        <v/>
      </c>
      <c r="WL6" s="40" t="str">
        <f t="shared" si="254"/>
        <v/>
      </c>
      <c r="WM6" s="40" t="str">
        <f t="shared" si="255"/>
        <v/>
      </c>
      <c r="WN6" s="40" t="str">
        <f t="shared" si="256"/>
        <v/>
      </c>
      <c r="WO6" s="40" t="str">
        <f t="shared" si="257"/>
        <v/>
      </c>
      <c r="WP6" s="40" t="str">
        <f t="shared" si="258"/>
        <v/>
      </c>
      <c r="WQ6" s="40" t="str">
        <f t="shared" si="259"/>
        <v/>
      </c>
      <c r="WR6" s="40" t="str">
        <f t="shared" si="260"/>
        <v/>
      </c>
      <c r="WS6" s="40" t="str">
        <f t="shared" si="261"/>
        <v/>
      </c>
      <c r="WT6" s="26">
        <f t="shared" si="262"/>
        <v>11.7</v>
      </c>
      <c r="WU6" s="26">
        <f t="shared" si="263"/>
        <v>7.2249999999999996</v>
      </c>
      <c r="WV6" s="26">
        <f t="shared" si="264"/>
        <v>11.574999999999999</v>
      </c>
      <c r="WW6" s="26">
        <f t="shared" si="265"/>
        <v>12.1075</v>
      </c>
      <c r="WX6" s="26">
        <f t="shared" si="266"/>
        <v>0</v>
      </c>
      <c r="WY6" s="26">
        <f t="shared" si="267"/>
        <v>6.9249999999999998</v>
      </c>
      <c r="WZ6" s="26">
        <f t="shared" si="268"/>
        <v>5.1000000000000005</v>
      </c>
      <c r="XA6" s="26">
        <f t="shared" si="269"/>
        <v>7.65</v>
      </c>
      <c r="XB6" s="26">
        <f t="shared" si="270"/>
        <v>8.0849999999999991</v>
      </c>
      <c r="XC6" s="26">
        <f t="shared" si="271"/>
        <v>0</v>
      </c>
      <c r="XD6" s="26">
        <f t="shared" si="272"/>
        <v>11.5</v>
      </c>
      <c r="XE6" s="26">
        <f t="shared" si="273"/>
        <v>8.0749999999999993</v>
      </c>
      <c r="XF6" s="26">
        <f t="shared" si="274"/>
        <v>12.45</v>
      </c>
      <c r="XG6" s="26">
        <f t="shared" si="275"/>
        <v>13.052499999999998</v>
      </c>
      <c r="XH6" s="26">
        <f t="shared" si="276"/>
        <v>0</v>
      </c>
      <c r="XI6" s="28" t="s">
        <v>53</v>
      </c>
      <c r="XJ6" s="11">
        <f t="shared" si="277"/>
        <v>11.574999999999999</v>
      </c>
      <c r="XK6" s="11">
        <f t="shared" si="278"/>
        <v>12.1075</v>
      </c>
      <c r="XL6" s="11">
        <f t="shared" si="279"/>
        <v>42.607499999999995</v>
      </c>
      <c r="XM6" s="11">
        <f t="shared" si="280"/>
        <v>7.65</v>
      </c>
      <c r="XN6" s="11">
        <f t="shared" si="281"/>
        <v>8.0849999999999991</v>
      </c>
      <c r="XO6" s="11">
        <f t="shared" si="282"/>
        <v>27.759999999999998</v>
      </c>
      <c r="XP6" s="11">
        <f t="shared" si="283"/>
        <v>42.607499999999995</v>
      </c>
      <c r="XQ6" s="11">
        <f t="shared" si="284"/>
        <v>12.45</v>
      </c>
      <c r="XR6" s="11">
        <f t="shared" si="285"/>
        <v>13.052499999999998</v>
      </c>
      <c r="XS6" s="11">
        <f t="shared" si="286"/>
        <v>45.077500000000001</v>
      </c>
      <c r="XT6" s="11">
        <f t="shared" si="287"/>
        <v>87.685000000000002</v>
      </c>
    </row>
    <row r="7" spans="1:64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117</v>
      </c>
      <c r="C7" s="4" t="s">
        <v>3</v>
      </c>
      <c r="D7" s="4">
        <v>2001</v>
      </c>
      <c r="E7" s="9">
        <f t="shared" si="0"/>
        <v>238.43002378700535</v>
      </c>
      <c r="F7" s="3" t="str">
        <f t="shared" si="1"/>
        <v>P</v>
      </c>
      <c r="G7" s="3" t="str">
        <f t="shared" si="2"/>
        <v>P</v>
      </c>
      <c r="H7" s="36" t="str">
        <f t="shared" si="3"/>
        <v>Worlds Team</v>
      </c>
      <c r="I7" s="3" t="str">
        <f t="shared" si="4"/>
        <v>P</v>
      </c>
      <c r="J7" s="8">
        <f>IF(COUNT(AQ7,AT7,BR7,BU7,CS7,CV7)&gt;0,LARGE((AQ7,AT7,BR7,BU7,CS7,CV7),1),0)</f>
        <v>53.55</v>
      </c>
      <c r="K7" s="8" t="str">
        <f t="shared" si="5"/>
        <v>2025 Elite Canada</v>
      </c>
      <c r="L7" s="8">
        <f>IF(COUNT(AQ7,AT7,BR7,BU7,CS7,CV7)&gt;1,LARGE((AQ7,AT7,BR7,BU7,CS7,CV7),2),0)</f>
        <v>52.609999999999992</v>
      </c>
      <c r="M7" s="8" t="str">
        <f t="shared" si="6"/>
        <v>2025 Elite Canada</v>
      </c>
      <c r="N7" s="8">
        <f>IF(COUNT(AQ7,AT7,BR7,BU7,CS7,CV7)&gt;2,LARGE((AQ7,AT7,BR7,BU7,CS7,CV7),3),0)</f>
        <v>50.339999999999996</v>
      </c>
      <c r="O7" s="8" t="str">
        <f t="shared" si="7"/>
        <v>2024 3rd Domestic Trial</v>
      </c>
      <c r="P7" s="8">
        <f t="shared" si="8"/>
        <v>52.160000000000004</v>
      </c>
      <c r="Q7" s="8" t="str">
        <f t="shared" si="9"/>
        <v>2025 Elite Canada</v>
      </c>
      <c r="R7" s="8">
        <f t="shared" si="10"/>
        <v>14.3</v>
      </c>
      <c r="S7" s="8" t="str">
        <f t="shared" si="11"/>
        <v>2025 Elite Canada</v>
      </c>
      <c r="T7" s="8">
        <f t="shared" si="12"/>
        <v>14.91</v>
      </c>
      <c r="U7" s="8" t="str">
        <f t="shared" si="13"/>
        <v>2025 Elite Canada</v>
      </c>
      <c r="V7" s="8">
        <f t="shared" si="14"/>
        <v>0.56000000000000227</v>
      </c>
      <c r="W7" s="11" t="str">
        <f t="shared" si="15"/>
        <v>(Prelim)</v>
      </c>
      <c r="X7" s="8" t="str">
        <f t="shared" si="16"/>
        <v>2024 World Cup SUI (Jun 29)</v>
      </c>
      <c r="Y7" s="22">
        <v>9.9</v>
      </c>
      <c r="Z7" s="22">
        <v>8.9</v>
      </c>
      <c r="AA7" s="22">
        <v>10</v>
      </c>
      <c r="AB7" s="22">
        <v>14.25</v>
      </c>
      <c r="AC7" s="22">
        <v>1.4</v>
      </c>
      <c r="AD7" s="22">
        <v>13.6</v>
      </c>
      <c r="AE7" s="22">
        <v>9</v>
      </c>
      <c r="AF7" s="22">
        <v>10.8</v>
      </c>
      <c r="AG7" s="22">
        <v>14.05</v>
      </c>
      <c r="AH7" s="22">
        <v>0.4</v>
      </c>
      <c r="AI7" s="22">
        <v>14.600000000000001</v>
      </c>
      <c r="AJ7" s="22">
        <v>8.6000000000000014</v>
      </c>
      <c r="AK7" s="22">
        <v>13.45</v>
      </c>
      <c r="AL7" s="22">
        <v>14.754999999999999</v>
      </c>
      <c r="AM7" s="22">
        <v>0</v>
      </c>
      <c r="AN7" s="27" t="s">
        <v>53</v>
      </c>
      <c r="AO7" s="38">
        <f t="shared" si="17"/>
        <v>10</v>
      </c>
      <c r="AP7" s="38">
        <f t="shared" si="18"/>
        <v>14.25</v>
      </c>
      <c r="AQ7" s="40">
        <f t="shared" si="19"/>
        <v>41.65</v>
      </c>
      <c r="AR7" s="40">
        <f t="shared" si="20"/>
        <v>10.8</v>
      </c>
      <c r="AS7" s="40">
        <f t="shared" si="21"/>
        <v>14.05</v>
      </c>
      <c r="AT7" s="40">
        <f t="shared" si="22"/>
        <v>47.050000000000004</v>
      </c>
      <c r="AU7" s="40">
        <f t="shared" si="23"/>
        <v>47.050000000000004</v>
      </c>
      <c r="AV7" s="40">
        <f t="shared" si="24"/>
        <v>13.45</v>
      </c>
      <c r="AW7" s="40">
        <f t="shared" si="25"/>
        <v>14.754999999999999</v>
      </c>
      <c r="AX7" s="40">
        <f t="shared" si="26"/>
        <v>51.405000000000001</v>
      </c>
      <c r="AY7" s="40">
        <f t="shared" si="27"/>
        <v>98.455000000000013</v>
      </c>
      <c r="AZ7" s="26">
        <v>14.3</v>
      </c>
      <c r="BA7" s="26">
        <v>9.3000000000000007</v>
      </c>
      <c r="BB7" s="26">
        <v>11.7</v>
      </c>
      <c r="BC7" s="26">
        <v>15.04</v>
      </c>
      <c r="BD7" s="26">
        <v>0</v>
      </c>
      <c r="BE7" s="26">
        <v>14.6</v>
      </c>
      <c r="BF7" s="26">
        <v>8.8000000000000007</v>
      </c>
      <c r="BG7" s="26">
        <v>10.8</v>
      </c>
      <c r="BH7" s="26">
        <v>15.07</v>
      </c>
      <c r="BI7" s="26">
        <v>0.4</v>
      </c>
      <c r="BJ7" s="26">
        <v>12.1</v>
      </c>
      <c r="BK7" s="26">
        <v>8.4</v>
      </c>
      <c r="BL7" s="26">
        <v>10.1</v>
      </c>
      <c r="BM7" s="26">
        <v>13.53</v>
      </c>
      <c r="BN7" s="26">
        <v>0</v>
      </c>
      <c r="BO7" s="28"/>
      <c r="BP7" s="39">
        <f t="shared" si="28"/>
        <v>11.7</v>
      </c>
      <c r="BQ7" s="39">
        <f t="shared" si="29"/>
        <v>15.04</v>
      </c>
      <c r="BR7" s="11">
        <f t="shared" si="30"/>
        <v>50.339999999999996</v>
      </c>
      <c r="BS7" s="11">
        <f t="shared" si="31"/>
        <v>10.8</v>
      </c>
      <c r="BT7" s="11">
        <f t="shared" si="32"/>
        <v>15.07</v>
      </c>
      <c r="BU7" s="11">
        <f t="shared" si="33"/>
        <v>48.870000000000005</v>
      </c>
      <c r="BV7" s="11">
        <f t="shared" si="34"/>
        <v>50.339999999999996</v>
      </c>
      <c r="BW7" s="11">
        <f t="shared" si="35"/>
        <v>10.1</v>
      </c>
      <c r="BX7" s="11">
        <f t="shared" si="36"/>
        <v>13.53</v>
      </c>
      <c r="BY7" s="11">
        <f t="shared" si="37"/>
        <v>44.13</v>
      </c>
      <c r="BZ7" s="11">
        <f t="shared" si="38"/>
        <v>94.47</v>
      </c>
      <c r="CA7" s="22">
        <v>15.7</v>
      </c>
      <c r="CB7" s="22">
        <v>8.8000000000000007</v>
      </c>
      <c r="CC7" s="22">
        <v>14.3</v>
      </c>
      <c r="CD7" s="22">
        <v>14.75</v>
      </c>
      <c r="CE7" s="22">
        <v>0</v>
      </c>
      <c r="CF7" s="22">
        <v>14.7</v>
      </c>
      <c r="CG7" s="22">
        <v>9.1</v>
      </c>
      <c r="CH7" s="22">
        <v>14.3</v>
      </c>
      <c r="CI7" s="22">
        <v>14.91</v>
      </c>
      <c r="CJ7" s="22">
        <v>0.4</v>
      </c>
      <c r="CK7" s="22">
        <v>14.1</v>
      </c>
      <c r="CL7" s="22">
        <v>9</v>
      </c>
      <c r="CM7" s="22">
        <v>14.3</v>
      </c>
      <c r="CN7" s="22">
        <v>14.76</v>
      </c>
      <c r="CO7" s="22">
        <v>0</v>
      </c>
      <c r="CP7" s="27"/>
      <c r="CQ7" s="38">
        <f t="shared" si="39"/>
        <v>14.3</v>
      </c>
      <c r="CR7" s="38">
        <f t="shared" si="40"/>
        <v>14.75</v>
      </c>
      <c r="CS7" s="40">
        <f t="shared" si="41"/>
        <v>53.55</v>
      </c>
      <c r="CT7" s="40">
        <f t="shared" si="42"/>
        <v>14.3</v>
      </c>
      <c r="CU7" s="40">
        <f t="shared" si="43"/>
        <v>14.91</v>
      </c>
      <c r="CV7" s="40">
        <f t="shared" si="44"/>
        <v>52.609999999999992</v>
      </c>
      <c r="CW7" s="40">
        <f t="shared" si="45"/>
        <v>53.55</v>
      </c>
      <c r="CX7" s="40">
        <f t="shared" si="46"/>
        <v>14.3</v>
      </c>
      <c r="CY7" s="40">
        <f t="shared" si="47"/>
        <v>14.76</v>
      </c>
      <c r="CZ7" s="40">
        <f t="shared" si="48"/>
        <v>52.160000000000004</v>
      </c>
      <c r="DA7" s="40">
        <f t="shared" si="49"/>
        <v>105.71000000000001</v>
      </c>
      <c r="DB7" s="51">
        <f t="shared" si="50"/>
        <v>0.56000000000000227</v>
      </c>
      <c r="DC7" s="51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52"/>
        <v/>
      </c>
      <c r="DY7" s="40" t="str">
        <f t="shared" si="53"/>
        <v/>
      </c>
      <c r="DZ7" s="40" t="str">
        <f t="shared" si="54"/>
        <v/>
      </c>
      <c r="EA7" s="40" t="str">
        <f t="shared" si="55"/>
        <v/>
      </c>
      <c r="EB7" s="40" t="str">
        <f t="shared" si="56"/>
        <v/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 t="str">
        <f t="shared" si="63"/>
        <v/>
      </c>
      <c r="EJ7" s="40" t="str">
        <f t="shared" si="64"/>
        <v/>
      </c>
      <c r="EK7" s="40" t="str">
        <f t="shared" si="65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2.6</v>
      </c>
      <c r="FU7" s="17">
        <v>1.7</v>
      </c>
      <c r="FV7" s="17">
        <v>2.9</v>
      </c>
      <c r="FW7" s="17">
        <v>3.08</v>
      </c>
      <c r="FX7" s="17">
        <v>0</v>
      </c>
      <c r="FY7" s="17">
        <v>13.5</v>
      </c>
      <c r="FZ7" s="17">
        <v>8.9</v>
      </c>
      <c r="GA7" s="17">
        <v>12.2</v>
      </c>
      <c r="GB7" s="17">
        <v>14.64</v>
      </c>
      <c r="GC7" s="17">
        <v>0</v>
      </c>
      <c r="GD7" s="17">
        <v>14.8</v>
      </c>
      <c r="GE7" s="17">
        <v>9.1</v>
      </c>
      <c r="GF7" s="17">
        <v>12.4</v>
      </c>
      <c r="GG7" s="17">
        <v>14.95</v>
      </c>
      <c r="GH7" s="17">
        <v>0</v>
      </c>
      <c r="GI7" s="17"/>
      <c r="GJ7" s="17"/>
      <c r="GK7" s="17"/>
      <c r="GL7" s="17"/>
      <c r="GM7" s="17"/>
      <c r="GN7" s="40">
        <f t="shared" si="80"/>
        <v>2.9</v>
      </c>
      <c r="GO7" s="40">
        <f t="shared" si="81"/>
        <v>3.08</v>
      </c>
      <c r="GP7" s="40">
        <f t="shared" si="82"/>
        <v>10.28</v>
      </c>
      <c r="GQ7" s="40">
        <f t="shared" si="83"/>
        <v>12.2</v>
      </c>
      <c r="GR7" s="40">
        <f t="shared" si="84"/>
        <v>14.64</v>
      </c>
      <c r="GS7" s="40">
        <f t="shared" si="85"/>
        <v>49.239999999999995</v>
      </c>
      <c r="GT7" s="40">
        <f t="shared" si="86"/>
        <v>49.239999999999995</v>
      </c>
      <c r="GU7" s="40">
        <f t="shared" si="87"/>
        <v>12.4</v>
      </c>
      <c r="GV7" s="40">
        <f t="shared" si="88"/>
        <v>14.95</v>
      </c>
      <c r="GW7" s="40">
        <f t="shared" si="89"/>
        <v>51.25</v>
      </c>
      <c r="GX7" s="40" t="str">
        <f t="shared" si="90"/>
        <v/>
      </c>
      <c r="GY7" s="40" t="str">
        <f t="shared" si="91"/>
        <v/>
      </c>
      <c r="GZ7" s="40" t="str">
        <f t="shared" si="92"/>
        <v/>
      </c>
      <c r="HA7" s="40">
        <f t="shared" si="93"/>
        <v>100.49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1.4</v>
      </c>
      <c r="IK7" s="17">
        <v>0.9</v>
      </c>
      <c r="IL7" s="17">
        <v>2</v>
      </c>
      <c r="IM7" s="17">
        <v>1.65</v>
      </c>
      <c r="IN7" s="17">
        <v>0</v>
      </c>
      <c r="IO7" s="17">
        <v>13.2</v>
      </c>
      <c r="IP7" s="17">
        <v>9.3000000000000007</v>
      </c>
      <c r="IQ7" s="17">
        <v>13.8</v>
      </c>
      <c r="IR7" s="17">
        <v>14.6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 t="shared" si="108"/>
        <v>2</v>
      </c>
      <c r="JE7" s="40">
        <f t="shared" si="109"/>
        <v>1.65</v>
      </c>
      <c r="JF7" s="40">
        <f t="shared" si="110"/>
        <v>5.9499999999999993</v>
      </c>
      <c r="JG7" s="40">
        <f t="shared" si="111"/>
        <v>13.8</v>
      </c>
      <c r="JH7" s="40">
        <f t="shared" si="112"/>
        <v>14.6</v>
      </c>
      <c r="JI7" s="40">
        <f t="shared" si="113"/>
        <v>50.9</v>
      </c>
      <c r="JJ7" s="40">
        <f t="shared" si="114"/>
        <v>50.9</v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40" t="str">
        <f t="shared" si="120"/>
        <v/>
      </c>
      <c r="JQ7" s="40">
        <f t="shared" si="121"/>
        <v>50.9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40" t="str">
        <f t="shared" si="148"/>
        <v/>
      </c>
      <c r="MG7" s="40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40" t="str">
        <f t="shared" si="176"/>
        <v/>
      </c>
      <c r="OW7" s="40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40" t="str">
        <f t="shared" si="204"/>
        <v/>
      </c>
      <c r="RM7" s="40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 t="shared" si="220"/>
        <v/>
      </c>
      <c r="TQ7" s="40" t="str">
        <f t="shared" si="221"/>
        <v/>
      </c>
      <c r="TR7" s="40" t="str">
        <f t="shared" si="222"/>
        <v/>
      </c>
      <c r="TS7" s="40" t="str">
        <f t="shared" si="223"/>
        <v/>
      </c>
      <c r="TT7" s="40" t="str">
        <f t="shared" si="224"/>
        <v/>
      </c>
      <c r="TU7" s="40" t="str">
        <f t="shared" si="225"/>
        <v/>
      </c>
      <c r="TV7" s="40" t="str">
        <f t="shared" si="226"/>
        <v/>
      </c>
      <c r="TW7" s="40" t="str">
        <f t="shared" si="227"/>
        <v/>
      </c>
      <c r="TX7" s="40" t="str">
        <f t="shared" si="228"/>
        <v/>
      </c>
      <c r="TY7" s="40" t="str">
        <f t="shared" si="229"/>
        <v/>
      </c>
      <c r="TZ7" s="40" t="str">
        <f t="shared" si="230"/>
        <v/>
      </c>
      <c r="UA7" s="40" t="str">
        <f t="shared" si="231"/>
        <v/>
      </c>
      <c r="UB7" s="40" t="str">
        <f t="shared" si="232"/>
        <v/>
      </c>
      <c r="UC7" s="40" t="str">
        <f t="shared" si="233"/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 t="shared" si="234"/>
        <v/>
      </c>
      <c r="UY7" s="11" t="str">
        <f t="shared" si="235"/>
        <v/>
      </c>
      <c r="UZ7" s="11" t="str">
        <f t="shared" si="236"/>
        <v/>
      </c>
      <c r="VA7" s="11" t="str">
        <f t="shared" si="237"/>
        <v/>
      </c>
      <c r="VB7" s="11" t="str">
        <f t="shared" si="238"/>
        <v/>
      </c>
      <c r="VC7" s="11" t="str">
        <f t="shared" si="239"/>
        <v/>
      </c>
      <c r="VD7" s="11" t="str">
        <f t="shared" si="240"/>
        <v/>
      </c>
      <c r="VE7" s="11" t="str">
        <f t="shared" si="241"/>
        <v/>
      </c>
      <c r="VF7" s="11" t="str">
        <f t="shared" si="242"/>
        <v/>
      </c>
      <c r="VG7" s="11" t="str">
        <f t="shared" si="243"/>
        <v/>
      </c>
      <c r="VH7" s="11" t="str">
        <f t="shared" si="244"/>
        <v/>
      </c>
      <c r="VI7" s="11" t="str">
        <f t="shared" si="245"/>
        <v/>
      </c>
      <c r="VJ7" s="11" t="str">
        <f t="shared" si="246"/>
        <v/>
      </c>
      <c r="VK7" s="11" t="str">
        <f t="shared" si="247"/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 t="shared" si="248"/>
        <v/>
      </c>
      <c r="WG7" s="40" t="str">
        <f t="shared" si="249"/>
        <v/>
      </c>
      <c r="WH7" s="40" t="str">
        <f t="shared" si="250"/>
        <v/>
      </c>
      <c r="WI7" s="40" t="str">
        <f t="shared" si="251"/>
        <v/>
      </c>
      <c r="WJ7" s="40" t="str">
        <f t="shared" si="252"/>
        <v/>
      </c>
      <c r="WK7" s="40" t="str">
        <f t="shared" si="253"/>
        <v/>
      </c>
      <c r="WL7" s="40" t="str">
        <f t="shared" si="254"/>
        <v/>
      </c>
      <c r="WM7" s="40" t="str">
        <f t="shared" si="255"/>
        <v/>
      </c>
      <c r="WN7" s="40" t="str">
        <f t="shared" si="256"/>
        <v/>
      </c>
      <c r="WO7" s="40" t="str">
        <f t="shared" si="257"/>
        <v/>
      </c>
      <c r="WP7" s="40" t="str">
        <f t="shared" si="258"/>
        <v/>
      </c>
      <c r="WQ7" s="40" t="str">
        <f t="shared" si="259"/>
        <v/>
      </c>
      <c r="WR7" s="40" t="str">
        <f t="shared" si="260"/>
        <v/>
      </c>
      <c r="WS7" s="40" t="str">
        <f t="shared" si="261"/>
        <v/>
      </c>
      <c r="WT7" s="26">
        <f t="shared" si="262"/>
        <v>15</v>
      </c>
      <c r="WU7" s="26">
        <f t="shared" si="263"/>
        <v>9.0500000000000007</v>
      </c>
      <c r="WV7" s="26">
        <f t="shared" si="264"/>
        <v>13</v>
      </c>
      <c r="WW7" s="26">
        <f t="shared" si="265"/>
        <v>14.895</v>
      </c>
      <c r="WX7" s="26">
        <f t="shared" si="266"/>
        <v>0</v>
      </c>
      <c r="WY7" s="26">
        <f t="shared" si="267"/>
        <v>14.649999999999999</v>
      </c>
      <c r="WZ7" s="26">
        <f t="shared" si="268"/>
        <v>8.9499999999999993</v>
      </c>
      <c r="XA7" s="26">
        <f t="shared" si="269"/>
        <v>12.55</v>
      </c>
      <c r="XB7" s="26">
        <f t="shared" si="270"/>
        <v>14.99</v>
      </c>
      <c r="XC7" s="26">
        <f t="shared" si="271"/>
        <v>0.4</v>
      </c>
      <c r="XD7" s="26">
        <f t="shared" si="272"/>
        <v>13.1</v>
      </c>
      <c r="XE7" s="26">
        <f t="shared" si="273"/>
        <v>8.6999999999999993</v>
      </c>
      <c r="XF7" s="26">
        <f t="shared" si="274"/>
        <v>12.2</v>
      </c>
      <c r="XG7" s="26">
        <f t="shared" si="275"/>
        <v>14.145</v>
      </c>
      <c r="XH7" s="26">
        <f t="shared" si="276"/>
        <v>0</v>
      </c>
      <c r="XI7" s="28" t="s">
        <v>53</v>
      </c>
      <c r="XJ7" s="11">
        <f t="shared" si="277"/>
        <v>13</v>
      </c>
      <c r="XK7" s="11">
        <f t="shared" si="278"/>
        <v>14.895</v>
      </c>
      <c r="XL7" s="11">
        <f t="shared" si="279"/>
        <v>51.944999999999993</v>
      </c>
      <c r="XM7" s="11">
        <f t="shared" si="280"/>
        <v>12.55</v>
      </c>
      <c r="XN7" s="11">
        <f t="shared" si="281"/>
        <v>14.99</v>
      </c>
      <c r="XO7" s="11">
        <f t="shared" si="282"/>
        <v>50.74</v>
      </c>
      <c r="XP7" s="11">
        <f t="shared" si="283"/>
        <v>51.944999999999993</v>
      </c>
      <c r="XQ7" s="11">
        <f t="shared" si="284"/>
        <v>12.2</v>
      </c>
      <c r="XR7" s="11">
        <f t="shared" si="285"/>
        <v>14.145</v>
      </c>
      <c r="XS7" s="11">
        <f t="shared" si="286"/>
        <v>48.144999999999996</v>
      </c>
      <c r="XT7" s="11">
        <f t="shared" si="287"/>
        <v>100.08999999999999</v>
      </c>
    </row>
    <row r="8" spans="1:64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70</v>
      </c>
      <c r="C8" s="4" t="s">
        <v>6</v>
      </c>
      <c r="D8" s="4">
        <v>2001</v>
      </c>
      <c r="E8" s="9">
        <f t="shared" si="0"/>
        <v>238.25002363000527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52.86</v>
      </c>
      <c r="K8" s="8" t="str">
        <f t="shared" si="5"/>
        <v>2025 Elite Canada</v>
      </c>
      <c r="L8" s="8">
        <f>IF(COUNT(AQ8,AT8,BR8,BU8,CS8,CV8)&gt;1,LARGE((AQ8,AT8,BR8,BU8,CS8,CV8),2),0)</f>
        <v>52.15</v>
      </c>
      <c r="M8" s="8" t="str">
        <f t="shared" si="6"/>
        <v>2024 3rd Domestic Trial</v>
      </c>
      <c r="N8" s="8">
        <f>IF(COUNT(AQ8,AT8,BR8,BU8,CS8,CV8)&gt;2,LARGE((AQ8,AT8,BR8,BU8,CS8,CV8),3),0)</f>
        <v>52.05</v>
      </c>
      <c r="O8" s="8" t="str">
        <f t="shared" si="7"/>
        <v>2024 3rd Domestic Trial</v>
      </c>
      <c r="P8" s="8">
        <f t="shared" si="8"/>
        <v>50.39</v>
      </c>
      <c r="Q8" s="8" t="str">
        <f t="shared" si="9"/>
        <v>2024 3rd Domestic Trial</v>
      </c>
      <c r="R8" s="8">
        <f t="shared" si="10"/>
        <v>13.9</v>
      </c>
      <c r="S8" s="8" t="str">
        <f t="shared" si="11"/>
        <v>2025 Elite Canada</v>
      </c>
      <c r="T8" s="8">
        <f t="shared" si="12"/>
        <v>14.95</v>
      </c>
      <c r="U8" s="8" t="str">
        <f t="shared" si="13"/>
        <v>2024 3rd Domestic Trial</v>
      </c>
      <c r="V8" s="8">
        <f t="shared" si="14"/>
        <v>1.9500000000000028</v>
      </c>
      <c r="W8" s="11" t="str">
        <f t="shared" si="15"/>
        <v>(Final)</v>
      </c>
      <c r="X8" s="8" t="str">
        <f t="shared" si="16"/>
        <v>2024 Pacific Rim (April 23)</v>
      </c>
      <c r="Y8" s="22">
        <v>14.8</v>
      </c>
      <c r="Z8" s="22">
        <v>8.8000000000000007</v>
      </c>
      <c r="AA8" s="22">
        <v>12.2</v>
      </c>
      <c r="AB8" s="22">
        <v>14.44</v>
      </c>
      <c r="AC8" s="22">
        <v>0</v>
      </c>
      <c r="AD8" s="22">
        <v>14.6</v>
      </c>
      <c r="AE8" s="22">
        <v>9</v>
      </c>
      <c r="AF8" s="22">
        <v>11.9</v>
      </c>
      <c r="AG8" s="22">
        <v>14.48</v>
      </c>
      <c r="AH8" s="22">
        <v>0.2</v>
      </c>
      <c r="AI8" s="22">
        <v>10.5</v>
      </c>
      <c r="AJ8" s="22">
        <v>6.3</v>
      </c>
      <c r="AK8" s="22">
        <v>9.5</v>
      </c>
      <c r="AL8" s="22">
        <v>10.35</v>
      </c>
      <c r="AM8" s="22">
        <v>0</v>
      </c>
      <c r="AN8" s="27"/>
      <c r="AO8" s="38">
        <f t="shared" si="17"/>
        <v>12.2</v>
      </c>
      <c r="AP8" s="38">
        <f t="shared" si="18"/>
        <v>14.44</v>
      </c>
      <c r="AQ8" s="40">
        <f t="shared" si="19"/>
        <v>50.239999999999995</v>
      </c>
      <c r="AR8" s="40">
        <f t="shared" si="20"/>
        <v>11.9</v>
      </c>
      <c r="AS8" s="40">
        <f t="shared" si="21"/>
        <v>14.48</v>
      </c>
      <c r="AT8" s="40">
        <f t="shared" si="22"/>
        <v>49.78</v>
      </c>
      <c r="AU8" s="40">
        <f t="shared" si="23"/>
        <v>50.239999999999995</v>
      </c>
      <c r="AV8" s="40">
        <f t="shared" si="24"/>
        <v>9.5</v>
      </c>
      <c r="AW8" s="40">
        <f t="shared" si="25"/>
        <v>10.35</v>
      </c>
      <c r="AX8" s="40">
        <f t="shared" si="26"/>
        <v>36.65</v>
      </c>
      <c r="AY8" s="40">
        <f t="shared" si="27"/>
        <v>86.889999999999986</v>
      </c>
      <c r="AZ8" s="26">
        <v>15.7</v>
      </c>
      <c r="BA8" s="26">
        <v>8.6999999999999993</v>
      </c>
      <c r="BB8" s="26">
        <v>12.5</v>
      </c>
      <c r="BC8" s="26">
        <v>15.25</v>
      </c>
      <c r="BD8" s="26">
        <v>0</v>
      </c>
      <c r="BE8" s="26">
        <v>14.8</v>
      </c>
      <c r="BF8" s="26">
        <v>9.1</v>
      </c>
      <c r="BG8" s="26">
        <v>13.2</v>
      </c>
      <c r="BH8" s="26">
        <v>14.95</v>
      </c>
      <c r="BI8" s="26">
        <v>0</v>
      </c>
      <c r="BJ8" s="26">
        <v>15.6</v>
      </c>
      <c r="BK8" s="26">
        <v>8.4</v>
      </c>
      <c r="BL8" s="26">
        <v>11.6</v>
      </c>
      <c r="BM8" s="26">
        <v>14.79</v>
      </c>
      <c r="BN8" s="26">
        <v>0</v>
      </c>
      <c r="BO8" s="28"/>
      <c r="BP8" s="39">
        <f t="shared" si="28"/>
        <v>12.5</v>
      </c>
      <c r="BQ8" s="39">
        <f t="shared" si="29"/>
        <v>15.25</v>
      </c>
      <c r="BR8" s="11">
        <f t="shared" si="30"/>
        <v>52.15</v>
      </c>
      <c r="BS8" s="11">
        <f t="shared" si="31"/>
        <v>13.2</v>
      </c>
      <c r="BT8" s="11">
        <f t="shared" si="32"/>
        <v>14.95</v>
      </c>
      <c r="BU8" s="11">
        <f t="shared" si="33"/>
        <v>52.05</v>
      </c>
      <c r="BV8" s="11">
        <f t="shared" si="34"/>
        <v>52.15</v>
      </c>
      <c r="BW8" s="11">
        <f t="shared" si="35"/>
        <v>11.6</v>
      </c>
      <c r="BX8" s="11">
        <f t="shared" si="36"/>
        <v>14.79</v>
      </c>
      <c r="BY8" s="11">
        <f t="shared" si="37"/>
        <v>50.39</v>
      </c>
      <c r="BZ8" s="11">
        <f t="shared" si="38"/>
        <v>102.53999999999999</v>
      </c>
      <c r="CA8" s="22">
        <v>15.1</v>
      </c>
      <c r="CB8" s="22">
        <v>9</v>
      </c>
      <c r="CC8" s="22">
        <v>13.9</v>
      </c>
      <c r="CD8" s="22">
        <v>14.86</v>
      </c>
      <c r="CE8" s="22">
        <v>0</v>
      </c>
      <c r="CF8" s="22">
        <v>15</v>
      </c>
      <c r="CG8" s="22">
        <v>8.8000000000000007</v>
      </c>
      <c r="CH8" s="22">
        <v>13.2</v>
      </c>
      <c r="CI8" s="22">
        <v>14.71</v>
      </c>
      <c r="CJ8" s="22">
        <v>0</v>
      </c>
      <c r="CK8" s="22">
        <v>0</v>
      </c>
      <c r="CL8" s="22">
        <v>0</v>
      </c>
      <c r="CM8" s="22">
        <v>0</v>
      </c>
      <c r="CN8" s="22">
        <v>0</v>
      </c>
      <c r="CO8" s="22">
        <v>0</v>
      </c>
      <c r="CP8" s="27"/>
      <c r="CQ8" s="38">
        <f t="shared" si="39"/>
        <v>13.9</v>
      </c>
      <c r="CR8" s="38">
        <f t="shared" si="40"/>
        <v>14.86</v>
      </c>
      <c r="CS8" s="40">
        <f t="shared" si="41"/>
        <v>52.86</v>
      </c>
      <c r="CT8" s="40">
        <f t="shared" si="42"/>
        <v>13.2</v>
      </c>
      <c r="CU8" s="40">
        <f t="shared" si="43"/>
        <v>14.71</v>
      </c>
      <c r="CV8" s="40">
        <f t="shared" si="44"/>
        <v>51.71</v>
      </c>
      <c r="CW8" s="40">
        <f t="shared" si="45"/>
        <v>52.86</v>
      </c>
      <c r="CX8" s="40" t="str">
        <f t="shared" si="46"/>
        <v/>
      </c>
      <c r="CY8" s="40" t="str">
        <f t="shared" si="47"/>
        <v/>
      </c>
      <c r="CZ8" s="40" t="str">
        <f t="shared" si="48"/>
        <v/>
      </c>
      <c r="DA8" s="40">
        <f t="shared" si="49"/>
        <v>52.86</v>
      </c>
      <c r="DB8" s="51" t="str">
        <f t="shared" si="50"/>
        <v/>
      </c>
      <c r="DC8" s="51">
        <f t="shared" si="51"/>
        <v>1.9500000000000028</v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40" t="str">
        <f t="shared" si="64"/>
        <v/>
      </c>
      <c r="EK8" s="40" t="str">
        <f t="shared" si="65"/>
        <v/>
      </c>
      <c r="EL8" s="18">
        <v>14.2</v>
      </c>
      <c r="EM8" s="18">
        <v>9.3000000000000007</v>
      </c>
      <c r="EN8" s="18">
        <v>13.6</v>
      </c>
      <c r="EO8" s="18">
        <v>14.34</v>
      </c>
      <c r="EP8" s="18">
        <v>0</v>
      </c>
      <c r="EQ8" s="18">
        <v>1.3</v>
      </c>
      <c r="ER8" s="18">
        <v>0.9</v>
      </c>
      <c r="ES8" s="18">
        <v>2</v>
      </c>
      <c r="ET8" s="18">
        <v>1.61</v>
      </c>
      <c r="EU8" s="18">
        <v>0.2</v>
      </c>
      <c r="EV8" s="18"/>
      <c r="EW8" s="18"/>
      <c r="EX8" s="18"/>
      <c r="EY8" s="18"/>
      <c r="EZ8" s="18"/>
      <c r="FA8" s="18">
        <v>14.4</v>
      </c>
      <c r="FB8" s="18">
        <v>9.6</v>
      </c>
      <c r="FC8" s="18">
        <v>13.6</v>
      </c>
      <c r="FD8" s="18">
        <v>14.74</v>
      </c>
      <c r="FE8" s="18">
        <v>0</v>
      </c>
      <c r="FF8" s="11">
        <f t="shared" si="66"/>
        <v>13.6</v>
      </c>
      <c r="FG8" s="11">
        <f t="shared" si="67"/>
        <v>14.34</v>
      </c>
      <c r="FH8" s="11">
        <f t="shared" si="68"/>
        <v>51.44</v>
      </c>
      <c r="FI8" s="11">
        <f t="shared" si="69"/>
        <v>2</v>
      </c>
      <c r="FJ8" s="11">
        <f t="shared" si="70"/>
        <v>1.61</v>
      </c>
      <c r="FK8" s="11">
        <f t="shared" si="71"/>
        <v>5.61</v>
      </c>
      <c r="FL8" s="11">
        <f t="shared" si="72"/>
        <v>51.44</v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>
        <f t="shared" si="76"/>
        <v>13.6</v>
      </c>
      <c r="FQ8" s="11">
        <f t="shared" si="77"/>
        <v>14.74</v>
      </c>
      <c r="FR8" s="11">
        <f t="shared" si="78"/>
        <v>52.34</v>
      </c>
      <c r="FS8" s="11">
        <f t="shared" si="79"/>
        <v>103.78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40" t="str">
        <f t="shared" si="92"/>
        <v/>
      </c>
      <c r="HA8" s="40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40" t="str">
        <f t="shared" si="120"/>
        <v/>
      </c>
      <c r="JQ8" s="40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40" t="str">
        <f t="shared" si="148"/>
        <v/>
      </c>
      <c r="MG8" s="40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40" t="str">
        <f t="shared" si="176"/>
        <v/>
      </c>
      <c r="OW8" s="40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40" t="str">
        <f t="shared" si="204"/>
        <v/>
      </c>
      <c r="RM8" s="40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 t="shared" si="220"/>
        <v/>
      </c>
      <c r="TQ8" s="40" t="str">
        <f t="shared" si="221"/>
        <v/>
      </c>
      <c r="TR8" s="40" t="str">
        <f t="shared" si="222"/>
        <v/>
      </c>
      <c r="TS8" s="40" t="str">
        <f t="shared" si="223"/>
        <v/>
      </c>
      <c r="TT8" s="40" t="str">
        <f t="shared" si="224"/>
        <v/>
      </c>
      <c r="TU8" s="40" t="str">
        <f t="shared" si="225"/>
        <v/>
      </c>
      <c r="TV8" s="40" t="str">
        <f t="shared" si="226"/>
        <v/>
      </c>
      <c r="TW8" s="40" t="str">
        <f t="shared" si="227"/>
        <v/>
      </c>
      <c r="TX8" s="40" t="str">
        <f t="shared" si="228"/>
        <v/>
      </c>
      <c r="TY8" s="40" t="str">
        <f t="shared" si="229"/>
        <v/>
      </c>
      <c r="TZ8" s="40" t="str">
        <f t="shared" si="230"/>
        <v/>
      </c>
      <c r="UA8" s="40" t="str">
        <f t="shared" si="231"/>
        <v/>
      </c>
      <c r="UB8" s="40" t="str">
        <f t="shared" si="232"/>
        <v/>
      </c>
      <c r="UC8" s="40" t="str">
        <f t="shared" si="233"/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 t="shared" si="234"/>
        <v/>
      </c>
      <c r="UY8" s="11" t="str">
        <f t="shared" si="235"/>
        <v/>
      </c>
      <c r="UZ8" s="11" t="str">
        <f t="shared" si="236"/>
        <v/>
      </c>
      <c r="VA8" s="11" t="str">
        <f t="shared" si="237"/>
        <v/>
      </c>
      <c r="VB8" s="11" t="str">
        <f t="shared" si="238"/>
        <v/>
      </c>
      <c r="VC8" s="11" t="str">
        <f t="shared" si="239"/>
        <v/>
      </c>
      <c r="VD8" s="11" t="str">
        <f t="shared" si="240"/>
        <v/>
      </c>
      <c r="VE8" s="11" t="str">
        <f t="shared" si="241"/>
        <v/>
      </c>
      <c r="VF8" s="11" t="str">
        <f t="shared" si="242"/>
        <v/>
      </c>
      <c r="VG8" s="11" t="str">
        <f t="shared" si="243"/>
        <v/>
      </c>
      <c r="VH8" s="11" t="str">
        <f t="shared" si="244"/>
        <v/>
      </c>
      <c r="VI8" s="11" t="str">
        <f t="shared" si="245"/>
        <v/>
      </c>
      <c r="VJ8" s="11" t="str">
        <f t="shared" si="246"/>
        <v/>
      </c>
      <c r="VK8" s="11" t="str">
        <f t="shared" si="247"/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 t="shared" si="248"/>
        <v/>
      </c>
      <c r="WG8" s="40" t="str">
        <f t="shared" si="249"/>
        <v/>
      </c>
      <c r="WH8" s="40" t="str">
        <f t="shared" si="250"/>
        <v/>
      </c>
      <c r="WI8" s="40" t="str">
        <f t="shared" si="251"/>
        <v/>
      </c>
      <c r="WJ8" s="40" t="str">
        <f t="shared" si="252"/>
        <v/>
      </c>
      <c r="WK8" s="40" t="str">
        <f t="shared" si="253"/>
        <v/>
      </c>
      <c r="WL8" s="40" t="str">
        <f t="shared" si="254"/>
        <v/>
      </c>
      <c r="WM8" s="40" t="str">
        <f t="shared" si="255"/>
        <v/>
      </c>
      <c r="WN8" s="40" t="str">
        <f t="shared" si="256"/>
        <v/>
      </c>
      <c r="WO8" s="40" t="str">
        <f t="shared" si="257"/>
        <v/>
      </c>
      <c r="WP8" s="40" t="str">
        <f t="shared" si="258"/>
        <v/>
      </c>
      <c r="WQ8" s="40" t="str">
        <f t="shared" si="259"/>
        <v/>
      </c>
      <c r="WR8" s="40" t="str">
        <f t="shared" si="260"/>
        <v/>
      </c>
      <c r="WS8" s="40" t="str">
        <f t="shared" si="261"/>
        <v/>
      </c>
      <c r="WT8" s="26">
        <f t="shared" si="262"/>
        <v>15.399999999999999</v>
      </c>
      <c r="WU8" s="26">
        <f t="shared" si="263"/>
        <v>8.85</v>
      </c>
      <c r="WV8" s="26">
        <f t="shared" si="264"/>
        <v>13.2</v>
      </c>
      <c r="WW8" s="26">
        <f t="shared" si="265"/>
        <v>15.055</v>
      </c>
      <c r="WX8" s="26">
        <f t="shared" si="266"/>
        <v>0</v>
      </c>
      <c r="WY8" s="26">
        <f t="shared" si="267"/>
        <v>14.9</v>
      </c>
      <c r="WZ8" s="26">
        <f t="shared" si="268"/>
        <v>8.9499999999999993</v>
      </c>
      <c r="XA8" s="26">
        <f t="shared" si="269"/>
        <v>13.2</v>
      </c>
      <c r="XB8" s="26">
        <f t="shared" si="270"/>
        <v>14.83</v>
      </c>
      <c r="XC8" s="26">
        <f t="shared" si="271"/>
        <v>0</v>
      </c>
      <c r="XD8" s="26">
        <f t="shared" si="272"/>
        <v>7.8</v>
      </c>
      <c r="XE8" s="26">
        <f t="shared" si="273"/>
        <v>4.2</v>
      </c>
      <c r="XF8" s="26">
        <f t="shared" si="274"/>
        <v>5.8</v>
      </c>
      <c r="XG8" s="26">
        <f t="shared" si="275"/>
        <v>7.3949999999999996</v>
      </c>
      <c r="XH8" s="26">
        <f t="shared" si="276"/>
        <v>0</v>
      </c>
      <c r="XI8" s="28" t="s">
        <v>53</v>
      </c>
      <c r="XJ8" s="11">
        <f t="shared" si="277"/>
        <v>13.2</v>
      </c>
      <c r="XK8" s="11">
        <f t="shared" si="278"/>
        <v>15.055</v>
      </c>
      <c r="XL8" s="11">
        <f t="shared" si="279"/>
        <v>52.505000000000003</v>
      </c>
      <c r="XM8" s="11">
        <f t="shared" si="280"/>
        <v>13.2</v>
      </c>
      <c r="XN8" s="11">
        <f t="shared" si="281"/>
        <v>14.83</v>
      </c>
      <c r="XO8" s="11">
        <f t="shared" si="282"/>
        <v>51.879999999999995</v>
      </c>
      <c r="XP8" s="11">
        <f t="shared" si="283"/>
        <v>52.505000000000003</v>
      </c>
      <c r="XQ8" s="11">
        <f t="shared" si="284"/>
        <v>5.8</v>
      </c>
      <c r="XR8" s="11">
        <f t="shared" si="285"/>
        <v>7.3949999999999996</v>
      </c>
      <c r="XS8" s="11">
        <f t="shared" si="286"/>
        <v>25.195</v>
      </c>
      <c r="XT8" s="11">
        <f t="shared" si="287"/>
        <v>77.7</v>
      </c>
    </row>
    <row r="9" spans="1:64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90</v>
      </c>
      <c r="C9" s="4" t="s">
        <v>5</v>
      </c>
      <c r="D9" s="4">
        <v>1999</v>
      </c>
      <c r="E9" s="9">
        <f t="shared" si="0"/>
        <v>234.39002343900515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51.69</v>
      </c>
      <c r="K9" s="8" t="str">
        <f t="shared" si="5"/>
        <v>2025 Elite Canada</v>
      </c>
      <c r="L9" s="8">
        <f>IF(COUNT(AQ9,AT9,BR9,BU9,CS9,CV9)&gt;1,LARGE((AQ9,AT9,BR9,BU9,CS9,CV9),2),0)</f>
        <v>51.27</v>
      </c>
      <c r="M9" s="8" t="str">
        <f t="shared" si="6"/>
        <v>2024 3rd Domestic Trial</v>
      </c>
      <c r="N9" s="8">
        <f>IF(COUNT(AQ9,AT9,BR9,BU9,CS9,CV9)&gt;2,LARGE((AQ9,AT9,BR9,BU9,CS9,CV9),3),0)</f>
        <v>50.77</v>
      </c>
      <c r="O9" s="8" t="str">
        <f t="shared" si="7"/>
        <v>2024 Nationals</v>
      </c>
      <c r="P9" s="8">
        <f t="shared" si="8"/>
        <v>52.7</v>
      </c>
      <c r="Q9" s="8" t="str">
        <f t="shared" si="9"/>
        <v>2024 3rd Domestic Trial</v>
      </c>
      <c r="R9" s="8">
        <f t="shared" si="10"/>
        <v>13.6</v>
      </c>
      <c r="S9" s="8" t="str">
        <f t="shared" si="11"/>
        <v>2025 Elite Canada</v>
      </c>
      <c r="T9" s="8">
        <f t="shared" si="12"/>
        <v>14.36</v>
      </c>
      <c r="U9" s="8" t="str">
        <f t="shared" si="13"/>
        <v>2024 3rd Domestic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2">
        <v>3.2</v>
      </c>
      <c r="Z9" s="22">
        <v>1.6</v>
      </c>
      <c r="AA9" s="22">
        <v>2.7</v>
      </c>
      <c r="AB9" s="22">
        <v>3</v>
      </c>
      <c r="AC9" s="22">
        <v>0</v>
      </c>
      <c r="AD9" s="22">
        <v>14.9</v>
      </c>
      <c r="AE9" s="22">
        <v>9.3000000000000007</v>
      </c>
      <c r="AF9" s="22">
        <v>13.1</v>
      </c>
      <c r="AG9" s="22">
        <v>13.47</v>
      </c>
      <c r="AH9" s="22">
        <v>0</v>
      </c>
      <c r="AI9" s="22">
        <v>14.5</v>
      </c>
      <c r="AJ9" s="22">
        <v>9.3000000000000007</v>
      </c>
      <c r="AK9" s="22">
        <v>13.1</v>
      </c>
      <c r="AL9" s="22">
        <v>13.95</v>
      </c>
      <c r="AM9" s="22">
        <v>0</v>
      </c>
      <c r="AN9" s="27"/>
      <c r="AO9" s="38">
        <f t="shared" si="17"/>
        <v>2.7</v>
      </c>
      <c r="AP9" s="38">
        <f t="shared" si="18"/>
        <v>3</v>
      </c>
      <c r="AQ9" s="40">
        <f t="shared" si="19"/>
        <v>10.5</v>
      </c>
      <c r="AR9" s="40">
        <f t="shared" si="20"/>
        <v>13.1</v>
      </c>
      <c r="AS9" s="40">
        <f t="shared" si="21"/>
        <v>13.47</v>
      </c>
      <c r="AT9" s="40">
        <f t="shared" si="22"/>
        <v>50.77</v>
      </c>
      <c r="AU9" s="40">
        <f t="shared" si="23"/>
        <v>50.77</v>
      </c>
      <c r="AV9" s="40">
        <f t="shared" si="24"/>
        <v>13.1</v>
      </c>
      <c r="AW9" s="40">
        <f t="shared" si="25"/>
        <v>13.95</v>
      </c>
      <c r="AX9" s="40">
        <f t="shared" si="26"/>
        <v>50.849999999999994</v>
      </c>
      <c r="AY9" s="40">
        <f t="shared" si="27"/>
        <v>101.62</v>
      </c>
      <c r="AZ9" s="26">
        <v>14.8</v>
      </c>
      <c r="BA9" s="26">
        <v>9.1999999999999993</v>
      </c>
      <c r="BB9" s="26">
        <v>13.1</v>
      </c>
      <c r="BC9" s="26">
        <v>14.17</v>
      </c>
      <c r="BD9" s="26">
        <v>0</v>
      </c>
      <c r="BE9" s="26">
        <v>14</v>
      </c>
      <c r="BF9" s="26">
        <v>8.8000000000000007</v>
      </c>
      <c r="BG9" s="26">
        <v>13.1</v>
      </c>
      <c r="BH9" s="26">
        <v>14.36</v>
      </c>
      <c r="BI9" s="26">
        <v>0</v>
      </c>
      <c r="BJ9" s="26">
        <v>15.6</v>
      </c>
      <c r="BK9" s="26">
        <v>9.8000000000000007</v>
      </c>
      <c r="BL9" s="26">
        <v>13.1</v>
      </c>
      <c r="BM9" s="26">
        <v>14.2</v>
      </c>
      <c r="BN9" s="26">
        <v>0</v>
      </c>
      <c r="BO9" s="28"/>
      <c r="BP9" s="39">
        <f t="shared" si="28"/>
        <v>13.1</v>
      </c>
      <c r="BQ9" s="39">
        <f t="shared" si="29"/>
        <v>14.17</v>
      </c>
      <c r="BR9" s="11">
        <f t="shared" si="30"/>
        <v>51.27</v>
      </c>
      <c r="BS9" s="11">
        <f t="shared" si="31"/>
        <v>13.1</v>
      </c>
      <c r="BT9" s="11">
        <f t="shared" si="32"/>
        <v>14.36</v>
      </c>
      <c r="BU9" s="11">
        <f t="shared" si="33"/>
        <v>50.26</v>
      </c>
      <c r="BV9" s="11">
        <f t="shared" si="34"/>
        <v>51.27</v>
      </c>
      <c r="BW9" s="11">
        <f t="shared" si="35"/>
        <v>13.1</v>
      </c>
      <c r="BX9" s="11">
        <f t="shared" si="36"/>
        <v>14.2</v>
      </c>
      <c r="BY9" s="11">
        <f t="shared" si="37"/>
        <v>52.7</v>
      </c>
      <c r="BZ9" s="11">
        <f t="shared" si="38"/>
        <v>103.97</v>
      </c>
      <c r="CA9" s="22">
        <v>11.5</v>
      </c>
      <c r="CB9" s="22">
        <v>7.3</v>
      </c>
      <c r="CC9" s="22">
        <v>10</v>
      </c>
      <c r="CD9" s="22">
        <v>10.98</v>
      </c>
      <c r="CE9" s="22">
        <v>0</v>
      </c>
      <c r="CF9" s="22">
        <v>14.9</v>
      </c>
      <c r="CG9" s="22">
        <v>9.4</v>
      </c>
      <c r="CH9" s="22">
        <v>13.6</v>
      </c>
      <c r="CI9" s="22">
        <v>13.79</v>
      </c>
      <c r="CJ9" s="22">
        <v>0</v>
      </c>
      <c r="CK9" s="22">
        <v>13.6</v>
      </c>
      <c r="CL9" s="22">
        <v>9.6999999999999993</v>
      </c>
      <c r="CM9" s="22">
        <v>13.6</v>
      </c>
      <c r="CN9" s="22">
        <v>13.59</v>
      </c>
      <c r="CO9" s="22">
        <v>0</v>
      </c>
      <c r="CP9" s="27"/>
      <c r="CQ9" s="38">
        <f t="shared" si="39"/>
        <v>10</v>
      </c>
      <c r="CR9" s="38">
        <f t="shared" si="40"/>
        <v>10.98</v>
      </c>
      <c r="CS9" s="40">
        <f t="shared" si="41"/>
        <v>39.78</v>
      </c>
      <c r="CT9" s="40">
        <f t="shared" si="42"/>
        <v>13.6</v>
      </c>
      <c r="CU9" s="40">
        <f t="shared" si="43"/>
        <v>13.79</v>
      </c>
      <c r="CV9" s="40">
        <f t="shared" si="44"/>
        <v>51.69</v>
      </c>
      <c r="CW9" s="40">
        <f t="shared" si="45"/>
        <v>51.69</v>
      </c>
      <c r="CX9" s="40">
        <f t="shared" si="46"/>
        <v>13.6</v>
      </c>
      <c r="CY9" s="40">
        <f t="shared" si="47"/>
        <v>13.59</v>
      </c>
      <c r="CZ9" s="40">
        <f t="shared" si="48"/>
        <v>50.489999999999995</v>
      </c>
      <c r="DA9" s="40">
        <f t="shared" si="49"/>
        <v>102.17999999999999</v>
      </c>
      <c r="DB9" s="51" t="str">
        <f t="shared" si="50"/>
        <v/>
      </c>
      <c r="DC9" s="51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40" t="str">
        <f t="shared" si="64"/>
        <v/>
      </c>
      <c r="EK9" s="40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>
        <v>14.3</v>
      </c>
      <c r="FU9" s="17">
        <v>9.3000000000000007</v>
      </c>
      <c r="FV9" s="17">
        <v>13.1</v>
      </c>
      <c r="FW9" s="17">
        <v>13.79</v>
      </c>
      <c r="FX9" s="17">
        <v>0</v>
      </c>
      <c r="FY9" s="17">
        <v>12.7</v>
      </c>
      <c r="FZ9" s="17">
        <v>9.1999999999999993</v>
      </c>
      <c r="GA9" s="17">
        <v>12.4</v>
      </c>
      <c r="GB9" s="17">
        <v>13.29</v>
      </c>
      <c r="GC9" s="17">
        <v>0</v>
      </c>
      <c r="GD9" s="17">
        <v>14.3</v>
      </c>
      <c r="GE9" s="17">
        <v>9.3000000000000007</v>
      </c>
      <c r="GF9" s="17">
        <v>13.1</v>
      </c>
      <c r="GG9" s="17">
        <v>14.12</v>
      </c>
      <c r="GH9" s="17">
        <v>0</v>
      </c>
      <c r="GI9" s="17">
        <v>13</v>
      </c>
      <c r="GJ9" s="17">
        <v>9</v>
      </c>
      <c r="GK9" s="17">
        <v>13.1</v>
      </c>
      <c r="GL9" s="17">
        <v>13.93</v>
      </c>
      <c r="GM9" s="17">
        <v>0</v>
      </c>
      <c r="GN9" s="40">
        <f t="shared" si="80"/>
        <v>13.1</v>
      </c>
      <c r="GO9" s="40">
        <f t="shared" si="81"/>
        <v>13.79</v>
      </c>
      <c r="GP9" s="40">
        <f t="shared" si="82"/>
        <v>50.49</v>
      </c>
      <c r="GQ9" s="40">
        <f t="shared" si="83"/>
        <v>12.4</v>
      </c>
      <c r="GR9" s="40">
        <f t="shared" si="84"/>
        <v>13.29</v>
      </c>
      <c r="GS9" s="40">
        <f t="shared" si="85"/>
        <v>47.589999999999996</v>
      </c>
      <c r="GT9" s="40">
        <f t="shared" si="86"/>
        <v>50.49</v>
      </c>
      <c r="GU9" s="40">
        <f t="shared" si="87"/>
        <v>13.1</v>
      </c>
      <c r="GV9" s="40">
        <f t="shared" si="88"/>
        <v>14.12</v>
      </c>
      <c r="GW9" s="40">
        <f t="shared" si="89"/>
        <v>50.82</v>
      </c>
      <c r="GX9" s="40">
        <f t="shared" si="90"/>
        <v>13.1</v>
      </c>
      <c r="GY9" s="40">
        <f t="shared" si="91"/>
        <v>13.93</v>
      </c>
      <c r="GZ9" s="40">
        <f t="shared" si="92"/>
        <v>49.03</v>
      </c>
      <c r="HA9" s="40">
        <f t="shared" si="93"/>
        <v>150.34</v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40" t="str">
        <f t="shared" si="120"/>
        <v/>
      </c>
      <c r="JQ9" s="40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40" t="str">
        <f t="shared" si="148"/>
        <v/>
      </c>
      <c r="MG9" s="40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40" t="str">
        <f t="shared" si="176"/>
        <v/>
      </c>
      <c r="OW9" s="40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40" t="str">
        <f t="shared" si="204"/>
        <v/>
      </c>
      <c r="RM9" s="40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 t="shared" si="220"/>
        <v/>
      </c>
      <c r="TQ9" s="40" t="str">
        <f t="shared" si="221"/>
        <v/>
      </c>
      <c r="TR9" s="40" t="str">
        <f t="shared" si="222"/>
        <v/>
      </c>
      <c r="TS9" s="40" t="str">
        <f t="shared" si="223"/>
        <v/>
      </c>
      <c r="TT9" s="40" t="str">
        <f t="shared" si="224"/>
        <v/>
      </c>
      <c r="TU9" s="40" t="str">
        <f t="shared" si="225"/>
        <v/>
      </c>
      <c r="TV9" s="40" t="str">
        <f t="shared" si="226"/>
        <v/>
      </c>
      <c r="TW9" s="40" t="str">
        <f t="shared" si="227"/>
        <v/>
      </c>
      <c r="TX9" s="40" t="str">
        <f t="shared" si="228"/>
        <v/>
      </c>
      <c r="TY9" s="40" t="str">
        <f t="shared" si="229"/>
        <v/>
      </c>
      <c r="TZ9" s="40" t="str">
        <f t="shared" si="230"/>
        <v/>
      </c>
      <c r="UA9" s="40" t="str">
        <f t="shared" si="231"/>
        <v/>
      </c>
      <c r="UB9" s="40" t="str">
        <f t="shared" si="232"/>
        <v/>
      </c>
      <c r="UC9" s="40" t="str">
        <f t="shared" si="233"/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 t="shared" si="234"/>
        <v/>
      </c>
      <c r="UY9" s="11" t="str">
        <f t="shared" si="235"/>
        <v/>
      </c>
      <c r="UZ9" s="11" t="str">
        <f t="shared" si="236"/>
        <v/>
      </c>
      <c r="VA9" s="11" t="str">
        <f t="shared" si="237"/>
        <v/>
      </c>
      <c r="VB9" s="11" t="str">
        <f t="shared" si="238"/>
        <v/>
      </c>
      <c r="VC9" s="11" t="str">
        <f t="shared" si="239"/>
        <v/>
      </c>
      <c r="VD9" s="11" t="str">
        <f t="shared" si="240"/>
        <v/>
      </c>
      <c r="VE9" s="11" t="str">
        <f t="shared" si="241"/>
        <v/>
      </c>
      <c r="VF9" s="11" t="str">
        <f t="shared" si="242"/>
        <v/>
      </c>
      <c r="VG9" s="11" t="str">
        <f t="shared" si="243"/>
        <v/>
      </c>
      <c r="VH9" s="11" t="str">
        <f t="shared" si="244"/>
        <v/>
      </c>
      <c r="VI9" s="11" t="str">
        <f t="shared" si="245"/>
        <v/>
      </c>
      <c r="VJ9" s="11" t="str">
        <f t="shared" si="246"/>
        <v/>
      </c>
      <c r="VK9" s="11" t="str">
        <f t="shared" si="247"/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 t="shared" si="248"/>
        <v/>
      </c>
      <c r="WG9" s="40" t="str">
        <f t="shared" si="249"/>
        <v/>
      </c>
      <c r="WH9" s="40" t="str">
        <f t="shared" si="250"/>
        <v/>
      </c>
      <c r="WI9" s="40" t="str">
        <f t="shared" si="251"/>
        <v/>
      </c>
      <c r="WJ9" s="40" t="str">
        <f t="shared" si="252"/>
        <v/>
      </c>
      <c r="WK9" s="40" t="str">
        <f t="shared" si="253"/>
        <v/>
      </c>
      <c r="WL9" s="40" t="str">
        <f t="shared" si="254"/>
        <v/>
      </c>
      <c r="WM9" s="40" t="str">
        <f t="shared" si="255"/>
        <v/>
      </c>
      <c r="WN9" s="40" t="str">
        <f t="shared" si="256"/>
        <v/>
      </c>
      <c r="WO9" s="40" t="str">
        <f t="shared" si="257"/>
        <v/>
      </c>
      <c r="WP9" s="40" t="str">
        <f t="shared" si="258"/>
        <v/>
      </c>
      <c r="WQ9" s="40" t="str">
        <f t="shared" si="259"/>
        <v/>
      </c>
      <c r="WR9" s="40" t="str">
        <f t="shared" si="260"/>
        <v/>
      </c>
      <c r="WS9" s="40" t="str">
        <f t="shared" si="261"/>
        <v/>
      </c>
      <c r="WT9" s="26">
        <f t="shared" si="262"/>
        <v>13.15</v>
      </c>
      <c r="WU9" s="26">
        <f t="shared" si="263"/>
        <v>8.25</v>
      </c>
      <c r="WV9" s="26">
        <f t="shared" si="264"/>
        <v>11.55</v>
      </c>
      <c r="WW9" s="26">
        <f t="shared" si="265"/>
        <v>12.574999999999999</v>
      </c>
      <c r="WX9" s="26">
        <f t="shared" si="266"/>
        <v>0</v>
      </c>
      <c r="WY9" s="26">
        <f t="shared" si="267"/>
        <v>14.45</v>
      </c>
      <c r="WZ9" s="26">
        <f t="shared" si="268"/>
        <v>9.1000000000000014</v>
      </c>
      <c r="XA9" s="26">
        <f t="shared" si="269"/>
        <v>13.35</v>
      </c>
      <c r="XB9" s="26">
        <f t="shared" si="270"/>
        <v>14.074999999999999</v>
      </c>
      <c r="XC9" s="26">
        <f t="shared" si="271"/>
        <v>0</v>
      </c>
      <c r="XD9" s="26">
        <f t="shared" si="272"/>
        <v>14.6</v>
      </c>
      <c r="XE9" s="26">
        <f t="shared" si="273"/>
        <v>9.75</v>
      </c>
      <c r="XF9" s="26">
        <f t="shared" si="274"/>
        <v>13.35</v>
      </c>
      <c r="XG9" s="26">
        <f t="shared" si="275"/>
        <v>13.895</v>
      </c>
      <c r="XH9" s="26">
        <f t="shared" si="276"/>
        <v>0</v>
      </c>
      <c r="XI9" s="28" t="s">
        <v>53</v>
      </c>
      <c r="XJ9" s="11">
        <f t="shared" si="277"/>
        <v>11.55</v>
      </c>
      <c r="XK9" s="11">
        <f t="shared" si="278"/>
        <v>12.574999999999999</v>
      </c>
      <c r="XL9" s="11">
        <f t="shared" si="279"/>
        <v>45.525000000000006</v>
      </c>
      <c r="XM9" s="11">
        <f t="shared" si="280"/>
        <v>13.35</v>
      </c>
      <c r="XN9" s="11">
        <f t="shared" si="281"/>
        <v>14.074999999999999</v>
      </c>
      <c r="XO9" s="11">
        <f t="shared" si="282"/>
        <v>50.974999999999994</v>
      </c>
      <c r="XP9" s="11">
        <f t="shared" si="283"/>
        <v>50.974999999999994</v>
      </c>
      <c r="XQ9" s="11">
        <f t="shared" si="284"/>
        <v>13.35</v>
      </c>
      <c r="XR9" s="11">
        <f t="shared" si="285"/>
        <v>13.895</v>
      </c>
      <c r="XS9" s="11">
        <f t="shared" si="286"/>
        <v>51.594999999999999</v>
      </c>
      <c r="XT9" s="11">
        <f t="shared" si="287"/>
        <v>102.57</v>
      </c>
    </row>
    <row r="10" spans="1:64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207</v>
      </c>
      <c r="C10" s="4" t="s">
        <v>7</v>
      </c>
      <c r="D10" s="4">
        <v>2007</v>
      </c>
      <c r="E10" s="9">
        <f t="shared" si="0"/>
        <v>231.44002284400514</v>
      </c>
      <c r="F10" s="3" t="str">
        <f t="shared" si="1"/>
        <v>P</v>
      </c>
      <c r="G10" s="3" t="str">
        <f t="shared" si="2"/>
        <v>P</v>
      </c>
      <c r="H10" s="36" t="str">
        <f t="shared" si="3"/>
        <v>Worlds Team</v>
      </c>
      <c r="I10" s="3" t="str">
        <f t="shared" si="4"/>
        <v>P</v>
      </c>
      <c r="J10" s="8">
        <f>IF(COUNT(AQ10,AT10,BR10,BU10,CS10,CV10)&gt;0,LARGE((AQ10,AT10,BR10,BU10,CS10,CV10),1),0)</f>
        <v>51.489999999999995</v>
      </c>
      <c r="K10" s="8" t="str">
        <f t="shared" si="5"/>
        <v>2025 Elite Canada</v>
      </c>
      <c r="L10" s="8">
        <f>IF(COUNT(AQ10,AT10,BR10,BU10,CS10,CV10)&gt;1,LARGE((AQ10,AT10,BR10,BU10,CS10,CV10),2),0)</f>
        <v>49.050000000000004</v>
      </c>
      <c r="M10" s="8" t="str">
        <f t="shared" si="6"/>
        <v>2025 Elite Canada</v>
      </c>
      <c r="N10" s="8">
        <f>IF(COUNT(AQ10,AT10,BR10,BU10,CS10,CV10)&gt;2,LARGE((AQ10,AT10,BR10,BU10,CS10,CV10),3),0)</f>
        <v>47.239999999999995</v>
      </c>
      <c r="O10" s="8" t="str">
        <f t="shared" si="7"/>
        <v>2024 3rd Domestic Trial</v>
      </c>
      <c r="P10" s="8">
        <f t="shared" si="8"/>
        <v>51.730000000000004</v>
      </c>
      <c r="Q10" s="8" t="str">
        <f t="shared" si="9"/>
        <v>2024 3rd Domestic Trial</v>
      </c>
      <c r="R10" s="8">
        <f t="shared" si="10"/>
        <v>14.3</v>
      </c>
      <c r="S10" s="8" t="str">
        <f t="shared" si="11"/>
        <v>2025 Elite Canada</v>
      </c>
      <c r="T10" s="8">
        <f t="shared" si="12"/>
        <v>14.63</v>
      </c>
      <c r="U10" s="8" t="str">
        <f t="shared" si="13"/>
        <v>2024 3rd Domestic Trial</v>
      </c>
      <c r="V10" s="8">
        <f t="shared" si="14"/>
        <v>3.0000000000000071</v>
      </c>
      <c r="W10" s="11" t="str">
        <f t="shared" si="15"/>
        <v>(Prelim)</v>
      </c>
      <c r="X10" s="8" t="str">
        <f t="shared" si="16"/>
        <v>2024 World Cup POR (July 7)</v>
      </c>
      <c r="Y10" s="22">
        <v>13.5</v>
      </c>
      <c r="Z10" s="22">
        <v>8.6999999999999993</v>
      </c>
      <c r="AA10" s="22">
        <v>11.5</v>
      </c>
      <c r="AB10" s="22">
        <v>12.91</v>
      </c>
      <c r="AC10" s="22">
        <v>0</v>
      </c>
      <c r="AD10" s="22">
        <v>4.4000000000000004</v>
      </c>
      <c r="AE10" s="22">
        <v>2.7</v>
      </c>
      <c r="AF10" s="22">
        <v>4.5</v>
      </c>
      <c r="AG10" s="22">
        <v>4.59</v>
      </c>
      <c r="AH10" s="22">
        <v>0</v>
      </c>
      <c r="AI10" s="22"/>
      <c r="AJ10" s="22"/>
      <c r="AK10" s="22"/>
      <c r="AL10" s="22"/>
      <c r="AM10" s="22"/>
      <c r="AN10" s="27"/>
      <c r="AO10" s="38">
        <f t="shared" si="17"/>
        <v>11.5</v>
      </c>
      <c r="AP10" s="38">
        <f t="shared" si="18"/>
        <v>12.91</v>
      </c>
      <c r="AQ10" s="40">
        <f t="shared" si="19"/>
        <v>46.61</v>
      </c>
      <c r="AR10" s="40">
        <f t="shared" si="20"/>
        <v>4.5</v>
      </c>
      <c r="AS10" s="40">
        <f t="shared" si="21"/>
        <v>4.59</v>
      </c>
      <c r="AT10" s="40">
        <f t="shared" si="22"/>
        <v>16.190000000000001</v>
      </c>
      <c r="AU10" s="40">
        <f t="shared" si="23"/>
        <v>46.61</v>
      </c>
      <c r="AV10" s="40" t="str">
        <f t="shared" si="24"/>
        <v/>
      </c>
      <c r="AW10" s="40" t="str">
        <f t="shared" si="25"/>
        <v/>
      </c>
      <c r="AX10" s="40" t="str">
        <f t="shared" si="26"/>
        <v/>
      </c>
      <c r="AY10" s="40">
        <f t="shared" si="27"/>
        <v>46.61</v>
      </c>
      <c r="AZ10" s="26">
        <v>4.4000000000000004</v>
      </c>
      <c r="BA10" s="26">
        <v>2.5</v>
      </c>
      <c r="BB10" s="26">
        <v>4.2</v>
      </c>
      <c r="BC10" s="26">
        <v>4.68</v>
      </c>
      <c r="BD10" s="26">
        <v>0</v>
      </c>
      <c r="BE10" s="26">
        <v>13.6</v>
      </c>
      <c r="BF10" s="26">
        <v>8.3000000000000007</v>
      </c>
      <c r="BG10" s="26">
        <v>11.9</v>
      </c>
      <c r="BH10" s="26">
        <v>13.44</v>
      </c>
      <c r="BI10" s="26">
        <v>0</v>
      </c>
      <c r="BJ10" s="26">
        <v>14.5</v>
      </c>
      <c r="BK10" s="26">
        <v>9.1</v>
      </c>
      <c r="BL10" s="26">
        <v>13.5</v>
      </c>
      <c r="BM10" s="26">
        <v>14.63</v>
      </c>
      <c r="BN10" s="26">
        <v>0</v>
      </c>
      <c r="BO10" s="28"/>
      <c r="BP10" s="39">
        <f t="shared" si="28"/>
        <v>4.2</v>
      </c>
      <c r="BQ10" s="39">
        <f t="shared" si="29"/>
        <v>4.68</v>
      </c>
      <c r="BR10" s="11">
        <f t="shared" si="30"/>
        <v>15.780000000000001</v>
      </c>
      <c r="BS10" s="11">
        <f t="shared" si="31"/>
        <v>11.9</v>
      </c>
      <c r="BT10" s="11">
        <f t="shared" si="32"/>
        <v>13.44</v>
      </c>
      <c r="BU10" s="11">
        <f t="shared" si="33"/>
        <v>47.239999999999995</v>
      </c>
      <c r="BV10" s="11">
        <f t="shared" si="34"/>
        <v>47.239999999999995</v>
      </c>
      <c r="BW10" s="11">
        <f t="shared" si="35"/>
        <v>13.5</v>
      </c>
      <c r="BX10" s="11">
        <f t="shared" si="36"/>
        <v>14.63</v>
      </c>
      <c r="BY10" s="11">
        <f t="shared" si="37"/>
        <v>51.730000000000004</v>
      </c>
      <c r="BZ10" s="11">
        <f t="shared" si="38"/>
        <v>98.97</v>
      </c>
      <c r="CA10" s="22">
        <v>13.5</v>
      </c>
      <c r="CB10" s="22">
        <v>9.1</v>
      </c>
      <c r="CC10" s="22">
        <v>12.4</v>
      </c>
      <c r="CD10" s="22">
        <v>14.35</v>
      </c>
      <c r="CE10" s="22">
        <v>0.3</v>
      </c>
      <c r="CF10" s="22">
        <v>14.8</v>
      </c>
      <c r="CG10" s="22">
        <v>9.1999999999999993</v>
      </c>
      <c r="CH10" s="22">
        <v>13.4</v>
      </c>
      <c r="CI10" s="22">
        <v>14.09</v>
      </c>
      <c r="CJ10" s="22">
        <v>0</v>
      </c>
      <c r="CK10" s="22">
        <v>13.7</v>
      </c>
      <c r="CL10" s="22">
        <v>9.1999999999999993</v>
      </c>
      <c r="CM10" s="22">
        <v>14.3</v>
      </c>
      <c r="CN10" s="22">
        <v>14.26</v>
      </c>
      <c r="CO10" s="22">
        <v>0</v>
      </c>
      <c r="CP10" s="27"/>
      <c r="CQ10" s="38">
        <f t="shared" si="39"/>
        <v>12.4</v>
      </c>
      <c r="CR10" s="38">
        <f t="shared" si="40"/>
        <v>14.35</v>
      </c>
      <c r="CS10" s="40">
        <f t="shared" si="41"/>
        <v>49.050000000000004</v>
      </c>
      <c r="CT10" s="40">
        <f t="shared" si="42"/>
        <v>13.4</v>
      </c>
      <c r="CU10" s="40">
        <f t="shared" si="43"/>
        <v>14.09</v>
      </c>
      <c r="CV10" s="40">
        <f t="shared" si="44"/>
        <v>51.489999999999995</v>
      </c>
      <c r="CW10" s="40">
        <f t="shared" si="45"/>
        <v>51.489999999999995</v>
      </c>
      <c r="CX10" s="40">
        <f t="shared" si="46"/>
        <v>14.3</v>
      </c>
      <c r="CY10" s="40">
        <f t="shared" si="47"/>
        <v>14.26</v>
      </c>
      <c r="CZ10" s="40">
        <f t="shared" si="48"/>
        <v>51.46</v>
      </c>
      <c r="DA10" s="40">
        <f t="shared" si="49"/>
        <v>102.94999999999999</v>
      </c>
      <c r="DB10" s="51">
        <f t="shared" si="50"/>
        <v>3.0000000000000071</v>
      </c>
      <c r="DC10" s="51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40" t="str">
        <f t="shared" si="64"/>
        <v/>
      </c>
      <c r="EK10" s="40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40" t="str">
        <f t="shared" si="92"/>
        <v/>
      </c>
      <c r="HA10" s="40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40" t="str">
        <f t="shared" si="120"/>
        <v/>
      </c>
      <c r="JQ10" s="40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>
        <v>14.3</v>
      </c>
      <c r="LA10" s="17">
        <v>8.9</v>
      </c>
      <c r="LB10" s="17">
        <v>12.9</v>
      </c>
      <c r="LC10" s="17">
        <v>14.14</v>
      </c>
      <c r="LD10" s="17">
        <v>0</v>
      </c>
      <c r="LE10" s="17">
        <v>1.4</v>
      </c>
      <c r="LF10" s="17">
        <v>1</v>
      </c>
      <c r="LG10" s="17">
        <v>2</v>
      </c>
      <c r="LH10" s="17">
        <v>1.58</v>
      </c>
      <c r="LI10" s="17">
        <v>0</v>
      </c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>
        <f t="shared" si="136"/>
        <v>12.9</v>
      </c>
      <c r="LU10" s="40">
        <f t="shared" si="137"/>
        <v>14.14</v>
      </c>
      <c r="LV10" s="40">
        <f t="shared" si="138"/>
        <v>50.24</v>
      </c>
      <c r="LW10" s="40">
        <f t="shared" si="139"/>
        <v>2</v>
      </c>
      <c r="LX10" s="40">
        <f t="shared" si="140"/>
        <v>1.58</v>
      </c>
      <c r="LY10" s="40">
        <f t="shared" si="141"/>
        <v>5.98</v>
      </c>
      <c r="LZ10" s="40">
        <f t="shared" si="142"/>
        <v>50.24</v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40" t="str">
        <f t="shared" si="148"/>
        <v/>
      </c>
      <c r="MG10" s="40">
        <f t="shared" si="149"/>
        <v>50.24</v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40" t="str">
        <f t="shared" si="176"/>
        <v/>
      </c>
      <c r="OW10" s="40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40" t="str">
        <f t="shared" si="204"/>
        <v/>
      </c>
      <c r="RM10" s="40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 t="shared" si="220"/>
        <v/>
      </c>
      <c r="TQ10" s="40" t="str">
        <f t="shared" si="221"/>
        <v/>
      </c>
      <c r="TR10" s="40" t="str">
        <f t="shared" si="222"/>
        <v/>
      </c>
      <c r="TS10" s="40" t="str">
        <f t="shared" si="223"/>
        <v/>
      </c>
      <c r="TT10" s="40" t="str">
        <f t="shared" si="224"/>
        <v/>
      </c>
      <c r="TU10" s="40" t="str">
        <f t="shared" si="225"/>
        <v/>
      </c>
      <c r="TV10" s="40" t="str">
        <f t="shared" si="226"/>
        <v/>
      </c>
      <c r="TW10" s="40" t="str">
        <f t="shared" si="227"/>
        <v/>
      </c>
      <c r="TX10" s="40" t="str">
        <f t="shared" si="228"/>
        <v/>
      </c>
      <c r="TY10" s="40" t="str">
        <f t="shared" si="229"/>
        <v/>
      </c>
      <c r="TZ10" s="40" t="str">
        <f t="shared" si="230"/>
        <v/>
      </c>
      <c r="UA10" s="40" t="str">
        <f t="shared" si="231"/>
        <v/>
      </c>
      <c r="UB10" s="40" t="str">
        <f t="shared" si="232"/>
        <v/>
      </c>
      <c r="UC10" s="40" t="str">
        <f t="shared" si="233"/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 t="shared" si="234"/>
        <v/>
      </c>
      <c r="UY10" s="11" t="str">
        <f t="shared" si="235"/>
        <v/>
      </c>
      <c r="UZ10" s="11" t="str">
        <f t="shared" si="236"/>
        <v/>
      </c>
      <c r="VA10" s="11" t="str">
        <f t="shared" si="237"/>
        <v/>
      </c>
      <c r="VB10" s="11" t="str">
        <f t="shared" si="238"/>
        <v/>
      </c>
      <c r="VC10" s="11" t="str">
        <f t="shared" si="239"/>
        <v/>
      </c>
      <c r="VD10" s="11" t="str">
        <f t="shared" si="240"/>
        <v/>
      </c>
      <c r="VE10" s="11" t="str">
        <f t="shared" si="241"/>
        <v/>
      </c>
      <c r="VF10" s="11" t="str">
        <f t="shared" si="242"/>
        <v/>
      </c>
      <c r="VG10" s="11" t="str">
        <f t="shared" si="243"/>
        <v/>
      </c>
      <c r="VH10" s="11" t="str">
        <f t="shared" si="244"/>
        <v/>
      </c>
      <c r="VI10" s="11" t="str">
        <f t="shared" si="245"/>
        <v/>
      </c>
      <c r="VJ10" s="11" t="str">
        <f t="shared" si="246"/>
        <v/>
      </c>
      <c r="VK10" s="11" t="str">
        <f t="shared" si="247"/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 t="shared" si="248"/>
        <v/>
      </c>
      <c r="WG10" s="40" t="str">
        <f t="shared" si="249"/>
        <v/>
      </c>
      <c r="WH10" s="40" t="str">
        <f t="shared" si="250"/>
        <v/>
      </c>
      <c r="WI10" s="40" t="str">
        <f t="shared" si="251"/>
        <v/>
      </c>
      <c r="WJ10" s="40" t="str">
        <f t="shared" si="252"/>
        <v/>
      </c>
      <c r="WK10" s="40" t="str">
        <f t="shared" si="253"/>
        <v/>
      </c>
      <c r="WL10" s="40" t="str">
        <f t="shared" si="254"/>
        <v/>
      </c>
      <c r="WM10" s="40" t="str">
        <f t="shared" si="255"/>
        <v/>
      </c>
      <c r="WN10" s="40" t="str">
        <f t="shared" si="256"/>
        <v/>
      </c>
      <c r="WO10" s="40" t="str">
        <f t="shared" si="257"/>
        <v/>
      </c>
      <c r="WP10" s="40" t="str">
        <f t="shared" si="258"/>
        <v/>
      </c>
      <c r="WQ10" s="40" t="str">
        <f t="shared" si="259"/>
        <v/>
      </c>
      <c r="WR10" s="40" t="str">
        <f t="shared" si="260"/>
        <v/>
      </c>
      <c r="WS10" s="40" t="str">
        <f t="shared" si="261"/>
        <v/>
      </c>
      <c r="WT10" s="26">
        <f t="shared" si="262"/>
        <v>8.9499999999999993</v>
      </c>
      <c r="WU10" s="26">
        <f t="shared" si="263"/>
        <v>5.8</v>
      </c>
      <c r="WV10" s="26">
        <f t="shared" si="264"/>
        <v>8.3000000000000007</v>
      </c>
      <c r="WW10" s="26">
        <f t="shared" si="265"/>
        <v>9.5150000000000006</v>
      </c>
      <c r="WX10" s="26">
        <f t="shared" si="266"/>
        <v>0.15</v>
      </c>
      <c r="WY10" s="26">
        <f t="shared" si="267"/>
        <v>14.2</v>
      </c>
      <c r="WZ10" s="26">
        <f t="shared" si="268"/>
        <v>8.75</v>
      </c>
      <c r="XA10" s="26">
        <f t="shared" si="269"/>
        <v>12.65</v>
      </c>
      <c r="XB10" s="26">
        <f t="shared" si="270"/>
        <v>13.765000000000001</v>
      </c>
      <c r="XC10" s="26">
        <f t="shared" si="271"/>
        <v>0</v>
      </c>
      <c r="XD10" s="26">
        <f t="shared" si="272"/>
        <v>14.1</v>
      </c>
      <c r="XE10" s="26">
        <f t="shared" si="273"/>
        <v>9.1499999999999986</v>
      </c>
      <c r="XF10" s="26">
        <f t="shared" si="274"/>
        <v>13.9</v>
      </c>
      <c r="XG10" s="26">
        <f t="shared" si="275"/>
        <v>14.445</v>
      </c>
      <c r="XH10" s="26">
        <f t="shared" si="276"/>
        <v>0</v>
      </c>
      <c r="XI10" s="28" t="s">
        <v>53</v>
      </c>
      <c r="XJ10" s="11">
        <f t="shared" si="277"/>
        <v>8.3000000000000007</v>
      </c>
      <c r="XK10" s="11">
        <f t="shared" si="278"/>
        <v>9.5150000000000006</v>
      </c>
      <c r="XL10" s="11">
        <f t="shared" si="279"/>
        <v>32.414999999999999</v>
      </c>
      <c r="XM10" s="11">
        <f t="shared" si="280"/>
        <v>12.65</v>
      </c>
      <c r="XN10" s="11">
        <f t="shared" si="281"/>
        <v>13.765000000000001</v>
      </c>
      <c r="XO10" s="11">
        <f t="shared" si="282"/>
        <v>49.365000000000002</v>
      </c>
      <c r="XP10" s="11">
        <f t="shared" si="283"/>
        <v>49.365000000000002</v>
      </c>
      <c r="XQ10" s="11">
        <f t="shared" si="284"/>
        <v>13.9</v>
      </c>
      <c r="XR10" s="11">
        <f t="shared" si="285"/>
        <v>14.445</v>
      </c>
      <c r="XS10" s="11">
        <f t="shared" si="286"/>
        <v>51.594999999999999</v>
      </c>
      <c r="XT10" s="11">
        <f t="shared" si="287"/>
        <v>100.96000000000001</v>
      </c>
    </row>
    <row r="11" spans="1:64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78</v>
      </c>
      <c r="C11" s="4" t="s">
        <v>6</v>
      </c>
      <c r="D11" s="4">
        <v>2002</v>
      </c>
      <c r="E11" s="9">
        <f t="shared" si="0"/>
        <v>229.57002295700514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51.4</v>
      </c>
      <c r="K11" s="8" t="str">
        <f t="shared" si="5"/>
        <v>2024 3rd Domestic Trial</v>
      </c>
      <c r="L11" s="8">
        <f>IF(COUNT(AQ11,AT11,BR11,BU11,CS11,CV11)&gt;1,LARGE((AQ11,AT11,BR11,BU11,CS11,CV11),2),0)</f>
        <v>51.14</v>
      </c>
      <c r="M11" s="8" t="str">
        <f t="shared" si="6"/>
        <v>2024 3rd Domestic Trial</v>
      </c>
      <c r="N11" s="8">
        <f>IF(COUNT(AQ11,AT11,BR11,BU11,CS11,CV11)&gt;2,LARGE((AQ11,AT11,BR11,BU11,CS11,CV11),3),0)</f>
        <v>49.2</v>
      </c>
      <c r="O11" s="8" t="str">
        <f t="shared" si="7"/>
        <v>2025 Elite Canada</v>
      </c>
      <c r="P11" s="8">
        <f t="shared" si="8"/>
        <v>50.29</v>
      </c>
      <c r="Q11" s="8" t="str">
        <f t="shared" si="9"/>
        <v>2024 Nationals</v>
      </c>
      <c r="R11" s="8">
        <f t="shared" si="10"/>
        <v>12.9</v>
      </c>
      <c r="S11" s="8" t="str">
        <f t="shared" si="11"/>
        <v>2024 3rd Domestic Trial</v>
      </c>
      <c r="T11" s="8">
        <f t="shared" si="12"/>
        <v>14.64</v>
      </c>
      <c r="U11" s="8" t="str">
        <f t="shared" si="13"/>
        <v>2024 3rd Domestic Trial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2">
        <v>6.6</v>
      </c>
      <c r="Z11" s="22">
        <v>3.3</v>
      </c>
      <c r="AA11" s="22">
        <v>4.7</v>
      </c>
      <c r="AB11" s="22">
        <v>5.89</v>
      </c>
      <c r="AC11" s="22">
        <v>0</v>
      </c>
      <c r="AD11" s="22">
        <v>13.1</v>
      </c>
      <c r="AE11" s="22">
        <v>8.8000000000000007</v>
      </c>
      <c r="AF11" s="22">
        <v>11.5</v>
      </c>
      <c r="AG11" s="22">
        <v>13.65</v>
      </c>
      <c r="AH11" s="22">
        <v>0</v>
      </c>
      <c r="AI11" s="22">
        <v>14.4</v>
      </c>
      <c r="AJ11" s="22">
        <v>9.1</v>
      </c>
      <c r="AK11" s="22">
        <v>12.4</v>
      </c>
      <c r="AL11" s="22">
        <v>14.39</v>
      </c>
      <c r="AM11" s="22">
        <v>0</v>
      </c>
      <c r="AN11" s="27"/>
      <c r="AO11" s="38">
        <f t="shared" si="17"/>
        <v>4.7</v>
      </c>
      <c r="AP11" s="38">
        <f t="shared" si="18"/>
        <v>5.89</v>
      </c>
      <c r="AQ11" s="40">
        <f t="shared" si="19"/>
        <v>20.49</v>
      </c>
      <c r="AR11" s="40">
        <f t="shared" si="20"/>
        <v>11.5</v>
      </c>
      <c r="AS11" s="40">
        <f t="shared" si="21"/>
        <v>13.65</v>
      </c>
      <c r="AT11" s="40">
        <f t="shared" si="22"/>
        <v>47.05</v>
      </c>
      <c r="AU11" s="40">
        <f t="shared" si="23"/>
        <v>47.05</v>
      </c>
      <c r="AV11" s="40">
        <f t="shared" si="24"/>
        <v>12.4</v>
      </c>
      <c r="AW11" s="40">
        <f t="shared" si="25"/>
        <v>14.39</v>
      </c>
      <c r="AX11" s="40">
        <f t="shared" si="26"/>
        <v>50.29</v>
      </c>
      <c r="AY11" s="40">
        <f t="shared" si="27"/>
        <v>97.34</v>
      </c>
      <c r="AZ11" s="26">
        <v>14.8</v>
      </c>
      <c r="BA11" s="26">
        <v>9.1999999999999993</v>
      </c>
      <c r="BB11" s="26">
        <v>12.9</v>
      </c>
      <c r="BC11" s="26">
        <v>14.5</v>
      </c>
      <c r="BD11" s="26">
        <v>0</v>
      </c>
      <c r="BE11" s="26">
        <v>14.6</v>
      </c>
      <c r="BF11" s="26">
        <v>9</v>
      </c>
      <c r="BG11" s="26">
        <v>12.9</v>
      </c>
      <c r="BH11" s="26">
        <v>14.64</v>
      </c>
      <c r="BI11" s="26">
        <v>0</v>
      </c>
      <c r="BJ11" s="26">
        <v>11.6</v>
      </c>
      <c r="BK11" s="26">
        <v>6.5</v>
      </c>
      <c r="BL11" s="26">
        <v>10.199999999999999</v>
      </c>
      <c r="BM11" s="26">
        <v>11.69</v>
      </c>
      <c r="BN11" s="26">
        <v>0</v>
      </c>
      <c r="BO11" s="28"/>
      <c r="BP11" s="39">
        <f t="shared" si="28"/>
        <v>12.9</v>
      </c>
      <c r="BQ11" s="39">
        <f t="shared" si="29"/>
        <v>14.5</v>
      </c>
      <c r="BR11" s="11">
        <f t="shared" si="30"/>
        <v>51.4</v>
      </c>
      <c r="BS11" s="11">
        <f t="shared" si="31"/>
        <v>12.9</v>
      </c>
      <c r="BT11" s="11">
        <f t="shared" si="32"/>
        <v>14.64</v>
      </c>
      <c r="BU11" s="11">
        <f t="shared" si="33"/>
        <v>51.14</v>
      </c>
      <c r="BV11" s="11">
        <f t="shared" si="34"/>
        <v>51.4</v>
      </c>
      <c r="BW11" s="11">
        <f t="shared" si="35"/>
        <v>10.199999999999999</v>
      </c>
      <c r="BX11" s="11">
        <f t="shared" si="36"/>
        <v>11.69</v>
      </c>
      <c r="BY11" s="11">
        <f t="shared" si="37"/>
        <v>39.99</v>
      </c>
      <c r="BZ11" s="11">
        <f t="shared" si="38"/>
        <v>91.39</v>
      </c>
      <c r="CA11" s="22">
        <v>7.7</v>
      </c>
      <c r="CB11" s="22">
        <v>4.5</v>
      </c>
      <c r="CC11" s="22">
        <v>6.4</v>
      </c>
      <c r="CD11" s="22">
        <v>7.74</v>
      </c>
      <c r="CE11" s="22">
        <v>0</v>
      </c>
      <c r="CF11" s="22">
        <v>15.1</v>
      </c>
      <c r="CG11" s="22">
        <v>9.1</v>
      </c>
      <c r="CH11" s="22">
        <v>11.8</v>
      </c>
      <c r="CI11" s="22">
        <v>14.1</v>
      </c>
      <c r="CJ11" s="22">
        <v>0.9</v>
      </c>
      <c r="CK11" s="22">
        <v>13.5</v>
      </c>
      <c r="CL11" s="22">
        <v>8.9</v>
      </c>
      <c r="CM11" s="22">
        <v>11.4</v>
      </c>
      <c r="CN11" s="22">
        <v>13.85</v>
      </c>
      <c r="CO11" s="22">
        <v>1.3</v>
      </c>
      <c r="CP11" s="27"/>
      <c r="CQ11" s="38">
        <f t="shared" si="39"/>
        <v>6.4</v>
      </c>
      <c r="CR11" s="38">
        <f t="shared" si="40"/>
        <v>7.74</v>
      </c>
      <c r="CS11" s="40">
        <f t="shared" si="41"/>
        <v>26.340000000000003</v>
      </c>
      <c r="CT11" s="40">
        <f t="shared" si="42"/>
        <v>11.8</v>
      </c>
      <c r="CU11" s="40">
        <f t="shared" si="43"/>
        <v>14.1</v>
      </c>
      <c r="CV11" s="40">
        <f t="shared" si="44"/>
        <v>49.2</v>
      </c>
      <c r="CW11" s="40">
        <f t="shared" si="45"/>
        <v>49.2</v>
      </c>
      <c r="CX11" s="40">
        <f t="shared" si="46"/>
        <v>11.4</v>
      </c>
      <c r="CY11" s="40">
        <f t="shared" si="47"/>
        <v>13.85</v>
      </c>
      <c r="CZ11" s="40">
        <f t="shared" si="48"/>
        <v>46.35</v>
      </c>
      <c r="DA11" s="40">
        <f t="shared" si="49"/>
        <v>95.550000000000011</v>
      </c>
      <c r="DB11" s="51" t="str">
        <f t="shared" si="50"/>
        <v/>
      </c>
      <c r="DC11" s="51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40" t="str">
        <f t="shared" si="64"/>
        <v/>
      </c>
      <c r="EK11" s="40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40" t="str">
        <f t="shared" si="92"/>
        <v/>
      </c>
      <c r="HA11" s="40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40" t="str">
        <f t="shared" si="120"/>
        <v/>
      </c>
      <c r="JQ11" s="40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40" t="str">
        <f t="shared" si="148"/>
        <v/>
      </c>
      <c r="MG11" s="40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40" t="str">
        <f t="shared" si="176"/>
        <v/>
      </c>
      <c r="OW11" s="40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40" t="str">
        <f t="shared" si="204"/>
        <v/>
      </c>
      <c r="RM11" s="40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 t="shared" si="220"/>
        <v/>
      </c>
      <c r="TQ11" s="40" t="str">
        <f t="shared" si="221"/>
        <v/>
      </c>
      <c r="TR11" s="40" t="str">
        <f t="shared" si="222"/>
        <v/>
      </c>
      <c r="TS11" s="40" t="str">
        <f t="shared" si="223"/>
        <v/>
      </c>
      <c r="TT11" s="40" t="str">
        <f t="shared" si="224"/>
        <v/>
      </c>
      <c r="TU11" s="40" t="str">
        <f t="shared" si="225"/>
        <v/>
      </c>
      <c r="TV11" s="40" t="str">
        <f t="shared" si="226"/>
        <v/>
      </c>
      <c r="TW11" s="40" t="str">
        <f t="shared" si="227"/>
        <v/>
      </c>
      <c r="TX11" s="40" t="str">
        <f t="shared" si="228"/>
        <v/>
      </c>
      <c r="TY11" s="40" t="str">
        <f t="shared" si="229"/>
        <v/>
      </c>
      <c r="TZ11" s="40" t="str">
        <f t="shared" si="230"/>
        <v/>
      </c>
      <c r="UA11" s="40" t="str">
        <f t="shared" si="231"/>
        <v/>
      </c>
      <c r="UB11" s="40" t="str">
        <f t="shared" si="232"/>
        <v/>
      </c>
      <c r="UC11" s="40" t="str">
        <f t="shared" si="233"/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 t="shared" si="234"/>
        <v/>
      </c>
      <c r="UY11" s="11" t="str">
        <f t="shared" si="235"/>
        <v/>
      </c>
      <c r="UZ11" s="11" t="str">
        <f t="shared" si="236"/>
        <v/>
      </c>
      <c r="VA11" s="11" t="str">
        <f t="shared" si="237"/>
        <v/>
      </c>
      <c r="VB11" s="11" t="str">
        <f t="shared" si="238"/>
        <v/>
      </c>
      <c r="VC11" s="11" t="str">
        <f t="shared" si="239"/>
        <v/>
      </c>
      <c r="VD11" s="11" t="str">
        <f t="shared" si="240"/>
        <v/>
      </c>
      <c r="VE11" s="11" t="str">
        <f t="shared" si="241"/>
        <v/>
      </c>
      <c r="VF11" s="11" t="str">
        <f t="shared" si="242"/>
        <v/>
      </c>
      <c r="VG11" s="11" t="str">
        <f t="shared" si="243"/>
        <v/>
      </c>
      <c r="VH11" s="11" t="str">
        <f t="shared" si="244"/>
        <v/>
      </c>
      <c r="VI11" s="11" t="str">
        <f t="shared" si="245"/>
        <v/>
      </c>
      <c r="VJ11" s="11" t="str">
        <f t="shared" si="246"/>
        <v/>
      </c>
      <c r="VK11" s="11" t="str">
        <f t="shared" si="247"/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 t="shared" si="248"/>
        <v/>
      </c>
      <c r="WG11" s="40" t="str">
        <f t="shared" si="249"/>
        <v/>
      </c>
      <c r="WH11" s="40" t="str">
        <f t="shared" si="250"/>
        <v/>
      </c>
      <c r="WI11" s="40" t="str">
        <f t="shared" si="251"/>
        <v/>
      </c>
      <c r="WJ11" s="40" t="str">
        <f t="shared" si="252"/>
        <v/>
      </c>
      <c r="WK11" s="40" t="str">
        <f t="shared" si="253"/>
        <v/>
      </c>
      <c r="WL11" s="40" t="str">
        <f t="shared" si="254"/>
        <v/>
      </c>
      <c r="WM11" s="40" t="str">
        <f t="shared" si="255"/>
        <v/>
      </c>
      <c r="WN11" s="40" t="str">
        <f t="shared" si="256"/>
        <v/>
      </c>
      <c r="WO11" s="40" t="str">
        <f t="shared" si="257"/>
        <v/>
      </c>
      <c r="WP11" s="40" t="str">
        <f t="shared" si="258"/>
        <v/>
      </c>
      <c r="WQ11" s="40" t="str">
        <f t="shared" si="259"/>
        <v/>
      </c>
      <c r="WR11" s="40" t="str">
        <f t="shared" si="260"/>
        <v/>
      </c>
      <c r="WS11" s="40" t="str">
        <f t="shared" si="261"/>
        <v/>
      </c>
      <c r="WT11" s="26">
        <f t="shared" si="262"/>
        <v>11.25</v>
      </c>
      <c r="WU11" s="26">
        <f t="shared" si="263"/>
        <v>6.85</v>
      </c>
      <c r="WV11" s="26">
        <f t="shared" si="264"/>
        <v>9.65</v>
      </c>
      <c r="WW11" s="26">
        <f t="shared" si="265"/>
        <v>11.120000000000001</v>
      </c>
      <c r="WX11" s="26">
        <f t="shared" si="266"/>
        <v>0</v>
      </c>
      <c r="WY11" s="26">
        <f t="shared" si="267"/>
        <v>14.85</v>
      </c>
      <c r="WZ11" s="26">
        <f t="shared" si="268"/>
        <v>9.0500000000000007</v>
      </c>
      <c r="XA11" s="26">
        <f t="shared" si="269"/>
        <v>12.350000000000001</v>
      </c>
      <c r="XB11" s="26">
        <f t="shared" si="270"/>
        <v>14.370000000000001</v>
      </c>
      <c r="XC11" s="26">
        <f t="shared" si="271"/>
        <v>0.45</v>
      </c>
      <c r="XD11" s="26">
        <f t="shared" si="272"/>
        <v>12.55</v>
      </c>
      <c r="XE11" s="26">
        <f t="shared" si="273"/>
        <v>7.7</v>
      </c>
      <c r="XF11" s="26">
        <f t="shared" si="274"/>
        <v>10.8</v>
      </c>
      <c r="XG11" s="26">
        <f t="shared" si="275"/>
        <v>12.77</v>
      </c>
      <c r="XH11" s="26">
        <f t="shared" si="276"/>
        <v>0.65</v>
      </c>
      <c r="XI11" s="28" t="s">
        <v>53</v>
      </c>
      <c r="XJ11" s="11">
        <f t="shared" si="277"/>
        <v>9.65</v>
      </c>
      <c r="XK11" s="11">
        <f t="shared" si="278"/>
        <v>11.120000000000001</v>
      </c>
      <c r="XL11" s="11">
        <f t="shared" si="279"/>
        <v>38.870000000000005</v>
      </c>
      <c r="XM11" s="11">
        <f t="shared" si="280"/>
        <v>12.350000000000001</v>
      </c>
      <c r="XN11" s="11">
        <f t="shared" si="281"/>
        <v>14.370000000000001</v>
      </c>
      <c r="XO11" s="11">
        <f t="shared" si="282"/>
        <v>50.17</v>
      </c>
      <c r="XP11" s="11">
        <f t="shared" si="283"/>
        <v>50.17</v>
      </c>
      <c r="XQ11" s="11">
        <f t="shared" si="284"/>
        <v>10.8</v>
      </c>
      <c r="XR11" s="11">
        <f t="shared" si="285"/>
        <v>12.77</v>
      </c>
      <c r="XS11" s="11">
        <f t="shared" si="286"/>
        <v>43.17</v>
      </c>
      <c r="XT11" s="11">
        <f t="shared" si="287"/>
        <v>93.34</v>
      </c>
    </row>
    <row r="12" spans="1:64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26</v>
      </c>
      <c r="C12" s="4" t="s">
        <v>3</v>
      </c>
      <c r="D12" s="4">
        <v>1998</v>
      </c>
      <c r="E12" s="9">
        <f t="shared" si="0"/>
        <v>222.39502223950538</v>
      </c>
      <c r="F12" s="3" t="str">
        <f t="shared" si="1"/>
        <v>P</v>
      </c>
      <c r="G12" s="3" t="str">
        <f t="shared" si="2"/>
        <v>P</v>
      </c>
      <c r="H12" s="36" t="str">
        <f t="shared" si="3"/>
        <v>Excellence</v>
      </c>
      <c r="I12" s="3" t="str">
        <f t="shared" si="4"/>
        <v>P</v>
      </c>
      <c r="J12" s="8">
        <f>IF(COUNT(AQ12,AT12,BR12,BU12,CS12,CV12)&gt;0,LARGE((AQ12,AT12,BR12,BU12,CS12,CV12),1),0)</f>
        <v>53.745000000000005</v>
      </c>
      <c r="K12" s="8" t="str">
        <f t="shared" si="5"/>
        <v>2025 Elite Canada</v>
      </c>
      <c r="L12" s="8">
        <f>IF(COUNT(AQ12,AT12,BR12,BU12,CS12,CV12)&gt;1,LARGE((AQ12,AT12,BR12,BU12,CS12,CV12),2),0)</f>
        <v>53.745000000000005</v>
      </c>
      <c r="M12" s="8" t="str">
        <f t="shared" si="6"/>
        <v>2025 Elite Canada</v>
      </c>
      <c r="N12" s="8">
        <f>IF(COUNT(AQ12,AT12,BR12,BU12,CS12,CV12)&gt;2,LARGE((AQ12,AT12,BR12,BU12,CS12,CV12),3),0)</f>
        <v>53.12</v>
      </c>
      <c r="O12" s="8" t="str">
        <f t="shared" si="7"/>
        <v>2024 Nationals</v>
      </c>
      <c r="P12" s="8">
        <f t="shared" si="8"/>
        <v>32.94</v>
      </c>
      <c r="Q12" s="8" t="str">
        <f t="shared" si="9"/>
        <v>2025 Elite Canada</v>
      </c>
      <c r="R12" s="8">
        <f t="shared" si="10"/>
        <v>14.2</v>
      </c>
      <c r="S12" s="8" t="str">
        <f t="shared" si="11"/>
        <v>2024 World Cup SUI (Jun 29)</v>
      </c>
      <c r="T12" s="8">
        <f t="shared" si="12"/>
        <v>14.645</v>
      </c>
      <c r="U12" s="8" t="str">
        <f t="shared" si="13"/>
        <v>2025 Elite Canada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2">
        <v>15.5</v>
      </c>
      <c r="Z12" s="22">
        <v>9.3000000000000007</v>
      </c>
      <c r="AA12" s="22">
        <v>14</v>
      </c>
      <c r="AB12" s="22">
        <v>14.32</v>
      </c>
      <c r="AC12" s="22">
        <v>0</v>
      </c>
      <c r="AD12" s="22">
        <v>1.6</v>
      </c>
      <c r="AE12" s="22">
        <v>0.8</v>
      </c>
      <c r="AF12" s="22">
        <v>2</v>
      </c>
      <c r="AG12" s="22">
        <v>1.59</v>
      </c>
      <c r="AH12" s="22">
        <v>0</v>
      </c>
      <c r="AI12" s="22">
        <v>3.2</v>
      </c>
      <c r="AJ12" s="22">
        <v>1.8</v>
      </c>
      <c r="AK12" s="22">
        <v>3.2</v>
      </c>
      <c r="AL12" s="22">
        <v>3.11</v>
      </c>
      <c r="AM12" s="22">
        <v>0</v>
      </c>
      <c r="AN12" s="27"/>
      <c r="AO12" s="38">
        <f t="shared" si="17"/>
        <v>14</v>
      </c>
      <c r="AP12" s="38">
        <f t="shared" si="18"/>
        <v>14.32</v>
      </c>
      <c r="AQ12" s="40">
        <f t="shared" si="19"/>
        <v>53.12</v>
      </c>
      <c r="AR12" s="40">
        <f t="shared" si="20"/>
        <v>2</v>
      </c>
      <c r="AS12" s="40">
        <f t="shared" si="21"/>
        <v>1.59</v>
      </c>
      <c r="AT12" s="40">
        <f t="shared" si="22"/>
        <v>5.99</v>
      </c>
      <c r="AU12" s="40">
        <f t="shared" si="23"/>
        <v>53.12</v>
      </c>
      <c r="AV12" s="40">
        <f t="shared" si="24"/>
        <v>3.2</v>
      </c>
      <c r="AW12" s="40">
        <f t="shared" si="25"/>
        <v>3.11</v>
      </c>
      <c r="AX12" s="40">
        <f t="shared" si="26"/>
        <v>11.309999999999999</v>
      </c>
      <c r="AY12" s="40">
        <f t="shared" si="27"/>
        <v>64.429999999999993</v>
      </c>
      <c r="AZ12" s="26">
        <v>15.75</v>
      </c>
      <c r="BA12" s="26">
        <v>9.25</v>
      </c>
      <c r="BB12" s="26">
        <v>14.1</v>
      </c>
      <c r="BC12" s="26">
        <v>14.645</v>
      </c>
      <c r="BD12" s="26">
        <v>0</v>
      </c>
      <c r="BE12" s="26">
        <v>8.7000000000000011</v>
      </c>
      <c r="BF12" s="26">
        <v>4.8000000000000007</v>
      </c>
      <c r="BG12" s="26">
        <v>8</v>
      </c>
      <c r="BH12" s="26">
        <v>8.3000000000000007</v>
      </c>
      <c r="BI12" s="26">
        <v>0</v>
      </c>
      <c r="BJ12" s="26">
        <v>9.7999999999999989</v>
      </c>
      <c r="BK12" s="26">
        <v>5.6000000000000005</v>
      </c>
      <c r="BL12" s="26">
        <v>8.6999999999999993</v>
      </c>
      <c r="BM12" s="26">
        <v>8.84</v>
      </c>
      <c r="BN12" s="26">
        <v>0</v>
      </c>
      <c r="BO12" s="28" t="s">
        <v>53</v>
      </c>
      <c r="BP12" s="39">
        <f t="shared" si="28"/>
        <v>14.1</v>
      </c>
      <c r="BQ12" s="39">
        <f t="shared" si="29"/>
        <v>14.645</v>
      </c>
      <c r="BR12" s="11">
        <f t="shared" si="30"/>
        <v>53.745000000000005</v>
      </c>
      <c r="BS12" s="11">
        <f t="shared" si="31"/>
        <v>8</v>
      </c>
      <c r="BT12" s="11">
        <f t="shared" si="32"/>
        <v>8.3000000000000007</v>
      </c>
      <c r="BU12" s="11">
        <f t="shared" si="33"/>
        <v>29.8</v>
      </c>
      <c r="BV12" s="11">
        <f t="shared" si="34"/>
        <v>53.745000000000005</v>
      </c>
      <c r="BW12" s="11">
        <f t="shared" si="35"/>
        <v>8.6999999999999993</v>
      </c>
      <c r="BX12" s="11">
        <f t="shared" si="36"/>
        <v>8.84</v>
      </c>
      <c r="BY12" s="11">
        <f t="shared" si="37"/>
        <v>32.94</v>
      </c>
      <c r="BZ12" s="11">
        <f t="shared" si="38"/>
        <v>86.685000000000002</v>
      </c>
      <c r="CA12" s="22">
        <v>15.75</v>
      </c>
      <c r="CB12" s="22">
        <v>9.25</v>
      </c>
      <c r="CC12" s="22">
        <v>14.1</v>
      </c>
      <c r="CD12" s="22">
        <v>14.645</v>
      </c>
      <c r="CE12" s="22">
        <v>0</v>
      </c>
      <c r="CF12" s="22">
        <v>8.7000000000000011</v>
      </c>
      <c r="CG12" s="22">
        <v>4.8000000000000007</v>
      </c>
      <c r="CH12" s="22">
        <v>8</v>
      </c>
      <c r="CI12" s="22">
        <v>8.3000000000000007</v>
      </c>
      <c r="CJ12" s="22">
        <v>0</v>
      </c>
      <c r="CK12" s="22">
        <v>9.7999999999999989</v>
      </c>
      <c r="CL12" s="22">
        <v>5.6000000000000005</v>
      </c>
      <c r="CM12" s="22">
        <v>8.6999999999999993</v>
      </c>
      <c r="CN12" s="22">
        <v>8.84</v>
      </c>
      <c r="CO12" s="22">
        <v>0</v>
      </c>
      <c r="CP12" s="27" t="s">
        <v>53</v>
      </c>
      <c r="CQ12" s="38">
        <f t="shared" si="39"/>
        <v>14.1</v>
      </c>
      <c r="CR12" s="38">
        <f t="shared" si="40"/>
        <v>14.645</v>
      </c>
      <c r="CS12" s="40">
        <f t="shared" si="41"/>
        <v>53.745000000000005</v>
      </c>
      <c r="CT12" s="40">
        <f t="shared" si="42"/>
        <v>8</v>
      </c>
      <c r="CU12" s="40">
        <f t="shared" si="43"/>
        <v>8.3000000000000007</v>
      </c>
      <c r="CV12" s="40">
        <f t="shared" si="44"/>
        <v>29.8</v>
      </c>
      <c r="CW12" s="40">
        <f t="shared" si="45"/>
        <v>53.745000000000005</v>
      </c>
      <c r="CX12" s="40">
        <f t="shared" si="46"/>
        <v>8.6999999999999993</v>
      </c>
      <c r="CY12" s="40">
        <f t="shared" si="47"/>
        <v>8.84</v>
      </c>
      <c r="CZ12" s="40">
        <f t="shared" si="48"/>
        <v>32.94</v>
      </c>
      <c r="DA12" s="40">
        <f t="shared" si="49"/>
        <v>86.685000000000002</v>
      </c>
      <c r="DB12" s="51" t="str">
        <f t="shared" si="50"/>
        <v/>
      </c>
      <c r="DC12" s="51" t="str">
        <f t="shared" si="51"/>
        <v/>
      </c>
      <c r="DD12" s="17">
        <v>14.1</v>
      </c>
      <c r="DE12" s="17">
        <v>9.4</v>
      </c>
      <c r="DF12" s="17">
        <v>14.2</v>
      </c>
      <c r="DG12" s="17">
        <v>14.33</v>
      </c>
      <c r="DH12" s="17">
        <v>0</v>
      </c>
      <c r="DI12" s="17">
        <v>14.3</v>
      </c>
      <c r="DJ12" s="17">
        <v>9.3000000000000007</v>
      </c>
      <c r="DK12" s="17">
        <v>14.2</v>
      </c>
      <c r="DL12" s="17">
        <v>14.19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>
        <f t="shared" si="52"/>
        <v>14.2</v>
      </c>
      <c r="DY12" s="40">
        <f t="shared" si="53"/>
        <v>14.33</v>
      </c>
      <c r="DZ12" s="40">
        <f t="shared" si="54"/>
        <v>52.03</v>
      </c>
      <c r="EA12" s="40">
        <f t="shared" si="55"/>
        <v>14.2</v>
      </c>
      <c r="EB12" s="40">
        <f t="shared" si="56"/>
        <v>14.19</v>
      </c>
      <c r="EC12" s="40">
        <f t="shared" si="57"/>
        <v>51.989999999999995</v>
      </c>
      <c r="ED12" s="40">
        <f t="shared" si="58"/>
        <v>52.03</v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40" t="str">
        <f t="shared" si="64"/>
        <v/>
      </c>
      <c r="EK12" s="40">
        <f t="shared" si="65"/>
        <v>52.03</v>
      </c>
      <c r="EL12" s="18">
        <v>3.1</v>
      </c>
      <c r="EM12" s="18">
        <v>1.8</v>
      </c>
      <c r="EN12" s="18">
        <v>3.2</v>
      </c>
      <c r="EO12" s="18">
        <v>3.18</v>
      </c>
      <c r="EP12" s="18">
        <v>0</v>
      </c>
      <c r="EQ12" s="18">
        <v>15.8</v>
      </c>
      <c r="ER12" s="18">
        <v>9</v>
      </c>
      <c r="ES12" s="18">
        <v>12.1</v>
      </c>
      <c r="ET12" s="18">
        <v>14.58</v>
      </c>
      <c r="EU12" s="18">
        <v>0</v>
      </c>
      <c r="EV12" s="18"/>
      <c r="EW12" s="18"/>
      <c r="EX12" s="18"/>
      <c r="EY12" s="18"/>
      <c r="EZ12" s="18"/>
      <c r="FA12" s="18">
        <v>3.2</v>
      </c>
      <c r="FB12" s="18">
        <v>1.7</v>
      </c>
      <c r="FC12" s="18">
        <v>3.2</v>
      </c>
      <c r="FD12" s="18">
        <v>3.21</v>
      </c>
      <c r="FE12" s="18">
        <v>0</v>
      </c>
      <c r="FF12" s="11">
        <f t="shared" si="66"/>
        <v>3.2</v>
      </c>
      <c r="FG12" s="11">
        <f t="shared" si="67"/>
        <v>3.18</v>
      </c>
      <c r="FH12" s="11">
        <f t="shared" si="68"/>
        <v>11.280000000000001</v>
      </c>
      <c r="FI12" s="11">
        <f t="shared" si="69"/>
        <v>12.1</v>
      </c>
      <c r="FJ12" s="11">
        <f t="shared" si="70"/>
        <v>14.58</v>
      </c>
      <c r="FK12" s="11">
        <f t="shared" si="71"/>
        <v>51.48</v>
      </c>
      <c r="FL12" s="11">
        <f t="shared" si="72"/>
        <v>51.48</v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>
        <f t="shared" si="76"/>
        <v>3.2</v>
      </c>
      <c r="FQ12" s="11">
        <f t="shared" si="77"/>
        <v>3.21</v>
      </c>
      <c r="FR12" s="11">
        <f t="shared" si="78"/>
        <v>11.310000000000002</v>
      </c>
      <c r="FS12" s="11">
        <f t="shared" si="79"/>
        <v>62.79</v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40" t="str">
        <f t="shared" si="92"/>
        <v/>
      </c>
      <c r="HA12" s="40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>
        <v>14.3</v>
      </c>
      <c r="IK12" s="17">
        <v>8.6</v>
      </c>
      <c r="IL12" s="17">
        <v>14.2</v>
      </c>
      <c r="IM12" s="17">
        <v>14.46</v>
      </c>
      <c r="IN12" s="17">
        <v>0</v>
      </c>
      <c r="IO12" s="17">
        <v>14.6</v>
      </c>
      <c r="IP12" s="17">
        <v>9.1</v>
      </c>
      <c r="IQ12" s="17">
        <v>14.2</v>
      </c>
      <c r="IR12" s="17">
        <v>14.58</v>
      </c>
      <c r="IS12" s="17">
        <v>0</v>
      </c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>
        <f t="shared" si="108"/>
        <v>14.2</v>
      </c>
      <c r="JE12" s="40">
        <f t="shared" si="109"/>
        <v>14.46</v>
      </c>
      <c r="JF12" s="40">
        <f t="shared" si="110"/>
        <v>51.559999999999995</v>
      </c>
      <c r="JG12" s="40">
        <f t="shared" si="111"/>
        <v>14.2</v>
      </c>
      <c r="JH12" s="40">
        <f t="shared" si="112"/>
        <v>14.58</v>
      </c>
      <c r="JI12" s="40">
        <f t="shared" si="113"/>
        <v>52.48</v>
      </c>
      <c r="JJ12" s="40">
        <f t="shared" si="114"/>
        <v>52.48</v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40" t="str">
        <f t="shared" si="120"/>
        <v/>
      </c>
      <c r="JQ12" s="40">
        <f t="shared" si="121"/>
        <v>52.48</v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40" t="str">
        <f t="shared" si="148"/>
        <v/>
      </c>
      <c r="MG12" s="40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40" t="str">
        <f t="shared" si="176"/>
        <v/>
      </c>
      <c r="OW12" s="40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40" t="str">
        <f t="shared" si="204"/>
        <v/>
      </c>
      <c r="RM12" s="40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 t="shared" si="220"/>
        <v/>
      </c>
      <c r="TQ12" s="40" t="str">
        <f t="shared" si="221"/>
        <v/>
      </c>
      <c r="TR12" s="40" t="str">
        <f t="shared" si="222"/>
        <v/>
      </c>
      <c r="TS12" s="40" t="str">
        <f t="shared" si="223"/>
        <v/>
      </c>
      <c r="TT12" s="40" t="str">
        <f t="shared" si="224"/>
        <v/>
      </c>
      <c r="TU12" s="40" t="str">
        <f t="shared" si="225"/>
        <v/>
      </c>
      <c r="TV12" s="40" t="str">
        <f t="shared" si="226"/>
        <v/>
      </c>
      <c r="TW12" s="40" t="str">
        <f t="shared" si="227"/>
        <v/>
      </c>
      <c r="TX12" s="40" t="str">
        <f t="shared" si="228"/>
        <v/>
      </c>
      <c r="TY12" s="40" t="str">
        <f t="shared" si="229"/>
        <v/>
      </c>
      <c r="TZ12" s="40" t="str">
        <f t="shared" si="230"/>
        <v/>
      </c>
      <c r="UA12" s="40" t="str">
        <f t="shared" si="231"/>
        <v/>
      </c>
      <c r="UB12" s="40" t="str">
        <f t="shared" si="232"/>
        <v/>
      </c>
      <c r="UC12" s="40" t="str">
        <f t="shared" si="233"/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 t="shared" si="234"/>
        <v/>
      </c>
      <c r="UY12" s="11" t="str">
        <f t="shared" si="235"/>
        <v/>
      </c>
      <c r="UZ12" s="11" t="str">
        <f t="shared" si="236"/>
        <v/>
      </c>
      <c r="VA12" s="11" t="str">
        <f t="shared" si="237"/>
        <v/>
      </c>
      <c r="VB12" s="11" t="str">
        <f t="shared" si="238"/>
        <v/>
      </c>
      <c r="VC12" s="11" t="str">
        <f t="shared" si="239"/>
        <v/>
      </c>
      <c r="VD12" s="11" t="str">
        <f t="shared" si="240"/>
        <v/>
      </c>
      <c r="VE12" s="11" t="str">
        <f t="shared" si="241"/>
        <v/>
      </c>
      <c r="VF12" s="11" t="str">
        <f t="shared" si="242"/>
        <v/>
      </c>
      <c r="VG12" s="11" t="str">
        <f t="shared" si="243"/>
        <v/>
      </c>
      <c r="VH12" s="11" t="str">
        <f t="shared" si="244"/>
        <v/>
      </c>
      <c r="VI12" s="11" t="str">
        <f t="shared" si="245"/>
        <v/>
      </c>
      <c r="VJ12" s="11" t="str">
        <f t="shared" si="246"/>
        <v/>
      </c>
      <c r="VK12" s="11" t="str">
        <f t="shared" si="247"/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 t="shared" si="248"/>
        <v/>
      </c>
      <c r="WG12" s="40" t="str">
        <f t="shared" si="249"/>
        <v/>
      </c>
      <c r="WH12" s="40" t="str">
        <f t="shared" si="250"/>
        <v/>
      </c>
      <c r="WI12" s="40" t="str">
        <f t="shared" si="251"/>
        <v/>
      </c>
      <c r="WJ12" s="40" t="str">
        <f t="shared" si="252"/>
        <v/>
      </c>
      <c r="WK12" s="40" t="str">
        <f t="shared" si="253"/>
        <v/>
      </c>
      <c r="WL12" s="40" t="str">
        <f t="shared" si="254"/>
        <v/>
      </c>
      <c r="WM12" s="40" t="str">
        <f t="shared" si="255"/>
        <v/>
      </c>
      <c r="WN12" s="40" t="str">
        <f t="shared" si="256"/>
        <v/>
      </c>
      <c r="WO12" s="40" t="str">
        <f t="shared" si="257"/>
        <v/>
      </c>
      <c r="WP12" s="40" t="str">
        <f t="shared" si="258"/>
        <v/>
      </c>
      <c r="WQ12" s="40" t="str">
        <f t="shared" si="259"/>
        <v/>
      </c>
      <c r="WR12" s="40" t="str">
        <f t="shared" si="260"/>
        <v/>
      </c>
      <c r="WS12" s="40" t="str">
        <f t="shared" si="261"/>
        <v/>
      </c>
      <c r="WT12" s="26">
        <f t="shared" si="262"/>
        <v>15.75</v>
      </c>
      <c r="WU12" s="26">
        <f t="shared" si="263"/>
        <v>9.25</v>
      </c>
      <c r="WV12" s="26">
        <f t="shared" si="264"/>
        <v>14.1</v>
      </c>
      <c r="WW12" s="26">
        <f t="shared" si="265"/>
        <v>14.645</v>
      </c>
      <c r="WX12" s="26">
        <f t="shared" si="266"/>
        <v>0</v>
      </c>
      <c r="WY12" s="26">
        <f t="shared" si="267"/>
        <v>8.7000000000000011</v>
      </c>
      <c r="WZ12" s="26">
        <f t="shared" si="268"/>
        <v>4.8000000000000007</v>
      </c>
      <c r="XA12" s="26">
        <f t="shared" si="269"/>
        <v>8</v>
      </c>
      <c r="XB12" s="26">
        <f t="shared" si="270"/>
        <v>8.3000000000000007</v>
      </c>
      <c r="XC12" s="26">
        <f t="shared" si="271"/>
        <v>0</v>
      </c>
      <c r="XD12" s="26">
        <f t="shared" si="272"/>
        <v>9.7999999999999989</v>
      </c>
      <c r="XE12" s="26">
        <f t="shared" si="273"/>
        <v>5.6000000000000005</v>
      </c>
      <c r="XF12" s="26">
        <f t="shared" si="274"/>
        <v>8.6999999999999993</v>
      </c>
      <c r="XG12" s="26">
        <f t="shared" si="275"/>
        <v>8.84</v>
      </c>
      <c r="XH12" s="26">
        <f t="shared" si="276"/>
        <v>0</v>
      </c>
      <c r="XI12" s="28" t="s">
        <v>53</v>
      </c>
      <c r="XJ12" s="11">
        <f t="shared" si="277"/>
        <v>14.1</v>
      </c>
      <c r="XK12" s="11">
        <f t="shared" si="278"/>
        <v>14.645</v>
      </c>
      <c r="XL12" s="11">
        <f t="shared" si="279"/>
        <v>53.745000000000005</v>
      </c>
      <c r="XM12" s="11">
        <f t="shared" si="280"/>
        <v>8</v>
      </c>
      <c r="XN12" s="11">
        <f t="shared" si="281"/>
        <v>8.3000000000000007</v>
      </c>
      <c r="XO12" s="11">
        <f t="shared" si="282"/>
        <v>29.8</v>
      </c>
      <c r="XP12" s="11">
        <f t="shared" si="283"/>
        <v>53.745000000000005</v>
      </c>
      <c r="XQ12" s="11">
        <f t="shared" si="284"/>
        <v>8.6999999999999993</v>
      </c>
      <c r="XR12" s="11">
        <f t="shared" si="285"/>
        <v>8.84</v>
      </c>
      <c r="XS12" s="11">
        <f t="shared" si="286"/>
        <v>32.94</v>
      </c>
      <c r="XT12" s="11">
        <f t="shared" si="287"/>
        <v>86.685000000000002</v>
      </c>
    </row>
    <row r="13" spans="1:64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152</v>
      </c>
      <c r="C13" s="4" t="s">
        <v>3</v>
      </c>
      <c r="D13" s="4">
        <v>2006</v>
      </c>
      <c r="E13" s="9">
        <f t="shared" si="0"/>
        <v>220.19002197900494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49.150000000000006</v>
      </c>
      <c r="K13" s="8" t="str">
        <f t="shared" si="5"/>
        <v>2024 Nationals</v>
      </c>
      <c r="L13" s="8">
        <f>IF(COUNT(AQ13,AT13,BR13,BU13,CS13,CV13)&gt;1,LARGE((AQ13,AT13,BR13,BU13,CS13,CV13),2),0)</f>
        <v>48.39</v>
      </c>
      <c r="M13" s="8" t="str">
        <f t="shared" si="6"/>
        <v>2025 Elite Canada</v>
      </c>
      <c r="N13" s="8">
        <f>IF(COUNT(AQ13,AT13,BR13,BU13,CS13,CV13)&gt;2,LARGE((AQ13,AT13,BR13,BU13,CS13,CV13),3),0)</f>
        <v>48.39</v>
      </c>
      <c r="O13" s="8" t="str">
        <f t="shared" si="7"/>
        <v>2025 Elite Canada</v>
      </c>
      <c r="P13" s="8">
        <f t="shared" si="8"/>
        <v>47.03</v>
      </c>
      <c r="Q13" s="8" t="str">
        <f t="shared" si="9"/>
        <v>2024 Nationals</v>
      </c>
      <c r="R13" s="8">
        <f t="shared" si="10"/>
        <v>13</v>
      </c>
      <c r="S13" s="8" t="str">
        <f t="shared" si="11"/>
        <v>2024 Nationals</v>
      </c>
      <c r="T13" s="8">
        <f t="shared" si="12"/>
        <v>13.83</v>
      </c>
      <c r="U13" s="8" t="str">
        <f t="shared" si="13"/>
        <v>2024 Nationals</v>
      </c>
      <c r="V13" s="8">
        <f t="shared" si="14"/>
        <v>0.39999999999999858</v>
      </c>
      <c r="W13" s="11" t="str">
        <f t="shared" si="15"/>
        <v>(Final)</v>
      </c>
      <c r="X13" s="8" t="str">
        <f t="shared" si="16"/>
        <v>2024 Pan Am Club Championships (May 19)</v>
      </c>
      <c r="Y13" s="22">
        <v>14.4</v>
      </c>
      <c r="Z13" s="22">
        <v>9.5</v>
      </c>
      <c r="AA13" s="22">
        <v>11.3</v>
      </c>
      <c r="AB13" s="22">
        <v>13.95</v>
      </c>
      <c r="AC13" s="22">
        <v>0</v>
      </c>
      <c r="AD13" s="22">
        <v>13.8</v>
      </c>
      <c r="AE13" s="22">
        <v>8.6999999999999993</v>
      </c>
      <c r="AF13" s="22">
        <v>11.5</v>
      </c>
      <c r="AG13" s="22">
        <v>13.48</v>
      </c>
      <c r="AH13" s="22">
        <v>0</v>
      </c>
      <c r="AI13" s="22">
        <v>11.7</v>
      </c>
      <c r="AJ13" s="22">
        <v>8.5</v>
      </c>
      <c r="AK13" s="22">
        <v>13</v>
      </c>
      <c r="AL13" s="22">
        <v>13.83</v>
      </c>
      <c r="AM13" s="22">
        <v>0</v>
      </c>
      <c r="AN13" s="27"/>
      <c r="AO13" s="38">
        <f t="shared" si="17"/>
        <v>11.3</v>
      </c>
      <c r="AP13" s="38">
        <f t="shared" si="18"/>
        <v>13.95</v>
      </c>
      <c r="AQ13" s="40">
        <f t="shared" si="19"/>
        <v>49.150000000000006</v>
      </c>
      <c r="AR13" s="40">
        <f t="shared" si="20"/>
        <v>11.5</v>
      </c>
      <c r="AS13" s="40">
        <f t="shared" si="21"/>
        <v>13.48</v>
      </c>
      <c r="AT13" s="40">
        <f t="shared" si="22"/>
        <v>47.480000000000004</v>
      </c>
      <c r="AU13" s="40">
        <f t="shared" si="23"/>
        <v>49.150000000000006</v>
      </c>
      <c r="AV13" s="40">
        <f t="shared" si="24"/>
        <v>13</v>
      </c>
      <c r="AW13" s="40">
        <f t="shared" si="25"/>
        <v>13.83</v>
      </c>
      <c r="AX13" s="40">
        <f t="shared" si="26"/>
        <v>47.03</v>
      </c>
      <c r="AY13" s="40">
        <f t="shared" si="27"/>
        <v>96.18</v>
      </c>
      <c r="AZ13" s="26">
        <v>13.55</v>
      </c>
      <c r="BA13" s="26">
        <v>9.3000000000000007</v>
      </c>
      <c r="BB13" s="26">
        <v>11.7</v>
      </c>
      <c r="BC13" s="26">
        <v>13.84</v>
      </c>
      <c r="BD13" s="26">
        <v>0</v>
      </c>
      <c r="BE13" s="26">
        <v>8.4</v>
      </c>
      <c r="BF13" s="26">
        <v>5.1999999999999993</v>
      </c>
      <c r="BG13" s="26">
        <v>7.2</v>
      </c>
      <c r="BH13" s="26">
        <v>8.26</v>
      </c>
      <c r="BI13" s="26">
        <v>0</v>
      </c>
      <c r="BJ13" s="26">
        <v>11.8</v>
      </c>
      <c r="BK13" s="26">
        <v>8.85</v>
      </c>
      <c r="BL13" s="26">
        <v>12</v>
      </c>
      <c r="BM13" s="26">
        <v>14.02</v>
      </c>
      <c r="BN13" s="26">
        <v>0.1</v>
      </c>
      <c r="BO13" s="28" t="s">
        <v>53</v>
      </c>
      <c r="BP13" s="39">
        <f t="shared" si="28"/>
        <v>11.7</v>
      </c>
      <c r="BQ13" s="39">
        <f t="shared" si="29"/>
        <v>13.84</v>
      </c>
      <c r="BR13" s="11">
        <f t="shared" si="30"/>
        <v>48.39</v>
      </c>
      <c r="BS13" s="11">
        <f t="shared" si="31"/>
        <v>7.2</v>
      </c>
      <c r="BT13" s="11">
        <f t="shared" si="32"/>
        <v>8.26</v>
      </c>
      <c r="BU13" s="11">
        <f t="shared" si="33"/>
        <v>29.060000000000002</v>
      </c>
      <c r="BV13" s="11">
        <f t="shared" si="34"/>
        <v>48.39</v>
      </c>
      <c r="BW13" s="11">
        <f t="shared" si="35"/>
        <v>12</v>
      </c>
      <c r="BX13" s="11">
        <f t="shared" si="36"/>
        <v>14.02</v>
      </c>
      <c r="BY13" s="11">
        <f t="shared" si="37"/>
        <v>46.57</v>
      </c>
      <c r="BZ13" s="11">
        <f t="shared" si="38"/>
        <v>94.960000000000008</v>
      </c>
      <c r="CA13" s="22">
        <v>13.55</v>
      </c>
      <c r="CB13" s="22">
        <v>9.3000000000000007</v>
      </c>
      <c r="CC13" s="22">
        <v>11.7</v>
      </c>
      <c r="CD13" s="22">
        <v>13.84</v>
      </c>
      <c r="CE13" s="22">
        <v>0</v>
      </c>
      <c r="CF13" s="22">
        <v>8.4</v>
      </c>
      <c r="CG13" s="22">
        <v>5.1999999999999993</v>
      </c>
      <c r="CH13" s="22">
        <v>7.2</v>
      </c>
      <c r="CI13" s="22">
        <v>8.26</v>
      </c>
      <c r="CJ13" s="22">
        <v>0</v>
      </c>
      <c r="CK13" s="22">
        <v>11.8</v>
      </c>
      <c r="CL13" s="22">
        <v>8.85</v>
      </c>
      <c r="CM13" s="22">
        <v>12</v>
      </c>
      <c r="CN13" s="22">
        <v>14.02</v>
      </c>
      <c r="CO13" s="22">
        <v>0.1</v>
      </c>
      <c r="CP13" s="27" t="s">
        <v>53</v>
      </c>
      <c r="CQ13" s="38">
        <f t="shared" si="39"/>
        <v>11.7</v>
      </c>
      <c r="CR13" s="38">
        <f t="shared" si="40"/>
        <v>13.84</v>
      </c>
      <c r="CS13" s="40">
        <f t="shared" si="41"/>
        <v>48.39</v>
      </c>
      <c r="CT13" s="40">
        <f t="shared" si="42"/>
        <v>7.2</v>
      </c>
      <c r="CU13" s="40">
        <f t="shared" si="43"/>
        <v>8.26</v>
      </c>
      <c r="CV13" s="40">
        <f t="shared" si="44"/>
        <v>29.060000000000002</v>
      </c>
      <c r="CW13" s="40">
        <f t="shared" si="45"/>
        <v>48.39</v>
      </c>
      <c r="CX13" s="40">
        <f t="shared" si="46"/>
        <v>12</v>
      </c>
      <c r="CY13" s="40">
        <f t="shared" si="47"/>
        <v>14.02</v>
      </c>
      <c r="CZ13" s="40">
        <f t="shared" si="48"/>
        <v>46.57</v>
      </c>
      <c r="DA13" s="40">
        <f t="shared" si="49"/>
        <v>94.960000000000008</v>
      </c>
      <c r="DB13" s="51">
        <f t="shared" si="50"/>
        <v>9.9999999999994316E-2</v>
      </c>
      <c r="DC13" s="51">
        <f t="shared" si="51"/>
        <v>0.39999999999999858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40" t="str">
        <f t="shared" si="64"/>
        <v/>
      </c>
      <c r="EK13" s="40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40" t="str">
        <f t="shared" si="92"/>
        <v/>
      </c>
      <c r="HA13" s="40" t="str">
        <f t="shared" si="93"/>
        <v/>
      </c>
      <c r="HB13" s="18">
        <v>13.5</v>
      </c>
      <c r="HC13" s="18">
        <v>9.1999999999999993</v>
      </c>
      <c r="HD13" s="18">
        <v>12.2</v>
      </c>
      <c r="HE13" s="18">
        <v>13.59</v>
      </c>
      <c r="HF13" s="18">
        <v>0</v>
      </c>
      <c r="HG13" s="18">
        <v>13.4</v>
      </c>
      <c r="HH13" s="18">
        <v>8.8000000000000007</v>
      </c>
      <c r="HI13" s="18">
        <v>12.2</v>
      </c>
      <c r="HJ13" s="18">
        <v>14.06</v>
      </c>
      <c r="HK13" s="18">
        <v>0</v>
      </c>
      <c r="HL13" s="18"/>
      <c r="HM13" s="18"/>
      <c r="HN13" s="18"/>
      <c r="HO13" s="18"/>
      <c r="HP13" s="18"/>
      <c r="HQ13" s="18">
        <v>14</v>
      </c>
      <c r="HR13" s="18">
        <v>9.3000000000000007</v>
      </c>
      <c r="HS13" s="18">
        <v>10.1</v>
      </c>
      <c r="HT13" s="18">
        <v>14.03</v>
      </c>
      <c r="HU13" s="18">
        <v>0</v>
      </c>
      <c r="HV13" s="11">
        <f t="shared" si="94"/>
        <v>12.2</v>
      </c>
      <c r="HW13" s="11">
        <f t="shared" si="95"/>
        <v>13.59</v>
      </c>
      <c r="HX13" s="11">
        <f t="shared" si="96"/>
        <v>48.489999999999995</v>
      </c>
      <c r="HY13" s="11">
        <f t="shared" si="97"/>
        <v>12.2</v>
      </c>
      <c r="HZ13" s="11">
        <f t="shared" si="98"/>
        <v>14.06</v>
      </c>
      <c r="IA13" s="11">
        <f t="shared" si="99"/>
        <v>48.460000000000008</v>
      </c>
      <c r="IB13" s="11">
        <f t="shared" si="100"/>
        <v>48.489999999999995</v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>
        <f t="shared" si="104"/>
        <v>10.1</v>
      </c>
      <c r="IG13" s="11">
        <f t="shared" si="105"/>
        <v>14.03</v>
      </c>
      <c r="IH13" s="11">
        <f t="shared" si="106"/>
        <v>47.43</v>
      </c>
      <c r="II13" s="11">
        <f t="shared" si="107"/>
        <v>95.919999999999987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40" t="str">
        <f t="shared" si="120"/>
        <v/>
      </c>
      <c r="JQ13" s="40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40" t="str">
        <f t="shared" si="148"/>
        <v/>
      </c>
      <c r="MG13" s="40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40" t="str">
        <f t="shared" si="176"/>
        <v/>
      </c>
      <c r="OW13" s="40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40" t="str">
        <f t="shared" si="204"/>
        <v/>
      </c>
      <c r="RM13" s="40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 t="shared" si="220"/>
        <v/>
      </c>
      <c r="TQ13" s="40" t="str">
        <f t="shared" si="221"/>
        <v/>
      </c>
      <c r="TR13" s="40" t="str">
        <f t="shared" si="222"/>
        <v/>
      </c>
      <c r="TS13" s="40" t="str">
        <f t="shared" si="223"/>
        <v/>
      </c>
      <c r="TT13" s="40" t="str">
        <f t="shared" si="224"/>
        <v/>
      </c>
      <c r="TU13" s="40" t="str">
        <f t="shared" si="225"/>
        <v/>
      </c>
      <c r="TV13" s="40" t="str">
        <f t="shared" si="226"/>
        <v/>
      </c>
      <c r="TW13" s="40" t="str">
        <f t="shared" si="227"/>
        <v/>
      </c>
      <c r="TX13" s="40" t="str">
        <f t="shared" si="228"/>
        <v/>
      </c>
      <c r="TY13" s="40" t="str">
        <f t="shared" si="229"/>
        <v/>
      </c>
      <c r="TZ13" s="40" t="str">
        <f t="shared" si="230"/>
        <v/>
      </c>
      <c r="UA13" s="40" t="str">
        <f t="shared" si="231"/>
        <v/>
      </c>
      <c r="UB13" s="40" t="str">
        <f t="shared" si="232"/>
        <v/>
      </c>
      <c r="UC13" s="40" t="str">
        <f t="shared" si="233"/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 t="shared" si="234"/>
        <v/>
      </c>
      <c r="UY13" s="11" t="str">
        <f t="shared" si="235"/>
        <v/>
      </c>
      <c r="UZ13" s="11" t="str">
        <f t="shared" si="236"/>
        <v/>
      </c>
      <c r="VA13" s="11" t="str">
        <f t="shared" si="237"/>
        <v/>
      </c>
      <c r="VB13" s="11" t="str">
        <f t="shared" si="238"/>
        <v/>
      </c>
      <c r="VC13" s="11" t="str">
        <f t="shared" si="239"/>
        <v/>
      </c>
      <c r="VD13" s="11" t="str">
        <f t="shared" si="240"/>
        <v/>
      </c>
      <c r="VE13" s="11" t="str">
        <f t="shared" si="241"/>
        <v/>
      </c>
      <c r="VF13" s="11" t="str">
        <f t="shared" si="242"/>
        <v/>
      </c>
      <c r="VG13" s="11" t="str">
        <f t="shared" si="243"/>
        <v/>
      </c>
      <c r="VH13" s="11" t="str">
        <f t="shared" si="244"/>
        <v/>
      </c>
      <c r="VI13" s="11" t="str">
        <f t="shared" si="245"/>
        <v/>
      </c>
      <c r="VJ13" s="11" t="str">
        <f t="shared" si="246"/>
        <v/>
      </c>
      <c r="VK13" s="11" t="str">
        <f t="shared" si="247"/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 t="shared" si="248"/>
        <v/>
      </c>
      <c r="WG13" s="40" t="str">
        <f t="shared" si="249"/>
        <v/>
      </c>
      <c r="WH13" s="40" t="str">
        <f t="shared" si="250"/>
        <v/>
      </c>
      <c r="WI13" s="40" t="str">
        <f t="shared" si="251"/>
        <v/>
      </c>
      <c r="WJ13" s="40" t="str">
        <f t="shared" si="252"/>
        <v/>
      </c>
      <c r="WK13" s="40" t="str">
        <f t="shared" si="253"/>
        <v/>
      </c>
      <c r="WL13" s="40" t="str">
        <f t="shared" si="254"/>
        <v/>
      </c>
      <c r="WM13" s="40" t="str">
        <f t="shared" si="255"/>
        <v/>
      </c>
      <c r="WN13" s="40" t="str">
        <f t="shared" si="256"/>
        <v/>
      </c>
      <c r="WO13" s="40" t="str">
        <f t="shared" si="257"/>
        <v/>
      </c>
      <c r="WP13" s="40" t="str">
        <f t="shared" si="258"/>
        <v/>
      </c>
      <c r="WQ13" s="40" t="str">
        <f t="shared" si="259"/>
        <v/>
      </c>
      <c r="WR13" s="40" t="str">
        <f t="shared" si="260"/>
        <v/>
      </c>
      <c r="WS13" s="40" t="str">
        <f t="shared" si="261"/>
        <v/>
      </c>
      <c r="WT13" s="26">
        <f t="shared" si="262"/>
        <v>13.55</v>
      </c>
      <c r="WU13" s="26">
        <f t="shared" si="263"/>
        <v>9.3000000000000007</v>
      </c>
      <c r="WV13" s="26">
        <f t="shared" si="264"/>
        <v>11.7</v>
      </c>
      <c r="WW13" s="26">
        <f t="shared" si="265"/>
        <v>13.84</v>
      </c>
      <c r="WX13" s="26">
        <f t="shared" si="266"/>
        <v>0</v>
      </c>
      <c r="WY13" s="26">
        <f t="shared" si="267"/>
        <v>8.4</v>
      </c>
      <c r="WZ13" s="26">
        <f t="shared" si="268"/>
        <v>5.1999999999999993</v>
      </c>
      <c r="XA13" s="26">
        <f t="shared" si="269"/>
        <v>7.2</v>
      </c>
      <c r="XB13" s="26">
        <f t="shared" si="270"/>
        <v>8.26</v>
      </c>
      <c r="XC13" s="26">
        <f t="shared" si="271"/>
        <v>0</v>
      </c>
      <c r="XD13" s="26">
        <f t="shared" si="272"/>
        <v>11.8</v>
      </c>
      <c r="XE13" s="26">
        <f t="shared" si="273"/>
        <v>8.85</v>
      </c>
      <c r="XF13" s="26">
        <f t="shared" si="274"/>
        <v>12</v>
      </c>
      <c r="XG13" s="26">
        <f t="shared" si="275"/>
        <v>14.02</v>
      </c>
      <c r="XH13" s="26">
        <f t="shared" si="276"/>
        <v>0.1</v>
      </c>
      <c r="XI13" s="28" t="s">
        <v>53</v>
      </c>
      <c r="XJ13" s="11">
        <f t="shared" si="277"/>
        <v>11.7</v>
      </c>
      <c r="XK13" s="11">
        <f t="shared" si="278"/>
        <v>13.84</v>
      </c>
      <c r="XL13" s="11">
        <f t="shared" si="279"/>
        <v>48.39</v>
      </c>
      <c r="XM13" s="11">
        <f t="shared" si="280"/>
        <v>7.2</v>
      </c>
      <c r="XN13" s="11">
        <f t="shared" si="281"/>
        <v>8.26</v>
      </c>
      <c r="XO13" s="11">
        <f t="shared" si="282"/>
        <v>29.060000000000002</v>
      </c>
      <c r="XP13" s="11">
        <f t="shared" si="283"/>
        <v>48.39</v>
      </c>
      <c r="XQ13" s="11">
        <f t="shared" si="284"/>
        <v>12</v>
      </c>
      <c r="XR13" s="11">
        <f t="shared" si="285"/>
        <v>14.02</v>
      </c>
      <c r="XS13" s="11">
        <f t="shared" si="286"/>
        <v>46.57</v>
      </c>
      <c r="XT13" s="11">
        <f t="shared" si="287"/>
        <v>94.960000000000008</v>
      </c>
    </row>
    <row r="14" spans="1:64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153</v>
      </c>
      <c r="C14" s="4" t="s">
        <v>7</v>
      </c>
      <c r="D14" s="4">
        <v>2006</v>
      </c>
      <c r="E14" s="9">
        <f t="shared" si="0"/>
        <v>204.84001548700485</v>
      </c>
      <c r="F14" s="3" t="str">
        <f t="shared" si="1"/>
        <v/>
      </c>
      <c r="G14" s="3" t="str">
        <f t="shared" si="2"/>
        <v>P</v>
      </c>
      <c r="H14" s="36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48.66</v>
      </c>
      <c r="K14" s="8" t="str">
        <f t="shared" si="5"/>
        <v>2024 Nationals</v>
      </c>
      <c r="L14" s="8">
        <f>IF(COUNT(AQ14,AT14,BR14,BU14,CS14,CV14)&gt;1,LARGE((AQ14,AT14,BR14,BU14,CS14,CV14),2),0)</f>
        <v>45.51</v>
      </c>
      <c r="M14" s="8" t="str">
        <f t="shared" si="6"/>
        <v>2024 Nationals</v>
      </c>
      <c r="N14" s="8">
        <f>IF(COUNT(AQ14,AT14,BR14,BU14,CS14,CV14)&gt;2,LARGE((AQ14,AT14,BR14,BU14,CS14,CV14),3),0)</f>
        <v>0</v>
      </c>
      <c r="O14" s="8" t="str">
        <f t="shared" si="7"/>
        <v/>
      </c>
      <c r="P14" s="8">
        <f t="shared" si="8"/>
        <v>49.3</v>
      </c>
      <c r="Q14" s="8" t="str">
        <f t="shared" si="9"/>
        <v>2024 Nationals</v>
      </c>
      <c r="R14" s="8">
        <f t="shared" si="10"/>
        <v>11.4</v>
      </c>
      <c r="S14" s="8" t="str">
        <f t="shared" si="11"/>
        <v>2024 Nationals</v>
      </c>
      <c r="T14" s="8">
        <f t="shared" si="12"/>
        <v>0</v>
      </c>
      <c r="U14" s="8" t="str">
        <f t="shared" si="13"/>
        <v/>
      </c>
      <c r="V14" s="8">
        <f t="shared" si="14"/>
        <v>49.97</v>
      </c>
      <c r="W14" s="11" t="str">
        <f t="shared" si="15"/>
        <v>(Prelim)</v>
      </c>
      <c r="X14" s="8" t="str">
        <f t="shared" si="16"/>
        <v>2024 Coimbra Gym Fest (July 7)</v>
      </c>
      <c r="Y14" s="22">
        <v>15.1</v>
      </c>
      <c r="Z14" s="22">
        <v>9.1</v>
      </c>
      <c r="AA14" s="22">
        <v>9.3000000000000007</v>
      </c>
      <c r="AB14" s="22">
        <v>13.91</v>
      </c>
      <c r="AC14" s="22">
        <v>1.9</v>
      </c>
      <c r="AD14" s="22">
        <v>15.7</v>
      </c>
      <c r="AE14" s="22">
        <v>9.3000000000000007</v>
      </c>
      <c r="AF14" s="22">
        <v>10</v>
      </c>
      <c r="AG14" s="22">
        <v>14.86</v>
      </c>
      <c r="AH14" s="22">
        <v>1.2</v>
      </c>
      <c r="AI14" s="22">
        <v>14.4</v>
      </c>
      <c r="AJ14" s="22">
        <v>9.1</v>
      </c>
      <c r="AK14" s="22">
        <v>11.4</v>
      </c>
      <c r="AL14" s="22">
        <v>14.4</v>
      </c>
      <c r="AM14" s="22">
        <v>0</v>
      </c>
      <c r="AN14" s="27"/>
      <c r="AO14" s="38">
        <f t="shared" si="17"/>
        <v>9.3000000000000007</v>
      </c>
      <c r="AP14" s="38">
        <f t="shared" si="18"/>
        <v>13.91</v>
      </c>
      <c r="AQ14" s="40">
        <f t="shared" si="19"/>
        <v>45.51</v>
      </c>
      <c r="AR14" s="40">
        <f t="shared" si="20"/>
        <v>10</v>
      </c>
      <c r="AS14" s="40">
        <f t="shared" si="21"/>
        <v>14.86</v>
      </c>
      <c r="AT14" s="40">
        <f t="shared" si="22"/>
        <v>48.66</v>
      </c>
      <c r="AU14" s="40">
        <f t="shared" si="23"/>
        <v>48.66</v>
      </c>
      <c r="AV14" s="40">
        <f t="shared" si="24"/>
        <v>11.4</v>
      </c>
      <c r="AW14" s="40">
        <f t="shared" si="25"/>
        <v>14.4</v>
      </c>
      <c r="AX14" s="40">
        <f t="shared" si="26"/>
        <v>49.3</v>
      </c>
      <c r="AY14" s="40">
        <f t="shared" si="27"/>
        <v>97.96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 t="shared" si="28"/>
        <v/>
      </c>
      <c r="BQ14" s="39" t="str">
        <f t="shared" si="29"/>
        <v/>
      </c>
      <c r="BR14" s="11" t="str">
        <f t="shared" si="30"/>
        <v/>
      </c>
      <c r="BS14" s="11" t="str">
        <f t="shared" si="31"/>
        <v/>
      </c>
      <c r="BT14" s="11" t="str">
        <f t="shared" si="32"/>
        <v/>
      </c>
      <c r="BU14" s="11" t="str">
        <f t="shared" si="33"/>
        <v/>
      </c>
      <c r="BV14" s="11" t="str">
        <f t="shared" si="34"/>
        <v/>
      </c>
      <c r="BW14" s="11" t="str">
        <f t="shared" si="35"/>
        <v/>
      </c>
      <c r="BX14" s="11" t="str">
        <f t="shared" si="36"/>
        <v/>
      </c>
      <c r="BY14" s="11" t="str">
        <f t="shared" si="37"/>
        <v/>
      </c>
      <c r="BZ14" s="11" t="str">
        <f t="shared" si="38"/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 t="shared" si="39"/>
        <v/>
      </c>
      <c r="CR14" s="38" t="str">
        <f t="shared" si="40"/>
        <v/>
      </c>
      <c r="CS14" s="40" t="str">
        <f t="shared" si="41"/>
        <v/>
      </c>
      <c r="CT14" s="40" t="str">
        <f t="shared" si="42"/>
        <v/>
      </c>
      <c r="CU14" s="40" t="str">
        <f t="shared" si="43"/>
        <v/>
      </c>
      <c r="CV14" s="40" t="str">
        <f t="shared" si="44"/>
        <v/>
      </c>
      <c r="CW14" s="40" t="str">
        <f t="shared" si="45"/>
        <v/>
      </c>
      <c r="CX14" s="40" t="str">
        <f t="shared" si="46"/>
        <v/>
      </c>
      <c r="CY14" s="40" t="str">
        <f t="shared" si="47"/>
        <v/>
      </c>
      <c r="CZ14" s="40" t="str">
        <f t="shared" si="48"/>
        <v/>
      </c>
      <c r="DA14" s="40" t="str">
        <f t="shared" si="49"/>
        <v/>
      </c>
      <c r="DB14" s="51">
        <f t="shared" si="50"/>
        <v>49.97</v>
      </c>
      <c r="DC14" s="51" t="str">
        <f t="shared" si="51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40" t="str">
        <f t="shared" si="64"/>
        <v/>
      </c>
      <c r="EK14" s="40" t="str">
        <f t="shared" si="65"/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40" t="str">
        <f t="shared" si="92"/>
        <v/>
      </c>
      <c r="HA14" s="40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40" t="str">
        <f t="shared" si="120"/>
        <v/>
      </c>
      <c r="JQ14" s="40" t="str">
        <f t="shared" si="121"/>
        <v/>
      </c>
      <c r="JR14" s="18">
        <v>4.5</v>
      </c>
      <c r="JS14" s="18">
        <v>2.85</v>
      </c>
      <c r="JT14" s="18">
        <v>3.6</v>
      </c>
      <c r="JU14" s="18">
        <v>2.98</v>
      </c>
      <c r="JV14" s="18">
        <v>0</v>
      </c>
      <c r="JW14" s="18">
        <v>15.2</v>
      </c>
      <c r="JX14" s="18">
        <v>9</v>
      </c>
      <c r="JY14" s="18">
        <v>10.8</v>
      </c>
      <c r="JZ14" s="18">
        <v>14.97</v>
      </c>
      <c r="KA14" s="18">
        <v>0</v>
      </c>
      <c r="KB14" s="18">
        <v>1.4</v>
      </c>
      <c r="KC14" s="18">
        <v>1</v>
      </c>
      <c r="KD14" s="18">
        <v>1.5</v>
      </c>
      <c r="KE14" s="18">
        <v>1.58</v>
      </c>
      <c r="KF14" s="18">
        <v>0</v>
      </c>
      <c r="KG14" s="18"/>
      <c r="KH14" s="18"/>
      <c r="KI14" s="18"/>
      <c r="KJ14" s="18"/>
      <c r="KK14" s="18"/>
      <c r="KL14" s="11">
        <f t="shared" si="122"/>
        <v>3.6</v>
      </c>
      <c r="KM14" s="11">
        <f t="shared" si="123"/>
        <v>2.98</v>
      </c>
      <c r="KN14" s="11">
        <f t="shared" si="124"/>
        <v>13.93</v>
      </c>
      <c r="KO14" s="11">
        <f t="shared" si="125"/>
        <v>10.8</v>
      </c>
      <c r="KP14" s="11">
        <f t="shared" si="126"/>
        <v>14.97</v>
      </c>
      <c r="KQ14" s="11">
        <f t="shared" si="127"/>
        <v>49.97</v>
      </c>
      <c r="KR14" s="11">
        <f t="shared" si="128"/>
        <v>49.97</v>
      </c>
      <c r="KS14" s="11">
        <f t="shared" si="129"/>
        <v>1.5</v>
      </c>
      <c r="KT14" s="11">
        <f t="shared" si="130"/>
        <v>1.58</v>
      </c>
      <c r="KU14" s="11">
        <f t="shared" si="131"/>
        <v>5.48</v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>
        <f t="shared" si="135"/>
        <v>55.45</v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40" t="str">
        <f t="shared" si="148"/>
        <v/>
      </c>
      <c r="MG14" s="40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40" t="str">
        <f t="shared" si="176"/>
        <v/>
      </c>
      <c r="OW14" s="40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40" t="str">
        <f t="shared" si="204"/>
        <v/>
      </c>
      <c r="RM14" s="40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 t="shared" si="220"/>
        <v/>
      </c>
      <c r="TQ14" s="40" t="str">
        <f t="shared" si="221"/>
        <v/>
      </c>
      <c r="TR14" s="40" t="str">
        <f t="shared" si="222"/>
        <v/>
      </c>
      <c r="TS14" s="40" t="str">
        <f t="shared" si="223"/>
        <v/>
      </c>
      <c r="TT14" s="40" t="str">
        <f t="shared" si="224"/>
        <v/>
      </c>
      <c r="TU14" s="40" t="str">
        <f t="shared" si="225"/>
        <v/>
      </c>
      <c r="TV14" s="40" t="str">
        <f t="shared" si="226"/>
        <v/>
      </c>
      <c r="TW14" s="40" t="str">
        <f t="shared" si="227"/>
        <v/>
      </c>
      <c r="TX14" s="40" t="str">
        <f t="shared" si="228"/>
        <v/>
      </c>
      <c r="TY14" s="40" t="str">
        <f t="shared" si="229"/>
        <v/>
      </c>
      <c r="TZ14" s="40" t="str">
        <f t="shared" si="230"/>
        <v/>
      </c>
      <c r="UA14" s="40" t="str">
        <f t="shared" si="231"/>
        <v/>
      </c>
      <c r="UB14" s="40" t="str">
        <f t="shared" si="232"/>
        <v/>
      </c>
      <c r="UC14" s="40" t="str">
        <f t="shared" si="233"/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 t="shared" si="234"/>
        <v/>
      </c>
      <c r="UY14" s="11" t="str">
        <f t="shared" si="235"/>
        <v/>
      </c>
      <c r="UZ14" s="11" t="str">
        <f t="shared" si="236"/>
        <v/>
      </c>
      <c r="VA14" s="11" t="str">
        <f t="shared" si="237"/>
        <v/>
      </c>
      <c r="VB14" s="11" t="str">
        <f t="shared" si="238"/>
        <v/>
      </c>
      <c r="VC14" s="11" t="str">
        <f t="shared" si="239"/>
        <v/>
      </c>
      <c r="VD14" s="11" t="str">
        <f t="shared" si="240"/>
        <v/>
      </c>
      <c r="VE14" s="11" t="str">
        <f t="shared" si="241"/>
        <v/>
      </c>
      <c r="VF14" s="11" t="str">
        <f t="shared" si="242"/>
        <v/>
      </c>
      <c r="VG14" s="11" t="str">
        <f t="shared" si="243"/>
        <v/>
      </c>
      <c r="VH14" s="11" t="str">
        <f t="shared" si="244"/>
        <v/>
      </c>
      <c r="VI14" s="11" t="str">
        <f t="shared" si="245"/>
        <v/>
      </c>
      <c r="VJ14" s="11" t="str">
        <f t="shared" si="246"/>
        <v/>
      </c>
      <c r="VK14" s="11" t="str">
        <f t="shared" si="247"/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 t="shared" si="248"/>
        <v/>
      </c>
      <c r="WG14" s="40" t="str">
        <f t="shared" si="249"/>
        <v/>
      </c>
      <c r="WH14" s="40" t="str">
        <f t="shared" si="250"/>
        <v/>
      </c>
      <c r="WI14" s="40" t="str">
        <f t="shared" si="251"/>
        <v/>
      </c>
      <c r="WJ14" s="40" t="str">
        <f t="shared" si="252"/>
        <v/>
      </c>
      <c r="WK14" s="40" t="str">
        <f t="shared" si="253"/>
        <v/>
      </c>
      <c r="WL14" s="40" t="str">
        <f t="shared" si="254"/>
        <v/>
      </c>
      <c r="WM14" s="40" t="str">
        <f t="shared" si="255"/>
        <v/>
      </c>
      <c r="WN14" s="40" t="str">
        <f t="shared" si="256"/>
        <v/>
      </c>
      <c r="WO14" s="40" t="str">
        <f t="shared" si="257"/>
        <v/>
      </c>
      <c r="WP14" s="40" t="str">
        <f t="shared" si="258"/>
        <v/>
      </c>
      <c r="WQ14" s="40" t="str">
        <f t="shared" si="259"/>
        <v/>
      </c>
      <c r="WR14" s="40" t="str">
        <f t="shared" si="260"/>
        <v/>
      </c>
      <c r="WS14" s="40" t="str">
        <f t="shared" si="261"/>
        <v/>
      </c>
      <c r="WT14" s="26">
        <f t="shared" si="262"/>
        <v>0</v>
      </c>
      <c r="WU14" s="26">
        <f t="shared" si="263"/>
        <v>0</v>
      </c>
      <c r="WV14" s="26">
        <f t="shared" si="264"/>
        <v>0</v>
      </c>
      <c r="WW14" s="26">
        <f t="shared" si="265"/>
        <v>0</v>
      </c>
      <c r="WX14" s="26">
        <f t="shared" si="266"/>
        <v>0</v>
      </c>
      <c r="WY14" s="26">
        <f t="shared" si="267"/>
        <v>0</v>
      </c>
      <c r="WZ14" s="26">
        <f t="shared" si="268"/>
        <v>0</v>
      </c>
      <c r="XA14" s="26">
        <f t="shared" si="269"/>
        <v>0</v>
      </c>
      <c r="XB14" s="26">
        <f t="shared" si="270"/>
        <v>0</v>
      </c>
      <c r="XC14" s="26">
        <f t="shared" si="271"/>
        <v>0</v>
      </c>
      <c r="XD14" s="26">
        <f t="shared" si="272"/>
        <v>0</v>
      </c>
      <c r="XE14" s="26">
        <f t="shared" si="273"/>
        <v>0</v>
      </c>
      <c r="XF14" s="26">
        <f t="shared" si="274"/>
        <v>0</v>
      </c>
      <c r="XG14" s="26">
        <f t="shared" si="275"/>
        <v>0</v>
      </c>
      <c r="XH14" s="26">
        <f t="shared" si="276"/>
        <v>0</v>
      </c>
      <c r="XI14" s="28" t="s">
        <v>53</v>
      </c>
      <c r="XJ14" s="11" t="str">
        <f t="shared" si="277"/>
        <v/>
      </c>
      <c r="XK14" s="11" t="str">
        <f t="shared" si="278"/>
        <v/>
      </c>
      <c r="XL14" s="11" t="str">
        <f t="shared" si="279"/>
        <v/>
      </c>
      <c r="XM14" s="11" t="str">
        <f t="shared" si="280"/>
        <v/>
      </c>
      <c r="XN14" s="11" t="str">
        <f t="shared" si="281"/>
        <v/>
      </c>
      <c r="XO14" s="11" t="str">
        <f t="shared" si="282"/>
        <v/>
      </c>
      <c r="XP14" s="11" t="str">
        <f t="shared" si="283"/>
        <v/>
      </c>
      <c r="XQ14" s="11" t="str">
        <f t="shared" si="284"/>
        <v/>
      </c>
      <c r="XR14" s="11" t="str">
        <f t="shared" si="285"/>
        <v/>
      </c>
      <c r="XS14" s="11" t="str">
        <f t="shared" si="286"/>
        <v/>
      </c>
      <c r="XT14" s="11" t="str">
        <f t="shared" si="287"/>
        <v/>
      </c>
    </row>
    <row r="15" spans="1:64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137</v>
      </c>
      <c r="C15" s="4" t="s">
        <v>5</v>
      </c>
      <c r="D15" s="4">
        <v>2004</v>
      </c>
      <c r="E15" s="9">
        <f t="shared" si="0"/>
        <v>160.85001608500454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45.38</v>
      </c>
      <c r="K15" s="8" t="str">
        <f t="shared" si="5"/>
        <v>2024 3rd Domestic Trial</v>
      </c>
      <c r="L15" s="8">
        <f>IF(COUNT(AQ15,AT15,BR15,BU15,CS15,CV15)&gt;1,LARGE((AQ15,AT15,BR15,BU15,CS15,CV15),2),0)</f>
        <v>41.37</v>
      </c>
      <c r="M15" s="8" t="str">
        <f t="shared" si="6"/>
        <v>2025 Elite Canada</v>
      </c>
      <c r="N15" s="8">
        <f>IF(COUNT(AQ15,AT15,BR15,BU15,CS15,CV15)&gt;2,LARGE((AQ15,AT15,BR15,BU15,CS15,CV15),3),0)</f>
        <v>23.55</v>
      </c>
      <c r="O15" s="8" t="str">
        <f t="shared" si="7"/>
        <v>2025 Elite Canada</v>
      </c>
      <c r="P15" s="8">
        <f t="shared" si="8"/>
        <v>41.45</v>
      </c>
      <c r="Q15" s="8" t="str">
        <f t="shared" si="9"/>
        <v>2025 Elite Canada</v>
      </c>
      <c r="R15" s="8">
        <f t="shared" si="10"/>
        <v>9.1</v>
      </c>
      <c r="S15" s="8" t="str">
        <f t="shared" si="11"/>
        <v>2025 Elite Canada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2">
        <v>1.4</v>
      </c>
      <c r="Z15" s="22">
        <v>1</v>
      </c>
      <c r="AA15" s="22">
        <v>1.5</v>
      </c>
      <c r="AB15" s="22">
        <v>1.56</v>
      </c>
      <c r="AC15" s="22">
        <v>0</v>
      </c>
      <c r="AD15" s="22">
        <v>1.6</v>
      </c>
      <c r="AE15" s="22">
        <v>1</v>
      </c>
      <c r="AF15" s="22">
        <v>1.5</v>
      </c>
      <c r="AG15" s="22">
        <v>1.56</v>
      </c>
      <c r="AH15" s="22">
        <v>0</v>
      </c>
      <c r="AI15" s="22"/>
      <c r="AJ15" s="22"/>
      <c r="AK15" s="22"/>
      <c r="AL15" s="22"/>
      <c r="AM15" s="22"/>
      <c r="AN15" s="27"/>
      <c r="AO15" s="38">
        <f t="shared" si="17"/>
        <v>1.5</v>
      </c>
      <c r="AP15" s="38">
        <f t="shared" si="18"/>
        <v>1.56</v>
      </c>
      <c r="AQ15" s="40">
        <f t="shared" si="19"/>
        <v>5.46</v>
      </c>
      <c r="AR15" s="40">
        <f t="shared" si="20"/>
        <v>1.5</v>
      </c>
      <c r="AS15" s="40">
        <f t="shared" si="21"/>
        <v>1.56</v>
      </c>
      <c r="AT15" s="40">
        <f t="shared" si="22"/>
        <v>5.66</v>
      </c>
      <c r="AU15" s="40">
        <f t="shared" si="23"/>
        <v>5.66</v>
      </c>
      <c r="AV15" s="40" t="str">
        <f t="shared" si="24"/>
        <v/>
      </c>
      <c r="AW15" s="40" t="str">
        <f t="shared" si="25"/>
        <v/>
      </c>
      <c r="AX15" s="40" t="str">
        <f t="shared" si="26"/>
        <v/>
      </c>
      <c r="AY15" s="40">
        <f t="shared" si="27"/>
        <v>5.66</v>
      </c>
      <c r="AZ15" s="26">
        <v>14.8</v>
      </c>
      <c r="BA15" s="26">
        <v>8.9</v>
      </c>
      <c r="BB15" s="26">
        <v>9.1</v>
      </c>
      <c r="BC15" s="26">
        <v>14.68</v>
      </c>
      <c r="BD15" s="26">
        <v>2.1</v>
      </c>
      <c r="BE15" s="26">
        <v>3.2</v>
      </c>
      <c r="BF15" s="26">
        <v>1.8</v>
      </c>
      <c r="BG15" s="26">
        <v>2.7</v>
      </c>
      <c r="BH15" s="26">
        <v>3.1</v>
      </c>
      <c r="BI15" s="26">
        <v>0</v>
      </c>
      <c r="BJ15" s="26">
        <v>3.2</v>
      </c>
      <c r="BK15" s="26">
        <v>1.6</v>
      </c>
      <c r="BL15" s="26">
        <v>2.7</v>
      </c>
      <c r="BM15" s="26">
        <v>3.12</v>
      </c>
      <c r="BN15" s="26">
        <v>0</v>
      </c>
      <c r="BO15" s="28"/>
      <c r="BP15" s="39">
        <f t="shared" si="28"/>
        <v>9.1</v>
      </c>
      <c r="BQ15" s="39">
        <f t="shared" si="29"/>
        <v>14.68</v>
      </c>
      <c r="BR15" s="11">
        <f t="shared" si="30"/>
        <v>45.38</v>
      </c>
      <c r="BS15" s="11">
        <f t="shared" si="31"/>
        <v>2.7</v>
      </c>
      <c r="BT15" s="11">
        <f t="shared" si="32"/>
        <v>3.1</v>
      </c>
      <c r="BU15" s="11">
        <f t="shared" si="33"/>
        <v>10.8</v>
      </c>
      <c r="BV15" s="11">
        <f t="shared" si="34"/>
        <v>45.38</v>
      </c>
      <c r="BW15" s="11">
        <f t="shared" si="35"/>
        <v>2.7</v>
      </c>
      <c r="BX15" s="11">
        <f t="shared" si="36"/>
        <v>3.12</v>
      </c>
      <c r="BY15" s="11">
        <f t="shared" si="37"/>
        <v>10.620000000000001</v>
      </c>
      <c r="BZ15" s="11">
        <f t="shared" si="38"/>
        <v>56</v>
      </c>
      <c r="CA15" s="22">
        <v>6.3</v>
      </c>
      <c r="CB15" s="22">
        <v>4.7</v>
      </c>
      <c r="CC15" s="22">
        <v>5.8</v>
      </c>
      <c r="CD15" s="22">
        <v>6.75</v>
      </c>
      <c r="CE15" s="22">
        <v>0</v>
      </c>
      <c r="CF15" s="22">
        <v>12.7</v>
      </c>
      <c r="CG15" s="22">
        <v>8.6</v>
      </c>
      <c r="CH15" s="22">
        <v>7.6</v>
      </c>
      <c r="CI15" s="22">
        <v>12.47</v>
      </c>
      <c r="CJ15" s="22">
        <v>0</v>
      </c>
      <c r="CK15" s="22">
        <v>13.7</v>
      </c>
      <c r="CL15" s="22">
        <v>8.9</v>
      </c>
      <c r="CM15" s="22">
        <v>9.1</v>
      </c>
      <c r="CN15" s="22">
        <v>13.35</v>
      </c>
      <c r="CO15" s="22">
        <v>3.6</v>
      </c>
      <c r="CP15" s="27"/>
      <c r="CQ15" s="38">
        <f t="shared" si="39"/>
        <v>5.8</v>
      </c>
      <c r="CR15" s="38">
        <f t="shared" si="40"/>
        <v>6.75</v>
      </c>
      <c r="CS15" s="40">
        <f t="shared" si="41"/>
        <v>23.55</v>
      </c>
      <c r="CT15" s="40">
        <f t="shared" si="42"/>
        <v>7.6</v>
      </c>
      <c r="CU15" s="40">
        <f t="shared" si="43"/>
        <v>12.47</v>
      </c>
      <c r="CV15" s="40">
        <f t="shared" si="44"/>
        <v>41.37</v>
      </c>
      <c r="CW15" s="40">
        <f t="shared" si="45"/>
        <v>41.37</v>
      </c>
      <c r="CX15" s="40">
        <f t="shared" si="46"/>
        <v>9.1</v>
      </c>
      <c r="CY15" s="40">
        <f t="shared" si="47"/>
        <v>13.35</v>
      </c>
      <c r="CZ15" s="40">
        <f t="shared" si="48"/>
        <v>41.45</v>
      </c>
      <c r="DA15" s="40">
        <f t="shared" si="49"/>
        <v>82.82</v>
      </c>
      <c r="DB15" s="51" t="str">
        <f t="shared" si="50"/>
        <v/>
      </c>
      <c r="DC15" s="51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40" t="str">
        <f t="shared" si="64"/>
        <v/>
      </c>
      <c r="EK15" s="40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40" t="str">
        <f t="shared" si="92"/>
        <v/>
      </c>
      <c r="HA15" s="40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40" t="str">
        <f t="shared" si="120"/>
        <v/>
      </c>
      <c r="JQ15" s="40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40" t="str">
        <f t="shared" si="148"/>
        <v/>
      </c>
      <c r="MG15" s="40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40" t="str">
        <f t="shared" si="176"/>
        <v/>
      </c>
      <c r="OW15" s="40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40" t="str">
        <f t="shared" si="204"/>
        <v/>
      </c>
      <c r="RM15" s="40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 t="shared" si="220"/>
        <v/>
      </c>
      <c r="TQ15" s="40" t="str">
        <f t="shared" si="221"/>
        <v/>
      </c>
      <c r="TR15" s="40" t="str">
        <f t="shared" si="222"/>
        <v/>
      </c>
      <c r="TS15" s="40" t="str">
        <f t="shared" si="223"/>
        <v/>
      </c>
      <c r="TT15" s="40" t="str">
        <f t="shared" si="224"/>
        <v/>
      </c>
      <c r="TU15" s="40" t="str">
        <f t="shared" si="225"/>
        <v/>
      </c>
      <c r="TV15" s="40" t="str">
        <f t="shared" si="226"/>
        <v/>
      </c>
      <c r="TW15" s="40" t="str">
        <f t="shared" si="227"/>
        <v/>
      </c>
      <c r="TX15" s="40" t="str">
        <f t="shared" si="228"/>
        <v/>
      </c>
      <c r="TY15" s="40" t="str">
        <f t="shared" si="229"/>
        <v/>
      </c>
      <c r="TZ15" s="40" t="str">
        <f t="shared" si="230"/>
        <v/>
      </c>
      <c r="UA15" s="40" t="str">
        <f t="shared" si="231"/>
        <v/>
      </c>
      <c r="UB15" s="40" t="str">
        <f t="shared" si="232"/>
        <v/>
      </c>
      <c r="UC15" s="40" t="str">
        <f t="shared" si="233"/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 t="shared" si="234"/>
        <v/>
      </c>
      <c r="UY15" s="11" t="str">
        <f t="shared" si="235"/>
        <v/>
      </c>
      <c r="UZ15" s="11" t="str">
        <f t="shared" si="236"/>
        <v/>
      </c>
      <c r="VA15" s="11" t="str">
        <f t="shared" si="237"/>
        <v/>
      </c>
      <c r="VB15" s="11" t="str">
        <f t="shared" si="238"/>
        <v/>
      </c>
      <c r="VC15" s="11" t="str">
        <f t="shared" si="239"/>
        <v/>
      </c>
      <c r="VD15" s="11" t="str">
        <f t="shared" si="240"/>
        <v/>
      </c>
      <c r="VE15" s="11" t="str">
        <f t="shared" si="241"/>
        <v/>
      </c>
      <c r="VF15" s="11" t="str">
        <f t="shared" si="242"/>
        <v/>
      </c>
      <c r="VG15" s="11" t="str">
        <f t="shared" si="243"/>
        <v/>
      </c>
      <c r="VH15" s="11" t="str">
        <f t="shared" si="244"/>
        <v/>
      </c>
      <c r="VI15" s="11" t="str">
        <f t="shared" si="245"/>
        <v/>
      </c>
      <c r="VJ15" s="11" t="str">
        <f t="shared" si="246"/>
        <v/>
      </c>
      <c r="VK15" s="11" t="str">
        <f t="shared" si="247"/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 t="shared" si="248"/>
        <v/>
      </c>
      <c r="WG15" s="40" t="str">
        <f t="shared" si="249"/>
        <v/>
      </c>
      <c r="WH15" s="40" t="str">
        <f t="shared" si="250"/>
        <v/>
      </c>
      <c r="WI15" s="40" t="str">
        <f t="shared" si="251"/>
        <v/>
      </c>
      <c r="WJ15" s="40" t="str">
        <f t="shared" si="252"/>
        <v/>
      </c>
      <c r="WK15" s="40" t="str">
        <f t="shared" si="253"/>
        <v/>
      </c>
      <c r="WL15" s="40" t="str">
        <f t="shared" si="254"/>
        <v/>
      </c>
      <c r="WM15" s="40" t="str">
        <f t="shared" si="255"/>
        <v/>
      </c>
      <c r="WN15" s="40" t="str">
        <f t="shared" si="256"/>
        <v/>
      </c>
      <c r="WO15" s="40" t="str">
        <f t="shared" si="257"/>
        <v/>
      </c>
      <c r="WP15" s="40" t="str">
        <f t="shared" si="258"/>
        <v/>
      </c>
      <c r="WQ15" s="40" t="str">
        <f t="shared" si="259"/>
        <v/>
      </c>
      <c r="WR15" s="40" t="str">
        <f t="shared" si="260"/>
        <v/>
      </c>
      <c r="WS15" s="40" t="str">
        <f t="shared" si="261"/>
        <v/>
      </c>
      <c r="WT15" s="26">
        <f t="shared" si="262"/>
        <v>10.55</v>
      </c>
      <c r="WU15" s="26">
        <f t="shared" si="263"/>
        <v>6.8000000000000007</v>
      </c>
      <c r="WV15" s="26">
        <f t="shared" si="264"/>
        <v>7.4499999999999993</v>
      </c>
      <c r="WW15" s="26">
        <f t="shared" si="265"/>
        <v>10.715</v>
      </c>
      <c r="WX15" s="26">
        <f t="shared" si="266"/>
        <v>1.05</v>
      </c>
      <c r="WY15" s="26">
        <f t="shared" si="267"/>
        <v>7.9499999999999993</v>
      </c>
      <c r="WZ15" s="26">
        <f t="shared" si="268"/>
        <v>5.2</v>
      </c>
      <c r="XA15" s="26">
        <f t="shared" si="269"/>
        <v>5.15</v>
      </c>
      <c r="XB15" s="26">
        <f t="shared" si="270"/>
        <v>7.7850000000000001</v>
      </c>
      <c r="XC15" s="26">
        <f t="shared" si="271"/>
        <v>0</v>
      </c>
      <c r="XD15" s="26">
        <f t="shared" si="272"/>
        <v>8.4499999999999993</v>
      </c>
      <c r="XE15" s="26">
        <f t="shared" si="273"/>
        <v>5.25</v>
      </c>
      <c r="XF15" s="26">
        <f t="shared" si="274"/>
        <v>5.9</v>
      </c>
      <c r="XG15" s="26">
        <f t="shared" si="275"/>
        <v>8.2349999999999994</v>
      </c>
      <c r="XH15" s="26">
        <f t="shared" si="276"/>
        <v>1.8</v>
      </c>
      <c r="XI15" s="28" t="s">
        <v>53</v>
      </c>
      <c r="XJ15" s="11">
        <f t="shared" si="277"/>
        <v>7.4499999999999993</v>
      </c>
      <c r="XK15" s="11">
        <f t="shared" si="278"/>
        <v>10.715</v>
      </c>
      <c r="XL15" s="11">
        <f t="shared" si="279"/>
        <v>34.465000000000003</v>
      </c>
      <c r="XM15" s="11">
        <f t="shared" si="280"/>
        <v>5.15</v>
      </c>
      <c r="XN15" s="11">
        <f t="shared" si="281"/>
        <v>7.7850000000000001</v>
      </c>
      <c r="XO15" s="11">
        <f t="shared" si="282"/>
        <v>26.084999999999997</v>
      </c>
      <c r="XP15" s="11">
        <f t="shared" si="283"/>
        <v>34.465000000000003</v>
      </c>
      <c r="XQ15" s="11">
        <f t="shared" si="284"/>
        <v>5.9</v>
      </c>
      <c r="XR15" s="11">
        <f t="shared" si="285"/>
        <v>8.2349999999999994</v>
      </c>
      <c r="XS15" s="11">
        <f t="shared" si="286"/>
        <v>26.035</v>
      </c>
      <c r="XT15" s="11">
        <f t="shared" si="287"/>
        <v>60.5</v>
      </c>
    </row>
    <row r="16" spans="1:644" x14ac:dyDescent="0.2">
      <c r="B16" s="5"/>
      <c r="D16" s="1"/>
    </row>
    <row r="17" spans="1:617" x14ac:dyDescent="0.2">
      <c r="G17" s="36"/>
      <c r="I17" s="36"/>
    </row>
    <row r="18" spans="1:617" x14ac:dyDescent="0.2">
      <c r="B18" s="23" t="s">
        <v>51</v>
      </c>
      <c r="C18" s="5"/>
      <c r="G18" s="3"/>
      <c r="AR18" s="41"/>
      <c r="AS18" s="41"/>
      <c r="AT18" s="41"/>
      <c r="AV18" s="32"/>
      <c r="AW18" s="32"/>
      <c r="AY18" s="42">
        <v>12.7</v>
      </c>
      <c r="BS18" s="41"/>
      <c r="BT18" s="41"/>
      <c r="BU18" s="41"/>
      <c r="BW18" s="32"/>
      <c r="BX18" s="32"/>
      <c r="BZ18" s="42">
        <v>12.7</v>
      </c>
      <c r="CT18" s="41"/>
      <c r="CU18" s="41"/>
      <c r="CV18" s="41"/>
      <c r="CX18" s="32"/>
      <c r="CY18" s="32"/>
      <c r="DA18" s="42">
        <v>13.2</v>
      </c>
      <c r="DX18" s="5"/>
      <c r="DY18" s="5"/>
      <c r="EH18" s="2"/>
      <c r="EI18" s="2"/>
      <c r="EK18" s="42">
        <v>12.7</v>
      </c>
      <c r="FF18" s="5"/>
      <c r="FG18" s="5"/>
      <c r="FP18" s="2"/>
      <c r="FQ18" s="2"/>
      <c r="FS18" s="42">
        <v>12.7</v>
      </c>
      <c r="GN18" s="5"/>
      <c r="GO18" s="5"/>
      <c r="GX18" s="2"/>
      <c r="GY18" s="2"/>
      <c r="HA18" s="42">
        <v>12.7</v>
      </c>
      <c r="HV18" s="5"/>
      <c r="HW18" s="5"/>
      <c r="IF18" s="2"/>
      <c r="IG18" s="2"/>
      <c r="II18" s="42">
        <v>12.7</v>
      </c>
      <c r="JD18" s="5"/>
      <c r="JE18" s="5"/>
      <c r="JN18" s="2"/>
      <c r="JO18" s="2"/>
      <c r="JQ18" s="42">
        <v>12.7</v>
      </c>
      <c r="KL18" s="5"/>
      <c r="KM18" s="5"/>
      <c r="KV18" s="2"/>
      <c r="KW18" s="2"/>
      <c r="KY18" s="42">
        <v>12.7</v>
      </c>
      <c r="LT18" s="5"/>
      <c r="LU18" s="5"/>
      <c r="MD18" s="2"/>
      <c r="ME18" s="2"/>
      <c r="MG18" s="42">
        <v>12.7</v>
      </c>
      <c r="NB18" s="5"/>
      <c r="NC18" s="5"/>
      <c r="NL18" s="2"/>
      <c r="NM18" s="2"/>
      <c r="NO18" s="42">
        <v>12.7</v>
      </c>
      <c r="OJ18" s="5"/>
      <c r="OK18" s="5"/>
      <c r="OT18" s="2"/>
      <c r="OU18" s="2"/>
      <c r="OW18" s="42">
        <v>13.2</v>
      </c>
      <c r="PR18" s="5"/>
      <c r="PS18" s="5"/>
      <c r="QB18" s="2"/>
      <c r="QC18" s="2"/>
      <c r="QE18" s="42">
        <v>13.2</v>
      </c>
      <c r="QZ18" s="5"/>
      <c r="RA18" s="5"/>
      <c r="RJ18" s="2"/>
      <c r="RK18" s="2"/>
      <c r="RM18" s="42">
        <v>13.2</v>
      </c>
      <c r="SH18" s="5"/>
      <c r="SI18" s="5"/>
      <c r="SR18" s="2"/>
      <c r="SS18" s="2"/>
      <c r="SU18" s="42">
        <v>13.2</v>
      </c>
      <c r="TP18" s="5"/>
      <c r="TQ18" s="5"/>
      <c r="TZ18" s="2"/>
      <c r="UA18" s="2"/>
      <c r="UC18" s="42">
        <v>13.2</v>
      </c>
      <c r="UX18" s="5"/>
      <c r="UY18" s="5"/>
      <c r="VH18" s="2"/>
      <c r="VI18" s="2"/>
      <c r="VK18" s="42">
        <v>13.2</v>
      </c>
      <c r="WF18" s="5"/>
      <c r="WG18" s="5"/>
      <c r="WP18" s="2"/>
      <c r="WQ18" s="2"/>
      <c r="WS18" s="42">
        <v>13.2</v>
      </c>
    </row>
    <row r="19" spans="1:617" x14ac:dyDescent="0.2">
      <c r="B19" s="30" t="s">
        <v>50</v>
      </c>
      <c r="C19" s="5"/>
      <c r="X19" s="2"/>
      <c r="AR19" s="41"/>
      <c r="AS19" s="41"/>
      <c r="AT19" s="41"/>
      <c r="AV19" s="32"/>
      <c r="AW19" s="32"/>
      <c r="AY19" s="43">
        <v>13.1</v>
      </c>
      <c r="BS19" s="41"/>
      <c r="BT19" s="41"/>
      <c r="BU19" s="41"/>
      <c r="BW19" s="32"/>
      <c r="BX19" s="32"/>
      <c r="BZ19" s="43">
        <v>13.1</v>
      </c>
      <c r="CT19" s="41"/>
      <c r="CU19" s="41"/>
      <c r="CV19" s="41"/>
      <c r="CX19" s="32"/>
      <c r="CY19" s="32"/>
      <c r="DA19" s="43">
        <v>14</v>
      </c>
      <c r="DX19" s="5"/>
      <c r="DY19" s="5"/>
      <c r="EH19" s="2"/>
      <c r="EI19" s="2"/>
      <c r="EK19" s="43">
        <v>13.1</v>
      </c>
      <c r="FF19" s="5"/>
      <c r="FG19" s="5"/>
      <c r="FP19" s="2"/>
      <c r="FQ19" s="2"/>
      <c r="FS19" s="43">
        <v>13.1</v>
      </c>
      <c r="GN19" s="5"/>
      <c r="GO19" s="5"/>
      <c r="GX19" s="2"/>
      <c r="GY19" s="2"/>
      <c r="HA19" s="43">
        <v>13.1</v>
      </c>
      <c r="HV19" s="5"/>
      <c r="HW19" s="5"/>
      <c r="IF19" s="2"/>
      <c r="IG19" s="2"/>
      <c r="II19" s="43">
        <v>13.1</v>
      </c>
      <c r="JD19" s="5"/>
      <c r="JE19" s="5"/>
      <c r="JN19" s="2"/>
      <c r="JO19" s="2"/>
      <c r="JQ19" s="43">
        <v>13.1</v>
      </c>
      <c r="KL19" s="5"/>
      <c r="KM19" s="5"/>
      <c r="KV19" s="2"/>
      <c r="KW19" s="2"/>
      <c r="KY19" s="43">
        <v>13.1</v>
      </c>
      <c r="LT19" s="5"/>
      <c r="LU19" s="5"/>
      <c r="MD19" s="2"/>
      <c r="ME19" s="2"/>
      <c r="MG19" s="43">
        <v>13.1</v>
      </c>
      <c r="NB19" s="5"/>
      <c r="NC19" s="5"/>
      <c r="NL19" s="2"/>
      <c r="NM19" s="2"/>
      <c r="NO19" s="43">
        <v>13.1</v>
      </c>
      <c r="OJ19" s="5"/>
      <c r="OK19" s="5"/>
      <c r="OT19" s="2"/>
      <c r="OU19" s="2"/>
      <c r="OW19" s="43">
        <v>14</v>
      </c>
      <c r="PR19" s="5"/>
      <c r="PS19" s="5"/>
      <c r="QB19" s="2"/>
      <c r="QC19" s="2"/>
      <c r="QE19" s="43">
        <v>14</v>
      </c>
      <c r="QZ19" s="5"/>
      <c r="RA19" s="5"/>
      <c r="RJ19" s="2"/>
      <c r="RK19" s="2"/>
      <c r="RM19" s="43">
        <v>14</v>
      </c>
      <c r="SH19" s="5"/>
      <c r="SI19" s="5"/>
      <c r="SR19" s="2"/>
      <c r="SS19" s="2"/>
      <c r="SU19" s="43">
        <v>14</v>
      </c>
      <c r="TP19" s="5"/>
      <c r="TQ19" s="5"/>
      <c r="TZ19" s="2"/>
      <c r="UA19" s="2"/>
      <c r="UC19" s="43">
        <v>14</v>
      </c>
      <c r="UX19" s="5"/>
      <c r="UY19" s="5"/>
      <c r="VH19" s="2"/>
      <c r="VI19" s="2"/>
      <c r="VK19" s="43">
        <v>14</v>
      </c>
      <c r="WF19" s="5"/>
      <c r="WG19" s="5"/>
      <c r="WP19" s="2"/>
      <c r="WQ19" s="2"/>
      <c r="WS19" s="43">
        <v>14</v>
      </c>
    </row>
    <row r="20" spans="1:617" x14ac:dyDescent="0.2">
      <c r="A20" s="5"/>
      <c r="B20" s="31" t="s">
        <v>63</v>
      </c>
      <c r="C20" s="5"/>
      <c r="E20" s="2"/>
      <c r="AR20" s="41"/>
      <c r="AS20" s="41"/>
      <c r="AT20" s="41"/>
      <c r="AU20" s="32"/>
      <c r="AV20" s="32"/>
      <c r="AW20" s="32"/>
      <c r="AX20" s="32"/>
      <c r="AY20" s="44">
        <v>13.5</v>
      </c>
      <c r="BS20" s="41"/>
      <c r="BT20" s="41"/>
      <c r="BU20" s="41"/>
      <c r="BW20" s="32"/>
      <c r="BX20" s="32"/>
      <c r="BZ20" s="44">
        <v>13.5</v>
      </c>
      <c r="CT20" s="41"/>
      <c r="CU20" s="41"/>
      <c r="CV20" s="41"/>
      <c r="CW20" s="32"/>
      <c r="CX20" s="32"/>
      <c r="CY20" s="32"/>
      <c r="CZ20" s="32"/>
      <c r="DA20" s="44">
        <v>14.9</v>
      </c>
      <c r="DX20" s="5"/>
      <c r="DY20" s="5"/>
      <c r="EH20" s="2"/>
      <c r="EI20" s="2"/>
      <c r="EK20" s="44">
        <v>13.5</v>
      </c>
      <c r="FF20" s="5"/>
      <c r="FG20" s="5"/>
      <c r="FP20" s="2"/>
      <c r="FQ20" s="2"/>
      <c r="FS20" s="44">
        <v>13.5</v>
      </c>
      <c r="GN20" s="5"/>
      <c r="GO20" s="5"/>
      <c r="GX20" s="2"/>
      <c r="GY20" s="2"/>
      <c r="HA20" s="44">
        <v>13.5</v>
      </c>
      <c r="HV20" s="5"/>
      <c r="HW20" s="5"/>
      <c r="IF20" s="2"/>
      <c r="IG20" s="2"/>
      <c r="II20" s="44">
        <v>13.5</v>
      </c>
      <c r="JD20" s="5"/>
      <c r="JE20" s="5"/>
      <c r="JN20" s="2"/>
      <c r="JO20" s="2"/>
      <c r="JQ20" s="44">
        <v>13.5</v>
      </c>
      <c r="KL20" s="5"/>
      <c r="KM20" s="5"/>
      <c r="KV20" s="2"/>
      <c r="KW20" s="2"/>
      <c r="KY20" s="44">
        <v>13.5</v>
      </c>
      <c r="LT20" s="5"/>
      <c r="LU20" s="5"/>
      <c r="MD20" s="2"/>
      <c r="ME20" s="2"/>
      <c r="MG20" s="44">
        <v>13.5</v>
      </c>
      <c r="NB20" s="5"/>
      <c r="NC20" s="5"/>
      <c r="NL20" s="2"/>
      <c r="NM20" s="2"/>
      <c r="NO20" s="44">
        <v>13.5</v>
      </c>
      <c r="OJ20" s="5"/>
      <c r="OK20" s="5"/>
      <c r="OT20" s="2"/>
      <c r="OU20" s="2"/>
      <c r="OW20" s="44">
        <v>14.9</v>
      </c>
      <c r="PR20" s="5"/>
      <c r="PS20" s="5"/>
      <c r="QB20" s="2"/>
      <c r="QC20" s="2"/>
      <c r="QE20" s="44">
        <v>14.9</v>
      </c>
      <c r="QZ20" s="5"/>
      <c r="RA20" s="5"/>
      <c r="RJ20" s="2"/>
      <c r="RK20" s="2"/>
      <c r="RM20" s="44">
        <v>14.9</v>
      </c>
      <c r="SH20" s="5"/>
      <c r="SI20" s="5"/>
      <c r="SR20" s="2"/>
      <c r="SS20" s="2"/>
      <c r="SU20" s="44">
        <v>14.9</v>
      </c>
      <c r="TP20" s="5"/>
      <c r="TQ20" s="5"/>
      <c r="TZ20" s="2"/>
      <c r="UA20" s="2"/>
      <c r="UC20" s="44">
        <v>14.9</v>
      </c>
      <c r="UX20" s="5"/>
      <c r="UY20" s="5"/>
      <c r="VH20" s="2"/>
      <c r="VI20" s="2"/>
      <c r="VK20" s="44">
        <v>14.9</v>
      </c>
      <c r="WF20" s="5"/>
      <c r="WG20" s="5"/>
      <c r="WP20" s="2"/>
      <c r="WQ20" s="2"/>
      <c r="WS20" s="44">
        <v>14.9</v>
      </c>
    </row>
    <row r="21" spans="1:617" x14ac:dyDescent="0.2">
      <c r="A21" s="5"/>
      <c r="B21" s="35" t="s">
        <v>76</v>
      </c>
      <c r="C21" s="5"/>
      <c r="E21" s="2"/>
      <c r="AR21" s="41"/>
      <c r="AS21" s="41"/>
      <c r="AT21" s="41"/>
      <c r="AU21" s="32"/>
      <c r="AV21" s="32"/>
      <c r="AW21" s="32"/>
      <c r="AX21" s="32"/>
      <c r="AY21" s="45">
        <v>14</v>
      </c>
      <c r="BS21" s="41"/>
      <c r="BT21" s="41"/>
      <c r="BU21" s="41"/>
      <c r="BW21" s="32"/>
      <c r="BX21" s="32"/>
      <c r="BZ21" s="45">
        <v>14</v>
      </c>
      <c r="CT21" s="41"/>
      <c r="CU21" s="41"/>
      <c r="CV21" s="41"/>
      <c r="CW21" s="32"/>
      <c r="CX21" s="32"/>
      <c r="CY21" s="32"/>
      <c r="CZ21" s="32"/>
      <c r="DA21" s="45">
        <v>15.3</v>
      </c>
      <c r="DX21" s="5"/>
      <c r="DY21" s="5"/>
      <c r="EH21" s="2"/>
      <c r="EI21" s="2"/>
      <c r="EK21" s="45">
        <v>14</v>
      </c>
      <c r="FF21" s="5"/>
      <c r="FG21" s="5"/>
      <c r="FP21" s="2"/>
      <c r="FQ21" s="2"/>
      <c r="FS21" s="45">
        <v>14</v>
      </c>
      <c r="GN21" s="5"/>
      <c r="GO21" s="5"/>
      <c r="GX21" s="2"/>
      <c r="GY21" s="2"/>
      <c r="HA21" s="45">
        <v>14</v>
      </c>
      <c r="HV21" s="5"/>
      <c r="HW21" s="5"/>
      <c r="IF21" s="2"/>
      <c r="IG21" s="2"/>
      <c r="II21" s="45">
        <v>14</v>
      </c>
      <c r="JD21" s="5"/>
      <c r="JE21" s="5"/>
      <c r="JN21" s="2"/>
      <c r="JO21" s="2"/>
      <c r="JQ21" s="45">
        <v>14</v>
      </c>
      <c r="KL21" s="5"/>
      <c r="KM21" s="5"/>
      <c r="KV21" s="2"/>
      <c r="KW21" s="2"/>
      <c r="KY21" s="45">
        <v>14</v>
      </c>
      <c r="LT21" s="5"/>
      <c r="LU21" s="5"/>
      <c r="MD21" s="2"/>
      <c r="ME21" s="2"/>
      <c r="MG21" s="45">
        <v>14</v>
      </c>
      <c r="NB21" s="5"/>
      <c r="NC21" s="5"/>
      <c r="NL21" s="2"/>
      <c r="NM21" s="2"/>
      <c r="NO21" s="45">
        <v>14</v>
      </c>
      <c r="OJ21" s="5"/>
      <c r="OK21" s="5"/>
      <c r="OT21" s="2"/>
      <c r="OU21" s="2"/>
      <c r="OW21" s="45">
        <v>15.3</v>
      </c>
      <c r="PR21" s="5"/>
      <c r="PS21" s="5"/>
      <c r="QB21" s="2"/>
      <c r="QC21" s="2"/>
      <c r="QE21" s="45">
        <v>15.3</v>
      </c>
      <c r="QZ21" s="5"/>
      <c r="RA21" s="5"/>
      <c r="RJ21" s="2"/>
      <c r="RK21" s="2"/>
      <c r="RM21" s="45">
        <v>15.3</v>
      </c>
      <c r="SH21" s="5"/>
      <c r="SI21" s="5"/>
      <c r="SR21" s="2"/>
      <c r="SS21" s="2"/>
      <c r="SU21" s="45">
        <v>15.3</v>
      </c>
      <c r="TP21" s="5"/>
      <c r="TQ21" s="5"/>
      <c r="TZ21" s="2"/>
      <c r="UA21" s="2"/>
      <c r="UC21" s="45">
        <v>15.3</v>
      </c>
      <c r="UX21" s="5"/>
      <c r="UY21" s="5"/>
      <c r="VH21" s="2"/>
      <c r="VI21" s="2"/>
      <c r="VK21" s="45">
        <v>15.3</v>
      </c>
      <c r="WF21" s="5"/>
      <c r="WG21" s="5"/>
      <c r="WP21" s="2"/>
      <c r="WQ21" s="2"/>
      <c r="WS21" s="45">
        <v>15.3</v>
      </c>
    </row>
    <row r="22" spans="1:617" x14ac:dyDescent="0.2">
      <c r="A22" s="5"/>
      <c r="B22" s="34" t="s">
        <v>48</v>
      </c>
      <c r="C22" s="5"/>
      <c r="P22" s="2"/>
      <c r="AR22" s="41"/>
      <c r="AS22" s="41"/>
      <c r="AT22" s="41"/>
      <c r="AU22" s="32"/>
      <c r="AV22" s="32"/>
      <c r="AW22" s="32"/>
      <c r="AX22" s="32"/>
      <c r="AY22" s="46">
        <v>49.5</v>
      </c>
      <c r="BS22" s="41"/>
      <c r="BT22" s="41"/>
      <c r="BU22" s="41"/>
      <c r="BW22" s="32"/>
      <c r="BX22" s="32"/>
      <c r="BZ22" s="46">
        <v>49.5</v>
      </c>
      <c r="CT22" s="41"/>
      <c r="CU22" s="41"/>
      <c r="CV22" s="41"/>
      <c r="CW22" s="32"/>
      <c r="CX22" s="32"/>
      <c r="CY22" s="32"/>
      <c r="CZ22" s="32"/>
      <c r="DA22" s="46">
        <v>51.6</v>
      </c>
      <c r="DX22" s="5"/>
      <c r="DY22" s="5"/>
      <c r="EH22" s="2"/>
      <c r="EI22" s="2"/>
      <c r="EK22" s="46">
        <v>49.5</v>
      </c>
      <c r="FF22" s="5"/>
      <c r="FG22" s="5"/>
      <c r="FP22" s="2"/>
      <c r="FQ22" s="2"/>
      <c r="FS22" s="46">
        <v>49.5</v>
      </c>
      <c r="GN22" s="5"/>
      <c r="GO22" s="5"/>
      <c r="GX22" s="2"/>
      <c r="GY22" s="2"/>
      <c r="HA22" s="46">
        <v>49.5</v>
      </c>
      <c r="HV22" s="5"/>
      <c r="HW22" s="5"/>
      <c r="IF22" s="2"/>
      <c r="IG22" s="2"/>
      <c r="II22" s="46">
        <v>49.5</v>
      </c>
      <c r="JD22" s="5"/>
      <c r="JE22" s="5"/>
      <c r="JN22" s="2"/>
      <c r="JO22" s="2"/>
      <c r="JQ22" s="46">
        <v>49.5</v>
      </c>
      <c r="KL22" s="5"/>
      <c r="KM22" s="5"/>
      <c r="KV22" s="2"/>
      <c r="KW22" s="2"/>
      <c r="KY22" s="46">
        <v>49.5</v>
      </c>
      <c r="LT22" s="5"/>
      <c r="LU22" s="5"/>
      <c r="MD22" s="2"/>
      <c r="ME22" s="2"/>
      <c r="MG22" s="46">
        <v>49.5</v>
      </c>
      <c r="NB22" s="5"/>
      <c r="NC22" s="5"/>
      <c r="NL22" s="2"/>
      <c r="NM22" s="2"/>
      <c r="NO22" s="46">
        <v>49.5</v>
      </c>
      <c r="OJ22" s="5"/>
      <c r="OK22" s="5"/>
      <c r="OT22" s="2"/>
      <c r="OU22" s="2"/>
      <c r="OW22" s="46">
        <v>51.6</v>
      </c>
      <c r="PR22" s="5"/>
      <c r="PS22" s="5"/>
      <c r="QB22" s="2"/>
      <c r="QC22" s="2"/>
      <c r="QE22" s="46">
        <v>51.6</v>
      </c>
      <c r="QZ22" s="5"/>
      <c r="RA22" s="5"/>
      <c r="RJ22" s="2"/>
      <c r="RK22" s="2"/>
      <c r="RM22" s="46">
        <v>51.6</v>
      </c>
      <c r="SH22" s="5"/>
      <c r="SI22" s="5"/>
      <c r="SR22" s="2"/>
      <c r="SS22" s="2"/>
      <c r="SU22" s="46">
        <v>51.6</v>
      </c>
      <c r="TP22" s="5"/>
      <c r="TQ22" s="5"/>
      <c r="TZ22" s="2"/>
      <c r="UA22" s="2"/>
      <c r="UC22" s="46">
        <v>51.6</v>
      </c>
      <c r="UX22" s="5"/>
      <c r="UY22" s="5"/>
      <c r="VH22" s="2"/>
      <c r="VI22" s="2"/>
      <c r="VK22" s="46">
        <v>51.6</v>
      </c>
      <c r="WF22" s="5"/>
      <c r="WG22" s="5"/>
      <c r="WP22" s="2"/>
      <c r="WQ22" s="2"/>
      <c r="WS22" s="46">
        <v>51.6</v>
      </c>
    </row>
    <row r="23" spans="1:617" x14ac:dyDescent="0.2">
      <c r="A23" s="5"/>
      <c r="B23" s="24" t="s">
        <v>49</v>
      </c>
      <c r="C23" s="5"/>
      <c r="P23" s="2"/>
      <c r="AR23" s="41"/>
      <c r="AS23" s="41"/>
      <c r="AT23" s="41"/>
      <c r="AU23" s="32"/>
      <c r="AV23" s="32"/>
      <c r="AW23" s="32"/>
      <c r="AX23" s="32"/>
      <c r="AY23" s="47">
        <v>51.3</v>
      </c>
      <c r="BS23" s="41"/>
      <c r="BT23" s="41"/>
      <c r="BU23" s="41"/>
      <c r="BW23" s="32"/>
      <c r="BX23" s="32"/>
      <c r="BZ23" s="47">
        <v>51.3</v>
      </c>
      <c r="CT23" s="41"/>
      <c r="CU23" s="41"/>
      <c r="CV23" s="41"/>
      <c r="CW23" s="32"/>
      <c r="CX23" s="32"/>
      <c r="CY23" s="32"/>
      <c r="CZ23" s="32"/>
      <c r="DA23" s="47">
        <v>52.8</v>
      </c>
      <c r="DX23" s="5"/>
      <c r="DY23" s="5"/>
      <c r="EH23" s="2"/>
      <c r="EI23" s="2"/>
      <c r="EK23" s="47">
        <v>51.3</v>
      </c>
      <c r="FF23" s="5"/>
      <c r="FG23" s="5"/>
      <c r="FP23" s="2"/>
      <c r="FQ23" s="2"/>
      <c r="FS23" s="47">
        <v>51.3</v>
      </c>
      <c r="GN23" s="5"/>
      <c r="GO23" s="5"/>
      <c r="GX23" s="2"/>
      <c r="GY23" s="2"/>
      <c r="HA23" s="47">
        <v>51.3</v>
      </c>
      <c r="HV23" s="5"/>
      <c r="HW23" s="5"/>
      <c r="IF23" s="2"/>
      <c r="IG23" s="2"/>
      <c r="II23" s="47">
        <v>51.3</v>
      </c>
      <c r="JD23" s="5"/>
      <c r="JE23" s="5"/>
      <c r="JN23" s="2"/>
      <c r="JO23" s="2"/>
      <c r="JQ23" s="47">
        <v>51.3</v>
      </c>
      <c r="KL23" s="5"/>
      <c r="KM23" s="5"/>
      <c r="KV23" s="2"/>
      <c r="KW23" s="2"/>
      <c r="KY23" s="47">
        <v>51.3</v>
      </c>
      <c r="LT23" s="5"/>
      <c r="LU23" s="5"/>
      <c r="MD23" s="2"/>
      <c r="ME23" s="2"/>
      <c r="MG23" s="47">
        <v>51.3</v>
      </c>
      <c r="NB23" s="5"/>
      <c r="NC23" s="5"/>
      <c r="NL23" s="2"/>
      <c r="NM23" s="2"/>
      <c r="NO23" s="47">
        <v>51.3</v>
      </c>
      <c r="OJ23" s="5"/>
      <c r="OK23" s="5"/>
      <c r="OT23" s="2"/>
      <c r="OU23" s="2"/>
      <c r="OW23" s="47">
        <v>52.8</v>
      </c>
      <c r="PR23" s="5"/>
      <c r="PS23" s="5"/>
      <c r="QB23" s="2"/>
      <c r="QC23" s="2"/>
      <c r="QE23" s="47">
        <v>52.8</v>
      </c>
      <c r="QZ23" s="5"/>
      <c r="RA23" s="5"/>
      <c r="RJ23" s="2"/>
      <c r="RK23" s="2"/>
      <c r="RM23" s="47">
        <v>52.8</v>
      </c>
      <c r="SH23" s="5"/>
      <c r="SI23" s="5"/>
      <c r="SR23" s="2"/>
      <c r="SS23" s="2"/>
      <c r="SU23" s="47">
        <v>52.8</v>
      </c>
      <c r="TP23" s="5"/>
      <c r="TQ23" s="5"/>
      <c r="TZ23" s="2"/>
      <c r="UA23" s="2"/>
      <c r="UC23" s="47">
        <v>52.8</v>
      </c>
      <c r="UX23" s="5"/>
      <c r="UY23" s="5"/>
      <c r="VH23" s="2"/>
      <c r="VI23" s="2"/>
      <c r="VK23" s="47">
        <v>52.8</v>
      </c>
      <c r="WF23" s="5"/>
      <c r="WG23" s="5"/>
      <c r="WP23" s="2"/>
      <c r="WQ23" s="2"/>
      <c r="WS23" s="47">
        <v>52.8</v>
      </c>
    </row>
    <row r="24" spans="1:617" x14ac:dyDescent="0.2">
      <c r="A24" s="5"/>
      <c r="B24" s="33" t="s">
        <v>62</v>
      </c>
      <c r="C24" s="5"/>
      <c r="AR24" s="41"/>
      <c r="AS24" s="41"/>
      <c r="AT24" s="41"/>
      <c r="AU24" s="32"/>
      <c r="AV24" s="32"/>
      <c r="AW24" s="32"/>
      <c r="AX24" s="32"/>
      <c r="AY24" s="48">
        <v>52.2</v>
      </c>
      <c r="BS24" s="41"/>
      <c r="BT24" s="41"/>
      <c r="BU24" s="41"/>
      <c r="BW24" s="32"/>
      <c r="BX24" s="32"/>
      <c r="BZ24" s="48">
        <v>52.2</v>
      </c>
      <c r="CT24" s="41"/>
      <c r="CU24" s="41"/>
      <c r="CV24" s="41"/>
      <c r="CW24" s="32"/>
      <c r="CX24" s="32"/>
      <c r="CY24" s="32"/>
      <c r="CZ24" s="32"/>
      <c r="DA24" s="48">
        <v>54</v>
      </c>
      <c r="DX24" s="5"/>
      <c r="DY24" s="5"/>
      <c r="EH24" s="2"/>
      <c r="EI24" s="2"/>
      <c r="EJ24" s="37"/>
      <c r="EK24" s="48">
        <v>52.2</v>
      </c>
      <c r="FF24" s="5"/>
      <c r="FG24" s="5"/>
      <c r="FP24" s="2"/>
      <c r="FQ24" s="2"/>
      <c r="FR24" s="37"/>
      <c r="FS24" s="48">
        <v>52.2</v>
      </c>
      <c r="GN24" s="5"/>
      <c r="GO24" s="5"/>
      <c r="GX24" s="2"/>
      <c r="GY24" s="2"/>
      <c r="GZ24" s="37"/>
      <c r="HA24" s="48">
        <v>52.2</v>
      </c>
      <c r="HV24" s="5"/>
      <c r="HW24" s="5"/>
      <c r="IF24" s="2"/>
      <c r="IG24" s="2"/>
      <c r="IH24" s="37"/>
      <c r="II24" s="48">
        <v>52.2</v>
      </c>
      <c r="JD24" s="5"/>
      <c r="JE24" s="5"/>
      <c r="JN24" s="2"/>
      <c r="JO24" s="2"/>
      <c r="JP24" s="37"/>
      <c r="JQ24" s="48">
        <v>52.2</v>
      </c>
      <c r="KL24" s="5"/>
      <c r="KM24" s="5"/>
      <c r="KV24" s="2"/>
      <c r="KW24" s="2"/>
      <c r="KX24" s="37"/>
      <c r="KY24" s="48">
        <v>52.2</v>
      </c>
      <c r="LT24" s="5"/>
      <c r="LU24" s="5"/>
      <c r="MD24" s="2"/>
      <c r="ME24" s="2"/>
      <c r="MF24" s="37"/>
      <c r="MG24" s="48">
        <v>52.2</v>
      </c>
      <c r="NB24" s="5"/>
      <c r="NC24" s="5"/>
      <c r="NL24" s="2"/>
      <c r="NM24" s="2"/>
      <c r="NN24" s="37"/>
      <c r="NO24" s="48">
        <v>52.2</v>
      </c>
      <c r="OJ24" s="5"/>
      <c r="OK24" s="5"/>
      <c r="OT24" s="2"/>
      <c r="OU24" s="2"/>
      <c r="OV24" s="37"/>
      <c r="OW24" s="48">
        <v>54</v>
      </c>
      <c r="PR24" s="5"/>
      <c r="PS24" s="5"/>
      <c r="QB24" s="2"/>
      <c r="QC24" s="2"/>
      <c r="QD24" s="37"/>
      <c r="QE24" s="48">
        <v>54</v>
      </c>
      <c r="QZ24" s="5"/>
      <c r="RA24" s="5"/>
      <c r="RJ24" s="2"/>
      <c r="RK24" s="2"/>
      <c r="RL24" s="37"/>
      <c r="RM24" s="48">
        <v>54</v>
      </c>
      <c r="SH24" s="5"/>
      <c r="SI24" s="5"/>
      <c r="SR24" s="2"/>
      <c r="SS24" s="2"/>
      <c r="ST24" s="37"/>
      <c r="SU24" s="48">
        <v>54</v>
      </c>
      <c r="TP24" s="5"/>
      <c r="TQ24" s="5"/>
      <c r="TZ24" s="2"/>
      <c r="UA24" s="2"/>
      <c r="UB24" s="37"/>
      <c r="UC24" s="48">
        <v>54</v>
      </c>
      <c r="UX24" s="5"/>
      <c r="UY24" s="5"/>
      <c r="VH24" s="2"/>
      <c r="VI24" s="2"/>
      <c r="VJ24" s="37"/>
      <c r="VK24" s="48">
        <v>54</v>
      </c>
      <c r="WF24" s="5"/>
      <c r="WG24" s="5"/>
      <c r="WP24" s="2"/>
      <c r="WQ24" s="2"/>
      <c r="WR24" s="37"/>
      <c r="WS24" s="48">
        <v>54</v>
      </c>
    </row>
    <row r="25" spans="1:617" x14ac:dyDescent="0.2">
      <c r="A25" s="5"/>
      <c r="B25" s="25" t="s">
        <v>32</v>
      </c>
      <c r="C25" s="5"/>
      <c r="P25" s="2"/>
      <c r="AR25" s="41"/>
      <c r="AS25" s="41"/>
      <c r="AT25" s="41"/>
      <c r="AU25" s="32"/>
      <c r="AV25" s="41"/>
      <c r="AW25" s="41"/>
      <c r="AX25" s="32"/>
      <c r="AY25" s="49">
        <v>54</v>
      </c>
      <c r="BS25" s="41"/>
      <c r="BT25" s="41"/>
      <c r="BU25" s="41"/>
      <c r="BW25" s="41"/>
      <c r="BX25" s="32"/>
      <c r="BZ25" s="49">
        <v>54</v>
      </c>
      <c r="CT25" s="41"/>
      <c r="CU25" s="41"/>
      <c r="CV25" s="41"/>
      <c r="CW25" s="32"/>
      <c r="CX25" s="41"/>
      <c r="CY25" s="32"/>
      <c r="CZ25" s="32"/>
      <c r="DA25" s="49">
        <v>55.1</v>
      </c>
      <c r="DX25" s="5"/>
      <c r="DY25" s="5"/>
      <c r="EH25" s="41"/>
      <c r="EI25" s="2"/>
      <c r="EK25" s="49">
        <v>54</v>
      </c>
      <c r="FF25" s="5"/>
      <c r="FG25" s="5"/>
      <c r="FP25" s="41"/>
      <c r="FQ25" s="2"/>
      <c r="FS25" s="49">
        <v>54</v>
      </c>
      <c r="GN25" s="5"/>
      <c r="GO25" s="5"/>
      <c r="GX25" s="2"/>
      <c r="GY25" s="2"/>
      <c r="HA25" s="49">
        <v>54</v>
      </c>
      <c r="HV25" s="5"/>
      <c r="HW25" s="5"/>
      <c r="IF25" s="41"/>
      <c r="IG25" s="2"/>
      <c r="II25" s="49">
        <v>54</v>
      </c>
      <c r="JD25" s="5"/>
      <c r="JE25" s="5"/>
      <c r="JN25" s="2"/>
      <c r="JO25" s="2"/>
      <c r="JQ25" s="49">
        <v>54</v>
      </c>
      <c r="KL25" s="5"/>
      <c r="KM25" s="5"/>
      <c r="KV25" s="2"/>
      <c r="KW25" s="2"/>
      <c r="KY25" s="49">
        <v>54</v>
      </c>
      <c r="LT25" s="5"/>
      <c r="LU25" s="5"/>
      <c r="MD25" s="2"/>
      <c r="ME25" s="2"/>
      <c r="MG25" s="49">
        <v>54</v>
      </c>
      <c r="NB25" s="5"/>
      <c r="NC25" s="5"/>
      <c r="NL25" s="2"/>
      <c r="NM25" s="2"/>
      <c r="NO25" s="49">
        <v>54</v>
      </c>
      <c r="OJ25" s="5"/>
      <c r="OK25" s="5"/>
      <c r="OT25" s="2"/>
      <c r="OU25" s="2"/>
      <c r="OW25" s="49">
        <v>55.1</v>
      </c>
      <c r="PR25" s="5"/>
      <c r="PS25" s="5"/>
      <c r="QB25" s="2"/>
      <c r="QC25" s="2"/>
      <c r="QE25" s="49">
        <v>55.1</v>
      </c>
      <c r="QZ25" s="5"/>
      <c r="RA25" s="5"/>
      <c r="RJ25" s="2"/>
      <c r="RK25" s="2"/>
      <c r="RM25" s="49">
        <v>55.1</v>
      </c>
      <c r="SH25" s="5"/>
      <c r="SI25" s="5"/>
      <c r="SR25" s="2"/>
      <c r="SS25" s="2"/>
      <c r="SU25" s="49">
        <v>55.1</v>
      </c>
      <c r="TP25" s="5"/>
      <c r="TQ25" s="5"/>
      <c r="TZ25" s="2"/>
      <c r="UA25" s="2"/>
      <c r="UC25" s="49">
        <v>55.1</v>
      </c>
      <c r="UX25" s="5"/>
      <c r="UY25" s="5"/>
      <c r="VH25" s="2"/>
      <c r="VI25" s="2"/>
      <c r="VK25" s="49">
        <v>55.1</v>
      </c>
      <c r="WF25" s="5"/>
      <c r="WG25" s="5"/>
      <c r="WP25" s="2"/>
      <c r="WQ25" s="2"/>
      <c r="WS25" s="49">
        <v>55.1</v>
      </c>
    </row>
    <row r="26" spans="1:617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 s="2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6:XT15">
      <sortCondition descending="1" ref="F1:F16"/>
    </sortState>
  </autoFilter>
  <mergeCells count="116"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</mergeCells>
  <conditionalFormatting sqref="H1:H1048576">
    <cfRule type="containsText" dxfId="759" priority="66" operator="containsText" text="No DD">
      <formula>NOT(ISERROR(SEARCH("No DD",H1)))</formula>
    </cfRule>
    <cfRule type="containsText" dxfId="758" priority="67" operator="containsText" text="Merit">
      <formula>NOT(ISERROR(SEARCH("Merit",H1)))</formula>
    </cfRule>
    <cfRule type="containsText" dxfId="757" priority="68" operator="containsText" text="Excellence">
      <formula>NOT(ISERROR(SEARCH("Excellence",H1)))</formula>
    </cfRule>
    <cfRule type="containsText" dxfId="756" priority="69" operator="containsText" text="Worlds Team">
      <formula>NOT(ISERROR(SEARCH("Worlds Team",H1)))</formula>
    </cfRule>
    <cfRule type="containsText" dxfId="755" priority="70" operator="containsText" text="National Team">
      <formula>NOT(ISERROR(SEARCH("National Team",H1)))</formula>
    </cfRule>
  </conditionalFormatting>
  <conditionalFormatting sqref="A4:A1048576">
    <cfRule type="expression" dxfId="754" priority="31">
      <formula>AND(G4&lt;&gt;"",F4="")</formula>
    </cfRule>
    <cfRule type="expression" dxfId="753" priority="71">
      <formula>IF(A4&gt;8,1,0)</formula>
    </cfRule>
  </conditionalFormatting>
  <conditionalFormatting sqref="Y4:AY15">
    <cfRule type="expression" dxfId="752" priority="72" stopIfTrue="1">
      <formula>IF($AN4&lt;&gt;"",1,0)</formula>
    </cfRule>
  </conditionalFormatting>
  <conditionalFormatting sqref="AZ4:BZ15">
    <cfRule type="expression" dxfId="751" priority="65" stopIfTrue="1">
      <formula>IF($BO4&lt;&gt;"",1,0)</formula>
    </cfRule>
  </conditionalFormatting>
  <conditionalFormatting sqref="CA4:DA15">
    <cfRule type="expression" dxfId="750" priority="64" stopIfTrue="1">
      <formula>IF($CP4&lt;&gt;"",1,0)</formula>
    </cfRule>
  </conditionalFormatting>
  <conditionalFormatting sqref="BW26:BW1048576 BP1:BP1048576 BS1:BS1048576 BW1:BW24">
    <cfRule type="cellIs" dxfId="749" priority="77" operator="between">
      <formula>$BZ$21</formula>
      <formula>1000</formula>
    </cfRule>
    <cfRule type="cellIs" dxfId="748" priority="78" operator="between">
      <formula>$BZ$20</formula>
      <formula>$BZ$21</formula>
    </cfRule>
    <cfRule type="cellIs" dxfId="747" priority="79" operator="between">
      <formula>$BZ$19</formula>
      <formula>$BZ$20</formula>
    </cfRule>
    <cfRule type="cellIs" dxfId="746" priority="80" operator="between">
      <formula>$BZ$18</formula>
      <formula>$BZ$19</formula>
    </cfRule>
  </conditionalFormatting>
  <conditionalFormatting sqref="CX26:CX1048576 CQ1:CQ1048576 CT1:CT1048576 CX1:CX24">
    <cfRule type="cellIs" dxfId="745" priority="73" operator="between">
      <formula>$DA$21</formula>
      <formula>1000</formula>
    </cfRule>
    <cfRule type="cellIs" dxfId="744" priority="74" operator="between">
      <formula>$DA$20</formula>
      <formula>$DA$21</formula>
    </cfRule>
    <cfRule type="cellIs" dxfId="743" priority="75" operator="between">
      <formula>$DA$19</formula>
      <formula>$DA$20</formula>
    </cfRule>
    <cfRule type="cellIs" dxfId="742" priority="76" operator="between">
      <formula>$DA$18</formula>
      <formula>$DA$19</formula>
    </cfRule>
  </conditionalFormatting>
  <conditionalFormatting sqref="EH26:EH1048576 DX1:DX1048576 EA1:EA1048576 EE1:EE1048576 EH1:EH24">
    <cfRule type="cellIs" dxfId="741" priority="84" operator="between">
      <formula>$EK$21</formula>
      <formula>1000</formula>
    </cfRule>
    <cfRule type="cellIs" dxfId="740" priority="85" operator="between">
      <formula>$EK$20</formula>
      <formula>$EK$21</formula>
    </cfRule>
    <cfRule type="cellIs" dxfId="739" priority="86" operator="between">
      <formula>$EK$19</formula>
      <formula>$EK$20</formula>
    </cfRule>
    <cfRule type="cellIs" dxfId="738" priority="87" operator="between">
      <formula>$EK$18</formula>
      <formula>$EK$19</formula>
    </cfRule>
  </conditionalFormatting>
  <conditionalFormatting sqref="FP26:FP1048576 FF1:FF1048576 FI1:FI1048576 FM1:FM1048576 FP1:FP24">
    <cfRule type="cellIs" dxfId="737" priority="60" operator="between">
      <formula>$FS$21</formula>
      <formula>1000</formula>
    </cfRule>
    <cfRule type="cellIs" dxfId="736" priority="61" operator="between">
      <formula>$FS$20</formula>
      <formula>$FS$21</formula>
    </cfRule>
    <cfRule type="cellIs" dxfId="735" priority="62" operator="between">
      <formula>$FS$19</formula>
      <formula>$FS$20</formula>
    </cfRule>
    <cfRule type="cellIs" dxfId="734" priority="63" operator="between">
      <formula>$FS$18</formula>
      <formula>$FS$19</formula>
    </cfRule>
  </conditionalFormatting>
  <conditionalFormatting sqref="IF26:IF1048576 HV1:HV1048576 HY1:HY1048576 IC1:IC1048576 IF1:IF24">
    <cfRule type="cellIs" dxfId="733" priority="56" operator="between">
      <formula>$II$21</formula>
      <formula>1000</formula>
    </cfRule>
    <cfRule type="cellIs" dxfId="732" priority="57" operator="between">
      <formula>$II$20</formula>
      <formula>$II$21</formula>
    </cfRule>
    <cfRule type="cellIs" dxfId="731" priority="58" operator="between">
      <formula>$II$19</formula>
      <formula>$II$20</formula>
    </cfRule>
    <cfRule type="cellIs" dxfId="730" priority="59" operator="between">
      <formula>$II$18</formula>
      <formula>$II$19</formula>
    </cfRule>
  </conditionalFormatting>
  <conditionalFormatting sqref="AW25 AO1:AO1048576 AR1:AR1048576 AV1:AV1048576">
    <cfRule type="cellIs" dxfId="729" priority="52" operator="between">
      <formula>$AY$21</formula>
      <formula>1000</formula>
    </cfRule>
    <cfRule type="cellIs" dxfId="728" priority="53" operator="between">
      <formula>$AY$20</formula>
      <formula>$AY$21</formula>
    </cfRule>
    <cfRule type="cellIs" dxfId="727" priority="54" operator="between">
      <formula>$AY$19</formula>
      <formula>$AY$20</formula>
    </cfRule>
    <cfRule type="cellIs" dxfId="726" priority="55" operator="between">
      <formula>$AY$18</formula>
      <formula>$AY$19</formula>
    </cfRule>
  </conditionalFormatting>
  <conditionalFormatting sqref="BW25">
    <cfRule type="cellIs" dxfId="725" priority="48" operator="between">
      <formula>$AY$21</formula>
      <formula>1000</formula>
    </cfRule>
    <cfRule type="cellIs" dxfId="724" priority="49" operator="between">
      <formula>$AY$20</formula>
      <formula>$AY$21</formula>
    </cfRule>
    <cfRule type="cellIs" dxfId="723" priority="50" operator="between">
      <formula>$AY$19</formula>
      <formula>$AY$20</formula>
    </cfRule>
    <cfRule type="cellIs" dxfId="722" priority="51" operator="between">
      <formula>$AY$18</formula>
      <formula>$AY$19</formula>
    </cfRule>
  </conditionalFormatting>
  <conditionalFormatting sqref="CX25">
    <cfRule type="cellIs" dxfId="721" priority="44" operator="between">
      <formula>$AY$21</formula>
      <formula>1000</formula>
    </cfRule>
    <cfRule type="cellIs" dxfId="720" priority="45" operator="between">
      <formula>$AY$20</formula>
      <formula>$AY$21</formula>
    </cfRule>
    <cfRule type="cellIs" dxfId="719" priority="46" operator="between">
      <formula>$AY$19</formula>
      <formula>$AY$20</formula>
    </cfRule>
    <cfRule type="cellIs" dxfId="718" priority="47" operator="between">
      <formula>$AY$18</formula>
      <formula>$AY$19</formula>
    </cfRule>
  </conditionalFormatting>
  <conditionalFormatting sqref="EH25">
    <cfRule type="cellIs" dxfId="717" priority="40" operator="between">
      <formula>$AY$21</formula>
      <formula>1000</formula>
    </cfRule>
    <cfRule type="cellIs" dxfId="716" priority="41" operator="between">
      <formula>$AY$20</formula>
      <formula>$AY$21</formula>
    </cfRule>
    <cfRule type="cellIs" dxfId="715" priority="42" operator="between">
      <formula>$AY$19</formula>
      <formula>$AY$20</formula>
    </cfRule>
    <cfRule type="cellIs" dxfId="714" priority="43" operator="between">
      <formula>$AY$18</formula>
      <formula>$AY$19</formula>
    </cfRule>
  </conditionalFormatting>
  <conditionalFormatting sqref="FP25">
    <cfRule type="cellIs" dxfId="713" priority="36" operator="between">
      <formula>$AY$21</formula>
      <formula>1000</formula>
    </cfRule>
    <cfRule type="cellIs" dxfId="712" priority="37" operator="between">
      <formula>$AY$20</formula>
      <formula>$AY$21</formula>
    </cfRule>
    <cfRule type="cellIs" dxfId="711" priority="38" operator="between">
      <formula>$AY$19</formula>
      <formula>$AY$20</formula>
    </cfRule>
    <cfRule type="cellIs" dxfId="710" priority="39" operator="between">
      <formula>$AY$18</formula>
      <formula>$AY$19</formula>
    </cfRule>
  </conditionalFormatting>
  <conditionalFormatting sqref="IF25">
    <cfRule type="cellIs" dxfId="709" priority="32" operator="between">
      <formula>$AY$21</formula>
      <formula>1000</formula>
    </cfRule>
    <cfRule type="cellIs" dxfId="708" priority="33" operator="between">
      <formula>$AY$20</formula>
      <formula>$AY$21</formula>
    </cfRule>
    <cfRule type="cellIs" dxfId="707" priority="34" operator="between">
      <formula>$AY$19</formula>
      <formula>$AY$20</formula>
    </cfRule>
    <cfRule type="cellIs" dxfId="706" priority="35" operator="between">
      <formula>$AY$18</formula>
      <formula>$AY$19</formula>
    </cfRule>
  </conditionalFormatting>
  <conditionalFormatting sqref="K1:K1048576 M1:M1048576 O1:O1048576 Q1:Q1048576 S1:S1048576 U1:U1048576">
    <cfRule type="expression" dxfId="705" priority="81">
      <formula>IF(K1=$CA$1,1,0)</formula>
    </cfRule>
    <cfRule type="expression" dxfId="704" priority="82" stopIfTrue="1">
      <formula>IF(K1=$AZ$1,1,0)</formula>
    </cfRule>
    <cfRule type="expression" dxfId="703" priority="83">
      <formula>IF(K1=$Y$1,1,0)</formula>
    </cfRule>
  </conditionalFormatting>
  <conditionalFormatting sqref="ST49:ST1048576 SJ1:SJ1048576 SM1:SM1048576 SQ1:SQ1048576 ST1:ST31 WT1:WT15 TU1:TU25 TY1:TY25 UB1:UB25 VC1:VC25 VG1:VG25 VJ1:VJ25 WK1:WK25 WO1:WO25 WR1:WR25 TR1:TR25 UZ1:UZ25 WH1:WH25">
    <cfRule type="cellIs" dxfId="702" priority="98990" operator="between">
      <formula>$SU$25</formula>
      <formula>1000</formula>
    </cfRule>
    <cfRule type="cellIs" dxfId="701" priority="98991" operator="between">
      <formula>$SU$24</formula>
      <formula>$SU$25</formula>
    </cfRule>
    <cfRule type="cellIs" dxfId="700" priority="98992" operator="between">
      <formula>$SU$23</formula>
      <formula>$SU$24</formula>
    </cfRule>
    <cfRule type="cellIs" dxfId="699" priority="98993" operator="between">
      <formula>$SU$22</formula>
      <formula>$SU$23</formula>
    </cfRule>
  </conditionalFormatting>
  <conditionalFormatting sqref="CV1:CV1048576 AT1:AT1048576">
    <cfRule type="cellIs" dxfId="698" priority="133691" operator="between">
      <formula>AY$25</formula>
      <formula>1000</formula>
    </cfRule>
    <cfRule type="cellIs" dxfId="697" priority="133692" operator="between">
      <formula>AY$24</formula>
      <formula>AY$25</formula>
    </cfRule>
  </conditionalFormatting>
  <conditionalFormatting sqref="EC1:EC1048576 FK1:FK1048576 GS1:GS1048576 IA1:IA1048576 JI1:JI1048576 KQ1:KQ1048576 LY1:LY1048576 NG1:NG1048576 OO1:OO1048576 PW1:PW1048576 RE1:RE1048576 SM1:SM1048576 TU1:TU25 VC1:VC25 WK1:WK25">
    <cfRule type="cellIs" dxfId="696" priority="133703" operator="between">
      <formula>EK$25</formula>
      <formula>1000</formula>
    </cfRule>
    <cfRule type="cellIs" dxfId="695" priority="133704" operator="between">
      <formula>EK$24</formula>
      <formula>EK$25</formula>
    </cfRule>
  </conditionalFormatting>
  <conditionalFormatting sqref="AQ1:AQ1048576 AT1:AT1048576 AX1:AX1048576">
    <cfRule type="cellIs" dxfId="694" priority="133787" operator="between">
      <formula>$AY$25</formula>
      <formula>1000</formula>
    </cfRule>
    <cfRule type="cellIs" dxfId="693" priority="133788" operator="between">
      <formula>$AY$24</formula>
      <formula>$AY$25</formula>
    </cfRule>
    <cfRule type="cellIs" dxfId="692" priority="133789" operator="between">
      <formula>$AY$23</formula>
      <formula>$AY$24</formula>
    </cfRule>
    <cfRule type="cellIs" dxfId="691" priority="133790" operator="between">
      <formula>$AY$22</formula>
      <formula>$AY$23</formula>
    </cfRule>
  </conditionalFormatting>
  <conditionalFormatting sqref="BR1:BR1048576 BU1:BU1048576 BY1:BY1048576">
    <cfRule type="cellIs" dxfId="690" priority="133823" operator="between">
      <formula>$BZ$25</formula>
      <formula>1000</formula>
    </cfRule>
    <cfRule type="cellIs" dxfId="689" priority="133824" operator="between">
      <formula>$BZ$24</formula>
      <formula>$BZ$25</formula>
    </cfRule>
    <cfRule type="cellIs" dxfId="688" priority="133825" operator="between">
      <formula>$BZ$23</formula>
      <formula>$BZ$24</formula>
    </cfRule>
    <cfRule type="cellIs" dxfId="687" priority="133826" operator="between">
      <formula>$BZ$22</formula>
      <formula>$BZ$23</formula>
    </cfRule>
  </conditionalFormatting>
  <conditionalFormatting sqref="CS1:CS1048576 CV1:CV1048576 CZ1:CZ1048576">
    <cfRule type="cellIs" dxfId="686" priority="133859" operator="between">
      <formula>$DA$25</formula>
      <formula>1000</formula>
    </cfRule>
    <cfRule type="cellIs" dxfId="685" priority="133860" operator="between">
      <formula>$DA$24</formula>
      <formula>$DA$25</formula>
    </cfRule>
    <cfRule type="cellIs" dxfId="684" priority="133861" operator="between">
      <formula>$DA$23</formula>
      <formula>$DA$24</formula>
    </cfRule>
    <cfRule type="cellIs" dxfId="683" priority="133862" operator="between">
      <formula>$DA$22</formula>
      <formula>$DA$23</formula>
    </cfRule>
  </conditionalFormatting>
  <conditionalFormatting sqref="NB1:NB1048576 NE1:NE1048576 NI1:NI1048576 NL1:NL1048576">
    <cfRule type="cellIs" dxfId="682" priority="133895" operator="between">
      <formula>$NO$18</formula>
      <formula>$NO$19</formula>
    </cfRule>
  </conditionalFormatting>
  <conditionalFormatting sqref="DZ1:DZ1048576 EC1:EC1048576 EG1:EG1048576 EJ1:EJ1048576">
    <cfRule type="cellIs" dxfId="681" priority="133907" operator="between">
      <formula>$EK$25</formula>
      <formula>1000</formula>
    </cfRule>
    <cfRule type="cellIs" dxfId="680" priority="133908" operator="between">
      <formula>$EK$24</formula>
      <formula>$EK$25</formula>
    </cfRule>
    <cfRule type="cellIs" dxfId="679" priority="133909" operator="between">
      <formula>$EK$23</formula>
      <formula>$EK$24</formula>
    </cfRule>
    <cfRule type="cellIs" dxfId="678" priority="133910" operator="between">
      <formula>$EK$22</formula>
      <formula>$EK$23</formula>
    </cfRule>
  </conditionalFormatting>
  <conditionalFormatting sqref="FH1:FH1048576 FK1:FK1048576 FO1:FO1048576 FR1:FR1048576">
    <cfRule type="cellIs" dxfId="677" priority="133955" operator="between">
      <formula>$FS$25</formula>
      <formula>1000</formula>
    </cfRule>
    <cfRule type="cellIs" dxfId="676" priority="133956" operator="between">
      <formula>$FS$24</formula>
      <formula>$FS$25</formula>
    </cfRule>
    <cfRule type="cellIs" dxfId="675" priority="133957" operator="between">
      <formula>$FS$23</formula>
      <formula>$FS$24</formula>
    </cfRule>
    <cfRule type="cellIs" dxfId="674" priority="133958" operator="between">
      <formula>$FS$22</formula>
      <formula>$FS$23</formula>
    </cfRule>
  </conditionalFormatting>
  <conditionalFormatting sqref="GN1:GN1048576 GQ1:GQ1048576 GU1:GU1048576 GX1:GX1048576">
    <cfRule type="cellIs" dxfId="673" priority="134003" operator="between">
      <formula>$HA$21</formula>
      <formula>1000</formula>
    </cfRule>
    <cfRule type="cellIs" dxfId="672" priority="134004" operator="between">
      <formula>$HA$20</formula>
      <formula>$HA$21</formula>
    </cfRule>
    <cfRule type="cellIs" dxfId="671" priority="134005" operator="between">
      <formula>$HA$19</formula>
      <formula>$HA$20</formula>
    </cfRule>
    <cfRule type="cellIs" dxfId="670" priority="134006" operator="between">
      <formula>$HA$18</formula>
      <formula>$HA$19</formula>
    </cfRule>
  </conditionalFormatting>
  <conditionalFormatting sqref="GP1:GP1048576 GS1:GS1048576 GW1:GW1048576 GZ1:GZ1048576">
    <cfRule type="cellIs" dxfId="669" priority="134051" operator="between">
      <formula>$HA$25</formula>
      <formula>1000</formula>
    </cfRule>
    <cfRule type="cellIs" dxfId="668" priority="134052" operator="between">
      <formula>$HA$24</formula>
      <formula>$HA$25</formula>
    </cfRule>
    <cfRule type="cellIs" dxfId="667" priority="134053" operator="between">
      <formula>$HA$23</formula>
      <formula>$HA$24</formula>
    </cfRule>
    <cfRule type="cellIs" dxfId="666" priority="134054" operator="between">
      <formula>$HA$22</formula>
      <formula>$HA$23</formula>
    </cfRule>
  </conditionalFormatting>
  <conditionalFormatting sqref="HX1:HX1048576 IA1:IA1048576 IE1:IE1048576 IH1:IH1048576">
    <cfRule type="cellIs" dxfId="665" priority="134099" operator="between">
      <formula>$II$25</formula>
      <formula>1000</formula>
    </cfRule>
    <cfRule type="cellIs" dxfId="664" priority="134100" operator="between">
      <formula>$II$24</formula>
      <formula>$II$25</formula>
    </cfRule>
    <cfRule type="cellIs" dxfId="663" priority="134101" operator="between">
      <formula>$II$23</formula>
      <formula>$II$24</formula>
    </cfRule>
    <cfRule type="cellIs" dxfId="662" priority="134102" operator="between">
      <formula>$II$22</formula>
      <formula>$II$23</formula>
    </cfRule>
  </conditionalFormatting>
  <conditionalFormatting sqref="JD1:JD1048576 JG1:JG1048576 JK1:JK1048576 JN1:JN1048576">
    <cfRule type="cellIs" dxfId="661" priority="134147" operator="between">
      <formula>$JQ$21</formula>
      <formula>1000</formula>
    </cfRule>
    <cfRule type="cellIs" dxfId="660" priority="134148" operator="between">
      <formula>$JQ$20</formula>
      <formula>$JQ$21</formula>
    </cfRule>
    <cfRule type="cellIs" dxfId="659" priority="134149" operator="between">
      <formula>$JQ$19</formula>
      <formula>$JQ$20</formula>
    </cfRule>
    <cfRule type="cellIs" dxfId="658" priority="134150" operator="between">
      <formula>$JQ$18</formula>
      <formula>$JQ$19</formula>
    </cfRule>
  </conditionalFormatting>
  <conditionalFormatting sqref="JF1:JF1048576 JI1:JI1048576 JM1:JM1048576 JP1:JP1048576">
    <cfRule type="cellIs" dxfId="657" priority="134195" operator="between">
      <formula>$JQ$25</formula>
      <formula>1000</formula>
    </cfRule>
    <cfRule type="cellIs" dxfId="656" priority="134196" operator="between">
      <formula>$JQ$24</formula>
      <formula>$JQ$25</formula>
    </cfRule>
    <cfRule type="cellIs" dxfId="655" priority="134197" operator="between">
      <formula>$JQ$23</formula>
      <formula>$JQ$24</formula>
    </cfRule>
    <cfRule type="cellIs" dxfId="654" priority="134198" operator="between">
      <formula>$JQ$22</formula>
      <formula>$JQ$23</formula>
    </cfRule>
  </conditionalFormatting>
  <conditionalFormatting sqref="KL1:KL1048576 KO1:KO1048576 KS1:KS1048576 KV1:KV1048576">
    <cfRule type="cellIs" dxfId="653" priority="134243" operator="between">
      <formula>$KY$21</formula>
      <formula>1000</formula>
    </cfRule>
    <cfRule type="cellIs" dxfId="652" priority="134244" operator="between">
      <formula>$KY$20</formula>
      <formula>$KY$21</formula>
    </cfRule>
    <cfRule type="cellIs" dxfId="651" priority="134245" operator="between">
      <formula>$KY$19</formula>
      <formula>$KY$20</formula>
    </cfRule>
    <cfRule type="cellIs" dxfId="650" priority="134246" operator="between">
      <formula>$KY$18</formula>
      <formula>$KY$19</formula>
    </cfRule>
  </conditionalFormatting>
  <conditionalFormatting sqref="KN1:KN1048576 KQ1:KQ1048576 KU1:KU1048576 KX1:KX1048576">
    <cfRule type="cellIs" dxfId="649" priority="134291" operator="between">
      <formula>$KY$25</formula>
      <formula>1000</formula>
    </cfRule>
    <cfRule type="cellIs" dxfId="648" priority="134292" operator="between">
      <formula>$KY$24</formula>
      <formula>$KY$25</formula>
    </cfRule>
    <cfRule type="cellIs" dxfId="647" priority="134293" operator="between">
      <formula>$KY$23</formula>
      <formula>$KY$24</formula>
    </cfRule>
    <cfRule type="cellIs" dxfId="646" priority="134294" operator="between">
      <formula>$KY$22</formula>
      <formula>$KY$23</formula>
    </cfRule>
  </conditionalFormatting>
  <conditionalFormatting sqref="LT1:LT1048576 LW1:LW1048576 MA1:MA1048576 MD1:MD1048576">
    <cfRule type="cellIs" dxfId="645" priority="134339" operator="between">
      <formula>$MG$21</formula>
      <formula>1000</formula>
    </cfRule>
    <cfRule type="cellIs" dxfId="644" priority="134340" operator="between">
      <formula>$MG$20</formula>
      <formula>$MG$21</formula>
    </cfRule>
    <cfRule type="cellIs" dxfId="643" priority="134341" operator="between">
      <formula>$MG$19</formula>
      <formula>$MG$20</formula>
    </cfRule>
    <cfRule type="cellIs" dxfId="642" priority="134342" operator="between">
      <formula>$MG$18</formula>
      <formula>$MG$19</formula>
    </cfRule>
  </conditionalFormatting>
  <conditionalFormatting sqref="LV1:LV1048576 LY1:LY1048576 MC1:MC1048576 MF1:MF1048576">
    <cfRule type="cellIs" dxfId="641" priority="134387" operator="between">
      <formula>$MG$25</formula>
      <formula>1000</formula>
    </cfRule>
    <cfRule type="cellIs" dxfId="640" priority="134388" operator="between">
      <formula>$MG$24</formula>
      <formula>$MG$25</formula>
    </cfRule>
    <cfRule type="cellIs" dxfId="639" priority="134389" operator="between">
      <formula>$MG$23</formula>
      <formula>$MG$24</formula>
    </cfRule>
    <cfRule type="cellIs" dxfId="638" priority="134390" operator="between">
      <formula>$MG$22</formula>
      <formula>$MG$23</formula>
    </cfRule>
  </conditionalFormatting>
  <conditionalFormatting sqref="NB1:NB1048576 NE1:NE1048576 NI1:NI1048576">
    <cfRule type="cellIs" dxfId="637" priority="134435" operator="between">
      <formula>$NO$21</formula>
      <formula>1000</formula>
    </cfRule>
    <cfRule type="cellIs" dxfId="636" priority="134436" operator="between">
      <formula>$NO$20</formula>
      <formula>$NO$21</formula>
    </cfRule>
    <cfRule type="cellIs" dxfId="635" priority="134437" operator="between">
      <formula>$NO$19</formula>
      <formula>$NO$20</formula>
    </cfRule>
  </conditionalFormatting>
  <conditionalFormatting sqref="ND1:ND1048576 NG1:NG1048576 NK1:NK1048576 NN1:NN1048576">
    <cfRule type="cellIs" dxfId="634" priority="134462" operator="between">
      <formula>$NO$25</formula>
      <formula>1000</formula>
    </cfRule>
    <cfRule type="cellIs" dxfId="633" priority="134463" operator="between">
      <formula>$NO$24</formula>
      <formula>$NO$25</formula>
    </cfRule>
    <cfRule type="cellIs" dxfId="632" priority="134464" operator="between">
      <formula>$NO$23</formula>
      <formula>$NO$24</formula>
    </cfRule>
    <cfRule type="cellIs" dxfId="631" priority="134465" operator="between">
      <formula>$NO$22</formula>
      <formula>$NO$23</formula>
    </cfRule>
  </conditionalFormatting>
  <conditionalFormatting sqref="OJ1:OJ1048576 OM1:OM1048576 OQ1:OQ1048576 OT1:OT1048576">
    <cfRule type="cellIs" dxfId="630" priority="134510" operator="between">
      <formula>$OW$21</formula>
      <formula>1000</formula>
    </cfRule>
    <cfRule type="cellIs" dxfId="629" priority="134511" operator="between">
      <formula>$OW$20</formula>
      <formula>$OW$21</formula>
    </cfRule>
    <cfRule type="cellIs" dxfId="628" priority="134512" operator="between">
      <formula>$OW$19</formula>
      <formula>$OW$20</formula>
    </cfRule>
    <cfRule type="cellIs" dxfId="627" priority="134513" operator="between">
      <formula>$OW$18</formula>
      <formula>$OW$19</formula>
    </cfRule>
  </conditionalFormatting>
  <conditionalFormatting sqref="OL1:OL1048576 OO1:OO1048576 OS1:OS1048576 OV1:OV1048576">
    <cfRule type="cellIs" dxfId="626" priority="134558" operator="between">
      <formula>$OW$25</formula>
      <formula>1000</formula>
    </cfRule>
    <cfRule type="cellIs" dxfId="625" priority="134559" operator="between">
      <formula>$OW$24</formula>
      <formula>$OW$25</formula>
    </cfRule>
    <cfRule type="cellIs" dxfId="624" priority="134560" operator="between">
      <formula>$OW$23</formula>
      <formula>$OW$24</formula>
    </cfRule>
    <cfRule type="cellIs" dxfId="623" priority="134561" operator="between">
      <formula>$OW$22</formula>
      <formula>$OW$23</formula>
    </cfRule>
  </conditionalFormatting>
  <conditionalFormatting sqref="PR1:PR1048576 PU1:PU1048576 PY1:PY1048576 QB1:QB1048576">
    <cfRule type="cellIs" dxfId="622" priority="134606" operator="between">
      <formula>$QE$21</formula>
      <formula>1000</formula>
    </cfRule>
    <cfRule type="cellIs" dxfId="621" priority="134607" operator="between">
      <formula>$QE$20</formula>
      <formula>$QE$21</formula>
    </cfRule>
    <cfRule type="cellIs" dxfId="620" priority="134608" operator="between">
      <formula>$QE$19</formula>
      <formula>$QE$20</formula>
    </cfRule>
    <cfRule type="cellIs" dxfId="619" priority="134609" operator="between">
      <formula>$QE$18</formula>
      <formula>$QE$19</formula>
    </cfRule>
  </conditionalFormatting>
  <conditionalFormatting sqref="PT1:PT1048576 PW1:PW1048576 QA1:QA1048576 QD1:QD1048576">
    <cfRule type="cellIs" dxfId="618" priority="134654" operator="between">
      <formula>$QE$25</formula>
      <formula>1000</formula>
    </cfRule>
    <cfRule type="cellIs" dxfId="617" priority="134655" operator="between">
      <formula>$QE$24</formula>
      <formula>$QE$25</formula>
    </cfRule>
    <cfRule type="cellIs" dxfId="616" priority="134656" operator="between">
      <formula>$QE$23</formula>
      <formula>$QE$24</formula>
    </cfRule>
    <cfRule type="cellIs" dxfId="615" priority="134657" operator="between">
      <formula>$QE$22</formula>
      <formula>$QE$23</formula>
    </cfRule>
  </conditionalFormatting>
  <conditionalFormatting sqref="QZ1:QZ1048576 RC1:RC1048576 RG1:RG1048576 RJ1:RJ1048576">
    <cfRule type="cellIs" dxfId="614" priority="134702" operator="between">
      <formula>$RM$21</formula>
      <formula>1000</formula>
    </cfRule>
    <cfRule type="cellIs" dxfId="613" priority="134703" operator="between">
      <formula>$RM$20</formula>
      <formula>$RM$21</formula>
    </cfRule>
    <cfRule type="cellIs" dxfId="612" priority="134704" operator="between">
      <formula>$RM$19</formula>
      <formula>$RM$20</formula>
    </cfRule>
    <cfRule type="cellIs" dxfId="611" priority="134705" operator="between">
      <formula>$RM$18</formula>
      <formula>$RM$19</formula>
    </cfRule>
  </conditionalFormatting>
  <conditionalFormatting sqref="RB1:RB1048576 RE1:RE1048576 RI1:RI1048576 RL1:RL1048576">
    <cfRule type="cellIs" dxfId="610" priority="134750" operator="between">
      <formula>$RM$25</formula>
      <formula>1000</formula>
    </cfRule>
    <cfRule type="cellIs" dxfId="609" priority="134751" operator="between">
      <formula>$RM$24</formula>
      <formula>$RM$25</formula>
    </cfRule>
    <cfRule type="cellIs" dxfId="608" priority="134752" operator="between">
      <formula>$RM$23</formula>
      <formula>$RM$24</formula>
    </cfRule>
    <cfRule type="cellIs" dxfId="607" priority="134753" operator="between">
      <formula>$RM$22</formula>
      <formula>$RM$23</formula>
    </cfRule>
  </conditionalFormatting>
  <conditionalFormatting sqref="SH1:SH1048576 SK1:SK1048576 SO1:SO1048576 SR1:SR1048576 TS1:TS25 TW1:TW25 TZ1:TZ25 VA1:VA25 VE1:VE25 VH1:VH25 WI1:WI25 WM1:WM25 WP1:WP25 TP1:TP25 UX1:UX25 WF1:WF25">
    <cfRule type="cellIs" dxfId="606" priority="134798" operator="between">
      <formula>$SU$21</formula>
      <formula>1000</formula>
    </cfRule>
    <cfRule type="cellIs" dxfId="605" priority="134799" operator="between">
      <formula>$SU$20</formula>
      <formula>$SU$21</formula>
    </cfRule>
    <cfRule type="cellIs" dxfId="604" priority="134800" operator="between">
      <formula>$SU$19</formula>
      <formula>$SU$20</formula>
    </cfRule>
    <cfRule type="cellIs" dxfId="603" priority="134801" operator="between">
      <formula>$SU$18</formula>
      <formula>$SU$19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104</v>
      </c>
      <c r="K1" s="69" t="s">
        <v>30</v>
      </c>
      <c r="L1" s="71" t="s">
        <v>151</v>
      </c>
      <c r="M1" s="69" t="s">
        <v>30</v>
      </c>
      <c r="N1" s="73" t="s">
        <v>13</v>
      </c>
      <c r="O1" s="69" t="s">
        <v>31</v>
      </c>
      <c r="P1" s="69" t="s">
        <v>30</v>
      </c>
      <c r="Q1" s="64" t="s">
        <v>220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7" t="s">
        <v>239</v>
      </c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4" t="s">
        <v>249</v>
      </c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8" t="s">
        <v>13</v>
      </c>
      <c r="CU1" s="68"/>
      <c r="CV1" s="64" t="s">
        <v>211</v>
      </c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7" t="s">
        <v>212</v>
      </c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4" t="s">
        <v>228</v>
      </c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7" t="s">
        <v>232</v>
      </c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7" t="s">
        <v>64</v>
      </c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</row>
    <row r="2" spans="1:636" ht="16" customHeight="1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3"/>
      <c r="O2" s="69"/>
      <c r="P2" s="69"/>
      <c r="Q2" s="65" t="s">
        <v>18</v>
      </c>
      <c r="R2" s="65"/>
      <c r="S2" s="65"/>
      <c r="T2" s="65"/>
      <c r="U2" s="65"/>
      <c r="V2" s="65" t="s">
        <v>19</v>
      </c>
      <c r="W2" s="65"/>
      <c r="X2" s="65"/>
      <c r="Y2" s="65"/>
      <c r="Z2" s="65"/>
      <c r="AA2" s="65" t="s">
        <v>22</v>
      </c>
      <c r="AB2" s="65"/>
      <c r="AC2" s="65"/>
      <c r="AD2" s="65"/>
      <c r="AE2" s="65"/>
      <c r="AF2" s="14"/>
      <c r="AG2" s="14" t="s">
        <v>96</v>
      </c>
      <c r="AH2" s="14" t="s">
        <v>127</v>
      </c>
      <c r="AI2" s="14" t="s">
        <v>20</v>
      </c>
      <c r="AJ2" s="14" t="s">
        <v>77</v>
      </c>
      <c r="AK2" s="14" t="s">
        <v>126</v>
      </c>
      <c r="AL2" s="14" t="s">
        <v>21</v>
      </c>
      <c r="AM2" s="14" t="s">
        <v>23</v>
      </c>
      <c r="AN2" s="14" t="s">
        <v>99</v>
      </c>
      <c r="AO2" s="14" t="s">
        <v>128</v>
      </c>
      <c r="AP2" s="14" t="s">
        <v>22</v>
      </c>
      <c r="AQ2" s="14" t="s">
        <v>17</v>
      </c>
      <c r="AR2" s="66" t="s">
        <v>18</v>
      </c>
      <c r="AS2" s="66"/>
      <c r="AT2" s="66"/>
      <c r="AU2" s="66"/>
      <c r="AV2" s="66"/>
      <c r="AW2" s="66" t="s">
        <v>19</v>
      </c>
      <c r="AX2" s="66"/>
      <c r="AY2" s="66"/>
      <c r="AZ2" s="66"/>
      <c r="BA2" s="66"/>
      <c r="BB2" s="66" t="s">
        <v>22</v>
      </c>
      <c r="BC2" s="66"/>
      <c r="BD2" s="66"/>
      <c r="BE2" s="66"/>
      <c r="BF2" s="66"/>
      <c r="BG2" s="13"/>
      <c r="BH2" s="13" t="s">
        <v>96</v>
      </c>
      <c r="BI2" s="13" t="s">
        <v>127</v>
      </c>
      <c r="BJ2" s="13" t="s">
        <v>20</v>
      </c>
      <c r="BK2" s="13" t="s">
        <v>77</v>
      </c>
      <c r="BL2" s="13" t="s">
        <v>126</v>
      </c>
      <c r="BM2" s="13" t="s">
        <v>21</v>
      </c>
      <c r="BN2" s="13" t="s">
        <v>23</v>
      </c>
      <c r="BO2" s="13" t="s">
        <v>99</v>
      </c>
      <c r="BP2" s="13" t="s">
        <v>128</v>
      </c>
      <c r="BQ2" s="13" t="s">
        <v>22</v>
      </c>
      <c r="BR2" s="13" t="s">
        <v>17</v>
      </c>
      <c r="BS2" s="65" t="s">
        <v>18</v>
      </c>
      <c r="BT2" s="65"/>
      <c r="BU2" s="65"/>
      <c r="BV2" s="65"/>
      <c r="BW2" s="65"/>
      <c r="BX2" s="65" t="s">
        <v>19</v>
      </c>
      <c r="BY2" s="65"/>
      <c r="BZ2" s="65"/>
      <c r="CA2" s="65"/>
      <c r="CB2" s="65"/>
      <c r="CC2" s="65" t="s">
        <v>22</v>
      </c>
      <c r="CD2" s="65"/>
      <c r="CE2" s="65"/>
      <c r="CF2" s="65"/>
      <c r="CG2" s="65"/>
      <c r="CH2" s="14"/>
      <c r="CI2" s="14" t="s">
        <v>96</v>
      </c>
      <c r="CJ2" s="14" t="s">
        <v>127</v>
      </c>
      <c r="CK2" s="14" t="s">
        <v>20</v>
      </c>
      <c r="CL2" s="14" t="s">
        <v>77</v>
      </c>
      <c r="CM2" s="14" t="s">
        <v>126</v>
      </c>
      <c r="CN2" s="14" t="s">
        <v>21</v>
      </c>
      <c r="CO2" s="14" t="s">
        <v>23</v>
      </c>
      <c r="CP2" s="14" t="s">
        <v>99</v>
      </c>
      <c r="CQ2" s="14" t="s">
        <v>128</v>
      </c>
      <c r="CR2" s="14" t="s">
        <v>22</v>
      </c>
      <c r="CS2" s="14" t="s">
        <v>17</v>
      </c>
      <c r="CT2" s="50" t="s">
        <v>23</v>
      </c>
      <c r="CU2" s="50" t="s">
        <v>22</v>
      </c>
      <c r="CV2" s="65" t="s">
        <v>18</v>
      </c>
      <c r="CW2" s="65"/>
      <c r="CX2" s="65"/>
      <c r="CY2" s="65"/>
      <c r="CZ2" s="65"/>
      <c r="DA2" s="65" t="s">
        <v>19</v>
      </c>
      <c r="DB2" s="65"/>
      <c r="DC2" s="65"/>
      <c r="DD2" s="65"/>
      <c r="DE2" s="65"/>
      <c r="DF2" s="65" t="s">
        <v>101</v>
      </c>
      <c r="DG2" s="65"/>
      <c r="DH2" s="65"/>
      <c r="DI2" s="65"/>
      <c r="DJ2" s="65"/>
      <c r="DK2" s="65" t="s">
        <v>22</v>
      </c>
      <c r="DL2" s="65"/>
      <c r="DM2" s="65"/>
      <c r="DN2" s="65"/>
      <c r="DO2" s="65"/>
      <c r="DP2" s="14" t="s">
        <v>96</v>
      </c>
      <c r="DQ2" s="14" t="s">
        <v>127</v>
      </c>
      <c r="DR2" s="14" t="s">
        <v>20</v>
      </c>
      <c r="DS2" s="14" t="s">
        <v>77</v>
      </c>
      <c r="DT2" s="14" t="s">
        <v>126</v>
      </c>
      <c r="DU2" s="14" t="s">
        <v>21</v>
      </c>
      <c r="DV2" s="14" t="s">
        <v>23</v>
      </c>
      <c r="DW2" s="14" t="s">
        <v>102</v>
      </c>
      <c r="DX2" s="14" t="s">
        <v>129</v>
      </c>
      <c r="DY2" s="14" t="s">
        <v>101</v>
      </c>
      <c r="DZ2" s="14" t="s">
        <v>99</v>
      </c>
      <c r="EA2" s="14" t="s">
        <v>128</v>
      </c>
      <c r="EB2" s="14" t="s">
        <v>22</v>
      </c>
      <c r="EC2" s="14" t="s">
        <v>17</v>
      </c>
      <c r="ED2" s="66" t="s">
        <v>18</v>
      </c>
      <c r="EE2" s="66"/>
      <c r="EF2" s="66"/>
      <c r="EG2" s="66"/>
      <c r="EH2" s="66"/>
      <c r="EI2" s="66" t="s">
        <v>19</v>
      </c>
      <c r="EJ2" s="66"/>
      <c r="EK2" s="66"/>
      <c r="EL2" s="66"/>
      <c r="EM2" s="66"/>
      <c r="EN2" s="66" t="s">
        <v>101</v>
      </c>
      <c r="EO2" s="66"/>
      <c r="EP2" s="66"/>
      <c r="EQ2" s="66"/>
      <c r="ER2" s="66"/>
      <c r="ES2" s="66" t="s">
        <v>22</v>
      </c>
      <c r="ET2" s="66"/>
      <c r="EU2" s="66"/>
      <c r="EV2" s="66"/>
      <c r="EW2" s="66"/>
      <c r="EX2" s="13" t="s">
        <v>96</v>
      </c>
      <c r="EY2" s="13" t="s">
        <v>127</v>
      </c>
      <c r="EZ2" s="13" t="s">
        <v>20</v>
      </c>
      <c r="FA2" s="13" t="s">
        <v>77</v>
      </c>
      <c r="FB2" s="13" t="s">
        <v>126</v>
      </c>
      <c r="FC2" s="13" t="s">
        <v>21</v>
      </c>
      <c r="FD2" s="13" t="s">
        <v>23</v>
      </c>
      <c r="FE2" s="13" t="s">
        <v>102</v>
      </c>
      <c r="FF2" s="13" t="s">
        <v>129</v>
      </c>
      <c r="FG2" s="13" t="s">
        <v>101</v>
      </c>
      <c r="FH2" s="13" t="s">
        <v>99</v>
      </c>
      <c r="FI2" s="13" t="s">
        <v>128</v>
      </c>
      <c r="FJ2" s="13" t="s">
        <v>22</v>
      </c>
      <c r="FK2" s="13" t="s">
        <v>17</v>
      </c>
      <c r="FL2" s="65" t="s">
        <v>18</v>
      </c>
      <c r="FM2" s="65"/>
      <c r="FN2" s="65"/>
      <c r="FO2" s="65"/>
      <c r="FP2" s="65"/>
      <c r="FQ2" s="65" t="s">
        <v>19</v>
      </c>
      <c r="FR2" s="65"/>
      <c r="FS2" s="65"/>
      <c r="FT2" s="65"/>
      <c r="FU2" s="65"/>
      <c r="FV2" s="65" t="s">
        <v>101</v>
      </c>
      <c r="FW2" s="65"/>
      <c r="FX2" s="65"/>
      <c r="FY2" s="65"/>
      <c r="FZ2" s="65"/>
      <c r="GA2" s="65" t="s">
        <v>22</v>
      </c>
      <c r="GB2" s="65"/>
      <c r="GC2" s="65"/>
      <c r="GD2" s="65"/>
      <c r="GE2" s="65"/>
      <c r="GF2" s="14" t="s">
        <v>96</v>
      </c>
      <c r="GG2" s="14" t="s">
        <v>127</v>
      </c>
      <c r="GH2" s="14" t="s">
        <v>20</v>
      </c>
      <c r="GI2" s="14" t="s">
        <v>77</v>
      </c>
      <c r="GJ2" s="14" t="s">
        <v>126</v>
      </c>
      <c r="GK2" s="14" t="s">
        <v>21</v>
      </c>
      <c r="GL2" s="14" t="s">
        <v>23</v>
      </c>
      <c r="GM2" s="14" t="s">
        <v>102</v>
      </c>
      <c r="GN2" s="14" t="s">
        <v>129</v>
      </c>
      <c r="GO2" s="14" t="s">
        <v>101</v>
      </c>
      <c r="GP2" s="14" t="s">
        <v>99</v>
      </c>
      <c r="GQ2" s="14" t="s">
        <v>128</v>
      </c>
      <c r="GR2" s="14" t="s">
        <v>22</v>
      </c>
      <c r="GS2" s="14" t="s">
        <v>17</v>
      </c>
      <c r="GT2" s="66" t="s">
        <v>18</v>
      </c>
      <c r="GU2" s="66"/>
      <c r="GV2" s="66"/>
      <c r="GW2" s="66"/>
      <c r="GX2" s="66"/>
      <c r="GY2" s="66" t="s">
        <v>19</v>
      </c>
      <c r="GZ2" s="66"/>
      <c r="HA2" s="66"/>
      <c r="HB2" s="66"/>
      <c r="HC2" s="66"/>
      <c r="HD2" s="66" t="s">
        <v>101</v>
      </c>
      <c r="HE2" s="66"/>
      <c r="HF2" s="66"/>
      <c r="HG2" s="66"/>
      <c r="HH2" s="66"/>
      <c r="HI2" s="66" t="s">
        <v>22</v>
      </c>
      <c r="HJ2" s="66"/>
      <c r="HK2" s="66"/>
      <c r="HL2" s="66"/>
      <c r="HM2" s="66"/>
      <c r="HN2" s="13" t="s">
        <v>96</v>
      </c>
      <c r="HO2" s="13" t="s">
        <v>127</v>
      </c>
      <c r="HP2" s="13" t="s">
        <v>20</v>
      </c>
      <c r="HQ2" s="13" t="s">
        <v>77</v>
      </c>
      <c r="HR2" s="13" t="s">
        <v>126</v>
      </c>
      <c r="HS2" s="13" t="s">
        <v>21</v>
      </c>
      <c r="HT2" s="13" t="s">
        <v>23</v>
      </c>
      <c r="HU2" s="13" t="s">
        <v>102</v>
      </c>
      <c r="HV2" s="13" t="s">
        <v>129</v>
      </c>
      <c r="HW2" s="13" t="s">
        <v>101</v>
      </c>
      <c r="HX2" s="13" t="s">
        <v>99</v>
      </c>
      <c r="HY2" s="13" t="s">
        <v>128</v>
      </c>
      <c r="HZ2" s="13" t="s">
        <v>22</v>
      </c>
      <c r="IA2" s="13" t="s">
        <v>17</v>
      </c>
      <c r="IB2" s="65" t="s">
        <v>18</v>
      </c>
      <c r="IC2" s="65"/>
      <c r="ID2" s="65"/>
      <c r="IE2" s="65"/>
      <c r="IF2" s="65"/>
      <c r="IG2" s="65" t="s">
        <v>19</v>
      </c>
      <c r="IH2" s="65"/>
      <c r="II2" s="65"/>
      <c r="IJ2" s="65"/>
      <c r="IK2" s="65"/>
      <c r="IL2" s="65" t="s">
        <v>101</v>
      </c>
      <c r="IM2" s="65"/>
      <c r="IN2" s="65"/>
      <c r="IO2" s="65"/>
      <c r="IP2" s="65"/>
      <c r="IQ2" s="65" t="s">
        <v>22</v>
      </c>
      <c r="IR2" s="65"/>
      <c r="IS2" s="65"/>
      <c r="IT2" s="65"/>
      <c r="IU2" s="65"/>
      <c r="IV2" s="14" t="s">
        <v>96</v>
      </c>
      <c r="IW2" s="14" t="s">
        <v>127</v>
      </c>
      <c r="IX2" s="14" t="s">
        <v>20</v>
      </c>
      <c r="IY2" s="14" t="s">
        <v>77</v>
      </c>
      <c r="IZ2" s="14" t="s">
        <v>126</v>
      </c>
      <c r="JA2" s="14" t="s">
        <v>21</v>
      </c>
      <c r="JB2" s="14" t="s">
        <v>23</v>
      </c>
      <c r="JC2" s="14" t="s">
        <v>102</v>
      </c>
      <c r="JD2" s="14" t="s">
        <v>129</v>
      </c>
      <c r="JE2" s="14" t="s">
        <v>101</v>
      </c>
      <c r="JF2" s="14" t="s">
        <v>99</v>
      </c>
      <c r="JG2" s="14" t="s">
        <v>128</v>
      </c>
      <c r="JH2" s="14" t="s">
        <v>22</v>
      </c>
      <c r="JI2" s="14" t="s">
        <v>17</v>
      </c>
      <c r="JJ2" s="66" t="s">
        <v>18</v>
      </c>
      <c r="JK2" s="66"/>
      <c r="JL2" s="66"/>
      <c r="JM2" s="66"/>
      <c r="JN2" s="66"/>
      <c r="JO2" s="66" t="s">
        <v>19</v>
      </c>
      <c r="JP2" s="66"/>
      <c r="JQ2" s="66"/>
      <c r="JR2" s="66"/>
      <c r="JS2" s="66"/>
      <c r="JT2" s="66" t="s">
        <v>101</v>
      </c>
      <c r="JU2" s="66"/>
      <c r="JV2" s="66"/>
      <c r="JW2" s="66"/>
      <c r="JX2" s="66"/>
      <c r="JY2" s="66" t="s">
        <v>22</v>
      </c>
      <c r="JZ2" s="66"/>
      <c r="KA2" s="66"/>
      <c r="KB2" s="66"/>
      <c r="KC2" s="66"/>
      <c r="KD2" s="13" t="s">
        <v>96</v>
      </c>
      <c r="KE2" s="13" t="s">
        <v>127</v>
      </c>
      <c r="KF2" s="13" t="s">
        <v>20</v>
      </c>
      <c r="KG2" s="13" t="s">
        <v>77</v>
      </c>
      <c r="KH2" s="13" t="s">
        <v>126</v>
      </c>
      <c r="KI2" s="13" t="s">
        <v>21</v>
      </c>
      <c r="KJ2" s="13" t="s">
        <v>23</v>
      </c>
      <c r="KK2" s="13" t="s">
        <v>102</v>
      </c>
      <c r="KL2" s="13" t="s">
        <v>129</v>
      </c>
      <c r="KM2" s="13" t="s">
        <v>101</v>
      </c>
      <c r="KN2" s="13" t="s">
        <v>99</v>
      </c>
      <c r="KO2" s="13" t="s">
        <v>128</v>
      </c>
      <c r="KP2" s="13" t="s">
        <v>22</v>
      </c>
      <c r="KQ2" s="13" t="s">
        <v>17</v>
      </c>
      <c r="KR2" s="65" t="s">
        <v>18</v>
      </c>
      <c r="KS2" s="65"/>
      <c r="KT2" s="65"/>
      <c r="KU2" s="65"/>
      <c r="KV2" s="65"/>
      <c r="KW2" s="65" t="s">
        <v>19</v>
      </c>
      <c r="KX2" s="65"/>
      <c r="KY2" s="65"/>
      <c r="KZ2" s="65"/>
      <c r="LA2" s="65"/>
      <c r="LB2" s="65" t="s">
        <v>101</v>
      </c>
      <c r="LC2" s="65"/>
      <c r="LD2" s="65"/>
      <c r="LE2" s="65"/>
      <c r="LF2" s="65"/>
      <c r="LG2" s="65" t="s">
        <v>22</v>
      </c>
      <c r="LH2" s="65"/>
      <c r="LI2" s="65"/>
      <c r="LJ2" s="65"/>
      <c r="LK2" s="65"/>
      <c r="LL2" s="14" t="s">
        <v>96</v>
      </c>
      <c r="LM2" s="14" t="s">
        <v>127</v>
      </c>
      <c r="LN2" s="14" t="s">
        <v>20</v>
      </c>
      <c r="LO2" s="14" t="s">
        <v>77</v>
      </c>
      <c r="LP2" s="14" t="s">
        <v>126</v>
      </c>
      <c r="LQ2" s="14" t="s">
        <v>21</v>
      </c>
      <c r="LR2" s="14" t="s">
        <v>23</v>
      </c>
      <c r="LS2" s="14" t="s">
        <v>102</v>
      </c>
      <c r="LT2" s="14" t="s">
        <v>129</v>
      </c>
      <c r="LU2" s="14" t="s">
        <v>101</v>
      </c>
      <c r="LV2" s="14" t="s">
        <v>99</v>
      </c>
      <c r="LW2" s="14" t="s">
        <v>128</v>
      </c>
      <c r="LX2" s="14" t="s">
        <v>22</v>
      </c>
      <c r="LY2" s="14" t="s">
        <v>17</v>
      </c>
      <c r="LZ2" s="66" t="s">
        <v>18</v>
      </c>
      <c r="MA2" s="66"/>
      <c r="MB2" s="66"/>
      <c r="MC2" s="66"/>
      <c r="MD2" s="66"/>
      <c r="ME2" s="66" t="s">
        <v>19</v>
      </c>
      <c r="MF2" s="66"/>
      <c r="MG2" s="66"/>
      <c r="MH2" s="66"/>
      <c r="MI2" s="66"/>
      <c r="MJ2" s="66" t="s">
        <v>101</v>
      </c>
      <c r="MK2" s="66"/>
      <c r="ML2" s="66"/>
      <c r="MM2" s="66"/>
      <c r="MN2" s="66"/>
      <c r="MO2" s="66" t="s">
        <v>22</v>
      </c>
      <c r="MP2" s="66"/>
      <c r="MQ2" s="66"/>
      <c r="MR2" s="66"/>
      <c r="MS2" s="66"/>
      <c r="MT2" s="13" t="s">
        <v>96</v>
      </c>
      <c r="MU2" s="13" t="s">
        <v>127</v>
      </c>
      <c r="MV2" s="13" t="s">
        <v>20</v>
      </c>
      <c r="MW2" s="13" t="s">
        <v>77</v>
      </c>
      <c r="MX2" s="13" t="s">
        <v>126</v>
      </c>
      <c r="MY2" s="13" t="s">
        <v>21</v>
      </c>
      <c r="MZ2" s="13" t="s">
        <v>23</v>
      </c>
      <c r="NA2" s="13" t="s">
        <v>102</v>
      </c>
      <c r="NB2" s="13" t="s">
        <v>129</v>
      </c>
      <c r="NC2" s="13" t="s">
        <v>101</v>
      </c>
      <c r="ND2" s="13" t="s">
        <v>99</v>
      </c>
      <c r="NE2" s="13" t="s">
        <v>128</v>
      </c>
      <c r="NF2" s="13" t="s">
        <v>22</v>
      </c>
      <c r="NG2" s="13" t="s">
        <v>17</v>
      </c>
      <c r="NH2" s="65" t="s">
        <v>18</v>
      </c>
      <c r="NI2" s="65"/>
      <c r="NJ2" s="65"/>
      <c r="NK2" s="65"/>
      <c r="NL2" s="65"/>
      <c r="NM2" s="65" t="s">
        <v>19</v>
      </c>
      <c r="NN2" s="65"/>
      <c r="NO2" s="65"/>
      <c r="NP2" s="65"/>
      <c r="NQ2" s="65"/>
      <c r="NR2" s="65" t="s">
        <v>101</v>
      </c>
      <c r="NS2" s="65"/>
      <c r="NT2" s="65"/>
      <c r="NU2" s="65"/>
      <c r="NV2" s="65"/>
      <c r="NW2" s="65" t="s">
        <v>22</v>
      </c>
      <c r="NX2" s="65"/>
      <c r="NY2" s="65"/>
      <c r="NZ2" s="65"/>
      <c r="OA2" s="65"/>
      <c r="OB2" s="14" t="s">
        <v>96</v>
      </c>
      <c r="OC2" s="14" t="s">
        <v>127</v>
      </c>
      <c r="OD2" s="14" t="s">
        <v>20</v>
      </c>
      <c r="OE2" s="14" t="s">
        <v>77</v>
      </c>
      <c r="OF2" s="14" t="s">
        <v>126</v>
      </c>
      <c r="OG2" s="14" t="s">
        <v>21</v>
      </c>
      <c r="OH2" s="14" t="s">
        <v>23</v>
      </c>
      <c r="OI2" s="14" t="s">
        <v>102</v>
      </c>
      <c r="OJ2" s="14" t="s">
        <v>129</v>
      </c>
      <c r="OK2" s="14" t="s">
        <v>101</v>
      </c>
      <c r="OL2" s="14" t="s">
        <v>99</v>
      </c>
      <c r="OM2" s="14" t="s">
        <v>128</v>
      </c>
      <c r="ON2" s="14" t="s">
        <v>22</v>
      </c>
      <c r="OO2" s="14" t="s">
        <v>17</v>
      </c>
      <c r="OP2" s="66" t="s">
        <v>18</v>
      </c>
      <c r="OQ2" s="66"/>
      <c r="OR2" s="66"/>
      <c r="OS2" s="66"/>
      <c r="OT2" s="66"/>
      <c r="OU2" s="66" t="s">
        <v>19</v>
      </c>
      <c r="OV2" s="66"/>
      <c r="OW2" s="66"/>
      <c r="OX2" s="66"/>
      <c r="OY2" s="66"/>
      <c r="OZ2" s="66" t="s">
        <v>101</v>
      </c>
      <c r="PA2" s="66"/>
      <c r="PB2" s="66"/>
      <c r="PC2" s="66"/>
      <c r="PD2" s="66"/>
      <c r="PE2" s="66" t="s">
        <v>22</v>
      </c>
      <c r="PF2" s="66"/>
      <c r="PG2" s="66"/>
      <c r="PH2" s="66"/>
      <c r="PI2" s="66"/>
      <c r="PJ2" s="13" t="s">
        <v>96</v>
      </c>
      <c r="PK2" s="13" t="s">
        <v>127</v>
      </c>
      <c r="PL2" s="13" t="s">
        <v>20</v>
      </c>
      <c r="PM2" s="13" t="s">
        <v>77</v>
      </c>
      <c r="PN2" s="13" t="s">
        <v>126</v>
      </c>
      <c r="PO2" s="13" t="s">
        <v>21</v>
      </c>
      <c r="PP2" s="13" t="s">
        <v>23</v>
      </c>
      <c r="PQ2" s="13" t="s">
        <v>102</v>
      </c>
      <c r="PR2" s="13" t="s">
        <v>129</v>
      </c>
      <c r="PS2" s="13" t="s">
        <v>101</v>
      </c>
      <c r="PT2" s="13" t="s">
        <v>99</v>
      </c>
      <c r="PU2" s="13" t="s">
        <v>128</v>
      </c>
      <c r="PV2" s="13" t="s">
        <v>22</v>
      </c>
      <c r="PW2" s="13" t="s">
        <v>17</v>
      </c>
      <c r="PX2" s="65" t="s">
        <v>18</v>
      </c>
      <c r="PY2" s="65"/>
      <c r="PZ2" s="65"/>
      <c r="QA2" s="65"/>
      <c r="QB2" s="65"/>
      <c r="QC2" s="65" t="s">
        <v>19</v>
      </c>
      <c r="QD2" s="65"/>
      <c r="QE2" s="65"/>
      <c r="QF2" s="65"/>
      <c r="QG2" s="65"/>
      <c r="QH2" s="65" t="s">
        <v>101</v>
      </c>
      <c r="QI2" s="65"/>
      <c r="QJ2" s="65"/>
      <c r="QK2" s="65"/>
      <c r="QL2" s="65"/>
      <c r="QM2" s="65" t="s">
        <v>22</v>
      </c>
      <c r="QN2" s="65"/>
      <c r="QO2" s="65"/>
      <c r="QP2" s="65"/>
      <c r="QQ2" s="65"/>
      <c r="QR2" s="14" t="s">
        <v>96</v>
      </c>
      <c r="QS2" s="14" t="s">
        <v>127</v>
      </c>
      <c r="QT2" s="14" t="s">
        <v>20</v>
      </c>
      <c r="QU2" s="14" t="s">
        <v>77</v>
      </c>
      <c r="QV2" s="14" t="s">
        <v>126</v>
      </c>
      <c r="QW2" s="14" t="s">
        <v>21</v>
      </c>
      <c r="QX2" s="14" t="s">
        <v>23</v>
      </c>
      <c r="QY2" s="14" t="s">
        <v>102</v>
      </c>
      <c r="QZ2" s="14" t="s">
        <v>129</v>
      </c>
      <c r="RA2" s="14" t="s">
        <v>101</v>
      </c>
      <c r="RB2" s="14" t="s">
        <v>99</v>
      </c>
      <c r="RC2" s="14" t="s">
        <v>128</v>
      </c>
      <c r="RD2" s="14" t="s">
        <v>22</v>
      </c>
      <c r="RE2" s="14" t="s">
        <v>17</v>
      </c>
      <c r="RF2" s="66" t="s">
        <v>18</v>
      </c>
      <c r="RG2" s="66"/>
      <c r="RH2" s="66"/>
      <c r="RI2" s="66"/>
      <c r="RJ2" s="66"/>
      <c r="RK2" s="66" t="s">
        <v>19</v>
      </c>
      <c r="RL2" s="66"/>
      <c r="RM2" s="66"/>
      <c r="RN2" s="66"/>
      <c r="RO2" s="66"/>
      <c r="RP2" s="66" t="s">
        <v>101</v>
      </c>
      <c r="RQ2" s="66"/>
      <c r="RR2" s="66"/>
      <c r="RS2" s="66"/>
      <c r="RT2" s="66"/>
      <c r="RU2" s="66" t="s">
        <v>22</v>
      </c>
      <c r="RV2" s="66"/>
      <c r="RW2" s="66"/>
      <c r="RX2" s="66"/>
      <c r="RY2" s="66"/>
      <c r="RZ2" s="13" t="s">
        <v>96</v>
      </c>
      <c r="SA2" s="13" t="s">
        <v>127</v>
      </c>
      <c r="SB2" s="13" t="s">
        <v>20</v>
      </c>
      <c r="SC2" s="13" t="s">
        <v>77</v>
      </c>
      <c r="SD2" s="13" t="s">
        <v>126</v>
      </c>
      <c r="SE2" s="13" t="s">
        <v>21</v>
      </c>
      <c r="SF2" s="13" t="s">
        <v>23</v>
      </c>
      <c r="SG2" s="13" t="s">
        <v>102</v>
      </c>
      <c r="SH2" s="13" t="s">
        <v>129</v>
      </c>
      <c r="SI2" s="13" t="s">
        <v>101</v>
      </c>
      <c r="SJ2" s="13" t="s">
        <v>99</v>
      </c>
      <c r="SK2" s="13" t="s">
        <v>128</v>
      </c>
      <c r="SL2" s="13" t="s">
        <v>22</v>
      </c>
      <c r="SM2" s="13" t="s">
        <v>17</v>
      </c>
      <c r="SN2" s="65" t="s">
        <v>18</v>
      </c>
      <c r="SO2" s="65"/>
      <c r="SP2" s="65"/>
      <c r="SQ2" s="65"/>
      <c r="SR2" s="65"/>
      <c r="SS2" s="65" t="s">
        <v>19</v>
      </c>
      <c r="ST2" s="65"/>
      <c r="SU2" s="65"/>
      <c r="SV2" s="65"/>
      <c r="SW2" s="65"/>
      <c r="SX2" s="65" t="s">
        <v>101</v>
      </c>
      <c r="SY2" s="65"/>
      <c r="SZ2" s="65"/>
      <c r="TA2" s="65"/>
      <c r="TB2" s="65"/>
      <c r="TC2" s="65" t="s">
        <v>22</v>
      </c>
      <c r="TD2" s="65"/>
      <c r="TE2" s="65"/>
      <c r="TF2" s="65"/>
      <c r="TG2" s="65"/>
      <c r="TH2" s="14" t="s">
        <v>96</v>
      </c>
      <c r="TI2" s="14" t="s">
        <v>127</v>
      </c>
      <c r="TJ2" s="14" t="s">
        <v>20</v>
      </c>
      <c r="TK2" s="14" t="s">
        <v>77</v>
      </c>
      <c r="TL2" s="14" t="s">
        <v>126</v>
      </c>
      <c r="TM2" s="14" t="s">
        <v>21</v>
      </c>
      <c r="TN2" s="14" t="s">
        <v>23</v>
      </c>
      <c r="TO2" s="14" t="s">
        <v>102</v>
      </c>
      <c r="TP2" s="14" t="s">
        <v>129</v>
      </c>
      <c r="TQ2" s="14" t="s">
        <v>101</v>
      </c>
      <c r="TR2" s="14" t="s">
        <v>99</v>
      </c>
      <c r="TS2" s="14" t="s">
        <v>128</v>
      </c>
      <c r="TT2" s="14" t="s">
        <v>22</v>
      </c>
      <c r="TU2" s="14" t="s">
        <v>17</v>
      </c>
      <c r="TV2" s="66" t="s">
        <v>18</v>
      </c>
      <c r="TW2" s="66"/>
      <c r="TX2" s="66"/>
      <c r="TY2" s="66"/>
      <c r="TZ2" s="66"/>
      <c r="UA2" s="66" t="s">
        <v>19</v>
      </c>
      <c r="UB2" s="66"/>
      <c r="UC2" s="66"/>
      <c r="UD2" s="66"/>
      <c r="UE2" s="66"/>
      <c r="UF2" s="66" t="s">
        <v>101</v>
      </c>
      <c r="UG2" s="66"/>
      <c r="UH2" s="66"/>
      <c r="UI2" s="66"/>
      <c r="UJ2" s="66"/>
      <c r="UK2" s="66" t="s">
        <v>22</v>
      </c>
      <c r="UL2" s="66"/>
      <c r="UM2" s="66"/>
      <c r="UN2" s="66"/>
      <c r="UO2" s="66"/>
      <c r="UP2" s="13" t="s">
        <v>96</v>
      </c>
      <c r="UQ2" s="13" t="s">
        <v>127</v>
      </c>
      <c r="UR2" s="13" t="s">
        <v>20</v>
      </c>
      <c r="US2" s="13" t="s">
        <v>77</v>
      </c>
      <c r="UT2" s="13" t="s">
        <v>126</v>
      </c>
      <c r="UU2" s="13" t="s">
        <v>21</v>
      </c>
      <c r="UV2" s="13" t="s">
        <v>23</v>
      </c>
      <c r="UW2" s="13" t="s">
        <v>102</v>
      </c>
      <c r="UX2" s="13" t="s">
        <v>129</v>
      </c>
      <c r="UY2" s="13" t="s">
        <v>101</v>
      </c>
      <c r="UZ2" s="13" t="s">
        <v>99</v>
      </c>
      <c r="VA2" s="13" t="s">
        <v>128</v>
      </c>
      <c r="VB2" s="13" t="s">
        <v>22</v>
      </c>
      <c r="VC2" s="13" t="s">
        <v>17</v>
      </c>
      <c r="VD2" s="65" t="s">
        <v>18</v>
      </c>
      <c r="VE2" s="65"/>
      <c r="VF2" s="65"/>
      <c r="VG2" s="65"/>
      <c r="VH2" s="65"/>
      <c r="VI2" s="65" t="s">
        <v>19</v>
      </c>
      <c r="VJ2" s="65"/>
      <c r="VK2" s="65"/>
      <c r="VL2" s="65"/>
      <c r="VM2" s="65"/>
      <c r="VN2" s="65" t="s">
        <v>101</v>
      </c>
      <c r="VO2" s="65"/>
      <c r="VP2" s="65"/>
      <c r="VQ2" s="65"/>
      <c r="VR2" s="65"/>
      <c r="VS2" s="65" t="s">
        <v>22</v>
      </c>
      <c r="VT2" s="65"/>
      <c r="VU2" s="65"/>
      <c r="VV2" s="65"/>
      <c r="VW2" s="65"/>
      <c r="VX2" s="14" t="s">
        <v>96</v>
      </c>
      <c r="VY2" s="14" t="s">
        <v>127</v>
      </c>
      <c r="VZ2" s="14" t="s">
        <v>20</v>
      </c>
      <c r="WA2" s="14" t="s">
        <v>77</v>
      </c>
      <c r="WB2" s="14" t="s">
        <v>126</v>
      </c>
      <c r="WC2" s="14" t="s">
        <v>21</v>
      </c>
      <c r="WD2" s="14" t="s">
        <v>23</v>
      </c>
      <c r="WE2" s="14" t="s">
        <v>102</v>
      </c>
      <c r="WF2" s="14" t="s">
        <v>129</v>
      </c>
      <c r="WG2" s="14" t="s">
        <v>101</v>
      </c>
      <c r="WH2" s="14" t="s">
        <v>99</v>
      </c>
      <c r="WI2" s="14" t="s">
        <v>128</v>
      </c>
      <c r="WJ2" s="14" t="s">
        <v>22</v>
      </c>
      <c r="WK2" s="14" t="s">
        <v>17</v>
      </c>
      <c r="WL2" s="66" t="s">
        <v>18</v>
      </c>
      <c r="WM2" s="66"/>
      <c r="WN2" s="66"/>
      <c r="WO2" s="66"/>
      <c r="WP2" s="66"/>
      <c r="WQ2" s="66" t="s">
        <v>19</v>
      </c>
      <c r="WR2" s="66"/>
      <c r="WS2" s="66"/>
      <c r="WT2" s="66"/>
      <c r="WU2" s="66"/>
      <c r="WV2" s="66" t="s">
        <v>22</v>
      </c>
      <c r="WW2" s="66"/>
      <c r="WX2" s="66"/>
      <c r="WY2" s="66"/>
      <c r="WZ2" s="66"/>
      <c r="XA2" s="13"/>
      <c r="XB2" s="13" t="s">
        <v>96</v>
      </c>
      <c r="XC2" s="13" t="s">
        <v>127</v>
      </c>
      <c r="XD2" s="13" t="s">
        <v>20</v>
      </c>
      <c r="XE2" s="13" t="s">
        <v>77</v>
      </c>
      <c r="XF2" s="13" t="s">
        <v>126</v>
      </c>
      <c r="XG2" s="13" t="s">
        <v>21</v>
      </c>
      <c r="XH2" s="13" t="s">
        <v>23</v>
      </c>
      <c r="XI2" s="13" t="s">
        <v>99</v>
      </c>
      <c r="XJ2" s="13" t="s">
        <v>128</v>
      </c>
      <c r="XK2" s="13" t="s">
        <v>22</v>
      </c>
      <c r="XL2" s="13" t="s">
        <v>17</v>
      </c>
    </row>
    <row r="3" spans="1:636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3"/>
      <c r="O3" s="69"/>
      <c r="P3" s="69"/>
      <c r="Q3" s="14" t="s">
        <v>14</v>
      </c>
      <c r="R3" s="14" t="s">
        <v>15</v>
      </c>
      <c r="S3" s="14" t="s">
        <v>9</v>
      </c>
      <c r="T3" s="14" t="s">
        <v>125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125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125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125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125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125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125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125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125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125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125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125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125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125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125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125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125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125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125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125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125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125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125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125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125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125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125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125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125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125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125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125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125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125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125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125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125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125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125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125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125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125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125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125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125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125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125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125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125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125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125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125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125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125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125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125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125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125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125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125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125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125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125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125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125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125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125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125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125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125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125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125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168</v>
      </c>
      <c r="C4" s="4" t="s">
        <v>167</v>
      </c>
      <c r="D4" s="4" t="s">
        <v>166</v>
      </c>
      <c r="E4" s="9">
        <f t="shared" ref="E4:E18" si="0">SUM(J4,L4,N4)</f>
        <v>100.51000000000002</v>
      </c>
      <c r="F4" s="3" t="str">
        <f t="shared" ref="F4:F18" si="1"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 t="shared" ref="G4:G18" si="2"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 t="shared" ref="H4:H18" si="3"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 t="shared" ref="I4:I18" si="4"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50.02</v>
      </c>
      <c r="K4" s="8" t="str">
        <f t="shared" ref="K4:K18" si="5"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 t="shared" ref="M4:M18" si="6">IF(L4="","",IF(OR(L4=CK4,L4=CN4,L4=CR4),$BS$1,IF(OR(L4=BJ4,L4=BM4,L4=BQ4),$AR$1,IF(OR(L4=AI4,L4=AL4,L4=AP4),$Q$1,""))))</f>
        <v>2024 Nationals</v>
      </c>
      <c r="N4" s="8">
        <f t="shared" ref="N4:N18" si="7">IF(MAX(CT4,CU4)&gt;0,MAX(CT4,CU4),"")</f>
        <v>2.3399999999999963</v>
      </c>
      <c r="O4" s="11" t="str">
        <f t="shared" ref="O4:O18" si="8">IF(N4="","",IF(N4=CT4,"("&amp;CT$2&amp;")",IF(N4=CU4,"("&amp;CU$2&amp;")")))</f>
        <v>(Final)</v>
      </c>
      <c r="P4" s="8" t="str">
        <f t="shared" ref="P4:P18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>
        <v>8.5</v>
      </c>
      <c r="R4" s="22">
        <v>9.1999999999999993</v>
      </c>
      <c r="S4" s="22">
        <v>14.6</v>
      </c>
      <c r="T4" s="22">
        <v>18.12</v>
      </c>
      <c r="U4" s="22">
        <v>0.4</v>
      </c>
      <c r="V4" s="22">
        <v>2.35</v>
      </c>
      <c r="W4" s="22">
        <v>2.8</v>
      </c>
      <c r="X4" s="22">
        <v>5.5</v>
      </c>
      <c r="Y4" s="22">
        <v>5.2</v>
      </c>
      <c r="Z4" s="22">
        <v>0</v>
      </c>
      <c r="AA4" s="22">
        <v>8.15</v>
      </c>
      <c r="AB4" s="22">
        <v>9.3000000000000007</v>
      </c>
      <c r="AC4" s="22">
        <v>14.6</v>
      </c>
      <c r="AD4" s="22">
        <v>16.100000000000001</v>
      </c>
      <c r="AE4" s="22">
        <v>0</v>
      </c>
      <c r="AF4" s="27"/>
      <c r="AG4" s="38">
        <f t="shared" ref="AG4:AG18" si="10">IF(S4&gt;0,S4,"")</f>
        <v>14.6</v>
      </c>
      <c r="AH4" s="38">
        <f t="shared" ref="AH4:AH18" si="11">IF(T4&gt;0,T4,"")</f>
        <v>18.12</v>
      </c>
      <c r="AI4" s="40">
        <f t="shared" ref="AI4:AI18" si="12">IF(SUM(Q4:T4)-U4&gt;0,SUM(Q4:T4)-U4,"")</f>
        <v>50.02</v>
      </c>
      <c r="AJ4" s="40">
        <f t="shared" ref="AJ4:AJ18" si="13">IF(X4&gt;0,X4,"")</f>
        <v>5.5</v>
      </c>
      <c r="AK4" s="40">
        <f t="shared" ref="AK4:AK18" si="14">IF(Y4&gt;0,Y4,"")</f>
        <v>5.2</v>
      </c>
      <c r="AL4" s="40">
        <f t="shared" ref="AL4:AL18" si="15">IF(SUM(V4:Y4)-Z4&gt;0,SUM(V4:Y4)-Z4,"")</f>
        <v>15.850000000000001</v>
      </c>
      <c r="AM4" s="40">
        <f t="shared" ref="AM4:AM18" si="16">IF(AI4="","",MAX(AI4,AL4))</f>
        <v>50.02</v>
      </c>
      <c r="AN4" s="40">
        <f t="shared" ref="AN4:AN18" si="17">IF(AC4&gt;0,AC4,"")</f>
        <v>14.6</v>
      </c>
      <c r="AO4" s="40">
        <f t="shared" ref="AO4:AO18" si="18">IF(AD4&gt;0,AD4,"")</f>
        <v>16.100000000000001</v>
      </c>
      <c r="AP4" s="40">
        <f t="shared" ref="AP4:AP18" si="19">IF(SUM(AA4:AD4)-AE4&gt;0,SUM(AA4:AD4)-AE4,"")</f>
        <v>48.150000000000006</v>
      </c>
      <c r="AQ4" s="40">
        <f t="shared" ref="AQ4:AQ18" si="20">IF(SUM(AM4,AP4)&gt;0,SUM(AM4,AP4),"")</f>
        <v>98.170000000000016</v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 t="shared" ref="BH4:BH18" si="21">IF(AT4&gt;0,AT4,"")</f>
        <v/>
      </c>
      <c r="BI4" s="39" t="str">
        <f t="shared" ref="BI4:BI18" si="22">IF(AU4&gt;0,AU4,"")</f>
        <v/>
      </c>
      <c r="BJ4" s="11" t="str">
        <f t="shared" ref="BJ4:BJ18" si="23">IF(SUM(AR4:AU4)-AV4&gt;0,SUM(AR4:AU4)-AV4,"")</f>
        <v/>
      </c>
      <c r="BK4" s="11" t="str">
        <f t="shared" ref="BK4:BK18" si="24">IF(AY4&gt;0,AY4,"")</f>
        <v/>
      </c>
      <c r="BL4" s="11" t="str">
        <f t="shared" ref="BL4:BL18" si="25">IF(AZ4&gt;0,AZ4,"")</f>
        <v/>
      </c>
      <c r="BM4" s="11" t="str">
        <f t="shared" ref="BM4:BM18" si="26">IF(SUM(AW4:AZ4)-BA4&gt;0,SUM(AW4:AZ4)-BA4,"")</f>
        <v/>
      </c>
      <c r="BN4" s="11" t="str">
        <f t="shared" ref="BN4:BN18" si="27">IF(BJ4="","",MAX(BJ4,BM4))</f>
        <v/>
      </c>
      <c r="BO4" s="11" t="str">
        <f t="shared" ref="BO4:BO18" si="28">IF(BD4&gt;0,BD4,"")</f>
        <v/>
      </c>
      <c r="BP4" s="11" t="str">
        <f t="shared" ref="BP4:BP18" si="29">IF(BE4&gt;0,BE4,"")</f>
        <v/>
      </c>
      <c r="BQ4" s="11" t="str">
        <f t="shared" ref="BQ4:BQ18" si="30">IF(SUM(BB4:BE4)-BF4&gt;0,SUM(BB4:BE4)-BF4,"")</f>
        <v/>
      </c>
      <c r="BR4" s="11" t="str">
        <f t="shared" ref="BR4:BR18" si="31">IF(SUM(BN4,BQ4)&gt;0,SUM(BN4,BQ4),"")</f>
        <v/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I18" si="32">IF(BU4&gt;0,BU4,"")</f>
        <v/>
      </c>
      <c r="CJ4" s="38" t="str">
        <f t="shared" ref="CJ4:CJ18" si="33">IF(BV4&gt;0,BV4,"")</f>
        <v/>
      </c>
      <c r="CK4" s="40" t="str">
        <f t="shared" ref="CK4:CK18" si="34">IF(SUM(BS4:BV4)-BW4&gt;0,SUM(BS4:BV4)-BW4,"")</f>
        <v/>
      </c>
      <c r="CL4" s="40" t="str">
        <f t="shared" ref="CL4:CL18" si="35">IF(BZ4&gt;0,BZ4,"")</f>
        <v/>
      </c>
      <c r="CM4" s="40" t="str">
        <f t="shared" ref="CM4:CM18" si="36">IF(CA4&gt;0,CA4,"")</f>
        <v/>
      </c>
      <c r="CN4" s="40" t="str">
        <f t="shared" ref="CN4:CN18" si="37">IF(SUM(BX4:CA4)-CB4&gt;0,SUM(BX4:CA4)-CB4,"")</f>
        <v/>
      </c>
      <c r="CO4" s="40" t="str">
        <f t="shared" ref="CO4:CO18" si="38">IF(CK4="","",MAX(CK4,CN4))</f>
        <v/>
      </c>
      <c r="CP4" s="40" t="str">
        <f t="shared" ref="CP4:CP18" si="39">IF(CE4&gt;0,CE4,"")</f>
        <v/>
      </c>
      <c r="CQ4" s="40" t="str">
        <f t="shared" ref="CQ4:CQ18" si="40">IF(CF4&gt;0,CF4,"")</f>
        <v/>
      </c>
      <c r="CR4" s="40" t="str">
        <f t="shared" ref="CR4:CR18" si="41">IF(SUM(CC4:CF4)-CG4&gt;0,SUM(CC4:CF4)-CG4,"")</f>
        <v/>
      </c>
      <c r="CS4" s="40" t="str">
        <f t="shared" ref="CS4:CS18" si="42">IF(SUM(CO4,CR4)&gt;0,SUM(CO4,CR4),"")</f>
        <v/>
      </c>
      <c r="CT4" s="51">
        <f t="shared" ref="CT4:CT18" si="43">IF(MAX(DV4,FD4,GL4,HT4,JB4,KJ4,LR4,MZ4,OH4,PP4,QX4,SF4,TN4,UV4,WD4)-IF(L4="",0,L4)&gt;0.001,MAX(DV4,FD4,GL4,HT4,JB4,KJ4,LR4,MZ4,OH4,PP4,QX4,SF4,TN4,UV4,WD4)-IF(L4="",0,L4),"")</f>
        <v>2.1399999999999935</v>
      </c>
      <c r="CU4" s="51">
        <f t="shared" ref="CU4:CU18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2.3399999999999963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P18" si="45">IF(CX4&gt;0,CX4,"")</f>
        <v/>
      </c>
      <c r="DQ4" s="40" t="str">
        <f t="shared" ref="DQ4:DQ18" si="46">IF(CY4&gt;0,CY4,"")</f>
        <v/>
      </c>
      <c r="DR4" s="40" t="str">
        <f t="shared" ref="DR4:DR18" si="47">IF(SUM(CV4:CY4)-CZ4&gt;0,SUM(CV4:CY4)-CZ4,"")</f>
        <v/>
      </c>
      <c r="DS4" s="40" t="str">
        <f t="shared" ref="DS4:DS18" si="48">IF(DC4&gt;0,DC4,"")</f>
        <v/>
      </c>
      <c r="DT4" s="40" t="str">
        <f t="shared" ref="DT4:DT18" si="49">IF(DD4&gt;0,DD4,"")</f>
        <v/>
      </c>
      <c r="DU4" s="40" t="str">
        <f t="shared" ref="DU4:DU18" si="50">IF(SUM(DA4:DD4)-DE4&gt;0,SUM(DA4:DD4)-DE4,"")</f>
        <v/>
      </c>
      <c r="DV4" s="40" t="str">
        <f t="shared" ref="DV4:DV18" si="51">IF(MAX(DR4,DU4)&gt;0,MAX(DR4,DU4),"")</f>
        <v/>
      </c>
      <c r="DW4" s="40" t="str">
        <f t="shared" ref="DW4:DW18" si="52">IF(DH4&gt;0,DH4,"")</f>
        <v/>
      </c>
      <c r="DX4" s="40" t="str">
        <f t="shared" ref="DX4:DX18" si="53">IF(DI4&gt;0,DI4,"")</f>
        <v/>
      </c>
      <c r="DY4" s="40" t="str">
        <f t="shared" ref="DY4:DY18" si="54">IF(SUM(DF4:DI4)-DJ4&gt;0,SUM(DF4:DI4)-DJ4,"")</f>
        <v/>
      </c>
      <c r="DZ4" s="40" t="str">
        <f t="shared" ref="DZ4:DZ18" si="55">IF(DM4&gt;0,DM4,"")</f>
        <v/>
      </c>
      <c r="EA4" s="40" t="str">
        <f t="shared" ref="EA4:EA18" si="56">IF(DN4&gt;0,DN4,"")</f>
        <v/>
      </c>
      <c r="EB4" s="40" t="str">
        <f t="shared" ref="EB4:EB18" si="57">IF(SUM(DK4:DN4)-DO4&gt;0,SUM(DK4:DN4)-DO4,"")</f>
        <v/>
      </c>
      <c r="EC4" s="40" t="str">
        <f t="shared" ref="EC4:EC18" si="58"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8" si="59">IF(EF4&gt;0,EF4,"")</f>
        <v/>
      </c>
      <c r="EY4" s="11" t="str">
        <f t="shared" ref="EY4:EY18" si="60">IF(EG4&gt;0,EG4,"")</f>
        <v/>
      </c>
      <c r="EZ4" s="11" t="str">
        <f t="shared" ref="EZ4:EZ18" si="61">IF(SUM(ED4:EG4)-EH4&gt;0,SUM(ED4:EG4)-EH4,"")</f>
        <v/>
      </c>
      <c r="FA4" s="11" t="str">
        <f t="shared" ref="FA4:FA18" si="62">IF(EK4&gt;0,EK4,"")</f>
        <v/>
      </c>
      <c r="FB4" s="11" t="str">
        <f t="shared" ref="FB4:FB18" si="63">IF(EL4&gt;0,EL4,"")</f>
        <v/>
      </c>
      <c r="FC4" s="11" t="str">
        <f t="shared" ref="FC4:FC18" si="64">IF(SUM(EI4:EL4)-EM4&gt;0,SUM(EI4:EL4)-EM4,"")</f>
        <v/>
      </c>
      <c r="FD4" s="11" t="str">
        <f t="shared" ref="FD4:FD18" si="65">IF(MAX(EZ4,FC4)&gt;0,MAX(EZ4,FC4),"")</f>
        <v/>
      </c>
      <c r="FE4" s="11" t="str">
        <f t="shared" ref="FE4:FE18" si="66">IF(EP4&gt;0,EP4,"")</f>
        <v/>
      </c>
      <c r="FF4" s="11" t="str">
        <f t="shared" ref="FF4:FF18" si="67">IF(EQ4&gt;0,EQ4,"")</f>
        <v/>
      </c>
      <c r="FG4" s="11" t="str">
        <f t="shared" ref="FG4:FG18" si="68">IF(SUM(EN4:EQ4)-ER4&gt;0,SUM(EN4:EQ4)-ER4,"")</f>
        <v/>
      </c>
      <c r="FH4" s="11" t="str">
        <f t="shared" ref="FH4:FH18" si="69">IF(EU4&gt;0,EU4,"")</f>
        <v/>
      </c>
      <c r="FI4" s="11" t="str">
        <f t="shared" ref="FI4:FI18" si="70">IF(EV4&gt;0,EV4,"")</f>
        <v/>
      </c>
      <c r="FJ4" s="11" t="str">
        <f t="shared" ref="FJ4:FJ18" si="71">IF(SUM(ES4:EV4)-EW4&gt;0,SUM(ES4:EV4)-EW4,"")</f>
        <v/>
      </c>
      <c r="FK4" s="11" t="str">
        <f t="shared" ref="FK4:FK18" si="72">IF(SUM(FD4,FJ4)&gt;0,SUM(FD4,FJ4),"")</f>
        <v/>
      </c>
      <c r="FL4" s="17">
        <v>7.6</v>
      </c>
      <c r="FM4" s="17">
        <v>8.9499999999999993</v>
      </c>
      <c r="FN4" s="17">
        <v>15.6</v>
      </c>
      <c r="FO4" s="17">
        <v>18.14</v>
      </c>
      <c r="FP4" s="17">
        <v>0</v>
      </c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18.04</v>
      </c>
      <c r="GE4" s="17">
        <v>0</v>
      </c>
      <c r="GF4" s="40">
        <f t="shared" ref="GF4:GF18" si="73">IF(FN4&gt;0,FN4,"")</f>
        <v>15.6</v>
      </c>
      <c r="GG4" s="40">
        <f t="shared" ref="GG4:GG18" si="74">IF(FO4&gt;0,FO4,"")</f>
        <v>18.14</v>
      </c>
      <c r="GH4" s="40">
        <f t="shared" ref="GH4:GH18" si="75">IF(SUM(FL4:FO4)-FP4&gt;0,SUM(FL4:FO4)-FP4,"")</f>
        <v>50.29</v>
      </c>
      <c r="GI4" s="40" t="str">
        <f t="shared" ref="GI4:GI18" si="76">IF(FS4&gt;0,FS4,"")</f>
        <v/>
      </c>
      <c r="GJ4" s="40" t="str">
        <f t="shared" ref="GJ4:GJ18" si="77">IF(FT4&gt;0,FT4,"")</f>
        <v/>
      </c>
      <c r="GK4" s="40" t="str">
        <f t="shared" ref="GK4:GK18" si="78">IF(SUM(FQ4:FT4)-FU4&gt;0,SUM(FQ4:FT4)-FU4,"")</f>
        <v/>
      </c>
      <c r="GL4" s="40">
        <f t="shared" ref="GL4:GL18" si="79">IF(MAX(GH4,GK4)&gt;0,MAX(GH4,GK4),"")</f>
        <v>50.29</v>
      </c>
      <c r="GM4" s="40" t="str">
        <f t="shared" ref="GM4:GM18" si="80">IF(FX4&gt;0,FX4,"")</f>
        <v/>
      </c>
      <c r="GN4" s="40" t="str">
        <f t="shared" ref="GN4:GN18" si="81">IF(FY4&gt;0,FY4,"")</f>
        <v/>
      </c>
      <c r="GO4" s="40" t="str">
        <f t="shared" ref="GO4:GO18" si="82">IF(SUM(FV4:FY4)-FZ4&gt;0,SUM(FV4:FY4)-FZ4,"")</f>
        <v/>
      </c>
      <c r="GP4" s="40">
        <f t="shared" ref="GP4:GP18" si="83">IF(GC4&gt;0,GC4,"")</f>
        <v>15.6</v>
      </c>
      <c r="GQ4" s="40">
        <f t="shared" ref="GQ4:GQ18" si="84">IF(GD4&gt;0,GD4,"")</f>
        <v>18.04</v>
      </c>
      <c r="GR4" s="40">
        <f t="shared" ref="GR4:GR18" si="85">IF(SUM(GA4:GD4)-GE4&gt;0,SUM(GA4:GD4)-GE4,"")</f>
        <v>50.49</v>
      </c>
      <c r="GS4" s="40">
        <f t="shared" ref="GS4:GS18" si="86">IF(SUM(GL4,GR4)&gt;0,SUM(GL4,GR4),"")</f>
        <v>100.78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8" si="87">IF(GV4&gt;0,GV4,"")</f>
        <v/>
      </c>
      <c r="HO4" s="11" t="str">
        <f t="shared" ref="HO4:HO18" si="88">IF(GW4&gt;0,GW4,"")</f>
        <v/>
      </c>
      <c r="HP4" s="11" t="str">
        <f t="shared" ref="HP4:HP18" si="89">IF(SUM(GT4:GW4)-GX4&gt;0,SUM(GT4:GW4)-GX4,"")</f>
        <v/>
      </c>
      <c r="HQ4" s="11" t="str">
        <f t="shared" ref="HQ4:HQ18" si="90">IF(HA4&gt;0,HA4,"")</f>
        <v/>
      </c>
      <c r="HR4" s="11" t="str">
        <f t="shared" ref="HR4:HR18" si="91">IF(HB4&gt;0,HB4,"")</f>
        <v/>
      </c>
      <c r="HS4" s="11" t="str">
        <f t="shared" ref="HS4:HS18" si="92">IF(SUM(GY4:HB4)-HC4&gt;0,SUM(GY4:HB4)-HC4,"")</f>
        <v/>
      </c>
      <c r="HT4" s="11" t="str">
        <f t="shared" ref="HT4:HT18" si="93">IF(MAX(HP4,HS4)&gt;0,MAX(HP4,HS4),"")</f>
        <v/>
      </c>
      <c r="HU4" s="11" t="str">
        <f t="shared" ref="HU4:HU18" si="94">IF(HF4&gt;0,HF4,"")</f>
        <v/>
      </c>
      <c r="HV4" s="11" t="str">
        <f t="shared" ref="HV4:HV18" si="95">IF(HG4&gt;0,HG4,"")</f>
        <v/>
      </c>
      <c r="HW4" s="11" t="str">
        <f t="shared" ref="HW4:HW18" si="96">IF(SUM(HD4:HG4)-HH4&gt;0,SUM(HD4:HG4)-HH4,"")</f>
        <v/>
      </c>
      <c r="HX4" s="11" t="str">
        <f t="shared" ref="HX4:HX18" si="97">IF(HK4&gt;0,HK4,"")</f>
        <v/>
      </c>
      <c r="HY4" s="11" t="str">
        <f t="shared" ref="HY4:HY18" si="98">IF(HL4&gt;0,HL4,"")</f>
        <v/>
      </c>
      <c r="HZ4" s="11" t="str">
        <f t="shared" ref="HZ4:HZ18" si="99">IF(SUM(HI4:HL4)-HM4&gt;0,SUM(HI4:HL4)-HM4,"")</f>
        <v/>
      </c>
      <c r="IA4" s="11" t="str">
        <f t="shared" ref="IA4:IA18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V18" si="101">IF(ID4&gt;0,ID4,"")</f>
        <v/>
      </c>
      <c r="IW4" s="40" t="str">
        <f t="shared" ref="IW4:IW18" si="102">IF(IE4&gt;0,IE4,"")</f>
        <v/>
      </c>
      <c r="IX4" s="40" t="str">
        <f t="shared" ref="IX4:IX18" si="103">IF(SUM(IB4:IE4)-IF4&gt;0,SUM(IB4:IE4)-IF4,"")</f>
        <v/>
      </c>
      <c r="IY4" s="40" t="str">
        <f t="shared" ref="IY4:IY18" si="104">IF(II4&gt;0,II4,"")</f>
        <v/>
      </c>
      <c r="IZ4" s="40" t="str">
        <f t="shared" ref="IZ4:IZ18" si="105">IF(IJ4&gt;0,IJ4,"")</f>
        <v/>
      </c>
      <c r="JA4" s="40" t="str">
        <f t="shared" ref="JA4:JA18" si="106">IF(SUM(IG4:IJ4)-IK4&gt;0,SUM(IG4:IJ4)-IK4,"")</f>
        <v/>
      </c>
      <c r="JB4" s="40" t="str">
        <f t="shared" ref="JB4:JB18" si="107">IF(MAX(IX4,JA4)&gt;0,MAX(IX4,JA4),"")</f>
        <v/>
      </c>
      <c r="JC4" s="40" t="str">
        <f t="shared" ref="JC4:JC18" si="108">IF(IN4&gt;0,IN4,"")</f>
        <v/>
      </c>
      <c r="JD4" s="40" t="str">
        <f t="shared" ref="JD4:JD18" si="109">IF(IO4&gt;0,IO4,"")</f>
        <v/>
      </c>
      <c r="JE4" s="40" t="str">
        <f t="shared" ref="JE4:JE18" si="110">IF(SUM(IL4:IO4)-IP4&gt;0,SUM(IL4:IO4)-IP4,"")</f>
        <v/>
      </c>
      <c r="JF4" s="40" t="str">
        <f t="shared" ref="JF4:JF18" si="111">IF(IS4&gt;0,IS4,"")</f>
        <v/>
      </c>
      <c r="JG4" s="40" t="str">
        <f t="shared" ref="JG4:JG18" si="112">IF(IT4&gt;0,IT4,"")</f>
        <v/>
      </c>
      <c r="JH4" s="40" t="str">
        <f t="shared" ref="JH4:JH18" si="113">IF(SUM(IQ4:IT4)-IU4&gt;0,SUM(IQ4:IT4)-IU4,"")</f>
        <v/>
      </c>
      <c r="JI4" s="40" t="str">
        <f t="shared" ref="JI4:JI18" si="114"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8" si="115">IF(JL4&gt;0,JL4,"")</f>
        <v/>
      </c>
      <c r="KE4" s="11" t="str">
        <f t="shared" ref="KE4:KE18" si="116">IF(JM4&gt;0,JM4,"")</f>
        <v/>
      </c>
      <c r="KF4" s="11" t="str">
        <f t="shared" ref="KF4:KF18" si="117">IF(SUM(JJ4:JM4)-JN4&gt;0,SUM(JJ4:JM4)-JN4,"")</f>
        <v/>
      </c>
      <c r="KG4" s="11" t="str">
        <f t="shared" ref="KG4:KG18" si="118">IF(JQ4&gt;0,JQ4,"")</f>
        <v/>
      </c>
      <c r="KH4" s="11" t="str">
        <f t="shared" ref="KH4:KH18" si="119">IF(JR4&gt;0,JR4,"")</f>
        <v/>
      </c>
      <c r="KI4" s="11" t="str">
        <f t="shared" ref="KI4:KI18" si="120">IF(SUM(JO4:JR4)-JS4&gt;0,SUM(JO4:JR4)-JS4,"")</f>
        <v/>
      </c>
      <c r="KJ4" s="11" t="str">
        <f t="shared" ref="KJ4:KJ18" si="121">IF(MAX(KF4,KI4)&gt;0,MAX(KF4,KI4),"")</f>
        <v/>
      </c>
      <c r="KK4" s="11" t="str">
        <f t="shared" ref="KK4:KK18" si="122">IF(JV4&gt;0,JV4,"")</f>
        <v/>
      </c>
      <c r="KL4" s="11" t="str">
        <f t="shared" ref="KL4:KL18" si="123">IF(JW4&gt;0,JW4,"")</f>
        <v/>
      </c>
      <c r="KM4" s="11" t="str">
        <f t="shared" ref="KM4:KM18" si="124">IF(SUM(JT4:JW4)-JX4&gt;0,SUM(JT4:JW4)-JX4,"")</f>
        <v/>
      </c>
      <c r="KN4" s="11" t="str">
        <f t="shared" ref="KN4:KN18" si="125">IF(KA4&gt;0,KA4,"")</f>
        <v/>
      </c>
      <c r="KO4" s="11" t="str">
        <f t="shared" ref="KO4:KO18" si="126">IF(KB4&gt;0,KB4,"")</f>
        <v/>
      </c>
      <c r="KP4" s="11" t="str">
        <f t="shared" ref="KP4:KP18" si="127">IF(SUM(JY4:KB4)-KC4&gt;0,SUM(JY4:KB4)-KC4,"")</f>
        <v/>
      </c>
      <c r="KQ4" s="11" t="str">
        <f t="shared" ref="KQ4:KQ18" si="128"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L18" si="129">IF(KT4&gt;0,KT4,"")</f>
        <v/>
      </c>
      <c r="LM4" s="40" t="str">
        <f t="shared" ref="LM4:LM18" si="130">IF(KU4&gt;0,KU4,"")</f>
        <v/>
      </c>
      <c r="LN4" s="40" t="str">
        <f t="shared" ref="LN4:LN18" si="131">IF(SUM(KR4:KU4)-KV4&gt;0,SUM(KR4:KU4)-KV4,"")</f>
        <v/>
      </c>
      <c r="LO4" s="40" t="str">
        <f t="shared" ref="LO4:LO18" si="132">IF(KY4&gt;0,KY4,"")</f>
        <v/>
      </c>
      <c r="LP4" s="40" t="str">
        <f t="shared" ref="LP4:LP18" si="133">IF(KZ4&gt;0,KZ4,"")</f>
        <v/>
      </c>
      <c r="LQ4" s="40" t="str">
        <f t="shared" ref="LQ4:LQ18" si="134">IF(SUM(KW4:KZ4)-LA4&gt;0,SUM(KW4:KZ4)-LA4,"")</f>
        <v/>
      </c>
      <c r="LR4" s="40" t="str">
        <f t="shared" ref="LR4:LR18" si="135">IF(MAX(LN4,LQ4)&gt;0,MAX(LN4,LQ4),"")</f>
        <v/>
      </c>
      <c r="LS4" s="40" t="str">
        <f t="shared" ref="LS4:LS18" si="136">IF(LD4&gt;0,LD4,"")</f>
        <v/>
      </c>
      <c r="LT4" s="40" t="str">
        <f t="shared" ref="LT4:LT18" si="137">IF(LE4&gt;0,LE4,"")</f>
        <v/>
      </c>
      <c r="LU4" s="40" t="str">
        <f t="shared" ref="LU4:LU18" si="138">IF(SUM(LB4:LE4)-LF4&gt;0,SUM(LB4:LE4)-LF4,"")</f>
        <v/>
      </c>
      <c r="LV4" s="40" t="str">
        <f t="shared" ref="LV4:LV18" si="139">IF(LI4&gt;0,LI4,"")</f>
        <v/>
      </c>
      <c r="LW4" s="40" t="str">
        <f t="shared" ref="LW4:LW18" si="140">IF(LJ4&gt;0,LJ4,"")</f>
        <v/>
      </c>
      <c r="LX4" s="40" t="str">
        <f t="shared" ref="LX4:LX18" si="141">IF(SUM(LG4:LJ4)-LK4&gt;0,SUM(LG4:LJ4)-LK4,"")</f>
        <v/>
      </c>
      <c r="LY4" s="40" t="str">
        <f t="shared" ref="LY4:LY18" si="142"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8" si="143">IF(MB4&gt;0,MB4,"")</f>
        <v/>
      </c>
      <c r="MU4" s="11" t="str">
        <f t="shared" ref="MU4:MU18" si="144">IF(MC4&gt;0,MC4,"")</f>
        <v/>
      </c>
      <c r="MV4" s="11" t="str">
        <f t="shared" ref="MV4:MV18" si="145">IF(SUM(LZ4:MC4)-MD4&gt;0,SUM(LZ4:MC4)-MD4,"")</f>
        <v/>
      </c>
      <c r="MW4" s="11" t="str">
        <f t="shared" ref="MW4:MW18" si="146">IF(MG4&gt;0,MG4,"")</f>
        <v/>
      </c>
      <c r="MX4" s="11" t="str">
        <f t="shared" ref="MX4:MX18" si="147">IF(MH4&gt;0,MH4,"")</f>
        <v/>
      </c>
      <c r="MY4" s="11" t="str">
        <f t="shared" ref="MY4:MY18" si="148">IF(SUM(ME4:MH4)-MI4&gt;0,SUM(ME4:MH4)-MI4,"")</f>
        <v/>
      </c>
      <c r="MZ4" s="11" t="str">
        <f t="shared" ref="MZ4:MZ18" si="149">IF(MAX(MV4,MY4)&gt;0,MAX(MV4,MY4),"")</f>
        <v/>
      </c>
      <c r="NA4" s="11" t="str">
        <f t="shared" ref="NA4:NA18" si="150">IF(ML4&gt;0,ML4,"")</f>
        <v/>
      </c>
      <c r="NB4" s="11" t="str">
        <f t="shared" ref="NB4:NB18" si="151">IF(MM4&gt;0,MM4,"")</f>
        <v/>
      </c>
      <c r="NC4" s="11" t="str">
        <f t="shared" ref="NC4:NC18" si="152">IF(SUM(MJ4:MM4)-MN4&gt;0,SUM(MJ4:MM4)-MN4,"")</f>
        <v/>
      </c>
      <c r="ND4" s="11" t="str">
        <f t="shared" ref="ND4:ND18" si="153">IF(MQ4&gt;0,MQ4,"")</f>
        <v/>
      </c>
      <c r="NE4" s="11" t="str">
        <f t="shared" ref="NE4:NE18" si="154">IF(MR4&gt;0,MR4,"")</f>
        <v/>
      </c>
      <c r="NF4" s="11" t="str">
        <f t="shared" ref="NF4:NF18" si="155">IF(SUM(MO4:MR4)-MS4&gt;0,SUM(MO4:MR4)-MS4,"")</f>
        <v/>
      </c>
      <c r="NG4" s="11" t="str">
        <f t="shared" ref="NG4:NG18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8" si="157">IF(NJ4&gt;0,NJ4,"")</f>
        <v/>
      </c>
      <c r="OC4" s="40" t="str">
        <f t="shared" ref="OC4:OC18" si="158">IF(NK4&gt;0,NK4,"")</f>
        <v/>
      </c>
      <c r="OD4" s="40" t="str">
        <f t="shared" ref="OD4:OD18" si="159">IF(SUM(NH4:NK4)-NL4&gt;0,SUM(NH4:NK4)-NL4,"")</f>
        <v/>
      </c>
      <c r="OE4" s="40" t="str">
        <f t="shared" ref="OE4:OE18" si="160">IF(NO4&gt;0,NO4,"")</f>
        <v/>
      </c>
      <c r="OF4" s="40" t="str">
        <f t="shared" ref="OF4:OF18" si="161">IF(NP4&gt;0,NP4,"")</f>
        <v/>
      </c>
      <c r="OG4" s="40" t="str">
        <f t="shared" ref="OG4:OG18" si="162">IF(SUM(NM4:NP4)-NQ4&gt;0,SUM(NM4:NP4)-NQ4,"")</f>
        <v/>
      </c>
      <c r="OH4" s="40" t="str">
        <f t="shared" ref="OH4:OH18" si="163">IF(MAX(OD4,OG4)&gt;0,MAX(OD4,OG4),"")</f>
        <v/>
      </c>
      <c r="OI4" s="40" t="str">
        <f t="shared" ref="OI4:OI18" si="164">IF(NT4&gt;0,NT4,"")</f>
        <v/>
      </c>
      <c r="OJ4" s="40" t="str">
        <f t="shared" ref="OJ4:OJ18" si="165">IF(NU4&gt;0,NU4,"")</f>
        <v/>
      </c>
      <c r="OK4" s="40" t="str">
        <f t="shared" ref="OK4:OK18" si="166">IF(SUM(NR4:NU4)-NV4&gt;0,SUM(NR4:NU4)-NV4,"")</f>
        <v/>
      </c>
      <c r="OL4" s="40" t="str">
        <f t="shared" ref="OL4:OL18" si="167">IF(NY4&gt;0,NY4,"")</f>
        <v/>
      </c>
      <c r="OM4" s="40" t="str">
        <f t="shared" ref="OM4:OM18" si="168">IF(NZ4&gt;0,NZ4,"")</f>
        <v/>
      </c>
      <c r="ON4" s="40" t="str">
        <f t="shared" ref="ON4:ON18" si="169">IF(SUM(NW4:NZ4)-OA4&gt;0,SUM(NW4:NZ4)-OA4,"")</f>
        <v/>
      </c>
      <c r="OO4" s="40" t="str">
        <f t="shared" ref="OO4:OO18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8" si="171">IF(OR4&gt;0,OR4,"")</f>
        <v/>
      </c>
      <c r="PK4" s="11" t="str">
        <f t="shared" ref="PK4:PK18" si="172">IF(OS4&gt;0,OS4,"")</f>
        <v/>
      </c>
      <c r="PL4" s="11" t="str">
        <f t="shared" ref="PL4:PL18" si="173">IF(SUM(OP4:OS4)-OT4&gt;0,SUM(OP4:OS4)-OT4,"")</f>
        <v/>
      </c>
      <c r="PM4" s="11" t="str">
        <f t="shared" ref="PM4:PM18" si="174">IF(OW4&gt;0,OW4,"")</f>
        <v/>
      </c>
      <c r="PN4" s="11" t="str">
        <f t="shared" ref="PN4:PN18" si="175">IF(OX4&gt;0,OX4,"")</f>
        <v/>
      </c>
      <c r="PO4" s="11" t="str">
        <f t="shared" ref="PO4:PO18" si="176">IF(SUM(OU4:OX4)-OY4&gt;0,SUM(OU4:OX4)-OY4,"")</f>
        <v/>
      </c>
      <c r="PP4" s="11" t="str">
        <f t="shared" ref="PP4:PP18" si="177">IF(MAX(PL4,PO4)&gt;0,MAX(PL4,PO4),"")</f>
        <v/>
      </c>
      <c r="PQ4" s="11" t="str">
        <f t="shared" ref="PQ4:PQ18" si="178">IF(PB4&gt;0,PB4,"")</f>
        <v/>
      </c>
      <c r="PR4" s="11" t="str">
        <f t="shared" ref="PR4:PR18" si="179">IF(PC4&gt;0,PC4,"")</f>
        <v/>
      </c>
      <c r="PS4" s="11" t="str">
        <f t="shared" ref="PS4:PS18" si="180">IF(SUM(OZ4:PC4)-PD4&gt;0,SUM(OZ4:PC4)-PD4,"")</f>
        <v/>
      </c>
      <c r="PT4" s="11" t="str">
        <f t="shared" ref="PT4:PT18" si="181">IF(PG4&gt;0,PG4,"")</f>
        <v/>
      </c>
      <c r="PU4" s="11" t="str">
        <f t="shared" ref="PU4:PU18" si="182">IF(PH4&gt;0,PH4,"")</f>
        <v/>
      </c>
      <c r="PV4" s="11" t="str">
        <f t="shared" ref="PV4:PV18" si="183">IF(SUM(PE4:PH4)-PI4&gt;0,SUM(PE4:PH4)-PI4,"")</f>
        <v/>
      </c>
      <c r="PW4" s="11" t="str">
        <f t="shared" ref="PW4:PW18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8" si="185">IF(PZ4&gt;0,PZ4,"")</f>
        <v/>
      </c>
      <c r="QS4" s="40" t="str">
        <f t="shared" ref="QS4:QS18" si="186">IF(QA4&gt;0,QA4,"")</f>
        <v/>
      </c>
      <c r="QT4" s="40" t="str">
        <f t="shared" ref="QT4:QT18" si="187">IF(SUM(PX4:QA4)-QB4&gt;0,SUM(PX4:QA4)-QB4,"")</f>
        <v/>
      </c>
      <c r="QU4" s="40" t="str">
        <f t="shared" ref="QU4:QU18" si="188">IF(QE4&gt;0,QE4,"")</f>
        <v/>
      </c>
      <c r="QV4" s="40" t="str">
        <f t="shared" ref="QV4:QV18" si="189">IF(QF4&gt;0,QF4,"")</f>
        <v/>
      </c>
      <c r="QW4" s="40" t="str">
        <f t="shared" ref="QW4:QW18" si="190">IF(SUM(QC4:QF4)-QG4&gt;0,SUM(QC4:QF4)-QG4,"")</f>
        <v/>
      </c>
      <c r="QX4" s="40" t="str">
        <f t="shared" ref="QX4:QX18" si="191">IF(MAX(QT4,QW4)&gt;0,MAX(QT4,QW4),"")</f>
        <v/>
      </c>
      <c r="QY4" s="40" t="str">
        <f t="shared" ref="QY4:QY18" si="192">IF(QJ4&gt;0,QJ4,"")</f>
        <v/>
      </c>
      <c r="QZ4" s="40" t="str">
        <f t="shared" ref="QZ4:QZ18" si="193">IF(QK4&gt;0,QK4,"")</f>
        <v/>
      </c>
      <c r="RA4" s="40" t="str">
        <f t="shared" ref="RA4:RA18" si="194">IF(SUM(QH4:QK4)-QL4&gt;0,SUM(QH4:QK4)-QL4,"")</f>
        <v/>
      </c>
      <c r="RB4" s="40" t="str">
        <f t="shared" ref="RB4:RB18" si="195">IF(QO4&gt;0,QO4,"")</f>
        <v/>
      </c>
      <c r="RC4" s="40" t="str">
        <f t="shared" ref="RC4:RC18" si="196">IF(QP4&gt;0,QP4,"")</f>
        <v/>
      </c>
      <c r="RD4" s="40" t="str">
        <f t="shared" ref="RD4:RD18" si="197">IF(SUM(QM4:QP4)-QQ4&gt;0,SUM(QM4:QP4)-QQ4,"")</f>
        <v/>
      </c>
      <c r="RE4" s="40" t="str">
        <f t="shared" ref="RE4:RE18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8" si="199">IF(RH4&gt;0,RH4,"")</f>
        <v/>
      </c>
      <c r="SA4" s="11" t="str">
        <f t="shared" ref="SA4:SA18" si="200">IF(RI4&gt;0,RI4,"")</f>
        <v/>
      </c>
      <c r="SB4" s="11" t="str">
        <f t="shared" ref="SB4:SB18" si="201">IF(SUM(RF4:RI4)-RJ4&gt;0,SUM(RF4:RI4)-RJ4,"")</f>
        <v/>
      </c>
      <c r="SC4" s="11" t="str">
        <f t="shared" ref="SC4:SC18" si="202">IF(RM4&gt;0,RM4,"")</f>
        <v/>
      </c>
      <c r="SD4" s="11" t="str">
        <f t="shared" ref="SD4:SD18" si="203">IF(RN4&gt;0,RN4,"")</f>
        <v/>
      </c>
      <c r="SE4" s="11" t="str">
        <f t="shared" ref="SE4:SE18" si="204">IF(SUM(RK4:RN4)-RO4&gt;0,SUM(RK4:RN4)-RO4,"")</f>
        <v/>
      </c>
      <c r="SF4" s="11" t="str">
        <f t="shared" ref="SF4:SF18" si="205">IF(MAX(SB4,SE4)&gt;0,MAX(SB4,SE4),"")</f>
        <v/>
      </c>
      <c r="SG4" s="11" t="str">
        <f t="shared" ref="SG4:SG18" si="206">IF(RR4&gt;0,RR4,"")</f>
        <v/>
      </c>
      <c r="SH4" s="11" t="str">
        <f t="shared" ref="SH4:SH18" si="207">IF(RS4&gt;0,RS4,"")</f>
        <v/>
      </c>
      <c r="SI4" s="11" t="str">
        <f t="shared" ref="SI4:SI18" si="208">IF(SUM(RP4:RS4)-RT4&gt;0,SUM(RP4:RS4)-RT4,"")</f>
        <v/>
      </c>
      <c r="SJ4" s="11" t="str">
        <f t="shared" ref="SJ4:SJ18" si="209">IF(RW4&gt;0,RW4,"")</f>
        <v/>
      </c>
      <c r="SK4" s="11" t="str">
        <f t="shared" ref="SK4:SK18" si="210">IF(RX4&gt;0,RX4,"")</f>
        <v/>
      </c>
      <c r="SL4" s="11" t="str">
        <f t="shared" ref="SL4:SL18" si="211">IF(SUM(RU4:RX4)-RY4&gt;0,SUM(RU4:RX4)-RY4,"")</f>
        <v/>
      </c>
      <c r="SM4" s="11" t="str">
        <f t="shared" ref="SM4:SM18" si="212"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8" si="213">IF(SP4&gt;0,SP4,"")</f>
        <v/>
      </c>
      <c r="TI4" s="40" t="str">
        <f t="shared" ref="TI4:TI18" si="214">IF(SQ4&gt;0,SQ4,"")</f>
        <v/>
      </c>
      <c r="TJ4" s="40" t="str">
        <f t="shared" ref="TJ4:TJ18" si="215">IF(SUM(SN4:SQ4)-SR4&gt;0,SUM(SN4:SQ4)-SR4,"")</f>
        <v/>
      </c>
      <c r="TK4" s="40" t="str">
        <f t="shared" ref="TK4:TK18" si="216">IF(SU4&gt;0,SU4,"")</f>
        <v/>
      </c>
      <c r="TL4" s="40" t="str">
        <f t="shared" ref="TL4:TL18" si="217">IF(SV4&gt;0,SV4,"")</f>
        <v/>
      </c>
      <c r="TM4" s="40" t="str">
        <f t="shared" ref="TM4:TM18" si="218">IF(SUM(SS4:SV4)-SW4&gt;0,SUM(SS4:SV4)-SW4,"")</f>
        <v/>
      </c>
      <c r="TN4" s="40" t="str">
        <f t="shared" ref="TN4:TN18" si="219">IF(MAX(TJ4,TM4)&gt;0,MAX(TJ4,TM4),"")</f>
        <v/>
      </c>
      <c r="TO4" s="40" t="str">
        <f t="shared" ref="TO4:TO18" si="220">IF(SZ4&gt;0,SZ4,"")</f>
        <v/>
      </c>
      <c r="TP4" s="40" t="str">
        <f t="shared" ref="TP4:TP18" si="221">IF(TA4&gt;0,TA4,"")</f>
        <v/>
      </c>
      <c r="TQ4" s="40" t="str">
        <f t="shared" ref="TQ4:TQ18" si="222">IF(SUM(SX4:TA4)-TB4&gt;0,SUM(SX4:TA4)-TB4,"")</f>
        <v/>
      </c>
      <c r="TR4" s="40" t="str">
        <f t="shared" ref="TR4:TR18" si="223">IF(TE4&gt;0,TE4,"")</f>
        <v/>
      </c>
      <c r="TS4" s="40" t="str">
        <f t="shared" ref="TS4:TS18" si="224">IF(TF4&gt;0,TF4,"")</f>
        <v/>
      </c>
      <c r="TT4" s="40" t="str">
        <f t="shared" ref="TT4:TT18" si="225">IF(SUM(TC4:TF4)-TG4&gt;0,SUM(TC4:TF4)-TG4,"")</f>
        <v/>
      </c>
      <c r="TU4" s="40" t="str">
        <f t="shared" ref="TU4:TU18" si="226"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8" si="227">IF(TX4&gt;0,TX4,"")</f>
        <v/>
      </c>
      <c r="UQ4" s="11" t="str">
        <f t="shared" ref="UQ4:UQ18" si="228">IF(TY4&gt;0,TY4,"")</f>
        <v/>
      </c>
      <c r="UR4" s="11" t="str">
        <f t="shared" ref="UR4:UR18" si="229">IF(SUM(TV4:TY4)-TZ4&gt;0,SUM(TV4:TY4)-TZ4,"")</f>
        <v/>
      </c>
      <c r="US4" s="11" t="str">
        <f t="shared" ref="US4:US18" si="230">IF(UC4&gt;0,UC4,"")</f>
        <v/>
      </c>
      <c r="UT4" s="11" t="str">
        <f t="shared" ref="UT4:UT18" si="231">IF(UD4&gt;0,UD4,"")</f>
        <v/>
      </c>
      <c r="UU4" s="11" t="str">
        <f t="shared" ref="UU4:UU18" si="232">IF(SUM(UA4:UD4)-UE4&gt;0,SUM(UA4:UD4)-UE4,"")</f>
        <v/>
      </c>
      <c r="UV4" s="11" t="str">
        <f t="shared" ref="UV4:UV18" si="233">IF(MAX(UR4,UU4)&gt;0,MAX(UR4,UU4),"")</f>
        <v/>
      </c>
      <c r="UW4" s="11" t="str">
        <f t="shared" ref="UW4:UW18" si="234">IF(UH4&gt;0,UH4,"")</f>
        <v/>
      </c>
      <c r="UX4" s="11" t="str">
        <f t="shared" ref="UX4:UX18" si="235">IF(UI4&gt;0,UI4,"")</f>
        <v/>
      </c>
      <c r="UY4" s="11" t="str">
        <f t="shared" ref="UY4:UY18" si="236">IF(SUM(UF4:UI4)-UJ4&gt;0,SUM(UF4:UI4)-UJ4,"")</f>
        <v/>
      </c>
      <c r="UZ4" s="11" t="str">
        <f t="shared" ref="UZ4:UZ18" si="237">IF(UM4&gt;0,UM4,"")</f>
        <v/>
      </c>
      <c r="VA4" s="11" t="str">
        <f t="shared" ref="VA4:VA18" si="238">IF(UN4&gt;0,UN4,"")</f>
        <v/>
      </c>
      <c r="VB4" s="11" t="str">
        <f t="shared" ref="VB4:VB18" si="239">IF(SUM(UK4:UN4)-UO4&gt;0,SUM(UK4:UN4)-UO4,"")</f>
        <v/>
      </c>
      <c r="VC4" s="11" t="str">
        <f t="shared" ref="VC4:VC18" si="240"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8" si="241">IF(VF4&gt;0,VF4,"")</f>
        <v/>
      </c>
      <c r="VY4" s="40" t="str">
        <f t="shared" ref="VY4:VY18" si="242">IF(VG4&gt;0,VG4,"")</f>
        <v/>
      </c>
      <c r="VZ4" s="40" t="str">
        <f t="shared" ref="VZ4:VZ18" si="243">IF(SUM(VD4:VG4)-VH4&gt;0,SUM(VD4:VG4)-VH4,"")</f>
        <v/>
      </c>
      <c r="WA4" s="40" t="str">
        <f t="shared" ref="WA4:WA18" si="244">IF(VK4&gt;0,VK4,"")</f>
        <v/>
      </c>
      <c r="WB4" s="40" t="str">
        <f t="shared" ref="WB4:WB18" si="245">IF(VL4&gt;0,VL4,"")</f>
        <v/>
      </c>
      <c r="WC4" s="40" t="str">
        <f t="shared" ref="WC4:WC18" si="246">IF(SUM(VI4:VL4)-VM4&gt;0,SUM(VI4:VL4)-VM4,"")</f>
        <v/>
      </c>
      <c r="WD4" s="40" t="str">
        <f t="shared" ref="WD4:WD18" si="247">IF(MAX(VZ4,WC4)&gt;0,MAX(VZ4,WC4),"")</f>
        <v/>
      </c>
      <c r="WE4" s="40" t="str">
        <f t="shared" ref="WE4:WE18" si="248">IF(VP4&gt;0,VP4,"")</f>
        <v/>
      </c>
      <c r="WF4" s="40" t="str">
        <f t="shared" ref="WF4:WF18" si="249">IF(VQ4&gt;0,VQ4,"")</f>
        <v/>
      </c>
      <c r="WG4" s="40" t="str">
        <f t="shared" ref="WG4:WG18" si="250">IF(SUM(VN4:VQ4)-VR4&gt;0,SUM(VN4:VQ4)-VR4,"")</f>
        <v/>
      </c>
      <c r="WH4" s="40" t="str">
        <f t="shared" ref="WH4:WH18" si="251">IF(VU4&gt;0,VU4,"")</f>
        <v/>
      </c>
      <c r="WI4" s="40" t="str">
        <f t="shared" ref="WI4:WI18" si="252">IF(VV4&gt;0,VV4,"")</f>
        <v/>
      </c>
      <c r="WJ4" s="40" t="str">
        <f t="shared" ref="WJ4:WJ18" si="253">IF(SUM(VS4:VV4)-VW4&gt;0,SUM(VS4:VV4)-VW4,"")</f>
        <v/>
      </c>
      <c r="WK4" s="40" t="str">
        <f t="shared" ref="WK4:WK18" si="254">IF(SUM(WD4,WJ4)&gt;0,SUM(WD4,WJ4),"")</f>
        <v/>
      </c>
      <c r="WL4" s="26">
        <f t="shared" ref="WL4:WL18" si="255">IF($CH4="P",BS4,(BS4+AR4)/2)</f>
        <v>0</v>
      </c>
      <c r="WM4" s="26">
        <f t="shared" ref="WM4:WM18" si="256">IF($CH4="P",BT4,(BT4+AS4)/2)</f>
        <v>0</v>
      </c>
      <c r="WN4" s="26">
        <f t="shared" ref="WN4:WN18" si="257">IF($CH4="P",BU4,(BU4+AT4)/2)</f>
        <v>0</v>
      </c>
      <c r="WO4" s="26">
        <f t="shared" ref="WO4:WO18" si="258">IF($CH4="P",BV4,(BV4+AU4)/2)</f>
        <v>0</v>
      </c>
      <c r="WP4" s="26">
        <f t="shared" ref="WP4:WP18" si="259">IF($CH4="P",BW4,(BW4+AV4)/2)</f>
        <v>0</v>
      </c>
      <c r="WQ4" s="26">
        <f t="shared" ref="WQ4:WQ18" si="260">IF($CH4="P",BX4,(BX4+AW4)/2)</f>
        <v>0</v>
      </c>
      <c r="WR4" s="26">
        <f t="shared" ref="WR4:WR18" si="261">IF($CH4="P",BY4,(BY4+AX4)/2)</f>
        <v>0</v>
      </c>
      <c r="WS4" s="26">
        <f t="shared" ref="WS4:WS18" si="262">IF($CH4="P",BZ4,(BZ4+AY4)/2)</f>
        <v>0</v>
      </c>
      <c r="WT4" s="26">
        <f t="shared" ref="WT4:WT18" si="263">IF($CH4="P",CA4,(CA4+AZ4)/2)</f>
        <v>0</v>
      </c>
      <c r="WU4" s="26">
        <f t="shared" ref="WU4:WU18" si="264">IF($CH4="P",CB4,(CB4+BA4)/2)</f>
        <v>0</v>
      </c>
      <c r="WV4" s="26">
        <f t="shared" ref="WV4:WV18" si="265">IF($CH4="P",CC4,(CC4+BB4)/2)</f>
        <v>0</v>
      </c>
      <c r="WW4" s="26">
        <f t="shared" ref="WW4:WW18" si="266">IF($CH4="P",CD4,(CD4+BC4)/2)</f>
        <v>0</v>
      </c>
      <c r="WX4" s="26">
        <f t="shared" ref="WX4:WX18" si="267">IF($CH4="P",CE4,(CE4+BD4)/2)</f>
        <v>0</v>
      </c>
      <c r="WY4" s="26">
        <f t="shared" ref="WY4:WY18" si="268">IF($CH4="P",CF4,(CF4+BE4)/2)</f>
        <v>0</v>
      </c>
      <c r="WZ4" s="26">
        <f t="shared" ref="WZ4:WZ18" si="269">IF($CH4="P",CG4,(CG4+BF4)/2)</f>
        <v>0</v>
      </c>
      <c r="XA4" s="28" t="s">
        <v>53</v>
      </c>
      <c r="XB4" s="11" t="str">
        <f t="shared" ref="XB4:XB18" si="270">IF(WN4&gt;0,WN4,"")</f>
        <v/>
      </c>
      <c r="XC4" s="11" t="str">
        <f t="shared" ref="XC4:XC18" si="271">IF(WO4&gt;0,WO4,"")</f>
        <v/>
      </c>
      <c r="XD4" s="11" t="str">
        <f t="shared" ref="XD4:XD18" si="272">IF(SUM(WL4:WO4)-WP4&gt;0,SUM(WL4:WO4)-WP4,"")</f>
        <v/>
      </c>
      <c r="XE4" s="11" t="str">
        <f t="shared" ref="XE4:XE18" si="273">IF(WS4&gt;0,WS4,"")</f>
        <v/>
      </c>
      <c r="XF4" s="11" t="str">
        <f t="shared" ref="XF4:XF18" si="274">IF(WT4&gt;0,WT4,"")</f>
        <v/>
      </c>
      <c r="XG4" s="11" t="str">
        <f t="shared" ref="XG4:XG18" si="275">IF(SUM(WQ4:WT4)-WU4&gt;0,SUM(WQ4:WT4)-WU4,"")</f>
        <v/>
      </c>
      <c r="XH4" s="11" t="str">
        <f t="shared" ref="XH4:XH18" si="276">IF(MAX(XD4,XG4)&gt;0,MAX(XD4,XG4),"")</f>
        <v/>
      </c>
      <c r="XI4" s="11" t="str">
        <f t="shared" ref="XI4:XI18" si="277">IF(WX4&gt;0,WX4,"")</f>
        <v/>
      </c>
      <c r="XJ4" s="11" t="str">
        <f t="shared" ref="XJ4:XJ18" si="278">IF(WY4&gt;0,WY4,"")</f>
        <v/>
      </c>
      <c r="XK4" s="11" t="str">
        <f t="shared" ref="XK4:XK18" si="279">IF(SUM(WV4:WY4)-WZ4&gt;0,SUM(WV4:WY4)-WZ4,"")</f>
        <v/>
      </c>
      <c r="XL4" s="11" t="str">
        <f t="shared" ref="XL4:XL18" si="280">IF(SUM(XH4,XK4)&gt;0,SUM(XH4,XK4),"")</f>
        <v/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189</v>
      </c>
      <c r="C5" s="4" t="s">
        <v>7</v>
      </c>
      <c r="D5" s="4" t="s">
        <v>190</v>
      </c>
      <c r="E5" s="9">
        <f t="shared" si="0"/>
        <v>94.52000000000001</v>
      </c>
      <c r="F5" s="3" t="str">
        <f t="shared" si="1"/>
        <v/>
      </c>
      <c r="G5" s="3" t="str">
        <f t="shared" si="2"/>
        <v>P</v>
      </c>
      <c r="H5" s="36" t="str">
        <f t="shared" si="3"/>
        <v>No DD</v>
      </c>
      <c r="I5" s="3" t="str">
        <f t="shared" si="4"/>
        <v/>
      </c>
      <c r="J5" s="8">
        <f>IF(COUNT(AI5,AL5,AP5,BJ5,BM5,BQ5,CK5,CN5,CR5)&gt;0,LARGE((AI5,AL5,AP5,BJ5,BM5,BQ5,CK5,CN5,CR5),1),0)</f>
        <v>47.7</v>
      </c>
      <c r="K5" s="8" t="str">
        <f t="shared" si="5"/>
        <v>2024 Nationals</v>
      </c>
      <c r="L5" s="8">
        <f>IF(COUNT(AI5,AL5,AP5,BJ5,BM5,BQ5,CK5,CN5,CR5)&gt;1,LARGE((AI5,AL5,AP5,BJ5,BM5,BQ5,CK5,CN5,CR5),2),0)</f>
        <v>46.82</v>
      </c>
      <c r="M5" s="8" t="str">
        <f t="shared" si="6"/>
        <v>2024 Nationals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2">
        <v>2.4500000000000002</v>
      </c>
      <c r="R5" s="22">
        <v>2.75</v>
      </c>
      <c r="S5" s="22">
        <v>3.8</v>
      </c>
      <c r="T5" s="22">
        <v>3.7</v>
      </c>
      <c r="U5" s="22">
        <v>0</v>
      </c>
      <c r="V5" s="22">
        <v>8.0500000000000007</v>
      </c>
      <c r="W5" s="22">
        <v>9.25</v>
      </c>
      <c r="X5" s="22">
        <v>11.2</v>
      </c>
      <c r="Y5" s="22">
        <v>18.32</v>
      </c>
      <c r="Z5" s="22">
        <v>0</v>
      </c>
      <c r="AA5" s="22">
        <v>8.1</v>
      </c>
      <c r="AB5" s="22">
        <v>9.4</v>
      </c>
      <c r="AC5" s="22">
        <v>11.2</v>
      </c>
      <c r="AD5" s="22">
        <v>19</v>
      </c>
      <c r="AE5" s="22">
        <v>0</v>
      </c>
      <c r="AF5" s="27"/>
      <c r="AG5" s="38">
        <f t="shared" si="10"/>
        <v>3.8</v>
      </c>
      <c r="AH5" s="38">
        <f t="shared" si="11"/>
        <v>3.7</v>
      </c>
      <c r="AI5" s="40">
        <f t="shared" si="12"/>
        <v>12.7</v>
      </c>
      <c r="AJ5" s="40">
        <f t="shared" si="13"/>
        <v>11.2</v>
      </c>
      <c r="AK5" s="40">
        <f t="shared" si="14"/>
        <v>18.32</v>
      </c>
      <c r="AL5" s="40">
        <f t="shared" si="15"/>
        <v>46.82</v>
      </c>
      <c r="AM5" s="40">
        <f t="shared" si="16"/>
        <v>46.82</v>
      </c>
      <c r="AN5" s="40">
        <f t="shared" si="17"/>
        <v>11.2</v>
      </c>
      <c r="AO5" s="40">
        <f t="shared" si="18"/>
        <v>19</v>
      </c>
      <c r="AP5" s="40">
        <f t="shared" si="19"/>
        <v>47.7</v>
      </c>
      <c r="AQ5" s="40">
        <f t="shared" si="20"/>
        <v>94.52000000000001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 t="shared" si="21"/>
        <v/>
      </c>
      <c r="BI5" s="39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 t="shared" si="32"/>
        <v/>
      </c>
      <c r="CJ5" s="38" t="str">
        <f t="shared" si="33"/>
        <v/>
      </c>
      <c r="CK5" s="40" t="str">
        <f t="shared" si="34"/>
        <v/>
      </c>
      <c r="CL5" s="40" t="str">
        <f t="shared" si="35"/>
        <v/>
      </c>
      <c r="CM5" s="40" t="str">
        <f t="shared" si="36"/>
        <v/>
      </c>
      <c r="CN5" s="40" t="str">
        <f t="shared" si="37"/>
        <v/>
      </c>
      <c r="CO5" s="40" t="str">
        <f t="shared" si="38"/>
        <v/>
      </c>
      <c r="CP5" s="40" t="str">
        <f t="shared" si="39"/>
        <v/>
      </c>
      <c r="CQ5" s="40" t="str">
        <f t="shared" si="40"/>
        <v/>
      </c>
      <c r="CR5" s="40" t="str">
        <f t="shared" si="41"/>
        <v/>
      </c>
      <c r="CS5" s="40" t="str">
        <f t="shared" si="42"/>
        <v/>
      </c>
      <c r="CT5" s="51" t="str">
        <f t="shared" si="43"/>
        <v/>
      </c>
      <c r="CU5" s="51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73"/>
        <v/>
      </c>
      <c r="GG5" s="40" t="str">
        <f t="shared" si="74"/>
        <v/>
      </c>
      <c r="GH5" s="40" t="str">
        <f t="shared" si="75"/>
        <v/>
      </c>
      <c r="GI5" s="40" t="str">
        <f t="shared" si="76"/>
        <v/>
      </c>
      <c r="GJ5" s="40" t="str">
        <f t="shared" si="77"/>
        <v/>
      </c>
      <c r="GK5" s="40" t="str">
        <f t="shared" si="78"/>
        <v/>
      </c>
      <c r="GL5" s="40" t="str">
        <f t="shared" si="79"/>
        <v/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 t="str">
        <f t="shared" si="83"/>
        <v/>
      </c>
      <c r="GQ5" s="40" t="str">
        <f t="shared" si="84"/>
        <v/>
      </c>
      <c r="GR5" s="40" t="str">
        <f t="shared" si="85"/>
        <v/>
      </c>
      <c r="GS5" s="40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101"/>
        <v/>
      </c>
      <c r="IW5" s="40" t="str">
        <f t="shared" si="102"/>
        <v/>
      </c>
      <c r="IX5" s="40" t="str">
        <f t="shared" si="103"/>
        <v/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 t="str">
        <f t="shared" si="107"/>
        <v/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 t="str">
        <f t="shared" si="111"/>
        <v/>
      </c>
      <c r="JG5" s="40" t="str">
        <f t="shared" si="112"/>
        <v/>
      </c>
      <c r="JH5" s="40" t="str">
        <f t="shared" si="113"/>
        <v/>
      </c>
      <c r="JI5" s="40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0</v>
      </c>
      <c r="WM5" s="26">
        <f t="shared" si="256"/>
        <v>0</v>
      </c>
      <c r="WN5" s="26">
        <f t="shared" si="257"/>
        <v>0</v>
      </c>
      <c r="WO5" s="26">
        <f t="shared" si="258"/>
        <v>0</v>
      </c>
      <c r="WP5" s="26">
        <f t="shared" si="259"/>
        <v>0</v>
      </c>
      <c r="WQ5" s="26">
        <f t="shared" si="260"/>
        <v>0</v>
      </c>
      <c r="WR5" s="26">
        <f t="shared" si="261"/>
        <v>0</v>
      </c>
      <c r="WS5" s="26">
        <f t="shared" si="262"/>
        <v>0</v>
      </c>
      <c r="WT5" s="26">
        <f t="shared" si="263"/>
        <v>0</v>
      </c>
      <c r="WU5" s="26">
        <f t="shared" si="264"/>
        <v>0</v>
      </c>
      <c r="WV5" s="26">
        <f t="shared" si="265"/>
        <v>0</v>
      </c>
      <c r="WW5" s="26">
        <f t="shared" si="266"/>
        <v>0</v>
      </c>
      <c r="WX5" s="26">
        <f t="shared" si="267"/>
        <v>0</v>
      </c>
      <c r="WY5" s="26">
        <f t="shared" si="268"/>
        <v>0</v>
      </c>
      <c r="WZ5" s="26">
        <f t="shared" si="269"/>
        <v>0</v>
      </c>
      <c r="XA5" s="28" t="s">
        <v>53</v>
      </c>
      <c r="XB5" s="11" t="str">
        <f t="shared" si="270"/>
        <v/>
      </c>
      <c r="XC5" s="11" t="str">
        <f t="shared" si="271"/>
        <v/>
      </c>
      <c r="XD5" s="11" t="str">
        <f t="shared" si="272"/>
        <v/>
      </c>
      <c r="XE5" s="11" t="str">
        <f t="shared" si="273"/>
        <v/>
      </c>
      <c r="XF5" s="11" t="str">
        <f t="shared" si="274"/>
        <v/>
      </c>
      <c r="XG5" s="11" t="str">
        <f t="shared" si="275"/>
        <v/>
      </c>
      <c r="XH5" s="11" t="str">
        <f t="shared" si="276"/>
        <v/>
      </c>
      <c r="XI5" s="11" t="str">
        <f t="shared" si="277"/>
        <v/>
      </c>
      <c r="XJ5" s="11" t="str">
        <f t="shared" si="278"/>
        <v/>
      </c>
      <c r="XK5" s="11" t="str">
        <f t="shared" si="279"/>
        <v/>
      </c>
      <c r="XL5" s="11" t="str">
        <f t="shared" si="280"/>
        <v/>
      </c>
    </row>
    <row r="6" spans="1:636" x14ac:dyDescent="0.2">
      <c r="A6" s="4" t="str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/>
      </c>
      <c r="B6" s="5" t="s">
        <v>170</v>
      </c>
      <c r="C6" s="4" t="s">
        <v>5</v>
      </c>
      <c r="D6" s="4" t="s">
        <v>169</v>
      </c>
      <c r="E6" s="9">
        <f t="shared" si="0"/>
        <v>89.96</v>
      </c>
      <c r="F6" s="3" t="str">
        <f t="shared" si="1"/>
        <v/>
      </c>
      <c r="G6" s="3" t="str">
        <f t="shared" si="2"/>
        <v/>
      </c>
      <c r="H6" s="36" t="str">
        <f t="shared" si="3"/>
        <v/>
      </c>
      <c r="I6" s="3" t="str">
        <f t="shared" si="4"/>
        <v/>
      </c>
      <c r="J6" s="8">
        <f>IF(COUNT(AI6,AL6,AP6,BJ6,BM6,BQ6,CK6,CN6,CR6)&gt;0,LARGE((AI6,AL6,AP6,BJ6,BM6,BQ6,CK6,CN6,CR6),1),0)</f>
        <v>45.8</v>
      </c>
      <c r="K6" s="8" t="str">
        <f t="shared" si="5"/>
        <v>2024 Nationals</v>
      </c>
      <c r="L6" s="8">
        <f>IF(COUNT(AI6,AL6,AP6,BJ6,BM6,BQ6,CK6,CN6,CR6)&gt;1,LARGE((AI6,AL6,AP6,BJ6,BM6,BQ6,CK6,CN6,CR6),2),0)</f>
        <v>44.16</v>
      </c>
      <c r="M6" s="8" t="str">
        <f t="shared" si="6"/>
        <v>2024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>
        <v>2.35</v>
      </c>
      <c r="R6" s="22">
        <v>2.95</v>
      </c>
      <c r="S6" s="22">
        <v>3.8</v>
      </c>
      <c r="T6" s="22">
        <v>4.92</v>
      </c>
      <c r="U6" s="22">
        <v>0</v>
      </c>
      <c r="V6" s="22">
        <v>6.85</v>
      </c>
      <c r="W6" s="22">
        <v>9.4499999999999993</v>
      </c>
      <c r="X6" s="22">
        <v>11.1</v>
      </c>
      <c r="Y6" s="22">
        <v>16.760000000000002</v>
      </c>
      <c r="Z6" s="22">
        <v>0</v>
      </c>
      <c r="AA6" s="22">
        <v>6.75</v>
      </c>
      <c r="AB6" s="22">
        <v>9.15</v>
      </c>
      <c r="AC6" s="22">
        <v>12.2</v>
      </c>
      <c r="AD6" s="22">
        <v>17.7</v>
      </c>
      <c r="AE6" s="22">
        <v>0</v>
      </c>
      <c r="AF6" s="27"/>
      <c r="AG6" s="38">
        <f t="shared" si="10"/>
        <v>3.8</v>
      </c>
      <c r="AH6" s="38">
        <f t="shared" si="11"/>
        <v>4.92</v>
      </c>
      <c r="AI6" s="40">
        <f t="shared" si="12"/>
        <v>14.020000000000001</v>
      </c>
      <c r="AJ6" s="40">
        <f t="shared" si="13"/>
        <v>11.1</v>
      </c>
      <c r="AK6" s="40">
        <f t="shared" si="14"/>
        <v>16.760000000000002</v>
      </c>
      <c r="AL6" s="40">
        <f t="shared" si="15"/>
        <v>44.16</v>
      </c>
      <c r="AM6" s="40">
        <f t="shared" si="16"/>
        <v>44.16</v>
      </c>
      <c r="AN6" s="40">
        <f t="shared" si="17"/>
        <v>12.2</v>
      </c>
      <c r="AO6" s="40">
        <f t="shared" si="18"/>
        <v>17.7</v>
      </c>
      <c r="AP6" s="40">
        <f t="shared" si="19"/>
        <v>45.8</v>
      </c>
      <c r="AQ6" s="40">
        <f t="shared" si="20"/>
        <v>89.96</v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 t="shared" si="21"/>
        <v/>
      </c>
      <c r="BI6" s="39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 t="shared" si="32"/>
        <v/>
      </c>
      <c r="CJ6" s="38" t="str">
        <f t="shared" si="33"/>
        <v/>
      </c>
      <c r="CK6" s="40" t="str">
        <f t="shared" si="34"/>
        <v/>
      </c>
      <c r="CL6" s="40" t="str">
        <f t="shared" si="35"/>
        <v/>
      </c>
      <c r="CM6" s="40" t="str">
        <f t="shared" si="36"/>
        <v/>
      </c>
      <c r="CN6" s="40" t="str">
        <f t="shared" si="37"/>
        <v/>
      </c>
      <c r="CO6" s="40" t="str">
        <f t="shared" si="38"/>
        <v/>
      </c>
      <c r="CP6" s="40" t="str">
        <f t="shared" si="39"/>
        <v/>
      </c>
      <c r="CQ6" s="40" t="str">
        <f t="shared" si="40"/>
        <v/>
      </c>
      <c r="CR6" s="40" t="str">
        <f t="shared" si="41"/>
        <v/>
      </c>
      <c r="CS6" s="40" t="str">
        <f t="shared" si="42"/>
        <v/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0</v>
      </c>
      <c r="WM6" s="26">
        <f t="shared" si="256"/>
        <v>0</v>
      </c>
      <c r="WN6" s="26">
        <f t="shared" si="257"/>
        <v>0</v>
      </c>
      <c r="WO6" s="26">
        <f t="shared" si="258"/>
        <v>0</v>
      </c>
      <c r="WP6" s="26">
        <f t="shared" si="259"/>
        <v>0</v>
      </c>
      <c r="WQ6" s="26">
        <f t="shared" si="260"/>
        <v>0</v>
      </c>
      <c r="WR6" s="26">
        <f t="shared" si="261"/>
        <v>0</v>
      </c>
      <c r="WS6" s="26">
        <f t="shared" si="262"/>
        <v>0</v>
      </c>
      <c r="WT6" s="26">
        <f t="shared" si="263"/>
        <v>0</v>
      </c>
      <c r="WU6" s="26">
        <f t="shared" si="264"/>
        <v>0</v>
      </c>
      <c r="WV6" s="26">
        <f t="shared" si="265"/>
        <v>0</v>
      </c>
      <c r="WW6" s="26">
        <f t="shared" si="266"/>
        <v>0</v>
      </c>
      <c r="WX6" s="26">
        <f t="shared" si="267"/>
        <v>0</v>
      </c>
      <c r="WY6" s="26">
        <f t="shared" si="268"/>
        <v>0</v>
      </c>
      <c r="WZ6" s="26">
        <f t="shared" si="269"/>
        <v>0</v>
      </c>
      <c r="XA6" s="28" t="s">
        <v>53</v>
      </c>
      <c r="XB6" s="11" t="str">
        <f t="shared" si="270"/>
        <v/>
      </c>
      <c r="XC6" s="11" t="str">
        <f t="shared" si="271"/>
        <v/>
      </c>
      <c r="XD6" s="11" t="str">
        <f t="shared" si="272"/>
        <v/>
      </c>
      <c r="XE6" s="11" t="str">
        <f t="shared" si="273"/>
        <v/>
      </c>
      <c r="XF6" s="11" t="str">
        <f t="shared" si="274"/>
        <v/>
      </c>
      <c r="XG6" s="11" t="str">
        <f t="shared" si="275"/>
        <v/>
      </c>
      <c r="XH6" s="11" t="str">
        <f t="shared" si="276"/>
        <v/>
      </c>
      <c r="XI6" s="11" t="str">
        <f t="shared" si="277"/>
        <v/>
      </c>
      <c r="XJ6" s="11" t="str">
        <f t="shared" si="278"/>
        <v/>
      </c>
      <c r="XK6" s="11" t="str">
        <f t="shared" si="279"/>
        <v/>
      </c>
      <c r="XL6" s="11" t="str">
        <f t="shared" si="280"/>
        <v/>
      </c>
    </row>
    <row r="7" spans="1:636" x14ac:dyDescent="0.2">
      <c r="A7" s="4" t="str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/>
      </c>
      <c r="B7" s="5" t="s">
        <v>221</v>
      </c>
      <c r="C7" s="4" t="s">
        <v>222</v>
      </c>
      <c r="D7" s="4" t="s">
        <v>223</v>
      </c>
      <c r="E7" s="9">
        <f t="shared" si="0"/>
        <v>85.31</v>
      </c>
      <c r="F7" s="3" t="str">
        <f t="shared" si="1"/>
        <v/>
      </c>
      <c r="G7" s="3" t="str">
        <f t="shared" si="2"/>
        <v/>
      </c>
      <c r="H7" s="36" t="str">
        <f t="shared" si="3"/>
        <v/>
      </c>
      <c r="I7" s="3" t="str">
        <f t="shared" si="4"/>
        <v/>
      </c>
      <c r="J7" s="8">
        <f>IF(COUNT(AI7,AL7,AP7,BJ7,BM7,BQ7,CK7,CN7,CR7)&gt;0,LARGE((AI7,AL7,AP7,BJ7,BM7,BQ7,CK7,CN7,CR7),1),0)</f>
        <v>45.08</v>
      </c>
      <c r="K7" s="8" t="str">
        <f t="shared" si="5"/>
        <v>2024 Nationals</v>
      </c>
      <c r="L7" s="8">
        <f>IF(COUNT(AI7,AL7,AP7,BJ7,BM7,BQ7,CK7,CN7,CR7)&gt;1,LARGE((AI7,AL7,AP7,BJ7,BM7,BQ7,CK7,CN7,CR7),2),0)</f>
        <v>40.230000000000004</v>
      </c>
      <c r="M7" s="8" t="str">
        <f t="shared" si="6"/>
        <v>2024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2">
        <v>7.45</v>
      </c>
      <c r="R7" s="22">
        <v>9.25</v>
      </c>
      <c r="S7" s="22">
        <v>12.6</v>
      </c>
      <c r="T7" s="22">
        <v>15.78</v>
      </c>
      <c r="U7" s="22">
        <v>0</v>
      </c>
      <c r="V7" s="22">
        <v>6.6</v>
      </c>
      <c r="W7" s="22">
        <v>8.15</v>
      </c>
      <c r="X7" s="22">
        <v>11</v>
      </c>
      <c r="Y7" s="22">
        <v>14.48</v>
      </c>
      <c r="Z7" s="22">
        <v>0</v>
      </c>
      <c r="AA7" s="22">
        <v>1.55</v>
      </c>
      <c r="AB7" s="22">
        <v>1.75</v>
      </c>
      <c r="AC7" s="22">
        <v>3.1</v>
      </c>
      <c r="AD7" s="22">
        <v>3.22</v>
      </c>
      <c r="AE7" s="22">
        <v>0</v>
      </c>
      <c r="AF7" s="27"/>
      <c r="AG7" s="38">
        <f t="shared" si="10"/>
        <v>12.6</v>
      </c>
      <c r="AH7" s="38">
        <f t="shared" si="11"/>
        <v>15.78</v>
      </c>
      <c r="AI7" s="40">
        <f t="shared" si="12"/>
        <v>45.08</v>
      </c>
      <c r="AJ7" s="40">
        <f t="shared" si="13"/>
        <v>11</v>
      </c>
      <c r="AK7" s="40">
        <f t="shared" si="14"/>
        <v>14.48</v>
      </c>
      <c r="AL7" s="40">
        <f t="shared" si="15"/>
        <v>40.230000000000004</v>
      </c>
      <c r="AM7" s="40">
        <f t="shared" si="16"/>
        <v>45.08</v>
      </c>
      <c r="AN7" s="40">
        <f t="shared" si="17"/>
        <v>3.1</v>
      </c>
      <c r="AO7" s="40">
        <f t="shared" si="18"/>
        <v>3.22</v>
      </c>
      <c r="AP7" s="40">
        <f t="shared" si="19"/>
        <v>9.620000000000001</v>
      </c>
      <c r="AQ7" s="40">
        <f t="shared" si="20"/>
        <v>54.7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21"/>
        <v/>
      </c>
      <c r="BI7" s="39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32"/>
        <v/>
      </c>
      <c r="CJ7" s="38" t="str">
        <f t="shared" si="33"/>
        <v/>
      </c>
      <c r="CK7" s="40" t="str">
        <f t="shared" si="34"/>
        <v/>
      </c>
      <c r="CL7" s="40" t="str">
        <f t="shared" si="35"/>
        <v/>
      </c>
      <c r="CM7" s="40" t="str">
        <f t="shared" si="36"/>
        <v/>
      </c>
      <c r="CN7" s="40" t="str">
        <f t="shared" si="37"/>
        <v/>
      </c>
      <c r="CO7" s="40" t="str">
        <f t="shared" si="38"/>
        <v/>
      </c>
      <c r="CP7" s="40" t="str">
        <f t="shared" si="39"/>
        <v/>
      </c>
      <c r="CQ7" s="40" t="str">
        <f t="shared" si="40"/>
        <v/>
      </c>
      <c r="CR7" s="40" t="str">
        <f t="shared" si="41"/>
        <v/>
      </c>
      <c r="CS7" s="40" t="str">
        <f t="shared" si="42"/>
        <v/>
      </c>
      <c r="CT7" s="51" t="str">
        <f t="shared" si="43"/>
        <v/>
      </c>
      <c r="CU7" s="51" t="str">
        <f t="shared" si="44"/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45"/>
        <v/>
      </c>
      <c r="DQ7" s="40" t="str">
        <f t="shared" si="46"/>
        <v/>
      </c>
      <c r="DR7" s="40" t="str">
        <f t="shared" si="47"/>
        <v/>
      </c>
      <c r="DS7" s="40" t="str">
        <f t="shared" si="48"/>
        <v/>
      </c>
      <c r="DT7" s="40" t="str">
        <f t="shared" si="49"/>
        <v/>
      </c>
      <c r="DU7" s="40" t="str">
        <f t="shared" si="50"/>
        <v/>
      </c>
      <c r="DV7" s="40" t="str">
        <f t="shared" si="51"/>
        <v/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 t="str">
        <f t="shared" si="55"/>
        <v/>
      </c>
      <c r="EA7" s="40" t="str">
        <f t="shared" si="56"/>
        <v/>
      </c>
      <c r="EB7" s="40" t="str">
        <f t="shared" si="57"/>
        <v/>
      </c>
      <c r="EC7" s="40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0</v>
      </c>
      <c r="WM7" s="26">
        <f t="shared" si="256"/>
        <v>0</v>
      </c>
      <c r="WN7" s="26">
        <f t="shared" si="257"/>
        <v>0</v>
      </c>
      <c r="WO7" s="26">
        <f t="shared" si="258"/>
        <v>0</v>
      </c>
      <c r="WP7" s="26">
        <f t="shared" si="259"/>
        <v>0</v>
      </c>
      <c r="WQ7" s="26">
        <f t="shared" si="260"/>
        <v>0</v>
      </c>
      <c r="WR7" s="26">
        <f t="shared" si="261"/>
        <v>0</v>
      </c>
      <c r="WS7" s="26">
        <f t="shared" si="262"/>
        <v>0</v>
      </c>
      <c r="WT7" s="26">
        <f t="shared" si="263"/>
        <v>0</v>
      </c>
      <c r="WU7" s="26">
        <f t="shared" si="264"/>
        <v>0</v>
      </c>
      <c r="WV7" s="26">
        <f t="shared" si="265"/>
        <v>0</v>
      </c>
      <c r="WW7" s="26">
        <f t="shared" si="266"/>
        <v>0</v>
      </c>
      <c r="WX7" s="26">
        <f t="shared" si="267"/>
        <v>0</v>
      </c>
      <c r="WY7" s="26">
        <f t="shared" si="268"/>
        <v>0</v>
      </c>
      <c r="WZ7" s="26">
        <f t="shared" si="269"/>
        <v>0</v>
      </c>
      <c r="XA7" s="28" t="s">
        <v>53</v>
      </c>
      <c r="XB7" s="11" t="str">
        <f t="shared" si="270"/>
        <v/>
      </c>
      <c r="XC7" s="11" t="str">
        <f t="shared" si="271"/>
        <v/>
      </c>
      <c r="XD7" s="11" t="str">
        <f t="shared" si="272"/>
        <v/>
      </c>
      <c r="XE7" s="11" t="str">
        <f t="shared" si="273"/>
        <v/>
      </c>
      <c r="XF7" s="11" t="str">
        <f t="shared" si="274"/>
        <v/>
      </c>
      <c r="XG7" s="11" t="str">
        <f t="shared" si="275"/>
        <v/>
      </c>
      <c r="XH7" s="11" t="str">
        <f t="shared" si="276"/>
        <v/>
      </c>
      <c r="XI7" s="11" t="str">
        <f t="shared" si="277"/>
        <v/>
      </c>
      <c r="XJ7" s="11" t="str">
        <f t="shared" si="278"/>
        <v/>
      </c>
      <c r="XK7" s="11" t="str">
        <f t="shared" si="279"/>
        <v/>
      </c>
      <c r="XL7" s="11" t="str">
        <f t="shared" si="280"/>
        <v/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192</v>
      </c>
      <c r="C8" s="4" t="s">
        <v>5</v>
      </c>
      <c r="D8" s="4" t="s">
        <v>191</v>
      </c>
      <c r="E8" s="9">
        <f t="shared" si="0"/>
        <v>69.989999999999995</v>
      </c>
      <c r="F8" s="3" t="str">
        <f t="shared" si="1"/>
        <v/>
      </c>
      <c r="G8" s="3" t="str">
        <f t="shared" si="2"/>
        <v/>
      </c>
      <c r="H8" s="36" t="str">
        <f t="shared" si="3"/>
        <v/>
      </c>
      <c r="I8" s="3" t="str">
        <f t="shared" si="4"/>
        <v/>
      </c>
      <c r="J8" s="8">
        <f>IF(COUNT(AI8,AL8,AP8,BJ8,BM8,BQ8,CK8,CN8,CR8)&gt;0,LARGE((AI8,AL8,AP8,BJ8,BM8,BQ8,CK8,CN8,CR8),1),0)</f>
        <v>37.769999999999996</v>
      </c>
      <c r="K8" s="8" t="str">
        <f t="shared" si="5"/>
        <v>2024 Nationals</v>
      </c>
      <c r="L8" s="8">
        <f>IF(COUNT(AI8,AL8,AP8,BJ8,BM8,BQ8,CK8,CN8,CR8)&gt;1,LARGE((AI8,AL8,AP8,BJ8,BM8,BQ8,CK8,CN8,CR8),2),0)</f>
        <v>32.22</v>
      </c>
      <c r="M8" s="8" t="str">
        <f t="shared" si="6"/>
        <v>2024 Nationals</v>
      </c>
      <c r="N8" s="8" t="str">
        <f t="shared" si="7"/>
        <v/>
      </c>
      <c r="O8" s="11" t="str">
        <f t="shared" si="8"/>
        <v/>
      </c>
      <c r="P8" s="8" t="str">
        <f t="shared" si="9"/>
        <v/>
      </c>
      <c r="Q8" s="22">
        <v>2.2000000000000002</v>
      </c>
      <c r="R8" s="22">
        <v>2.65</v>
      </c>
      <c r="S8" s="22">
        <v>4</v>
      </c>
      <c r="T8" s="22">
        <v>2.42</v>
      </c>
      <c r="U8" s="22">
        <v>0</v>
      </c>
      <c r="V8" s="22">
        <v>6.5</v>
      </c>
      <c r="W8" s="22">
        <v>8.5500000000000007</v>
      </c>
      <c r="X8" s="22">
        <v>10.199999999999999</v>
      </c>
      <c r="Y8" s="22">
        <v>12.52</v>
      </c>
      <c r="Z8" s="22">
        <v>0</v>
      </c>
      <c r="AA8" s="22">
        <v>6.3</v>
      </c>
      <c r="AB8" s="22">
        <v>8.4</v>
      </c>
      <c r="AC8" s="22">
        <v>10.199999999999999</v>
      </c>
      <c r="AD8" s="22">
        <v>7.32</v>
      </c>
      <c r="AE8" s="22">
        <v>0</v>
      </c>
      <c r="AF8" s="27"/>
      <c r="AG8" s="38">
        <f t="shared" si="10"/>
        <v>4</v>
      </c>
      <c r="AH8" s="38">
        <f t="shared" si="11"/>
        <v>2.42</v>
      </c>
      <c r="AI8" s="40">
        <f t="shared" si="12"/>
        <v>11.27</v>
      </c>
      <c r="AJ8" s="40">
        <f t="shared" si="13"/>
        <v>10.199999999999999</v>
      </c>
      <c r="AK8" s="40">
        <f t="shared" si="14"/>
        <v>12.52</v>
      </c>
      <c r="AL8" s="40">
        <f t="shared" si="15"/>
        <v>37.769999999999996</v>
      </c>
      <c r="AM8" s="40">
        <f t="shared" si="16"/>
        <v>37.769999999999996</v>
      </c>
      <c r="AN8" s="40">
        <f t="shared" si="17"/>
        <v>10.199999999999999</v>
      </c>
      <c r="AO8" s="40">
        <f t="shared" si="18"/>
        <v>7.32</v>
      </c>
      <c r="AP8" s="40">
        <f t="shared" si="19"/>
        <v>32.22</v>
      </c>
      <c r="AQ8" s="40">
        <f t="shared" si="20"/>
        <v>69.989999999999995</v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21"/>
        <v/>
      </c>
      <c r="BI8" s="39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32"/>
        <v/>
      </c>
      <c r="CJ8" s="38" t="str">
        <f t="shared" si="33"/>
        <v/>
      </c>
      <c r="CK8" s="40" t="str">
        <f t="shared" si="34"/>
        <v/>
      </c>
      <c r="CL8" s="40" t="str">
        <f t="shared" si="35"/>
        <v/>
      </c>
      <c r="CM8" s="40" t="str">
        <f t="shared" si="36"/>
        <v/>
      </c>
      <c r="CN8" s="40" t="str">
        <f t="shared" si="37"/>
        <v/>
      </c>
      <c r="CO8" s="40" t="str">
        <f t="shared" si="38"/>
        <v/>
      </c>
      <c r="CP8" s="40" t="str">
        <f t="shared" si="39"/>
        <v/>
      </c>
      <c r="CQ8" s="40" t="str">
        <f t="shared" si="40"/>
        <v/>
      </c>
      <c r="CR8" s="40" t="str">
        <f t="shared" si="41"/>
        <v/>
      </c>
      <c r="CS8" s="40" t="str">
        <f t="shared" si="42"/>
        <v/>
      </c>
      <c r="CT8" s="51" t="str">
        <f t="shared" si="43"/>
        <v/>
      </c>
      <c r="CU8" s="51" t="str">
        <f t="shared" si="44"/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101"/>
        <v/>
      </c>
      <c r="IW8" s="40" t="str">
        <f t="shared" si="102"/>
        <v/>
      </c>
      <c r="IX8" s="40" t="str">
        <f t="shared" si="103"/>
        <v/>
      </c>
      <c r="IY8" s="40" t="str">
        <f t="shared" si="104"/>
        <v/>
      </c>
      <c r="IZ8" s="40" t="str">
        <f t="shared" si="105"/>
        <v/>
      </c>
      <c r="JA8" s="40" t="str">
        <f t="shared" si="106"/>
        <v/>
      </c>
      <c r="JB8" s="40" t="str">
        <f t="shared" si="107"/>
        <v/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 t="str">
        <f t="shared" si="111"/>
        <v/>
      </c>
      <c r="JG8" s="40" t="str">
        <f t="shared" si="112"/>
        <v/>
      </c>
      <c r="JH8" s="40" t="str">
        <f t="shared" si="113"/>
        <v/>
      </c>
      <c r="JI8" s="40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129"/>
        <v/>
      </c>
      <c r="LM8" s="40" t="str">
        <f t="shared" si="130"/>
        <v/>
      </c>
      <c r="LN8" s="40" t="str">
        <f t="shared" si="131"/>
        <v/>
      </c>
      <c r="LO8" s="40" t="str">
        <f t="shared" si="132"/>
        <v/>
      </c>
      <c r="LP8" s="40" t="str">
        <f t="shared" si="133"/>
        <v/>
      </c>
      <c r="LQ8" s="40" t="str">
        <f t="shared" si="134"/>
        <v/>
      </c>
      <c r="LR8" s="40" t="str">
        <f t="shared" si="135"/>
        <v/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0</v>
      </c>
      <c r="WM8" s="26">
        <f t="shared" si="256"/>
        <v>0</v>
      </c>
      <c r="WN8" s="26">
        <f t="shared" si="257"/>
        <v>0</v>
      </c>
      <c r="WO8" s="26">
        <f t="shared" si="258"/>
        <v>0</v>
      </c>
      <c r="WP8" s="26">
        <f t="shared" si="259"/>
        <v>0</v>
      </c>
      <c r="WQ8" s="26">
        <f t="shared" si="260"/>
        <v>0</v>
      </c>
      <c r="WR8" s="26">
        <f t="shared" si="261"/>
        <v>0</v>
      </c>
      <c r="WS8" s="26">
        <f t="shared" si="262"/>
        <v>0</v>
      </c>
      <c r="WT8" s="26">
        <f t="shared" si="263"/>
        <v>0</v>
      </c>
      <c r="WU8" s="26">
        <f t="shared" si="264"/>
        <v>0</v>
      </c>
      <c r="WV8" s="26">
        <f t="shared" si="265"/>
        <v>0</v>
      </c>
      <c r="WW8" s="26">
        <f t="shared" si="266"/>
        <v>0</v>
      </c>
      <c r="WX8" s="26">
        <f t="shared" si="267"/>
        <v>0</v>
      </c>
      <c r="WY8" s="26">
        <f t="shared" si="268"/>
        <v>0</v>
      </c>
      <c r="WZ8" s="26">
        <f t="shared" si="269"/>
        <v>0</v>
      </c>
      <c r="XA8" s="28" t="s">
        <v>53</v>
      </c>
      <c r="XB8" s="11" t="str">
        <f t="shared" si="270"/>
        <v/>
      </c>
      <c r="XC8" s="11" t="str">
        <f t="shared" si="271"/>
        <v/>
      </c>
      <c r="XD8" s="11" t="str">
        <f t="shared" si="272"/>
        <v/>
      </c>
      <c r="XE8" s="11" t="str">
        <f t="shared" si="273"/>
        <v/>
      </c>
      <c r="XF8" s="11" t="str">
        <f t="shared" si="274"/>
        <v/>
      </c>
      <c r="XG8" s="11" t="str">
        <f t="shared" si="275"/>
        <v/>
      </c>
      <c r="XH8" s="11" t="str">
        <f t="shared" si="276"/>
        <v/>
      </c>
      <c r="XI8" s="11" t="str">
        <f t="shared" si="277"/>
        <v/>
      </c>
      <c r="XJ8" s="11" t="str">
        <f t="shared" si="278"/>
        <v/>
      </c>
      <c r="XK8" s="11" t="str">
        <f t="shared" si="279"/>
        <v/>
      </c>
      <c r="XL8" s="11" t="str">
        <f t="shared" si="280"/>
        <v/>
      </c>
    </row>
    <row r="9" spans="1:63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3</v>
      </c>
      <c r="B9" s="5" t="s">
        <v>179</v>
      </c>
      <c r="C9" s="4" t="s">
        <v>7</v>
      </c>
      <c r="D9" s="4" t="s">
        <v>178</v>
      </c>
      <c r="E9" s="9">
        <f t="shared" si="0"/>
        <v>49.5</v>
      </c>
      <c r="F9" s="3" t="str">
        <f t="shared" si="1"/>
        <v/>
      </c>
      <c r="G9" s="3" t="str">
        <f t="shared" si="2"/>
        <v>P</v>
      </c>
      <c r="H9" s="36" t="str">
        <f t="shared" si="3"/>
        <v>No DD</v>
      </c>
      <c r="I9" s="3" t="str">
        <f t="shared" si="4"/>
        <v/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49.5</v>
      </c>
      <c r="O9" s="11" t="str">
        <f t="shared" si="8"/>
        <v>(Final)</v>
      </c>
      <c r="P9" s="8" t="str">
        <f t="shared" si="9"/>
        <v>2024 World Cup POR (July 7)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 t="shared" si="21"/>
        <v/>
      </c>
      <c r="BI9" s="39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32"/>
        <v/>
      </c>
      <c r="CJ9" s="38" t="str">
        <f t="shared" si="33"/>
        <v/>
      </c>
      <c r="CK9" s="40" t="str">
        <f t="shared" si="34"/>
        <v/>
      </c>
      <c r="CL9" s="40" t="str">
        <f t="shared" si="35"/>
        <v/>
      </c>
      <c r="CM9" s="40" t="str">
        <f t="shared" si="36"/>
        <v/>
      </c>
      <c r="CN9" s="40" t="str">
        <f t="shared" si="37"/>
        <v/>
      </c>
      <c r="CO9" s="40" t="str">
        <f t="shared" si="38"/>
        <v/>
      </c>
      <c r="CP9" s="40" t="str">
        <f t="shared" si="39"/>
        <v/>
      </c>
      <c r="CQ9" s="40" t="str">
        <f t="shared" si="40"/>
        <v/>
      </c>
      <c r="CR9" s="40" t="str">
        <f t="shared" si="41"/>
        <v/>
      </c>
      <c r="CS9" s="40" t="str">
        <f t="shared" si="42"/>
        <v/>
      </c>
      <c r="CT9" s="51">
        <f t="shared" si="43"/>
        <v>48.74</v>
      </c>
      <c r="CU9" s="51">
        <f t="shared" si="44"/>
        <v>49.5</v>
      </c>
      <c r="CV9" s="17">
        <v>7.75</v>
      </c>
      <c r="CW9" s="17">
        <v>9.1999999999999993</v>
      </c>
      <c r="CX9" s="17">
        <v>12.2</v>
      </c>
      <c r="CY9" s="17">
        <v>16.420000000000002</v>
      </c>
      <c r="CZ9" s="17">
        <v>0</v>
      </c>
      <c r="DA9" s="17">
        <v>2.2999999999999998</v>
      </c>
      <c r="DB9" s="17">
        <v>2.65</v>
      </c>
      <c r="DC9" s="17">
        <v>4.4000000000000004</v>
      </c>
      <c r="DD9" s="17">
        <v>4.7</v>
      </c>
      <c r="DE9" s="17">
        <v>0</v>
      </c>
      <c r="DF9" s="17"/>
      <c r="DG9" s="17"/>
      <c r="DH9" s="17"/>
      <c r="DI9" s="17"/>
      <c r="DJ9" s="17"/>
      <c r="DK9" s="17">
        <v>7.75</v>
      </c>
      <c r="DL9" s="17">
        <v>9.1999999999999993</v>
      </c>
      <c r="DM9" s="17">
        <v>12.2</v>
      </c>
      <c r="DN9" s="17">
        <v>17.64</v>
      </c>
      <c r="DO9" s="17">
        <v>0</v>
      </c>
      <c r="DP9" s="40">
        <f t="shared" si="45"/>
        <v>12.2</v>
      </c>
      <c r="DQ9" s="40">
        <f t="shared" si="46"/>
        <v>16.420000000000002</v>
      </c>
      <c r="DR9" s="40">
        <f t="shared" si="47"/>
        <v>45.57</v>
      </c>
      <c r="DS9" s="40">
        <f t="shared" si="48"/>
        <v>4.4000000000000004</v>
      </c>
      <c r="DT9" s="40">
        <f t="shared" si="49"/>
        <v>4.7</v>
      </c>
      <c r="DU9" s="40">
        <f t="shared" si="50"/>
        <v>14.05</v>
      </c>
      <c r="DV9" s="40">
        <f t="shared" si="51"/>
        <v>45.57</v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>
        <f t="shared" si="55"/>
        <v>12.2</v>
      </c>
      <c r="EA9" s="40">
        <f t="shared" si="56"/>
        <v>17.64</v>
      </c>
      <c r="EB9" s="40">
        <f t="shared" si="57"/>
        <v>46.79</v>
      </c>
      <c r="EC9" s="40">
        <f t="shared" si="58"/>
        <v>92.36</v>
      </c>
      <c r="ED9" s="18">
        <v>7.8</v>
      </c>
      <c r="EE9" s="18">
        <v>12.2</v>
      </c>
      <c r="EF9" s="18">
        <v>9.1</v>
      </c>
      <c r="EG9" s="18">
        <v>18.46</v>
      </c>
      <c r="EH9" s="18">
        <v>0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>
        <v>7.9</v>
      </c>
      <c r="ET9" s="18">
        <v>9.5</v>
      </c>
      <c r="EU9" s="18">
        <v>12.2</v>
      </c>
      <c r="EV9" s="18">
        <v>17.8</v>
      </c>
      <c r="EW9" s="18">
        <v>0</v>
      </c>
      <c r="EX9" s="11">
        <f t="shared" si="59"/>
        <v>9.1</v>
      </c>
      <c r="EY9" s="11">
        <f t="shared" si="60"/>
        <v>18.46</v>
      </c>
      <c r="EZ9" s="11">
        <f t="shared" si="61"/>
        <v>47.56</v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>
        <f t="shared" si="65"/>
        <v>47.56</v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>
        <f t="shared" si="69"/>
        <v>12.2</v>
      </c>
      <c r="FI9" s="11">
        <f t="shared" si="70"/>
        <v>17.8</v>
      </c>
      <c r="FJ9" s="11">
        <f t="shared" si="71"/>
        <v>47.4</v>
      </c>
      <c r="FK9" s="11">
        <f t="shared" si="72"/>
        <v>94.960000000000008</v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 t="shared" si="73"/>
        <v/>
      </c>
      <c r="GG9" s="40" t="str">
        <f t="shared" si="74"/>
        <v/>
      </c>
      <c r="GH9" s="40" t="str">
        <f t="shared" si="75"/>
        <v/>
      </c>
      <c r="GI9" s="40" t="str">
        <f t="shared" si="76"/>
        <v/>
      </c>
      <c r="GJ9" s="40" t="str">
        <f t="shared" si="77"/>
        <v/>
      </c>
      <c r="GK9" s="40" t="str">
        <f t="shared" si="78"/>
        <v/>
      </c>
      <c r="GL9" s="40" t="str">
        <f t="shared" si="79"/>
        <v/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 t="str">
        <f t="shared" si="83"/>
        <v/>
      </c>
      <c r="GQ9" s="40" t="str">
        <f t="shared" si="84"/>
        <v/>
      </c>
      <c r="GR9" s="40" t="str">
        <f t="shared" si="85"/>
        <v/>
      </c>
      <c r="GS9" s="40" t="str">
        <f t="shared" si="86"/>
        <v/>
      </c>
      <c r="GT9" s="18">
        <v>7.6</v>
      </c>
      <c r="GU9" s="18">
        <v>9.5</v>
      </c>
      <c r="GV9" s="18">
        <v>13.8</v>
      </c>
      <c r="GW9" s="18">
        <v>17.84</v>
      </c>
      <c r="GX9" s="18">
        <v>0</v>
      </c>
      <c r="GY9" s="18">
        <v>7.6</v>
      </c>
      <c r="GZ9" s="18">
        <v>8.85</v>
      </c>
      <c r="HA9" s="18">
        <v>13.8</v>
      </c>
      <c r="HB9" s="18">
        <v>18.3</v>
      </c>
      <c r="HC9" s="18">
        <v>0</v>
      </c>
      <c r="HD9" s="18"/>
      <c r="HE9" s="18"/>
      <c r="HF9" s="18"/>
      <c r="HG9" s="18"/>
      <c r="HH9" s="18"/>
      <c r="HI9" s="18">
        <v>7.75</v>
      </c>
      <c r="HJ9" s="18">
        <v>9.15</v>
      </c>
      <c r="HK9" s="18">
        <v>13.8</v>
      </c>
      <c r="HL9" s="18">
        <v>18.8</v>
      </c>
      <c r="HM9" s="18">
        <v>0</v>
      </c>
      <c r="HN9" s="11">
        <f t="shared" si="87"/>
        <v>13.8</v>
      </c>
      <c r="HO9" s="11">
        <f t="shared" si="88"/>
        <v>17.84</v>
      </c>
      <c r="HP9" s="11">
        <f t="shared" si="89"/>
        <v>48.74</v>
      </c>
      <c r="HQ9" s="11">
        <f t="shared" si="90"/>
        <v>13.8</v>
      </c>
      <c r="HR9" s="11">
        <f t="shared" si="91"/>
        <v>18.3</v>
      </c>
      <c r="HS9" s="11">
        <f t="shared" si="92"/>
        <v>48.55</v>
      </c>
      <c r="HT9" s="11">
        <f t="shared" si="93"/>
        <v>48.74</v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>
        <f t="shared" si="97"/>
        <v>13.8</v>
      </c>
      <c r="HY9" s="11">
        <f t="shared" si="98"/>
        <v>18.8</v>
      </c>
      <c r="HZ9" s="11">
        <f t="shared" si="99"/>
        <v>49.5</v>
      </c>
      <c r="IA9" s="11">
        <f t="shared" si="100"/>
        <v>98.240000000000009</v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0</v>
      </c>
      <c r="WM9" s="26">
        <f t="shared" si="256"/>
        <v>0</v>
      </c>
      <c r="WN9" s="26">
        <f t="shared" si="257"/>
        <v>0</v>
      </c>
      <c r="WO9" s="26">
        <f t="shared" si="258"/>
        <v>0</v>
      </c>
      <c r="WP9" s="26">
        <f t="shared" si="259"/>
        <v>0</v>
      </c>
      <c r="WQ9" s="26">
        <f t="shared" si="260"/>
        <v>0</v>
      </c>
      <c r="WR9" s="26">
        <f t="shared" si="261"/>
        <v>0</v>
      </c>
      <c r="WS9" s="26">
        <f t="shared" si="262"/>
        <v>0</v>
      </c>
      <c r="WT9" s="26">
        <f t="shared" si="263"/>
        <v>0</v>
      </c>
      <c r="WU9" s="26">
        <f t="shared" si="264"/>
        <v>0</v>
      </c>
      <c r="WV9" s="26">
        <f t="shared" si="265"/>
        <v>0</v>
      </c>
      <c r="WW9" s="26">
        <f t="shared" si="266"/>
        <v>0</v>
      </c>
      <c r="WX9" s="26">
        <f t="shared" si="267"/>
        <v>0</v>
      </c>
      <c r="WY9" s="26">
        <f t="shared" si="268"/>
        <v>0</v>
      </c>
      <c r="WZ9" s="26">
        <f t="shared" si="269"/>
        <v>0</v>
      </c>
      <c r="XA9" s="28" t="s">
        <v>53</v>
      </c>
      <c r="XB9" s="11" t="str">
        <f t="shared" si="270"/>
        <v/>
      </c>
      <c r="XC9" s="11" t="str">
        <f t="shared" si="271"/>
        <v/>
      </c>
      <c r="XD9" s="11" t="str">
        <f t="shared" si="272"/>
        <v/>
      </c>
      <c r="XE9" s="11" t="str">
        <f t="shared" si="273"/>
        <v/>
      </c>
      <c r="XF9" s="11" t="str">
        <f t="shared" si="274"/>
        <v/>
      </c>
      <c r="XG9" s="11" t="str">
        <f t="shared" si="275"/>
        <v/>
      </c>
      <c r="XH9" s="11" t="str">
        <f t="shared" si="276"/>
        <v/>
      </c>
      <c r="XI9" s="11" t="str">
        <f t="shared" si="277"/>
        <v/>
      </c>
      <c r="XJ9" s="11" t="str">
        <f t="shared" si="278"/>
        <v/>
      </c>
      <c r="XK9" s="11" t="str">
        <f t="shared" si="279"/>
        <v/>
      </c>
      <c r="XL9" s="11" t="str">
        <f t="shared" si="280"/>
        <v/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216</v>
      </c>
      <c r="C10" s="4" t="s">
        <v>215</v>
      </c>
      <c r="D10" s="4" t="s">
        <v>191</v>
      </c>
      <c r="E10" s="9">
        <f t="shared" si="0"/>
        <v>39.33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39.33</v>
      </c>
      <c r="O10" s="11" t="str">
        <f t="shared" si="8"/>
        <v>(Prelim)</v>
      </c>
      <c r="P10" s="8" t="str">
        <f t="shared" si="9"/>
        <v>2024 Pan Am Club Championships (May 19)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 t="shared" si="10"/>
        <v/>
      </c>
      <c r="AH10" s="38" t="str">
        <f t="shared" si="11"/>
        <v/>
      </c>
      <c r="AI10" s="40" t="str">
        <f t="shared" si="12"/>
        <v/>
      </c>
      <c r="AJ10" s="40" t="str">
        <f t="shared" si="13"/>
        <v/>
      </c>
      <c r="AK10" s="40" t="str">
        <f t="shared" si="14"/>
        <v/>
      </c>
      <c r="AL10" s="40" t="str">
        <f t="shared" si="15"/>
        <v/>
      </c>
      <c r="AM10" s="40" t="str">
        <f t="shared" si="16"/>
        <v/>
      </c>
      <c r="AN10" s="40" t="str">
        <f t="shared" si="17"/>
        <v/>
      </c>
      <c r="AO10" s="40" t="str">
        <f t="shared" si="18"/>
        <v/>
      </c>
      <c r="AP10" s="40" t="str">
        <f t="shared" si="19"/>
        <v/>
      </c>
      <c r="AQ10" s="40" t="str">
        <f t="shared" si="20"/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 t="shared" si="21"/>
        <v/>
      </c>
      <c r="BI10" s="39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 t="shared" si="32"/>
        <v/>
      </c>
      <c r="CJ10" s="38" t="str">
        <f t="shared" si="33"/>
        <v/>
      </c>
      <c r="CK10" s="40" t="str">
        <f t="shared" si="34"/>
        <v/>
      </c>
      <c r="CL10" s="40" t="str">
        <f t="shared" si="35"/>
        <v/>
      </c>
      <c r="CM10" s="40" t="str">
        <f t="shared" si="36"/>
        <v/>
      </c>
      <c r="CN10" s="40" t="str">
        <f t="shared" si="37"/>
        <v/>
      </c>
      <c r="CO10" s="40" t="str">
        <f t="shared" si="38"/>
        <v/>
      </c>
      <c r="CP10" s="40" t="str">
        <f t="shared" si="39"/>
        <v/>
      </c>
      <c r="CQ10" s="40" t="str">
        <f t="shared" si="40"/>
        <v/>
      </c>
      <c r="CR10" s="40" t="str">
        <f t="shared" si="41"/>
        <v/>
      </c>
      <c r="CS10" s="40" t="str">
        <f t="shared" si="42"/>
        <v/>
      </c>
      <c r="CT10" s="51">
        <f t="shared" si="43"/>
        <v>39.33</v>
      </c>
      <c r="CU10" s="51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45"/>
        <v/>
      </c>
      <c r="DQ10" s="40" t="str">
        <f t="shared" si="46"/>
        <v/>
      </c>
      <c r="DR10" s="40" t="str">
        <f t="shared" si="47"/>
        <v/>
      </c>
      <c r="DS10" s="40" t="str">
        <f t="shared" si="48"/>
        <v/>
      </c>
      <c r="DT10" s="40" t="str">
        <f t="shared" si="49"/>
        <v/>
      </c>
      <c r="DU10" s="40" t="str">
        <f t="shared" si="50"/>
        <v/>
      </c>
      <c r="DV10" s="40" t="str">
        <f t="shared" si="51"/>
        <v/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 t="str">
        <f t="shared" si="58"/>
        <v/>
      </c>
      <c r="ED10" s="18">
        <v>7.35</v>
      </c>
      <c r="EE10" s="18">
        <v>9.1</v>
      </c>
      <c r="EF10" s="18">
        <v>10.7</v>
      </c>
      <c r="EG10" s="18">
        <v>12.18</v>
      </c>
      <c r="EH10" s="18">
        <v>0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>
        <f t="shared" si="59"/>
        <v>10.7</v>
      </c>
      <c r="EY10" s="11">
        <f t="shared" si="60"/>
        <v>12.18</v>
      </c>
      <c r="EZ10" s="11">
        <f t="shared" si="61"/>
        <v>39.33</v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>
        <f t="shared" si="65"/>
        <v>39.33</v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>
        <f t="shared" si="72"/>
        <v>39.33</v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0</v>
      </c>
      <c r="WM10" s="26">
        <f t="shared" si="256"/>
        <v>0</v>
      </c>
      <c r="WN10" s="26">
        <f t="shared" si="257"/>
        <v>0</v>
      </c>
      <c r="WO10" s="26">
        <f t="shared" si="258"/>
        <v>0</v>
      </c>
      <c r="WP10" s="26">
        <f t="shared" si="259"/>
        <v>0</v>
      </c>
      <c r="WQ10" s="26">
        <f t="shared" si="260"/>
        <v>0</v>
      </c>
      <c r="WR10" s="26">
        <f t="shared" si="261"/>
        <v>0</v>
      </c>
      <c r="WS10" s="26">
        <f t="shared" si="262"/>
        <v>0</v>
      </c>
      <c r="WT10" s="26">
        <f t="shared" si="263"/>
        <v>0</v>
      </c>
      <c r="WU10" s="26">
        <f t="shared" si="264"/>
        <v>0</v>
      </c>
      <c r="WV10" s="26">
        <f t="shared" si="265"/>
        <v>0</v>
      </c>
      <c r="WW10" s="26">
        <f t="shared" si="266"/>
        <v>0</v>
      </c>
      <c r="WX10" s="26">
        <f t="shared" si="267"/>
        <v>0</v>
      </c>
      <c r="WY10" s="26">
        <f t="shared" si="268"/>
        <v>0</v>
      </c>
      <c r="WZ10" s="26">
        <f t="shared" si="269"/>
        <v>0</v>
      </c>
      <c r="XA10" s="28" t="s">
        <v>53</v>
      </c>
      <c r="XB10" s="11" t="str">
        <f t="shared" si="270"/>
        <v/>
      </c>
      <c r="XC10" s="11" t="str">
        <f t="shared" si="271"/>
        <v/>
      </c>
      <c r="XD10" s="11" t="str">
        <f t="shared" si="272"/>
        <v/>
      </c>
      <c r="XE10" s="11" t="str">
        <f t="shared" si="273"/>
        <v/>
      </c>
      <c r="XF10" s="11" t="str">
        <f t="shared" si="274"/>
        <v/>
      </c>
      <c r="XG10" s="11" t="str">
        <f t="shared" si="275"/>
        <v/>
      </c>
      <c r="XH10" s="11" t="str">
        <f t="shared" si="276"/>
        <v/>
      </c>
      <c r="XI10" s="11" t="str">
        <f t="shared" si="277"/>
        <v/>
      </c>
      <c r="XJ10" s="11" t="str">
        <f t="shared" si="278"/>
        <v/>
      </c>
      <c r="XK10" s="11" t="str">
        <f t="shared" si="279"/>
        <v/>
      </c>
      <c r="XL10" s="11" t="str">
        <f t="shared" si="280"/>
        <v/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229</v>
      </c>
      <c r="C11" s="4" t="s">
        <v>163</v>
      </c>
      <c r="D11" s="4" t="s">
        <v>230</v>
      </c>
      <c r="E11" s="9">
        <f t="shared" si="0"/>
        <v>31.119999999999997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31.119999999999997</v>
      </c>
      <c r="O11" s="11" t="str">
        <f t="shared" si="8"/>
        <v>(Prelim)</v>
      </c>
      <c r="P11" s="8" t="str">
        <f t="shared" si="9"/>
        <v>2024 World Cup SUI (Jun 29)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 t="shared" si="10"/>
        <v/>
      </c>
      <c r="AH11" s="38" t="str">
        <f t="shared" si="11"/>
        <v/>
      </c>
      <c r="AI11" s="40" t="str">
        <f t="shared" si="12"/>
        <v/>
      </c>
      <c r="AJ11" s="40" t="str">
        <f t="shared" si="13"/>
        <v/>
      </c>
      <c r="AK11" s="40" t="str">
        <f t="shared" si="14"/>
        <v/>
      </c>
      <c r="AL11" s="40" t="str">
        <f t="shared" si="15"/>
        <v/>
      </c>
      <c r="AM11" s="40" t="str">
        <f t="shared" si="16"/>
        <v/>
      </c>
      <c r="AN11" s="40" t="str">
        <f t="shared" si="17"/>
        <v/>
      </c>
      <c r="AO11" s="40" t="str">
        <f t="shared" si="18"/>
        <v/>
      </c>
      <c r="AP11" s="40" t="str">
        <f t="shared" si="19"/>
        <v/>
      </c>
      <c r="AQ11" s="40" t="str">
        <f t="shared" si="20"/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21"/>
        <v/>
      </c>
      <c r="BI11" s="39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>
        <f t="shared" si="43"/>
        <v>31.119999999999997</v>
      </c>
      <c r="CU11" s="51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>
        <v>0</v>
      </c>
      <c r="FM11" s="17">
        <v>0</v>
      </c>
      <c r="FN11" s="17">
        <v>0</v>
      </c>
      <c r="FO11" s="17">
        <v>0</v>
      </c>
      <c r="FP11" s="17">
        <v>0</v>
      </c>
      <c r="FQ11" s="17">
        <v>5.0999999999999996</v>
      </c>
      <c r="FR11" s="17">
        <v>6.3</v>
      </c>
      <c r="FS11" s="17">
        <v>9.5</v>
      </c>
      <c r="FT11" s="17">
        <v>10.220000000000001</v>
      </c>
      <c r="FU11" s="17">
        <v>0</v>
      </c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73"/>
        <v/>
      </c>
      <c r="GG11" s="40" t="str">
        <f t="shared" si="74"/>
        <v/>
      </c>
      <c r="GH11" s="40" t="str">
        <f t="shared" si="75"/>
        <v/>
      </c>
      <c r="GI11" s="40">
        <f t="shared" si="76"/>
        <v>9.5</v>
      </c>
      <c r="GJ11" s="40">
        <f t="shared" si="77"/>
        <v>10.220000000000001</v>
      </c>
      <c r="GK11" s="40">
        <f t="shared" si="78"/>
        <v>31.119999999999997</v>
      </c>
      <c r="GL11" s="40">
        <f t="shared" si="79"/>
        <v>31.119999999999997</v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>
        <f t="shared" si="86"/>
        <v>31.119999999999997</v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0</v>
      </c>
      <c r="WM11" s="26">
        <f t="shared" si="256"/>
        <v>0</v>
      </c>
      <c r="WN11" s="26">
        <f t="shared" si="257"/>
        <v>0</v>
      </c>
      <c r="WO11" s="26">
        <f t="shared" si="258"/>
        <v>0</v>
      </c>
      <c r="WP11" s="26">
        <f t="shared" si="259"/>
        <v>0</v>
      </c>
      <c r="WQ11" s="26">
        <f t="shared" si="260"/>
        <v>0</v>
      </c>
      <c r="WR11" s="26">
        <f t="shared" si="261"/>
        <v>0</v>
      </c>
      <c r="WS11" s="26">
        <f t="shared" si="262"/>
        <v>0</v>
      </c>
      <c r="WT11" s="26">
        <f t="shared" si="263"/>
        <v>0</v>
      </c>
      <c r="WU11" s="26">
        <f t="shared" si="264"/>
        <v>0</v>
      </c>
      <c r="WV11" s="26">
        <f t="shared" si="265"/>
        <v>0</v>
      </c>
      <c r="WW11" s="26">
        <f t="shared" si="266"/>
        <v>0</v>
      </c>
      <c r="WX11" s="26">
        <f t="shared" si="267"/>
        <v>0</v>
      </c>
      <c r="WY11" s="26">
        <f t="shared" si="268"/>
        <v>0</v>
      </c>
      <c r="WZ11" s="26">
        <f t="shared" si="269"/>
        <v>0</v>
      </c>
      <c r="XA11" s="28" t="s">
        <v>53</v>
      </c>
      <c r="XB11" s="11" t="str">
        <f t="shared" si="270"/>
        <v/>
      </c>
      <c r="XC11" s="11" t="str">
        <f t="shared" si="271"/>
        <v/>
      </c>
      <c r="XD11" s="11" t="str">
        <f t="shared" si="272"/>
        <v/>
      </c>
      <c r="XE11" s="11" t="str">
        <f t="shared" si="273"/>
        <v/>
      </c>
      <c r="XF11" s="11" t="str">
        <f t="shared" si="274"/>
        <v/>
      </c>
      <c r="XG11" s="11" t="str">
        <f t="shared" si="275"/>
        <v/>
      </c>
      <c r="XH11" s="11" t="str">
        <f t="shared" si="276"/>
        <v/>
      </c>
      <c r="XI11" s="11" t="str">
        <f t="shared" si="277"/>
        <v/>
      </c>
      <c r="XJ11" s="11" t="str">
        <f t="shared" si="278"/>
        <v/>
      </c>
      <c r="XK11" s="11" t="str">
        <f t="shared" si="279"/>
        <v/>
      </c>
      <c r="XL11" s="11" t="str">
        <f t="shared" si="280"/>
        <v/>
      </c>
    </row>
    <row r="12" spans="1:63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193</v>
      </c>
      <c r="C12" s="4" t="s">
        <v>5</v>
      </c>
      <c r="D12" s="4" t="s">
        <v>194</v>
      </c>
      <c r="E12" s="9">
        <f t="shared" si="0"/>
        <v>24.37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IF(COUNT(AI12,AL12,AP12,BJ12,BM12,BQ12,CK12,CN12,CR12)&gt;0,LARGE((AI12,AL12,AP12,BJ12,BM12,BQ12,CK12,CN12,CR12),1),0)</f>
        <v>12.830000000000002</v>
      </c>
      <c r="K12" s="8" t="str">
        <f t="shared" si="5"/>
        <v>2024 Nationals</v>
      </c>
      <c r="L12" s="8">
        <f>IF(COUNT(AI12,AL12,AP12,BJ12,BM12,BQ12,CK12,CN12,CR12)&gt;1,LARGE((AI12,AL12,AP12,BJ12,BM12,BQ12,CK12,CN12,CR12),2),0)</f>
        <v>11.54</v>
      </c>
      <c r="M12" s="8" t="str">
        <f t="shared" si="6"/>
        <v>2024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2">
        <v>2.2999999999999998</v>
      </c>
      <c r="R12" s="22">
        <v>2.85</v>
      </c>
      <c r="S12" s="22">
        <v>4.2</v>
      </c>
      <c r="T12" s="22">
        <v>3.48</v>
      </c>
      <c r="U12" s="22">
        <v>0</v>
      </c>
      <c r="V12" s="22">
        <v>2.2000000000000002</v>
      </c>
      <c r="W12" s="22">
        <v>2.8</v>
      </c>
      <c r="X12" s="22">
        <v>4.2</v>
      </c>
      <c r="Y12" s="22">
        <v>2.34</v>
      </c>
      <c r="Z12" s="22">
        <v>0</v>
      </c>
      <c r="AA12" s="22"/>
      <c r="AB12" s="22"/>
      <c r="AC12" s="22"/>
      <c r="AD12" s="22"/>
      <c r="AE12" s="22"/>
      <c r="AF12" s="27"/>
      <c r="AG12" s="38">
        <f t="shared" si="10"/>
        <v>4.2</v>
      </c>
      <c r="AH12" s="38">
        <f t="shared" si="11"/>
        <v>3.48</v>
      </c>
      <c r="AI12" s="40">
        <f t="shared" si="12"/>
        <v>12.830000000000002</v>
      </c>
      <c r="AJ12" s="40">
        <f t="shared" si="13"/>
        <v>4.2</v>
      </c>
      <c r="AK12" s="40">
        <f t="shared" si="14"/>
        <v>2.34</v>
      </c>
      <c r="AL12" s="40">
        <f t="shared" si="15"/>
        <v>11.54</v>
      </c>
      <c r="AM12" s="40">
        <f t="shared" si="16"/>
        <v>12.830000000000002</v>
      </c>
      <c r="AN12" s="40" t="str">
        <f t="shared" si="17"/>
        <v/>
      </c>
      <c r="AO12" s="40" t="str">
        <f t="shared" si="18"/>
        <v/>
      </c>
      <c r="AP12" s="40" t="str">
        <f t="shared" si="19"/>
        <v/>
      </c>
      <c r="AQ12" s="40">
        <f t="shared" si="20"/>
        <v>12.830000000000002</v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 t="shared" si="21"/>
        <v/>
      </c>
      <c r="BI12" s="39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 t="shared" si="32"/>
        <v/>
      </c>
      <c r="CJ12" s="38" t="str">
        <f t="shared" si="33"/>
        <v/>
      </c>
      <c r="CK12" s="40" t="str">
        <f t="shared" si="34"/>
        <v/>
      </c>
      <c r="CL12" s="40" t="str">
        <f t="shared" si="35"/>
        <v/>
      </c>
      <c r="CM12" s="40" t="str">
        <f t="shared" si="36"/>
        <v/>
      </c>
      <c r="CN12" s="40" t="str">
        <f t="shared" si="37"/>
        <v/>
      </c>
      <c r="CO12" s="40" t="str">
        <f t="shared" si="38"/>
        <v/>
      </c>
      <c r="CP12" s="40" t="str">
        <f t="shared" si="39"/>
        <v/>
      </c>
      <c r="CQ12" s="40" t="str">
        <f t="shared" si="40"/>
        <v/>
      </c>
      <c r="CR12" s="40" t="str">
        <f t="shared" si="41"/>
        <v/>
      </c>
      <c r="CS12" s="40" t="str">
        <f t="shared" si="42"/>
        <v/>
      </c>
      <c r="CT12" s="51" t="str">
        <f t="shared" si="43"/>
        <v/>
      </c>
      <c r="CU12" s="51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 t="shared" si="45"/>
        <v/>
      </c>
      <c r="DQ12" s="40" t="str">
        <f t="shared" si="46"/>
        <v/>
      </c>
      <c r="DR12" s="40" t="str">
        <f t="shared" si="47"/>
        <v/>
      </c>
      <c r="DS12" s="40" t="str">
        <f t="shared" si="48"/>
        <v/>
      </c>
      <c r="DT12" s="40" t="str">
        <f t="shared" si="49"/>
        <v/>
      </c>
      <c r="DU12" s="40" t="str">
        <f t="shared" si="50"/>
        <v/>
      </c>
      <c r="DV12" s="40" t="str">
        <f t="shared" si="51"/>
        <v/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 t="str">
        <f t="shared" si="55"/>
        <v/>
      </c>
      <c r="EA12" s="40" t="str">
        <f t="shared" si="56"/>
        <v/>
      </c>
      <c r="EB12" s="40" t="str">
        <f t="shared" si="57"/>
        <v/>
      </c>
      <c r="EC12" s="40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 t="shared" si="101"/>
        <v/>
      </c>
      <c r="IW12" s="40" t="str">
        <f t="shared" si="102"/>
        <v/>
      </c>
      <c r="IX12" s="40" t="str">
        <f t="shared" si="103"/>
        <v/>
      </c>
      <c r="IY12" s="40" t="str">
        <f t="shared" si="104"/>
        <v/>
      </c>
      <c r="IZ12" s="40" t="str">
        <f t="shared" si="105"/>
        <v/>
      </c>
      <c r="JA12" s="40" t="str">
        <f t="shared" si="106"/>
        <v/>
      </c>
      <c r="JB12" s="40" t="str">
        <f t="shared" si="107"/>
        <v/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 t="str">
        <f t="shared" si="111"/>
        <v/>
      </c>
      <c r="JG12" s="40" t="str">
        <f t="shared" si="112"/>
        <v/>
      </c>
      <c r="JH12" s="40" t="str">
        <f t="shared" si="113"/>
        <v/>
      </c>
      <c r="JI12" s="40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0</v>
      </c>
      <c r="WM12" s="26">
        <f t="shared" si="256"/>
        <v>0</v>
      </c>
      <c r="WN12" s="26">
        <f t="shared" si="257"/>
        <v>0</v>
      </c>
      <c r="WO12" s="26">
        <f t="shared" si="258"/>
        <v>0</v>
      </c>
      <c r="WP12" s="26">
        <f t="shared" si="259"/>
        <v>0</v>
      </c>
      <c r="WQ12" s="26">
        <f t="shared" si="260"/>
        <v>0</v>
      </c>
      <c r="WR12" s="26">
        <f t="shared" si="261"/>
        <v>0</v>
      </c>
      <c r="WS12" s="26">
        <f t="shared" si="262"/>
        <v>0</v>
      </c>
      <c r="WT12" s="26">
        <f t="shared" si="263"/>
        <v>0</v>
      </c>
      <c r="WU12" s="26">
        <f t="shared" si="264"/>
        <v>0</v>
      </c>
      <c r="WV12" s="26">
        <f t="shared" si="265"/>
        <v>0</v>
      </c>
      <c r="WW12" s="26">
        <f t="shared" si="266"/>
        <v>0</v>
      </c>
      <c r="WX12" s="26">
        <f t="shared" si="267"/>
        <v>0</v>
      </c>
      <c r="WY12" s="26">
        <f t="shared" si="268"/>
        <v>0</v>
      </c>
      <c r="WZ12" s="26">
        <f t="shared" si="269"/>
        <v>0</v>
      </c>
      <c r="XA12" s="28" t="s">
        <v>53</v>
      </c>
      <c r="XB12" s="11" t="str">
        <f t="shared" si="270"/>
        <v/>
      </c>
      <c r="XC12" s="11" t="str">
        <f t="shared" si="271"/>
        <v/>
      </c>
      <c r="XD12" s="11" t="str">
        <f t="shared" si="272"/>
        <v/>
      </c>
      <c r="XE12" s="11" t="str">
        <f t="shared" si="273"/>
        <v/>
      </c>
      <c r="XF12" s="11" t="str">
        <f t="shared" si="274"/>
        <v/>
      </c>
      <c r="XG12" s="11" t="str">
        <f t="shared" si="275"/>
        <v/>
      </c>
      <c r="XH12" s="11" t="str">
        <f t="shared" si="276"/>
        <v/>
      </c>
      <c r="XI12" s="11" t="str">
        <f t="shared" si="277"/>
        <v/>
      </c>
      <c r="XJ12" s="11" t="str">
        <f t="shared" si="278"/>
        <v/>
      </c>
      <c r="XK12" s="11" t="str">
        <f t="shared" si="279"/>
        <v/>
      </c>
      <c r="XL12" s="11" t="str">
        <f t="shared" si="280"/>
        <v/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140</v>
      </c>
      <c r="C13" s="4" t="s">
        <v>5</v>
      </c>
      <c r="D13" s="4" t="s">
        <v>139</v>
      </c>
      <c r="E13" s="9">
        <f t="shared" si="0"/>
        <v>17.869999999999997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9.0399999999999991</v>
      </c>
      <c r="K13" s="8" t="str">
        <f t="shared" si="5"/>
        <v>2024 Nationals</v>
      </c>
      <c r="L13" s="8">
        <f>IF(COUNT(AI13,AL13,AP13,BJ13,BM13,BQ13,CK13,CN13,CR13)&gt;1,LARGE((AI13,AL13,AP13,BJ13,BM13,BQ13,CK13,CN13,CR13),2),0)</f>
        <v>8.83</v>
      </c>
      <c r="M13" s="8" t="str">
        <f t="shared" si="6"/>
        <v>2024 Nationals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2">
        <v>1.3</v>
      </c>
      <c r="R13" s="22">
        <v>1.75</v>
      </c>
      <c r="S13" s="22">
        <v>2.7</v>
      </c>
      <c r="T13" s="22">
        <v>3.08</v>
      </c>
      <c r="U13" s="22">
        <v>0</v>
      </c>
      <c r="V13" s="22">
        <v>1.35</v>
      </c>
      <c r="W13" s="22">
        <v>1.65</v>
      </c>
      <c r="X13" s="22">
        <v>2.7</v>
      </c>
      <c r="Y13" s="22">
        <v>3.34</v>
      </c>
      <c r="Z13" s="22">
        <v>0</v>
      </c>
      <c r="AA13" s="22"/>
      <c r="AB13" s="22"/>
      <c r="AC13" s="22"/>
      <c r="AD13" s="22"/>
      <c r="AE13" s="22"/>
      <c r="AF13" s="27"/>
      <c r="AG13" s="38">
        <f t="shared" si="10"/>
        <v>2.7</v>
      </c>
      <c r="AH13" s="38">
        <f t="shared" si="11"/>
        <v>3.08</v>
      </c>
      <c r="AI13" s="40">
        <f t="shared" si="12"/>
        <v>8.83</v>
      </c>
      <c r="AJ13" s="40">
        <f t="shared" si="13"/>
        <v>2.7</v>
      </c>
      <c r="AK13" s="40">
        <f t="shared" si="14"/>
        <v>3.34</v>
      </c>
      <c r="AL13" s="40">
        <f t="shared" si="15"/>
        <v>9.0399999999999991</v>
      </c>
      <c r="AM13" s="40">
        <f t="shared" si="16"/>
        <v>9.0399999999999991</v>
      </c>
      <c r="AN13" s="40" t="str">
        <f t="shared" si="17"/>
        <v/>
      </c>
      <c r="AO13" s="40" t="str">
        <f t="shared" si="18"/>
        <v/>
      </c>
      <c r="AP13" s="40" t="str">
        <f t="shared" si="19"/>
        <v/>
      </c>
      <c r="AQ13" s="40">
        <f t="shared" si="20"/>
        <v>9.0399999999999991</v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 t="shared" si="21"/>
        <v/>
      </c>
      <c r="BI13" s="39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 t="shared" si="32"/>
        <v/>
      </c>
      <c r="CJ13" s="38" t="str">
        <f t="shared" si="33"/>
        <v/>
      </c>
      <c r="CK13" s="40" t="str">
        <f t="shared" si="34"/>
        <v/>
      </c>
      <c r="CL13" s="40" t="str">
        <f t="shared" si="35"/>
        <v/>
      </c>
      <c r="CM13" s="40" t="str">
        <f t="shared" si="36"/>
        <v/>
      </c>
      <c r="CN13" s="40" t="str">
        <f t="shared" si="37"/>
        <v/>
      </c>
      <c r="CO13" s="40" t="str">
        <f t="shared" si="38"/>
        <v/>
      </c>
      <c r="CP13" s="40" t="str">
        <f t="shared" si="39"/>
        <v/>
      </c>
      <c r="CQ13" s="40" t="str">
        <f t="shared" si="40"/>
        <v/>
      </c>
      <c r="CR13" s="40" t="str">
        <f t="shared" si="41"/>
        <v/>
      </c>
      <c r="CS13" s="40" t="str">
        <f t="shared" si="42"/>
        <v/>
      </c>
      <c r="CT13" s="51" t="str">
        <f t="shared" si="43"/>
        <v/>
      </c>
      <c r="CU13" s="51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 t="shared" si="45"/>
        <v/>
      </c>
      <c r="DQ13" s="40" t="str">
        <f t="shared" si="46"/>
        <v/>
      </c>
      <c r="DR13" s="40" t="str">
        <f t="shared" si="47"/>
        <v/>
      </c>
      <c r="DS13" s="40" t="str">
        <f t="shared" si="48"/>
        <v/>
      </c>
      <c r="DT13" s="40" t="str">
        <f t="shared" si="49"/>
        <v/>
      </c>
      <c r="DU13" s="40" t="str">
        <f t="shared" si="50"/>
        <v/>
      </c>
      <c r="DV13" s="40" t="str">
        <f t="shared" si="51"/>
        <v/>
      </c>
      <c r="DW13" s="40" t="str">
        <f t="shared" si="52"/>
        <v/>
      </c>
      <c r="DX13" s="40" t="str">
        <f t="shared" si="53"/>
        <v/>
      </c>
      <c r="DY13" s="40" t="str">
        <f t="shared" si="54"/>
        <v/>
      </c>
      <c r="DZ13" s="40" t="str">
        <f t="shared" si="55"/>
        <v/>
      </c>
      <c r="EA13" s="40" t="str">
        <f t="shared" si="56"/>
        <v/>
      </c>
      <c r="EB13" s="40" t="str">
        <f t="shared" si="57"/>
        <v/>
      </c>
      <c r="EC13" s="40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 t="shared" si="73"/>
        <v/>
      </c>
      <c r="GG13" s="40" t="str">
        <f t="shared" si="74"/>
        <v/>
      </c>
      <c r="GH13" s="40" t="str">
        <f t="shared" si="75"/>
        <v/>
      </c>
      <c r="GI13" s="40" t="str">
        <f t="shared" si="76"/>
        <v/>
      </c>
      <c r="GJ13" s="40" t="str">
        <f t="shared" si="77"/>
        <v/>
      </c>
      <c r="GK13" s="40" t="str">
        <f t="shared" si="78"/>
        <v/>
      </c>
      <c r="GL13" s="40" t="str">
        <f t="shared" si="79"/>
        <v/>
      </c>
      <c r="GM13" s="40" t="str">
        <f t="shared" si="80"/>
        <v/>
      </c>
      <c r="GN13" s="40" t="str">
        <f t="shared" si="81"/>
        <v/>
      </c>
      <c r="GO13" s="40" t="str">
        <f t="shared" si="82"/>
        <v/>
      </c>
      <c r="GP13" s="40" t="str">
        <f t="shared" si="83"/>
        <v/>
      </c>
      <c r="GQ13" s="40" t="str">
        <f t="shared" si="84"/>
        <v/>
      </c>
      <c r="GR13" s="40" t="str">
        <f t="shared" si="85"/>
        <v/>
      </c>
      <c r="GS13" s="40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 t="shared" si="101"/>
        <v/>
      </c>
      <c r="IW13" s="40" t="str">
        <f t="shared" si="102"/>
        <v/>
      </c>
      <c r="IX13" s="40" t="str">
        <f t="shared" si="103"/>
        <v/>
      </c>
      <c r="IY13" s="40" t="str">
        <f t="shared" si="104"/>
        <v/>
      </c>
      <c r="IZ13" s="40" t="str">
        <f t="shared" si="105"/>
        <v/>
      </c>
      <c r="JA13" s="40" t="str">
        <f t="shared" si="106"/>
        <v/>
      </c>
      <c r="JB13" s="40" t="str">
        <f t="shared" si="107"/>
        <v/>
      </c>
      <c r="JC13" s="40" t="str">
        <f t="shared" si="108"/>
        <v/>
      </c>
      <c r="JD13" s="40" t="str">
        <f t="shared" si="109"/>
        <v/>
      </c>
      <c r="JE13" s="40" t="str">
        <f t="shared" si="110"/>
        <v/>
      </c>
      <c r="JF13" s="40" t="str">
        <f t="shared" si="111"/>
        <v/>
      </c>
      <c r="JG13" s="40" t="str">
        <f t="shared" si="112"/>
        <v/>
      </c>
      <c r="JH13" s="40" t="str">
        <f t="shared" si="113"/>
        <v/>
      </c>
      <c r="JI13" s="40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 t="shared" si="129"/>
        <v/>
      </c>
      <c r="LM13" s="40" t="str">
        <f t="shared" si="130"/>
        <v/>
      </c>
      <c r="LN13" s="40" t="str">
        <f t="shared" si="131"/>
        <v/>
      </c>
      <c r="LO13" s="40" t="str">
        <f t="shared" si="132"/>
        <v/>
      </c>
      <c r="LP13" s="40" t="str">
        <f t="shared" si="133"/>
        <v/>
      </c>
      <c r="LQ13" s="40" t="str">
        <f t="shared" si="134"/>
        <v/>
      </c>
      <c r="LR13" s="40" t="str">
        <f t="shared" si="135"/>
        <v/>
      </c>
      <c r="LS13" s="40" t="str">
        <f t="shared" si="136"/>
        <v/>
      </c>
      <c r="LT13" s="40" t="str">
        <f t="shared" si="137"/>
        <v/>
      </c>
      <c r="LU13" s="40" t="str">
        <f t="shared" si="138"/>
        <v/>
      </c>
      <c r="LV13" s="40" t="str">
        <f t="shared" si="139"/>
        <v/>
      </c>
      <c r="LW13" s="40" t="str">
        <f t="shared" si="140"/>
        <v/>
      </c>
      <c r="LX13" s="40" t="str">
        <f t="shared" si="141"/>
        <v/>
      </c>
      <c r="LY13" s="40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 t="shared" si="157"/>
        <v/>
      </c>
      <c r="OC13" s="40" t="str">
        <f t="shared" si="158"/>
        <v/>
      </c>
      <c r="OD13" s="40" t="str">
        <f t="shared" si="159"/>
        <v/>
      </c>
      <c r="OE13" s="40" t="str">
        <f t="shared" si="160"/>
        <v/>
      </c>
      <c r="OF13" s="40" t="str">
        <f t="shared" si="161"/>
        <v/>
      </c>
      <c r="OG13" s="40" t="str">
        <f t="shared" si="162"/>
        <v/>
      </c>
      <c r="OH13" s="40" t="str">
        <f t="shared" si="163"/>
        <v/>
      </c>
      <c r="OI13" s="40" t="str">
        <f t="shared" si="164"/>
        <v/>
      </c>
      <c r="OJ13" s="40" t="str">
        <f t="shared" si="165"/>
        <v/>
      </c>
      <c r="OK13" s="40" t="str">
        <f t="shared" si="166"/>
        <v/>
      </c>
      <c r="OL13" s="40" t="str">
        <f t="shared" si="167"/>
        <v/>
      </c>
      <c r="OM13" s="40" t="str">
        <f t="shared" si="168"/>
        <v/>
      </c>
      <c r="ON13" s="40" t="str">
        <f t="shared" si="169"/>
        <v/>
      </c>
      <c r="OO13" s="40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 t="shared" si="185"/>
        <v/>
      </c>
      <c r="QS13" s="40" t="str">
        <f t="shared" si="186"/>
        <v/>
      </c>
      <c r="QT13" s="40" t="str">
        <f t="shared" si="187"/>
        <v/>
      </c>
      <c r="QU13" s="40" t="str">
        <f t="shared" si="188"/>
        <v/>
      </c>
      <c r="QV13" s="40" t="str">
        <f t="shared" si="189"/>
        <v/>
      </c>
      <c r="QW13" s="40" t="str">
        <f t="shared" si="190"/>
        <v/>
      </c>
      <c r="QX13" s="40" t="str">
        <f t="shared" si="191"/>
        <v/>
      </c>
      <c r="QY13" s="40" t="str">
        <f t="shared" si="192"/>
        <v/>
      </c>
      <c r="QZ13" s="40" t="str">
        <f t="shared" si="193"/>
        <v/>
      </c>
      <c r="RA13" s="40" t="str">
        <f t="shared" si="194"/>
        <v/>
      </c>
      <c r="RB13" s="40" t="str">
        <f t="shared" si="195"/>
        <v/>
      </c>
      <c r="RC13" s="40" t="str">
        <f t="shared" si="196"/>
        <v/>
      </c>
      <c r="RD13" s="40" t="str">
        <f t="shared" si="197"/>
        <v/>
      </c>
      <c r="RE13" s="40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 t="shared" si="213"/>
        <v/>
      </c>
      <c r="TI13" s="40" t="str">
        <f t="shared" si="214"/>
        <v/>
      </c>
      <c r="TJ13" s="40" t="str">
        <f t="shared" si="215"/>
        <v/>
      </c>
      <c r="TK13" s="40" t="str">
        <f t="shared" si="216"/>
        <v/>
      </c>
      <c r="TL13" s="40" t="str">
        <f t="shared" si="217"/>
        <v/>
      </c>
      <c r="TM13" s="40" t="str">
        <f t="shared" si="218"/>
        <v/>
      </c>
      <c r="TN13" s="40" t="str">
        <f t="shared" si="219"/>
        <v/>
      </c>
      <c r="TO13" s="40" t="str">
        <f t="shared" si="220"/>
        <v/>
      </c>
      <c r="TP13" s="40" t="str">
        <f t="shared" si="221"/>
        <v/>
      </c>
      <c r="TQ13" s="40" t="str">
        <f t="shared" si="222"/>
        <v/>
      </c>
      <c r="TR13" s="40" t="str">
        <f t="shared" si="223"/>
        <v/>
      </c>
      <c r="TS13" s="40" t="str">
        <f t="shared" si="224"/>
        <v/>
      </c>
      <c r="TT13" s="40" t="str">
        <f t="shared" si="225"/>
        <v/>
      </c>
      <c r="TU13" s="40" t="str">
        <f t="shared" si="226"/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 t="shared" si="227"/>
        <v/>
      </c>
      <c r="UQ13" s="11" t="str">
        <f t="shared" si="228"/>
        <v/>
      </c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 t="shared" si="241"/>
        <v/>
      </c>
      <c r="VY13" s="40" t="str">
        <f t="shared" si="242"/>
        <v/>
      </c>
      <c r="VZ13" s="40" t="str">
        <f t="shared" si="243"/>
        <v/>
      </c>
      <c r="WA13" s="40" t="str">
        <f t="shared" si="244"/>
        <v/>
      </c>
      <c r="WB13" s="40" t="str">
        <f t="shared" si="245"/>
        <v/>
      </c>
      <c r="WC13" s="40" t="str">
        <f t="shared" si="246"/>
        <v/>
      </c>
      <c r="WD13" s="40" t="str">
        <f t="shared" si="247"/>
        <v/>
      </c>
      <c r="WE13" s="40" t="str">
        <f t="shared" si="248"/>
        <v/>
      </c>
      <c r="WF13" s="40" t="str">
        <f t="shared" si="249"/>
        <v/>
      </c>
      <c r="WG13" s="40" t="str">
        <f t="shared" si="250"/>
        <v/>
      </c>
      <c r="WH13" s="40" t="str">
        <f t="shared" si="251"/>
        <v/>
      </c>
      <c r="WI13" s="40" t="str">
        <f t="shared" si="252"/>
        <v/>
      </c>
      <c r="WJ13" s="40" t="str">
        <f t="shared" si="253"/>
        <v/>
      </c>
      <c r="WK13" s="40" t="str">
        <f t="shared" si="254"/>
        <v/>
      </c>
      <c r="WL13" s="26">
        <f t="shared" si="255"/>
        <v>0</v>
      </c>
      <c r="WM13" s="26">
        <f t="shared" si="256"/>
        <v>0</v>
      </c>
      <c r="WN13" s="26">
        <f t="shared" si="257"/>
        <v>0</v>
      </c>
      <c r="WO13" s="26">
        <f t="shared" si="258"/>
        <v>0</v>
      </c>
      <c r="WP13" s="26">
        <f t="shared" si="259"/>
        <v>0</v>
      </c>
      <c r="WQ13" s="26">
        <f t="shared" si="260"/>
        <v>0</v>
      </c>
      <c r="WR13" s="26">
        <f t="shared" si="261"/>
        <v>0</v>
      </c>
      <c r="WS13" s="26">
        <f t="shared" si="262"/>
        <v>0</v>
      </c>
      <c r="WT13" s="26">
        <f t="shared" si="263"/>
        <v>0</v>
      </c>
      <c r="WU13" s="26">
        <f t="shared" si="264"/>
        <v>0</v>
      </c>
      <c r="WV13" s="26">
        <f t="shared" si="265"/>
        <v>0</v>
      </c>
      <c r="WW13" s="26">
        <f t="shared" si="266"/>
        <v>0</v>
      </c>
      <c r="WX13" s="26">
        <f t="shared" si="267"/>
        <v>0</v>
      </c>
      <c r="WY13" s="26">
        <f t="shared" si="268"/>
        <v>0</v>
      </c>
      <c r="WZ13" s="26">
        <f t="shared" si="269"/>
        <v>0</v>
      </c>
      <c r="XA13" s="28" t="s">
        <v>53</v>
      </c>
      <c r="XB13" s="11" t="str">
        <f t="shared" si="270"/>
        <v/>
      </c>
      <c r="XC13" s="11" t="str">
        <f t="shared" si="271"/>
        <v/>
      </c>
      <c r="XD13" s="11" t="str">
        <f t="shared" si="272"/>
        <v/>
      </c>
      <c r="XE13" s="11" t="str">
        <f t="shared" si="273"/>
        <v/>
      </c>
      <c r="XF13" s="11" t="str">
        <f t="shared" si="274"/>
        <v/>
      </c>
      <c r="XG13" s="11" t="str">
        <f t="shared" si="275"/>
        <v/>
      </c>
      <c r="XH13" s="11" t="str">
        <f t="shared" si="276"/>
        <v/>
      </c>
      <c r="XI13" s="11" t="str">
        <f t="shared" si="277"/>
        <v/>
      </c>
      <c r="XJ13" s="11" t="str">
        <f t="shared" si="278"/>
        <v/>
      </c>
      <c r="XK13" s="11" t="str">
        <f t="shared" si="279"/>
        <v/>
      </c>
      <c r="XL13" s="11" t="str">
        <f t="shared" si="280"/>
        <v/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234</v>
      </c>
      <c r="C14" s="4" t="s">
        <v>163</v>
      </c>
      <c r="D14" s="4" t="s">
        <v>235</v>
      </c>
      <c r="E14" s="9">
        <f t="shared" si="0"/>
        <v>16.009999999999998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16.009999999999998</v>
      </c>
      <c r="O14" s="11" t="str">
        <f t="shared" si="8"/>
        <v>(Prelim)</v>
      </c>
      <c r="P14" s="8" t="str">
        <f t="shared" si="9"/>
        <v>2024 World Cup POR (July 7)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 t="shared" si="10"/>
        <v/>
      </c>
      <c r="AH14" s="38" t="str">
        <f t="shared" si="11"/>
        <v/>
      </c>
      <c r="AI14" s="40" t="str">
        <f t="shared" si="12"/>
        <v/>
      </c>
      <c r="AJ14" s="40" t="str">
        <f t="shared" si="13"/>
        <v/>
      </c>
      <c r="AK14" s="40" t="str">
        <f t="shared" si="14"/>
        <v/>
      </c>
      <c r="AL14" s="40" t="str">
        <f t="shared" si="15"/>
        <v/>
      </c>
      <c r="AM14" s="40" t="str">
        <f t="shared" si="16"/>
        <v/>
      </c>
      <c r="AN14" s="40" t="str">
        <f t="shared" si="17"/>
        <v/>
      </c>
      <c r="AO14" s="40" t="str">
        <f t="shared" si="18"/>
        <v/>
      </c>
      <c r="AP14" s="40" t="str">
        <f t="shared" si="19"/>
        <v/>
      </c>
      <c r="AQ14" s="40" t="str">
        <f t="shared" si="20"/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 t="shared" si="21"/>
        <v/>
      </c>
      <c r="BI14" s="39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 t="shared" si="32"/>
        <v/>
      </c>
      <c r="CJ14" s="38" t="str">
        <f t="shared" si="33"/>
        <v/>
      </c>
      <c r="CK14" s="40" t="str">
        <f t="shared" si="34"/>
        <v/>
      </c>
      <c r="CL14" s="40" t="str">
        <f t="shared" si="35"/>
        <v/>
      </c>
      <c r="CM14" s="40" t="str">
        <f t="shared" si="36"/>
        <v/>
      </c>
      <c r="CN14" s="40" t="str">
        <f t="shared" si="37"/>
        <v/>
      </c>
      <c r="CO14" s="40" t="str">
        <f t="shared" si="38"/>
        <v/>
      </c>
      <c r="CP14" s="40" t="str">
        <f t="shared" si="39"/>
        <v/>
      </c>
      <c r="CQ14" s="40" t="str">
        <f t="shared" si="40"/>
        <v/>
      </c>
      <c r="CR14" s="40" t="str">
        <f t="shared" si="41"/>
        <v/>
      </c>
      <c r="CS14" s="40" t="str">
        <f t="shared" si="42"/>
        <v/>
      </c>
      <c r="CT14" s="51">
        <f t="shared" si="43"/>
        <v>16.009999999999998</v>
      </c>
      <c r="CU14" s="51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 t="shared" si="45"/>
        <v/>
      </c>
      <c r="DQ14" s="40" t="str">
        <f t="shared" si="46"/>
        <v/>
      </c>
      <c r="DR14" s="40" t="str">
        <f t="shared" si="47"/>
        <v/>
      </c>
      <c r="DS14" s="40" t="str">
        <f t="shared" si="48"/>
        <v/>
      </c>
      <c r="DT14" s="40" t="str">
        <f t="shared" si="49"/>
        <v/>
      </c>
      <c r="DU14" s="40" t="str">
        <f t="shared" si="50"/>
        <v/>
      </c>
      <c r="DV14" s="40" t="str">
        <f t="shared" si="51"/>
        <v/>
      </c>
      <c r="DW14" s="40" t="str">
        <f t="shared" si="52"/>
        <v/>
      </c>
      <c r="DX14" s="40" t="str">
        <f t="shared" si="53"/>
        <v/>
      </c>
      <c r="DY14" s="40" t="str">
        <f t="shared" si="54"/>
        <v/>
      </c>
      <c r="DZ14" s="40" t="str">
        <f t="shared" si="55"/>
        <v/>
      </c>
      <c r="EA14" s="40" t="str">
        <f t="shared" si="56"/>
        <v/>
      </c>
      <c r="EB14" s="40" t="str">
        <f t="shared" si="57"/>
        <v/>
      </c>
      <c r="EC14" s="40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 t="shared" si="73"/>
        <v/>
      </c>
      <c r="GG14" s="40" t="str">
        <f t="shared" si="74"/>
        <v/>
      </c>
      <c r="GH14" s="40" t="str">
        <f t="shared" si="75"/>
        <v/>
      </c>
      <c r="GI14" s="40" t="str">
        <f t="shared" si="76"/>
        <v/>
      </c>
      <c r="GJ14" s="40" t="str">
        <f t="shared" si="77"/>
        <v/>
      </c>
      <c r="GK14" s="40" t="str">
        <f t="shared" si="78"/>
        <v/>
      </c>
      <c r="GL14" s="40" t="str">
        <f t="shared" si="79"/>
        <v/>
      </c>
      <c r="GM14" s="40" t="str">
        <f t="shared" si="80"/>
        <v/>
      </c>
      <c r="GN14" s="40" t="str">
        <f t="shared" si="81"/>
        <v/>
      </c>
      <c r="GO14" s="40" t="str">
        <f t="shared" si="82"/>
        <v/>
      </c>
      <c r="GP14" s="40" t="str">
        <f t="shared" si="83"/>
        <v/>
      </c>
      <c r="GQ14" s="40" t="str">
        <f t="shared" si="84"/>
        <v/>
      </c>
      <c r="GR14" s="40" t="str">
        <f t="shared" si="85"/>
        <v/>
      </c>
      <c r="GS14" s="40" t="str">
        <f t="shared" si="86"/>
        <v/>
      </c>
      <c r="GT14" s="18">
        <v>0.8</v>
      </c>
      <c r="GU14" s="18">
        <v>1</v>
      </c>
      <c r="GV14" s="18">
        <v>2</v>
      </c>
      <c r="GW14" s="18">
        <v>1.84</v>
      </c>
      <c r="GX14" s="18">
        <v>0</v>
      </c>
      <c r="GY14" s="18">
        <v>2.4</v>
      </c>
      <c r="GZ14" s="18">
        <v>2.75</v>
      </c>
      <c r="HA14" s="18">
        <v>5.0999999999999996</v>
      </c>
      <c r="HB14" s="18">
        <v>5.76</v>
      </c>
      <c r="HC14" s="18">
        <v>0</v>
      </c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>
        <f t="shared" si="87"/>
        <v>2</v>
      </c>
      <c r="HO14" s="11">
        <f t="shared" si="88"/>
        <v>1.84</v>
      </c>
      <c r="HP14" s="11">
        <f t="shared" si="89"/>
        <v>5.64</v>
      </c>
      <c r="HQ14" s="11">
        <f t="shared" si="90"/>
        <v>5.0999999999999996</v>
      </c>
      <c r="HR14" s="11">
        <f t="shared" si="91"/>
        <v>5.76</v>
      </c>
      <c r="HS14" s="11">
        <f t="shared" si="92"/>
        <v>16.009999999999998</v>
      </c>
      <c r="HT14" s="11">
        <f t="shared" si="93"/>
        <v>16.009999999999998</v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>
        <f t="shared" si="100"/>
        <v>16.009999999999998</v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 t="shared" si="101"/>
        <v/>
      </c>
      <c r="IW14" s="40" t="str">
        <f t="shared" si="102"/>
        <v/>
      </c>
      <c r="IX14" s="40" t="str">
        <f t="shared" si="103"/>
        <v/>
      </c>
      <c r="IY14" s="40" t="str">
        <f t="shared" si="104"/>
        <v/>
      </c>
      <c r="IZ14" s="40" t="str">
        <f t="shared" si="105"/>
        <v/>
      </c>
      <c r="JA14" s="40" t="str">
        <f t="shared" si="106"/>
        <v/>
      </c>
      <c r="JB14" s="40" t="str">
        <f t="shared" si="107"/>
        <v/>
      </c>
      <c r="JC14" s="40" t="str">
        <f t="shared" si="108"/>
        <v/>
      </c>
      <c r="JD14" s="40" t="str">
        <f t="shared" si="109"/>
        <v/>
      </c>
      <c r="JE14" s="40" t="str">
        <f t="shared" si="110"/>
        <v/>
      </c>
      <c r="JF14" s="40" t="str">
        <f t="shared" si="111"/>
        <v/>
      </c>
      <c r="JG14" s="40" t="str">
        <f t="shared" si="112"/>
        <v/>
      </c>
      <c r="JH14" s="40" t="str">
        <f t="shared" si="113"/>
        <v/>
      </c>
      <c r="JI14" s="40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 t="shared" si="129"/>
        <v/>
      </c>
      <c r="LM14" s="40" t="str">
        <f t="shared" si="130"/>
        <v/>
      </c>
      <c r="LN14" s="40" t="str">
        <f t="shared" si="131"/>
        <v/>
      </c>
      <c r="LO14" s="40" t="str">
        <f t="shared" si="132"/>
        <v/>
      </c>
      <c r="LP14" s="40" t="str">
        <f t="shared" si="133"/>
        <v/>
      </c>
      <c r="LQ14" s="40" t="str">
        <f t="shared" si="134"/>
        <v/>
      </c>
      <c r="LR14" s="40" t="str">
        <f t="shared" si="135"/>
        <v/>
      </c>
      <c r="LS14" s="40" t="str">
        <f t="shared" si="136"/>
        <v/>
      </c>
      <c r="LT14" s="40" t="str">
        <f t="shared" si="137"/>
        <v/>
      </c>
      <c r="LU14" s="40" t="str">
        <f t="shared" si="138"/>
        <v/>
      </c>
      <c r="LV14" s="40" t="str">
        <f t="shared" si="139"/>
        <v/>
      </c>
      <c r="LW14" s="40" t="str">
        <f t="shared" si="140"/>
        <v/>
      </c>
      <c r="LX14" s="40" t="str">
        <f t="shared" si="141"/>
        <v/>
      </c>
      <c r="LY14" s="40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 t="shared" si="157"/>
        <v/>
      </c>
      <c r="OC14" s="40" t="str">
        <f t="shared" si="158"/>
        <v/>
      </c>
      <c r="OD14" s="40" t="str">
        <f t="shared" si="159"/>
        <v/>
      </c>
      <c r="OE14" s="40" t="str">
        <f t="shared" si="160"/>
        <v/>
      </c>
      <c r="OF14" s="40" t="str">
        <f t="shared" si="161"/>
        <v/>
      </c>
      <c r="OG14" s="40" t="str">
        <f t="shared" si="162"/>
        <v/>
      </c>
      <c r="OH14" s="40" t="str">
        <f t="shared" si="163"/>
        <v/>
      </c>
      <c r="OI14" s="40" t="str">
        <f t="shared" si="164"/>
        <v/>
      </c>
      <c r="OJ14" s="40" t="str">
        <f t="shared" si="165"/>
        <v/>
      </c>
      <c r="OK14" s="40" t="str">
        <f t="shared" si="166"/>
        <v/>
      </c>
      <c r="OL14" s="40" t="str">
        <f t="shared" si="167"/>
        <v/>
      </c>
      <c r="OM14" s="40" t="str">
        <f t="shared" si="168"/>
        <v/>
      </c>
      <c r="ON14" s="40" t="str">
        <f t="shared" si="169"/>
        <v/>
      </c>
      <c r="OO14" s="40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 t="shared" si="185"/>
        <v/>
      </c>
      <c r="QS14" s="40" t="str">
        <f t="shared" si="186"/>
        <v/>
      </c>
      <c r="QT14" s="40" t="str">
        <f t="shared" si="187"/>
        <v/>
      </c>
      <c r="QU14" s="40" t="str">
        <f t="shared" si="188"/>
        <v/>
      </c>
      <c r="QV14" s="40" t="str">
        <f t="shared" si="189"/>
        <v/>
      </c>
      <c r="QW14" s="40" t="str">
        <f t="shared" si="190"/>
        <v/>
      </c>
      <c r="QX14" s="40" t="str">
        <f t="shared" si="191"/>
        <v/>
      </c>
      <c r="QY14" s="40" t="str">
        <f t="shared" si="192"/>
        <v/>
      </c>
      <c r="QZ14" s="40" t="str">
        <f t="shared" si="193"/>
        <v/>
      </c>
      <c r="RA14" s="40" t="str">
        <f t="shared" si="194"/>
        <v/>
      </c>
      <c r="RB14" s="40" t="str">
        <f t="shared" si="195"/>
        <v/>
      </c>
      <c r="RC14" s="40" t="str">
        <f t="shared" si="196"/>
        <v/>
      </c>
      <c r="RD14" s="40" t="str">
        <f t="shared" si="197"/>
        <v/>
      </c>
      <c r="RE14" s="40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 t="shared" si="213"/>
        <v/>
      </c>
      <c r="TI14" s="40" t="str">
        <f t="shared" si="214"/>
        <v/>
      </c>
      <c r="TJ14" s="40" t="str">
        <f t="shared" si="215"/>
        <v/>
      </c>
      <c r="TK14" s="40" t="str">
        <f t="shared" si="216"/>
        <v/>
      </c>
      <c r="TL14" s="40" t="str">
        <f t="shared" si="217"/>
        <v/>
      </c>
      <c r="TM14" s="40" t="str">
        <f t="shared" si="218"/>
        <v/>
      </c>
      <c r="TN14" s="40" t="str">
        <f t="shared" si="219"/>
        <v/>
      </c>
      <c r="TO14" s="40" t="str">
        <f t="shared" si="220"/>
        <v/>
      </c>
      <c r="TP14" s="40" t="str">
        <f t="shared" si="221"/>
        <v/>
      </c>
      <c r="TQ14" s="40" t="str">
        <f t="shared" si="222"/>
        <v/>
      </c>
      <c r="TR14" s="40" t="str">
        <f t="shared" si="223"/>
        <v/>
      </c>
      <c r="TS14" s="40" t="str">
        <f t="shared" si="224"/>
        <v/>
      </c>
      <c r="TT14" s="40" t="str">
        <f t="shared" si="225"/>
        <v/>
      </c>
      <c r="TU14" s="40" t="str">
        <f t="shared" si="226"/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 t="shared" si="227"/>
        <v/>
      </c>
      <c r="UQ14" s="11" t="str">
        <f t="shared" si="228"/>
        <v/>
      </c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 t="shared" si="241"/>
        <v/>
      </c>
      <c r="VY14" s="40" t="str">
        <f t="shared" si="242"/>
        <v/>
      </c>
      <c r="VZ14" s="40" t="str">
        <f t="shared" si="243"/>
        <v/>
      </c>
      <c r="WA14" s="40" t="str">
        <f t="shared" si="244"/>
        <v/>
      </c>
      <c r="WB14" s="40" t="str">
        <f t="shared" si="245"/>
        <v/>
      </c>
      <c r="WC14" s="40" t="str">
        <f t="shared" si="246"/>
        <v/>
      </c>
      <c r="WD14" s="40" t="str">
        <f t="shared" si="247"/>
        <v/>
      </c>
      <c r="WE14" s="40" t="str">
        <f t="shared" si="248"/>
        <v/>
      </c>
      <c r="WF14" s="40" t="str">
        <f t="shared" si="249"/>
        <v/>
      </c>
      <c r="WG14" s="40" t="str">
        <f t="shared" si="250"/>
        <v/>
      </c>
      <c r="WH14" s="40" t="str">
        <f t="shared" si="251"/>
        <v/>
      </c>
      <c r="WI14" s="40" t="str">
        <f t="shared" si="252"/>
        <v/>
      </c>
      <c r="WJ14" s="40" t="str">
        <f t="shared" si="253"/>
        <v/>
      </c>
      <c r="WK14" s="40" t="str">
        <f t="shared" si="254"/>
        <v/>
      </c>
      <c r="WL14" s="26">
        <f t="shared" si="255"/>
        <v>0</v>
      </c>
      <c r="WM14" s="26">
        <f t="shared" si="256"/>
        <v>0</v>
      </c>
      <c r="WN14" s="26">
        <f t="shared" si="257"/>
        <v>0</v>
      </c>
      <c r="WO14" s="26">
        <f t="shared" si="258"/>
        <v>0</v>
      </c>
      <c r="WP14" s="26">
        <f t="shared" si="259"/>
        <v>0</v>
      </c>
      <c r="WQ14" s="26">
        <f t="shared" si="260"/>
        <v>0</v>
      </c>
      <c r="WR14" s="26">
        <f t="shared" si="261"/>
        <v>0</v>
      </c>
      <c r="WS14" s="26">
        <f t="shared" si="262"/>
        <v>0</v>
      </c>
      <c r="WT14" s="26">
        <f t="shared" si="263"/>
        <v>0</v>
      </c>
      <c r="WU14" s="26">
        <f t="shared" si="264"/>
        <v>0</v>
      </c>
      <c r="WV14" s="26">
        <f t="shared" si="265"/>
        <v>0</v>
      </c>
      <c r="WW14" s="26">
        <f t="shared" si="266"/>
        <v>0</v>
      </c>
      <c r="WX14" s="26">
        <f t="shared" si="267"/>
        <v>0</v>
      </c>
      <c r="WY14" s="26">
        <f t="shared" si="268"/>
        <v>0</v>
      </c>
      <c r="WZ14" s="26">
        <f t="shared" si="269"/>
        <v>0</v>
      </c>
      <c r="XA14" s="28" t="s">
        <v>53</v>
      </c>
      <c r="XB14" s="11" t="str">
        <f t="shared" si="270"/>
        <v/>
      </c>
      <c r="XC14" s="11" t="str">
        <f t="shared" si="271"/>
        <v/>
      </c>
      <c r="XD14" s="11" t="str">
        <f t="shared" si="272"/>
        <v/>
      </c>
      <c r="XE14" s="11" t="str">
        <f t="shared" si="273"/>
        <v/>
      </c>
      <c r="XF14" s="11" t="str">
        <f t="shared" si="274"/>
        <v/>
      </c>
      <c r="XG14" s="11" t="str">
        <f t="shared" si="275"/>
        <v/>
      </c>
      <c r="XH14" s="11" t="str">
        <f t="shared" si="276"/>
        <v/>
      </c>
      <c r="XI14" s="11" t="str">
        <f t="shared" si="277"/>
        <v/>
      </c>
      <c r="XJ14" s="11" t="str">
        <f t="shared" si="278"/>
        <v/>
      </c>
      <c r="XK14" s="11" t="str">
        <f t="shared" si="279"/>
        <v/>
      </c>
      <c r="XL14" s="11" t="str">
        <f t="shared" si="280"/>
        <v/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224</v>
      </c>
      <c r="C15" s="4" t="s">
        <v>3</v>
      </c>
      <c r="D15" s="4" t="s">
        <v>194</v>
      </c>
      <c r="E15" s="9">
        <f t="shared" si="0"/>
        <v>4.75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4.75</v>
      </c>
      <c r="K15" s="8" t="str">
        <f t="shared" si="5"/>
        <v>2024 Nationals</v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 t="str">
        <f t="shared" si="7"/>
        <v/>
      </c>
      <c r="O15" s="11" t="str">
        <f t="shared" si="8"/>
        <v/>
      </c>
      <c r="P15" s="8" t="str">
        <f t="shared" si="9"/>
        <v/>
      </c>
      <c r="Q15" s="22">
        <v>0.65</v>
      </c>
      <c r="R15" s="22">
        <v>1</v>
      </c>
      <c r="S15" s="22">
        <v>1.5</v>
      </c>
      <c r="T15" s="22">
        <v>1.6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0</v>
      </c>
      <c r="AA15" s="22"/>
      <c r="AB15" s="22"/>
      <c r="AC15" s="22"/>
      <c r="AD15" s="22"/>
      <c r="AE15" s="22"/>
      <c r="AF15" s="27"/>
      <c r="AG15" s="38">
        <f t="shared" si="10"/>
        <v>1.5</v>
      </c>
      <c r="AH15" s="38">
        <f t="shared" si="11"/>
        <v>1.6</v>
      </c>
      <c r="AI15" s="40">
        <f t="shared" si="12"/>
        <v>4.75</v>
      </c>
      <c r="AJ15" s="40" t="str">
        <f t="shared" si="13"/>
        <v/>
      </c>
      <c r="AK15" s="40" t="str">
        <f t="shared" si="14"/>
        <v/>
      </c>
      <c r="AL15" s="40" t="str">
        <f t="shared" si="15"/>
        <v/>
      </c>
      <c r="AM15" s="40">
        <f t="shared" si="16"/>
        <v>4.75</v>
      </c>
      <c r="AN15" s="40" t="str">
        <f t="shared" si="17"/>
        <v/>
      </c>
      <c r="AO15" s="40" t="str">
        <f t="shared" si="18"/>
        <v/>
      </c>
      <c r="AP15" s="40" t="str">
        <f t="shared" si="19"/>
        <v/>
      </c>
      <c r="AQ15" s="40">
        <f t="shared" si="20"/>
        <v>4.75</v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 t="shared" si="21"/>
        <v/>
      </c>
      <c r="BI15" s="39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 t="shared" si="32"/>
        <v/>
      </c>
      <c r="CJ15" s="38" t="str">
        <f t="shared" si="33"/>
        <v/>
      </c>
      <c r="CK15" s="40" t="str">
        <f t="shared" si="34"/>
        <v/>
      </c>
      <c r="CL15" s="40" t="str">
        <f t="shared" si="35"/>
        <v/>
      </c>
      <c r="CM15" s="40" t="str">
        <f t="shared" si="36"/>
        <v/>
      </c>
      <c r="CN15" s="40" t="str">
        <f t="shared" si="37"/>
        <v/>
      </c>
      <c r="CO15" s="40" t="str">
        <f t="shared" si="38"/>
        <v/>
      </c>
      <c r="CP15" s="40" t="str">
        <f t="shared" si="39"/>
        <v/>
      </c>
      <c r="CQ15" s="40" t="str">
        <f t="shared" si="40"/>
        <v/>
      </c>
      <c r="CR15" s="40" t="str">
        <f t="shared" si="41"/>
        <v/>
      </c>
      <c r="CS15" s="40" t="str">
        <f t="shared" si="42"/>
        <v/>
      </c>
      <c r="CT15" s="51" t="str">
        <f t="shared" si="43"/>
        <v/>
      </c>
      <c r="CU15" s="51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 t="shared" si="45"/>
        <v/>
      </c>
      <c r="DQ15" s="40" t="str">
        <f t="shared" si="46"/>
        <v/>
      </c>
      <c r="DR15" s="40" t="str">
        <f t="shared" si="47"/>
        <v/>
      </c>
      <c r="DS15" s="40" t="str">
        <f t="shared" si="48"/>
        <v/>
      </c>
      <c r="DT15" s="40" t="str">
        <f t="shared" si="49"/>
        <v/>
      </c>
      <c r="DU15" s="40" t="str">
        <f t="shared" si="50"/>
        <v/>
      </c>
      <c r="DV15" s="40" t="str">
        <f t="shared" si="51"/>
        <v/>
      </c>
      <c r="DW15" s="40" t="str">
        <f t="shared" si="52"/>
        <v/>
      </c>
      <c r="DX15" s="40" t="str">
        <f t="shared" si="53"/>
        <v/>
      </c>
      <c r="DY15" s="40" t="str">
        <f t="shared" si="54"/>
        <v/>
      </c>
      <c r="DZ15" s="40" t="str">
        <f t="shared" si="55"/>
        <v/>
      </c>
      <c r="EA15" s="40" t="str">
        <f t="shared" si="56"/>
        <v/>
      </c>
      <c r="EB15" s="40" t="str">
        <f t="shared" si="57"/>
        <v/>
      </c>
      <c r="EC15" s="40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 t="shared" si="73"/>
        <v/>
      </c>
      <c r="GG15" s="40" t="str">
        <f t="shared" si="74"/>
        <v/>
      </c>
      <c r="GH15" s="40" t="str">
        <f t="shared" si="75"/>
        <v/>
      </c>
      <c r="GI15" s="40" t="str">
        <f t="shared" si="76"/>
        <v/>
      </c>
      <c r="GJ15" s="40" t="str">
        <f t="shared" si="77"/>
        <v/>
      </c>
      <c r="GK15" s="40" t="str">
        <f t="shared" si="78"/>
        <v/>
      </c>
      <c r="GL15" s="40" t="str">
        <f t="shared" si="79"/>
        <v/>
      </c>
      <c r="GM15" s="40" t="str">
        <f t="shared" si="80"/>
        <v/>
      </c>
      <c r="GN15" s="40" t="str">
        <f t="shared" si="81"/>
        <v/>
      </c>
      <c r="GO15" s="40" t="str">
        <f t="shared" si="82"/>
        <v/>
      </c>
      <c r="GP15" s="40" t="str">
        <f t="shared" si="83"/>
        <v/>
      </c>
      <c r="GQ15" s="40" t="str">
        <f t="shared" si="84"/>
        <v/>
      </c>
      <c r="GR15" s="40" t="str">
        <f t="shared" si="85"/>
        <v/>
      </c>
      <c r="GS15" s="40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 t="shared" si="101"/>
        <v/>
      </c>
      <c r="IW15" s="40" t="str">
        <f t="shared" si="102"/>
        <v/>
      </c>
      <c r="IX15" s="40" t="str">
        <f t="shared" si="103"/>
        <v/>
      </c>
      <c r="IY15" s="40" t="str">
        <f t="shared" si="104"/>
        <v/>
      </c>
      <c r="IZ15" s="40" t="str">
        <f t="shared" si="105"/>
        <v/>
      </c>
      <c r="JA15" s="40" t="str">
        <f t="shared" si="106"/>
        <v/>
      </c>
      <c r="JB15" s="40" t="str">
        <f t="shared" si="107"/>
        <v/>
      </c>
      <c r="JC15" s="40" t="str">
        <f t="shared" si="108"/>
        <v/>
      </c>
      <c r="JD15" s="40" t="str">
        <f t="shared" si="109"/>
        <v/>
      </c>
      <c r="JE15" s="40" t="str">
        <f t="shared" si="110"/>
        <v/>
      </c>
      <c r="JF15" s="40" t="str">
        <f t="shared" si="111"/>
        <v/>
      </c>
      <c r="JG15" s="40" t="str">
        <f t="shared" si="112"/>
        <v/>
      </c>
      <c r="JH15" s="40" t="str">
        <f t="shared" si="113"/>
        <v/>
      </c>
      <c r="JI15" s="40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 t="shared" si="129"/>
        <v/>
      </c>
      <c r="LM15" s="40" t="str">
        <f t="shared" si="130"/>
        <v/>
      </c>
      <c r="LN15" s="40" t="str">
        <f t="shared" si="131"/>
        <v/>
      </c>
      <c r="LO15" s="40" t="str">
        <f t="shared" si="132"/>
        <v/>
      </c>
      <c r="LP15" s="40" t="str">
        <f t="shared" si="133"/>
        <v/>
      </c>
      <c r="LQ15" s="40" t="str">
        <f t="shared" si="134"/>
        <v/>
      </c>
      <c r="LR15" s="40" t="str">
        <f t="shared" si="135"/>
        <v/>
      </c>
      <c r="LS15" s="40" t="str">
        <f t="shared" si="136"/>
        <v/>
      </c>
      <c r="LT15" s="40" t="str">
        <f t="shared" si="137"/>
        <v/>
      </c>
      <c r="LU15" s="40" t="str">
        <f t="shared" si="138"/>
        <v/>
      </c>
      <c r="LV15" s="40" t="str">
        <f t="shared" si="139"/>
        <v/>
      </c>
      <c r="LW15" s="40" t="str">
        <f t="shared" si="140"/>
        <v/>
      </c>
      <c r="LX15" s="40" t="str">
        <f t="shared" si="141"/>
        <v/>
      </c>
      <c r="LY15" s="40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 t="shared" si="157"/>
        <v/>
      </c>
      <c r="OC15" s="40" t="str">
        <f t="shared" si="158"/>
        <v/>
      </c>
      <c r="OD15" s="40" t="str">
        <f t="shared" si="159"/>
        <v/>
      </c>
      <c r="OE15" s="40" t="str">
        <f t="shared" si="160"/>
        <v/>
      </c>
      <c r="OF15" s="40" t="str">
        <f t="shared" si="161"/>
        <v/>
      </c>
      <c r="OG15" s="40" t="str">
        <f t="shared" si="162"/>
        <v/>
      </c>
      <c r="OH15" s="40" t="str">
        <f t="shared" si="163"/>
        <v/>
      </c>
      <c r="OI15" s="40" t="str">
        <f t="shared" si="164"/>
        <v/>
      </c>
      <c r="OJ15" s="40" t="str">
        <f t="shared" si="165"/>
        <v/>
      </c>
      <c r="OK15" s="40" t="str">
        <f t="shared" si="166"/>
        <v/>
      </c>
      <c r="OL15" s="40" t="str">
        <f t="shared" si="167"/>
        <v/>
      </c>
      <c r="OM15" s="40" t="str">
        <f t="shared" si="168"/>
        <v/>
      </c>
      <c r="ON15" s="40" t="str">
        <f t="shared" si="169"/>
        <v/>
      </c>
      <c r="OO15" s="40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 t="shared" si="185"/>
        <v/>
      </c>
      <c r="QS15" s="40" t="str">
        <f t="shared" si="186"/>
        <v/>
      </c>
      <c r="QT15" s="40" t="str">
        <f t="shared" si="187"/>
        <v/>
      </c>
      <c r="QU15" s="40" t="str">
        <f t="shared" si="188"/>
        <v/>
      </c>
      <c r="QV15" s="40" t="str">
        <f t="shared" si="189"/>
        <v/>
      </c>
      <c r="QW15" s="40" t="str">
        <f t="shared" si="190"/>
        <v/>
      </c>
      <c r="QX15" s="40" t="str">
        <f t="shared" si="191"/>
        <v/>
      </c>
      <c r="QY15" s="40" t="str">
        <f t="shared" si="192"/>
        <v/>
      </c>
      <c r="QZ15" s="40" t="str">
        <f t="shared" si="193"/>
        <v/>
      </c>
      <c r="RA15" s="40" t="str">
        <f t="shared" si="194"/>
        <v/>
      </c>
      <c r="RB15" s="40" t="str">
        <f t="shared" si="195"/>
        <v/>
      </c>
      <c r="RC15" s="40" t="str">
        <f t="shared" si="196"/>
        <v/>
      </c>
      <c r="RD15" s="40" t="str">
        <f t="shared" si="197"/>
        <v/>
      </c>
      <c r="RE15" s="40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 t="shared" si="213"/>
        <v/>
      </c>
      <c r="TI15" s="40" t="str">
        <f t="shared" si="214"/>
        <v/>
      </c>
      <c r="TJ15" s="40" t="str">
        <f t="shared" si="215"/>
        <v/>
      </c>
      <c r="TK15" s="40" t="str">
        <f t="shared" si="216"/>
        <v/>
      </c>
      <c r="TL15" s="40" t="str">
        <f t="shared" si="217"/>
        <v/>
      </c>
      <c r="TM15" s="40" t="str">
        <f t="shared" si="218"/>
        <v/>
      </c>
      <c r="TN15" s="40" t="str">
        <f t="shared" si="219"/>
        <v/>
      </c>
      <c r="TO15" s="40" t="str">
        <f t="shared" si="220"/>
        <v/>
      </c>
      <c r="TP15" s="40" t="str">
        <f t="shared" si="221"/>
        <v/>
      </c>
      <c r="TQ15" s="40" t="str">
        <f t="shared" si="222"/>
        <v/>
      </c>
      <c r="TR15" s="40" t="str">
        <f t="shared" si="223"/>
        <v/>
      </c>
      <c r="TS15" s="40" t="str">
        <f t="shared" si="224"/>
        <v/>
      </c>
      <c r="TT15" s="40" t="str">
        <f t="shared" si="225"/>
        <v/>
      </c>
      <c r="TU15" s="40" t="str">
        <f t="shared" si="226"/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 t="shared" si="227"/>
        <v/>
      </c>
      <c r="UQ15" s="11" t="str">
        <f t="shared" si="228"/>
        <v/>
      </c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 t="shared" si="241"/>
        <v/>
      </c>
      <c r="VY15" s="40" t="str">
        <f t="shared" si="242"/>
        <v/>
      </c>
      <c r="VZ15" s="40" t="str">
        <f t="shared" si="243"/>
        <v/>
      </c>
      <c r="WA15" s="40" t="str">
        <f t="shared" si="244"/>
        <v/>
      </c>
      <c r="WB15" s="40" t="str">
        <f t="shared" si="245"/>
        <v/>
      </c>
      <c r="WC15" s="40" t="str">
        <f t="shared" si="246"/>
        <v/>
      </c>
      <c r="WD15" s="40" t="str">
        <f t="shared" si="247"/>
        <v/>
      </c>
      <c r="WE15" s="40" t="str">
        <f t="shared" si="248"/>
        <v/>
      </c>
      <c r="WF15" s="40" t="str">
        <f t="shared" si="249"/>
        <v/>
      </c>
      <c r="WG15" s="40" t="str">
        <f t="shared" si="250"/>
        <v/>
      </c>
      <c r="WH15" s="40" t="str">
        <f t="shared" si="251"/>
        <v/>
      </c>
      <c r="WI15" s="40" t="str">
        <f t="shared" si="252"/>
        <v/>
      </c>
      <c r="WJ15" s="40" t="str">
        <f t="shared" si="253"/>
        <v/>
      </c>
      <c r="WK15" s="40" t="str">
        <f t="shared" si="254"/>
        <v/>
      </c>
      <c r="WL15" s="26">
        <f t="shared" si="255"/>
        <v>0</v>
      </c>
      <c r="WM15" s="26">
        <f t="shared" si="256"/>
        <v>0</v>
      </c>
      <c r="WN15" s="26">
        <f t="shared" si="257"/>
        <v>0</v>
      </c>
      <c r="WO15" s="26">
        <f t="shared" si="258"/>
        <v>0</v>
      </c>
      <c r="WP15" s="26">
        <f t="shared" si="259"/>
        <v>0</v>
      </c>
      <c r="WQ15" s="26">
        <f t="shared" si="260"/>
        <v>0</v>
      </c>
      <c r="WR15" s="26">
        <f t="shared" si="261"/>
        <v>0</v>
      </c>
      <c r="WS15" s="26">
        <f t="shared" si="262"/>
        <v>0</v>
      </c>
      <c r="WT15" s="26">
        <f t="shared" si="263"/>
        <v>0</v>
      </c>
      <c r="WU15" s="26">
        <f t="shared" si="264"/>
        <v>0</v>
      </c>
      <c r="WV15" s="26">
        <f t="shared" si="265"/>
        <v>0</v>
      </c>
      <c r="WW15" s="26">
        <f t="shared" si="266"/>
        <v>0</v>
      </c>
      <c r="WX15" s="26">
        <f t="shared" si="267"/>
        <v>0</v>
      </c>
      <c r="WY15" s="26">
        <f t="shared" si="268"/>
        <v>0</v>
      </c>
      <c r="WZ15" s="26">
        <f t="shared" si="269"/>
        <v>0</v>
      </c>
      <c r="XA15" s="28" t="s">
        <v>53</v>
      </c>
      <c r="XB15" s="11" t="str">
        <f t="shared" si="270"/>
        <v/>
      </c>
      <c r="XC15" s="11" t="str">
        <f t="shared" si="271"/>
        <v/>
      </c>
      <c r="XD15" s="11" t="str">
        <f t="shared" si="272"/>
        <v/>
      </c>
      <c r="XE15" s="11" t="str">
        <f t="shared" si="273"/>
        <v/>
      </c>
      <c r="XF15" s="11" t="str">
        <f t="shared" si="274"/>
        <v/>
      </c>
      <c r="XG15" s="11" t="str">
        <f t="shared" si="275"/>
        <v/>
      </c>
      <c r="XH15" s="11" t="str">
        <f t="shared" si="276"/>
        <v/>
      </c>
      <c r="XI15" s="11" t="str">
        <f t="shared" si="277"/>
        <v/>
      </c>
      <c r="XJ15" s="11" t="str">
        <f t="shared" si="278"/>
        <v/>
      </c>
      <c r="XK15" s="11" t="str">
        <f t="shared" si="279"/>
        <v/>
      </c>
      <c r="XL15" s="11" t="str">
        <f t="shared" si="280"/>
        <v/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259</v>
      </c>
      <c r="C16" s="4" t="s">
        <v>3</v>
      </c>
      <c r="D16" s="4" t="s">
        <v>262</v>
      </c>
      <c r="E16" s="9">
        <f t="shared" si="0"/>
        <v>0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0</v>
      </c>
      <c r="K16" s="8" t="str">
        <f t="shared" si="5"/>
        <v/>
      </c>
      <c r="L16" s="8">
        <f>IF(COUNT(AI16,AL16,AP16,BJ16,BM16,BQ16,CK16,CN16,CR16)&gt;1,LARGE((AI16,AL16,AP16,BJ16,BM16,BQ16,CK16,CN16,CR16),2),0)</f>
        <v>0</v>
      </c>
      <c r="M16" s="8" t="str">
        <f t="shared" si="6"/>
        <v/>
      </c>
      <c r="N16" s="8" t="str">
        <f t="shared" si="7"/>
        <v/>
      </c>
      <c r="O16" s="11" t="str">
        <f t="shared" si="8"/>
        <v/>
      </c>
      <c r="P16" s="8" t="str">
        <f t="shared" si="9"/>
        <v/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 t="shared" si="10"/>
        <v/>
      </c>
      <c r="AH16" s="38" t="str">
        <f t="shared" si="11"/>
        <v/>
      </c>
      <c r="AI16" s="40" t="str">
        <f t="shared" si="12"/>
        <v/>
      </c>
      <c r="AJ16" s="40" t="str">
        <f t="shared" si="13"/>
        <v/>
      </c>
      <c r="AK16" s="40" t="str">
        <f t="shared" si="14"/>
        <v/>
      </c>
      <c r="AL16" s="40" t="str">
        <f t="shared" si="15"/>
        <v/>
      </c>
      <c r="AM16" s="40" t="str">
        <f t="shared" si="16"/>
        <v/>
      </c>
      <c r="AN16" s="40" t="str">
        <f t="shared" si="17"/>
        <v/>
      </c>
      <c r="AO16" s="40" t="str">
        <f t="shared" si="18"/>
        <v/>
      </c>
      <c r="AP16" s="40" t="str">
        <f t="shared" si="19"/>
        <v/>
      </c>
      <c r="AQ16" s="40" t="str">
        <f t="shared" si="20"/>
        <v/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 t="shared" si="21"/>
        <v/>
      </c>
      <c r="BI16" s="39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 t="shared" si="32"/>
        <v/>
      </c>
      <c r="CJ16" s="38" t="str">
        <f t="shared" si="33"/>
        <v/>
      </c>
      <c r="CK16" s="40" t="str">
        <f t="shared" si="34"/>
        <v/>
      </c>
      <c r="CL16" s="40" t="str">
        <f t="shared" si="35"/>
        <v/>
      </c>
      <c r="CM16" s="40" t="str">
        <f t="shared" si="36"/>
        <v/>
      </c>
      <c r="CN16" s="40" t="str">
        <f t="shared" si="37"/>
        <v/>
      </c>
      <c r="CO16" s="40" t="str">
        <f t="shared" si="38"/>
        <v/>
      </c>
      <c r="CP16" s="40" t="str">
        <f t="shared" si="39"/>
        <v/>
      </c>
      <c r="CQ16" s="40" t="str">
        <f t="shared" si="40"/>
        <v/>
      </c>
      <c r="CR16" s="40" t="str">
        <f t="shared" si="41"/>
        <v/>
      </c>
      <c r="CS16" s="40" t="str">
        <f t="shared" si="42"/>
        <v/>
      </c>
      <c r="CT16" s="51" t="str">
        <f t="shared" si="43"/>
        <v/>
      </c>
      <c r="CU16" s="51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 t="shared" si="45"/>
        <v/>
      </c>
      <c r="DQ16" s="40" t="str">
        <f t="shared" si="46"/>
        <v/>
      </c>
      <c r="DR16" s="40" t="str">
        <f t="shared" si="47"/>
        <v/>
      </c>
      <c r="DS16" s="40" t="str">
        <f t="shared" si="48"/>
        <v/>
      </c>
      <c r="DT16" s="40" t="str">
        <f t="shared" si="49"/>
        <v/>
      </c>
      <c r="DU16" s="40" t="str">
        <f t="shared" si="50"/>
        <v/>
      </c>
      <c r="DV16" s="40" t="str">
        <f t="shared" si="51"/>
        <v/>
      </c>
      <c r="DW16" s="40" t="str">
        <f t="shared" si="52"/>
        <v/>
      </c>
      <c r="DX16" s="40" t="str">
        <f t="shared" si="53"/>
        <v/>
      </c>
      <c r="DY16" s="40" t="str">
        <f t="shared" si="54"/>
        <v/>
      </c>
      <c r="DZ16" s="40" t="str">
        <f t="shared" si="55"/>
        <v/>
      </c>
      <c r="EA16" s="40" t="str">
        <f t="shared" si="56"/>
        <v/>
      </c>
      <c r="EB16" s="40" t="str">
        <f t="shared" si="57"/>
        <v/>
      </c>
      <c r="EC16" s="40" t="str">
        <f t="shared" si="58"/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 t="shared" si="73"/>
        <v/>
      </c>
      <c r="GG16" s="40" t="str">
        <f t="shared" si="74"/>
        <v/>
      </c>
      <c r="GH16" s="40" t="str">
        <f t="shared" si="75"/>
        <v/>
      </c>
      <c r="GI16" s="40" t="str">
        <f t="shared" si="76"/>
        <v/>
      </c>
      <c r="GJ16" s="40" t="str">
        <f t="shared" si="77"/>
        <v/>
      </c>
      <c r="GK16" s="40" t="str">
        <f t="shared" si="78"/>
        <v/>
      </c>
      <c r="GL16" s="40" t="str">
        <f t="shared" si="79"/>
        <v/>
      </c>
      <c r="GM16" s="40" t="str">
        <f t="shared" si="80"/>
        <v/>
      </c>
      <c r="GN16" s="40" t="str">
        <f t="shared" si="81"/>
        <v/>
      </c>
      <c r="GO16" s="40" t="str">
        <f t="shared" si="82"/>
        <v/>
      </c>
      <c r="GP16" s="40" t="str">
        <f t="shared" si="83"/>
        <v/>
      </c>
      <c r="GQ16" s="40" t="str">
        <f t="shared" si="84"/>
        <v/>
      </c>
      <c r="GR16" s="40" t="str">
        <f t="shared" si="85"/>
        <v/>
      </c>
      <c r="GS16" s="40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 t="shared" si="101"/>
        <v/>
      </c>
      <c r="IW16" s="40" t="str">
        <f t="shared" si="102"/>
        <v/>
      </c>
      <c r="IX16" s="40" t="str">
        <f t="shared" si="103"/>
        <v/>
      </c>
      <c r="IY16" s="40" t="str">
        <f t="shared" si="104"/>
        <v/>
      </c>
      <c r="IZ16" s="40" t="str">
        <f t="shared" si="105"/>
        <v/>
      </c>
      <c r="JA16" s="40" t="str">
        <f t="shared" si="106"/>
        <v/>
      </c>
      <c r="JB16" s="40" t="str">
        <f t="shared" si="107"/>
        <v/>
      </c>
      <c r="JC16" s="40" t="str">
        <f t="shared" si="108"/>
        <v/>
      </c>
      <c r="JD16" s="40" t="str">
        <f t="shared" si="109"/>
        <v/>
      </c>
      <c r="JE16" s="40" t="str">
        <f t="shared" si="110"/>
        <v/>
      </c>
      <c r="JF16" s="40" t="str">
        <f t="shared" si="111"/>
        <v/>
      </c>
      <c r="JG16" s="40" t="str">
        <f t="shared" si="112"/>
        <v/>
      </c>
      <c r="JH16" s="40" t="str">
        <f t="shared" si="113"/>
        <v/>
      </c>
      <c r="JI16" s="40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 t="shared" si="129"/>
        <v/>
      </c>
      <c r="LM16" s="40" t="str">
        <f t="shared" si="130"/>
        <v/>
      </c>
      <c r="LN16" s="40" t="str">
        <f t="shared" si="131"/>
        <v/>
      </c>
      <c r="LO16" s="40" t="str">
        <f t="shared" si="132"/>
        <v/>
      </c>
      <c r="LP16" s="40" t="str">
        <f t="shared" si="133"/>
        <v/>
      </c>
      <c r="LQ16" s="40" t="str">
        <f t="shared" si="134"/>
        <v/>
      </c>
      <c r="LR16" s="40" t="str">
        <f t="shared" si="135"/>
        <v/>
      </c>
      <c r="LS16" s="40" t="str">
        <f t="shared" si="136"/>
        <v/>
      </c>
      <c r="LT16" s="40" t="str">
        <f t="shared" si="137"/>
        <v/>
      </c>
      <c r="LU16" s="40" t="str">
        <f t="shared" si="138"/>
        <v/>
      </c>
      <c r="LV16" s="40" t="str">
        <f t="shared" si="139"/>
        <v/>
      </c>
      <c r="LW16" s="40" t="str">
        <f t="shared" si="140"/>
        <v/>
      </c>
      <c r="LX16" s="40" t="str">
        <f t="shared" si="141"/>
        <v/>
      </c>
      <c r="LY16" s="40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 t="shared" si="157"/>
        <v/>
      </c>
      <c r="OC16" s="40" t="str">
        <f t="shared" si="158"/>
        <v/>
      </c>
      <c r="OD16" s="40" t="str">
        <f t="shared" si="159"/>
        <v/>
      </c>
      <c r="OE16" s="40" t="str">
        <f t="shared" si="160"/>
        <v/>
      </c>
      <c r="OF16" s="40" t="str">
        <f t="shared" si="161"/>
        <v/>
      </c>
      <c r="OG16" s="40" t="str">
        <f t="shared" si="162"/>
        <v/>
      </c>
      <c r="OH16" s="40" t="str">
        <f t="shared" si="163"/>
        <v/>
      </c>
      <c r="OI16" s="40" t="str">
        <f t="shared" si="164"/>
        <v/>
      </c>
      <c r="OJ16" s="40" t="str">
        <f t="shared" si="165"/>
        <v/>
      </c>
      <c r="OK16" s="40" t="str">
        <f t="shared" si="166"/>
        <v/>
      </c>
      <c r="OL16" s="40" t="str">
        <f t="shared" si="167"/>
        <v/>
      </c>
      <c r="OM16" s="40" t="str">
        <f t="shared" si="168"/>
        <v/>
      </c>
      <c r="ON16" s="40" t="str">
        <f t="shared" si="169"/>
        <v/>
      </c>
      <c r="OO16" s="40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 t="shared" si="185"/>
        <v/>
      </c>
      <c r="QS16" s="40" t="str">
        <f t="shared" si="186"/>
        <v/>
      </c>
      <c r="QT16" s="40" t="str">
        <f t="shared" si="187"/>
        <v/>
      </c>
      <c r="QU16" s="40" t="str">
        <f t="shared" si="188"/>
        <v/>
      </c>
      <c r="QV16" s="40" t="str">
        <f t="shared" si="189"/>
        <v/>
      </c>
      <c r="QW16" s="40" t="str">
        <f t="shared" si="190"/>
        <v/>
      </c>
      <c r="QX16" s="40" t="str">
        <f t="shared" si="191"/>
        <v/>
      </c>
      <c r="QY16" s="40" t="str">
        <f t="shared" si="192"/>
        <v/>
      </c>
      <c r="QZ16" s="40" t="str">
        <f t="shared" si="193"/>
        <v/>
      </c>
      <c r="RA16" s="40" t="str">
        <f t="shared" si="194"/>
        <v/>
      </c>
      <c r="RB16" s="40" t="str">
        <f t="shared" si="195"/>
        <v/>
      </c>
      <c r="RC16" s="40" t="str">
        <f t="shared" si="196"/>
        <v/>
      </c>
      <c r="RD16" s="40" t="str">
        <f t="shared" si="197"/>
        <v/>
      </c>
      <c r="RE16" s="40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 t="shared" si="213"/>
        <v/>
      </c>
      <c r="TI16" s="40" t="str">
        <f t="shared" si="214"/>
        <v/>
      </c>
      <c r="TJ16" s="40" t="str">
        <f t="shared" si="215"/>
        <v/>
      </c>
      <c r="TK16" s="40" t="str">
        <f t="shared" si="216"/>
        <v/>
      </c>
      <c r="TL16" s="40" t="str">
        <f t="shared" si="217"/>
        <v/>
      </c>
      <c r="TM16" s="40" t="str">
        <f t="shared" si="218"/>
        <v/>
      </c>
      <c r="TN16" s="40" t="str">
        <f t="shared" si="219"/>
        <v/>
      </c>
      <c r="TO16" s="40" t="str">
        <f t="shared" si="220"/>
        <v/>
      </c>
      <c r="TP16" s="40" t="str">
        <f t="shared" si="221"/>
        <v/>
      </c>
      <c r="TQ16" s="40" t="str">
        <f t="shared" si="222"/>
        <v/>
      </c>
      <c r="TR16" s="40" t="str">
        <f t="shared" si="223"/>
        <v/>
      </c>
      <c r="TS16" s="40" t="str">
        <f t="shared" si="224"/>
        <v/>
      </c>
      <c r="TT16" s="40" t="str">
        <f t="shared" si="225"/>
        <v/>
      </c>
      <c r="TU16" s="40" t="str">
        <f t="shared" si="226"/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 t="shared" si="227"/>
        <v/>
      </c>
      <c r="UQ16" s="11" t="str">
        <f t="shared" si="228"/>
        <v/>
      </c>
      <c r="UR16" s="11" t="str">
        <f t="shared" si="229"/>
        <v/>
      </c>
      <c r="US16" s="11" t="str">
        <f t="shared" si="230"/>
        <v/>
      </c>
      <c r="UT16" s="11" t="str">
        <f t="shared" si="231"/>
        <v/>
      </c>
      <c r="UU16" s="11" t="str">
        <f t="shared" si="232"/>
        <v/>
      </c>
      <c r="UV16" s="11" t="str">
        <f t="shared" si="233"/>
        <v/>
      </c>
      <c r="UW16" s="11" t="str">
        <f t="shared" si="234"/>
        <v/>
      </c>
      <c r="UX16" s="11" t="str">
        <f t="shared" si="235"/>
        <v/>
      </c>
      <c r="UY16" s="11" t="str">
        <f t="shared" si="236"/>
        <v/>
      </c>
      <c r="UZ16" s="11" t="str">
        <f t="shared" si="237"/>
        <v/>
      </c>
      <c r="VA16" s="11" t="str">
        <f t="shared" si="238"/>
        <v/>
      </c>
      <c r="VB16" s="11" t="str">
        <f t="shared" si="239"/>
        <v/>
      </c>
      <c r="VC16" s="11" t="str">
        <f t="shared" si="240"/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 t="shared" si="241"/>
        <v/>
      </c>
      <c r="VY16" s="40" t="str">
        <f t="shared" si="242"/>
        <v/>
      </c>
      <c r="VZ16" s="40" t="str">
        <f t="shared" si="243"/>
        <v/>
      </c>
      <c r="WA16" s="40" t="str">
        <f t="shared" si="244"/>
        <v/>
      </c>
      <c r="WB16" s="40" t="str">
        <f t="shared" si="245"/>
        <v/>
      </c>
      <c r="WC16" s="40" t="str">
        <f t="shared" si="246"/>
        <v/>
      </c>
      <c r="WD16" s="40" t="str">
        <f t="shared" si="247"/>
        <v/>
      </c>
      <c r="WE16" s="40" t="str">
        <f t="shared" si="248"/>
        <v/>
      </c>
      <c r="WF16" s="40" t="str">
        <f t="shared" si="249"/>
        <v/>
      </c>
      <c r="WG16" s="40" t="str">
        <f t="shared" si="250"/>
        <v/>
      </c>
      <c r="WH16" s="40" t="str">
        <f t="shared" si="251"/>
        <v/>
      </c>
      <c r="WI16" s="40" t="str">
        <f t="shared" si="252"/>
        <v/>
      </c>
      <c r="WJ16" s="40" t="str">
        <f t="shared" si="253"/>
        <v/>
      </c>
      <c r="WK16" s="40" t="str">
        <f t="shared" si="254"/>
        <v/>
      </c>
      <c r="WL16" s="26">
        <f t="shared" si="255"/>
        <v>0</v>
      </c>
      <c r="WM16" s="26">
        <f t="shared" si="256"/>
        <v>0</v>
      </c>
      <c r="WN16" s="26">
        <f t="shared" si="257"/>
        <v>0</v>
      </c>
      <c r="WO16" s="26">
        <f t="shared" si="258"/>
        <v>0</v>
      </c>
      <c r="WP16" s="26">
        <f t="shared" si="259"/>
        <v>0</v>
      </c>
      <c r="WQ16" s="26">
        <f t="shared" si="260"/>
        <v>0</v>
      </c>
      <c r="WR16" s="26">
        <f t="shared" si="261"/>
        <v>0</v>
      </c>
      <c r="WS16" s="26">
        <f t="shared" si="262"/>
        <v>0</v>
      </c>
      <c r="WT16" s="26">
        <f t="shared" si="263"/>
        <v>0</v>
      </c>
      <c r="WU16" s="26">
        <f t="shared" si="264"/>
        <v>0</v>
      </c>
      <c r="WV16" s="26">
        <f t="shared" si="265"/>
        <v>0</v>
      </c>
      <c r="WW16" s="26">
        <f t="shared" si="266"/>
        <v>0</v>
      </c>
      <c r="WX16" s="26">
        <f t="shared" si="267"/>
        <v>0</v>
      </c>
      <c r="WY16" s="26">
        <f t="shared" si="268"/>
        <v>0</v>
      </c>
      <c r="WZ16" s="26">
        <f t="shared" si="269"/>
        <v>0</v>
      </c>
      <c r="XA16" s="28" t="s">
        <v>53</v>
      </c>
      <c r="XB16" s="11" t="str">
        <f t="shared" si="270"/>
        <v/>
      </c>
      <c r="XC16" s="11" t="str">
        <f t="shared" si="271"/>
        <v/>
      </c>
      <c r="XD16" s="11" t="str">
        <f t="shared" si="272"/>
        <v/>
      </c>
      <c r="XE16" s="11" t="str">
        <f t="shared" si="273"/>
        <v/>
      </c>
      <c r="XF16" s="11" t="str">
        <f t="shared" si="274"/>
        <v/>
      </c>
      <c r="XG16" s="11" t="str">
        <f t="shared" si="275"/>
        <v/>
      </c>
      <c r="XH16" s="11" t="str">
        <f t="shared" si="276"/>
        <v/>
      </c>
      <c r="XI16" s="11" t="str">
        <f t="shared" si="277"/>
        <v/>
      </c>
      <c r="XJ16" s="11" t="str">
        <f t="shared" si="278"/>
        <v/>
      </c>
      <c r="XK16" s="11" t="str">
        <f t="shared" si="279"/>
        <v/>
      </c>
      <c r="XL16" s="11" t="str">
        <f t="shared" si="280"/>
        <v/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260</v>
      </c>
      <c r="C17" s="4" t="s">
        <v>7</v>
      </c>
      <c r="D17" s="4" t="s">
        <v>263</v>
      </c>
      <c r="E17" s="9">
        <f t="shared" si="0"/>
        <v>0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0</v>
      </c>
      <c r="K17" s="8" t="str">
        <f t="shared" si="5"/>
        <v/>
      </c>
      <c r="L17" s="8">
        <f>IF(COUNT(AI17,AL17,AP17,BJ17,BM17,BQ17,CK17,CN17,CR17)&gt;1,LARGE((AI17,AL17,AP17,BJ17,BM17,BQ17,CK17,CN17,CR17),2),0)</f>
        <v>0</v>
      </c>
      <c r="M17" s="8" t="str">
        <f t="shared" si="6"/>
        <v/>
      </c>
      <c r="N17" s="8" t="str">
        <f t="shared" si="7"/>
        <v/>
      </c>
      <c r="O17" s="11" t="str">
        <f t="shared" si="8"/>
        <v/>
      </c>
      <c r="P17" s="8" t="str">
        <f t="shared" si="9"/>
        <v/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 t="shared" si="10"/>
        <v/>
      </c>
      <c r="AH17" s="38" t="str">
        <f t="shared" si="11"/>
        <v/>
      </c>
      <c r="AI17" s="40" t="str">
        <f t="shared" si="12"/>
        <v/>
      </c>
      <c r="AJ17" s="40" t="str">
        <f t="shared" si="13"/>
        <v/>
      </c>
      <c r="AK17" s="40" t="str">
        <f t="shared" si="14"/>
        <v/>
      </c>
      <c r="AL17" s="40" t="str">
        <f t="shared" si="15"/>
        <v/>
      </c>
      <c r="AM17" s="40" t="str">
        <f t="shared" si="16"/>
        <v/>
      </c>
      <c r="AN17" s="40" t="str">
        <f t="shared" si="17"/>
        <v/>
      </c>
      <c r="AO17" s="40" t="str">
        <f t="shared" si="18"/>
        <v/>
      </c>
      <c r="AP17" s="40" t="str">
        <f t="shared" si="19"/>
        <v/>
      </c>
      <c r="AQ17" s="40" t="str">
        <f t="shared" si="20"/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 t="shared" si="21"/>
        <v/>
      </c>
      <c r="BI17" s="39" t="str">
        <f t="shared" si="22"/>
        <v/>
      </c>
      <c r="BJ17" s="11" t="str">
        <f t="shared" si="23"/>
        <v/>
      </c>
      <c r="BK17" s="11" t="str">
        <f t="shared" si="24"/>
        <v/>
      </c>
      <c r="BL17" s="11" t="str">
        <f t="shared" si="25"/>
        <v/>
      </c>
      <c r="BM17" s="11" t="str">
        <f t="shared" si="26"/>
        <v/>
      </c>
      <c r="BN17" s="11" t="str">
        <f t="shared" si="27"/>
        <v/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 t="str">
        <f t="shared" si="31"/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 t="shared" si="32"/>
        <v/>
      </c>
      <c r="CJ17" s="38" t="str">
        <f t="shared" si="33"/>
        <v/>
      </c>
      <c r="CK17" s="40" t="str">
        <f t="shared" si="34"/>
        <v/>
      </c>
      <c r="CL17" s="40" t="str">
        <f t="shared" si="35"/>
        <v/>
      </c>
      <c r="CM17" s="40" t="str">
        <f t="shared" si="36"/>
        <v/>
      </c>
      <c r="CN17" s="40" t="str">
        <f t="shared" si="37"/>
        <v/>
      </c>
      <c r="CO17" s="40" t="str">
        <f t="shared" si="38"/>
        <v/>
      </c>
      <c r="CP17" s="40" t="str">
        <f t="shared" si="39"/>
        <v/>
      </c>
      <c r="CQ17" s="40" t="str">
        <f t="shared" si="40"/>
        <v/>
      </c>
      <c r="CR17" s="40" t="str">
        <f t="shared" si="41"/>
        <v/>
      </c>
      <c r="CS17" s="40" t="str">
        <f t="shared" si="42"/>
        <v/>
      </c>
      <c r="CT17" s="51" t="str">
        <f t="shared" si="43"/>
        <v/>
      </c>
      <c r="CU17" s="51" t="str">
        <f t="shared" si="44"/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 t="shared" si="45"/>
        <v/>
      </c>
      <c r="DQ17" s="40" t="str">
        <f t="shared" si="46"/>
        <v/>
      </c>
      <c r="DR17" s="40" t="str">
        <f t="shared" si="47"/>
        <v/>
      </c>
      <c r="DS17" s="40" t="str">
        <f t="shared" si="48"/>
        <v/>
      </c>
      <c r="DT17" s="40" t="str">
        <f t="shared" si="49"/>
        <v/>
      </c>
      <c r="DU17" s="40" t="str">
        <f t="shared" si="50"/>
        <v/>
      </c>
      <c r="DV17" s="40" t="str">
        <f t="shared" si="51"/>
        <v/>
      </c>
      <c r="DW17" s="40" t="str">
        <f t="shared" si="52"/>
        <v/>
      </c>
      <c r="DX17" s="40" t="str">
        <f t="shared" si="53"/>
        <v/>
      </c>
      <c r="DY17" s="40" t="str">
        <f t="shared" si="54"/>
        <v/>
      </c>
      <c r="DZ17" s="40" t="str">
        <f t="shared" si="55"/>
        <v/>
      </c>
      <c r="EA17" s="40" t="str">
        <f t="shared" si="56"/>
        <v/>
      </c>
      <c r="EB17" s="40" t="str">
        <f t="shared" si="57"/>
        <v/>
      </c>
      <c r="EC17" s="40" t="str">
        <f t="shared" si="58"/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 t="shared" si="73"/>
        <v/>
      </c>
      <c r="GG17" s="40" t="str">
        <f t="shared" si="74"/>
        <v/>
      </c>
      <c r="GH17" s="40" t="str">
        <f t="shared" si="75"/>
        <v/>
      </c>
      <c r="GI17" s="40" t="str">
        <f t="shared" si="76"/>
        <v/>
      </c>
      <c r="GJ17" s="40" t="str">
        <f t="shared" si="77"/>
        <v/>
      </c>
      <c r="GK17" s="40" t="str">
        <f t="shared" si="78"/>
        <v/>
      </c>
      <c r="GL17" s="40" t="str">
        <f t="shared" si="79"/>
        <v/>
      </c>
      <c r="GM17" s="40" t="str">
        <f t="shared" si="80"/>
        <v/>
      </c>
      <c r="GN17" s="40" t="str">
        <f t="shared" si="81"/>
        <v/>
      </c>
      <c r="GO17" s="40" t="str">
        <f t="shared" si="82"/>
        <v/>
      </c>
      <c r="GP17" s="40" t="str">
        <f t="shared" si="83"/>
        <v/>
      </c>
      <c r="GQ17" s="40" t="str">
        <f t="shared" si="84"/>
        <v/>
      </c>
      <c r="GR17" s="40" t="str">
        <f t="shared" si="85"/>
        <v/>
      </c>
      <c r="GS17" s="40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 t="shared" si="101"/>
        <v/>
      </c>
      <c r="IW17" s="40" t="str">
        <f t="shared" si="102"/>
        <v/>
      </c>
      <c r="IX17" s="40" t="str">
        <f t="shared" si="103"/>
        <v/>
      </c>
      <c r="IY17" s="40" t="str">
        <f t="shared" si="104"/>
        <v/>
      </c>
      <c r="IZ17" s="40" t="str">
        <f t="shared" si="105"/>
        <v/>
      </c>
      <c r="JA17" s="40" t="str">
        <f t="shared" si="106"/>
        <v/>
      </c>
      <c r="JB17" s="40" t="str">
        <f t="shared" si="107"/>
        <v/>
      </c>
      <c r="JC17" s="40" t="str">
        <f t="shared" si="108"/>
        <v/>
      </c>
      <c r="JD17" s="40" t="str">
        <f t="shared" si="109"/>
        <v/>
      </c>
      <c r="JE17" s="40" t="str">
        <f t="shared" si="110"/>
        <v/>
      </c>
      <c r="JF17" s="40" t="str">
        <f t="shared" si="111"/>
        <v/>
      </c>
      <c r="JG17" s="40" t="str">
        <f t="shared" si="112"/>
        <v/>
      </c>
      <c r="JH17" s="40" t="str">
        <f t="shared" si="113"/>
        <v/>
      </c>
      <c r="JI17" s="40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 t="shared" si="129"/>
        <v/>
      </c>
      <c r="LM17" s="40" t="str">
        <f t="shared" si="130"/>
        <v/>
      </c>
      <c r="LN17" s="40" t="str">
        <f t="shared" si="131"/>
        <v/>
      </c>
      <c r="LO17" s="40" t="str">
        <f t="shared" si="132"/>
        <v/>
      </c>
      <c r="LP17" s="40" t="str">
        <f t="shared" si="133"/>
        <v/>
      </c>
      <c r="LQ17" s="40" t="str">
        <f t="shared" si="134"/>
        <v/>
      </c>
      <c r="LR17" s="40" t="str">
        <f t="shared" si="135"/>
        <v/>
      </c>
      <c r="LS17" s="40" t="str">
        <f t="shared" si="136"/>
        <v/>
      </c>
      <c r="LT17" s="40" t="str">
        <f t="shared" si="137"/>
        <v/>
      </c>
      <c r="LU17" s="40" t="str">
        <f t="shared" si="138"/>
        <v/>
      </c>
      <c r="LV17" s="40" t="str">
        <f t="shared" si="139"/>
        <v/>
      </c>
      <c r="LW17" s="40" t="str">
        <f t="shared" si="140"/>
        <v/>
      </c>
      <c r="LX17" s="40" t="str">
        <f t="shared" si="141"/>
        <v/>
      </c>
      <c r="LY17" s="40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 t="shared" si="157"/>
        <v/>
      </c>
      <c r="OC17" s="40" t="str">
        <f t="shared" si="158"/>
        <v/>
      </c>
      <c r="OD17" s="40" t="str">
        <f t="shared" si="159"/>
        <v/>
      </c>
      <c r="OE17" s="40" t="str">
        <f t="shared" si="160"/>
        <v/>
      </c>
      <c r="OF17" s="40" t="str">
        <f t="shared" si="161"/>
        <v/>
      </c>
      <c r="OG17" s="40" t="str">
        <f t="shared" si="162"/>
        <v/>
      </c>
      <c r="OH17" s="40" t="str">
        <f t="shared" si="163"/>
        <v/>
      </c>
      <c r="OI17" s="40" t="str">
        <f t="shared" si="164"/>
        <v/>
      </c>
      <c r="OJ17" s="40" t="str">
        <f t="shared" si="165"/>
        <v/>
      </c>
      <c r="OK17" s="40" t="str">
        <f t="shared" si="166"/>
        <v/>
      </c>
      <c r="OL17" s="40" t="str">
        <f t="shared" si="167"/>
        <v/>
      </c>
      <c r="OM17" s="40" t="str">
        <f t="shared" si="168"/>
        <v/>
      </c>
      <c r="ON17" s="40" t="str">
        <f t="shared" si="169"/>
        <v/>
      </c>
      <c r="OO17" s="40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 t="shared" si="185"/>
        <v/>
      </c>
      <c r="QS17" s="40" t="str">
        <f t="shared" si="186"/>
        <v/>
      </c>
      <c r="QT17" s="40" t="str">
        <f t="shared" si="187"/>
        <v/>
      </c>
      <c r="QU17" s="40" t="str">
        <f t="shared" si="188"/>
        <v/>
      </c>
      <c r="QV17" s="40" t="str">
        <f t="shared" si="189"/>
        <v/>
      </c>
      <c r="QW17" s="40" t="str">
        <f t="shared" si="190"/>
        <v/>
      </c>
      <c r="QX17" s="40" t="str">
        <f t="shared" si="191"/>
        <v/>
      </c>
      <c r="QY17" s="40" t="str">
        <f t="shared" si="192"/>
        <v/>
      </c>
      <c r="QZ17" s="40" t="str">
        <f t="shared" si="193"/>
        <v/>
      </c>
      <c r="RA17" s="40" t="str">
        <f t="shared" si="194"/>
        <v/>
      </c>
      <c r="RB17" s="40" t="str">
        <f t="shared" si="195"/>
        <v/>
      </c>
      <c r="RC17" s="40" t="str">
        <f t="shared" si="196"/>
        <v/>
      </c>
      <c r="RD17" s="40" t="str">
        <f t="shared" si="197"/>
        <v/>
      </c>
      <c r="RE17" s="40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 t="shared" si="213"/>
        <v/>
      </c>
      <c r="TI17" s="40" t="str">
        <f t="shared" si="214"/>
        <v/>
      </c>
      <c r="TJ17" s="40" t="str">
        <f t="shared" si="215"/>
        <v/>
      </c>
      <c r="TK17" s="40" t="str">
        <f t="shared" si="216"/>
        <v/>
      </c>
      <c r="TL17" s="40" t="str">
        <f t="shared" si="217"/>
        <v/>
      </c>
      <c r="TM17" s="40" t="str">
        <f t="shared" si="218"/>
        <v/>
      </c>
      <c r="TN17" s="40" t="str">
        <f t="shared" si="219"/>
        <v/>
      </c>
      <c r="TO17" s="40" t="str">
        <f t="shared" si="220"/>
        <v/>
      </c>
      <c r="TP17" s="40" t="str">
        <f t="shared" si="221"/>
        <v/>
      </c>
      <c r="TQ17" s="40" t="str">
        <f t="shared" si="222"/>
        <v/>
      </c>
      <c r="TR17" s="40" t="str">
        <f t="shared" si="223"/>
        <v/>
      </c>
      <c r="TS17" s="40" t="str">
        <f t="shared" si="224"/>
        <v/>
      </c>
      <c r="TT17" s="40" t="str">
        <f t="shared" si="225"/>
        <v/>
      </c>
      <c r="TU17" s="40" t="str">
        <f t="shared" si="226"/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 t="shared" si="227"/>
        <v/>
      </c>
      <c r="UQ17" s="11" t="str">
        <f t="shared" si="228"/>
        <v/>
      </c>
      <c r="UR17" s="11" t="str">
        <f t="shared" si="229"/>
        <v/>
      </c>
      <c r="US17" s="11" t="str">
        <f t="shared" si="230"/>
        <v/>
      </c>
      <c r="UT17" s="11" t="str">
        <f t="shared" si="231"/>
        <v/>
      </c>
      <c r="UU17" s="11" t="str">
        <f t="shared" si="232"/>
        <v/>
      </c>
      <c r="UV17" s="11" t="str">
        <f t="shared" si="233"/>
        <v/>
      </c>
      <c r="UW17" s="11" t="str">
        <f t="shared" si="234"/>
        <v/>
      </c>
      <c r="UX17" s="11" t="str">
        <f t="shared" si="235"/>
        <v/>
      </c>
      <c r="UY17" s="11" t="str">
        <f t="shared" si="236"/>
        <v/>
      </c>
      <c r="UZ17" s="11" t="str">
        <f t="shared" si="237"/>
        <v/>
      </c>
      <c r="VA17" s="11" t="str">
        <f t="shared" si="238"/>
        <v/>
      </c>
      <c r="VB17" s="11" t="str">
        <f t="shared" si="239"/>
        <v/>
      </c>
      <c r="VC17" s="11" t="str">
        <f t="shared" si="240"/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 t="shared" si="241"/>
        <v/>
      </c>
      <c r="VY17" s="40" t="str">
        <f t="shared" si="242"/>
        <v/>
      </c>
      <c r="VZ17" s="40" t="str">
        <f t="shared" si="243"/>
        <v/>
      </c>
      <c r="WA17" s="40" t="str">
        <f t="shared" si="244"/>
        <v/>
      </c>
      <c r="WB17" s="40" t="str">
        <f t="shared" si="245"/>
        <v/>
      </c>
      <c r="WC17" s="40" t="str">
        <f t="shared" si="246"/>
        <v/>
      </c>
      <c r="WD17" s="40" t="str">
        <f t="shared" si="247"/>
        <v/>
      </c>
      <c r="WE17" s="40" t="str">
        <f t="shared" si="248"/>
        <v/>
      </c>
      <c r="WF17" s="40" t="str">
        <f t="shared" si="249"/>
        <v/>
      </c>
      <c r="WG17" s="40" t="str">
        <f t="shared" si="250"/>
        <v/>
      </c>
      <c r="WH17" s="40" t="str">
        <f t="shared" si="251"/>
        <v/>
      </c>
      <c r="WI17" s="40" t="str">
        <f t="shared" si="252"/>
        <v/>
      </c>
      <c r="WJ17" s="40" t="str">
        <f t="shared" si="253"/>
        <v/>
      </c>
      <c r="WK17" s="40" t="str">
        <f t="shared" si="254"/>
        <v/>
      </c>
      <c r="WL17" s="26">
        <f t="shared" si="255"/>
        <v>0</v>
      </c>
      <c r="WM17" s="26">
        <f t="shared" si="256"/>
        <v>0</v>
      </c>
      <c r="WN17" s="26">
        <f t="shared" si="257"/>
        <v>0</v>
      </c>
      <c r="WO17" s="26">
        <f t="shared" si="258"/>
        <v>0</v>
      </c>
      <c r="WP17" s="26">
        <f t="shared" si="259"/>
        <v>0</v>
      </c>
      <c r="WQ17" s="26">
        <f t="shared" si="260"/>
        <v>0</v>
      </c>
      <c r="WR17" s="26">
        <f t="shared" si="261"/>
        <v>0</v>
      </c>
      <c r="WS17" s="26">
        <f t="shared" si="262"/>
        <v>0</v>
      </c>
      <c r="WT17" s="26">
        <f t="shared" si="263"/>
        <v>0</v>
      </c>
      <c r="WU17" s="26">
        <f t="shared" si="264"/>
        <v>0</v>
      </c>
      <c r="WV17" s="26">
        <f t="shared" si="265"/>
        <v>0</v>
      </c>
      <c r="WW17" s="26">
        <f t="shared" si="266"/>
        <v>0</v>
      </c>
      <c r="WX17" s="26">
        <f t="shared" si="267"/>
        <v>0</v>
      </c>
      <c r="WY17" s="26">
        <f t="shared" si="268"/>
        <v>0</v>
      </c>
      <c r="WZ17" s="26">
        <f t="shared" si="269"/>
        <v>0</v>
      </c>
      <c r="XA17" s="28" t="s">
        <v>53</v>
      </c>
      <c r="XB17" s="11" t="str">
        <f t="shared" si="270"/>
        <v/>
      </c>
      <c r="XC17" s="11" t="str">
        <f t="shared" si="271"/>
        <v/>
      </c>
      <c r="XD17" s="11" t="str">
        <f t="shared" si="272"/>
        <v/>
      </c>
      <c r="XE17" s="11" t="str">
        <f t="shared" si="273"/>
        <v/>
      </c>
      <c r="XF17" s="11" t="str">
        <f t="shared" si="274"/>
        <v/>
      </c>
      <c r="XG17" s="11" t="str">
        <f t="shared" si="275"/>
        <v/>
      </c>
      <c r="XH17" s="11" t="str">
        <f t="shared" si="276"/>
        <v/>
      </c>
      <c r="XI17" s="11" t="str">
        <f t="shared" si="277"/>
        <v/>
      </c>
      <c r="XJ17" s="11" t="str">
        <f t="shared" si="278"/>
        <v/>
      </c>
      <c r="XK17" s="11" t="str">
        <f t="shared" si="279"/>
        <v/>
      </c>
      <c r="XL17" s="11" t="str">
        <f t="shared" si="280"/>
        <v/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261</v>
      </c>
      <c r="C18" s="4" t="s">
        <v>3</v>
      </c>
      <c r="D18" s="4" t="s">
        <v>264</v>
      </c>
      <c r="E18" s="9">
        <f t="shared" si="0"/>
        <v>0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IF(COUNT(AI18,AL18,AP18,BJ18,BM18,BQ18,CK18,CN18,CR18)&gt;0,LARGE((AI18,AL18,AP18,BJ18,BM18,BQ18,CK18,CN18,CR18),1),0)</f>
        <v>0</v>
      </c>
      <c r="K18" s="8" t="str">
        <f t="shared" si="5"/>
        <v/>
      </c>
      <c r="L18" s="8">
        <f>IF(COUNT(AI18,AL18,AP18,BJ18,BM18,BQ18,CK18,CN18,CR18)&gt;1,LARGE((AI18,AL18,AP18,BJ18,BM18,BQ18,CK18,CN18,CR18),2),0)</f>
        <v>0</v>
      </c>
      <c r="M18" s="8" t="str">
        <f t="shared" si="6"/>
        <v/>
      </c>
      <c r="N18" s="8" t="str">
        <f t="shared" si="7"/>
        <v/>
      </c>
      <c r="O18" s="11" t="str">
        <f t="shared" si="8"/>
        <v/>
      </c>
      <c r="P18" s="8" t="str">
        <f t="shared" si="9"/>
        <v/>
      </c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7"/>
      <c r="AG18" s="38" t="str">
        <f t="shared" si="10"/>
        <v/>
      </c>
      <c r="AH18" s="38" t="str">
        <f t="shared" si="11"/>
        <v/>
      </c>
      <c r="AI18" s="40" t="str">
        <f t="shared" si="12"/>
        <v/>
      </c>
      <c r="AJ18" s="40" t="str">
        <f t="shared" si="13"/>
        <v/>
      </c>
      <c r="AK18" s="40" t="str">
        <f t="shared" si="14"/>
        <v/>
      </c>
      <c r="AL18" s="40" t="str">
        <f t="shared" si="15"/>
        <v/>
      </c>
      <c r="AM18" s="40" t="str">
        <f t="shared" si="16"/>
        <v/>
      </c>
      <c r="AN18" s="40" t="str">
        <f t="shared" si="17"/>
        <v/>
      </c>
      <c r="AO18" s="40" t="str">
        <f t="shared" si="18"/>
        <v/>
      </c>
      <c r="AP18" s="40" t="str">
        <f t="shared" si="19"/>
        <v/>
      </c>
      <c r="AQ18" s="40" t="str">
        <f t="shared" si="20"/>
        <v/>
      </c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8"/>
      <c r="BH18" s="39" t="str">
        <f t="shared" si="21"/>
        <v/>
      </c>
      <c r="BI18" s="39" t="str">
        <f t="shared" si="22"/>
        <v/>
      </c>
      <c r="BJ18" s="11" t="str">
        <f t="shared" si="23"/>
        <v/>
      </c>
      <c r="BK18" s="11" t="str">
        <f t="shared" si="24"/>
        <v/>
      </c>
      <c r="BL18" s="11" t="str">
        <f t="shared" si="25"/>
        <v/>
      </c>
      <c r="BM18" s="11" t="str">
        <f t="shared" si="26"/>
        <v/>
      </c>
      <c r="BN18" s="11" t="str">
        <f t="shared" si="27"/>
        <v/>
      </c>
      <c r="BO18" s="11" t="str">
        <f t="shared" si="28"/>
        <v/>
      </c>
      <c r="BP18" s="11" t="str">
        <f t="shared" si="29"/>
        <v/>
      </c>
      <c r="BQ18" s="11" t="str">
        <f t="shared" si="30"/>
        <v/>
      </c>
      <c r="BR18" s="11" t="str">
        <f t="shared" si="31"/>
        <v/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 t="shared" si="32"/>
        <v/>
      </c>
      <c r="CJ18" s="38" t="str">
        <f t="shared" si="33"/>
        <v/>
      </c>
      <c r="CK18" s="40" t="str">
        <f t="shared" si="34"/>
        <v/>
      </c>
      <c r="CL18" s="40" t="str">
        <f t="shared" si="35"/>
        <v/>
      </c>
      <c r="CM18" s="40" t="str">
        <f t="shared" si="36"/>
        <v/>
      </c>
      <c r="CN18" s="40" t="str">
        <f t="shared" si="37"/>
        <v/>
      </c>
      <c r="CO18" s="40" t="str">
        <f t="shared" si="38"/>
        <v/>
      </c>
      <c r="CP18" s="40" t="str">
        <f t="shared" si="39"/>
        <v/>
      </c>
      <c r="CQ18" s="40" t="str">
        <f t="shared" si="40"/>
        <v/>
      </c>
      <c r="CR18" s="40" t="str">
        <f t="shared" si="41"/>
        <v/>
      </c>
      <c r="CS18" s="40" t="str">
        <f t="shared" si="42"/>
        <v/>
      </c>
      <c r="CT18" s="51" t="str">
        <f t="shared" si="43"/>
        <v/>
      </c>
      <c r="CU18" s="51" t="str">
        <f t="shared" si="44"/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 t="shared" si="45"/>
        <v/>
      </c>
      <c r="DQ18" s="40" t="str">
        <f t="shared" si="46"/>
        <v/>
      </c>
      <c r="DR18" s="40" t="str">
        <f t="shared" si="47"/>
        <v/>
      </c>
      <c r="DS18" s="40" t="str">
        <f t="shared" si="48"/>
        <v/>
      </c>
      <c r="DT18" s="40" t="str">
        <f t="shared" si="49"/>
        <v/>
      </c>
      <c r="DU18" s="40" t="str">
        <f t="shared" si="50"/>
        <v/>
      </c>
      <c r="DV18" s="40" t="str">
        <f t="shared" si="51"/>
        <v/>
      </c>
      <c r="DW18" s="40" t="str">
        <f t="shared" si="52"/>
        <v/>
      </c>
      <c r="DX18" s="40" t="str">
        <f t="shared" si="53"/>
        <v/>
      </c>
      <c r="DY18" s="40" t="str">
        <f t="shared" si="54"/>
        <v/>
      </c>
      <c r="DZ18" s="40" t="str">
        <f t="shared" si="55"/>
        <v/>
      </c>
      <c r="EA18" s="40" t="str">
        <f t="shared" si="56"/>
        <v/>
      </c>
      <c r="EB18" s="40" t="str">
        <f t="shared" si="57"/>
        <v/>
      </c>
      <c r="EC18" s="40" t="str">
        <f t="shared" si="58"/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 t="shared" si="59"/>
        <v/>
      </c>
      <c r="EY18" s="11" t="str">
        <f t="shared" si="60"/>
        <v/>
      </c>
      <c r="EZ18" s="11" t="str">
        <f t="shared" si="61"/>
        <v/>
      </c>
      <c r="FA18" s="11" t="str">
        <f t="shared" si="62"/>
        <v/>
      </c>
      <c r="FB18" s="11" t="str">
        <f t="shared" si="63"/>
        <v/>
      </c>
      <c r="FC18" s="11" t="str">
        <f t="shared" si="64"/>
        <v/>
      </c>
      <c r="FD18" s="11" t="str">
        <f t="shared" si="65"/>
        <v/>
      </c>
      <c r="FE18" s="11" t="str">
        <f t="shared" si="66"/>
        <v/>
      </c>
      <c r="FF18" s="11" t="str">
        <f t="shared" si="67"/>
        <v/>
      </c>
      <c r="FG18" s="11" t="str">
        <f t="shared" si="68"/>
        <v/>
      </c>
      <c r="FH18" s="11" t="str">
        <f t="shared" si="69"/>
        <v/>
      </c>
      <c r="FI18" s="11" t="str">
        <f t="shared" si="70"/>
        <v/>
      </c>
      <c r="FJ18" s="11" t="str">
        <f t="shared" si="71"/>
        <v/>
      </c>
      <c r="FK18" s="11" t="str">
        <f t="shared" si="72"/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 t="shared" si="73"/>
        <v/>
      </c>
      <c r="GG18" s="40" t="str">
        <f t="shared" si="74"/>
        <v/>
      </c>
      <c r="GH18" s="40" t="str">
        <f t="shared" si="75"/>
        <v/>
      </c>
      <c r="GI18" s="40" t="str">
        <f t="shared" si="76"/>
        <v/>
      </c>
      <c r="GJ18" s="40" t="str">
        <f t="shared" si="77"/>
        <v/>
      </c>
      <c r="GK18" s="40" t="str">
        <f t="shared" si="78"/>
        <v/>
      </c>
      <c r="GL18" s="40" t="str">
        <f t="shared" si="79"/>
        <v/>
      </c>
      <c r="GM18" s="40" t="str">
        <f t="shared" si="80"/>
        <v/>
      </c>
      <c r="GN18" s="40" t="str">
        <f t="shared" si="81"/>
        <v/>
      </c>
      <c r="GO18" s="40" t="str">
        <f t="shared" si="82"/>
        <v/>
      </c>
      <c r="GP18" s="40" t="str">
        <f t="shared" si="83"/>
        <v/>
      </c>
      <c r="GQ18" s="40" t="str">
        <f t="shared" si="84"/>
        <v/>
      </c>
      <c r="GR18" s="40" t="str">
        <f t="shared" si="85"/>
        <v/>
      </c>
      <c r="GS18" s="40" t="str">
        <f t="shared" si="86"/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 t="shared" si="87"/>
        <v/>
      </c>
      <c r="HO18" s="11" t="str">
        <f t="shared" si="88"/>
        <v/>
      </c>
      <c r="HP18" s="11" t="str">
        <f t="shared" si="89"/>
        <v/>
      </c>
      <c r="HQ18" s="11" t="str">
        <f t="shared" si="90"/>
        <v/>
      </c>
      <c r="HR18" s="11" t="str">
        <f t="shared" si="91"/>
        <v/>
      </c>
      <c r="HS18" s="11" t="str">
        <f t="shared" si="92"/>
        <v/>
      </c>
      <c r="HT18" s="11" t="str">
        <f t="shared" si="93"/>
        <v/>
      </c>
      <c r="HU18" s="11" t="str">
        <f t="shared" si="94"/>
        <v/>
      </c>
      <c r="HV18" s="11" t="str">
        <f t="shared" si="95"/>
        <v/>
      </c>
      <c r="HW18" s="11" t="str">
        <f t="shared" si="96"/>
        <v/>
      </c>
      <c r="HX18" s="11" t="str">
        <f t="shared" si="97"/>
        <v/>
      </c>
      <c r="HY18" s="11" t="str">
        <f t="shared" si="98"/>
        <v/>
      </c>
      <c r="HZ18" s="11" t="str">
        <f t="shared" si="99"/>
        <v/>
      </c>
      <c r="IA18" s="11" t="str">
        <f t="shared" si="100"/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 t="shared" si="101"/>
        <v/>
      </c>
      <c r="IW18" s="40" t="str">
        <f t="shared" si="102"/>
        <v/>
      </c>
      <c r="IX18" s="40" t="str">
        <f t="shared" si="103"/>
        <v/>
      </c>
      <c r="IY18" s="40" t="str">
        <f t="shared" si="104"/>
        <v/>
      </c>
      <c r="IZ18" s="40" t="str">
        <f t="shared" si="105"/>
        <v/>
      </c>
      <c r="JA18" s="40" t="str">
        <f t="shared" si="106"/>
        <v/>
      </c>
      <c r="JB18" s="40" t="str">
        <f t="shared" si="107"/>
        <v/>
      </c>
      <c r="JC18" s="40" t="str">
        <f t="shared" si="108"/>
        <v/>
      </c>
      <c r="JD18" s="40" t="str">
        <f t="shared" si="109"/>
        <v/>
      </c>
      <c r="JE18" s="40" t="str">
        <f t="shared" si="110"/>
        <v/>
      </c>
      <c r="JF18" s="40" t="str">
        <f t="shared" si="111"/>
        <v/>
      </c>
      <c r="JG18" s="40" t="str">
        <f t="shared" si="112"/>
        <v/>
      </c>
      <c r="JH18" s="40" t="str">
        <f t="shared" si="113"/>
        <v/>
      </c>
      <c r="JI18" s="40" t="str">
        <f t="shared" si="114"/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 t="shared" si="115"/>
        <v/>
      </c>
      <c r="KE18" s="11" t="str">
        <f t="shared" si="116"/>
        <v/>
      </c>
      <c r="KF18" s="11" t="str">
        <f t="shared" si="117"/>
        <v/>
      </c>
      <c r="KG18" s="11" t="str">
        <f t="shared" si="118"/>
        <v/>
      </c>
      <c r="KH18" s="11" t="str">
        <f t="shared" si="119"/>
        <v/>
      </c>
      <c r="KI18" s="11" t="str">
        <f t="shared" si="120"/>
        <v/>
      </c>
      <c r="KJ18" s="11" t="str">
        <f t="shared" si="121"/>
        <v/>
      </c>
      <c r="KK18" s="11" t="str">
        <f t="shared" si="122"/>
        <v/>
      </c>
      <c r="KL18" s="11" t="str">
        <f t="shared" si="123"/>
        <v/>
      </c>
      <c r="KM18" s="11" t="str">
        <f t="shared" si="124"/>
        <v/>
      </c>
      <c r="KN18" s="11" t="str">
        <f t="shared" si="125"/>
        <v/>
      </c>
      <c r="KO18" s="11" t="str">
        <f t="shared" si="126"/>
        <v/>
      </c>
      <c r="KP18" s="11" t="str">
        <f t="shared" si="127"/>
        <v/>
      </c>
      <c r="KQ18" s="11" t="str">
        <f t="shared" si="128"/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 t="shared" si="129"/>
        <v/>
      </c>
      <c r="LM18" s="40" t="str">
        <f t="shared" si="130"/>
        <v/>
      </c>
      <c r="LN18" s="40" t="str">
        <f t="shared" si="131"/>
        <v/>
      </c>
      <c r="LO18" s="40" t="str">
        <f t="shared" si="132"/>
        <v/>
      </c>
      <c r="LP18" s="40" t="str">
        <f t="shared" si="133"/>
        <v/>
      </c>
      <c r="LQ18" s="40" t="str">
        <f t="shared" si="134"/>
        <v/>
      </c>
      <c r="LR18" s="40" t="str">
        <f t="shared" si="135"/>
        <v/>
      </c>
      <c r="LS18" s="40" t="str">
        <f t="shared" si="136"/>
        <v/>
      </c>
      <c r="LT18" s="40" t="str">
        <f t="shared" si="137"/>
        <v/>
      </c>
      <c r="LU18" s="40" t="str">
        <f t="shared" si="138"/>
        <v/>
      </c>
      <c r="LV18" s="40" t="str">
        <f t="shared" si="139"/>
        <v/>
      </c>
      <c r="LW18" s="40" t="str">
        <f t="shared" si="140"/>
        <v/>
      </c>
      <c r="LX18" s="40" t="str">
        <f t="shared" si="141"/>
        <v/>
      </c>
      <c r="LY18" s="40" t="str">
        <f t="shared" si="142"/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 t="shared" si="143"/>
        <v/>
      </c>
      <c r="MU18" s="11" t="str">
        <f t="shared" si="144"/>
        <v/>
      </c>
      <c r="MV18" s="11" t="str">
        <f t="shared" si="145"/>
        <v/>
      </c>
      <c r="MW18" s="11" t="str">
        <f t="shared" si="146"/>
        <v/>
      </c>
      <c r="MX18" s="11" t="str">
        <f t="shared" si="147"/>
        <v/>
      </c>
      <c r="MY18" s="11" t="str">
        <f t="shared" si="148"/>
        <v/>
      </c>
      <c r="MZ18" s="11" t="str">
        <f t="shared" si="149"/>
        <v/>
      </c>
      <c r="NA18" s="11" t="str">
        <f t="shared" si="150"/>
        <v/>
      </c>
      <c r="NB18" s="11" t="str">
        <f t="shared" si="151"/>
        <v/>
      </c>
      <c r="NC18" s="11" t="str">
        <f t="shared" si="152"/>
        <v/>
      </c>
      <c r="ND18" s="11" t="str">
        <f t="shared" si="153"/>
        <v/>
      </c>
      <c r="NE18" s="11" t="str">
        <f t="shared" si="154"/>
        <v/>
      </c>
      <c r="NF18" s="11" t="str">
        <f t="shared" si="155"/>
        <v/>
      </c>
      <c r="NG18" s="11" t="str">
        <f t="shared" si="156"/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 t="shared" si="157"/>
        <v/>
      </c>
      <c r="OC18" s="40" t="str">
        <f t="shared" si="158"/>
        <v/>
      </c>
      <c r="OD18" s="40" t="str">
        <f t="shared" si="159"/>
        <v/>
      </c>
      <c r="OE18" s="40" t="str">
        <f t="shared" si="160"/>
        <v/>
      </c>
      <c r="OF18" s="40" t="str">
        <f t="shared" si="161"/>
        <v/>
      </c>
      <c r="OG18" s="40" t="str">
        <f t="shared" si="162"/>
        <v/>
      </c>
      <c r="OH18" s="40" t="str">
        <f t="shared" si="163"/>
        <v/>
      </c>
      <c r="OI18" s="40" t="str">
        <f t="shared" si="164"/>
        <v/>
      </c>
      <c r="OJ18" s="40" t="str">
        <f t="shared" si="165"/>
        <v/>
      </c>
      <c r="OK18" s="40" t="str">
        <f t="shared" si="166"/>
        <v/>
      </c>
      <c r="OL18" s="40" t="str">
        <f t="shared" si="167"/>
        <v/>
      </c>
      <c r="OM18" s="40" t="str">
        <f t="shared" si="168"/>
        <v/>
      </c>
      <c r="ON18" s="40" t="str">
        <f t="shared" si="169"/>
        <v/>
      </c>
      <c r="OO18" s="40" t="str">
        <f t="shared" si="170"/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 t="shared" si="171"/>
        <v/>
      </c>
      <c r="PK18" s="11" t="str">
        <f t="shared" si="172"/>
        <v/>
      </c>
      <c r="PL18" s="11" t="str">
        <f t="shared" si="173"/>
        <v/>
      </c>
      <c r="PM18" s="11" t="str">
        <f t="shared" si="174"/>
        <v/>
      </c>
      <c r="PN18" s="11" t="str">
        <f t="shared" si="175"/>
        <v/>
      </c>
      <c r="PO18" s="11" t="str">
        <f t="shared" si="176"/>
        <v/>
      </c>
      <c r="PP18" s="11" t="str">
        <f t="shared" si="177"/>
        <v/>
      </c>
      <c r="PQ18" s="11" t="str">
        <f t="shared" si="178"/>
        <v/>
      </c>
      <c r="PR18" s="11" t="str">
        <f t="shared" si="179"/>
        <v/>
      </c>
      <c r="PS18" s="11" t="str">
        <f t="shared" si="180"/>
        <v/>
      </c>
      <c r="PT18" s="11" t="str">
        <f t="shared" si="181"/>
        <v/>
      </c>
      <c r="PU18" s="11" t="str">
        <f t="shared" si="182"/>
        <v/>
      </c>
      <c r="PV18" s="11" t="str">
        <f t="shared" si="183"/>
        <v/>
      </c>
      <c r="PW18" s="11" t="str">
        <f t="shared" si="184"/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 t="shared" si="185"/>
        <v/>
      </c>
      <c r="QS18" s="40" t="str">
        <f t="shared" si="186"/>
        <v/>
      </c>
      <c r="QT18" s="40" t="str">
        <f t="shared" si="187"/>
        <v/>
      </c>
      <c r="QU18" s="40" t="str">
        <f t="shared" si="188"/>
        <v/>
      </c>
      <c r="QV18" s="40" t="str">
        <f t="shared" si="189"/>
        <v/>
      </c>
      <c r="QW18" s="40" t="str">
        <f t="shared" si="190"/>
        <v/>
      </c>
      <c r="QX18" s="40" t="str">
        <f t="shared" si="191"/>
        <v/>
      </c>
      <c r="QY18" s="40" t="str">
        <f t="shared" si="192"/>
        <v/>
      </c>
      <c r="QZ18" s="40" t="str">
        <f t="shared" si="193"/>
        <v/>
      </c>
      <c r="RA18" s="40" t="str">
        <f t="shared" si="194"/>
        <v/>
      </c>
      <c r="RB18" s="40" t="str">
        <f t="shared" si="195"/>
        <v/>
      </c>
      <c r="RC18" s="40" t="str">
        <f t="shared" si="196"/>
        <v/>
      </c>
      <c r="RD18" s="40" t="str">
        <f t="shared" si="197"/>
        <v/>
      </c>
      <c r="RE18" s="40" t="str">
        <f t="shared" si="198"/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 t="shared" si="199"/>
        <v/>
      </c>
      <c r="SA18" s="11" t="str">
        <f t="shared" si="200"/>
        <v/>
      </c>
      <c r="SB18" s="11" t="str">
        <f t="shared" si="201"/>
        <v/>
      </c>
      <c r="SC18" s="11" t="str">
        <f t="shared" si="202"/>
        <v/>
      </c>
      <c r="SD18" s="11" t="str">
        <f t="shared" si="203"/>
        <v/>
      </c>
      <c r="SE18" s="11" t="str">
        <f t="shared" si="204"/>
        <v/>
      </c>
      <c r="SF18" s="11" t="str">
        <f t="shared" si="205"/>
        <v/>
      </c>
      <c r="SG18" s="11" t="str">
        <f t="shared" si="206"/>
        <v/>
      </c>
      <c r="SH18" s="11" t="str">
        <f t="shared" si="207"/>
        <v/>
      </c>
      <c r="SI18" s="11" t="str">
        <f t="shared" si="208"/>
        <v/>
      </c>
      <c r="SJ18" s="11" t="str">
        <f t="shared" si="209"/>
        <v/>
      </c>
      <c r="SK18" s="11" t="str">
        <f t="shared" si="210"/>
        <v/>
      </c>
      <c r="SL18" s="11" t="str">
        <f t="shared" si="211"/>
        <v/>
      </c>
      <c r="SM18" s="11" t="str">
        <f t="shared" si="212"/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 t="shared" si="213"/>
        <v/>
      </c>
      <c r="TI18" s="40" t="str">
        <f t="shared" si="214"/>
        <v/>
      </c>
      <c r="TJ18" s="40" t="str">
        <f t="shared" si="215"/>
        <v/>
      </c>
      <c r="TK18" s="40" t="str">
        <f t="shared" si="216"/>
        <v/>
      </c>
      <c r="TL18" s="40" t="str">
        <f t="shared" si="217"/>
        <v/>
      </c>
      <c r="TM18" s="40" t="str">
        <f t="shared" si="218"/>
        <v/>
      </c>
      <c r="TN18" s="40" t="str">
        <f t="shared" si="219"/>
        <v/>
      </c>
      <c r="TO18" s="40" t="str">
        <f t="shared" si="220"/>
        <v/>
      </c>
      <c r="TP18" s="40" t="str">
        <f t="shared" si="221"/>
        <v/>
      </c>
      <c r="TQ18" s="40" t="str">
        <f t="shared" si="222"/>
        <v/>
      </c>
      <c r="TR18" s="40" t="str">
        <f t="shared" si="223"/>
        <v/>
      </c>
      <c r="TS18" s="40" t="str">
        <f t="shared" si="224"/>
        <v/>
      </c>
      <c r="TT18" s="40" t="str">
        <f t="shared" si="225"/>
        <v/>
      </c>
      <c r="TU18" s="40" t="str">
        <f t="shared" si="226"/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 t="shared" si="227"/>
        <v/>
      </c>
      <c r="UQ18" s="11" t="str">
        <f t="shared" si="228"/>
        <v/>
      </c>
      <c r="UR18" s="11" t="str">
        <f t="shared" si="229"/>
        <v/>
      </c>
      <c r="US18" s="11" t="str">
        <f t="shared" si="230"/>
        <v/>
      </c>
      <c r="UT18" s="11" t="str">
        <f t="shared" si="231"/>
        <v/>
      </c>
      <c r="UU18" s="11" t="str">
        <f t="shared" si="232"/>
        <v/>
      </c>
      <c r="UV18" s="11" t="str">
        <f t="shared" si="233"/>
        <v/>
      </c>
      <c r="UW18" s="11" t="str">
        <f t="shared" si="234"/>
        <v/>
      </c>
      <c r="UX18" s="11" t="str">
        <f t="shared" si="235"/>
        <v/>
      </c>
      <c r="UY18" s="11" t="str">
        <f t="shared" si="236"/>
        <v/>
      </c>
      <c r="UZ18" s="11" t="str">
        <f t="shared" si="237"/>
        <v/>
      </c>
      <c r="VA18" s="11" t="str">
        <f t="shared" si="238"/>
        <v/>
      </c>
      <c r="VB18" s="11" t="str">
        <f t="shared" si="239"/>
        <v/>
      </c>
      <c r="VC18" s="11" t="str">
        <f t="shared" si="240"/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 t="shared" si="241"/>
        <v/>
      </c>
      <c r="VY18" s="40" t="str">
        <f t="shared" si="242"/>
        <v/>
      </c>
      <c r="VZ18" s="40" t="str">
        <f t="shared" si="243"/>
        <v/>
      </c>
      <c r="WA18" s="40" t="str">
        <f t="shared" si="244"/>
        <v/>
      </c>
      <c r="WB18" s="40" t="str">
        <f t="shared" si="245"/>
        <v/>
      </c>
      <c r="WC18" s="40" t="str">
        <f t="shared" si="246"/>
        <v/>
      </c>
      <c r="WD18" s="40" t="str">
        <f t="shared" si="247"/>
        <v/>
      </c>
      <c r="WE18" s="40" t="str">
        <f t="shared" si="248"/>
        <v/>
      </c>
      <c r="WF18" s="40" t="str">
        <f t="shared" si="249"/>
        <v/>
      </c>
      <c r="WG18" s="40" t="str">
        <f t="shared" si="250"/>
        <v/>
      </c>
      <c r="WH18" s="40" t="str">
        <f t="shared" si="251"/>
        <v/>
      </c>
      <c r="WI18" s="40" t="str">
        <f t="shared" si="252"/>
        <v/>
      </c>
      <c r="WJ18" s="40" t="str">
        <f t="shared" si="253"/>
        <v/>
      </c>
      <c r="WK18" s="40" t="str">
        <f t="shared" si="254"/>
        <v/>
      </c>
      <c r="WL18" s="26">
        <f t="shared" si="255"/>
        <v>0</v>
      </c>
      <c r="WM18" s="26">
        <f t="shared" si="256"/>
        <v>0</v>
      </c>
      <c r="WN18" s="26">
        <f t="shared" si="257"/>
        <v>0</v>
      </c>
      <c r="WO18" s="26">
        <f t="shared" si="258"/>
        <v>0</v>
      </c>
      <c r="WP18" s="26">
        <f t="shared" si="259"/>
        <v>0</v>
      </c>
      <c r="WQ18" s="26">
        <f t="shared" si="260"/>
        <v>0</v>
      </c>
      <c r="WR18" s="26">
        <f t="shared" si="261"/>
        <v>0</v>
      </c>
      <c r="WS18" s="26">
        <f t="shared" si="262"/>
        <v>0</v>
      </c>
      <c r="WT18" s="26">
        <f t="shared" si="263"/>
        <v>0</v>
      </c>
      <c r="WU18" s="26">
        <f t="shared" si="264"/>
        <v>0</v>
      </c>
      <c r="WV18" s="26">
        <f t="shared" si="265"/>
        <v>0</v>
      </c>
      <c r="WW18" s="26">
        <f t="shared" si="266"/>
        <v>0</v>
      </c>
      <c r="WX18" s="26">
        <f t="shared" si="267"/>
        <v>0</v>
      </c>
      <c r="WY18" s="26">
        <f t="shared" si="268"/>
        <v>0</v>
      </c>
      <c r="WZ18" s="26">
        <f t="shared" si="269"/>
        <v>0</v>
      </c>
      <c r="XA18" s="28" t="s">
        <v>53</v>
      </c>
      <c r="XB18" s="11" t="str">
        <f t="shared" si="270"/>
        <v/>
      </c>
      <c r="XC18" s="11" t="str">
        <f t="shared" si="271"/>
        <v/>
      </c>
      <c r="XD18" s="11" t="str">
        <f t="shared" si="272"/>
        <v/>
      </c>
      <c r="XE18" s="11" t="str">
        <f t="shared" si="273"/>
        <v/>
      </c>
      <c r="XF18" s="11" t="str">
        <f t="shared" si="274"/>
        <v/>
      </c>
      <c r="XG18" s="11" t="str">
        <f t="shared" si="275"/>
        <v/>
      </c>
      <c r="XH18" s="11" t="str">
        <f t="shared" si="276"/>
        <v/>
      </c>
      <c r="XI18" s="11" t="str">
        <f t="shared" si="277"/>
        <v/>
      </c>
      <c r="XJ18" s="11" t="str">
        <f t="shared" si="278"/>
        <v/>
      </c>
      <c r="XK18" s="11" t="str">
        <f t="shared" si="279"/>
        <v/>
      </c>
      <c r="XL18" s="11" t="str">
        <f t="shared" si="280"/>
        <v/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14.2</v>
      </c>
      <c r="BK21" s="41"/>
      <c r="BL21" s="41"/>
      <c r="BM21" s="41"/>
      <c r="BO21" s="32"/>
      <c r="BP21" s="32"/>
      <c r="BR21" s="53">
        <v>14.2</v>
      </c>
      <c r="CL21" s="41"/>
      <c r="CM21" s="41"/>
      <c r="CN21" s="41"/>
      <c r="CP21" s="32"/>
      <c r="CQ21" s="32"/>
      <c r="CS21" s="53">
        <v>14.5</v>
      </c>
      <c r="DP21" s="5"/>
      <c r="DQ21" s="5"/>
      <c r="DZ21" s="2"/>
      <c r="EA21" s="2"/>
      <c r="EC21" s="42">
        <v>14.2</v>
      </c>
      <c r="EX21" s="5"/>
      <c r="EY21" s="5"/>
      <c r="FH21" s="2"/>
      <c r="FI21" s="2"/>
      <c r="FK21" s="42">
        <v>14.2</v>
      </c>
      <c r="GF21" s="5"/>
      <c r="GG21" s="5"/>
      <c r="GP21" s="2"/>
      <c r="GQ21" s="2"/>
      <c r="GS21" s="53">
        <v>14.2</v>
      </c>
      <c r="HN21" s="5"/>
      <c r="HO21" s="5"/>
      <c r="HX21" s="2"/>
      <c r="HY21" s="2"/>
      <c r="IA21" s="53">
        <v>14.2</v>
      </c>
      <c r="IV21" s="5"/>
      <c r="IW21" s="5"/>
      <c r="JF21" s="2"/>
      <c r="JG21" s="2"/>
      <c r="JI21" s="53">
        <v>14.5</v>
      </c>
      <c r="KD21" s="5"/>
      <c r="KE21" s="5"/>
      <c r="KN21" s="2"/>
      <c r="KO21" s="2"/>
      <c r="KQ21" s="53">
        <v>14.5</v>
      </c>
      <c r="LL21" s="5"/>
      <c r="LM21" s="5"/>
      <c r="LV21" s="2"/>
      <c r="LW21" s="2"/>
      <c r="LY21" s="53">
        <v>14.5</v>
      </c>
      <c r="MT21" s="5"/>
      <c r="MU21" s="5"/>
      <c r="ND21" s="2"/>
      <c r="NE21" s="2"/>
      <c r="NG21" s="53">
        <v>14.5</v>
      </c>
      <c r="OB21" s="5"/>
      <c r="OC21" s="5"/>
      <c r="OL21" s="2"/>
      <c r="OM21" s="2"/>
      <c r="OO21" s="53">
        <v>14.5</v>
      </c>
      <c r="PJ21" s="5"/>
      <c r="PK21" s="5"/>
      <c r="PT21" s="2"/>
      <c r="PU21" s="2"/>
      <c r="PW21" s="53">
        <v>14.5</v>
      </c>
      <c r="QR21" s="5"/>
      <c r="QS21" s="5"/>
      <c r="RB21" s="2"/>
      <c r="RC21" s="2"/>
      <c r="RE21" s="53">
        <v>14.5</v>
      </c>
      <c r="RZ21" s="5"/>
      <c r="SA21" s="5"/>
      <c r="SJ21" s="2"/>
      <c r="SK21" s="2"/>
      <c r="SM21" s="53">
        <v>14.5</v>
      </c>
      <c r="TH21" s="5"/>
      <c r="TI21" s="5"/>
      <c r="TR21" s="2"/>
      <c r="TS21" s="2"/>
      <c r="TU21" s="53">
        <v>14.5</v>
      </c>
      <c r="UP21" s="5"/>
      <c r="UQ21" s="5"/>
      <c r="UZ21" s="2"/>
      <c r="VA21" s="2"/>
      <c r="VC21" s="53">
        <v>14.5</v>
      </c>
      <c r="VX21" s="5"/>
      <c r="VY21" s="5"/>
      <c r="WH21" s="2"/>
      <c r="WI21" s="2"/>
      <c r="WK21" s="53">
        <v>14.5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14.6</v>
      </c>
      <c r="BK22" s="41"/>
      <c r="BL22" s="41"/>
      <c r="BM22" s="41"/>
      <c r="BO22" s="32"/>
      <c r="BP22" s="32"/>
      <c r="BR22" s="43">
        <v>14.6</v>
      </c>
      <c r="CL22" s="41"/>
      <c r="CM22" s="41"/>
      <c r="CN22" s="41"/>
      <c r="CP22" s="32"/>
      <c r="CQ22" s="32"/>
      <c r="CS22" s="43">
        <v>14.9</v>
      </c>
      <c r="DP22" s="5"/>
      <c r="DQ22" s="5"/>
      <c r="DZ22" s="2"/>
      <c r="EA22" s="2"/>
      <c r="EC22" s="43">
        <v>14.6</v>
      </c>
      <c r="EX22" s="5"/>
      <c r="EY22" s="5"/>
      <c r="FH22" s="2"/>
      <c r="FI22" s="2"/>
      <c r="FK22" s="43">
        <v>14.6</v>
      </c>
      <c r="GF22" s="5"/>
      <c r="GG22" s="5"/>
      <c r="GP22" s="2"/>
      <c r="GQ22" s="2"/>
      <c r="GS22" s="43">
        <v>14.6</v>
      </c>
      <c r="HN22" s="5"/>
      <c r="HO22" s="5"/>
      <c r="HX22" s="2"/>
      <c r="HY22" s="2"/>
      <c r="IA22" s="43">
        <v>14.6</v>
      </c>
      <c r="IV22" s="5"/>
      <c r="IW22" s="5"/>
      <c r="JF22" s="2"/>
      <c r="JG22" s="2"/>
      <c r="JI22" s="43">
        <v>14.9</v>
      </c>
      <c r="KD22" s="5"/>
      <c r="KE22" s="5"/>
      <c r="KN22" s="2"/>
      <c r="KO22" s="2"/>
      <c r="KQ22" s="43">
        <v>14.9</v>
      </c>
      <c r="LL22" s="5"/>
      <c r="LM22" s="5"/>
      <c r="LV22" s="2"/>
      <c r="LW22" s="2"/>
      <c r="LY22" s="43">
        <v>14.9</v>
      </c>
      <c r="MT22" s="5"/>
      <c r="MU22" s="5"/>
      <c r="ND22" s="2"/>
      <c r="NE22" s="2"/>
      <c r="NG22" s="43">
        <v>14.9</v>
      </c>
      <c r="OB22" s="5"/>
      <c r="OC22" s="5"/>
      <c r="OL22" s="2"/>
      <c r="OM22" s="2"/>
      <c r="OO22" s="43">
        <v>14.9</v>
      </c>
      <c r="PJ22" s="5"/>
      <c r="PK22" s="5"/>
      <c r="PT22" s="2"/>
      <c r="PU22" s="2"/>
      <c r="PW22" s="43">
        <v>14.9</v>
      </c>
      <c r="QR22" s="5"/>
      <c r="QS22" s="5"/>
      <c r="RB22" s="2"/>
      <c r="RC22" s="2"/>
      <c r="RE22" s="43">
        <v>14.9</v>
      </c>
      <c r="RZ22" s="5"/>
      <c r="SA22" s="5"/>
      <c r="SJ22" s="2"/>
      <c r="SK22" s="2"/>
      <c r="SM22" s="43">
        <v>14.9</v>
      </c>
      <c r="TH22" s="5"/>
      <c r="TI22" s="5"/>
      <c r="TR22" s="2"/>
      <c r="TS22" s="2"/>
      <c r="TU22" s="43">
        <v>14.9</v>
      </c>
      <c r="UP22" s="5"/>
      <c r="UQ22" s="5"/>
      <c r="UZ22" s="2"/>
      <c r="VA22" s="2"/>
      <c r="VC22" s="43">
        <v>14.9</v>
      </c>
      <c r="VX22" s="5"/>
      <c r="VY22" s="5"/>
      <c r="WH22" s="2"/>
      <c r="WI22" s="2"/>
      <c r="WK22" s="43">
        <v>14.9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15.2</v>
      </c>
      <c r="BK23" s="41"/>
      <c r="BL23" s="41"/>
      <c r="BM23" s="41"/>
      <c r="BO23" s="32"/>
      <c r="BP23" s="32"/>
      <c r="BR23" s="54">
        <v>15.2</v>
      </c>
      <c r="CL23" s="41"/>
      <c r="CM23" s="41"/>
      <c r="CN23" s="41"/>
      <c r="CO23" s="32"/>
      <c r="CP23" s="32"/>
      <c r="CQ23" s="32"/>
      <c r="CR23" s="32"/>
      <c r="CS23" s="54">
        <v>15.5</v>
      </c>
      <c r="DP23" s="5"/>
      <c r="DQ23" s="5"/>
      <c r="DZ23" s="2"/>
      <c r="EA23" s="2"/>
      <c r="EC23" s="44">
        <v>15.2</v>
      </c>
      <c r="EX23" s="5"/>
      <c r="EY23" s="5"/>
      <c r="FH23" s="2"/>
      <c r="FI23" s="2"/>
      <c r="FK23" s="44">
        <v>15.2</v>
      </c>
      <c r="GF23" s="5"/>
      <c r="GG23" s="5"/>
      <c r="GP23" s="2"/>
      <c r="GQ23" s="2"/>
      <c r="GS23" s="54">
        <v>15.2</v>
      </c>
      <c r="HN23" s="5"/>
      <c r="HO23" s="5"/>
      <c r="HX23" s="2"/>
      <c r="HY23" s="2"/>
      <c r="IA23" s="54">
        <v>15.2</v>
      </c>
      <c r="IV23" s="5"/>
      <c r="IW23" s="5"/>
      <c r="JF23" s="2"/>
      <c r="JG23" s="2"/>
      <c r="JI23" s="54">
        <v>15.5</v>
      </c>
      <c r="KD23" s="5"/>
      <c r="KE23" s="5"/>
      <c r="KN23" s="2"/>
      <c r="KO23" s="2"/>
      <c r="KQ23" s="54">
        <v>15.5</v>
      </c>
      <c r="LL23" s="5"/>
      <c r="LM23" s="5"/>
      <c r="LV23" s="2"/>
      <c r="LW23" s="2"/>
      <c r="LY23" s="54">
        <v>15.5</v>
      </c>
      <c r="MT23" s="5"/>
      <c r="MU23" s="5"/>
      <c r="ND23" s="2"/>
      <c r="NE23" s="2"/>
      <c r="NG23" s="54">
        <v>15.5</v>
      </c>
      <c r="OB23" s="5"/>
      <c r="OC23" s="5"/>
      <c r="OL23" s="2"/>
      <c r="OM23" s="2"/>
      <c r="OO23" s="54">
        <v>15.5</v>
      </c>
      <c r="PJ23" s="5"/>
      <c r="PK23" s="5"/>
      <c r="PT23" s="2"/>
      <c r="PU23" s="2"/>
      <c r="PW23" s="54">
        <v>15.5</v>
      </c>
      <c r="QR23" s="5"/>
      <c r="QS23" s="5"/>
      <c r="RB23" s="2"/>
      <c r="RC23" s="2"/>
      <c r="RE23" s="54">
        <v>15.5</v>
      </c>
      <c r="RZ23" s="5"/>
      <c r="SA23" s="5"/>
      <c r="SJ23" s="2"/>
      <c r="SK23" s="2"/>
      <c r="SM23" s="54">
        <v>15.5</v>
      </c>
      <c r="TH23" s="5"/>
      <c r="TI23" s="5"/>
      <c r="TR23" s="2"/>
      <c r="TS23" s="2"/>
      <c r="TU23" s="54">
        <v>15.5</v>
      </c>
      <c r="UP23" s="5"/>
      <c r="UQ23" s="5"/>
      <c r="UZ23" s="2"/>
      <c r="VA23" s="2"/>
      <c r="VC23" s="54">
        <v>15.5</v>
      </c>
      <c r="VX23" s="5"/>
      <c r="VY23" s="5"/>
      <c r="WH23" s="2"/>
      <c r="WI23" s="2"/>
      <c r="WK23" s="54">
        <v>15.5</v>
      </c>
    </row>
    <row r="24" spans="1:636" x14ac:dyDescent="0.2">
      <c r="A24" s="5"/>
      <c r="B24" s="35" t="s">
        <v>76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</v>
      </c>
      <c r="BK24" s="41"/>
      <c r="BL24" s="41"/>
      <c r="BM24" s="41"/>
      <c r="BO24" s="32"/>
      <c r="BP24" s="32"/>
      <c r="BR24" s="55">
        <v>16</v>
      </c>
      <c r="CL24" s="41"/>
      <c r="CM24" s="41"/>
      <c r="CN24" s="41"/>
      <c r="CO24" s="32"/>
      <c r="CP24" s="32"/>
      <c r="CQ24" s="32"/>
      <c r="CR24" s="32"/>
      <c r="CS24" s="55">
        <v>16.3</v>
      </c>
      <c r="DP24" s="5"/>
      <c r="DQ24" s="5"/>
      <c r="DZ24" s="2"/>
      <c r="EA24" s="2"/>
      <c r="EC24" s="45">
        <v>16</v>
      </c>
      <c r="EX24" s="5"/>
      <c r="EY24" s="5"/>
      <c r="FH24" s="2"/>
      <c r="FI24" s="2"/>
      <c r="FK24" s="45">
        <v>16</v>
      </c>
      <c r="GF24" s="5"/>
      <c r="GG24" s="5"/>
      <c r="GP24" s="2"/>
      <c r="GQ24" s="2"/>
      <c r="GS24" s="55">
        <v>16</v>
      </c>
      <c r="HN24" s="5"/>
      <c r="HO24" s="5"/>
      <c r="HX24" s="2"/>
      <c r="HY24" s="2"/>
      <c r="IA24" s="55">
        <v>16</v>
      </c>
      <c r="IV24" s="5"/>
      <c r="IW24" s="5"/>
      <c r="JF24" s="2"/>
      <c r="JG24" s="2"/>
      <c r="JI24" s="55">
        <v>16.3</v>
      </c>
      <c r="KD24" s="5"/>
      <c r="KE24" s="5"/>
      <c r="KN24" s="2"/>
      <c r="KO24" s="2"/>
      <c r="KQ24" s="55">
        <v>16.3</v>
      </c>
      <c r="LL24" s="5"/>
      <c r="LM24" s="5"/>
      <c r="LV24" s="2"/>
      <c r="LW24" s="2"/>
      <c r="LY24" s="55">
        <v>16.3</v>
      </c>
      <c r="MT24" s="5"/>
      <c r="MU24" s="5"/>
      <c r="ND24" s="2"/>
      <c r="NE24" s="2"/>
      <c r="NG24" s="55">
        <v>16.3</v>
      </c>
      <c r="OB24" s="5"/>
      <c r="OC24" s="5"/>
      <c r="OL24" s="2"/>
      <c r="OM24" s="2"/>
      <c r="OO24" s="55">
        <v>16.3</v>
      </c>
      <c r="PJ24" s="5"/>
      <c r="PK24" s="5"/>
      <c r="PT24" s="2"/>
      <c r="PU24" s="2"/>
      <c r="PW24" s="55">
        <v>16.3</v>
      </c>
      <c r="QR24" s="5"/>
      <c r="QS24" s="5"/>
      <c r="RB24" s="2"/>
      <c r="RC24" s="2"/>
      <c r="RE24" s="55">
        <v>16.3</v>
      </c>
      <c r="RZ24" s="5"/>
      <c r="SA24" s="5"/>
      <c r="SJ24" s="2"/>
      <c r="SK24" s="2"/>
      <c r="SM24" s="55">
        <v>16.3</v>
      </c>
      <c r="TH24" s="5"/>
      <c r="TI24" s="5"/>
      <c r="TR24" s="2"/>
      <c r="TS24" s="2"/>
      <c r="TU24" s="55">
        <v>16.3</v>
      </c>
      <c r="UP24" s="5"/>
      <c r="UQ24" s="5"/>
      <c r="UZ24" s="2"/>
      <c r="VA24" s="2"/>
      <c r="VC24" s="55">
        <v>16.3</v>
      </c>
      <c r="VX24" s="5"/>
      <c r="VY24" s="5"/>
      <c r="WH24" s="2"/>
      <c r="WI24" s="2"/>
      <c r="WK24" s="55">
        <v>16.3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47.2</v>
      </c>
      <c r="BK25" s="41"/>
      <c r="BL25" s="41"/>
      <c r="BM25" s="41"/>
      <c r="BO25" s="32"/>
      <c r="BP25" s="32"/>
      <c r="BR25" s="56">
        <v>47.2</v>
      </c>
      <c r="CL25" s="41"/>
      <c r="CM25" s="41"/>
      <c r="CN25" s="41"/>
      <c r="CO25" s="32"/>
      <c r="CP25" s="32"/>
      <c r="CQ25" s="32"/>
      <c r="CR25" s="32"/>
      <c r="CS25" s="56">
        <v>48</v>
      </c>
      <c r="DP25" s="5"/>
      <c r="DQ25" s="5"/>
      <c r="DZ25" s="2"/>
      <c r="EA25" s="2"/>
      <c r="EC25" s="46">
        <v>47.2</v>
      </c>
      <c r="EX25" s="5"/>
      <c r="EY25" s="5"/>
      <c r="FH25" s="2"/>
      <c r="FI25" s="2"/>
      <c r="FK25" s="46">
        <v>47.2</v>
      </c>
      <c r="GF25" s="5"/>
      <c r="GG25" s="5"/>
      <c r="GP25" s="2"/>
      <c r="GQ25" s="2"/>
      <c r="GS25" s="56">
        <v>47.2</v>
      </c>
      <c r="HN25" s="5"/>
      <c r="HO25" s="5"/>
      <c r="HX25" s="2"/>
      <c r="HY25" s="2"/>
      <c r="IA25" s="56">
        <v>47.2</v>
      </c>
      <c r="IV25" s="5"/>
      <c r="IW25" s="5"/>
      <c r="JF25" s="2"/>
      <c r="JG25" s="2"/>
      <c r="JI25" s="56">
        <v>48</v>
      </c>
      <c r="KD25" s="5"/>
      <c r="KE25" s="5"/>
      <c r="KN25" s="2"/>
      <c r="KO25" s="2"/>
      <c r="KQ25" s="56">
        <v>48</v>
      </c>
      <c r="LL25" s="5"/>
      <c r="LM25" s="5"/>
      <c r="LV25" s="2"/>
      <c r="LW25" s="2"/>
      <c r="LY25" s="56">
        <v>48</v>
      </c>
      <c r="MT25" s="5"/>
      <c r="MU25" s="5"/>
      <c r="ND25" s="2"/>
      <c r="NE25" s="2"/>
      <c r="NG25" s="56">
        <v>48</v>
      </c>
      <c r="OB25" s="5"/>
      <c r="OC25" s="5"/>
      <c r="OL25" s="2"/>
      <c r="OM25" s="2"/>
      <c r="OO25" s="56">
        <v>48</v>
      </c>
      <c r="PJ25" s="5"/>
      <c r="PK25" s="5"/>
      <c r="PT25" s="2"/>
      <c r="PU25" s="2"/>
      <c r="PW25" s="56">
        <v>48</v>
      </c>
      <c r="QR25" s="5"/>
      <c r="QS25" s="5"/>
      <c r="RB25" s="2"/>
      <c r="RC25" s="2"/>
      <c r="RE25" s="56">
        <v>48</v>
      </c>
      <c r="RZ25" s="5"/>
      <c r="SA25" s="5"/>
      <c r="SJ25" s="2"/>
      <c r="SK25" s="2"/>
      <c r="SM25" s="56">
        <v>48</v>
      </c>
      <c r="TH25" s="5"/>
      <c r="TI25" s="5"/>
      <c r="TR25" s="2"/>
      <c r="TS25" s="2"/>
      <c r="TU25" s="56">
        <v>48</v>
      </c>
      <c r="UP25" s="5"/>
      <c r="UQ25" s="5"/>
      <c r="UZ25" s="2"/>
      <c r="VA25" s="2"/>
      <c r="VC25" s="56">
        <v>48</v>
      </c>
      <c r="VX25" s="5"/>
      <c r="VY25" s="5"/>
      <c r="WH25" s="2"/>
      <c r="WI25" s="2"/>
      <c r="WK25" s="56">
        <v>48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48.5</v>
      </c>
      <c r="BK26" s="41"/>
      <c r="BL26" s="41"/>
      <c r="BM26" s="41"/>
      <c r="BO26" s="32"/>
      <c r="BP26" s="32"/>
      <c r="BR26" s="57">
        <v>48.5</v>
      </c>
      <c r="CL26" s="41"/>
      <c r="CM26" s="41"/>
      <c r="CN26" s="41"/>
      <c r="CO26" s="32"/>
      <c r="CP26" s="32"/>
      <c r="CQ26" s="32"/>
      <c r="CR26" s="32"/>
      <c r="CS26" s="57">
        <v>48.6</v>
      </c>
      <c r="DP26" s="5"/>
      <c r="DQ26" s="5"/>
      <c r="DZ26" s="2"/>
      <c r="EA26" s="2"/>
      <c r="EC26" s="47">
        <v>48.5</v>
      </c>
      <c r="EX26" s="5"/>
      <c r="EY26" s="5"/>
      <c r="FH26" s="2"/>
      <c r="FI26" s="2"/>
      <c r="FK26" s="47">
        <v>48.5</v>
      </c>
      <c r="GF26" s="5"/>
      <c r="GG26" s="5"/>
      <c r="GP26" s="2"/>
      <c r="GQ26" s="2"/>
      <c r="GS26" s="57">
        <v>48.5</v>
      </c>
      <c r="HN26" s="5"/>
      <c r="HO26" s="5"/>
      <c r="HX26" s="2"/>
      <c r="HY26" s="2"/>
      <c r="IA26" s="57">
        <v>48.5</v>
      </c>
      <c r="IV26" s="5"/>
      <c r="IW26" s="5"/>
      <c r="JF26" s="2"/>
      <c r="JG26" s="2"/>
      <c r="JI26" s="57">
        <v>48.6</v>
      </c>
      <c r="KD26" s="5"/>
      <c r="KE26" s="5"/>
      <c r="KN26" s="2"/>
      <c r="KO26" s="2"/>
      <c r="KQ26" s="57">
        <v>48.6</v>
      </c>
      <c r="LL26" s="5"/>
      <c r="LM26" s="5"/>
      <c r="LV26" s="2"/>
      <c r="LW26" s="2"/>
      <c r="LY26" s="57">
        <v>48.6</v>
      </c>
      <c r="MT26" s="5"/>
      <c r="MU26" s="5"/>
      <c r="ND26" s="2"/>
      <c r="NE26" s="2"/>
      <c r="NG26" s="57">
        <v>48.6</v>
      </c>
      <c r="OB26" s="5"/>
      <c r="OC26" s="5"/>
      <c r="OL26" s="2"/>
      <c r="OM26" s="2"/>
      <c r="OO26" s="57">
        <v>48.6</v>
      </c>
      <c r="PJ26" s="5"/>
      <c r="PK26" s="5"/>
      <c r="PT26" s="2"/>
      <c r="PU26" s="2"/>
      <c r="PW26" s="57">
        <v>48.6</v>
      </c>
      <c r="QR26" s="5"/>
      <c r="QS26" s="5"/>
      <c r="RB26" s="2"/>
      <c r="RC26" s="2"/>
      <c r="RE26" s="57">
        <v>48.6</v>
      </c>
      <c r="RZ26" s="5"/>
      <c r="SA26" s="5"/>
      <c r="SJ26" s="2"/>
      <c r="SK26" s="2"/>
      <c r="SM26" s="57">
        <v>48.6</v>
      </c>
      <c r="TH26" s="5"/>
      <c r="TI26" s="5"/>
      <c r="TR26" s="2"/>
      <c r="TS26" s="2"/>
      <c r="TU26" s="57">
        <v>48.6</v>
      </c>
      <c r="UP26" s="5"/>
      <c r="UQ26" s="5"/>
      <c r="UZ26" s="2"/>
      <c r="VA26" s="2"/>
      <c r="VC26" s="57">
        <v>48.6</v>
      </c>
      <c r="VX26" s="5"/>
      <c r="VY26" s="5"/>
      <c r="WH26" s="2"/>
      <c r="WI26" s="2"/>
      <c r="WK26" s="57">
        <v>48.6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49.2</v>
      </c>
      <c r="BK27" s="41"/>
      <c r="BL27" s="41"/>
      <c r="BM27" s="41"/>
      <c r="BO27" s="32"/>
      <c r="BP27" s="32"/>
      <c r="BR27" s="58">
        <v>49.2</v>
      </c>
      <c r="CL27" s="41"/>
      <c r="CM27" s="41"/>
      <c r="CN27" s="41"/>
      <c r="CO27" s="32"/>
      <c r="CP27" s="32"/>
      <c r="CQ27" s="32"/>
      <c r="CR27" s="32"/>
      <c r="CS27" s="58">
        <v>49.3</v>
      </c>
      <c r="DP27" s="5"/>
      <c r="DQ27" s="5"/>
      <c r="DZ27" s="2"/>
      <c r="EA27" s="2"/>
      <c r="EB27" s="37"/>
      <c r="EC27" s="48">
        <v>49.2</v>
      </c>
      <c r="EX27" s="5"/>
      <c r="EY27" s="5"/>
      <c r="FH27" s="2"/>
      <c r="FI27" s="2"/>
      <c r="FJ27" s="37"/>
      <c r="FK27" s="48">
        <v>49.2</v>
      </c>
      <c r="GF27" s="5"/>
      <c r="GG27" s="5"/>
      <c r="GP27" s="2"/>
      <c r="GQ27" s="2"/>
      <c r="GR27" s="37"/>
      <c r="GS27" s="58">
        <v>49.2</v>
      </c>
      <c r="HN27" s="5"/>
      <c r="HO27" s="5"/>
      <c r="HX27" s="2"/>
      <c r="HY27" s="2"/>
      <c r="HZ27" s="37"/>
      <c r="IA27" s="58">
        <v>49.2</v>
      </c>
      <c r="IV27" s="5"/>
      <c r="IW27" s="5"/>
      <c r="JF27" s="2"/>
      <c r="JG27" s="2"/>
      <c r="JH27" s="37"/>
      <c r="JI27" s="58">
        <v>49.3</v>
      </c>
      <c r="KD27" s="5"/>
      <c r="KE27" s="5"/>
      <c r="KN27" s="2"/>
      <c r="KO27" s="2"/>
      <c r="KP27" s="37"/>
      <c r="KQ27" s="58">
        <v>49.3</v>
      </c>
      <c r="LL27" s="5"/>
      <c r="LM27" s="5"/>
      <c r="LV27" s="2"/>
      <c r="LW27" s="2"/>
      <c r="LX27" s="37"/>
      <c r="LY27" s="58">
        <v>49.3</v>
      </c>
      <c r="MT27" s="5"/>
      <c r="MU27" s="5"/>
      <c r="ND27" s="2"/>
      <c r="NE27" s="2"/>
      <c r="NF27" s="37"/>
      <c r="NG27" s="58">
        <v>49.3</v>
      </c>
      <c r="OB27" s="5"/>
      <c r="OC27" s="5"/>
      <c r="OL27" s="2"/>
      <c r="OM27" s="2"/>
      <c r="ON27" s="37"/>
      <c r="OO27" s="58">
        <v>49.3</v>
      </c>
      <c r="PJ27" s="5"/>
      <c r="PK27" s="5"/>
      <c r="PT27" s="2"/>
      <c r="PU27" s="2"/>
      <c r="PV27" s="37"/>
      <c r="PW27" s="58">
        <v>49.3</v>
      </c>
      <c r="QR27" s="5"/>
      <c r="QS27" s="5"/>
      <c r="RB27" s="2"/>
      <c r="RC27" s="2"/>
      <c r="RD27" s="37"/>
      <c r="RE27" s="58">
        <v>49.3</v>
      </c>
      <c r="RZ27" s="5"/>
      <c r="SA27" s="5"/>
      <c r="SJ27" s="2"/>
      <c r="SK27" s="2"/>
      <c r="SL27" s="37"/>
      <c r="SM27" s="58">
        <v>49.3</v>
      </c>
      <c r="TH27" s="5"/>
      <c r="TI27" s="5"/>
      <c r="TR27" s="2"/>
      <c r="TS27" s="2"/>
      <c r="TT27" s="37"/>
      <c r="TU27" s="58">
        <v>49.3</v>
      </c>
      <c r="UP27" s="5"/>
      <c r="UQ27" s="5"/>
      <c r="UZ27" s="2"/>
      <c r="VA27" s="2"/>
      <c r="VB27" s="37"/>
      <c r="VC27" s="58">
        <v>49.3</v>
      </c>
      <c r="VX27" s="5"/>
      <c r="VY27" s="5"/>
      <c r="WH27" s="2"/>
      <c r="WI27" s="2"/>
      <c r="WJ27" s="37"/>
      <c r="WK27" s="58">
        <v>49.3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</v>
      </c>
      <c r="BK28" s="41"/>
      <c r="BL28" s="41"/>
      <c r="BM28" s="41"/>
      <c r="BO28" s="41"/>
      <c r="BP28" s="32"/>
      <c r="BR28" s="59">
        <v>50</v>
      </c>
      <c r="CL28" s="41"/>
      <c r="CM28" s="41"/>
      <c r="CN28" s="41"/>
      <c r="CO28" s="32"/>
      <c r="CP28" s="41"/>
      <c r="CQ28" s="32"/>
      <c r="CR28" s="32"/>
      <c r="CS28" s="59">
        <v>50.2</v>
      </c>
      <c r="DP28" s="5"/>
      <c r="DQ28" s="5"/>
      <c r="DZ28" s="41"/>
      <c r="EA28" s="2"/>
      <c r="EC28" s="49">
        <v>50</v>
      </c>
      <c r="EX28" s="5"/>
      <c r="EY28" s="5"/>
      <c r="FH28" s="41"/>
      <c r="FI28" s="2"/>
      <c r="FK28" s="49">
        <v>50</v>
      </c>
      <c r="GF28" s="5"/>
      <c r="GG28" s="5"/>
      <c r="GP28" s="2"/>
      <c r="GQ28" s="2"/>
      <c r="GS28" s="59">
        <v>50</v>
      </c>
      <c r="HN28" s="5"/>
      <c r="HO28" s="5"/>
      <c r="HX28" s="41"/>
      <c r="HY28" s="2"/>
      <c r="IA28" s="59">
        <v>50</v>
      </c>
      <c r="IV28" s="5"/>
      <c r="IW28" s="5"/>
      <c r="JF28" s="2"/>
      <c r="JG28" s="2"/>
      <c r="JI28" s="59">
        <v>50.2</v>
      </c>
      <c r="KD28" s="5"/>
      <c r="KE28" s="5"/>
      <c r="KN28" s="2"/>
      <c r="KO28" s="2"/>
      <c r="KQ28" s="59">
        <v>50.2</v>
      </c>
      <c r="LL28" s="5"/>
      <c r="LM28" s="5"/>
      <c r="LV28" s="2"/>
      <c r="LW28" s="2"/>
      <c r="LY28" s="59">
        <v>50.2</v>
      </c>
      <c r="MT28" s="5"/>
      <c r="MU28" s="5"/>
      <c r="ND28" s="2"/>
      <c r="NE28" s="2"/>
      <c r="NG28" s="59">
        <v>50.2</v>
      </c>
      <c r="OB28" s="5"/>
      <c r="OC28" s="5"/>
      <c r="OL28" s="2"/>
      <c r="OM28" s="2"/>
      <c r="OO28" s="59">
        <v>50.2</v>
      </c>
      <c r="PJ28" s="5"/>
      <c r="PK28" s="5"/>
      <c r="PT28" s="2"/>
      <c r="PU28" s="2"/>
      <c r="PW28" s="59">
        <v>50.2</v>
      </c>
      <c r="QR28" s="5"/>
      <c r="QS28" s="5"/>
      <c r="RB28" s="2"/>
      <c r="RC28" s="2"/>
      <c r="RE28" s="59">
        <v>50.2</v>
      </c>
      <c r="RZ28" s="5"/>
      <c r="SA28" s="5"/>
      <c r="SJ28" s="2"/>
      <c r="SK28" s="2"/>
      <c r="SM28" s="59">
        <v>50.2</v>
      </c>
      <c r="TH28" s="5"/>
      <c r="TI28" s="5"/>
      <c r="TR28" s="2"/>
      <c r="TS28" s="2"/>
      <c r="TU28" s="59">
        <v>50.2</v>
      </c>
      <c r="UP28" s="5"/>
      <c r="UQ28" s="5"/>
      <c r="UZ28" s="2"/>
      <c r="VA28" s="2"/>
      <c r="VC28" s="59">
        <v>50.2</v>
      </c>
      <c r="VX28" s="5"/>
      <c r="VY28" s="5"/>
      <c r="WH28" s="2"/>
      <c r="WI28" s="2"/>
      <c r="WK28" s="59">
        <v>50.2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8">
      <sortCondition descending="1" ref="F1:F19"/>
    </sortState>
  </autoFilter>
  <mergeCells count="108"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</mergeCells>
  <phoneticPr fontId="21" type="noConversion"/>
  <conditionalFormatting sqref="H1:H1048576">
    <cfRule type="containsText" dxfId="602" priority="64" operator="containsText" text="No DD">
      <formula>NOT(ISERROR(SEARCH("No DD",H1)))</formula>
    </cfRule>
    <cfRule type="containsText" dxfId="601" priority="65" operator="containsText" text="Merit">
      <formula>NOT(ISERROR(SEARCH("Merit",H1)))</formula>
    </cfRule>
    <cfRule type="containsText" dxfId="600" priority="66" operator="containsText" text="Excellence">
      <formula>NOT(ISERROR(SEARCH("Excellence",H1)))</formula>
    </cfRule>
    <cfRule type="containsText" dxfId="599" priority="67" operator="containsText" text="Worlds Team">
      <formula>NOT(ISERROR(SEARCH("Worlds Team",H1)))</formula>
    </cfRule>
    <cfRule type="containsText" dxfId="598" priority="68" operator="containsText" text="National Team">
      <formula>NOT(ISERROR(SEARCH("National Team",H1)))</formula>
    </cfRule>
  </conditionalFormatting>
  <conditionalFormatting sqref="A4:A1048576">
    <cfRule type="expression" dxfId="597" priority="29">
      <formula>AND(G4&lt;&gt;"",F4="")</formula>
    </cfRule>
    <cfRule type="expression" dxfId="596" priority="69">
      <formula>IF(A4&gt;4,1,0)</formula>
    </cfRule>
  </conditionalFormatting>
  <conditionalFormatting sqref="Q4:AQ18">
    <cfRule type="expression" dxfId="595" priority="70" stopIfTrue="1">
      <formula>IF($AF4&lt;&gt;"",1,0)</formula>
    </cfRule>
  </conditionalFormatting>
  <conditionalFormatting sqref="AR4:BR18">
    <cfRule type="expression" dxfId="594" priority="63" stopIfTrue="1">
      <formula>IF($BG4&lt;&gt;"",1,0)</formula>
    </cfRule>
  </conditionalFormatting>
  <conditionalFormatting sqref="BS4:CS18">
    <cfRule type="expression" dxfId="593" priority="62" stopIfTrue="1">
      <formula>IF($CH4&lt;&gt;"",1,0)</formula>
    </cfRule>
  </conditionalFormatting>
  <conditionalFormatting sqref="BO29:BO1048576 BH1:BH1048576 BK1:BK1048576 BO1:BO27">
    <cfRule type="cellIs" dxfId="592" priority="75" operator="between">
      <formula>$BR$24</formula>
      <formula>1000</formula>
    </cfRule>
    <cfRule type="cellIs" dxfId="591" priority="76" operator="between">
      <formula>$BR$23</formula>
      <formula>$BR$24</formula>
    </cfRule>
    <cfRule type="cellIs" dxfId="590" priority="77" operator="between">
      <formula>$BR$22</formula>
      <formula>$BR$23</formula>
    </cfRule>
    <cfRule type="cellIs" dxfId="589" priority="78" operator="between">
      <formula>$BR$21</formula>
      <formula>$BR$22</formula>
    </cfRule>
  </conditionalFormatting>
  <conditionalFormatting sqref="CP29:CP1048576 CI1:CI1048576 CL1:CL1048576 CP1:CP27">
    <cfRule type="cellIs" dxfId="588" priority="71" operator="between">
      <formula>$CS$24</formula>
      <formula>1000</formula>
    </cfRule>
    <cfRule type="cellIs" dxfId="587" priority="72" operator="between">
      <formula>$CS$23</formula>
      <formula>$CS$24</formula>
    </cfRule>
    <cfRule type="cellIs" dxfId="586" priority="73" operator="between">
      <formula>$CS$22</formula>
      <formula>$CS$23</formula>
    </cfRule>
    <cfRule type="cellIs" dxfId="585" priority="74" operator="between">
      <formula>$CS$21</formula>
      <formula>$CS$22</formula>
    </cfRule>
  </conditionalFormatting>
  <conditionalFormatting sqref="DZ29:DZ1048576 DP1:DP1048576 DS1:DS1048576 DW1:DW1048576 DZ1:DZ27">
    <cfRule type="cellIs" dxfId="584" priority="82" operator="between">
      <formula>$EC$24</formula>
      <formula>1000</formula>
    </cfRule>
    <cfRule type="cellIs" dxfId="583" priority="83" operator="between">
      <formula>$EC$23</formula>
      <formula>$EC$24</formula>
    </cfRule>
    <cfRule type="cellIs" dxfId="582" priority="84" operator="between">
      <formula>$EC$22</formula>
      <formula>$EC$23</formula>
    </cfRule>
    <cfRule type="cellIs" dxfId="581" priority="85" operator="between">
      <formula>$EC$21</formula>
      <formula>$EC$22</formula>
    </cfRule>
  </conditionalFormatting>
  <conditionalFormatting sqref="FH29:FH1048576 EX1:EX1048576 FA1:FA1048576 FE1:FE1048576 FH1:FH27">
    <cfRule type="cellIs" dxfId="580" priority="58" operator="between">
      <formula>$FK$24</formula>
      <formula>1000</formula>
    </cfRule>
    <cfRule type="cellIs" dxfId="579" priority="59" operator="between">
      <formula>$FK$23</formula>
      <formula>$FK$24</formula>
    </cfRule>
    <cfRule type="cellIs" dxfId="578" priority="60" operator="between">
      <formula>$FK$22</formula>
      <formula>$FK$23</formula>
    </cfRule>
    <cfRule type="cellIs" dxfId="577" priority="61" operator="between">
      <formula>$FK$21</formula>
      <formula>$FK$22</formula>
    </cfRule>
  </conditionalFormatting>
  <conditionalFormatting sqref="HX29:HX1048576 HN1:HN1048576 HQ1:HQ1048576 HU1:HU1048576 HX1:HX27">
    <cfRule type="cellIs" dxfId="576" priority="54" operator="between">
      <formula>$IA$24</formula>
      <formula>1000</formula>
    </cfRule>
    <cfRule type="cellIs" dxfId="575" priority="55" operator="between">
      <formula>$IA$23</formula>
      <formula>$IA$24</formula>
    </cfRule>
    <cfRule type="cellIs" dxfId="574" priority="56" operator="between">
      <formula>$IA$22</formula>
      <formula>$IA$23</formula>
    </cfRule>
    <cfRule type="cellIs" dxfId="573" priority="57" operator="between">
      <formula>$IA$21</formula>
      <formula>$IA$22</formula>
    </cfRule>
  </conditionalFormatting>
  <conditionalFormatting sqref="AO28 AG1:AG1048576 AJ1:AJ1048576 AN1:AN1048576">
    <cfRule type="cellIs" dxfId="572" priority="50" operator="between">
      <formula>$AQ$24</formula>
      <formula>1000</formula>
    </cfRule>
    <cfRule type="cellIs" dxfId="571" priority="51" operator="between">
      <formula>$AQ$23</formula>
      <formula>$AQ$24</formula>
    </cfRule>
    <cfRule type="cellIs" dxfId="570" priority="52" operator="between">
      <formula>$AQ$22</formula>
      <formula>$AQ$23</formula>
    </cfRule>
    <cfRule type="cellIs" dxfId="569" priority="53" operator="between">
      <formula>$AQ$21</formula>
      <formula>$AQ$22</formula>
    </cfRule>
  </conditionalFormatting>
  <conditionalFormatting sqref="BO28">
    <cfRule type="cellIs" dxfId="568" priority="46" operator="between">
      <formula>$AQ$24</formula>
      <formula>1000</formula>
    </cfRule>
    <cfRule type="cellIs" dxfId="567" priority="47" operator="between">
      <formula>$AQ$23</formula>
      <formula>$AQ$24</formula>
    </cfRule>
    <cfRule type="cellIs" dxfId="566" priority="48" operator="between">
      <formula>$AQ$22</formula>
      <formula>$AQ$23</formula>
    </cfRule>
    <cfRule type="cellIs" dxfId="565" priority="49" operator="between">
      <formula>$AQ$21</formula>
      <formula>$AQ$22</formula>
    </cfRule>
  </conditionalFormatting>
  <conditionalFormatting sqref="CP28">
    <cfRule type="cellIs" dxfId="564" priority="42" operator="between">
      <formula>$AQ$24</formula>
      <formula>1000</formula>
    </cfRule>
    <cfRule type="cellIs" dxfId="563" priority="43" operator="between">
      <formula>$AQ$23</formula>
      <formula>$AQ$24</formula>
    </cfRule>
    <cfRule type="cellIs" dxfId="562" priority="44" operator="between">
      <formula>$AQ$22</formula>
      <formula>$AQ$23</formula>
    </cfRule>
    <cfRule type="cellIs" dxfId="561" priority="45" operator="between">
      <formula>$AQ$21</formula>
      <formula>$AQ$22</formula>
    </cfRule>
  </conditionalFormatting>
  <conditionalFormatting sqref="DZ28">
    <cfRule type="cellIs" dxfId="560" priority="38" operator="between">
      <formula>$AQ$24</formula>
      <formula>1000</formula>
    </cfRule>
    <cfRule type="cellIs" dxfId="559" priority="39" operator="between">
      <formula>$AQ$23</formula>
      <formula>$AQ$24</formula>
    </cfRule>
    <cfRule type="cellIs" dxfId="558" priority="40" operator="between">
      <formula>$AQ$22</formula>
      <formula>$AQ$23</formula>
    </cfRule>
    <cfRule type="cellIs" dxfId="557" priority="41" operator="between">
      <formula>$AQ$21</formula>
      <formula>$AQ$22</formula>
    </cfRule>
  </conditionalFormatting>
  <conditionalFormatting sqref="FH28">
    <cfRule type="cellIs" dxfId="556" priority="34" operator="between">
      <formula>$AQ$24</formula>
      <formula>1000</formula>
    </cfRule>
    <cfRule type="cellIs" dxfId="555" priority="35" operator="between">
      <formula>$AQ$23</formula>
      <formula>$AQ$24</formula>
    </cfRule>
    <cfRule type="cellIs" dxfId="554" priority="36" operator="between">
      <formula>$AQ$22</formula>
      <formula>$AQ$23</formula>
    </cfRule>
    <cfRule type="cellIs" dxfId="553" priority="37" operator="between">
      <formula>$AQ$21</formula>
      <formula>$AQ$22</formula>
    </cfRule>
  </conditionalFormatting>
  <conditionalFormatting sqref="HX28">
    <cfRule type="cellIs" dxfId="552" priority="30" operator="between">
      <formula>$AQ$24</formula>
      <formula>1000</formula>
    </cfRule>
    <cfRule type="cellIs" dxfId="551" priority="31" operator="between">
      <formula>$AQ$23</formula>
      <formula>$AQ$24</formula>
    </cfRule>
    <cfRule type="cellIs" dxfId="550" priority="32" operator="between">
      <formula>$AQ$22</formula>
      <formula>$AQ$23</formula>
    </cfRule>
    <cfRule type="cellIs" dxfId="549" priority="33" operator="between">
      <formula>$AQ$21</formula>
      <formula>$AQ$22</formula>
    </cfRule>
  </conditionalFormatting>
  <conditionalFormatting sqref="K1:K1048576 M1:M1048576">
    <cfRule type="expression" dxfId="548" priority="79">
      <formula>IF(K1=$BS$1,1,0)</formula>
    </cfRule>
    <cfRule type="expression" dxfId="547" priority="80">
      <formula>IF(K1=$AR$1,1,0)</formula>
    </cfRule>
    <cfRule type="expression" dxfId="546" priority="81">
      <formula>IF(K1=$Q$1,1,0)</formula>
    </cfRule>
  </conditionalFormatting>
  <conditionalFormatting sqref="CN1:CN1048576 AL1:AL1048576">
    <cfRule type="cellIs" dxfId="545" priority="116965" operator="between">
      <formula>AQ$28</formula>
      <formula>1000</formula>
    </cfRule>
    <cfRule type="cellIs" dxfId="544" priority="116966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543" priority="116977" operator="between">
      <formula>EC$28</formula>
      <formula>1000</formula>
    </cfRule>
    <cfRule type="cellIs" dxfId="542" priority="116978" operator="between">
      <formula>EC$27</formula>
      <formula>EC$28</formula>
    </cfRule>
  </conditionalFormatting>
  <conditionalFormatting sqref="AI1:AI1048576 AL1:AL1048576 AP1:AP1048576">
    <cfRule type="cellIs" dxfId="541" priority="117061" operator="between">
      <formula>$AQ$28</formula>
      <formula>1000</formula>
    </cfRule>
    <cfRule type="cellIs" dxfId="540" priority="117062" operator="between">
      <formula>$AQ$27</formula>
      <formula>$AQ$28</formula>
    </cfRule>
    <cfRule type="cellIs" dxfId="539" priority="117063" operator="between">
      <formula>$AQ$26</formula>
      <formula>$AQ$27</formula>
    </cfRule>
    <cfRule type="cellIs" dxfId="538" priority="117064" operator="between">
      <formula>$AQ$25</formula>
      <formula>$AQ$26</formula>
    </cfRule>
  </conditionalFormatting>
  <conditionalFormatting sqref="BJ1:BJ1048576 BM1:BM1048576 BQ1:BQ1048576">
    <cfRule type="cellIs" dxfId="537" priority="117097" operator="between">
      <formula>$BR$28</formula>
      <formula>1000</formula>
    </cfRule>
    <cfRule type="cellIs" dxfId="536" priority="117098" operator="between">
      <formula>$BR$27</formula>
      <formula>$BR$28</formula>
    </cfRule>
    <cfRule type="cellIs" dxfId="535" priority="117099" operator="between">
      <formula>$BR$26</formula>
      <formula>$BR$27</formula>
    </cfRule>
    <cfRule type="cellIs" dxfId="534" priority="117100" operator="between">
      <formula>$BR$25</formula>
      <formula>$BR$26</formula>
    </cfRule>
  </conditionalFormatting>
  <conditionalFormatting sqref="CK1:CK1048576 CN1:CN1048576 CR1:CR1048576">
    <cfRule type="cellIs" dxfId="533" priority="117133" operator="between">
      <formula>$CS$28</formula>
      <formula>1000</formula>
    </cfRule>
    <cfRule type="cellIs" dxfId="532" priority="117134" operator="between">
      <formula>$CS$27</formula>
      <formula>$CS$28</formula>
    </cfRule>
    <cfRule type="cellIs" dxfId="531" priority="117135" operator="between">
      <formula>$CS$26</formula>
      <formula>$CS$27</formula>
    </cfRule>
    <cfRule type="cellIs" dxfId="530" priority="117136" operator="between">
      <formula>$CS$25</formula>
      <formula>$CS$26</formula>
    </cfRule>
  </conditionalFormatting>
  <conditionalFormatting sqref="MT1:MT1048576 MW1:MW1048576 NA1:NA1048576 ND1:ND1048576">
    <cfRule type="cellIs" dxfId="529" priority="117169" operator="between">
      <formula>$NG$21</formula>
      <formula>$NG$22</formula>
    </cfRule>
  </conditionalFormatting>
  <conditionalFormatting sqref="DR1:DR1048576 DU1:DU1048576 DY1:DY1048576 EB1:EB1048576">
    <cfRule type="cellIs" dxfId="528" priority="117181" operator="between">
      <formula>$EC$28</formula>
      <formula>1000</formula>
    </cfRule>
    <cfRule type="cellIs" dxfId="527" priority="117182" operator="between">
      <formula>$EC$27</formula>
      <formula>$EC$28</formula>
    </cfRule>
    <cfRule type="cellIs" dxfId="526" priority="117183" operator="between">
      <formula>$EC$26</formula>
      <formula>$EC$27</formula>
    </cfRule>
    <cfRule type="cellIs" dxfId="525" priority="117184" operator="between">
      <formula>$EC$25</formula>
      <formula>$EC$26</formula>
    </cfRule>
  </conditionalFormatting>
  <conditionalFormatting sqref="EZ1:EZ1048576 FC1:FC1048576 FG1:FG1048576 FJ1:FJ1048576">
    <cfRule type="cellIs" dxfId="524" priority="117229" operator="between">
      <formula>$FK$28</formula>
      <formula>1000</formula>
    </cfRule>
    <cfRule type="cellIs" dxfId="523" priority="117230" operator="between">
      <formula>$FK$27</formula>
      <formula>$FK$28</formula>
    </cfRule>
    <cfRule type="cellIs" dxfId="522" priority="117231" operator="between">
      <formula>$FK$26</formula>
      <formula>$FK$27</formula>
    </cfRule>
    <cfRule type="cellIs" dxfId="521" priority="117232" operator="between">
      <formula>$FK$25</formula>
      <formula>$FK$26</formula>
    </cfRule>
  </conditionalFormatting>
  <conditionalFormatting sqref="GF1:GF1048576 GI1:GI1048576 GM1:GM1048576 GP1:GP1048576">
    <cfRule type="cellIs" dxfId="520" priority="117277" operator="between">
      <formula>$GS$24</formula>
      <formula>1000</formula>
    </cfRule>
    <cfRule type="cellIs" dxfId="519" priority="117278" operator="between">
      <formula>$GS$23</formula>
      <formula>$GS$24</formula>
    </cfRule>
    <cfRule type="cellIs" dxfId="518" priority="117279" operator="between">
      <formula>$GS$22</formula>
      <formula>$GS$23</formula>
    </cfRule>
    <cfRule type="cellIs" dxfId="517" priority="117280" operator="between">
      <formula>$GS$21</formula>
      <formula>$GS$22</formula>
    </cfRule>
  </conditionalFormatting>
  <conditionalFormatting sqref="GH1:GH1048576 GK1:GK1048576 GO1:GO1048576 GR1:GR1048576">
    <cfRule type="cellIs" dxfId="516" priority="117325" operator="between">
      <formula>$GS$28</formula>
      <formula>1000</formula>
    </cfRule>
    <cfRule type="cellIs" dxfId="515" priority="117326" operator="between">
      <formula>$GS$27</formula>
      <formula>$GS$28</formula>
    </cfRule>
    <cfRule type="cellIs" dxfId="514" priority="117327" operator="between">
      <formula>$GS$26</formula>
      <formula>$GS$27</formula>
    </cfRule>
    <cfRule type="cellIs" dxfId="513" priority="117328" operator="between">
      <formula>$GS$25</formula>
      <formula>$GS$26</formula>
    </cfRule>
  </conditionalFormatting>
  <conditionalFormatting sqref="HP1:HP1048576 HS1:HS1048576 HW1:HW1048576 HZ1:HZ1048576">
    <cfRule type="cellIs" dxfId="512" priority="117373" operator="between">
      <formula>$IA$28</formula>
      <formula>1000</formula>
    </cfRule>
    <cfRule type="cellIs" dxfId="511" priority="117374" operator="between">
      <formula>$IA$27</formula>
      <formula>$IA$28</formula>
    </cfRule>
    <cfRule type="cellIs" dxfId="510" priority="117375" operator="between">
      <formula>$IA$26</formula>
      <formula>$IA$27</formula>
    </cfRule>
    <cfRule type="cellIs" dxfId="509" priority="117376" operator="between">
      <formula>$IA$25</formula>
      <formula>$IA$26</formula>
    </cfRule>
  </conditionalFormatting>
  <conditionalFormatting sqref="IV1:IV1048576 IY1:IY1048576 JC1:JC1048576 JF1:JF1048576">
    <cfRule type="cellIs" dxfId="508" priority="117421" operator="between">
      <formula>$JI$24</formula>
      <formula>1000</formula>
    </cfRule>
    <cfRule type="cellIs" dxfId="507" priority="117422" operator="between">
      <formula>$JI$23</formula>
      <formula>$JI$24</formula>
    </cfRule>
    <cfRule type="cellIs" dxfId="506" priority="117423" operator="between">
      <formula>$JI$22</formula>
      <formula>$JI$23</formula>
    </cfRule>
    <cfRule type="cellIs" dxfId="505" priority="117424" operator="between">
      <formula>$JI$21</formula>
      <formula>$JI$22</formula>
    </cfRule>
  </conditionalFormatting>
  <conditionalFormatting sqref="IX1:IX1048576 JA1:JA1048576 JE1:JE1048576 JH1:JH1048576">
    <cfRule type="cellIs" dxfId="504" priority="117469" operator="between">
      <formula>$JI$28</formula>
      <formula>1000</formula>
    </cfRule>
    <cfRule type="cellIs" dxfId="503" priority="117470" operator="between">
      <formula>$JI$27</formula>
      <formula>$JI$28</formula>
    </cfRule>
    <cfRule type="cellIs" dxfId="502" priority="117471" operator="between">
      <formula>$JI$26</formula>
      <formula>$JI$27</formula>
    </cfRule>
    <cfRule type="cellIs" dxfId="501" priority="117472" operator="between">
      <formula>$JI$25</formula>
      <formula>$JI$26</formula>
    </cfRule>
  </conditionalFormatting>
  <conditionalFormatting sqref="KD1:KD1048576 KG1:KG1048576 KK1:KK1048576 KN1:KN1048576">
    <cfRule type="cellIs" dxfId="500" priority="117517" operator="between">
      <formula>$KQ$24</formula>
      <formula>1000</formula>
    </cfRule>
    <cfRule type="cellIs" dxfId="499" priority="117518" operator="between">
      <formula>$KQ$23</formula>
      <formula>$KQ$24</formula>
    </cfRule>
    <cfRule type="cellIs" dxfId="498" priority="117519" operator="between">
      <formula>$KQ$22</formula>
      <formula>$KQ$23</formula>
    </cfRule>
    <cfRule type="cellIs" dxfId="497" priority="117520" operator="between">
      <formula>$KQ$21</formula>
      <formula>$KQ$22</formula>
    </cfRule>
  </conditionalFormatting>
  <conditionalFormatting sqref="KF1:KF1048576 KI1:KI1048576 KM1:KM1048576 KP1:KP1048576">
    <cfRule type="cellIs" dxfId="496" priority="117565" operator="between">
      <formula>$KQ$28</formula>
      <formula>1000</formula>
    </cfRule>
    <cfRule type="cellIs" dxfId="495" priority="117566" operator="between">
      <formula>$KQ$27</formula>
      <formula>$KQ$28</formula>
    </cfRule>
    <cfRule type="cellIs" dxfId="494" priority="117567" operator="between">
      <formula>$KQ$26</formula>
      <formula>$KQ$27</formula>
    </cfRule>
    <cfRule type="cellIs" dxfId="493" priority="117568" operator="between">
      <formula>$KQ$25</formula>
      <formula>$KQ$26</formula>
    </cfRule>
  </conditionalFormatting>
  <conditionalFormatting sqref="LL1:LL1048576 LO1:LO1048576 LS1:LS1048576 LV1:LV1048576">
    <cfRule type="cellIs" dxfId="492" priority="117613" operator="between">
      <formula>$LY$24</formula>
      <formula>1000</formula>
    </cfRule>
    <cfRule type="cellIs" dxfId="491" priority="117614" operator="between">
      <formula>$LY$23</formula>
      <formula>$LY$24</formula>
    </cfRule>
    <cfRule type="cellIs" dxfId="490" priority="117615" operator="between">
      <formula>$LY$22</formula>
      <formula>$LY$23</formula>
    </cfRule>
    <cfRule type="cellIs" dxfId="489" priority="117616" operator="between">
      <formula>$LY$21</formula>
      <formula>$LY$22</formula>
    </cfRule>
  </conditionalFormatting>
  <conditionalFormatting sqref="LN1:LN1048576 LQ1:LQ1048576 LU1:LU1048576 LX1:LX1048576">
    <cfRule type="cellIs" dxfId="488" priority="117661" operator="between">
      <formula>$LY$28</formula>
      <formula>1000</formula>
    </cfRule>
    <cfRule type="cellIs" dxfId="487" priority="117662" operator="between">
      <formula>$LY$27</formula>
      <formula>$LY$28</formula>
    </cfRule>
    <cfRule type="cellIs" dxfId="486" priority="117663" operator="between">
      <formula>$LY$26</formula>
      <formula>$LY$27</formula>
    </cfRule>
    <cfRule type="cellIs" dxfId="485" priority="117664" operator="between">
      <formula>$LY$25</formula>
      <formula>$LY$26</formula>
    </cfRule>
  </conditionalFormatting>
  <conditionalFormatting sqref="MT1:MT1048576 MW1:MW1048576 NA1:NA1048576">
    <cfRule type="cellIs" dxfId="484" priority="117709" operator="between">
      <formula>$NG$24</formula>
      <formula>1000</formula>
    </cfRule>
    <cfRule type="cellIs" dxfId="483" priority="117710" operator="between">
      <formula>$NG$23</formula>
      <formula>$NG$24</formula>
    </cfRule>
    <cfRule type="cellIs" dxfId="482" priority="117711" operator="between">
      <formula>$NG$22</formula>
      <formula>$NG$23</formula>
    </cfRule>
  </conditionalFormatting>
  <conditionalFormatting sqref="MV1:MV1048576 MY1:MY1048576 NC1:NC1048576 NF1:NF1048576">
    <cfRule type="cellIs" dxfId="481" priority="117736" operator="between">
      <formula>$NG$28</formula>
      <formula>1000</formula>
    </cfRule>
    <cfRule type="cellIs" dxfId="480" priority="117737" operator="between">
      <formula>$NG$27</formula>
      <formula>$NG$28</formula>
    </cfRule>
    <cfRule type="cellIs" dxfId="479" priority="117738" operator="between">
      <formula>$NG$26</formula>
      <formula>$NG$27</formula>
    </cfRule>
    <cfRule type="cellIs" dxfId="478" priority="117739" operator="between">
      <formula>$NG$25</formula>
      <formula>$NG$26</formula>
    </cfRule>
  </conditionalFormatting>
  <conditionalFormatting sqref="OB1:OB1048576 OE1:OE1048576 OI1:OI1048576 OL1:OL1048576">
    <cfRule type="cellIs" dxfId="477" priority="117784" operator="between">
      <formula>$OO$24</formula>
      <formula>1000</formula>
    </cfRule>
    <cfRule type="cellIs" dxfId="476" priority="117785" operator="between">
      <formula>$OO$23</formula>
      <formula>$OO$24</formula>
    </cfRule>
    <cfRule type="cellIs" dxfId="475" priority="117786" operator="between">
      <formula>$OO$22</formula>
      <formula>$OO$23</formula>
    </cfRule>
    <cfRule type="cellIs" dxfId="474" priority="117787" operator="between">
      <formula>$OO$21</formula>
      <formula>$OO$22</formula>
    </cfRule>
  </conditionalFormatting>
  <conditionalFormatting sqref="OD1:OD1048576 OG1:OG1048576 OK1:OK1048576 ON1:ON1048576">
    <cfRule type="cellIs" dxfId="473" priority="117832" operator="between">
      <formula>$OO$28</formula>
      <formula>1000</formula>
    </cfRule>
    <cfRule type="cellIs" dxfId="472" priority="117833" operator="between">
      <formula>$OO$27</formula>
      <formula>$OO$28</formula>
    </cfRule>
    <cfRule type="cellIs" dxfId="471" priority="117834" operator="between">
      <formula>$OO$26</formula>
      <formula>$OO$27</formula>
    </cfRule>
    <cfRule type="cellIs" dxfId="470" priority="117835" operator="between">
      <formula>$OO$25</formula>
      <formula>$OO$26</formula>
    </cfRule>
  </conditionalFormatting>
  <conditionalFormatting sqref="PJ1:PJ1048576 PM1:PM1048576 PQ1:PQ1048576 PT1:PT1048576">
    <cfRule type="cellIs" dxfId="469" priority="117880" operator="between">
      <formula>$PW$24</formula>
      <formula>1000</formula>
    </cfRule>
    <cfRule type="cellIs" dxfId="468" priority="117881" operator="between">
      <formula>$PW$23</formula>
      <formula>$PW$24</formula>
    </cfRule>
    <cfRule type="cellIs" dxfId="467" priority="117882" operator="between">
      <formula>$PW$22</formula>
      <formula>$PW$23</formula>
    </cfRule>
    <cfRule type="cellIs" dxfId="466" priority="117883" operator="between">
      <formula>$PW$21</formula>
      <formula>$PW$22</formula>
    </cfRule>
  </conditionalFormatting>
  <conditionalFormatting sqref="PL1:PL1048576 PO1:PO1048576 PS1:PS1048576 PV1:PV1048576">
    <cfRule type="cellIs" dxfId="465" priority="117928" operator="between">
      <formula>$PW$28</formula>
      <formula>1000</formula>
    </cfRule>
    <cfRule type="cellIs" dxfId="464" priority="117929" operator="between">
      <formula>$PW$27</formula>
      <formula>$PW$28</formula>
    </cfRule>
    <cfRule type="cellIs" dxfId="463" priority="117930" operator="between">
      <formula>$PW$26</formula>
      <formula>$PW$27</formula>
    </cfRule>
    <cfRule type="cellIs" dxfId="462" priority="117931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461" priority="117976" operator="between">
      <formula>$RE$24</formula>
      <formula>1000</formula>
    </cfRule>
    <cfRule type="cellIs" dxfId="460" priority="117977" operator="between">
      <formula>$RE$23</formula>
      <formula>$RE$24</formula>
    </cfRule>
    <cfRule type="cellIs" dxfId="459" priority="117978" operator="between">
      <formula>$RE$22</formula>
      <formula>$RE$23</formula>
    </cfRule>
    <cfRule type="cellIs" dxfId="458" priority="117979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457" priority="118088" operator="between">
      <formula>$RE$28</formula>
      <formula>1000</formula>
    </cfRule>
    <cfRule type="cellIs" dxfId="456" priority="118089" operator="between">
      <formula>$RE$27</formula>
      <formula>$RE$28</formula>
    </cfRule>
    <cfRule type="cellIs" dxfId="455" priority="118090" operator="between">
      <formula>$RE$26</formula>
      <formula>$RE$27</formula>
    </cfRule>
    <cfRule type="cellIs" dxfId="454" priority="118091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453" priority="118200" operator="between">
      <formula>$SM$24</formula>
      <formula>1000</formula>
    </cfRule>
    <cfRule type="cellIs" dxfId="452" priority="118201" operator="between">
      <formula>$SM$23</formula>
      <formula>$SM$24</formula>
    </cfRule>
    <cfRule type="cellIs" dxfId="451" priority="118202" operator="between">
      <formula>$SM$22</formula>
      <formula>$SM$23</formula>
    </cfRule>
    <cfRule type="cellIs" dxfId="450" priority="118203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449" priority="118280" operator="between">
      <formula>$SM$28</formula>
      <formula>1000</formula>
    </cfRule>
    <cfRule type="cellIs" dxfId="448" priority="118281" operator="between">
      <formula>$SM$27</formula>
      <formula>$SM$28</formula>
    </cfRule>
    <cfRule type="cellIs" dxfId="447" priority="118282" operator="between">
      <formula>$SM$26</formula>
      <formula>$SM$27</formula>
    </cfRule>
    <cfRule type="cellIs" dxfId="446" priority="118283" operator="between">
      <formula>$SM$25</formula>
      <formula>$SM$26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104</v>
      </c>
      <c r="K1" s="69" t="s">
        <v>30</v>
      </c>
      <c r="L1" s="71" t="s">
        <v>151</v>
      </c>
      <c r="M1" s="69" t="s">
        <v>30</v>
      </c>
      <c r="N1" s="73" t="s">
        <v>13</v>
      </c>
      <c r="O1" s="69" t="s">
        <v>31</v>
      </c>
      <c r="P1" s="69" t="s">
        <v>30</v>
      </c>
      <c r="Q1" s="64" t="s">
        <v>220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7" t="s">
        <v>239</v>
      </c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4" t="s">
        <v>249</v>
      </c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8" t="s">
        <v>13</v>
      </c>
      <c r="CU1" s="68"/>
      <c r="CV1" s="64" t="s">
        <v>185</v>
      </c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7" t="s">
        <v>210</v>
      </c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4" t="s">
        <v>228</v>
      </c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7" t="s">
        <v>232</v>
      </c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7" t="s">
        <v>64</v>
      </c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</row>
    <row r="2" spans="1:636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3"/>
      <c r="O2" s="69"/>
      <c r="P2" s="69"/>
      <c r="Q2" s="65" t="s">
        <v>18</v>
      </c>
      <c r="R2" s="65"/>
      <c r="S2" s="65"/>
      <c r="T2" s="65"/>
      <c r="U2" s="65"/>
      <c r="V2" s="65" t="s">
        <v>19</v>
      </c>
      <c r="W2" s="65"/>
      <c r="X2" s="65"/>
      <c r="Y2" s="65"/>
      <c r="Z2" s="65"/>
      <c r="AA2" s="65" t="s">
        <v>22</v>
      </c>
      <c r="AB2" s="65"/>
      <c r="AC2" s="65"/>
      <c r="AD2" s="65"/>
      <c r="AE2" s="65"/>
      <c r="AF2" s="14"/>
      <c r="AG2" s="14" t="s">
        <v>96</v>
      </c>
      <c r="AH2" s="14" t="s">
        <v>127</v>
      </c>
      <c r="AI2" s="14" t="s">
        <v>20</v>
      </c>
      <c r="AJ2" s="14" t="s">
        <v>77</v>
      </c>
      <c r="AK2" s="14" t="s">
        <v>126</v>
      </c>
      <c r="AL2" s="14" t="s">
        <v>21</v>
      </c>
      <c r="AM2" s="14" t="s">
        <v>23</v>
      </c>
      <c r="AN2" s="14" t="s">
        <v>99</v>
      </c>
      <c r="AO2" s="14" t="s">
        <v>128</v>
      </c>
      <c r="AP2" s="14" t="s">
        <v>22</v>
      </c>
      <c r="AQ2" s="14" t="s">
        <v>17</v>
      </c>
      <c r="AR2" s="66" t="s">
        <v>18</v>
      </c>
      <c r="AS2" s="66"/>
      <c r="AT2" s="66"/>
      <c r="AU2" s="66"/>
      <c r="AV2" s="66"/>
      <c r="AW2" s="66" t="s">
        <v>19</v>
      </c>
      <c r="AX2" s="66"/>
      <c r="AY2" s="66"/>
      <c r="AZ2" s="66"/>
      <c r="BA2" s="66"/>
      <c r="BB2" s="66" t="s">
        <v>22</v>
      </c>
      <c r="BC2" s="66"/>
      <c r="BD2" s="66"/>
      <c r="BE2" s="66"/>
      <c r="BF2" s="66"/>
      <c r="BG2" s="13"/>
      <c r="BH2" s="13" t="s">
        <v>96</v>
      </c>
      <c r="BI2" s="13" t="s">
        <v>127</v>
      </c>
      <c r="BJ2" s="13" t="s">
        <v>20</v>
      </c>
      <c r="BK2" s="13" t="s">
        <v>77</v>
      </c>
      <c r="BL2" s="13" t="s">
        <v>126</v>
      </c>
      <c r="BM2" s="13" t="s">
        <v>21</v>
      </c>
      <c r="BN2" s="13" t="s">
        <v>23</v>
      </c>
      <c r="BO2" s="13" t="s">
        <v>99</v>
      </c>
      <c r="BP2" s="13" t="s">
        <v>128</v>
      </c>
      <c r="BQ2" s="13" t="s">
        <v>22</v>
      </c>
      <c r="BR2" s="13" t="s">
        <v>17</v>
      </c>
      <c r="BS2" s="65" t="s">
        <v>18</v>
      </c>
      <c r="BT2" s="65"/>
      <c r="BU2" s="65"/>
      <c r="BV2" s="65"/>
      <c r="BW2" s="65"/>
      <c r="BX2" s="65" t="s">
        <v>19</v>
      </c>
      <c r="BY2" s="65"/>
      <c r="BZ2" s="65"/>
      <c r="CA2" s="65"/>
      <c r="CB2" s="65"/>
      <c r="CC2" s="65" t="s">
        <v>22</v>
      </c>
      <c r="CD2" s="65"/>
      <c r="CE2" s="65"/>
      <c r="CF2" s="65"/>
      <c r="CG2" s="65"/>
      <c r="CH2" s="14"/>
      <c r="CI2" s="14" t="s">
        <v>96</v>
      </c>
      <c r="CJ2" s="14" t="s">
        <v>127</v>
      </c>
      <c r="CK2" s="14" t="s">
        <v>20</v>
      </c>
      <c r="CL2" s="14" t="s">
        <v>77</v>
      </c>
      <c r="CM2" s="14" t="s">
        <v>126</v>
      </c>
      <c r="CN2" s="14" t="s">
        <v>21</v>
      </c>
      <c r="CO2" s="14" t="s">
        <v>23</v>
      </c>
      <c r="CP2" s="14" t="s">
        <v>99</v>
      </c>
      <c r="CQ2" s="14" t="s">
        <v>128</v>
      </c>
      <c r="CR2" s="14" t="s">
        <v>22</v>
      </c>
      <c r="CS2" s="14" t="s">
        <v>17</v>
      </c>
      <c r="CT2" s="50" t="s">
        <v>23</v>
      </c>
      <c r="CU2" s="50" t="s">
        <v>22</v>
      </c>
      <c r="CV2" s="65" t="s">
        <v>18</v>
      </c>
      <c r="CW2" s="65"/>
      <c r="CX2" s="65"/>
      <c r="CY2" s="65"/>
      <c r="CZ2" s="65"/>
      <c r="DA2" s="65" t="s">
        <v>19</v>
      </c>
      <c r="DB2" s="65"/>
      <c r="DC2" s="65"/>
      <c r="DD2" s="65"/>
      <c r="DE2" s="65"/>
      <c r="DF2" s="65" t="s">
        <v>101</v>
      </c>
      <c r="DG2" s="65"/>
      <c r="DH2" s="65"/>
      <c r="DI2" s="65"/>
      <c r="DJ2" s="65"/>
      <c r="DK2" s="65" t="s">
        <v>22</v>
      </c>
      <c r="DL2" s="65"/>
      <c r="DM2" s="65"/>
      <c r="DN2" s="65"/>
      <c r="DO2" s="65"/>
      <c r="DP2" s="14" t="s">
        <v>96</v>
      </c>
      <c r="DQ2" s="14" t="s">
        <v>127</v>
      </c>
      <c r="DR2" s="14" t="s">
        <v>20</v>
      </c>
      <c r="DS2" s="14" t="s">
        <v>77</v>
      </c>
      <c r="DT2" s="14" t="s">
        <v>126</v>
      </c>
      <c r="DU2" s="14" t="s">
        <v>21</v>
      </c>
      <c r="DV2" s="14" t="s">
        <v>23</v>
      </c>
      <c r="DW2" s="14" t="s">
        <v>102</v>
      </c>
      <c r="DX2" s="14" t="s">
        <v>129</v>
      </c>
      <c r="DY2" s="14" t="s">
        <v>101</v>
      </c>
      <c r="DZ2" s="14" t="s">
        <v>99</v>
      </c>
      <c r="EA2" s="14" t="s">
        <v>128</v>
      </c>
      <c r="EB2" s="14" t="s">
        <v>22</v>
      </c>
      <c r="EC2" s="14" t="s">
        <v>17</v>
      </c>
      <c r="ED2" s="66" t="s">
        <v>18</v>
      </c>
      <c r="EE2" s="66"/>
      <c r="EF2" s="66"/>
      <c r="EG2" s="66"/>
      <c r="EH2" s="66"/>
      <c r="EI2" s="66" t="s">
        <v>19</v>
      </c>
      <c r="EJ2" s="66"/>
      <c r="EK2" s="66"/>
      <c r="EL2" s="66"/>
      <c r="EM2" s="66"/>
      <c r="EN2" s="66" t="s">
        <v>101</v>
      </c>
      <c r="EO2" s="66"/>
      <c r="EP2" s="66"/>
      <c r="EQ2" s="66"/>
      <c r="ER2" s="66"/>
      <c r="ES2" s="66" t="s">
        <v>22</v>
      </c>
      <c r="ET2" s="66"/>
      <c r="EU2" s="66"/>
      <c r="EV2" s="66"/>
      <c r="EW2" s="66"/>
      <c r="EX2" s="13" t="s">
        <v>96</v>
      </c>
      <c r="EY2" s="13" t="s">
        <v>127</v>
      </c>
      <c r="EZ2" s="13" t="s">
        <v>20</v>
      </c>
      <c r="FA2" s="13" t="s">
        <v>77</v>
      </c>
      <c r="FB2" s="13" t="s">
        <v>126</v>
      </c>
      <c r="FC2" s="13" t="s">
        <v>21</v>
      </c>
      <c r="FD2" s="13" t="s">
        <v>23</v>
      </c>
      <c r="FE2" s="13" t="s">
        <v>102</v>
      </c>
      <c r="FF2" s="13" t="s">
        <v>129</v>
      </c>
      <c r="FG2" s="13" t="s">
        <v>101</v>
      </c>
      <c r="FH2" s="13" t="s">
        <v>99</v>
      </c>
      <c r="FI2" s="13" t="s">
        <v>128</v>
      </c>
      <c r="FJ2" s="13" t="s">
        <v>22</v>
      </c>
      <c r="FK2" s="13" t="s">
        <v>17</v>
      </c>
      <c r="FL2" s="65" t="s">
        <v>18</v>
      </c>
      <c r="FM2" s="65"/>
      <c r="FN2" s="65"/>
      <c r="FO2" s="65"/>
      <c r="FP2" s="65"/>
      <c r="FQ2" s="65" t="s">
        <v>19</v>
      </c>
      <c r="FR2" s="65"/>
      <c r="FS2" s="65"/>
      <c r="FT2" s="65"/>
      <c r="FU2" s="65"/>
      <c r="FV2" s="65" t="s">
        <v>101</v>
      </c>
      <c r="FW2" s="65"/>
      <c r="FX2" s="65"/>
      <c r="FY2" s="65"/>
      <c r="FZ2" s="65"/>
      <c r="GA2" s="65" t="s">
        <v>22</v>
      </c>
      <c r="GB2" s="65"/>
      <c r="GC2" s="65"/>
      <c r="GD2" s="65"/>
      <c r="GE2" s="65"/>
      <c r="GF2" s="14" t="s">
        <v>96</v>
      </c>
      <c r="GG2" s="14" t="s">
        <v>127</v>
      </c>
      <c r="GH2" s="14" t="s">
        <v>20</v>
      </c>
      <c r="GI2" s="14" t="s">
        <v>77</v>
      </c>
      <c r="GJ2" s="14" t="s">
        <v>126</v>
      </c>
      <c r="GK2" s="14" t="s">
        <v>21</v>
      </c>
      <c r="GL2" s="14" t="s">
        <v>23</v>
      </c>
      <c r="GM2" s="14" t="s">
        <v>102</v>
      </c>
      <c r="GN2" s="14" t="s">
        <v>129</v>
      </c>
      <c r="GO2" s="14" t="s">
        <v>101</v>
      </c>
      <c r="GP2" s="14" t="s">
        <v>99</v>
      </c>
      <c r="GQ2" s="14" t="s">
        <v>128</v>
      </c>
      <c r="GR2" s="14" t="s">
        <v>22</v>
      </c>
      <c r="GS2" s="14" t="s">
        <v>17</v>
      </c>
      <c r="GT2" s="66" t="s">
        <v>18</v>
      </c>
      <c r="GU2" s="66"/>
      <c r="GV2" s="66"/>
      <c r="GW2" s="66"/>
      <c r="GX2" s="66"/>
      <c r="GY2" s="66" t="s">
        <v>19</v>
      </c>
      <c r="GZ2" s="66"/>
      <c r="HA2" s="66"/>
      <c r="HB2" s="66"/>
      <c r="HC2" s="66"/>
      <c r="HD2" s="66" t="s">
        <v>101</v>
      </c>
      <c r="HE2" s="66"/>
      <c r="HF2" s="66"/>
      <c r="HG2" s="66"/>
      <c r="HH2" s="66"/>
      <c r="HI2" s="66" t="s">
        <v>22</v>
      </c>
      <c r="HJ2" s="66"/>
      <c r="HK2" s="66"/>
      <c r="HL2" s="66"/>
      <c r="HM2" s="66"/>
      <c r="HN2" s="13" t="s">
        <v>96</v>
      </c>
      <c r="HO2" s="13" t="s">
        <v>127</v>
      </c>
      <c r="HP2" s="13" t="s">
        <v>20</v>
      </c>
      <c r="HQ2" s="13" t="s">
        <v>77</v>
      </c>
      <c r="HR2" s="13" t="s">
        <v>126</v>
      </c>
      <c r="HS2" s="13" t="s">
        <v>21</v>
      </c>
      <c r="HT2" s="13" t="s">
        <v>23</v>
      </c>
      <c r="HU2" s="13" t="s">
        <v>102</v>
      </c>
      <c r="HV2" s="13" t="s">
        <v>129</v>
      </c>
      <c r="HW2" s="13" t="s">
        <v>101</v>
      </c>
      <c r="HX2" s="13" t="s">
        <v>99</v>
      </c>
      <c r="HY2" s="13" t="s">
        <v>128</v>
      </c>
      <c r="HZ2" s="13" t="s">
        <v>22</v>
      </c>
      <c r="IA2" s="13" t="s">
        <v>17</v>
      </c>
      <c r="IB2" s="65" t="s">
        <v>18</v>
      </c>
      <c r="IC2" s="65"/>
      <c r="ID2" s="65"/>
      <c r="IE2" s="65"/>
      <c r="IF2" s="65"/>
      <c r="IG2" s="65" t="s">
        <v>19</v>
      </c>
      <c r="IH2" s="65"/>
      <c r="II2" s="65"/>
      <c r="IJ2" s="65"/>
      <c r="IK2" s="65"/>
      <c r="IL2" s="65" t="s">
        <v>101</v>
      </c>
      <c r="IM2" s="65"/>
      <c r="IN2" s="65"/>
      <c r="IO2" s="65"/>
      <c r="IP2" s="65"/>
      <c r="IQ2" s="65" t="s">
        <v>22</v>
      </c>
      <c r="IR2" s="65"/>
      <c r="IS2" s="65"/>
      <c r="IT2" s="65"/>
      <c r="IU2" s="65"/>
      <c r="IV2" s="14" t="s">
        <v>96</v>
      </c>
      <c r="IW2" s="14" t="s">
        <v>127</v>
      </c>
      <c r="IX2" s="14" t="s">
        <v>20</v>
      </c>
      <c r="IY2" s="14" t="s">
        <v>77</v>
      </c>
      <c r="IZ2" s="14" t="s">
        <v>126</v>
      </c>
      <c r="JA2" s="14" t="s">
        <v>21</v>
      </c>
      <c r="JB2" s="14" t="s">
        <v>23</v>
      </c>
      <c r="JC2" s="14" t="s">
        <v>102</v>
      </c>
      <c r="JD2" s="14" t="s">
        <v>129</v>
      </c>
      <c r="JE2" s="14" t="s">
        <v>101</v>
      </c>
      <c r="JF2" s="14" t="s">
        <v>99</v>
      </c>
      <c r="JG2" s="14" t="s">
        <v>128</v>
      </c>
      <c r="JH2" s="14" t="s">
        <v>22</v>
      </c>
      <c r="JI2" s="14" t="s">
        <v>17</v>
      </c>
      <c r="JJ2" s="66" t="s">
        <v>18</v>
      </c>
      <c r="JK2" s="66"/>
      <c r="JL2" s="66"/>
      <c r="JM2" s="66"/>
      <c r="JN2" s="66"/>
      <c r="JO2" s="66" t="s">
        <v>19</v>
      </c>
      <c r="JP2" s="66"/>
      <c r="JQ2" s="66"/>
      <c r="JR2" s="66"/>
      <c r="JS2" s="66"/>
      <c r="JT2" s="66" t="s">
        <v>101</v>
      </c>
      <c r="JU2" s="66"/>
      <c r="JV2" s="66"/>
      <c r="JW2" s="66"/>
      <c r="JX2" s="66"/>
      <c r="JY2" s="66" t="s">
        <v>22</v>
      </c>
      <c r="JZ2" s="66"/>
      <c r="KA2" s="66"/>
      <c r="KB2" s="66"/>
      <c r="KC2" s="66"/>
      <c r="KD2" s="13" t="s">
        <v>96</v>
      </c>
      <c r="KE2" s="13" t="s">
        <v>127</v>
      </c>
      <c r="KF2" s="13" t="s">
        <v>20</v>
      </c>
      <c r="KG2" s="13" t="s">
        <v>77</v>
      </c>
      <c r="KH2" s="13" t="s">
        <v>126</v>
      </c>
      <c r="KI2" s="13" t="s">
        <v>21</v>
      </c>
      <c r="KJ2" s="13" t="s">
        <v>23</v>
      </c>
      <c r="KK2" s="13" t="s">
        <v>102</v>
      </c>
      <c r="KL2" s="13" t="s">
        <v>129</v>
      </c>
      <c r="KM2" s="13" t="s">
        <v>101</v>
      </c>
      <c r="KN2" s="13" t="s">
        <v>99</v>
      </c>
      <c r="KO2" s="13" t="s">
        <v>128</v>
      </c>
      <c r="KP2" s="13" t="s">
        <v>22</v>
      </c>
      <c r="KQ2" s="13" t="s">
        <v>17</v>
      </c>
      <c r="KR2" s="65" t="s">
        <v>18</v>
      </c>
      <c r="KS2" s="65"/>
      <c r="KT2" s="65"/>
      <c r="KU2" s="65"/>
      <c r="KV2" s="65"/>
      <c r="KW2" s="65" t="s">
        <v>19</v>
      </c>
      <c r="KX2" s="65"/>
      <c r="KY2" s="65"/>
      <c r="KZ2" s="65"/>
      <c r="LA2" s="65"/>
      <c r="LB2" s="65" t="s">
        <v>101</v>
      </c>
      <c r="LC2" s="65"/>
      <c r="LD2" s="65"/>
      <c r="LE2" s="65"/>
      <c r="LF2" s="65"/>
      <c r="LG2" s="65" t="s">
        <v>22</v>
      </c>
      <c r="LH2" s="65"/>
      <c r="LI2" s="65"/>
      <c r="LJ2" s="65"/>
      <c r="LK2" s="65"/>
      <c r="LL2" s="14" t="s">
        <v>96</v>
      </c>
      <c r="LM2" s="14" t="s">
        <v>127</v>
      </c>
      <c r="LN2" s="14" t="s">
        <v>20</v>
      </c>
      <c r="LO2" s="14" t="s">
        <v>77</v>
      </c>
      <c r="LP2" s="14" t="s">
        <v>126</v>
      </c>
      <c r="LQ2" s="14" t="s">
        <v>21</v>
      </c>
      <c r="LR2" s="14" t="s">
        <v>23</v>
      </c>
      <c r="LS2" s="14" t="s">
        <v>102</v>
      </c>
      <c r="LT2" s="14" t="s">
        <v>129</v>
      </c>
      <c r="LU2" s="14" t="s">
        <v>101</v>
      </c>
      <c r="LV2" s="14" t="s">
        <v>99</v>
      </c>
      <c r="LW2" s="14" t="s">
        <v>128</v>
      </c>
      <c r="LX2" s="14" t="s">
        <v>22</v>
      </c>
      <c r="LY2" s="14" t="s">
        <v>17</v>
      </c>
      <c r="LZ2" s="66" t="s">
        <v>18</v>
      </c>
      <c r="MA2" s="66"/>
      <c r="MB2" s="66"/>
      <c r="MC2" s="66"/>
      <c r="MD2" s="66"/>
      <c r="ME2" s="66" t="s">
        <v>19</v>
      </c>
      <c r="MF2" s="66"/>
      <c r="MG2" s="66"/>
      <c r="MH2" s="66"/>
      <c r="MI2" s="66"/>
      <c r="MJ2" s="66" t="s">
        <v>101</v>
      </c>
      <c r="MK2" s="66"/>
      <c r="ML2" s="66"/>
      <c r="MM2" s="66"/>
      <c r="MN2" s="66"/>
      <c r="MO2" s="66" t="s">
        <v>22</v>
      </c>
      <c r="MP2" s="66"/>
      <c r="MQ2" s="66"/>
      <c r="MR2" s="66"/>
      <c r="MS2" s="66"/>
      <c r="MT2" s="13" t="s">
        <v>96</v>
      </c>
      <c r="MU2" s="13" t="s">
        <v>127</v>
      </c>
      <c r="MV2" s="13" t="s">
        <v>20</v>
      </c>
      <c r="MW2" s="13" t="s">
        <v>77</v>
      </c>
      <c r="MX2" s="13" t="s">
        <v>126</v>
      </c>
      <c r="MY2" s="13" t="s">
        <v>21</v>
      </c>
      <c r="MZ2" s="13" t="s">
        <v>23</v>
      </c>
      <c r="NA2" s="13" t="s">
        <v>102</v>
      </c>
      <c r="NB2" s="13" t="s">
        <v>129</v>
      </c>
      <c r="NC2" s="13" t="s">
        <v>101</v>
      </c>
      <c r="ND2" s="13" t="s">
        <v>99</v>
      </c>
      <c r="NE2" s="13" t="s">
        <v>128</v>
      </c>
      <c r="NF2" s="13" t="s">
        <v>22</v>
      </c>
      <c r="NG2" s="13" t="s">
        <v>17</v>
      </c>
      <c r="NH2" s="65" t="s">
        <v>18</v>
      </c>
      <c r="NI2" s="65"/>
      <c r="NJ2" s="65"/>
      <c r="NK2" s="65"/>
      <c r="NL2" s="65"/>
      <c r="NM2" s="65" t="s">
        <v>19</v>
      </c>
      <c r="NN2" s="65"/>
      <c r="NO2" s="65"/>
      <c r="NP2" s="65"/>
      <c r="NQ2" s="65"/>
      <c r="NR2" s="65" t="s">
        <v>101</v>
      </c>
      <c r="NS2" s="65"/>
      <c r="NT2" s="65"/>
      <c r="NU2" s="65"/>
      <c r="NV2" s="65"/>
      <c r="NW2" s="65" t="s">
        <v>22</v>
      </c>
      <c r="NX2" s="65"/>
      <c r="NY2" s="65"/>
      <c r="NZ2" s="65"/>
      <c r="OA2" s="65"/>
      <c r="OB2" s="14" t="s">
        <v>96</v>
      </c>
      <c r="OC2" s="14" t="s">
        <v>127</v>
      </c>
      <c r="OD2" s="14" t="s">
        <v>20</v>
      </c>
      <c r="OE2" s="14" t="s">
        <v>77</v>
      </c>
      <c r="OF2" s="14" t="s">
        <v>126</v>
      </c>
      <c r="OG2" s="14" t="s">
        <v>21</v>
      </c>
      <c r="OH2" s="14" t="s">
        <v>23</v>
      </c>
      <c r="OI2" s="14" t="s">
        <v>102</v>
      </c>
      <c r="OJ2" s="14" t="s">
        <v>129</v>
      </c>
      <c r="OK2" s="14" t="s">
        <v>101</v>
      </c>
      <c r="OL2" s="14" t="s">
        <v>99</v>
      </c>
      <c r="OM2" s="14" t="s">
        <v>128</v>
      </c>
      <c r="ON2" s="14" t="s">
        <v>22</v>
      </c>
      <c r="OO2" s="14" t="s">
        <v>17</v>
      </c>
      <c r="OP2" s="66" t="s">
        <v>18</v>
      </c>
      <c r="OQ2" s="66"/>
      <c r="OR2" s="66"/>
      <c r="OS2" s="66"/>
      <c r="OT2" s="66"/>
      <c r="OU2" s="66" t="s">
        <v>19</v>
      </c>
      <c r="OV2" s="66"/>
      <c r="OW2" s="66"/>
      <c r="OX2" s="66"/>
      <c r="OY2" s="66"/>
      <c r="OZ2" s="66" t="s">
        <v>101</v>
      </c>
      <c r="PA2" s="66"/>
      <c r="PB2" s="66"/>
      <c r="PC2" s="66"/>
      <c r="PD2" s="66"/>
      <c r="PE2" s="66" t="s">
        <v>22</v>
      </c>
      <c r="PF2" s="66"/>
      <c r="PG2" s="66"/>
      <c r="PH2" s="66"/>
      <c r="PI2" s="66"/>
      <c r="PJ2" s="13" t="s">
        <v>96</v>
      </c>
      <c r="PK2" s="13" t="s">
        <v>127</v>
      </c>
      <c r="PL2" s="13" t="s">
        <v>20</v>
      </c>
      <c r="PM2" s="13" t="s">
        <v>77</v>
      </c>
      <c r="PN2" s="13" t="s">
        <v>126</v>
      </c>
      <c r="PO2" s="13" t="s">
        <v>21</v>
      </c>
      <c r="PP2" s="13" t="s">
        <v>23</v>
      </c>
      <c r="PQ2" s="13" t="s">
        <v>102</v>
      </c>
      <c r="PR2" s="13" t="s">
        <v>129</v>
      </c>
      <c r="PS2" s="13" t="s">
        <v>101</v>
      </c>
      <c r="PT2" s="13" t="s">
        <v>99</v>
      </c>
      <c r="PU2" s="13" t="s">
        <v>128</v>
      </c>
      <c r="PV2" s="13" t="s">
        <v>22</v>
      </c>
      <c r="PW2" s="13" t="s">
        <v>17</v>
      </c>
      <c r="PX2" s="65" t="s">
        <v>18</v>
      </c>
      <c r="PY2" s="65"/>
      <c r="PZ2" s="65"/>
      <c r="QA2" s="65"/>
      <c r="QB2" s="65"/>
      <c r="QC2" s="65" t="s">
        <v>19</v>
      </c>
      <c r="QD2" s="65"/>
      <c r="QE2" s="65"/>
      <c r="QF2" s="65"/>
      <c r="QG2" s="65"/>
      <c r="QH2" s="65" t="s">
        <v>101</v>
      </c>
      <c r="QI2" s="65"/>
      <c r="QJ2" s="65"/>
      <c r="QK2" s="65"/>
      <c r="QL2" s="65"/>
      <c r="QM2" s="65" t="s">
        <v>22</v>
      </c>
      <c r="QN2" s="65"/>
      <c r="QO2" s="65"/>
      <c r="QP2" s="65"/>
      <c r="QQ2" s="65"/>
      <c r="QR2" s="14" t="s">
        <v>96</v>
      </c>
      <c r="QS2" s="14" t="s">
        <v>127</v>
      </c>
      <c r="QT2" s="14" t="s">
        <v>20</v>
      </c>
      <c r="QU2" s="14" t="s">
        <v>77</v>
      </c>
      <c r="QV2" s="14" t="s">
        <v>126</v>
      </c>
      <c r="QW2" s="14" t="s">
        <v>21</v>
      </c>
      <c r="QX2" s="14" t="s">
        <v>23</v>
      </c>
      <c r="QY2" s="14" t="s">
        <v>102</v>
      </c>
      <c r="QZ2" s="14" t="s">
        <v>129</v>
      </c>
      <c r="RA2" s="14" t="s">
        <v>101</v>
      </c>
      <c r="RB2" s="14" t="s">
        <v>99</v>
      </c>
      <c r="RC2" s="14" t="s">
        <v>128</v>
      </c>
      <c r="RD2" s="14" t="s">
        <v>22</v>
      </c>
      <c r="RE2" s="14" t="s">
        <v>17</v>
      </c>
      <c r="RF2" s="66" t="s">
        <v>18</v>
      </c>
      <c r="RG2" s="66"/>
      <c r="RH2" s="66"/>
      <c r="RI2" s="66"/>
      <c r="RJ2" s="66"/>
      <c r="RK2" s="66" t="s">
        <v>19</v>
      </c>
      <c r="RL2" s="66"/>
      <c r="RM2" s="66"/>
      <c r="RN2" s="66"/>
      <c r="RO2" s="66"/>
      <c r="RP2" s="66" t="s">
        <v>101</v>
      </c>
      <c r="RQ2" s="66"/>
      <c r="RR2" s="66"/>
      <c r="RS2" s="66"/>
      <c r="RT2" s="66"/>
      <c r="RU2" s="66" t="s">
        <v>22</v>
      </c>
      <c r="RV2" s="66"/>
      <c r="RW2" s="66"/>
      <c r="RX2" s="66"/>
      <c r="RY2" s="66"/>
      <c r="RZ2" s="13" t="s">
        <v>96</v>
      </c>
      <c r="SA2" s="13" t="s">
        <v>127</v>
      </c>
      <c r="SB2" s="13" t="s">
        <v>20</v>
      </c>
      <c r="SC2" s="13" t="s">
        <v>77</v>
      </c>
      <c r="SD2" s="13" t="s">
        <v>126</v>
      </c>
      <c r="SE2" s="13" t="s">
        <v>21</v>
      </c>
      <c r="SF2" s="13" t="s">
        <v>23</v>
      </c>
      <c r="SG2" s="13" t="s">
        <v>102</v>
      </c>
      <c r="SH2" s="13" t="s">
        <v>129</v>
      </c>
      <c r="SI2" s="13" t="s">
        <v>101</v>
      </c>
      <c r="SJ2" s="13" t="s">
        <v>99</v>
      </c>
      <c r="SK2" s="13" t="s">
        <v>128</v>
      </c>
      <c r="SL2" s="13" t="s">
        <v>22</v>
      </c>
      <c r="SM2" s="13" t="s">
        <v>17</v>
      </c>
      <c r="SN2" s="65" t="s">
        <v>18</v>
      </c>
      <c r="SO2" s="65"/>
      <c r="SP2" s="65"/>
      <c r="SQ2" s="65"/>
      <c r="SR2" s="65"/>
      <c r="SS2" s="65" t="s">
        <v>19</v>
      </c>
      <c r="ST2" s="65"/>
      <c r="SU2" s="65"/>
      <c r="SV2" s="65"/>
      <c r="SW2" s="65"/>
      <c r="SX2" s="65" t="s">
        <v>101</v>
      </c>
      <c r="SY2" s="65"/>
      <c r="SZ2" s="65"/>
      <c r="TA2" s="65"/>
      <c r="TB2" s="65"/>
      <c r="TC2" s="65" t="s">
        <v>22</v>
      </c>
      <c r="TD2" s="65"/>
      <c r="TE2" s="65"/>
      <c r="TF2" s="65"/>
      <c r="TG2" s="65"/>
      <c r="TH2" s="14" t="s">
        <v>96</v>
      </c>
      <c r="TI2" s="14" t="s">
        <v>127</v>
      </c>
      <c r="TJ2" s="14" t="s">
        <v>20</v>
      </c>
      <c r="TK2" s="14" t="s">
        <v>77</v>
      </c>
      <c r="TL2" s="14" t="s">
        <v>126</v>
      </c>
      <c r="TM2" s="14" t="s">
        <v>21</v>
      </c>
      <c r="TN2" s="14" t="s">
        <v>23</v>
      </c>
      <c r="TO2" s="14" t="s">
        <v>102</v>
      </c>
      <c r="TP2" s="14" t="s">
        <v>129</v>
      </c>
      <c r="TQ2" s="14" t="s">
        <v>101</v>
      </c>
      <c r="TR2" s="14" t="s">
        <v>99</v>
      </c>
      <c r="TS2" s="14" t="s">
        <v>128</v>
      </c>
      <c r="TT2" s="14" t="s">
        <v>22</v>
      </c>
      <c r="TU2" s="14" t="s">
        <v>17</v>
      </c>
      <c r="TV2" s="66" t="s">
        <v>18</v>
      </c>
      <c r="TW2" s="66"/>
      <c r="TX2" s="66"/>
      <c r="TY2" s="66"/>
      <c r="TZ2" s="66"/>
      <c r="UA2" s="66" t="s">
        <v>19</v>
      </c>
      <c r="UB2" s="66"/>
      <c r="UC2" s="66"/>
      <c r="UD2" s="66"/>
      <c r="UE2" s="66"/>
      <c r="UF2" s="66" t="s">
        <v>101</v>
      </c>
      <c r="UG2" s="66"/>
      <c r="UH2" s="66"/>
      <c r="UI2" s="66"/>
      <c r="UJ2" s="66"/>
      <c r="UK2" s="66" t="s">
        <v>22</v>
      </c>
      <c r="UL2" s="66"/>
      <c r="UM2" s="66"/>
      <c r="UN2" s="66"/>
      <c r="UO2" s="66"/>
      <c r="UP2" s="13" t="s">
        <v>96</v>
      </c>
      <c r="UQ2" s="13" t="s">
        <v>127</v>
      </c>
      <c r="UR2" s="13" t="s">
        <v>20</v>
      </c>
      <c r="US2" s="13" t="s">
        <v>77</v>
      </c>
      <c r="UT2" s="13" t="s">
        <v>126</v>
      </c>
      <c r="UU2" s="13" t="s">
        <v>21</v>
      </c>
      <c r="UV2" s="13" t="s">
        <v>23</v>
      </c>
      <c r="UW2" s="13" t="s">
        <v>102</v>
      </c>
      <c r="UX2" s="13" t="s">
        <v>129</v>
      </c>
      <c r="UY2" s="13" t="s">
        <v>101</v>
      </c>
      <c r="UZ2" s="13" t="s">
        <v>99</v>
      </c>
      <c r="VA2" s="13" t="s">
        <v>128</v>
      </c>
      <c r="VB2" s="13" t="s">
        <v>22</v>
      </c>
      <c r="VC2" s="13" t="s">
        <v>17</v>
      </c>
      <c r="VD2" s="65" t="s">
        <v>18</v>
      </c>
      <c r="VE2" s="65"/>
      <c r="VF2" s="65"/>
      <c r="VG2" s="65"/>
      <c r="VH2" s="65"/>
      <c r="VI2" s="65" t="s">
        <v>19</v>
      </c>
      <c r="VJ2" s="65"/>
      <c r="VK2" s="65"/>
      <c r="VL2" s="65"/>
      <c r="VM2" s="65"/>
      <c r="VN2" s="65" t="s">
        <v>101</v>
      </c>
      <c r="VO2" s="65"/>
      <c r="VP2" s="65"/>
      <c r="VQ2" s="65"/>
      <c r="VR2" s="65"/>
      <c r="VS2" s="65" t="s">
        <v>22</v>
      </c>
      <c r="VT2" s="65"/>
      <c r="VU2" s="65"/>
      <c r="VV2" s="65"/>
      <c r="VW2" s="65"/>
      <c r="VX2" s="14" t="s">
        <v>96</v>
      </c>
      <c r="VY2" s="14" t="s">
        <v>127</v>
      </c>
      <c r="VZ2" s="14" t="s">
        <v>20</v>
      </c>
      <c r="WA2" s="14" t="s">
        <v>77</v>
      </c>
      <c r="WB2" s="14" t="s">
        <v>126</v>
      </c>
      <c r="WC2" s="14" t="s">
        <v>21</v>
      </c>
      <c r="WD2" s="14" t="s">
        <v>23</v>
      </c>
      <c r="WE2" s="14" t="s">
        <v>102</v>
      </c>
      <c r="WF2" s="14" t="s">
        <v>129</v>
      </c>
      <c r="WG2" s="14" t="s">
        <v>101</v>
      </c>
      <c r="WH2" s="14" t="s">
        <v>99</v>
      </c>
      <c r="WI2" s="14" t="s">
        <v>128</v>
      </c>
      <c r="WJ2" s="14" t="s">
        <v>22</v>
      </c>
      <c r="WK2" s="14" t="s">
        <v>17</v>
      </c>
      <c r="WL2" s="66" t="s">
        <v>18</v>
      </c>
      <c r="WM2" s="66"/>
      <c r="WN2" s="66"/>
      <c r="WO2" s="66"/>
      <c r="WP2" s="66"/>
      <c r="WQ2" s="66" t="s">
        <v>19</v>
      </c>
      <c r="WR2" s="66"/>
      <c r="WS2" s="66"/>
      <c r="WT2" s="66"/>
      <c r="WU2" s="66"/>
      <c r="WV2" s="66" t="s">
        <v>22</v>
      </c>
      <c r="WW2" s="66"/>
      <c r="WX2" s="66"/>
      <c r="WY2" s="66"/>
      <c r="WZ2" s="66"/>
      <c r="XA2" s="13"/>
      <c r="XB2" s="13" t="s">
        <v>96</v>
      </c>
      <c r="XC2" s="13" t="s">
        <v>127</v>
      </c>
      <c r="XD2" s="13" t="s">
        <v>20</v>
      </c>
      <c r="XE2" s="13" t="s">
        <v>77</v>
      </c>
      <c r="XF2" s="13" t="s">
        <v>126</v>
      </c>
      <c r="XG2" s="13" t="s">
        <v>21</v>
      </c>
      <c r="XH2" s="13" t="s">
        <v>23</v>
      </c>
      <c r="XI2" s="13" t="s">
        <v>99</v>
      </c>
      <c r="XJ2" s="13" t="s">
        <v>128</v>
      </c>
      <c r="XK2" s="13" t="s">
        <v>22</v>
      </c>
      <c r="XL2" s="13" t="s">
        <v>17</v>
      </c>
    </row>
    <row r="3" spans="1:636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3"/>
      <c r="O3" s="69"/>
      <c r="P3" s="69"/>
      <c r="Q3" s="14" t="s">
        <v>14</v>
      </c>
      <c r="R3" s="14" t="s">
        <v>15</v>
      </c>
      <c r="S3" s="14" t="s">
        <v>9</v>
      </c>
      <c r="T3" s="14" t="s">
        <v>125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125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125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125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125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125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125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125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125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125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125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125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125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125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125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125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125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125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125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125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125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125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125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125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125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125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125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125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125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125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125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125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125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125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125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125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125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125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125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125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125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125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125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125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125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125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125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125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125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125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125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125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125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125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125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125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125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125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125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125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125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125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125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125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125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125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125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125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125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125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125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125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91</v>
      </c>
      <c r="C4" s="4" t="s">
        <v>7</v>
      </c>
      <c r="D4" s="4" t="s">
        <v>248</v>
      </c>
      <c r="E4" s="9">
        <f t="shared" ref="E4:E15" si="0">SUM(J4,L4,N4)</f>
        <v>93.41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,AND(TJ4&gt;=TU$22,TJ4&lt;&gt;""),AND(TM4&gt;=TU$22,TM4&lt;&gt;""),AND(TQ4&gt;=TU$22,TQ4&lt;&gt;""),AND(TT4&gt;=TU$22,TT4&lt;&gt;""),AND(UR4&gt;=VC$22,UR4&lt;&gt;""),AND(UU4&gt;=VC$22,UU4&lt;&gt;""),AND(UY4&gt;=VC$22,UY4&lt;&gt;""),AND(VB4&gt;=VC$22,VB4&lt;&gt;""),AND(VZ4&gt;=WK$22,VZ4&lt;&gt;""),AND(WC4&gt;=WK$22,WC4&lt;&gt;""),AND(WG4&gt;=WK$22,WG4&lt;&gt;""),AND(WJ4&gt;=WK$22,WJ4&lt;&gt;"")),"P","")</f>
        <v>P</v>
      </c>
      <c r="H4" s="36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,AND(TH4&gt;=TU$20,TH4&lt;&gt;"",TJ4&gt;=TU$24,TJ4&lt;&gt;""),AND(TK4&gt;=TU$20,TK4&lt;&gt;"",TM4&gt;=TU$24,TM4&lt;&gt;""),AND(TO4&gt;=TU$20,TO4&lt;&gt;"",TQ4&gt;=TU$24,TQ4&lt;&gt;""),AND(TR4&gt;=TU$20,TR4&lt;&gt;"",TT4&gt;=TU$24,TT4&lt;&gt;""),AND(UP4&gt;=VC$20,UP4&lt;&gt;"",UR4&gt;=VC$24,UR4&lt;&gt;""),AND(US4&gt;=VC$20,US4&lt;&gt;"",UU4&gt;=VC$24,UU4&lt;&gt;""),AND(UW4&gt;=VC$20,UW4&lt;&gt;"",UY4&gt;=VC$24,UY4&lt;&gt;""),AND(UZ4&gt;=VC$20,UZ4&lt;&gt;"",VB4&gt;=VC$24,VB4&lt;&gt;""),AND(VX4&gt;=WK$20,VX4&lt;&gt;"",VZ4&gt;=WK$24,VZ4&lt;&gt;""),AND(WA4&gt;=WK$20,WA4&lt;&gt;"",WC4&gt;=WK$24,WC4&lt;&gt;""),AND(WE4&gt;=WK$20,WE4&lt;&gt;"",WG4&gt;=WK$24,WG4&lt;&gt;""),AND(WH4&gt;=WK$20,WH4&lt;&gt;"",WJ4&gt;=WK$24,WJ4&lt;&gt;"")),"Excellence",IF(I4="P","Worlds Team",IF(F4="P","National Team","")))))</f>
        <v>Worlds Team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P","")</f>
        <v>P</v>
      </c>
      <c r="J4" s="8">
        <f>IF(COUNT(AI4,AL4,AP4,BJ4,BM4,BQ4,CK4,CN4,CR4)&gt;0,LARGE((AI4,AL4,AP4,BJ4,BM4,BQ4,CK4,CN4,CR4),1),0)</f>
        <v>47.82</v>
      </c>
      <c r="K4" s="8" t="str">
        <f t="shared" ref="K4:K15" si="5"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19.32</v>
      </c>
      <c r="M4" s="8" t="str">
        <f t="shared" ref="M4:M15" si="6">IF(L4="","",IF(OR(L4=CK4,L4=CN4,L4=CR4),$BS$1,IF(OR(L4=BJ4,L4=BM4,L4=BQ4),$AR$1,IF(OR(L4=AI4,L4=AL4,L4=AP4),$Q$1,""))))</f>
        <v>2024 Nationals</v>
      </c>
      <c r="N4" s="8">
        <f t="shared" ref="N4:N15" si="7">IF(MAX(CT4,CU4)&gt;0,MAX(CT4,CU4),"")</f>
        <v>26.270000000000003</v>
      </c>
      <c r="O4" s="11" t="str">
        <f t="shared" ref="O4:O15" si="8">IF(N4="","",IF(N4=CT4,"("&amp;CT$2&amp;")",IF(N4=CU4,"("&amp;CU$2&amp;")")))</f>
        <v>(Prelim)</v>
      </c>
      <c r="P4" s="8" t="str">
        <f t="shared" ref="P4:P15" si="9"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POR (July 7)</v>
      </c>
      <c r="Q4" s="22">
        <v>3.35</v>
      </c>
      <c r="R4" s="22">
        <v>3.45</v>
      </c>
      <c r="S4" s="22">
        <v>5.4</v>
      </c>
      <c r="T4" s="22">
        <v>7.12</v>
      </c>
      <c r="U4" s="22">
        <v>0</v>
      </c>
      <c r="V4" s="22">
        <v>9</v>
      </c>
      <c r="W4" s="22">
        <v>9.4</v>
      </c>
      <c r="X4" s="22">
        <v>11.8</v>
      </c>
      <c r="Y4" s="22">
        <v>17.62</v>
      </c>
      <c r="Z4" s="22">
        <v>0</v>
      </c>
      <c r="AA4" s="22">
        <v>0.85</v>
      </c>
      <c r="AB4" s="22">
        <v>0.8</v>
      </c>
      <c r="AC4" s="22">
        <v>1.5</v>
      </c>
      <c r="AD4" s="22">
        <v>1.84</v>
      </c>
      <c r="AE4" s="22">
        <v>0</v>
      </c>
      <c r="AF4" s="27"/>
      <c r="AG4" s="38">
        <f t="shared" ref="AG4:AG15" si="10">IF(S4&gt;0,S4,"")</f>
        <v>5.4</v>
      </c>
      <c r="AH4" s="38">
        <f t="shared" ref="AH4:AH15" si="11">IF(T4&gt;0,T4,"")</f>
        <v>7.12</v>
      </c>
      <c r="AI4" s="40">
        <f t="shared" ref="AI4:AI15" si="12">IF(SUM(Q4:T4)-U4&gt;0,SUM(Q4:T4)-U4,"")</f>
        <v>19.32</v>
      </c>
      <c r="AJ4" s="40">
        <f t="shared" ref="AJ4:AJ15" si="13">IF(X4&gt;0,X4,"")</f>
        <v>11.8</v>
      </c>
      <c r="AK4" s="40">
        <f t="shared" ref="AK4:AK15" si="14">IF(Y4&gt;0,Y4,"")</f>
        <v>17.62</v>
      </c>
      <c r="AL4" s="40">
        <f t="shared" ref="AL4:AL15" si="15">IF(SUM(V4:Y4)-Z4&gt;0,SUM(V4:Y4)-Z4,"")</f>
        <v>47.82</v>
      </c>
      <c r="AM4" s="40">
        <f t="shared" ref="AM4:AM15" si="16">IF(AI4="","",MAX(AI4,AL4))</f>
        <v>47.82</v>
      </c>
      <c r="AN4" s="40">
        <f t="shared" ref="AN4:AN15" si="17">IF(AC4&gt;0,AC4,"")</f>
        <v>1.5</v>
      </c>
      <c r="AO4" s="40">
        <f t="shared" ref="AO4:AO15" si="18">IF(AD4&gt;0,AD4,"")</f>
        <v>1.84</v>
      </c>
      <c r="AP4" s="40">
        <f t="shared" ref="AP4:AP15" si="19">IF(SUM(AA4:AD4)-AE4&gt;0,SUM(AA4:AD4)-AE4,"")</f>
        <v>4.99</v>
      </c>
      <c r="AQ4" s="40">
        <f t="shared" ref="AQ4:AQ15" si="20">IF(SUM(AM4,AP4)&gt;0,SUM(AM4,AP4),"")</f>
        <v>52.81</v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 t="shared" ref="BH4:BH15" si="21">IF(AT4&gt;0,AT4,"")</f>
        <v/>
      </c>
      <c r="BI4" s="39" t="str">
        <f t="shared" ref="BI4:BI15" si="22">IF(AU4&gt;0,AU4,"")</f>
        <v/>
      </c>
      <c r="BJ4" s="11" t="str">
        <f t="shared" ref="BJ4:BJ15" si="23">IF(SUM(AR4:AU4)-AV4&gt;0,SUM(AR4:AU4)-AV4,"")</f>
        <v/>
      </c>
      <c r="BK4" s="11" t="str">
        <f t="shared" ref="BK4:BK15" si="24">IF(AY4&gt;0,AY4,"")</f>
        <v/>
      </c>
      <c r="BL4" s="11" t="str">
        <f t="shared" ref="BL4:BL15" si="25">IF(AZ4&gt;0,AZ4,"")</f>
        <v/>
      </c>
      <c r="BM4" s="11" t="str">
        <f t="shared" ref="BM4:BM15" si="26">IF(SUM(AW4:AZ4)-BA4&gt;0,SUM(AW4:AZ4)-BA4,"")</f>
        <v/>
      </c>
      <c r="BN4" s="11" t="str">
        <f t="shared" ref="BN4:BN15" si="27">IF(BJ4="","",MAX(BJ4,BM4))</f>
        <v/>
      </c>
      <c r="BO4" s="11" t="str">
        <f t="shared" ref="BO4:BO15" si="28">IF(BD4&gt;0,BD4,"")</f>
        <v/>
      </c>
      <c r="BP4" s="11" t="str">
        <f t="shared" ref="BP4:BP15" si="29">IF(BE4&gt;0,BE4,"")</f>
        <v/>
      </c>
      <c r="BQ4" s="11" t="str">
        <f t="shared" ref="BQ4:BQ15" si="30">IF(SUM(BB4:BE4)-BF4&gt;0,SUM(BB4:BE4)-BF4,"")</f>
        <v/>
      </c>
      <c r="BR4" s="11" t="str">
        <f t="shared" ref="BR4:BR15" si="31">IF(SUM(BN4,BQ4)&gt;0,SUM(BN4,BQ4),"")</f>
        <v/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I15" si="32">IF(BU4&gt;0,BU4,"")</f>
        <v/>
      </c>
      <c r="CJ4" s="38" t="str">
        <f t="shared" ref="CJ4:CJ15" si="33">IF(BV4&gt;0,BV4,"")</f>
        <v/>
      </c>
      <c r="CK4" s="40" t="str">
        <f t="shared" ref="CK4:CK15" si="34">IF(SUM(BS4:BV4)-BW4&gt;0,SUM(BS4:BV4)-BW4,"")</f>
        <v/>
      </c>
      <c r="CL4" s="40" t="str">
        <f t="shared" ref="CL4:CL15" si="35">IF(BZ4&gt;0,BZ4,"")</f>
        <v/>
      </c>
      <c r="CM4" s="40" t="str">
        <f t="shared" ref="CM4:CM15" si="36">IF(CA4&gt;0,CA4,"")</f>
        <v/>
      </c>
      <c r="CN4" s="40" t="str">
        <f t="shared" ref="CN4:CN15" si="37">IF(SUM(BX4:CA4)-CB4&gt;0,SUM(BX4:CA4)-CB4,"")</f>
        <v/>
      </c>
      <c r="CO4" s="40" t="str">
        <f t="shared" ref="CO4:CO15" si="38">IF(CK4="","",MAX(CK4,CN4))</f>
        <v/>
      </c>
      <c r="CP4" s="40" t="str">
        <f t="shared" ref="CP4:CP15" si="39">IF(CE4&gt;0,CE4,"")</f>
        <v/>
      </c>
      <c r="CQ4" s="40" t="str">
        <f t="shared" ref="CQ4:CQ15" si="40">IF(CF4&gt;0,CF4,"")</f>
        <v/>
      </c>
      <c r="CR4" s="40" t="str">
        <f t="shared" ref="CR4:CR15" si="41">IF(SUM(CC4:CF4)-CG4&gt;0,SUM(CC4:CF4)-CG4,"")</f>
        <v/>
      </c>
      <c r="CS4" s="40" t="str">
        <f t="shared" ref="CS4:CS15" si="42">IF(SUM(CO4,CR4)&gt;0,SUM(CO4,CR4),"")</f>
        <v/>
      </c>
      <c r="CT4" s="51">
        <f t="shared" ref="CT4:CT15" si="43">IF(MAX(DV4,FD4,GL4,HT4,JB4,KJ4,LR4,MZ4,OH4,PP4,QX4,SF4,TN4,UV4,WD4)-IF(L4="",0,L4)&gt;0.001,MAX(DV4,FD4,GL4,HT4,JB4,KJ4,LR4,MZ4,OH4,PP4,QX4,SF4,TN4,UV4,WD4)-IF(L4="",0,L4),"")</f>
        <v>26.270000000000003</v>
      </c>
      <c r="CU4" s="51" t="str">
        <f t="shared" ref="CU4:CU15" si="44"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8.0500000000000007</v>
      </c>
      <c r="CW4" s="17">
        <v>9.4</v>
      </c>
      <c r="CX4" s="17">
        <v>11.8</v>
      </c>
      <c r="CY4" s="17">
        <v>16.2</v>
      </c>
      <c r="CZ4" s="17">
        <v>0</v>
      </c>
      <c r="DA4" s="17">
        <v>8.0500000000000007</v>
      </c>
      <c r="DB4" s="17">
        <v>9.1</v>
      </c>
      <c r="DC4" s="17">
        <v>11.8</v>
      </c>
      <c r="DD4" s="17">
        <v>16.239999999999998</v>
      </c>
      <c r="DE4" s="17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>
        <f t="shared" ref="DP4:DP15" si="45">IF(CX4&gt;0,CX4,"")</f>
        <v>11.8</v>
      </c>
      <c r="DQ4" s="40">
        <f t="shared" ref="DQ4:DQ15" si="46">IF(CY4&gt;0,CY4,"")</f>
        <v>16.2</v>
      </c>
      <c r="DR4" s="40">
        <f t="shared" ref="DR4:DR15" si="47">IF(SUM(CV4:CY4)-CZ4&gt;0,SUM(CV4:CY4)-CZ4,"")</f>
        <v>45.45</v>
      </c>
      <c r="DS4" s="40">
        <f t="shared" ref="DS4:DS15" si="48">IF(DC4&gt;0,DC4,"")</f>
        <v>11.8</v>
      </c>
      <c r="DT4" s="40">
        <f t="shared" ref="DT4:DT15" si="49">IF(DD4&gt;0,DD4,"")</f>
        <v>16.239999999999998</v>
      </c>
      <c r="DU4" s="40">
        <f t="shared" ref="DU4:DU15" si="50">IF(SUM(DA4:DD4)-DE4&gt;0,SUM(DA4:DD4)-DE4,"")</f>
        <v>45.19</v>
      </c>
      <c r="DV4" s="40">
        <f t="shared" ref="DV4:DV15" si="51">IF(MAX(DR4,DU4)&gt;0,MAX(DR4,DU4),"")</f>
        <v>45.45</v>
      </c>
      <c r="DW4" s="40" t="str">
        <f t="shared" ref="DW4:DW15" si="52">IF(DH4&gt;0,DH4,"")</f>
        <v/>
      </c>
      <c r="DX4" s="40" t="str">
        <f t="shared" ref="DX4:DX15" si="53">IF(DI4&gt;0,DI4,"")</f>
        <v/>
      </c>
      <c r="DY4" s="40" t="str">
        <f t="shared" ref="DY4:DY15" si="54">IF(SUM(DF4:DI4)-DJ4&gt;0,SUM(DF4:DI4)-DJ4,"")</f>
        <v/>
      </c>
      <c r="DZ4" s="40" t="str">
        <f t="shared" ref="DZ4:DZ15" si="55">IF(DM4&gt;0,DM4,"")</f>
        <v/>
      </c>
      <c r="EA4" s="40" t="str">
        <f t="shared" ref="EA4:EA15" si="56">IF(DN4&gt;0,DN4,"")</f>
        <v/>
      </c>
      <c r="EB4" s="40" t="str">
        <f t="shared" ref="EB4:EB15" si="57">IF(SUM(DK4:DN4)-DO4&gt;0,SUM(DK4:DN4)-DO4,"")</f>
        <v/>
      </c>
      <c r="EC4" s="40">
        <f t="shared" ref="EC4:EC15" si="58">IF(SUM(DV4,DY4,EB4)&gt;0,SUM(DV4,DY4,EB4),"")</f>
        <v>45.45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5" si="59">IF(EF4&gt;0,EF4,"")</f>
        <v/>
      </c>
      <c r="EY4" s="11" t="str">
        <f t="shared" ref="EY4:EY15" si="60">IF(EG4&gt;0,EG4,"")</f>
        <v/>
      </c>
      <c r="EZ4" s="11" t="str">
        <f t="shared" ref="EZ4:EZ15" si="61">IF(SUM(ED4:EG4)-EH4&gt;0,SUM(ED4:EG4)-EH4,"")</f>
        <v/>
      </c>
      <c r="FA4" s="11" t="str">
        <f t="shared" ref="FA4:FA15" si="62">IF(EK4&gt;0,EK4,"")</f>
        <v/>
      </c>
      <c r="FB4" s="11" t="str">
        <f t="shared" ref="FB4:FB15" si="63">IF(EL4&gt;0,EL4,"")</f>
        <v/>
      </c>
      <c r="FC4" s="11" t="str">
        <f t="shared" ref="FC4:FC15" si="64">IF(SUM(EI4:EL4)-EM4&gt;0,SUM(EI4:EL4)-EM4,"")</f>
        <v/>
      </c>
      <c r="FD4" s="11" t="str">
        <f t="shared" ref="FD4:FD15" si="65">IF(MAX(EZ4,FC4)&gt;0,MAX(EZ4,FC4),"")</f>
        <v/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 t="str">
        <f t="shared" ref="FH4:FH15" si="69">IF(EU4&gt;0,EU4,"")</f>
        <v/>
      </c>
      <c r="FI4" s="11" t="str">
        <f t="shared" ref="FI4:FI15" si="70">IF(EV4&gt;0,EV4,"")</f>
        <v/>
      </c>
      <c r="FJ4" s="11" t="str">
        <f t="shared" ref="FJ4:FJ15" si="71">IF(SUM(ES4:EV4)-EW4&gt;0,SUM(ES4:EV4)-EW4,"")</f>
        <v/>
      </c>
      <c r="FK4" s="11" t="str">
        <f t="shared" ref="FK4:FK15" si="72"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F15" si="73">IF(FN4&gt;0,FN4,"")</f>
        <v/>
      </c>
      <c r="GG4" s="40" t="str">
        <f t="shared" ref="GG4:GG15" si="74">IF(FO4&gt;0,FO4,"")</f>
        <v/>
      </c>
      <c r="GH4" s="40" t="str">
        <f t="shared" ref="GH4:GH15" si="75">IF(SUM(FL4:FO4)-FP4&gt;0,SUM(FL4:FO4)-FP4,"")</f>
        <v/>
      </c>
      <c r="GI4" s="40" t="str">
        <f t="shared" ref="GI4:GI15" si="76">IF(FS4&gt;0,FS4,"")</f>
        <v/>
      </c>
      <c r="GJ4" s="40" t="str">
        <f t="shared" ref="GJ4:GJ15" si="77">IF(FT4&gt;0,FT4,"")</f>
        <v/>
      </c>
      <c r="GK4" s="40" t="str">
        <f t="shared" ref="GK4:GK15" si="78">IF(SUM(FQ4:FT4)-FU4&gt;0,SUM(FQ4:FT4)-FU4,"")</f>
        <v/>
      </c>
      <c r="GL4" s="40" t="str">
        <f t="shared" ref="GL4:GL15" si="79">IF(MAX(GH4,GK4)&gt;0,MAX(GH4,GK4),"")</f>
        <v/>
      </c>
      <c r="GM4" s="40" t="str">
        <f t="shared" ref="GM4:GM15" si="80">IF(FX4&gt;0,FX4,"")</f>
        <v/>
      </c>
      <c r="GN4" s="40" t="str">
        <f t="shared" ref="GN4:GN15" si="81">IF(FY4&gt;0,FY4,"")</f>
        <v/>
      </c>
      <c r="GO4" s="40" t="str">
        <f t="shared" ref="GO4:GO15" si="82">IF(SUM(FV4:FY4)-FZ4&gt;0,SUM(FV4:FY4)-FZ4,"")</f>
        <v/>
      </c>
      <c r="GP4" s="40" t="str">
        <f t="shared" ref="GP4:GP15" si="83">IF(GC4&gt;0,GC4,"")</f>
        <v/>
      </c>
      <c r="GQ4" s="40" t="str">
        <f t="shared" ref="GQ4:GQ15" si="84">IF(GD4&gt;0,GD4,"")</f>
        <v/>
      </c>
      <c r="GR4" s="40" t="str">
        <f t="shared" ref="GR4:GR15" si="85">IF(SUM(GA4:GD4)-GE4&gt;0,SUM(GA4:GD4)-GE4,"")</f>
        <v/>
      </c>
      <c r="GS4" s="40" t="str">
        <f t="shared" ref="GS4:GS15" si="86">IF(SUM(GL4,GO4,GR4)&gt;0,SUM(GL4,GO4,GR4),"")</f>
        <v/>
      </c>
      <c r="GT4" s="18">
        <v>8.3000000000000007</v>
      </c>
      <c r="GU4" s="18">
        <v>8.9499999999999993</v>
      </c>
      <c r="GV4" s="18">
        <v>11.8</v>
      </c>
      <c r="GW4" s="18">
        <v>16.54</v>
      </c>
      <c r="GX4" s="18">
        <v>0</v>
      </c>
      <c r="GY4" s="18">
        <v>8.4</v>
      </c>
      <c r="GZ4" s="18">
        <v>8.9499999999999993</v>
      </c>
      <c r="HA4" s="18">
        <v>11.8</v>
      </c>
      <c r="HB4" s="18">
        <v>15.8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 t="shared" ref="HN4:HN15" si="87">IF(GV4&gt;0,GV4,"")</f>
        <v>11.8</v>
      </c>
      <c r="HO4" s="11">
        <f t="shared" ref="HO4:HO15" si="88">IF(GW4&gt;0,GW4,"")</f>
        <v>16.54</v>
      </c>
      <c r="HP4" s="11">
        <f t="shared" ref="HP4:HP15" si="89">IF(SUM(GT4:GW4)-GX4&gt;0,SUM(GT4:GW4)-GX4,"")</f>
        <v>45.59</v>
      </c>
      <c r="HQ4" s="11">
        <f t="shared" ref="HQ4:HQ15" si="90">IF(HA4&gt;0,HA4,"")</f>
        <v>11.8</v>
      </c>
      <c r="HR4" s="11">
        <f t="shared" ref="HR4:HR15" si="91">IF(HB4&gt;0,HB4,"")</f>
        <v>15.8</v>
      </c>
      <c r="HS4" s="11">
        <f t="shared" ref="HS4:HS15" si="92">IF(SUM(GY4:HB4)-HC4&gt;0,SUM(GY4:HB4)-HC4,"")</f>
        <v>44.95</v>
      </c>
      <c r="HT4" s="11">
        <f t="shared" ref="HT4:HT15" si="93">IF(MAX(HP4,HS4)&gt;0,MAX(HP4,HS4),"")</f>
        <v>45.59</v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>
        <f t="shared" ref="IA4:IA15" si="100">IF(SUM(HT4,HW4,HZ4)&gt;0,SUM(HT4,HW4,HZ4),"")</f>
        <v>45.59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V15" si="101">IF(ID4&gt;0,ID4,"")</f>
        <v/>
      </c>
      <c r="IW4" s="40" t="str">
        <f t="shared" ref="IW4:IW15" si="102">IF(IE4&gt;0,IE4,"")</f>
        <v/>
      </c>
      <c r="IX4" s="40" t="str">
        <f t="shared" ref="IX4:IX15" si="103">IF(SUM(IB4:IE4)-IF4&gt;0,SUM(IB4:IE4)-IF4,"")</f>
        <v/>
      </c>
      <c r="IY4" s="40" t="str">
        <f t="shared" ref="IY4:IY15" si="104">IF(II4&gt;0,II4,"")</f>
        <v/>
      </c>
      <c r="IZ4" s="40" t="str">
        <f t="shared" ref="IZ4:IZ15" si="105">IF(IJ4&gt;0,IJ4,"")</f>
        <v/>
      </c>
      <c r="JA4" s="40" t="str">
        <f t="shared" ref="JA4:JA15" si="106">IF(SUM(IG4:IJ4)-IK4&gt;0,SUM(IG4:IJ4)-IK4,"")</f>
        <v/>
      </c>
      <c r="JB4" s="40" t="str">
        <f t="shared" ref="JB4:JB15" si="107">IF(MAX(IX4,JA4)&gt;0,MAX(IX4,JA4),"")</f>
        <v/>
      </c>
      <c r="JC4" s="40" t="str">
        <f t="shared" ref="JC4:JC15" si="108">IF(IN4&gt;0,IN4,"")</f>
        <v/>
      </c>
      <c r="JD4" s="40" t="str">
        <f t="shared" ref="JD4:JD15" si="109">IF(IO4&gt;0,IO4,"")</f>
        <v/>
      </c>
      <c r="JE4" s="40" t="str">
        <f t="shared" ref="JE4:JE15" si="110">IF(SUM(IL4:IO4)-IP4&gt;0,SUM(IL4:IO4)-IP4,"")</f>
        <v/>
      </c>
      <c r="JF4" s="40" t="str">
        <f t="shared" ref="JF4:JF15" si="111">IF(IS4&gt;0,IS4,"")</f>
        <v/>
      </c>
      <c r="JG4" s="40" t="str">
        <f t="shared" ref="JG4:JG15" si="112">IF(IT4&gt;0,IT4,"")</f>
        <v/>
      </c>
      <c r="JH4" s="40" t="str">
        <f t="shared" ref="JH4:JH15" si="113">IF(SUM(IQ4:IT4)-IU4&gt;0,SUM(IQ4:IT4)-IU4,"")</f>
        <v/>
      </c>
      <c r="JI4" s="40" t="str">
        <f t="shared" ref="JI4:JI15" si="114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5" si="115">IF(JL4&gt;0,JL4,"")</f>
        <v/>
      </c>
      <c r="KE4" s="11" t="str">
        <f t="shared" ref="KE4:KE15" si="116">IF(JM4&gt;0,JM4,"")</f>
        <v/>
      </c>
      <c r="KF4" s="11" t="str">
        <f t="shared" ref="KF4:KF15" si="117">IF(SUM(JJ4:JM4)-JN4&gt;0,SUM(JJ4:JM4)-JN4,"")</f>
        <v/>
      </c>
      <c r="KG4" s="11" t="str">
        <f t="shared" ref="KG4:KG15" si="118">IF(JQ4&gt;0,JQ4,"")</f>
        <v/>
      </c>
      <c r="KH4" s="11" t="str">
        <f t="shared" ref="KH4:KH15" si="119">IF(JR4&gt;0,JR4,"")</f>
        <v/>
      </c>
      <c r="KI4" s="11" t="str">
        <f t="shared" ref="KI4:KI15" si="120">IF(SUM(JO4:JR4)-JS4&gt;0,SUM(JO4:JR4)-JS4,"")</f>
        <v/>
      </c>
      <c r="KJ4" s="11" t="str">
        <f t="shared" ref="KJ4:KJ15" si="121">IF(MAX(KF4,KI4)&gt;0,MAX(KF4,KI4),"")</f>
        <v/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 t="str">
        <f t="shared" ref="KN4:KN15" si="125">IF(KA4&gt;0,KA4,"")</f>
        <v/>
      </c>
      <c r="KO4" s="11" t="str">
        <f t="shared" ref="KO4:KO15" si="126">IF(KB4&gt;0,KB4,"")</f>
        <v/>
      </c>
      <c r="KP4" s="11" t="str">
        <f t="shared" ref="KP4:KP15" si="127">IF(SUM(JY4:KB4)-KC4&gt;0,SUM(JY4:KB4)-KC4,"")</f>
        <v/>
      </c>
      <c r="KQ4" s="11" t="str">
        <f t="shared" ref="KQ4:KQ15" si="128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L15" si="129">IF(KT4&gt;0,KT4,"")</f>
        <v/>
      </c>
      <c r="LM4" s="40" t="str">
        <f t="shared" ref="LM4:LM15" si="130">IF(KU4&gt;0,KU4,"")</f>
        <v/>
      </c>
      <c r="LN4" s="40" t="str">
        <f t="shared" ref="LN4:LN15" si="131">IF(SUM(KR4:KU4)-KV4&gt;0,SUM(KR4:KU4)-KV4,"")</f>
        <v/>
      </c>
      <c r="LO4" s="40" t="str">
        <f t="shared" ref="LO4:LO15" si="132">IF(KY4&gt;0,KY4,"")</f>
        <v/>
      </c>
      <c r="LP4" s="40" t="str">
        <f t="shared" ref="LP4:LP15" si="133">IF(KZ4&gt;0,KZ4,"")</f>
        <v/>
      </c>
      <c r="LQ4" s="40" t="str">
        <f t="shared" ref="LQ4:LQ15" si="134">IF(SUM(KW4:KZ4)-LA4&gt;0,SUM(KW4:KZ4)-LA4,"")</f>
        <v/>
      </c>
      <c r="LR4" s="40" t="str">
        <f t="shared" ref="LR4:LR15" si="135">IF(MAX(LN4,LQ4)&gt;0,MAX(LN4,LQ4),"")</f>
        <v/>
      </c>
      <c r="LS4" s="40" t="str">
        <f t="shared" ref="LS4:LS15" si="136">IF(LD4&gt;0,LD4,"")</f>
        <v/>
      </c>
      <c r="LT4" s="40" t="str">
        <f t="shared" ref="LT4:LT15" si="137">IF(LE4&gt;0,LE4,"")</f>
        <v/>
      </c>
      <c r="LU4" s="40" t="str">
        <f t="shared" ref="LU4:LU15" si="138">IF(SUM(LB4:LE4)-LF4&gt;0,SUM(LB4:LE4)-LF4,"")</f>
        <v/>
      </c>
      <c r="LV4" s="40" t="str">
        <f t="shared" ref="LV4:LV15" si="139">IF(LI4&gt;0,LI4,"")</f>
        <v/>
      </c>
      <c r="LW4" s="40" t="str">
        <f t="shared" ref="LW4:LW15" si="140">IF(LJ4&gt;0,LJ4,"")</f>
        <v/>
      </c>
      <c r="LX4" s="40" t="str">
        <f t="shared" ref="LX4:LX15" si="141">IF(SUM(LG4:LJ4)-LK4&gt;0,SUM(LG4:LJ4)-LK4,"")</f>
        <v/>
      </c>
      <c r="LY4" s="40" t="str">
        <f t="shared" ref="LY4:LY15" si="142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5" si="143">IF(MB4&gt;0,MB4,"")</f>
        <v/>
      </c>
      <c r="MU4" s="11" t="str">
        <f t="shared" ref="MU4:MU15" si="144">IF(MC4&gt;0,MC4,"")</f>
        <v/>
      </c>
      <c r="MV4" s="11" t="str">
        <f t="shared" ref="MV4:MV15" si="145">IF(SUM(LZ4:MC4)-MD4&gt;0,SUM(LZ4:MC4)-MD4,"")</f>
        <v/>
      </c>
      <c r="MW4" s="11" t="str">
        <f t="shared" ref="MW4:MW15" si="146">IF(MG4&gt;0,MG4,"")</f>
        <v/>
      </c>
      <c r="MX4" s="11" t="str">
        <f t="shared" ref="MX4:MX15" si="147">IF(MH4&gt;0,MH4,"")</f>
        <v/>
      </c>
      <c r="MY4" s="11" t="str">
        <f t="shared" ref="MY4:MY15" si="148">IF(SUM(ME4:MH4)-MI4&gt;0,SUM(ME4:MH4)-MI4,"")</f>
        <v/>
      </c>
      <c r="MZ4" s="11" t="str">
        <f t="shared" ref="MZ4:MZ15" si="149">IF(MAX(MV4,MY4)&gt;0,MAX(MV4,MY4),"")</f>
        <v/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 t="str">
        <f t="shared" ref="ND4:ND15" si="153">IF(MQ4&gt;0,MQ4,"")</f>
        <v/>
      </c>
      <c r="NE4" s="11" t="str">
        <f t="shared" ref="NE4:NE15" si="154">IF(MR4&gt;0,MR4,"")</f>
        <v/>
      </c>
      <c r="NF4" s="11" t="str">
        <f t="shared" ref="NF4:NF15" si="155">IF(SUM(MO4:MR4)-MS4&gt;0,SUM(MO4:MR4)-MS4,"")</f>
        <v/>
      </c>
      <c r="NG4" s="11" t="str">
        <f t="shared" ref="NG4:NG15" si="156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B15" si="157">IF(NJ4&gt;0,NJ4,"")</f>
        <v/>
      </c>
      <c r="OC4" s="40" t="str">
        <f t="shared" ref="OC4:OC15" si="158">IF(NK4&gt;0,NK4,"")</f>
        <v/>
      </c>
      <c r="OD4" s="40" t="str">
        <f t="shared" ref="OD4:OD15" si="159">IF(SUM(NH4:NK4)-NL4&gt;0,SUM(NH4:NK4)-NL4,"")</f>
        <v/>
      </c>
      <c r="OE4" s="40" t="str">
        <f t="shared" ref="OE4:OE15" si="160">IF(NO4&gt;0,NO4,"")</f>
        <v/>
      </c>
      <c r="OF4" s="40" t="str">
        <f t="shared" ref="OF4:OF15" si="161">IF(NP4&gt;0,NP4,"")</f>
        <v/>
      </c>
      <c r="OG4" s="40" t="str">
        <f t="shared" ref="OG4:OG15" si="162">IF(SUM(NM4:NP4)-NQ4&gt;0,SUM(NM4:NP4)-NQ4,"")</f>
        <v/>
      </c>
      <c r="OH4" s="40" t="str">
        <f t="shared" ref="OH4:OH15" si="163">IF(MAX(OD4,OG4)&gt;0,MAX(OD4,OG4),"")</f>
        <v/>
      </c>
      <c r="OI4" s="40" t="str">
        <f t="shared" ref="OI4:OI15" si="164">IF(NT4&gt;0,NT4,"")</f>
        <v/>
      </c>
      <c r="OJ4" s="40" t="str">
        <f t="shared" ref="OJ4:OJ15" si="165">IF(NU4&gt;0,NU4,"")</f>
        <v/>
      </c>
      <c r="OK4" s="40" t="str">
        <f t="shared" ref="OK4:OK15" si="166">IF(SUM(NR4:NU4)-NV4&gt;0,SUM(NR4:NU4)-NV4,"")</f>
        <v/>
      </c>
      <c r="OL4" s="40" t="str">
        <f t="shared" ref="OL4:OL15" si="167">IF(NY4&gt;0,NY4,"")</f>
        <v/>
      </c>
      <c r="OM4" s="40" t="str">
        <f t="shared" ref="OM4:OM15" si="168">IF(NZ4&gt;0,NZ4,"")</f>
        <v/>
      </c>
      <c r="ON4" s="40" t="str">
        <f t="shared" ref="ON4:ON15" si="169">IF(SUM(NW4:NZ4)-OA4&gt;0,SUM(NW4:NZ4)-OA4,"")</f>
        <v/>
      </c>
      <c r="OO4" s="40" t="str">
        <f t="shared" ref="OO4:OO15" si="170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R15" si="185">IF(PZ4&gt;0,PZ4,"")</f>
        <v/>
      </c>
      <c r="QS4" s="40" t="str">
        <f t="shared" ref="QS4:QS15" si="186">IF(QA4&gt;0,QA4,"")</f>
        <v/>
      </c>
      <c r="QT4" s="40" t="str">
        <f t="shared" ref="QT4:QT15" si="187">IF(SUM(PX4:QA4)-QB4&gt;0,SUM(PX4:QA4)-QB4,"")</f>
        <v/>
      </c>
      <c r="QU4" s="40" t="str">
        <f t="shared" ref="QU4:QU15" si="188">IF(QE4&gt;0,QE4,"")</f>
        <v/>
      </c>
      <c r="QV4" s="40" t="str">
        <f t="shared" ref="QV4:QV15" si="189">IF(QF4&gt;0,QF4,"")</f>
        <v/>
      </c>
      <c r="QW4" s="40" t="str">
        <f t="shared" ref="QW4:QW15" si="190">IF(SUM(QC4:QF4)-QG4&gt;0,SUM(QC4:QF4)-QG4,"")</f>
        <v/>
      </c>
      <c r="QX4" s="40" t="str">
        <f t="shared" ref="QX4:QX15" si="191">IF(MAX(QT4,QW4)&gt;0,MAX(QT4,QW4),"")</f>
        <v/>
      </c>
      <c r="QY4" s="40" t="str">
        <f t="shared" ref="QY4:QY15" si="192">IF(QJ4&gt;0,QJ4,"")</f>
        <v/>
      </c>
      <c r="QZ4" s="40" t="str">
        <f t="shared" ref="QZ4:QZ15" si="193">IF(QK4&gt;0,QK4,"")</f>
        <v/>
      </c>
      <c r="RA4" s="40" t="str">
        <f t="shared" ref="RA4:RA15" si="194">IF(SUM(QH4:QK4)-QL4&gt;0,SUM(QH4:QK4)-QL4,"")</f>
        <v/>
      </c>
      <c r="RB4" s="40" t="str">
        <f t="shared" ref="RB4:RB15" si="195">IF(QO4&gt;0,QO4,"")</f>
        <v/>
      </c>
      <c r="RC4" s="40" t="str">
        <f t="shared" ref="RC4:RC15" si="196">IF(QP4&gt;0,QP4,"")</f>
        <v/>
      </c>
      <c r="RD4" s="40" t="str">
        <f t="shared" ref="RD4:RD15" si="197">IF(SUM(QM4:QP4)-QQ4&gt;0,SUM(QM4:QP4)-QQ4,"")</f>
        <v/>
      </c>
      <c r="RE4" s="40" t="str">
        <f t="shared" ref="RE4:RE15" si="198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H15" si="213">IF(SP4&gt;0,SP4,"")</f>
        <v/>
      </c>
      <c r="TI4" s="40" t="str">
        <f t="shared" ref="TI4:TI15" si="214">IF(SQ4&gt;0,SQ4,"")</f>
        <v/>
      </c>
      <c r="TJ4" s="40" t="str">
        <f t="shared" ref="TJ4:TJ15" si="215">IF(SUM(SN4:SQ4)-SR4&gt;0,SUM(SN4:SQ4)-SR4,"")</f>
        <v/>
      </c>
      <c r="TK4" s="40" t="str">
        <f t="shared" ref="TK4:TK15" si="216">IF(SU4&gt;0,SU4,"")</f>
        <v/>
      </c>
      <c r="TL4" s="40" t="str">
        <f t="shared" ref="TL4:TL15" si="217">IF(SV4&gt;0,SV4,"")</f>
        <v/>
      </c>
      <c r="TM4" s="40" t="str">
        <f t="shared" ref="TM4:TM15" si="218">IF(SUM(SS4:SV4)-SW4&gt;0,SUM(SS4:SV4)-SW4,"")</f>
        <v/>
      </c>
      <c r="TN4" s="40" t="str">
        <f t="shared" ref="TN4:TN15" si="219">IF(MAX(TJ4,TM4)&gt;0,MAX(TJ4,TM4),"")</f>
        <v/>
      </c>
      <c r="TO4" s="40" t="str">
        <f t="shared" ref="TO4:TO15" si="220">IF(SZ4&gt;0,SZ4,"")</f>
        <v/>
      </c>
      <c r="TP4" s="40" t="str">
        <f t="shared" ref="TP4:TP15" si="221">IF(TA4&gt;0,TA4,"")</f>
        <v/>
      </c>
      <c r="TQ4" s="40" t="str">
        <f t="shared" ref="TQ4:TQ15" si="222">IF(SUM(SX4:TA4)-TB4&gt;0,SUM(SX4:TA4)-TB4,"")</f>
        <v/>
      </c>
      <c r="TR4" s="40" t="str">
        <f t="shared" ref="TR4:TR15" si="223">IF(TE4&gt;0,TE4,"")</f>
        <v/>
      </c>
      <c r="TS4" s="40" t="str">
        <f t="shared" ref="TS4:TS15" si="224">IF(TF4&gt;0,TF4,"")</f>
        <v/>
      </c>
      <c r="TT4" s="40" t="str">
        <f t="shared" ref="TT4:TT15" si="225">IF(SUM(TC4:TF4)-TG4&gt;0,SUM(TC4:TF4)-TG4,"")</f>
        <v/>
      </c>
      <c r="TU4" s="40" t="str">
        <f t="shared" ref="TU4:TU15" si="226"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P15" si="227">IF(TX4&gt;0,TX4,"")</f>
        <v/>
      </c>
      <c r="UQ4" s="11" t="str">
        <f t="shared" ref="UQ4:UQ15" si="228">IF(TY4&gt;0,TY4,"")</f>
        <v/>
      </c>
      <c r="UR4" s="11" t="str">
        <f t="shared" ref="UR4:UR15" si="229">IF(SUM(TV4:TY4)-TZ4&gt;0,SUM(TV4:TY4)-TZ4,"")</f>
        <v/>
      </c>
      <c r="US4" s="11" t="str">
        <f t="shared" ref="US4:US15" si="230">IF(UC4&gt;0,UC4,"")</f>
        <v/>
      </c>
      <c r="UT4" s="11" t="str">
        <f t="shared" ref="UT4:UT15" si="231">IF(UD4&gt;0,UD4,"")</f>
        <v/>
      </c>
      <c r="UU4" s="11" t="str">
        <f t="shared" ref="UU4:UU15" si="232">IF(SUM(UA4:UD4)-UE4&gt;0,SUM(UA4:UD4)-UE4,"")</f>
        <v/>
      </c>
      <c r="UV4" s="11" t="str">
        <f t="shared" ref="UV4:UV15" si="233">IF(MAX(UR4,UU4)&gt;0,MAX(UR4,UU4),"")</f>
        <v/>
      </c>
      <c r="UW4" s="11" t="str">
        <f t="shared" ref="UW4:UW15" si="234">IF(UH4&gt;0,UH4,"")</f>
        <v/>
      </c>
      <c r="UX4" s="11" t="str">
        <f t="shared" ref="UX4:UX15" si="235">IF(UI4&gt;0,UI4,"")</f>
        <v/>
      </c>
      <c r="UY4" s="11" t="str">
        <f t="shared" ref="UY4:UY15" si="236">IF(SUM(UF4:UI4)-UJ4&gt;0,SUM(UF4:UI4)-UJ4,"")</f>
        <v/>
      </c>
      <c r="UZ4" s="11" t="str">
        <f t="shared" ref="UZ4:UZ15" si="237">IF(UM4&gt;0,UM4,"")</f>
        <v/>
      </c>
      <c r="VA4" s="11" t="str">
        <f t="shared" ref="VA4:VA15" si="238">IF(UN4&gt;0,UN4,"")</f>
        <v/>
      </c>
      <c r="VB4" s="11" t="str">
        <f t="shared" ref="VB4:VB15" si="239">IF(SUM(UK4:UN4)-UO4&gt;0,SUM(UK4:UN4)-UO4,"")</f>
        <v/>
      </c>
      <c r="VC4" s="11" t="str">
        <f t="shared" ref="VC4:VC15" si="240"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X15" si="241">IF(VF4&gt;0,VF4,"")</f>
        <v/>
      </c>
      <c r="VY4" s="40" t="str">
        <f t="shared" ref="VY4:VY15" si="242">IF(VG4&gt;0,VG4,"")</f>
        <v/>
      </c>
      <c r="VZ4" s="40" t="str">
        <f t="shared" ref="VZ4:VZ15" si="243">IF(SUM(VD4:VG4)-VH4&gt;0,SUM(VD4:VG4)-VH4,"")</f>
        <v/>
      </c>
      <c r="WA4" s="40" t="str">
        <f t="shared" ref="WA4:WA15" si="244">IF(VK4&gt;0,VK4,"")</f>
        <v/>
      </c>
      <c r="WB4" s="40" t="str">
        <f t="shared" ref="WB4:WB15" si="245">IF(VL4&gt;0,VL4,"")</f>
        <v/>
      </c>
      <c r="WC4" s="40" t="str">
        <f t="shared" ref="WC4:WC15" si="246">IF(SUM(VI4:VL4)-VM4&gt;0,SUM(VI4:VL4)-VM4,"")</f>
        <v/>
      </c>
      <c r="WD4" s="40" t="str">
        <f t="shared" ref="WD4:WD15" si="247">IF(MAX(VZ4,WC4)&gt;0,MAX(VZ4,WC4),"")</f>
        <v/>
      </c>
      <c r="WE4" s="40" t="str">
        <f t="shared" ref="WE4:WE15" si="248">IF(VP4&gt;0,VP4,"")</f>
        <v/>
      </c>
      <c r="WF4" s="40" t="str">
        <f t="shared" ref="WF4:WF15" si="249">IF(VQ4&gt;0,VQ4,"")</f>
        <v/>
      </c>
      <c r="WG4" s="40" t="str">
        <f t="shared" ref="WG4:WG15" si="250">IF(SUM(VN4:VQ4)-VR4&gt;0,SUM(VN4:VQ4)-VR4,"")</f>
        <v/>
      </c>
      <c r="WH4" s="40" t="str">
        <f t="shared" ref="WH4:WH15" si="251">IF(VU4&gt;0,VU4,"")</f>
        <v/>
      </c>
      <c r="WI4" s="40" t="str">
        <f t="shared" ref="WI4:WI15" si="252">IF(VV4&gt;0,VV4,"")</f>
        <v/>
      </c>
      <c r="WJ4" s="40" t="str">
        <f t="shared" ref="WJ4:WJ15" si="253">IF(SUM(VS4:VV4)-VW4&gt;0,SUM(VS4:VV4)-VW4,"")</f>
        <v/>
      </c>
      <c r="WK4" s="40" t="str">
        <f t="shared" ref="WK4:WK15" si="254">IF(SUM(WD4,WG4,WJ4)&gt;0,SUM(WD4,WG4,WJ4),"")</f>
        <v/>
      </c>
      <c r="WL4" s="26">
        <f t="shared" ref="WL4:WL15" si="255">IF($CH4="P",BS4,(BS4+AR4)/2)</f>
        <v>0</v>
      </c>
      <c r="WM4" s="26">
        <f t="shared" ref="WM4:WM15" si="256">IF($CH4="P",BT4,(BT4+AS4)/2)</f>
        <v>0</v>
      </c>
      <c r="WN4" s="26">
        <f t="shared" ref="WN4:WN15" si="257">IF($CH4="P",BU4,(BU4+AT4)/2)</f>
        <v>0</v>
      </c>
      <c r="WO4" s="26">
        <f t="shared" ref="WO4:WO15" si="258">IF($CH4="P",BV4,(BV4+AU4)/2)</f>
        <v>0</v>
      </c>
      <c r="WP4" s="26">
        <f t="shared" ref="WP4:WP15" si="259">IF($CH4="P",BW4,(BW4+AV4)/2)</f>
        <v>0</v>
      </c>
      <c r="WQ4" s="26">
        <f t="shared" ref="WQ4:WQ15" si="260">IF($CH4="P",BX4,(BX4+AW4)/2)</f>
        <v>0</v>
      </c>
      <c r="WR4" s="26">
        <f t="shared" ref="WR4:WR15" si="261">IF($CH4="P",BY4,(BY4+AX4)/2)</f>
        <v>0</v>
      </c>
      <c r="WS4" s="26">
        <f t="shared" ref="WS4:WS15" si="262">IF($CH4="P",BZ4,(BZ4+AY4)/2)</f>
        <v>0</v>
      </c>
      <c r="WT4" s="26">
        <f t="shared" ref="WT4:WT15" si="263">IF($CH4="P",CA4,(CA4+AZ4)/2)</f>
        <v>0</v>
      </c>
      <c r="WU4" s="26">
        <f t="shared" ref="WU4:WU15" si="264">IF($CH4="P",CB4,(CB4+BA4)/2)</f>
        <v>0</v>
      </c>
      <c r="WV4" s="26">
        <f t="shared" ref="WV4:WV15" si="265">IF($CH4="P",CC4,(CC4+BB4)/2)</f>
        <v>0</v>
      </c>
      <c r="WW4" s="26">
        <f t="shared" ref="WW4:WW15" si="266">IF($CH4="P",CD4,(CD4+BC4)/2)</f>
        <v>0</v>
      </c>
      <c r="WX4" s="26">
        <f t="shared" ref="WX4:WX15" si="267">IF($CH4="P",CE4,(CE4+BD4)/2)</f>
        <v>0</v>
      </c>
      <c r="WY4" s="26">
        <f t="shared" ref="WY4:WY15" si="268">IF($CH4="P",CF4,(CF4+BE4)/2)</f>
        <v>0</v>
      </c>
      <c r="WZ4" s="26">
        <f t="shared" ref="WZ4:WZ15" si="269">IF($CH4="P",CG4,(CG4+BF4)/2)</f>
        <v>0</v>
      </c>
      <c r="XA4" s="28" t="s">
        <v>53</v>
      </c>
      <c r="XB4" s="11" t="str">
        <f t="shared" ref="XB4:XB15" si="270">IF(WN4&gt;0,WN4,"")</f>
        <v/>
      </c>
      <c r="XC4" s="11" t="str">
        <f t="shared" ref="XC4:XC15" si="271">IF(WO4&gt;0,WO4,"")</f>
        <v/>
      </c>
      <c r="XD4" s="11" t="str">
        <f t="shared" ref="XD4:XD15" si="272">IF(SUM(WL4:WO4)-WP4&gt;0,SUM(WL4:WO4)-WP4,"")</f>
        <v/>
      </c>
      <c r="XE4" s="11" t="str">
        <f t="shared" ref="XE4:XE15" si="273">IF(WS4&gt;0,WS4,"")</f>
        <v/>
      </c>
      <c r="XF4" s="11" t="str">
        <f t="shared" ref="XF4:XF15" si="274">IF(WT4&gt;0,WT4,"")</f>
        <v/>
      </c>
      <c r="XG4" s="11" t="str">
        <f t="shared" ref="XG4:XG15" si="275">IF(SUM(WQ4:WT4)-WU4&gt;0,SUM(WQ4:WT4)-WU4,"")</f>
        <v/>
      </c>
      <c r="XH4" s="11" t="str">
        <f t="shared" ref="XH4:XH15" si="276">IF(MAX(XD4,XG4)&gt;0,MAX(XD4,XG4),"")</f>
        <v/>
      </c>
      <c r="XI4" s="11" t="str">
        <f t="shared" ref="XI4:XI15" si="277">IF(WX4&gt;0,WX4,"")</f>
        <v/>
      </c>
      <c r="XJ4" s="11" t="str">
        <f t="shared" ref="XJ4:XJ15" si="278">IF(WY4&gt;0,WY4,"")</f>
        <v/>
      </c>
      <c r="XK4" s="11" t="str">
        <f t="shared" ref="XK4:XK15" si="279">IF(SUM(WV4:WY4)-WZ4&gt;0,SUM(WV4:WY4)-WZ4,"")</f>
        <v/>
      </c>
      <c r="XL4" s="11" t="str">
        <f t="shared" ref="XL4:XL15" si="280">IF(SUM(XH4,XK4)&gt;0,SUM(XH4,XK4),"")</f>
        <v/>
      </c>
    </row>
    <row r="5" spans="1:636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143</v>
      </c>
      <c r="C5" s="4" t="s">
        <v>3</v>
      </c>
      <c r="D5" s="4" t="s">
        <v>144</v>
      </c>
      <c r="E5" s="9">
        <f t="shared" si="0"/>
        <v>91.975000000000023</v>
      </c>
      <c r="F5" s="3" t="str">
        <f t="shared" si="1"/>
        <v>P</v>
      </c>
      <c r="G5" s="3" t="str">
        <f t="shared" si="2"/>
        <v>P</v>
      </c>
      <c r="H5" s="36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46.005000000000003</v>
      </c>
      <c r="K5" s="8" t="str">
        <f t="shared" si="5"/>
        <v>2024 Nationals</v>
      </c>
      <c r="L5" s="8">
        <f>IF(COUNT(AI5,AL5,AP5,BJ5,BM5,BQ5,CK5,CN5,CR5)&gt;1,LARGE((AI5,AL5,AP5,BJ5,BM5,BQ5,CK5,CN5,CR5),2),0)</f>
        <v>42.484999999999999</v>
      </c>
      <c r="M5" s="8" t="str">
        <f t="shared" si="6"/>
        <v>2024 Nationals</v>
      </c>
      <c r="N5" s="8">
        <f t="shared" si="7"/>
        <v>3.4850000000000065</v>
      </c>
      <c r="O5" s="11" t="str">
        <f t="shared" si="8"/>
        <v>(Prelim)</v>
      </c>
      <c r="P5" s="8" t="str">
        <f t="shared" si="9"/>
        <v>2024 Pan Am [Club] Championships (May 19)</v>
      </c>
      <c r="Q5" s="22">
        <v>7.625</v>
      </c>
      <c r="R5" s="22">
        <v>9.1999999999999993</v>
      </c>
      <c r="S5" s="22">
        <v>11.3</v>
      </c>
      <c r="T5" s="22">
        <v>14.36</v>
      </c>
      <c r="U5" s="22">
        <v>0</v>
      </c>
      <c r="V5" s="22">
        <v>7.15</v>
      </c>
      <c r="W5" s="22">
        <v>8.9</v>
      </c>
      <c r="X5" s="22">
        <v>10.600000000000001</v>
      </c>
      <c r="Y5" s="22">
        <v>15.74</v>
      </c>
      <c r="Z5" s="22">
        <v>0</v>
      </c>
      <c r="AA5" s="22">
        <v>7.875</v>
      </c>
      <c r="AB5" s="22">
        <v>9.1</v>
      </c>
      <c r="AC5" s="22">
        <v>11.3</v>
      </c>
      <c r="AD5" s="22">
        <v>17.829999999999998</v>
      </c>
      <c r="AE5" s="22">
        <v>0.1</v>
      </c>
      <c r="AF5" s="27" t="s">
        <v>53</v>
      </c>
      <c r="AG5" s="38">
        <f t="shared" si="10"/>
        <v>11.3</v>
      </c>
      <c r="AH5" s="38">
        <f t="shared" si="11"/>
        <v>14.36</v>
      </c>
      <c r="AI5" s="40">
        <f t="shared" si="12"/>
        <v>42.484999999999999</v>
      </c>
      <c r="AJ5" s="40">
        <f t="shared" si="13"/>
        <v>10.600000000000001</v>
      </c>
      <c r="AK5" s="40">
        <f t="shared" si="14"/>
        <v>15.74</v>
      </c>
      <c r="AL5" s="40">
        <f t="shared" si="15"/>
        <v>42.39</v>
      </c>
      <c r="AM5" s="40">
        <f t="shared" si="16"/>
        <v>42.484999999999999</v>
      </c>
      <c r="AN5" s="40">
        <f t="shared" si="17"/>
        <v>11.3</v>
      </c>
      <c r="AO5" s="40">
        <f t="shared" si="18"/>
        <v>17.829999999999998</v>
      </c>
      <c r="AP5" s="40">
        <f t="shared" si="19"/>
        <v>46.005000000000003</v>
      </c>
      <c r="AQ5" s="40">
        <f t="shared" si="20"/>
        <v>88.490000000000009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 t="shared" si="21"/>
        <v/>
      </c>
      <c r="BI5" s="39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 t="shared" si="32"/>
        <v/>
      </c>
      <c r="CJ5" s="38" t="str">
        <f t="shared" si="33"/>
        <v/>
      </c>
      <c r="CK5" s="40" t="str">
        <f t="shared" si="34"/>
        <v/>
      </c>
      <c r="CL5" s="40" t="str">
        <f t="shared" si="35"/>
        <v/>
      </c>
      <c r="CM5" s="40" t="str">
        <f t="shared" si="36"/>
        <v/>
      </c>
      <c r="CN5" s="40" t="str">
        <f t="shared" si="37"/>
        <v/>
      </c>
      <c r="CO5" s="40" t="str">
        <f t="shared" si="38"/>
        <v/>
      </c>
      <c r="CP5" s="40" t="str">
        <f t="shared" si="39"/>
        <v/>
      </c>
      <c r="CQ5" s="40" t="str">
        <f t="shared" si="40"/>
        <v/>
      </c>
      <c r="CR5" s="40" t="str">
        <f t="shared" si="41"/>
        <v/>
      </c>
      <c r="CS5" s="40" t="str">
        <f t="shared" si="42"/>
        <v/>
      </c>
      <c r="CT5" s="51">
        <f t="shared" si="43"/>
        <v>3.4850000000000065</v>
      </c>
      <c r="CU5" s="51">
        <f t="shared" si="44"/>
        <v>0.66499999999999915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45"/>
        <v/>
      </c>
      <c r="DQ5" s="40" t="str">
        <f t="shared" si="46"/>
        <v/>
      </c>
      <c r="DR5" s="40" t="str">
        <f t="shared" si="47"/>
        <v/>
      </c>
      <c r="DS5" s="40" t="str">
        <f t="shared" si="48"/>
        <v/>
      </c>
      <c r="DT5" s="40" t="str">
        <f t="shared" si="49"/>
        <v/>
      </c>
      <c r="DU5" s="40" t="str">
        <f t="shared" si="50"/>
        <v/>
      </c>
      <c r="DV5" s="40" t="str">
        <f t="shared" si="51"/>
        <v/>
      </c>
      <c r="DW5" s="40" t="str">
        <f t="shared" si="52"/>
        <v/>
      </c>
      <c r="DX5" s="40" t="str">
        <f t="shared" si="53"/>
        <v/>
      </c>
      <c r="DY5" s="40" t="str">
        <f t="shared" si="54"/>
        <v/>
      </c>
      <c r="DZ5" s="40" t="str">
        <f t="shared" si="55"/>
        <v/>
      </c>
      <c r="EA5" s="40" t="str">
        <f t="shared" si="56"/>
        <v/>
      </c>
      <c r="EB5" s="40" t="str">
        <f t="shared" si="57"/>
        <v/>
      </c>
      <c r="EC5" s="40" t="str">
        <f t="shared" si="58"/>
        <v/>
      </c>
      <c r="ED5" s="18">
        <v>7.25</v>
      </c>
      <c r="EE5" s="18">
        <v>9.3000000000000007</v>
      </c>
      <c r="EF5" s="18">
        <v>11.3</v>
      </c>
      <c r="EG5" s="18">
        <v>18.52</v>
      </c>
      <c r="EH5" s="18">
        <v>0.4</v>
      </c>
      <c r="EI5" s="18">
        <v>1.35</v>
      </c>
      <c r="EJ5" s="18">
        <v>1.75</v>
      </c>
      <c r="EK5" s="18">
        <v>2.9</v>
      </c>
      <c r="EL5" s="18">
        <v>3.1</v>
      </c>
      <c r="EM5" s="18">
        <v>0</v>
      </c>
      <c r="EN5" s="18"/>
      <c r="EO5" s="18"/>
      <c r="EP5" s="18"/>
      <c r="EQ5" s="18"/>
      <c r="ER5" s="18"/>
      <c r="ES5" s="18">
        <v>7.1</v>
      </c>
      <c r="ET5" s="18">
        <v>9.0500000000000007</v>
      </c>
      <c r="EU5" s="18">
        <v>11.3</v>
      </c>
      <c r="EV5" s="18">
        <v>15.7</v>
      </c>
      <c r="EW5" s="18">
        <v>0</v>
      </c>
      <c r="EX5" s="11">
        <f t="shared" si="59"/>
        <v>11.3</v>
      </c>
      <c r="EY5" s="11">
        <f t="shared" si="60"/>
        <v>18.52</v>
      </c>
      <c r="EZ5" s="11">
        <f t="shared" si="61"/>
        <v>45.970000000000006</v>
      </c>
      <c r="FA5" s="11">
        <f t="shared" si="62"/>
        <v>2.9</v>
      </c>
      <c r="FB5" s="11">
        <f t="shared" si="63"/>
        <v>3.1</v>
      </c>
      <c r="FC5" s="11">
        <f t="shared" si="64"/>
        <v>9.1</v>
      </c>
      <c r="FD5" s="11">
        <f t="shared" si="65"/>
        <v>45.970000000000006</v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>
        <f t="shared" si="69"/>
        <v>11.3</v>
      </c>
      <c r="FI5" s="11">
        <f t="shared" si="70"/>
        <v>15.7</v>
      </c>
      <c r="FJ5" s="11">
        <f t="shared" si="71"/>
        <v>43.15</v>
      </c>
      <c r="FK5" s="11">
        <f t="shared" si="72"/>
        <v>89.12</v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73"/>
        <v/>
      </c>
      <c r="GG5" s="40" t="str">
        <f t="shared" si="74"/>
        <v/>
      </c>
      <c r="GH5" s="40" t="str">
        <f t="shared" si="75"/>
        <v/>
      </c>
      <c r="GI5" s="40" t="str">
        <f t="shared" si="76"/>
        <v/>
      </c>
      <c r="GJ5" s="40" t="str">
        <f t="shared" si="77"/>
        <v/>
      </c>
      <c r="GK5" s="40" t="str">
        <f t="shared" si="78"/>
        <v/>
      </c>
      <c r="GL5" s="40" t="str">
        <f t="shared" si="79"/>
        <v/>
      </c>
      <c r="GM5" s="40" t="str">
        <f t="shared" si="80"/>
        <v/>
      </c>
      <c r="GN5" s="40" t="str">
        <f t="shared" si="81"/>
        <v/>
      </c>
      <c r="GO5" s="40" t="str">
        <f t="shared" si="82"/>
        <v/>
      </c>
      <c r="GP5" s="40" t="str">
        <f t="shared" si="83"/>
        <v/>
      </c>
      <c r="GQ5" s="40" t="str">
        <f t="shared" si="84"/>
        <v/>
      </c>
      <c r="GR5" s="40" t="str">
        <f t="shared" si="85"/>
        <v/>
      </c>
      <c r="GS5" s="40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101"/>
        <v/>
      </c>
      <c r="IW5" s="40" t="str">
        <f t="shared" si="102"/>
        <v/>
      </c>
      <c r="IX5" s="40" t="str">
        <f t="shared" si="103"/>
        <v/>
      </c>
      <c r="IY5" s="40" t="str">
        <f t="shared" si="104"/>
        <v/>
      </c>
      <c r="IZ5" s="40" t="str">
        <f t="shared" si="105"/>
        <v/>
      </c>
      <c r="JA5" s="40" t="str">
        <f t="shared" si="106"/>
        <v/>
      </c>
      <c r="JB5" s="40" t="str">
        <f t="shared" si="107"/>
        <v/>
      </c>
      <c r="JC5" s="40" t="str">
        <f t="shared" si="108"/>
        <v/>
      </c>
      <c r="JD5" s="40" t="str">
        <f t="shared" si="109"/>
        <v/>
      </c>
      <c r="JE5" s="40" t="str">
        <f t="shared" si="110"/>
        <v/>
      </c>
      <c r="JF5" s="40" t="str">
        <f t="shared" si="111"/>
        <v/>
      </c>
      <c r="JG5" s="40" t="str">
        <f t="shared" si="112"/>
        <v/>
      </c>
      <c r="JH5" s="40" t="str">
        <f t="shared" si="113"/>
        <v/>
      </c>
      <c r="JI5" s="40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129"/>
        <v/>
      </c>
      <c r="LM5" s="40" t="str">
        <f t="shared" si="130"/>
        <v/>
      </c>
      <c r="LN5" s="40" t="str">
        <f t="shared" si="131"/>
        <v/>
      </c>
      <c r="LO5" s="40" t="str">
        <f t="shared" si="132"/>
        <v/>
      </c>
      <c r="LP5" s="40" t="str">
        <f t="shared" si="133"/>
        <v/>
      </c>
      <c r="LQ5" s="40" t="str">
        <f t="shared" si="134"/>
        <v/>
      </c>
      <c r="LR5" s="40" t="str">
        <f t="shared" si="135"/>
        <v/>
      </c>
      <c r="LS5" s="40" t="str">
        <f t="shared" si="136"/>
        <v/>
      </c>
      <c r="LT5" s="40" t="str">
        <f t="shared" si="137"/>
        <v/>
      </c>
      <c r="LU5" s="40" t="str">
        <f t="shared" si="138"/>
        <v/>
      </c>
      <c r="LV5" s="40" t="str">
        <f t="shared" si="139"/>
        <v/>
      </c>
      <c r="LW5" s="40" t="str">
        <f t="shared" si="140"/>
        <v/>
      </c>
      <c r="LX5" s="40" t="str">
        <f t="shared" si="141"/>
        <v/>
      </c>
      <c r="LY5" s="40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157"/>
        <v/>
      </c>
      <c r="OC5" s="40" t="str">
        <f t="shared" si="158"/>
        <v/>
      </c>
      <c r="OD5" s="40" t="str">
        <f t="shared" si="159"/>
        <v/>
      </c>
      <c r="OE5" s="40" t="str">
        <f t="shared" si="160"/>
        <v/>
      </c>
      <c r="OF5" s="40" t="str">
        <f t="shared" si="161"/>
        <v/>
      </c>
      <c r="OG5" s="40" t="str">
        <f t="shared" si="162"/>
        <v/>
      </c>
      <c r="OH5" s="40" t="str">
        <f t="shared" si="163"/>
        <v/>
      </c>
      <c r="OI5" s="40" t="str">
        <f t="shared" si="164"/>
        <v/>
      </c>
      <c r="OJ5" s="40" t="str">
        <f t="shared" si="165"/>
        <v/>
      </c>
      <c r="OK5" s="40" t="str">
        <f t="shared" si="166"/>
        <v/>
      </c>
      <c r="OL5" s="40" t="str">
        <f t="shared" si="167"/>
        <v/>
      </c>
      <c r="OM5" s="40" t="str">
        <f t="shared" si="168"/>
        <v/>
      </c>
      <c r="ON5" s="40" t="str">
        <f t="shared" si="169"/>
        <v/>
      </c>
      <c r="OO5" s="40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185"/>
        <v/>
      </c>
      <c r="QS5" s="40" t="str">
        <f t="shared" si="186"/>
        <v/>
      </c>
      <c r="QT5" s="40" t="str">
        <f t="shared" si="187"/>
        <v/>
      </c>
      <c r="QU5" s="40" t="str">
        <f t="shared" si="188"/>
        <v/>
      </c>
      <c r="QV5" s="40" t="str">
        <f t="shared" si="189"/>
        <v/>
      </c>
      <c r="QW5" s="40" t="str">
        <f t="shared" si="190"/>
        <v/>
      </c>
      <c r="QX5" s="40" t="str">
        <f t="shared" si="191"/>
        <v/>
      </c>
      <c r="QY5" s="40" t="str">
        <f t="shared" si="192"/>
        <v/>
      </c>
      <c r="QZ5" s="40" t="str">
        <f t="shared" si="193"/>
        <v/>
      </c>
      <c r="RA5" s="40" t="str">
        <f t="shared" si="194"/>
        <v/>
      </c>
      <c r="RB5" s="40" t="str">
        <f t="shared" si="195"/>
        <v/>
      </c>
      <c r="RC5" s="40" t="str">
        <f t="shared" si="196"/>
        <v/>
      </c>
      <c r="RD5" s="40" t="str">
        <f t="shared" si="197"/>
        <v/>
      </c>
      <c r="RE5" s="40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213"/>
        <v/>
      </c>
      <c r="TI5" s="40" t="str">
        <f t="shared" si="214"/>
        <v/>
      </c>
      <c r="TJ5" s="40" t="str">
        <f t="shared" si="215"/>
        <v/>
      </c>
      <c r="TK5" s="40" t="str">
        <f t="shared" si="216"/>
        <v/>
      </c>
      <c r="TL5" s="40" t="str">
        <f t="shared" si="217"/>
        <v/>
      </c>
      <c r="TM5" s="40" t="str">
        <f t="shared" si="218"/>
        <v/>
      </c>
      <c r="TN5" s="40" t="str">
        <f t="shared" si="219"/>
        <v/>
      </c>
      <c r="TO5" s="40" t="str">
        <f t="shared" si="220"/>
        <v/>
      </c>
      <c r="TP5" s="40" t="str">
        <f t="shared" si="221"/>
        <v/>
      </c>
      <c r="TQ5" s="40" t="str">
        <f t="shared" si="222"/>
        <v/>
      </c>
      <c r="TR5" s="40" t="str">
        <f t="shared" si="223"/>
        <v/>
      </c>
      <c r="TS5" s="40" t="str">
        <f t="shared" si="224"/>
        <v/>
      </c>
      <c r="TT5" s="40" t="str">
        <f t="shared" si="225"/>
        <v/>
      </c>
      <c r="TU5" s="40" t="str">
        <f t="shared" si="226"/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227"/>
        <v/>
      </c>
      <c r="UQ5" s="11" t="str">
        <f t="shared" si="228"/>
        <v/>
      </c>
      <c r="UR5" s="11" t="str">
        <f t="shared" si="229"/>
        <v/>
      </c>
      <c r="US5" s="11" t="str">
        <f t="shared" si="230"/>
        <v/>
      </c>
      <c r="UT5" s="11" t="str">
        <f t="shared" si="231"/>
        <v/>
      </c>
      <c r="UU5" s="11" t="str">
        <f t="shared" si="232"/>
        <v/>
      </c>
      <c r="UV5" s="11" t="str">
        <f t="shared" si="233"/>
        <v/>
      </c>
      <c r="UW5" s="11" t="str">
        <f t="shared" si="234"/>
        <v/>
      </c>
      <c r="UX5" s="11" t="str">
        <f t="shared" si="235"/>
        <v/>
      </c>
      <c r="UY5" s="11" t="str">
        <f t="shared" si="236"/>
        <v/>
      </c>
      <c r="UZ5" s="11" t="str">
        <f t="shared" si="237"/>
        <v/>
      </c>
      <c r="VA5" s="11" t="str">
        <f t="shared" si="238"/>
        <v/>
      </c>
      <c r="VB5" s="11" t="str">
        <f t="shared" si="239"/>
        <v/>
      </c>
      <c r="VC5" s="11" t="str">
        <f t="shared" si="240"/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241"/>
        <v/>
      </c>
      <c r="VY5" s="40" t="str">
        <f t="shared" si="242"/>
        <v/>
      </c>
      <c r="VZ5" s="40" t="str">
        <f t="shared" si="243"/>
        <v/>
      </c>
      <c r="WA5" s="40" t="str">
        <f t="shared" si="244"/>
        <v/>
      </c>
      <c r="WB5" s="40" t="str">
        <f t="shared" si="245"/>
        <v/>
      </c>
      <c r="WC5" s="40" t="str">
        <f t="shared" si="246"/>
        <v/>
      </c>
      <c r="WD5" s="40" t="str">
        <f t="shared" si="247"/>
        <v/>
      </c>
      <c r="WE5" s="40" t="str">
        <f t="shared" si="248"/>
        <v/>
      </c>
      <c r="WF5" s="40" t="str">
        <f t="shared" si="249"/>
        <v/>
      </c>
      <c r="WG5" s="40" t="str">
        <f t="shared" si="250"/>
        <v/>
      </c>
      <c r="WH5" s="40" t="str">
        <f t="shared" si="251"/>
        <v/>
      </c>
      <c r="WI5" s="40" t="str">
        <f t="shared" si="252"/>
        <v/>
      </c>
      <c r="WJ5" s="40" t="str">
        <f t="shared" si="253"/>
        <v/>
      </c>
      <c r="WK5" s="40" t="str">
        <f t="shared" si="254"/>
        <v/>
      </c>
      <c r="WL5" s="26">
        <f t="shared" si="255"/>
        <v>0</v>
      </c>
      <c r="WM5" s="26">
        <f t="shared" si="256"/>
        <v>0</v>
      </c>
      <c r="WN5" s="26">
        <f t="shared" si="257"/>
        <v>0</v>
      </c>
      <c r="WO5" s="26">
        <f t="shared" si="258"/>
        <v>0</v>
      </c>
      <c r="WP5" s="26">
        <f t="shared" si="259"/>
        <v>0</v>
      </c>
      <c r="WQ5" s="26">
        <f t="shared" si="260"/>
        <v>0</v>
      </c>
      <c r="WR5" s="26">
        <f t="shared" si="261"/>
        <v>0</v>
      </c>
      <c r="WS5" s="26">
        <f t="shared" si="262"/>
        <v>0</v>
      </c>
      <c r="WT5" s="26">
        <f t="shared" si="263"/>
        <v>0</v>
      </c>
      <c r="WU5" s="26">
        <f t="shared" si="264"/>
        <v>0</v>
      </c>
      <c r="WV5" s="26">
        <f t="shared" si="265"/>
        <v>0</v>
      </c>
      <c r="WW5" s="26">
        <f t="shared" si="266"/>
        <v>0</v>
      </c>
      <c r="WX5" s="26">
        <f t="shared" si="267"/>
        <v>0</v>
      </c>
      <c r="WY5" s="26">
        <f t="shared" si="268"/>
        <v>0</v>
      </c>
      <c r="WZ5" s="26">
        <f t="shared" si="269"/>
        <v>0</v>
      </c>
      <c r="XA5" s="28" t="s">
        <v>53</v>
      </c>
      <c r="XB5" s="11" t="str">
        <f t="shared" si="270"/>
        <v/>
      </c>
      <c r="XC5" s="11" t="str">
        <f t="shared" si="271"/>
        <v/>
      </c>
      <c r="XD5" s="11" t="str">
        <f t="shared" si="272"/>
        <v/>
      </c>
      <c r="XE5" s="11" t="str">
        <f t="shared" si="273"/>
        <v/>
      </c>
      <c r="XF5" s="11" t="str">
        <f t="shared" si="274"/>
        <v/>
      </c>
      <c r="XG5" s="11" t="str">
        <f t="shared" si="275"/>
        <v/>
      </c>
      <c r="XH5" s="11" t="str">
        <f t="shared" si="276"/>
        <v/>
      </c>
      <c r="XI5" s="11" t="str">
        <f t="shared" si="277"/>
        <v/>
      </c>
      <c r="XJ5" s="11" t="str">
        <f t="shared" si="278"/>
        <v/>
      </c>
      <c r="XK5" s="11" t="str">
        <f t="shared" si="279"/>
        <v/>
      </c>
      <c r="XL5" s="11" t="str">
        <f t="shared" si="280"/>
        <v/>
      </c>
    </row>
    <row r="6" spans="1:636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133</v>
      </c>
      <c r="C6" s="4" t="s">
        <v>6</v>
      </c>
      <c r="D6" s="4" t="s">
        <v>132</v>
      </c>
      <c r="E6" s="9">
        <f t="shared" si="0"/>
        <v>86.63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IF(COUNT(AI6,AL6,AP6,BJ6,BM6,BQ6,CK6,CN6,CR6)&gt;0,LARGE((AI6,AL6,AP6,BJ6,BM6,BQ6,CK6,CN6,CR6),1),0)</f>
        <v>46.91</v>
      </c>
      <c r="K6" s="8" t="str">
        <f t="shared" si="5"/>
        <v>2024 Nationals</v>
      </c>
      <c r="L6" s="8">
        <f>IF(COUNT(AI6,AL6,AP6,BJ6,BM6,BQ6,CK6,CN6,CR6)&gt;1,LARGE((AI6,AL6,AP6,BJ6,BM6,BQ6,CK6,CN6,CR6),2),0)</f>
        <v>39.72</v>
      </c>
      <c r="M6" s="8" t="str">
        <f t="shared" si="6"/>
        <v>2024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2">
        <v>2.5</v>
      </c>
      <c r="R6" s="22">
        <v>2.8</v>
      </c>
      <c r="S6" s="22">
        <v>3.5</v>
      </c>
      <c r="T6" s="22">
        <v>5.7</v>
      </c>
      <c r="U6" s="22">
        <v>0</v>
      </c>
      <c r="V6" s="22">
        <v>7.95</v>
      </c>
      <c r="W6" s="22">
        <v>9.1999999999999993</v>
      </c>
      <c r="X6" s="22">
        <v>11.1</v>
      </c>
      <c r="Y6" s="22">
        <v>18.66</v>
      </c>
      <c r="Z6" s="22">
        <v>0</v>
      </c>
      <c r="AA6" s="22">
        <v>6.55</v>
      </c>
      <c r="AB6" s="22">
        <v>9.15</v>
      </c>
      <c r="AC6" s="22">
        <v>11.1</v>
      </c>
      <c r="AD6" s="22">
        <v>12.92</v>
      </c>
      <c r="AE6" s="22">
        <v>0</v>
      </c>
      <c r="AF6" s="27"/>
      <c r="AG6" s="38">
        <f t="shared" si="10"/>
        <v>3.5</v>
      </c>
      <c r="AH6" s="38">
        <f t="shared" si="11"/>
        <v>5.7</v>
      </c>
      <c r="AI6" s="40">
        <f t="shared" si="12"/>
        <v>14.5</v>
      </c>
      <c r="AJ6" s="40">
        <f t="shared" si="13"/>
        <v>11.1</v>
      </c>
      <c r="AK6" s="40">
        <f t="shared" si="14"/>
        <v>18.66</v>
      </c>
      <c r="AL6" s="40">
        <f t="shared" si="15"/>
        <v>46.91</v>
      </c>
      <c r="AM6" s="40">
        <f t="shared" si="16"/>
        <v>46.91</v>
      </c>
      <c r="AN6" s="40">
        <f t="shared" si="17"/>
        <v>11.1</v>
      </c>
      <c r="AO6" s="40">
        <f t="shared" si="18"/>
        <v>12.92</v>
      </c>
      <c r="AP6" s="40">
        <f t="shared" si="19"/>
        <v>39.72</v>
      </c>
      <c r="AQ6" s="40">
        <f t="shared" si="20"/>
        <v>86.63</v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 t="shared" si="21"/>
        <v/>
      </c>
      <c r="BI6" s="39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 t="shared" si="32"/>
        <v/>
      </c>
      <c r="CJ6" s="38" t="str">
        <f t="shared" si="33"/>
        <v/>
      </c>
      <c r="CK6" s="40" t="str">
        <f t="shared" si="34"/>
        <v/>
      </c>
      <c r="CL6" s="40" t="str">
        <f t="shared" si="35"/>
        <v/>
      </c>
      <c r="CM6" s="40" t="str">
        <f t="shared" si="36"/>
        <v/>
      </c>
      <c r="CN6" s="40" t="str">
        <f t="shared" si="37"/>
        <v/>
      </c>
      <c r="CO6" s="40" t="str">
        <f t="shared" si="38"/>
        <v/>
      </c>
      <c r="CP6" s="40" t="str">
        <f t="shared" si="39"/>
        <v/>
      </c>
      <c r="CQ6" s="40" t="str">
        <f t="shared" si="40"/>
        <v/>
      </c>
      <c r="CR6" s="40" t="str">
        <f t="shared" si="41"/>
        <v/>
      </c>
      <c r="CS6" s="40" t="str">
        <f t="shared" si="42"/>
        <v/>
      </c>
      <c r="CT6" s="51" t="str">
        <f t="shared" si="43"/>
        <v/>
      </c>
      <c r="CU6" s="51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45"/>
        <v/>
      </c>
      <c r="DQ6" s="40" t="str">
        <f t="shared" si="46"/>
        <v/>
      </c>
      <c r="DR6" s="40" t="str">
        <f t="shared" si="47"/>
        <v/>
      </c>
      <c r="DS6" s="40" t="str">
        <f t="shared" si="48"/>
        <v/>
      </c>
      <c r="DT6" s="40" t="str">
        <f t="shared" si="49"/>
        <v/>
      </c>
      <c r="DU6" s="40" t="str">
        <f t="shared" si="50"/>
        <v/>
      </c>
      <c r="DV6" s="40" t="str">
        <f t="shared" si="51"/>
        <v/>
      </c>
      <c r="DW6" s="40" t="str">
        <f t="shared" si="52"/>
        <v/>
      </c>
      <c r="DX6" s="40" t="str">
        <f t="shared" si="53"/>
        <v/>
      </c>
      <c r="DY6" s="40" t="str">
        <f t="shared" si="54"/>
        <v/>
      </c>
      <c r="DZ6" s="40" t="str">
        <f t="shared" si="55"/>
        <v/>
      </c>
      <c r="EA6" s="40" t="str">
        <f t="shared" si="56"/>
        <v/>
      </c>
      <c r="EB6" s="40" t="str">
        <f t="shared" si="57"/>
        <v/>
      </c>
      <c r="EC6" s="40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73"/>
        <v/>
      </c>
      <c r="GG6" s="40" t="str">
        <f t="shared" si="74"/>
        <v/>
      </c>
      <c r="GH6" s="40" t="str">
        <f t="shared" si="75"/>
        <v/>
      </c>
      <c r="GI6" s="40" t="str">
        <f t="shared" si="76"/>
        <v/>
      </c>
      <c r="GJ6" s="40" t="str">
        <f t="shared" si="77"/>
        <v/>
      </c>
      <c r="GK6" s="40" t="str">
        <f t="shared" si="78"/>
        <v/>
      </c>
      <c r="GL6" s="40" t="str">
        <f t="shared" si="79"/>
        <v/>
      </c>
      <c r="GM6" s="40" t="str">
        <f t="shared" si="80"/>
        <v/>
      </c>
      <c r="GN6" s="40" t="str">
        <f t="shared" si="81"/>
        <v/>
      </c>
      <c r="GO6" s="40" t="str">
        <f t="shared" si="82"/>
        <v/>
      </c>
      <c r="GP6" s="40" t="str">
        <f t="shared" si="83"/>
        <v/>
      </c>
      <c r="GQ6" s="40" t="str">
        <f t="shared" si="84"/>
        <v/>
      </c>
      <c r="GR6" s="40" t="str">
        <f t="shared" si="85"/>
        <v/>
      </c>
      <c r="GS6" s="40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101"/>
        <v/>
      </c>
      <c r="IW6" s="40" t="str">
        <f t="shared" si="102"/>
        <v/>
      </c>
      <c r="IX6" s="40" t="str">
        <f t="shared" si="103"/>
        <v/>
      </c>
      <c r="IY6" s="40" t="str">
        <f t="shared" si="104"/>
        <v/>
      </c>
      <c r="IZ6" s="40" t="str">
        <f t="shared" si="105"/>
        <v/>
      </c>
      <c r="JA6" s="40" t="str">
        <f t="shared" si="106"/>
        <v/>
      </c>
      <c r="JB6" s="40" t="str">
        <f t="shared" si="107"/>
        <v/>
      </c>
      <c r="JC6" s="40" t="str">
        <f t="shared" si="108"/>
        <v/>
      </c>
      <c r="JD6" s="40" t="str">
        <f t="shared" si="109"/>
        <v/>
      </c>
      <c r="JE6" s="40" t="str">
        <f t="shared" si="110"/>
        <v/>
      </c>
      <c r="JF6" s="40" t="str">
        <f t="shared" si="111"/>
        <v/>
      </c>
      <c r="JG6" s="40" t="str">
        <f t="shared" si="112"/>
        <v/>
      </c>
      <c r="JH6" s="40" t="str">
        <f t="shared" si="113"/>
        <v/>
      </c>
      <c r="JI6" s="40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129"/>
        <v/>
      </c>
      <c r="LM6" s="40" t="str">
        <f t="shared" si="130"/>
        <v/>
      </c>
      <c r="LN6" s="40" t="str">
        <f t="shared" si="131"/>
        <v/>
      </c>
      <c r="LO6" s="40" t="str">
        <f t="shared" si="132"/>
        <v/>
      </c>
      <c r="LP6" s="40" t="str">
        <f t="shared" si="133"/>
        <v/>
      </c>
      <c r="LQ6" s="40" t="str">
        <f t="shared" si="134"/>
        <v/>
      </c>
      <c r="LR6" s="40" t="str">
        <f t="shared" si="135"/>
        <v/>
      </c>
      <c r="LS6" s="40" t="str">
        <f t="shared" si="136"/>
        <v/>
      </c>
      <c r="LT6" s="40" t="str">
        <f t="shared" si="137"/>
        <v/>
      </c>
      <c r="LU6" s="40" t="str">
        <f t="shared" si="138"/>
        <v/>
      </c>
      <c r="LV6" s="40" t="str">
        <f t="shared" si="139"/>
        <v/>
      </c>
      <c r="LW6" s="40" t="str">
        <f t="shared" si="140"/>
        <v/>
      </c>
      <c r="LX6" s="40" t="str">
        <f t="shared" si="141"/>
        <v/>
      </c>
      <c r="LY6" s="40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157"/>
        <v/>
      </c>
      <c r="OC6" s="40" t="str">
        <f t="shared" si="158"/>
        <v/>
      </c>
      <c r="OD6" s="40" t="str">
        <f t="shared" si="159"/>
        <v/>
      </c>
      <c r="OE6" s="40" t="str">
        <f t="shared" si="160"/>
        <v/>
      </c>
      <c r="OF6" s="40" t="str">
        <f t="shared" si="161"/>
        <v/>
      </c>
      <c r="OG6" s="40" t="str">
        <f t="shared" si="162"/>
        <v/>
      </c>
      <c r="OH6" s="40" t="str">
        <f t="shared" si="163"/>
        <v/>
      </c>
      <c r="OI6" s="40" t="str">
        <f t="shared" si="164"/>
        <v/>
      </c>
      <c r="OJ6" s="40" t="str">
        <f t="shared" si="165"/>
        <v/>
      </c>
      <c r="OK6" s="40" t="str">
        <f t="shared" si="166"/>
        <v/>
      </c>
      <c r="OL6" s="40" t="str">
        <f t="shared" si="167"/>
        <v/>
      </c>
      <c r="OM6" s="40" t="str">
        <f t="shared" si="168"/>
        <v/>
      </c>
      <c r="ON6" s="40" t="str">
        <f t="shared" si="169"/>
        <v/>
      </c>
      <c r="OO6" s="40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185"/>
        <v/>
      </c>
      <c r="QS6" s="40" t="str">
        <f t="shared" si="186"/>
        <v/>
      </c>
      <c r="QT6" s="40" t="str">
        <f t="shared" si="187"/>
        <v/>
      </c>
      <c r="QU6" s="40" t="str">
        <f t="shared" si="188"/>
        <v/>
      </c>
      <c r="QV6" s="40" t="str">
        <f t="shared" si="189"/>
        <v/>
      </c>
      <c r="QW6" s="40" t="str">
        <f t="shared" si="190"/>
        <v/>
      </c>
      <c r="QX6" s="40" t="str">
        <f t="shared" si="191"/>
        <v/>
      </c>
      <c r="QY6" s="40" t="str">
        <f t="shared" si="192"/>
        <v/>
      </c>
      <c r="QZ6" s="40" t="str">
        <f t="shared" si="193"/>
        <v/>
      </c>
      <c r="RA6" s="40" t="str">
        <f t="shared" si="194"/>
        <v/>
      </c>
      <c r="RB6" s="40" t="str">
        <f t="shared" si="195"/>
        <v/>
      </c>
      <c r="RC6" s="40" t="str">
        <f t="shared" si="196"/>
        <v/>
      </c>
      <c r="RD6" s="40" t="str">
        <f t="shared" si="197"/>
        <v/>
      </c>
      <c r="RE6" s="40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213"/>
        <v/>
      </c>
      <c r="TI6" s="40" t="str">
        <f t="shared" si="214"/>
        <v/>
      </c>
      <c r="TJ6" s="40" t="str">
        <f t="shared" si="215"/>
        <v/>
      </c>
      <c r="TK6" s="40" t="str">
        <f t="shared" si="216"/>
        <v/>
      </c>
      <c r="TL6" s="40" t="str">
        <f t="shared" si="217"/>
        <v/>
      </c>
      <c r="TM6" s="40" t="str">
        <f t="shared" si="218"/>
        <v/>
      </c>
      <c r="TN6" s="40" t="str">
        <f t="shared" si="219"/>
        <v/>
      </c>
      <c r="TO6" s="40" t="str">
        <f t="shared" si="220"/>
        <v/>
      </c>
      <c r="TP6" s="40" t="str">
        <f t="shared" si="221"/>
        <v/>
      </c>
      <c r="TQ6" s="40" t="str">
        <f t="shared" si="222"/>
        <v/>
      </c>
      <c r="TR6" s="40" t="str">
        <f t="shared" si="223"/>
        <v/>
      </c>
      <c r="TS6" s="40" t="str">
        <f t="shared" si="224"/>
        <v/>
      </c>
      <c r="TT6" s="40" t="str">
        <f t="shared" si="225"/>
        <v/>
      </c>
      <c r="TU6" s="40" t="str">
        <f t="shared" si="226"/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227"/>
        <v/>
      </c>
      <c r="UQ6" s="11" t="str">
        <f t="shared" si="228"/>
        <v/>
      </c>
      <c r="UR6" s="11" t="str">
        <f t="shared" si="229"/>
        <v/>
      </c>
      <c r="US6" s="11" t="str">
        <f t="shared" si="230"/>
        <v/>
      </c>
      <c r="UT6" s="11" t="str">
        <f t="shared" si="231"/>
        <v/>
      </c>
      <c r="UU6" s="11" t="str">
        <f t="shared" si="232"/>
        <v/>
      </c>
      <c r="UV6" s="11" t="str">
        <f t="shared" si="233"/>
        <v/>
      </c>
      <c r="UW6" s="11" t="str">
        <f t="shared" si="234"/>
        <v/>
      </c>
      <c r="UX6" s="11" t="str">
        <f t="shared" si="235"/>
        <v/>
      </c>
      <c r="UY6" s="11" t="str">
        <f t="shared" si="236"/>
        <v/>
      </c>
      <c r="UZ6" s="11" t="str">
        <f t="shared" si="237"/>
        <v/>
      </c>
      <c r="VA6" s="11" t="str">
        <f t="shared" si="238"/>
        <v/>
      </c>
      <c r="VB6" s="11" t="str">
        <f t="shared" si="239"/>
        <v/>
      </c>
      <c r="VC6" s="11" t="str">
        <f t="shared" si="240"/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241"/>
        <v/>
      </c>
      <c r="VY6" s="40" t="str">
        <f t="shared" si="242"/>
        <v/>
      </c>
      <c r="VZ6" s="40" t="str">
        <f t="shared" si="243"/>
        <v/>
      </c>
      <c r="WA6" s="40" t="str">
        <f t="shared" si="244"/>
        <v/>
      </c>
      <c r="WB6" s="40" t="str">
        <f t="shared" si="245"/>
        <v/>
      </c>
      <c r="WC6" s="40" t="str">
        <f t="shared" si="246"/>
        <v/>
      </c>
      <c r="WD6" s="40" t="str">
        <f t="shared" si="247"/>
        <v/>
      </c>
      <c r="WE6" s="40" t="str">
        <f t="shared" si="248"/>
        <v/>
      </c>
      <c r="WF6" s="40" t="str">
        <f t="shared" si="249"/>
        <v/>
      </c>
      <c r="WG6" s="40" t="str">
        <f t="shared" si="250"/>
        <v/>
      </c>
      <c r="WH6" s="40" t="str">
        <f t="shared" si="251"/>
        <v/>
      </c>
      <c r="WI6" s="40" t="str">
        <f t="shared" si="252"/>
        <v/>
      </c>
      <c r="WJ6" s="40" t="str">
        <f t="shared" si="253"/>
        <v/>
      </c>
      <c r="WK6" s="40" t="str">
        <f t="shared" si="254"/>
        <v/>
      </c>
      <c r="WL6" s="26">
        <f t="shared" si="255"/>
        <v>0</v>
      </c>
      <c r="WM6" s="26">
        <f t="shared" si="256"/>
        <v>0</v>
      </c>
      <c r="WN6" s="26">
        <f t="shared" si="257"/>
        <v>0</v>
      </c>
      <c r="WO6" s="26">
        <f t="shared" si="258"/>
        <v>0</v>
      </c>
      <c r="WP6" s="26">
        <f t="shared" si="259"/>
        <v>0</v>
      </c>
      <c r="WQ6" s="26">
        <f t="shared" si="260"/>
        <v>0</v>
      </c>
      <c r="WR6" s="26">
        <f t="shared" si="261"/>
        <v>0</v>
      </c>
      <c r="WS6" s="26">
        <f t="shared" si="262"/>
        <v>0</v>
      </c>
      <c r="WT6" s="26">
        <f t="shared" si="263"/>
        <v>0</v>
      </c>
      <c r="WU6" s="26">
        <f t="shared" si="264"/>
        <v>0</v>
      </c>
      <c r="WV6" s="26">
        <f t="shared" si="265"/>
        <v>0</v>
      </c>
      <c r="WW6" s="26">
        <f t="shared" si="266"/>
        <v>0</v>
      </c>
      <c r="WX6" s="26">
        <f t="shared" si="267"/>
        <v>0</v>
      </c>
      <c r="WY6" s="26">
        <f t="shared" si="268"/>
        <v>0</v>
      </c>
      <c r="WZ6" s="26">
        <f t="shared" si="269"/>
        <v>0</v>
      </c>
      <c r="XA6" s="28" t="s">
        <v>53</v>
      </c>
      <c r="XB6" s="11" t="str">
        <f t="shared" si="270"/>
        <v/>
      </c>
      <c r="XC6" s="11" t="str">
        <f t="shared" si="271"/>
        <v/>
      </c>
      <c r="XD6" s="11" t="str">
        <f t="shared" si="272"/>
        <v/>
      </c>
      <c r="XE6" s="11" t="str">
        <f t="shared" si="273"/>
        <v/>
      </c>
      <c r="XF6" s="11" t="str">
        <f t="shared" si="274"/>
        <v/>
      </c>
      <c r="XG6" s="11" t="str">
        <f t="shared" si="275"/>
        <v/>
      </c>
      <c r="XH6" s="11" t="str">
        <f t="shared" si="276"/>
        <v/>
      </c>
      <c r="XI6" s="11" t="str">
        <f t="shared" si="277"/>
        <v/>
      </c>
      <c r="XJ6" s="11" t="str">
        <f t="shared" si="278"/>
        <v/>
      </c>
      <c r="XK6" s="11" t="str">
        <f t="shared" si="279"/>
        <v/>
      </c>
      <c r="XL6" s="11" t="str">
        <f t="shared" si="280"/>
        <v/>
      </c>
    </row>
    <row r="7" spans="1:636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165</v>
      </c>
      <c r="C7" s="4" t="s">
        <v>123</v>
      </c>
      <c r="D7" s="4" t="s">
        <v>164</v>
      </c>
      <c r="E7" s="9">
        <f t="shared" si="0"/>
        <v>47.56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47.56</v>
      </c>
      <c r="O7" s="11" t="str">
        <f t="shared" si="8"/>
        <v>(Prelim)</v>
      </c>
      <c r="P7" s="8" t="str">
        <f t="shared" si="9"/>
        <v>2024 World Cup GER (Mar 24)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10"/>
        <v/>
      </c>
      <c r="AH7" s="38" t="str">
        <f t="shared" si="11"/>
        <v/>
      </c>
      <c r="AI7" s="40" t="str">
        <f t="shared" si="12"/>
        <v/>
      </c>
      <c r="AJ7" s="40" t="str">
        <f t="shared" si="13"/>
        <v/>
      </c>
      <c r="AK7" s="40" t="str">
        <f t="shared" si="14"/>
        <v/>
      </c>
      <c r="AL7" s="40" t="str">
        <f t="shared" si="15"/>
        <v/>
      </c>
      <c r="AM7" s="40" t="str">
        <f t="shared" si="16"/>
        <v/>
      </c>
      <c r="AN7" s="40" t="str">
        <f t="shared" si="17"/>
        <v/>
      </c>
      <c r="AO7" s="40" t="str">
        <f t="shared" si="18"/>
        <v/>
      </c>
      <c r="AP7" s="40" t="str">
        <f t="shared" si="19"/>
        <v/>
      </c>
      <c r="AQ7" s="40" t="str">
        <f t="shared" si="20"/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21"/>
        <v/>
      </c>
      <c r="BI7" s="39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32"/>
        <v/>
      </c>
      <c r="CJ7" s="38" t="str">
        <f t="shared" si="33"/>
        <v/>
      </c>
      <c r="CK7" s="40" t="str">
        <f t="shared" si="34"/>
        <v/>
      </c>
      <c r="CL7" s="40" t="str">
        <f t="shared" si="35"/>
        <v/>
      </c>
      <c r="CM7" s="40" t="str">
        <f t="shared" si="36"/>
        <v/>
      </c>
      <c r="CN7" s="40" t="str">
        <f t="shared" si="37"/>
        <v/>
      </c>
      <c r="CO7" s="40" t="str">
        <f t="shared" si="38"/>
        <v/>
      </c>
      <c r="CP7" s="40" t="str">
        <f t="shared" si="39"/>
        <v/>
      </c>
      <c r="CQ7" s="40" t="str">
        <f t="shared" si="40"/>
        <v/>
      </c>
      <c r="CR7" s="40" t="str">
        <f t="shared" si="41"/>
        <v/>
      </c>
      <c r="CS7" s="40" t="str">
        <f t="shared" si="42"/>
        <v/>
      </c>
      <c r="CT7" s="51">
        <f t="shared" si="43"/>
        <v>47.56</v>
      </c>
      <c r="CU7" s="51">
        <f t="shared" si="44"/>
        <v>45.78</v>
      </c>
      <c r="CV7" s="17">
        <v>7.2</v>
      </c>
      <c r="CW7" s="17">
        <v>9.15</v>
      </c>
      <c r="CX7" s="17">
        <v>12.1</v>
      </c>
      <c r="CY7" s="17">
        <v>17.940000000000001</v>
      </c>
      <c r="CZ7" s="17">
        <v>0</v>
      </c>
      <c r="DA7" s="17">
        <v>7.6</v>
      </c>
      <c r="DB7" s="17">
        <v>9.4</v>
      </c>
      <c r="DC7" s="17">
        <v>12.1</v>
      </c>
      <c r="DD7" s="17">
        <v>18.46</v>
      </c>
      <c r="DE7" s="17">
        <v>0</v>
      </c>
      <c r="DF7" s="17"/>
      <c r="DG7" s="17"/>
      <c r="DH7" s="17"/>
      <c r="DI7" s="17"/>
      <c r="DJ7" s="17"/>
      <c r="DK7" s="17">
        <v>7.15</v>
      </c>
      <c r="DL7" s="17">
        <v>9.0500000000000007</v>
      </c>
      <c r="DM7" s="17">
        <v>12.1</v>
      </c>
      <c r="DN7" s="17">
        <v>17.48</v>
      </c>
      <c r="DO7" s="17">
        <v>0</v>
      </c>
      <c r="DP7" s="40">
        <f t="shared" si="45"/>
        <v>12.1</v>
      </c>
      <c r="DQ7" s="40">
        <f t="shared" si="46"/>
        <v>17.940000000000001</v>
      </c>
      <c r="DR7" s="40">
        <f t="shared" si="47"/>
        <v>46.39</v>
      </c>
      <c r="DS7" s="40">
        <f t="shared" si="48"/>
        <v>12.1</v>
      </c>
      <c r="DT7" s="40">
        <f t="shared" si="49"/>
        <v>18.46</v>
      </c>
      <c r="DU7" s="40">
        <f t="shared" si="50"/>
        <v>47.56</v>
      </c>
      <c r="DV7" s="40">
        <f t="shared" si="51"/>
        <v>47.56</v>
      </c>
      <c r="DW7" s="40" t="str">
        <f t="shared" si="52"/>
        <v/>
      </c>
      <c r="DX7" s="40" t="str">
        <f t="shared" si="53"/>
        <v/>
      </c>
      <c r="DY7" s="40" t="str">
        <f t="shared" si="54"/>
        <v/>
      </c>
      <c r="DZ7" s="40">
        <f t="shared" si="55"/>
        <v>12.1</v>
      </c>
      <c r="EA7" s="40">
        <f t="shared" si="56"/>
        <v>17.48</v>
      </c>
      <c r="EB7" s="40">
        <f t="shared" si="57"/>
        <v>45.78</v>
      </c>
      <c r="EC7" s="40">
        <f t="shared" si="58"/>
        <v>93.34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73"/>
        <v/>
      </c>
      <c r="GG7" s="40" t="str">
        <f t="shared" si="74"/>
        <v/>
      </c>
      <c r="GH7" s="40" t="str">
        <f t="shared" si="75"/>
        <v/>
      </c>
      <c r="GI7" s="40" t="str">
        <f t="shared" si="76"/>
        <v/>
      </c>
      <c r="GJ7" s="40" t="str">
        <f t="shared" si="77"/>
        <v/>
      </c>
      <c r="GK7" s="40" t="str">
        <f t="shared" si="78"/>
        <v/>
      </c>
      <c r="GL7" s="40" t="str">
        <f t="shared" si="79"/>
        <v/>
      </c>
      <c r="GM7" s="40" t="str">
        <f t="shared" si="80"/>
        <v/>
      </c>
      <c r="GN7" s="40" t="str">
        <f t="shared" si="81"/>
        <v/>
      </c>
      <c r="GO7" s="40" t="str">
        <f t="shared" si="82"/>
        <v/>
      </c>
      <c r="GP7" s="40" t="str">
        <f t="shared" si="83"/>
        <v/>
      </c>
      <c r="GQ7" s="40" t="str">
        <f t="shared" si="84"/>
        <v/>
      </c>
      <c r="GR7" s="40" t="str">
        <f t="shared" si="85"/>
        <v/>
      </c>
      <c r="GS7" s="40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101"/>
        <v/>
      </c>
      <c r="IW7" s="40" t="str">
        <f t="shared" si="102"/>
        <v/>
      </c>
      <c r="IX7" s="40" t="str">
        <f t="shared" si="103"/>
        <v/>
      </c>
      <c r="IY7" s="40" t="str">
        <f t="shared" si="104"/>
        <v/>
      </c>
      <c r="IZ7" s="40" t="str">
        <f t="shared" si="105"/>
        <v/>
      </c>
      <c r="JA7" s="40" t="str">
        <f t="shared" si="106"/>
        <v/>
      </c>
      <c r="JB7" s="40" t="str">
        <f t="shared" si="107"/>
        <v/>
      </c>
      <c r="JC7" s="40" t="str">
        <f t="shared" si="108"/>
        <v/>
      </c>
      <c r="JD7" s="40" t="str">
        <f t="shared" si="109"/>
        <v/>
      </c>
      <c r="JE7" s="40" t="str">
        <f t="shared" si="110"/>
        <v/>
      </c>
      <c r="JF7" s="40" t="str">
        <f t="shared" si="111"/>
        <v/>
      </c>
      <c r="JG7" s="40" t="str">
        <f t="shared" si="112"/>
        <v/>
      </c>
      <c r="JH7" s="40" t="str">
        <f t="shared" si="113"/>
        <v/>
      </c>
      <c r="JI7" s="40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129"/>
        <v/>
      </c>
      <c r="LM7" s="40" t="str">
        <f t="shared" si="130"/>
        <v/>
      </c>
      <c r="LN7" s="40" t="str">
        <f t="shared" si="131"/>
        <v/>
      </c>
      <c r="LO7" s="40" t="str">
        <f t="shared" si="132"/>
        <v/>
      </c>
      <c r="LP7" s="40" t="str">
        <f t="shared" si="133"/>
        <v/>
      </c>
      <c r="LQ7" s="40" t="str">
        <f t="shared" si="134"/>
        <v/>
      </c>
      <c r="LR7" s="40" t="str">
        <f t="shared" si="135"/>
        <v/>
      </c>
      <c r="LS7" s="40" t="str">
        <f t="shared" si="136"/>
        <v/>
      </c>
      <c r="LT7" s="40" t="str">
        <f t="shared" si="137"/>
        <v/>
      </c>
      <c r="LU7" s="40" t="str">
        <f t="shared" si="138"/>
        <v/>
      </c>
      <c r="LV7" s="40" t="str">
        <f t="shared" si="139"/>
        <v/>
      </c>
      <c r="LW7" s="40" t="str">
        <f t="shared" si="140"/>
        <v/>
      </c>
      <c r="LX7" s="40" t="str">
        <f t="shared" si="141"/>
        <v/>
      </c>
      <c r="LY7" s="40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157"/>
        <v/>
      </c>
      <c r="OC7" s="40" t="str">
        <f t="shared" si="158"/>
        <v/>
      </c>
      <c r="OD7" s="40" t="str">
        <f t="shared" si="159"/>
        <v/>
      </c>
      <c r="OE7" s="40" t="str">
        <f t="shared" si="160"/>
        <v/>
      </c>
      <c r="OF7" s="40" t="str">
        <f t="shared" si="161"/>
        <v/>
      </c>
      <c r="OG7" s="40" t="str">
        <f t="shared" si="162"/>
        <v/>
      </c>
      <c r="OH7" s="40" t="str">
        <f t="shared" si="163"/>
        <v/>
      </c>
      <c r="OI7" s="40" t="str">
        <f t="shared" si="164"/>
        <v/>
      </c>
      <c r="OJ7" s="40" t="str">
        <f t="shared" si="165"/>
        <v/>
      </c>
      <c r="OK7" s="40" t="str">
        <f t="shared" si="166"/>
        <v/>
      </c>
      <c r="OL7" s="40" t="str">
        <f t="shared" si="167"/>
        <v/>
      </c>
      <c r="OM7" s="40" t="str">
        <f t="shared" si="168"/>
        <v/>
      </c>
      <c r="ON7" s="40" t="str">
        <f t="shared" si="169"/>
        <v/>
      </c>
      <c r="OO7" s="40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185"/>
        <v/>
      </c>
      <c r="QS7" s="40" t="str">
        <f t="shared" si="186"/>
        <v/>
      </c>
      <c r="QT7" s="40" t="str">
        <f t="shared" si="187"/>
        <v/>
      </c>
      <c r="QU7" s="40" t="str">
        <f t="shared" si="188"/>
        <v/>
      </c>
      <c r="QV7" s="40" t="str">
        <f t="shared" si="189"/>
        <v/>
      </c>
      <c r="QW7" s="40" t="str">
        <f t="shared" si="190"/>
        <v/>
      </c>
      <c r="QX7" s="40" t="str">
        <f t="shared" si="191"/>
        <v/>
      </c>
      <c r="QY7" s="40" t="str">
        <f t="shared" si="192"/>
        <v/>
      </c>
      <c r="QZ7" s="40" t="str">
        <f t="shared" si="193"/>
        <v/>
      </c>
      <c r="RA7" s="40" t="str">
        <f t="shared" si="194"/>
        <v/>
      </c>
      <c r="RB7" s="40" t="str">
        <f t="shared" si="195"/>
        <v/>
      </c>
      <c r="RC7" s="40" t="str">
        <f t="shared" si="196"/>
        <v/>
      </c>
      <c r="RD7" s="40" t="str">
        <f t="shared" si="197"/>
        <v/>
      </c>
      <c r="RE7" s="40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213"/>
        <v/>
      </c>
      <c r="TI7" s="40" t="str">
        <f t="shared" si="214"/>
        <v/>
      </c>
      <c r="TJ7" s="40" t="str">
        <f t="shared" si="215"/>
        <v/>
      </c>
      <c r="TK7" s="40" t="str">
        <f t="shared" si="216"/>
        <v/>
      </c>
      <c r="TL7" s="40" t="str">
        <f t="shared" si="217"/>
        <v/>
      </c>
      <c r="TM7" s="40" t="str">
        <f t="shared" si="218"/>
        <v/>
      </c>
      <c r="TN7" s="40" t="str">
        <f t="shared" si="219"/>
        <v/>
      </c>
      <c r="TO7" s="40" t="str">
        <f t="shared" si="220"/>
        <v/>
      </c>
      <c r="TP7" s="40" t="str">
        <f t="shared" si="221"/>
        <v/>
      </c>
      <c r="TQ7" s="40" t="str">
        <f t="shared" si="222"/>
        <v/>
      </c>
      <c r="TR7" s="40" t="str">
        <f t="shared" si="223"/>
        <v/>
      </c>
      <c r="TS7" s="40" t="str">
        <f t="shared" si="224"/>
        <v/>
      </c>
      <c r="TT7" s="40" t="str">
        <f t="shared" si="225"/>
        <v/>
      </c>
      <c r="TU7" s="40" t="str">
        <f t="shared" si="226"/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227"/>
        <v/>
      </c>
      <c r="UQ7" s="11" t="str">
        <f t="shared" si="228"/>
        <v/>
      </c>
      <c r="UR7" s="11" t="str">
        <f t="shared" si="229"/>
        <v/>
      </c>
      <c r="US7" s="11" t="str">
        <f t="shared" si="230"/>
        <v/>
      </c>
      <c r="UT7" s="11" t="str">
        <f t="shared" si="231"/>
        <v/>
      </c>
      <c r="UU7" s="11" t="str">
        <f t="shared" si="232"/>
        <v/>
      </c>
      <c r="UV7" s="11" t="str">
        <f t="shared" si="233"/>
        <v/>
      </c>
      <c r="UW7" s="11" t="str">
        <f t="shared" si="234"/>
        <v/>
      </c>
      <c r="UX7" s="11" t="str">
        <f t="shared" si="235"/>
        <v/>
      </c>
      <c r="UY7" s="11" t="str">
        <f t="shared" si="236"/>
        <v/>
      </c>
      <c r="UZ7" s="11" t="str">
        <f t="shared" si="237"/>
        <v/>
      </c>
      <c r="VA7" s="11" t="str">
        <f t="shared" si="238"/>
        <v/>
      </c>
      <c r="VB7" s="11" t="str">
        <f t="shared" si="239"/>
        <v/>
      </c>
      <c r="VC7" s="11" t="str">
        <f t="shared" si="240"/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241"/>
        <v/>
      </c>
      <c r="VY7" s="40" t="str">
        <f t="shared" si="242"/>
        <v/>
      </c>
      <c r="VZ7" s="40" t="str">
        <f t="shared" si="243"/>
        <v/>
      </c>
      <c r="WA7" s="40" t="str">
        <f t="shared" si="244"/>
        <v/>
      </c>
      <c r="WB7" s="40" t="str">
        <f t="shared" si="245"/>
        <v/>
      </c>
      <c r="WC7" s="40" t="str">
        <f t="shared" si="246"/>
        <v/>
      </c>
      <c r="WD7" s="40" t="str">
        <f t="shared" si="247"/>
        <v/>
      </c>
      <c r="WE7" s="40" t="str">
        <f t="shared" si="248"/>
        <v/>
      </c>
      <c r="WF7" s="40" t="str">
        <f t="shared" si="249"/>
        <v/>
      </c>
      <c r="WG7" s="40" t="str">
        <f t="shared" si="250"/>
        <v/>
      </c>
      <c r="WH7" s="40" t="str">
        <f t="shared" si="251"/>
        <v/>
      </c>
      <c r="WI7" s="40" t="str">
        <f t="shared" si="252"/>
        <v/>
      </c>
      <c r="WJ7" s="40" t="str">
        <f t="shared" si="253"/>
        <v/>
      </c>
      <c r="WK7" s="40" t="str">
        <f t="shared" si="254"/>
        <v/>
      </c>
      <c r="WL7" s="26">
        <f t="shared" si="255"/>
        <v>0</v>
      </c>
      <c r="WM7" s="26">
        <f t="shared" si="256"/>
        <v>0</v>
      </c>
      <c r="WN7" s="26">
        <f t="shared" si="257"/>
        <v>0</v>
      </c>
      <c r="WO7" s="26">
        <f t="shared" si="258"/>
        <v>0</v>
      </c>
      <c r="WP7" s="26">
        <f t="shared" si="259"/>
        <v>0</v>
      </c>
      <c r="WQ7" s="26">
        <f t="shared" si="260"/>
        <v>0</v>
      </c>
      <c r="WR7" s="26">
        <f t="shared" si="261"/>
        <v>0</v>
      </c>
      <c r="WS7" s="26">
        <f t="shared" si="262"/>
        <v>0</v>
      </c>
      <c r="WT7" s="26">
        <f t="shared" si="263"/>
        <v>0</v>
      </c>
      <c r="WU7" s="26">
        <f t="shared" si="264"/>
        <v>0</v>
      </c>
      <c r="WV7" s="26">
        <f t="shared" si="265"/>
        <v>0</v>
      </c>
      <c r="WW7" s="26">
        <f t="shared" si="266"/>
        <v>0</v>
      </c>
      <c r="WX7" s="26">
        <f t="shared" si="267"/>
        <v>0</v>
      </c>
      <c r="WY7" s="26">
        <f t="shared" si="268"/>
        <v>0</v>
      </c>
      <c r="WZ7" s="26">
        <f t="shared" si="269"/>
        <v>0</v>
      </c>
      <c r="XA7" s="28" t="s">
        <v>53</v>
      </c>
      <c r="XB7" s="11" t="str">
        <f t="shared" si="270"/>
        <v/>
      </c>
      <c r="XC7" s="11" t="str">
        <f t="shared" si="271"/>
        <v/>
      </c>
      <c r="XD7" s="11" t="str">
        <f t="shared" si="272"/>
        <v/>
      </c>
      <c r="XE7" s="11" t="str">
        <f t="shared" si="273"/>
        <v/>
      </c>
      <c r="XF7" s="11" t="str">
        <f t="shared" si="274"/>
        <v/>
      </c>
      <c r="XG7" s="11" t="str">
        <f t="shared" si="275"/>
        <v/>
      </c>
      <c r="XH7" s="11" t="str">
        <f t="shared" si="276"/>
        <v/>
      </c>
      <c r="XI7" s="11" t="str">
        <f t="shared" si="277"/>
        <v/>
      </c>
      <c r="XJ7" s="11" t="str">
        <f t="shared" si="278"/>
        <v/>
      </c>
      <c r="XK7" s="11" t="str">
        <f t="shared" si="279"/>
        <v/>
      </c>
      <c r="XL7" s="11" t="str">
        <f t="shared" si="280"/>
        <v/>
      </c>
    </row>
    <row r="8" spans="1:636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237</v>
      </c>
      <c r="C8" s="4" t="s">
        <v>195</v>
      </c>
      <c r="D8" s="4" t="s">
        <v>236</v>
      </c>
      <c r="E8" s="9">
        <f t="shared" si="0"/>
        <v>46.32</v>
      </c>
      <c r="F8" s="3" t="str">
        <f t="shared" si="1"/>
        <v>P</v>
      </c>
      <c r="G8" s="3" t="str">
        <f t="shared" si="2"/>
        <v>P</v>
      </c>
      <c r="H8" s="36" t="str">
        <f t="shared" si="3"/>
        <v>Worlds Team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46.32</v>
      </c>
      <c r="O8" s="11" t="str">
        <f t="shared" si="8"/>
        <v>(Prelim)</v>
      </c>
      <c r="P8" s="8" t="str">
        <f t="shared" si="9"/>
        <v>2024 World Cup POR (July 7)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10"/>
        <v/>
      </c>
      <c r="AH8" s="38" t="str">
        <f t="shared" si="11"/>
        <v/>
      </c>
      <c r="AI8" s="40" t="str">
        <f t="shared" si="12"/>
        <v/>
      </c>
      <c r="AJ8" s="40" t="str">
        <f t="shared" si="13"/>
        <v/>
      </c>
      <c r="AK8" s="40" t="str">
        <f t="shared" si="14"/>
        <v/>
      </c>
      <c r="AL8" s="40" t="str">
        <f t="shared" si="15"/>
        <v/>
      </c>
      <c r="AM8" s="40" t="str">
        <f t="shared" si="16"/>
        <v/>
      </c>
      <c r="AN8" s="40" t="str">
        <f t="shared" si="17"/>
        <v/>
      </c>
      <c r="AO8" s="40" t="str">
        <f t="shared" si="18"/>
        <v/>
      </c>
      <c r="AP8" s="40" t="str">
        <f t="shared" si="19"/>
        <v/>
      </c>
      <c r="AQ8" s="40" t="str">
        <f t="shared" si="20"/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21"/>
        <v/>
      </c>
      <c r="BI8" s="39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32"/>
        <v/>
      </c>
      <c r="CJ8" s="38" t="str">
        <f t="shared" si="33"/>
        <v/>
      </c>
      <c r="CK8" s="40" t="str">
        <f t="shared" si="34"/>
        <v/>
      </c>
      <c r="CL8" s="40" t="str">
        <f t="shared" si="35"/>
        <v/>
      </c>
      <c r="CM8" s="40" t="str">
        <f t="shared" si="36"/>
        <v/>
      </c>
      <c r="CN8" s="40" t="str">
        <f t="shared" si="37"/>
        <v/>
      </c>
      <c r="CO8" s="40" t="str">
        <f t="shared" si="38"/>
        <v/>
      </c>
      <c r="CP8" s="40" t="str">
        <f t="shared" si="39"/>
        <v/>
      </c>
      <c r="CQ8" s="40" t="str">
        <f t="shared" si="40"/>
        <v/>
      </c>
      <c r="CR8" s="40" t="str">
        <f t="shared" si="41"/>
        <v/>
      </c>
      <c r="CS8" s="40" t="str">
        <f t="shared" si="42"/>
        <v/>
      </c>
      <c r="CT8" s="51">
        <f t="shared" si="43"/>
        <v>46.32</v>
      </c>
      <c r="CU8" s="51">
        <f t="shared" si="44"/>
        <v>45.06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45"/>
        <v/>
      </c>
      <c r="DQ8" s="40" t="str">
        <f t="shared" si="46"/>
        <v/>
      </c>
      <c r="DR8" s="40" t="str">
        <f t="shared" si="47"/>
        <v/>
      </c>
      <c r="DS8" s="40" t="str">
        <f t="shared" si="48"/>
        <v/>
      </c>
      <c r="DT8" s="40" t="str">
        <f t="shared" si="49"/>
        <v/>
      </c>
      <c r="DU8" s="40" t="str">
        <f t="shared" si="50"/>
        <v/>
      </c>
      <c r="DV8" s="40" t="str">
        <f t="shared" si="51"/>
        <v/>
      </c>
      <c r="DW8" s="40" t="str">
        <f t="shared" si="52"/>
        <v/>
      </c>
      <c r="DX8" s="40" t="str">
        <f t="shared" si="53"/>
        <v/>
      </c>
      <c r="DY8" s="40" t="str">
        <f t="shared" si="54"/>
        <v/>
      </c>
      <c r="DZ8" s="40" t="str">
        <f t="shared" si="55"/>
        <v/>
      </c>
      <c r="EA8" s="40" t="str">
        <f t="shared" si="56"/>
        <v/>
      </c>
      <c r="EB8" s="40" t="str">
        <f t="shared" si="57"/>
        <v/>
      </c>
      <c r="EC8" s="40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73"/>
        <v/>
      </c>
      <c r="GG8" s="40" t="str">
        <f t="shared" si="74"/>
        <v/>
      </c>
      <c r="GH8" s="40" t="str">
        <f t="shared" si="75"/>
        <v/>
      </c>
      <c r="GI8" s="40" t="str">
        <f t="shared" si="76"/>
        <v/>
      </c>
      <c r="GJ8" s="40" t="str">
        <f t="shared" si="77"/>
        <v/>
      </c>
      <c r="GK8" s="40" t="str">
        <f t="shared" si="78"/>
        <v/>
      </c>
      <c r="GL8" s="40" t="str">
        <f t="shared" si="79"/>
        <v/>
      </c>
      <c r="GM8" s="40" t="str">
        <f t="shared" si="80"/>
        <v/>
      </c>
      <c r="GN8" s="40" t="str">
        <f t="shared" si="81"/>
        <v/>
      </c>
      <c r="GO8" s="40" t="str">
        <f t="shared" si="82"/>
        <v/>
      </c>
      <c r="GP8" s="40" t="str">
        <f t="shared" si="83"/>
        <v/>
      </c>
      <c r="GQ8" s="40" t="str">
        <f t="shared" si="84"/>
        <v/>
      </c>
      <c r="GR8" s="40" t="str">
        <f t="shared" si="85"/>
        <v/>
      </c>
      <c r="GS8" s="40" t="str">
        <f t="shared" si="86"/>
        <v/>
      </c>
      <c r="GT8" s="18">
        <v>7.5</v>
      </c>
      <c r="GU8" s="18">
        <v>9.1999999999999993</v>
      </c>
      <c r="GV8" s="18">
        <v>11.4</v>
      </c>
      <c r="GW8" s="18">
        <v>18.22</v>
      </c>
      <c r="GX8" s="18">
        <v>0</v>
      </c>
      <c r="GY8" s="18">
        <v>7.6</v>
      </c>
      <c r="GZ8" s="18">
        <v>9.25</v>
      </c>
      <c r="HA8" s="18">
        <v>11.4</v>
      </c>
      <c r="HB8" s="18">
        <v>17.16</v>
      </c>
      <c r="HC8" s="18">
        <v>0</v>
      </c>
      <c r="HD8" s="18"/>
      <c r="HE8" s="18"/>
      <c r="HF8" s="18"/>
      <c r="HG8" s="18"/>
      <c r="HH8" s="18"/>
      <c r="HI8" s="18">
        <v>7.1</v>
      </c>
      <c r="HJ8" s="18">
        <v>9.3000000000000007</v>
      </c>
      <c r="HK8" s="18">
        <v>11.4</v>
      </c>
      <c r="HL8" s="18">
        <v>17.260000000000002</v>
      </c>
      <c r="HM8" s="18">
        <v>0</v>
      </c>
      <c r="HN8" s="11">
        <f t="shared" si="87"/>
        <v>11.4</v>
      </c>
      <c r="HO8" s="11">
        <f t="shared" si="88"/>
        <v>18.22</v>
      </c>
      <c r="HP8" s="11">
        <f t="shared" si="89"/>
        <v>46.32</v>
      </c>
      <c r="HQ8" s="11">
        <f t="shared" si="90"/>
        <v>11.4</v>
      </c>
      <c r="HR8" s="11">
        <f t="shared" si="91"/>
        <v>17.16</v>
      </c>
      <c r="HS8" s="11">
        <f t="shared" si="92"/>
        <v>45.41</v>
      </c>
      <c r="HT8" s="11">
        <f t="shared" si="93"/>
        <v>46.32</v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>
        <f t="shared" si="97"/>
        <v>11.4</v>
      </c>
      <c r="HY8" s="11">
        <f t="shared" si="98"/>
        <v>17.260000000000002</v>
      </c>
      <c r="HZ8" s="11">
        <f t="shared" si="99"/>
        <v>45.06</v>
      </c>
      <c r="IA8" s="11">
        <f t="shared" si="100"/>
        <v>91.38</v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101"/>
        <v/>
      </c>
      <c r="IW8" s="40" t="str">
        <f t="shared" si="102"/>
        <v/>
      </c>
      <c r="IX8" s="40" t="str">
        <f t="shared" si="103"/>
        <v/>
      </c>
      <c r="IY8" s="40" t="str">
        <f t="shared" si="104"/>
        <v/>
      </c>
      <c r="IZ8" s="40" t="str">
        <f t="shared" si="105"/>
        <v/>
      </c>
      <c r="JA8" s="40" t="str">
        <f t="shared" si="106"/>
        <v/>
      </c>
      <c r="JB8" s="40" t="str">
        <f t="shared" si="107"/>
        <v/>
      </c>
      <c r="JC8" s="40" t="str">
        <f t="shared" si="108"/>
        <v/>
      </c>
      <c r="JD8" s="40" t="str">
        <f t="shared" si="109"/>
        <v/>
      </c>
      <c r="JE8" s="40" t="str">
        <f t="shared" si="110"/>
        <v/>
      </c>
      <c r="JF8" s="40" t="str">
        <f t="shared" si="111"/>
        <v/>
      </c>
      <c r="JG8" s="40" t="str">
        <f t="shared" si="112"/>
        <v/>
      </c>
      <c r="JH8" s="40" t="str">
        <f t="shared" si="113"/>
        <v/>
      </c>
      <c r="JI8" s="40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129"/>
        <v/>
      </c>
      <c r="LM8" s="40" t="str">
        <f t="shared" si="130"/>
        <v/>
      </c>
      <c r="LN8" s="40" t="str">
        <f t="shared" si="131"/>
        <v/>
      </c>
      <c r="LO8" s="40" t="str">
        <f t="shared" si="132"/>
        <v/>
      </c>
      <c r="LP8" s="40" t="str">
        <f t="shared" si="133"/>
        <v/>
      </c>
      <c r="LQ8" s="40" t="str">
        <f t="shared" si="134"/>
        <v/>
      </c>
      <c r="LR8" s="40" t="str">
        <f t="shared" si="135"/>
        <v/>
      </c>
      <c r="LS8" s="40" t="str">
        <f t="shared" si="136"/>
        <v/>
      </c>
      <c r="LT8" s="40" t="str">
        <f t="shared" si="137"/>
        <v/>
      </c>
      <c r="LU8" s="40" t="str">
        <f t="shared" si="138"/>
        <v/>
      </c>
      <c r="LV8" s="40" t="str">
        <f t="shared" si="139"/>
        <v/>
      </c>
      <c r="LW8" s="40" t="str">
        <f t="shared" si="140"/>
        <v/>
      </c>
      <c r="LX8" s="40" t="str">
        <f t="shared" si="141"/>
        <v/>
      </c>
      <c r="LY8" s="40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157"/>
        <v/>
      </c>
      <c r="OC8" s="40" t="str">
        <f t="shared" si="158"/>
        <v/>
      </c>
      <c r="OD8" s="40" t="str">
        <f t="shared" si="159"/>
        <v/>
      </c>
      <c r="OE8" s="40" t="str">
        <f t="shared" si="160"/>
        <v/>
      </c>
      <c r="OF8" s="40" t="str">
        <f t="shared" si="161"/>
        <v/>
      </c>
      <c r="OG8" s="40" t="str">
        <f t="shared" si="162"/>
        <v/>
      </c>
      <c r="OH8" s="40" t="str">
        <f t="shared" si="163"/>
        <v/>
      </c>
      <c r="OI8" s="40" t="str">
        <f t="shared" si="164"/>
        <v/>
      </c>
      <c r="OJ8" s="40" t="str">
        <f t="shared" si="165"/>
        <v/>
      </c>
      <c r="OK8" s="40" t="str">
        <f t="shared" si="166"/>
        <v/>
      </c>
      <c r="OL8" s="40" t="str">
        <f t="shared" si="167"/>
        <v/>
      </c>
      <c r="OM8" s="40" t="str">
        <f t="shared" si="168"/>
        <v/>
      </c>
      <c r="ON8" s="40" t="str">
        <f t="shared" si="169"/>
        <v/>
      </c>
      <c r="OO8" s="40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185"/>
        <v/>
      </c>
      <c r="QS8" s="40" t="str">
        <f t="shared" si="186"/>
        <v/>
      </c>
      <c r="QT8" s="40" t="str">
        <f t="shared" si="187"/>
        <v/>
      </c>
      <c r="QU8" s="40" t="str">
        <f t="shared" si="188"/>
        <v/>
      </c>
      <c r="QV8" s="40" t="str">
        <f t="shared" si="189"/>
        <v/>
      </c>
      <c r="QW8" s="40" t="str">
        <f t="shared" si="190"/>
        <v/>
      </c>
      <c r="QX8" s="40" t="str">
        <f t="shared" si="191"/>
        <v/>
      </c>
      <c r="QY8" s="40" t="str">
        <f t="shared" si="192"/>
        <v/>
      </c>
      <c r="QZ8" s="40" t="str">
        <f t="shared" si="193"/>
        <v/>
      </c>
      <c r="RA8" s="40" t="str">
        <f t="shared" si="194"/>
        <v/>
      </c>
      <c r="RB8" s="40" t="str">
        <f t="shared" si="195"/>
        <v/>
      </c>
      <c r="RC8" s="40" t="str">
        <f t="shared" si="196"/>
        <v/>
      </c>
      <c r="RD8" s="40" t="str">
        <f t="shared" si="197"/>
        <v/>
      </c>
      <c r="RE8" s="40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213"/>
        <v/>
      </c>
      <c r="TI8" s="40" t="str">
        <f t="shared" si="214"/>
        <v/>
      </c>
      <c r="TJ8" s="40" t="str">
        <f t="shared" si="215"/>
        <v/>
      </c>
      <c r="TK8" s="40" t="str">
        <f t="shared" si="216"/>
        <v/>
      </c>
      <c r="TL8" s="40" t="str">
        <f t="shared" si="217"/>
        <v/>
      </c>
      <c r="TM8" s="40" t="str">
        <f t="shared" si="218"/>
        <v/>
      </c>
      <c r="TN8" s="40" t="str">
        <f t="shared" si="219"/>
        <v/>
      </c>
      <c r="TO8" s="40" t="str">
        <f t="shared" si="220"/>
        <v/>
      </c>
      <c r="TP8" s="40" t="str">
        <f t="shared" si="221"/>
        <v/>
      </c>
      <c r="TQ8" s="40" t="str">
        <f t="shared" si="222"/>
        <v/>
      </c>
      <c r="TR8" s="40" t="str">
        <f t="shared" si="223"/>
        <v/>
      </c>
      <c r="TS8" s="40" t="str">
        <f t="shared" si="224"/>
        <v/>
      </c>
      <c r="TT8" s="40" t="str">
        <f t="shared" si="225"/>
        <v/>
      </c>
      <c r="TU8" s="40" t="str">
        <f t="shared" si="226"/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227"/>
        <v/>
      </c>
      <c r="UQ8" s="11" t="str">
        <f t="shared" si="228"/>
        <v/>
      </c>
      <c r="UR8" s="11" t="str">
        <f t="shared" si="229"/>
        <v/>
      </c>
      <c r="US8" s="11" t="str">
        <f t="shared" si="230"/>
        <v/>
      </c>
      <c r="UT8" s="11" t="str">
        <f t="shared" si="231"/>
        <v/>
      </c>
      <c r="UU8" s="11" t="str">
        <f t="shared" si="232"/>
        <v/>
      </c>
      <c r="UV8" s="11" t="str">
        <f t="shared" si="233"/>
        <v/>
      </c>
      <c r="UW8" s="11" t="str">
        <f t="shared" si="234"/>
        <v/>
      </c>
      <c r="UX8" s="11" t="str">
        <f t="shared" si="235"/>
        <v/>
      </c>
      <c r="UY8" s="11" t="str">
        <f t="shared" si="236"/>
        <v/>
      </c>
      <c r="UZ8" s="11" t="str">
        <f t="shared" si="237"/>
        <v/>
      </c>
      <c r="VA8" s="11" t="str">
        <f t="shared" si="238"/>
        <v/>
      </c>
      <c r="VB8" s="11" t="str">
        <f t="shared" si="239"/>
        <v/>
      </c>
      <c r="VC8" s="11" t="str">
        <f t="shared" si="240"/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241"/>
        <v/>
      </c>
      <c r="VY8" s="40" t="str">
        <f t="shared" si="242"/>
        <v/>
      </c>
      <c r="VZ8" s="40" t="str">
        <f t="shared" si="243"/>
        <v/>
      </c>
      <c r="WA8" s="40" t="str">
        <f t="shared" si="244"/>
        <v/>
      </c>
      <c r="WB8" s="40" t="str">
        <f t="shared" si="245"/>
        <v/>
      </c>
      <c r="WC8" s="40" t="str">
        <f t="shared" si="246"/>
        <v/>
      </c>
      <c r="WD8" s="40" t="str">
        <f t="shared" si="247"/>
        <v/>
      </c>
      <c r="WE8" s="40" t="str">
        <f t="shared" si="248"/>
        <v/>
      </c>
      <c r="WF8" s="40" t="str">
        <f t="shared" si="249"/>
        <v/>
      </c>
      <c r="WG8" s="40" t="str">
        <f t="shared" si="250"/>
        <v/>
      </c>
      <c r="WH8" s="40" t="str">
        <f t="shared" si="251"/>
        <v/>
      </c>
      <c r="WI8" s="40" t="str">
        <f t="shared" si="252"/>
        <v/>
      </c>
      <c r="WJ8" s="40" t="str">
        <f t="shared" si="253"/>
        <v/>
      </c>
      <c r="WK8" s="40" t="str">
        <f t="shared" si="254"/>
        <v/>
      </c>
      <c r="WL8" s="26">
        <f t="shared" si="255"/>
        <v>0</v>
      </c>
      <c r="WM8" s="26">
        <f t="shared" si="256"/>
        <v>0</v>
      </c>
      <c r="WN8" s="26">
        <f t="shared" si="257"/>
        <v>0</v>
      </c>
      <c r="WO8" s="26">
        <f t="shared" si="258"/>
        <v>0</v>
      </c>
      <c r="WP8" s="26">
        <f t="shared" si="259"/>
        <v>0</v>
      </c>
      <c r="WQ8" s="26">
        <f t="shared" si="260"/>
        <v>0</v>
      </c>
      <c r="WR8" s="26">
        <f t="shared" si="261"/>
        <v>0</v>
      </c>
      <c r="WS8" s="26">
        <f t="shared" si="262"/>
        <v>0</v>
      </c>
      <c r="WT8" s="26">
        <f t="shared" si="263"/>
        <v>0</v>
      </c>
      <c r="WU8" s="26">
        <f t="shared" si="264"/>
        <v>0</v>
      </c>
      <c r="WV8" s="26">
        <f t="shared" si="265"/>
        <v>0</v>
      </c>
      <c r="WW8" s="26">
        <f t="shared" si="266"/>
        <v>0</v>
      </c>
      <c r="WX8" s="26">
        <f t="shared" si="267"/>
        <v>0</v>
      </c>
      <c r="WY8" s="26">
        <f t="shared" si="268"/>
        <v>0</v>
      </c>
      <c r="WZ8" s="26">
        <f t="shared" si="269"/>
        <v>0</v>
      </c>
      <c r="XA8" s="28" t="s">
        <v>53</v>
      </c>
      <c r="XB8" s="11" t="str">
        <f t="shared" si="270"/>
        <v/>
      </c>
      <c r="XC8" s="11" t="str">
        <f t="shared" si="271"/>
        <v/>
      </c>
      <c r="XD8" s="11" t="str">
        <f t="shared" si="272"/>
        <v/>
      </c>
      <c r="XE8" s="11" t="str">
        <f t="shared" si="273"/>
        <v/>
      </c>
      <c r="XF8" s="11" t="str">
        <f t="shared" si="274"/>
        <v/>
      </c>
      <c r="XG8" s="11" t="str">
        <f t="shared" si="275"/>
        <v/>
      </c>
      <c r="XH8" s="11" t="str">
        <f t="shared" si="276"/>
        <v/>
      </c>
      <c r="XI8" s="11" t="str">
        <f t="shared" si="277"/>
        <v/>
      </c>
      <c r="XJ8" s="11" t="str">
        <f t="shared" si="278"/>
        <v/>
      </c>
      <c r="XK8" s="11" t="str">
        <f t="shared" si="279"/>
        <v/>
      </c>
      <c r="XL8" s="11" t="str">
        <f t="shared" si="280"/>
        <v/>
      </c>
    </row>
    <row r="9" spans="1:636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231</v>
      </c>
      <c r="C9" s="4" t="s">
        <v>3</v>
      </c>
      <c r="D9" s="4" t="s">
        <v>164</v>
      </c>
      <c r="E9" s="9">
        <f t="shared" si="0"/>
        <v>45.25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45.25</v>
      </c>
      <c r="O9" s="11" t="str">
        <f t="shared" si="8"/>
        <v>(Prelim)</v>
      </c>
      <c r="P9" s="8" t="str">
        <f t="shared" si="9"/>
        <v>2024 World Cup SUI (Jun 29)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 t="shared" si="10"/>
        <v/>
      </c>
      <c r="AH9" s="38" t="str">
        <f t="shared" si="11"/>
        <v/>
      </c>
      <c r="AI9" s="40" t="str">
        <f t="shared" si="12"/>
        <v/>
      </c>
      <c r="AJ9" s="40" t="str">
        <f t="shared" si="13"/>
        <v/>
      </c>
      <c r="AK9" s="40" t="str">
        <f t="shared" si="14"/>
        <v/>
      </c>
      <c r="AL9" s="40" t="str">
        <f t="shared" si="15"/>
        <v/>
      </c>
      <c r="AM9" s="40" t="str">
        <f t="shared" si="16"/>
        <v/>
      </c>
      <c r="AN9" s="40" t="str">
        <f t="shared" si="17"/>
        <v/>
      </c>
      <c r="AO9" s="40" t="str">
        <f t="shared" si="18"/>
        <v/>
      </c>
      <c r="AP9" s="40" t="str">
        <f t="shared" si="19"/>
        <v/>
      </c>
      <c r="AQ9" s="40" t="str">
        <f t="shared" si="20"/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 t="shared" si="21"/>
        <v/>
      </c>
      <c r="BI9" s="39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 t="shared" si="32"/>
        <v/>
      </c>
      <c r="CJ9" s="38" t="str">
        <f t="shared" si="33"/>
        <v/>
      </c>
      <c r="CK9" s="40" t="str">
        <f t="shared" si="34"/>
        <v/>
      </c>
      <c r="CL9" s="40" t="str">
        <f t="shared" si="35"/>
        <v/>
      </c>
      <c r="CM9" s="40" t="str">
        <f t="shared" si="36"/>
        <v/>
      </c>
      <c r="CN9" s="40" t="str">
        <f t="shared" si="37"/>
        <v/>
      </c>
      <c r="CO9" s="40" t="str">
        <f t="shared" si="38"/>
        <v/>
      </c>
      <c r="CP9" s="40" t="str">
        <f t="shared" si="39"/>
        <v/>
      </c>
      <c r="CQ9" s="40" t="str">
        <f t="shared" si="40"/>
        <v/>
      </c>
      <c r="CR9" s="40" t="str">
        <f t="shared" si="41"/>
        <v/>
      </c>
      <c r="CS9" s="40" t="str">
        <f t="shared" si="42"/>
        <v/>
      </c>
      <c r="CT9" s="51">
        <f t="shared" si="43"/>
        <v>45.25</v>
      </c>
      <c r="CU9" s="51">
        <f t="shared" si="44"/>
        <v>7.86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 t="shared" si="45"/>
        <v/>
      </c>
      <c r="DQ9" s="40" t="str">
        <f t="shared" si="46"/>
        <v/>
      </c>
      <c r="DR9" s="40" t="str">
        <f t="shared" si="47"/>
        <v/>
      </c>
      <c r="DS9" s="40" t="str">
        <f t="shared" si="48"/>
        <v/>
      </c>
      <c r="DT9" s="40" t="str">
        <f t="shared" si="49"/>
        <v/>
      </c>
      <c r="DU9" s="40" t="str">
        <f t="shared" si="50"/>
        <v/>
      </c>
      <c r="DV9" s="40" t="str">
        <f t="shared" si="51"/>
        <v/>
      </c>
      <c r="DW9" s="40" t="str">
        <f t="shared" si="52"/>
        <v/>
      </c>
      <c r="DX9" s="40" t="str">
        <f t="shared" si="53"/>
        <v/>
      </c>
      <c r="DY9" s="40" t="str">
        <f t="shared" si="54"/>
        <v/>
      </c>
      <c r="DZ9" s="40" t="str">
        <f t="shared" si="55"/>
        <v/>
      </c>
      <c r="EA9" s="40" t="str">
        <f t="shared" si="56"/>
        <v/>
      </c>
      <c r="EB9" s="40" t="str">
        <f t="shared" si="57"/>
        <v/>
      </c>
      <c r="EC9" s="40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>
        <v>7.2</v>
      </c>
      <c r="FM9" s="17">
        <v>9.25</v>
      </c>
      <c r="FN9" s="17">
        <v>12.2</v>
      </c>
      <c r="FO9" s="17">
        <v>16.600000000000001</v>
      </c>
      <c r="FP9" s="17">
        <v>0</v>
      </c>
      <c r="FQ9" s="17">
        <v>2.25</v>
      </c>
      <c r="FR9" s="17">
        <v>2.75</v>
      </c>
      <c r="FS9" s="17">
        <v>3.5</v>
      </c>
      <c r="FT9" s="17">
        <v>5.0199999999999996</v>
      </c>
      <c r="FU9" s="17">
        <v>0.2</v>
      </c>
      <c r="FV9" s="17"/>
      <c r="FW9" s="17"/>
      <c r="FX9" s="17"/>
      <c r="FY9" s="17"/>
      <c r="FZ9" s="17"/>
      <c r="GA9" s="17">
        <v>1.3</v>
      </c>
      <c r="GB9" s="17">
        <v>1.8</v>
      </c>
      <c r="GC9" s="17">
        <v>2.9</v>
      </c>
      <c r="GD9" s="17">
        <v>1.86</v>
      </c>
      <c r="GE9" s="17">
        <v>0</v>
      </c>
      <c r="GF9" s="40">
        <f t="shared" si="73"/>
        <v>12.2</v>
      </c>
      <c r="GG9" s="40">
        <f t="shared" si="74"/>
        <v>16.600000000000001</v>
      </c>
      <c r="GH9" s="40">
        <f t="shared" si="75"/>
        <v>45.25</v>
      </c>
      <c r="GI9" s="40">
        <f t="shared" si="76"/>
        <v>3.5</v>
      </c>
      <c r="GJ9" s="40">
        <f t="shared" si="77"/>
        <v>5.0199999999999996</v>
      </c>
      <c r="GK9" s="40">
        <f t="shared" si="78"/>
        <v>13.32</v>
      </c>
      <c r="GL9" s="40">
        <f t="shared" si="79"/>
        <v>45.25</v>
      </c>
      <c r="GM9" s="40" t="str">
        <f t="shared" si="80"/>
        <v/>
      </c>
      <c r="GN9" s="40" t="str">
        <f t="shared" si="81"/>
        <v/>
      </c>
      <c r="GO9" s="40" t="str">
        <f t="shared" si="82"/>
        <v/>
      </c>
      <c r="GP9" s="40">
        <f t="shared" si="83"/>
        <v>2.9</v>
      </c>
      <c r="GQ9" s="40">
        <f t="shared" si="84"/>
        <v>1.86</v>
      </c>
      <c r="GR9" s="40">
        <f t="shared" si="85"/>
        <v>7.86</v>
      </c>
      <c r="GS9" s="40">
        <f t="shared" si="86"/>
        <v>53.11</v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 t="shared" si="101"/>
        <v/>
      </c>
      <c r="IW9" s="40" t="str">
        <f t="shared" si="102"/>
        <v/>
      </c>
      <c r="IX9" s="40" t="str">
        <f t="shared" si="103"/>
        <v/>
      </c>
      <c r="IY9" s="40" t="str">
        <f t="shared" si="104"/>
        <v/>
      </c>
      <c r="IZ9" s="40" t="str">
        <f t="shared" si="105"/>
        <v/>
      </c>
      <c r="JA9" s="40" t="str">
        <f t="shared" si="106"/>
        <v/>
      </c>
      <c r="JB9" s="40" t="str">
        <f t="shared" si="107"/>
        <v/>
      </c>
      <c r="JC9" s="40" t="str">
        <f t="shared" si="108"/>
        <v/>
      </c>
      <c r="JD9" s="40" t="str">
        <f t="shared" si="109"/>
        <v/>
      </c>
      <c r="JE9" s="40" t="str">
        <f t="shared" si="110"/>
        <v/>
      </c>
      <c r="JF9" s="40" t="str">
        <f t="shared" si="111"/>
        <v/>
      </c>
      <c r="JG9" s="40" t="str">
        <f t="shared" si="112"/>
        <v/>
      </c>
      <c r="JH9" s="40" t="str">
        <f t="shared" si="113"/>
        <v/>
      </c>
      <c r="JI9" s="40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 t="shared" si="129"/>
        <v/>
      </c>
      <c r="LM9" s="40" t="str">
        <f t="shared" si="130"/>
        <v/>
      </c>
      <c r="LN9" s="40" t="str">
        <f t="shared" si="131"/>
        <v/>
      </c>
      <c r="LO9" s="40" t="str">
        <f t="shared" si="132"/>
        <v/>
      </c>
      <c r="LP9" s="40" t="str">
        <f t="shared" si="133"/>
        <v/>
      </c>
      <c r="LQ9" s="40" t="str">
        <f t="shared" si="134"/>
        <v/>
      </c>
      <c r="LR9" s="40" t="str">
        <f t="shared" si="135"/>
        <v/>
      </c>
      <c r="LS9" s="40" t="str">
        <f t="shared" si="136"/>
        <v/>
      </c>
      <c r="LT9" s="40" t="str">
        <f t="shared" si="137"/>
        <v/>
      </c>
      <c r="LU9" s="40" t="str">
        <f t="shared" si="138"/>
        <v/>
      </c>
      <c r="LV9" s="40" t="str">
        <f t="shared" si="139"/>
        <v/>
      </c>
      <c r="LW9" s="40" t="str">
        <f t="shared" si="140"/>
        <v/>
      </c>
      <c r="LX9" s="40" t="str">
        <f t="shared" si="141"/>
        <v/>
      </c>
      <c r="LY9" s="40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 t="shared" si="157"/>
        <v/>
      </c>
      <c r="OC9" s="40" t="str">
        <f t="shared" si="158"/>
        <v/>
      </c>
      <c r="OD9" s="40" t="str">
        <f t="shared" si="159"/>
        <v/>
      </c>
      <c r="OE9" s="40" t="str">
        <f t="shared" si="160"/>
        <v/>
      </c>
      <c r="OF9" s="40" t="str">
        <f t="shared" si="161"/>
        <v/>
      </c>
      <c r="OG9" s="40" t="str">
        <f t="shared" si="162"/>
        <v/>
      </c>
      <c r="OH9" s="40" t="str">
        <f t="shared" si="163"/>
        <v/>
      </c>
      <c r="OI9" s="40" t="str">
        <f t="shared" si="164"/>
        <v/>
      </c>
      <c r="OJ9" s="40" t="str">
        <f t="shared" si="165"/>
        <v/>
      </c>
      <c r="OK9" s="40" t="str">
        <f t="shared" si="166"/>
        <v/>
      </c>
      <c r="OL9" s="40" t="str">
        <f t="shared" si="167"/>
        <v/>
      </c>
      <c r="OM9" s="40" t="str">
        <f t="shared" si="168"/>
        <v/>
      </c>
      <c r="ON9" s="40" t="str">
        <f t="shared" si="169"/>
        <v/>
      </c>
      <c r="OO9" s="40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 t="shared" si="185"/>
        <v/>
      </c>
      <c r="QS9" s="40" t="str">
        <f t="shared" si="186"/>
        <v/>
      </c>
      <c r="QT9" s="40" t="str">
        <f t="shared" si="187"/>
        <v/>
      </c>
      <c r="QU9" s="40" t="str">
        <f t="shared" si="188"/>
        <v/>
      </c>
      <c r="QV9" s="40" t="str">
        <f t="shared" si="189"/>
        <v/>
      </c>
      <c r="QW9" s="40" t="str">
        <f t="shared" si="190"/>
        <v/>
      </c>
      <c r="QX9" s="40" t="str">
        <f t="shared" si="191"/>
        <v/>
      </c>
      <c r="QY9" s="40" t="str">
        <f t="shared" si="192"/>
        <v/>
      </c>
      <c r="QZ9" s="40" t="str">
        <f t="shared" si="193"/>
        <v/>
      </c>
      <c r="RA9" s="40" t="str">
        <f t="shared" si="194"/>
        <v/>
      </c>
      <c r="RB9" s="40" t="str">
        <f t="shared" si="195"/>
        <v/>
      </c>
      <c r="RC9" s="40" t="str">
        <f t="shared" si="196"/>
        <v/>
      </c>
      <c r="RD9" s="40" t="str">
        <f t="shared" si="197"/>
        <v/>
      </c>
      <c r="RE9" s="40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 t="shared" si="213"/>
        <v/>
      </c>
      <c r="TI9" s="40" t="str">
        <f t="shared" si="214"/>
        <v/>
      </c>
      <c r="TJ9" s="40" t="str">
        <f t="shared" si="215"/>
        <v/>
      </c>
      <c r="TK9" s="40" t="str">
        <f t="shared" si="216"/>
        <v/>
      </c>
      <c r="TL9" s="40" t="str">
        <f t="shared" si="217"/>
        <v/>
      </c>
      <c r="TM9" s="40" t="str">
        <f t="shared" si="218"/>
        <v/>
      </c>
      <c r="TN9" s="40" t="str">
        <f t="shared" si="219"/>
        <v/>
      </c>
      <c r="TO9" s="40" t="str">
        <f t="shared" si="220"/>
        <v/>
      </c>
      <c r="TP9" s="40" t="str">
        <f t="shared" si="221"/>
        <v/>
      </c>
      <c r="TQ9" s="40" t="str">
        <f t="shared" si="222"/>
        <v/>
      </c>
      <c r="TR9" s="40" t="str">
        <f t="shared" si="223"/>
        <v/>
      </c>
      <c r="TS9" s="40" t="str">
        <f t="shared" si="224"/>
        <v/>
      </c>
      <c r="TT9" s="40" t="str">
        <f t="shared" si="225"/>
        <v/>
      </c>
      <c r="TU9" s="40" t="str">
        <f t="shared" si="226"/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 t="shared" si="227"/>
        <v/>
      </c>
      <c r="UQ9" s="11" t="str">
        <f t="shared" si="228"/>
        <v/>
      </c>
      <c r="UR9" s="11" t="str">
        <f t="shared" si="229"/>
        <v/>
      </c>
      <c r="US9" s="11" t="str">
        <f t="shared" si="230"/>
        <v/>
      </c>
      <c r="UT9" s="11" t="str">
        <f t="shared" si="231"/>
        <v/>
      </c>
      <c r="UU9" s="11" t="str">
        <f t="shared" si="232"/>
        <v/>
      </c>
      <c r="UV9" s="11" t="str">
        <f t="shared" si="233"/>
        <v/>
      </c>
      <c r="UW9" s="11" t="str">
        <f t="shared" si="234"/>
        <v/>
      </c>
      <c r="UX9" s="11" t="str">
        <f t="shared" si="235"/>
        <v/>
      </c>
      <c r="UY9" s="11" t="str">
        <f t="shared" si="236"/>
        <v/>
      </c>
      <c r="UZ9" s="11" t="str">
        <f t="shared" si="237"/>
        <v/>
      </c>
      <c r="VA9" s="11" t="str">
        <f t="shared" si="238"/>
        <v/>
      </c>
      <c r="VB9" s="11" t="str">
        <f t="shared" si="239"/>
        <v/>
      </c>
      <c r="VC9" s="11" t="str">
        <f t="shared" si="240"/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 t="shared" si="241"/>
        <v/>
      </c>
      <c r="VY9" s="40" t="str">
        <f t="shared" si="242"/>
        <v/>
      </c>
      <c r="VZ9" s="40" t="str">
        <f t="shared" si="243"/>
        <v/>
      </c>
      <c r="WA9" s="40" t="str">
        <f t="shared" si="244"/>
        <v/>
      </c>
      <c r="WB9" s="40" t="str">
        <f t="shared" si="245"/>
        <v/>
      </c>
      <c r="WC9" s="40" t="str">
        <f t="shared" si="246"/>
        <v/>
      </c>
      <c r="WD9" s="40" t="str">
        <f t="shared" si="247"/>
        <v/>
      </c>
      <c r="WE9" s="40" t="str">
        <f t="shared" si="248"/>
        <v/>
      </c>
      <c r="WF9" s="40" t="str">
        <f t="shared" si="249"/>
        <v/>
      </c>
      <c r="WG9" s="40" t="str">
        <f t="shared" si="250"/>
        <v/>
      </c>
      <c r="WH9" s="40" t="str">
        <f t="shared" si="251"/>
        <v/>
      </c>
      <c r="WI9" s="40" t="str">
        <f t="shared" si="252"/>
        <v/>
      </c>
      <c r="WJ9" s="40" t="str">
        <f t="shared" si="253"/>
        <v/>
      </c>
      <c r="WK9" s="40" t="str">
        <f t="shared" si="254"/>
        <v/>
      </c>
      <c r="WL9" s="26">
        <f t="shared" si="255"/>
        <v>0</v>
      </c>
      <c r="WM9" s="26">
        <f t="shared" si="256"/>
        <v>0</v>
      </c>
      <c r="WN9" s="26">
        <f t="shared" si="257"/>
        <v>0</v>
      </c>
      <c r="WO9" s="26">
        <f t="shared" si="258"/>
        <v>0</v>
      </c>
      <c r="WP9" s="26">
        <f t="shared" si="259"/>
        <v>0</v>
      </c>
      <c r="WQ9" s="26">
        <f t="shared" si="260"/>
        <v>0</v>
      </c>
      <c r="WR9" s="26">
        <f t="shared" si="261"/>
        <v>0</v>
      </c>
      <c r="WS9" s="26">
        <f t="shared" si="262"/>
        <v>0</v>
      </c>
      <c r="WT9" s="26">
        <f t="shared" si="263"/>
        <v>0</v>
      </c>
      <c r="WU9" s="26">
        <f t="shared" si="264"/>
        <v>0</v>
      </c>
      <c r="WV9" s="26">
        <f t="shared" si="265"/>
        <v>0</v>
      </c>
      <c r="WW9" s="26">
        <f t="shared" si="266"/>
        <v>0</v>
      </c>
      <c r="WX9" s="26">
        <f t="shared" si="267"/>
        <v>0</v>
      </c>
      <c r="WY9" s="26">
        <f t="shared" si="268"/>
        <v>0</v>
      </c>
      <c r="WZ9" s="26">
        <f t="shared" si="269"/>
        <v>0</v>
      </c>
      <c r="XA9" s="28" t="s">
        <v>53</v>
      </c>
      <c r="XB9" s="11" t="str">
        <f t="shared" si="270"/>
        <v/>
      </c>
      <c r="XC9" s="11" t="str">
        <f t="shared" si="271"/>
        <v/>
      </c>
      <c r="XD9" s="11" t="str">
        <f t="shared" si="272"/>
        <v/>
      </c>
      <c r="XE9" s="11" t="str">
        <f t="shared" si="273"/>
        <v/>
      </c>
      <c r="XF9" s="11" t="str">
        <f t="shared" si="274"/>
        <v/>
      </c>
      <c r="XG9" s="11" t="str">
        <f t="shared" si="275"/>
        <v/>
      </c>
      <c r="XH9" s="11" t="str">
        <f t="shared" si="276"/>
        <v/>
      </c>
      <c r="XI9" s="11" t="str">
        <f t="shared" si="277"/>
        <v/>
      </c>
      <c r="XJ9" s="11" t="str">
        <f t="shared" si="278"/>
        <v/>
      </c>
      <c r="XK9" s="11" t="str">
        <f t="shared" si="279"/>
        <v/>
      </c>
      <c r="XL9" s="11" t="str">
        <f t="shared" si="280"/>
        <v/>
      </c>
    </row>
    <row r="10" spans="1:636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197</v>
      </c>
      <c r="C10" s="4" t="s">
        <v>6</v>
      </c>
      <c r="D10" s="4" t="s">
        <v>198</v>
      </c>
      <c r="E10" s="9">
        <f t="shared" si="0"/>
        <v>88.2</v>
      </c>
      <c r="F10" s="3" t="str">
        <f t="shared" si="1"/>
        <v/>
      </c>
      <c r="G10" s="3" t="str">
        <f t="shared" si="2"/>
        <v>P</v>
      </c>
      <c r="H10" s="36" t="str">
        <f t="shared" si="3"/>
        <v>No DD</v>
      </c>
      <c r="I10" s="3" t="str">
        <f t="shared" si="4"/>
        <v/>
      </c>
      <c r="J10" s="8">
        <f>IF(COUNT(AI10,AL10,AP10,BJ10,BM10,BQ10,CK10,CN10,CR10)&gt;0,LARGE((AI10,AL10,AP10,BJ10,BM10,BQ10,CK10,CN10,CR10),1),0)</f>
        <v>44.34</v>
      </c>
      <c r="K10" s="8" t="str">
        <f t="shared" si="5"/>
        <v>2024 Nationals</v>
      </c>
      <c r="L10" s="8">
        <f>IF(COUNT(AI10,AL10,AP10,BJ10,BM10,BQ10,CK10,CN10,CR10)&gt;1,LARGE((AI10,AL10,AP10,BJ10,BM10,BQ10,CK10,CN10,CR10),2),0)</f>
        <v>43.86</v>
      </c>
      <c r="M10" s="8" t="str">
        <f t="shared" si="6"/>
        <v>2024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2">
        <v>7.8</v>
      </c>
      <c r="R10" s="22">
        <v>9.5</v>
      </c>
      <c r="S10" s="22">
        <v>9.1</v>
      </c>
      <c r="T10" s="22">
        <v>16.420000000000002</v>
      </c>
      <c r="U10" s="22">
        <v>0</v>
      </c>
      <c r="V10" s="22">
        <v>8.0500000000000007</v>
      </c>
      <c r="W10" s="22">
        <v>9.15</v>
      </c>
      <c r="X10" s="22">
        <v>9.1</v>
      </c>
      <c r="Y10" s="22">
        <v>18.04</v>
      </c>
      <c r="Z10" s="22">
        <v>0</v>
      </c>
      <c r="AA10" s="22">
        <v>7.6</v>
      </c>
      <c r="AB10" s="22">
        <v>9.4</v>
      </c>
      <c r="AC10" s="22">
        <v>9.1</v>
      </c>
      <c r="AD10" s="22">
        <v>17.760000000000002</v>
      </c>
      <c r="AE10" s="22">
        <v>0</v>
      </c>
      <c r="AF10" s="27"/>
      <c r="AG10" s="38">
        <f t="shared" si="10"/>
        <v>9.1</v>
      </c>
      <c r="AH10" s="38">
        <f t="shared" si="11"/>
        <v>16.420000000000002</v>
      </c>
      <c r="AI10" s="40">
        <f t="shared" si="12"/>
        <v>42.82</v>
      </c>
      <c r="AJ10" s="40">
        <f t="shared" si="13"/>
        <v>9.1</v>
      </c>
      <c r="AK10" s="40">
        <f t="shared" si="14"/>
        <v>18.04</v>
      </c>
      <c r="AL10" s="40">
        <f t="shared" si="15"/>
        <v>44.34</v>
      </c>
      <c r="AM10" s="40">
        <f t="shared" si="16"/>
        <v>44.34</v>
      </c>
      <c r="AN10" s="40">
        <f t="shared" si="17"/>
        <v>9.1</v>
      </c>
      <c r="AO10" s="40">
        <f t="shared" si="18"/>
        <v>17.760000000000002</v>
      </c>
      <c r="AP10" s="40">
        <f t="shared" si="19"/>
        <v>43.86</v>
      </c>
      <c r="AQ10" s="40">
        <f t="shared" si="20"/>
        <v>88.2</v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 t="shared" si="21"/>
        <v/>
      </c>
      <c r="BI10" s="39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 t="shared" si="32"/>
        <v/>
      </c>
      <c r="CJ10" s="38" t="str">
        <f t="shared" si="33"/>
        <v/>
      </c>
      <c r="CK10" s="40" t="str">
        <f t="shared" si="34"/>
        <v/>
      </c>
      <c r="CL10" s="40" t="str">
        <f t="shared" si="35"/>
        <v/>
      </c>
      <c r="CM10" s="40" t="str">
        <f t="shared" si="36"/>
        <v/>
      </c>
      <c r="CN10" s="40" t="str">
        <f t="shared" si="37"/>
        <v/>
      </c>
      <c r="CO10" s="40" t="str">
        <f t="shared" si="38"/>
        <v/>
      </c>
      <c r="CP10" s="40" t="str">
        <f t="shared" si="39"/>
        <v/>
      </c>
      <c r="CQ10" s="40" t="str">
        <f t="shared" si="40"/>
        <v/>
      </c>
      <c r="CR10" s="40" t="str">
        <f t="shared" si="41"/>
        <v/>
      </c>
      <c r="CS10" s="40" t="str">
        <f t="shared" si="42"/>
        <v/>
      </c>
      <c r="CT10" s="51" t="str">
        <f t="shared" si="43"/>
        <v/>
      </c>
      <c r="CU10" s="51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 t="shared" si="45"/>
        <v/>
      </c>
      <c r="DQ10" s="40" t="str">
        <f t="shared" si="46"/>
        <v/>
      </c>
      <c r="DR10" s="40" t="str">
        <f t="shared" si="47"/>
        <v/>
      </c>
      <c r="DS10" s="40" t="str">
        <f t="shared" si="48"/>
        <v/>
      </c>
      <c r="DT10" s="40" t="str">
        <f t="shared" si="49"/>
        <v/>
      </c>
      <c r="DU10" s="40" t="str">
        <f t="shared" si="50"/>
        <v/>
      </c>
      <c r="DV10" s="40" t="str">
        <f t="shared" si="51"/>
        <v/>
      </c>
      <c r="DW10" s="40" t="str">
        <f t="shared" si="52"/>
        <v/>
      </c>
      <c r="DX10" s="40" t="str">
        <f t="shared" si="53"/>
        <v/>
      </c>
      <c r="DY10" s="40" t="str">
        <f t="shared" si="54"/>
        <v/>
      </c>
      <c r="DZ10" s="40" t="str">
        <f t="shared" si="55"/>
        <v/>
      </c>
      <c r="EA10" s="40" t="str">
        <f t="shared" si="56"/>
        <v/>
      </c>
      <c r="EB10" s="40" t="str">
        <f t="shared" si="57"/>
        <v/>
      </c>
      <c r="EC10" s="40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 t="shared" si="73"/>
        <v/>
      </c>
      <c r="GG10" s="40" t="str">
        <f t="shared" si="74"/>
        <v/>
      </c>
      <c r="GH10" s="40" t="str">
        <f t="shared" si="75"/>
        <v/>
      </c>
      <c r="GI10" s="40" t="str">
        <f t="shared" si="76"/>
        <v/>
      </c>
      <c r="GJ10" s="40" t="str">
        <f t="shared" si="77"/>
        <v/>
      </c>
      <c r="GK10" s="40" t="str">
        <f t="shared" si="78"/>
        <v/>
      </c>
      <c r="GL10" s="40" t="str">
        <f t="shared" si="79"/>
        <v/>
      </c>
      <c r="GM10" s="40" t="str">
        <f t="shared" si="80"/>
        <v/>
      </c>
      <c r="GN10" s="40" t="str">
        <f t="shared" si="81"/>
        <v/>
      </c>
      <c r="GO10" s="40" t="str">
        <f t="shared" si="82"/>
        <v/>
      </c>
      <c r="GP10" s="40" t="str">
        <f t="shared" si="83"/>
        <v/>
      </c>
      <c r="GQ10" s="40" t="str">
        <f t="shared" si="84"/>
        <v/>
      </c>
      <c r="GR10" s="40" t="str">
        <f t="shared" si="85"/>
        <v/>
      </c>
      <c r="GS10" s="40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 t="shared" si="101"/>
        <v/>
      </c>
      <c r="IW10" s="40" t="str">
        <f t="shared" si="102"/>
        <v/>
      </c>
      <c r="IX10" s="40" t="str">
        <f t="shared" si="103"/>
        <v/>
      </c>
      <c r="IY10" s="40" t="str">
        <f t="shared" si="104"/>
        <v/>
      </c>
      <c r="IZ10" s="40" t="str">
        <f t="shared" si="105"/>
        <v/>
      </c>
      <c r="JA10" s="40" t="str">
        <f t="shared" si="106"/>
        <v/>
      </c>
      <c r="JB10" s="40" t="str">
        <f t="shared" si="107"/>
        <v/>
      </c>
      <c r="JC10" s="40" t="str">
        <f t="shared" si="108"/>
        <v/>
      </c>
      <c r="JD10" s="40" t="str">
        <f t="shared" si="109"/>
        <v/>
      </c>
      <c r="JE10" s="40" t="str">
        <f t="shared" si="110"/>
        <v/>
      </c>
      <c r="JF10" s="40" t="str">
        <f t="shared" si="111"/>
        <v/>
      </c>
      <c r="JG10" s="40" t="str">
        <f t="shared" si="112"/>
        <v/>
      </c>
      <c r="JH10" s="40" t="str">
        <f t="shared" si="113"/>
        <v/>
      </c>
      <c r="JI10" s="40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 t="shared" si="129"/>
        <v/>
      </c>
      <c r="LM10" s="40" t="str">
        <f t="shared" si="130"/>
        <v/>
      </c>
      <c r="LN10" s="40" t="str">
        <f t="shared" si="131"/>
        <v/>
      </c>
      <c r="LO10" s="40" t="str">
        <f t="shared" si="132"/>
        <v/>
      </c>
      <c r="LP10" s="40" t="str">
        <f t="shared" si="133"/>
        <v/>
      </c>
      <c r="LQ10" s="40" t="str">
        <f t="shared" si="134"/>
        <v/>
      </c>
      <c r="LR10" s="40" t="str">
        <f t="shared" si="135"/>
        <v/>
      </c>
      <c r="LS10" s="40" t="str">
        <f t="shared" si="136"/>
        <v/>
      </c>
      <c r="LT10" s="40" t="str">
        <f t="shared" si="137"/>
        <v/>
      </c>
      <c r="LU10" s="40" t="str">
        <f t="shared" si="138"/>
        <v/>
      </c>
      <c r="LV10" s="40" t="str">
        <f t="shared" si="139"/>
        <v/>
      </c>
      <c r="LW10" s="40" t="str">
        <f t="shared" si="140"/>
        <v/>
      </c>
      <c r="LX10" s="40" t="str">
        <f t="shared" si="141"/>
        <v/>
      </c>
      <c r="LY10" s="40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 t="shared" si="157"/>
        <v/>
      </c>
      <c r="OC10" s="40" t="str">
        <f t="shared" si="158"/>
        <v/>
      </c>
      <c r="OD10" s="40" t="str">
        <f t="shared" si="159"/>
        <v/>
      </c>
      <c r="OE10" s="40" t="str">
        <f t="shared" si="160"/>
        <v/>
      </c>
      <c r="OF10" s="40" t="str">
        <f t="shared" si="161"/>
        <v/>
      </c>
      <c r="OG10" s="40" t="str">
        <f t="shared" si="162"/>
        <v/>
      </c>
      <c r="OH10" s="40" t="str">
        <f t="shared" si="163"/>
        <v/>
      </c>
      <c r="OI10" s="40" t="str">
        <f t="shared" si="164"/>
        <v/>
      </c>
      <c r="OJ10" s="40" t="str">
        <f t="shared" si="165"/>
        <v/>
      </c>
      <c r="OK10" s="40" t="str">
        <f t="shared" si="166"/>
        <v/>
      </c>
      <c r="OL10" s="40" t="str">
        <f t="shared" si="167"/>
        <v/>
      </c>
      <c r="OM10" s="40" t="str">
        <f t="shared" si="168"/>
        <v/>
      </c>
      <c r="ON10" s="40" t="str">
        <f t="shared" si="169"/>
        <v/>
      </c>
      <c r="OO10" s="40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 t="shared" si="185"/>
        <v/>
      </c>
      <c r="QS10" s="40" t="str">
        <f t="shared" si="186"/>
        <v/>
      </c>
      <c r="QT10" s="40" t="str">
        <f t="shared" si="187"/>
        <v/>
      </c>
      <c r="QU10" s="40" t="str">
        <f t="shared" si="188"/>
        <v/>
      </c>
      <c r="QV10" s="40" t="str">
        <f t="shared" si="189"/>
        <v/>
      </c>
      <c r="QW10" s="40" t="str">
        <f t="shared" si="190"/>
        <v/>
      </c>
      <c r="QX10" s="40" t="str">
        <f t="shared" si="191"/>
        <v/>
      </c>
      <c r="QY10" s="40" t="str">
        <f t="shared" si="192"/>
        <v/>
      </c>
      <c r="QZ10" s="40" t="str">
        <f t="shared" si="193"/>
        <v/>
      </c>
      <c r="RA10" s="40" t="str">
        <f t="shared" si="194"/>
        <v/>
      </c>
      <c r="RB10" s="40" t="str">
        <f t="shared" si="195"/>
        <v/>
      </c>
      <c r="RC10" s="40" t="str">
        <f t="shared" si="196"/>
        <v/>
      </c>
      <c r="RD10" s="40" t="str">
        <f t="shared" si="197"/>
        <v/>
      </c>
      <c r="RE10" s="40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 t="shared" si="213"/>
        <v/>
      </c>
      <c r="TI10" s="40" t="str">
        <f t="shared" si="214"/>
        <v/>
      </c>
      <c r="TJ10" s="40" t="str">
        <f t="shared" si="215"/>
        <v/>
      </c>
      <c r="TK10" s="40" t="str">
        <f t="shared" si="216"/>
        <v/>
      </c>
      <c r="TL10" s="40" t="str">
        <f t="shared" si="217"/>
        <v/>
      </c>
      <c r="TM10" s="40" t="str">
        <f t="shared" si="218"/>
        <v/>
      </c>
      <c r="TN10" s="40" t="str">
        <f t="shared" si="219"/>
        <v/>
      </c>
      <c r="TO10" s="40" t="str">
        <f t="shared" si="220"/>
        <v/>
      </c>
      <c r="TP10" s="40" t="str">
        <f t="shared" si="221"/>
        <v/>
      </c>
      <c r="TQ10" s="40" t="str">
        <f t="shared" si="222"/>
        <v/>
      </c>
      <c r="TR10" s="40" t="str">
        <f t="shared" si="223"/>
        <v/>
      </c>
      <c r="TS10" s="40" t="str">
        <f t="shared" si="224"/>
        <v/>
      </c>
      <c r="TT10" s="40" t="str">
        <f t="shared" si="225"/>
        <v/>
      </c>
      <c r="TU10" s="40" t="str">
        <f t="shared" si="226"/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 t="shared" si="227"/>
        <v/>
      </c>
      <c r="UQ10" s="11" t="str">
        <f t="shared" si="228"/>
        <v/>
      </c>
      <c r="UR10" s="11" t="str">
        <f t="shared" si="229"/>
        <v/>
      </c>
      <c r="US10" s="11" t="str">
        <f t="shared" si="230"/>
        <v/>
      </c>
      <c r="UT10" s="11" t="str">
        <f t="shared" si="231"/>
        <v/>
      </c>
      <c r="UU10" s="11" t="str">
        <f t="shared" si="232"/>
        <v/>
      </c>
      <c r="UV10" s="11" t="str">
        <f t="shared" si="233"/>
        <v/>
      </c>
      <c r="UW10" s="11" t="str">
        <f t="shared" si="234"/>
        <v/>
      </c>
      <c r="UX10" s="11" t="str">
        <f t="shared" si="235"/>
        <v/>
      </c>
      <c r="UY10" s="11" t="str">
        <f t="shared" si="236"/>
        <v/>
      </c>
      <c r="UZ10" s="11" t="str">
        <f t="shared" si="237"/>
        <v/>
      </c>
      <c r="VA10" s="11" t="str">
        <f t="shared" si="238"/>
        <v/>
      </c>
      <c r="VB10" s="11" t="str">
        <f t="shared" si="239"/>
        <v/>
      </c>
      <c r="VC10" s="11" t="str">
        <f t="shared" si="240"/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 t="shared" si="241"/>
        <v/>
      </c>
      <c r="VY10" s="40" t="str">
        <f t="shared" si="242"/>
        <v/>
      </c>
      <c r="VZ10" s="40" t="str">
        <f t="shared" si="243"/>
        <v/>
      </c>
      <c r="WA10" s="40" t="str">
        <f t="shared" si="244"/>
        <v/>
      </c>
      <c r="WB10" s="40" t="str">
        <f t="shared" si="245"/>
        <v/>
      </c>
      <c r="WC10" s="40" t="str">
        <f t="shared" si="246"/>
        <v/>
      </c>
      <c r="WD10" s="40" t="str">
        <f t="shared" si="247"/>
        <v/>
      </c>
      <c r="WE10" s="40" t="str">
        <f t="shared" si="248"/>
        <v/>
      </c>
      <c r="WF10" s="40" t="str">
        <f t="shared" si="249"/>
        <v/>
      </c>
      <c r="WG10" s="40" t="str">
        <f t="shared" si="250"/>
        <v/>
      </c>
      <c r="WH10" s="40" t="str">
        <f t="shared" si="251"/>
        <v/>
      </c>
      <c r="WI10" s="40" t="str">
        <f t="shared" si="252"/>
        <v/>
      </c>
      <c r="WJ10" s="40" t="str">
        <f t="shared" si="253"/>
        <v/>
      </c>
      <c r="WK10" s="40" t="str">
        <f t="shared" si="254"/>
        <v/>
      </c>
      <c r="WL10" s="26">
        <f t="shared" si="255"/>
        <v>0</v>
      </c>
      <c r="WM10" s="26">
        <f t="shared" si="256"/>
        <v>0</v>
      </c>
      <c r="WN10" s="26">
        <f t="shared" si="257"/>
        <v>0</v>
      </c>
      <c r="WO10" s="26">
        <f t="shared" si="258"/>
        <v>0</v>
      </c>
      <c r="WP10" s="26">
        <f t="shared" si="259"/>
        <v>0</v>
      </c>
      <c r="WQ10" s="26">
        <f t="shared" si="260"/>
        <v>0</v>
      </c>
      <c r="WR10" s="26">
        <f t="shared" si="261"/>
        <v>0</v>
      </c>
      <c r="WS10" s="26">
        <f t="shared" si="262"/>
        <v>0</v>
      </c>
      <c r="WT10" s="26">
        <f t="shared" si="263"/>
        <v>0</v>
      </c>
      <c r="WU10" s="26">
        <f t="shared" si="264"/>
        <v>0</v>
      </c>
      <c r="WV10" s="26">
        <f t="shared" si="265"/>
        <v>0</v>
      </c>
      <c r="WW10" s="26">
        <f t="shared" si="266"/>
        <v>0</v>
      </c>
      <c r="WX10" s="26">
        <f t="shared" si="267"/>
        <v>0</v>
      </c>
      <c r="WY10" s="26">
        <f t="shared" si="268"/>
        <v>0</v>
      </c>
      <c r="WZ10" s="26">
        <f t="shared" si="269"/>
        <v>0</v>
      </c>
      <c r="XA10" s="28" t="s">
        <v>53</v>
      </c>
      <c r="XB10" s="11" t="str">
        <f t="shared" si="270"/>
        <v/>
      </c>
      <c r="XC10" s="11" t="str">
        <f t="shared" si="271"/>
        <v/>
      </c>
      <c r="XD10" s="11" t="str">
        <f t="shared" si="272"/>
        <v/>
      </c>
      <c r="XE10" s="11" t="str">
        <f t="shared" si="273"/>
        <v/>
      </c>
      <c r="XF10" s="11" t="str">
        <f t="shared" si="274"/>
        <v/>
      </c>
      <c r="XG10" s="11" t="str">
        <f t="shared" si="275"/>
        <v/>
      </c>
      <c r="XH10" s="11" t="str">
        <f t="shared" si="276"/>
        <v/>
      </c>
      <c r="XI10" s="11" t="str">
        <f t="shared" si="277"/>
        <v/>
      </c>
      <c r="XJ10" s="11" t="str">
        <f t="shared" si="278"/>
        <v/>
      </c>
      <c r="XK10" s="11" t="str">
        <f t="shared" si="279"/>
        <v/>
      </c>
      <c r="XL10" s="11" t="str">
        <f t="shared" si="280"/>
        <v/>
      </c>
    </row>
    <row r="11" spans="1:636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196</v>
      </c>
      <c r="C11" s="4" t="s">
        <v>195</v>
      </c>
      <c r="D11" s="4" t="s">
        <v>161</v>
      </c>
      <c r="E11" s="9">
        <f t="shared" si="0"/>
        <v>80.67</v>
      </c>
      <c r="F11" s="3" t="str">
        <f t="shared" si="1"/>
        <v/>
      </c>
      <c r="G11" s="3" t="str">
        <f t="shared" si="2"/>
        <v>P</v>
      </c>
      <c r="H11" s="36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44.78</v>
      </c>
      <c r="K11" s="8" t="str">
        <f t="shared" si="5"/>
        <v>2024 Nationals</v>
      </c>
      <c r="L11" s="8">
        <f>IF(COUNT(AI11,AL11,AP11,BJ11,BM11,BQ11,CK11,CN11,CR11)&gt;1,LARGE((AI11,AL11,AP11,BJ11,BM11,BQ11,CK11,CN11,CR11),2),0)</f>
        <v>35.89</v>
      </c>
      <c r="M11" s="8" t="str">
        <f t="shared" si="6"/>
        <v>2024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2">
        <v>7.85</v>
      </c>
      <c r="R11" s="22">
        <v>9.25</v>
      </c>
      <c r="S11" s="22">
        <v>9.6</v>
      </c>
      <c r="T11" s="22">
        <v>18.079999999999998</v>
      </c>
      <c r="U11" s="22">
        <v>0</v>
      </c>
      <c r="V11" s="22">
        <v>6.55</v>
      </c>
      <c r="W11" s="22">
        <v>7.2</v>
      </c>
      <c r="X11" s="22">
        <v>7.6</v>
      </c>
      <c r="Y11" s="22">
        <v>14.54</v>
      </c>
      <c r="Z11" s="22">
        <v>0</v>
      </c>
      <c r="AA11" s="22">
        <v>4</v>
      </c>
      <c r="AB11" s="22">
        <v>4.3499999999999996</v>
      </c>
      <c r="AC11" s="22">
        <v>5.4</v>
      </c>
      <c r="AD11" s="22">
        <v>9.26</v>
      </c>
      <c r="AE11" s="22">
        <v>0</v>
      </c>
      <c r="AF11" s="27"/>
      <c r="AG11" s="38">
        <f t="shared" si="10"/>
        <v>9.6</v>
      </c>
      <c r="AH11" s="38">
        <f t="shared" si="11"/>
        <v>18.079999999999998</v>
      </c>
      <c r="AI11" s="40">
        <f t="shared" si="12"/>
        <v>44.78</v>
      </c>
      <c r="AJ11" s="40">
        <f t="shared" si="13"/>
        <v>7.6</v>
      </c>
      <c r="AK11" s="40">
        <f t="shared" si="14"/>
        <v>14.54</v>
      </c>
      <c r="AL11" s="40">
        <f t="shared" si="15"/>
        <v>35.89</v>
      </c>
      <c r="AM11" s="40">
        <f t="shared" si="16"/>
        <v>44.78</v>
      </c>
      <c r="AN11" s="40">
        <f t="shared" si="17"/>
        <v>5.4</v>
      </c>
      <c r="AO11" s="40">
        <f t="shared" si="18"/>
        <v>9.26</v>
      </c>
      <c r="AP11" s="40">
        <f t="shared" si="19"/>
        <v>23.009999999999998</v>
      </c>
      <c r="AQ11" s="40">
        <f t="shared" si="20"/>
        <v>67.789999999999992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 t="shared" si="21"/>
        <v/>
      </c>
      <c r="BI11" s="39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 t="shared" si="32"/>
        <v/>
      </c>
      <c r="CJ11" s="38" t="str">
        <f t="shared" si="33"/>
        <v/>
      </c>
      <c r="CK11" s="40" t="str">
        <f t="shared" si="34"/>
        <v/>
      </c>
      <c r="CL11" s="40" t="str">
        <f t="shared" si="35"/>
        <v/>
      </c>
      <c r="CM11" s="40" t="str">
        <f t="shared" si="36"/>
        <v/>
      </c>
      <c r="CN11" s="40" t="str">
        <f t="shared" si="37"/>
        <v/>
      </c>
      <c r="CO11" s="40" t="str">
        <f t="shared" si="38"/>
        <v/>
      </c>
      <c r="CP11" s="40" t="str">
        <f t="shared" si="39"/>
        <v/>
      </c>
      <c r="CQ11" s="40" t="str">
        <f t="shared" si="40"/>
        <v/>
      </c>
      <c r="CR11" s="40" t="str">
        <f t="shared" si="41"/>
        <v/>
      </c>
      <c r="CS11" s="40" t="str">
        <f t="shared" si="42"/>
        <v/>
      </c>
      <c r="CT11" s="51" t="str">
        <f t="shared" si="43"/>
        <v/>
      </c>
      <c r="CU11" s="51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 t="shared" si="45"/>
        <v/>
      </c>
      <c r="DQ11" s="40" t="str">
        <f t="shared" si="46"/>
        <v/>
      </c>
      <c r="DR11" s="40" t="str">
        <f t="shared" si="47"/>
        <v/>
      </c>
      <c r="DS11" s="40" t="str">
        <f t="shared" si="48"/>
        <v/>
      </c>
      <c r="DT11" s="40" t="str">
        <f t="shared" si="49"/>
        <v/>
      </c>
      <c r="DU11" s="40" t="str">
        <f t="shared" si="50"/>
        <v/>
      </c>
      <c r="DV11" s="40" t="str">
        <f t="shared" si="51"/>
        <v/>
      </c>
      <c r="DW11" s="40" t="str">
        <f t="shared" si="52"/>
        <v/>
      </c>
      <c r="DX11" s="40" t="str">
        <f t="shared" si="53"/>
        <v/>
      </c>
      <c r="DY11" s="40" t="str">
        <f t="shared" si="54"/>
        <v/>
      </c>
      <c r="DZ11" s="40" t="str">
        <f t="shared" si="55"/>
        <v/>
      </c>
      <c r="EA11" s="40" t="str">
        <f t="shared" si="56"/>
        <v/>
      </c>
      <c r="EB11" s="40" t="str">
        <f t="shared" si="57"/>
        <v/>
      </c>
      <c r="EC11" s="40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 t="shared" si="73"/>
        <v/>
      </c>
      <c r="GG11" s="40" t="str">
        <f t="shared" si="74"/>
        <v/>
      </c>
      <c r="GH11" s="40" t="str">
        <f t="shared" si="75"/>
        <v/>
      </c>
      <c r="GI11" s="40" t="str">
        <f t="shared" si="76"/>
        <v/>
      </c>
      <c r="GJ11" s="40" t="str">
        <f t="shared" si="77"/>
        <v/>
      </c>
      <c r="GK11" s="40" t="str">
        <f t="shared" si="78"/>
        <v/>
      </c>
      <c r="GL11" s="40" t="str">
        <f t="shared" si="79"/>
        <v/>
      </c>
      <c r="GM11" s="40" t="str">
        <f t="shared" si="80"/>
        <v/>
      </c>
      <c r="GN11" s="40" t="str">
        <f t="shared" si="81"/>
        <v/>
      </c>
      <c r="GO11" s="40" t="str">
        <f t="shared" si="82"/>
        <v/>
      </c>
      <c r="GP11" s="40" t="str">
        <f t="shared" si="83"/>
        <v/>
      </c>
      <c r="GQ11" s="40" t="str">
        <f t="shared" si="84"/>
        <v/>
      </c>
      <c r="GR11" s="40" t="str">
        <f t="shared" si="85"/>
        <v/>
      </c>
      <c r="GS11" s="40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 t="shared" si="101"/>
        <v/>
      </c>
      <c r="IW11" s="40" t="str">
        <f t="shared" si="102"/>
        <v/>
      </c>
      <c r="IX11" s="40" t="str">
        <f t="shared" si="103"/>
        <v/>
      </c>
      <c r="IY11" s="40" t="str">
        <f t="shared" si="104"/>
        <v/>
      </c>
      <c r="IZ11" s="40" t="str">
        <f t="shared" si="105"/>
        <v/>
      </c>
      <c r="JA11" s="40" t="str">
        <f t="shared" si="106"/>
        <v/>
      </c>
      <c r="JB11" s="40" t="str">
        <f t="shared" si="107"/>
        <v/>
      </c>
      <c r="JC11" s="40" t="str">
        <f t="shared" si="108"/>
        <v/>
      </c>
      <c r="JD11" s="40" t="str">
        <f t="shared" si="109"/>
        <v/>
      </c>
      <c r="JE11" s="40" t="str">
        <f t="shared" si="110"/>
        <v/>
      </c>
      <c r="JF11" s="40" t="str">
        <f t="shared" si="111"/>
        <v/>
      </c>
      <c r="JG11" s="40" t="str">
        <f t="shared" si="112"/>
        <v/>
      </c>
      <c r="JH11" s="40" t="str">
        <f t="shared" si="113"/>
        <v/>
      </c>
      <c r="JI11" s="40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 t="shared" si="129"/>
        <v/>
      </c>
      <c r="LM11" s="40" t="str">
        <f t="shared" si="130"/>
        <v/>
      </c>
      <c r="LN11" s="40" t="str">
        <f t="shared" si="131"/>
        <v/>
      </c>
      <c r="LO11" s="40" t="str">
        <f t="shared" si="132"/>
        <v/>
      </c>
      <c r="LP11" s="40" t="str">
        <f t="shared" si="133"/>
        <v/>
      </c>
      <c r="LQ11" s="40" t="str">
        <f t="shared" si="134"/>
        <v/>
      </c>
      <c r="LR11" s="40" t="str">
        <f t="shared" si="135"/>
        <v/>
      </c>
      <c r="LS11" s="40" t="str">
        <f t="shared" si="136"/>
        <v/>
      </c>
      <c r="LT11" s="40" t="str">
        <f t="shared" si="137"/>
        <v/>
      </c>
      <c r="LU11" s="40" t="str">
        <f t="shared" si="138"/>
        <v/>
      </c>
      <c r="LV11" s="40" t="str">
        <f t="shared" si="139"/>
        <v/>
      </c>
      <c r="LW11" s="40" t="str">
        <f t="shared" si="140"/>
        <v/>
      </c>
      <c r="LX11" s="40" t="str">
        <f t="shared" si="141"/>
        <v/>
      </c>
      <c r="LY11" s="40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 t="shared" si="157"/>
        <v/>
      </c>
      <c r="OC11" s="40" t="str">
        <f t="shared" si="158"/>
        <v/>
      </c>
      <c r="OD11" s="40" t="str">
        <f t="shared" si="159"/>
        <v/>
      </c>
      <c r="OE11" s="40" t="str">
        <f t="shared" si="160"/>
        <v/>
      </c>
      <c r="OF11" s="40" t="str">
        <f t="shared" si="161"/>
        <v/>
      </c>
      <c r="OG11" s="40" t="str">
        <f t="shared" si="162"/>
        <v/>
      </c>
      <c r="OH11" s="40" t="str">
        <f t="shared" si="163"/>
        <v/>
      </c>
      <c r="OI11" s="40" t="str">
        <f t="shared" si="164"/>
        <v/>
      </c>
      <c r="OJ11" s="40" t="str">
        <f t="shared" si="165"/>
        <v/>
      </c>
      <c r="OK11" s="40" t="str">
        <f t="shared" si="166"/>
        <v/>
      </c>
      <c r="OL11" s="40" t="str">
        <f t="shared" si="167"/>
        <v/>
      </c>
      <c r="OM11" s="40" t="str">
        <f t="shared" si="168"/>
        <v/>
      </c>
      <c r="ON11" s="40" t="str">
        <f t="shared" si="169"/>
        <v/>
      </c>
      <c r="OO11" s="40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 t="shared" si="185"/>
        <v/>
      </c>
      <c r="QS11" s="40" t="str">
        <f t="shared" si="186"/>
        <v/>
      </c>
      <c r="QT11" s="40" t="str">
        <f t="shared" si="187"/>
        <v/>
      </c>
      <c r="QU11" s="40" t="str">
        <f t="shared" si="188"/>
        <v/>
      </c>
      <c r="QV11" s="40" t="str">
        <f t="shared" si="189"/>
        <v/>
      </c>
      <c r="QW11" s="40" t="str">
        <f t="shared" si="190"/>
        <v/>
      </c>
      <c r="QX11" s="40" t="str">
        <f t="shared" si="191"/>
        <v/>
      </c>
      <c r="QY11" s="40" t="str">
        <f t="shared" si="192"/>
        <v/>
      </c>
      <c r="QZ11" s="40" t="str">
        <f t="shared" si="193"/>
        <v/>
      </c>
      <c r="RA11" s="40" t="str">
        <f t="shared" si="194"/>
        <v/>
      </c>
      <c r="RB11" s="40" t="str">
        <f t="shared" si="195"/>
        <v/>
      </c>
      <c r="RC11" s="40" t="str">
        <f t="shared" si="196"/>
        <v/>
      </c>
      <c r="RD11" s="40" t="str">
        <f t="shared" si="197"/>
        <v/>
      </c>
      <c r="RE11" s="40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 t="shared" si="213"/>
        <v/>
      </c>
      <c r="TI11" s="40" t="str">
        <f t="shared" si="214"/>
        <v/>
      </c>
      <c r="TJ11" s="40" t="str">
        <f t="shared" si="215"/>
        <v/>
      </c>
      <c r="TK11" s="40" t="str">
        <f t="shared" si="216"/>
        <v/>
      </c>
      <c r="TL11" s="40" t="str">
        <f t="shared" si="217"/>
        <v/>
      </c>
      <c r="TM11" s="40" t="str">
        <f t="shared" si="218"/>
        <v/>
      </c>
      <c r="TN11" s="40" t="str">
        <f t="shared" si="219"/>
        <v/>
      </c>
      <c r="TO11" s="40" t="str">
        <f t="shared" si="220"/>
        <v/>
      </c>
      <c r="TP11" s="40" t="str">
        <f t="shared" si="221"/>
        <v/>
      </c>
      <c r="TQ11" s="40" t="str">
        <f t="shared" si="222"/>
        <v/>
      </c>
      <c r="TR11" s="40" t="str">
        <f t="shared" si="223"/>
        <v/>
      </c>
      <c r="TS11" s="40" t="str">
        <f t="shared" si="224"/>
        <v/>
      </c>
      <c r="TT11" s="40" t="str">
        <f t="shared" si="225"/>
        <v/>
      </c>
      <c r="TU11" s="40" t="str">
        <f t="shared" si="226"/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 t="shared" si="227"/>
        <v/>
      </c>
      <c r="UQ11" s="11" t="str">
        <f t="shared" si="228"/>
        <v/>
      </c>
      <c r="UR11" s="11" t="str">
        <f t="shared" si="229"/>
        <v/>
      </c>
      <c r="US11" s="11" t="str">
        <f t="shared" si="230"/>
        <v/>
      </c>
      <c r="UT11" s="11" t="str">
        <f t="shared" si="231"/>
        <v/>
      </c>
      <c r="UU11" s="11" t="str">
        <f t="shared" si="232"/>
        <v/>
      </c>
      <c r="UV11" s="11" t="str">
        <f t="shared" si="233"/>
        <v/>
      </c>
      <c r="UW11" s="11" t="str">
        <f t="shared" si="234"/>
        <v/>
      </c>
      <c r="UX11" s="11" t="str">
        <f t="shared" si="235"/>
        <v/>
      </c>
      <c r="UY11" s="11" t="str">
        <f t="shared" si="236"/>
        <v/>
      </c>
      <c r="UZ11" s="11" t="str">
        <f t="shared" si="237"/>
        <v/>
      </c>
      <c r="VA11" s="11" t="str">
        <f t="shared" si="238"/>
        <v/>
      </c>
      <c r="VB11" s="11" t="str">
        <f t="shared" si="239"/>
        <v/>
      </c>
      <c r="VC11" s="11" t="str">
        <f t="shared" si="240"/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 t="shared" si="241"/>
        <v/>
      </c>
      <c r="VY11" s="40" t="str">
        <f t="shared" si="242"/>
        <v/>
      </c>
      <c r="VZ11" s="40" t="str">
        <f t="shared" si="243"/>
        <v/>
      </c>
      <c r="WA11" s="40" t="str">
        <f t="shared" si="244"/>
        <v/>
      </c>
      <c r="WB11" s="40" t="str">
        <f t="shared" si="245"/>
        <v/>
      </c>
      <c r="WC11" s="40" t="str">
        <f t="shared" si="246"/>
        <v/>
      </c>
      <c r="WD11" s="40" t="str">
        <f t="shared" si="247"/>
        <v/>
      </c>
      <c r="WE11" s="40" t="str">
        <f t="shared" si="248"/>
        <v/>
      </c>
      <c r="WF11" s="40" t="str">
        <f t="shared" si="249"/>
        <v/>
      </c>
      <c r="WG11" s="40" t="str">
        <f t="shared" si="250"/>
        <v/>
      </c>
      <c r="WH11" s="40" t="str">
        <f t="shared" si="251"/>
        <v/>
      </c>
      <c r="WI11" s="40" t="str">
        <f t="shared" si="252"/>
        <v/>
      </c>
      <c r="WJ11" s="40" t="str">
        <f t="shared" si="253"/>
        <v/>
      </c>
      <c r="WK11" s="40" t="str">
        <f t="shared" si="254"/>
        <v/>
      </c>
      <c r="WL11" s="26">
        <f t="shared" si="255"/>
        <v>0</v>
      </c>
      <c r="WM11" s="26">
        <f t="shared" si="256"/>
        <v>0</v>
      </c>
      <c r="WN11" s="26">
        <f t="shared" si="257"/>
        <v>0</v>
      </c>
      <c r="WO11" s="26">
        <f t="shared" si="258"/>
        <v>0</v>
      </c>
      <c r="WP11" s="26">
        <f t="shared" si="259"/>
        <v>0</v>
      </c>
      <c r="WQ11" s="26">
        <f t="shared" si="260"/>
        <v>0</v>
      </c>
      <c r="WR11" s="26">
        <f t="shared" si="261"/>
        <v>0</v>
      </c>
      <c r="WS11" s="26">
        <f t="shared" si="262"/>
        <v>0</v>
      </c>
      <c r="WT11" s="26">
        <f t="shared" si="263"/>
        <v>0</v>
      </c>
      <c r="WU11" s="26">
        <f t="shared" si="264"/>
        <v>0</v>
      </c>
      <c r="WV11" s="26">
        <f t="shared" si="265"/>
        <v>0</v>
      </c>
      <c r="WW11" s="26">
        <f t="shared" si="266"/>
        <v>0</v>
      </c>
      <c r="WX11" s="26">
        <f t="shared" si="267"/>
        <v>0</v>
      </c>
      <c r="WY11" s="26">
        <f t="shared" si="268"/>
        <v>0</v>
      </c>
      <c r="WZ11" s="26">
        <f t="shared" si="269"/>
        <v>0</v>
      </c>
      <c r="XA11" s="28" t="s">
        <v>53</v>
      </c>
      <c r="XB11" s="11" t="str">
        <f t="shared" si="270"/>
        <v/>
      </c>
      <c r="XC11" s="11" t="str">
        <f t="shared" si="271"/>
        <v/>
      </c>
      <c r="XD11" s="11" t="str">
        <f t="shared" si="272"/>
        <v/>
      </c>
      <c r="XE11" s="11" t="str">
        <f t="shared" si="273"/>
        <v/>
      </c>
      <c r="XF11" s="11" t="str">
        <f t="shared" si="274"/>
        <v/>
      </c>
      <c r="XG11" s="11" t="str">
        <f t="shared" si="275"/>
        <v/>
      </c>
      <c r="XH11" s="11" t="str">
        <f t="shared" si="276"/>
        <v/>
      </c>
      <c r="XI11" s="11" t="str">
        <f t="shared" si="277"/>
        <v/>
      </c>
      <c r="XJ11" s="11" t="str">
        <f t="shared" si="278"/>
        <v/>
      </c>
      <c r="XK11" s="11" t="str">
        <f t="shared" si="279"/>
        <v/>
      </c>
      <c r="XL11" s="11" t="str">
        <f t="shared" si="280"/>
        <v/>
      </c>
    </row>
    <row r="12" spans="1:636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142</v>
      </c>
      <c r="C12" s="4" t="s">
        <v>5</v>
      </c>
      <c r="D12" s="4" t="s">
        <v>141</v>
      </c>
      <c r="E12" s="9">
        <f t="shared" si="0"/>
        <v>75.100000000000009</v>
      </c>
      <c r="F12" s="3" t="str">
        <f t="shared" si="1"/>
        <v/>
      </c>
      <c r="G12" s="3" t="str">
        <f t="shared" si="2"/>
        <v>P</v>
      </c>
      <c r="H12" s="36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44.370000000000005</v>
      </c>
      <c r="K12" s="8" t="str">
        <f t="shared" si="5"/>
        <v>2024 Nationals</v>
      </c>
      <c r="L12" s="8">
        <f>IF(COUNT(AI12,AL12,AP12,BJ12,BM12,BQ12,CK12,CN12,CR12)&gt;1,LARGE((AI12,AL12,AP12,BJ12,BM12,BQ12,CK12,CN12,CR12),2),0)</f>
        <v>30.730000000000004</v>
      </c>
      <c r="M12" s="8" t="str">
        <f t="shared" si="6"/>
        <v>2024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2">
        <v>8.3000000000000007</v>
      </c>
      <c r="R12" s="22">
        <v>9.25</v>
      </c>
      <c r="S12" s="22">
        <v>9</v>
      </c>
      <c r="T12" s="22">
        <v>17.82</v>
      </c>
      <c r="U12" s="22">
        <v>0</v>
      </c>
      <c r="V12" s="22">
        <v>5.85</v>
      </c>
      <c r="W12" s="22">
        <v>6.6</v>
      </c>
      <c r="X12" s="22">
        <v>6.4</v>
      </c>
      <c r="Y12" s="22">
        <v>11.88</v>
      </c>
      <c r="Z12" s="22">
        <v>0</v>
      </c>
      <c r="AA12" s="22">
        <v>1.7</v>
      </c>
      <c r="AB12" s="22">
        <v>1.95</v>
      </c>
      <c r="AC12" s="22">
        <v>2.2999999999999998</v>
      </c>
      <c r="AD12" s="22">
        <v>3.04</v>
      </c>
      <c r="AE12" s="22">
        <v>0</v>
      </c>
      <c r="AF12" s="27"/>
      <c r="AG12" s="38">
        <f t="shared" si="10"/>
        <v>9</v>
      </c>
      <c r="AH12" s="38">
        <f t="shared" si="11"/>
        <v>17.82</v>
      </c>
      <c r="AI12" s="40">
        <f t="shared" si="12"/>
        <v>44.370000000000005</v>
      </c>
      <c r="AJ12" s="40">
        <f t="shared" si="13"/>
        <v>6.4</v>
      </c>
      <c r="AK12" s="40">
        <f t="shared" si="14"/>
        <v>11.88</v>
      </c>
      <c r="AL12" s="40">
        <f t="shared" si="15"/>
        <v>30.730000000000004</v>
      </c>
      <c r="AM12" s="40">
        <f t="shared" si="16"/>
        <v>44.370000000000005</v>
      </c>
      <c r="AN12" s="40">
        <f t="shared" si="17"/>
        <v>2.2999999999999998</v>
      </c>
      <c r="AO12" s="40">
        <f t="shared" si="18"/>
        <v>3.04</v>
      </c>
      <c r="AP12" s="40">
        <f t="shared" si="19"/>
        <v>8.9899999999999984</v>
      </c>
      <c r="AQ12" s="40">
        <f t="shared" si="20"/>
        <v>53.36</v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 t="shared" si="21"/>
        <v/>
      </c>
      <c r="BI12" s="39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 t="shared" si="32"/>
        <v/>
      </c>
      <c r="CJ12" s="38" t="str">
        <f t="shared" si="33"/>
        <v/>
      </c>
      <c r="CK12" s="40" t="str">
        <f t="shared" si="34"/>
        <v/>
      </c>
      <c r="CL12" s="40" t="str">
        <f t="shared" si="35"/>
        <v/>
      </c>
      <c r="CM12" s="40" t="str">
        <f t="shared" si="36"/>
        <v/>
      </c>
      <c r="CN12" s="40" t="str">
        <f t="shared" si="37"/>
        <v/>
      </c>
      <c r="CO12" s="40" t="str">
        <f t="shared" si="38"/>
        <v/>
      </c>
      <c r="CP12" s="40" t="str">
        <f t="shared" si="39"/>
        <v/>
      </c>
      <c r="CQ12" s="40" t="str">
        <f t="shared" si="40"/>
        <v/>
      </c>
      <c r="CR12" s="40" t="str">
        <f t="shared" si="41"/>
        <v/>
      </c>
      <c r="CS12" s="40" t="str">
        <f t="shared" si="42"/>
        <v/>
      </c>
      <c r="CT12" s="51" t="str">
        <f t="shared" si="43"/>
        <v/>
      </c>
      <c r="CU12" s="51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 t="shared" si="45"/>
        <v/>
      </c>
      <c r="DQ12" s="40" t="str">
        <f t="shared" si="46"/>
        <v/>
      </c>
      <c r="DR12" s="40" t="str">
        <f t="shared" si="47"/>
        <v/>
      </c>
      <c r="DS12" s="40" t="str">
        <f t="shared" si="48"/>
        <v/>
      </c>
      <c r="DT12" s="40" t="str">
        <f t="shared" si="49"/>
        <v/>
      </c>
      <c r="DU12" s="40" t="str">
        <f t="shared" si="50"/>
        <v/>
      </c>
      <c r="DV12" s="40" t="str">
        <f t="shared" si="51"/>
        <v/>
      </c>
      <c r="DW12" s="40" t="str">
        <f t="shared" si="52"/>
        <v/>
      </c>
      <c r="DX12" s="40" t="str">
        <f t="shared" si="53"/>
        <v/>
      </c>
      <c r="DY12" s="40" t="str">
        <f t="shared" si="54"/>
        <v/>
      </c>
      <c r="DZ12" s="40" t="str">
        <f t="shared" si="55"/>
        <v/>
      </c>
      <c r="EA12" s="40" t="str">
        <f t="shared" si="56"/>
        <v/>
      </c>
      <c r="EB12" s="40" t="str">
        <f t="shared" si="57"/>
        <v/>
      </c>
      <c r="EC12" s="40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 t="shared" si="73"/>
        <v/>
      </c>
      <c r="GG12" s="40" t="str">
        <f t="shared" si="74"/>
        <v/>
      </c>
      <c r="GH12" s="40" t="str">
        <f t="shared" si="75"/>
        <v/>
      </c>
      <c r="GI12" s="40" t="str">
        <f t="shared" si="76"/>
        <v/>
      </c>
      <c r="GJ12" s="40" t="str">
        <f t="shared" si="77"/>
        <v/>
      </c>
      <c r="GK12" s="40" t="str">
        <f t="shared" si="78"/>
        <v/>
      </c>
      <c r="GL12" s="40" t="str">
        <f t="shared" si="79"/>
        <v/>
      </c>
      <c r="GM12" s="40" t="str">
        <f t="shared" si="80"/>
        <v/>
      </c>
      <c r="GN12" s="40" t="str">
        <f t="shared" si="81"/>
        <v/>
      </c>
      <c r="GO12" s="40" t="str">
        <f t="shared" si="82"/>
        <v/>
      </c>
      <c r="GP12" s="40" t="str">
        <f t="shared" si="83"/>
        <v/>
      </c>
      <c r="GQ12" s="40" t="str">
        <f t="shared" si="84"/>
        <v/>
      </c>
      <c r="GR12" s="40" t="str">
        <f t="shared" si="85"/>
        <v/>
      </c>
      <c r="GS12" s="40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 t="shared" si="101"/>
        <v/>
      </c>
      <c r="IW12" s="40" t="str">
        <f t="shared" si="102"/>
        <v/>
      </c>
      <c r="IX12" s="40" t="str">
        <f t="shared" si="103"/>
        <v/>
      </c>
      <c r="IY12" s="40" t="str">
        <f t="shared" si="104"/>
        <v/>
      </c>
      <c r="IZ12" s="40" t="str">
        <f t="shared" si="105"/>
        <v/>
      </c>
      <c r="JA12" s="40" t="str">
        <f t="shared" si="106"/>
        <v/>
      </c>
      <c r="JB12" s="40" t="str">
        <f t="shared" si="107"/>
        <v/>
      </c>
      <c r="JC12" s="40" t="str">
        <f t="shared" si="108"/>
        <v/>
      </c>
      <c r="JD12" s="40" t="str">
        <f t="shared" si="109"/>
        <v/>
      </c>
      <c r="JE12" s="40" t="str">
        <f t="shared" si="110"/>
        <v/>
      </c>
      <c r="JF12" s="40" t="str">
        <f t="shared" si="111"/>
        <v/>
      </c>
      <c r="JG12" s="40" t="str">
        <f t="shared" si="112"/>
        <v/>
      </c>
      <c r="JH12" s="40" t="str">
        <f t="shared" si="113"/>
        <v/>
      </c>
      <c r="JI12" s="40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 t="shared" si="129"/>
        <v/>
      </c>
      <c r="LM12" s="40" t="str">
        <f t="shared" si="130"/>
        <v/>
      </c>
      <c r="LN12" s="40" t="str">
        <f t="shared" si="131"/>
        <v/>
      </c>
      <c r="LO12" s="40" t="str">
        <f t="shared" si="132"/>
        <v/>
      </c>
      <c r="LP12" s="40" t="str">
        <f t="shared" si="133"/>
        <v/>
      </c>
      <c r="LQ12" s="40" t="str">
        <f t="shared" si="134"/>
        <v/>
      </c>
      <c r="LR12" s="40" t="str">
        <f t="shared" si="135"/>
        <v/>
      </c>
      <c r="LS12" s="40" t="str">
        <f t="shared" si="136"/>
        <v/>
      </c>
      <c r="LT12" s="40" t="str">
        <f t="shared" si="137"/>
        <v/>
      </c>
      <c r="LU12" s="40" t="str">
        <f t="shared" si="138"/>
        <v/>
      </c>
      <c r="LV12" s="40" t="str">
        <f t="shared" si="139"/>
        <v/>
      </c>
      <c r="LW12" s="40" t="str">
        <f t="shared" si="140"/>
        <v/>
      </c>
      <c r="LX12" s="40" t="str">
        <f t="shared" si="141"/>
        <v/>
      </c>
      <c r="LY12" s="40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 t="shared" si="157"/>
        <v/>
      </c>
      <c r="OC12" s="40" t="str">
        <f t="shared" si="158"/>
        <v/>
      </c>
      <c r="OD12" s="40" t="str">
        <f t="shared" si="159"/>
        <v/>
      </c>
      <c r="OE12" s="40" t="str">
        <f t="shared" si="160"/>
        <v/>
      </c>
      <c r="OF12" s="40" t="str">
        <f t="shared" si="161"/>
        <v/>
      </c>
      <c r="OG12" s="40" t="str">
        <f t="shared" si="162"/>
        <v/>
      </c>
      <c r="OH12" s="40" t="str">
        <f t="shared" si="163"/>
        <v/>
      </c>
      <c r="OI12" s="40" t="str">
        <f t="shared" si="164"/>
        <v/>
      </c>
      <c r="OJ12" s="40" t="str">
        <f t="shared" si="165"/>
        <v/>
      </c>
      <c r="OK12" s="40" t="str">
        <f t="shared" si="166"/>
        <v/>
      </c>
      <c r="OL12" s="40" t="str">
        <f t="shared" si="167"/>
        <v/>
      </c>
      <c r="OM12" s="40" t="str">
        <f t="shared" si="168"/>
        <v/>
      </c>
      <c r="ON12" s="40" t="str">
        <f t="shared" si="169"/>
        <v/>
      </c>
      <c r="OO12" s="40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 t="shared" si="185"/>
        <v/>
      </c>
      <c r="QS12" s="40" t="str">
        <f t="shared" si="186"/>
        <v/>
      </c>
      <c r="QT12" s="40" t="str">
        <f t="shared" si="187"/>
        <v/>
      </c>
      <c r="QU12" s="40" t="str">
        <f t="shared" si="188"/>
        <v/>
      </c>
      <c r="QV12" s="40" t="str">
        <f t="shared" si="189"/>
        <v/>
      </c>
      <c r="QW12" s="40" t="str">
        <f t="shared" si="190"/>
        <v/>
      </c>
      <c r="QX12" s="40" t="str">
        <f t="shared" si="191"/>
        <v/>
      </c>
      <c r="QY12" s="40" t="str">
        <f t="shared" si="192"/>
        <v/>
      </c>
      <c r="QZ12" s="40" t="str">
        <f t="shared" si="193"/>
        <v/>
      </c>
      <c r="RA12" s="40" t="str">
        <f t="shared" si="194"/>
        <v/>
      </c>
      <c r="RB12" s="40" t="str">
        <f t="shared" si="195"/>
        <v/>
      </c>
      <c r="RC12" s="40" t="str">
        <f t="shared" si="196"/>
        <v/>
      </c>
      <c r="RD12" s="40" t="str">
        <f t="shared" si="197"/>
        <v/>
      </c>
      <c r="RE12" s="40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 t="shared" si="213"/>
        <v/>
      </c>
      <c r="TI12" s="40" t="str">
        <f t="shared" si="214"/>
        <v/>
      </c>
      <c r="TJ12" s="40" t="str">
        <f t="shared" si="215"/>
        <v/>
      </c>
      <c r="TK12" s="40" t="str">
        <f t="shared" si="216"/>
        <v/>
      </c>
      <c r="TL12" s="40" t="str">
        <f t="shared" si="217"/>
        <v/>
      </c>
      <c r="TM12" s="40" t="str">
        <f t="shared" si="218"/>
        <v/>
      </c>
      <c r="TN12" s="40" t="str">
        <f t="shared" si="219"/>
        <v/>
      </c>
      <c r="TO12" s="40" t="str">
        <f t="shared" si="220"/>
        <v/>
      </c>
      <c r="TP12" s="40" t="str">
        <f t="shared" si="221"/>
        <v/>
      </c>
      <c r="TQ12" s="40" t="str">
        <f t="shared" si="222"/>
        <v/>
      </c>
      <c r="TR12" s="40" t="str">
        <f t="shared" si="223"/>
        <v/>
      </c>
      <c r="TS12" s="40" t="str">
        <f t="shared" si="224"/>
        <v/>
      </c>
      <c r="TT12" s="40" t="str">
        <f t="shared" si="225"/>
        <v/>
      </c>
      <c r="TU12" s="40" t="str">
        <f t="shared" si="226"/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 t="shared" si="227"/>
        <v/>
      </c>
      <c r="UQ12" s="11" t="str">
        <f t="shared" si="228"/>
        <v/>
      </c>
      <c r="UR12" s="11" t="str">
        <f t="shared" si="229"/>
        <v/>
      </c>
      <c r="US12" s="11" t="str">
        <f t="shared" si="230"/>
        <v/>
      </c>
      <c r="UT12" s="11" t="str">
        <f t="shared" si="231"/>
        <v/>
      </c>
      <c r="UU12" s="11" t="str">
        <f t="shared" si="232"/>
        <v/>
      </c>
      <c r="UV12" s="11" t="str">
        <f t="shared" si="233"/>
        <v/>
      </c>
      <c r="UW12" s="11" t="str">
        <f t="shared" si="234"/>
        <v/>
      </c>
      <c r="UX12" s="11" t="str">
        <f t="shared" si="235"/>
        <v/>
      </c>
      <c r="UY12" s="11" t="str">
        <f t="shared" si="236"/>
        <v/>
      </c>
      <c r="UZ12" s="11" t="str">
        <f t="shared" si="237"/>
        <v/>
      </c>
      <c r="VA12" s="11" t="str">
        <f t="shared" si="238"/>
        <v/>
      </c>
      <c r="VB12" s="11" t="str">
        <f t="shared" si="239"/>
        <v/>
      </c>
      <c r="VC12" s="11" t="str">
        <f t="shared" si="240"/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 t="shared" si="241"/>
        <v/>
      </c>
      <c r="VY12" s="40" t="str">
        <f t="shared" si="242"/>
        <v/>
      </c>
      <c r="VZ12" s="40" t="str">
        <f t="shared" si="243"/>
        <v/>
      </c>
      <c r="WA12" s="40" t="str">
        <f t="shared" si="244"/>
        <v/>
      </c>
      <c r="WB12" s="40" t="str">
        <f t="shared" si="245"/>
        <v/>
      </c>
      <c r="WC12" s="40" t="str">
        <f t="shared" si="246"/>
        <v/>
      </c>
      <c r="WD12" s="40" t="str">
        <f t="shared" si="247"/>
        <v/>
      </c>
      <c r="WE12" s="40" t="str">
        <f t="shared" si="248"/>
        <v/>
      </c>
      <c r="WF12" s="40" t="str">
        <f t="shared" si="249"/>
        <v/>
      </c>
      <c r="WG12" s="40" t="str">
        <f t="shared" si="250"/>
        <v/>
      </c>
      <c r="WH12" s="40" t="str">
        <f t="shared" si="251"/>
        <v/>
      </c>
      <c r="WI12" s="40" t="str">
        <f t="shared" si="252"/>
        <v/>
      </c>
      <c r="WJ12" s="40" t="str">
        <f t="shared" si="253"/>
        <v/>
      </c>
      <c r="WK12" s="40" t="str">
        <f t="shared" si="254"/>
        <v/>
      </c>
      <c r="WL12" s="26">
        <f t="shared" si="255"/>
        <v>0</v>
      </c>
      <c r="WM12" s="26">
        <f t="shared" si="256"/>
        <v>0</v>
      </c>
      <c r="WN12" s="26">
        <f t="shared" si="257"/>
        <v>0</v>
      </c>
      <c r="WO12" s="26">
        <f t="shared" si="258"/>
        <v>0</v>
      </c>
      <c r="WP12" s="26">
        <f t="shared" si="259"/>
        <v>0</v>
      </c>
      <c r="WQ12" s="26">
        <f t="shared" si="260"/>
        <v>0</v>
      </c>
      <c r="WR12" s="26">
        <f t="shared" si="261"/>
        <v>0</v>
      </c>
      <c r="WS12" s="26">
        <f t="shared" si="262"/>
        <v>0</v>
      </c>
      <c r="WT12" s="26">
        <f t="shared" si="263"/>
        <v>0</v>
      </c>
      <c r="WU12" s="26">
        <f t="shared" si="264"/>
        <v>0</v>
      </c>
      <c r="WV12" s="26">
        <f t="shared" si="265"/>
        <v>0</v>
      </c>
      <c r="WW12" s="26">
        <f t="shared" si="266"/>
        <v>0</v>
      </c>
      <c r="WX12" s="26">
        <f t="shared" si="267"/>
        <v>0</v>
      </c>
      <c r="WY12" s="26">
        <f t="shared" si="268"/>
        <v>0</v>
      </c>
      <c r="WZ12" s="26">
        <f t="shared" si="269"/>
        <v>0</v>
      </c>
      <c r="XA12" s="28" t="s">
        <v>53</v>
      </c>
      <c r="XB12" s="11" t="str">
        <f t="shared" si="270"/>
        <v/>
      </c>
      <c r="XC12" s="11" t="str">
        <f t="shared" si="271"/>
        <v/>
      </c>
      <c r="XD12" s="11" t="str">
        <f t="shared" si="272"/>
        <v/>
      </c>
      <c r="XE12" s="11" t="str">
        <f t="shared" si="273"/>
        <v/>
      </c>
      <c r="XF12" s="11" t="str">
        <f t="shared" si="274"/>
        <v/>
      </c>
      <c r="XG12" s="11" t="str">
        <f t="shared" si="275"/>
        <v/>
      </c>
      <c r="XH12" s="11" t="str">
        <f t="shared" si="276"/>
        <v/>
      </c>
      <c r="XI12" s="11" t="str">
        <f t="shared" si="277"/>
        <v/>
      </c>
      <c r="XJ12" s="11" t="str">
        <f t="shared" si="278"/>
        <v/>
      </c>
      <c r="XK12" s="11" t="str">
        <f t="shared" si="279"/>
        <v/>
      </c>
      <c r="XL12" s="11" t="str">
        <f t="shared" si="280"/>
        <v/>
      </c>
    </row>
    <row r="13" spans="1:636" x14ac:dyDescent="0.2">
      <c r="A13" s="4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>10</v>
      </c>
      <c r="B13" s="5" t="s">
        <v>217</v>
      </c>
      <c r="C13" s="4" t="s">
        <v>3</v>
      </c>
      <c r="D13" s="4" t="s">
        <v>218</v>
      </c>
      <c r="E13" s="9">
        <f t="shared" si="0"/>
        <v>44.349999999999994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IF(COUNT(AI13,AL13,AP13,BJ13,BM13,BQ13,CK13,CN13,CR13)&gt;0,LARGE((AI13,AL13,AP13,BJ13,BM13,BQ13,CK13,CN13,CR13),1),0)</f>
        <v>0</v>
      </c>
      <c r="K13" s="8" t="str">
        <f t="shared" si="5"/>
        <v/>
      </c>
      <c r="L13" s="8">
        <f>IF(COUNT(AI13,AL13,AP13,BJ13,BM13,BQ13,CK13,CN13,CR13)&gt;1,LARGE((AI13,AL13,AP13,BJ13,BM13,BQ13,CK13,CN13,CR13),2),0)</f>
        <v>0</v>
      </c>
      <c r="M13" s="8" t="str">
        <f t="shared" si="6"/>
        <v/>
      </c>
      <c r="N13" s="8">
        <f t="shared" si="7"/>
        <v>44.349999999999994</v>
      </c>
      <c r="O13" s="11" t="str">
        <f t="shared" si="8"/>
        <v>(Final)</v>
      </c>
      <c r="P13" s="8" t="str">
        <f t="shared" si="9"/>
        <v>2024 Pan Am [Club] Championships (May 19)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 t="shared" si="10"/>
        <v/>
      </c>
      <c r="AH13" s="38" t="str">
        <f t="shared" si="11"/>
        <v/>
      </c>
      <c r="AI13" s="40" t="str">
        <f t="shared" si="12"/>
        <v/>
      </c>
      <c r="AJ13" s="40" t="str">
        <f t="shared" si="13"/>
        <v/>
      </c>
      <c r="AK13" s="40" t="str">
        <f t="shared" si="14"/>
        <v/>
      </c>
      <c r="AL13" s="40" t="str">
        <f t="shared" si="15"/>
        <v/>
      </c>
      <c r="AM13" s="40" t="str">
        <f t="shared" si="16"/>
        <v/>
      </c>
      <c r="AN13" s="40" t="str">
        <f t="shared" si="17"/>
        <v/>
      </c>
      <c r="AO13" s="40" t="str">
        <f t="shared" si="18"/>
        <v/>
      </c>
      <c r="AP13" s="40" t="str">
        <f t="shared" si="19"/>
        <v/>
      </c>
      <c r="AQ13" s="40" t="str">
        <f t="shared" si="20"/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 t="shared" si="21"/>
        <v/>
      </c>
      <c r="BI13" s="39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 t="shared" si="32"/>
        <v/>
      </c>
      <c r="CJ13" s="38" t="str">
        <f t="shared" si="33"/>
        <v/>
      </c>
      <c r="CK13" s="40" t="str">
        <f t="shared" si="34"/>
        <v/>
      </c>
      <c r="CL13" s="40" t="str">
        <f t="shared" si="35"/>
        <v/>
      </c>
      <c r="CM13" s="40" t="str">
        <f t="shared" si="36"/>
        <v/>
      </c>
      <c r="CN13" s="40" t="str">
        <f t="shared" si="37"/>
        <v/>
      </c>
      <c r="CO13" s="40" t="str">
        <f t="shared" si="38"/>
        <v/>
      </c>
      <c r="CP13" s="40" t="str">
        <f t="shared" si="39"/>
        <v/>
      </c>
      <c r="CQ13" s="40" t="str">
        <f t="shared" si="40"/>
        <v/>
      </c>
      <c r="CR13" s="40" t="str">
        <f t="shared" si="41"/>
        <v/>
      </c>
      <c r="CS13" s="40" t="str">
        <f t="shared" si="42"/>
        <v/>
      </c>
      <c r="CT13" s="51">
        <f t="shared" si="43"/>
        <v>43.33</v>
      </c>
      <c r="CU13" s="51">
        <f t="shared" si="44"/>
        <v>44.349999999999994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 t="shared" si="45"/>
        <v/>
      </c>
      <c r="DQ13" s="40" t="str">
        <f t="shared" si="46"/>
        <v/>
      </c>
      <c r="DR13" s="40" t="str">
        <f t="shared" si="47"/>
        <v/>
      </c>
      <c r="DS13" s="40" t="str">
        <f t="shared" si="48"/>
        <v/>
      </c>
      <c r="DT13" s="40" t="str">
        <f t="shared" si="49"/>
        <v/>
      </c>
      <c r="DU13" s="40" t="str">
        <f t="shared" si="50"/>
        <v/>
      </c>
      <c r="DV13" s="40" t="str">
        <f t="shared" si="51"/>
        <v/>
      </c>
      <c r="DW13" s="40" t="str">
        <f t="shared" si="52"/>
        <v/>
      </c>
      <c r="DX13" s="40" t="str">
        <f t="shared" si="53"/>
        <v/>
      </c>
      <c r="DY13" s="40" t="str">
        <f t="shared" si="54"/>
        <v/>
      </c>
      <c r="DZ13" s="40" t="str">
        <f t="shared" si="55"/>
        <v/>
      </c>
      <c r="EA13" s="40" t="str">
        <f t="shared" si="56"/>
        <v/>
      </c>
      <c r="EB13" s="40" t="str">
        <f t="shared" si="57"/>
        <v/>
      </c>
      <c r="EC13" s="40" t="str">
        <f t="shared" si="58"/>
        <v/>
      </c>
      <c r="ED13" s="18">
        <v>7.15</v>
      </c>
      <c r="EE13" s="18">
        <v>9.5</v>
      </c>
      <c r="EF13" s="18">
        <v>9</v>
      </c>
      <c r="EG13" s="18">
        <v>17.68</v>
      </c>
      <c r="EH13" s="18">
        <v>0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>
        <v>7.45</v>
      </c>
      <c r="ET13" s="18">
        <v>9.1999999999999993</v>
      </c>
      <c r="EU13" s="18">
        <v>9</v>
      </c>
      <c r="EV13" s="18">
        <v>18.7</v>
      </c>
      <c r="EW13" s="18">
        <v>0</v>
      </c>
      <c r="EX13" s="11">
        <f t="shared" si="59"/>
        <v>9</v>
      </c>
      <c r="EY13" s="11">
        <f t="shared" si="60"/>
        <v>17.68</v>
      </c>
      <c r="EZ13" s="11">
        <f t="shared" si="61"/>
        <v>43.33</v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>
        <f t="shared" si="65"/>
        <v>43.33</v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>
        <f t="shared" si="69"/>
        <v>9</v>
      </c>
      <c r="FI13" s="11">
        <f t="shared" si="70"/>
        <v>18.7</v>
      </c>
      <c r="FJ13" s="11">
        <f t="shared" si="71"/>
        <v>44.349999999999994</v>
      </c>
      <c r="FK13" s="11">
        <f t="shared" si="72"/>
        <v>87.679999999999993</v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 t="shared" si="73"/>
        <v/>
      </c>
      <c r="GG13" s="40" t="str">
        <f t="shared" si="74"/>
        <v/>
      </c>
      <c r="GH13" s="40" t="str">
        <f t="shared" si="75"/>
        <v/>
      </c>
      <c r="GI13" s="40" t="str">
        <f t="shared" si="76"/>
        <v/>
      </c>
      <c r="GJ13" s="40" t="str">
        <f t="shared" si="77"/>
        <v/>
      </c>
      <c r="GK13" s="40" t="str">
        <f t="shared" si="78"/>
        <v/>
      </c>
      <c r="GL13" s="40" t="str">
        <f t="shared" si="79"/>
        <v/>
      </c>
      <c r="GM13" s="40" t="str">
        <f t="shared" si="80"/>
        <v/>
      </c>
      <c r="GN13" s="40" t="str">
        <f t="shared" si="81"/>
        <v/>
      </c>
      <c r="GO13" s="40" t="str">
        <f t="shared" si="82"/>
        <v/>
      </c>
      <c r="GP13" s="40" t="str">
        <f t="shared" si="83"/>
        <v/>
      </c>
      <c r="GQ13" s="40" t="str">
        <f t="shared" si="84"/>
        <v/>
      </c>
      <c r="GR13" s="40" t="str">
        <f t="shared" si="85"/>
        <v/>
      </c>
      <c r="GS13" s="40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 t="shared" si="101"/>
        <v/>
      </c>
      <c r="IW13" s="40" t="str">
        <f t="shared" si="102"/>
        <v/>
      </c>
      <c r="IX13" s="40" t="str">
        <f t="shared" si="103"/>
        <v/>
      </c>
      <c r="IY13" s="40" t="str">
        <f t="shared" si="104"/>
        <v/>
      </c>
      <c r="IZ13" s="40" t="str">
        <f t="shared" si="105"/>
        <v/>
      </c>
      <c r="JA13" s="40" t="str">
        <f t="shared" si="106"/>
        <v/>
      </c>
      <c r="JB13" s="40" t="str">
        <f t="shared" si="107"/>
        <v/>
      </c>
      <c r="JC13" s="40" t="str">
        <f t="shared" si="108"/>
        <v/>
      </c>
      <c r="JD13" s="40" t="str">
        <f t="shared" si="109"/>
        <v/>
      </c>
      <c r="JE13" s="40" t="str">
        <f t="shared" si="110"/>
        <v/>
      </c>
      <c r="JF13" s="40" t="str">
        <f t="shared" si="111"/>
        <v/>
      </c>
      <c r="JG13" s="40" t="str">
        <f t="shared" si="112"/>
        <v/>
      </c>
      <c r="JH13" s="40" t="str">
        <f t="shared" si="113"/>
        <v/>
      </c>
      <c r="JI13" s="40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 t="shared" si="129"/>
        <v/>
      </c>
      <c r="LM13" s="40" t="str">
        <f t="shared" si="130"/>
        <v/>
      </c>
      <c r="LN13" s="40" t="str">
        <f t="shared" si="131"/>
        <v/>
      </c>
      <c r="LO13" s="40" t="str">
        <f t="shared" si="132"/>
        <v/>
      </c>
      <c r="LP13" s="40" t="str">
        <f t="shared" si="133"/>
        <v/>
      </c>
      <c r="LQ13" s="40" t="str">
        <f t="shared" si="134"/>
        <v/>
      </c>
      <c r="LR13" s="40" t="str">
        <f t="shared" si="135"/>
        <v/>
      </c>
      <c r="LS13" s="40" t="str">
        <f t="shared" si="136"/>
        <v/>
      </c>
      <c r="LT13" s="40" t="str">
        <f t="shared" si="137"/>
        <v/>
      </c>
      <c r="LU13" s="40" t="str">
        <f t="shared" si="138"/>
        <v/>
      </c>
      <c r="LV13" s="40" t="str">
        <f t="shared" si="139"/>
        <v/>
      </c>
      <c r="LW13" s="40" t="str">
        <f t="shared" si="140"/>
        <v/>
      </c>
      <c r="LX13" s="40" t="str">
        <f t="shared" si="141"/>
        <v/>
      </c>
      <c r="LY13" s="40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 t="shared" si="157"/>
        <v/>
      </c>
      <c r="OC13" s="40" t="str">
        <f t="shared" si="158"/>
        <v/>
      </c>
      <c r="OD13" s="40" t="str">
        <f t="shared" si="159"/>
        <v/>
      </c>
      <c r="OE13" s="40" t="str">
        <f t="shared" si="160"/>
        <v/>
      </c>
      <c r="OF13" s="40" t="str">
        <f t="shared" si="161"/>
        <v/>
      </c>
      <c r="OG13" s="40" t="str">
        <f t="shared" si="162"/>
        <v/>
      </c>
      <c r="OH13" s="40" t="str">
        <f t="shared" si="163"/>
        <v/>
      </c>
      <c r="OI13" s="40" t="str">
        <f t="shared" si="164"/>
        <v/>
      </c>
      <c r="OJ13" s="40" t="str">
        <f t="shared" si="165"/>
        <v/>
      </c>
      <c r="OK13" s="40" t="str">
        <f t="shared" si="166"/>
        <v/>
      </c>
      <c r="OL13" s="40" t="str">
        <f t="shared" si="167"/>
        <v/>
      </c>
      <c r="OM13" s="40" t="str">
        <f t="shared" si="168"/>
        <v/>
      </c>
      <c r="ON13" s="40" t="str">
        <f t="shared" si="169"/>
        <v/>
      </c>
      <c r="OO13" s="40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 t="shared" si="185"/>
        <v/>
      </c>
      <c r="QS13" s="40" t="str">
        <f t="shared" si="186"/>
        <v/>
      </c>
      <c r="QT13" s="40" t="str">
        <f t="shared" si="187"/>
        <v/>
      </c>
      <c r="QU13" s="40" t="str">
        <f t="shared" si="188"/>
        <v/>
      </c>
      <c r="QV13" s="40" t="str">
        <f t="shared" si="189"/>
        <v/>
      </c>
      <c r="QW13" s="40" t="str">
        <f t="shared" si="190"/>
        <v/>
      </c>
      <c r="QX13" s="40" t="str">
        <f t="shared" si="191"/>
        <v/>
      </c>
      <c r="QY13" s="40" t="str">
        <f t="shared" si="192"/>
        <v/>
      </c>
      <c r="QZ13" s="40" t="str">
        <f t="shared" si="193"/>
        <v/>
      </c>
      <c r="RA13" s="40" t="str">
        <f t="shared" si="194"/>
        <v/>
      </c>
      <c r="RB13" s="40" t="str">
        <f t="shared" si="195"/>
        <v/>
      </c>
      <c r="RC13" s="40" t="str">
        <f t="shared" si="196"/>
        <v/>
      </c>
      <c r="RD13" s="40" t="str">
        <f t="shared" si="197"/>
        <v/>
      </c>
      <c r="RE13" s="40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 t="shared" si="213"/>
        <v/>
      </c>
      <c r="TI13" s="40" t="str">
        <f t="shared" si="214"/>
        <v/>
      </c>
      <c r="TJ13" s="40" t="str">
        <f t="shared" si="215"/>
        <v/>
      </c>
      <c r="TK13" s="40" t="str">
        <f t="shared" si="216"/>
        <v/>
      </c>
      <c r="TL13" s="40" t="str">
        <f t="shared" si="217"/>
        <v/>
      </c>
      <c r="TM13" s="40" t="str">
        <f t="shared" si="218"/>
        <v/>
      </c>
      <c r="TN13" s="40" t="str">
        <f t="shared" si="219"/>
        <v/>
      </c>
      <c r="TO13" s="40" t="str">
        <f t="shared" si="220"/>
        <v/>
      </c>
      <c r="TP13" s="40" t="str">
        <f t="shared" si="221"/>
        <v/>
      </c>
      <c r="TQ13" s="40" t="str">
        <f t="shared" si="222"/>
        <v/>
      </c>
      <c r="TR13" s="40" t="str">
        <f t="shared" si="223"/>
        <v/>
      </c>
      <c r="TS13" s="40" t="str">
        <f t="shared" si="224"/>
        <v/>
      </c>
      <c r="TT13" s="40" t="str">
        <f t="shared" si="225"/>
        <v/>
      </c>
      <c r="TU13" s="40" t="str">
        <f t="shared" si="226"/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 t="shared" si="227"/>
        <v/>
      </c>
      <c r="UQ13" s="11" t="str">
        <f t="shared" si="228"/>
        <v/>
      </c>
      <c r="UR13" s="11" t="str">
        <f t="shared" si="229"/>
        <v/>
      </c>
      <c r="US13" s="11" t="str">
        <f t="shared" si="230"/>
        <v/>
      </c>
      <c r="UT13" s="11" t="str">
        <f t="shared" si="231"/>
        <v/>
      </c>
      <c r="UU13" s="11" t="str">
        <f t="shared" si="232"/>
        <v/>
      </c>
      <c r="UV13" s="11" t="str">
        <f t="shared" si="233"/>
        <v/>
      </c>
      <c r="UW13" s="11" t="str">
        <f t="shared" si="234"/>
        <v/>
      </c>
      <c r="UX13" s="11" t="str">
        <f t="shared" si="235"/>
        <v/>
      </c>
      <c r="UY13" s="11" t="str">
        <f t="shared" si="236"/>
        <v/>
      </c>
      <c r="UZ13" s="11" t="str">
        <f t="shared" si="237"/>
        <v/>
      </c>
      <c r="VA13" s="11" t="str">
        <f t="shared" si="238"/>
        <v/>
      </c>
      <c r="VB13" s="11" t="str">
        <f t="shared" si="239"/>
        <v/>
      </c>
      <c r="VC13" s="11" t="str">
        <f t="shared" si="240"/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 t="shared" si="241"/>
        <v/>
      </c>
      <c r="VY13" s="40" t="str">
        <f t="shared" si="242"/>
        <v/>
      </c>
      <c r="VZ13" s="40" t="str">
        <f t="shared" si="243"/>
        <v/>
      </c>
      <c r="WA13" s="40" t="str">
        <f t="shared" si="244"/>
        <v/>
      </c>
      <c r="WB13" s="40" t="str">
        <f t="shared" si="245"/>
        <v/>
      </c>
      <c r="WC13" s="40" t="str">
        <f t="shared" si="246"/>
        <v/>
      </c>
      <c r="WD13" s="40" t="str">
        <f t="shared" si="247"/>
        <v/>
      </c>
      <c r="WE13" s="40" t="str">
        <f t="shared" si="248"/>
        <v/>
      </c>
      <c r="WF13" s="40" t="str">
        <f t="shared" si="249"/>
        <v/>
      </c>
      <c r="WG13" s="40" t="str">
        <f t="shared" si="250"/>
        <v/>
      </c>
      <c r="WH13" s="40" t="str">
        <f t="shared" si="251"/>
        <v/>
      </c>
      <c r="WI13" s="40" t="str">
        <f t="shared" si="252"/>
        <v/>
      </c>
      <c r="WJ13" s="40" t="str">
        <f t="shared" si="253"/>
        <v/>
      </c>
      <c r="WK13" s="40" t="str">
        <f t="shared" si="254"/>
        <v/>
      </c>
      <c r="WL13" s="26">
        <f t="shared" si="255"/>
        <v>0</v>
      </c>
      <c r="WM13" s="26">
        <f t="shared" si="256"/>
        <v>0</v>
      </c>
      <c r="WN13" s="26">
        <f t="shared" si="257"/>
        <v>0</v>
      </c>
      <c r="WO13" s="26">
        <f t="shared" si="258"/>
        <v>0</v>
      </c>
      <c r="WP13" s="26">
        <f t="shared" si="259"/>
        <v>0</v>
      </c>
      <c r="WQ13" s="26">
        <f t="shared" si="260"/>
        <v>0</v>
      </c>
      <c r="WR13" s="26">
        <f t="shared" si="261"/>
        <v>0</v>
      </c>
      <c r="WS13" s="26">
        <f t="shared" si="262"/>
        <v>0</v>
      </c>
      <c r="WT13" s="26">
        <f t="shared" si="263"/>
        <v>0</v>
      </c>
      <c r="WU13" s="26">
        <f t="shared" si="264"/>
        <v>0</v>
      </c>
      <c r="WV13" s="26">
        <f t="shared" si="265"/>
        <v>0</v>
      </c>
      <c r="WW13" s="26">
        <f t="shared" si="266"/>
        <v>0</v>
      </c>
      <c r="WX13" s="26">
        <f t="shared" si="267"/>
        <v>0</v>
      </c>
      <c r="WY13" s="26">
        <f t="shared" si="268"/>
        <v>0</v>
      </c>
      <c r="WZ13" s="26">
        <f t="shared" si="269"/>
        <v>0</v>
      </c>
      <c r="XA13" s="28" t="s">
        <v>53</v>
      </c>
      <c r="XB13" s="11" t="str">
        <f t="shared" si="270"/>
        <v/>
      </c>
      <c r="XC13" s="11" t="str">
        <f t="shared" si="271"/>
        <v/>
      </c>
      <c r="XD13" s="11" t="str">
        <f t="shared" si="272"/>
        <v/>
      </c>
      <c r="XE13" s="11" t="str">
        <f t="shared" si="273"/>
        <v/>
      </c>
      <c r="XF13" s="11" t="str">
        <f t="shared" si="274"/>
        <v/>
      </c>
      <c r="XG13" s="11" t="str">
        <f t="shared" si="275"/>
        <v/>
      </c>
      <c r="XH13" s="11" t="str">
        <f t="shared" si="276"/>
        <v/>
      </c>
      <c r="XI13" s="11" t="str">
        <f t="shared" si="277"/>
        <v/>
      </c>
      <c r="XJ13" s="11" t="str">
        <f t="shared" si="278"/>
        <v/>
      </c>
      <c r="XK13" s="11" t="str">
        <f t="shared" si="279"/>
        <v/>
      </c>
      <c r="XL13" s="11" t="str">
        <f t="shared" si="280"/>
        <v/>
      </c>
    </row>
    <row r="14" spans="1:636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219</v>
      </c>
      <c r="C14" s="4" t="s">
        <v>163</v>
      </c>
      <c r="D14" s="4">
        <v>2009</v>
      </c>
      <c r="E14" s="9">
        <f t="shared" si="0"/>
        <v>43.05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43.05</v>
      </c>
      <c r="O14" s="11" t="str">
        <f t="shared" si="8"/>
        <v>(Final)</v>
      </c>
      <c r="P14" s="8" t="str">
        <f t="shared" si="9"/>
        <v>2024 Pan Am [Club] Championships (May 19)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 t="shared" si="10"/>
        <v/>
      </c>
      <c r="AH14" s="38" t="str">
        <f t="shared" si="11"/>
        <v/>
      </c>
      <c r="AI14" s="40" t="str">
        <f t="shared" si="12"/>
        <v/>
      </c>
      <c r="AJ14" s="40" t="str">
        <f t="shared" si="13"/>
        <v/>
      </c>
      <c r="AK14" s="40" t="str">
        <f t="shared" si="14"/>
        <v/>
      </c>
      <c r="AL14" s="40" t="str">
        <f t="shared" si="15"/>
        <v/>
      </c>
      <c r="AM14" s="40" t="str">
        <f t="shared" si="16"/>
        <v/>
      </c>
      <c r="AN14" s="40" t="str">
        <f t="shared" si="17"/>
        <v/>
      </c>
      <c r="AO14" s="40" t="str">
        <f t="shared" si="18"/>
        <v/>
      </c>
      <c r="AP14" s="40" t="str">
        <f t="shared" si="19"/>
        <v/>
      </c>
      <c r="AQ14" s="40" t="str">
        <f t="shared" si="20"/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 t="shared" si="21"/>
        <v/>
      </c>
      <c r="BI14" s="39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 t="shared" si="32"/>
        <v/>
      </c>
      <c r="CJ14" s="38" t="str">
        <f t="shared" si="33"/>
        <v/>
      </c>
      <c r="CK14" s="40" t="str">
        <f t="shared" si="34"/>
        <v/>
      </c>
      <c r="CL14" s="40" t="str">
        <f t="shared" si="35"/>
        <v/>
      </c>
      <c r="CM14" s="40" t="str">
        <f t="shared" si="36"/>
        <v/>
      </c>
      <c r="CN14" s="40" t="str">
        <f t="shared" si="37"/>
        <v/>
      </c>
      <c r="CO14" s="40" t="str">
        <f t="shared" si="38"/>
        <v/>
      </c>
      <c r="CP14" s="40" t="str">
        <f t="shared" si="39"/>
        <v/>
      </c>
      <c r="CQ14" s="40" t="str">
        <f t="shared" si="40"/>
        <v/>
      </c>
      <c r="CR14" s="40" t="str">
        <f t="shared" si="41"/>
        <v/>
      </c>
      <c r="CS14" s="40" t="str">
        <f t="shared" si="42"/>
        <v/>
      </c>
      <c r="CT14" s="51">
        <f t="shared" si="43"/>
        <v>42.42</v>
      </c>
      <c r="CU14" s="51">
        <f t="shared" si="44"/>
        <v>43.05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 t="shared" si="45"/>
        <v/>
      </c>
      <c r="DQ14" s="40" t="str">
        <f t="shared" si="46"/>
        <v/>
      </c>
      <c r="DR14" s="40" t="str">
        <f t="shared" si="47"/>
        <v/>
      </c>
      <c r="DS14" s="40" t="str">
        <f t="shared" si="48"/>
        <v/>
      </c>
      <c r="DT14" s="40" t="str">
        <f t="shared" si="49"/>
        <v/>
      </c>
      <c r="DU14" s="40" t="str">
        <f t="shared" si="50"/>
        <v/>
      </c>
      <c r="DV14" s="40" t="str">
        <f t="shared" si="51"/>
        <v/>
      </c>
      <c r="DW14" s="40" t="str">
        <f t="shared" si="52"/>
        <v/>
      </c>
      <c r="DX14" s="40" t="str">
        <f t="shared" si="53"/>
        <v/>
      </c>
      <c r="DY14" s="40" t="str">
        <f t="shared" si="54"/>
        <v/>
      </c>
      <c r="DZ14" s="40" t="str">
        <f t="shared" si="55"/>
        <v/>
      </c>
      <c r="EA14" s="40" t="str">
        <f t="shared" si="56"/>
        <v/>
      </c>
      <c r="EB14" s="40" t="str">
        <f t="shared" si="57"/>
        <v/>
      </c>
      <c r="EC14" s="40" t="str">
        <f t="shared" si="58"/>
        <v/>
      </c>
      <c r="ED14" s="18">
        <v>7.35</v>
      </c>
      <c r="EE14" s="18">
        <v>9.4499999999999993</v>
      </c>
      <c r="EF14" s="18">
        <v>8.3000000000000007</v>
      </c>
      <c r="EG14" s="18">
        <v>17.32</v>
      </c>
      <c r="EH14" s="18">
        <v>0</v>
      </c>
      <c r="EI14" s="18"/>
      <c r="EJ14" s="18"/>
      <c r="EK14" s="18"/>
      <c r="EL14" s="18"/>
      <c r="EM14" s="18"/>
      <c r="EN14" s="18">
        <v>7.25</v>
      </c>
      <c r="EO14" s="18">
        <v>8.9</v>
      </c>
      <c r="EP14" s="18">
        <v>8.3000000000000007</v>
      </c>
      <c r="EQ14" s="18">
        <v>18.600000000000001</v>
      </c>
      <c r="ER14" s="18">
        <v>0</v>
      </c>
      <c r="ES14" s="18">
        <v>7</v>
      </c>
      <c r="ET14" s="18">
        <v>9.25</v>
      </c>
      <c r="EU14" s="18">
        <v>8.3000000000000007</v>
      </c>
      <c r="EV14" s="18">
        <v>16.440000000000001</v>
      </c>
      <c r="EW14" s="18">
        <v>0</v>
      </c>
      <c r="EX14" s="11">
        <f t="shared" si="59"/>
        <v>8.3000000000000007</v>
      </c>
      <c r="EY14" s="11">
        <f t="shared" si="60"/>
        <v>17.32</v>
      </c>
      <c r="EZ14" s="11">
        <f t="shared" si="61"/>
        <v>42.42</v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>
        <f t="shared" si="65"/>
        <v>42.42</v>
      </c>
      <c r="FE14" s="11">
        <f t="shared" si="66"/>
        <v>8.3000000000000007</v>
      </c>
      <c r="FF14" s="11">
        <f t="shared" si="67"/>
        <v>18.600000000000001</v>
      </c>
      <c r="FG14" s="11">
        <f t="shared" si="68"/>
        <v>43.05</v>
      </c>
      <c r="FH14" s="11">
        <f t="shared" si="69"/>
        <v>8.3000000000000007</v>
      </c>
      <c r="FI14" s="11">
        <f t="shared" si="70"/>
        <v>16.440000000000001</v>
      </c>
      <c r="FJ14" s="11">
        <f t="shared" si="71"/>
        <v>40.99</v>
      </c>
      <c r="FK14" s="11">
        <f t="shared" si="72"/>
        <v>126.46000000000001</v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 t="shared" si="73"/>
        <v/>
      </c>
      <c r="GG14" s="40" t="str">
        <f t="shared" si="74"/>
        <v/>
      </c>
      <c r="GH14" s="40" t="str">
        <f t="shared" si="75"/>
        <v/>
      </c>
      <c r="GI14" s="40" t="str">
        <f t="shared" si="76"/>
        <v/>
      </c>
      <c r="GJ14" s="40" t="str">
        <f t="shared" si="77"/>
        <v/>
      </c>
      <c r="GK14" s="40" t="str">
        <f t="shared" si="78"/>
        <v/>
      </c>
      <c r="GL14" s="40" t="str">
        <f t="shared" si="79"/>
        <v/>
      </c>
      <c r="GM14" s="40" t="str">
        <f t="shared" si="80"/>
        <v/>
      </c>
      <c r="GN14" s="40" t="str">
        <f t="shared" si="81"/>
        <v/>
      </c>
      <c r="GO14" s="40" t="str">
        <f t="shared" si="82"/>
        <v/>
      </c>
      <c r="GP14" s="40" t="str">
        <f t="shared" si="83"/>
        <v/>
      </c>
      <c r="GQ14" s="40" t="str">
        <f t="shared" si="84"/>
        <v/>
      </c>
      <c r="GR14" s="40" t="str">
        <f t="shared" si="85"/>
        <v/>
      </c>
      <c r="GS14" s="40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 t="shared" si="101"/>
        <v/>
      </c>
      <c r="IW14" s="40" t="str">
        <f t="shared" si="102"/>
        <v/>
      </c>
      <c r="IX14" s="40" t="str">
        <f t="shared" si="103"/>
        <v/>
      </c>
      <c r="IY14" s="40" t="str">
        <f t="shared" si="104"/>
        <v/>
      </c>
      <c r="IZ14" s="40" t="str">
        <f t="shared" si="105"/>
        <v/>
      </c>
      <c r="JA14" s="40" t="str">
        <f t="shared" si="106"/>
        <v/>
      </c>
      <c r="JB14" s="40" t="str">
        <f t="shared" si="107"/>
        <v/>
      </c>
      <c r="JC14" s="40" t="str">
        <f t="shared" si="108"/>
        <v/>
      </c>
      <c r="JD14" s="40" t="str">
        <f t="shared" si="109"/>
        <v/>
      </c>
      <c r="JE14" s="40" t="str">
        <f t="shared" si="110"/>
        <v/>
      </c>
      <c r="JF14" s="40" t="str">
        <f t="shared" si="111"/>
        <v/>
      </c>
      <c r="JG14" s="40" t="str">
        <f t="shared" si="112"/>
        <v/>
      </c>
      <c r="JH14" s="40" t="str">
        <f t="shared" si="113"/>
        <v/>
      </c>
      <c r="JI14" s="40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 t="shared" si="129"/>
        <v/>
      </c>
      <c r="LM14" s="40" t="str">
        <f t="shared" si="130"/>
        <v/>
      </c>
      <c r="LN14" s="40" t="str">
        <f t="shared" si="131"/>
        <v/>
      </c>
      <c r="LO14" s="40" t="str">
        <f t="shared" si="132"/>
        <v/>
      </c>
      <c r="LP14" s="40" t="str">
        <f t="shared" si="133"/>
        <v/>
      </c>
      <c r="LQ14" s="40" t="str">
        <f t="shared" si="134"/>
        <v/>
      </c>
      <c r="LR14" s="40" t="str">
        <f t="shared" si="135"/>
        <v/>
      </c>
      <c r="LS14" s="40" t="str">
        <f t="shared" si="136"/>
        <v/>
      </c>
      <c r="LT14" s="40" t="str">
        <f t="shared" si="137"/>
        <v/>
      </c>
      <c r="LU14" s="40" t="str">
        <f t="shared" si="138"/>
        <v/>
      </c>
      <c r="LV14" s="40" t="str">
        <f t="shared" si="139"/>
        <v/>
      </c>
      <c r="LW14" s="40" t="str">
        <f t="shared" si="140"/>
        <v/>
      </c>
      <c r="LX14" s="40" t="str">
        <f t="shared" si="141"/>
        <v/>
      </c>
      <c r="LY14" s="40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 t="shared" si="157"/>
        <v/>
      </c>
      <c r="OC14" s="40" t="str">
        <f t="shared" si="158"/>
        <v/>
      </c>
      <c r="OD14" s="40" t="str">
        <f t="shared" si="159"/>
        <v/>
      </c>
      <c r="OE14" s="40" t="str">
        <f t="shared" si="160"/>
        <v/>
      </c>
      <c r="OF14" s="40" t="str">
        <f t="shared" si="161"/>
        <v/>
      </c>
      <c r="OG14" s="40" t="str">
        <f t="shared" si="162"/>
        <v/>
      </c>
      <c r="OH14" s="40" t="str">
        <f t="shared" si="163"/>
        <v/>
      </c>
      <c r="OI14" s="40" t="str">
        <f t="shared" si="164"/>
        <v/>
      </c>
      <c r="OJ14" s="40" t="str">
        <f t="shared" si="165"/>
        <v/>
      </c>
      <c r="OK14" s="40" t="str">
        <f t="shared" si="166"/>
        <v/>
      </c>
      <c r="OL14" s="40" t="str">
        <f t="shared" si="167"/>
        <v/>
      </c>
      <c r="OM14" s="40" t="str">
        <f t="shared" si="168"/>
        <v/>
      </c>
      <c r="ON14" s="40" t="str">
        <f t="shared" si="169"/>
        <v/>
      </c>
      <c r="OO14" s="40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 t="shared" si="185"/>
        <v/>
      </c>
      <c r="QS14" s="40" t="str">
        <f t="shared" si="186"/>
        <v/>
      </c>
      <c r="QT14" s="40" t="str">
        <f t="shared" si="187"/>
        <v/>
      </c>
      <c r="QU14" s="40" t="str">
        <f t="shared" si="188"/>
        <v/>
      </c>
      <c r="QV14" s="40" t="str">
        <f t="shared" si="189"/>
        <v/>
      </c>
      <c r="QW14" s="40" t="str">
        <f t="shared" si="190"/>
        <v/>
      </c>
      <c r="QX14" s="40" t="str">
        <f t="shared" si="191"/>
        <v/>
      </c>
      <c r="QY14" s="40" t="str">
        <f t="shared" si="192"/>
        <v/>
      </c>
      <c r="QZ14" s="40" t="str">
        <f t="shared" si="193"/>
        <v/>
      </c>
      <c r="RA14" s="40" t="str">
        <f t="shared" si="194"/>
        <v/>
      </c>
      <c r="RB14" s="40" t="str">
        <f t="shared" si="195"/>
        <v/>
      </c>
      <c r="RC14" s="40" t="str">
        <f t="shared" si="196"/>
        <v/>
      </c>
      <c r="RD14" s="40" t="str">
        <f t="shared" si="197"/>
        <v/>
      </c>
      <c r="RE14" s="40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 t="shared" si="213"/>
        <v/>
      </c>
      <c r="TI14" s="40" t="str">
        <f t="shared" si="214"/>
        <v/>
      </c>
      <c r="TJ14" s="40" t="str">
        <f t="shared" si="215"/>
        <v/>
      </c>
      <c r="TK14" s="40" t="str">
        <f t="shared" si="216"/>
        <v/>
      </c>
      <c r="TL14" s="40" t="str">
        <f t="shared" si="217"/>
        <v/>
      </c>
      <c r="TM14" s="40" t="str">
        <f t="shared" si="218"/>
        <v/>
      </c>
      <c r="TN14" s="40" t="str">
        <f t="shared" si="219"/>
        <v/>
      </c>
      <c r="TO14" s="40" t="str">
        <f t="shared" si="220"/>
        <v/>
      </c>
      <c r="TP14" s="40" t="str">
        <f t="shared" si="221"/>
        <v/>
      </c>
      <c r="TQ14" s="40" t="str">
        <f t="shared" si="222"/>
        <v/>
      </c>
      <c r="TR14" s="40" t="str">
        <f t="shared" si="223"/>
        <v/>
      </c>
      <c r="TS14" s="40" t="str">
        <f t="shared" si="224"/>
        <v/>
      </c>
      <c r="TT14" s="40" t="str">
        <f t="shared" si="225"/>
        <v/>
      </c>
      <c r="TU14" s="40" t="str">
        <f t="shared" si="226"/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 t="shared" si="227"/>
        <v/>
      </c>
      <c r="UQ14" s="11" t="str">
        <f t="shared" si="228"/>
        <v/>
      </c>
      <c r="UR14" s="11" t="str">
        <f t="shared" si="229"/>
        <v/>
      </c>
      <c r="US14" s="11" t="str">
        <f t="shared" si="230"/>
        <v/>
      </c>
      <c r="UT14" s="11" t="str">
        <f t="shared" si="231"/>
        <v/>
      </c>
      <c r="UU14" s="11" t="str">
        <f t="shared" si="232"/>
        <v/>
      </c>
      <c r="UV14" s="11" t="str">
        <f t="shared" si="233"/>
        <v/>
      </c>
      <c r="UW14" s="11" t="str">
        <f t="shared" si="234"/>
        <v/>
      </c>
      <c r="UX14" s="11" t="str">
        <f t="shared" si="235"/>
        <v/>
      </c>
      <c r="UY14" s="11" t="str">
        <f t="shared" si="236"/>
        <v/>
      </c>
      <c r="UZ14" s="11" t="str">
        <f t="shared" si="237"/>
        <v/>
      </c>
      <c r="VA14" s="11" t="str">
        <f t="shared" si="238"/>
        <v/>
      </c>
      <c r="VB14" s="11" t="str">
        <f t="shared" si="239"/>
        <v/>
      </c>
      <c r="VC14" s="11" t="str">
        <f t="shared" si="240"/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 t="shared" si="241"/>
        <v/>
      </c>
      <c r="VY14" s="40" t="str">
        <f t="shared" si="242"/>
        <v/>
      </c>
      <c r="VZ14" s="40" t="str">
        <f t="shared" si="243"/>
        <v/>
      </c>
      <c r="WA14" s="40" t="str">
        <f t="shared" si="244"/>
        <v/>
      </c>
      <c r="WB14" s="40" t="str">
        <f t="shared" si="245"/>
        <v/>
      </c>
      <c r="WC14" s="40" t="str">
        <f t="shared" si="246"/>
        <v/>
      </c>
      <c r="WD14" s="40" t="str">
        <f t="shared" si="247"/>
        <v/>
      </c>
      <c r="WE14" s="40" t="str">
        <f t="shared" si="248"/>
        <v/>
      </c>
      <c r="WF14" s="40" t="str">
        <f t="shared" si="249"/>
        <v/>
      </c>
      <c r="WG14" s="40" t="str">
        <f t="shared" si="250"/>
        <v/>
      </c>
      <c r="WH14" s="40" t="str">
        <f t="shared" si="251"/>
        <v/>
      </c>
      <c r="WI14" s="40" t="str">
        <f t="shared" si="252"/>
        <v/>
      </c>
      <c r="WJ14" s="40" t="str">
        <f t="shared" si="253"/>
        <v/>
      </c>
      <c r="WK14" s="40" t="str">
        <f t="shared" si="254"/>
        <v/>
      </c>
      <c r="WL14" s="26">
        <f t="shared" si="255"/>
        <v>0</v>
      </c>
      <c r="WM14" s="26">
        <f t="shared" si="256"/>
        <v>0</v>
      </c>
      <c r="WN14" s="26">
        <f t="shared" si="257"/>
        <v>0</v>
      </c>
      <c r="WO14" s="26">
        <f t="shared" si="258"/>
        <v>0</v>
      </c>
      <c r="WP14" s="26">
        <f t="shared" si="259"/>
        <v>0</v>
      </c>
      <c r="WQ14" s="26">
        <f t="shared" si="260"/>
        <v>0</v>
      </c>
      <c r="WR14" s="26">
        <f t="shared" si="261"/>
        <v>0</v>
      </c>
      <c r="WS14" s="26">
        <f t="shared" si="262"/>
        <v>0</v>
      </c>
      <c r="WT14" s="26">
        <f t="shared" si="263"/>
        <v>0</v>
      </c>
      <c r="WU14" s="26">
        <f t="shared" si="264"/>
        <v>0</v>
      </c>
      <c r="WV14" s="26">
        <f t="shared" si="265"/>
        <v>0</v>
      </c>
      <c r="WW14" s="26">
        <f t="shared" si="266"/>
        <v>0</v>
      </c>
      <c r="WX14" s="26">
        <f t="shared" si="267"/>
        <v>0</v>
      </c>
      <c r="WY14" s="26">
        <f t="shared" si="268"/>
        <v>0</v>
      </c>
      <c r="WZ14" s="26">
        <f t="shared" si="269"/>
        <v>0</v>
      </c>
      <c r="XA14" s="28" t="s">
        <v>53</v>
      </c>
      <c r="XB14" s="11" t="str">
        <f t="shared" si="270"/>
        <v/>
      </c>
      <c r="XC14" s="11" t="str">
        <f t="shared" si="271"/>
        <v/>
      </c>
      <c r="XD14" s="11" t="str">
        <f t="shared" si="272"/>
        <v/>
      </c>
      <c r="XE14" s="11" t="str">
        <f t="shared" si="273"/>
        <v/>
      </c>
      <c r="XF14" s="11" t="str">
        <f t="shared" si="274"/>
        <v/>
      </c>
      <c r="XG14" s="11" t="str">
        <f t="shared" si="275"/>
        <v/>
      </c>
      <c r="XH14" s="11" t="str">
        <f t="shared" si="276"/>
        <v/>
      </c>
      <c r="XI14" s="11" t="str">
        <f t="shared" si="277"/>
        <v/>
      </c>
      <c r="XJ14" s="11" t="str">
        <f t="shared" si="278"/>
        <v/>
      </c>
      <c r="XK14" s="11" t="str">
        <f t="shared" si="279"/>
        <v/>
      </c>
      <c r="XL14" s="11" t="str">
        <f t="shared" si="280"/>
        <v/>
      </c>
    </row>
    <row r="15" spans="1:636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214</v>
      </c>
      <c r="C15" s="4" t="s">
        <v>124</v>
      </c>
      <c r="D15" s="4" t="s">
        <v>141</v>
      </c>
      <c r="E15" s="9">
        <f t="shared" si="0"/>
        <v>35.349999999999994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35.349999999999994</v>
      </c>
      <c r="O15" s="11" t="str">
        <f t="shared" si="8"/>
        <v>(Prelim)</v>
      </c>
      <c r="P15" s="8" t="str">
        <f t="shared" si="9"/>
        <v>2024 Pan Am [Club] Championships (May 19)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 t="shared" si="10"/>
        <v/>
      </c>
      <c r="AH15" s="38" t="str">
        <f t="shared" si="11"/>
        <v/>
      </c>
      <c r="AI15" s="40" t="str">
        <f t="shared" si="12"/>
        <v/>
      </c>
      <c r="AJ15" s="40" t="str">
        <f t="shared" si="13"/>
        <v/>
      </c>
      <c r="AK15" s="40" t="str">
        <f t="shared" si="14"/>
        <v/>
      </c>
      <c r="AL15" s="40" t="str">
        <f t="shared" si="15"/>
        <v/>
      </c>
      <c r="AM15" s="40" t="str">
        <f t="shared" si="16"/>
        <v/>
      </c>
      <c r="AN15" s="40" t="str">
        <f t="shared" si="17"/>
        <v/>
      </c>
      <c r="AO15" s="40" t="str">
        <f t="shared" si="18"/>
        <v/>
      </c>
      <c r="AP15" s="40" t="str">
        <f t="shared" si="19"/>
        <v/>
      </c>
      <c r="AQ15" s="40" t="str">
        <f t="shared" si="20"/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 t="shared" si="21"/>
        <v/>
      </c>
      <c r="BI15" s="39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 t="shared" si="32"/>
        <v/>
      </c>
      <c r="CJ15" s="38" t="str">
        <f t="shared" si="33"/>
        <v/>
      </c>
      <c r="CK15" s="40" t="str">
        <f t="shared" si="34"/>
        <v/>
      </c>
      <c r="CL15" s="40" t="str">
        <f t="shared" si="35"/>
        <v/>
      </c>
      <c r="CM15" s="40" t="str">
        <f t="shared" si="36"/>
        <v/>
      </c>
      <c r="CN15" s="40" t="str">
        <f t="shared" si="37"/>
        <v/>
      </c>
      <c r="CO15" s="40" t="str">
        <f t="shared" si="38"/>
        <v/>
      </c>
      <c r="CP15" s="40" t="str">
        <f t="shared" si="39"/>
        <v/>
      </c>
      <c r="CQ15" s="40" t="str">
        <f t="shared" si="40"/>
        <v/>
      </c>
      <c r="CR15" s="40" t="str">
        <f t="shared" si="41"/>
        <v/>
      </c>
      <c r="CS15" s="40" t="str">
        <f t="shared" si="42"/>
        <v/>
      </c>
      <c r="CT15" s="51">
        <f t="shared" si="43"/>
        <v>35.349999999999994</v>
      </c>
      <c r="CU15" s="51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 t="shared" si="45"/>
        <v/>
      </c>
      <c r="DQ15" s="40" t="str">
        <f t="shared" si="46"/>
        <v/>
      </c>
      <c r="DR15" s="40" t="str">
        <f t="shared" si="47"/>
        <v/>
      </c>
      <c r="DS15" s="40" t="str">
        <f t="shared" si="48"/>
        <v/>
      </c>
      <c r="DT15" s="40" t="str">
        <f t="shared" si="49"/>
        <v/>
      </c>
      <c r="DU15" s="40" t="str">
        <f t="shared" si="50"/>
        <v/>
      </c>
      <c r="DV15" s="40" t="str">
        <f t="shared" si="51"/>
        <v/>
      </c>
      <c r="DW15" s="40" t="str">
        <f t="shared" si="52"/>
        <v/>
      </c>
      <c r="DX15" s="40" t="str">
        <f t="shared" si="53"/>
        <v/>
      </c>
      <c r="DY15" s="40" t="str">
        <f t="shared" si="54"/>
        <v/>
      </c>
      <c r="DZ15" s="40" t="str">
        <f t="shared" si="55"/>
        <v/>
      </c>
      <c r="EA15" s="40" t="str">
        <f t="shared" si="56"/>
        <v/>
      </c>
      <c r="EB15" s="40" t="str">
        <f t="shared" si="57"/>
        <v/>
      </c>
      <c r="EC15" s="40" t="str">
        <f t="shared" si="58"/>
        <v/>
      </c>
      <c r="ED15" s="18">
        <v>0.7</v>
      </c>
      <c r="EE15" s="18">
        <v>1</v>
      </c>
      <c r="EF15" s="18">
        <v>1.5</v>
      </c>
      <c r="EG15" s="18">
        <v>1.74</v>
      </c>
      <c r="EH15" s="18">
        <v>0</v>
      </c>
      <c r="EI15" s="18">
        <v>5.6</v>
      </c>
      <c r="EJ15" s="18">
        <v>7.25</v>
      </c>
      <c r="EK15" s="18">
        <v>8.8000000000000007</v>
      </c>
      <c r="EL15" s="18">
        <v>13.7</v>
      </c>
      <c r="EM15" s="18">
        <v>0</v>
      </c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>
        <f t="shared" si="59"/>
        <v>1.5</v>
      </c>
      <c r="EY15" s="11">
        <f t="shared" si="60"/>
        <v>1.74</v>
      </c>
      <c r="EZ15" s="11">
        <f t="shared" si="61"/>
        <v>4.9400000000000004</v>
      </c>
      <c r="FA15" s="11">
        <f t="shared" si="62"/>
        <v>8.8000000000000007</v>
      </c>
      <c r="FB15" s="11">
        <f t="shared" si="63"/>
        <v>13.7</v>
      </c>
      <c r="FC15" s="11">
        <f t="shared" si="64"/>
        <v>35.349999999999994</v>
      </c>
      <c r="FD15" s="11">
        <f t="shared" si="65"/>
        <v>35.349999999999994</v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>
        <f t="shared" si="72"/>
        <v>35.349999999999994</v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 t="shared" si="73"/>
        <v/>
      </c>
      <c r="GG15" s="40" t="str">
        <f t="shared" si="74"/>
        <v/>
      </c>
      <c r="GH15" s="40" t="str">
        <f t="shared" si="75"/>
        <v/>
      </c>
      <c r="GI15" s="40" t="str">
        <f t="shared" si="76"/>
        <v/>
      </c>
      <c r="GJ15" s="40" t="str">
        <f t="shared" si="77"/>
        <v/>
      </c>
      <c r="GK15" s="40" t="str">
        <f t="shared" si="78"/>
        <v/>
      </c>
      <c r="GL15" s="40" t="str">
        <f t="shared" si="79"/>
        <v/>
      </c>
      <c r="GM15" s="40" t="str">
        <f t="shared" si="80"/>
        <v/>
      </c>
      <c r="GN15" s="40" t="str">
        <f t="shared" si="81"/>
        <v/>
      </c>
      <c r="GO15" s="40" t="str">
        <f t="shared" si="82"/>
        <v/>
      </c>
      <c r="GP15" s="40" t="str">
        <f t="shared" si="83"/>
        <v/>
      </c>
      <c r="GQ15" s="40" t="str">
        <f t="shared" si="84"/>
        <v/>
      </c>
      <c r="GR15" s="40" t="str">
        <f t="shared" si="85"/>
        <v/>
      </c>
      <c r="GS15" s="40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 t="shared" si="101"/>
        <v/>
      </c>
      <c r="IW15" s="40" t="str">
        <f t="shared" si="102"/>
        <v/>
      </c>
      <c r="IX15" s="40" t="str">
        <f t="shared" si="103"/>
        <v/>
      </c>
      <c r="IY15" s="40" t="str">
        <f t="shared" si="104"/>
        <v/>
      </c>
      <c r="IZ15" s="40" t="str">
        <f t="shared" si="105"/>
        <v/>
      </c>
      <c r="JA15" s="40" t="str">
        <f t="shared" si="106"/>
        <v/>
      </c>
      <c r="JB15" s="40" t="str">
        <f t="shared" si="107"/>
        <v/>
      </c>
      <c r="JC15" s="40" t="str">
        <f t="shared" si="108"/>
        <v/>
      </c>
      <c r="JD15" s="40" t="str">
        <f t="shared" si="109"/>
        <v/>
      </c>
      <c r="JE15" s="40" t="str">
        <f t="shared" si="110"/>
        <v/>
      </c>
      <c r="JF15" s="40" t="str">
        <f t="shared" si="111"/>
        <v/>
      </c>
      <c r="JG15" s="40" t="str">
        <f t="shared" si="112"/>
        <v/>
      </c>
      <c r="JH15" s="40" t="str">
        <f t="shared" si="113"/>
        <v/>
      </c>
      <c r="JI15" s="40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 t="shared" si="129"/>
        <v/>
      </c>
      <c r="LM15" s="40" t="str">
        <f t="shared" si="130"/>
        <v/>
      </c>
      <c r="LN15" s="40" t="str">
        <f t="shared" si="131"/>
        <v/>
      </c>
      <c r="LO15" s="40" t="str">
        <f t="shared" si="132"/>
        <v/>
      </c>
      <c r="LP15" s="40" t="str">
        <f t="shared" si="133"/>
        <v/>
      </c>
      <c r="LQ15" s="40" t="str">
        <f t="shared" si="134"/>
        <v/>
      </c>
      <c r="LR15" s="40" t="str">
        <f t="shared" si="135"/>
        <v/>
      </c>
      <c r="LS15" s="40" t="str">
        <f t="shared" si="136"/>
        <v/>
      </c>
      <c r="LT15" s="40" t="str">
        <f t="shared" si="137"/>
        <v/>
      </c>
      <c r="LU15" s="40" t="str">
        <f t="shared" si="138"/>
        <v/>
      </c>
      <c r="LV15" s="40" t="str">
        <f t="shared" si="139"/>
        <v/>
      </c>
      <c r="LW15" s="40" t="str">
        <f t="shared" si="140"/>
        <v/>
      </c>
      <c r="LX15" s="40" t="str">
        <f t="shared" si="141"/>
        <v/>
      </c>
      <c r="LY15" s="40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 t="shared" si="157"/>
        <v/>
      </c>
      <c r="OC15" s="40" t="str">
        <f t="shared" si="158"/>
        <v/>
      </c>
      <c r="OD15" s="40" t="str">
        <f t="shared" si="159"/>
        <v/>
      </c>
      <c r="OE15" s="40" t="str">
        <f t="shared" si="160"/>
        <v/>
      </c>
      <c r="OF15" s="40" t="str">
        <f t="shared" si="161"/>
        <v/>
      </c>
      <c r="OG15" s="40" t="str">
        <f t="shared" si="162"/>
        <v/>
      </c>
      <c r="OH15" s="40" t="str">
        <f t="shared" si="163"/>
        <v/>
      </c>
      <c r="OI15" s="40" t="str">
        <f t="shared" si="164"/>
        <v/>
      </c>
      <c r="OJ15" s="40" t="str">
        <f t="shared" si="165"/>
        <v/>
      </c>
      <c r="OK15" s="40" t="str">
        <f t="shared" si="166"/>
        <v/>
      </c>
      <c r="OL15" s="40" t="str">
        <f t="shared" si="167"/>
        <v/>
      </c>
      <c r="OM15" s="40" t="str">
        <f t="shared" si="168"/>
        <v/>
      </c>
      <c r="ON15" s="40" t="str">
        <f t="shared" si="169"/>
        <v/>
      </c>
      <c r="OO15" s="40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 t="shared" si="185"/>
        <v/>
      </c>
      <c r="QS15" s="40" t="str">
        <f t="shared" si="186"/>
        <v/>
      </c>
      <c r="QT15" s="40" t="str">
        <f t="shared" si="187"/>
        <v/>
      </c>
      <c r="QU15" s="40" t="str">
        <f t="shared" si="188"/>
        <v/>
      </c>
      <c r="QV15" s="40" t="str">
        <f t="shared" si="189"/>
        <v/>
      </c>
      <c r="QW15" s="40" t="str">
        <f t="shared" si="190"/>
        <v/>
      </c>
      <c r="QX15" s="40" t="str">
        <f t="shared" si="191"/>
        <v/>
      </c>
      <c r="QY15" s="40" t="str">
        <f t="shared" si="192"/>
        <v/>
      </c>
      <c r="QZ15" s="40" t="str">
        <f t="shared" si="193"/>
        <v/>
      </c>
      <c r="RA15" s="40" t="str">
        <f t="shared" si="194"/>
        <v/>
      </c>
      <c r="RB15" s="40" t="str">
        <f t="shared" si="195"/>
        <v/>
      </c>
      <c r="RC15" s="40" t="str">
        <f t="shared" si="196"/>
        <v/>
      </c>
      <c r="RD15" s="40" t="str">
        <f t="shared" si="197"/>
        <v/>
      </c>
      <c r="RE15" s="40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 t="shared" si="213"/>
        <v/>
      </c>
      <c r="TI15" s="40" t="str">
        <f t="shared" si="214"/>
        <v/>
      </c>
      <c r="TJ15" s="40" t="str">
        <f t="shared" si="215"/>
        <v/>
      </c>
      <c r="TK15" s="40" t="str">
        <f t="shared" si="216"/>
        <v/>
      </c>
      <c r="TL15" s="40" t="str">
        <f t="shared" si="217"/>
        <v/>
      </c>
      <c r="TM15" s="40" t="str">
        <f t="shared" si="218"/>
        <v/>
      </c>
      <c r="TN15" s="40" t="str">
        <f t="shared" si="219"/>
        <v/>
      </c>
      <c r="TO15" s="40" t="str">
        <f t="shared" si="220"/>
        <v/>
      </c>
      <c r="TP15" s="40" t="str">
        <f t="shared" si="221"/>
        <v/>
      </c>
      <c r="TQ15" s="40" t="str">
        <f t="shared" si="222"/>
        <v/>
      </c>
      <c r="TR15" s="40" t="str">
        <f t="shared" si="223"/>
        <v/>
      </c>
      <c r="TS15" s="40" t="str">
        <f t="shared" si="224"/>
        <v/>
      </c>
      <c r="TT15" s="40" t="str">
        <f t="shared" si="225"/>
        <v/>
      </c>
      <c r="TU15" s="40" t="str">
        <f t="shared" si="226"/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 t="shared" si="227"/>
        <v/>
      </c>
      <c r="UQ15" s="11" t="str">
        <f t="shared" si="228"/>
        <v/>
      </c>
      <c r="UR15" s="11" t="str">
        <f t="shared" si="229"/>
        <v/>
      </c>
      <c r="US15" s="11" t="str">
        <f t="shared" si="230"/>
        <v/>
      </c>
      <c r="UT15" s="11" t="str">
        <f t="shared" si="231"/>
        <v/>
      </c>
      <c r="UU15" s="11" t="str">
        <f t="shared" si="232"/>
        <v/>
      </c>
      <c r="UV15" s="11" t="str">
        <f t="shared" si="233"/>
        <v/>
      </c>
      <c r="UW15" s="11" t="str">
        <f t="shared" si="234"/>
        <v/>
      </c>
      <c r="UX15" s="11" t="str">
        <f t="shared" si="235"/>
        <v/>
      </c>
      <c r="UY15" s="11" t="str">
        <f t="shared" si="236"/>
        <v/>
      </c>
      <c r="UZ15" s="11" t="str">
        <f t="shared" si="237"/>
        <v/>
      </c>
      <c r="VA15" s="11" t="str">
        <f t="shared" si="238"/>
        <v/>
      </c>
      <c r="VB15" s="11" t="str">
        <f t="shared" si="239"/>
        <v/>
      </c>
      <c r="VC15" s="11" t="str">
        <f t="shared" si="240"/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 t="shared" si="241"/>
        <v/>
      </c>
      <c r="VY15" s="40" t="str">
        <f t="shared" si="242"/>
        <v/>
      </c>
      <c r="VZ15" s="40" t="str">
        <f t="shared" si="243"/>
        <v/>
      </c>
      <c r="WA15" s="40" t="str">
        <f t="shared" si="244"/>
        <v/>
      </c>
      <c r="WB15" s="40" t="str">
        <f t="shared" si="245"/>
        <v/>
      </c>
      <c r="WC15" s="40" t="str">
        <f t="shared" si="246"/>
        <v/>
      </c>
      <c r="WD15" s="40" t="str">
        <f t="shared" si="247"/>
        <v/>
      </c>
      <c r="WE15" s="40" t="str">
        <f t="shared" si="248"/>
        <v/>
      </c>
      <c r="WF15" s="40" t="str">
        <f t="shared" si="249"/>
        <v/>
      </c>
      <c r="WG15" s="40" t="str">
        <f t="shared" si="250"/>
        <v/>
      </c>
      <c r="WH15" s="40" t="str">
        <f t="shared" si="251"/>
        <v/>
      </c>
      <c r="WI15" s="40" t="str">
        <f t="shared" si="252"/>
        <v/>
      </c>
      <c r="WJ15" s="40" t="str">
        <f t="shared" si="253"/>
        <v/>
      </c>
      <c r="WK15" s="40" t="str">
        <f t="shared" si="254"/>
        <v/>
      </c>
      <c r="WL15" s="26">
        <f t="shared" si="255"/>
        <v>0</v>
      </c>
      <c r="WM15" s="26">
        <f t="shared" si="256"/>
        <v>0</v>
      </c>
      <c r="WN15" s="26">
        <f t="shared" si="257"/>
        <v>0</v>
      </c>
      <c r="WO15" s="26">
        <f t="shared" si="258"/>
        <v>0</v>
      </c>
      <c r="WP15" s="26">
        <f t="shared" si="259"/>
        <v>0</v>
      </c>
      <c r="WQ15" s="26">
        <f t="shared" si="260"/>
        <v>0</v>
      </c>
      <c r="WR15" s="26">
        <f t="shared" si="261"/>
        <v>0</v>
      </c>
      <c r="WS15" s="26">
        <f t="shared" si="262"/>
        <v>0</v>
      </c>
      <c r="WT15" s="26">
        <f t="shared" si="263"/>
        <v>0</v>
      </c>
      <c r="WU15" s="26">
        <f t="shared" si="264"/>
        <v>0</v>
      </c>
      <c r="WV15" s="26">
        <f t="shared" si="265"/>
        <v>0</v>
      </c>
      <c r="WW15" s="26">
        <f t="shared" si="266"/>
        <v>0</v>
      </c>
      <c r="WX15" s="26">
        <f t="shared" si="267"/>
        <v>0</v>
      </c>
      <c r="WY15" s="26">
        <f t="shared" si="268"/>
        <v>0</v>
      </c>
      <c r="WZ15" s="26">
        <f t="shared" si="269"/>
        <v>0</v>
      </c>
      <c r="XA15" s="28" t="s">
        <v>53</v>
      </c>
      <c r="XB15" s="11" t="str">
        <f t="shared" si="270"/>
        <v/>
      </c>
      <c r="XC15" s="11" t="str">
        <f t="shared" si="271"/>
        <v/>
      </c>
      <c r="XD15" s="11" t="str">
        <f t="shared" si="272"/>
        <v/>
      </c>
      <c r="XE15" s="11" t="str">
        <f t="shared" si="273"/>
        <v/>
      </c>
      <c r="XF15" s="11" t="str">
        <f t="shared" si="274"/>
        <v/>
      </c>
      <c r="XG15" s="11" t="str">
        <f t="shared" si="275"/>
        <v/>
      </c>
      <c r="XH15" s="11" t="str">
        <f t="shared" si="276"/>
        <v/>
      </c>
      <c r="XI15" s="11" t="str">
        <f t="shared" si="277"/>
        <v/>
      </c>
      <c r="XJ15" s="11" t="str">
        <f t="shared" si="278"/>
        <v/>
      </c>
      <c r="XK15" s="11" t="str">
        <f t="shared" si="279"/>
        <v/>
      </c>
      <c r="XL15" s="11" t="str">
        <f t="shared" si="280"/>
        <v/>
      </c>
    </row>
    <row r="16" spans="1:636" x14ac:dyDescent="0.2">
      <c r="B16" s="5"/>
      <c r="D16" s="1"/>
    </row>
    <row r="17" spans="1:609" x14ac:dyDescent="0.2">
      <c r="G17" s="36"/>
      <c r="I17" s="36"/>
    </row>
    <row r="18" spans="1:609" x14ac:dyDescent="0.2">
      <c r="B18" s="23" t="s">
        <v>51</v>
      </c>
      <c r="C18" s="5"/>
      <c r="G18" s="3"/>
      <c r="AJ18" s="41"/>
      <c r="AK18" s="41"/>
      <c r="AL18" s="41"/>
      <c r="AN18" s="32"/>
      <c r="AO18" s="32"/>
      <c r="AQ18" s="42">
        <v>10.4</v>
      </c>
      <c r="BK18" s="41"/>
      <c r="BL18" s="41"/>
      <c r="BM18" s="41"/>
      <c r="BO18" s="32"/>
      <c r="BP18" s="32"/>
      <c r="BR18" s="42">
        <v>10.4</v>
      </c>
      <c r="CL18" s="41"/>
      <c r="CM18" s="41"/>
      <c r="CN18" s="41"/>
      <c r="CP18" s="32"/>
      <c r="CQ18" s="32"/>
      <c r="CS18" s="42">
        <v>11</v>
      </c>
      <c r="DP18" s="5"/>
      <c r="DQ18" s="5"/>
      <c r="DZ18" s="2"/>
      <c r="EA18" s="2"/>
      <c r="EC18" s="42">
        <v>10.4</v>
      </c>
      <c r="EX18" s="5"/>
      <c r="EY18" s="5"/>
      <c r="FH18" s="2"/>
      <c r="FI18" s="2"/>
      <c r="FK18" s="42">
        <v>10.4</v>
      </c>
      <c r="GF18" s="5"/>
      <c r="GG18" s="5"/>
      <c r="GP18" s="2"/>
      <c r="GQ18" s="2"/>
      <c r="GS18" s="42">
        <v>10.4</v>
      </c>
      <c r="HN18" s="5"/>
      <c r="HO18" s="5"/>
      <c r="HX18" s="2"/>
      <c r="HY18" s="2"/>
      <c r="IA18" s="42">
        <v>10.4</v>
      </c>
      <c r="IV18" s="5"/>
      <c r="IW18" s="5"/>
      <c r="JF18" s="2"/>
      <c r="JG18" s="2"/>
      <c r="JI18" s="42">
        <v>11</v>
      </c>
      <c r="KD18" s="5"/>
      <c r="KE18" s="5"/>
      <c r="KN18" s="2"/>
      <c r="KO18" s="2"/>
      <c r="KQ18" s="42">
        <v>11</v>
      </c>
      <c r="LL18" s="5"/>
      <c r="LM18" s="5"/>
      <c r="LV18" s="2"/>
      <c r="LW18" s="2"/>
      <c r="LY18" s="42">
        <v>11</v>
      </c>
      <c r="MT18" s="5"/>
      <c r="MU18" s="5"/>
      <c r="ND18" s="2"/>
      <c r="NE18" s="2"/>
      <c r="NG18" s="42">
        <v>11</v>
      </c>
      <c r="OB18" s="5"/>
      <c r="OC18" s="5"/>
      <c r="OL18" s="2"/>
      <c r="OM18" s="2"/>
      <c r="OO18" s="42">
        <v>11</v>
      </c>
      <c r="PJ18" s="5"/>
      <c r="PK18" s="5"/>
      <c r="PT18" s="2"/>
      <c r="PU18" s="2"/>
      <c r="PW18" s="42">
        <v>11</v>
      </c>
      <c r="QR18" s="5"/>
      <c r="QS18" s="5"/>
      <c r="RB18" s="2"/>
      <c r="RC18" s="2"/>
      <c r="RE18" s="42">
        <v>11</v>
      </c>
      <c r="RZ18" s="5"/>
      <c r="SA18" s="5"/>
      <c r="SJ18" s="2"/>
      <c r="SK18" s="2"/>
      <c r="SM18" s="42">
        <v>11</v>
      </c>
      <c r="TH18" s="5"/>
      <c r="TI18" s="5"/>
      <c r="TR18" s="2"/>
      <c r="TS18" s="2"/>
      <c r="TU18" s="42">
        <v>11</v>
      </c>
      <c r="UP18" s="5"/>
      <c r="UQ18" s="5"/>
      <c r="UZ18" s="2"/>
      <c r="VA18" s="2"/>
      <c r="VC18" s="42">
        <v>11</v>
      </c>
      <c r="VX18" s="5"/>
      <c r="VY18" s="5"/>
      <c r="WH18" s="2"/>
      <c r="WI18" s="2"/>
      <c r="WK18" s="42">
        <v>11</v>
      </c>
    </row>
    <row r="19" spans="1:609" x14ac:dyDescent="0.2">
      <c r="B19" s="30" t="s">
        <v>50</v>
      </c>
      <c r="C19" s="5"/>
      <c r="P19" s="2"/>
      <c r="AJ19" s="41"/>
      <c r="AK19" s="41"/>
      <c r="AL19" s="41"/>
      <c r="AN19" s="32"/>
      <c r="AO19" s="32"/>
      <c r="AQ19" s="43">
        <v>11.2</v>
      </c>
      <c r="BK19" s="41"/>
      <c r="BL19" s="41"/>
      <c r="BM19" s="41"/>
      <c r="BO19" s="32"/>
      <c r="BP19" s="32"/>
      <c r="BR19" s="43">
        <v>11.2</v>
      </c>
      <c r="CL19" s="41"/>
      <c r="CM19" s="41"/>
      <c r="CN19" s="41"/>
      <c r="CP19" s="32"/>
      <c r="CQ19" s="32"/>
      <c r="CS19" s="43">
        <v>11.4</v>
      </c>
      <c r="DP19" s="5"/>
      <c r="DQ19" s="5"/>
      <c r="DZ19" s="2"/>
      <c r="EA19" s="2"/>
      <c r="EC19" s="43">
        <v>11.2</v>
      </c>
      <c r="EX19" s="5"/>
      <c r="EY19" s="5"/>
      <c r="FH19" s="2"/>
      <c r="FI19" s="2"/>
      <c r="FK19" s="43">
        <v>11.2</v>
      </c>
      <c r="GF19" s="5"/>
      <c r="GG19" s="5"/>
      <c r="GP19" s="2"/>
      <c r="GQ19" s="2"/>
      <c r="GS19" s="43">
        <v>11.2</v>
      </c>
      <c r="HN19" s="5"/>
      <c r="HO19" s="5"/>
      <c r="HX19" s="2"/>
      <c r="HY19" s="2"/>
      <c r="IA19" s="43">
        <v>11.2</v>
      </c>
      <c r="IV19" s="5"/>
      <c r="IW19" s="5"/>
      <c r="JF19" s="2"/>
      <c r="JG19" s="2"/>
      <c r="JI19" s="43">
        <v>11.4</v>
      </c>
      <c r="KD19" s="5"/>
      <c r="KE19" s="5"/>
      <c r="KN19" s="2"/>
      <c r="KO19" s="2"/>
      <c r="KQ19" s="43">
        <v>11.4</v>
      </c>
      <c r="LL19" s="5"/>
      <c r="LM19" s="5"/>
      <c r="LV19" s="2"/>
      <c r="LW19" s="2"/>
      <c r="LY19" s="43">
        <v>11.4</v>
      </c>
      <c r="MT19" s="5"/>
      <c r="MU19" s="5"/>
      <c r="ND19" s="2"/>
      <c r="NE19" s="2"/>
      <c r="NG19" s="43">
        <v>11.4</v>
      </c>
      <c r="OB19" s="5"/>
      <c r="OC19" s="5"/>
      <c r="OL19" s="2"/>
      <c r="OM19" s="2"/>
      <c r="OO19" s="43">
        <v>11.4</v>
      </c>
      <c r="PJ19" s="5"/>
      <c r="PK19" s="5"/>
      <c r="PT19" s="2"/>
      <c r="PU19" s="2"/>
      <c r="PW19" s="43">
        <v>11.4</v>
      </c>
      <c r="QR19" s="5"/>
      <c r="QS19" s="5"/>
      <c r="RB19" s="2"/>
      <c r="RC19" s="2"/>
      <c r="RE19" s="43">
        <v>11.4</v>
      </c>
      <c r="RZ19" s="5"/>
      <c r="SA19" s="5"/>
      <c r="SJ19" s="2"/>
      <c r="SK19" s="2"/>
      <c r="SM19" s="43">
        <v>11.4</v>
      </c>
      <c r="TH19" s="5"/>
      <c r="TI19" s="5"/>
      <c r="TR19" s="2"/>
      <c r="TS19" s="2"/>
      <c r="TU19" s="43">
        <v>11.4</v>
      </c>
      <c r="UP19" s="5"/>
      <c r="UQ19" s="5"/>
      <c r="UZ19" s="2"/>
      <c r="VA19" s="2"/>
      <c r="VC19" s="43">
        <v>11.4</v>
      </c>
      <c r="VX19" s="5"/>
      <c r="VY19" s="5"/>
      <c r="WH19" s="2"/>
      <c r="WI19" s="2"/>
      <c r="WK19" s="43">
        <v>11.4</v>
      </c>
    </row>
    <row r="20" spans="1:609" x14ac:dyDescent="0.2">
      <c r="A20" s="5"/>
      <c r="B20" s="31" t="s">
        <v>63</v>
      </c>
      <c r="C20" s="5"/>
      <c r="E20" s="2"/>
      <c r="AJ20" s="41"/>
      <c r="AK20" s="41"/>
      <c r="AL20" s="41"/>
      <c r="AM20" s="32"/>
      <c r="AN20" s="32"/>
      <c r="AO20" s="32"/>
      <c r="AP20" s="32"/>
      <c r="AQ20" s="44">
        <v>12</v>
      </c>
      <c r="BK20" s="41"/>
      <c r="BL20" s="41"/>
      <c r="BM20" s="41"/>
      <c r="BO20" s="32"/>
      <c r="BP20" s="32"/>
      <c r="BR20" s="44">
        <v>12</v>
      </c>
      <c r="CL20" s="41"/>
      <c r="CM20" s="41"/>
      <c r="CN20" s="41"/>
      <c r="CO20" s="32"/>
      <c r="CP20" s="32"/>
      <c r="CQ20" s="32"/>
      <c r="CR20" s="32"/>
      <c r="CS20" s="44">
        <v>12.4</v>
      </c>
      <c r="DP20" s="5"/>
      <c r="DQ20" s="5"/>
      <c r="DZ20" s="2"/>
      <c r="EA20" s="2"/>
      <c r="EC20" s="44">
        <v>12</v>
      </c>
      <c r="EX20" s="5"/>
      <c r="EY20" s="5"/>
      <c r="FH20" s="2"/>
      <c r="FI20" s="2"/>
      <c r="FK20" s="44">
        <v>12</v>
      </c>
      <c r="GF20" s="5"/>
      <c r="GG20" s="5"/>
      <c r="GP20" s="2"/>
      <c r="GQ20" s="2"/>
      <c r="GS20" s="44">
        <v>12</v>
      </c>
      <c r="HN20" s="5"/>
      <c r="HO20" s="5"/>
      <c r="HX20" s="2"/>
      <c r="HY20" s="2"/>
      <c r="IA20" s="44">
        <v>12</v>
      </c>
      <c r="IV20" s="5"/>
      <c r="IW20" s="5"/>
      <c r="JF20" s="2"/>
      <c r="JG20" s="2"/>
      <c r="JI20" s="44">
        <v>12.4</v>
      </c>
      <c r="KD20" s="5"/>
      <c r="KE20" s="5"/>
      <c r="KN20" s="2"/>
      <c r="KO20" s="2"/>
      <c r="KQ20" s="44">
        <v>12.4</v>
      </c>
      <c r="LL20" s="5"/>
      <c r="LM20" s="5"/>
      <c r="LV20" s="2"/>
      <c r="LW20" s="2"/>
      <c r="LY20" s="44">
        <v>12.4</v>
      </c>
      <c r="MT20" s="5"/>
      <c r="MU20" s="5"/>
      <c r="ND20" s="2"/>
      <c r="NE20" s="2"/>
      <c r="NG20" s="44">
        <v>12.4</v>
      </c>
      <c r="OB20" s="5"/>
      <c r="OC20" s="5"/>
      <c r="OL20" s="2"/>
      <c r="OM20" s="2"/>
      <c r="OO20" s="44">
        <v>12.4</v>
      </c>
      <c r="PJ20" s="5"/>
      <c r="PK20" s="5"/>
      <c r="PT20" s="2"/>
      <c r="PU20" s="2"/>
      <c r="PW20" s="44">
        <v>12.4</v>
      </c>
      <c r="QR20" s="5"/>
      <c r="QS20" s="5"/>
      <c r="RB20" s="2"/>
      <c r="RC20" s="2"/>
      <c r="RE20" s="44">
        <v>12.4</v>
      </c>
      <c r="RZ20" s="5"/>
      <c r="SA20" s="5"/>
      <c r="SJ20" s="2"/>
      <c r="SK20" s="2"/>
      <c r="SM20" s="44">
        <v>12.4</v>
      </c>
      <c r="TH20" s="5"/>
      <c r="TI20" s="5"/>
      <c r="TR20" s="2"/>
      <c r="TS20" s="2"/>
      <c r="TU20" s="44">
        <v>12.4</v>
      </c>
      <c r="UP20" s="5"/>
      <c r="UQ20" s="5"/>
      <c r="UZ20" s="2"/>
      <c r="VA20" s="2"/>
      <c r="VC20" s="44">
        <v>12.4</v>
      </c>
      <c r="VX20" s="5"/>
      <c r="VY20" s="5"/>
      <c r="WH20" s="2"/>
      <c r="WI20" s="2"/>
      <c r="WK20" s="44">
        <v>12.4</v>
      </c>
    </row>
    <row r="21" spans="1:609" x14ac:dyDescent="0.2">
      <c r="A21" s="5"/>
      <c r="B21" s="35" t="s">
        <v>76</v>
      </c>
      <c r="C21" s="5"/>
      <c r="E21" s="2"/>
      <c r="AJ21" s="41"/>
      <c r="AK21" s="41"/>
      <c r="AL21" s="41"/>
      <c r="AM21" s="32"/>
      <c r="AN21" s="32"/>
      <c r="AO21" s="32"/>
      <c r="AP21" s="32"/>
      <c r="AQ21" s="45">
        <v>12.4</v>
      </c>
      <c r="BK21" s="41"/>
      <c r="BL21" s="41"/>
      <c r="BM21" s="41"/>
      <c r="BO21" s="32"/>
      <c r="BP21" s="32"/>
      <c r="BR21" s="45">
        <v>12.4</v>
      </c>
      <c r="CL21" s="41"/>
      <c r="CM21" s="41"/>
      <c r="CN21" s="41"/>
      <c r="CO21" s="32"/>
      <c r="CP21" s="32"/>
      <c r="CQ21" s="32"/>
      <c r="CR21" s="32"/>
      <c r="CS21" s="45">
        <v>13.6</v>
      </c>
      <c r="DP21" s="5"/>
      <c r="DQ21" s="5"/>
      <c r="DZ21" s="2"/>
      <c r="EA21" s="2"/>
      <c r="EC21" s="45">
        <v>12.4</v>
      </c>
      <c r="EX21" s="5"/>
      <c r="EY21" s="5"/>
      <c r="FH21" s="2"/>
      <c r="FI21" s="2"/>
      <c r="FK21" s="45">
        <v>12.4</v>
      </c>
      <c r="GF21" s="5"/>
      <c r="GG21" s="5"/>
      <c r="GP21" s="2"/>
      <c r="GQ21" s="2"/>
      <c r="GS21" s="45">
        <v>12.4</v>
      </c>
      <c r="HN21" s="5"/>
      <c r="HO21" s="5"/>
      <c r="HX21" s="2"/>
      <c r="HY21" s="2"/>
      <c r="IA21" s="45">
        <v>12.4</v>
      </c>
      <c r="IV21" s="5"/>
      <c r="IW21" s="5"/>
      <c r="JF21" s="2"/>
      <c r="JG21" s="2"/>
      <c r="JI21" s="45">
        <v>13.6</v>
      </c>
      <c r="KD21" s="5"/>
      <c r="KE21" s="5"/>
      <c r="KN21" s="2"/>
      <c r="KO21" s="2"/>
      <c r="KQ21" s="45">
        <v>13.6</v>
      </c>
      <c r="LL21" s="5"/>
      <c r="LM21" s="5"/>
      <c r="LV21" s="2"/>
      <c r="LW21" s="2"/>
      <c r="LY21" s="45">
        <v>13.6</v>
      </c>
      <c r="MT21" s="5"/>
      <c r="MU21" s="5"/>
      <c r="ND21" s="2"/>
      <c r="NE21" s="2"/>
      <c r="NG21" s="45">
        <v>13.6</v>
      </c>
      <c r="OB21" s="5"/>
      <c r="OC21" s="5"/>
      <c r="OL21" s="2"/>
      <c r="OM21" s="2"/>
      <c r="OO21" s="45">
        <v>13.6</v>
      </c>
      <c r="PJ21" s="5"/>
      <c r="PK21" s="5"/>
      <c r="PT21" s="2"/>
      <c r="PU21" s="2"/>
      <c r="PW21" s="45">
        <v>13.6</v>
      </c>
      <c r="QR21" s="5"/>
      <c r="QS21" s="5"/>
      <c r="RB21" s="2"/>
      <c r="RC21" s="2"/>
      <c r="RE21" s="45">
        <v>13.6</v>
      </c>
      <c r="RZ21" s="5"/>
      <c r="SA21" s="5"/>
      <c r="SJ21" s="2"/>
      <c r="SK21" s="2"/>
      <c r="SM21" s="45">
        <v>13.6</v>
      </c>
      <c r="TH21" s="5"/>
      <c r="TI21" s="5"/>
      <c r="TR21" s="2"/>
      <c r="TS21" s="2"/>
      <c r="TU21" s="45">
        <v>13.6</v>
      </c>
      <c r="UP21" s="5"/>
      <c r="UQ21" s="5"/>
      <c r="UZ21" s="2"/>
      <c r="VA21" s="2"/>
      <c r="VC21" s="45">
        <v>13.6</v>
      </c>
      <c r="VX21" s="5"/>
      <c r="VY21" s="5"/>
      <c r="WH21" s="2"/>
      <c r="WI21" s="2"/>
      <c r="WK21" s="45">
        <v>13.6</v>
      </c>
    </row>
    <row r="22" spans="1:609" x14ac:dyDescent="0.2">
      <c r="A22" s="5"/>
      <c r="B22" s="34" t="s">
        <v>48</v>
      </c>
      <c r="C22" s="5"/>
      <c r="AJ22" s="41"/>
      <c r="AK22" s="41"/>
      <c r="AL22" s="41"/>
      <c r="AM22" s="32"/>
      <c r="AN22" s="32"/>
      <c r="AO22" s="32"/>
      <c r="AP22" s="32"/>
      <c r="AQ22" s="46">
        <v>44</v>
      </c>
      <c r="BK22" s="41"/>
      <c r="BL22" s="41"/>
      <c r="BM22" s="41"/>
      <c r="BO22" s="32"/>
      <c r="BP22" s="32"/>
      <c r="BR22" s="46">
        <v>44</v>
      </c>
      <c r="CL22" s="41"/>
      <c r="CM22" s="41"/>
      <c r="CN22" s="41"/>
      <c r="CO22" s="32"/>
      <c r="CP22" s="32"/>
      <c r="CQ22" s="32"/>
      <c r="CR22" s="32"/>
      <c r="CS22" s="46">
        <v>43.7</v>
      </c>
      <c r="DP22" s="5"/>
      <c r="DQ22" s="5"/>
      <c r="DZ22" s="2"/>
      <c r="EA22" s="2"/>
      <c r="EC22" s="46">
        <v>44</v>
      </c>
      <c r="EX22" s="5"/>
      <c r="EY22" s="5"/>
      <c r="FH22" s="2"/>
      <c r="FI22" s="2"/>
      <c r="FK22" s="46">
        <v>44</v>
      </c>
      <c r="GF22" s="5"/>
      <c r="GG22" s="5"/>
      <c r="GP22" s="2"/>
      <c r="GQ22" s="2"/>
      <c r="GS22" s="46">
        <v>44</v>
      </c>
      <c r="HN22" s="5"/>
      <c r="HO22" s="5"/>
      <c r="HX22" s="2"/>
      <c r="HY22" s="2"/>
      <c r="IA22" s="46">
        <v>44</v>
      </c>
      <c r="IV22" s="5"/>
      <c r="IW22" s="5"/>
      <c r="JF22" s="2"/>
      <c r="JG22" s="2"/>
      <c r="JI22" s="46">
        <v>43.7</v>
      </c>
      <c r="KD22" s="5"/>
      <c r="KE22" s="5"/>
      <c r="KN22" s="2"/>
      <c r="KO22" s="2"/>
      <c r="KQ22" s="46">
        <v>43.7</v>
      </c>
      <c r="LL22" s="5"/>
      <c r="LM22" s="5"/>
      <c r="LV22" s="2"/>
      <c r="LW22" s="2"/>
      <c r="LY22" s="46">
        <v>43.7</v>
      </c>
      <c r="MT22" s="5"/>
      <c r="MU22" s="5"/>
      <c r="ND22" s="2"/>
      <c r="NE22" s="2"/>
      <c r="NG22" s="46">
        <v>43.7</v>
      </c>
      <c r="OB22" s="5"/>
      <c r="OC22" s="5"/>
      <c r="OL22" s="2"/>
      <c r="OM22" s="2"/>
      <c r="OO22" s="46">
        <v>43.7</v>
      </c>
      <c r="PJ22" s="5"/>
      <c r="PK22" s="5"/>
      <c r="PT22" s="2"/>
      <c r="PU22" s="2"/>
      <c r="PW22" s="46">
        <v>43.7</v>
      </c>
      <c r="QR22" s="5"/>
      <c r="QS22" s="5"/>
      <c r="RB22" s="2"/>
      <c r="RC22" s="2"/>
      <c r="RE22" s="46">
        <v>43.7</v>
      </c>
      <c r="RZ22" s="5"/>
      <c r="SA22" s="5"/>
      <c r="SJ22" s="2"/>
      <c r="SK22" s="2"/>
      <c r="SM22" s="46">
        <v>43.7</v>
      </c>
      <c r="TH22" s="5"/>
      <c r="TI22" s="5"/>
      <c r="TR22" s="2"/>
      <c r="TS22" s="2"/>
      <c r="TU22" s="46">
        <v>43.7</v>
      </c>
      <c r="UP22" s="5"/>
      <c r="UQ22" s="5"/>
      <c r="UZ22" s="2"/>
      <c r="VA22" s="2"/>
      <c r="VC22" s="46">
        <v>43.7</v>
      </c>
      <c r="VX22" s="5"/>
      <c r="VY22" s="5"/>
      <c r="WH22" s="2"/>
      <c r="WI22" s="2"/>
      <c r="WK22" s="46">
        <v>43.7</v>
      </c>
    </row>
    <row r="23" spans="1:609" x14ac:dyDescent="0.2">
      <c r="A23" s="5"/>
      <c r="B23" s="24" t="s">
        <v>49</v>
      </c>
      <c r="C23" s="5"/>
      <c r="AJ23" s="41"/>
      <c r="AK23" s="41"/>
      <c r="AL23" s="41"/>
      <c r="AM23" s="32"/>
      <c r="AN23" s="32"/>
      <c r="AO23" s="32"/>
      <c r="AP23" s="32"/>
      <c r="AQ23" s="47">
        <v>45.3</v>
      </c>
      <c r="BK23" s="41"/>
      <c r="BL23" s="41"/>
      <c r="BM23" s="41"/>
      <c r="BO23" s="32"/>
      <c r="BP23" s="32"/>
      <c r="BR23" s="47">
        <v>45.3</v>
      </c>
      <c r="CL23" s="41"/>
      <c r="CM23" s="41"/>
      <c r="CN23" s="41"/>
      <c r="CO23" s="32"/>
      <c r="CP23" s="32"/>
      <c r="CQ23" s="32"/>
      <c r="CR23" s="32"/>
      <c r="CS23" s="47">
        <v>44.7</v>
      </c>
      <c r="DP23" s="5"/>
      <c r="DQ23" s="5"/>
      <c r="DZ23" s="2"/>
      <c r="EA23" s="2"/>
      <c r="EC23" s="47">
        <v>45.3</v>
      </c>
      <c r="EX23" s="5"/>
      <c r="EY23" s="5"/>
      <c r="FH23" s="2"/>
      <c r="FI23" s="2"/>
      <c r="FK23" s="47">
        <v>45.3</v>
      </c>
      <c r="GF23" s="5"/>
      <c r="GG23" s="5"/>
      <c r="GP23" s="2"/>
      <c r="GQ23" s="2"/>
      <c r="GS23" s="47">
        <v>45.3</v>
      </c>
      <c r="HN23" s="5"/>
      <c r="HO23" s="5"/>
      <c r="HX23" s="2"/>
      <c r="HY23" s="2"/>
      <c r="IA23" s="47">
        <v>45.3</v>
      </c>
      <c r="IV23" s="5"/>
      <c r="IW23" s="5"/>
      <c r="JF23" s="2"/>
      <c r="JG23" s="2"/>
      <c r="JI23" s="47">
        <v>44.7</v>
      </c>
      <c r="KD23" s="5"/>
      <c r="KE23" s="5"/>
      <c r="KN23" s="2"/>
      <c r="KO23" s="2"/>
      <c r="KQ23" s="47">
        <v>44.7</v>
      </c>
      <c r="LL23" s="5"/>
      <c r="LM23" s="5"/>
      <c r="LV23" s="2"/>
      <c r="LW23" s="2"/>
      <c r="LY23" s="47">
        <v>44.7</v>
      </c>
      <c r="MT23" s="5"/>
      <c r="MU23" s="5"/>
      <c r="ND23" s="2"/>
      <c r="NE23" s="2"/>
      <c r="NG23" s="47">
        <v>44.7</v>
      </c>
      <c r="OB23" s="5"/>
      <c r="OC23" s="5"/>
      <c r="OL23" s="2"/>
      <c r="OM23" s="2"/>
      <c r="OO23" s="47">
        <v>44.7</v>
      </c>
      <c r="PJ23" s="5"/>
      <c r="PK23" s="5"/>
      <c r="PT23" s="2"/>
      <c r="PU23" s="2"/>
      <c r="PW23" s="47">
        <v>44.7</v>
      </c>
      <c r="QR23" s="5"/>
      <c r="QS23" s="5"/>
      <c r="RB23" s="2"/>
      <c r="RC23" s="2"/>
      <c r="RE23" s="47">
        <v>44.7</v>
      </c>
      <c r="RZ23" s="5"/>
      <c r="SA23" s="5"/>
      <c r="SJ23" s="2"/>
      <c r="SK23" s="2"/>
      <c r="SM23" s="47">
        <v>44.7</v>
      </c>
      <c r="TH23" s="5"/>
      <c r="TI23" s="5"/>
      <c r="TR23" s="2"/>
      <c r="TS23" s="2"/>
      <c r="TU23" s="47">
        <v>44.7</v>
      </c>
      <c r="UP23" s="5"/>
      <c r="UQ23" s="5"/>
      <c r="UZ23" s="2"/>
      <c r="VA23" s="2"/>
      <c r="VC23" s="47">
        <v>44.7</v>
      </c>
      <c r="VX23" s="5"/>
      <c r="VY23" s="5"/>
      <c r="WH23" s="2"/>
      <c r="WI23" s="2"/>
      <c r="WK23" s="47">
        <v>44.7</v>
      </c>
    </row>
    <row r="24" spans="1:609" x14ac:dyDescent="0.2">
      <c r="A24" s="5"/>
      <c r="B24" s="33" t="s">
        <v>62</v>
      </c>
      <c r="C24" s="5"/>
      <c r="AJ24" s="41"/>
      <c r="AK24" s="41"/>
      <c r="AL24" s="41"/>
      <c r="AM24" s="32"/>
      <c r="AN24" s="32"/>
      <c r="AO24" s="32"/>
      <c r="AP24" s="32"/>
      <c r="AQ24" s="48">
        <v>46</v>
      </c>
      <c r="BK24" s="41"/>
      <c r="BL24" s="41"/>
      <c r="BM24" s="41"/>
      <c r="BO24" s="32"/>
      <c r="BP24" s="32"/>
      <c r="BR24" s="48">
        <v>46</v>
      </c>
      <c r="CL24" s="41"/>
      <c r="CM24" s="41"/>
      <c r="CN24" s="41"/>
      <c r="CO24" s="32"/>
      <c r="CP24" s="32"/>
      <c r="CQ24" s="32"/>
      <c r="CR24" s="32"/>
      <c r="CS24" s="48">
        <v>45.6</v>
      </c>
      <c r="DP24" s="5"/>
      <c r="DQ24" s="5"/>
      <c r="DZ24" s="2"/>
      <c r="EA24" s="2"/>
      <c r="EB24" s="37"/>
      <c r="EC24" s="48">
        <v>46</v>
      </c>
      <c r="EX24" s="5"/>
      <c r="EY24" s="5"/>
      <c r="FH24" s="2"/>
      <c r="FI24" s="2"/>
      <c r="FJ24" s="37"/>
      <c r="FK24" s="48">
        <v>46</v>
      </c>
      <c r="GF24" s="5"/>
      <c r="GG24" s="5"/>
      <c r="GP24" s="2"/>
      <c r="GQ24" s="2"/>
      <c r="GR24" s="37"/>
      <c r="GS24" s="48">
        <v>46</v>
      </c>
      <c r="HN24" s="5"/>
      <c r="HO24" s="5"/>
      <c r="HX24" s="2"/>
      <c r="HY24" s="2"/>
      <c r="HZ24" s="37"/>
      <c r="IA24" s="48">
        <v>46</v>
      </c>
      <c r="IV24" s="5"/>
      <c r="IW24" s="5"/>
      <c r="JF24" s="2"/>
      <c r="JG24" s="2"/>
      <c r="JH24" s="37"/>
      <c r="JI24" s="48">
        <v>45.6</v>
      </c>
      <c r="KD24" s="5"/>
      <c r="KE24" s="5"/>
      <c r="KN24" s="2"/>
      <c r="KO24" s="2"/>
      <c r="KP24" s="37"/>
      <c r="KQ24" s="48">
        <v>45.6</v>
      </c>
      <c r="LL24" s="5"/>
      <c r="LM24" s="5"/>
      <c r="LV24" s="2"/>
      <c r="LW24" s="2"/>
      <c r="LX24" s="37"/>
      <c r="LY24" s="48">
        <v>45.6</v>
      </c>
      <c r="MT24" s="5"/>
      <c r="MU24" s="5"/>
      <c r="ND24" s="2"/>
      <c r="NE24" s="2"/>
      <c r="NF24" s="37"/>
      <c r="NG24" s="48">
        <v>45.6</v>
      </c>
      <c r="OB24" s="5"/>
      <c r="OC24" s="5"/>
      <c r="OL24" s="2"/>
      <c r="OM24" s="2"/>
      <c r="ON24" s="37"/>
      <c r="OO24" s="48">
        <v>45.6</v>
      </c>
      <c r="PJ24" s="5"/>
      <c r="PK24" s="5"/>
      <c r="PT24" s="2"/>
      <c r="PU24" s="2"/>
      <c r="PV24" s="37"/>
      <c r="PW24" s="48">
        <v>45.6</v>
      </c>
      <c r="QR24" s="5"/>
      <c r="QS24" s="5"/>
      <c r="RB24" s="2"/>
      <c r="RC24" s="2"/>
      <c r="RD24" s="37"/>
      <c r="RE24" s="48">
        <v>45.6</v>
      </c>
      <c r="RZ24" s="5"/>
      <c r="SA24" s="5"/>
      <c r="SJ24" s="2"/>
      <c r="SK24" s="2"/>
      <c r="SL24" s="37"/>
      <c r="SM24" s="48">
        <v>45.6</v>
      </c>
      <c r="TH24" s="5"/>
      <c r="TI24" s="5"/>
      <c r="TR24" s="2"/>
      <c r="TS24" s="2"/>
      <c r="TT24" s="37"/>
      <c r="TU24" s="48">
        <v>45.6</v>
      </c>
      <c r="UP24" s="5"/>
      <c r="UQ24" s="5"/>
      <c r="UZ24" s="2"/>
      <c r="VA24" s="2"/>
      <c r="VB24" s="37"/>
      <c r="VC24" s="48">
        <v>45.6</v>
      </c>
      <c r="VX24" s="5"/>
      <c r="VY24" s="5"/>
      <c r="WH24" s="2"/>
      <c r="WI24" s="2"/>
      <c r="WJ24" s="37"/>
      <c r="WK24" s="48">
        <v>45.6</v>
      </c>
    </row>
    <row r="25" spans="1:609" x14ac:dyDescent="0.2">
      <c r="A25" s="5"/>
      <c r="B25" s="25" t="s">
        <v>32</v>
      </c>
      <c r="C25" s="5"/>
      <c r="AJ25" s="41"/>
      <c r="AK25" s="41"/>
      <c r="AL25" s="41"/>
      <c r="AM25" s="32"/>
      <c r="AN25" s="41"/>
      <c r="AO25" s="41"/>
      <c r="AP25" s="32"/>
      <c r="AQ25" s="49">
        <v>46.6</v>
      </c>
      <c r="BK25" s="41"/>
      <c r="BL25" s="41"/>
      <c r="BM25" s="41"/>
      <c r="BO25" s="41"/>
      <c r="BP25" s="32"/>
      <c r="BR25" s="49">
        <v>46.6</v>
      </c>
      <c r="CL25" s="41"/>
      <c r="CM25" s="41"/>
      <c r="CN25" s="41"/>
      <c r="CO25" s="32"/>
      <c r="CP25" s="41"/>
      <c r="CQ25" s="32"/>
      <c r="CR25" s="32"/>
      <c r="CS25" s="49">
        <v>46.7</v>
      </c>
      <c r="DP25" s="5"/>
      <c r="DQ25" s="5"/>
      <c r="DZ25" s="41"/>
      <c r="EA25" s="2"/>
      <c r="EC25" s="49">
        <v>46.6</v>
      </c>
      <c r="EX25" s="5"/>
      <c r="EY25" s="5"/>
      <c r="FH25" s="41"/>
      <c r="FI25" s="2"/>
      <c r="FK25" s="49">
        <v>46.6</v>
      </c>
      <c r="GF25" s="5"/>
      <c r="GG25" s="5"/>
      <c r="GP25" s="41"/>
      <c r="GQ25" s="2"/>
      <c r="GS25" s="49">
        <v>46.6</v>
      </c>
      <c r="HN25" s="5"/>
      <c r="HO25" s="5"/>
      <c r="HX25" s="41"/>
      <c r="HY25" s="2"/>
      <c r="IA25" s="49">
        <v>46.6</v>
      </c>
      <c r="IV25" s="5"/>
      <c r="IW25" s="5"/>
      <c r="JF25" s="2"/>
      <c r="JG25" s="2"/>
      <c r="JI25" s="49">
        <v>46.7</v>
      </c>
      <c r="KD25" s="5"/>
      <c r="KE25" s="5"/>
      <c r="KN25" s="2"/>
      <c r="KO25" s="2"/>
      <c r="KQ25" s="49">
        <v>46.7</v>
      </c>
      <c r="LL25" s="5"/>
      <c r="LM25" s="5"/>
      <c r="LV25" s="2"/>
      <c r="LW25" s="2"/>
      <c r="LY25" s="49">
        <v>46.7</v>
      </c>
      <c r="MT25" s="5"/>
      <c r="MU25" s="5"/>
      <c r="ND25" s="2"/>
      <c r="NE25" s="2"/>
      <c r="NG25" s="49">
        <v>46.7</v>
      </c>
      <c r="OB25" s="5"/>
      <c r="OC25" s="5"/>
      <c r="OL25" s="2"/>
      <c r="OM25" s="2"/>
      <c r="OO25" s="49">
        <v>46.7</v>
      </c>
      <c r="PJ25" s="5"/>
      <c r="PK25" s="5"/>
      <c r="PT25" s="2"/>
      <c r="PU25" s="2"/>
      <c r="PW25" s="49">
        <v>46.7</v>
      </c>
      <c r="QR25" s="5"/>
      <c r="QS25" s="5"/>
      <c r="RB25" s="2"/>
      <c r="RC25" s="2"/>
      <c r="RE25" s="49">
        <v>46.7</v>
      </c>
      <c r="RZ25" s="5"/>
      <c r="SA25" s="5"/>
      <c r="SJ25" s="2"/>
      <c r="SK25" s="2"/>
      <c r="SM25" s="49">
        <v>46.7</v>
      </c>
      <c r="TH25" s="5"/>
      <c r="TI25" s="5"/>
      <c r="TR25" s="2"/>
      <c r="TS25" s="2"/>
      <c r="TU25" s="49">
        <v>46.7</v>
      </c>
      <c r="UP25" s="5"/>
      <c r="UQ25" s="5"/>
      <c r="UZ25" s="2"/>
      <c r="VA25" s="2"/>
      <c r="VC25" s="49">
        <v>46.7</v>
      </c>
      <c r="VX25" s="5"/>
      <c r="VY25" s="5"/>
      <c r="WH25" s="2"/>
      <c r="WI25" s="2"/>
      <c r="WK25" s="49">
        <v>46.7</v>
      </c>
    </row>
    <row r="26" spans="1:609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15">
      <sortCondition descending="1" ref="F1:F16"/>
    </sortState>
  </autoFilter>
  <mergeCells count="108"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</mergeCells>
  <phoneticPr fontId="21" type="noConversion"/>
  <conditionalFormatting sqref="H1:H1048576">
    <cfRule type="containsText" dxfId="445" priority="70" operator="containsText" text="No DD">
      <formula>NOT(ISERROR(SEARCH("No DD",H1)))</formula>
    </cfRule>
    <cfRule type="containsText" dxfId="444" priority="71" operator="containsText" text="Merit">
      <formula>NOT(ISERROR(SEARCH("Merit",H1)))</formula>
    </cfRule>
    <cfRule type="containsText" dxfId="443" priority="72" operator="containsText" text="Excellence">
      <formula>NOT(ISERROR(SEARCH("Excellence",H1)))</formula>
    </cfRule>
    <cfRule type="containsText" dxfId="442" priority="73" operator="containsText" text="Worlds Team">
      <formula>NOT(ISERROR(SEARCH("Worlds Team",H1)))</formula>
    </cfRule>
    <cfRule type="containsText" dxfId="441" priority="74" operator="containsText" text="National Team">
      <formula>NOT(ISERROR(SEARCH("National Team",H1)))</formula>
    </cfRule>
  </conditionalFormatting>
  <conditionalFormatting sqref="A4:A1048576">
    <cfRule type="expression" dxfId="440" priority="31">
      <formula>AND(G4&lt;&gt;"",F4="")</formula>
    </cfRule>
    <cfRule type="expression" dxfId="439" priority="75">
      <formula>IF(A4&gt;4,1,0)</formula>
    </cfRule>
  </conditionalFormatting>
  <conditionalFormatting sqref="Q4:AQ15">
    <cfRule type="expression" dxfId="438" priority="76" stopIfTrue="1">
      <formula>IF($AF4&lt;&gt;"",1,0)</formula>
    </cfRule>
  </conditionalFormatting>
  <conditionalFormatting sqref="AR4:BR15">
    <cfRule type="expression" dxfId="437" priority="69" stopIfTrue="1">
      <formula>IF($BG4&lt;&gt;"",1,0)</formula>
    </cfRule>
  </conditionalFormatting>
  <conditionalFormatting sqref="BS4:CS15">
    <cfRule type="expression" dxfId="436" priority="68" stopIfTrue="1">
      <formula>IF($CH4&lt;&gt;"",1,0)</formula>
    </cfRule>
  </conditionalFormatting>
  <conditionalFormatting sqref="BO26:BO1048576 BH1:BH1048576 BK1:BK1048576 BO1:BO24">
    <cfRule type="cellIs" dxfId="435" priority="81" operator="between">
      <formula>$BR$21</formula>
      <formula>1000</formula>
    </cfRule>
    <cfRule type="cellIs" dxfId="434" priority="82" operator="between">
      <formula>$BR$20</formula>
      <formula>$BR$21</formula>
    </cfRule>
    <cfRule type="cellIs" dxfId="433" priority="83" operator="between">
      <formula>$BR$19</formula>
      <formula>$BR$20</formula>
    </cfRule>
    <cfRule type="cellIs" dxfId="432" priority="84" operator="between">
      <formula>$BR$18</formula>
      <formula>$BR$19</formula>
    </cfRule>
  </conditionalFormatting>
  <conditionalFormatting sqref="CP26:CP1048576 CI1:CI1048576 CL1:CL1048576 CP1:CP24">
    <cfRule type="cellIs" dxfId="431" priority="77" operator="between">
      <formula>$CS$21</formula>
      <formula>1000</formula>
    </cfRule>
    <cfRule type="cellIs" dxfId="430" priority="78" operator="between">
      <formula>$CS$20</formula>
      <formula>$CS$21</formula>
    </cfRule>
    <cfRule type="cellIs" dxfId="429" priority="79" operator="between">
      <formula>$CS$19</formula>
      <formula>$CS$20</formula>
    </cfRule>
    <cfRule type="cellIs" dxfId="428" priority="80" operator="between">
      <formula>$CS$18</formula>
      <formula>$CS$19</formula>
    </cfRule>
  </conditionalFormatting>
  <conditionalFormatting sqref="DZ26:DZ1048576 DP1:DP1048576 DS1:DS1048576 DW1:DW1048576 DZ1:DZ24">
    <cfRule type="cellIs" dxfId="427" priority="88" operator="between">
      <formula>$EC$21</formula>
      <formula>1000</formula>
    </cfRule>
    <cfRule type="cellIs" dxfId="426" priority="89" operator="between">
      <formula>$EC$20</formula>
      <formula>$EC$21</formula>
    </cfRule>
    <cfRule type="cellIs" dxfId="425" priority="90" operator="between">
      <formula>$EC$19</formula>
      <formula>$EC$20</formula>
    </cfRule>
    <cfRule type="cellIs" dxfId="424" priority="91" operator="between">
      <formula>$EC$18</formula>
      <formula>$EC$19</formula>
    </cfRule>
  </conditionalFormatting>
  <conditionalFormatting sqref="FH26:FH1048576 EX1:EX1048576 FA1:FA1048576 FE1:FE1048576 FH1:FH24">
    <cfRule type="cellIs" dxfId="423" priority="64" operator="between">
      <formula>$FK$21</formula>
      <formula>1000</formula>
    </cfRule>
    <cfRule type="cellIs" dxfId="422" priority="65" operator="between">
      <formula>$FK$20</formula>
      <formula>$FK$21</formula>
    </cfRule>
    <cfRule type="cellIs" dxfId="421" priority="66" operator="between">
      <formula>$FK$19</formula>
      <formula>$FK$20</formula>
    </cfRule>
    <cfRule type="cellIs" dxfId="420" priority="67" operator="between">
      <formula>$FK$18</formula>
      <formula>$FK$19</formula>
    </cfRule>
  </conditionalFormatting>
  <conditionalFormatting sqref="HX26:HX1048576 HN1:HN1048576 HQ1:HQ1048576 HU1:HU1048576 HX1:HX24">
    <cfRule type="cellIs" dxfId="419" priority="60" operator="between">
      <formula>$IA$21</formula>
      <formula>1000</formula>
    </cfRule>
    <cfRule type="cellIs" dxfId="418" priority="61" operator="between">
      <formula>$IA$20</formula>
      <formula>$IA$21</formula>
    </cfRule>
    <cfRule type="cellIs" dxfId="417" priority="62" operator="between">
      <formula>$IA$19</formula>
      <formula>$IA$20</formula>
    </cfRule>
    <cfRule type="cellIs" dxfId="416" priority="63" operator="between">
      <formula>$IA$18</formula>
      <formula>$IA$19</formula>
    </cfRule>
  </conditionalFormatting>
  <conditionalFormatting sqref="AO25 AG1:AG1048576 AJ1:AJ1048576 AN1:AN1048576">
    <cfRule type="cellIs" dxfId="415" priority="56" operator="between">
      <formula>$AQ$21</formula>
      <formula>1000</formula>
    </cfRule>
    <cfRule type="cellIs" dxfId="414" priority="57" operator="between">
      <formula>$AQ$20</formula>
      <formula>$AQ$21</formula>
    </cfRule>
    <cfRule type="cellIs" dxfId="413" priority="58" operator="between">
      <formula>$AQ$19</formula>
      <formula>$AQ$20</formula>
    </cfRule>
    <cfRule type="cellIs" dxfId="412" priority="59" operator="between">
      <formula>$AQ$18</formula>
      <formula>$AQ$19</formula>
    </cfRule>
  </conditionalFormatting>
  <conditionalFormatting sqref="BO25">
    <cfRule type="cellIs" dxfId="411" priority="52" operator="between">
      <formula>$AQ$21</formula>
      <formula>1000</formula>
    </cfRule>
    <cfRule type="cellIs" dxfId="410" priority="53" operator="between">
      <formula>$AQ$20</formula>
      <formula>$AQ$21</formula>
    </cfRule>
    <cfRule type="cellIs" dxfId="409" priority="54" operator="between">
      <formula>$AQ$19</formula>
      <formula>$AQ$20</formula>
    </cfRule>
    <cfRule type="cellIs" dxfId="408" priority="55" operator="between">
      <formula>$AQ$18</formula>
      <formula>$AQ$19</formula>
    </cfRule>
  </conditionalFormatting>
  <conditionalFormatting sqref="CP25">
    <cfRule type="cellIs" dxfId="407" priority="48" operator="between">
      <formula>$AQ$21</formula>
      <formula>1000</formula>
    </cfRule>
    <cfRule type="cellIs" dxfId="406" priority="49" operator="between">
      <formula>$AQ$20</formula>
      <formula>$AQ$21</formula>
    </cfRule>
    <cfRule type="cellIs" dxfId="405" priority="50" operator="between">
      <formula>$AQ$19</formula>
      <formula>$AQ$20</formula>
    </cfRule>
    <cfRule type="cellIs" dxfId="404" priority="51" operator="between">
      <formula>$AQ$18</formula>
      <formula>$AQ$19</formula>
    </cfRule>
  </conditionalFormatting>
  <conditionalFormatting sqref="DZ25">
    <cfRule type="cellIs" dxfId="403" priority="44" operator="between">
      <formula>$AQ$21</formula>
      <formula>1000</formula>
    </cfRule>
    <cfRule type="cellIs" dxfId="402" priority="45" operator="between">
      <formula>$AQ$20</formula>
      <formula>$AQ$21</formula>
    </cfRule>
    <cfRule type="cellIs" dxfId="401" priority="46" operator="between">
      <formula>$AQ$19</formula>
      <formula>$AQ$20</formula>
    </cfRule>
    <cfRule type="cellIs" dxfId="400" priority="47" operator="between">
      <formula>$AQ$18</formula>
      <formula>$AQ$19</formula>
    </cfRule>
  </conditionalFormatting>
  <conditionalFormatting sqref="FH25">
    <cfRule type="cellIs" dxfId="399" priority="40" operator="between">
      <formula>$AQ$21</formula>
      <formula>1000</formula>
    </cfRule>
    <cfRule type="cellIs" dxfId="398" priority="41" operator="between">
      <formula>$AQ$20</formula>
      <formula>$AQ$21</formula>
    </cfRule>
    <cfRule type="cellIs" dxfId="397" priority="42" operator="between">
      <formula>$AQ$19</formula>
      <formula>$AQ$20</formula>
    </cfRule>
    <cfRule type="cellIs" dxfId="396" priority="43" operator="between">
      <formula>$AQ$18</formula>
      <formula>$AQ$19</formula>
    </cfRule>
  </conditionalFormatting>
  <conditionalFormatting sqref="HX25">
    <cfRule type="cellIs" dxfId="395" priority="36" operator="between">
      <formula>$AQ$21</formula>
      <formula>1000</formula>
    </cfRule>
    <cfRule type="cellIs" dxfId="394" priority="37" operator="between">
      <formula>$AQ$20</formula>
      <formula>$AQ$21</formula>
    </cfRule>
    <cfRule type="cellIs" dxfId="393" priority="38" operator="between">
      <formula>$AQ$19</formula>
      <formula>$AQ$20</formula>
    </cfRule>
    <cfRule type="cellIs" dxfId="392" priority="39" operator="between">
      <formula>$AQ$18</formula>
      <formula>$AQ$19</formula>
    </cfRule>
  </conditionalFormatting>
  <conditionalFormatting sqref="GP26:GP1048576 GF1:GF1048576 GI1:GI1048576 GM1:GM1048576 GP1:GP24">
    <cfRule type="cellIs" dxfId="391" priority="119" operator="between">
      <formula>$GS$21</formula>
      <formula>1000</formula>
    </cfRule>
    <cfRule type="cellIs" dxfId="390" priority="120" operator="between">
      <formula>$GS$20</formula>
      <formula>$GS$21</formula>
    </cfRule>
    <cfRule type="cellIs" dxfId="389" priority="121" operator="between">
      <formula>$GS$19</formula>
      <formula>$GS$20</formula>
    </cfRule>
    <cfRule type="cellIs" dxfId="388" priority="122" operator="between">
      <formula>$GS$18</formula>
      <formula>$GS$19</formula>
    </cfRule>
  </conditionalFormatting>
  <conditionalFormatting sqref="GP25">
    <cfRule type="cellIs" dxfId="387" priority="32" operator="between">
      <formula>$AQ$21</formula>
      <formula>1000</formula>
    </cfRule>
    <cfRule type="cellIs" dxfId="386" priority="33" operator="between">
      <formula>$AQ$20</formula>
      <formula>$AQ$21</formula>
    </cfRule>
    <cfRule type="cellIs" dxfId="385" priority="34" operator="between">
      <formula>$AQ$19</formula>
      <formula>$AQ$20</formula>
    </cfRule>
    <cfRule type="cellIs" dxfId="384" priority="35" operator="between">
      <formula>$AQ$18</formula>
      <formula>$AQ$19</formula>
    </cfRule>
  </conditionalFormatting>
  <conditionalFormatting sqref="K1:K1048576 M1:M1048576">
    <cfRule type="expression" dxfId="383" priority="85" stopIfTrue="1">
      <formula>IF(K1=$BS$1,1,0)</formula>
    </cfRule>
    <cfRule type="expression" dxfId="382" priority="86">
      <formula>IF(K1=$AR$1,1,0)</formula>
    </cfRule>
    <cfRule type="expression" dxfId="381" priority="87">
      <formula>IF(K1=$Q$1,1,0)</formula>
    </cfRule>
  </conditionalFormatting>
  <conditionalFormatting sqref="CN1:CN1048576 AL1:AL1048576">
    <cfRule type="cellIs" dxfId="380" priority="123204" operator="between">
      <formula>AQ$25</formula>
      <formula>1000</formula>
    </cfRule>
    <cfRule type="cellIs" dxfId="379" priority="123205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 TM1:TM25 UU1:UU25 WC1:WC25">
    <cfRule type="cellIs" dxfId="378" priority="123216" operator="between">
      <formula>EC$25</formula>
      <formula>1000</formula>
    </cfRule>
    <cfRule type="cellIs" dxfId="377" priority="123217" operator="between">
      <formula>EC$24</formula>
      <formula>EC$25</formula>
    </cfRule>
  </conditionalFormatting>
  <conditionalFormatting sqref="AI1:AI1048576 AL1:AL1048576 AP1:AP1048576">
    <cfRule type="cellIs" dxfId="376" priority="123300" operator="between">
      <formula>$AQ$25</formula>
      <formula>1000</formula>
    </cfRule>
    <cfRule type="cellIs" dxfId="375" priority="123301" operator="between">
      <formula>$AQ$24</formula>
      <formula>$AQ$25</formula>
    </cfRule>
    <cfRule type="cellIs" dxfId="374" priority="123302" operator="between">
      <formula>$AQ$23</formula>
      <formula>$AQ$24</formula>
    </cfRule>
    <cfRule type="cellIs" dxfId="373" priority="123303" operator="between">
      <formula>$AQ$22</formula>
      <formula>$AQ$23</formula>
    </cfRule>
  </conditionalFormatting>
  <conditionalFormatting sqref="BJ1:BJ1048576 BM1:BM1048576 BQ1:BQ1048576">
    <cfRule type="cellIs" dxfId="372" priority="123336" operator="between">
      <formula>$BR$25</formula>
      <formula>1000</formula>
    </cfRule>
    <cfRule type="cellIs" dxfId="371" priority="123337" operator="between">
      <formula>$BR$24</formula>
      <formula>$BR$25</formula>
    </cfRule>
    <cfRule type="cellIs" dxfId="370" priority="123338" operator="between">
      <formula>$BR$23</formula>
      <formula>$BR$24</formula>
    </cfRule>
    <cfRule type="cellIs" dxfId="369" priority="123339" operator="between">
      <formula>$BR$22</formula>
      <formula>$BR$23</formula>
    </cfRule>
  </conditionalFormatting>
  <conditionalFormatting sqref="CK1:CK1048576 CN1:CN1048576 CR1:CR1048576">
    <cfRule type="cellIs" dxfId="368" priority="123372" operator="between">
      <formula>$CS$25</formula>
      <formula>1000</formula>
    </cfRule>
    <cfRule type="cellIs" dxfId="367" priority="123373" operator="between">
      <formula>$CS$24</formula>
      <formula>$CS$25</formula>
    </cfRule>
    <cfRule type="cellIs" dxfId="366" priority="123374" operator="between">
      <formula>$CS$23</formula>
      <formula>$CS$24</formula>
    </cfRule>
    <cfRule type="cellIs" dxfId="365" priority="123375" operator="between">
      <formula>$CS$22</formula>
      <formula>$CS$23</formula>
    </cfRule>
  </conditionalFormatting>
  <conditionalFormatting sqref="MT1:MT1048576 MW1:MW1048576 NA1:NA1048576 ND1:ND1048576">
    <cfRule type="cellIs" dxfId="364" priority="123408" operator="between">
      <formula>$NG$18</formula>
      <formula>$NG$19</formula>
    </cfRule>
    <cfRule type="cellIs" dxfId="363" priority="123409" operator="between">
      <formula>$NG$19</formula>
      <formula>$NG$20</formula>
    </cfRule>
    <cfRule type="cellIs" dxfId="362" priority="123410" stopIfTrue="1" operator="between">
      <formula>$NG$20</formula>
      <formula>$NG$21</formula>
    </cfRule>
    <cfRule type="cellIs" dxfId="361" priority="123411" stopIfTrue="1" operator="between">
      <formula>$NG$21</formula>
      <formula>1000</formula>
    </cfRule>
  </conditionalFormatting>
  <conditionalFormatting sqref="DR1:DR1048576 DU1:DU1048576 DY1:DY1048576 EB1:EB1048576">
    <cfRule type="cellIs" dxfId="360" priority="123456" operator="between">
      <formula>$EC$25</formula>
      <formula>1000</formula>
    </cfRule>
    <cfRule type="cellIs" dxfId="359" priority="123457" operator="between">
      <formula>$EC$24</formula>
      <formula>$EC$25</formula>
    </cfRule>
    <cfRule type="cellIs" dxfId="358" priority="123458" operator="between">
      <formula>$EC$23</formula>
      <formula>$EC$24</formula>
    </cfRule>
    <cfRule type="cellIs" dxfId="357" priority="123459" operator="between">
      <formula>$EC$22</formula>
      <formula>$EC$23</formula>
    </cfRule>
  </conditionalFormatting>
  <conditionalFormatting sqref="EZ1:EZ1048576 FC1:FC1048576 FG1:FG1048576 FJ1:FJ1048576">
    <cfRule type="cellIs" dxfId="356" priority="123504" operator="between">
      <formula>$FK$25</formula>
      <formula>1000</formula>
    </cfRule>
    <cfRule type="cellIs" dxfId="355" priority="123505" operator="between">
      <formula>$FK$24</formula>
      <formula>$FK$25</formula>
    </cfRule>
    <cfRule type="cellIs" dxfId="354" priority="123506" operator="between">
      <formula>$FK$23</formula>
      <formula>$FK$24</formula>
    </cfRule>
    <cfRule type="cellIs" dxfId="353" priority="123507" operator="between">
      <formula>$FK$22</formula>
      <formula>$FK$23</formula>
    </cfRule>
  </conditionalFormatting>
  <conditionalFormatting sqref="GH1:GH1048576 GK1:GK1048576 GO1:GO1048576 GR1:GR1048576">
    <cfRule type="cellIs" dxfId="352" priority="123552" operator="between">
      <formula>$GS$25</formula>
      <formula>1000</formula>
    </cfRule>
    <cfRule type="cellIs" dxfId="351" priority="123553" operator="between">
      <formula>$GS$24</formula>
      <formula>$GS$25</formula>
    </cfRule>
    <cfRule type="cellIs" dxfId="350" priority="123554" operator="between">
      <formula>$GS$23</formula>
      <formula>$GS$24</formula>
    </cfRule>
    <cfRule type="cellIs" dxfId="349" priority="123555" operator="between">
      <formula>$GS$22</formula>
      <formula>$GS$23</formula>
    </cfRule>
  </conditionalFormatting>
  <conditionalFormatting sqref="HP1:HP1048576 HS1:HS1048576 HW1:HW1048576 HZ1:HZ1048576">
    <cfRule type="cellIs" dxfId="348" priority="123600" operator="between">
      <formula>$IA$25</formula>
      <formula>1000</formula>
    </cfRule>
    <cfRule type="cellIs" dxfId="347" priority="123601" operator="between">
      <formula>$IA$24</formula>
      <formula>$IA$25</formula>
    </cfRule>
    <cfRule type="cellIs" dxfId="346" priority="123602" operator="between">
      <formula>$IA$23</formula>
      <formula>$IA$24</formula>
    </cfRule>
    <cfRule type="cellIs" dxfId="345" priority="123603" operator="between">
      <formula>$IA$22</formula>
      <formula>$IA$23</formula>
    </cfRule>
  </conditionalFormatting>
  <conditionalFormatting sqref="IV1:IV1048576 IY1:IY1048576 JC1:JC1048576 JF1:JF1048576">
    <cfRule type="cellIs" dxfId="344" priority="123648" operator="between">
      <formula>$JI$21</formula>
      <formula>1000</formula>
    </cfRule>
    <cfRule type="cellIs" dxfId="343" priority="123649" operator="between">
      <formula>$JI$20</formula>
      <formula>$JI$21</formula>
    </cfRule>
    <cfRule type="cellIs" dxfId="342" priority="123650" operator="between">
      <formula>$JI$19</formula>
      <formula>$JI$20</formula>
    </cfRule>
    <cfRule type="cellIs" dxfId="341" priority="123651" operator="between">
      <formula>$JI$18</formula>
      <formula>$JI$19</formula>
    </cfRule>
  </conditionalFormatting>
  <conditionalFormatting sqref="IX1:IX1048576 JA1:JA1048576 JE1:JE1048576 JH1:JH1048576">
    <cfRule type="cellIs" dxfId="340" priority="123696" operator="between">
      <formula>$JI$25</formula>
      <formula>1000</formula>
    </cfRule>
    <cfRule type="cellIs" dxfId="339" priority="123697" operator="between">
      <formula>$JI$24</formula>
      <formula>$JI$25</formula>
    </cfRule>
    <cfRule type="cellIs" dxfId="338" priority="123698" operator="between">
      <formula>$JI$23</formula>
      <formula>$JI$24</formula>
    </cfRule>
    <cfRule type="cellIs" dxfId="337" priority="123699" operator="between">
      <formula>$JI$22</formula>
      <formula>$JI$23</formula>
    </cfRule>
  </conditionalFormatting>
  <conditionalFormatting sqref="KD1:KD1048576 KG1:KG1048576 KK1:KK1048576 KN1:KN1048576">
    <cfRule type="cellIs" dxfId="336" priority="123744" operator="between">
      <formula>$KQ$21</formula>
      <formula>1000</formula>
    </cfRule>
    <cfRule type="cellIs" dxfId="335" priority="123745" operator="between">
      <formula>$KQ$20</formula>
      <formula>$KQ$21</formula>
    </cfRule>
    <cfRule type="cellIs" dxfId="334" priority="123746" operator="between">
      <formula>$KQ$19</formula>
      <formula>$KQ$20</formula>
    </cfRule>
    <cfRule type="cellIs" dxfId="333" priority="123747" operator="between">
      <formula>$KQ$18</formula>
      <formula>$KQ$19</formula>
    </cfRule>
  </conditionalFormatting>
  <conditionalFormatting sqref="KF1:KF1048576 KI1:KI1048576 KM1:KM1048576 KP1:KP1048576">
    <cfRule type="cellIs" dxfId="332" priority="123792" operator="between">
      <formula>$KQ$25</formula>
      <formula>1000</formula>
    </cfRule>
    <cfRule type="cellIs" dxfId="331" priority="123793" operator="between">
      <formula>$KQ$24</formula>
      <formula>$KQ$25</formula>
    </cfRule>
    <cfRule type="cellIs" dxfId="330" priority="123794" operator="between">
      <formula>$KQ$23</formula>
      <formula>$KQ$24</formula>
    </cfRule>
    <cfRule type="cellIs" dxfId="329" priority="123795" operator="between">
      <formula>$KQ$22</formula>
      <formula>$KQ$23</formula>
    </cfRule>
  </conditionalFormatting>
  <conditionalFormatting sqref="LL1:LL1048576 LO1:LO1048576 LS1:LS1048576 LV1:LV1048576">
    <cfRule type="cellIs" dxfId="328" priority="123840" operator="between">
      <formula>$LY$21</formula>
      <formula>1000</formula>
    </cfRule>
    <cfRule type="cellIs" dxfId="327" priority="123841" operator="between">
      <formula>$LY$20</formula>
      <formula>$LY$21</formula>
    </cfRule>
    <cfRule type="cellIs" dxfId="326" priority="123842" operator="between">
      <formula>$LY$19</formula>
      <formula>$LY$20</formula>
    </cfRule>
    <cfRule type="cellIs" dxfId="325" priority="123843" operator="between">
      <formula>$LY$18</formula>
      <formula>$LY$19</formula>
    </cfRule>
  </conditionalFormatting>
  <conditionalFormatting sqref="LN1:LN1048576 LQ1:LQ1048576 LU1:LU1048576 LX1:LX1048576">
    <cfRule type="cellIs" dxfId="324" priority="123888" operator="between">
      <formula>$LY$25</formula>
      <formula>1000</formula>
    </cfRule>
    <cfRule type="cellIs" dxfId="323" priority="123889" operator="between">
      <formula>$LY$24</formula>
      <formula>$LY$25</formula>
    </cfRule>
    <cfRule type="cellIs" dxfId="322" priority="123890" operator="between">
      <formula>$LY$23</formula>
      <formula>$LY$24</formula>
    </cfRule>
    <cfRule type="cellIs" dxfId="321" priority="123891" operator="between">
      <formula>$LY$22</formula>
      <formula>$LY$23</formula>
    </cfRule>
  </conditionalFormatting>
  <conditionalFormatting sqref="MV1:MV1048576 MY1:MY1048576 NC1:NC1048576 NF1:NF1048576">
    <cfRule type="cellIs" dxfId="320" priority="123936" operator="between">
      <formula>$NG$25</formula>
      <formula>1000</formula>
    </cfRule>
    <cfRule type="cellIs" dxfId="319" priority="123937" operator="between">
      <formula>$NG$24</formula>
      <formula>$NG$25</formula>
    </cfRule>
    <cfRule type="cellIs" dxfId="318" priority="123938" operator="between">
      <formula>$NG$23</formula>
      <formula>$NG$24</formula>
    </cfRule>
    <cfRule type="cellIs" dxfId="317" priority="123939" operator="between">
      <formula>$NG$22</formula>
      <formula>$NG$23</formula>
    </cfRule>
  </conditionalFormatting>
  <conditionalFormatting sqref="OB1:OB1048576 OE1:OE1048576 OI1:OI1048576 OL1:OL1048576">
    <cfRule type="cellIs" dxfId="316" priority="123984" operator="between">
      <formula>$OO$21</formula>
      <formula>1000</formula>
    </cfRule>
    <cfRule type="cellIs" dxfId="315" priority="123985" operator="between">
      <formula>$OO$20</formula>
      <formula>$OO$21</formula>
    </cfRule>
    <cfRule type="cellIs" dxfId="314" priority="123986" operator="between">
      <formula>$OO$19</formula>
      <formula>$OO$20</formula>
    </cfRule>
    <cfRule type="cellIs" dxfId="313" priority="123987" operator="between">
      <formula>$OO$18</formula>
      <formula>$OO$19</formula>
    </cfRule>
  </conditionalFormatting>
  <conditionalFormatting sqref="OD1:OD1048576 OG1:OG1048576 OK1:OK1048576 ON1:ON1048576">
    <cfRule type="cellIs" dxfId="312" priority="124032" operator="between">
      <formula>$OO$25</formula>
      <formula>1000</formula>
    </cfRule>
    <cfRule type="cellIs" dxfId="311" priority="124033" operator="between">
      <formula>$OO$24</formula>
      <formula>$OO$25</formula>
    </cfRule>
    <cfRule type="cellIs" dxfId="310" priority="124034" operator="between">
      <formula>$OO$23</formula>
      <formula>$OO$24</formula>
    </cfRule>
    <cfRule type="cellIs" dxfId="309" priority="124035" operator="between">
      <formula>$OO$22</formula>
      <formula>$OO$23</formula>
    </cfRule>
  </conditionalFormatting>
  <conditionalFormatting sqref="PJ1:PJ1048576 PM1:PM1048576 PQ1:PQ1048576 PT1:PT1048576">
    <cfRule type="cellIs" dxfId="308" priority="124080" operator="between">
      <formula>$PW$21</formula>
      <formula>1000</formula>
    </cfRule>
    <cfRule type="cellIs" dxfId="307" priority="124081" operator="between">
      <formula>$PW$20</formula>
      <formula>$PW$21</formula>
    </cfRule>
    <cfRule type="cellIs" dxfId="306" priority="124082" operator="between">
      <formula>$PW$19</formula>
      <formula>$PW$20</formula>
    </cfRule>
    <cfRule type="cellIs" dxfId="305" priority="124083" operator="between">
      <formula>$PW$18</formula>
      <formula>$PW$19</formula>
    </cfRule>
  </conditionalFormatting>
  <conditionalFormatting sqref="PL1:PL1048576 PO1:PO1048576 PS1:PS1048576 PV1:PV1048576">
    <cfRule type="cellIs" dxfId="304" priority="124128" operator="between">
      <formula>$PW$25</formula>
      <formula>1000</formula>
    </cfRule>
    <cfRule type="cellIs" dxfId="303" priority="124129" operator="between">
      <formula>$PW$24</formula>
      <formula>$PW$25</formula>
    </cfRule>
    <cfRule type="cellIs" dxfId="302" priority="124130" operator="between">
      <formula>$PW$23</formula>
      <formula>$PW$24</formula>
    </cfRule>
    <cfRule type="cellIs" dxfId="301" priority="124131" operator="between">
      <formula>$PW$22</formula>
      <formula>$PW$23</formula>
    </cfRule>
  </conditionalFormatting>
  <conditionalFormatting sqref="QR1:QR1048576 QU1:QU1048576 QY1:QY1048576 RB1:RB1048576">
    <cfRule type="cellIs" dxfId="300" priority="124176" operator="between">
      <formula>$RE$21</formula>
      <formula>1000</formula>
    </cfRule>
    <cfRule type="cellIs" dxfId="299" priority="124177" operator="between">
      <formula>$RE$20</formula>
      <formula>$RE$21</formula>
    </cfRule>
    <cfRule type="cellIs" dxfId="298" priority="124178" operator="between">
      <formula>$RE$19</formula>
      <formula>$RE$20</formula>
    </cfRule>
    <cfRule type="cellIs" dxfId="297" priority="124179" operator="between">
      <formula>$RE$18</formula>
      <formula>$RE$19</formula>
    </cfRule>
  </conditionalFormatting>
  <conditionalFormatting sqref="QT1:QT1048576 QW1:QW1048576 RA1:RA1048576 RD1:RD1048576">
    <cfRule type="cellIs" dxfId="296" priority="124224" operator="between">
      <formula>$RE$25</formula>
      <formula>1000</formula>
    </cfRule>
    <cfRule type="cellIs" dxfId="295" priority="124225" operator="between">
      <formula>$RE$24</formula>
      <formula>$RE$25</formula>
    </cfRule>
    <cfRule type="cellIs" dxfId="294" priority="124226" operator="between">
      <formula>$RE$23</formula>
      <formula>$RE$24</formula>
    </cfRule>
    <cfRule type="cellIs" dxfId="293" priority="124227" operator="between">
      <formula>$RE$22</formula>
      <formula>$RE$23</formula>
    </cfRule>
  </conditionalFormatting>
  <conditionalFormatting sqref="RZ1:RZ1048576 SC1:SC1048576 SG1:SG1048576 SJ1:SJ1048576 TK1:TK25 TO1:TO25 TR1:TR25 US1:US25 UW1:UW25 UZ1:UZ25 WA1:WA25 WE1:WE25 WH1:WH25 TH1:TH25 UP1:UP25 VX1:VX25">
    <cfRule type="cellIs" dxfId="292" priority="124272" operator="between">
      <formula>$SM$21</formula>
      <formula>1000</formula>
    </cfRule>
    <cfRule type="cellIs" dxfId="291" priority="124273" operator="between">
      <formula>$SM$20</formula>
      <formula>$SM$21</formula>
    </cfRule>
    <cfRule type="cellIs" dxfId="290" priority="124274" operator="between">
      <formula>$SM$19</formula>
      <formula>$SM$20</formula>
    </cfRule>
    <cfRule type="cellIs" dxfId="289" priority="124275" operator="between">
      <formula>$SM$18</formula>
      <formula>$SM$19</formula>
    </cfRule>
  </conditionalFormatting>
  <conditionalFormatting sqref="SB1:SB1048576 SE1:SE1048576 SI1:SI1048576 SL1:SL1048576 TM1:TM25 TQ1:TQ25 TT1:TT25 UU1:UU25 UY1:UY25 VB1:VB25 WC1:WC25 WG1:WG25 WJ1:WJ25 TJ1:TJ25 UR1:UR25 VZ1:VZ25">
    <cfRule type="cellIs" dxfId="288" priority="124416" operator="between">
      <formula>$SM$25</formula>
      <formula>1000</formula>
    </cfRule>
    <cfRule type="cellIs" dxfId="287" priority="124417" operator="between">
      <formula>$SM$24</formula>
      <formula>$SM$25</formula>
    </cfRule>
    <cfRule type="cellIs" dxfId="286" priority="124418" operator="between">
      <formula>$SM$23</formula>
      <formula>$SM$24</formula>
    </cfRule>
    <cfRule type="cellIs" dxfId="285" priority="124419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32" width="10.83203125" hidden="1" customWidth="1"/>
    <col min="133" max="133" width="10.83203125" style="36" hidden="1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0" t="s">
        <v>10</v>
      </c>
      <c r="H1" s="70" t="s">
        <v>11</v>
      </c>
      <c r="I1" s="70" t="s">
        <v>83</v>
      </c>
      <c r="J1" s="71" t="s">
        <v>104</v>
      </c>
      <c r="K1" s="69" t="s">
        <v>30</v>
      </c>
      <c r="L1" s="71" t="s">
        <v>151</v>
      </c>
      <c r="M1" s="69" t="s">
        <v>30</v>
      </c>
      <c r="N1" s="73" t="s">
        <v>13</v>
      </c>
      <c r="O1" s="69" t="s">
        <v>31</v>
      </c>
      <c r="P1" s="69" t="s">
        <v>30</v>
      </c>
      <c r="Q1" s="64" t="s">
        <v>220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7" t="s">
        <v>239</v>
      </c>
      <c r="AS1" s="67"/>
      <c r="AT1" s="67"/>
      <c r="AU1" s="67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4" t="s">
        <v>249</v>
      </c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8" t="s">
        <v>13</v>
      </c>
      <c r="CU1" s="68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7"/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7"/>
      <c r="OQ1" s="67"/>
      <c r="OR1" s="67"/>
      <c r="OS1" s="67"/>
      <c r="OT1" s="67"/>
      <c r="OU1" s="67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  <c r="UK1" s="67"/>
      <c r="UL1" s="67"/>
      <c r="UM1" s="67"/>
      <c r="UN1" s="67"/>
      <c r="UO1" s="67"/>
      <c r="UP1" s="67"/>
      <c r="UQ1" s="67"/>
      <c r="UR1" s="67"/>
      <c r="US1" s="67"/>
      <c r="UT1" s="67"/>
      <c r="UU1" s="67"/>
      <c r="UV1" s="67"/>
      <c r="UW1" s="67"/>
      <c r="UX1" s="67"/>
      <c r="UY1" s="67"/>
      <c r="UZ1" s="67"/>
      <c r="VA1" s="67"/>
      <c r="VB1" s="67"/>
      <c r="VC1" s="67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  <c r="WD1" s="64"/>
      <c r="WE1" s="64"/>
      <c r="WF1" s="64"/>
      <c r="WG1" s="64"/>
      <c r="WH1" s="64"/>
      <c r="WI1" s="64"/>
      <c r="WJ1" s="64"/>
      <c r="WK1" s="64"/>
      <c r="WL1" s="67" t="s">
        <v>64</v>
      </c>
      <c r="WM1" s="67"/>
      <c r="WN1" s="67"/>
      <c r="WO1" s="67"/>
      <c r="WP1" s="67"/>
      <c r="WQ1" s="67"/>
      <c r="WR1" s="67"/>
      <c r="WS1" s="67"/>
      <c r="WT1" s="67"/>
      <c r="WU1" s="67"/>
      <c r="WV1" s="67"/>
      <c r="WW1" s="67"/>
      <c r="WX1" s="67"/>
      <c r="WY1" s="67"/>
      <c r="WZ1" s="67"/>
      <c r="XA1" s="67"/>
      <c r="XB1" s="67"/>
      <c r="XC1" s="67"/>
      <c r="XD1" s="67"/>
      <c r="XE1" s="67"/>
      <c r="XF1" s="67"/>
      <c r="XG1" s="67"/>
      <c r="XH1" s="67"/>
      <c r="XI1" s="67"/>
      <c r="XJ1" s="67"/>
      <c r="XK1" s="67"/>
      <c r="XL1" s="67"/>
    </row>
    <row r="2" spans="1:636" x14ac:dyDescent="0.2">
      <c r="A2" s="70"/>
      <c r="B2" s="70"/>
      <c r="C2" s="70"/>
      <c r="D2" s="70"/>
      <c r="E2" s="70"/>
      <c r="F2" s="72"/>
      <c r="G2" s="70"/>
      <c r="H2" s="70"/>
      <c r="I2" s="70"/>
      <c r="J2" s="71"/>
      <c r="K2" s="69"/>
      <c r="L2" s="71"/>
      <c r="M2" s="69"/>
      <c r="N2" s="73"/>
      <c r="O2" s="69"/>
      <c r="P2" s="69"/>
      <c r="Q2" s="65" t="s">
        <v>18</v>
      </c>
      <c r="R2" s="65"/>
      <c r="S2" s="65"/>
      <c r="T2" s="65"/>
      <c r="U2" s="65"/>
      <c r="V2" s="65" t="s">
        <v>19</v>
      </c>
      <c r="W2" s="65"/>
      <c r="X2" s="65"/>
      <c r="Y2" s="65"/>
      <c r="Z2" s="65"/>
      <c r="AA2" s="65" t="s">
        <v>22</v>
      </c>
      <c r="AB2" s="65"/>
      <c r="AC2" s="65"/>
      <c r="AD2" s="65"/>
      <c r="AE2" s="65"/>
      <c r="AF2" s="14"/>
      <c r="AG2" s="14" t="s">
        <v>96</v>
      </c>
      <c r="AH2" s="14" t="s">
        <v>127</v>
      </c>
      <c r="AI2" s="14" t="s">
        <v>20</v>
      </c>
      <c r="AJ2" s="14" t="s">
        <v>77</v>
      </c>
      <c r="AK2" s="14" t="s">
        <v>126</v>
      </c>
      <c r="AL2" s="14" t="s">
        <v>21</v>
      </c>
      <c r="AM2" s="14" t="s">
        <v>23</v>
      </c>
      <c r="AN2" s="14" t="s">
        <v>99</v>
      </c>
      <c r="AO2" s="14" t="s">
        <v>128</v>
      </c>
      <c r="AP2" s="14" t="s">
        <v>22</v>
      </c>
      <c r="AQ2" s="14" t="s">
        <v>17</v>
      </c>
      <c r="AR2" s="66" t="s">
        <v>18</v>
      </c>
      <c r="AS2" s="66"/>
      <c r="AT2" s="66"/>
      <c r="AU2" s="66"/>
      <c r="AV2" s="66"/>
      <c r="AW2" s="66" t="s">
        <v>19</v>
      </c>
      <c r="AX2" s="66"/>
      <c r="AY2" s="66"/>
      <c r="AZ2" s="66"/>
      <c r="BA2" s="66"/>
      <c r="BB2" s="66" t="s">
        <v>22</v>
      </c>
      <c r="BC2" s="66"/>
      <c r="BD2" s="66"/>
      <c r="BE2" s="66"/>
      <c r="BF2" s="66"/>
      <c r="BG2" s="13"/>
      <c r="BH2" s="13" t="s">
        <v>96</v>
      </c>
      <c r="BI2" s="13" t="s">
        <v>127</v>
      </c>
      <c r="BJ2" s="13" t="s">
        <v>20</v>
      </c>
      <c r="BK2" s="13" t="s">
        <v>77</v>
      </c>
      <c r="BL2" s="13" t="s">
        <v>126</v>
      </c>
      <c r="BM2" s="13" t="s">
        <v>21</v>
      </c>
      <c r="BN2" s="13" t="s">
        <v>23</v>
      </c>
      <c r="BO2" s="13" t="s">
        <v>99</v>
      </c>
      <c r="BP2" s="13" t="s">
        <v>128</v>
      </c>
      <c r="BQ2" s="13" t="s">
        <v>22</v>
      </c>
      <c r="BR2" s="13" t="s">
        <v>17</v>
      </c>
      <c r="BS2" s="65" t="s">
        <v>18</v>
      </c>
      <c r="BT2" s="65"/>
      <c r="BU2" s="65"/>
      <c r="BV2" s="65"/>
      <c r="BW2" s="65"/>
      <c r="BX2" s="65" t="s">
        <v>19</v>
      </c>
      <c r="BY2" s="65"/>
      <c r="BZ2" s="65"/>
      <c r="CA2" s="65"/>
      <c r="CB2" s="65"/>
      <c r="CC2" s="65" t="s">
        <v>22</v>
      </c>
      <c r="CD2" s="65"/>
      <c r="CE2" s="65"/>
      <c r="CF2" s="65"/>
      <c r="CG2" s="65"/>
      <c r="CH2" s="14"/>
      <c r="CI2" s="14" t="s">
        <v>96</v>
      </c>
      <c r="CJ2" s="14" t="s">
        <v>127</v>
      </c>
      <c r="CK2" s="14" t="s">
        <v>20</v>
      </c>
      <c r="CL2" s="14" t="s">
        <v>77</v>
      </c>
      <c r="CM2" s="14" t="s">
        <v>126</v>
      </c>
      <c r="CN2" s="14" t="s">
        <v>21</v>
      </c>
      <c r="CO2" s="14" t="s">
        <v>23</v>
      </c>
      <c r="CP2" s="14" t="s">
        <v>99</v>
      </c>
      <c r="CQ2" s="14" t="s">
        <v>128</v>
      </c>
      <c r="CR2" s="14" t="s">
        <v>22</v>
      </c>
      <c r="CS2" s="14" t="s">
        <v>17</v>
      </c>
      <c r="CT2" s="50" t="s">
        <v>23</v>
      </c>
      <c r="CU2" s="50" t="s">
        <v>22</v>
      </c>
      <c r="CV2" s="65" t="s">
        <v>18</v>
      </c>
      <c r="CW2" s="65"/>
      <c r="CX2" s="65"/>
      <c r="CY2" s="65"/>
      <c r="CZ2" s="65"/>
      <c r="DA2" s="65" t="s">
        <v>19</v>
      </c>
      <c r="DB2" s="65"/>
      <c r="DC2" s="65"/>
      <c r="DD2" s="65"/>
      <c r="DE2" s="65"/>
      <c r="DF2" s="65" t="s">
        <v>101</v>
      </c>
      <c r="DG2" s="65"/>
      <c r="DH2" s="65"/>
      <c r="DI2" s="65"/>
      <c r="DJ2" s="65"/>
      <c r="DK2" s="65" t="s">
        <v>22</v>
      </c>
      <c r="DL2" s="65"/>
      <c r="DM2" s="65"/>
      <c r="DN2" s="65"/>
      <c r="DO2" s="65"/>
      <c r="DP2" s="14" t="s">
        <v>96</v>
      </c>
      <c r="DQ2" s="14" t="s">
        <v>127</v>
      </c>
      <c r="DR2" s="14" t="s">
        <v>20</v>
      </c>
      <c r="DS2" s="14" t="s">
        <v>77</v>
      </c>
      <c r="DT2" s="14" t="s">
        <v>126</v>
      </c>
      <c r="DU2" s="14" t="s">
        <v>21</v>
      </c>
      <c r="DV2" s="14" t="s">
        <v>23</v>
      </c>
      <c r="DW2" s="14" t="s">
        <v>102</v>
      </c>
      <c r="DX2" s="14" t="s">
        <v>129</v>
      </c>
      <c r="DY2" s="14" t="s">
        <v>101</v>
      </c>
      <c r="DZ2" s="14" t="s">
        <v>99</v>
      </c>
      <c r="EA2" s="14" t="s">
        <v>128</v>
      </c>
      <c r="EB2" s="14" t="s">
        <v>22</v>
      </c>
      <c r="EC2" s="14" t="s">
        <v>17</v>
      </c>
      <c r="ED2" s="66" t="s">
        <v>18</v>
      </c>
      <c r="EE2" s="66"/>
      <c r="EF2" s="66"/>
      <c r="EG2" s="66"/>
      <c r="EH2" s="66"/>
      <c r="EI2" s="66" t="s">
        <v>19</v>
      </c>
      <c r="EJ2" s="66"/>
      <c r="EK2" s="66"/>
      <c r="EL2" s="66"/>
      <c r="EM2" s="66"/>
      <c r="EN2" s="66" t="s">
        <v>101</v>
      </c>
      <c r="EO2" s="66"/>
      <c r="EP2" s="66"/>
      <c r="EQ2" s="66"/>
      <c r="ER2" s="66"/>
      <c r="ES2" s="66" t="s">
        <v>22</v>
      </c>
      <c r="ET2" s="66"/>
      <c r="EU2" s="66"/>
      <c r="EV2" s="66"/>
      <c r="EW2" s="66"/>
      <c r="EX2" s="13" t="s">
        <v>96</v>
      </c>
      <c r="EY2" s="13" t="s">
        <v>127</v>
      </c>
      <c r="EZ2" s="13" t="s">
        <v>20</v>
      </c>
      <c r="FA2" s="13" t="s">
        <v>77</v>
      </c>
      <c r="FB2" s="13" t="s">
        <v>126</v>
      </c>
      <c r="FC2" s="13" t="s">
        <v>21</v>
      </c>
      <c r="FD2" s="13" t="s">
        <v>23</v>
      </c>
      <c r="FE2" s="13" t="s">
        <v>102</v>
      </c>
      <c r="FF2" s="13" t="s">
        <v>129</v>
      </c>
      <c r="FG2" s="13" t="s">
        <v>101</v>
      </c>
      <c r="FH2" s="13" t="s">
        <v>99</v>
      </c>
      <c r="FI2" s="13" t="s">
        <v>128</v>
      </c>
      <c r="FJ2" s="13" t="s">
        <v>22</v>
      </c>
      <c r="FK2" s="13" t="s">
        <v>17</v>
      </c>
      <c r="FL2" s="65" t="s">
        <v>18</v>
      </c>
      <c r="FM2" s="65"/>
      <c r="FN2" s="65"/>
      <c r="FO2" s="65"/>
      <c r="FP2" s="65"/>
      <c r="FQ2" s="65" t="s">
        <v>19</v>
      </c>
      <c r="FR2" s="65"/>
      <c r="FS2" s="65"/>
      <c r="FT2" s="65"/>
      <c r="FU2" s="65"/>
      <c r="FV2" s="65" t="s">
        <v>101</v>
      </c>
      <c r="FW2" s="65"/>
      <c r="FX2" s="65"/>
      <c r="FY2" s="65"/>
      <c r="FZ2" s="65"/>
      <c r="GA2" s="65" t="s">
        <v>22</v>
      </c>
      <c r="GB2" s="65"/>
      <c r="GC2" s="65"/>
      <c r="GD2" s="65"/>
      <c r="GE2" s="65"/>
      <c r="GF2" s="14" t="s">
        <v>96</v>
      </c>
      <c r="GG2" s="14" t="s">
        <v>127</v>
      </c>
      <c r="GH2" s="14" t="s">
        <v>20</v>
      </c>
      <c r="GI2" s="14" t="s">
        <v>77</v>
      </c>
      <c r="GJ2" s="14" t="s">
        <v>126</v>
      </c>
      <c r="GK2" s="14" t="s">
        <v>21</v>
      </c>
      <c r="GL2" s="14" t="s">
        <v>23</v>
      </c>
      <c r="GM2" s="14" t="s">
        <v>102</v>
      </c>
      <c r="GN2" s="14" t="s">
        <v>129</v>
      </c>
      <c r="GO2" s="14" t="s">
        <v>101</v>
      </c>
      <c r="GP2" s="14" t="s">
        <v>99</v>
      </c>
      <c r="GQ2" s="14" t="s">
        <v>128</v>
      </c>
      <c r="GR2" s="14" t="s">
        <v>22</v>
      </c>
      <c r="GS2" s="14" t="s">
        <v>17</v>
      </c>
      <c r="GT2" s="66" t="s">
        <v>18</v>
      </c>
      <c r="GU2" s="66"/>
      <c r="GV2" s="66"/>
      <c r="GW2" s="66"/>
      <c r="GX2" s="66"/>
      <c r="GY2" s="66" t="s">
        <v>19</v>
      </c>
      <c r="GZ2" s="66"/>
      <c r="HA2" s="66"/>
      <c r="HB2" s="66"/>
      <c r="HC2" s="66"/>
      <c r="HD2" s="66" t="s">
        <v>101</v>
      </c>
      <c r="HE2" s="66"/>
      <c r="HF2" s="66"/>
      <c r="HG2" s="66"/>
      <c r="HH2" s="66"/>
      <c r="HI2" s="66" t="s">
        <v>22</v>
      </c>
      <c r="HJ2" s="66"/>
      <c r="HK2" s="66"/>
      <c r="HL2" s="66"/>
      <c r="HM2" s="66"/>
      <c r="HN2" s="13" t="s">
        <v>96</v>
      </c>
      <c r="HO2" s="13" t="s">
        <v>127</v>
      </c>
      <c r="HP2" s="13" t="s">
        <v>20</v>
      </c>
      <c r="HQ2" s="13" t="s">
        <v>77</v>
      </c>
      <c r="HR2" s="13" t="s">
        <v>126</v>
      </c>
      <c r="HS2" s="13" t="s">
        <v>21</v>
      </c>
      <c r="HT2" s="13" t="s">
        <v>23</v>
      </c>
      <c r="HU2" s="13" t="s">
        <v>102</v>
      </c>
      <c r="HV2" s="13" t="s">
        <v>129</v>
      </c>
      <c r="HW2" s="13" t="s">
        <v>101</v>
      </c>
      <c r="HX2" s="13" t="s">
        <v>99</v>
      </c>
      <c r="HY2" s="13" t="s">
        <v>128</v>
      </c>
      <c r="HZ2" s="13" t="s">
        <v>22</v>
      </c>
      <c r="IA2" s="13" t="s">
        <v>17</v>
      </c>
      <c r="IB2" s="65" t="s">
        <v>18</v>
      </c>
      <c r="IC2" s="65"/>
      <c r="ID2" s="65"/>
      <c r="IE2" s="65"/>
      <c r="IF2" s="65"/>
      <c r="IG2" s="65" t="s">
        <v>19</v>
      </c>
      <c r="IH2" s="65"/>
      <c r="II2" s="65"/>
      <c r="IJ2" s="65"/>
      <c r="IK2" s="65"/>
      <c r="IL2" s="65" t="s">
        <v>101</v>
      </c>
      <c r="IM2" s="65"/>
      <c r="IN2" s="65"/>
      <c r="IO2" s="65"/>
      <c r="IP2" s="65"/>
      <c r="IQ2" s="65" t="s">
        <v>22</v>
      </c>
      <c r="IR2" s="65"/>
      <c r="IS2" s="65"/>
      <c r="IT2" s="65"/>
      <c r="IU2" s="65"/>
      <c r="IV2" s="14" t="s">
        <v>96</v>
      </c>
      <c r="IW2" s="14" t="s">
        <v>127</v>
      </c>
      <c r="IX2" s="14" t="s">
        <v>20</v>
      </c>
      <c r="IY2" s="14" t="s">
        <v>77</v>
      </c>
      <c r="IZ2" s="14" t="s">
        <v>126</v>
      </c>
      <c r="JA2" s="14" t="s">
        <v>21</v>
      </c>
      <c r="JB2" s="14" t="s">
        <v>23</v>
      </c>
      <c r="JC2" s="14" t="s">
        <v>102</v>
      </c>
      <c r="JD2" s="14" t="s">
        <v>129</v>
      </c>
      <c r="JE2" s="14" t="s">
        <v>101</v>
      </c>
      <c r="JF2" s="14" t="s">
        <v>99</v>
      </c>
      <c r="JG2" s="14" t="s">
        <v>128</v>
      </c>
      <c r="JH2" s="14" t="s">
        <v>22</v>
      </c>
      <c r="JI2" s="14" t="s">
        <v>17</v>
      </c>
      <c r="JJ2" s="66" t="s">
        <v>18</v>
      </c>
      <c r="JK2" s="66"/>
      <c r="JL2" s="66"/>
      <c r="JM2" s="66"/>
      <c r="JN2" s="66"/>
      <c r="JO2" s="66" t="s">
        <v>19</v>
      </c>
      <c r="JP2" s="66"/>
      <c r="JQ2" s="66"/>
      <c r="JR2" s="66"/>
      <c r="JS2" s="66"/>
      <c r="JT2" s="66" t="s">
        <v>101</v>
      </c>
      <c r="JU2" s="66"/>
      <c r="JV2" s="66"/>
      <c r="JW2" s="66"/>
      <c r="JX2" s="66"/>
      <c r="JY2" s="66" t="s">
        <v>22</v>
      </c>
      <c r="JZ2" s="66"/>
      <c r="KA2" s="66"/>
      <c r="KB2" s="66"/>
      <c r="KC2" s="66"/>
      <c r="KD2" s="13" t="s">
        <v>96</v>
      </c>
      <c r="KE2" s="13" t="s">
        <v>127</v>
      </c>
      <c r="KF2" s="13" t="s">
        <v>20</v>
      </c>
      <c r="KG2" s="13" t="s">
        <v>77</v>
      </c>
      <c r="KH2" s="13" t="s">
        <v>126</v>
      </c>
      <c r="KI2" s="13" t="s">
        <v>21</v>
      </c>
      <c r="KJ2" s="13" t="s">
        <v>23</v>
      </c>
      <c r="KK2" s="13" t="s">
        <v>102</v>
      </c>
      <c r="KL2" s="13" t="s">
        <v>129</v>
      </c>
      <c r="KM2" s="13" t="s">
        <v>101</v>
      </c>
      <c r="KN2" s="13" t="s">
        <v>99</v>
      </c>
      <c r="KO2" s="13" t="s">
        <v>128</v>
      </c>
      <c r="KP2" s="13" t="s">
        <v>22</v>
      </c>
      <c r="KQ2" s="13" t="s">
        <v>17</v>
      </c>
      <c r="KR2" s="65" t="s">
        <v>18</v>
      </c>
      <c r="KS2" s="65"/>
      <c r="KT2" s="65"/>
      <c r="KU2" s="65"/>
      <c r="KV2" s="65"/>
      <c r="KW2" s="65" t="s">
        <v>19</v>
      </c>
      <c r="KX2" s="65"/>
      <c r="KY2" s="65"/>
      <c r="KZ2" s="65"/>
      <c r="LA2" s="65"/>
      <c r="LB2" s="65" t="s">
        <v>101</v>
      </c>
      <c r="LC2" s="65"/>
      <c r="LD2" s="65"/>
      <c r="LE2" s="65"/>
      <c r="LF2" s="65"/>
      <c r="LG2" s="65" t="s">
        <v>22</v>
      </c>
      <c r="LH2" s="65"/>
      <c r="LI2" s="65"/>
      <c r="LJ2" s="65"/>
      <c r="LK2" s="65"/>
      <c r="LL2" s="14" t="s">
        <v>96</v>
      </c>
      <c r="LM2" s="14" t="s">
        <v>127</v>
      </c>
      <c r="LN2" s="14" t="s">
        <v>20</v>
      </c>
      <c r="LO2" s="14" t="s">
        <v>77</v>
      </c>
      <c r="LP2" s="14" t="s">
        <v>126</v>
      </c>
      <c r="LQ2" s="14" t="s">
        <v>21</v>
      </c>
      <c r="LR2" s="14" t="s">
        <v>23</v>
      </c>
      <c r="LS2" s="14" t="s">
        <v>102</v>
      </c>
      <c r="LT2" s="14" t="s">
        <v>129</v>
      </c>
      <c r="LU2" s="14" t="s">
        <v>101</v>
      </c>
      <c r="LV2" s="14" t="s">
        <v>99</v>
      </c>
      <c r="LW2" s="14" t="s">
        <v>128</v>
      </c>
      <c r="LX2" s="14" t="s">
        <v>22</v>
      </c>
      <c r="LY2" s="14" t="s">
        <v>17</v>
      </c>
      <c r="LZ2" s="66" t="s">
        <v>18</v>
      </c>
      <c r="MA2" s="66"/>
      <c r="MB2" s="66"/>
      <c r="MC2" s="66"/>
      <c r="MD2" s="66"/>
      <c r="ME2" s="66" t="s">
        <v>19</v>
      </c>
      <c r="MF2" s="66"/>
      <c r="MG2" s="66"/>
      <c r="MH2" s="66"/>
      <c r="MI2" s="66"/>
      <c r="MJ2" s="66" t="s">
        <v>101</v>
      </c>
      <c r="MK2" s="66"/>
      <c r="ML2" s="66"/>
      <c r="MM2" s="66"/>
      <c r="MN2" s="66"/>
      <c r="MO2" s="66" t="s">
        <v>22</v>
      </c>
      <c r="MP2" s="66"/>
      <c r="MQ2" s="66"/>
      <c r="MR2" s="66"/>
      <c r="MS2" s="66"/>
      <c r="MT2" s="13" t="s">
        <v>96</v>
      </c>
      <c r="MU2" s="13" t="s">
        <v>127</v>
      </c>
      <c r="MV2" s="13" t="s">
        <v>20</v>
      </c>
      <c r="MW2" s="13" t="s">
        <v>77</v>
      </c>
      <c r="MX2" s="13" t="s">
        <v>126</v>
      </c>
      <c r="MY2" s="13" t="s">
        <v>21</v>
      </c>
      <c r="MZ2" s="13" t="s">
        <v>23</v>
      </c>
      <c r="NA2" s="13" t="s">
        <v>102</v>
      </c>
      <c r="NB2" s="13" t="s">
        <v>129</v>
      </c>
      <c r="NC2" s="13" t="s">
        <v>101</v>
      </c>
      <c r="ND2" s="13" t="s">
        <v>99</v>
      </c>
      <c r="NE2" s="13" t="s">
        <v>128</v>
      </c>
      <c r="NF2" s="13" t="s">
        <v>22</v>
      </c>
      <c r="NG2" s="13" t="s">
        <v>17</v>
      </c>
      <c r="NH2" s="65" t="s">
        <v>18</v>
      </c>
      <c r="NI2" s="65"/>
      <c r="NJ2" s="65"/>
      <c r="NK2" s="65"/>
      <c r="NL2" s="65"/>
      <c r="NM2" s="65" t="s">
        <v>19</v>
      </c>
      <c r="NN2" s="65"/>
      <c r="NO2" s="65"/>
      <c r="NP2" s="65"/>
      <c r="NQ2" s="65"/>
      <c r="NR2" s="65" t="s">
        <v>101</v>
      </c>
      <c r="NS2" s="65"/>
      <c r="NT2" s="65"/>
      <c r="NU2" s="65"/>
      <c r="NV2" s="65"/>
      <c r="NW2" s="65" t="s">
        <v>22</v>
      </c>
      <c r="NX2" s="65"/>
      <c r="NY2" s="65"/>
      <c r="NZ2" s="65"/>
      <c r="OA2" s="65"/>
      <c r="OB2" s="14" t="s">
        <v>96</v>
      </c>
      <c r="OC2" s="14" t="s">
        <v>127</v>
      </c>
      <c r="OD2" s="14" t="s">
        <v>20</v>
      </c>
      <c r="OE2" s="14" t="s">
        <v>77</v>
      </c>
      <c r="OF2" s="14" t="s">
        <v>126</v>
      </c>
      <c r="OG2" s="14" t="s">
        <v>21</v>
      </c>
      <c r="OH2" s="14" t="s">
        <v>23</v>
      </c>
      <c r="OI2" s="14" t="s">
        <v>102</v>
      </c>
      <c r="OJ2" s="14" t="s">
        <v>129</v>
      </c>
      <c r="OK2" s="14" t="s">
        <v>101</v>
      </c>
      <c r="OL2" s="14" t="s">
        <v>99</v>
      </c>
      <c r="OM2" s="14" t="s">
        <v>128</v>
      </c>
      <c r="ON2" s="14" t="s">
        <v>22</v>
      </c>
      <c r="OO2" s="14" t="s">
        <v>17</v>
      </c>
      <c r="OP2" s="66" t="s">
        <v>18</v>
      </c>
      <c r="OQ2" s="66"/>
      <c r="OR2" s="66"/>
      <c r="OS2" s="66"/>
      <c r="OT2" s="66"/>
      <c r="OU2" s="66" t="s">
        <v>19</v>
      </c>
      <c r="OV2" s="66"/>
      <c r="OW2" s="66"/>
      <c r="OX2" s="66"/>
      <c r="OY2" s="66"/>
      <c r="OZ2" s="66" t="s">
        <v>101</v>
      </c>
      <c r="PA2" s="66"/>
      <c r="PB2" s="66"/>
      <c r="PC2" s="66"/>
      <c r="PD2" s="66"/>
      <c r="PE2" s="66" t="s">
        <v>22</v>
      </c>
      <c r="PF2" s="66"/>
      <c r="PG2" s="66"/>
      <c r="PH2" s="66"/>
      <c r="PI2" s="66"/>
      <c r="PJ2" s="13" t="s">
        <v>96</v>
      </c>
      <c r="PK2" s="13" t="s">
        <v>127</v>
      </c>
      <c r="PL2" s="13" t="s">
        <v>20</v>
      </c>
      <c r="PM2" s="13" t="s">
        <v>77</v>
      </c>
      <c r="PN2" s="13" t="s">
        <v>126</v>
      </c>
      <c r="PO2" s="13" t="s">
        <v>21</v>
      </c>
      <c r="PP2" s="13" t="s">
        <v>23</v>
      </c>
      <c r="PQ2" s="13" t="s">
        <v>102</v>
      </c>
      <c r="PR2" s="13" t="s">
        <v>129</v>
      </c>
      <c r="PS2" s="13" t="s">
        <v>101</v>
      </c>
      <c r="PT2" s="13" t="s">
        <v>99</v>
      </c>
      <c r="PU2" s="13" t="s">
        <v>128</v>
      </c>
      <c r="PV2" s="13" t="s">
        <v>22</v>
      </c>
      <c r="PW2" s="13" t="s">
        <v>17</v>
      </c>
      <c r="PX2" s="65" t="s">
        <v>18</v>
      </c>
      <c r="PY2" s="65"/>
      <c r="PZ2" s="65"/>
      <c r="QA2" s="65"/>
      <c r="QB2" s="65"/>
      <c r="QC2" s="65" t="s">
        <v>19</v>
      </c>
      <c r="QD2" s="65"/>
      <c r="QE2" s="65"/>
      <c r="QF2" s="65"/>
      <c r="QG2" s="65"/>
      <c r="QH2" s="65" t="s">
        <v>101</v>
      </c>
      <c r="QI2" s="65"/>
      <c r="QJ2" s="65"/>
      <c r="QK2" s="65"/>
      <c r="QL2" s="65"/>
      <c r="QM2" s="65" t="s">
        <v>22</v>
      </c>
      <c r="QN2" s="65"/>
      <c r="QO2" s="65"/>
      <c r="QP2" s="65"/>
      <c r="QQ2" s="65"/>
      <c r="QR2" s="14" t="s">
        <v>96</v>
      </c>
      <c r="QS2" s="14" t="s">
        <v>127</v>
      </c>
      <c r="QT2" s="14" t="s">
        <v>20</v>
      </c>
      <c r="QU2" s="14" t="s">
        <v>77</v>
      </c>
      <c r="QV2" s="14" t="s">
        <v>126</v>
      </c>
      <c r="QW2" s="14" t="s">
        <v>21</v>
      </c>
      <c r="QX2" s="14" t="s">
        <v>23</v>
      </c>
      <c r="QY2" s="14" t="s">
        <v>102</v>
      </c>
      <c r="QZ2" s="14" t="s">
        <v>129</v>
      </c>
      <c r="RA2" s="14" t="s">
        <v>101</v>
      </c>
      <c r="RB2" s="14" t="s">
        <v>99</v>
      </c>
      <c r="RC2" s="14" t="s">
        <v>128</v>
      </c>
      <c r="RD2" s="14" t="s">
        <v>22</v>
      </c>
      <c r="RE2" s="14" t="s">
        <v>17</v>
      </c>
      <c r="RF2" s="66" t="s">
        <v>18</v>
      </c>
      <c r="RG2" s="66"/>
      <c r="RH2" s="66"/>
      <c r="RI2" s="66"/>
      <c r="RJ2" s="66"/>
      <c r="RK2" s="66" t="s">
        <v>19</v>
      </c>
      <c r="RL2" s="66"/>
      <c r="RM2" s="66"/>
      <c r="RN2" s="66"/>
      <c r="RO2" s="66"/>
      <c r="RP2" s="66" t="s">
        <v>101</v>
      </c>
      <c r="RQ2" s="66"/>
      <c r="RR2" s="66"/>
      <c r="RS2" s="66"/>
      <c r="RT2" s="66"/>
      <c r="RU2" s="66" t="s">
        <v>22</v>
      </c>
      <c r="RV2" s="66"/>
      <c r="RW2" s="66"/>
      <c r="RX2" s="66"/>
      <c r="RY2" s="66"/>
      <c r="RZ2" s="13" t="s">
        <v>96</v>
      </c>
      <c r="SA2" s="13" t="s">
        <v>127</v>
      </c>
      <c r="SB2" s="13" t="s">
        <v>20</v>
      </c>
      <c r="SC2" s="13" t="s">
        <v>77</v>
      </c>
      <c r="SD2" s="13" t="s">
        <v>126</v>
      </c>
      <c r="SE2" s="13" t="s">
        <v>21</v>
      </c>
      <c r="SF2" s="13" t="s">
        <v>23</v>
      </c>
      <c r="SG2" s="13" t="s">
        <v>102</v>
      </c>
      <c r="SH2" s="13" t="s">
        <v>129</v>
      </c>
      <c r="SI2" s="13" t="s">
        <v>101</v>
      </c>
      <c r="SJ2" s="13" t="s">
        <v>99</v>
      </c>
      <c r="SK2" s="13" t="s">
        <v>128</v>
      </c>
      <c r="SL2" s="13" t="s">
        <v>22</v>
      </c>
      <c r="SM2" s="13" t="s">
        <v>17</v>
      </c>
      <c r="SN2" s="65" t="s">
        <v>18</v>
      </c>
      <c r="SO2" s="65"/>
      <c r="SP2" s="65"/>
      <c r="SQ2" s="65"/>
      <c r="SR2" s="65"/>
      <c r="SS2" s="65" t="s">
        <v>19</v>
      </c>
      <c r="ST2" s="65"/>
      <c r="SU2" s="65"/>
      <c r="SV2" s="65"/>
      <c r="SW2" s="65"/>
      <c r="SX2" s="65" t="s">
        <v>101</v>
      </c>
      <c r="SY2" s="65"/>
      <c r="SZ2" s="65"/>
      <c r="TA2" s="65"/>
      <c r="TB2" s="65"/>
      <c r="TC2" s="65" t="s">
        <v>22</v>
      </c>
      <c r="TD2" s="65"/>
      <c r="TE2" s="65"/>
      <c r="TF2" s="65"/>
      <c r="TG2" s="65"/>
      <c r="TH2" s="14" t="s">
        <v>96</v>
      </c>
      <c r="TI2" s="14" t="s">
        <v>127</v>
      </c>
      <c r="TJ2" s="14" t="s">
        <v>20</v>
      </c>
      <c r="TK2" s="14" t="s">
        <v>77</v>
      </c>
      <c r="TL2" s="14" t="s">
        <v>126</v>
      </c>
      <c r="TM2" s="14" t="s">
        <v>21</v>
      </c>
      <c r="TN2" s="14" t="s">
        <v>23</v>
      </c>
      <c r="TO2" s="14" t="s">
        <v>102</v>
      </c>
      <c r="TP2" s="14" t="s">
        <v>129</v>
      </c>
      <c r="TQ2" s="14" t="s">
        <v>101</v>
      </c>
      <c r="TR2" s="14" t="s">
        <v>99</v>
      </c>
      <c r="TS2" s="14" t="s">
        <v>128</v>
      </c>
      <c r="TT2" s="14" t="s">
        <v>22</v>
      </c>
      <c r="TU2" s="14" t="s">
        <v>17</v>
      </c>
      <c r="TV2" s="66" t="s">
        <v>18</v>
      </c>
      <c r="TW2" s="66"/>
      <c r="TX2" s="66"/>
      <c r="TY2" s="66"/>
      <c r="TZ2" s="66"/>
      <c r="UA2" s="66" t="s">
        <v>19</v>
      </c>
      <c r="UB2" s="66"/>
      <c r="UC2" s="66"/>
      <c r="UD2" s="66"/>
      <c r="UE2" s="66"/>
      <c r="UF2" s="66" t="s">
        <v>101</v>
      </c>
      <c r="UG2" s="66"/>
      <c r="UH2" s="66"/>
      <c r="UI2" s="66"/>
      <c r="UJ2" s="66"/>
      <c r="UK2" s="66" t="s">
        <v>22</v>
      </c>
      <c r="UL2" s="66"/>
      <c r="UM2" s="66"/>
      <c r="UN2" s="66"/>
      <c r="UO2" s="66"/>
      <c r="UP2" s="13" t="s">
        <v>96</v>
      </c>
      <c r="UQ2" s="13" t="s">
        <v>127</v>
      </c>
      <c r="UR2" s="13" t="s">
        <v>20</v>
      </c>
      <c r="US2" s="13" t="s">
        <v>77</v>
      </c>
      <c r="UT2" s="13" t="s">
        <v>126</v>
      </c>
      <c r="UU2" s="13" t="s">
        <v>21</v>
      </c>
      <c r="UV2" s="13" t="s">
        <v>23</v>
      </c>
      <c r="UW2" s="13" t="s">
        <v>102</v>
      </c>
      <c r="UX2" s="13" t="s">
        <v>129</v>
      </c>
      <c r="UY2" s="13" t="s">
        <v>101</v>
      </c>
      <c r="UZ2" s="13" t="s">
        <v>99</v>
      </c>
      <c r="VA2" s="13" t="s">
        <v>128</v>
      </c>
      <c r="VB2" s="13" t="s">
        <v>22</v>
      </c>
      <c r="VC2" s="13" t="s">
        <v>17</v>
      </c>
      <c r="VD2" s="65" t="s">
        <v>18</v>
      </c>
      <c r="VE2" s="65"/>
      <c r="VF2" s="65"/>
      <c r="VG2" s="65"/>
      <c r="VH2" s="65"/>
      <c r="VI2" s="65" t="s">
        <v>19</v>
      </c>
      <c r="VJ2" s="65"/>
      <c r="VK2" s="65"/>
      <c r="VL2" s="65"/>
      <c r="VM2" s="65"/>
      <c r="VN2" s="65" t="s">
        <v>101</v>
      </c>
      <c r="VO2" s="65"/>
      <c r="VP2" s="65"/>
      <c r="VQ2" s="65"/>
      <c r="VR2" s="65"/>
      <c r="VS2" s="65" t="s">
        <v>22</v>
      </c>
      <c r="VT2" s="65"/>
      <c r="VU2" s="65"/>
      <c r="VV2" s="65"/>
      <c r="VW2" s="65"/>
      <c r="VX2" s="14" t="s">
        <v>96</v>
      </c>
      <c r="VY2" s="14" t="s">
        <v>127</v>
      </c>
      <c r="VZ2" s="14" t="s">
        <v>20</v>
      </c>
      <c r="WA2" s="14" t="s">
        <v>77</v>
      </c>
      <c r="WB2" s="14" t="s">
        <v>126</v>
      </c>
      <c r="WC2" s="14" t="s">
        <v>21</v>
      </c>
      <c r="WD2" s="14" t="s">
        <v>23</v>
      </c>
      <c r="WE2" s="14" t="s">
        <v>102</v>
      </c>
      <c r="WF2" s="14" t="s">
        <v>129</v>
      </c>
      <c r="WG2" s="14" t="s">
        <v>101</v>
      </c>
      <c r="WH2" s="14" t="s">
        <v>99</v>
      </c>
      <c r="WI2" s="14" t="s">
        <v>128</v>
      </c>
      <c r="WJ2" s="14" t="s">
        <v>22</v>
      </c>
      <c r="WK2" s="14" t="s">
        <v>17</v>
      </c>
      <c r="WL2" s="66" t="s">
        <v>18</v>
      </c>
      <c r="WM2" s="66"/>
      <c r="WN2" s="66"/>
      <c r="WO2" s="66"/>
      <c r="WP2" s="66"/>
      <c r="WQ2" s="66" t="s">
        <v>19</v>
      </c>
      <c r="WR2" s="66"/>
      <c r="WS2" s="66"/>
      <c r="WT2" s="66"/>
      <c r="WU2" s="66"/>
      <c r="WV2" s="66" t="s">
        <v>22</v>
      </c>
      <c r="WW2" s="66"/>
      <c r="WX2" s="66"/>
      <c r="WY2" s="66"/>
      <c r="WZ2" s="66"/>
      <c r="XA2" s="13"/>
      <c r="XB2" s="13" t="s">
        <v>96</v>
      </c>
      <c r="XC2" s="13" t="s">
        <v>127</v>
      </c>
      <c r="XD2" s="13" t="s">
        <v>20</v>
      </c>
      <c r="XE2" s="13" t="s">
        <v>77</v>
      </c>
      <c r="XF2" s="13" t="s">
        <v>126</v>
      </c>
      <c r="XG2" s="13" t="s">
        <v>21</v>
      </c>
      <c r="XH2" s="13" t="s">
        <v>23</v>
      </c>
      <c r="XI2" s="13" t="s">
        <v>99</v>
      </c>
      <c r="XJ2" s="13" t="s">
        <v>128</v>
      </c>
      <c r="XK2" s="13" t="s">
        <v>22</v>
      </c>
      <c r="XL2" s="13" t="s">
        <v>17</v>
      </c>
    </row>
    <row r="3" spans="1:636" x14ac:dyDescent="0.2">
      <c r="A3" s="70"/>
      <c r="B3" s="70"/>
      <c r="C3" s="70"/>
      <c r="D3" s="70"/>
      <c r="E3" s="70"/>
      <c r="F3" s="72"/>
      <c r="G3" s="70"/>
      <c r="H3" s="70"/>
      <c r="I3" s="70"/>
      <c r="J3" s="71"/>
      <c r="K3" s="69"/>
      <c r="L3" s="71"/>
      <c r="M3" s="69"/>
      <c r="N3" s="73"/>
      <c r="O3" s="69"/>
      <c r="P3" s="69"/>
      <c r="Q3" s="14" t="s">
        <v>14</v>
      </c>
      <c r="R3" s="14" t="s">
        <v>15</v>
      </c>
      <c r="S3" s="14" t="s">
        <v>9</v>
      </c>
      <c r="T3" s="14" t="s">
        <v>125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125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125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125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125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125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125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125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125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125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125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125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125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125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125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125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125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125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125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125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125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125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125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125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125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125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125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125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125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125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125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125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125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125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125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125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125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125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125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125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125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125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125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125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125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125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125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125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125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125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125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125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125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125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125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125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125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125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125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125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125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125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125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125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125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125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125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125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125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125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125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125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t="str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/>
      </c>
      <c r="B4" s="5" t="s">
        <v>266</v>
      </c>
      <c r="C4" s="4" t="s">
        <v>7</v>
      </c>
      <c r="D4" s="4" t="s">
        <v>265</v>
      </c>
      <c r="E4" s="9">
        <f>SUM(J4,L4,N4)</f>
        <v>0</v>
      </c>
      <c r="F4" s="3" t="str">
        <f>IF(OR(AND(AG4&gt;=AQ$11,AG4&lt;&gt;"",AI4&gt;=AQ$15,AI4&lt;&gt;"",AF4=""),AND(AJ4&gt;=AQ$11,AJ4&lt;&gt;"",AL4&gt;=AQ$15,AL4&lt;&gt;"",AF4=""),AND(AN4&gt;=AQ$11,AN4&lt;&gt;"",AP4&gt;=AQ$15,AP4&lt;&gt;"",AF4=""),AND(BH4&gt;=BR$11,BH4&lt;&gt;"",BJ4&gt;=BR$15,BJ4&lt;&gt;"",BG4=""),AND(BK4&gt;=BR$11,BK4&lt;&gt;"",BM4&gt;=BR$15,BM4&lt;&gt;"",BG4=""),AND(BO4&gt;=BR$11,BO4&lt;&gt;"",BQ4&gt;=BR$15,BQ4&lt;&gt;"",BG4=""),AND(CI4&gt;=CS$11,CI4&lt;&gt;"",CK4&gt;=CS$15,CK4&lt;&gt;"",CH4=""),AND(CL4&gt;=CS$11,CL4&lt;&gt;"",CN4&gt;=CS$15,CN4&lt;&gt;"",CH4=""),AND(CP4&gt;=CS$11,CP4&lt;&gt;"",CR4&gt;=CS$15,CR4&lt;&gt;"",CH4=""),AND(DP4&gt;=EC$11,DP4&lt;&gt;"",DR4&gt;=EC$15,DR4&lt;&gt;""),AND(DS4&gt;=EC$11,DS4&lt;&gt;"",DU4&gt;=EC$15,DU4&lt;&gt;""),AND(DW4&gt;=EC$11,DW4&lt;&gt;"",DY4&gt;=EC$15,DY4&lt;&gt;""),AND(DZ4&gt;=EC$11,DZ4&lt;&gt;"",EB4&gt;=EC$15,EB4&lt;&gt;""),AND(EX4&gt;=FK$11,EX4&lt;&gt;"",EZ4&gt;=FK$15,EZ4&lt;&gt;""),AND(FA4&gt;=FK$11,FA4&lt;&gt;"",FC4&gt;=FK$15,FC4&lt;&gt;""),AND(FE4&gt;=FK$11,FE4&lt;&gt;"",FG4&gt;=FK$15,FG4&lt;&gt;""),AND(FH4&gt;=FK$11,FH4&lt;&gt;"",FJ4&gt;=FK$15,FJ4&lt;&gt;""),AND(GF4&gt;=GS$11,GF4&lt;&gt;"",GH4&gt;=GS$15,GH4&lt;&gt;""),AND(GI4&gt;=GS$11,GI4&lt;&gt;"",GK4&gt;=GS$15,GK4&lt;&gt;""),AND(GM4&gt;=GS$11,GM4&lt;&gt;"",GO4&gt;=GS$15,GO4&lt;&gt;""),AND(GP4&gt;=GS$11,GP4&lt;&gt;"",GR4&gt;=GS$15,GR4&lt;&gt;""),AND(HN4&gt;=IA$11,HN4&lt;&gt;"",HP4&gt;=IA$15,HP4&lt;&gt;""),AND(HQ4&gt;=IA$11,HQ4&lt;&gt;"",HS4&gt;=IA$15,HS4&lt;&gt;""),AND(HU4&gt;=IA$11,HU4&lt;&gt;"",HW4&gt;=IA$15,HW4&lt;&gt;""),AND(HX4&gt;=IA$11,HX4&lt;&gt;"",HZ4&gt;=IA$15,HZ4&lt;&gt;""),AND(IV4&gt;=JI$11,IV4&lt;&gt;"",IX4&gt;=JI$15,IX4&lt;&gt;""),AND(IY4&gt;=JI$11,IY4&lt;&gt;"",JA4&gt;=JI$15,JA4&lt;&gt;""),AND(JC4&gt;=JI$11,JC4&lt;&gt;"",JE4&gt;=JI$15,JE4&lt;&gt;""),AND(JF4&gt;=JI$11,JF4&lt;&gt;"",JH4&gt;=JI$15,JH4&lt;&gt;""),AND(KD4&gt;=KQ$11,KD4&lt;&gt;"",KF4&gt;=KQ$15,KF4&lt;&gt;""),AND(KG4&gt;=KQ$11,KG4&lt;&gt;"",KI4&gt;=KQ$15,KI4&lt;&gt;""),AND(KK4&gt;=KQ$11,KK4&lt;&gt;"",KM4&gt;=KQ$15,KM4&lt;&gt;""),AND(KN4&gt;=KQ$11,KN4&lt;&gt;"",KP4&gt;=KQ$15,KP4&lt;&gt;""),AND(LL4&gt;=LY$11,LL4&lt;&gt;"",LN4&gt;=LY$15,LN4&lt;&gt;""),AND(LO4&gt;=LY$11,LO4&lt;&gt;"",LQ4&gt;=LY$15,LQ4&lt;&gt;""),AND(LS4&gt;=LY$11,LS4&lt;&gt;"",LU4&gt;=LY$15,LU4&lt;&gt;""),AND(LV4&gt;=LY$11,LV4&lt;&gt;"",LX4&gt;=LY$15,LX4&lt;&gt;""),AND(MT4&gt;=NG$11,MT4&lt;&gt;"",MV4&gt;=NG$15,MV4&lt;&gt;""),AND(MW4&gt;=NG$11,MW4&lt;&gt;"",MY4&gt;=NG$15,MY4&lt;&gt;""),AND(NA4&gt;=NG$11,NA4&lt;&gt;"",NC4&gt;=NG$15,NC4&lt;&gt;""),AND(ND4&gt;=NG$11,ND4&lt;&gt;"",NF4&gt;=NG$15,NF4&lt;&gt;""),AND(OB4&gt;=OO$11,OB4&lt;&gt;"",OD4&gt;=OO$15,OD4&lt;&gt;""),AND(OE4&gt;=OO$11,OE4&lt;&gt;"",OG4&gt;=OO$15,OG4&lt;&gt;""),AND(OI4&gt;=OO$11,OI4&lt;&gt;"",OK4&gt;=OO$15,OK4&lt;&gt;""),AND(OL4&gt;=OO$11,OL4&lt;&gt;"",ON4&gt;=OO$15,ON4&lt;&gt;""),AND(PJ4&gt;=PW$11,PJ4&lt;&gt;"",PL4&gt;=PW$15,PL4&lt;&gt;""),AND(PM4&gt;=PW$11,PM4&lt;&gt;"",PO4&gt;=PW$15,PO4&lt;&gt;""),AND(PQ4&gt;=PW$11,PQ4&lt;&gt;"",PS4&gt;=PW$15,PS4&lt;&gt;""),AND(PT4&gt;=PW$11,PT4&lt;&gt;"",PV4&gt;=PW$15,PV4&lt;&gt;""),AND(QR4&gt;=RE$11,QR4&lt;&gt;"",QT4&gt;=RE$15,QT4&lt;&gt;""),AND(QU4&gt;=RE$11,QU4&lt;&gt;"",QW4&gt;=RE$15,QW4&lt;&gt;""),AND(QY4&gt;=RE$11,QY4&lt;&gt;"",RA4&gt;=RE$15,RA4&lt;&gt;""),AND(RB4&gt;=RE$11,RB4&lt;&gt;"",RD4&gt;=RE$15,RD4&lt;&gt;""),AND(RZ4&gt;=SM$11,RZ4&lt;&gt;"",SB4&gt;=SM$15,SB4&lt;&gt;""),AND(SC4&gt;=SM$11,SC4&lt;&gt;"",SE4&gt;=SM$15,SE4&lt;&gt;""),AND(SG4&gt;=SM$11,SG4&lt;&gt;"",SI4&gt;=SM$15,SI4&lt;&gt;""),AND(SJ4&gt;=SM$11,SJ4&lt;&gt;"",SL4&gt;=SM$15,SL4&lt;&gt;""),AND(TH4&gt;=TU$11,TH4&lt;&gt;"",TJ4&gt;=TU$15,TJ4&lt;&gt;""),AND(TK4&gt;=TU$11,TK4&lt;&gt;"",TM4&gt;=TU$15,TM4&lt;&gt;""),AND(TO4&gt;=TU$11,TO4&lt;&gt;"",TQ4&gt;=TU$15,TQ4&lt;&gt;""),AND(TR4&gt;=TU$11,TR4&lt;&gt;"",TT4&gt;=TU$15,TT4&lt;&gt;""),AND(UP4&gt;=VC$11,UP4&lt;&gt;"",UR4&gt;=VC$15,UR4&lt;&gt;""),AND(US4&gt;=VC$11,US4&lt;&gt;"",UU4&gt;=VC$15,UU4&lt;&gt;""),AND(UW4&gt;=VC$11,UW4&lt;&gt;"",UY4&gt;=VC$15,UY4&lt;&gt;""),AND(UZ4&gt;=VC$11,UZ4&lt;&gt;"",VB4&gt;=VC$15,VB4&lt;&gt;""),AND(VX4&gt;=WK$11,VX4&lt;&gt;"",VZ4&gt;=WK$15,VZ4&lt;&gt;""),AND(WA4&gt;=WK$11,WA4&lt;&gt;"",WC4&gt;=WK$15,WC4&lt;&gt;""),AND(WE4&gt;=WK$11,WE4&lt;&gt;"",WG4&gt;=WK$15,WG4&lt;&gt;""),AND(WH4&gt;=WK$11,WH4&lt;&gt;"",WJ4&gt;=WK$15,WJ4&lt;&gt;"")),"P","")</f>
        <v/>
      </c>
      <c r="G4" s="3" t="str">
        <f>IF(OR(AND(AI4&gt;=AQ$15,AI4&lt;&gt;"",AF4=""),AND(AL4&gt;=AQ$15,AL4&lt;&gt;"",AF4=""),AND(AP4&gt;=AQ$15,AP4&lt;&gt;"",AF4=""),AND(BJ4&gt;=BR$15,BJ4&lt;&gt;"",BG4=""),AND(BM4&gt;=BR$15,BM4&lt;&gt;"",BG4=""),AND(BQ4&gt;=BR$15,BQ4&lt;&gt;"",BG4=""),AND(CK4&gt;=CS$15,CK4&lt;&gt;"",CH4=""),AND(CN4&gt;=CS$15,CN4&lt;&gt;"",CH4=""),AND(CR4&gt;=CS$15,CR4&lt;&gt;"",CH4=""),AND(DR4&gt;=EC$15,DR4&lt;&gt;""),AND(DU4&gt;=EC$15,DU4&lt;&gt;""),AND(DY4&gt;=EC$15,DY4&lt;&gt;""),AND(EB4&gt;=EC$15,EB4&lt;&gt;""),AND(EZ4&gt;=FK$15,EZ4&lt;&gt;""),AND(FC4&gt;=FK$15,FC4&lt;&gt;""),AND(FG4&gt;=FK$15,FG4&lt;&gt;""),AND(FJ4&gt;=FK$15,FJ4&lt;&gt;""),AND(GH4&gt;=GS$15,GH4&lt;&gt;""),AND(GK4&gt;=GS$15,GK4&lt;&gt;""),AND(GO4&gt;=GS$15,GO4&lt;&gt;""),AND(GR4&gt;=GS$15,GR4&lt;&gt;""),AND(HP4&gt;=IA$15,HP4&lt;&gt;""),AND(HS4&gt;=IA$15,HS4&lt;&gt;""),AND(HW4&gt;=IA$15,HW4&lt;&gt;""),AND(HZ4&gt;=IA$15,HZ4&lt;&gt;""),AND(IX4&gt;=JI$15,IX4&lt;&gt;""),AND(JA4&gt;=JI$15,JA4&lt;&gt;""),AND(JE4&gt;=JI$15,JE4&lt;&gt;""),AND(JH4&gt;=JI$15,JH4&lt;&gt;""),AND(KF4&gt;=KQ$15,KF4&lt;&gt;""),AND(KI4&gt;=KQ$15,KI4&lt;&gt;""),AND(KM4&gt;=KQ$15,KM4&lt;&gt;""),AND(KP4&gt;=KQ$15,KP4&lt;&gt;""),AND(LN4&gt;=LY$15,LN4&lt;&gt;""),AND(LQ4&gt;=LY$15,LQ4&lt;&gt;""),AND(LU4&gt;=LY$15,LU4&lt;&gt;""),AND(LX4&gt;=LY$15,LX4&lt;&gt;""),AND(MV4&gt;=NG$15,MV4&lt;&gt;""),AND(MY4&gt;=NG$15,MY4&lt;&gt;""),AND(NC4&gt;=NG$15,NC4&lt;&gt;""),AND(NF4&gt;=NG$15,NF4&lt;&gt;""),AND(OD4&gt;=OO$15,OD4&lt;&gt;""),AND(OG4&gt;=OO$15,OG4&lt;&gt;""),AND(OK4&gt;=OO$15,OK4&lt;&gt;""),AND(ON4&gt;=OO$15,ON4&lt;&gt;""),AND(PL4&gt;=PW$15,PL4&lt;&gt;""),AND(PO4&gt;=PW$15,PO4&lt;&gt;""),AND(PS4&gt;=PW$15,PS4&lt;&gt;""),AND(PV4&gt;=PW$15,PV4&lt;&gt;""),AND(QT4&gt;=RE$15,QT4&lt;&gt;""),AND(QW4&gt;=RE$15,QW4&lt;&gt;""),AND(RA4&gt;=RE$15,RA4&lt;&gt;""),AND(RD4&gt;=RE$15,RD4&lt;&gt;""),AND(SB4&gt;=SM$15,SB4&lt;&gt;""),AND(SE4&gt;=SM$15,SE4&lt;&gt;""),AND(SI4&gt;=SM$15,SI4&lt;&gt;""),AND(SL4&gt;=SM$15,SL4&lt;&gt;""),AND(TJ4&gt;=TU$15,TJ4&lt;&gt;""),AND(TM4&gt;=TU$15,TM4&lt;&gt;""),AND(TQ4&gt;=TU$15,TQ4&lt;&gt;""),AND(TT4&gt;=TU$15,TT4&lt;&gt;""),AND(UR4&gt;=VC$15,UR4&lt;&gt;""),AND(UU4&gt;=VC$15,UU4&lt;&gt;""),AND(UY4&gt;=VC$15,UY4&lt;&gt;""),AND(VB4&gt;=VC$15,VB4&lt;&gt;""),AND(VZ4&gt;=WK$15,VZ4&lt;&gt;""),AND(WC4&gt;=WK$15,WC4&lt;&gt;""),AND(WG4&gt;=WK$15,WG4&lt;&gt;""),AND(WJ4&gt;=WK$15,WJ4&lt;&gt;"")),"P","")</f>
        <v/>
      </c>
      <c r="H4" s="36" t="str">
        <f>IF(AND(G4="P",F4=""),"No DD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Merit",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Excellence",IF(I4="P","Worlds Team",IF(F4="P","National Team","")))))</f>
        <v/>
      </c>
      <c r="I4" s="3" t="str">
        <f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/>
      </c>
      <c r="J4" s="8">
        <f>IF(COUNT(AI4,AL4,AP4,BJ4,BM4,BQ4,CK4,CN4,CR4)&gt;0,LARGE((AI4,AL4,AP4,BJ4,BM4,BQ4,CK4,CN4,CR4),1),0)</f>
        <v>0</v>
      </c>
      <c r="K4" s="8" t="str">
        <f>IF(J4="","",IF(OR(J4=CK4,J4=CN4,J4=CR4),$BS$1,IF(OR(J4=BJ4,J4=BM4,J4=BQ4),$AR$1,IF(OR(J4=AI4,J4=AL4,J4=AP4),$Q$1,""))))</f>
        <v/>
      </c>
      <c r="L4" s="8">
        <f>IF(COUNT(AI4,AL4,AP4,BJ4,BM4,BQ4,CK4,CN4,CR4)&gt;1,LARGE((AI4,AL4,AP4,BJ4,BM4,BQ4,CK4,CN4,CR4),2),0)</f>
        <v>0</v>
      </c>
      <c r="M4" s="8" t="str">
        <f>IF(L4="","",IF(OR(L4=CK4,L4=CN4,L4=CR4),$BS$1,IF(OR(L4=BJ4,L4=BM4,L4=BQ4),$AR$1,IF(OR(L4=AI4,L4=AL4,L4=AP4),$Q$1,""))))</f>
        <v/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 t="shared" ref="AG4:AH8" si="0">IF(S4&gt;0,S4,"")</f>
        <v/>
      </c>
      <c r="AH4" s="38" t="str">
        <f t="shared" si="0"/>
        <v/>
      </c>
      <c r="AI4" s="40" t="str">
        <f>IF(SUM(Q4:T4)-U4&gt;0,SUM(Q4:T4)-U4,"")</f>
        <v/>
      </c>
      <c r="AJ4" s="40" t="str">
        <f t="shared" ref="AJ4:AK8" si="1">IF(X4&gt;0,X4,"")</f>
        <v/>
      </c>
      <c r="AK4" s="40" t="str">
        <f t="shared" si="1"/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 t="shared" ref="AN4:AO8" si="2">IF(AC4&gt;0,AC4,"")</f>
        <v/>
      </c>
      <c r="AO4" s="40" t="str">
        <f t="shared" si="2"/>
        <v/>
      </c>
      <c r="AP4" s="40" t="str">
        <f>IF(SUM(AA4:AD4)-AE4&gt;0,SUM(AA4:AD4)-AE4,"")</f>
        <v/>
      </c>
      <c r="AQ4" s="40" t="str">
        <f>IF(SUM(AM4,AP4)&gt;0,SUM(AM4,AP4),"")</f>
        <v/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 t="shared" ref="BH4:BI8" si="3">IF(AT4&gt;0,AT4,"")</f>
        <v/>
      </c>
      <c r="BI4" s="39" t="str">
        <f t="shared" si="3"/>
        <v/>
      </c>
      <c r="BJ4" s="11" t="str">
        <f>IF(SUM(AR4:AU4)-AV4&gt;0,SUM(AR4:AU4)-AV4,"")</f>
        <v/>
      </c>
      <c r="BK4" s="11" t="str">
        <f t="shared" ref="BK4:BL8" si="4">IF(AY4&gt;0,AY4,"")</f>
        <v/>
      </c>
      <c r="BL4" s="11" t="str">
        <f t="shared" si="4"/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 t="shared" ref="BO4:BP8" si="5">IF(BD4&gt;0,BD4,"")</f>
        <v/>
      </c>
      <c r="BP4" s="11" t="str">
        <f t="shared" si="5"/>
        <v/>
      </c>
      <c r="BQ4" s="11" t="str">
        <f>IF(SUM(BB4:BE4)-BF4&gt;0,SUM(BB4:BE4)-BF4,"")</f>
        <v/>
      </c>
      <c r="BR4" s="11" t="str">
        <f>IF(SUM(BN4,BQ4)&gt;0,SUM(BN4,BQ4),"")</f>
        <v/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 t="shared" ref="CI4:CJ8" si="6">IF(BU4&gt;0,BU4,"")</f>
        <v/>
      </c>
      <c r="CJ4" s="38" t="str">
        <f t="shared" si="6"/>
        <v/>
      </c>
      <c r="CK4" s="40" t="str">
        <f>IF(SUM(BS4:BV4)-BW4&gt;0,SUM(BS4:BV4)-BW4,"")</f>
        <v/>
      </c>
      <c r="CL4" s="40" t="str">
        <f t="shared" ref="CL4:CM8" si="7">IF(BZ4&gt;0,BZ4,"")</f>
        <v/>
      </c>
      <c r="CM4" s="40" t="str">
        <f t="shared" si="7"/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 t="shared" ref="CP4:CQ8" si="8">IF(CE4&gt;0,CE4,"")</f>
        <v/>
      </c>
      <c r="CQ4" s="40" t="str">
        <f t="shared" si="8"/>
        <v/>
      </c>
      <c r="CR4" s="40" t="str">
        <f>IF(SUM(CC4:CF4)-CG4&gt;0,SUM(CC4:CF4)-CG4,"")</f>
        <v/>
      </c>
      <c r="CS4" s="40" t="str">
        <f>IF(SUM(CO4,CR4)&gt;0,SUM(CO4,CR4),"")</f>
        <v/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 t="shared" ref="DP4:DQ8" si="9">IF(CX4&gt;0,CX4,"")</f>
        <v/>
      </c>
      <c r="DQ4" s="40" t="str">
        <f t="shared" si="9"/>
        <v/>
      </c>
      <c r="DR4" s="40" t="str">
        <f>IF(SUM(CV4:CY4)-CZ4&gt;0,SUM(CV4:CY4)-CZ4,"")</f>
        <v/>
      </c>
      <c r="DS4" s="40" t="str">
        <f t="shared" ref="DS4:DT8" si="10">IF(DC4&gt;0,DC4,"")</f>
        <v/>
      </c>
      <c r="DT4" s="40" t="str">
        <f t="shared" si="10"/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 t="shared" ref="DW4:DX8" si="11">IF(DH4&gt;0,DH4,"")</f>
        <v/>
      </c>
      <c r="DX4" s="40" t="str">
        <f t="shared" si="11"/>
        <v/>
      </c>
      <c r="DY4" s="40" t="str">
        <f>IF(SUM(DF4:DI4)-DJ4&gt;0,SUM(DF4:DI4)-DJ4,"")</f>
        <v/>
      </c>
      <c r="DZ4" s="40" t="str">
        <f t="shared" ref="DZ4:EA8" si="12">IF(DM4&gt;0,DM4,"")</f>
        <v/>
      </c>
      <c r="EA4" s="40" t="str">
        <f t="shared" si="12"/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Y8" si="13">IF(EF4&gt;0,EF4,"")</f>
        <v/>
      </c>
      <c r="EY4" s="11" t="str">
        <f t="shared" si="13"/>
        <v/>
      </c>
      <c r="EZ4" s="11" t="str">
        <f>IF(SUM(ED4:EG4)-EH4&gt;0,SUM(ED4:EG4)-EH4,"")</f>
        <v/>
      </c>
      <c r="FA4" s="11" t="str">
        <f t="shared" ref="FA4:FB8" si="14">IF(EK4&gt;0,EK4,"")</f>
        <v/>
      </c>
      <c r="FB4" s="11" t="str">
        <f t="shared" si="14"/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 t="shared" ref="FE4:FF8" si="15">IF(EP4&gt;0,EP4,"")</f>
        <v/>
      </c>
      <c r="FF4" s="11" t="str">
        <f t="shared" si="15"/>
        <v/>
      </c>
      <c r="FG4" s="11" t="str">
        <f>IF(SUM(EN4:EQ4)-ER4&gt;0,SUM(EN4:EQ4)-ER4,"")</f>
        <v/>
      </c>
      <c r="FH4" s="11" t="str">
        <f t="shared" ref="FH4:FI8" si="16">IF(EU4&gt;0,EU4,"")</f>
        <v/>
      </c>
      <c r="FI4" s="11" t="str">
        <f t="shared" si="16"/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 t="shared" ref="GF4:GG8" si="17">IF(FN4&gt;0,FN4,"")</f>
        <v/>
      </c>
      <c r="GG4" s="40" t="str">
        <f t="shared" si="17"/>
        <v/>
      </c>
      <c r="GH4" s="40" t="str">
        <f>IF(SUM(FL4:FO4)-FP4&gt;0,SUM(FL4:FO4)-FP4,"")</f>
        <v/>
      </c>
      <c r="GI4" s="40" t="str">
        <f t="shared" ref="GI4:GJ8" si="18">IF(FS4&gt;0,FS4,"")</f>
        <v/>
      </c>
      <c r="GJ4" s="40" t="str">
        <f t="shared" si="18"/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 t="shared" ref="GM4:GN8" si="19">IF(FX4&gt;0,FX4,"")</f>
        <v/>
      </c>
      <c r="GN4" s="40" t="str">
        <f t="shared" si="19"/>
        <v/>
      </c>
      <c r="GO4" s="40" t="str">
        <f>IF(SUM(FV4:FY4)-FZ4&gt;0,SUM(FV4:FY4)-FZ4,"")</f>
        <v/>
      </c>
      <c r="GP4" s="40" t="str">
        <f t="shared" ref="GP4:GQ8" si="20">IF(GC4&gt;0,GC4,"")</f>
        <v/>
      </c>
      <c r="GQ4" s="40" t="str">
        <f t="shared" si="20"/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O8" si="21">IF(GV4&gt;0,GV4,"")</f>
        <v/>
      </c>
      <c r="HO4" s="11" t="str">
        <f t="shared" si="21"/>
        <v/>
      </c>
      <c r="HP4" s="11" t="str">
        <f>IF(SUM(GT4:GW4)-GX4&gt;0,SUM(GT4:GW4)-GX4,"")</f>
        <v/>
      </c>
      <c r="HQ4" s="11" t="str">
        <f t="shared" ref="HQ4:HR8" si="22">IF(HA4&gt;0,HA4,"")</f>
        <v/>
      </c>
      <c r="HR4" s="11" t="str">
        <f t="shared" si="22"/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 t="shared" ref="HU4:HV8" si="23">IF(HF4&gt;0,HF4,"")</f>
        <v/>
      </c>
      <c r="HV4" s="11" t="str">
        <f t="shared" si="23"/>
        <v/>
      </c>
      <c r="HW4" s="11" t="str">
        <f>IF(SUM(HD4:HG4)-HH4&gt;0,SUM(HD4:HG4)-HH4,"")</f>
        <v/>
      </c>
      <c r="HX4" s="11" t="str">
        <f t="shared" ref="HX4:HY8" si="24">IF(HK4&gt;0,HK4,"")</f>
        <v/>
      </c>
      <c r="HY4" s="11" t="str">
        <f t="shared" si="24"/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 t="shared" ref="IV4:IW8" si="25">IF(ID4&gt;0,ID4,"")</f>
        <v/>
      </c>
      <c r="IW4" s="40" t="str">
        <f t="shared" si="25"/>
        <v/>
      </c>
      <c r="IX4" s="40" t="str">
        <f>IF(SUM(IB4:IE4)-IF4&gt;0,SUM(IB4:IE4)-IF4,"")</f>
        <v/>
      </c>
      <c r="IY4" s="40" t="str">
        <f t="shared" ref="IY4:IZ8" si="26">IF(II4&gt;0,II4,"")</f>
        <v/>
      </c>
      <c r="IZ4" s="40" t="str">
        <f t="shared" si="26"/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 t="shared" ref="JC4:JD8" si="27">IF(IN4&gt;0,IN4,"")</f>
        <v/>
      </c>
      <c r="JD4" s="40" t="str">
        <f t="shared" si="27"/>
        <v/>
      </c>
      <c r="JE4" s="40" t="str">
        <f>IF(SUM(IL4:IO4)-IP4&gt;0,SUM(IL4:IO4)-IP4,"")</f>
        <v/>
      </c>
      <c r="JF4" s="40" t="str">
        <f t="shared" ref="JF4:JG8" si="28">IF(IS4&gt;0,IS4,"")</f>
        <v/>
      </c>
      <c r="JG4" s="40" t="str">
        <f t="shared" si="28"/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E8" si="29">IF(JL4&gt;0,JL4,"")</f>
        <v/>
      </c>
      <c r="KE4" s="11" t="str">
        <f t="shared" si="29"/>
        <v/>
      </c>
      <c r="KF4" s="11" t="str">
        <f>IF(SUM(JJ4:JM4)-JN4&gt;0,SUM(JJ4:JM4)-JN4,"")</f>
        <v/>
      </c>
      <c r="KG4" s="11" t="str">
        <f t="shared" ref="KG4:KH8" si="30">IF(JQ4&gt;0,JQ4,"")</f>
        <v/>
      </c>
      <c r="KH4" s="11" t="str">
        <f t="shared" si="30"/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 t="shared" ref="KK4:KL8" si="31">IF(JV4&gt;0,JV4,"")</f>
        <v/>
      </c>
      <c r="KL4" s="11" t="str">
        <f t="shared" si="31"/>
        <v/>
      </c>
      <c r="KM4" s="11" t="str">
        <f>IF(SUM(JT4:JW4)-JX4&gt;0,SUM(JT4:JW4)-JX4,"")</f>
        <v/>
      </c>
      <c r="KN4" s="11" t="str">
        <f t="shared" ref="KN4:KO8" si="32">IF(KA4&gt;0,KA4,"")</f>
        <v/>
      </c>
      <c r="KO4" s="11" t="str">
        <f t="shared" si="32"/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 t="shared" ref="LL4:LM8" si="33">IF(KT4&gt;0,KT4,"")</f>
        <v/>
      </c>
      <c r="LM4" s="40" t="str">
        <f t="shared" si="33"/>
        <v/>
      </c>
      <c r="LN4" s="40" t="str">
        <f>IF(SUM(KR4:KU4)-KV4&gt;0,SUM(KR4:KU4)-KV4,"")</f>
        <v/>
      </c>
      <c r="LO4" s="40" t="str">
        <f t="shared" ref="LO4:LP8" si="34">IF(KY4&gt;0,KY4,"")</f>
        <v/>
      </c>
      <c r="LP4" s="40" t="str">
        <f t="shared" si="34"/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 t="shared" ref="LS4:LT8" si="35">IF(LD4&gt;0,LD4,"")</f>
        <v/>
      </c>
      <c r="LT4" s="40" t="str">
        <f t="shared" si="35"/>
        <v/>
      </c>
      <c r="LU4" s="40" t="str">
        <f>IF(SUM(LB4:LE4)-LF4&gt;0,SUM(LB4:LE4)-LF4,"")</f>
        <v/>
      </c>
      <c r="LV4" s="40" t="str">
        <f t="shared" ref="LV4:LW8" si="36">IF(LI4&gt;0,LI4,"")</f>
        <v/>
      </c>
      <c r="LW4" s="40" t="str">
        <f t="shared" si="36"/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U8" si="37">IF(MB4&gt;0,MB4,"")</f>
        <v/>
      </c>
      <c r="MU4" s="11" t="str">
        <f t="shared" si="37"/>
        <v/>
      </c>
      <c r="MV4" s="11" t="str">
        <f>IF(SUM(LZ4:MC4)-MD4&gt;0,SUM(LZ4:MC4)-MD4,"")</f>
        <v/>
      </c>
      <c r="MW4" s="11" t="str">
        <f t="shared" ref="MW4:MX8" si="38">IF(MG4&gt;0,MG4,"")</f>
        <v/>
      </c>
      <c r="MX4" s="11" t="str">
        <f t="shared" si="38"/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 t="shared" ref="NA4:NB8" si="39">IF(ML4&gt;0,ML4,"")</f>
        <v/>
      </c>
      <c r="NB4" s="11" t="str">
        <f t="shared" si="39"/>
        <v/>
      </c>
      <c r="NC4" s="11" t="str">
        <f>IF(SUM(MJ4:MM4)-MN4&gt;0,SUM(MJ4:MM4)-MN4,"")</f>
        <v/>
      </c>
      <c r="ND4" s="11" t="str">
        <f t="shared" ref="ND4:NE8" si="40">IF(MQ4&gt;0,MQ4,"")</f>
        <v/>
      </c>
      <c r="NE4" s="11" t="str">
        <f t="shared" si="40"/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 t="shared" ref="OB4:OC8" si="41">IF(NJ4&gt;0,NJ4,"")</f>
        <v/>
      </c>
      <c r="OC4" s="40" t="str">
        <f t="shared" si="41"/>
        <v/>
      </c>
      <c r="OD4" s="40" t="str">
        <f>IF(SUM(NH4:NK4)-NL4&gt;0,SUM(NH4:NK4)-NL4,"")</f>
        <v/>
      </c>
      <c r="OE4" s="40" t="str">
        <f t="shared" ref="OE4:OF8" si="42">IF(NO4&gt;0,NO4,"")</f>
        <v/>
      </c>
      <c r="OF4" s="40" t="str">
        <f t="shared" si="42"/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 t="shared" ref="OI4:OJ8" si="43">IF(NT4&gt;0,NT4,"")</f>
        <v/>
      </c>
      <c r="OJ4" s="40" t="str">
        <f t="shared" si="43"/>
        <v/>
      </c>
      <c r="OK4" s="40" t="str">
        <f>IF(SUM(NR4:NU4)-NV4&gt;0,SUM(NR4:NU4)-NV4,"")</f>
        <v/>
      </c>
      <c r="OL4" s="40" t="str">
        <f t="shared" ref="OL4:OM8" si="44">IF(NY4&gt;0,NY4,"")</f>
        <v/>
      </c>
      <c r="OM4" s="40" t="str">
        <f t="shared" si="44"/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K8" si="45">IF(OR4&gt;0,OR4,"")</f>
        <v/>
      </c>
      <c r="PK4" s="11" t="str">
        <f t="shared" si="45"/>
        <v/>
      </c>
      <c r="PL4" s="11" t="str">
        <f>IF(SUM(OP4:OS4)-OT4&gt;0,SUM(OP4:OS4)-OT4,"")</f>
        <v/>
      </c>
      <c r="PM4" s="11" t="str">
        <f t="shared" ref="PM4:PN8" si="46">IF(OW4&gt;0,OW4,"")</f>
        <v/>
      </c>
      <c r="PN4" s="11" t="str">
        <f t="shared" si="46"/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 t="shared" ref="PQ4:PR8" si="47">IF(PB4&gt;0,PB4,"")</f>
        <v/>
      </c>
      <c r="PR4" s="11" t="str">
        <f t="shared" si="47"/>
        <v/>
      </c>
      <c r="PS4" s="11" t="str">
        <f>IF(SUM(OZ4:PC4)-PD4&gt;0,SUM(OZ4:PC4)-PD4,"")</f>
        <v/>
      </c>
      <c r="PT4" s="11" t="str">
        <f t="shared" ref="PT4:PU8" si="48">IF(PG4&gt;0,PG4,"")</f>
        <v/>
      </c>
      <c r="PU4" s="11" t="str">
        <f t="shared" si="48"/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 t="shared" ref="QR4:QS8" si="49">IF(PZ4&gt;0,PZ4,"")</f>
        <v/>
      </c>
      <c r="QS4" s="40" t="str">
        <f t="shared" si="49"/>
        <v/>
      </c>
      <c r="QT4" s="40" t="str">
        <f>IF(SUM(PX4:QA4)-QB4&gt;0,SUM(PX4:QA4)-QB4,"")</f>
        <v/>
      </c>
      <c r="QU4" s="40" t="str">
        <f t="shared" ref="QU4:QV8" si="50">IF(QE4&gt;0,QE4,"")</f>
        <v/>
      </c>
      <c r="QV4" s="40" t="str">
        <f t="shared" si="50"/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 t="shared" ref="QY4:QZ8" si="51">IF(QJ4&gt;0,QJ4,"")</f>
        <v/>
      </c>
      <c r="QZ4" s="40" t="str">
        <f t="shared" si="51"/>
        <v/>
      </c>
      <c r="RA4" s="40" t="str">
        <f>IF(SUM(QH4:QK4)-QL4&gt;0,SUM(QH4:QK4)-QL4,"")</f>
        <v/>
      </c>
      <c r="RB4" s="40" t="str">
        <f t="shared" ref="RB4:RC8" si="52">IF(QO4&gt;0,QO4,"")</f>
        <v/>
      </c>
      <c r="RC4" s="40" t="str">
        <f t="shared" si="52"/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SA8" si="53">IF(RH4&gt;0,RH4,"")</f>
        <v/>
      </c>
      <c r="SA4" s="11" t="str">
        <f t="shared" si="53"/>
        <v/>
      </c>
      <c r="SB4" s="11" t="str">
        <f>IF(SUM(RF4:RI4)-RJ4&gt;0,SUM(RF4:RI4)-RJ4,"")</f>
        <v/>
      </c>
      <c r="SC4" s="11" t="str">
        <f t="shared" ref="SC4:SD8" si="54">IF(RM4&gt;0,RM4,"")</f>
        <v/>
      </c>
      <c r="SD4" s="11" t="str">
        <f t="shared" si="54"/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 t="shared" ref="SG4:SH8" si="55">IF(RR4&gt;0,RR4,"")</f>
        <v/>
      </c>
      <c r="SH4" s="11" t="str">
        <f t="shared" si="55"/>
        <v/>
      </c>
      <c r="SI4" s="11" t="str">
        <f>IF(SUM(RP4:RS4)-RT4&gt;0,SUM(RP4:RS4)-RT4,"")</f>
        <v/>
      </c>
      <c r="SJ4" s="11" t="str">
        <f t="shared" ref="SJ4:SK8" si="56">IF(RW4&gt;0,RW4,"")</f>
        <v/>
      </c>
      <c r="SK4" s="11" t="str">
        <f t="shared" si="56"/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 t="shared" ref="TH4:TI8" si="57">IF(SP4&gt;0,SP4,"")</f>
        <v/>
      </c>
      <c r="TI4" s="40" t="str">
        <f t="shared" si="57"/>
        <v/>
      </c>
      <c r="TJ4" s="40" t="str">
        <f>IF(SUM(SN4:SQ4)-SR4&gt;0,SUM(SN4:SQ4)-SR4,"")</f>
        <v/>
      </c>
      <c r="TK4" s="40" t="str">
        <f t="shared" ref="TK4:TL8" si="58">IF(SU4&gt;0,SU4,"")</f>
        <v/>
      </c>
      <c r="TL4" s="40" t="str">
        <f t="shared" si="58"/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 t="shared" ref="TO4:TP8" si="59">IF(SZ4&gt;0,SZ4,"")</f>
        <v/>
      </c>
      <c r="TP4" s="40" t="str">
        <f t="shared" si="59"/>
        <v/>
      </c>
      <c r="TQ4" s="40" t="str">
        <f>IF(SUM(SX4:TA4)-TB4&gt;0,SUM(SX4:TA4)-TB4,"")</f>
        <v/>
      </c>
      <c r="TR4" s="40" t="str">
        <f t="shared" ref="TR4:TS8" si="60">IF(TE4&gt;0,TE4,"")</f>
        <v/>
      </c>
      <c r="TS4" s="40" t="str">
        <f t="shared" si="60"/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 t="shared" ref="UP4:UQ8" si="61">IF(TX4&gt;0,TX4,"")</f>
        <v/>
      </c>
      <c r="UQ4" s="11" t="str">
        <f t="shared" si="61"/>
        <v/>
      </c>
      <c r="UR4" s="11" t="str">
        <f>IF(SUM(TV4:TY4)-TZ4&gt;0,SUM(TV4:TY4)-TZ4,"")</f>
        <v/>
      </c>
      <c r="US4" s="11" t="str">
        <f t="shared" ref="US4:UT8" si="62">IF(UC4&gt;0,UC4,"")</f>
        <v/>
      </c>
      <c r="UT4" s="11" t="str">
        <f t="shared" si="62"/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 t="shared" ref="UW4:UX8" si="63">IF(UH4&gt;0,UH4,"")</f>
        <v/>
      </c>
      <c r="UX4" s="11" t="str">
        <f t="shared" si="63"/>
        <v/>
      </c>
      <c r="UY4" s="11" t="str">
        <f>IF(SUM(UF4:UI4)-UJ4&gt;0,SUM(UF4:UI4)-UJ4,"")</f>
        <v/>
      </c>
      <c r="UZ4" s="11" t="str">
        <f t="shared" ref="UZ4:VA8" si="64">IF(UM4&gt;0,UM4,"")</f>
        <v/>
      </c>
      <c r="VA4" s="11" t="str">
        <f t="shared" si="64"/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 t="shared" ref="VX4:VY8" si="65">IF(VF4&gt;0,VF4,"")</f>
        <v/>
      </c>
      <c r="VY4" s="40" t="str">
        <f t="shared" si="65"/>
        <v/>
      </c>
      <c r="VZ4" s="40" t="str">
        <f>IF(SUM(VD4:VG4)-VH4&gt;0,SUM(VD4:VG4)-VH4,"")</f>
        <v/>
      </c>
      <c r="WA4" s="40" t="str">
        <f t="shared" ref="WA4:WB8" si="66">IF(VK4&gt;0,VK4,"")</f>
        <v/>
      </c>
      <c r="WB4" s="40" t="str">
        <f t="shared" si="66"/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 t="shared" ref="WE4:WF8" si="67">IF(VP4&gt;0,VP4,"")</f>
        <v/>
      </c>
      <c r="WF4" s="40" t="str">
        <f t="shared" si="67"/>
        <v/>
      </c>
      <c r="WG4" s="40" t="str">
        <f>IF(SUM(VN4:VQ4)-VR4&gt;0,SUM(VN4:VQ4)-VR4,"")</f>
        <v/>
      </c>
      <c r="WH4" s="40" t="str">
        <f t="shared" ref="WH4:WI8" si="68">IF(VU4&gt;0,VU4,"")</f>
        <v/>
      </c>
      <c r="WI4" s="40" t="str">
        <f t="shared" si="68"/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 t="shared" ref="WL4:WZ8" si="69">IF($CH4="P",BS4,(BS4+AR4)/2)</f>
        <v>0</v>
      </c>
      <c r="WM4" s="26">
        <f t="shared" si="69"/>
        <v>0</v>
      </c>
      <c r="WN4" s="26">
        <f t="shared" si="69"/>
        <v>0</v>
      </c>
      <c r="WO4" s="26">
        <f t="shared" si="69"/>
        <v>0</v>
      </c>
      <c r="WP4" s="26">
        <f t="shared" si="69"/>
        <v>0</v>
      </c>
      <c r="WQ4" s="26">
        <f t="shared" si="69"/>
        <v>0</v>
      </c>
      <c r="WR4" s="26">
        <f t="shared" si="69"/>
        <v>0</v>
      </c>
      <c r="WS4" s="26">
        <f t="shared" si="69"/>
        <v>0</v>
      </c>
      <c r="WT4" s="26">
        <f t="shared" si="69"/>
        <v>0</v>
      </c>
      <c r="WU4" s="26">
        <f t="shared" si="69"/>
        <v>0</v>
      </c>
      <c r="WV4" s="26">
        <f t="shared" si="69"/>
        <v>0</v>
      </c>
      <c r="WW4" s="26">
        <f t="shared" si="69"/>
        <v>0</v>
      </c>
      <c r="WX4" s="26">
        <f t="shared" si="69"/>
        <v>0</v>
      </c>
      <c r="WY4" s="26">
        <f t="shared" si="69"/>
        <v>0</v>
      </c>
      <c r="WZ4" s="26">
        <f t="shared" si="69"/>
        <v>0</v>
      </c>
      <c r="XA4" s="28" t="s">
        <v>53</v>
      </c>
      <c r="XB4" s="11" t="str">
        <f t="shared" ref="XB4:XC8" si="70">IF(WN4&gt;0,WN4,"")</f>
        <v/>
      </c>
      <c r="XC4" s="11" t="str">
        <f t="shared" si="70"/>
        <v/>
      </c>
      <c r="XD4" s="11" t="str">
        <f>IF(SUM(WL4:WO4)-WP4&gt;0,SUM(WL4:WO4)-WP4,"")</f>
        <v/>
      </c>
      <c r="XE4" s="11" t="str">
        <f t="shared" ref="XE4:XF8" si="71">IF(WS4&gt;0,WS4,"")</f>
        <v/>
      </c>
      <c r="XF4" s="11" t="str">
        <f t="shared" si="71"/>
        <v/>
      </c>
      <c r="XG4" s="11" t="str">
        <f>IF(SUM(WQ4:WT4)-WU4&gt;0,SUM(WQ4:WT4)-WU4,"")</f>
        <v/>
      </c>
      <c r="XH4" s="11" t="str">
        <f>IF(MAX(XD4,XG4)&gt;0,MAX(XD4,XG4),"")</f>
        <v/>
      </c>
      <c r="XI4" s="11" t="str">
        <f t="shared" ref="XI4:XJ8" si="72">IF(WX4&gt;0,WX4,"")</f>
        <v/>
      </c>
      <c r="XJ4" s="11" t="str">
        <f t="shared" si="72"/>
        <v/>
      </c>
      <c r="XK4" s="11" t="str">
        <f>IF(SUM(WV4:WY4)-WZ4&gt;0,SUM(WV4:WY4)-WZ4,"")</f>
        <v/>
      </c>
      <c r="XL4" s="11" t="str">
        <f>IF(SUM(XH4,XK4)&gt;0,SUM(XH4,XK4),"")</f>
        <v/>
      </c>
    </row>
    <row r="5" spans="1:636" x14ac:dyDescent="0.2">
      <c r="A5" s="4" t="str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/>
      </c>
      <c r="B5" s="5" t="s">
        <v>267</v>
      </c>
      <c r="C5" s="4" t="s">
        <v>3</v>
      </c>
      <c r="D5" s="4" t="s">
        <v>272</v>
      </c>
      <c r="E5" s="9">
        <f>SUM(J5,L5,N5)</f>
        <v>0</v>
      </c>
      <c r="F5" s="3" t="str">
        <f>IF(OR(AND(AG5&gt;=AQ$11,AG5&lt;&gt;"",AI5&gt;=AQ$15,AI5&lt;&gt;"",AF5=""),AND(AJ5&gt;=AQ$11,AJ5&lt;&gt;"",AL5&gt;=AQ$15,AL5&lt;&gt;"",AF5=""),AND(AN5&gt;=AQ$11,AN5&lt;&gt;"",AP5&gt;=AQ$15,AP5&lt;&gt;"",AF5=""),AND(BH5&gt;=BR$11,BH5&lt;&gt;"",BJ5&gt;=BR$15,BJ5&lt;&gt;"",BG5=""),AND(BK5&gt;=BR$11,BK5&lt;&gt;"",BM5&gt;=BR$15,BM5&lt;&gt;"",BG5=""),AND(BO5&gt;=BR$11,BO5&lt;&gt;"",BQ5&gt;=BR$15,BQ5&lt;&gt;"",BG5=""),AND(CI5&gt;=CS$11,CI5&lt;&gt;"",CK5&gt;=CS$15,CK5&lt;&gt;"",CH5=""),AND(CL5&gt;=CS$11,CL5&lt;&gt;"",CN5&gt;=CS$15,CN5&lt;&gt;"",CH5=""),AND(CP5&gt;=CS$11,CP5&lt;&gt;"",CR5&gt;=CS$15,CR5&lt;&gt;"",CH5=""),AND(DP5&gt;=EC$11,DP5&lt;&gt;"",DR5&gt;=EC$15,DR5&lt;&gt;""),AND(DS5&gt;=EC$11,DS5&lt;&gt;"",DU5&gt;=EC$15,DU5&lt;&gt;""),AND(DW5&gt;=EC$11,DW5&lt;&gt;"",DY5&gt;=EC$15,DY5&lt;&gt;""),AND(DZ5&gt;=EC$11,DZ5&lt;&gt;"",EB5&gt;=EC$15,EB5&lt;&gt;""),AND(EX5&gt;=FK$11,EX5&lt;&gt;"",EZ5&gt;=FK$15,EZ5&lt;&gt;""),AND(FA5&gt;=FK$11,FA5&lt;&gt;"",FC5&gt;=FK$15,FC5&lt;&gt;""),AND(FE5&gt;=FK$11,FE5&lt;&gt;"",FG5&gt;=FK$15,FG5&lt;&gt;""),AND(FH5&gt;=FK$11,FH5&lt;&gt;"",FJ5&gt;=FK$15,FJ5&lt;&gt;""),AND(GF5&gt;=GS$11,GF5&lt;&gt;"",GH5&gt;=GS$15,GH5&lt;&gt;""),AND(GI5&gt;=GS$11,GI5&lt;&gt;"",GK5&gt;=GS$15,GK5&lt;&gt;""),AND(GM5&gt;=GS$11,GM5&lt;&gt;"",GO5&gt;=GS$15,GO5&lt;&gt;""),AND(GP5&gt;=GS$11,GP5&lt;&gt;"",GR5&gt;=GS$15,GR5&lt;&gt;""),AND(HN5&gt;=IA$11,HN5&lt;&gt;"",HP5&gt;=IA$15,HP5&lt;&gt;""),AND(HQ5&gt;=IA$11,HQ5&lt;&gt;"",HS5&gt;=IA$15,HS5&lt;&gt;""),AND(HU5&gt;=IA$11,HU5&lt;&gt;"",HW5&gt;=IA$15,HW5&lt;&gt;""),AND(HX5&gt;=IA$11,HX5&lt;&gt;"",HZ5&gt;=IA$15,HZ5&lt;&gt;""),AND(IV5&gt;=JI$11,IV5&lt;&gt;"",IX5&gt;=JI$15,IX5&lt;&gt;""),AND(IY5&gt;=JI$11,IY5&lt;&gt;"",JA5&gt;=JI$15,JA5&lt;&gt;""),AND(JC5&gt;=JI$11,JC5&lt;&gt;"",JE5&gt;=JI$15,JE5&lt;&gt;""),AND(JF5&gt;=JI$11,JF5&lt;&gt;"",JH5&gt;=JI$15,JH5&lt;&gt;""),AND(KD5&gt;=KQ$11,KD5&lt;&gt;"",KF5&gt;=KQ$15,KF5&lt;&gt;""),AND(KG5&gt;=KQ$11,KG5&lt;&gt;"",KI5&gt;=KQ$15,KI5&lt;&gt;""),AND(KK5&gt;=KQ$11,KK5&lt;&gt;"",KM5&gt;=KQ$15,KM5&lt;&gt;""),AND(KN5&gt;=KQ$11,KN5&lt;&gt;"",KP5&gt;=KQ$15,KP5&lt;&gt;""),AND(LL5&gt;=LY$11,LL5&lt;&gt;"",LN5&gt;=LY$15,LN5&lt;&gt;""),AND(LO5&gt;=LY$11,LO5&lt;&gt;"",LQ5&gt;=LY$15,LQ5&lt;&gt;""),AND(LS5&gt;=LY$11,LS5&lt;&gt;"",LU5&gt;=LY$15,LU5&lt;&gt;""),AND(LV5&gt;=LY$11,LV5&lt;&gt;"",LX5&gt;=LY$15,LX5&lt;&gt;""),AND(MT5&gt;=NG$11,MT5&lt;&gt;"",MV5&gt;=NG$15,MV5&lt;&gt;""),AND(MW5&gt;=NG$11,MW5&lt;&gt;"",MY5&gt;=NG$15,MY5&lt;&gt;""),AND(NA5&gt;=NG$11,NA5&lt;&gt;"",NC5&gt;=NG$15,NC5&lt;&gt;""),AND(ND5&gt;=NG$11,ND5&lt;&gt;"",NF5&gt;=NG$15,NF5&lt;&gt;""),AND(OB5&gt;=OO$11,OB5&lt;&gt;"",OD5&gt;=OO$15,OD5&lt;&gt;""),AND(OE5&gt;=OO$11,OE5&lt;&gt;"",OG5&gt;=OO$15,OG5&lt;&gt;""),AND(OI5&gt;=OO$11,OI5&lt;&gt;"",OK5&gt;=OO$15,OK5&lt;&gt;""),AND(OL5&gt;=OO$11,OL5&lt;&gt;"",ON5&gt;=OO$15,ON5&lt;&gt;""),AND(PJ5&gt;=PW$11,PJ5&lt;&gt;"",PL5&gt;=PW$15,PL5&lt;&gt;""),AND(PM5&gt;=PW$11,PM5&lt;&gt;"",PO5&gt;=PW$15,PO5&lt;&gt;""),AND(PQ5&gt;=PW$11,PQ5&lt;&gt;"",PS5&gt;=PW$15,PS5&lt;&gt;""),AND(PT5&gt;=PW$11,PT5&lt;&gt;"",PV5&gt;=PW$15,PV5&lt;&gt;""),AND(QR5&gt;=RE$11,QR5&lt;&gt;"",QT5&gt;=RE$15,QT5&lt;&gt;""),AND(QU5&gt;=RE$11,QU5&lt;&gt;"",QW5&gt;=RE$15,QW5&lt;&gt;""),AND(QY5&gt;=RE$11,QY5&lt;&gt;"",RA5&gt;=RE$15,RA5&lt;&gt;""),AND(RB5&gt;=RE$11,RB5&lt;&gt;"",RD5&gt;=RE$15,RD5&lt;&gt;""),AND(RZ5&gt;=SM$11,RZ5&lt;&gt;"",SB5&gt;=SM$15,SB5&lt;&gt;""),AND(SC5&gt;=SM$11,SC5&lt;&gt;"",SE5&gt;=SM$15,SE5&lt;&gt;""),AND(SG5&gt;=SM$11,SG5&lt;&gt;"",SI5&gt;=SM$15,SI5&lt;&gt;""),AND(SJ5&gt;=SM$11,SJ5&lt;&gt;"",SL5&gt;=SM$15,SL5&lt;&gt;""),AND(TH5&gt;=TU$11,TH5&lt;&gt;"",TJ5&gt;=TU$15,TJ5&lt;&gt;""),AND(TK5&gt;=TU$11,TK5&lt;&gt;"",TM5&gt;=TU$15,TM5&lt;&gt;""),AND(TO5&gt;=TU$11,TO5&lt;&gt;"",TQ5&gt;=TU$15,TQ5&lt;&gt;""),AND(TR5&gt;=TU$11,TR5&lt;&gt;"",TT5&gt;=TU$15,TT5&lt;&gt;""),AND(UP5&gt;=VC$11,UP5&lt;&gt;"",UR5&gt;=VC$15,UR5&lt;&gt;""),AND(US5&gt;=VC$11,US5&lt;&gt;"",UU5&gt;=VC$15,UU5&lt;&gt;""),AND(UW5&gt;=VC$11,UW5&lt;&gt;"",UY5&gt;=VC$15,UY5&lt;&gt;""),AND(UZ5&gt;=VC$11,UZ5&lt;&gt;"",VB5&gt;=VC$15,VB5&lt;&gt;""),AND(VX5&gt;=WK$11,VX5&lt;&gt;"",VZ5&gt;=WK$15,VZ5&lt;&gt;""),AND(WA5&gt;=WK$11,WA5&lt;&gt;"",WC5&gt;=WK$15,WC5&lt;&gt;""),AND(WE5&gt;=WK$11,WE5&lt;&gt;"",WG5&gt;=WK$15,WG5&lt;&gt;""),AND(WH5&gt;=WK$11,WH5&lt;&gt;"",WJ5&gt;=WK$15,WJ5&lt;&gt;"")),"P","")</f>
        <v/>
      </c>
      <c r="G5" s="3" t="str">
        <f>IF(OR(AND(AI5&gt;=AQ$15,AI5&lt;&gt;"",AF5=""),AND(AL5&gt;=AQ$15,AL5&lt;&gt;"",AF5=""),AND(AP5&gt;=AQ$15,AP5&lt;&gt;"",AF5=""),AND(BJ5&gt;=BR$15,BJ5&lt;&gt;"",BG5=""),AND(BM5&gt;=BR$15,BM5&lt;&gt;"",BG5=""),AND(BQ5&gt;=BR$15,BQ5&lt;&gt;"",BG5=""),AND(CK5&gt;=CS$15,CK5&lt;&gt;"",CH5=""),AND(CN5&gt;=CS$15,CN5&lt;&gt;"",CH5=""),AND(CR5&gt;=CS$15,CR5&lt;&gt;"",CH5=""),AND(DR5&gt;=EC$15,DR5&lt;&gt;""),AND(DU5&gt;=EC$15,DU5&lt;&gt;""),AND(DY5&gt;=EC$15,DY5&lt;&gt;""),AND(EB5&gt;=EC$15,EB5&lt;&gt;""),AND(EZ5&gt;=FK$15,EZ5&lt;&gt;""),AND(FC5&gt;=FK$15,FC5&lt;&gt;""),AND(FG5&gt;=FK$15,FG5&lt;&gt;""),AND(FJ5&gt;=FK$15,FJ5&lt;&gt;""),AND(GH5&gt;=GS$15,GH5&lt;&gt;""),AND(GK5&gt;=GS$15,GK5&lt;&gt;""),AND(GO5&gt;=GS$15,GO5&lt;&gt;""),AND(GR5&gt;=GS$15,GR5&lt;&gt;""),AND(HP5&gt;=IA$15,HP5&lt;&gt;""),AND(HS5&gt;=IA$15,HS5&lt;&gt;""),AND(HW5&gt;=IA$15,HW5&lt;&gt;""),AND(HZ5&gt;=IA$15,HZ5&lt;&gt;""),AND(IX5&gt;=JI$15,IX5&lt;&gt;""),AND(JA5&gt;=JI$15,JA5&lt;&gt;""),AND(JE5&gt;=JI$15,JE5&lt;&gt;""),AND(JH5&gt;=JI$15,JH5&lt;&gt;""),AND(KF5&gt;=KQ$15,KF5&lt;&gt;""),AND(KI5&gt;=KQ$15,KI5&lt;&gt;""),AND(KM5&gt;=KQ$15,KM5&lt;&gt;""),AND(KP5&gt;=KQ$15,KP5&lt;&gt;""),AND(LN5&gt;=LY$15,LN5&lt;&gt;""),AND(LQ5&gt;=LY$15,LQ5&lt;&gt;""),AND(LU5&gt;=LY$15,LU5&lt;&gt;""),AND(LX5&gt;=LY$15,LX5&lt;&gt;""),AND(MV5&gt;=NG$15,MV5&lt;&gt;""),AND(MY5&gt;=NG$15,MY5&lt;&gt;""),AND(NC5&gt;=NG$15,NC5&lt;&gt;""),AND(NF5&gt;=NG$15,NF5&lt;&gt;""),AND(OD5&gt;=OO$15,OD5&lt;&gt;""),AND(OG5&gt;=OO$15,OG5&lt;&gt;""),AND(OK5&gt;=OO$15,OK5&lt;&gt;""),AND(ON5&gt;=OO$15,ON5&lt;&gt;""),AND(PL5&gt;=PW$15,PL5&lt;&gt;""),AND(PO5&gt;=PW$15,PO5&lt;&gt;""),AND(PS5&gt;=PW$15,PS5&lt;&gt;""),AND(PV5&gt;=PW$15,PV5&lt;&gt;""),AND(QT5&gt;=RE$15,QT5&lt;&gt;""),AND(QW5&gt;=RE$15,QW5&lt;&gt;""),AND(RA5&gt;=RE$15,RA5&lt;&gt;""),AND(RD5&gt;=RE$15,RD5&lt;&gt;""),AND(SB5&gt;=SM$15,SB5&lt;&gt;""),AND(SE5&gt;=SM$15,SE5&lt;&gt;""),AND(SI5&gt;=SM$15,SI5&lt;&gt;""),AND(SL5&gt;=SM$15,SL5&lt;&gt;""),AND(TJ5&gt;=TU$15,TJ5&lt;&gt;""),AND(TM5&gt;=TU$15,TM5&lt;&gt;""),AND(TQ5&gt;=TU$15,TQ5&lt;&gt;""),AND(TT5&gt;=TU$15,TT5&lt;&gt;""),AND(UR5&gt;=VC$15,UR5&lt;&gt;""),AND(UU5&gt;=VC$15,UU5&lt;&gt;""),AND(UY5&gt;=VC$15,UY5&lt;&gt;""),AND(VB5&gt;=VC$15,VB5&lt;&gt;""),AND(VZ5&gt;=WK$15,VZ5&lt;&gt;""),AND(WC5&gt;=WK$15,WC5&lt;&gt;""),AND(WG5&gt;=WK$15,WG5&lt;&gt;""),AND(WJ5&gt;=WK$15,WJ5&lt;&gt;"")),"P","")</f>
        <v/>
      </c>
      <c r="H5" s="36" t="str">
        <f>IF(AND(G5="P",F5=""),"No DD",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Merit",IF(OR(AND(AG5&gt;=AQ$13,AG5&lt;&gt;"",AI5&gt;=AQ$17,AI5&lt;&gt;"",AF5=""),AND(AJ5&gt;=AQ$13,AJ5&lt;&gt;"",AL5&gt;=AQ$17,AL5&lt;&gt;"",AF5=""),AND(AN5&gt;=AQ$13,AN5&lt;&gt;"",AP5&gt;=AQ$17,AP5&lt;&gt;"",AF5=""),AND(BH5&gt;=BR$13,BH5&lt;&gt;"",BJ5&gt;=BR$17,BJ5&lt;&gt;"",BG5=""),AND(BK5&gt;=BR$13,BK5&lt;&gt;"",BM5&gt;=BR$17,BM5&lt;&gt;"",BG5=""),AND(BO5&gt;=BR$13,BO5&lt;&gt;"",BQ5&gt;=BR$17,BQ5&lt;&gt;"",BG5=""),AND(CI5&gt;=CS$13,CI5&lt;&gt;"",CK5&gt;=CS$17,CK5&lt;&gt;"",CH5=""),AND(CL5&gt;=CS$13,CL5&lt;&gt;"",CN5&gt;=CS$17,CN5&lt;&gt;"",CH5=""),AND(CP5&gt;=CS$13,CP5&lt;&gt;"",CR5&gt;=CS$17,CR5&lt;&gt;"",CH5=""),AND(DP5&gt;=EC$13,DP5&lt;&gt;"",DR5&gt;=EC$17,DR5&lt;&gt;""),AND(DS5&gt;=EC$13,DS5&lt;&gt;"",DU5&gt;=EC$17,DU5&lt;&gt;""),AND(DW5&gt;=EC$13,DW5&lt;&gt;"",DY5&gt;=EC$17,DY5&lt;&gt;""),AND(DZ5&gt;=EC$13,DZ5&lt;&gt;"",EB5&gt;=EC$17,EB5&lt;&gt;""),AND(EX5&gt;=FK$13,EX5&lt;&gt;"",EZ5&gt;=FK$17,EZ5&lt;&gt;""),AND(FA5&gt;=FK$13,FA5&lt;&gt;"",FC5&gt;=FK$17,FC5&lt;&gt;""),AND(FE5&gt;=FK$13,FE5&lt;&gt;"",FG5&gt;=FK$17,FG5&lt;&gt;""),AND(FH5&gt;=FK$13,FH5&lt;&gt;"",FJ5&gt;=FK$17,FJ5&lt;&gt;""),AND(GF5&gt;=GS$13,GF5&lt;&gt;"",GH5&gt;=GS$17,GH5&lt;&gt;""),AND(GI5&gt;=GS$13,GI5&lt;&gt;"",GK5&gt;=GS$17,GK5&lt;&gt;""),AND(GM5&gt;=GS$13,GM5&lt;&gt;"",GO5&gt;=GS$17,GO5&lt;&gt;""),AND(GP5&gt;=GS$13,GP5&lt;&gt;"",GR5&gt;=GS$17,GR5&lt;&gt;""),AND(HN5&gt;=IA$13,HN5&lt;&gt;"",HP5&gt;=IA$17,HP5&lt;&gt;""),AND(HQ5&gt;=IA$13,HQ5&lt;&gt;"",HS5&gt;=IA$17,HS5&lt;&gt;""),AND(HU5&gt;=IA$13,HU5&lt;&gt;"",HW5&gt;=IA$17,HW5&lt;&gt;""),AND(HX5&gt;=IA$13,HX5&lt;&gt;"",HZ5&gt;=IA$17,HZ5&lt;&gt;""),AND(IV5&gt;=JI$13,IV5&lt;&gt;"",IX5&gt;=JI$17,IX5&lt;&gt;""),AND(IY5&gt;=JI$13,IY5&lt;&gt;"",JA5&gt;=JI$17,JA5&lt;&gt;""),AND(JC5&gt;=JI$13,JC5&lt;&gt;"",JE5&gt;=JI$17,JE5&lt;&gt;""),AND(JF5&gt;=JI$13,JF5&lt;&gt;"",JH5&gt;=JI$17,JH5&lt;&gt;""),AND(KD5&gt;=KQ$13,KD5&lt;&gt;"",KF5&gt;=KQ$17,KF5&lt;&gt;""),AND(KG5&gt;=KQ$13,KG5&lt;&gt;"",KI5&gt;=KQ$17,KI5&lt;&gt;""),AND(KK5&gt;=KQ$13,KK5&lt;&gt;"",KM5&gt;=KQ$17,KM5&lt;&gt;""),AND(KN5&gt;=KQ$13,KN5&lt;&gt;"",KP5&gt;=KQ$17,KP5&lt;&gt;""),AND(LL5&gt;=LY$13,LL5&lt;&gt;"",LN5&gt;=LY$17,LN5&lt;&gt;""),AND(LO5&gt;=LY$13,LO5&lt;&gt;"",LQ5&gt;=LY$17,LQ5&lt;&gt;""),AND(LS5&gt;=LY$13,LS5&lt;&gt;"",LU5&gt;=LY$17,LU5&lt;&gt;""),AND(LV5&gt;=LY$13,LV5&lt;&gt;"",LX5&gt;=LY$17,LX5&lt;&gt;""),AND(MT5&gt;=NG$13,MT5&lt;&gt;"",MV5&gt;=NG$17,MV5&lt;&gt;""),AND(MW5&gt;=NG$13,MW5&lt;&gt;"",MY5&gt;=NG$17,MY5&lt;&gt;""),AND(NA5&gt;=NG$13,NA5&lt;&gt;"",NC5&gt;=NG$17,NC5&lt;&gt;""),AND(ND5&gt;=NG$13,ND5&lt;&gt;"",NF5&gt;=NG$17,NF5&lt;&gt;""),AND(OB5&gt;=OO$13,OB5&lt;&gt;"",OD5&gt;=OO$17,OD5&lt;&gt;""),AND(OE5&gt;=OO$13,OE5&lt;&gt;"",OG5&gt;=OO$17,OG5&lt;&gt;""),AND(OI5&gt;=OO$13,OI5&lt;&gt;"",OK5&gt;=OO$17,OK5&lt;&gt;""),AND(OL5&gt;=OO$13,OL5&lt;&gt;"",ON5&gt;=OO$17,ON5&lt;&gt;""),AND(PJ5&gt;=PW$13,PJ5&lt;&gt;"",PL5&gt;=PW$17,PL5&lt;&gt;""),AND(PM5&gt;=PW$13,PM5&lt;&gt;"",PO5&gt;=PW$17,PO5&lt;&gt;""),AND(PQ5&gt;=PW$13,PQ5&lt;&gt;"",PS5&gt;=PW$17,PS5&lt;&gt;""),AND(PT5&gt;=PW$13,PT5&lt;&gt;"",PV5&gt;=PW$17,PV5&lt;&gt;""),AND(QR5&gt;=RE$13,QR5&lt;&gt;"",QT5&gt;=RE$17,QT5&lt;&gt;""),AND(QU5&gt;=RE$13,QU5&lt;&gt;"",QW5&gt;=RE$17,QW5&lt;&gt;""),AND(QY5&gt;=RE$13,QY5&lt;&gt;"",RA5&gt;=RE$17,RA5&lt;&gt;""),AND(RB5&gt;=RE$13,RB5&lt;&gt;"",RD5&gt;=RE$17,RD5&lt;&gt;""),AND(RZ5&gt;=SM$13,RZ5&lt;&gt;"",SB5&gt;=SM$17,SB5&lt;&gt;""),AND(SC5&gt;=SM$13,SC5&lt;&gt;"",SE5&gt;=SM$17,SE5&lt;&gt;""),AND(SG5&gt;=SM$13,SG5&lt;&gt;"",SI5&gt;=SM$17,SI5&lt;&gt;""),AND(SJ5&gt;=SM$13,SJ5&lt;&gt;"",SL5&gt;=SM$17,SL5&lt;&gt;""),AND(TH5&gt;=TU$13,TH5&lt;&gt;"",TJ5&gt;=TU$17,TJ5&lt;&gt;""),AND(TK5&gt;=TU$13,TK5&lt;&gt;"",TM5&gt;=TU$17,TM5&lt;&gt;""),AND(TO5&gt;=TU$13,TO5&lt;&gt;"",TQ5&gt;=TU$17,TQ5&lt;&gt;""),AND(TR5&gt;=TU$13,TR5&lt;&gt;"",TT5&gt;=TU$17,TT5&lt;&gt;""),AND(UP5&gt;=VC$13,UP5&lt;&gt;"",UR5&gt;=VC$17,UR5&lt;&gt;""),AND(US5&gt;=VC$13,US5&lt;&gt;"",UU5&gt;=VC$17,UU5&lt;&gt;""),AND(UW5&gt;=VC$13,UW5&lt;&gt;"",UY5&gt;=VC$17,UY5&lt;&gt;""),AND(UZ5&gt;=VC$13,UZ5&lt;&gt;"",VB5&gt;=VC$17,VB5&lt;&gt;""),AND(VX5&gt;=WK$13,VX5&lt;&gt;"",VZ5&gt;=WK$17,VZ5&lt;&gt;""),AND(WA5&gt;=WK$13,WA5&lt;&gt;"",WC5&gt;=WK$17,WC5&lt;&gt;""),AND(WE5&gt;=WK$13,WE5&lt;&gt;"",WG5&gt;=WK$17,WG5&lt;&gt;""),AND(WH5&gt;=WK$13,WH5&lt;&gt;"",WJ5&gt;=WK$17,WJ5&lt;&gt;"")),"Excellence",IF(I5="P","Worlds Team",IF(F5="P","National Team","")))))</f>
        <v/>
      </c>
      <c r="I5" s="3" t="str">
        <f>IF(OR(AND(AG5&gt;=AQ$12,AG5&lt;&gt;"",AI5&gt;=AQ$16,AI5&lt;&gt;"",AF5=""),AND(AJ5&gt;=AQ$12,AJ5&lt;&gt;"",AL5&gt;=AQ$16,AL5&lt;&gt;"",AF5=""),AND(AN5&gt;=AQ$12,AN5&lt;&gt;"",AP5&gt;=AQ$16,AP5&lt;&gt;"",AF5=""),AND(BH5&gt;=BR$12,BH5&lt;&gt;"",BJ5&gt;=BR$16,BJ5&lt;&gt;"",BG5=""),AND(BK5&gt;=BR$12,BK5&lt;&gt;"",BM5&gt;=BR$16,BM5&lt;&gt;"",BG5=""),AND(BO5&gt;=BR$12,BO5&lt;&gt;"",BQ5&gt;=BR$16,BQ5&lt;&gt;"",BG5=""),AND(CI5&gt;=CS$12,CI5&lt;&gt;"",CK5&gt;=CS$16,CK5&lt;&gt;"",CH5=""),AND(CL5&gt;=CS$12,CL5&lt;&gt;"",CN5&gt;=CS$16,CN5&lt;&gt;"",CH5=""),AND(CP5&gt;=CS$12,CP5&lt;&gt;"",CR5&gt;=CS$16,CR5&lt;&gt;"",CH5=""),AND(DP5&gt;=EC$12,DP5&lt;&gt;"",DR5&gt;=EC$16,DR5&lt;&gt;""),AND(DS5&gt;=EC$12,DS5&lt;&gt;"",DU5&gt;=EC$16,DU5&lt;&gt;""),AND(DW5&gt;=EC$12,DW5&lt;&gt;"",DY5&gt;=EC$16,DY5&lt;&gt;""),AND(DZ5&gt;=EC$12,DZ5&lt;&gt;"",EB5&gt;=EC$16,EB5&lt;&gt;""),AND(EX5&gt;=FK$12,EX5&lt;&gt;"",EZ5&gt;=FK$16,EZ5&lt;&gt;""),AND(FA5&gt;=FK$12,FA5&lt;&gt;"",FC5&gt;=FK$16,FC5&lt;&gt;""),AND(FE5&gt;=FK$12,FE5&lt;&gt;"",FG5&gt;=FK$16,FG5&lt;&gt;""),AND(FH5&gt;=FK$12,FH5&lt;&gt;"",FJ5&gt;=FK$16,FJ5&lt;&gt;""),AND(GF5&gt;=GS$12,GF5&lt;&gt;"",GH5&gt;=GS$16,GH5&lt;&gt;""),AND(GI5&gt;=GS$12,GI5&lt;&gt;"",GK5&gt;=GS$16,GK5&lt;&gt;""),AND(GM5&gt;=GS$12,GM5&lt;&gt;"",GO5&gt;=GS$16,GO5&lt;&gt;""),AND(GP5&gt;=GS$12,GP5&lt;&gt;"",GR5&gt;=GS$16,GR5&lt;&gt;""),AND(HN5&gt;=IA$12,HN5&lt;&gt;"",HP5&gt;=IA$16,HP5&lt;&gt;""),AND(HQ5&gt;=IA$12,HQ5&lt;&gt;"",HS5&gt;=IA$16,HS5&lt;&gt;""),AND(HU5&gt;=IA$12,HU5&lt;&gt;"",HW5&gt;=IA$16,HW5&lt;&gt;""),AND(HX5&gt;=IA$12,HX5&lt;&gt;"",HZ5&gt;=IA$16,HZ5&lt;&gt;""),AND(IV5&gt;=JI$12,IV5&lt;&gt;"",IX5&gt;=JI$16,IX5&lt;&gt;""),AND(IY5&gt;=JI$12,IY5&lt;&gt;"",JA5&gt;=JI$16,JA5&lt;&gt;""),AND(JC5&gt;=JI$12,JC5&lt;&gt;"",JE5&gt;=JI$16,JE5&lt;&gt;""),AND(JF5&gt;=JI$12,JF5&lt;&gt;"",JH5&gt;=JI$16,JH5&lt;&gt;""),AND(KD5&gt;=KQ$12,KD5&lt;&gt;"",KF5&gt;=KQ$16,KF5&lt;&gt;""),AND(KG5&gt;=KQ$12,KG5&lt;&gt;"",KI5&gt;=KQ$16,KI5&lt;&gt;""),AND(KK5&gt;=KQ$12,KK5&lt;&gt;"",KM5&gt;=KQ$16,KM5&lt;&gt;""),AND(KN5&gt;=KQ$12,KN5&lt;&gt;"",KP5&gt;=KQ$16,KP5&lt;&gt;""),AND(LL5&gt;=LY$12,LL5&lt;&gt;"",LN5&gt;=LY$16,LN5&lt;&gt;""),AND(LO5&gt;=LY$12,LO5&lt;&gt;"",LQ5&gt;=LY$16,LQ5&lt;&gt;""),AND(LS5&gt;=LY$12,LS5&lt;&gt;"",LU5&gt;=LY$16,LU5&lt;&gt;""),AND(LV5&gt;=LY$12,LV5&lt;&gt;"",LX5&gt;=LY$16,LX5&lt;&gt;""),AND(MT5&gt;=NG$12,MT5&lt;&gt;"",MV5&gt;=NG$16,MV5&lt;&gt;""),AND(MW5&gt;=NG$12,MW5&lt;&gt;"",MY5&gt;=NG$16,MY5&lt;&gt;""),AND(NA5&gt;=NG$12,NA5&lt;&gt;"",NC5&gt;=NG$16,NC5&lt;&gt;""),AND(ND5&gt;=NG$12,ND5&lt;&gt;"",NF5&gt;=NG$16,NF5&lt;&gt;""),AND(OB5&gt;=OO$12,OB5&lt;&gt;"",OD5&gt;=OO$16,OD5&lt;&gt;""),AND(OE5&gt;=OO$12,OE5&lt;&gt;"",OG5&gt;=OO$16,OG5&lt;&gt;""),AND(OI5&gt;=OO$12,OI5&lt;&gt;"",OK5&gt;=OO$16,OK5&lt;&gt;""),AND(OL5&gt;=OO$12,OL5&lt;&gt;"",ON5&gt;=OO$16,ON5&lt;&gt;""),AND(PJ5&gt;=PW$12,PJ5&lt;&gt;"",PL5&gt;=PW$16,PL5&lt;&gt;""),AND(PM5&gt;=PW$12,PM5&lt;&gt;"",PO5&gt;=PW$16,PO5&lt;&gt;""),AND(PQ5&gt;=PW$12,PQ5&lt;&gt;"",PS5&gt;=PW$16,PS5&lt;&gt;""),AND(PT5&gt;=PW$12,PT5&lt;&gt;"",PV5&gt;=PW$16,PV5&lt;&gt;""),AND(QR5&gt;=RE$12,QR5&lt;&gt;"",QT5&gt;=RE$16,QT5&lt;&gt;""),AND(QU5&gt;=RE$12,QU5&lt;&gt;"",QW5&gt;=RE$16,QW5&lt;&gt;""),AND(QY5&gt;=RE$12,QY5&lt;&gt;"",RA5&gt;=RE$16,RA5&lt;&gt;""),AND(RB5&gt;=RE$12,RB5&lt;&gt;"",RD5&gt;=RE$16,RD5&lt;&gt;""),AND(RZ5&gt;=SM$12,RZ5&lt;&gt;"",SB5&gt;=SM$16,SB5&lt;&gt;""),AND(SC5&gt;=SM$12,SC5&lt;&gt;"",SE5&gt;=SM$16,SE5&lt;&gt;""),AND(SG5&gt;=SM$12,SG5&lt;&gt;"",SI5&gt;=SM$16,SI5&lt;&gt;""),AND(SJ5&gt;=SM$12,SJ5&lt;&gt;"",SL5&gt;=SM$16,SL5&lt;&gt;""),AND(TH5&gt;=TU$12,TH5&lt;&gt;"",TJ5&gt;=TU$16,TJ5&lt;&gt;""),AND(TK5&gt;=TU$12,TK5&lt;&gt;"",TM5&gt;=TU$16,TM5&lt;&gt;""),AND(TO5&gt;=TU$12,TO5&lt;&gt;"",TQ5&gt;=TU$16,TQ5&lt;&gt;""),AND(TR5&gt;=TU$12,TR5&lt;&gt;"",TT5&gt;=TU$16,TT5&lt;&gt;""),AND(UP5&gt;=VC$12,UP5&lt;&gt;"",UR5&gt;=VC$16,UR5&lt;&gt;""),AND(US5&gt;=VC$12,US5&lt;&gt;"",UU5&gt;=VC$16,UU5&lt;&gt;""),AND(UW5&gt;=VC$12,UW5&lt;&gt;"",UY5&gt;=VC$16,UY5&lt;&gt;""),AND(UZ5&gt;=VC$12,UZ5&lt;&gt;"",VB5&gt;=VC$16,VB5&lt;&gt;""),AND(VX5&gt;=WK$12,VX5&lt;&gt;"",VZ5&gt;=WK$16,VZ5&lt;&gt;""),AND(WA5&gt;=WK$12,WA5&lt;&gt;"",WC5&gt;=WK$16,WC5&lt;&gt;""),AND(WE5&gt;=WK$12,WE5&lt;&gt;"",WG5&gt;=WK$16,WG5&lt;&gt;""),AND(WH5&gt;=WK$12,WH5&lt;&gt;"",WJ5&gt;=WK$16,WJ5&lt;&gt;"")),"P","")</f>
        <v/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 t="shared" si="0"/>
        <v/>
      </c>
      <c r="AH5" s="38" t="str">
        <f t="shared" si="0"/>
        <v/>
      </c>
      <c r="AI5" s="40" t="str">
        <f>IF(SUM(Q5:T5)-U5&gt;0,SUM(Q5:T5)-U5,"")</f>
        <v/>
      </c>
      <c r="AJ5" s="40" t="str">
        <f t="shared" si="1"/>
        <v/>
      </c>
      <c r="AK5" s="40" t="str">
        <f t="shared" si="1"/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 t="shared" si="2"/>
        <v/>
      </c>
      <c r="AO5" s="40" t="str">
        <f t="shared" si="2"/>
        <v/>
      </c>
      <c r="AP5" s="40" t="str">
        <f>IF(SUM(AA5:AD5)-AE5&gt;0,SUM(AA5:AD5)-AE5,"")</f>
        <v/>
      </c>
      <c r="AQ5" s="40" t="str">
        <f>IF(SUM(AM5,AP5)&gt;0,SUM(AM5,AP5),"")</f>
        <v/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 t="shared" si="3"/>
        <v/>
      </c>
      <c r="BI5" s="39" t="str">
        <f t="shared" si="3"/>
        <v/>
      </c>
      <c r="BJ5" s="11" t="str">
        <f>IF(SUM(AR5:AU5)-AV5&gt;0,SUM(AR5:AU5)-AV5,"")</f>
        <v/>
      </c>
      <c r="BK5" s="11" t="str">
        <f t="shared" si="4"/>
        <v/>
      </c>
      <c r="BL5" s="11" t="str">
        <f t="shared" si="4"/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 t="shared" si="5"/>
        <v/>
      </c>
      <c r="BP5" s="11" t="str">
        <f t="shared" si="5"/>
        <v/>
      </c>
      <c r="BQ5" s="11" t="str">
        <f>IF(SUM(BB5:BE5)-BF5&gt;0,SUM(BB5:BE5)-BF5,"")</f>
        <v/>
      </c>
      <c r="BR5" s="11" t="str">
        <f>IF(SUM(BN5,BQ5)&gt;0,SUM(BN5,BQ5),"")</f>
        <v/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 t="shared" si="6"/>
        <v/>
      </c>
      <c r="CJ5" s="38" t="str">
        <f t="shared" si="6"/>
        <v/>
      </c>
      <c r="CK5" s="40" t="str">
        <f>IF(SUM(BS5:BV5)-BW5&gt;0,SUM(BS5:BV5)-BW5,"")</f>
        <v/>
      </c>
      <c r="CL5" s="40" t="str">
        <f t="shared" si="7"/>
        <v/>
      </c>
      <c r="CM5" s="40" t="str">
        <f t="shared" si="7"/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 t="shared" si="8"/>
        <v/>
      </c>
      <c r="CQ5" s="40" t="str">
        <f t="shared" si="8"/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 t="shared" si="9"/>
        <v/>
      </c>
      <c r="DQ5" s="40" t="str">
        <f t="shared" si="9"/>
        <v/>
      </c>
      <c r="DR5" s="40" t="str">
        <f>IF(SUM(CV5:CY5)-CZ5&gt;0,SUM(CV5:CY5)-CZ5,"")</f>
        <v/>
      </c>
      <c r="DS5" s="40" t="str">
        <f t="shared" si="10"/>
        <v/>
      </c>
      <c r="DT5" s="40" t="str">
        <f t="shared" si="10"/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 t="shared" si="11"/>
        <v/>
      </c>
      <c r="DX5" s="40" t="str">
        <f t="shared" si="11"/>
        <v/>
      </c>
      <c r="DY5" s="40" t="str">
        <f>IF(SUM(DF5:DI5)-DJ5&gt;0,SUM(DF5:DI5)-DJ5,"")</f>
        <v/>
      </c>
      <c r="DZ5" s="40" t="str">
        <f t="shared" si="12"/>
        <v/>
      </c>
      <c r="EA5" s="40" t="str">
        <f t="shared" si="12"/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13"/>
        <v/>
      </c>
      <c r="EY5" s="11" t="str">
        <f t="shared" si="13"/>
        <v/>
      </c>
      <c r="EZ5" s="11" t="str">
        <f>IF(SUM(ED5:EG5)-EH5&gt;0,SUM(ED5:EG5)-EH5,"")</f>
        <v/>
      </c>
      <c r="FA5" s="11" t="str">
        <f t="shared" si="14"/>
        <v/>
      </c>
      <c r="FB5" s="11" t="str">
        <f t="shared" si="14"/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 t="shared" si="15"/>
        <v/>
      </c>
      <c r="FF5" s="11" t="str">
        <f t="shared" si="15"/>
        <v/>
      </c>
      <c r="FG5" s="11" t="str">
        <f>IF(SUM(EN5:EQ5)-ER5&gt;0,SUM(EN5:EQ5)-ER5,"")</f>
        <v/>
      </c>
      <c r="FH5" s="11" t="str">
        <f t="shared" si="16"/>
        <v/>
      </c>
      <c r="FI5" s="11" t="str">
        <f t="shared" si="16"/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 t="shared" si="17"/>
        <v/>
      </c>
      <c r="GG5" s="40" t="str">
        <f t="shared" si="17"/>
        <v/>
      </c>
      <c r="GH5" s="40" t="str">
        <f>IF(SUM(FL5:FO5)-FP5&gt;0,SUM(FL5:FO5)-FP5,"")</f>
        <v/>
      </c>
      <c r="GI5" s="40" t="str">
        <f t="shared" si="18"/>
        <v/>
      </c>
      <c r="GJ5" s="40" t="str">
        <f t="shared" si="18"/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 t="shared" si="19"/>
        <v/>
      </c>
      <c r="GN5" s="40" t="str">
        <f t="shared" si="19"/>
        <v/>
      </c>
      <c r="GO5" s="40" t="str">
        <f>IF(SUM(FV5:FY5)-FZ5&gt;0,SUM(FV5:FY5)-FZ5,"")</f>
        <v/>
      </c>
      <c r="GP5" s="40" t="str">
        <f t="shared" si="20"/>
        <v/>
      </c>
      <c r="GQ5" s="40" t="str">
        <f t="shared" si="20"/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21"/>
        <v/>
      </c>
      <c r="HO5" s="11" t="str">
        <f t="shared" si="21"/>
        <v/>
      </c>
      <c r="HP5" s="11" t="str">
        <f>IF(SUM(GT5:GW5)-GX5&gt;0,SUM(GT5:GW5)-GX5,"")</f>
        <v/>
      </c>
      <c r="HQ5" s="11" t="str">
        <f t="shared" si="22"/>
        <v/>
      </c>
      <c r="HR5" s="11" t="str">
        <f t="shared" si="22"/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 t="shared" si="23"/>
        <v/>
      </c>
      <c r="HV5" s="11" t="str">
        <f t="shared" si="23"/>
        <v/>
      </c>
      <c r="HW5" s="11" t="str">
        <f>IF(SUM(HD5:HG5)-HH5&gt;0,SUM(HD5:HG5)-HH5,"")</f>
        <v/>
      </c>
      <c r="HX5" s="11" t="str">
        <f t="shared" si="24"/>
        <v/>
      </c>
      <c r="HY5" s="11" t="str">
        <f t="shared" si="24"/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 t="shared" si="25"/>
        <v/>
      </c>
      <c r="IW5" s="40" t="str">
        <f t="shared" si="25"/>
        <v/>
      </c>
      <c r="IX5" s="40" t="str">
        <f>IF(SUM(IB5:IE5)-IF5&gt;0,SUM(IB5:IE5)-IF5,"")</f>
        <v/>
      </c>
      <c r="IY5" s="40" t="str">
        <f t="shared" si="26"/>
        <v/>
      </c>
      <c r="IZ5" s="40" t="str">
        <f t="shared" si="26"/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 t="shared" si="27"/>
        <v/>
      </c>
      <c r="JD5" s="40" t="str">
        <f t="shared" si="27"/>
        <v/>
      </c>
      <c r="JE5" s="40" t="str">
        <f>IF(SUM(IL5:IO5)-IP5&gt;0,SUM(IL5:IO5)-IP5,"")</f>
        <v/>
      </c>
      <c r="JF5" s="40" t="str">
        <f t="shared" si="28"/>
        <v/>
      </c>
      <c r="JG5" s="40" t="str">
        <f t="shared" si="28"/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29"/>
        <v/>
      </c>
      <c r="KE5" s="11" t="str">
        <f t="shared" si="29"/>
        <v/>
      </c>
      <c r="KF5" s="11" t="str">
        <f>IF(SUM(JJ5:JM5)-JN5&gt;0,SUM(JJ5:JM5)-JN5,"")</f>
        <v/>
      </c>
      <c r="KG5" s="11" t="str">
        <f t="shared" si="30"/>
        <v/>
      </c>
      <c r="KH5" s="11" t="str">
        <f t="shared" si="30"/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 t="shared" si="31"/>
        <v/>
      </c>
      <c r="KL5" s="11" t="str">
        <f t="shared" si="31"/>
        <v/>
      </c>
      <c r="KM5" s="11" t="str">
        <f>IF(SUM(JT5:JW5)-JX5&gt;0,SUM(JT5:JW5)-JX5,"")</f>
        <v/>
      </c>
      <c r="KN5" s="11" t="str">
        <f t="shared" si="32"/>
        <v/>
      </c>
      <c r="KO5" s="11" t="str">
        <f t="shared" si="32"/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 t="shared" si="33"/>
        <v/>
      </c>
      <c r="LM5" s="40" t="str">
        <f t="shared" si="33"/>
        <v/>
      </c>
      <c r="LN5" s="40" t="str">
        <f>IF(SUM(KR5:KU5)-KV5&gt;0,SUM(KR5:KU5)-KV5,"")</f>
        <v/>
      </c>
      <c r="LO5" s="40" t="str">
        <f t="shared" si="34"/>
        <v/>
      </c>
      <c r="LP5" s="40" t="str">
        <f t="shared" si="34"/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 t="shared" si="35"/>
        <v/>
      </c>
      <c r="LT5" s="40" t="str">
        <f t="shared" si="35"/>
        <v/>
      </c>
      <c r="LU5" s="40" t="str">
        <f>IF(SUM(LB5:LE5)-LF5&gt;0,SUM(LB5:LE5)-LF5,"")</f>
        <v/>
      </c>
      <c r="LV5" s="40" t="str">
        <f t="shared" si="36"/>
        <v/>
      </c>
      <c r="LW5" s="40" t="str">
        <f t="shared" si="36"/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37"/>
        <v/>
      </c>
      <c r="MU5" s="11" t="str">
        <f t="shared" si="37"/>
        <v/>
      </c>
      <c r="MV5" s="11" t="str">
        <f>IF(SUM(LZ5:MC5)-MD5&gt;0,SUM(LZ5:MC5)-MD5,"")</f>
        <v/>
      </c>
      <c r="MW5" s="11" t="str">
        <f t="shared" si="38"/>
        <v/>
      </c>
      <c r="MX5" s="11" t="str">
        <f t="shared" si="38"/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 t="shared" si="39"/>
        <v/>
      </c>
      <c r="NB5" s="11" t="str">
        <f t="shared" si="39"/>
        <v/>
      </c>
      <c r="NC5" s="11" t="str">
        <f>IF(SUM(MJ5:MM5)-MN5&gt;0,SUM(MJ5:MM5)-MN5,"")</f>
        <v/>
      </c>
      <c r="ND5" s="11" t="str">
        <f t="shared" si="40"/>
        <v/>
      </c>
      <c r="NE5" s="11" t="str">
        <f t="shared" si="40"/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 t="shared" si="41"/>
        <v/>
      </c>
      <c r="OC5" s="40" t="str">
        <f t="shared" si="41"/>
        <v/>
      </c>
      <c r="OD5" s="40" t="str">
        <f>IF(SUM(NH5:NK5)-NL5&gt;0,SUM(NH5:NK5)-NL5,"")</f>
        <v/>
      </c>
      <c r="OE5" s="40" t="str">
        <f t="shared" si="42"/>
        <v/>
      </c>
      <c r="OF5" s="40" t="str">
        <f t="shared" si="42"/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 t="shared" si="43"/>
        <v/>
      </c>
      <c r="OJ5" s="40" t="str">
        <f t="shared" si="43"/>
        <v/>
      </c>
      <c r="OK5" s="40" t="str">
        <f>IF(SUM(NR5:NU5)-NV5&gt;0,SUM(NR5:NU5)-NV5,"")</f>
        <v/>
      </c>
      <c r="OL5" s="40" t="str">
        <f t="shared" si="44"/>
        <v/>
      </c>
      <c r="OM5" s="40" t="str">
        <f t="shared" si="44"/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45"/>
        <v/>
      </c>
      <c r="PK5" s="11" t="str">
        <f t="shared" si="45"/>
        <v/>
      </c>
      <c r="PL5" s="11" t="str">
        <f>IF(SUM(OP5:OS5)-OT5&gt;0,SUM(OP5:OS5)-OT5,"")</f>
        <v/>
      </c>
      <c r="PM5" s="11" t="str">
        <f t="shared" si="46"/>
        <v/>
      </c>
      <c r="PN5" s="11" t="str">
        <f t="shared" si="46"/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 t="shared" si="47"/>
        <v/>
      </c>
      <c r="PR5" s="11" t="str">
        <f t="shared" si="47"/>
        <v/>
      </c>
      <c r="PS5" s="11" t="str">
        <f>IF(SUM(OZ5:PC5)-PD5&gt;0,SUM(OZ5:PC5)-PD5,"")</f>
        <v/>
      </c>
      <c r="PT5" s="11" t="str">
        <f t="shared" si="48"/>
        <v/>
      </c>
      <c r="PU5" s="11" t="str">
        <f t="shared" si="48"/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 t="shared" si="49"/>
        <v/>
      </c>
      <c r="QS5" s="40" t="str">
        <f t="shared" si="49"/>
        <v/>
      </c>
      <c r="QT5" s="40" t="str">
        <f>IF(SUM(PX5:QA5)-QB5&gt;0,SUM(PX5:QA5)-QB5,"")</f>
        <v/>
      </c>
      <c r="QU5" s="40" t="str">
        <f t="shared" si="50"/>
        <v/>
      </c>
      <c r="QV5" s="40" t="str">
        <f t="shared" si="50"/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 t="shared" si="51"/>
        <v/>
      </c>
      <c r="QZ5" s="40" t="str">
        <f t="shared" si="51"/>
        <v/>
      </c>
      <c r="RA5" s="40" t="str">
        <f>IF(SUM(QH5:QK5)-QL5&gt;0,SUM(QH5:QK5)-QL5,"")</f>
        <v/>
      </c>
      <c r="RB5" s="40" t="str">
        <f t="shared" si="52"/>
        <v/>
      </c>
      <c r="RC5" s="40" t="str">
        <f t="shared" si="52"/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53"/>
        <v/>
      </c>
      <c r="SA5" s="11" t="str">
        <f t="shared" si="53"/>
        <v/>
      </c>
      <c r="SB5" s="11" t="str">
        <f>IF(SUM(RF5:RI5)-RJ5&gt;0,SUM(RF5:RI5)-RJ5,"")</f>
        <v/>
      </c>
      <c r="SC5" s="11" t="str">
        <f t="shared" si="54"/>
        <v/>
      </c>
      <c r="SD5" s="11" t="str">
        <f t="shared" si="54"/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 t="shared" si="55"/>
        <v/>
      </c>
      <c r="SH5" s="11" t="str">
        <f t="shared" si="55"/>
        <v/>
      </c>
      <c r="SI5" s="11" t="str">
        <f>IF(SUM(RP5:RS5)-RT5&gt;0,SUM(RP5:RS5)-RT5,"")</f>
        <v/>
      </c>
      <c r="SJ5" s="11" t="str">
        <f t="shared" si="56"/>
        <v/>
      </c>
      <c r="SK5" s="11" t="str">
        <f t="shared" si="56"/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 t="shared" si="57"/>
        <v/>
      </c>
      <c r="TI5" s="40" t="str">
        <f t="shared" si="57"/>
        <v/>
      </c>
      <c r="TJ5" s="40" t="str">
        <f>IF(SUM(SN5:SQ5)-SR5&gt;0,SUM(SN5:SQ5)-SR5,"")</f>
        <v/>
      </c>
      <c r="TK5" s="40" t="str">
        <f t="shared" si="58"/>
        <v/>
      </c>
      <c r="TL5" s="40" t="str">
        <f t="shared" si="58"/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 t="shared" si="59"/>
        <v/>
      </c>
      <c r="TP5" s="40" t="str">
        <f t="shared" si="59"/>
        <v/>
      </c>
      <c r="TQ5" s="40" t="str">
        <f>IF(SUM(SX5:TA5)-TB5&gt;0,SUM(SX5:TA5)-TB5,"")</f>
        <v/>
      </c>
      <c r="TR5" s="40" t="str">
        <f t="shared" si="60"/>
        <v/>
      </c>
      <c r="TS5" s="40" t="str">
        <f t="shared" si="60"/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 t="shared" si="61"/>
        <v/>
      </c>
      <c r="UQ5" s="11" t="str">
        <f t="shared" si="61"/>
        <v/>
      </c>
      <c r="UR5" s="11" t="str">
        <f>IF(SUM(TV5:TY5)-TZ5&gt;0,SUM(TV5:TY5)-TZ5,"")</f>
        <v/>
      </c>
      <c r="US5" s="11" t="str">
        <f t="shared" si="62"/>
        <v/>
      </c>
      <c r="UT5" s="11" t="str">
        <f t="shared" si="62"/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 t="shared" si="63"/>
        <v/>
      </c>
      <c r="UX5" s="11" t="str">
        <f t="shared" si="63"/>
        <v/>
      </c>
      <c r="UY5" s="11" t="str">
        <f>IF(SUM(UF5:UI5)-UJ5&gt;0,SUM(UF5:UI5)-UJ5,"")</f>
        <v/>
      </c>
      <c r="UZ5" s="11" t="str">
        <f t="shared" si="64"/>
        <v/>
      </c>
      <c r="VA5" s="11" t="str">
        <f t="shared" si="64"/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 t="shared" si="65"/>
        <v/>
      </c>
      <c r="VY5" s="40" t="str">
        <f t="shared" si="65"/>
        <v/>
      </c>
      <c r="VZ5" s="40" t="str">
        <f>IF(SUM(VD5:VG5)-VH5&gt;0,SUM(VD5:VG5)-VH5,"")</f>
        <v/>
      </c>
      <c r="WA5" s="40" t="str">
        <f t="shared" si="66"/>
        <v/>
      </c>
      <c r="WB5" s="40" t="str">
        <f t="shared" si="66"/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 t="shared" si="67"/>
        <v/>
      </c>
      <c r="WF5" s="40" t="str">
        <f t="shared" si="67"/>
        <v/>
      </c>
      <c r="WG5" s="40" t="str">
        <f>IF(SUM(VN5:VQ5)-VR5&gt;0,SUM(VN5:VQ5)-VR5,"")</f>
        <v/>
      </c>
      <c r="WH5" s="40" t="str">
        <f t="shared" si="68"/>
        <v/>
      </c>
      <c r="WI5" s="40" t="str">
        <f t="shared" si="68"/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 t="shared" si="69"/>
        <v>0</v>
      </c>
      <c r="WM5" s="26">
        <f t="shared" si="69"/>
        <v>0</v>
      </c>
      <c r="WN5" s="26">
        <f t="shared" si="69"/>
        <v>0</v>
      </c>
      <c r="WO5" s="26">
        <f t="shared" si="69"/>
        <v>0</v>
      </c>
      <c r="WP5" s="26">
        <f t="shared" si="69"/>
        <v>0</v>
      </c>
      <c r="WQ5" s="26">
        <f t="shared" si="69"/>
        <v>0</v>
      </c>
      <c r="WR5" s="26">
        <f t="shared" si="69"/>
        <v>0</v>
      </c>
      <c r="WS5" s="26">
        <f t="shared" si="69"/>
        <v>0</v>
      </c>
      <c r="WT5" s="26">
        <f t="shared" si="69"/>
        <v>0</v>
      </c>
      <c r="WU5" s="26">
        <f t="shared" si="69"/>
        <v>0</v>
      </c>
      <c r="WV5" s="26">
        <f t="shared" si="69"/>
        <v>0</v>
      </c>
      <c r="WW5" s="26">
        <f t="shared" si="69"/>
        <v>0</v>
      </c>
      <c r="WX5" s="26">
        <f t="shared" si="69"/>
        <v>0</v>
      </c>
      <c r="WY5" s="26">
        <f t="shared" si="69"/>
        <v>0</v>
      </c>
      <c r="WZ5" s="26">
        <f t="shared" si="69"/>
        <v>0</v>
      </c>
      <c r="XA5" s="28" t="s">
        <v>53</v>
      </c>
      <c r="XB5" s="11" t="str">
        <f t="shared" si="70"/>
        <v/>
      </c>
      <c r="XC5" s="11" t="str">
        <f t="shared" si="70"/>
        <v/>
      </c>
      <c r="XD5" s="11" t="str">
        <f>IF(SUM(WL5:WO5)-WP5&gt;0,SUM(WL5:WO5)-WP5,"")</f>
        <v/>
      </c>
      <c r="XE5" s="11" t="str">
        <f t="shared" si="71"/>
        <v/>
      </c>
      <c r="XF5" s="11" t="str">
        <f t="shared" si="71"/>
        <v/>
      </c>
      <c r="XG5" s="11" t="str">
        <f>IF(SUM(WQ5:WT5)-WU5&gt;0,SUM(WQ5:WT5)-WU5,"")</f>
        <v/>
      </c>
      <c r="XH5" s="11" t="str">
        <f>IF(MAX(XD5,XG5)&gt;0,MAX(XD5,XG5),"")</f>
        <v/>
      </c>
      <c r="XI5" s="11" t="str">
        <f t="shared" si="72"/>
        <v/>
      </c>
      <c r="XJ5" s="11" t="str">
        <f t="shared" si="72"/>
        <v/>
      </c>
      <c r="XK5" s="11" t="str">
        <f>IF(SUM(WV5:WY5)-WZ5&gt;0,SUM(WV5:WY5)-WZ5,"")</f>
        <v/>
      </c>
      <c r="XL5" s="11" t="str">
        <f>IF(SUM(XH5,XK5)&gt;0,SUM(XH5,XK5),"")</f>
        <v/>
      </c>
    </row>
    <row r="6" spans="1:636" x14ac:dyDescent="0.2">
      <c r="A6" s="4" t="str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/>
      </c>
      <c r="B6" s="5" t="s">
        <v>268</v>
      </c>
      <c r="C6" s="4" t="s">
        <v>270</v>
      </c>
      <c r="D6" s="4" t="s">
        <v>273</v>
      </c>
      <c r="E6" s="9">
        <f>SUM(J6,L6,N6)</f>
        <v>0</v>
      </c>
      <c r="F6" s="3" t="str">
        <f>IF(OR(AND(AG6&gt;=AQ$11,AG6&lt;&gt;"",AI6&gt;=AQ$15,AI6&lt;&gt;"",AF6=""),AND(AJ6&gt;=AQ$11,AJ6&lt;&gt;"",AL6&gt;=AQ$15,AL6&lt;&gt;"",AF6=""),AND(AN6&gt;=AQ$11,AN6&lt;&gt;"",AP6&gt;=AQ$15,AP6&lt;&gt;"",AF6=""),AND(BH6&gt;=BR$11,BH6&lt;&gt;"",BJ6&gt;=BR$15,BJ6&lt;&gt;"",BG6=""),AND(BK6&gt;=BR$11,BK6&lt;&gt;"",BM6&gt;=BR$15,BM6&lt;&gt;"",BG6=""),AND(BO6&gt;=BR$11,BO6&lt;&gt;"",BQ6&gt;=BR$15,BQ6&lt;&gt;"",BG6=""),AND(CI6&gt;=CS$11,CI6&lt;&gt;"",CK6&gt;=CS$15,CK6&lt;&gt;"",CH6=""),AND(CL6&gt;=CS$11,CL6&lt;&gt;"",CN6&gt;=CS$15,CN6&lt;&gt;"",CH6=""),AND(CP6&gt;=CS$11,CP6&lt;&gt;"",CR6&gt;=CS$15,CR6&lt;&gt;"",CH6=""),AND(DP6&gt;=EC$11,DP6&lt;&gt;"",DR6&gt;=EC$15,DR6&lt;&gt;""),AND(DS6&gt;=EC$11,DS6&lt;&gt;"",DU6&gt;=EC$15,DU6&lt;&gt;""),AND(DW6&gt;=EC$11,DW6&lt;&gt;"",DY6&gt;=EC$15,DY6&lt;&gt;""),AND(DZ6&gt;=EC$11,DZ6&lt;&gt;"",EB6&gt;=EC$15,EB6&lt;&gt;""),AND(EX6&gt;=FK$11,EX6&lt;&gt;"",EZ6&gt;=FK$15,EZ6&lt;&gt;""),AND(FA6&gt;=FK$11,FA6&lt;&gt;"",FC6&gt;=FK$15,FC6&lt;&gt;""),AND(FE6&gt;=FK$11,FE6&lt;&gt;"",FG6&gt;=FK$15,FG6&lt;&gt;""),AND(FH6&gt;=FK$11,FH6&lt;&gt;"",FJ6&gt;=FK$15,FJ6&lt;&gt;""),AND(GF6&gt;=GS$11,GF6&lt;&gt;"",GH6&gt;=GS$15,GH6&lt;&gt;""),AND(GI6&gt;=GS$11,GI6&lt;&gt;"",GK6&gt;=GS$15,GK6&lt;&gt;""),AND(GM6&gt;=GS$11,GM6&lt;&gt;"",GO6&gt;=GS$15,GO6&lt;&gt;""),AND(GP6&gt;=GS$11,GP6&lt;&gt;"",GR6&gt;=GS$15,GR6&lt;&gt;""),AND(HN6&gt;=IA$11,HN6&lt;&gt;"",HP6&gt;=IA$15,HP6&lt;&gt;""),AND(HQ6&gt;=IA$11,HQ6&lt;&gt;"",HS6&gt;=IA$15,HS6&lt;&gt;""),AND(HU6&gt;=IA$11,HU6&lt;&gt;"",HW6&gt;=IA$15,HW6&lt;&gt;""),AND(HX6&gt;=IA$11,HX6&lt;&gt;"",HZ6&gt;=IA$15,HZ6&lt;&gt;""),AND(IV6&gt;=JI$11,IV6&lt;&gt;"",IX6&gt;=JI$15,IX6&lt;&gt;""),AND(IY6&gt;=JI$11,IY6&lt;&gt;"",JA6&gt;=JI$15,JA6&lt;&gt;""),AND(JC6&gt;=JI$11,JC6&lt;&gt;"",JE6&gt;=JI$15,JE6&lt;&gt;""),AND(JF6&gt;=JI$11,JF6&lt;&gt;"",JH6&gt;=JI$15,JH6&lt;&gt;""),AND(KD6&gt;=KQ$11,KD6&lt;&gt;"",KF6&gt;=KQ$15,KF6&lt;&gt;""),AND(KG6&gt;=KQ$11,KG6&lt;&gt;"",KI6&gt;=KQ$15,KI6&lt;&gt;""),AND(KK6&gt;=KQ$11,KK6&lt;&gt;"",KM6&gt;=KQ$15,KM6&lt;&gt;""),AND(KN6&gt;=KQ$11,KN6&lt;&gt;"",KP6&gt;=KQ$15,KP6&lt;&gt;""),AND(LL6&gt;=LY$11,LL6&lt;&gt;"",LN6&gt;=LY$15,LN6&lt;&gt;""),AND(LO6&gt;=LY$11,LO6&lt;&gt;"",LQ6&gt;=LY$15,LQ6&lt;&gt;""),AND(LS6&gt;=LY$11,LS6&lt;&gt;"",LU6&gt;=LY$15,LU6&lt;&gt;""),AND(LV6&gt;=LY$11,LV6&lt;&gt;"",LX6&gt;=LY$15,LX6&lt;&gt;""),AND(MT6&gt;=NG$11,MT6&lt;&gt;"",MV6&gt;=NG$15,MV6&lt;&gt;""),AND(MW6&gt;=NG$11,MW6&lt;&gt;"",MY6&gt;=NG$15,MY6&lt;&gt;""),AND(NA6&gt;=NG$11,NA6&lt;&gt;"",NC6&gt;=NG$15,NC6&lt;&gt;""),AND(ND6&gt;=NG$11,ND6&lt;&gt;"",NF6&gt;=NG$15,NF6&lt;&gt;""),AND(OB6&gt;=OO$11,OB6&lt;&gt;"",OD6&gt;=OO$15,OD6&lt;&gt;""),AND(OE6&gt;=OO$11,OE6&lt;&gt;"",OG6&gt;=OO$15,OG6&lt;&gt;""),AND(OI6&gt;=OO$11,OI6&lt;&gt;"",OK6&gt;=OO$15,OK6&lt;&gt;""),AND(OL6&gt;=OO$11,OL6&lt;&gt;"",ON6&gt;=OO$15,ON6&lt;&gt;""),AND(PJ6&gt;=PW$11,PJ6&lt;&gt;"",PL6&gt;=PW$15,PL6&lt;&gt;""),AND(PM6&gt;=PW$11,PM6&lt;&gt;"",PO6&gt;=PW$15,PO6&lt;&gt;""),AND(PQ6&gt;=PW$11,PQ6&lt;&gt;"",PS6&gt;=PW$15,PS6&lt;&gt;""),AND(PT6&gt;=PW$11,PT6&lt;&gt;"",PV6&gt;=PW$15,PV6&lt;&gt;""),AND(QR6&gt;=RE$11,QR6&lt;&gt;"",QT6&gt;=RE$15,QT6&lt;&gt;""),AND(QU6&gt;=RE$11,QU6&lt;&gt;"",QW6&gt;=RE$15,QW6&lt;&gt;""),AND(QY6&gt;=RE$11,QY6&lt;&gt;"",RA6&gt;=RE$15,RA6&lt;&gt;""),AND(RB6&gt;=RE$11,RB6&lt;&gt;"",RD6&gt;=RE$15,RD6&lt;&gt;""),AND(RZ6&gt;=SM$11,RZ6&lt;&gt;"",SB6&gt;=SM$15,SB6&lt;&gt;""),AND(SC6&gt;=SM$11,SC6&lt;&gt;"",SE6&gt;=SM$15,SE6&lt;&gt;""),AND(SG6&gt;=SM$11,SG6&lt;&gt;"",SI6&gt;=SM$15,SI6&lt;&gt;""),AND(SJ6&gt;=SM$11,SJ6&lt;&gt;"",SL6&gt;=SM$15,SL6&lt;&gt;""),AND(TH6&gt;=TU$11,TH6&lt;&gt;"",TJ6&gt;=TU$15,TJ6&lt;&gt;""),AND(TK6&gt;=TU$11,TK6&lt;&gt;"",TM6&gt;=TU$15,TM6&lt;&gt;""),AND(TO6&gt;=TU$11,TO6&lt;&gt;"",TQ6&gt;=TU$15,TQ6&lt;&gt;""),AND(TR6&gt;=TU$11,TR6&lt;&gt;"",TT6&gt;=TU$15,TT6&lt;&gt;""),AND(UP6&gt;=VC$11,UP6&lt;&gt;"",UR6&gt;=VC$15,UR6&lt;&gt;""),AND(US6&gt;=VC$11,US6&lt;&gt;"",UU6&gt;=VC$15,UU6&lt;&gt;""),AND(UW6&gt;=VC$11,UW6&lt;&gt;"",UY6&gt;=VC$15,UY6&lt;&gt;""),AND(UZ6&gt;=VC$11,UZ6&lt;&gt;"",VB6&gt;=VC$15,VB6&lt;&gt;""),AND(VX6&gt;=WK$11,VX6&lt;&gt;"",VZ6&gt;=WK$15,VZ6&lt;&gt;""),AND(WA6&gt;=WK$11,WA6&lt;&gt;"",WC6&gt;=WK$15,WC6&lt;&gt;""),AND(WE6&gt;=WK$11,WE6&lt;&gt;"",WG6&gt;=WK$15,WG6&lt;&gt;""),AND(WH6&gt;=WK$11,WH6&lt;&gt;"",WJ6&gt;=WK$15,WJ6&lt;&gt;"")),"P","")</f>
        <v/>
      </c>
      <c r="G6" s="3" t="str">
        <f>IF(OR(AND(AI6&gt;=AQ$15,AI6&lt;&gt;"",AF6=""),AND(AL6&gt;=AQ$15,AL6&lt;&gt;"",AF6=""),AND(AP6&gt;=AQ$15,AP6&lt;&gt;"",AF6=""),AND(BJ6&gt;=BR$15,BJ6&lt;&gt;"",BG6=""),AND(BM6&gt;=BR$15,BM6&lt;&gt;"",BG6=""),AND(BQ6&gt;=BR$15,BQ6&lt;&gt;"",BG6=""),AND(CK6&gt;=CS$15,CK6&lt;&gt;"",CH6=""),AND(CN6&gt;=CS$15,CN6&lt;&gt;"",CH6=""),AND(CR6&gt;=CS$15,CR6&lt;&gt;"",CH6=""),AND(DR6&gt;=EC$15,DR6&lt;&gt;""),AND(DU6&gt;=EC$15,DU6&lt;&gt;""),AND(DY6&gt;=EC$15,DY6&lt;&gt;""),AND(EB6&gt;=EC$15,EB6&lt;&gt;""),AND(EZ6&gt;=FK$15,EZ6&lt;&gt;""),AND(FC6&gt;=FK$15,FC6&lt;&gt;""),AND(FG6&gt;=FK$15,FG6&lt;&gt;""),AND(FJ6&gt;=FK$15,FJ6&lt;&gt;""),AND(GH6&gt;=GS$15,GH6&lt;&gt;""),AND(GK6&gt;=GS$15,GK6&lt;&gt;""),AND(GO6&gt;=GS$15,GO6&lt;&gt;""),AND(GR6&gt;=GS$15,GR6&lt;&gt;""),AND(HP6&gt;=IA$15,HP6&lt;&gt;""),AND(HS6&gt;=IA$15,HS6&lt;&gt;""),AND(HW6&gt;=IA$15,HW6&lt;&gt;""),AND(HZ6&gt;=IA$15,HZ6&lt;&gt;""),AND(IX6&gt;=JI$15,IX6&lt;&gt;""),AND(JA6&gt;=JI$15,JA6&lt;&gt;""),AND(JE6&gt;=JI$15,JE6&lt;&gt;""),AND(JH6&gt;=JI$15,JH6&lt;&gt;""),AND(KF6&gt;=KQ$15,KF6&lt;&gt;""),AND(KI6&gt;=KQ$15,KI6&lt;&gt;""),AND(KM6&gt;=KQ$15,KM6&lt;&gt;""),AND(KP6&gt;=KQ$15,KP6&lt;&gt;""),AND(LN6&gt;=LY$15,LN6&lt;&gt;""),AND(LQ6&gt;=LY$15,LQ6&lt;&gt;""),AND(LU6&gt;=LY$15,LU6&lt;&gt;""),AND(LX6&gt;=LY$15,LX6&lt;&gt;""),AND(MV6&gt;=NG$15,MV6&lt;&gt;""),AND(MY6&gt;=NG$15,MY6&lt;&gt;""),AND(NC6&gt;=NG$15,NC6&lt;&gt;""),AND(NF6&gt;=NG$15,NF6&lt;&gt;""),AND(OD6&gt;=OO$15,OD6&lt;&gt;""),AND(OG6&gt;=OO$15,OG6&lt;&gt;""),AND(OK6&gt;=OO$15,OK6&lt;&gt;""),AND(ON6&gt;=OO$15,ON6&lt;&gt;""),AND(PL6&gt;=PW$15,PL6&lt;&gt;""),AND(PO6&gt;=PW$15,PO6&lt;&gt;""),AND(PS6&gt;=PW$15,PS6&lt;&gt;""),AND(PV6&gt;=PW$15,PV6&lt;&gt;""),AND(QT6&gt;=RE$15,QT6&lt;&gt;""),AND(QW6&gt;=RE$15,QW6&lt;&gt;""),AND(RA6&gt;=RE$15,RA6&lt;&gt;""),AND(RD6&gt;=RE$15,RD6&lt;&gt;""),AND(SB6&gt;=SM$15,SB6&lt;&gt;""),AND(SE6&gt;=SM$15,SE6&lt;&gt;""),AND(SI6&gt;=SM$15,SI6&lt;&gt;""),AND(SL6&gt;=SM$15,SL6&lt;&gt;""),AND(TJ6&gt;=TU$15,TJ6&lt;&gt;""),AND(TM6&gt;=TU$15,TM6&lt;&gt;""),AND(TQ6&gt;=TU$15,TQ6&lt;&gt;""),AND(TT6&gt;=TU$15,TT6&lt;&gt;""),AND(UR6&gt;=VC$15,UR6&lt;&gt;""),AND(UU6&gt;=VC$15,UU6&lt;&gt;""),AND(UY6&gt;=VC$15,UY6&lt;&gt;""),AND(VB6&gt;=VC$15,VB6&lt;&gt;""),AND(VZ6&gt;=WK$15,VZ6&lt;&gt;""),AND(WC6&gt;=WK$15,WC6&lt;&gt;""),AND(WG6&gt;=WK$15,WG6&lt;&gt;""),AND(WJ6&gt;=WK$15,WJ6&lt;&gt;"")),"P","")</f>
        <v/>
      </c>
      <c r="H6" s="36" t="str">
        <f>IF(AND(G6="P",F6=""),"No DD",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Merit",IF(OR(AND(AG6&gt;=AQ$13,AG6&lt;&gt;"",AI6&gt;=AQ$17,AI6&lt;&gt;"",AF6=""),AND(AJ6&gt;=AQ$13,AJ6&lt;&gt;"",AL6&gt;=AQ$17,AL6&lt;&gt;"",AF6=""),AND(AN6&gt;=AQ$13,AN6&lt;&gt;"",AP6&gt;=AQ$17,AP6&lt;&gt;"",AF6=""),AND(BH6&gt;=BR$13,BH6&lt;&gt;"",BJ6&gt;=BR$17,BJ6&lt;&gt;"",BG6=""),AND(BK6&gt;=BR$13,BK6&lt;&gt;"",BM6&gt;=BR$17,BM6&lt;&gt;"",BG6=""),AND(BO6&gt;=BR$13,BO6&lt;&gt;"",BQ6&gt;=BR$17,BQ6&lt;&gt;"",BG6=""),AND(CI6&gt;=CS$13,CI6&lt;&gt;"",CK6&gt;=CS$17,CK6&lt;&gt;"",CH6=""),AND(CL6&gt;=CS$13,CL6&lt;&gt;"",CN6&gt;=CS$17,CN6&lt;&gt;"",CH6=""),AND(CP6&gt;=CS$13,CP6&lt;&gt;"",CR6&gt;=CS$17,CR6&lt;&gt;"",CH6=""),AND(DP6&gt;=EC$13,DP6&lt;&gt;"",DR6&gt;=EC$17,DR6&lt;&gt;""),AND(DS6&gt;=EC$13,DS6&lt;&gt;"",DU6&gt;=EC$17,DU6&lt;&gt;""),AND(DW6&gt;=EC$13,DW6&lt;&gt;"",DY6&gt;=EC$17,DY6&lt;&gt;""),AND(DZ6&gt;=EC$13,DZ6&lt;&gt;"",EB6&gt;=EC$17,EB6&lt;&gt;""),AND(EX6&gt;=FK$13,EX6&lt;&gt;"",EZ6&gt;=FK$17,EZ6&lt;&gt;""),AND(FA6&gt;=FK$13,FA6&lt;&gt;"",FC6&gt;=FK$17,FC6&lt;&gt;""),AND(FE6&gt;=FK$13,FE6&lt;&gt;"",FG6&gt;=FK$17,FG6&lt;&gt;""),AND(FH6&gt;=FK$13,FH6&lt;&gt;"",FJ6&gt;=FK$17,FJ6&lt;&gt;""),AND(GF6&gt;=GS$13,GF6&lt;&gt;"",GH6&gt;=GS$17,GH6&lt;&gt;""),AND(GI6&gt;=GS$13,GI6&lt;&gt;"",GK6&gt;=GS$17,GK6&lt;&gt;""),AND(GM6&gt;=GS$13,GM6&lt;&gt;"",GO6&gt;=GS$17,GO6&lt;&gt;""),AND(GP6&gt;=GS$13,GP6&lt;&gt;"",GR6&gt;=GS$17,GR6&lt;&gt;""),AND(HN6&gt;=IA$13,HN6&lt;&gt;"",HP6&gt;=IA$17,HP6&lt;&gt;""),AND(HQ6&gt;=IA$13,HQ6&lt;&gt;"",HS6&gt;=IA$17,HS6&lt;&gt;""),AND(HU6&gt;=IA$13,HU6&lt;&gt;"",HW6&gt;=IA$17,HW6&lt;&gt;""),AND(HX6&gt;=IA$13,HX6&lt;&gt;"",HZ6&gt;=IA$17,HZ6&lt;&gt;""),AND(IV6&gt;=JI$13,IV6&lt;&gt;"",IX6&gt;=JI$17,IX6&lt;&gt;""),AND(IY6&gt;=JI$13,IY6&lt;&gt;"",JA6&gt;=JI$17,JA6&lt;&gt;""),AND(JC6&gt;=JI$13,JC6&lt;&gt;"",JE6&gt;=JI$17,JE6&lt;&gt;""),AND(JF6&gt;=JI$13,JF6&lt;&gt;"",JH6&gt;=JI$17,JH6&lt;&gt;""),AND(KD6&gt;=KQ$13,KD6&lt;&gt;"",KF6&gt;=KQ$17,KF6&lt;&gt;""),AND(KG6&gt;=KQ$13,KG6&lt;&gt;"",KI6&gt;=KQ$17,KI6&lt;&gt;""),AND(KK6&gt;=KQ$13,KK6&lt;&gt;"",KM6&gt;=KQ$17,KM6&lt;&gt;""),AND(KN6&gt;=KQ$13,KN6&lt;&gt;"",KP6&gt;=KQ$17,KP6&lt;&gt;""),AND(LL6&gt;=LY$13,LL6&lt;&gt;"",LN6&gt;=LY$17,LN6&lt;&gt;""),AND(LO6&gt;=LY$13,LO6&lt;&gt;"",LQ6&gt;=LY$17,LQ6&lt;&gt;""),AND(LS6&gt;=LY$13,LS6&lt;&gt;"",LU6&gt;=LY$17,LU6&lt;&gt;""),AND(LV6&gt;=LY$13,LV6&lt;&gt;"",LX6&gt;=LY$17,LX6&lt;&gt;""),AND(MT6&gt;=NG$13,MT6&lt;&gt;"",MV6&gt;=NG$17,MV6&lt;&gt;""),AND(MW6&gt;=NG$13,MW6&lt;&gt;"",MY6&gt;=NG$17,MY6&lt;&gt;""),AND(NA6&gt;=NG$13,NA6&lt;&gt;"",NC6&gt;=NG$17,NC6&lt;&gt;""),AND(ND6&gt;=NG$13,ND6&lt;&gt;"",NF6&gt;=NG$17,NF6&lt;&gt;""),AND(OB6&gt;=OO$13,OB6&lt;&gt;"",OD6&gt;=OO$17,OD6&lt;&gt;""),AND(OE6&gt;=OO$13,OE6&lt;&gt;"",OG6&gt;=OO$17,OG6&lt;&gt;""),AND(OI6&gt;=OO$13,OI6&lt;&gt;"",OK6&gt;=OO$17,OK6&lt;&gt;""),AND(OL6&gt;=OO$13,OL6&lt;&gt;"",ON6&gt;=OO$17,ON6&lt;&gt;""),AND(PJ6&gt;=PW$13,PJ6&lt;&gt;"",PL6&gt;=PW$17,PL6&lt;&gt;""),AND(PM6&gt;=PW$13,PM6&lt;&gt;"",PO6&gt;=PW$17,PO6&lt;&gt;""),AND(PQ6&gt;=PW$13,PQ6&lt;&gt;"",PS6&gt;=PW$17,PS6&lt;&gt;""),AND(PT6&gt;=PW$13,PT6&lt;&gt;"",PV6&gt;=PW$17,PV6&lt;&gt;""),AND(QR6&gt;=RE$13,QR6&lt;&gt;"",QT6&gt;=RE$17,QT6&lt;&gt;""),AND(QU6&gt;=RE$13,QU6&lt;&gt;"",QW6&gt;=RE$17,QW6&lt;&gt;""),AND(QY6&gt;=RE$13,QY6&lt;&gt;"",RA6&gt;=RE$17,RA6&lt;&gt;""),AND(RB6&gt;=RE$13,RB6&lt;&gt;"",RD6&gt;=RE$17,RD6&lt;&gt;""),AND(RZ6&gt;=SM$13,RZ6&lt;&gt;"",SB6&gt;=SM$17,SB6&lt;&gt;""),AND(SC6&gt;=SM$13,SC6&lt;&gt;"",SE6&gt;=SM$17,SE6&lt;&gt;""),AND(SG6&gt;=SM$13,SG6&lt;&gt;"",SI6&gt;=SM$17,SI6&lt;&gt;""),AND(SJ6&gt;=SM$13,SJ6&lt;&gt;"",SL6&gt;=SM$17,SL6&lt;&gt;""),AND(TH6&gt;=TU$13,TH6&lt;&gt;"",TJ6&gt;=TU$17,TJ6&lt;&gt;""),AND(TK6&gt;=TU$13,TK6&lt;&gt;"",TM6&gt;=TU$17,TM6&lt;&gt;""),AND(TO6&gt;=TU$13,TO6&lt;&gt;"",TQ6&gt;=TU$17,TQ6&lt;&gt;""),AND(TR6&gt;=TU$13,TR6&lt;&gt;"",TT6&gt;=TU$17,TT6&lt;&gt;""),AND(UP6&gt;=VC$13,UP6&lt;&gt;"",UR6&gt;=VC$17,UR6&lt;&gt;""),AND(US6&gt;=VC$13,US6&lt;&gt;"",UU6&gt;=VC$17,UU6&lt;&gt;""),AND(UW6&gt;=VC$13,UW6&lt;&gt;"",UY6&gt;=VC$17,UY6&lt;&gt;""),AND(UZ6&gt;=VC$13,UZ6&lt;&gt;"",VB6&gt;=VC$17,VB6&lt;&gt;""),AND(VX6&gt;=WK$13,VX6&lt;&gt;"",VZ6&gt;=WK$17,VZ6&lt;&gt;""),AND(WA6&gt;=WK$13,WA6&lt;&gt;"",WC6&gt;=WK$17,WC6&lt;&gt;""),AND(WE6&gt;=WK$13,WE6&lt;&gt;"",WG6&gt;=WK$17,WG6&lt;&gt;""),AND(WH6&gt;=WK$13,WH6&lt;&gt;"",WJ6&gt;=WK$17,WJ6&lt;&gt;"")),"Excellence",IF(I6="P","Worlds Team",IF(F6="P","National Team","")))))</f>
        <v/>
      </c>
      <c r="I6" s="3" t="str">
        <f>IF(OR(AND(AG6&gt;=AQ$12,AG6&lt;&gt;"",AI6&gt;=AQ$16,AI6&lt;&gt;"",AF6=""),AND(AJ6&gt;=AQ$12,AJ6&lt;&gt;"",AL6&gt;=AQ$16,AL6&lt;&gt;"",AF6=""),AND(AN6&gt;=AQ$12,AN6&lt;&gt;"",AP6&gt;=AQ$16,AP6&lt;&gt;"",AF6=""),AND(BH6&gt;=BR$12,BH6&lt;&gt;"",BJ6&gt;=BR$16,BJ6&lt;&gt;"",BG6=""),AND(BK6&gt;=BR$12,BK6&lt;&gt;"",BM6&gt;=BR$16,BM6&lt;&gt;"",BG6=""),AND(BO6&gt;=BR$12,BO6&lt;&gt;"",BQ6&gt;=BR$16,BQ6&lt;&gt;"",BG6=""),AND(CI6&gt;=CS$12,CI6&lt;&gt;"",CK6&gt;=CS$16,CK6&lt;&gt;"",CH6=""),AND(CL6&gt;=CS$12,CL6&lt;&gt;"",CN6&gt;=CS$16,CN6&lt;&gt;"",CH6=""),AND(CP6&gt;=CS$12,CP6&lt;&gt;"",CR6&gt;=CS$16,CR6&lt;&gt;"",CH6=""),AND(DP6&gt;=EC$12,DP6&lt;&gt;"",DR6&gt;=EC$16,DR6&lt;&gt;""),AND(DS6&gt;=EC$12,DS6&lt;&gt;"",DU6&gt;=EC$16,DU6&lt;&gt;""),AND(DW6&gt;=EC$12,DW6&lt;&gt;"",DY6&gt;=EC$16,DY6&lt;&gt;""),AND(DZ6&gt;=EC$12,DZ6&lt;&gt;"",EB6&gt;=EC$16,EB6&lt;&gt;""),AND(EX6&gt;=FK$12,EX6&lt;&gt;"",EZ6&gt;=FK$16,EZ6&lt;&gt;""),AND(FA6&gt;=FK$12,FA6&lt;&gt;"",FC6&gt;=FK$16,FC6&lt;&gt;""),AND(FE6&gt;=FK$12,FE6&lt;&gt;"",FG6&gt;=FK$16,FG6&lt;&gt;""),AND(FH6&gt;=FK$12,FH6&lt;&gt;"",FJ6&gt;=FK$16,FJ6&lt;&gt;""),AND(GF6&gt;=GS$12,GF6&lt;&gt;"",GH6&gt;=GS$16,GH6&lt;&gt;""),AND(GI6&gt;=GS$12,GI6&lt;&gt;"",GK6&gt;=GS$16,GK6&lt;&gt;""),AND(GM6&gt;=GS$12,GM6&lt;&gt;"",GO6&gt;=GS$16,GO6&lt;&gt;""),AND(GP6&gt;=GS$12,GP6&lt;&gt;"",GR6&gt;=GS$16,GR6&lt;&gt;""),AND(HN6&gt;=IA$12,HN6&lt;&gt;"",HP6&gt;=IA$16,HP6&lt;&gt;""),AND(HQ6&gt;=IA$12,HQ6&lt;&gt;"",HS6&gt;=IA$16,HS6&lt;&gt;""),AND(HU6&gt;=IA$12,HU6&lt;&gt;"",HW6&gt;=IA$16,HW6&lt;&gt;""),AND(HX6&gt;=IA$12,HX6&lt;&gt;"",HZ6&gt;=IA$16,HZ6&lt;&gt;""),AND(IV6&gt;=JI$12,IV6&lt;&gt;"",IX6&gt;=JI$16,IX6&lt;&gt;""),AND(IY6&gt;=JI$12,IY6&lt;&gt;"",JA6&gt;=JI$16,JA6&lt;&gt;""),AND(JC6&gt;=JI$12,JC6&lt;&gt;"",JE6&gt;=JI$16,JE6&lt;&gt;""),AND(JF6&gt;=JI$12,JF6&lt;&gt;"",JH6&gt;=JI$16,JH6&lt;&gt;""),AND(KD6&gt;=KQ$12,KD6&lt;&gt;"",KF6&gt;=KQ$16,KF6&lt;&gt;""),AND(KG6&gt;=KQ$12,KG6&lt;&gt;"",KI6&gt;=KQ$16,KI6&lt;&gt;""),AND(KK6&gt;=KQ$12,KK6&lt;&gt;"",KM6&gt;=KQ$16,KM6&lt;&gt;""),AND(KN6&gt;=KQ$12,KN6&lt;&gt;"",KP6&gt;=KQ$16,KP6&lt;&gt;""),AND(LL6&gt;=LY$12,LL6&lt;&gt;"",LN6&gt;=LY$16,LN6&lt;&gt;""),AND(LO6&gt;=LY$12,LO6&lt;&gt;"",LQ6&gt;=LY$16,LQ6&lt;&gt;""),AND(LS6&gt;=LY$12,LS6&lt;&gt;"",LU6&gt;=LY$16,LU6&lt;&gt;""),AND(LV6&gt;=LY$12,LV6&lt;&gt;"",LX6&gt;=LY$16,LX6&lt;&gt;""),AND(MT6&gt;=NG$12,MT6&lt;&gt;"",MV6&gt;=NG$16,MV6&lt;&gt;""),AND(MW6&gt;=NG$12,MW6&lt;&gt;"",MY6&gt;=NG$16,MY6&lt;&gt;""),AND(NA6&gt;=NG$12,NA6&lt;&gt;"",NC6&gt;=NG$16,NC6&lt;&gt;""),AND(ND6&gt;=NG$12,ND6&lt;&gt;"",NF6&gt;=NG$16,NF6&lt;&gt;""),AND(OB6&gt;=OO$12,OB6&lt;&gt;"",OD6&gt;=OO$16,OD6&lt;&gt;""),AND(OE6&gt;=OO$12,OE6&lt;&gt;"",OG6&gt;=OO$16,OG6&lt;&gt;""),AND(OI6&gt;=OO$12,OI6&lt;&gt;"",OK6&gt;=OO$16,OK6&lt;&gt;""),AND(OL6&gt;=OO$12,OL6&lt;&gt;"",ON6&gt;=OO$16,ON6&lt;&gt;""),AND(PJ6&gt;=PW$12,PJ6&lt;&gt;"",PL6&gt;=PW$16,PL6&lt;&gt;""),AND(PM6&gt;=PW$12,PM6&lt;&gt;"",PO6&gt;=PW$16,PO6&lt;&gt;""),AND(PQ6&gt;=PW$12,PQ6&lt;&gt;"",PS6&gt;=PW$16,PS6&lt;&gt;""),AND(PT6&gt;=PW$12,PT6&lt;&gt;"",PV6&gt;=PW$16,PV6&lt;&gt;""),AND(QR6&gt;=RE$12,QR6&lt;&gt;"",QT6&gt;=RE$16,QT6&lt;&gt;""),AND(QU6&gt;=RE$12,QU6&lt;&gt;"",QW6&gt;=RE$16,QW6&lt;&gt;""),AND(QY6&gt;=RE$12,QY6&lt;&gt;"",RA6&gt;=RE$16,RA6&lt;&gt;""),AND(RB6&gt;=RE$12,RB6&lt;&gt;"",RD6&gt;=RE$16,RD6&lt;&gt;""),AND(RZ6&gt;=SM$12,RZ6&lt;&gt;"",SB6&gt;=SM$16,SB6&lt;&gt;""),AND(SC6&gt;=SM$12,SC6&lt;&gt;"",SE6&gt;=SM$16,SE6&lt;&gt;""),AND(SG6&gt;=SM$12,SG6&lt;&gt;"",SI6&gt;=SM$16,SI6&lt;&gt;""),AND(SJ6&gt;=SM$12,SJ6&lt;&gt;"",SL6&gt;=SM$16,SL6&lt;&gt;""),AND(TH6&gt;=TU$12,TH6&lt;&gt;"",TJ6&gt;=TU$16,TJ6&lt;&gt;""),AND(TK6&gt;=TU$12,TK6&lt;&gt;"",TM6&gt;=TU$16,TM6&lt;&gt;""),AND(TO6&gt;=TU$12,TO6&lt;&gt;"",TQ6&gt;=TU$16,TQ6&lt;&gt;""),AND(TR6&gt;=TU$12,TR6&lt;&gt;"",TT6&gt;=TU$16,TT6&lt;&gt;""),AND(UP6&gt;=VC$12,UP6&lt;&gt;"",UR6&gt;=VC$16,UR6&lt;&gt;""),AND(US6&gt;=VC$12,US6&lt;&gt;"",UU6&gt;=VC$16,UU6&lt;&gt;""),AND(UW6&gt;=VC$12,UW6&lt;&gt;"",UY6&gt;=VC$16,UY6&lt;&gt;""),AND(UZ6&gt;=VC$12,UZ6&lt;&gt;"",VB6&gt;=VC$16,VB6&lt;&gt;""),AND(VX6&gt;=WK$12,VX6&lt;&gt;"",VZ6&gt;=WK$16,VZ6&lt;&gt;""),AND(WA6&gt;=WK$12,WA6&lt;&gt;"",WC6&gt;=WK$16,WC6&lt;&gt;""),AND(WE6&gt;=WK$12,WE6&lt;&gt;"",WG6&gt;=WK$16,WG6&lt;&gt;""),AND(WH6&gt;=WK$12,WH6&lt;&gt;"",WJ6&gt;=WK$16,WJ6&lt;&gt;"")),"P","")</f>
        <v/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 t="shared" si="0"/>
        <v/>
      </c>
      <c r="AH6" s="38" t="str">
        <f t="shared" si="0"/>
        <v/>
      </c>
      <c r="AI6" s="40" t="str">
        <f>IF(SUM(Q6:T6)-U6&gt;0,SUM(Q6:T6)-U6,"")</f>
        <v/>
      </c>
      <c r="AJ6" s="40" t="str">
        <f t="shared" si="1"/>
        <v/>
      </c>
      <c r="AK6" s="40" t="str">
        <f t="shared" si="1"/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 t="shared" si="2"/>
        <v/>
      </c>
      <c r="AO6" s="40" t="str">
        <f t="shared" si="2"/>
        <v/>
      </c>
      <c r="AP6" s="40" t="str">
        <f>IF(SUM(AA6:AD6)-AE6&gt;0,SUM(AA6:AD6)-AE6,"")</f>
        <v/>
      </c>
      <c r="AQ6" s="40" t="str">
        <f>IF(SUM(AM6,AP6)&gt;0,SUM(AM6,AP6),"")</f>
        <v/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 t="shared" si="3"/>
        <v/>
      </c>
      <c r="BI6" s="39" t="str">
        <f t="shared" si="3"/>
        <v/>
      </c>
      <c r="BJ6" s="11" t="str">
        <f>IF(SUM(AR6:AU6)-AV6&gt;0,SUM(AR6:AU6)-AV6,"")</f>
        <v/>
      </c>
      <c r="BK6" s="11" t="str">
        <f t="shared" si="4"/>
        <v/>
      </c>
      <c r="BL6" s="11" t="str">
        <f t="shared" si="4"/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 t="shared" si="5"/>
        <v/>
      </c>
      <c r="BP6" s="11" t="str">
        <f t="shared" si="5"/>
        <v/>
      </c>
      <c r="BQ6" s="11" t="str">
        <f>IF(SUM(BB6:BE6)-BF6&gt;0,SUM(BB6:BE6)-BF6,"")</f>
        <v/>
      </c>
      <c r="BR6" s="11" t="str">
        <f>IF(SUM(BN6,BQ6)&gt;0,SUM(BN6,BQ6),"")</f>
        <v/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 t="shared" si="6"/>
        <v/>
      </c>
      <c r="CJ6" s="38" t="str">
        <f t="shared" si="6"/>
        <v/>
      </c>
      <c r="CK6" s="40" t="str">
        <f>IF(SUM(BS6:BV6)-BW6&gt;0,SUM(BS6:BV6)-BW6,"")</f>
        <v/>
      </c>
      <c r="CL6" s="40" t="str">
        <f t="shared" si="7"/>
        <v/>
      </c>
      <c r="CM6" s="40" t="str">
        <f t="shared" si="7"/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 t="shared" si="8"/>
        <v/>
      </c>
      <c r="CQ6" s="40" t="str">
        <f t="shared" si="8"/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 t="shared" si="9"/>
        <v/>
      </c>
      <c r="DQ6" s="40" t="str">
        <f t="shared" si="9"/>
        <v/>
      </c>
      <c r="DR6" s="40" t="str">
        <f>IF(SUM(CV6:CY6)-CZ6&gt;0,SUM(CV6:CY6)-CZ6,"")</f>
        <v/>
      </c>
      <c r="DS6" s="40" t="str">
        <f t="shared" si="10"/>
        <v/>
      </c>
      <c r="DT6" s="40" t="str">
        <f t="shared" si="10"/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 t="shared" si="11"/>
        <v/>
      </c>
      <c r="DX6" s="40" t="str">
        <f t="shared" si="11"/>
        <v/>
      </c>
      <c r="DY6" s="40" t="str">
        <f>IF(SUM(DF6:DI6)-DJ6&gt;0,SUM(DF6:DI6)-DJ6,"")</f>
        <v/>
      </c>
      <c r="DZ6" s="40" t="str">
        <f t="shared" si="12"/>
        <v/>
      </c>
      <c r="EA6" s="40" t="str">
        <f t="shared" si="12"/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13"/>
        <v/>
      </c>
      <c r="EY6" s="11" t="str">
        <f t="shared" si="13"/>
        <v/>
      </c>
      <c r="EZ6" s="11" t="str">
        <f>IF(SUM(ED6:EG6)-EH6&gt;0,SUM(ED6:EG6)-EH6,"")</f>
        <v/>
      </c>
      <c r="FA6" s="11" t="str">
        <f t="shared" si="14"/>
        <v/>
      </c>
      <c r="FB6" s="11" t="str">
        <f t="shared" si="14"/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 t="shared" si="15"/>
        <v/>
      </c>
      <c r="FF6" s="11" t="str">
        <f t="shared" si="15"/>
        <v/>
      </c>
      <c r="FG6" s="11" t="str">
        <f>IF(SUM(EN6:EQ6)-ER6&gt;0,SUM(EN6:EQ6)-ER6,"")</f>
        <v/>
      </c>
      <c r="FH6" s="11" t="str">
        <f t="shared" si="16"/>
        <v/>
      </c>
      <c r="FI6" s="11" t="str">
        <f t="shared" si="16"/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 t="shared" si="17"/>
        <v/>
      </c>
      <c r="GG6" s="40" t="str">
        <f t="shared" si="17"/>
        <v/>
      </c>
      <c r="GH6" s="40" t="str">
        <f>IF(SUM(FL6:FO6)-FP6&gt;0,SUM(FL6:FO6)-FP6,"")</f>
        <v/>
      </c>
      <c r="GI6" s="40" t="str">
        <f t="shared" si="18"/>
        <v/>
      </c>
      <c r="GJ6" s="40" t="str">
        <f t="shared" si="18"/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 t="shared" si="19"/>
        <v/>
      </c>
      <c r="GN6" s="40" t="str">
        <f t="shared" si="19"/>
        <v/>
      </c>
      <c r="GO6" s="40" t="str">
        <f>IF(SUM(FV6:FY6)-FZ6&gt;0,SUM(FV6:FY6)-FZ6,"")</f>
        <v/>
      </c>
      <c r="GP6" s="40" t="str">
        <f t="shared" si="20"/>
        <v/>
      </c>
      <c r="GQ6" s="40" t="str">
        <f t="shared" si="20"/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21"/>
        <v/>
      </c>
      <c r="HO6" s="11" t="str">
        <f t="shared" si="21"/>
        <v/>
      </c>
      <c r="HP6" s="11" t="str">
        <f>IF(SUM(GT6:GW6)-GX6&gt;0,SUM(GT6:GW6)-GX6,"")</f>
        <v/>
      </c>
      <c r="HQ6" s="11" t="str">
        <f t="shared" si="22"/>
        <v/>
      </c>
      <c r="HR6" s="11" t="str">
        <f t="shared" si="22"/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 t="shared" si="23"/>
        <v/>
      </c>
      <c r="HV6" s="11" t="str">
        <f t="shared" si="23"/>
        <v/>
      </c>
      <c r="HW6" s="11" t="str">
        <f>IF(SUM(HD6:HG6)-HH6&gt;0,SUM(HD6:HG6)-HH6,"")</f>
        <v/>
      </c>
      <c r="HX6" s="11" t="str">
        <f t="shared" si="24"/>
        <v/>
      </c>
      <c r="HY6" s="11" t="str">
        <f t="shared" si="24"/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 t="shared" si="25"/>
        <v/>
      </c>
      <c r="IW6" s="40" t="str">
        <f t="shared" si="25"/>
        <v/>
      </c>
      <c r="IX6" s="40" t="str">
        <f>IF(SUM(IB6:IE6)-IF6&gt;0,SUM(IB6:IE6)-IF6,"")</f>
        <v/>
      </c>
      <c r="IY6" s="40" t="str">
        <f t="shared" si="26"/>
        <v/>
      </c>
      <c r="IZ6" s="40" t="str">
        <f t="shared" si="26"/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 t="shared" si="27"/>
        <v/>
      </c>
      <c r="JD6" s="40" t="str">
        <f t="shared" si="27"/>
        <v/>
      </c>
      <c r="JE6" s="40" t="str">
        <f>IF(SUM(IL6:IO6)-IP6&gt;0,SUM(IL6:IO6)-IP6,"")</f>
        <v/>
      </c>
      <c r="JF6" s="40" t="str">
        <f t="shared" si="28"/>
        <v/>
      </c>
      <c r="JG6" s="40" t="str">
        <f t="shared" si="28"/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29"/>
        <v/>
      </c>
      <c r="KE6" s="11" t="str">
        <f t="shared" si="29"/>
        <v/>
      </c>
      <c r="KF6" s="11" t="str">
        <f>IF(SUM(JJ6:JM6)-JN6&gt;0,SUM(JJ6:JM6)-JN6,"")</f>
        <v/>
      </c>
      <c r="KG6" s="11" t="str">
        <f t="shared" si="30"/>
        <v/>
      </c>
      <c r="KH6" s="11" t="str">
        <f t="shared" si="30"/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 t="shared" si="31"/>
        <v/>
      </c>
      <c r="KL6" s="11" t="str">
        <f t="shared" si="31"/>
        <v/>
      </c>
      <c r="KM6" s="11" t="str">
        <f>IF(SUM(JT6:JW6)-JX6&gt;0,SUM(JT6:JW6)-JX6,"")</f>
        <v/>
      </c>
      <c r="KN6" s="11" t="str">
        <f t="shared" si="32"/>
        <v/>
      </c>
      <c r="KO6" s="11" t="str">
        <f t="shared" si="32"/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 t="shared" si="33"/>
        <v/>
      </c>
      <c r="LM6" s="40" t="str">
        <f t="shared" si="33"/>
        <v/>
      </c>
      <c r="LN6" s="40" t="str">
        <f>IF(SUM(KR6:KU6)-KV6&gt;0,SUM(KR6:KU6)-KV6,"")</f>
        <v/>
      </c>
      <c r="LO6" s="40" t="str">
        <f t="shared" si="34"/>
        <v/>
      </c>
      <c r="LP6" s="40" t="str">
        <f t="shared" si="34"/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 t="shared" si="35"/>
        <v/>
      </c>
      <c r="LT6" s="40" t="str">
        <f t="shared" si="35"/>
        <v/>
      </c>
      <c r="LU6" s="40" t="str">
        <f>IF(SUM(LB6:LE6)-LF6&gt;0,SUM(LB6:LE6)-LF6,"")</f>
        <v/>
      </c>
      <c r="LV6" s="40" t="str">
        <f t="shared" si="36"/>
        <v/>
      </c>
      <c r="LW6" s="40" t="str">
        <f t="shared" si="36"/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37"/>
        <v/>
      </c>
      <c r="MU6" s="11" t="str">
        <f t="shared" si="37"/>
        <v/>
      </c>
      <c r="MV6" s="11" t="str">
        <f>IF(SUM(LZ6:MC6)-MD6&gt;0,SUM(LZ6:MC6)-MD6,"")</f>
        <v/>
      </c>
      <c r="MW6" s="11" t="str">
        <f t="shared" si="38"/>
        <v/>
      </c>
      <c r="MX6" s="11" t="str">
        <f t="shared" si="38"/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 t="shared" si="39"/>
        <v/>
      </c>
      <c r="NB6" s="11" t="str">
        <f t="shared" si="39"/>
        <v/>
      </c>
      <c r="NC6" s="11" t="str">
        <f>IF(SUM(MJ6:MM6)-MN6&gt;0,SUM(MJ6:MM6)-MN6,"")</f>
        <v/>
      </c>
      <c r="ND6" s="11" t="str">
        <f t="shared" si="40"/>
        <v/>
      </c>
      <c r="NE6" s="11" t="str">
        <f t="shared" si="40"/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 t="shared" si="41"/>
        <v/>
      </c>
      <c r="OC6" s="40" t="str">
        <f t="shared" si="41"/>
        <v/>
      </c>
      <c r="OD6" s="40" t="str">
        <f>IF(SUM(NH6:NK6)-NL6&gt;0,SUM(NH6:NK6)-NL6,"")</f>
        <v/>
      </c>
      <c r="OE6" s="40" t="str">
        <f t="shared" si="42"/>
        <v/>
      </c>
      <c r="OF6" s="40" t="str">
        <f t="shared" si="42"/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 t="shared" si="43"/>
        <v/>
      </c>
      <c r="OJ6" s="40" t="str">
        <f t="shared" si="43"/>
        <v/>
      </c>
      <c r="OK6" s="40" t="str">
        <f>IF(SUM(NR6:NU6)-NV6&gt;0,SUM(NR6:NU6)-NV6,"")</f>
        <v/>
      </c>
      <c r="OL6" s="40" t="str">
        <f t="shared" si="44"/>
        <v/>
      </c>
      <c r="OM6" s="40" t="str">
        <f t="shared" si="44"/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45"/>
        <v/>
      </c>
      <c r="PK6" s="11" t="str">
        <f t="shared" si="45"/>
        <v/>
      </c>
      <c r="PL6" s="11" t="str">
        <f>IF(SUM(OP6:OS6)-OT6&gt;0,SUM(OP6:OS6)-OT6,"")</f>
        <v/>
      </c>
      <c r="PM6" s="11" t="str">
        <f t="shared" si="46"/>
        <v/>
      </c>
      <c r="PN6" s="11" t="str">
        <f t="shared" si="46"/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 t="shared" si="47"/>
        <v/>
      </c>
      <c r="PR6" s="11" t="str">
        <f t="shared" si="47"/>
        <v/>
      </c>
      <c r="PS6" s="11" t="str">
        <f>IF(SUM(OZ6:PC6)-PD6&gt;0,SUM(OZ6:PC6)-PD6,"")</f>
        <v/>
      </c>
      <c r="PT6" s="11" t="str">
        <f t="shared" si="48"/>
        <v/>
      </c>
      <c r="PU6" s="11" t="str">
        <f t="shared" si="48"/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 t="shared" si="49"/>
        <v/>
      </c>
      <c r="QS6" s="40" t="str">
        <f t="shared" si="49"/>
        <v/>
      </c>
      <c r="QT6" s="40" t="str">
        <f>IF(SUM(PX6:QA6)-QB6&gt;0,SUM(PX6:QA6)-QB6,"")</f>
        <v/>
      </c>
      <c r="QU6" s="40" t="str">
        <f t="shared" si="50"/>
        <v/>
      </c>
      <c r="QV6" s="40" t="str">
        <f t="shared" si="50"/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 t="shared" si="51"/>
        <v/>
      </c>
      <c r="QZ6" s="40" t="str">
        <f t="shared" si="51"/>
        <v/>
      </c>
      <c r="RA6" s="40" t="str">
        <f>IF(SUM(QH6:QK6)-QL6&gt;0,SUM(QH6:QK6)-QL6,"")</f>
        <v/>
      </c>
      <c r="RB6" s="40" t="str">
        <f t="shared" si="52"/>
        <v/>
      </c>
      <c r="RC6" s="40" t="str">
        <f t="shared" si="52"/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53"/>
        <v/>
      </c>
      <c r="SA6" s="11" t="str">
        <f t="shared" si="53"/>
        <v/>
      </c>
      <c r="SB6" s="11" t="str">
        <f>IF(SUM(RF6:RI6)-RJ6&gt;0,SUM(RF6:RI6)-RJ6,"")</f>
        <v/>
      </c>
      <c r="SC6" s="11" t="str">
        <f t="shared" si="54"/>
        <v/>
      </c>
      <c r="SD6" s="11" t="str">
        <f t="shared" si="54"/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 t="shared" si="55"/>
        <v/>
      </c>
      <c r="SH6" s="11" t="str">
        <f t="shared" si="55"/>
        <v/>
      </c>
      <c r="SI6" s="11" t="str">
        <f>IF(SUM(RP6:RS6)-RT6&gt;0,SUM(RP6:RS6)-RT6,"")</f>
        <v/>
      </c>
      <c r="SJ6" s="11" t="str">
        <f t="shared" si="56"/>
        <v/>
      </c>
      <c r="SK6" s="11" t="str">
        <f t="shared" si="56"/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 t="shared" si="57"/>
        <v/>
      </c>
      <c r="TI6" s="40" t="str">
        <f t="shared" si="57"/>
        <v/>
      </c>
      <c r="TJ6" s="40" t="str">
        <f>IF(SUM(SN6:SQ6)-SR6&gt;0,SUM(SN6:SQ6)-SR6,"")</f>
        <v/>
      </c>
      <c r="TK6" s="40" t="str">
        <f t="shared" si="58"/>
        <v/>
      </c>
      <c r="TL6" s="40" t="str">
        <f t="shared" si="58"/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 t="shared" si="59"/>
        <v/>
      </c>
      <c r="TP6" s="40" t="str">
        <f t="shared" si="59"/>
        <v/>
      </c>
      <c r="TQ6" s="40" t="str">
        <f>IF(SUM(SX6:TA6)-TB6&gt;0,SUM(SX6:TA6)-TB6,"")</f>
        <v/>
      </c>
      <c r="TR6" s="40" t="str">
        <f t="shared" si="60"/>
        <v/>
      </c>
      <c r="TS6" s="40" t="str">
        <f t="shared" si="60"/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 t="shared" si="61"/>
        <v/>
      </c>
      <c r="UQ6" s="11" t="str">
        <f t="shared" si="61"/>
        <v/>
      </c>
      <c r="UR6" s="11" t="str">
        <f>IF(SUM(TV6:TY6)-TZ6&gt;0,SUM(TV6:TY6)-TZ6,"")</f>
        <v/>
      </c>
      <c r="US6" s="11" t="str">
        <f t="shared" si="62"/>
        <v/>
      </c>
      <c r="UT6" s="11" t="str">
        <f t="shared" si="62"/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 t="shared" si="63"/>
        <v/>
      </c>
      <c r="UX6" s="11" t="str">
        <f t="shared" si="63"/>
        <v/>
      </c>
      <c r="UY6" s="11" t="str">
        <f>IF(SUM(UF6:UI6)-UJ6&gt;0,SUM(UF6:UI6)-UJ6,"")</f>
        <v/>
      </c>
      <c r="UZ6" s="11" t="str">
        <f t="shared" si="64"/>
        <v/>
      </c>
      <c r="VA6" s="11" t="str">
        <f t="shared" si="64"/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 t="shared" si="65"/>
        <v/>
      </c>
      <c r="VY6" s="40" t="str">
        <f t="shared" si="65"/>
        <v/>
      </c>
      <c r="VZ6" s="40" t="str">
        <f>IF(SUM(VD6:VG6)-VH6&gt;0,SUM(VD6:VG6)-VH6,"")</f>
        <v/>
      </c>
      <c r="WA6" s="40" t="str">
        <f t="shared" si="66"/>
        <v/>
      </c>
      <c r="WB6" s="40" t="str">
        <f t="shared" si="66"/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 t="shared" si="67"/>
        <v/>
      </c>
      <c r="WF6" s="40" t="str">
        <f t="shared" si="67"/>
        <v/>
      </c>
      <c r="WG6" s="40" t="str">
        <f>IF(SUM(VN6:VQ6)-VR6&gt;0,SUM(VN6:VQ6)-VR6,"")</f>
        <v/>
      </c>
      <c r="WH6" s="40" t="str">
        <f t="shared" si="68"/>
        <v/>
      </c>
      <c r="WI6" s="40" t="str">
        <f t="shared" si="68"/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 t="shared" si="69"/>
        <v>0</v>
      </c>
      <c r="WM6" s="26">
        <f t="shared" si="69"/>
        <v>0</v>
      </c>
      <c r="WN6" s="26">
        <f t="shared" si="69"/>
        <v>0</v>
      </c>
      <c r="WO6" s="26">
        <f t="shared" si="69"/>
        <v>0</v>
      </c>
      <c r="WP6" s="26">
        <f t="shared" si="69"/>
        <v>0</v>
      </c>
      <c r="WQ6" s="26">
        <f t="shared" si="69"/>
        <v>0</v>
      </c>
      <c r="WR6" s="26">
        <f t="shared" si="69"/>
        <v>0</v>
      </c>
      <c r="WS6" s="26">
        <f t="shared" si="69"/>
        <v>0</v>
      </c>
      <c r="WT6" s="26">
        <f t="shared" si="69"/>
        <v>0</v>
      </c>
      <c r="WU6" s="26">
        <f t="shared" si="69"/>
        <v>0</v>
      </c>
      <c r="WV6" s="26">
        <f t="shared" si="69"/>
        <v>0</v>
      </c>
      <c r="WW6" s="26">
        <f t="shared" si="69"/>
        <v>0</v>
      </c>
      <c r="WX6" s="26">
        <f t="shared" si="69"/>
        <v>0</v>
      </c>
      <c r="WY6" s="26">
        <f t="shared" si="69"/>
        <v>0</v>
      </c>
      <c r="WZ6" s="26">
        <f t="shared" si="69"/>
        <v>0</v>
      </c>
      <c r="XA6" s="28" t="s">
        <v>53</v>
      </c>
      <c r="XB6" s="11" t="str">
        <f t="shared" si="70"/>
        <v/>
      </c>
      <c r="XC6" s="11" t="str">
        <f t="shared" si="70"/>
        <v/>
      </c>
      <c r="XD6" s="11" t="str">
        <f>IF(SUM(WL6:WO6)-WP6&gt;0,SUM(WL6:WO6)-WP6,"")</f>
        <v/>
      </c>
      <c r="XE6" s="11" t="str">
        <f t="shared" si="71"/>
        <v/>
      </c>
      <c r="XF6" s="11" t="str">
        <f t="shared" si="71"/>
        <v/>
      </c>
      <c r="XG6" s="11" t="str">
        <f>IF(SUM(WQ6:WT6)-WU6&gt;0,SUM(WQ6:WT6)-WU6,"")</f>
        <v/>
      </c>
      <c r="XH6" s="11" t="str">
        <f>IF(MAX(XD6,XG6)&gt;0,MAX(XD6,XG6),"")</f>
        <v/>
      </c>
      <c r="XI6" s="11" t="str">
        <f t="shared" si="72"/>
        <v/>
      </c>
      <c r="XJ6" s="11" t="str">
        <f t="shared" si="72"/>
        <v/>
      </c>
      <c r="XK6" s="11" t="str">
        <f>IF(SUM(WV6:WY6)-WZ6&gt;0,SUM(WV6:WY6)-WZ6,"")</f>
        <v/>
      </c>
      <c r="XL6" s="11" t="str">
        <f>IF(SUM(XH6,XK6)&gt;0,SUM(XH6,XK6),"")</f>
        <v/>
      </c>
    </row>
    <row r="7" spans="1:636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269</v>
      </c>
      <c r="C7" s="4" t="s">
        <v>6</v>
      </c>
      <c r="D7" s="4" t="s">
        <v>235</v>
      </c>
      <c r="E7" s="9">
        <f>SUM(J7,L7,N7)</f>
        <v>0</v>
      </c>
      <c r="F7" s="3" t="str">
        <f>IF(OR(AND(AG7&gt;=AQ$11,AG7&lt;&gt;"",AI7&gt;=AQ$15,AI7&lt;&gt;"",AF7=""),AND(AJ7&gt;=AQ$11,AJ7&lt;&gt;"",AL7&gt;=AQ$15,AL7&lt;&gt;"",AF7=""),AND(AN7&gt;=AQ$11,AN7&lt;&gt;"",AP7&gt;=AQ$15,AP7&lt;&gt;"",AF7=""),AND(BH7&gt;=BR$11,BH7&lt;&gt;"",BJ7&gt;=BR$15,BJ7&lt;&gt;"",BG7=""),AND(BK7&gt;=BR$11,BK7&lt;&gt;"",BM7&gt;=BR$15,BM7&lt;&gt;"",BG7=""),AND(BO7&gt;=BR$11,BO7&lt;&gt;"",BQ7&gt;=BR$15,BQ7&lt;&gt;"",BG7=""),AND(CI7&gt;=CS$11,CI7&lt;&gt;"",CK7&gt;=CS$15,CK7&lt;&gt;"",CH7=""),AND(CL7&gt;=CS$11,CL7&lt;&gt;"",CN7&gt;=CS$15,CN7&lt;&gt;"",CH7=""),AND(CP7&gt;=CS$11,CP7&lt;&gt;"",CR7&gt;=CS$15,CR7&lt;&gt;"",CH7=""),AND(DP7&gt;=EC$11,DP7&lt;&gt;"",DR7&gt;=EC$15,DR7&lt;&gt;""),AND(DS7&gt;=EC$11,DS7&lt;&gt;"",DU7&gt;=EC$15,DU7&lt;&gt;""),AND(DW7&gt;=EC$11,DW7&lt;&gt;"",DY7&gt;=EC$15,DY7&lt;&gt;""),AND(DZ7&gt;=EC$11,DZ7&lt;&gt;"",EB7&gt;=EC$15,EB7&lt;&gt;""),AND(EX7&gt;=FK$11,EX7&lt;&gt;"",EZ7&gt;=FK$15,EZ7&lt;&gt;""),AND(FA7&gt;=FK$11,FA7&lt;&gt;"",FC7&gt;=FK$15,FC7&lt;&gt;""),AND(FE7&gt;=FK$11,FE7&lt;&gt;"",FG7&gt;=FK$15,FG7&lt;&gt;""),AND(FH7&gt;=FK$11,FH7&lt;&gt;"",FJ7&gt;=FK$15,FJ7&lt;&gt;""),AND(GF7&gt;=GS$11,GF7&lt;&gt;"",GH7&gt;=GS$15,GH7&lt;&gt;""),AND(GI7&gt;=GS$11,GI7&lt;&gt;"",GK7&gt;=GS$15,GK7&lt;&gt;""),AND(GM7&gt;=GS$11,GM7&lt;&gt;"",GO7&gt;=GS$15,GO7&lt;&gt;""),AND(GP7&gt;=GS$11,GP7&lt;&gt;"",GR7&gt;=GS$15,GR7&lt;&gt;""),AND(HN7&gt;=IA$11,HN7&lt;&gt;"",HP7&gt;=IA$15,HP7&lt;&gt;""),AND(HQ7&gt;=IA$11,HQ7&lt;&gt;"",HS7&gt;=IA$15,HS7&lt;&gt;""),AND(HU7&gt;=IA$11,HU7&lt;&gt;"",HW7&gt;=IA$15,HW7&lt;&gt;""),AND(HX7&gt;=IA$11,HX7&lt;&gt;"",HZ7&gt;=IA$15,HZ7&lt;&gt;""),AND(IV7&gt;=JI$11,IV7&lt;&gt;"",IX7&gt;=JI$15,IX7&lt;&gt;""),AND(IY7&gt;=JI$11,IY7&lt;&gt;"",JA7&gt;=JI$15,JA7&lt;&gt;""),AND(JC7&gt;=JI$11,JC7&lt;&gt;"",JE7&gt;=JI$15,JE7&lt;&gt;""),AND(JF7&gt;=JI$11,JF7&lt;&gt;"",JH7&gt;=JI$15,JH7&lt;&gt;""),AND(KD7&gt;=KQ$11,KD7&lt;&gt;"",KF7&gt;=KQ$15,KF7&lt;&gt;""),AND(KG7&gt;=KQ$11,KG7&lt;&gt;"",KI7&gt;=KQ$15,KI7&lt;&gt;""),AND(KK7&gt;=KQ$11,KK7&lt;&gt;"",KM7&gt;=KQ$15,KM7&lt;&gt;""),AND(KN7&gt;=KQ$11,KN7&lt;&gt;"",KP7&gt;=KQ$15,KP7&lt;&gt;""),AND(LL7&gt;=LY$11,LL7&lt;&gt;"",LN7&gt;=LY$15,LN7&lt;&gt;""),AND(LO7&gt;=LY$11,LO7&lt;&gt;"",LQ7&gt;=LY$15,LQ7&lt;&gt;""),AND(LS7&gt;=LY$11,LS7&lt;&gt;"",LU7&gt;=LY$15,LU7&lt;&gt;""),AND(LV7&gt;=LY$11,LV7&lt;&gt;"",LX7&gt;=LY$15,LX7&lt;&gt;""),AND(MT7&gt;=NG$11,MT7&lt;&gt;"",MV7&gt;=NG$15,MV7&lt;&gt;""),AND(MW7&gt;=NG$11,MW7&lt;&gt;"",MY7&gt;=NG$15,MY7&lt;&gt;""),AND(NA7&gt;=NG$11,NA7&lt;&gt;"",NC7&gt;=NG$15,NC7&lt;&gt;""),AND(ND7&gt;=NG$11,ND7&lt;&gt;"",NF7&gt;=NG$15,NF7&lt;&gt;""),AND(OB7&gt;=OO$11,OB7&lt;&gt;"",OD7&gt;=OO$15,OD7&lt;&gt;""),AND(OE7&gt;=OO$11,OE7&lt;&gt;"",OG7&gt;=OO$15,OG7&lt;&gt;""),AND(OI7&gt;=OO$11,OI7&lt;&gt;"",OK7&gt;=OO$15,OK7&lt;&gt;""),AND(OL7&gt;=OO$11,OL7&lt;&gt;"",ON7&gt;=OO$15,ON7&lt;&gt;""),AND(PJ7&gt;=PW$11,PJ7&lt;&gt;"",PL7&gt;=PW$15,PL7&lt;&gt;""),AND(PM7&gt;=PW$11,PM7&lt;&gt;"",PO7&gt;=PW$15,PO7&lt;&gt;""),AND(PQ7&gt;=PW$11,PQ7&lt;&gt;"",PS7&gt;=PW$15,PS7&lt;&gt;""),AND(PT7&gt;=PW$11,PT7&lt;&gt;"",PV7&gt;=PW$15,PV7&lt;&gt;""),AND(QR7&gt;=RE$11,QR7&lt;&gt;"",QT7&gt;=RE$15,QT7&lt;&gt;""),AND(QU7&gt;=RE$11,QU7&lt;&gt;"",QW7&gt;=RE$15,QW7&lt;&gt;""),AND(QY7&gt;=RE$11,QY7&lt;&gt;"",RA7&gt;=RE$15,RA7&lt;&gt;""),AND(RB7&gt;=RE$11,RB7&lt;&gt;"",RD7&gt;=RE$15,RD7&lt;&gt;""),AND(RZ7&gt;=SM$11,RZ7&lt;&gt;"",SB7&gt;=SM$15,SB7&lt;&gt;""),AND(SC7&gt;=SM$11,SC7&lt;&gt;"",SE7&gt;=SM$15,SE7&lt;&gt;""),AND(SG7&gt;=SM$11,SG7&lt;&gt;"",SI7&gt;=SM$15,SI7&lt;&gt;""),AND(SJ7&gt;=SM$11,SJ7&lt;&gt;"",SL7&gt;=SM$15,SL7&lt;&gt;""),AND(TH7&gt;=TU$11,TH7&lt;&gt;"",TJ7&gt;=TU$15,TJ7&lt;&gt;""),AND(TK7&gt;=TU$11,TK7&lt;&gt;"",TM7&gt;=TU$15,TM7&lt;&gt;""),AND(TO7&gt;=TU$11,TO7&lt;&gt;"",TQ7&gt;=TU$15,TQ7&lt;&gt;""),AND(TR7&gt;=TU$11,TR7&lt;&gt;"",TT7&gt;=TU$15,TT7&lt;&gt;""),AND(UP7&gt;=VC$11,UP7&lt;&gt;"",UR7&gt;=VC$15,UR7&lt;&gt;""),AND(US7&gt;=VC$11,US7&lt;&gt;"",UU7&gt;=VC$15,UU7&lt;&gt;""),AND(UW7&gt;=VC$11,UW7&lt;&gt;"",UY7&gt;=VC$15,UY7&lt;&gt;""),AND(UZ7&gt;=VC$11,UZ7&lt;&gt;"",VB7&gt;=VC$15,VB7&lt;&gt;""),AND(VX7&gt;=WK$11,VX7&lt;&gt;"",VZ7&gt;=WK$15,VZ7&lt;&gt;""),AND(WA7&gt;=WK$11,WA7&lt;&gt;"",WC7&gt;=WK$15,WC7&lt;&gt;""),AND(WE7&gt;=WK$11,WE7&lt;&gt;"",WG7&gt;=WK$15,WG7&lt;&gt;""),AND(WH7&gt;=WK$11,WH7&lt;&gt;"",WJ7&gt;=WK$15,WJ7&lt;&gt;"")),"P","")</f>
        <v/>
      </c>
      <c r="G7" s="3" t="str">
        <f>IF(OR(AND(AI7&gt;=AQ$15,AI7&lt;&gt;"",AF7=""),AND(AL7&gt;=AQ$15,AL7&lt;&gt;"",AF7=""),AND(AP7&gt;=AQ$15,AP7&lt;&gt;"",AF7=""),AND(BJ7&gt;=BR$15,BJ7&lt;&gt;"",BG7=""),AND(BM7&gt;=BR$15,BM7&lt;&gt;"",BG7=""),AND(BQ7&gt;=BR$15,BQ7&lt;&gt;"",BG7=""),AND(CK7&gt;=CS$15,CK7&lt;&gt;"",CH7=""),AND(CN7&gt;=CS$15,CN7&lt;&gt;"",CH7=""),AND(CR7&gt;=CS$15,CR7&lt;&gt;"",CH7=""),AND(DR7&gt;=EC$15,DR7&lt;&gt;""),AND(DU7&gt;=EC$15,DU7&lt;&gt;""),AND(DY7&gt;=EC$15,DY7&lt;&gt;""),AND(EB7&gt;=EC$15,EB7&lt;&gt;""),AND(EZ7&gt;=FK$15,EZ7&lt;&gt;""),AND(FC7&gt;=FK$15,FC7&lt;&gt;""),AND(FG7&gt;=FK$15,FG7&lt;&gt;""),AND(FJ7&gt;=FK$15,FJ7&lt;&gt;""),AND(GH7&gt;=GS$15,GH7&lt;&gt;""),AND(GK7&gt;=GS$15,GK7&lt;&gt;""),AND(GO7&gt;=GS$15,GO7&lt;&gt;""),AND(GR7&gt;=GS$15,GR7&lt;&gt;""),AND(HP7&gt;=IA$15,HP7&lt;&gt;""),AND(HS7&gt;=IA$15,HS7&lt;&gt;""),AND(HW7&gt;=IA$15,HW7&lt;&gt;""),AND(HZ7&gt;=IA$15,HZ7&lt;&gt;""),AND(IX7&gt;=JI$15,IX7&lt;&gt;""),AND(JA7&gt;=JI$15,JA7&lt;&gt;""),AND(JE7&gt;=JI$15,JE7&lt;&gt;""),AND(JH7&gt;=JI$15,JH7&lt;&gt;""),AND(KF7&gt;=KQ$15,KF7&lt;&gt;""),AND(KI7&gt;=KQ$15,KI7&lt;&gt;""),AND(KM7&gt;=KQ$15,KM7&lt;&gt;""),AND(KP7&gt;=KQ$15,KP7&lt;&gt;""),AND(LN7&gt;=LY$15,LN7&lt;&gt;""),AND(LQ7&gt;=LY$15,LQ7&lt;&gt;""),AND(LU7&gt;=LY$15,LU7&lt;&gt;""),AND(LX7&gt;=LY$15,LX7&lt;&gt;""),AND(MV7&gt;=NG$15,MV7&lt;&gt;""),AND(MY7&gt;=NG$15,MY7&lt;&gt;""),AND(NC7&gt;=NG$15,NC7&lt;&gt;""),AND(NF7&gt;=NG$15,NF7&lt;&gt;""),AND(OD7&gt;=OO$15,OD7&lt;&gt;""),AND(OG7&gt;=OO$15,OG7&lt;&gt;""),AND(OK7&gt;=OO$15,OK7&lt;&gt;""),AND(ON7&gt;=OO$15,ON7&lt;&gt;""),AND(PL7&gt;=PW$15,PL7&lt;&gt;""),AND(PO7&gt;=PW$15,PO7&lt;&gt;""),AND(PS7&gt;=PW$15,PS7&lt;&gt;""),AND(PV7&gt;=PW$15,PV7&lt;&gt;""),AND(QT7&gt;=RE$15,QT7&lt;&gt;""),AND(QW7&gt;=RE$15,QW7&lt;&gt;""),AND(RA7&gt;=RE$15,RA7&lt;&gt;""),AND(RD7&gt;=RE$15,RD7&lt;&gt;""),AND(SB7&gt;=SM$15,SB7&lt;&gt;""),AND(SE7&gt;=SM$15,SE7&lt;&gt;""),AND(SI7&gt;=SM$15,SI7&lt;&gt;""),AND(SL7&gt;=SM$15,SL7&lt;&gt;""),AND(TJ7&gt;=TU$15,TJ7&lt;&gt;""),AND(TM7&gt;=TU$15,TM7&lt;&gt;""),AND(TQ7&gt;=TU$15,TQ7&lt;&gt;""),AND(TT7&gt;=TU$15,TT7&lt;&gt;""),AND(UR7&gt;=VC$15,UR7&lt;&gt;""),AND(UU7&gt;=VC$15,UU7&lt;&gt;""),AND(UY7&gt;=VC$15,UY7&lt;&gt;""),AND(VB7&gt;=VC$15,VB7&lt;&gt;""),AND(VZ7&gt;=WK$15,VZ7&lt;&gt;""),AND(WC7&gt;=WK$15,WC7&lt;&gt;""),AND(WG7&gt;=WK$15,WG7&lt;&gt;""),AND(WJ7&gt;=WK$15,WJ7&lt;&gt;"")),"P","")</f>
        <v/>
      </c>
      <c r="H7" s="36" t="str">
        <f>IF(AND(G7="P",F7=""),"No DD",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Merit",IF(OR(AND(AG7&gt;=AQ$13,AG7&lt;&gt;"",AI7&gt;=AQ$17,AI7&lt;&gt;"",AF7=""),AND(AJ7&gt;=AQ$13,AJ7&lt;&gt;"",AL7&gt;=AQ$17,AL7&lt;&gt;"",AF7=""),AND(AN7&gt;=AQ$13,AN7&lt;&gt;"",AP7&gt;=AQ$17,AP7&lt;&gt;"",AF7=""),AND(BH7&gt;=BR$13,BH7&lt;&gt;"",BJ7&gt;=BR$17,BJ7&lt;&gt;"",BG7=""),AND(BK7&gt;=BR$13,BK7&lt;&gt;"",BM7&gt;=BR$17,BM7&lt;&gt;"",BG7=""),AND(BO7&gt;=BR$13,BO7&lt;&gt;"",BQ7&gt;=BR$17,BQ7&lt;&gt;"",BG7=""),AND(CI7&gt;=CS$13,CI7&lt;&gt;"",CK7&gt;=CS$17,CK7&lt;&gt;"",CH7=""),AND(CL7&gt;=CS$13,CL7&lt;&gt;"",CN7&gt;=CS$17,CN7&lt;&gt;"",CH7=""),AND(CP7&gt;=CS$13,CP7&lt;&gt;"",CR7&gt;=CS$17,CR7&lt;&gt;"",CH7=""),AND(DP7&gt;=EC$13,DP7&lt;&gt;"",DR7&gt;=EC$17,DR7&lt;&gt;""),AND(DS7&gt;=EC$13,DS7&lt;&gt;"",DU7&gt;=EC$17,DU7&lt;&gt;""),AND(DW7&gt;=EC$13,DW7&lt;&gt;"",DY7&gt;=EC$17,DY7&lt;&gt;""),AND(DZ7&gt;=EC$13,DZ7&lt;&gt;"",EB7&gt;=EC$17,EB7&lt;&gt;""),AND(EX7&gt;=FK$13,EX7&lt;&gt;"",EZ7&gt;=FK$17,EZ7&lt;&gt;""),AND(FA7&gt;=FK$13,FA7&lt;&gt;"",FC7&gt;=FK$17,FC7&lt;&gt;""),AND(FE7&gt;=FK$13,FE7&lt;&gt;"",FG7&gt;=FK$17,FG7&lt;&gt;""),AND(FH7&gt;=FK$13,FH7&lt;&gt;"",FJ7&gt;=FK$17,FJ7&lt;&gt;""),AND(GF7&gt;=GS$13,GF7&lt;&gt;"",GH7&gt;=GS$17,GH7&lt;&gt;""),AND(GI7&gt;=GS$13,GI7&lt;&gt;"",GK7&gt;=GS$17,GK7&lt;&gt;""),AND(GM7&gt;=GS$13,GM7&lt;&gt;"",GO7&gt;=GS$17,GO7&lt;&gt;""),AND(GP7&gt;=GS$13,GP7&lt;&gt;"",GR7&gt;=GS$17,GR7&lt;&gt;""),AND(HN7&gt;=IA$13,HN7&lt;&gt;"",HP7&gt;=IA$17,HP7&lt;&gt;""),AND(HQ7&gt;=IA$13,HQ7&lt;&gt;"",HS7&gt;=IA$17,HS7&lt;&gt;""),AND(HU7&gt;=IA$13,HU7&lt;&gt;"",HW7&gt;=IA$17,HW7&lt;&gt;""),AND(HX7&gt;=IA$13,HX7&lt;&gt;"",HZ7&gt;=IA$17,HZ7&lt;&gt;""),AND(IV7&gt;=JI$13,IV7&lt;&gt;"",IX7&gt;=JI$17,IX7&lt;&gt;""),AND(IY7&gt;=JI$13,IY7&lt;&gt;"",JA7&gt;=JI$17,JA7&lt;&gt;""),AND(JC7&gt;=JI$13,JC7&lt;&gt;"",JE7&gt;=JI$17,JE7&lt;&gt;""),AND(JF7&gt;=JI$13,JF7&lt;&gt;"",JH7&gt;=JI$17,JH7&lt;&gt;""),AND(KD7&gt;=KQ$13,KD7&lt;&gt;"",KF7&gt;=KQ$17,KF7&lt;&gt;""),AND(KG7&gt;=KQ$13,KG7&lt;&gt;"",KI7&gt;=KQ$17,KI7&lt;&gt;""),AND(KK7&gt;=KQ$13,KK7&lt;&gt;"",KM7&gt;=KQ$17,KM7&lt;&gt;""),AND(KN7&gt;=KQ$13,KN7&lt;&gt;"",KP7&gt;=KQ$17,KP7&lt;&gt;""),AND(LL7&gt;=LY$13,LL7&lt;&gt;"",LN7&gt;=LY$17,LN7&lt;&gt;""),AND(LO7&gt;=LY$13,LO7&lt;&gt;"",LQ7&gt;=LY$17,LQ7&lt;&gt;""),AND(LS7&gt;=LY$13,LS7&lt;&gt;"",LU7&gt;=LY$17,LU7&lt;&gt;""),AND(LV7&gt;=LY$13,LV7&lt;&gt;"",LX7&gt;=LY$17,LX7&lt;&gt;""),AND(MT7&gt;=NG$13,MT7&lt;&gt;"",MV7&gt;=NG$17,MV7&lt;&gt;""),AND(MW7&gt;=NG$13,MW7&lt;&gt;"",MY7&gt;=NG$17,MY7&lt;&gt;""),AND(NA7&gt;=NG$13,NA7&lt;&gt;"",NC7&gt;=NG$17,NC7&lt;&gt;""),AND(ND7&gt;=NG$13,ND7&lt;&gt;"",NF7&gt;=NG$17,NF7&lt;&gt;""),AND(OB7&gt;=OO$13,OB7&lt;&gt;"",OD7&gt;=OO$17,OD7&lt;&gt;""),AND(OE7&gt;=OO$13,OE7&lt;&gt;"",OG7&gt;=OO$17,OG7&lt;&gt;""),AND(OI7&gt;=OO$13,OI7&lt;&gt;"",OK7&gt;=OO$17,OK7&lt;&gt;""),AND(OL7&gt;=OO$13,OL7&lt;&gt;"",ON7&gt;=OO$17,ON7&lt;&gt;""),AND(PJ7&gt;=PW$13,PJ7&lt;&gt;"",PL7&gt;=PW$17,PL7&lt;&gt;""),AND(PM7&gt;=PW$13,PM7&lt;&gt;"",PO7&gt;=PW$17,PO7&lt;&gt;""),AND(PQ7&gt;=PW$13,PQ7&lt;&gt;"",PS7&gt;=PW$17,PS7&lt;&gt;""),AND(PT7&gt;=PW$13,PT7&lt;&gt;"",PV7&gt;=PW$17,PV7&lt;&gt;""),AND(QR7&gt;=RE$13,QR7&lt;&gt;"",QT7&gt;=RE$17,QT7&lt;&gt;""),AND(QU7&gt;=RE$13,QU7&lt;&gt;"",QW7&gt;=RE$17,QW7&lt;&gt;""),AND(QY7&gt;=RE$13,QY7&lt;&gt;"",RA7&gt;=RE$17,RA7&lt;&gt;""),AND(RB7&gt;=RE$13,RB7&lt;&gt;"",RD7&gt;=RE$17,RD7&lt;&gt;""),AND(RZ7&gt;=SM$13,RZ7&lt;&gt;"",SB7&gt;=SM$17,SB7&lt;&gt;""),AND(SC7&gt;=SM$13,SC7&lt;&gt;"",SE7&gt;=SM$17,SE7&lt;&gt;""),AND(SG7&gt;=SM$13,SG7&lt;&gt;"",SI7&gt;=SM$17,SI7&lt;&gt;""),AND(SJ7&gt;=SM$13,SJ7&lt;&gt;"",SL7&gt;=SM$17,SL7&lt;&gt;""),AND(TH7&gt;=TU$13,TH7&lt;&gt;"",TJ7&gt;=TU$17,TJ7&lt;&gt;""),AND(TK7&gt;=TU$13,TK7&lt;&gt;"",TM7&gt;=TU$17,TM7&lt;&gt;""),AND(TO7&gt;=TU$13,TO7&lt;&gt;"",TQ7&gt;=TU$17,TQ7&lt;&gt;""),AND(TR7&gt;=TU$13,TR7&lt;&gt;"",TT7&gt;=TU$17,TT7&lt;&gt;""),AND(UP7&gt;=VC$13,UP7&lt;&gt;"",UR7&gt;=VC$17,UR7&lt;&gt;""),AND(US7&gt;=VC$13,US7&lt;&gt;"",UU7&gt;=VC$17,UU7&lt;&gt;""),AND(UW7&gt;=VC$13,UW7&lt;&gt;"",UY7&gt;=VC$17,UY7&lt;&gt;""),AND(UZ7&gt;=VC$13,UZ7&lt;&gt;"",VB7&gt;=VC$17,VB7&lt;&gt;""),AND(VX7&gt;=WK$13,VX7&lt;&gt;"",VZ7&gt;=WK$17,VZ7&lt;&gt;""),AND(WA7&gt;=WK$13,WA7&lt;&gt;"",WC7&gt;=WK$17,WC7&lt;&gt;""),AND(WE7&gt;=WK$13,WE7&lt;&gt;"",WG7&gt;=WK$17,WG7&lt;&gt;""),AND(WH7&gt;=WK$13,WH7&lt;&gt;"",WJ7&gt;=WK$17,WJ7&lt;&gt;"")),"Excellence",IF(I7="P","Worlds Team",IF(F7="P","National Team","")))))</f>
        <v/>
      </c>
      <c r="I7" s="3" t="str">
        <f>IF(OR(AND(AG7&gt;=AQ$12,AG7&lt;&gt;"",AI7&gt;=AQ$16,AI7&lt;&gt;"",AF7=""),AND(AJ7&gt;=AQ$12,AJ7&lt;&gt;"",AL7&gt;=AQ$16,AL7&lt;&gt;"",AF7=""),AND(AN7&gt;=AQ$12,AN7&lt;&gt;"",AP7&gt;=AQ$16,AP7&lt;&gt;"",AF7=""),AND(BH7&gt;=BR$12,BH7&lt;&gt;"",BJ7&gt;=BR$16,BJ7&lt;&gt;"",BG7=""),AND(BK7&gt;=BR$12,BK7&lt;&gt;"",BM7&gt;=BR$16,BM7&lt;&gt;"",BG7=""),AND(BO7&gt;=BR$12,BO7&lt;&gt;"",BQ7&gt;=BR$16,BQ7&lt;&gt;"",BG7=""),AND(CI7&gt;=CS$12,CI7&lt;&gt;"",CK7&gt;=CS$16,CK7&lt;&gt;"",CH7=""),AND(CL7&gt;=CS$12,CL7&lt;&gt;"",CN7&gt;=CS$16,CN7&lt;&gt;"",CH7=""),AND(CP7&gt;=CS$12,CP7&lt;&gt;"",CR7&gt;=CS$16,CR7&lt;&gt;"",CH7=""),AND(DP7&gt;=EC$12,DP7&lt;&gt;"",DR7&gt;=EC$16,DR7&lt;&gt;""),AND(DS7&gt;=EC$12,DS7&lt;&gt;"",DU7&gt;=EC$16,DU7&lt;&gt;""),AND(DW7&gt;=EC$12,DW7&lt;&gt;"",DY7&gt;=EC$16,DY7&lt;&gt;""),AND(DZ7&gt;=EC$12,DZ7&lt;&gt;"",EB7&gt;=EC$16,EB7&lt;&gt;""),AND(EX7&gt;=FK$12,EX7&lt;&gt;"",EZ7&gt;=FK$16,EZ7&lt;&gt;""),AND(FA7&gt;=FK$12,FA7&lt;&gt;"",FC7&gt;=FK$16,FC7&lt;&gt;""),AND(FE7&gt;=FK$12,FE7&lt;&gt;"",FG7&gt;=FK$16,FG7&lt;&gt;""),AND(FH7&gt;=FK$12,FH7&lt;&gt;"",FJ7&gt;=FK$16,FJ7&lt;&gt;""),AND(GF7&gt;=GS$12,GF7&lt;&gt;"",GH7&gt;=GS$16,GH7&lt;&gt;""),AND(GI7&gt;=GS$12,GI7&lt;&gt;"",GK7&gt;=GS$16,GK7&lt;&gt;""),AND(GM7&gt;=GS$12,GM7&lt;&gt;"",GO7&gt;=GS$16,GO7&lt;&gt;""),AND(GP7&gt;=GS$12,GP7&lt;&gt;"",GR7&gt;=GS$16,GR7&lt;&gt;""),AND(HN7&gt;=IA$12,HN7&lt;&gt;"",HP7&gt;=IA$16,HP7&lt;&gt;""),AND(HQ7&gt;=IA$12,HQ7&lt;&gt;"",HS7&gt;=IA$16,HS7&lt;&gt;""),AND(HU7&gt;=IA$12,HU7&lt;&gt;"",HW7&gt;=IA$16,HW7&lt;&gt;""),AND(HX7&gt;=IA$12,HX7&lt;&gt;"",HZ7&gt;=IA$16,HZ7&lt;&gt;""),AND(IV7&gt;=JI$12,IV7&lt;&gt;"",IX7&gt;=JI$16,IX7&lt;&gt;""),AND(IY7&gt;=JI$12,IY7&lt;&gt;"",JA7&gt;=JI$16,JA7&lt;&gt;""),AND(JC7&gt;=JI$12,JC7&lt;&gt;"",JE7&gt;=JI$16,JE7&lt;&gt;""),AND(JF7&gt;=JI$12,JF7&lt;&gt;"",JH7&gt;=JI$16,JH7&lt;&gt;""),AND(KD7&gt;=KQ$12,KD7&lt;&gt;"",KF7&gt;=KQ$16,KF7&lt;&gt;""),AND(KG7&gt;=KQ$12,KG7&lt;&gt;"",KI7&gt;=KQ$16,KI7&lt;&gt;""),AND(KK7&gt;=KQ$12,KK7&lt;&gt;"",KM7&gt;=KQ$16,KM7&lt;&gt;""),AND(KN7&gt;=KQ$12,KN7&lt;&gt;"",KP7&gt;=KQ$16,KP7&lt;&gt;""),AND(LL7&gt;=LY$12,LL7&lt;&gt;"",LN7&gt;=LY$16,LN7&lt;&gt;""),AND(LO7&gt;=LY$12,LO7&lt;&gt;"",LQ7&gt;=LY$16,LQ7&lt;&gt;""),AND(LS7&gt;=LY$12,LS7&lt;&gt;"",LU7&gt;=LY$16,LU7&lt;&gt;""),AND(LV7&gt;=LY$12,LV7&lt;&gt;"",LX7&gt;=LY$16,LX7&lt;&gt;""),AND(MT7&gt;=NG$12,MT7&lt;&gt;"",MV7&gt;=NG$16,MV7&lt;&gt;""),AND(MW7&gt;=NG$12,MW7&lt;&gt;"",MY7&gt;=NG$16,MY7&lt;&gt;""),AND(NA7&gt;=NG$12,NA7&lt;&gt;"",NC7&gt;=NG$16,NC7&lt;&gt;""),AND(ND7&gt;=NG$12,ND7&lt;&gt;"",NF7&gt;=NG$16,NF7&lt;&gt;""),AND(OB7&gt;=OO$12,OB7&lt;&gt;"",OD7&gt;=OO$16,OD7&lt;&gt;""),AND(OE7&gt;=OO$12,OE7&lt;&gt;"",OG7&gt;=OO$16,OG7&lt;&gt;""),AND(OI7&gt;=OO$12,OI7&lt;&gt;"",OK7&gt;=OO$16,OK7&lt;&gt;""),AND(OL7&gt;=OO$12,OL7&lt;&gt;"",ON7&gt;=OO$16,ON7&lt;&gt;""),AND(PJ7&gt;=PW$12,PJ7&lt;&gt;"",PL7&gt;=PW$16,PL7&lt;&gt;""),AND(PM7&gt;=PW$12,PM7&lt;&gt;"",PO7&gt;=PW$16,PO7&lt;&gt;""),AND(PQ7&gt;=PW$12,PQ7&lt;&gt;"",PS7&gt;=PW$16,PS7&lt;&gt;""),AND(PT7&gt;=PW$12,PT7&lt;&gt;"",PV7&gt;=PW$16,PV7&lt;&gt;""),AND(QR7&gt;=RE$12,QR7&lt;&gt;"",QT7&gt;=RE$16,QT7&lt;&gt;""),AND(QU7&gt;=RE$12,QU7&lt;&gt;"",QW7&gt;=RE$16,QW7&lt;&gt;""),AND(QY7&gt;=RE$12,QY7&lt;&gt;"",RA7&gt;=RE$16,RA7&lt;&gt;""),AND(RB7&gt;=RE$12,RB7&lt;&gt;"",RD7&gt;=RE$16,RD7&lt;&gt;""),AND(RZ7&gt;=SM$12,RZ7&lt;&gt;"",SB7&gt;=SM$16,SB7&lt;&gt;""),AND(SC7&gt;=SM$12,SC7&lt;&gt;"",SE7&gt;=SM$16,SE7&lt;&gt;""),AND(SG7&gt;=SM$12,SG7&lt;&gt;"",SI7&gt;=SM$16,SI7&lt;&gt;""),AND(SJ7&gt;=SM$12,SJ7&lt;&gt;"",SL7&gt;=SM$16,SL7&lt;&gt;""),AND(TH7&gt;=TU$12,TH7&lt;&gt;"",TJ7&gt;=TU$16,TJ7&lt;&gt;""),AND(TK7&gt;=TU$12,TK7&lt;&gt;"",TM7&gt;=TU$16,TM7&lt;&gt;""),AND(TO7&gt;=TU$12,TO7&lt;&gt;"",TQ7&gt;=TU$16,TQ7&lt;&gt;""),AND(TR7&gt;=TU$12,TR7&lt;&gt;"",TT7&gt;=TU$16,TT7&lt;&gt;""),AND(UP7&gt;=VC$12,UP7&lt;&gt;"",UR7&gt;=VC$16,UR7&lt;&gt;""),AND(US7&gt;=VC$12,US7&lt;&gt;"",UU7&gt;=VC$16,UU7&lt;&gt;""),AND(UW7&gt;=VC$12,UW7&lt;&gt;"",UY7&gt;=VC$16,UY7&lt;&gt;""),AND(UZ7&gt;=VC$12,UZ7&lt;&gt;"",VB7&gt;=VC$16,VB7&lt;&gt;""),AND(VX7&gt;=WK$12,VX7&lt;&gt;"",VZ7&gt;=WK$16,VZ7&lt;&gt;""),AND(WA7&gt;=WK$12,WA7&lt;&gt;"",WC7&gt;=WK$16,WC7&lt;&gt;""),AND(WE7&gt;=WK$12,WE7&lt;&gt;"",WG7&gt;=WK$16,WG7&lt;&gt;""),AND(WH7&gt;=WK$12,WH7&lt;&gt;"",WJ7&gt;=WK$16,WJ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 t="shared" si="0"/>
        <v/>
      </c>
      <c r="AH7" s="38" t="str">
        <f t="shared" si="0"/>
        <v/>
      </c>
      <c r="AI7" s="40" t="str">
        <f>IF(SUM(Q7:T7)-U7&gt;0,SUM(Q7:T7)-U7,"")</f>
        <v/>
      </c>
      <c r="AJ7" s="40" t="str">
        <f t="shared" si="1"/>
        <v/>
      </c>
      <c r="AK7" s="40" t="str">
        <f t="shared" si="1"/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 t="shared" si="2"/>
        <v/>
      </c>
      <c r="AO7" s="40" t="str">
        <f t="shared" si="2"/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 t="shared" si="3"/>
        <v/>
      </c>
      <c r="BI7" s="39" t="str">
        <f t="shared" si="3"/>
        <v/>
      </c>
      <c r="BJ7" s="11" t="str">
        <f>IF(SUM(AR7:AU7)-AV7&gt;0,SUM(AR7:AU7)-AV7,"")</f>
        <v/>
      </c>
      <c r="BK7" s="11" t="str">
        <f t="shared" si="4"/>
        <v/>
      </c>
      <c r="BL7" s="11" t="str">
        <f t="shared" si="4"/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 t="shared" si="5"/>
        <v/>
      </c>
      <c r="BP7" s="11" t="str">
        <f t="shared" si="5"/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 t="shared" si="6"/>
        <v/>
      </c>
      <c r="CJ7" s="38" t="str">
        <f t="shared" si="6"/>
        <v/>
      </c>
      <c r="CK7" s="40" t="str">
        <f>IF(SUM(BS7:BV7)-BW7&gt;0,SUM(BS7:BV7)-BW7,"")</f>
        <v/>
      </c>
      <c r="CL7" s="40" t="str">
        <f t="shared" si="7"/>
        <v/>
      </c>
      <c r="CM7" s="40" t="str">
        <f t="shared" si="7"/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 t="shared" si="8"/>
        <v/>
      </c>
      <c r="CQ7" s="40" t="str">
        <f t="shared" si="8"/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 t="shared" si="9"/>
        <v/>
      </c>
      <c r="DQ7" s="40" t="str">
        <f t="shared" si="9"/>
        <v/>
      </c>
      <c r="DR7" s="40" t="str">
        <f>IF(SUM(CV7:CY7)-CZ7&gt;0,SUM(CV7:CY7)-CZ7,"")</f>
        <v/>
      </c>
      <c r="DS7" s="40" t="str">
        <f t="shared" si="10"/>
        <v/>
      </c>
      <c r="DT7" s="40" t="str">
        <f t="shared" si="10"/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 t="shared" si="11"/>
        <v/>
      </c>
      <c r="DX7" s="40" t="str">
        <f t="shared" si="11"/>
        <v/>
      </c>
      <c r="DY7" s="40" t="str">
        <f>IF(SUM(DF7:DI7)-DJ7&gt;0,SUM(DF7:DI7)-DJ7,"")</f>
        <v/>
      </c>
      <c r="DZ7" s="40" t="str">
        <f t="shared" si="12"/>
        <v/>
      </c>
      <c r="EA7" s="40" t="str">
        <f t="shared" si="12"/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13"/>
        <v/>
      </c>
      <c r="EY7" s="11" t="str">
        <f t="shared" si="13"/>
        <v/>
      </c>
      <c r="EZ7" s="11" t="str">
        <f>IF(SUM(ED7:EG7)-EH7&gt;0,SUM(ED7:EG7)-EH7,"")</f>
        <v/>
      </c>
      <c r="FA7" s="11" t="str">
        <f t="shared" si="14"/>
        <v/>
      </c>
      <c r="FB7" s="11" t="str">
        <f t="shared" si="14"/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 t="shared" si="15"/>
        <v/>
      </c>
      <c r="FF7" s="11" t="str">
        <f t="shared" si="15"/>
        <v/>
      </c>
      <c r="FG7" s="11" t="str">
        <f>IF(SUM(EN7:EQ7)-ER7&gt;0,SUM(EN7:EQ7)-ER7,"")</f>
        <v/>
      </c>
      <c r="FH7" s="11" t="str">
        <f t="shared" si="16"/>
        <v/>
      </c>
      <c r="FI7" s="11" t="str">
        <f t="shared" si="16"/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 t="shared" si="17"/>
        <v/>
      </c>
      <c r="GG7" s="40" t="str">
        <f t="shared" si="17"/>
        <v/>
      </c>
      <c r="GH7" s="40" t="str">
        <f>IF(SUM(FL7:FO7)-FP7&gt;0,SUM(FL7:FO7)-FP7,"")</f>
        <v/>
      </c>
      <c r="GI7" s="40" t="str">
        <f t="shared" si="18"/>
        <v/>
      </c>
      <c r="GJ7" s="40" t="str">
        <f t="shared" si="18"/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 t="shared" si="19"/>
        <v/>
      </c>
      <c r="GN7" s="40" t="str">
        <f t="shared" si="19"/>
        <v/>
      </c>
      <c r="GO7" s="40" t="str">
        <f>IF(SUM(FV7:FY7)-FZ7&gt;0,SUM(FV7:FY7)-FZ7,"")</f>
        <v/>
      </c>
      <c r="GP7" s="40" t="str">
        <f t="shared" si="20"/>
        <v/>
      </c>
      <c r="GQ7" s="40" t="str">
        <f t="shared" si="20"/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21"/>
        <v/>
      </c>
      <c r="HO7" s="11" t="str">
        <f t="shared" si="21"/>
        <v/>
      </c>
      <c r="HP7" s="11" t="str">
        <f>IF(SUM(GT7:GW7)-GX7&gt;0,SUM(GT7:GW7)-GX7,"")</f>
        <v/>
      </c>
      <c r="HQ7" s="11" t="str">
        <f t="shared" si="22"/>
        <v/>
      </c>
      <c r="HR7" s="11" t="str">
        <f t="shared" si="22"/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 t="shared" si="23"/>
        <v/>
      </c>
      <c r="HV7" s="11" t="str">
        <f t="shared" si="23"/>
        <v/>
      </c>
      <c r="HW7" s="11" t="str">
        <f>IF(SUM(HD7:HG7)-HH7&gt;0,SUM(HD7:HG7)-HH7,"")</f>
        <v/>
      </c>
      <c r="HX7" s="11" t="str">
        <f t="shared" si="24"/>
        <v/>
      </c>
      <c r="HY7" s="11" t="str">
        <f t="shared" si="24"/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 t="shared" si="25"/>
        <v/>
      </c>
      <c r="IW7" s="40" t="str">
        <f t="shared" si="25"/>
        <v/>
      </c>
      <c r="IX7" s="40" t="str">
        <f>IF(SUM(IB7:IE7)-IF7&gt;0,SUM(IB7:IE7)-IF7,"")</f>
        <v/>
      </c>
      <c r="IY7" s="40" t="str">
        <f t="shared" si="26"/>
        <v/>
      </c>
      <c r="IZ7" s="40" t="str">
        <f t="shared" si="26"/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 t="shared" si="27"/>
        <v/>
      </c>
      <c r="JD7" s="40" t="str">
        <f t="shared" si="27"/>
        <v/>
      </c>
      <c r="JE7" s="40" t="str">
        <f>IF(SUM(IL7:IO7)-IP7&gt;0,SUM(IL7:IO7)-IP7,"")</f>
        <v/>
      </c>
      <c r="JF7" s="40" t="str">
        <f t="shared" si="28"/>
        <v/>
      </c>
      <c r="JG7" s="40" t="str">
        <f t="shared" si="28"/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29"/>
        <v/>
      </c>
      <c r="KE7" s="11" t="str">
        <f t="shared" si="29"/>
        <v/>
      </c>
      <c r="KF7" s="11" t="str">
        <f>IF(SUM(JJ7:JM7)-JN7&gt;0,SUM(JJ7:JM7)-JN7,"")</f>
        <v/>
      </c>
      <c r="KG7" s="11" t="str">
        <f t="shared" si="30"/>
        <v/>
      </c>
      <c r="KH7" s="11" t="str">
        <f t="shared" si="30"/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 t="shared" si="31"/>
        <v/>
      </c>
      <c r="KL7" s="11" t="str">
        <f t="shared" si="31"/>
        <v/>
      </c>
      <c r="KM7" s="11" t="str">
        <f>IF(SUM(JT7:JW7)-JX7&gt;0,SUM(JT7:JW7)-JX7,"")</f>
        <v/>
      </c>
      <c r="KN7" s="11" t="str">
        <f t="shared" si="32"/>
        <v/>
      </c>
      <c r="KO7" s="11" t="str">
        <f t="shared" si="32"/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 t="shared" si="33"/>
        <v/>
      </c>
      <c r="LM7" s="40" t="str">
        <f t="shared" si="33"/>
        <v/>
      </c>
      <c r="LN7" s="40" t="str">
        <f>IF(SUM(KR7:KU7)-KV7&gt;0,SUM(KR7:KU7)-KV7,"")</f>
        <v/>
      </c>
      <c r="LO7" s="40" t="str">
        <f t="shared" si="34"/>
        <v/>
      </c>
      <c r="LP7" s="40" t="str">
        <f t="shared" si="34"/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 t="shared" si="35"/>
        <v/>
      </c>
      <c r="LT7" s="40" t="str">
        <f t="shared" si="35"/>
        <v/>
      </c>
      <c r="LU7" s="40" t="str">
        <f>IF(SUM(LB7:LE7)-LF7&gt;0,SUM(LB7:LE7)-LF7,"")</f>
        <v/>
      </c>
      <c r="LV7" s="40" t="str">
        <f t="shared" si="36"/>
        <v/>
      </c>
      <c r="LW7" s="40" t="str">
        <f t="shared" si="36"/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37"/>
        <v/>
      </c>
      <c r="MU7" s="11" t="str">
        <f t="shared" si="37"/>
        <v/>
      </c>
      <c r="MV7" s="11" t="str">
        <f>IF(SUM(LZ7:MC7)-MD7&gt;0,SUM(LZ7:MC7)-MD7,"")</f>
        <v/>
      </c>
      <c r="MW7" s="11" t="str">
        <f t="shared" si="38"/>
        <v/>
      </c>
      <c r="MX7" s="11" t="str">
        <f t="shared" si="38"/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 t="shared" si="39"/>
        <v/>
      </c>
      <c r="NB7" s="11" t="str">
        <f t="shared" si="39"/>
        <v/>
      </c>
      <c r="NC7" s="11" t="str">
        <f>IF(SUM(MJ7:MM7)-MN7&gt;0,SUM(MJ7:MM7)-MN7,"")</f>
        <v/>
      </c>
      <c r="ND7" s="11" t="str">
        <f t="shared" si="40"/>
        <v/>
      </c>
      <c r="NE7" s="11" t="str">
        <f t="shared" si="40"/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 t="shared" si="41"/>
        <v/>
      </c>
      <c r="OC7" s="40" t="str">
        <f t="shared" si="41"/>
        <v/>
      </c>
      <c r="OD7" s="40" t="str">
        <f>IF(SUM(NH7:NK7)-NL7&gt;0,SUM(NH7:NK7)-NL7,"")</f>
        <v/>
      </c>
      <c r="OE7" s="40" t="str">
        <f t="shared" si="42"/>
        <v/>
      </c>
      <c r="OF7" s="40" t="str">
        <f t="shared" si="42"/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 t="shared" si="43"/>
        <v/>
      </c>
      <c r="OJ7" s="40" t="str">
        <f t="shared" si="43"/>
        <v/>
      </c>
      <c r="OK7" s="40" t="str">
        <f>IF(SUM(NR7:NU7)-NV7&gt;0,SUM(NR7:NU7)-NV7,"")</f>
        <v/>
      </c>
      <c r="OL7" s="40" t="str">
        <f t="shared" si="44"/>
        <v/>
      </c>
      <c r="OM7" s="40" t="str">
        <f t="shared" si="44"/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45"/>
        <v/>
      </c>
      <c r="PK7" s="11" t="str">
        <f t="shared" si="45"/>
        <v/>
      </c>
      <c r="PL7" s="11" t="str">
        <f>IF(SUM(OP7:OS7)-OT7&gt;0,SUM(OP7:OS7)-OT7,"")</f>
        <v/>
      </c>
      <c r="PM7" s="11" t="str">
        <f t="shared" si="46"/>
        <v/>
      </c>
      <c r="PN7" s="11" t="str">
        <f t="shared" si="46"/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 t="shared" si="47"/>
        <v/>
      </c>
      <c r="PR7" s="11" t="str">
        <f t="shared" si="47"/>
        <v/>
      </c>
      <c r="PS7" s="11" t="str">
        <f>IF(SUM(OZ7:PC7)-PD7&gt;0,SUM(OZ7:PC7)-PD7,"")</f>
        <v/>
      </c>
      <c r="PT7" s="11" t="str">
        <f t="shared" si="48"/>
        <v/>
      </c>
      <c r="PU7" s="11" t="str">
        <f t="shared" si="48"/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 t="shared" si="49"/>
        <v/>
      </c>
      <c r="QS7" s="40" t="str">
        <f t="shared" si="49"/>
        <v/>
      </c>
      <c r="QT7" s="40" t="str">
        <f>IF(SUM(PX7:QA7)-QB7&gt;0,SUM(PX7:QA7)-QB7,"")</f>
        <v/>
      </c>
      <c r="QU7" s="40" t="str">
        <f t="shared" si="50"/>
        <v/>
      </c>
      <c r="QV7" s="40" t="str">
        <f t="shared" si="50"/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 t="shared" si="51"/>
        <v/>
      </c>
      <c r="QZ7" s="40" t="str">
        <f t="shared" si="51"/>
        <v/>
      </c>
      <c r="RA7" s="40" t="str">
        <f>IF(SUM(QH7:QK7)-QL7&gt;0,SUM(QH7:QK7)-QL7,"")</f>
        <v/>
      </c>
      <c r="RB7" s="40" t="str">
        <f t="shared" si="52"/>
        <v/>
      </c>
      <c r="RC7" s="40" t="str">
        <f t="shared" si="52"/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53"/>
        <v/>
      </c>
      <c r="SA7" s="11" t="str">
        <f t="shared" si="53"/>
        <v/>
      </c>
      <c r="SB7" s="11" t="str">
        <f>IF(SUM(RF7:RI7)-RJ7&gt;0,SUM(RF7:RI7)-RJ7,"")</f>
        <v/>
      </c>
      <c r="SC7" s="11" t="str">
        <f t="shared" si="54"/>
        <v/>
      </c>
      <c r="SD7" s="11" t="str">
        <f t="shared" si="54"/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 t="shared" si="55"/>
        <v/>
      </c>
      <c r="SH7" s="11" t="str">
        <f t="shared" si="55"/>
        <v/>
      </c>
      <c r="SI7" s="11" t="str">
        <f>IF(SUM(RP7:RS7)-RT7&gt;0,SUM(RP7:RS7)-RT7,"")</f>
        <v/>
      </c>
      <c r="SJ7" s="11" t="str">
        <f t="shared" si="56"/>
        <v/>
      </c>
      <c r="SK7" s="11" t="str">
        <f t="shared" si="56"/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 t="shared" si="57"/>
        <v/>
      </c>
      <c r="TI7" s="40" t="str">
        <f t="shared" si="57"/>
        <v/>
      </c>
      <c r="TJ7" s="40" t="str">
        <f>IF(SUM(SN7:SQ7)-SR7&gt;0,SUM(SN7:SQ7)-SR7,"")</f>
        <v/>
      </c>
      <c r="TK7" s="40" t="str">
        <f t="shared" si="58"/>
        <v/>
      </c>
      <c r="TL7" s="40" t="str">
        <f t="shared" si="58"/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 t="shared" si="59"/>
        <v/>
      </c>
      <c r="TP7" s="40" t="str">
        <f t="shared" si="59"/>
        <v/>
      </c>
      <c r="TQ7" s="40" t="str">
        <f>IF(SUM(SX7:TA7)-TB7&gt;0,SUM(SX7:TA7)-TB7,"")</f>
        <v/>
      </c>
      <c r="TR7" s="40" t="str">
        <f t="shared" si="60"/>
        <v/>
      </c>
      <c r="TS7" s="40" t="str">
        <f t="shared" si="60"/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 t="shared" si="61"/>
        <v/>
      </c>
      <c r="UQ7" s="11" t="str">
        <f t="shared" si="61"/>
        <v/>
      </c>
      <c r="UR7" s="11" t="str">
        <f>IF(SUM(TV7:TY7)-TZ7&gt;0,SUM(TV7:TY7)-TZ7,"")</f>
        <v/>
      </c>
      <c r="US7" s="11" t="str">
        <f t="shared" si="62"/>
        <v/>
      </c>
      <c r="UT7" s="11" t="str">
        <f t="shared" si="62"/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 t="shared" si="63"/>
        <v/>
      </c>
      <c r="UX7" s="11" t="str">
        <f t="shared" si="63"/>
        <v/>
      </c>
      <c r="UY7" s="11" t="str">
        <f>IF(SUM(UF7:UI7)-UJ7&gt;0,SUM(UF7:UI7)-UJ7,"")</f>
        <v/>
      </c>
      <c r="UZ7" s="11" t="str">
        <f t="shared" si="64"/>
        <v/>
      </c>
      <c r="VA7" s="11" t="str">
        <f t="shared" si="64"/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 t="shared" si="65"/>
        <v/>
      </c>
      <c r="VY7" s="40" t="str">
        <f t="shared" si="65"/>
        <v/>
      </c>
      <c r="VZ7" s="40" t="str">
        <f>IF(SUM(VD7:VG7)-VH7&gt;0,SUM(VD7:VG7)-VH7,"")</f>
        <v/>
      </c>
      <c r="WA7" s="40" t="str">
        <f t="shared" si="66"/>
        <v/>
      </c>
      <c r="WB7" s="40" t="str">
        <f t="shared" si="66"/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 t="shared" si="67"/>
        <v/>
      </c>
      <c r="WF7" s="40" t="str">
        <f t="shared" si="67"/>
        <v/>
      </c>
      <c r="WG7" s="40" t="str">
        <f>IF(SUM(VN7:VQ7)-VR7&gt;0,SUM(VN7:VQ7)-VR7,"")</f>
        <v/>
      </c>
      <c r="WH7" s="40" t="str">
        <f t="shared" si="68"/>
        <v/>
      </c>
      <c r="WI7" s="40" t="str">
        <f t="shared" si="68"/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 t="shared" si="69"/>
        <v>0</v>
      </c>
      <c r="WM7" s="26">
        <f t="shared" si="69"/>
        <v>0</v>
      </c>
      <c r="WN7" s="26">
        <f t="shared" si="69"/>
        <v>0</v>
      </c>
      <c r="WO7" s="26">
        <f t="shared" si="69"/>
        <v>0</v>
      </c>
      <c r="WP7" s="26">
        <f t="shared" si="69"/>
        <v>0</v>
      </c>
      <c r="WQ7" s="26">
        <f t="shared" si="69"/>
        <v>0</v>
      </c>
      <c r="WR7" s="26">
        <f t="shared" si="69"/>
        <v>0</v>
      </c>
      <c r="WS7" s="26">
        <f t="shared" si="69"/>
        <v>0</v>
      </c>
      <c r="WT7" s="26">
        <f t="shared" si="69"/>
        <v>0</v>
      </c>
      <c r="WU7" s="26">
        <f t="shared" si="69"/>
        <v>0</v>
      </c>
      <c r="WV7" s="26">
        <f t="shared" si="69"/>
        <v>0</v>
      </c>
      <c r="WW7" s="26">
        <f t="shared" si="69"/>
        <v>0</v>
      </c>
      <c r="WX7" s="26">
        <f t="shared" si="69"/>
        <v>0</v>
      </c>
      <c r="WY7" s="26">
        <f t="shared" si="69"/>
        <v>0</v>
      </c>
      <c r="WZ7" s="26">
        <f t="shared" si="69"/>
        <v>0</v>
      </c>
      <c r="XA7" s="28" t="s">
        <v>53</v>
      </c>
      <c r="XB7" s="11" t="str">
        <f t="shared" si="70"/>
        <v/>
      </c>
      <c r="XC7" s="11" t="str">
        <f t="shared" si="70"/>
        <v/>
      </c>
      <c r="XD7" s="11" t="str">
        <f>IF(SUM(WL7:WO7)-WP7&gt;0,SUM(WL7:WO7)-WP7,"")</f>
        <v/>
      </c>
      <c r="XE7" s="11" t="str">
        <f t="shared" si="71"/>
        <v/>
      </c>
      <c r="XF7" s="11" t="str">
        <f t="shared" si="71"/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 t="shared" si="72"/>
        <v/>
      </c>
      <c r="XJ7" s="11" t="str">
        <f t="shared" si="72"/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271</v>
      </c>
      <c r="C8" s="4" t="s">
        <v>3</v>
      </c>
      <c r="D8" s="4" t="s">
        <v>264</v>
      </c>
      <c r="E8" s="9">
        <f>SUM(J8,L8,N8)</f>
        <v>0</v>
      </c>
      <c r="F8" s="3" t="str">
        <f>IF(OR(AND(AG8&gt;=AQ$11,AG8&lt;&gt;"",AI8&gt;=AQ$15,AI8&lt;&gt;"",AF8=""),AND(AJ8&gt;=AQ$11,AJ8&lt;&gt;"",AL8&gt;=AQ$15,AL8&lt;&gt;"",AF8=""),AND(AN8&gt;=AQ$11,AN8&lt;&gt;"",AP8&gt;=AQ$15,AP8&lt;&gt;"",AF8=""),AND(BH8&gt;=BR$11,BH8&lt;&gt;"",BJ8&gt;=BR$15,BJ8&lt;&gt;"",BG8=""),AND(BK8&gt;=BR$11,BK8&lt;&gt;"",BM8&gt;=BR$15,BM8&lt;&gt;"",BG8=""),AND(BO8&gt;=BR$11,BO8&lt;&gt;"",BQ8&gt;=BR$15,BQ8&lt;&gt;"",BG8=""),AND(CI8&gt;=CS$11,CI8&lt;&gt;"",CK8&gt;=CS$15,CK8&lt;&gt;"",CH8=""),AND(CL8&gt;=CS$11,CL8&lt;&gt;"",CN8&gt;=CS$15,CN8&lt;&gt;"",CH8=""),AND(CP8&gt;=CS$11,CP8&lt;&gt;"",CR8&gt;=CS$15,CR8&lt;&gt;"",CH8=""),AND(DP8&gt;=EC$11,DP8&lt;&gt;"",DR8&gt;=EC$15,DR8&lt;&gt;""),AND(DS8&gt;=EC$11,DS8&lt;&gt;"",DU8&gt;=EC$15,DU8&lt;&gt;""),AND(DW8&gt;=EC$11,DW8&lt;&gt;"",DY8&gt;=EC$15,DY8&lt;&gt;""),AND(DZ8&gt;=EC$11,DZ8&lt;&gt;"",EB8&gt;=EC$15,EB8&lt;&gt;""),AND(EX8&gt;=FK$11,EX8&lt;&gt;"",EZ8&gt;=FK$15,EZ8&lt;&gt;""),AND(FA8&gt;=FK$11,FA8&lt;&gt;"",FC8&gt;=FK$15,FC8&lt;&gt;""),AND(FE8&gt;=FK$11,FE8&lt;&gt;"",FG8&gt;=FK$15,FG8&lt;&gt;""),AND(FH8&gt;=FK$11,FH8&lt;&gt;"",FJ8&gt;=FK$15,FJ8&lt;&gt;""),AND(GF8&gt;=GS$11,GF8&lt;&gt;"",GH8&gt;=GS$15,GH8&lt;&gt;""),AND(GI8&gt;=GS$11,GI8&lt;&gt;"",GK8&gt;=GS$15,GK8&lt;&gt;""),AND(GM8&gt;=GS$11,GM8&lt;&gt;"",GO8&gt;=GS$15,GO8&lt;&gt;""),AND(GP8&gt;=GS$11,GP8&lt;&gt;"",GR8&gt;=GS$15,GR8&lt;&gt;""),AND(HN8&gt;=IA$11,HN8&lt;&gt;"",HP8&gt;=IA$15,HP8&lt;&gt;""),AND(HQ8&gt;=IA$11,HQ8&lt;&gt;"",HS8&gt;=IA$15,HS8&lt;&gt;""),AND(HU8&gt;=IA$11,HU8&lt;&gt;"",HW8&gt;=IA$15,HW8&lt;&gt;""),AND(HX8&gt;=IA$11,HX8&lt;&gt;"",HZ8&gt;=IA$15,HZ8&lt;&gt;""),AND(IV8&gt;=JI$11,IV8&lt;&gt;"",IX8&gt;=JI$15,IX8&lt;&gt;""),AND(IY8&gt;=JI$11,IY8&lt;&gt;"",JA8&gt;=JI$15,JA8&lt;&gt;""),AND(JC8&gt;=JI$11,JC8&lt;&gt;"",JE8&gt;=JI$15,JE8&lt;&gt;""),AND(JF8&gt;=JI$11,JF8&lt;&gt;"",JH8&gt;=JI$15,JH8&lt;&gt;""),AND(KD8&gt;=KQ$11,KD8&lt;&gt;"",KF8&gt;=KQ$15,KF8&lt;&gt;""),AND(KG8&gt;=KQ$11,KG8&lt;&gt;"",KI8&gt;=KQ$15,KI8&lt;&gt;""),AND(KK8&gt;=KQ$11,KK8&lt;&gt;"",KM8&gt;=KQ$15,KM8&lt;&gt;""),AND(KN8&gt;=KQ$11,KN8&lt;&gt;"",KP8&gt;=KQ$15,KP8&lt;&gt;""),AND(LL8&gt;=LY$11,LL8&lt;&gt;"",LN8&gt;=LY$15,LN8&lt;&gt;""),AND(LO8&gt;=LY$11,LO8&lt;&gt;"",LQ8&gt;=LY$15,LQ8&lt;&gt;""),AND(LS8&gt;=LY$11,LS8&lt;&gt;"",LU8&gt;=LY$15,LU8&lt;&gt;""),AND(LV8&gt;=LY$11,LV8&lt;&gt;"",LX8&gt;=LY$15,LX8&lt;&gt;""),AND(MT8&gt;=NG$11,MT8&lt;&gt;"",MV8&gt;=NG$15,MV8&lt;&gt;""),AND(MW8&gt;=NG$11,MW8&lt;&gt;"",MY8&gt;=NG$15,MY8&lt;&gt;""),AND(NA8&gt;=NG$11,NA8&lt;&gt;"",NC8&gt;=NG$15,NC8&lt;&gt;""),AND(ND8&gt;=NG$11,ND8&lt;&gt;"",NF8&gt;=NG$15,NF8&lt;&gt;""),AND(OB8&gt;=OO$11,OB8&lt;&gt;"",OD8&gt;=OO$15,OD8&lt;&gt;""),AND(OE8&gt;=OO$11,OE8&lt;&gt;"",OG8&gt;=OO$15,OG8&lt;&gt;""),AND(OI8&gt;=OO$11,OI8&lt;&gt;"",OK8&gt;=OO$15,OK8&lt;&gt;""),AND(OL8&gt;=OO$11,OL8&lt;&gt;"",ON8&gt;=OO$15,ON8&lt;&gt;""),AND(PJ8&gt;=PW$11,PJ8&lt;&gt;"",PL8&gt;=PW$15,PL8&lt;&gt;""),AND(PM8&gt;=PW$11,PM8&lt;&gt;"",PO8&gt;=PW$15,PO8&lt;&gt;""),AND(PQ8&gt;=PW$11,PQ8&lt;&gt;"",PS8&gt;=PW$15,PS8&lt;&gt;""),AND(PT8&gt;=PW$11,PT8&lt;&gt;"",PV8&gt;=PW$15,PV8&lt;&gt;""),AND(QR8&gt;=RE$11,QR8&lt;&gt;"",QT8&gt;=RE$15,QT8&lt;&gt;""),AND(QU8&gt;=RE$11,QU8&lt;&gt;"",QW8&gt;=RE$15,QW8&lt;&gt;""),AND(QY8&gt;=RE$11,QY8&lt;&gt;"",RA8&gt;=RE$15,RA8&lt;&gt;""),AND(RB8&gt;=RE$11,RB8&lt;&gt;"",RD8&gt;=RE$15,RD8&lt;&gt;""),AND(RZ8&gt;=SM$11,RZ8&lt;&gt;"",SB8&gt;=SM$15,SB8&lt;&gt;""),AND(SC8&gt;=SM$11,SC8&lt;&gt;"",SE8&gt;=SM$15,SE8&lt;&gt;""),AND(SG8&gt;=SM$11,SG8&lt;&gt;"",SI8&gt;=SM$15,SI8&lt;&gt;""),AND(SJ8&gt;=SM$11,SJ8&lt;&gt;"",SL8&gt;=SM$15,SL8&lt;&gt;""),AND(TH8&gt;=TU$11,TH8&lt;&gt;"",TJ8&gt;=TU$15,TJ8&lt;&gt;""),AND(TK8&gt;=TU$11,TK8&lt;&gt;"",TM8&gt;=TU$15,TM8&lt;&gt;""),AND(TO8&gt;=TU$11,TO8&lt;&gt;"",TQ8&gt;=TU$15,TQ8&lt;&gt;""),AND(TR8&gt;=TU$11,TR8&lt;&gt;"",TT8&gt;=TU$15,TT8&lt;&gt;""),AND(UP8&gt;=VC$11,UP8&lt;&gt;"",UR8&gt;=VC$15,UR8&lt;&gt;""),AND(US8&gt;=VC$11,US8&lt;&gt;"",UU8&gt;=VC$15,UU8&lt;&gt;""),AND(UW8&gt;=VC$11,UW8&lt;&gt;"",UY8&gt;=VC$15,UY8&lt;&gt;""),AND(UZ8&gt;=VC$11,UZ8&lt;&gt;"",VB8&gt;=VC$15,VB8&lt;&gt;""),AND(VX8&gt;=WK$11,VX8&lt;&gt;"",VZ8&gt;=WK$15,VZ8&lt;&gt;""),AND(WA8&gt;=WK$11,WA8&lt;&gt;"",WC8&gt;=WK$15,WC8&lt;&gt;""),AND(WE8&gt;=WK$11,WE8&lt;&gt;"",WG8&gt;=WK$15,WG8&lt;&gt;""),AND(WH8&gt;=WK$11,WH8&lt;&gt;"",WJ8&gt;=WK$15,WJ8&lt;&gt;"")),"P","")</f>
        <v/>
      </c>
      <c r="G8" s="3" t="str">
        <f>IF(OR(AND(AI8&gt;=AQ$15,AI8&lt;&gt;"",AF8=""),AND(AL8&gt;=AQ$15,AL8&lt;&gt;"",AF8=""),AND(AP8&gt;=AQ$15,AP8&lt;&gt;"",AF8=""),AND(BJ8&gt;=BR$15,BJ8&lt;&gt;"",BG8=""),AND(BM8&gt;=BR$15,BM8&lt;&gt;"",BG8=""),AND(BQ8&gt;=BR$15,BQ8&lt;&gt;"",BG8=""),AND(CK8&gt;=CS$15,CK8&lt;&gt;"",CH8=""),AND(CN8&gt;=CS$15,CN8&lt;&gt;"",CH8=""),AND(CR8&gt;=CS$15,CR8&lt;&gt;"",CH8=""),AND(DR8&gt;=EC$15,DR8&lt;&gt;""),AND(DU8&gt;=EC$15,DU8&lt;&gt;""),AND(DY8&gt;=EC$15,DY8&lt;&gt;""),AND(EB8&gt;=EC$15,EB8&lt;&gt;""),AND(EZ8&gt;=FK$15,EZ8&lt;&gt;""),AND(FC8&gt;=FK$15,FC8&lt;&gt;""),AND(FG8&gt;=FK$15,FG8&lt;&gt;""),AND(FJ8&gt;=FK$15,FJ8&lt;&gt;""),AND(GH8&gt;=GS$15,GH8&lt;&gt;""),AND(GK8&gt;=GS$15,GK8&lt;&gt;""),AND(GO8&gt;=GS$15,GO8&lt;&gt;""),AND(GR8&gt;=GS$15,GR8&lt;&gt;""),AND(HP8&gt;=IA$15,HP8&lt;&gt;""),AND(HS8&gt;=IA$15,HS8&lt;&gt;""),AND(HW8&gt;=IA$15,HW8&lt;&gt;""),AND(HZ8&gt;=IA$15,HZ8&lt;&gt;""),AND(IX8&gt;=JI$15,IX8&lt;&gt;""),AND(JA8&gt;=JI$15,JA8&lt;&gt;""),AND(JE8&gt;=JI$15,JE8&lt;&gt;""),AND(JH8&gt;=JI$15,JH8&lt;&gt;""),AND(KF8&gt;=KQ$15,KF8&lt;&gt;""),AND(KI8&gt;=KQ$15,KI8&lt;&gt;""),AND(KM8&gt;=KQ$15,KM8&lt;&gt;""),AND(KP8&gt;=KQ$15,KP8&lt;&gt;""),AND(LN8&gt;=LY$15,LN8&lt;&gt;""),AND(LQ8&gt;=LY$15,LQ8&lt;&gt;""),AND(LU8&gt;=LY$15,LU8&lt;&gt;""),AND(LX8&gt;=LY$15,LX8&lt;&gt;""),AND(MV8&gt;=NG$15,MV8&lt;&gt;""),AND(MY8&gt;=NG$15,MY8&lt;&gt;""),AND(NC8&gt;=NG$15,NC8&lt;&gt;""),AND(NF8&gt;=NG$15,NF8&lt;&gt;""),AND(OD8&gt;=OO$15,OD8&lt;&gt;""),AND(OG8&gt;=OO$15,OG8&lt;&gt;""),AND(OK8&gt;=OO$15,OK8&lt;&gt;""),AND(ON8&gt;=OO$15,ON8&lt;&gt;""),AND(PL8&gt;=PW$15,PL8&lt;&gt;""),AND(PO8&gt;=PW$15,PO8&lt;&gt;""),AND(PS8&gt;=PW$15,PS8&lt;&gt;""),AND(PV8&gt;=PW$15,PV8&lt;&gt;""),AND(QT8&gt;=RE$15,QT8&lt;&gt;""),AND(QW8&gt;=RE$15,QW8&lt;&gt;""),AND(RA8&gt;=RE$15,RA8&lt;&gt;""),AND(RD8&gt;=RE$15,RD8&lt;&gt;""),AND(SB8&gt;=SM$15,SB8&lt;&gt;""),AND(SE8&gt;=SM$15,SE8&lt;&gt;""),AND(SI8&gt;=SM$15,SI8&lt;&gt;""),AND(SL8&gt;=SM$15,SL8&lt;&gt;""),AND(TJ8&gt;=TU$15,TJ8&lt;&gt;""),AND(TM8&gt;=TU$15,TM8&lt;&gt;""),AND(TQ8&gt;=TU$15,TQ8&lt;&gt;""),AND(TT8&gt;=TU$15,TT8&lt;&gt;""),AND(UR8&gt;=VC$15,UR8&lt;&gt;""),AND(UU8&gt;=VC$15,UU8&lt;&gt;""),AND(UY8&gt;=VC$15,UY8&lt;&gt;""),AND(VB8&gt;=VC$15,VB8&lt;&gt;""),AND(VZ8&gt;=WK$15,VZ8&lt;&gt;""),AND(WC8&gt;=WK$15,WC8&lt;&gt;""),AND(WG8&gt;=WK$15,WG8&lt;&gt;""),AND(WJ8&gt;=WK$15,WJ8&lt;&gt;"")),"P","")</f>
        <v/>
      </c>
      <c r="H8" s="36" t="str">
        <f>IF(AND(G8="P",F8=""),"No DD",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Merit",IF(OR(AND(AG8&gt;=AQ$13,AG8&lt;&gt;"",AI8&gt;=AQ$17,AI8&lt;&gt;"",AF8=""),AND(AJ8&gt;=AQ$13,AJ8&lt;&gt;"",AL8&gt;=AQ$17,AL8&lt;&gt;"",AF8=""),AND(AN8&gt;=AQ$13,AN8&lt;&gt;"",AP8&gt;=AQ$17,AP8&lt;&gt;"",AF8=""),AND(BH8&gt;=BR$13,BH8&lt;&gt;"",BJ8&gt;=BR$17,BJ8&lt;&gt;"",BG8=""),AND(BK8&gt;=BR$13,BK8&lt;&gt;"",BM8&gt;=BR$17,BM8&lt;&gt;"",BG8=""),AND(BO8&gt;=BR$13,BO8&lt;&gt;"",BQ8&gt;=BR$17,BQ8&lt;&gt;"",BG8=""),AND(CI8&gt;=CS$13,CI8&lt;&gt;"",CK8&gt;=CS$17,CK8&lt;&gt;"",CH8=""),AND(CL8&gt;=CS$13,CL8&lt;&gt;"",CN8&gt;=CS$17,CN8&lt;&gt;"",CH8=""),AND(CP8&gt;=CS$13,CP8&lt;&gt;"",CR8&gt;=CS$17,CR8&lt;&gt;"",CH8=""),AND(DP8&gt;=EC$13,DP8&lt;&gt;"",DR8&gt;=EC$17,DR8&lt;&gt;""),AND(DS8&gt;=EC$13,DS8&lt;&gt;"",DU8&gt;=EC$17,DU8&lt;&gt;""),AND(DW8&gt;=EC$13,DW8&lt;&gt;"",DY8&gt;=EC$17,DY8&lt;&gt;""),AND(DZ8&gt;=EC$13,DZ8&lt;&gt;"",EB8&gt;=EC$17,EB8&lt;&gt;""),AND(EX8&gt;=FK$13,EX8&lt;&gt;"",EZ8&gt;=FK$17,EZ8&lt;&gt;""),AND(FA8&gt;=FK$13,FA8&lt;&gt;"",FC8&gt;=FK$17,FC8&lt;&gt;""),AND(FE8&gt;=FK$13,FE8&lt;&gt;"",FG8&gt;=FK$17,FG8&lt;&gt;""),AND(FH8&gt;=FK$13,FH8&lt;&gt;"",FJ8&gt;=FK$17,FJ8&lt;&gt;""),AND(GF8&gt;=GS$13,GF8&lt;&gt;"",GH8&gt;=GS$17,GH8&lt;&gt;""),AND(GI8&gt;=GS$13,GI8&lt;&gt;"",GK8&gt;=GS$17,GK8&lt;&gt;""),AND(GM8&gt;=GS$13,GM8&lt;&gt;"",GO8&gt;=GS$17,GO8&lt;&gt;""),AND(GP8&gt;=GS$13,GP8&lt;&gt;"",GR8&gt;=GS$17,GR8&lt;&gt;""),AND(HN8&gt;=IA$13,HN8&lt;&gt;"",HP8&gt;=IA$17,HP8&lt;&gt;""),AND(HQ8&gt;=IA$13,HQ8&lt;&gt;"",HS8&gt;=IA$17,HS8&lt;&gt;""),AND(HU8&gt;=IA$13,HU8&lt;&gt;"",HW8&gt;=IA$17,HW8&lt;&gt;""),AND(HX8&gt;=IA$13,HX8&lt;&gt;"",HZ8&gt;=IA$17,HZ8&lt;&gt;""),AND(IV8&gt;=JI$13,IV8&lt;&gt;"",IX8&gt;=JI$17,IX8&lt;&gt;""),AND(IY8&gt;=JI$13,IY8&lt;&gt;"",JA8&gt;=JI$17,JA8&lt;&gt;""),AND(JC8&gt;=JI$13,JC8&lt;&gt;"",JE8&gt;=JI$17,JE8&lt;&gt;""),AND(JF8&gt;=JI$13,JF8&lt;&gt;"",JH8&gt;=JI$17,JH8&lt;&gt;""),AND(KD8&gt;=KQ$13,KD8&lt;&gt;"",KF8&gt;=KQ$17,KF8&lt;&gt;""),AND(KG8&gt;=KQ$13,KG8&lt;&gt;"",KI8&gt;=KQ$17,KI8&lt;&gt;""),AND(KK8&gt;=KQ$13,KK8&lt;&gt;"",KM8&gt;=KQ$17,KM8&lt;&gt;""),AND(KN8&gt;=KQ$13,KN8&lt;&gt;"",KP8&gt;=KQ$17,KP8&lt;&gt;""),AND(LL8&gt;=LY$13,LL8&lt;&gt;"",LN8&gt;=LY$17,LN8&lt;&gt;""),AND(LO8&gt;=LY$13,LO8&lt;&gt;"",LQ8&gt;=LY$17,LQ8&lt;&gt;""),AND(LS8&gt;=LY$13,LS8&lt;&gt;"",LU8&gt;=LY$17,LU8&lt;&gt;""),AND(LV8&gt;=LY$13,LV8&lt;&gt;"",LX8&gt;=LY$17,LX8&lt;&gt;""),AND(MT8&gt;=NG$13,MT8&lt;&gt;"",MV8&gt;=NG$17,MV8&lt;&gt;""),AND(MW8&gt;=NG$13,MW8&lt;&gt;"",MY8&gt;=NG$17,MY8&lt;&gt;""),AND(NA8&gt;=NG$13,NA8&lt;&gt;"",NC8&gt;=NG$17,NC8&lt;&gt;""),AND(ND8&gt;=NG$13,ND8&lt;&gt;"",NF8&gt;=NG$17,NF8&lt;&gt;""),AND(OB8&gt;=OO$13,OB8&lt;&gt;"",OD8&gt;=OO$17,OD8&lt;&gt;""),AND(OE8&gt;=OO$13,OE8&lt;&gt;"",OG8&gt;=OO$17,OG8&lt;&gt;""),AND(OI8&gt;=OO$13,OI8&lt;&gt;"",OK8&gt;=OO$17,OK8&lt;&gt;""),AND(OL8&gt;=OO$13,OL8&lt;&gt;"",ON8&gt;=OO$17,ON8&lt;&gt;""),AND(PJ8&gt;=PW$13,PJ8&lt;&gt;"",PL8&gt;=PW$17,PL8&lt;&gt;""),AND(PM8&gt;=PW$13,PM8&lt;&gt;"",PO8&gt;=PW$17,PO8&lt;&gt;""),AND(PQ8&gt;=PW$13,PQ8&lt;&gt;"",PS8&gt;=PW$17,PS8&lt;&gt;""),AND(PT8&gt;=PW$13,PT8&lt;&gt;"",PV8&gt;=PW$17,PV8&lt;&gt;""),AND(QR8&gt;=RE$13,QR8&lt;&gt;"",QT8&gt;=RE$17,QT8&lt;&gt;""),AND(QU8&gt;=RE$13,QU8&lt;&gt;"",QW8&gt;=RE$17,QW8&lt;&gt;""),AND(QY8&gt;=RE$13,QY8&lt;&gt;"",RA8&gt;=RE$17,RA8&lt;&gt;""),AND(RB8&gt;=RE$13,RB8&lt;&gt;"",RD8&gt;=RE$17,RD8&lt;&gt;""),AND(RZ8&gt;=SM$13,RZ8&lt;&gt;"",SB8&gt;=SM$17,SB8&lt;&gt;""),AND(SC8&gt;=SM$13,SC8&lt;&gt;"",SE8&gt;=SM$17,SE8&lt;&gt;""),AND(SG8&gt;=SM$13,SG8&lt;&gt;"",SI8&gt;=SM$17,SI8&lt;&gt;""),AND(SJ8&gt;=SM$13,SJ8&lt;&gt;"",SL8&gt;=SM$17,SL8&lt;&gt;""),AND(TH8&gt;=TU$13,TH8&lt;&gt;"",TJ8&gt;=TU$17,TJ8&lt;&gt;""),AND(TK8&gt;=TU$13,TK8&lt;&gt;"",TM8&gt;=TU$17,TM8&lt;&gt;""),AND(TO8&gt;=TU$13,TO8&lt;&gt;"",TQ8&gt;=TU$17,TQ8&lt;&gt;""),AND(TR8&gt;=TU$13,TR8&lt;&gt;"",TT8&gt;=TU$17,TT8&lt;&gt;""),AND(UP8&gt;=VC$13,UP8&lt;&gt;"",UR8&gt;=VC$17,UR8&lt;&gt;""),AND(US8&gt;=VC$13,US8&lt;&gt;"",UU8&gt;=VC$17,UU8&lt;&gt;""),AND(UW8&gt;=VC$13,UW8&lt;&gt;"",UY8&gt;=VC$17,UY8&lt;&gt;""),AND(UZ8&gt;=VC$13,UZ8&lt;&gt;"",VB8&gt;=VC$17,VB8&lt;&gt;""),AND(VX8&gt;=WK$13,VX8&lt;&gt;"",VZ8&gt;=WK$17,VZ8&lt;&gt;""),AND(WA8&gt;=WK$13,WA8&lt;&gt;"",WC8&gt;=WK$17,WC8&lt;&gt;""),AND(WE8&gt;=WK$13,WE8&lt;&gt;"",WG8&gt;=WK$17,WG8&lt;&gt;""),AND(WH8&gt;=WK$13,WH8&lt;&gt;"",WJ8&gt;=WK$17,WJ8&lt;&gt;"")),"Excellence",IF(I8="P","Worlds Team",IF(F8="P","National Team","")))))</f>
        <v/>
      </c>
      <c r="I8" s="3" t="str">
        <f>IF(OR(AND(AG8&gt;=AQ$12,AG8&lt;&gt;"",AI8&gt;=AQ$16,AI8&lt;&gt;"",AF8=""),AND(AJ8&gt;=AQ$12,AJ8&lt;&gt;"",AL8&gt;=AQ$16,AL8&lt;&gt;"",AF8=""),AND(AN8&gt;=AQ$12,AN8&lt;&gt;"",AP8&gt;=AQ$16,AP8&lt;&gt;"",AF8=""),AND(BH8&gt;=BR$12,BH8&lt;&gt;"",BJ8&gt;=BR$16,BJ8&lt;&gt;"",BG8=""),AND(BK8&gt;=BR$12,BK8&lt;&gt;"",BM8&gt;=BR$16,BM8&lt;&gt;"",BG8=""),AND(BO8&gt;=BR$12,BO8&lt;&gt;"",BQ8&gt;=BR$16,BQ8&lt;&gt;"",BG8=""),AND(CI8&gt;=CS$12,CI8&lt;&gt;"",CK8&gt;=CS$16,CK8&lt;&gt;"",CH8=""),AND(CL8&gt;=CS$12,CL8&lt;&gt;"",CN8&gt;=CS$16,CN8&lt;&gt;"",CH8=""),AND(CP8&gt;=CS$12,CP8&lt;&gt;"",CR8&gt;=CS$16,CR8&lt;&gt;"",CH8=""),AND(DP8&gt;=EC$12,DP8&lt;&gt;"",DR8&gt;=EC$16,DR8&lt;&gt;""),AND(DS8&gt;=EC$12,DS8&lt;&gt;"",DU8&gt;=EC$16,DU8&lt;&gt;""),AND(DW8&gt;=EC$12,DW8&lt;&gt;"",DY8&gt;=EC$16,DY8&lt;&gt;""),AND(DZ8&gt;=EC$12,DZ8&lt;&gt;"",EB8&gt;=EC$16,EB8&lt;&gt;""),AND(EX8&gt;=FK$12,EX8&lt;&gt;"",EZ8&gt;=FK$16,EZ8&lt;&gt;""),AND(FA8&gt;=FK$12,FA8&lt;&gt;"",FC8&gt;=FK$16,FC8&lt;&gt;""),AND(FE8&gt;=FK$12,FE8&lt;&gt;"",FG8&gt;=FK$16,FG8&lt;&gt;""),AND(FH8&gt;=FK$12,FH8&lt;&gt;"",FJ8&gt;=FK$16,FJ8&lt;&gt;""),AND(GF8&gt;=GS$12,GF8&lt;&gt;"",GH8&gt;=GS$16,GH8&lt;&gt;""),AND(GI8&gt;=GS$12,GI8&lt;&gt;"",GK8&gt;=GS$16,GK8&lt;&gt;""),AND(GM8&gt;=GS$12,GM8&lt;&gt;"",GO8&gt;=GS$16,GO8&lt;&gt;""),AND(GP8&gt;=GS$12,GP8&lt;&gt;"",GR8&gt;=GS$16,GR8&lt;&gt;""),AND(HN8&gt;=IA$12,HN8&lt;&gt;"",HP8&gt;=IA$16,HP8&lt;&gt;""),AND(HQ8&gt;=IA$12,HQ8&lt;&gt;"",HS8&gt;=IA$16,HS8&lt;&gt;""),AND(HU8&gt;=IA$12,HU8&lt;&gt;"",HW8&gt;=IA$16,HW8&lt;&gt;""),AND(HX8&gt;=IA$12,HX8&lt;&gt;"",HZ8&gt;=IA$16,HZ8&lt;&gt;""),AND(IV8&gt;=JI$12,IV8&lt;&gt;"",IX8&gt;=JI$16,IX8&lt;&gt;""),AND(IY8&gt;=JI$12,IY8&lt;&gt;"",JA8&gt;=JI$16,JA8&lt;&gt;""),AND(JC8&gt;=JI$12,JC8&lt;&gt;"",JE8&gt;=JI$16,JE8&lt;&gt;""),AND(JF8&gt;=JI$12,JF8&lt;&gt;"",JH8&gt;=JI$16,JH8&lt;&gt;""),AND(KD8&gt;=KQ$12,KD8&lt;&gt;"",KF8&gt;=KQ$16,KF8&lt;&gt;""),AND(KG8&gt;=KQ$12,KG8&lt;&gt;"",KI8&gt;=KQ$16,KI8&lt;&gt;""),AND(KK8&gt;=KQ$12,KK8&lt;&gt;"",KM8&gt;=KQ$16,KM8&lt;&gt;""),AND(KN8&gt;=KQ$12,KN8&lt;&gt;"",KP8&gt;=KQ$16,KP8&lt;&gt;""),AND(LL8&gt;=LY$12,LL8&lt;&gt;"",LN8&gt;=LY$16,LN8&lt;&gt;""),AND(LO8&gt;=LY$12,LO8&lt;&gt;"",LQ8&gt;=LY$16,LQ8&lt;&gt;""),AND(LS8&gt;=LY$12,LS8&lt;&gt;"",LU8&gt;=LY$16,LU8&lt;&gt;""),AND(LV8&gt;=LY$12,LV8&lt;&gt;"",LX8&gt;=LY$16,LX8&lt;&gt;""),AND(MT8&gt;=NG$12,MT8&lt;&gt;"",MV8&gt;=NG$16,MV8&lt;&gt;""),AND(MW8&gt;=NG$12,MW8&lt;&gt;"",MY8&gt;=NG$16,MY8&lt;&gt;""),AND(NA8&gt;=NG$12,NA8&lt;&gt;"",NC8&gt;=NG$16,NC8&lt;&gt;""),AND(ND8&gt;=NG$12,ND8&lt;&gt;"",NF8&gt;=NG$16,NF8&lt;&gt;""),AND(OB8&gt;=OO$12,OB8&lt;&gt;"",OD8&gt;=OO$16,OD8&lt;&gt;""),AND(OE8&gt;=OO$12,OE8&lt;&gt;"",OG8&gt;=OO$16,OG8&lt;&gt;""),AND(OI8&gt;=OO$12,OI8&lt;&gt;"",OK8&gt;=OO$16,OK8&lt;&gt;""),AND(OL8&gt;=OO$12,OL8&lt;&gt;"",ON8&gt;=OO$16,ON8&lt;&gt;""),AND(PJ8&gt;=PW$12,PJ8&lt;&gt;"",PL8&gt;=PW$16,PL8&lt;&gt;""),AND(PM8&gt;=PW$12,PM8&lt;&gt;"",PO8&gt;=PW$16,PO8&lt;&gt;""),AND(PQ8&gt;=PW$12,PQ8&lt;&gt;"",PS8&gt;=PW$16,PS8&lt;&gt;""),AND(PT8&gt;=PW$12,PT8&lt;&gt;"",PV8&gt;=PW$16,PV8&lt;&gt;""),AND(QR8&gt;=RE$12,QR8&lt;&gt;"",QT8&gt;=RE$16,QT8&lt;&gt;""),AND(QU8&gt;=RE$12,QU8&lt;&gt;"",QW8&gt;=RE$16,QW8&lt;&gt;""),AND(QY8&gt;=RE$12,QY8&lt;&gt;"",RA8&gt;=RE$16,RA8&lt;&gt;""),AND(RB8&gt;=RE$12,RB8&lt;&gt;"",RD8&gt;=RE$16,RD8&lt;&gt;""),AND(RZ8&gt;=SM$12,RZ8&lt;&gt;"",SB8&gt;=SM$16,SB8&lt;&gt;""),AND(SC8&gt;=SM$12,SC8&lt;&gt;"",SE8&gt;=SM$16,SE8&lt;&gt;""),AND(SG8&gt;=SM$12,SG8&lt;&gt;"",SI8&gt;=SM$16,SI8&lt;&gt;""),AND(SJ8&gt;=SM$12,SJ8&lt;&gt;"",SL8&gt;=SM$16,SL8&lt;&gt;""),AND(TH8&gt;=TU$12,TH8&lt;&gt;"",TJ8&gt;=TU$16,TJ8&lt;&gt;""),AND(TK8&gt;=TU$12,TK8&lt;&gt;"",TM8&gt;=TU$16,TM8&lt;&gt;""),AND(TO8&gt;=TU$12,TO8&lt;&gt;"",TQ8&gt;=TU$16,TQ8&lt;&gt;""),AND(TR8&gt;=TU$12,TR8&lt;&gt;"",TT8&gt;=TU$16,TT8&lt;&gt;""),AND(UP8&gt;=VC$12,UP8&lt;&gt;"",UR8&gt;=VC$16,UR8&lt;&gt;""),AND(US8&gt;=VC$12,US8&lt;&gt;"",UU8&gt;=VC$16,UU8&lt;&gt;""),AND(UW8&gt;=VC$12,UW8&lt;&gt;"",UY8&gt;=VC$16,UY8&lt;&gt;""),AND(UZ8&gt;=VC$12,UZ8&lt;&gt;"",VB8&gt;=VC$16,VB8&lt;&gt;""),AND(VX8&gt;=WK$12,VX8&lt;&gt;"",VZ8&gt;=WK$16,VZ8&lt;&gt;""),AND(WA8&gt;=WK$12,WA8&lt;&gt;"",WC8&gt;=WK$16,WC8&lt;&gt;""),AND(WE8&gt;=WK$12,WE8&lt;&gt;"",WG8&gt;=WK$16,WG8&lt;&gt;""),AND(WH8&gt;=WK$12,WH8&lt;&gt;"",WJ8&gt;=WK$16,WJ8&lt;&gt;"")),"P","")</f>
        <v/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 t="shared" si="0"/>
        <v/>
      </c>
      <c r="AH8" s="38" t="str">
        <f t="shared" si="0"/>
        <v/>
      </c>
      <c r="AI8" s="40" t="str">
        <f>IF(SUM(Q8:T8)-U8&gt;0,SUM(Q8:T8)-U8,"")</f>
        <v/>
      </c>
      <c r="AJ8" s="40" t="str">
        <f t="shared" si="1"/>
        <v/>
      </c>
      <c r="AK8" s="40" t="str">
        <f t="shared" si="1"/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 t="shared" si="2"/>
        <v/>
      </c>
      <c r="AO8" s="40" t="str">
        <f t="shared" si="2"/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 t="shared" si="3"/>
        <v/>
      </c>
      <c r="BI8" s="39" t="str">
        <f t="shared" si="3"/>
        <v/>
      </c>
      <c r="BJ8" s="11" t="str">
        <f>IF(SUM(AR8:AU8)-AV8&gt;0,SUM(AR8:AU8)-AV8,"")</f>
        <v/>
      </c>
      <c r="BK8" s="11" t="str">
        <f t="shared" si="4"/>
        <v/>
      </c>
      <c r="BL8" s="11" t="str">
        <f t="shared" si="4"/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 t="shared" si="5"/>
        <v/>
      </c>
      <c r="BP8" s="11" t="str">
        <f t="shared" si="5"/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 t="shared" si="6"/>
        <v/>
      </c>
      <c r="CJ8" s="38" t="str">
        <f t="shared" si="6"/>
        <v/>
      </c>
      <c r="CK8" s="40" t="str">
        <f>IF(SUM(BS8:BV8)-BW8&gt;0,SUM(BS8:BV8)-BW8,"")</f>
        <v/>
      </c>
      <c r="CL8" s="40" t="str">
        <f t="shared" si="7"/>
        <v/>
      </c>
      <c r="CM8" s="40" t="str">
        <f t="shared" si="7"/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 t="shared" si="8"/>
        <v/>
      </c>
      <c r="CQ8" s="40" t="str">
        <f t="shared" si="8"/>
        <v/>
      </c>
      <c r="CR8" s="40" t="str">
        <f>IF(SUM(CC8:CF8)-CG8&gt;0,SUM(CC8:CF8)-CG8,"")</f>
        <v/>
      </c>
      <c r="CS8" s="40" t="str">
        <f>IF(SUM(CO8,CR8)&gt;0,SUM(CO8,CR8),"")</f>
        <v/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 t="shared" si="9"/>
        <v/>
      </c>
      <c r="DQ8" s="40" t="str">
        <f t="shared" si="9"/>
        <v/>
      </c>
      <c r="DR8" s="40" t="str">
        <f>IF(SUM(CV8:CY8)-CZ8&gt;0,SUM(CV8:CY8)-CZ8,"")</f>
        <v/>
      </c>
      <c r="DS8" s="40" t="str">
        <f t="shared" si="10"/>
        <v/>
      </c>
      <c r="DT8" s="40" t="str">
        <f t="shared" si="10"/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 t="shared" si="11"/>
        <v/>
      </c>
      <c r="DX8" s="40" t="str">
        <f t="shared" si="11"/>
        <v/>
      </c>
      <c r="DY8" s="40" t="str">
        <f>IF(SUM(DF8:DI8)-DJ8&gt;0,SUM(DF8:DI8)-DJ8,"")</f>
        <v/>
      </c>
      <c r="DZ8" s="40" t="str">
        <f t="shared" si="12"/>
        <v/>
      </c>
      <c r="EA8" s="40" t="str">
        <f t="shared" si="12"/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13"/>
        <v/>
      </c>
      <c r="EY8" s="11" t="str">
        <f t="shared" si="13"/>
        <v/>
      </c>
      <c r="EZ8" s="11" t="str">
        <f>IF(SUM(ED8:EG8)-EH8&gt;0,SUM(ED8:EG8)-EH8,"")</f>
        <v/>
      </c>
      <c r="FA8" s="11" t="str">
        <f t="shared" si="14"/>
        <v/>
      </c>
      <c r="FB8" s="11" t="str">
        <f t="shared" si="14"/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 t="shared" si="15"/>
        <v/>
      </c>
      <c r="FF8" s="11" t="str">
        <f t="shared" si="15"/>
        <v/>
      </c>
      <c r="FG8" s="11" t="str">
        <f>IF(SUM(EN8:EQ8)-ER8&gt;0,SUM(EN8:EQ8)-ER8,"")</f>
        <v/>
      </c>
      <c r="FH8" s="11" t="str">
        <f t="shared" si="16"/>
        <v/>
      </c>
      <c r="FI8" s="11" t="str">
        <f t="shared" si="16"/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 t="shared" si="17"/>
        <v/>
      </c>
      <c r="GG8" s="40" t="str">
        <f t="shared" si="17"/>
        <v/>
      </c>
      <c r="GH8" s="40" t="str">
        <f>IF(SUM(FL8:FO8)-FP8&gt;0,SUM(FL8:FO8)-FP8,"")</f>
        <v/>
      </c>
      <c r="GI8" s="40" t="str">
        <f t="shared" si="18"/>
        <v/>
      </c>
      <c r="GJ8" s="40" t="str">
        <f t="shared" si="18"/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 t="shared" si="19"/>
        <v/>
      </c>
      <c r="GN8" s="40" t="str">
        <f t="shared" si="19"/>
        <v/>
      </c>
      <c r="GO8" s="40" t="str">
        <f>IF(SUM(FV8:FY8)-FZ8&gt;0,SUM(FV8:FY8)-FZ8,"")</f>
        <v/>
      </c>
      <c r="GP8" s="40" t="str">
        <f t="shared" si="20"/>
        <v/>
      </c>
      <c r="GQ8" s="40" t="str">
        <f t="shared" si="20"/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21"/>
        <v/>
      </c>
      <c r="HO8" s="11" t="str">
        <f t="shared" si="21"/>
        <v/>
      </c>
      <c r="HP8" s="11" t="str">
        <f>IF(SUM(GT8:GW8)-GX8&gt;0,SUM(GT8:GW8)-GX8,"")</f>
        <v/>
      </c>
      <c r="HQ8" s="11" t="str">
        <f t="shared" si="22"/>
        <v/>
      </c>
      <c r="HR8" s="11" t="str">
        <f t="shared" si="22"/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 t="shared" si="23"/>
        <v/>
      </c>
      <c r="HV8" s="11" t="str">
        <f t="shared" si="23"/>
        <v/>
      </c>
      <c r="HW8" s="11" t="str">
        <f>IF(SUM(HD8:HG8)-HH8&gt;0,SUM(HD8:HG8)-HH8,"")</f>
        <v/>
      </c>
      <c r="HX8" s="11" t="str">
        <f t="shared" si="24"/>
        <v/>
      </c>
      <c r="HY8" s="11" t="str">
        <f t="shared" si="24"/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 t="shared" si="25"/>
        <v/>
      </c>
      <c r="IW8" s="40" t="str">
        <f t="shared" si="25"/>
        <v/>
      </c>
      <c r="IX8" s="40" t="str">
        <f>IF(SUM(IB8:IE8)-IF8&gt;0,SUM(IB8:IE8)-IF8,"")</f>
        <v/>
      </c>
      <c r="IY8" s="40" t="str">
        <f t="shared" si="26"/>
        <v/>
      </c>
      <c r="IZ8" s="40" t="str">
        <f t="shared" si="26"/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 t="shared" si="27"/>
        <v/>
      </c>
      <c r="JD8" s="40" t="str">
        <f t="shared" si="27"/>
        <v/>
      </c>
      <c r="JE8" s="40" t="str">
        <f>IF(SUM(IL8:IO8)-IP8&gt;0,SUM(IL8:IO8)-IP8,"")</f>
        <v/>
      </c>
      <c r="JF8" s="40" t="str">
        <f t="shared" si="28"/>
        <v/>
      </c>
      <c r="JG8" s="40" t="str">
        <f t="shared" si="28"/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29"/>
        <v/>
      </c>
      <c r="KE8" s="11" t="str">
        <f t="shared" si="29"/>
        <v/>
      </c>
      <c r="KF8" s="11" t="str">
        <f>IF(SUM(JJ8:JM8)-JN8&gt;0,SUM(JJ8:JM8)-JN8,"")</f>
        <v/>
      </c>
      <c r="KG8" s="11" t="str">
        <f t="shared" si="30"/>
        <v/>
      </c>
      <c r="KH8" s="11" t="str">
        <f t="shared" si="30"/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 t="shared" si="31"/>
        <v/>
      </c>
      <c r="KL8" s="11" t="str">
        <f t="shared" si="31"/>
        <v/>
      </c>
      <c r="KM8" s="11" t="str">
        <f>IF(SUM(JT8:JW8)-JX8&gt;0,SUM(JT8:JW8)-JX8,"")</f>
        <v/>
      </c>
      <c r="KN8" s="11" t="str">
        <f t="shared" si="32"/>
        <v/>
      </c>
      <c r="KO8" s="11" t="str">
        <f t="shared" si="32"/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 t="shared" si="33"/>
        <v/>
      </c>
      <c r="LM8" s="40" t="str">
        <f t="shared" si="33"/>
        <v/>
      </c>
      <c r="LN8" s="40" t="str">
        <f>IF(SUM(KR8:KU8)-KV8&gt;0,SUM(KR8:KU8)-KV8,"")</f>
        <v/>
      </c>
      <c r="LO8" s="40" t="str">
        <f t="shared" si="34"/>
        <v/>
      </c>
      <c r="LP8" s="40" t="str">
        <f t="shared" si="34"/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 t="shared" si="35"/>
        <v/>
      </c>
      <c r="LT8" s="40" t="str">
        <f t="shared" si="35"/>
        <v/>
      </c>
      <c r="LU8" s="40" t="str">
        <f>IF(SUM(LB8:LE8)-LF8&gt;0,SUM(LB8:LE8)-LF8,"")</f>
        <v/>
      </c>
      <c r="LV8" s="40" t="str">
        <f t="shared" si="36"/>
        <v/>
      </c>
      <c r="LW8" s="40" t="str">
        <f t="shared" si="36"/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37"/>
        <v/>
      </c>
      <c r="MU8" s="11" t="str">
        <f t="shared" si="37"/>
        <v/>
      </c>
      <c r="MV8" s="11" t="str">
        <f>IF(SUM(LZ8:MC8)-MD8&gt;0,SUM(LZ8:MC8)-MD8,"")</f>
        <v/>
      </c>
      <c r="MW8" s="11" t="str">
        <f t="shared" si="38"/>
        <v/>
      </c>
      <c r="MX8" s="11" t="str">
        <f t="shared" si="38"/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 t="shared" si="39"/>
        <v/>
      </c>
      <c r="NB8" s="11" t="str">
        <f t="shared" si="39"/>
        <v/>
      </c>
      <c r="NC8" s="11" t="str">
        <f>IF(SUM(MJ8:MM8)-MN8&gt;0,SUM(MJ8:MM8)-MN8,"")</f>
        <v/>
      </c>
      <c r="ND8" s="11" t="str">
        <f t="shared" si="40"/>
        <v/>
      </c>
      <c r="NE8" s="11" t="str">
        <f t="shared" si="40"/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 t="shared" si="41"/>
        <v/>
      </c>
      <c r="OC8" s="40" t="str">
        <f t="shared" si="41"/>
        <v/>
      </c>
      <c r="OD8" s="40" t="str">
        <f>IF(SUM(NH8:NK8)-NL8&gt;0,SUM(NH8:NK8)-NL8,"")</f>
        <v/>
      </c>
      <c r="OE8" s="40" t="str">
        <f t="shared" si="42"/>
        <v/>
      </c>
      <c r="OF8" s="40" t="str">
        <f t="shared" si="42"/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 t="shared" si="43"/>
        <v/>
      </c>
      <c r="OJ8" s="40" t="str">
        <f t="shared" si="43"/>
        <v/>
      </c>
      <c r="OK8" s="40" t="str">
        <f>IF(SUM(NR8:NU8)-NV8&gt;0,SUM(NR8:NU8)-NV8,"")</f>
        <v/>
      </c>
      <c r="OL8" s="40" t="str">
        <f t="shared" si="44"/>
        <v/>
      </c>
      <c r="OM8" s="40" t="str">
        <f t="shared" si="44"/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45"/>
        <v/>
      </c>
      <c r="PK8" s="11" t="str">
        <f t="shared" si="45"/>
        <v/>
      </c>
      <c r="PL8" s="11" t="str">
        <f>IF(SUM(OP8:OS8)-OT8&gt;0,SUM(OP8:OS8)-OT8,"")</f>
        <v/>
      </c>
      <c r="PM8" s="11" t="str">
        <f t="shared" si="46"/>
        <v/>
      </c>
      <c r="PN8" s="11" t="str">
        <f t="shared" si="46"/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 t="shared" si="47"/>
        <v/>
      </c>
      <c r="PR8" s="11" t="str">
        <f t="shared" si="47"/>
        <v/>
      </c>
      <c r="PS8" s="11" t="str">
        <f>IF(SUM(OZ8:PC8)-PD8&gt;0,SUM(OZ8:PC8)-PD8,"")</f>
        <v/>
      </c>
      <c r="PT8" s="11" t="str">
        <f t="shared" si="48"/>
        <v/>
      </c>
      <c r="PU8" s="11" t="str">
        <f t="shared" si="48"/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 t="shared" si="49"/>
        <v/>
      </c>
      <c r="QS8" s="40" t="str">
        <f t="shared" si="49"/>
        <v/>
      </c>
      <c r="QT8" s="40" t="str">
        <f>IF(SUM(PX8:QA8)-QB8&gt;0,SUM(PX8:QA8)-QB8,"")</f>
        <v/>
      </c>
      <c r="QU8" s="40" t="str">
        <f t="shared" si="50"/>
        <v/>
      </c>
      <c r="QV8" s="40" t="str">
        <f t="shared" si="50"/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 t="shared" si="51"/>
        <v/>
      </c>
      <c r="QZ8" s="40" t="str">
        <f t="shared" si="51"/>
        <v/>
      </c>
      <c r="RA8" s="40" t="str">
        <f>IF(SUM(QH8:QK8)-QL8&gt;0,SUM(QH8:QK8)-QL8,"")</f>
        <v/>
      </c>
      <c r="RB8" s="40" t="str">
        <f t="shared" si="52"/>
        <v/>
      </c>
      <c r="RC8" s="40" t="str">
        <f t="shared" si="52"/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53"/>
        <v/>
      </c>
      <c r="SA8" s="11" t="str">
        <f t="shared" si="53"/>
        <v/>
      </c>
      <c r="SB8" s="11" t="str">
        <f>IF(SUM(RF8:RI8)-RJ8&gt;0,SUM(RF8:RI8)-RJ8,"")</f>
        <v/>
      </c>
      <c r="SC8" s="11" t="str">
        <f t="shared" si="54"/>
        <v/>
      </c>
      <c r="SD8" s="11" t="str">
        <f t="shared" si="54"/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 t="shared" si="55"/>
        <v/>
      </c>
      <c r="SH8" s="11" t="str">
        <f t="shared" si="55"/>
        <v/>
      </c>
      <c r="SI8" s="11" t="str">
        <f>IF(SUM(RP8:RS8)-RT8&gt;0,SUM(RP8:RS8)-RT8,"")</f>
        <v/>
      </c>
      <c r="SJ8" s="11" t="str">
        <f t="shared" si="56"/>
        <v/>
      </c>
      <c r="SK8" s="11" t="str">
        <f t="shared" si="56"/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 t="shared" si="57"/>
        <v/>
      </c>
      <c r="TI8" s="40" t="str">
        <f t="shared" si="57"/>
        <v/>
      </c>
      <c r="TJ8" s="40" t="str">
        <f>IF(SUM(SN8:SQ8)-SR8&gt;0,SUM(SN8:SQ8)-SR8,"")</f>
        <v/>
      </c>
      <c r="TK8" s="40" t="str">
        <f t="shared" si="58"/>
        <v/>
      </c>
      <c r="TL8" s="40" t="str">
        <f t="shared" si="58"/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 t="shared" si="59"/>
        <v/>
      </c>
      <c r="TP8" s="40" t="str">
        <f t="shared" si="59"/>
        <v/>
      </c>
      <c r="TQ8" s="40" t="str">
        <f>IF(SUM(SX8:TA8)-TB8&gt;0,SUM(SX8:TA8)-TB8,"")</f>
        <v/>
      </c>
      <c r="TR8" s="40" t="str">
        <f t="shared" si="60"/>
        <v/>
      </c>
      <c r="TS8" s="40" t="str">
        <f t="shared" si="60"/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 t="shared" si="61"/>
        <v/>
      </c>
      <c r="UQ8" s="11" t="str">
        <f t="shared" si="61"/>
        <v/>
      </c>
      <c r="UR8" s="11" t="str">
        <f>IF(SUM(TV8:TY8)-TZ8&gt;0,SUM(TV8:TY8)-TZ8,"")</f>
        <v/>
      </c>
      <c r="US8" s="11" t="str">
        <f t="shared" si="62"/>
        <v/>
      </c>
      <c r="UT8" s="11" t="str">
        <f t="shared" si="62"/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 t="shared" si="63"/>
        <v/>
      </c>
      <c r="UX8" s="11" t="str">
        <f t="shared" si="63"/>
        <v/>
      </c>
      <c r="UY8" s="11" t="str">
        <f>IF(SUM(UF8:UI8)-UJ8&gt;0,SUM(UF8:UI8)-UJ8,"")</f>
        <v/>
      </c>
      <c r="UZ8" s="11" t="str">
        <f t="shared" si="64"/>
        <v/>
      </c>
      <c r="VA8" s="11" t="str">
        <f t="shared" si="64"/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 t="shared" si="65"/>
        <v/>
      </c>
      <c r="VY8" s="40" t="str">
        <f t="shared" si="65"/>
        <v/>
      </c>
      <c r="VZ8" s="40" t="str">
        <f>IF(SUM(VD8:VG8)-VH8&gt;0,SUM(VD8:VG8)-VH8,"")</f>
        <v/>
      </c>
      <c r="WA8" s="40" t="str">
        <f t="shared" si="66"/>
        <v/>
      </c>
      <c r="WB8" s="40" t="str">
        <f t="shared" si="66"/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 t="shared" si="67"/>
        <v/>
      </c>
      <c r="WF8" s="40" t="str">
        <f t="shared" si="67"/>
        <v/>
      </c>
      <c r="WG8" s="40" t="str">
        <f>IF(SUM(VN8:VQ8)-VR8&gt;0,SUM(VN8:VQ8)-VR8,"")</f>
        <v/>
      </c>
      <c r="WH8" s="40" t="str">
        <f t="shared" si="68"/>
        <v/>
      </c>
      <c r="WI8" s="40" t="str">
        <f t="shared" si="68"/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 t="shared" si="69"/>
        <v>0</v>
      </c>
      <c r="WM8" s="26">
        <f t="shared" si="69"/>
        <v>0</v>
      </c>
      <c r="WN8" s="26">
        <f t="shared" si="69"/>
        <v>0</v>
      </c>
      <c r="WO8" s="26">
        <f t="shared" si="69"/>
        <v>0</v>
      </c>
      <c r="WP8" s="26">
        <f t="shared" si="69"/>
        <v>0</v>
      </c>
      <c r="WQ8" s="26">
        <f t="shared" si="69"/>
        <v>0</v>
      </c>
      <c r="WR8" s="26">
        <f t="shared" si="69"/>
        <v>0</v>
      </c>
      <c r="WS8" s="26">
        <f t="shared" si="69"/>
        <v>0</v>
      </c>
      <c r="WT8" s="26">
        <f t="shared" si="69"/>
        <v>0</v>
      </c>
      <c r="WU8" s="26">
        <f t="shared" si="69"/>
        <v>0</v>
      </c>
      <c r="WV8" s="26">
        <f t="shared" si="69"/>
        <v>0</v>
      </c>
      <c r="WW8" s="26">
        <f t="shared" si="69"/>
        <v>0</v>
      </c>
      <c r="WX8" s="26">
        <f t="shared" si="69"/>
        <v>0</v>
      </c>
      <c r="WY8" s="26">
        <f t="shared" si="69"/>
        <v>0</v>
      </c>
      <c r="WZ8" s="26">
        <f t="shared" si="69"/>
        <v>0</v>
      </c>
      <c r="XA8" s="28" t="s">
        <v>53</v>
      </c>
      <c r="XB8" s="11" t="str">
        <f t="shared" si="70"/>
        <v/>
      </c>
      <c r="XC8" s="11" t="str">
        <f t="shared" si="70"/>
        <v/>
      </c>
      <c r="XD8" s="11" t="str">
        <f>IF(SUM(WL8:WO8)-WP8&gt;0,SUM(WL8:WO8)-WP8,"")</f>
        <v/>
      </c>
      <c r="XE8" s="11" t="str">
        <f t="shared" si="71"/>
        <v/>
      </c>
      <c r="XF8" s="11" t="str">
        <f t="shared" si="71"/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 t="shared" si="72"/>
        <v/>
      </c>
      <c r="XJ8" s="11" t="str">
        <f t="shared" si="72"/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B9" s="5"/>
      <c r="D9" s="1"/>
    </row>
    <row r="10" spans="1:636" x14ac:dyDescent="0.2">
      <c r="G10" s="36"/>
      <c r="I10" s="36"/>
    </row>
    <row r="11" spans="1:636" x14ac:dyDescent="0.2">
      <c r="B11" s="23" t="s">
        <v>51</v>
      </c>
      <c r="C11" s="5"/>
      <c r="G11" s="3"/>
      <c r="AJ11" s="41"/>
      <c r="AK11" s="41"/>
      <c r="AL11" s="41"/>
      <c r="AN11" s="32"/>
      <c r="AO11" s="32"/>
      <c r="AQ11" s="42">
        <v>10.4</v>
      </c>
      <c r="BK11" s="41"/>
      <c r="BL11" s="41"/>
      <c r="BM11" s="41"/>
      <c r="BO11" s="32"/>
      <c r="BP11" s="32"/>
      <c r="BR11" s="42">
        <v>10.4</v>
      </c>
      <c r="CL11" s="41"/>
      <c r="CM11" s="41"/>
      <c r="CN11" s="41"/>
      <c r="CP11" s="32"/>
      <c r="CQ11" s="32"/>
      <c r="CS11" s="42">
        <v>11</v>
      </c>
      <c r="DP11" s="5"/>
      <c r="DQ11" s="5"/>
      <c r="DZ11" s="2"/>
      <c r="EA11" s="2"/>
      <c r="EC11" s="42">
        <v>10.4</v>
      </c>
      <c r="EX11" s="5"/>
      <c r="EY11" s="5"/>
      <c r="FH11" s="2"/>
      <c r="FI11" s="2"/>
      <c r="FK11" s="42">
        <v>10.4</v>
      </c>
      <c r="GF11" s="5"/>
      <c r="GG11" s="5"/>
      <c r="GP11" s="2"/>
      <c r="GQ11" s="2"/>
      <c r="GS11" s="42">
        <v>10.4</v>
      </c>
      <c r="HN11" s="5"/>
      <c r="HO11" s="5"/>
      <c r="HX11" s="2"/>
      <c r="HY11" s="2"/>
      <c r="IA11" s="42">
        <v>10.4</v>
      </c>
      <c r="IV11" s="5"/>
      <c r="IW11" s="5"/>
      <c r="JF11" s="2"/>
      <c r="JG11" s="2"/>
      <c r="JI11" s="42">
        <v>11</v>
      </c>
      <c r="KD11" s="5"/>
      <c r="KE11" s="5"/>
      <c r="KN11" s="2"/>
      <c r="KO11" s="2"/>
      <c r="KQ11" s="42">
        <v>11</v>
      </c>
      <c r="LL11" s="5"/>
      <c r="LM11" s="5"/>
      <c r="LV11" s="2"/>
      <c r="LW11" s="2"/>
      <c r="LY11" s="42">
        <v>11</v>
      </c>
      <c r="MT11" s="5"/>
      <c r="MU11" s="5"/>
      <c r="ND11" s="2"/>
      <c r="NE11" s="2"/>
      <c r="NG11" s="42">
        <v>11</v>
      </c>
      <c r="OB11" s="5"/>
      <c r="OC11" s="5"/>
      <c r="OL11" s="2"/>
      <c r="OM11" s="2"/>
      <c r="OO11" s="42">
        <v>11</v>
      </c>
      <c r="PJ11" s="5"/>
      <c r="PK11" s="5"/>
      <c r="PT11" s="2"/>
      <c r="PU11" s="2"/>
      <c r="PW11" s="42">
        <v>11</v>
      </c>
      <c r="QR11" s="5"/>
      <c r="QS11" s="5"/>
      <c r="RB11" s="2"/>
      <c r="RC11" s="2"/>
      <c r="RE11" s="42">
        <v>11</v>
      </c>
      <c r="RZ11" s="5"/>
      <c r="SA11" s="5"/>
      <c r="SJ11" s="2"/>
      <c r="SK11" s="2"/>
      <c r="SM11" s="42">
        <v>11</v>
      </c>
      <c r="TH11" s="5"/>
      <c r="TI11" s="5"/>
      <c r="TR11" s="2"/>
      <c r="TS11" s="2"/>
      <c r="TU11" s="42">
        <v>11</v>
      </c>
      <c r="UP11" s="5"/>
      <c r="UQ11" s="5"/>
      <c r="UZ11" s="2"/>
      <c r="VA11" s="2"/>
      <c r="VC11" s="42">
        <v>11</v>
      </c>
      <c r="VX11" s="5"/>
      <c r="VY11" s="5"/>
      <c r="WH11" s="2"/>
      <c r="WI11" s="2"/>
      <c r="WK11" s="42">
        <v>11</v>
      </c>
    </row>
    <row r="12" spans="1:636" x14ac:dyDescent="0.2">
      <c r="B12" s="30" t="s">
        <v>50</v>
      </c>
      <c r="C12" s="5"/>
      <c r="P12" s="2"/>
      <c r="AJ12" s="41"/>
      <c r="AK12" s="41"/>
      <c r="AL12" s="41"/>
      <c r="AN12" s="32"/>
      <c r="AO12" s="32"/>
      <c r="AQ12" s="43">
        <v>11.2</v>
      </c>
      <c r="BK12" s="41"/>
      <c r="BL12" s="41"/>
      <c r="BM12" s="41"/>
      <c r="BO12" s="32"/>
      <c r="BP12" s="32"/>
      <c r="BR12" s="43">
        <v>11.2</v>
      </c>
      <c r="CL12" s="41"/>
      <c r="CM12" s="41"/>
      <c r="CN12" s="41"/>
      <c r="CP12" s="32"/>
      <c r="CQ12" s="32"/>
      <c r="CS12" s="43">
        <v>11.4</v>
      </c>
      <c r="DP12" s="5"/>
      <c r="DQ12" s="5"/>
      <c r="DZ12" s="2"/>
      <c r="EA12" s="2"/>
      <c r="EC12" s="43">
        <v>11.2</v>
      </c>
      <c r="EX12" s="5"/>
      <c r="EY12" s="5"/>
      <c r="FH12" s="2"/>
      <c r="FI12" s="2"/>
      <c r="FK12" s="43">
        <v>11.2</v>
      </c>
      <c r="GF12" s="5"/>
      <c r="GG12" s="5"/>
      <c r="GP12" s="2"/>
      <c r="GQ12" s="2"/>
      <c r="GS12" s="43">
        <v>11.2</v>
      </c>
      <c r="HN12" s="5"/>
      <c r="HO12" s="5"/>
      <c r="HX12" s="2"/>
      <c r="HY12" s="2"/>
      <c r="IA12" s="43">
        <v>11.2</v>
      </c>
      <c r="IV12" s="5"/>
      <c r="IW12" s="5"/>
      <c r="JF12" s="2"/>
      <c r="JG12" s="2"/>
      <c r="JI12" s="43">
        <v>11.4</v>
      </c>
      <c r="KD12" s="5"/>
      <c r="KE12" s="5"/>
      <c r="KN12" s="2"/>
      <c r="KO12" s="2"/>
      <c r="KQ12" s="43">
        <v>11.4</v>
      </c>
      <c r="LL12" s="5"/>
      <c r="LM12" s="5"/>
      <c r="LV12" s="2"/>
      <c r="LW12" s="2"/>
      <c r="LY12" s="43">
        <v>11.4</v>
      </c>
      <c r="MT12" s="5"/>
      <c r="MU12" s="5"/>
      <c r="ND12" s="2"/>
      <c r="NE12" s="2"/>
      <c r="NG12" s="43">
        <v>11.4</v>
      </c>
      <c r="OB12" s="5"/>
      <c r="OC12" s="5"/>
      <c r="OL12" s="2"/>
      <c r="OM12" s="2"/>
      <c r="OO12" s="43">
        <v>11.4</v>
      </c>
      <c r="PJ12" s="5"/>
      <c r="PK12" s="5"/>
      <c r="PT12" s="2"/>
      <c r="PU12" s="2"/>
      <c r="PW12" s="43">
        <v>11.4</v>
      </c>
      <c r="QR12" s="5"/>
      <c r="QS12" s="5"/>
      <c r="RB12" s="2"/>
      <c r="RC12" s="2"/>
      <c r="RE12" s="43">
        <v>11.4</v>
      </c>
      <c r="RZ12" s="5"/>
      <c r="SA12" s="5"/>
      <c r="SJ12" s="2"/>
      <c r="SK12" s="2"/>
      <c r="SM12" s="43">
        <v>11.4</v>
      </c>
      <c r="TH12" s="5"/>
      <c r="TI12" s="5"/>
      <c r="TR12" s="2"/>
      <c r="TS12" s="2"/>
      <c r="TU12" s="43">
        <v>11.4</v>
      </c>
      <c r="UP12" s="5"/>
      <c r="UQ12" s="5"/>
      <c r="UZ12" s="2"/>
      <c r="VA12" s="2"/>
      <c r="VC12" s="43">
        <v>11.4</v>
      </c>
      <c r="VX12" s="5"/>
      <c r="VY12" s="5"/>
      <c r="WH12" s="2"/>
      <c r="WI12" s="2"/>
      <c r="WK12" s="43">
        <v>11.4</v>
      </c>
    </row>
    <row r="13" spans="1:636" x14ac:dyDescent="0.2">
      <c r="A13" s="5"/>
      <c r="B13" s="31" t="s">
        <v>63</v>
      </c>
      <c r="C13" s="5"/>
      <c r="E13" s="2"/>
      <c r="AJ13" s="41"/>
      <c r="AK13" s="41"/>
      <c r="AL13" s="41"/>
      <c r="AM13" s="32"/>
      <c r="AN13" s="32"/>
      <c r="AO13" s="32"/>
      <c r="AP13" s="32"/>
      <c r="AQ13" s="44">
        <v>12</v>
      </c>
      <c r="BK13" s="41"/>
      <c r="BL13" s="41"/>
      <c r="BM13" s="41"/>
      <c r="BO13" s="32"/>
      <c r="BP13" s="32"/>
      <c r="BR13" s="44">
        <v>12</v>
      </c>
      <c r="CL13" s="41"/>
      <c r="CM13" s="41"/>
      <c r="CN13" s="41"/>
      <c r="CO13" s="32"/>
      <c r="CP13" s="32"/>
      <c r="CQ13" s="32"/>
      <c r="CR13" s="32"/>
      <c r="CS13" s="44">
        <v>12.4</v>
      </c>
      <c r="DP13" s="5"/>
      <c r="DQ13" s="5"/>
      <c r="DZ13" s="2"/>
      <c r="EA13" s="2"/>
      <c r="EC13" s="44">
        <v>12</v>
      </c>
      <c r="EX13" s="5"/>
      <c r="EY13" s="5"/>
      <c r="FH13" s="2"/>
      <c r="FI13" s="2"/>
      <c r="FK13" s="44">
        <v>12</v>
      </c>
      <c r="GF13" s="5"/>
      <c r="GG13" s="5"/>
      <c r="GP13" s="2"/>
      <c r="GQ13" s="2"/>
      <c r="GS13" s="44">
        <v>12</v>
      </c>
      <c r="HN13" s="5"/>
      <c r="HO13" s="5"/>
      <c r="HX13" s="2"/>
      <c r="HY13" s="2"/>
      <c r="IA13" s="44">
        <v>12</v>
      </c>
      <c r="IV13" s="5"/>
      <c r="IW13" s="5"/>
      <c r="JF13" s="2"/>
      <c r="JG13" s="2"/>
      <c r="JI13" s="44">
        <v>12.4</v>
      </c>
      <c r="KD13" s="5"/>
      <c r="KE13" s="5"/>
      <c r="KN13" s="2"/>
      <c r="KO13" s="2"/>
      <c r="KQ13" s="44">
        <v>12.4</v>
      </c>
      <c r="LL13" s="5"/>
      <c r="LM13" s="5"/>
      <c r="LV13" s="2"/>
      <c r="LW13" s="2"/>
      <c r="LY13" s="44">
        <v>12.4</v>
      </c>
      <c r="MT13" s="5"/>
      <c r="MU13" s="5"/>
      <c r="ND13" s="2"/>
      <c r="NE13" s="2"/>
      <c r="NG13" s="44">
        <v>12.4</v>
      </c>
      <c r="OB13" s="5"/>
      <c r="OC13" s="5"/>
      <c r="OL13" s="2"/>
      <c r="OM13" s="2"/>
      <c r="OO13" s="44">
        <v>12.4</v>
      </c>
      <c r="PJ13" s="5"/>
      <c r="PK13" s="5"/>
      <c r="PT13" s="2"/>
      <c r="PU13" s="2"/>
      <c r="PW13" s="44">
        <v>12.4</v>
      </c>
      <c r="QR13" s="5"/>
      <c r="QS13" s="5"/>
      <c r="RB13" s="2"/>
      <c r="RC13" s="2"/>
      <c r="RE13" s="44">
        <v>12.4</v>
      </c>
      <c r="RZ13" s="5"/>
      <c r="SA13" s="5"/>
      <c r="SJ13" s="2"/>
      <c r="SK13" s="2"/>
      <c r="SM13" s="44">
        <v>12.4</v>
      </c>
      <c r="TH13" s="5"/>
      <c r="TI13" s="5"/>
      <c r="TR13" s="2"/>
      <c r="TS13" s="2"/>
      <c r="TU13" s="44">
        <v>12.4</v>
      </c>
      <c r="UP13" s="5"/>
      <c r="UQ13" s="5"/>
      <c r="UZ13" s="2"/>
      <c r="VA13" s="2"/>
      <c r="VC13" s="44">
        <v>12.4</v>
      </c>
      <c r="VX13" s="5"/>
      <c r="VY13" s="5"/>
      <c r="WH13" s="2"/>
      <c r="WI13" s="2"/>
      <c r="WK13" s="44">
        <v>12.4</v>
      </c>
    </row>
    <row r="14" spans="1:636" x14ac:dyDescent="0.2">
      <c r="A14" s="5"/>
      <c r="B14" s="35" t="s">
        <v>76</v>
      </c>
      <c r="C14" s="5"/>
      <c r="E14" s="2"/>
      <c r="AJ14" s="41"/>
      <c r="AK14" s="41"/>
      <c r="AL14" s="41"/>
      <c r="AM14" s="32"/>
      <c r="AN14" s="32"/>
      <c r="AO14" s="32"/>
      <c r="AP14" s="32"/>
      <c r="AQ14" s="45">
        <v>12.4</v>
      </c>
      <c r="BK14" s="41"/>
      <c r="BL14" s="41"/>
      <c r="BM14" s="41"/>
      <c r="BO14" s="32"/>
      <c r="BP14" s="32"/>
      <c r="BR14" s="45">
        <v>12.4</v>
      </c>
      <c r="CL14" s="41"/>
      <c r="CM14" s="41"/>
      <c r="CN14" s="41"/>
      <c r="CO14" s="32"/>
      <c r="CP14" s="32"/>
      <c r="CQ14" s="32"/>
      <c r="CR14" s="32"/>
      <c r="CS14" s="45">
        <v>13.6</v>
      </c>
      <c r="DP14" s="5"/>
      <c r="DQ14" s="5"/>
      <c r="DZ14" s="2"/>
      <c r="EA14" s="2"/>
      <c r="EC14" s="45">
        <v>12.4</v>
      </c>
      <c r="EX14" s="5"/>
      <c r="EY14" s="5"/>
      <c r="FH14" s="2"/>
      <c r="FI14" s="2"/>
      <c r="FK14" s="45">
        <v>12.4</v>
      </c>
      <c r="GF14" s="5"/>
      <c r="GG14" s="5"/>
      <c r="GP14" s="2"/>
      <c r="GQ14" s="2"/>
      <c r="GS14" s="45">
        <v>12.4</v>
      </c>
      <c r="HN14" s="5"/>
      <c r="HO14" s="5"/>
      <c r="HX14" s="2"/>
      <c r="HY14" s="2"/>
      <c r="IA14" s="45">
        <v>12.4</v>
      </c>
      <c r="IV14" s="5"/>
      <c r="IW14" s="5"/>
      <c r="JF14" s="2"/>
      <c r="JG14" s="2"/>
      <c r="JI14" s="45">
        <v>13.6</v>
      </c>
      <c r="KD14" s="5"/>
      <c r="KE14" s="5"/>
      <c r="KN14" s="2"/>
      <c r="KO14" s="2"/>
      <c r="KQ14" s="45">
        <v>13.6</v>
      </c>
      <c r="LL14" s="5"/>
      <c r="LM14" s="5"/>
      <c r="LV14" s="2"/>
      <c r="LW14" s="2"/>
      <c r="LY14" s="45">
        <v>13.6</v>
      </c>
      <c r="MT14" s="5"/>
      <c r="MU14" s="5"/>
      <c r="ND14" s="2"/>
      <c r="NE14" s="2"/>
      <c r="NG14" s="45">
        <v>13.6</v>
      </c>
      <c r="OB14" s="5"/>
      <c r="OC14" s="5"/>
      <c r="OL14" s="2"/>
      <c r="OM14" s="2"/>
      <c r="OO14" s="45">
        <v>13.6</v>
      </c>
      <c r="PJ14" s="5"/>
      <c r="PK14" s="5"/>
      <c r="PT14" s="2"/>
      <c r="PU14" s="2"/>
      <c r="PW14" s="45">
        <v>13.6</v>
      </c>
      <c r="QR14" s="5"/>
      <c r="QS14" s="5"/>
      <c r="RB14" s="2"/>
      <c r="RC14" s="2"/>
      <c r="RE14" s="45">
        <v>13.6</v>
      </c>
      <c r="RZ14" s="5"/>
      <c r="SA14" s="5"/>
      <c r="SJ14" s="2"/>
      <c r="SK14" s="2"/>
      <c r="SM14" s="45">
        <v>13.6</v>
      </c>
      <c r="TH14" s="5"/>
      <c r="TI14" s="5"/>
      <c r="TR14" s="2"/>
      <c r="TS14" s="2"/>
      <c r="TU14" s="45">
        <v>13.6</v>
      </c>
      <c r="UP14" s="5"/>
      <c r="UQ14" s="5"/>
      <c r="UZ14" s="2"/>
      <c r="VA14" s="2"/>
      <c r="VC14" s="45">
        <v>13.6</v>
      </c>
      <c r="VX14" s="5"/>
      <c r="VY14" s="5"/>
      <c r="WH14" s="2"/>
      <c r="WI14" s="2"/>
      <c r="WK14" s="45">
        <v>13.6</v>
      </c>
    </row>
    <row r="15" spans="1:636" x14ac:dyDescent="0.2">
      <c r="A15" s="5"/>
      <c r="B15" s="34" t="s">
        <v>48</v>
      </c>
      <c r="C15" s="5"/>
      <c r="AJ15" s="41"/>
      <c r="AK15" s="41"/>
      <c r="AL15" s="41"/>
      <c r="AM15" s="32"/>
      <c r="AN15" s="32"/>
      <c r="AO15" s="32"/>
      <c r="AP15" s="32"/>
      <c r="AQ15" s="46">
        <v>44</v>
      </c>
      <c r="BK15" s="41"/>
      <c r="BL15" s="41"/>
      <c r="BM15" s="41"/>
      <c r="BO15" s="32"/>
      <c r="BP15" s="32"/>
      <c r="BR15" s="46">
        <v>44</v>
      </c>
      <c r="CL15" s="41"/>
      <c r="CM15" s="41"/>
      <c r="CN15" s="41"/>
      <c r="CO15" s="32"/>
      <c r="CP15" s="32"/>
      <c r="CQ15" s="32"/>
      <c r="CR15" s="32"/>
      <c r="CS15" s="46">
        <v>43.7</v>
      </c>
      <c r="DP15" s="5"/>
      <c r="DQ15" s="5"/>
      <c r="DZ15" s="2"/>
      <c r="EA15" s="2"/>
      <c r="EC15" s="46">
        <v>44</v>
      </c>
      <c r="EX15" s="5"/>
      <c r="EY15" s="5"/>
      <c r="FH15" s="2"/>
      <c r="FI15" s="2"/>
      <c r="FK15" s="46">
        <v>44</v>
      </c>
      <c r="GF15" s="5"/>
      <c r="GG15" s="5"/>
      <c r="GP15" s="2"/>
      <c r="GQ15" s="2"/>
      <c r="GS15" s="46">
        <v>44</v>
      </c>
      <c r="HN15" s="5"/>
      <c r="HO15" s="5"/>
      <c r="HX15" s="2"/>
      <c r="HY15" s="2"/>
      <c r="IA15" s="46">
        <v>44</v>
      </c>
      <c r="IV15" s="5"/>
      <c r="IW15" s="5"/>
      <c r="JF15" s="2"/>
      <c r="JG15" s="2"/>
      <c r="JI15" s="46">
        <v>43.7</v>
      </c>
      <c r="KD15" s="5"/>
      <c r="KE15" s="5"/>
      <c r="KN15" s="2"/>
      <c r="KO15" s="2"/>
      <c r="KQ15" s="46">
        <v>43.7</v>
      </c>
      <c r="LL15" s="5"/>
      <c r="LM15" s="5"/>
      <c r="LV15" s="2"/>
      <c r="LW15" s="2"/>
      <c r="LY15" s="46">
        <v>43.7</v>
      </c>
      <c r="MT15" s="5"/>
      <c r="MU15" s="5"/>
      <c r="ND15" s="2"/>
      <c r="NE15" s="2"/>
      <c r="NG15" s="46">
        <v>43.7</v>
      </c>
      <c r="OB15" s="5"/>
      <c r="OC15" s="5"/>
      <c r="OL15" s="2"/>
      <c r="OM15" s="2"/>
      <c r="OO15" s="46">
        <v>43.7</v>
      </c>
      <c r="PJ15" s="5"/>
      <c r="PK15" s="5"/>
      <c r="PT15" s="2"/>
      <c r="PU15" s="2"/>
      <c r="PW15" s="46">
        <v>43.7</v>
      </c>
      <c r="QR15" s="5"/>
      <c r="QS15" s="5"/>
      <c r="RB15" s="2"/>
      <c r="RC15" s="2"/>
      <c r="RE15" s="46">
        <v>43.7</v>
      </c>
      <c r="RZ15" s="5"/>
      <c r="SA15" s="5"/>
      <c r="SJ15" s="2"/>
      <c r="SK15" s="2"/>
      <c r="SM15" s="46">
        <v>43.7</v>
      </c>
      <c r="TH15" s="5"/>
      <c r="TI15" s="5"/>
      <c r="TR15" s="2"/>
      <c r="TS15" s="2"/>
      <c r="TU15" s="46">
        <v>43.7</v>
      </c>
      <c r="UP15" s="5"/>
      <c r="UQ15" s="5"/>
      <c r="UZ15" s="2"/>
      <c r="VA15" s="2"/>
      <c r="VC15" s="46">
        <v>43.7</v>
      </c>
      <c r="VX15" s="5"/>
      <c r="VY15" s="5"/>
      <c r="WH15" s="2"/>
      <c r="WI15" s="2"/>
      <c r="WK15" s="46">
        <v>43.7</v>
      </c>
    </row>
    <row r="16" spans="1:636" x14ac:dyDescent="0.2">
      <c r="A16" s="5"/>
      <c r="B16" s="24" t="s">
        <v>49</v>
      </c>
      <c r="C16" s="5"/>
      <c r="AJ16" s="41"/>
      <c r="AK16" s="41"/>
      <c r="AL16" s="41"/>
      <c r="AM16" s="32"/>
      <c r="AN16" s="32"/>
      <c r="AO16" s="32"/>
      <c r="AP16" s="32"/>
      <c r="AQ16" s="47">
        <v>45.3</v>
      </c>
      <c r="BK16" s="41"/>
      <c r="BL16" s="41"/>
      <c r="BM16" s="41"/>
      <c r="BO16" s="32"/>
      <c r="BP16" s="32"/>
      <c r="BR16" s="47">
        <v>45.3</v>
      </c>
      <c r="CL16" s="41"/>
      <c r="CM16" s="41"/>
      <c r="CN16" s="41"/>
      <c r="CO16" s="32"/>
      <c r="CP16" s="32"/>
      <c r="CQ16" s="32"/>
      <c r="CR16" s="32"/>
      <c r="CS16" s="47">
        <v>44.7</v>
      </c>
      <c r="DP16" s="5"/>
      <c r="DQ16" s="5"/>
      <c r="DZ16" s="2"/>
      <c r="EA16" s="2"/>
      <c r="EC16" s="47">
        <v>45.3</v>
      </c>
      <c r="EX16" s="5"/>
      <c r="EY16" s="5"/>
      <c r="FH16" s="2"/>
      <c r="FI16" s="2"/>
      <c r="FK16" s="47">
        <v>45.3</v>
      </c>
      <c r="GF16" s="5"/>
      <c r="GG16" s="5"/>
      <c r="GP16" s="2"/>
      <c r="GQ16" s="2"/>
      <c r="GS16" s="47">
        <v>45.3</v>
      </c>
      <c r="HN16" s="5"/>
      <c r="HO16" s="5"/>
      <c r="HX16" s="2"/>
      <c r="HY16" s="2"/>
      <c r="IA16" s="47">
        <v>45.3</v>
      </c>
      <c r="IV16" s="5"/>
      <c r="IW16" s="5"/>
      <c r="JF16" s="2"/>
      <c r="JG16" s="2"/>
      <c r="JI16" s="47">
        <v>44.7</v>
      </c>
      <c r="KD16" s="5"/>
      <c r="KE16" s="5"/>
      <c r="KN16" s="2"/>
      <c r="KO16" s="2"/>
      <c r="KQ16" s="47">
        <v>44.7</v>
      </c>
      <c r="LL16" s="5"/>
      <c r="LM16" s="5"/>
      <c r="LV16" s="2"/>
      <c r="LW16" s="2"/>
      <c r="LY16" s="47">
        <v>44.7</v>
      </c>
      <c r="MT16" s="5"/>
      <c r="MU16" s="5"/>
      <c r="ND16" s="2"/>
      <c r="NE16" s="2"/>
      <c r="NG16" s="47">
        <v>44.7</v>
      </c>
      <c r="OB16" s="5"/>
      <c r="OC16" s="5"/>
      <c r="OL16" s="2"/>
      <c r="OM16" s="2"/>
      <c r="OO16" s="47">
        <v>44.7</v>
      </c>
      <c r="PJ16" s="5"/>
      <c r="PK16" s="5"/>
      <c r="PT16" s="2"/>
      <c r="PU16" s="2"/>
      <c r="PW16" s="47">
        <v>44.7</v>
      </c>
      <c r="QR16" s="5"/>
      <c r="QS16" s="5"/>
      <c r="RB16" s="2"/>
      <c r="RC16" s="2"/>
      <c r="RE16" s="47">
        <v>44.7</v>
      </c>
      <c r="RZ16" s="5"/>
      <c r="SA16" s="5"/>
      <c r="SJ16" s="2"/>
      <c r="SK16" s="2"/>
      <c r="SM16" s="47">
        <v>44.7</v>
      </c>
      <c r="TH16" s="5"/>
      <c r="TI16" s="5"/>
      <c r="TR16" s="2"/>
      <c r="TS16" s="2"/>
      <c r="TU16" s="47">
        <v>44.7</v>
      </c>
      <c r="UP16" s="5"/>
      <c r="UQ16" s="5"/>
      <c r="UZ16" s="2"/>
      <c r="VA16" s="2"/>
      <c r="VC16" s="47">
        <v>44.7</v>
      </c>
      <c r="VX16" s="5"/>
      <c r="VY16" s="5"/>
      <c r="WH16" s="2"/>
      <c r="WI16" s="2"/>
      <c r="WK16" s="47">
        <v>44.7</v>
      </c>
    </row>
    <row r="17" spans="1:609" x14ac:dyDescent="0.2">
      <c r="A17" s="5"/>
      <c r="B17" s="33" t="s">
        <v>62</v>
      </c>
      <c r="C17" s="5"/>
      <c r="AJ17" s="41"/>
      <c r="AK17" s="41"/>
      <c r="AL17" s="41"/>
      <c r="AM17" s="32"/>
      <c r="AN17" s="32"/>
      <c r="AO17" s="32"/>
      <c r="AP17" s="32"/>
      <c r="AQ17" s="48">
        <v>46</v>
      </c>
      <c r="BK17" s="41"/>
      <c r="BL17" s="41"/>
      <c r="BM17" s="41"/>
      <c r="BO17" s="32"/>
      <c r="BP17" s="32"/>
      <c r="BR17" s="48">
        <v>46</v>
      </c>
      <c r="CL17" s="41"/>
      <c r="CM17" s="41"/>
      <c r="CN17" s="41"/>
      <c r="CO17" s="32"/>
      <c r="CP17" s="32"/>
      <c r="CQ17" s="32"/>
      <c r="CR17" s="32"/>
      <c r="CS17" s="48">
        <v>45.6</v>
      </c>
      <c r="DP17" s="5"/>
      <c r="DQ17" s="5"/>
      <c r="DZ17" s="2"/>
      <c r="EA17" s="2"/>
      <c r="EB17" s="37"/>
      <c r="EC17" s="48">
        <v>46</v>
      </c>
      <c r="EX17" s="5"/>
      <c r="EY17" s="5"/>
      <c r="FH17" s="2"/>
      <c r="FI17" s="2"/>
      <c r="FJ17" s="37"/>
      <c r="FK17" s="48">
        <v>46</v>
      </c>
      <c r="GF17" s="5"/>
      <c r="GG17" s="5"/>
      <c r="GP17" s="2"/>
      <c r="GQ17" s="2"/>
      <c r="GR17" s="37"/>
      <c r="GS17" s="48">
        <v>46</v>
      </c>
      <c r="HN17" s="5"/>
      <c r="HO17" s="5"/>
      <c r="HX17" s="2"/>
      <c r="HY17" s="2"/>
      <c r="HZ17" s="37"/>
      <c r="IA17" s="48">
        <v>46</v>
      </c>
      <c r="IV17" s="5"/>
      <c r="IW17" s="5"/>
      <c r="JF17" s="2"/>
      <c r="JG17" s="2"/>
      <c r="JH17" s="37"/>
      <c r="JI17" s="48">
        <v>45.6</v>
      </c>
      <c r="KD17" s="5"/>
      <c r="KE17" s="5"/>
      <c r="KN17" s="2"/>
      <c r="KO17" s="2"/>
      <c r="KP17" s="37"/>
      <c r="KQ17" s="48">
        <v>45.6</v>
      </c>
      <c r="LL17" s="5"/>
      <c r="LM17" s="5"/>
      <c r="LV17" s="2"/>
      <c r="LW17" s="2"/>
      <c r="LX17" s="37"/>
      <c r="LY17" s="48">
        <v>45.6</v>
      </c>
      <c r="MT17" s="5"/>
      <c r="MU17" s="5"/>
      <c r="ND17" s="2"/>
      <c r="NE17" s="2"/>
      <c r="NF17" s="37"/>
      <c r="NG17" s="48">
        <v>45.6</v>
      </c>
      <c r="OB17" s="5"/>
      <c r="OC17" s="5"/>
      <c r="OL17" s="2"/>
      <c r="OM17" s="2"/>
      <c r="ON17" s="37"/>
      <c r="OO17" s="48">
        <v>45.6</v>
      </c>
      <c r="PJ17" s="5"/>
      <c r="PK17" s="5"/>
      <c r="PT17" s="2"/>
      <c r="PU17" s="2"/>
      <c r="PV17" s="37"/>
      <c r="PW17" s="48">
        <v>45.6</v>
      </c>
      <c r="QR17" s="5"/>
      <c r="QS17" s="5"/>
      <c r="RB17" s="2"/>
      <c r="RC17" s="2"/>
      <c r="RD17" s="37"/>
      <c r="RE17" s="48">
        <v>45.6</v>
      </c>
      <c r="RZ17" s="5"/>
      <c r="SA17" s="5"/>
      <c r="SJ17" s="2"/>
      <c r="SK17" s="2"/>
      <c r="SL17" s="37"/>
      <c r="SM17" s="48">
        <v>45.6</v>
      </c>
      <c r="TH17" s="5"/>
      <c r="TI17" s="5"/>
      <c r="TR17" s="2"/>
      <c r="TS17" s="2"/>
      <c r="TT17" s="37"/>
      <c r="TU17" s="48">
        <v>45.6</v>
      </c>
      <c r="UP17" s="5"/>
      <c r="UQ17" s="5"/>
      <c r="UZ17" s="2"/>
      <c r="VA17" s="2"/>
      <c r="VB17" s="37"/>
      <c r="VC17" s="48">
        <v>45.6</v>
      </c>
      <c r="VX17" s="5"/>
      <c r="VY17" s="5"/>
      <c r="WH17" s="2"/>
      <c r="WI17" s="2"/>
      <c r="WJ17" s="37"/>
      <c r="WK17" s="48">
        <v>45.6</v>
      </c>
    </row>
    <row r="18" spans="1:609" x14ac:dyDescent="0.2">
      <c r="A18" s="5"/>
      <c r="B18" s="25" t="s">
        <v>32</v>
      </c>
      <c r="C18" s="5"/>
      <c r="AJ18" s="41"/>
      <c r="AK18" s="41"/>
      <c r="AL18" s="41"/>
      <c r="AM18" s="32"/>
      <c r="AN18" s="41"/>
      <c r="AO18" s="41"/>
      <c r="AP18" s="32"/>
      <c r="AQ18" s="49">
        <v>46.6</v>
      </c>
      <c r="BK18" s="41"/>
      <c r="BL18" s="41"/>
      <c r="BM18" s="41"/>
      <c r="BO18" s="41"/>
      <c r="BP18" s="32"/>
      <c r="BR18" s="49">
        <v>46.6</v>
      </c>
      <c r="CL18" s="41"/>
      <c r="CM18" s="41"/>
      <c r="CN18" s="41"/>
      <c r="CO18" s="32"/>
      <c r="CP18" s="41"/>
      <c r="CQ18" s="32"/>
      <c r="CR18" s="32"/>
      <c r="CS18" s="49">
        <v>46.7</v>
      </c>
      <c r="DP18" s="5"/>
      <c r="DQ18" s="5"/>
      <c r="DZ18" s="41"/>
      <c r="EA18" s="2"/>
      <c r="EC18" s="49">
        <v>46.6</v>
      </c>
      <c r="EX18" s="5"/>
      <c r="EY18" s="5"/>
      <c r="FH18" s="41"/>
      <c r="FI18" s="2"/>
      <c r="FK18" s="49">
        <v>46.6</v>
      </c>
      <c r="GF18" s="5"/>
      <c r="GG18" s="5"/>
      <c r="GP18" s="41"/>
      <c r="GQ18" s="2"/>
      <c r="GS18" s="49">
        <v>46.6</v>
      </c>
      <c r="HN18" s="5"/>
      <c r="HO18" s="5"/>
      <c r="HX18" s="41"/>
      <c r="HY18" s="2"/>
      <c r="IA18" s="49">
        <v>46.6</v>
      </c>
      <c r="IV18" s="5"/>
      <c r="IW18" s="5"/>
      <c r="JF18" s="2"/>
      <c r="JG18" s="2"/>
      <c r="JI18" s="49">
        <v>46.7</v>
      </c>
      <c r="KD18" s="5"/>
      <c r="KE18" s="5"/>
      <c r="KN18" s="2"/>
      <c r="KO18" s="2"/>
      <c r="KQ18" s="49">
        <v>46.7</v>
      </c>
      <c r="LL18" s="5"/>
      <c r="LM18" s="5"/>
      <c r="LV18" s="2"/>
      <c r="LW18" s="2"/>
      <c r="LY18" s="49">
        <v>46.7</v>
      </c>
      <c r="MT18" s="5"/>
      <c r="MU18" s="5"/>
      <c r="ND18" s="2"/>
      <c r="NE18" s="2"/>
      <c r="NG18" s="49">
        <v>46.7</v>
      </c>
      <c r="OB18" s="5"/>
      <c r="OC18" s="5"/>
      <c r="OL18" s="2"/>
      <c r="OM18" s="2"/>
      <c r="OO18" s="49">
        <v>46.7</v>
      </c>
      <c r="PJ18" s="5"/>
      <c r="PK18" s="5"/>
      <c r="PT18" s="2"/>
      <c r="PU18" s="2"/>
      <c r="PW18" s="49">
        <v>46.7</v>
      </c>
      <c r="QR18" s="5"/>
      <c r="QS18" s="5"/>
      <c r="RB18" s="2"/>
      <c r="RC18" s="2"/>
      <c r="RE18" s="49">
        <v>46.7</v>
      </c>
      <c r="RZ18" s="5"/>
      <c r="SA18" s="5"/>
      <c r="SJ18" s="2"/>
      <c r="SK18" s="2"/>
      <c r="SM18" s="49">
        <v>46.7</v>
      </c>
      <c r="TH18" s="5"/>
      <c r="TI18" s="5"/>
      <c r="TR18" s="2"/>
      <c r="TS18" s="2"/>
      <c r="TU18" s="49">
        <v>46.7</v>
      </c>
      <c r="UP18" s="5"/>
      <c r="UQ18" s="5"/>
      <c r="UZ18" s="2"/>
      <c r="VA18" s="2"/>
      <c r="VC18" s="49">
        <v>46.7</v>
      </c>
      <c r="VX18" s="5"/>
      <c r="VY18" s="5"/>
      <c r="WH18" s="2"/>
      <c r="WI18" s="2"/>
      <c r="WK18" s="49">
        <v>46.7</v>
      </c>
    </row>
    <row r="19" spans="1:609" s="36" customFormat="1" x14ac:dyDescent="0.2">
      <c r="A19"/>
      <c r="B19" s="29" t="s">
        <v>54</v>
      </c>
      <c r="C19" s="2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M19" s="32"/>
      <c r="AP19" s="32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O19" s="32"/>
      <c r="CR19" s="32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</row>
    <row r="20" spans="1:609" s="36" customFormat="1" x14ac:dyDescent="0.2">
      <c r="A20" s="5"/>
      <c r="B20" s="5"/>
      <c r="C20" s="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I20" s="32"/>
      <c r="AJ20" s="32"/>
      <c r="AK20" s="32"/>
      <c r="AL20" s="32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K20" s="32"/>
      <c r="CL20" s="32"/>
      <c r="CM20" s="32"/>
      <c r="CN20" s="32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ht="17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 s="10"/>
      <c r="O21" s="10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 s="10"/>
      <c r="O23" s="10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 s="10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ht="17" x14ac:dyDescent="0.2">
      <c r="N35" s="10"/>
      <c r="O35" s="10"/>
      <c r="P35" s="10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6:XL8">
      <sortCondition descending="1" ref="F1:F9"/>
    </sortState>
  </autoFilter>
  <mergeCells count="108"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284" priority="157" operator="containsText" text="No DD">
      <formula>NOT(ISERROR(SEARCH("No DD",H1)))</formula>
    </cfRule>
    <cfRule type="containsText" dxfId="283" priority="158" operator="containsText" text="Merit">
      <formula>NOT(ISERROR(SEARCH("Merit",H1)))</formula>
    </cfRule>
    <cfRule type="containsText" dxfId="282" priority="159" operator="containsText" text="Excellence">
      <formula>NOT(ISERROR(SEARCH("Excellence",H1)))</formula>
    </cfRule>
    <cfRule type="containsText" dxfId="281" priority="160" operator="containsText" text="Worlds Team">
      <formula>NOT(ISERROR(SEARCH("Worlds Team",H1)))</formula>
    </cfRule>
    <cfRule type="containsText" dxfId="280" priority="161" operator="containsText" text="National Team">
      <formula>NOT(ISERROR(SEARCH("National Team",H1)))</formula>
    </cfRule>
  </conditionalFormatting>
  <conditionalFormatting sqref="A4:A1048576">
    <cfRule type="expression" dxfId="279" priority="155">
      <formula>AND(G4&lt;&gt;"",F4="")</formula>
    </cfRule>
    <cfRule type="expression" dxfId="278" priority="156">
      <formula>IF(A4&gt;4,1,0)</formula>
    </cfRule>
  </conditionalFormatting>
  <conditionalFormatting sqref="Q4:AQ8">
    <cfRule type="expression" dxfId="277" priority="154" stopIfTrue="1">
      <formula>IF($AF4&lt;&gt;"",1,0)</formula>
    </cfRule>
  </conditionalFormatting>
  <conditionalFormatting sqref="AR4:BR8">
    <cfRule type="expression" dxfId="276" priority="153" stopIfTrue="1">
      <formula>IF($BG4&lt;&gt;"",1,0)</formula>
    </cfRule>
  </conditionalFormatting>
  <conditionalFormatting sqref="BS4:CS8">
    <cfRule type="expression" dxfId="275" priority="152" stopIfTrue="1">
      <formula>IF($CH4&lt;&gt;"",1,0)</formula>
    </cfRule>
  </conditionalFormatting>
  <conditionalFormatting sqref="BO19:BO1048576 BH1:BH1048576 BK1:BK1048576 BO1:BO17">
    <cfRule type="cellIs" dxfId="274" priority="148" operator="between">
      <formula>$BR$14</formula>
      <formula>1000</formula>
    </cfRule>
    <cfRule type="cellIs" dxfId="273" priority="149" operator="between">
      <formula>$BR$13</formula>
      <formula>$BR$14</formula>
    </cfRule>
    <cfRule type="cellIs" dxfId="272" priority="150" operator="between">
      <formula>$BR$12</formula>
      <formula>$BR$13</formula>
    </cfRule>
    <cfRule type="cellIs" dxfId="271" priority="151" operator="between">
      <formula>$BR$11</formula>
      <formula>$BR$12</formula>
    </cfRule>
  </conditionalFormatting>
  <conditionalFormatting sqref="CP19:CP1048576 CI1:CI1048576 CL1:CL1048576 CP1:CP17">
    <cfRule type="cellIs" dxfId="270" priority="144" operator="between">
      <formula>$CS$14</formula>
      <formula>1000</formula>
    </cfRule>
    <cfRule type="cellIs" dxfId="269" priority="145" operator="between">
      <formula>$CS$13</formula>
      <formula>$CS$14</formula>
    </cfRule>
    <cfRule type="cellIs" dxfId="268" priority="146" operator="between">
      <formula>$CS$12</formula>
      <formula>$CS$13</formula>
    </cfRule>
    <cfRule type="cellIs" dxfId="267" priority="147" operator="between">
      <formula>$CS$11</formula>
      <formula>$CS$12</formula>
    </cfRule>
  </conditionalFormatting>
  <conditionalFormatting sqref="DZ19:DZ1048576 DP1:DP1048576 DS1:DS1048576 DW1:DW1048576 DZ1:DZ17">
    <cfRule type="cellIs" dxfId="266" priority="140" operator="between">
      <formula>$EC$14</formula>
      <formula>1000</formula>
    </cfRule>
    <cfRule type="cellIs" dxfId="265" priority="141" operator="between">
      <formula>$EC$13</formula>
      <formula>$EC$14</formula>
    </cfRule>
    <cfRule type="cellIs" dxfId="264" priority="142" operator="between">
      <formula>$EC$12</formula>
      <formula>$EC$13</formula>
    </cfRule>
    <cfRule type="cellIs" dxfId="263" priority="143" operator="between">
      <formula>$EC$11</formula>
      <formula>$EC$12</formula>
    </cfRule>
  </conditionalFormatting>
  <conditionalFormatting sqref="FH19:FH1048576 EX1:EX1048576 FA1:FA1048576 FE1:FE1048576 FH1:FH17">
    <cfRule type="cellIs" dxfId="262" priority="136" operator="between">
      <formula>$FK$14</formula>
      <formula>1000</formula>
    </cfRule>
    <cfRule type="cellIs" dxfId="261" priority="137" operator="between">
      <formula>$FK$13</formula>
      <formula>$FK$14</formula>
    </cfRule>
    <cfRule type="cellIs" dxfId="260" priority="138" operator="between">
      <formula>$FK$12</formula>
      <formula>$FK$13</formula>
    </cfRule>
    <cfRule type="cellIs" dxfId="259" priority="139" operator="between">
      <formula>$FK$11</formula>
      <formula>$FK$12</formula>
    </cfRule>
  </conditionalFormatting>
  <conditionalFormatting sqref="HX19:HX1048576 HN1:HN1048576 HQ1:HQ1048576 HU1:HU1048576 HX1:HX17">
    <cfRule type="cellIs" dxfId="258" priority="132" operator="between">
      <formula>$IA$14</formula>
      <formula>1000</formula>
    </cfRule>
    <cfRule type="cellIs" dxfId="257" priority="133" operator="between">
      <formula>$IA$13</formula>
      <formula>$IA$14</formula>
    </cfRule>
    <cfRule type="cellIs" dxfId="256" priority="134" operator="between">
      <formula>$IA$12</formula>
      <formula>$IA$13</formula>
    </cfRule>
    <cfRule type="cellIs" dxfId="255" priority="135" operator="between">
      <formula>$IA$11</formula>
      <formula>$IA$12</formula>
    </cfRule>
  </conditionalFormatting>
  <conditionalFormatting sqref="AO18 AG1:AG1048576 AJ1:AJ1048576 AN1:AN1048576">
    <cfRule type="cellIs" dxfId="254" priority="128" operator="between">
      <formula>$AQ$14</formula>
      <formula>1000</formula>
    </cfRule>
    <cfRule type="cellIs" dxfId="253" priority="129" operator="between">
      <formula>$AQ$13</formula>
      <formula>$AQ$14</formula>
    </cfRule>
    <cfRule type="cellIs" dxfId="252" priority="130" operator="between">
      <formula>$AQ$12</formula>
      <formula>$AQ$13</formula>
    </cfRule>
    <cfRule type="cellIs" dxfId="251" priority="131" operator="between">
      <formula>$AQ$11</formula>
      <formula>$AQ$12</formula>
    </cfRule>
  </conditionalFormatting>
  <conditionalFormatting sqref="BO18">
    <cfRule type="cellIs" dxfId="250" priority="124" operator="between">
      <formula>$AQ$14</formula>
      <formula>1000</formula>
    </cfRule>
    <cfRule type="cellIs" dxfId="249" priority="125" operator="between">
      <formula>$AQ$13</formula>
      <formula>$AQ$14</formula>
    </cfRule>
    <cfRule type="cellIs" dxfId="248" priority="126" operator="between">
      <formula>$AQ$12</formula>
      <formula>$AQ$13</formula>
    </cfRule>
    <cfRule type="cellIs" dxfId="247" priority="127" operator="between">
      <formula>$AQ$11</formula>
      <formula>$AQ$12</formula>
    </cfRule>
  </conditionalFormatting>
  <conditionalFormatting sqref="CP18">
    <cfRule type="cellIs" dxfId="246" priority="120" operator="between">
      <formula>$AQ$14</formula>
      <formula>1000</formula>
    </cfRule>
    <cfRule type="cellIs" dxfId="245" priority="121" operator="between">
      <formula>$AQ$13</formula>
      <formula>$AQ$14</formula>
    </cfRule>
    <cfRule type="cellIs" dxfId="244" priority="122" operator="between">
      <formula>$AQ$12</formula>
      <formula>$AQ$13</formula>
    </cfRule>
    <cfRule type="cellIs" dxfId="243" priority="123" operator="between">
      <formula>$AQ$11</formula>
      <formula>$AQ$12</formula>
    </cfRule>
  </conditionalFormatting>
  <conditionalFormatting sqref="DZ18">
    <cfRule type="cellIs" dxfId="242" priority="116" operator="between">
      <formula>$AQ$14</formula>
      <formula>1000</formula>
    </cfRule>
    <cfRule type="cellIs" dxfId="241" priority="117" operator="between">
      <formula>$AQ$13</formula>
      <formula>$AQ$14</formula>
    </cfRule>
    <cfRule type="cellIs" dxfId="240" priority="118" operator="between">
      <formula>$AQ$12</formula>
      <formula>$AQ$13</formula>
    </cfRule>
    <cfRule type="cellIs" dxfId="239" priority="119" operator="between">
      <formula>$AQ$11</formula>
      <formula>$AQ$12</formula>
    </cfRule>
  </conditionalFormatting>
  <conditionalFormatting sqref="FH18">
    <cfRule type="cellIs" dxfId="238" priority="112" operator="between">
      <formula>$AQ$14</formula>
      <formula>1000</formula>
    </cfRule>
    <cfRule type="cellIs" dxfId="237" priority="113" operator="between">
      <formula>$AQ$13</formula>
      <formula>$AQ$14</formula>
    </cfRule>
    <cfRule type="cellIs" dxfId="236" priority="114" operator="between">
      <formula>$AQ$12</formula>
      <formula>$AQ$13</formula>
    </cfRule>
    <cfRule type="cellIs" dxfId="235" priority="115" operator="between">
      <formula>$AQ$11</formula>
      <formula>$AQ$12</formula>
    </cfRule>
  </conditionalFormatting>
  <conditionalFormatting sqref="HX18">
    <cfRule type="cellIs" dxfId="234" priority="108" operator="between">
      <formula>$AQ$14</formula>
      <formula>1000</formula>
    </cfRule>
    <cfRule type="cellIs" dxfId="233" priority="109" operator="between">
      <formula>$AQ$13</formula>
      <formula>$AQ$14</formula>
    </cfRule>
    <cfRule type="cellIs" dxfId="232" priority="110" operator="between">
      <formula>$AQ$12</formula>
      <formula>$AQ$13</formula>
    </cfRule>
    <cfRule type="cellIs" dxfId="231" priority="111" operator="between">
      <formula>$AQ$11</formula>
      <formula>$AQ$12</formula>
    </cfRule>
  </conditionalFormatting>
  <conditionalFormatting sqref="GP19:GP1048576 GF1:GF1048576 GI1:GI1048576 GM1:GM1048576 GP1:GP17">
    <cfRule type="cellIs" dxfId="230" priority="104" operator="between">
      <formula>$GS$14</formula>
      <formula>1000</formula>
    </cfRule>
    <cfRule type="cellIs" dxfId="229" priority="105" operator="between">
      <formula>$GS$13</formula>
      <formula>$GS$14</formula>
    </cfRule>
    <cfRule type="cellIs" dxfId="228" priority="106" operator="between">
      <formula>$GS$12</formula>
      <formula>$GS$13</formula>
    </cfRule>
    <cfRule type="cellIs" dxfId="227" priority="107" operator="between">
      <formula>$GS$11</formula>
      <formula>$GS$12</formula>
    </cfRule>
  </conditionalFormatting>
  <conditionalFormatting sqref="GP18">
    <cfRule type="cellIs" dxfId="226" priority="100" operator="between">
      <formula>$AQ$14</formula>
      <formula>1000</formula>
    </cfRule>
    <cfRule type="cellIs" dxfId="225" priority="101" operator="between">
      <formula>$AQ$13</formula>
      <formula>$AQ$14</formula>
    </cfRule>
    <cfRule type="cellIs" dxfId="224" priority="102" operator="between">
      <formula>$AQ$12</formula>
      <formula>$AQ$13</formula>
    </cfRule>
    <cfRule type="cellIs" dxfId="223" priority="103" operator="between">
      <formula>$AQ$11</formula>
      <formula>$AQ$12</formula>
    </cfRule>
  </conditionalFormatting>
  <conditionalFormatting sqref="K1:K1048576 M1:M1048576">
    <cfRule type="expression" dxfId="222" priority="97" stopIfTrue="1">
      <formula>IF(K1=$BS$1,1,0)</formula>
    </cfRule>
    <cfRule type="expression" dxfId="221" priority="98">
      <formula>IF(K1=$AR$1,1,0)</formula>
    </cfRule>
    <cfRule type="expression" dxfId="220" priority="99">
      <formula>IF(K1=$Q$1,1,0)</formula>
    </cfRule>
  </conditionalFormatting>
  <conditionalFormatting sqref="CN1:CN1048576 AL1:AL1048576">
    <cfRule type="cellIs" dxfId="219" priority="137349" operator="between">
      <formula>AQ$18</formula>
      <formula>1000</formula>
    </cfRule>
    <cfRule type="cellIs" dxfId="218" priority="137350" operator="between">
      <formula>AQ$17</formula>
      <formula>AQ$18</formula>
    </cfRule>
  </conditionalFormatting>
  <conditionalFormatting sqref="DU1:DU1048576 FC1:FC1048576 GK1:GK1048576 HS1:HS1048576 JA1:JA1048576 KI1:KI1048576 LQ1:LQ1048576 MY1:MY1048576 OG1:OG1048576 PO1:PO1048576 QW1:QW1048576 SE1:SE1048576 TM1:TM18 UU1:UU18 WC1:WC18">
    <cfRule type="cellIs" dxfId="217" priority="137361" operator="between">
      <formula>EC$18</formula>
      <formula>1000</formula>
    </cfRule>
    <cfRule type="cellIs" dxfId="216" priority="137362" operator="between">
      <formula>EC$17</formula>
      <formula>EC$18</formula>
    </cfRule>
  </conditionalFormatting>
  <conditionalFormatting sqref="AI1:AI1048576 AL1:AL1048576 AP1:AP1048576">
    <cfRule type="cellIs" dxfId="215" priority="137445" operator="between">
      <formula>$AQ$18</formula>
      <formula>1000</formula>
    </cfRule>
    <cfRule type="cellIs" dxfId="214" priority="137446" operator="between">
      <formula>$AQ$17</formula>
      <formula>$AQ$18</formula>
    </cfRule>
    <cfRule type="cellIs" dxfId="213" priority="137447" operator="between">
      <formula>$AQ$16</formula>
      <formula>$AQ$17</formula>
    </cfRule>
    <cfRule type="cellIs" dxfId="212" priority="137448" operator="between">
      <formula>$AQ$15</formula>
      <formula>$AQ$16</formula>
    </cfRule>
  </conditionalFormatting>
  <conditionalFormatting sqref="BJ1:BJ1048576 BM1:BM1048576 BQ1:BQ1048576">
    <cfRule type="cellIs" dxfId="211" priority="137481" operator="between">
      <formula>$BR$18</formula>
      <formula>1000</formula>
    </cfRule>
    <cfRule type="cellIs" dxfId="210" priority="137482" operator="between">
      <formula>$BR$17</formula>
      <formula>$BR$18</formula>
    </cfRule>
    <cfRule type="cellIs" dxfId="209" priority="137483" operator="between">
      <formula>$BR$16</formula>
      <formula>$BR$17</formula>
    </cfRule>
    <cfRule type="cellIs" dxfId="208" priority="137484" operator="between">
      <formula>$BR$15</formula>
      <formula>$BR$16</formula>
    </cfRule>
  </conditionalFormatting>
  <conditionalFormatting sqref="CK1:CK1048576 CN1:CN1048576 CR1:CR1048576">
    <cfRule type="cellIs" dxfId="207" priority="137517" operator="between">
      <formula>$CS$18</formula>
      <formula>1000</formula>
    </cfRule>
    <cfRule type="cellIs" dxfId="206" priority="137518" operator="between">
      <formula>$CS$17</formula>
      <formula>$CS$18</formula>
    </cfRule>
    <cfRule type="cellIs" dxfId="205" priority="137519" operator="between">
      <formula>$CS$16</formula>
      <formula>$CS$17</formula>
    </cfRule>
    <cfRule type="cellIs" dxfId="204" priority="137520" operator="between">
      <formula>$CS$15</formula>
      <formula>$CS$16</formula>
    </cfRule>
  </conditionalFormatting>
  <conditionalFormatting sqref="MT1:MT1048576 MW1:MW1048576 NA1:NA1048576 ND1:ND1048576">
    <cfRule type="cellIs" dxfId="203" priority="137553" operator="between">
      <formula>$NG$11</formula>
      <formula>$NG$12</formula>
    </cfRule>
    <cfRule type="cellIs" dxfId="202" priority="137554" operator="between">
      <formula>$NG$12</formula>
      <formula>$NG$13</formula>
    </cfRule>
    <cfRule type="cellIs" dxfId="201" priority="137555" stopIfTrue="1" operator="between">
      <formula>$NG$13</formula>
      <formula>$NG$14</formula>
    </cfRule>
    <cfRule type="cellIs" dxfId="200" priority="137556" stopIfTrue="1" operator="between">
      <formula>$NG$14</formula>
      <formula>1000</formula>
    </cfRule>
  </conditionalFormatting>
  <conditionalFormatting sqref="DR1:DR1048576 DU1:DU1048576 DY1:DY1048576 EB1:EB1048576">
    <cfRule type="cellIs" dxfId="199" priority="137601" operator="between">
      <formula>$EC$18</formula>
      <formula>1000</formula>
    </cfRule>
    <cfRule type="cellIs" dxfId="198" priority="137602" operator="between">
      <formula>$EC$17</formula>
      <formula>$EC$18</formula>
    </cfRule>
    <cfRule type="cellIs" dxfId="197" priority="137603" operator="between">
      <formula>$EC$16</formula>
      <formula>$EC$17</formula>
    </cfRule>
    <cfRule type="cellIs" dxfId="196" priority="137604" operator="between">
      <formula>$EC$15</formula>
      <formula>$EC$16</formula>
    </cfRule>
  </conditionalFormatting>
  <conditionalFormatting sqref="EZ1:EZ1048576 FC1:FC1048576 FG1:FG1048576 FJ1:FJ1048576">
    <cfRule type="cellIs" dxfId="195" priority="137649" operator="between">
      <formula>$FK$18</formula>
      <formula>1000</formula>
    </cfRule>
    <cfRule type="cellIs" dxfId="194" priority="137650" operator="between">
      <formula>$FK$17</formula>
      <formula>$FK$18</formula>
    </cfRule>
    <cfRule type="cellIs" dxfId="193" priority="137651" operator="between">
      <formula>$FK$16</formula>
      <formula>$FK$17</formula>
    </cfRule>
    <cfRule type="cellIs" dxfId="192" priority="137652" operator="between">
      <formula>$FK$15</formula>
      <formula>$FK$16</formula>
    </cfRule>
  </conditionalFormatting>
  <conditionalFormatting sqref="GH1:GH1048576 GK1:GK1048576 GO1:GO1048576 GR1:GR1048576">
    <cfRule type="cellIs" dxfId="191" priority="137697" operator="between">
      <formula>$GS$18</formula>
      <formula>1000</formula>
    </cfRule>
    <cfRule type="cellIs" dxfId="190" priority="137698" operator="between">
      <formula>$GS$17</formula>
      <formula>$GS$18</formula>
    </cfRule>
    <cfRule type="cellIs" dxfId="189" priority="137699" operator="between">
      <formula>$GS$16</formula>
      <formula>$GS$17</formula>
    </cfRule>
    <cfRule type="cellIs" dxfId="188" priority="137700" operator="between">
      <formula>$GS$15</formula>
      <formula>$GS$16</formula>
    </cfRule>
  </conditionalFormatting>
  <conditionalFormatting sqref="HP1:HP1048576 HS1:HS1048576 HW1:HW1048576 HZ1:HZ1048576">
    <cfRule type="cellIs" dxfId="187" priority="137745" operator="between">
      <formula>$IA$18</formula>
      <formula>1000</formula>
    </cfRule>
    <cfRule type="cellIs" dxfId="186" priority="137746" operator="between">
      <formula>$IA$17</formula>
      <formula>$IA$18</formula>
    </cfRule>
    <cfRule type="cellIs" dxfId="185" priority="137747" operator="between">
      <formula>$IA$16</formula>
      <formula>$IA$17</formula>
    </cfRule>
    <cfRule type="cellIs" dxfId="184" priority="137748" operator="between">
      <formula>$IA$15</formula>
      <formula>$IA$16</formula>
    </cfRule>
  </conditionalFormatting>
  <conditionalFormatting sqref="IV1:IV1048576 IY1:IY1048576 JC1:JC1048576 JF1:JF1048576">
    <cfRule type="cellIs" dxfId="183" priority="137793" operator="between">
      <formula>$JI$14</formula>
      <formula>1000</formula>
    </cfRule>
    <cfRule type="cellIs" dxfId="182" priority="137794" operator="between">
      <formula>$JI$13</formula>
      <formula>$JI$14</formula>
    </cfRule>
    <cfRule type="cellIs" dxfId="181" priority="137795" operator="between">
      <formula>$JI$12</formula>
      <formula>$JI$13</formula>
    </cfRule>
    <cfRule type="cellIs" dxfId="180" priority="137796" operator="between">
      <formula>$JI$11</formula>
      <formula>$JI$12</formula>
    </cfRule>
  </conditionalFormatting>
  <conditionalFormatting sqref="IX1:IX1048576 JA1:JA1048576 JE1:JE1048576 JH1:JH1048576">
    <cfRule type="cellIs" dxfId="179" priority="137841" operator="between">
      <formula>$JI$18</formula>
      <formula>1000</formula>
    </cfRule>
    <cfRule type="cellIs" dxfId="178" priority="137842" operator="between">
      <formula>$JI$17</formula>
      <formula>$JI$18</formula>
    </cfRule>
    <cfRule type="cellIs" dxfId="177" priority="137843" operator="between">
      <formula>$JI$16</formula>
      <formula>$JI$17</formula>
    </cfRule>
    <cfRule type="cellIs" dxfId="176" priority="137844" operator="between">
      <formula>$JI$15</formula>
      <formula>$JI$16</formula>
    </cfRule>
  </conditionalFormatting>
  <conditionalFormatting sqref="KD1:KD1048576 KG1:KG1048576 KK1:KK1048576 KN1:KN1048576">
    <cfRule type="cellIs" dxfId="175" priority="137889" operator="between">
      <formula>$KQ$14</formula>
      <formula>1000</formula>
    </cfRule>
    <cfRule type="cellIs" dxfId="174" priority="137890" operator="between">
      <formula>$KQ$13</formula>
      <formula>$KQ$14</formula>
    </cfRule>
    <cfRule type="cellIs" dxfId="173" priority="137891" operator="between">
      <formula>$KQ$12</formula>
      <formula>$KQ$13</formula>
    </cfRule>
    <cfRule type="cellIs" dxfId="172" priority="137892" operator="between">
      <formula>$KQ$11</formula>
      <formula>$KQ$12</formula>
    </cfRule>
  </conditionalFormatting>
  <conditionalFormatting sqref="KF1:KF1048576 KI1:KI1048576 KM1:KM1048576 KP1:KP1048576">
    <cfRule type="cellIs" dxfId="171" priority="137937" operator="between">
      <formula>$KQ$18</formula>
      <formula>1000</formula>
    </cfRule>
    <cfRule type="cellIs" dxfId="170" priority="137938" operator="between">
      <formula>$KQ$17</formula>
      <formula>$KQ$18</formula>
    </cfRule>
    <cfRule type="cellIs" dxfId="169" priority="137939" operator="between">
      <formula>$KQ$16</formula>
      <formula>$KQ$17</formula>
    </cfRule>
    <cfRule type="cellIs" dxfId="168" priority="137940" operator="between">
      <formula>$KQ$15</formula>
      <formula>$KQ$16</formula>
    </cfRule>
  </conditionalFormatting>
  <conditionalFormatting sqref="LL1:LL1048576 LO1:LO1048576 LS1:LS1048576 LV1:LV1048576">
    <cfRule type="cellIs" dxfId="167" priority="137985" operator="between">
      <formula>$LY$14</formula>
      <formula>1000</formula>
    </cfRule>
    <cfRule type="cellIs" dxfId="166" priority="137986" operator="between">
      <formula>$LY$13</formula>
      <formula>$LY$14</formula>
    </cfRule>
    <cfRule type="cellIs" dxfId="165" priority="137987" operator="between">
      <formula>$LY$12</formula>
      <formula>$LY$13</formula>
    </cfRule>
    <cfRule type="cellIs" dxfId="164" priority="137988" operator="between">
      <formula>$LY$11</formula>
      <formula>$LY$12</formula>
    </cfRule>
  </conditionalFormatting>
  <conditionalFormatting sqref="LN1:LN1048576 LQ1:LQ1048576 LU1:LU1048576 LX1:LX1048576">
    <cfRule type="cellIs" dxfId="163" priority="138033" operator="between">
      <formula>$LY$18</formula>
      <formula>1000</formula>
    </cfRule>
    <cfRule type="cellIs" dxfId="162" priority="138034" operator="between">
      <formula>$LY$17</formula>
      <formula>$LY$18</formula>
    </cfRule>
    <cfRule type="cellIs" dxfId="161" priority="138035" operator="between">
      <formula>$LY$16</formula>
      <formula>$LY$17</formula>
    </cfRule>
    <cfRule type="cellIs" dxfId="160" priority="138036" operator="between">
      <formula>$LY$15</formula>
      <formula>$LY$16</formula>
    </cfRule>
  </conditionalFormatting>
  <conditionalFormatting sqref="MV1:MV1048576 MY1:MY1048576 NC1:NC1048576 NF1:NF1048576">
    <cfRule type="cellIs" dxfId="159" priority="138081" operator="between">
      <formula>$NG$18</formula>
      <formula>1000</formula>
    </cfRule>
    <cfRule type="cellIs" dxfId="158" priority="138082" operator="between">
      <formula>$NG$17</formula>
      <formula>$NG$18</formula>
    </cfRule>
    <cfRule type="cellIs" dxfId="157" priority="138083" operator="between">
      <formula>$NG$16</formula>
      <formula>$NG$17</formula>
    </cfRule>
    <cfRule type="cellIs" dxfId="156" priority="138084" operator="between">
      <formula>$NG$15</formula>
      <formula>$NG$16</formula>
    </cfRule>
  </conditionalFormatting>
  <conditionalFormatting sqref="OB1:OB1048576 OE1:OE1048576 OI1:OI1048576 OL1:OL1048576">
    <cfRule type="cellIs" dxfId="155" priority="138129" operator="between">
      <formula>$OO$14</formula>
      <formula>1000</formula>
    </cfRule>
    <cfRule type="cellIs" dxfId="154" priority="138130" operator="between">
      <formula>$OO$13</formula>
      <formula>$OO$14</formula>
    </cfRule>
    <cfRule type="cellIs" dxfId="153" priority="138131" operator="between">
      <formula>$OO$12</formula>
      <formula>$OO$13</formula>
    </cfRule>
    <cfRule type="cellIs" dxfId="152" priority="138132" operator="between">
      <formula>$OO$11</formula>
      <formula>$OO$12</formula>
    </cfRule>
  </conditionalFormatting>
  <conditionalFormatting sqref="OD1:OD1048576 OG1:OG1048576 OK1:OK1048576 ON1:ON1048576">
    <cfRule type="cellIs" dxfId="151" priority="138177" operator="between">
      <formula>$OO$18</formula>
      <formula>1000</formula>
    </cfRule>
    <cfRule type="cellIs" dxfId="150" priority="138178" operator="between">
      <formula>$OO$17</formula>
      <formula>$OO$18</formula>
    </cfRule>
    <cfRule type="cellIs" dxfId="149" priority="138179" operator="between">
      <formula>$OO$16</formula>
      <formula>$OO$17</formula>
    </cfRule>
    <cfRule type="cellIs" dxfId="148" priority="138180" operator="between">
      <formula>$OO$15</formula>
      <formula>$OO$16</formula>
    </cfRule>
  </conditionalFormatting>
  <conditionalFormatting sqref="PJ1:PJ1048576 PM1:PM1048576 PQ1:PQ1048576 PT1:PT1048576">
    <cfRule type="cellIs" dxfId="147" priority="138225" operator="between">
      <formula>$PW$14</formula>
      <formula>1000</formula>
    </cfRule>
    <cfRule type="cellIs" dxfId="146" priority="138226" operator="between">
      <formula>$PW$13</formula>
      <formula>$PW$14</formula>
    </cfRule>
    <cfRule type="cellIs" dxfId="145" priority="138227" operator="between">
      <formula>$PW$12</formula>
      <formula>$PW$13</formula>
    </cfRule>
    <cfRule type="cellIs" dxfId="144" priority="138228" operator="between">
      <formula>$PW$11</formula>
      <formula>$PW$12</formula>
    </cfRule>
  </conditionalFormatting>
  <conditionalFormatting sqref="PL1:PL1048576 PO1:PO1048576 PS1:PS1048576 PV1:PV1048576">
    <cfRule type="cellIs" dxfId="143" priority="138273" operator="between">
      <formula>$PW$18</formula>
      <formula>1000</formula>
    </cfRule>
    <cfRule type="cellIs" dxfId="142" priority="138274" operator="between">
      <formula>$PW$17</formula>
      <formula>$PW$18</formula>
    </cfRule>
    <cfRule type="cellIs" dxfId="141" priority="138275" operator="between">
      <formula>$PW$16</formula>
      <formula>$PW$17</formula>
    </cfRule>
    <cfRule type="cellIs" dxfId="140" priority="138276" operator="between">
      <formula>$PW$15</formula>
      <formula>$PW$16</formula>
    </cfRule>
  </conditionalFormatting>
  <conditionalFormatting sqref="QR1:QR1048576 QU1:QU1048576 QY1:QY1048576 RB1:RB1048576">
    <cfRule type="cellIs" dxfId="139" priority="138321" operator="between">
      <formula>$RE$14</formula>
      <formula>1000</formula>
    </cfRule>
    <cfRule type="cellIs" dxfId="138" priority="138322" operator="between">
      <formula>$RE$13</formula>
      <formula>$RE$14</formula>
    </cfRule>
    <cfRule type="cellIs" dxfId="137" priority="138323" operator="between">
      <formula>$RE$12</formula>
      <formula>$RE$13</formula>
    </cfRule>
    <cfRule type="cellIs" dxfId="136" priority="138324" operator="between">
      <formula>$RE$11</formula>
      <formula>$RE$12</formula>
    </cfRule>
  </conditionalFormatting>
  <conditionalFormatting sqref="QT1:QT1048576 QW1:QW1048576 RA1:RA1048576 RD1:RD1048576">
    <cfRule type="cellIs" dxfId="135" priority="138369" operator="between">
      <formula>$RE$18</formula>
      <formula>1000</formula>
    </cfRule>
    <cfRule type="cellIs" dxfId="134" priority="138370" operator="between">
      <formula>$RE$17</formula>
      <formula>$RE$18</formula>
    </cfRule>
    <cfRule type="cellIs" dxfId="133" priority="138371" operator="between">
      <formula>$RE$16</formula>
      <formula>$RE$17</formula>
    </cfRule>
    <cfRule type="cellIs" dxfId="132" priority="138372" operator="between">
      <formula>$RE$15</formula>
      <formula>$RE$16</formula>
    </cfRule>
  </conditionalFormatting>
  <conditionalFormatting sqref="RZ1:RZ1048576 SC1:SC1048576 SG1:SG1048576 SJ1:SJ1048576 TK1:TK18 TO1:TO18 TR1:TR18 US1:US18 UW1:UW18 UZ1:UZ18 WA1:WA18 WE1:WE18 WH1:WH18 TH1:TH18 UP1:UP18 VX1:VX18">
    <cfRule type="cellIs" dxfId="131" priority="138417" operator="between">
      <formula>$SM$14</formula>
      <formula>1000</formula>
    </cfRule>
    <cfRule type="cellIs" dxfId="130" priority="138418" operator="between">
      <formula>$SM$13</formula>
      <formula>$SM$14</formula>
    </cfRule>
    <cfRule type="cellIs" dxfId="129" priority="138419" operator="between">
      <formula>$SM$12</formula>
      <formula>$SM$13</formula>
    </cfRule>
    <cfRule type="cellIs" dxfId="128" priority="138420" operator="between">
      <formula>$SM$11</formula>
      <formula>$SM$12</formula>
    </cfRule>
  </conditionalFormatting>
  <conditionalFormatting sqref="SB1:SB1048576 SE1:SE1048576 SI1:SI1048576 SL1:SL1048576 TM1:TM18 TQ1:TQ18 TT1:TT18 UU1:UU18 UY1:UY18 VB1:VB18 WC1:WC18 WG1:WG18 WJ1:WJ18 TJ1:TJ18 UR1:UR18 VZ1:VZ18">
    <cfRule type="cellIs" dxfId="127" priority="138561" operator="between">
      <formula>$SM$18</formula>
      <formula>1000</formula>
    </cfRule>
    <cfRule type="cellIs" dxfId="126" priority="138562" operator="between">
      <formula>$SM$17</formula>
      <formula>$SM$18</formula>
    </cfRule>
    <cfRule type="cellIs" dxfId="125" priority="138563" operator="between">
      <formula>$SM$16</formula>
      <formula>$SM$17</formula>
    </cfRule>
    <cfRule type="cellIs" dxfId="124" priority="138564" operator="between">
      <formula>$SM$15</formula>
      <formula>$SM$16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113</v>
      </c>
      <c r="K1" s="69" t="s">
        <v>30</v>
      </c>
      <c r="L1" s="71" t="s">
        <v>114</v>
      </c>
      <c r="M1" s="69" t="s">
        <v>30</v>
      </c>
      <c r="N1" s="69" t="s">
        <v>12</v>
      </c>
      <c r="O1" s="69" t="s">
        <v>30</v>
      </c>
      <c r="P1" s="73" t="s">
        <v>13</v>
      </c>
      <c r="Q1" s="69" t="s">
        <v>31</v>
      </c>
      <c r="R1" s="69" t="s">
        <v>30</v>
      </c>
      <c r="S1" s="64" t="s">
        <v>220</v>
      </c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7" t="s">
        <v>239</v>
      </c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4" t="s">
        <v>249</v>
      </c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60</v>
      </c>
      <c r="DC1" s="68"/>
      <c r="DD1" s="64" t="s">
        <v>233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7" t="s">
        <v>232</v>
      </c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4"/>
      <c r="SG1" s="64"/>
      <c r="SH1" s="64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7" t="s">
        <v>64</v>
      </c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</row>
    <row r="2" spans="1:556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69"/>
      <c r="O2" s="69"/>
      <c r="P2" s="73"/>
      <c r="Q2" s="69"/>
      <c r="R2" s="69"/>
      <c r="S2" s="65" t="s">
        <v>105</v>
      </c>
      <c r="T2" s="65"/>
      <c r="U2" s="65"/>
      <c r="V2" s="65"/>
      <c r="W2" s="65" t="s">
        <v>106</v>
      </c>
      <c r="X2" s="65"/>
      <c r="Y2" s="65"/>
      <c r="Z2" s="65"/>
      <c r="AA2" s="65" t="s">
        <v>107</v>
      </c>
      <c r="AB2" s="65"/>
      <c r="AC2" s="65"/>
      <c r="AD2" s="65"/>
      <c r="AE2" s="65" t="s">
        <v>108</v>
      </c>
      <c r="AF2" s="65"/>
      <c r="AG2" s="65"/>
      <c r="AH2" s="65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66" t="s">
        <v>105</v>
      </c>
      <c r="AW2" s="66"/>
      <c r="AX2" s="66"/>
      <c r="AY2" s="66"/>
      <c r="AZ2" s="66" t="s">
        <v>106</v>
      </c>
      <c r="BA2" s="66"/>
      <c r="BB2" s="66"/>
      <c r="BC2" s="66"/>
      <c r="BD2" s="66" t="s">
        <v>107</v>
      </c>
      <c r="BE2" s="66"/>
      <c r="BF2" s="66"/>
      <c r="BG2" s="66"/>
      <c r="BH2" s="66" t="s">
        <v>108</v>
      </c>
      <c r="BI2" s="66"/>
      <c r="BJ2" s="66"/>
      <c r="BK2" s="66"/>
      <c r="BL2" s="75" t="s">
        <v>109</v>
      </c>
      <c r="BM2" s="75"/>
      <c r="BN2" s="75"/>
      <c r="BO2" s="75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65" t="s">
        <v>105</v>
      </c>
      <c r="BZ2" s="65"/>
      <c r="CA2" s="65"/>
      <c r="CB2" s="65"/>
      <c r="CC2" s="65" t="s">
        <v>106</v>
      </c>
      <c r="CD2" s="65"/>
      <c r="CE2" s="65"/>
      <c r="CF2" s="65"/>
      <c r="CG2" s="65" t="s">
        <v>107</v>
      </c>
      <c r="CH2" s="65"/>
      <c r="CI2" s="65"/>
      <c r="CJ2" s="65"/>
      <c r="CK2" s="65" t="s">
        <v>108</v>
      </c>
      <c r="CL2" s="65"/>
      <c r="CM2" s="65"/>
      <c r="CN2" s="65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65" t="s">
        <v>105</v>
      </c>
      <c r="DE2" s="65"/>
      <c r="DF2" s="65"/>
      <c r="DG2" s="65"/>
      <c r="DH2" s="65" t="s">
        <v>106</v>
      </c>
      <c r="DI2" s="65"/>
      <c r="DJ2" s="65"/>
      <c r="DK2" s="65"/>
      <c r="DL2" s="65" t="s">
        <v>107</v>
      </c>
      <c r="DM2" s="65"/>
      <c r="DN2" s="65"/>
      <c r="DO2" s="65"/>
      <c r="DP2" s="65" t="s">
        <v>108</v>
      </c>
      <c r="DQ2" s="65"/>
      <c r="DR2" s="65"/>
      <c r="DS2" s="65"/>
      <c r="DT2" s="74" t="s">
        <v>109</v>
      </c>
      <c r="DU2" s="74"/>
      <c r="DV2" s="74"/>
      <c r="DW2" s="74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66" t="s">
        <v>105</v>
      </c>
      <c r="EG2" s="66"/>
      <c r="EH2" s="66"/>
      <c r="EI2" s="66"/>
      <c r="EJ2" s="66" t="s">
        <v>106</v>
      </c>
      <c r="EK2" s="66"/>
      <c r="EL2" s="66"/>
      <c r="EM2" s="66"/>
      <c r="EN2" s="66" t="s">
        <v>107</v>
      </c>
      <c r="EO2" s="66"/>
      <c r="EP2" s="66"/>
      <c r="EQ2" s="66"/>
      <c r="ER2" s="66" t="s">
        <v>108</v>
      </c>
      <c r="ES2" s="66"/>
      <c r="ET2" s="66"/>
      <c r="EU2" s="66"/>
      <c r="EV2" s="75" t="s">
        <v>109</v>
      </c>
      <c r="EW2" s="75"/>
      <c r="EX2" s="75"/>
      <c r="EY2" s="75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65" t="s">
        <v>105</v>
      </c>
      <c r="FI2" s="65"/>
      <c r="FJ2" s="65"/>
      <c r="FK2" s="65"/>
      <c r="FL2" s="65" t="s">
        <v>106</v>
      </c>
      <c r="FM2" s="65"/>
      <c r="FN2" s="65"/>
      <c r="FO2" s="65"/>
      <c r="FP2" s="65" t="s">
        <v>107</v>
      </c>
      <c r="FQ2" s="65"/>
      <c r="FR2" s="65"/>
      <c r="FS2" s="65"/>
      <c r="FT2" s="65" t="s">
        <v>108</v>
      </c>
      <c r="FU2" s="65"/>
      <c r="FV2" s="65"/>
      <c r="FW2" s="65"/>
      <c r="FX2" s="74" t="s">
        <v>109</v>
      </c>
      <c r="FY2" s="74"/>
      <c r="FZ2" s="74"/>
      <c r="GA2" s="74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66" t="s">
        <v>105</v>
      </c>
      <c r="GK2" s="66"/>
      <c r="GL2" s="66"/>
      <c r="GM2" s="66"/>
      <c r="GN2" s="66" t="s">
        <v>106</v>
      </c>
      <c r="GO2" s="66"/>
      <c r="GP2" s="66"/>
      <c r="GQ2" s="66"/>
      <c r="GR2" s="66" t="s">
        <v>107</v>
      </c>
      <c r="GS2" s="66"/>
      <c r="GT2" s="66"/>
      <c r="GU2" s="66"/>
      <c r="GV2" s="66" t="s">
        <v>108</v>
      </c>
      <c r="GW2" s="66"/>
      <c r="GX2" s="66"/>
      <c r="GY2" s="66"/>
      <c r="GZ2" s="75" t="s">
        <v>109</v>
      </c>
      <c r="HA2" s="75"/>
      <c r="HB2" s="75"/>
      <c r="HC2" s="75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65" t="s">
        <v>105</v>
      </c>
      <c r="HM2" s="65"/>
      <c r="HN2" s="65"/>
      <c r="HO2" s="65"/>
      <c r="HP2" s="65" t="s">
        <v>106</v>
      </c>
      <c r="HQ2" s="65"/>
      <c r="HR2" s="65"/>
      <c r="HS2" s="65"/>
      <c r="HT2" s="65" t="s">
        <v>107</v>
      </c>
      <c r="HU2" s="65"/>
      <c r="HV2" s="65"/>
      <c r="HW2" s="65"/>
      <c r="HX2" s="65" t="s">
        <v>108</v>
      </c>
      <c r="HY2" s="65"/>
      <c r="HZ2" s="65"/>
      <c r="IA2" s="65"/>
      <c r="IB2" s="74" t="s">
        <v>109</v>
      </c>
      <c r="IC2" s="74"/>
      <c r="ID2" s="74"/>
      <c r="IE2" s="74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66" t="s">
        <v>105</v>
      </c>
      <c r="IO2" s="66"/>
      <c r="IP2" s="66"/>
      <c r="IQ2" s="66"/>
      <c r="IR2" s="66" t="s">
        <v>106</v>
      </c>
      <c r="IS2" s="66"/>
      <c r="IT2" s="66"/>
      <c r="IU2" s="66"/>
      <c r="IV2" s="66" t="s">
        <v>107</v>
      </c>
      <c r="IW2" s="66"/>
      <c r="IX2" s="66"/>
      <c r="IY2" s="66"/>
      <c r="IZ2" s="66" t="s">
        <v>108</v>
      </c>
      <c r="JA2" s="66"/>
      <c r="JB2" s="66"/>
      <c r="JC2" s="66"/>
      <c r="JD2" s="75" t="s">
        <v>109</v>
      </c>
      <c r="JE2" s="75"/>
      <c r="JF2" s="75"/>
      <c r="JG2" s="75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65" t="s">
        <v>105</v>
      </c>
      <c r="JQ2" s="65"/>
      <c r="JR2" s="65"/>
      <c r="JS2" s="65"/>
      <c r="JT2" s="65" t="s">
        <v>106</v>
      </c>
      <c r="JU2" s="65"/>
      <c r="JV2" s="65"/>
      <c r="JW2" s="65"/>
      <c r="JX2" s="65" t="s">
        <v>107</v>
      </c>
      <c r="JY2" s="65"/>
      <c r="JZ2" s="65"/>
      <c r="KA2" s="65"/>
      <c r="KB2" s="65" t="s">
        <v>108</v>
      </c>
      <c r="KC2" s="65"/>
      <c r="KD2" s="65"/>
      <c r="KE2" s="65"/>
      <c r="KF2" s="74" t="s">
        <v>109</v>
      </c>
      <c r="KG2" s="74"/>
      <c r="KH2" s="74"/>
      <c r="KI2" s="74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66" t="s">
        <v>105</v>
      </c>
      <c r="KS2" s="66"/>
      <c r="KT2" s="66"/>
      <c r="KU2" s="66"/>
      <c r="KV2" s="66" t="s">
        <v>106</v>
      </c>
      <c r="KW2" s="66"/>
      <c r="KX2" s="66"/>
      <c r="KY2" s="66"/>
      <c r="KZ2" s="66" t="s">
        <v>107</v>
      </c>
      <c r="LA2" s="66"/>
      <c r="LB2" s="66"/>
      <c r="LC2" s="66"/>
      <c r="LD2" s="66" t="s">
        <v>108</v>
      </c>
      <c r="LE2" s="66"/>
      <c r="LF2" s="66"/>
      <c r="LG2" s="66"/>
      <c r="LH2" s="75" t="s">
        <v>109</v>
      </c>
      <c r="LI2" s="75"/>
      <c r="LJ2" s="75"/>
      <c r="LK2" s="75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65" t="s">
        <v>105</v>
      </c>
      <c r="LU2" s="65"/>
      <c r="LV2" s="65"/>
      <c r="LW2" s="65"/>
      <c r="LX2" s="65" t="s">
        <v>106</v>
      </c>
      <c r="LY2" s="65"/>
      <c r="LZ2" s="65"/>
      <c r="MA2" s="65"/>
      <c r="MB2" s="65" t="s">
        <v>107</v>
      </c>
      <c r="MC2" s="65"/>
      <c r="MD2" s="65"/>
      <c r="ME2" s="65"/>
      <c r="MF2" s="65" t="s">
        <v>108</v>
      </c>
      <c r="MG2" s="65"/>
      <c r="MH2" s="65"/>
      <c r="MI2" s="65"/>
      <c r="MJ2" s="74" t="s">
        <v>109</v>
      </c>
      <c r="MK2" s="74"/>
      <c r="ML2" s="74"/>
      <c r="MM2" s="74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66" t="s">
        <v>105</v>
      </c>
      <c r="MW2" s="66"/>
      <c r="MX2" s="66"/>
      <c r="MY2" s="66"/>
      <c r="MZ2" s="66" t="s">
        <v>106</v>
      </c>
      <c r="NA2" s="66"/>
      <c r="NB2" s="66"/>
      <c r="NC2" s="66"/>
      <c r="ND2" s="66" t="s">
        <v>107</v>
      </c>
      <c r="NE2" s="66"/>
      <c r="NF2" s="66"/>
      <c r="NG2" s="66"/>
      <c r="NH2" s="66" t="s">
        <v>108</v>
      </c>
      <c r="NI2" s="66"/>
      <c r="NJ2" s="66"/>
      <c r="NK2" s="66"/>
      <c r="NL2" s="75" t="s">
        <v>109</v>
      </c>
      <c r="NM2" s="75"/>
      <c r="NN2" s="75"/>
      <c r="NO2" s="75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65" t="s">
        <v>105</v>
      </c>
      <c r="NY2" s="65"/>
      <c r="NZ2" s="65"/>
      <c r="OA2" s="65"/>
      <c r="OB2" s="65" t="s">
        <v>106</v>
      </c>
      <c r="OC2" s="65"/>
      <c r="OD2" s="65"/>
      <c r="OE2" s="65"/>
      <c r="OF2" s="65" t="s">
        <v>107</v>
      </c>
      <c r="OG2" s="65"/>
      <c r="OH2" s="65"/>
      <c r="OI2" s="65"/>
      <c r="OJ2" s="65" t="s">
        <v>108</v>
      </c>
      <c r="OK2" s="65"/>
      <c r="OL2" s="65"/>
      <c r="OM2" s="65"/>
      <c r="ON2" s="74" t="s">
        <v>109</v>
      </c>
      <c r="OO2" s="74"/>
      <c r="OP2" s="74"/>
      <c r="OQ2" s="74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66" t="s">
        <v>105</v>
      </c>
      <c r="PA2" s="66"/>
      <c r="PB2" s="66"/>
      <c r="PC2" s="66"/>
      <c r="PD2" s="66" t="s">
        <v>106</v>
      </c>
      <c r="PE2" s="66"/>
      <c r="PF2" s="66"/>
      <c r="PG2" s="66"/>
      <c r="PH2" s="66" t="s">
        <v>107</v>
      </c>
      <c r="PI2" s="66"/>
      <c r="PJ2" s="66"/>
      <c r="PK2" s="66"/>
      <c r="PL2" s="66" t="s">
        <v>108</v>
      </c>
      <c r="PM2" s="66"/>
      <c r="PN2" s="66"/>
      <c r="PO2" s="66"/>
      <c r="PP2" s="75" t="s">
        <v>109</v>
      </c>
      <c r="PQ2" s="75"/>
      <c r="PR2" s="75"/>
      <c r="PS2" s="75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65" t="s">
        <v>105</v>
      </c>
      <c r="QC2" s="65"/>
      <c r="QD2" s="65"/>
      <c r="QE2" s="65"/>
      <c r="QF2" s="65" t="s">
        <v>106</v>
      </c>
      <c r="QG2" s="65"/>
      <c r="QH2" s="65"/>
      <c r="QI2" s="65"/>
      <c r="QJ2" s="65" t="s">
        <v>107</v>
      </c>
      <c r="QK2" s="65"/>
      <c r="QL2" s="65"/>
      <c r="QM2" s="65"/>
      <c r="QN2" s="65" t="s">
        <v>108</v>
      </c>
      <c r="QO2" s="65"/>
      <c r="QP2" s="65"/>
      <c r="QQ2" s="65"/>
      <c r="QR2" s="74" t="s">
        <v>109</v>
      </c>
      <c r="QS2" s="74"/>
      <c r="QT2" s="74"/>
      <c r="QU2" s="74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66" t="s">
        <v>105</v>
      </c>
      <c r="RE2" s="66"/>
      <c r="RF2" s="66"/>
      <c r="RG2" s="66"/>
      <c r="RH2" s="66" t="s">
        <v>106</v>
      </c>
      <c r="RI2" s="66"/>
      <c r="RJ2" s="66"/>
      <c r="RK2" s="66"/>
      <c r="RL2" s="66" t="s">
        <v>107</v>
      </c>
      <c r="RM2" s="66"/>
      <c r="RN2" s="66"/>
      <c r="RO2" s="66"/>
      <c r="RP2" s="66" t="s">
        <v>108</v>
      </c>
      <c r="RQ2" s="66"/>
      <c r="RR2" s="66"/>
      <c r="RS2" s="66"/>
      <c r="RT2" s="75" t="s">
        <v>109</v>
      </c>
      <c r="RU2" s="75"/>
      <c r="RV2" s="75"/>
      <c r="RW2" s="75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65" t="s">
        <v>105</v>
      </c>
      <c r="SG2" s="65"/>
      <c r="SH2" s="65"/>
      <c r="SI2" s="65"/>
      <c r="SJ2" s="65" t="s">
        <v>106</v>
      </c>
      <c r="SK2" s="65"/>
      <c r="SL2" s="65"/>
      <c r="SM2" s="65"/>
      <c r="SN2" s="65" t="s">
        <v>107</v>
      </c>
      <c r="SO2" s="65"/>
      <c r="SP2" s="65"/>
      <c r="SQ2" s="65"/>
      <c r="SR2" s="65" t="s">
        <v>108</v>
      </c>
      <c r="SS2" s="65"/>
      <c r="ST2" s="65"/>
      <c r="SU2" s="65"/>
      <c r="SV2" s="74" t="s">
        <v>109</v>
      </c>
      <c r="SW2" s="74"/>
      <c r="SX2" s="74"/>
      <c r="SY2" s="74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66" t="s">
        <v>105</v>
      </c>
      <c r="TI2" s="66"/>
      <c r="TJ2" s="66"/>
      <c r="TK2" s="66"/>
      <c r="TL2" s="66" t="s">
        <v>106</v>
      </c>
      <c r="TM2" s="66"/>
      <c r="TN2" s="66"/>
      <c r="TO2" s="66"/>
      <c r="TP2" s="66" t="s">
        <v>107</v>
      </c>
      <c r="TQ2" s="66"/>
      <c r="TR2" s="66"/>
      <c r="TS2" s="66"/>
      <c r="TT2" s="66" t="s">
        <v>108</v>
      </c>
      <c r="TU2" s="66"/>
      <c r="TV2" s="66"/>
      <c r="TW2" s="66"/>
      <c r="TX2" s="76" t="s">
        <v>109</v>
      </c>
      <c r="TY2" s="76"/>
      <c r="TZ2" s="76"/>
      <c r="UA2" s="76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69"/>
      <c r="O3" s="69"/>
      <c r="P3" s="73"/>
      <c r="Q3" s="69"/>
      <c r="R3" s="69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154</v>
      </c>
      <c r="C4" s="4" t="s">
        <v>3</v>
      </c>
      <c r="D4" s="4">
        <v>2006</v>
      </c>
      <c r="E4" s="9">
        <f t="shared" ref="E4:E14" si="0">SUM(J4:P4)+SUM(J4:M4)*0.0000001+SUM(J4)*0.0000000000001</f>
        <v>159.80001052000532</v>
      </c>
      <c r="F4" s="3" t="str">
        <f t="shared" ref="F4:F14" si="1">IF(OR(AND(AN4&gt;=AU$17,AO4&gt;=AU$21,AN4&lt;&gt;"",AM4=""),AND(AS4&gt;=AU$17,AT4&gt;=AU$21,AS4&lt;&gt;"",AM4=""),AND(BQ4&gt;=BX$17,BR4&gt;=BX$21,BQ4&lt;&gt;"",BP4=""),AND(BV4&gt;=BX$17,BW4&gt;=BX$21,BV4&lt;&gt;"",BP4=""),AND(CT4&gt;=DA$17,CU4&gt;=DA$21,CT4&lt;&gt;"",CS4=""),AND(CY4&gt;=DA$17,CZ4&gt;=DA$21,CY4&lt;&gt;""),AND(DX4&gt;=EE$17,DY4&gt;=EE$21,DX4&lt;&gt;""),AND(EC4&gt;=EE$17,ED4&gt;=EE$21,EC4&lt;&gt;""),AND(EZ4&gt;=FG$17,FA4&gt;=FG$21,EZ4&lt;&gt;""),AND(FE4&gt;=FG$17,FF4&gt;=FG$21,FE4&lt;&gt;""),AND(GB4&gt;=GI$17,GC4&gt;=GI$21,GB4&lt;&gt;""),AND(GG4&gt;=GI$17,GH4&gt;=GI$21,GG4&lt;&gt;""),AND(HD4&gt;=HK$17,HE4&gt;=HK$21,HD4&lt;&gt;""),AND(HI4&gt;=HK$17,HJ4&gt;=HK$21,HI4&lt;&gt;""),AND(IF4&gt;=IM$17,IG4&gt;=IM$21,IF4&lt;&gt;""),AND(IK4&gt;=IM$17,IL4&gt;=IM$21,IK4&lt;&gt;""),AND(JH4&gt;=JO$17,JI4&gt;=JO$21,JH4&lt;&gt;""),AND(JM4&gt;=JO$17,JN4&gt;=JO$21,JM4&lt;&gt;""),AND(KJ4&gt;=KQ$17,KK4&gt;=KQ$21,KJ4&lt;&gt;""),AND(KO4&gt;=KQ$17,KP4&gt;=KQ$21,KO4&lt;&gt;""),AND(LL4&gt;=LS$17,LM4&gt;=LS$21,LL4&lt;&gt;""),AND(LQ4&gt;=LS$17,LR4&gt;=LS$21,LQ4&lt;&gt;""),AND(MN4&gt;=MU$17,MO4&gt;=MU$21,MN4&lt;&gt;""),AND(MS4&gt;=MU$17,MT4&gt;=MU$21,MS4&lt;&gt;""),AND(NP4&gt;=NW$17,NQ4&gt;=NW$21,NP4&lt;&gt;""),AND(NU4&gt;=NW$17,NV4&gt;=NW$21,NU4&lt;&gt;""),AND(OR4&gt;=OY$17,OS4&gt;=OY$21,OR4&lt;&gt;""),AND(OW4&gt;=OY$17,OX4&gt;=OY$21,OW4&lt;&gt;""),AND(PT4&gt;=QA$17,PU4&gt;=QA$21,PT4&lt;&gt;""),AND(PY4&gt;=QA$17,PZ4&gt;=QA$21,PY4&lt;&gt;""),AND(QV4&gt;=RC$17,QW4&gt;=RC$21,QV4&lt;&gt;""),AND(RA4&gt;=RC$17,RB4&gt;=RC$21,RA4&lt;&gt;""),AND(RX4&gt;=SE$17,RY4&gt;=SE$21,RX4&lt;&gt;""),AND(SC4&gt;=SE$17,SD4&gt;=SE$21,SC4&lt;&gt;""),AND(SZ4&gt;=TG$17,TA4&gt;=TG$21,SZ4&lt;&gt;""),AND(TF4&gt;=TG$17,TG4&gt;=TG$21,TF4&lt;&gt;"")),"P","")</f>
        <v>P</v>
      </c>
      <c r="G4" s="3" t="str">
        <f t="shared" ref="G4:G14" si="2">IF(OR(AND(AO4&gt;=AU$21,AO4&lt;&gt;"",AM4=""),AND(AT4&gt;=AU$21,AT4&lt;&gt;"",AM4=""),AND(BR4&gt;=BX$21,BR4&lt;&gt;"",BP4=""),AND(BW4&gt;=BX$21,BW4&lt;&gt;"",BP4=""),AND(CU4&gt;=DA$21,CU4&lt;&gt;"",CS4=""),AND(CZ4&gt;=DA$21,CZ4&lt;&gt;"",CS4=""),AND(DY4&gt;=EE$21,DY4&lt;&gt;""),AND(ED4&gt;=EE$21,ED4&lt;&gt;""),AND(FA4&gt;=FG$21,FA4&lt;&gt;""),AND(FF4&gt;=FG$21,FF4&lt;&gt;""),AND(GC4&gt;=GI$21,GC4&lt;&gt;""),AND(GH4&gt;=GI$21,GH4&lt;&gt;""),AND(HE4&gt;=HK$21,HE4&lt;&gt;""),AND(HJ4&gt;=HK$21,HJ4&lt;&gt;""),AND(IG4&gt;=IM$21,IG4&lt;&gt;""),AND(IL4&gt;=IM$21,IL4&lt;&gt;""),AND(JI4&gt;=JO$21,JI4&lt;&gt;""),AND(JN4&gt;=JO$21,JN4&lt;&gt;""),AND(KK4&gt;=KQ$21,KK4&lt;&gt;""),AND(KP4&gt;=KQ$21,KP4&lt;&gt;""),AND(LM4&gt;=LS$21,LM4&lt;&gt;""),AND(LR4&gt;=LS$21,LR4&lt;&gt;""),AND(MO4&gt;=MU$21,MO4&lt;&gt;""),AND(MT4&gt;=MU$21,MT4&lt;&gt;""),AND(NQ4&gt;=NW$21,NQ4&lt;&gt;""),AND(NV4&gt;=NW$21,NV4&lt;&gt;""),AND(OS4&gt;=OY$21,OS4&lt;&gt;""),AND(OX4&gt;=OY$21,OX4&lt;&gt;""),AND(PU4&gt;=QA$21,PU4&lt;&gt;""),AND(PZ4&gt;=QA$21,PZ4&lt;&gt;""),AND(QW4&gt;=RC$21,QW4&lt;&gt;""),AND(RB4&gt;=RC$21,RB4&lt;&gt;""),AND(RY4&gt;=SE$21,RY4&lt;&gt;""),AND(SD4&gt;=SE$21,SD4&lt;&gt;""),AND(TA4&gt;=TG$21,TA4&lt;&gt;""),AND(TG4&gt;=TG$21,TG4&lt;&gt;"")),"P","")</f>
        <v>P</v>
      </c>
      <c r="H4" s="36" t="str">
        <f t="shared" ref="H4:H14" si="3">IF(AND(G4="P",F4=""),"No DD",IF(OR(AND(AQ4&gt;=AU$20,AR4&gt;=AU$24,AQ4&lt;&gt;"",AM4=""),AND(BT4&gt;=BX$20,BU4&gt;=BX$24,BT4&lt;&gt;"",BP4=""),AND(CW4&gt;=DA$20,CX4&gt;=DA$24,CW4&lt;&gt;"",CS4=""),AND(EA4&gt;=EE$20,EB4&gt;=EE$24,EA4&lt;&gt;""),AND(FC4&gt;=FG$20,FD4&gt;=FG$24,FC4&lt;&gt;""),AND(GE4&gt;=GI$20,GF4&gt;=GI$24,GE4&lt;&gt;""),AND(HG4&gt;=HK$20,HH4&gt;=HK$24,HG4&lt;&gt;""),AND(II4&gt;=IM$20,IJ4&gt;=IM$24,II4&lt;&gt;""),AND(JK4&gt;=JO$20,JL4&gt;=JO$24,JK4&lt;&gt;""),AND(KM4&gt;=KQ$20,KN4&gt;=KQ$24,KM4&lt;&gt;""),AND(LO4&gt;=LS$20,LP4&gt;=LS$24,LO4&lt;&gt;""),AND(MQ4&gt;=MU$20,MR4&gt;=MU$24,MQ4&lt;&gt;""),AND(NS4&gt;=NW$20,NT4&gt;=NW$24,NS4&lt;&gt;""),AND(OU4&gt;=OY$20,OV4&gt;=OY$24,OU4&lt;&gt;""),AND(PW4&gt;=QA$20,PX4&gt;=QA$24,PW4&lt;&gt;""),AND(QY4&gt;=RC$20,QZ4&gt;=RC$24,QY4&lt;&gt;""),AND(SA4&gt;=SE$20,SB4&gt;=SE$24,SA4&lt;&gt;""),AND(TC4&gt;=TG$20,TD4&gt;=TG$24,TC4&lt;&gt;"")),"Merit",IF(OR(AND(AQ4&gt;=AU$19,AR4&gt;=AU$23,AQ4&lt;&gt;"",AM4=""),AND(BT4&gt;=BX$19,BU4&gt;=BX$23,BT4&lt;&gt;"",BP4=""),AND(CW4&gt;=DA$19,CX4&gt;=DA$23,CW4&lt;&gt;"",CS4=""),AND(EA4&gt;=EE$19,EB4&gt;=EE$23,EA4&lt;&gt;""),AND(FC4&gt;=FG$19,FD4&gt;=FG$23,FC4&lt;&gt;""),AND(GE4&gt;=GI$19,GF4&gt;=GI$23,GE4&lt;&gt;""),AND(HG4&gt;=HK$19,HH4&gt;=HK$23,HG4&lt;&gt;""),AND(II4&gt;=IM$19,IJ4&gt;=IM$23,II4&lt;&gt;""),AND(JK4&gt;=JO$19,JL4&gt;=JO$23,JK4&lt;&gt;""),AND(KM4&gt;=KQ$19,KN4&gt;=KQ$23,KM4&lt;&gt;""),AND(LO4&gt;=LS$19,LP4&gt;=LS$23,LO4&lt;&gt;""),AND(MQ4&gt;=MU$19,MR4&gt;=MU$23,MQ4&lt;&gt;""),AND(NS4&gt;=NW$19,NT4&gt;=NW$23,NS4&lt;&gt;""),AND(OU4&gt;=OY$19,OV4&gt;=OY$23,OU4&lt;&gt;""),AND(PW4&gt;=QA$19,PX4&gt;=QA$23,PW4&lt;&gt;""),AND(QY4&gt;=RC$19,QZ4&gt;=RC$23,QY4&lt;&gt;""),AND(SA4&gt;=SE$19,SB4&gt;=SE$23,SA4&lt;&gt;""),AND(TC4&gt;=TG$19,TD4&gt;=TG$23,TC4&lt;&gt;"")),"Excellence",IF(I4="P","Worlds Team",IF(F4="P","National Team","")))))</f>
        <v>Merit</v>
      </c>
      <c r="I4" s="3" t="str">
        <f t="shared" ref="I4:I14" si="4">IF(OR(AND(AQ4&gt;=AU$18,AR4&gt;=AU$22,AQ4&lt;&gt;"",AM4=""),AND(BT4&gt;=BX$18,BU4&gt;=BX$22,BT4&lt;&gt;"",BP4=""),AND(CW4&gt;=DA$18,CX4&gt;=DA$22,CW4&lt;&gt;"",CS4=""),AND(EA4&gt;=EE$18,EB4&gt;=EE$22,EA4&lt;&gt;""),AND(FC4&gt;=FG$18,FD4&gt;=FG$22,FC4&lt;&gt;""),AND(GE4&gt;=GI$18,GF4&gt;=GI$22,GE4&lt;&gt;""),AND(HG4&gt;=HK$18,HH4&gt;=HK$22,HG4&lt;&gt;""),AND(II4&gt;=IM$18,IJ4&gt;=IM$22,II4&lt;&gt;""),AND(JK4&gt;=JO$18,JL4&gt;=JO$22,JK4&lt;&gt;""),AND(KM4&gt;=KQ$18,KN4&gt;=KQ$22,KM4&lt;&gt;""),AND(LO4&gt;=LS$18,LP4&gt;=LS$22,LO4&lt;&gt;""),AND(MQ4&gt;=MU$18,MR4&gt;=MU$22,MQ4&lt;&gt;""),AND(NS4&gt;=NW$18,NT4&gt;=NW$22,NS4&lt;&gt;""),AND(OU4&gt;=OY$18,OV4&gt;=OY$22,OU4&lt;&gt;""),AND(PW4&gt;=QA$18,PX4&gt;=QA$22,PW4&lt;&gt;""),AND(QY4&gt;=RC$18,QZ4&gt;=RC$22,QY4&lt;&gt;""),AND(SA4&gt;=SE$18,SB4&gt;=SE$22,SA4&lt;&gt;""),AND(TC4&gt;=TG$18,TD4&gt;=TG$22,TC4&lt;&gt;"")),"P","")</f>
        <v>P</v>
      </c>
      <c r="J4" s="8">
        <f>IF(COUNT(AO4,BR4,CU4)&gt;0,LARGE((AO4,BR4,CU4),1),0)</f>
        <v>53.399999999999991</v>
      </c>
      <c r="K4" s="8" t="str">
        <f t="shared" ref="K4:K14" si="5">IF(J4=0,"",IF(J4=CU4,$BY$1,IF(J4=BR4,$AV$1,IF(J4=AO4,$S$1,""))))</f>
        <v>2025 Elite Canada</v>
      </c>
      <c r="L4" s="8">
        <f>IF(COUNT(AO4,BR4,CU4)&gt;1,LARGE((AO4,BR4,CU4),2),0)</f>
        <v>51.8</v>
      </c>
      <c r="M4" s="8" t="str">
        <f t="shared" ref="M4:M14" si="6">IF(K4=0,"",IF(AND(L4=J4,L4=AO4,K4=BR4),$S$1,IF(AND(L4=J4,L4=AO4,L4=CU4),$S$1,IF(AND(L4=J4,L4=CU4,L4=BR4),$AV$1,IF(L4=CU4,$BY$1,IF(L4=BR4,$AV$1,IF(L4=AO4,$S$1,"")))))))</f>
        <v>2024 Nationals</v>
      </c>
      <c r="N4" s="8">
        <f t="shared" ref="N4:N14" si="7">IF(MAX(AT4,BW4,CZ4)&gt;0,MAX(AT4,BW4,CZ4),0)</f>
        <v>54.599999999999994</v>
      </c>
      <c r="O4" s="8" t="str">
        <f t="shared" ref="O4:O14" si="8">IF(N4=0,"",IF(N4=CZ4,$BY$1,IF(N4=BW4,$AV$1,IF(N4=AT4,$S$1,""))))</f>
        <v>2025 Elite Canada</v>
      </c>
      <c r="P4" s="8" t="str">
        <f t="shared" ref="P4:P14" si="9"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18.600000000000001</v>
      </c>
      <c r="T4" s="19">
        <v>8.5</v>
      </c>
      <c r="U4" s="19">
        <v>0</v>
      </c>
      <c r="V4" s="19">
        <v>0</v>
      </c>
      <c r="W4" s="19">
        <v>18.2</v>
      </c>
      <c r="X4" s="19">
        <v>6.5</v>
      </c>
      <c r="Y4" s="19">
        <v>0</v>
      </c>
      <c r="Z4" s="19">
        <v>0</v>
      </c>
      <c r="AA4" s="19">
        <v>18.399999999999999</v>
      </c>
      <c r="AB4" s="19">
        <v>7.7</v>
      </c>
      <c r="AC4" s="19">
        <v>0</v>
      </c>
      <c r="AD4" s="19">
        <v>0</v>
      </c>
      <c r="AE4" s="19">
        <v>18.600000000000001</v>
      </c>
      <c r="AF4" s="19">
        <v>6.9</v>
      </c>
      <c r="AG4" s="19">
        <v>0</v>
      </c>
      <c r="AH4" s="19">
        <v>0</v>
      </c>
      <c r="AI4" s="19">
        <v>18.600000000000001</v>
      </c>
      <c r="AJ4" s="19">
        <v>6.9</v>
      </c>
      <c r="AK4" s="19">
        <v>0</v>
      </c>
      <c r="AL4" s="19">
        <v>0</v>
      </c>
      <c r="AM4" s="27"/>
      <c r="AN4" s="40">
        <f t="shared" ref="AN4:AN14" si="10">IF(SUM(T4,X4)&gt;0,SUM(T4,X4),"")</f>
        <v>15</v>
      </c>
      <c r="AO4" s="40">
        <f t="shared" ref="AO4:AO14" si="11">IF(SUM(S4:T4,V4:X4,Z4)-U4-Y4&gt;0,SUM(S4:T4,V4:X4,Z4)-U4-Y4,"")</f>
        <v>51.8</v>
      </c>
      <c r="AP4" s="40">
        <f t="shared" ref="AP4:AP14" si="12">IF(SUM(AA4:AB4,AD4)-AC4&gt;0,SUM(AA4:AB4,AD4)-AC4,"")</f>
        <v>26.099999999999998</v>
      </c>
      <c r="AQ4" s="40">
        <f t="shared" ref="AQ4:AQ14" si="13">IF(SUM(T4,X4,AB4)&gt;0,SUM(T4,X4,AB4),"")</f>
        <v>22.7</v>
      </c>
      <c r="AR4" s="40">
        <f t="shared" ref="AR4:AR14" si="14">IF(SUM(AO4,AP4)&gt;0,SUM(AO4,AP4),"")</f>
        <v>77.899999999999991</v>
      </c>
      <c r="AS4" s="40">
        <f t="shared" ref="AS4:AS14" si="15">IF(SUM(AF4,AJ4)&gt;0,SUM(AF4,AJ4),"")</f>
        <v>13.8</v>
      </c>
      <c r="AT4" s="40">
        <f t="shared" ref="AT4:AT14" si="16">IF(SUM(AE4:AF4,AH4:AJ4,AL4)-SUM(AG4,AK4)&gt;0,SUM(AE4:AF4,AH4:AJ4,AL4)-SUM(AG4,AK4),"")</f>
        <v>51</v>
      </c>
      <c r="AU4" s="40">
        <f t="shared" ref="AU4:AU14" si="17">IF(SUM(AO4,AP4,AT4)&gt;0,SUM(AO4,AP4,AT4),"")</f>
        <v>128.89999999999998</v>
      </c>
      <c r="AV4" s="18">
        <v>18.3</v>
      </c>
      <c r="AW4" s="18">
        <v>8.5</v>
      </c>
      <c r="AX4" s="18">
        <v>0</v>
      </c>
      <c r="AY4" s="18">
        <v>0</v>
      </c>
      <c r="AZ4" s="18">
        <v>18.3</v>
      </c>
      <c r="BA4" s="18">
        <v>6.5</v>
      </c>
      <c r="BB4" s="18">
        <v>0</v>
      </c>
      <c r="BC4" s="18">
        <v>0</v>
      </c>
      <c r="BD4" s="18">
        <v>18.3</v>
      </c>
      <c r="BE4" s="18">
        <v>8.5</v>
      </c>
      <c r="BF4" s="18">
        <v>0</v>
      </c>
      <c r="BG4" s="18">
        <v>0</v>
      </c>
      <c r="BH4" s="18">
        <v>18.399999999999999</v>
      </c>
      <c r="BI4" s="18">
        <v>8.5</v>
      </c>
      <c r="BJ4" s="18">
        <v>0</v>
      </c>
      <c r="BK4" s="18">
        <v>0</v>
      </c>
      <c r="BL4" s="18">
        <v>18.2</v>
      </c>
      <c r="BM4" s="18">
        <v>7.7</v>
      </c>
      <c r="BN4" s="18">
        <v>0</v>
      </c>
      <c r="BO4" s="18">
        <v>0</v>
      </c>
      <c r="BP4" s="28"/>
      <c r="BQ4" s="11">
        <f t="shared" ref="BQ4:BQ14" si="18">IF(SUM(AW4,BA4)&gt;0,SUM(AW4,BA4),"")</f>
        <v>15</v>
      </c>
      <c r="BR4" s="11">
        <f t="shared" ref="BR4:BR14" si="19">IF(SUM(AV4:AW4,AY4:BA4,BC4)-AX4-BB4&gt;0,SUM(AV4:AW4,AY4:BA4,BC4)-AX4-BB4,"")</f>
        <v>51.6</v>
      </c>
      <c r="BS4" s="11">
        <f t="shared" ref="BS4:BS14" si="20">IF(SUM(BD4:BE4,BG4)-BF4&gt;0,SUM(BD4:BE4,BG4)-BF4,"")</f>
        <v>26.8</v>
      </c>
      <c r="BT4" s="11">
        <f t="shared" ref="BT4:BT14" si="21">IF(SUM(AW4,BA4,BE4)&gt;0,SUM(AW4,BA4,BE4),"")</f>
        <v>23.5</v>
      </c>
      <c r="BU4" s="11">
        <f t="shared" ref="BU4:BU14" si="22">IF(SUM(BR4,BS4)&gt;0,SUM(BR4,BS4),"")</f>
        <v>78.400000000000006</v>
      </c>
      <c r="BV4" s="11">
        <f t="shared" ref="BV4:BV14" si="23">IF(SUM(BI4,BM4)&gt;0,SUM(BI4,BM4),"")</f>
        <v>16.2</v>
      </c>
      <c r="BW4" s="11">
        <f t="shared" ref="BW4:BW14" si="24">IF(SUM(BH4:BI4,BK4:BM4,BO4)-SUM(BJ4,BN4)&gt;0,SUM(BH4:BI4,BK4:BM4,BO4)-SUM(BJ4,BN4),"")</f>
        <v>52.8</v>
      </c>
      <c r="BX4" s="11">
        <f t="shared" ref="BX4:BX14" si="25">IF(SUM(BR4,BS4,BW4)&gt;0,SUM(BR4,BS4,BW4),"")</f>
        <v>131.19999999999999</v>
      </c>
      <c r="BY4" s="19">
        <v>18.399999999999999</v>
      </c>
      <c r="BZ4" s="19">
        <v>8.5</v>
      </c>
      <c r="CA4" s="19">
        <v>0.2</v>
      </c>
      <c r="CB4" s="19">
        <v>0</v>
      </c>
      <c r="CC4" s="19">
        <v>18.5</v>
      </c>
      <c r="CD4" s="19">
        <v>8.1999999999999993</v>
      </c>
      <c r="CE4" s="19">
        <v>0</v>
      </c>
      <c r="CF4" s="19">
        <v>0</v>
      </c>
      <c r="CG4" s="19"/>
      <c r="CH4" s="19"/>
      <c r="CI4" s="19"/>
      <c r="CJ4" s="19"/>
      <c r="CK4" s="19">
        <v>18.8</v>
      </c>
      <c r="CL4" s="19">
        <v>8.5</v>
      </c>
      <c r="CM4" s="19">
        <v>0.2</v>
      </c>
      <c r="CN4" s="19">
        <v>0</v>
      </c>
      <c r="CO4" s="19">
        <v>18.7</v>
      </c>
      <c r="CP4" s="19">
        <v>8.8000000000000007</v>
      </c>
      <c r="CQ4" s="19">
        <v>0</v>
      </c>
      <c r="CR4" s="19">
        <v>0</v>
      </c>
      <c r="CS4" s="27"/>
      <c r="CT4" s="40">
        <f t="shared" ref="CT4:CT14" si="26">IF(SUM(BZ4,CD4)&gt;0,SUM(BZ4,CD4),"")</f>
        <v>16.7</v>
      </c>
      <c r="CU4" s="40">
        <f t="shared" ref="CU4:CU14" si="27">IF(SUM(BY4:BZ4,CB4:CD4,CF4)-CA4-CE4&gt;0,SUM(BY4:BZ4,CB4:CD4,CF4)-CA4-CE4,"")</f>
        <v>53.399999999999991</v>
      </c>
      <c r="CV4" s="40" t="str">
        <f t="shared" ref="CV4:CV14" si="28">IF(SUM(CG4:CH4,CJ4)-CI4&gt;0,SUM(CG4:CH4,CJ4)-CI4,"")</f>
        <v/>
      </c>
      <c r="CW4" s="40">
        <f t="shared" ref="CW4:CW14" si="29">IF(SUM(BZ4,CD4,CH4)&gt;0,SUM(BZ4,CD4,CH4),"")</f>
        <v>16.7</v>
      </c>
      <c r="CX4" s="40">
        <f t="shared" ref="CX4:CX14" si="30">IF(SUM(CU4,CV4)&gt;0,SUM(CU4,CV4),"")</f>
        <v>53.399999999999991</v>
      </c>
      <c r="CY4" s="40">
        <f t="shared" ref="CY4:CY14" si="31">IF(SUM(CL4,CP4)&gt;0,SUM(CL4,CP4),"")</f>
        <v>17.3</v>
      </c>
      <c r="CZ4" s="40">
        <f t="shared" ref="CZ4:CZ14" si="32">IF(SUM(CK4:CL4,CN4:CP4,CR4)-SUM(CM4,CQ4)&gt;0,SUM(CK4:CL4,CN4:CP4,CR4)-SUM(CM4,CQ4),"")</f>
        <v>54.599999999999994</v>
      </c>
      <c r="DA4" s="40">
        <f t="shared" ref="DA4:DA14" si="33">IF(SUM(CU4,CV4,CZ4)&gt;0,SUM(CU4,CV4,CZ4),"")</f>
        <v>107.99999999999999</v>
      </c>
      <c r="DB4" s="51" t="str">
        <f t="shared" ref="DB4:DB14" si="34">IF(MAX(DY4,FA4,GC4,HE4,IG4,JI4,KK4,LM4,MO4,NQ4,OS4,PU4,QW4,RY4,TA4)-IF(L4="",0,L4)&gt;0.001,MAX(DY4,FA4,GC4,HE4,IG4,JI4,KK4,LM4,MO4,NQ4,OS4,PU4,QW4,RY4,TA4)-IF(L4="",0,L4),"")</f>
        <v/>
      </c>
      <c r="DC4" s="51" t="str">
        <f t="shared" ref="DC4:DC14" si="35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14" si="36">IF(SUM(DE4,DI4)&gt;0,SUM(DE4,DI4),"")</f>
        <v/>
      </c>
      <c r="DY4" s="40" t="str">
        <f t="shared" ref="DY4:DY14" si="37">IF(SUM(DD4:DE4,DG4:DI4,DK4)-DF4-DJ4&gt;0,SUM(DD4:DE4,DG4:DI4,DK4)-DF4-DJ4,"")</f>
        <v/>
      </c>
      <c r="DZ4" s="40" t="str">
        <f t="shared" ref="DZ4:DZ14" si="38">IF(SUM(DL4:DM4,DO4)-DN4&gt;0,SUM(DL4:DM4,DO4)-DN4,"")</f>
        <v/>
      </c>
      <c r="EA4" s="40" t="str">
        <f t="shared" ref="EA4:EA14" si="39">IF(SUM(DE4,DI4,DM4)&gt;0,SUM(DE4,DI4,DM4),"")</f>
        <v/>
      </c>
      <c r="EB4" s="40" t="str">
        <f t="shared" ref="EB4:EB14" si="40">IF(SUM(DY4,DZ4)&gt;0,SUM(DY4,DZ4),"")</f>
        <v/>
      </c>
      <c r="EC4" s="40" t="str">
        <f t="shared" ref="EC4:EC14" si="41">IF(SUM(DQ4,DU4)&gt;0,SUM(DQ4,DU4),"")</f>
        <v/>
      </c>
      <c r="ED4" s="40" t="str">
        <f t="shared" ref="ED4:ED14" si="42">IF(SUM(DP4:DQ4,DS4:DU4,DW4)-SUM(DR4,DV4)&gt;0,SUM(DP4:DQ4,DS4:DU4,DW4)-SUM(DR4,DV4),"")</f>
        <v/>
      </c>
      <c r="EE4" s="40" t="str">
        <f t="shared" ref="EE4:EE14" si="43"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14" si="44">IF(SUM(EG4,EK4)&gt;0,SUM(EG4,EK4),"")</f>
        <v/>
      </c>
      <c r="FA4" s="11" t="str">
        <f t="shared" ref="FA4:FA14" si="45">IF(SUM(EF4:EG4,EI4:EK4,EM4)-EH4-EL4&gt;0,SUM(EF4:EG4,EI4:EK4,EM4)-EH4-EL4,"")</f>
        <v/>
      </c>
      <c r="FB4" s="11" t="str">
        <f t="shared" ref="FB4:FB14" si="46">IF(SUM(EN4:EO4,EQ4)-EP4&gt;0,SUM(EN4:EO4,EQ4)-EP4,"")</f>
        <v/>
      </c>
      <c r="FC4" s="11" t="str">
        <f t="shared" ref="FC4:FC14" si="47">IF(SUM(EG4,EK4,EO4)&gt;0,SUM(EG4,EK4,EO4),"")</f>
        <v/>
      </c>
      <c r="FD4" s="11" t="str">
        <f t="shared" ref="FD4:FD14" si="48">IF(SUM(FA4,FB4)&gt;0,SUM(FA4,FB4),"")</f>
        <v/>
      </c>
      <c r="FE4" s="11" t="str">
        <f t="shared" ref="FE4:FE14" si="49">IF(SUM(ES4,EW4)&gt;0,SUM(ES4,EW4),"")</f>
        <v/>
      </c>
      <c r="FF4" s="11" t="str">
        <f t="shared" ref="FF4:FF14" si="50">IF(SUM(ER4:ES4,EU4:EW4,EY4)-SUM(ET4,EX4)&gt;0,SUM(ER4:ES4,EU4:EW4,EY4)-SUM(ET4,EX4),"")</f>
        <v/>
      </c>
      <c r="FG4" s="11" t="str">
        <f t="shared" ref="FG4:FG14" si="51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4" si="52">IF(SUM(FI4,FM4)&gt;0,SUM(FI4,FM4),"")</f>
        <v/>
      </c>
      <c r="GC4" s="40" t="str">
        <f t="shared" ref="GC4:GC14" si="53">IF(SUM(FH4:FI4,FK4:FM4,FO4)-FJ4-FN4&gt;0,SUM(FH4:FI4,FK4:FM4,FO4)-FJ4-FN4,"")</f>
        <v/>
      </c>
      <c r="GD4" s="40" t="str">
        <f t="shared" ref="GD4:GD14" si="54">IF(SUM(FP4:FQ4,FS4)-FR4&gt;0,SUM(FP4:FQ4,FS4)-FR4,"")</f>
        <v/>
      </c>
      <c r="GE4" s="40" t="str">
        <f t="shared" ref="GE4:GE14" si="55">IF(SUM(FI4,FM4,FQ4)&gt;0,SUM(FI4,FM4,FQ4),"")</f>
        <v/>
      </c>
      <c r="GF4" s="40" t="str">
        <f t="shared" ref="GF4:GF14" si="56">IF(SUM(GC4,GD4)&gt;0,SUM(GC4,GD4),"")</f>
        <v/>
      </c>
      <c r="GG4" s="40" t="str">
        <f t="shared" ref="GG4:GG14" si="57">IF(SUM(FU4,FY4)&gt;0,SUM(FU4,FY4),"")</f>
        <v/>
      </c>
      <c r="GH4" s="40" t="str">
        <f t="shared" ref="GH4:GH14" si="58">IF(SUM(FT4:FU4,FW4:FY4,GA4)-SUM(FV4,FZ4)&gt;0,SUM(FT4:FU4,FW4:FY4,GA4)-SUM(FV4,FZ4),"")</f>
        <v/>
      </c>
      <c r="GI4" s="40" t="str">
        <f t="shared" ref="GI4:GI14" si="59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4" si="60">IF(SUM(GK4,GO4)&gt;0,SUM(GK4,GO4),"")</f>
        <v/>
      </c>
      <c r="HE4" s="11" t="str">
        <f t="shared" ref="HE4:HE14" si="61">IF(SUM(GJ4:GK4,GM4:GO4,GQ4)-GL4-GP4&gt;0,SUM(GJ4:GK4,GM4:GO4,GQ4)-GL4-GP4,"")</f>
        <v/>
      </c>
      <c r="HF4" s="11" t="str">
        <f t="shared" ref="HF4:HF14" si="62">IF(SUM(GR4:GS4,GU4)-GT4&gt;0,SUM(GR4:GS4,GU4)-GT4,"")</f>
        <v/>
      </c>
      <c r="HG4" s="11" t="str">
        <f t="shared" ref="HG4:HG14" si="63">IF(SUM(GK4,GO4,GS4)&gt;0,SUM(GK4,GO4,GS4),"")</f>
        <v/>
      </c>
      <c r="HH4" s="11" t="str">
        <f t="shared" ref="HH4:HH14" si="64">IF(SUM(HE4,HF4)&gt;0,SUM(HE4,HF4),"")</f>
        <v/>
      </c>
      <c r="HI4" s="11" t="str">
        <f t="shared" ref="HI4:HI14" si="65">IF(SUM(GW4,HA4)&gt;0,SUM(GW4,HA4),"")</f>
        <v/>
      </c>
      <c r="HJ4" s="11" t="str">
        <f t="shared" ref="HJ4:HJ14" si="66">IF(SUM(GV4:GW4,GY4:HA4,HC4)-SUM(GX4,HB4)&gt;0,SUM(GV4:GW4,GY4:HA4,HC4)-SUM(GX4,HB4),"")</f>
        <v/>
      </c>
      <c r="HK4" s="11" t="str">
        <f t="shared" ref="HK4:HK14" si="67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4" si="68">IF(SUM(HM4,HQ4)&gt;0,SUM(HM4,HQ4),"")</f>
        <v/>
      </c>
      <c r="IG4" s="40" t="str">
        <f t="shared" ref="IG4:IG14" si="69">IF(SUM(HL4:HM4,HO4:HQ4,HS4)-HN4-HR4&gt;0,SUM(HL4:HM4,HO4:HQ4,HS4)-HN4-HR4,"")</f>
        <v/>
      </c>
      <c r="IH4" s="40" t="str">
        <f t="shared" ref="IH4:IH14" si="70">IF(SUM(HT4:HU4,HW4)-HV4&gt;0,SUM(HT4:HU4,HW4)-HV4,"")</f>
        <v/>
      </c>
      <c r="II4" s="40" t="str">
        <f t="shared" ref="II4:II14" si="71">IF(SUM(HM4,HQ4,HU4)&gt;0,SUM(HM4,HQ4,HU4),"")</f>
        <v/>
      </c>
      <c r="IJ4" s="40" t="str">
        <f t="shared" ref="IJ4:IJ14" si="72">IF(SUM(IG4,IH4)&gt;0,SUM(IG4,IH4),"")</f>
        <v/>
      </c>
      <c r="IK4" s="40" t="str">
        <f t="shared" ref="IK4:IK14" si="73">IF(SUM(HY4,IC4)&gt;0,SUM(HY4,IC4),"")</f>
        <v/>
      </c>
      <c r="IL4" s="40" t="str">
        <f t="shared" ref="IL4:IL14" si="74">IF(SUM(HX4:HY4,IA4:IC4,IE4)-SUM(HZ4,ID4)&gt;0,SUM(HX4:HY4,IA4:IC4,IE4)-SUM(HZ4,ID4),"")</f>
        <v/>
      </c>
      <c r="IM4" s="40" t="str">
        <f t="shared" ref="IM4:IM14" si="75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4" si="76">IF(SUM(IO4,IS4)&gt;0,SUM(IO4,IS4),"")</f>
        <v/>
      </c>
      <c r="JI4" s="11" t="str">
        <f t="shared" ref="JI4:JI14" si="77">IF(SUM(IN4:IO4,IQ4:IS4,IU4)-IP4-IT4&gt;0,SUM(IN4:IO4,IQ4:IS4,IU4)-IP4-IT4,"")</f>
        <v/>
      </c>
      <c r="JJ4" s="11" t="str">
        <f t="shared" ref="JJ4:JJ14" si="78">IF(SUM(IV4:IW4,IY4)-IX4&gt;0,SUM(IV4:IW4,IY4)-IX4,"")</f>
        <v/>
      </c>
      <c r="JK4" s="11" t="str">
        <f t="shared" ref="JK4:JK14" si="79">IF(SUM(IO4,IS4,IW4)&gt;0,SUM(IO4,IS4,IW4),"")</f>
        <v/>
      </c>
      <c r="JL4" s="11" t="str">
        <f t="shared" ref="JL4:JL14" si="80">IF(SUM(JI4,JJ4)&gt;0,SUM(JI4,JJ4),"")</f>
        <v/>
      </c>
      <c r="JM4" s="11" t="str">
        <f t="shared" ref="JM4:JM14" si="81">IF(SUM(JA4,JE4)&gt;0,SUM(JA4,JE4),"")</f>
        <v/>
      </c>
      <c r="JN4" s="11" t="str">
        <f t="shared" ref="JN4:JN14" si="82">IF(SUM(IZ4:JA4,JC4:JE4,JG4)-SUM(JB4,JF4)&gt;0,SUM(IZ4:JA4,JC4:JE4,JG4)-SUM(JB4,JF4),"")</f>
        <v/>
      </c>
      <c r="JO4" s="11" t="str">
        <f t="shared" ref="JO4:JO14" si="83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4" si="84">IF(SUM(JQ4,JU4)&gt;0,SUM(JQ4,JU4),"")</f>
        <v/>
      </c>
      <c r="KK4" s="40" t="str">
        <f t="shared" ref="KK4:KK14" si="85">IF(SUM(JP4:JQ4,JS4:JU4,JW4)-JR4-JV4&gt;0,SUM(JP4:JQ4,JS4:JU4,JW4)-JR4-JV4,"")</f>
        <v/>
      </c>
      <c r="KL4" s="40" t="str">
        <f t="shared" ref="KL4:KL14" si="86">IF(SUM(JX4:JY4,KA4)-JZ4&gt;0,SUM(JX4:JY4,KA4)-JZ4,"")</f>
        <v/>
      </c>
      <c r="KM4" s="40" t="str">
        <f t="shared" ref="KM4:KM14" si="87">IF(SUM(JQ4,JU4,JY4)&gt;0,SUM(JQ4,JU4,JY4),"")</f>
        <v/>
      </c>
      <c r="KN4" s="40" t="str">
        <f t="shared" ref="KN4:KN14" si="88">IF(SUM(KK4,KL4)&gt;0,SUM(KK4,KL4),"")</f>
        <v/>
      </c>
      <c r="KO4" s="40" t="str">
        <f t="shared" ref="KO4:KO14" si="89">IF(SUM(KC4,KG4)&gt;0,SUM(KC4,KG4),"")</f>
        <v/>
      </c>
      <c r="KP4" s="40" t="str">
        <f t="shared" ref="KP4:KP14" si="90">IF(SUM(KB4:KC4,KE4:KG4,KI4)-SUM(KD4,KH4)&gt;0,SUM(KB4:KC4,KE4:KG4,KI4)-SUM(KD4,KH4),"")</f>
        <v/>
      </c>
      <c r="KQ4" s="40" t="str">
        <f t="shared" ref="KQ4:KQ14" si="91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4" si="92">IF(SUM(KS4,KW4)&gt;0,SUM(KS4,KW4),"")</f>
        <v/>
      </c>
      <c r="LM4" s="11" t="str">
        <f t="shared" ref="LM4:LM14" si="93">IF(SUM(KR4:KS4,KU4:KW4,KY4)-KT4-KX4&gt;0,SUM(KR4:KS4,KU4:KW4,KY4)-KT4-KX4,"")</f>
        <v/>
      </c>
      <c r="LN4" s="11" t="str">
        <f t="shared" ref="LN4:LN14" si="94">IF(SUM(KZ4:LA4,LC4)-LB4&gt;0,SUM(KZ4:LA4,LC4)-LB4,"")</f>
        <v/>
      </c>
      <c r="LO4" s="11" t="str">
        <f t="shared" ref="LO4:LO14" si="95">IF(SUM(KS4,KW4,LA4)&gt;0,SUM(KS4,KW4,LA4),"")</f>
        <v/>
      </c>
      <c r="LP4" s="11" t="str">
        <f t="shared" ref="LP4:LP14" si="96">IF(SUM(LM4,LN4)&gt;0,SUM(LM4,LN4),"")</f>
        <v/>
      </c>
      <c r="LQ4" s="11" t="str">
        <f t="shared" ref="LQ4:LQ14" si="97">IF(SUM(LE4,LI4)&gt;0,SUM(LE4,LI4),"")</f>
        <v/>
      </c>
      <c r="LR4" s="11" t="str">
        <f t="shared" ref="LR4:LR14" si="98">IF(SUM(LD4:LE4,LG4:LI4,LK4)-SUM(LF4,LJ4)&gt;0,SUM(LD4:LE4,LG4:LI4,LK4)-SUM(LF4,LJ4),"")</f>
        <v/>
      </c>
      <c r="LS4" s="11" t="str">
        <f t="shared" ref="LS4:LS14" si="99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4" si="100">IF(SUM(LU4,LY4)&gt;0,SUM(LU4,LY4),"")</f>
        <v/>
      </c>
      <c r="MO4" s="40" t="str">
        <f t="shared" ref="MO4:MO14" si="101">IF(SUM(LT4:LU4,LW4:LY4,MA4)-LV4-LZ4&gt;0,SUM(LT4:LU4,LW4:LY4,MA4)-LV4-LZ4,"")</f>
        <v/>
      </c>
      <c r="MP4" s="40" t="str">
        <f t="shared" ref="MP4:MP14" si="102">IF(SUM(MB4:MC4,ME4)-MD4&gt;0,SUM(MB4:MC4,ME4)-MD4,"")</f>
        <v/>
      </c>
      <c r="MQ4" s="40" t="str">
        <f t="shared" ref="MQ4:MQ14" si="103">IF(SUM(LU4,LY4,MC4)&gt;0,SUM(LU4,LY4,MC4),"")</f>
        <v/>
      </c>
      <c r="MR4" s="40" t="str">
        <f t="shared" ref="MR4:MR14" si="104">IF(SUM(MO4,MP4)&gt;0,SUM(MO4,MP4),"")</f>
        <v/>
      </c>
      <c r="MS4" s="40" t="str">
        <f t="shared" ref="MS4:MS14" si="105">IF(SUM(MG4,MK4)&gt;0,SUM(MG4,MK4),"")</f>
        <v/>
      </c>
      <c r="MT4" s="40" t="str">
        <f t="shared" ref="MT4:MT14" si="106">IF(SUM(MF4:MG4,MI4:MK4,MM4)-SUM(MH4,ML4)&gt;0,SUM(MF4:MG4,MI4:MK4,MM4)-SUM(MH4,ML4),"")</f>
        <v/>
      </c>
      <c r="MU4" s="40" t="str">
        <f t="shared" ref="MU4:MU14" si="107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4" si="108">IF(SUM(MW4,NA4)&gt;0,SUM(MW4,NA4),"")</f>
        <v/>
      </c>
      <c r="NQ4" s="11" t="str">
        <f t="shared" ref="NQ4:NQ14" si="109">IF(SUM(MV4:MW4,MY4:NA4,NC4)-MX4-NB4&gt;0,SUM(MV4:MW4,MY4:NA4,NC4)-MX4-NB4,"")</f>
        <v/>
      </c>
      <c r="NR4" s="11" t="str">
        <f t="shared" ref="NR4:NR14" si="110">IF(SUM(ND4:NE4,NG4)-NF4&gt;0,SUM(ND4:NE4,NG4)-NF4,"")</f>
        <v/>
      </c>
      <c r="NS4" s="11" t="str">
        <f t="shared" ref="NS4:NS14" si="111">IF(SUM(MW4,NA4,NE4)&gt;0,SUM(MW4,NA4,NE4),"")</f>
        <v/>
      </c>
      <c r="NT4" s="11" t="str">
        <f t="shared" ref="NT4:NT14" si="112">IF(SUM(NQ4,NR4)&gt;0,SUM(NQ4,NR4),"")</f>
        <v/>
      </c>
      <c r="NU4" s="11" t="str">
        <f t="shared" ref="NU4:NU14" si="113">IF(SUM(NI4,NM4)&gt;0,SUM(NI4,NM4),"")</f>
        <v/>
      </c>
      <c r="NV4" s="11" t="str">
        <f t="shared" ref="NV4:NV14" si="114">IF(SUM(NH4:NI4,NK4:NM4,NO4)-SUM(NJ4,NN4)&gt;0,SUM(NH4:NI4,NK4:NM4,NO4)-SUM(NJ4,NN4),"")</f>
        <v/>
      </c>
      <c r="NW4" s="11" t="str">
        <f t="shared" ref="NW4:NW14" si="115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4" si="116">IF(SUM(NY4,OC4)&gt;0,SUM(NY4,OC4),"")</f>
        <v/>
      </c>
      <c r="OS4" s="40" t="str">
        <f t="shared" ref="OS4:OS14" si="117">IF(SUM(NX4:NY4,OA4:OC4,OE4)-NZ4-OD4&gt;0,SUM(NX4:NY4,OA4:OC4,OE4)-NZ4-OD4,"")</f>
        <v/>
      </c>
      <c r="OT4" s="40" t="str">
        <f t="shared" ref="OT4:OT14" si="118">IF(SUM(OF4:OG4,OI4)-OH4&gt;0,SUM(OF4:OG4,OI4)-OH4,"")</f>
        <v/>
      </c>
      <c r="OU4" s="40" t="str">
        <f t="shared" ref="OU4:OU14" si="119">IF(SUM(NY4,OC4,OG4)&gt;0,SUM(NY4,OC4,OG4),"")</f>
        <v/>
      </c>
      <c r="OV4" s="40" t="str">
        <f t="shared" ref="OV4:OV14" si="120">IF(SUM(OS4,OT4)&gt;0,SUM(OS4,OT4),"")</f>
        <v/>
      </c>
      <c r="OW4" s="40" t="str">
        <f t="shared" ref="OW4:OW14" si="121">IF(SUM(OK4,OO4)&gt;0,SUM(OK4,OO4),"")</f>
        <v/>
      </c>
      <c r="OX4" s="40" t="str">
        <f t="shared" ref="OX4:OX14" si="122">IF(SUM(OJ4:OK4,OM4:OO4,OQ4)-SUM(OL4,OP4)&gt;0,SUM(OJ4:OK4,OM4:OO4,OQ4)-SUM(OL4,OP4),"")</f>
        <v/>
      </c>
      <c r="OY4" s="40" t="str">
        <f t="shared" ref="OY4:OY14" si="123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4" si="124">IF(SUM(PA4,PE4)&gt;0,SUM(PA4,PE4),"")</f>
        <v/>
      </c>
      <c r="PU4" s="11" t="str">
        <f t="shared" ref="PU4:PU14" si="125">IF(SUM(OZ4:PA4,PC4:PE4,PG4)-PB4-PF4&gt;0,SUM(OZ4:PA4,PC4:PE4,PG4)-PB4-PF4,"")</f>
        <v/>
      </c>
      <c r="PV4" s="11" t="str">
        <f t="shared" ref="PV4:PV14" si="126">IF(SUM(PH4:PI4,PK4)-PJ4&gt;0,SUM(PH4:PI4,PK4)-PJ4,"")</f>
        <v/>
      </c>
      <c r="PW4" s="11" t="str">
        <f t="shared" ref="PW4:PW14" si="127">IF(SUM(PA4,PE4,PI4)&gt;0,SUM(PA4,PE4,PI4),"")</f>
        <v/>
      </c>
      <c r="PX4" s="11" t="str">
        <f t="shared" ref="PX4:PX14" si="128">IF(SUM(PU4,PV4)&gt;0,SUM(PU4,PV4),"")</f>
        <v/>
      </c>
      <c r="PY4" s="11" t="str">
        <f t="shared" ref="PY4:PY14" si="129">IF(SUM(PM4,PQ4)&gt;0,SUM(PM4,PQ4),"")</f>
        <v/>
      </c>
      <c r="PZ4" s="11" t="str">
        <f t="shared" ref="PZ4:PZ14" si="130">IF(SUM(PL4:PM4,PO4:PQ4,PS4)-SUM(PN4,PR4)&gt;0,SUM(PL4:PM4,PO4:PQ4,PS4)-SUM(PN4,PR4),"")</f>
        <v/>
      </c>
      <c r="QA4" s="11" t="str">
        <f t="shared" ref="QA4:QA14" si="131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4" si="132">IF(SUM(QC4,QG4)&gt;0,SUM(QC4,QG4),"")</f>
        <v/>
      </c>
      <c r="QW4" s="40" t="str">
        <f t="shared" ref="QW4:QW14" si="133">IF(SUM(QB4:QC4,QE4:QG4,QI4)-QD4-QH4&gt;0,SUM(QB4:QC4,QE4:QG4,QI4)-QD4-QH4,"")</f>
        <v/>
      </c>
      <c r="QX4" s="40" t="str">
        <f t="shared" ref="QX4:QX14" si="134">IF(SUM(QJ4:QK4,QM4)-QL4&gt;0,SUM(QJ4:QK4,QM4)-QL4,"")</f>
        <v/>
      </c>
      <c r="QY4" s="40" t="str">
        <f t="shared" ref="QY4:QY14" si="135">IF(SUM(QC4,QG4,QK4)&gt;0,SUM(QC4,QG4,QK4),"")</f>
        <v/>
      </c>
      <c r="QZ4" s="40" t="str">
        <f t="shared" ref="QZ4:QZ14" si="136">IF(SUM(QW4,QX4)&gt;0,SUM(QW4,QX4),"")</f>
        <v/>
      </c>
      <c r="RA4" s="40" t="str">
        <f t="shared" ref="RA4:RA14" si="137">IF(SUM(QO4,QS4)&gt;0,SUM(QO4,QS4),"")</f>
        <v/>
      </c>
      <c r="RB4" s="40" t="str">
        <f t="shared" ref="RB4:RB14" si="138">IF(SUM(QN4:QO4,QQ4:QS4,QU4)-SUM(QP4,QT4)&gt;0,SUM(QN4:QO4,QQ4:QS4,QU4)-SUM(QP4,QT4),"")</f>
        <v/>
      </c>
      <c r="RC4" s="40" t="str">
        <f t="shared" ref="RC4:RC14" si="139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4" si="140">IF(SUM(RE4,RI4)&gt;0,SUM(RE4,RI4),"")</f>
        <v/>
      </c>
      <c r="RY4" s="11" t="str">
        <f t="shared" ref="RY4:RY14" si="141">IF(SUM(RD4:RE4,RG4:RI4,RK4)-RF4-RJ4&gt;0,SUM(RD4:RE4,RG4:RI4,RK4)-RF4-RJ4,"")</f>
        <v/>
      </c>
      <c r="RZ4" s="11" t="str">
        <f t="shared" ref="RZ4:RZ14" si="142">IF(SUM(RL4:RM4,RO4)-RN4&gt;0,SUM(RL4:RM4,RO4)-RN4,"")</f>
        <v/>
      </c>
      <c r="SA4" s="11" t="str">
        <f t="shared" ref="SA4:SA14" si="143">IF(SUM(RE4,RI4,RM4)&gt;0,SUM(RE4,RI4,RM4),"")</f>
        <v/>
      </c>
      <c r="SB4" s="11" t="str">
        <f t="shared" ref="SB4:SB14" si="144">IF(SUM(RY4,RZ4)&gt;0,SUM(RY4,RZ4),"")</f>
        <v/>
      </c>
      <c r="SC4" s="11" t="str">
        <f t="shared" ref="SC4:SC14" si="145">IF(SUM(RQ4,RU4)&gt;0,SUM(RQ4,RU4),"")</f>
        <v/>
      </c>
      <c r="SD4" s="11" t="str">
        <f t="shared" ref="SD4:SD14" si="146">IF(SUM(RP4:RQ4,RS4:RU4,RW4)-SUM(RR4,RV4)&gt;0,SUM(RP4:RQ4,RS4:RU4,RW4)-SUM(RR4,RV4),"")</f>
        <v/>
      </c>
      <c r="SE4" s="11" t="str">
        <f t="shared" ref="SE4:SE14" si="147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4" si="148">IF(SUM(SG4,SK4)&gt;0,SUM(SG4,SK4),"")</f>
        <v/>
      </c>
      <c r="TA4" s="40" t="str">
        <f t="shared" ref="TA4:TA14" si="149">IF(SUM(SF4:SG4,SI4:SK4,SM4)-SH4-SL4&gt;0,SUM(SF4:SG4,SI4:SK4,SM4)-SH4-SL4,"")</f>
        <v/>
      </c>
      <c r="TB4" s="40" t="str">
        <f t="shared" ref="TB4:TB14" si="150">IF(SUM(SN4:SO4,SQ4)-SP4&gt;0,SUM(SN4:SO4,SQ4)-SP4,"")</f>
        <v/>
      </c>
      <c r="TC4" s="40" t="str">
        <f t="shared" ref="TC4:TC14" si="151">IF(SUM(SG4,SK4,SO4)&gt;0,SUM(SG4,SK4,SO4),"")</f>
        <v/>
      </c>
      <c r="TD4" s="40" t="str">
        <f t="shared" ref="TD4:TD14" si="152">IF(SUM(TA4,TB4)&gt;0,SUM(TA4,TB4),"")</f>
        <v/>
      </c>
      <c r="TE4" s="40" t="str">
        <f t="shared" ref="TE4:TE14" si="153">IF(SUM(SS4,SW4)&gt;0,SUM(SS4,SW4),"")</f>
        <v/>
      </c>
      <c r="TF4" s="40" t="str">
        <f t="shared" ref="TF4:TF14" si="154">IF(SUM(SR4:SS4,SU4:SW4,SY4)-SUM(ST4,SX4)&gt;0,SUM(SR4:SS4,SU4:SW4,SY4)-SUM(ST4,SX4),"")</f>
        <v/>
      </c>
      <c r="TG4" s="40" t="str">
        <f t="shared" ref="TG4:TG14" si="155">IF(SUM(TA4,TB4,TF4)&gt;0,SUM(TA4,TB4,TF4),"")</f>
        <v/>
      </c>
      <c r="TH4" s="26">
        <f t="shared" ref="TH4:TH14" si="156">IF($CS4="P",BY4,(BY4+AV4)/2)</f>
        <v>18.350000000000001</v>
      </c>
      <c r="TI4" s="26">
        <f t="shared" ref="TI4:TI14" si="157">IF($CS4="P",BZ4,(BZ4+AW4)/2)</f>
        <v>8.5</v>
      </c>
      <c r="TJ4" s="26">
        <f t="shared" ref="TJ4:TJ14" si="158">IF($CS4="P",CA4,(CA4+AX4)/2)</f>
        <v>0.1</v>
      </c>
      <c r="TK4" s="26">
        <f t="shared" ref="TK4:TK14" si="159">IF($CS4="P",CB4,(CB4+AY4)/2)</f>
        <v>0</v>
      </c>
      <c r="TL4" s="26">
        <f t="shared" ref="TL4:TL14" si="160">IF($CS4="P",CC4,(CC4+AZ4)/2)</f>
        <v>18.399999999999999</v>
      </c>
      <c r="TM4" s="26">
        <f t="shared" ref="TM4:TM14" si="161">IF($CS4="P",CD4,(CD4+BA4)/2)</f>
        <v>7.35</v>
      </c>
      <c r="TN4" s="26">
        <f t="shared" ref="TN4:TN14" si="162">IF($CS4="P",CE4,(CE4+BB4)/2)</f>
        <v>0</v>
      </c>
      <c r="TO4" s="26">
        <f t="shared" ref="TO4:TO14" si="163">IF($CS4="P",CF4,(CF4+BC4)/2)</f>
        <v>0</v>
      </c>
      <c r="TP4" s="26">
        <f t="shared" ref="TP4:TP14" si="164">IF($CS4="P",CG4,(CG4+BD4)/2)</f>
        <v>9.15</v>
      </c>
      <c r="TQ4" s="26">
        <f t="shared" ref="TQ4:TQ14" si="165">IF($CS4="P",CH4,(CH4+BE4)/2)</f>
        <v>4.25</v>
      </c>
      <c r="TR4" s="26">
        <f t="shared" ref="TR4:TR14" si="166">IF($CS4="P",CI4,(CI4+BF4)/2)</f>
        <v>0</v>
      </c>
      <c r="TS4" s="26">
        <f t="shared" ref="TS4:TS14" si="167">IF($CS4="P",CJ4,(CJ4+BG4)/2)</f>
        <v>0</v>
      </c>
      <c r="TT4" s="26">
        <f t="shared" ref="TT4:TT14" si="168">IF($CS4="P",CK4,(CK4+BH4)/2)</f>
        <v>18.600000000000001</v>
      </c>
      <c r="TU4" s="26">
        <f t="shared" ref="TU4:TU14" si="169">IF($CS4="P",CL4,(CL4+BI4)/2)</f>
        <v>8.5</v>
      </c>
      <c r="TV4" s="26">
        <f t="shared" ref="TV4:TV14" si="170">IF($CS4="P",CM4,(CM4+BJ4)/2)</f>
        <v>0.1</v>
      </c>
      <c r="TW4" s="26">
        <f t="shared" ref="TW4:TW14" si="171">IF($CS4="P",CN4,(CN4+BK4)/2)</f>
        <v>0</v>
      </c>
      <c r="TX4" s="26">
        <f t="shared" ref="TX4:TX14" si="172">IF($CS4="P",CO4,(CO4+BL4)/2)</f>
        <v>18.45</v>
      </c>
      <c r="TY4" s="26">
        <f t="shared" ref="TY4:TY14" si="173">IF($CS4="P",CP4,(CP4+BM4)/2)</f>
        <v>8.25</v>
      </c>
      <c r="TZ4" s="26">
        <f t="shared" ref="TZ4:TZ14" si="174">IF($CS4="P",CQ4,(CQ4+BN4)/2)</f>
        <v>0</v>
      </c>
      <c r="UA4" s="26">
        <f t="shared" ref="UA4:UA14" si="175">IF($CS4="P",CR4,(CR4+BO4)/2)</f>
        <v>0</v>
      </c>
      <c r="UB4" s="28" t="s">
        <v>53</v>
      </c>
      <c r="UC4" s="11">
        <f t="shared" ref="UC4:UC14" si="176">IF(SUM(TI4,TM4)&gt;0,SUM(TI4,TM4),"")</f>
        <v>15.85</v>
      </c>
      <c r="UD4" s="11">
        <f t="shared" ref="UD4:UD14" si="177">IF(SUM(TH4:TI4,TK4:TM4,TO4)-TJ4-TN4&gt;0,SUM(TH4:TI4,TK4:TM4,TO4)-TJ4-TN4,"")</f>
        <v>52.5</v>
      </c>
      <c r="UE4" s="11">
        <f t="shared" ref="UE4:UE14" si="178">IF(SUM(TP4:TQ4,TS4)-TR4&gt;0,SUM(TP4:TQ4,TS4)-TR4,"")</f>
        <v>13.4</v>
      </c>
      <c r="UF4" s="11">
        <f t="shared" ref="UF4:UF14" si="179">IF(SUM(TI4,TM4,TQ4)&gt;0,SUM(TI4,TM4,TQ4),"")</f>
        <v>20.100000000000001</v>
      </c>
      <c r="UG4" s="11">
        <f t="shared" ref="UG4:UG14" si="180">IF(SUM(UD4,UE4)&gt;0,SUM(UD4,UE4),"")</f>
        <v>65.900000000000006</v>
      </c>
      <c r="UH4" s="11">
        <f t="shared" ref="UH4:UH14" si="181">IF(SUM(TU4,TY4)&gt;0,SUM(TU4,TY4),"")</f>
        <v>16.75</v>
      </c>
      <c r="UI4" s="11">
        <f t="shared" ref="UI4:UI14" si="182">IF(SUM(TT4:TU4,TW4:TY4,UA4)-SUM(TV4,TZ4)&gt;0,SUM(TT4:TU4,TW4:TY4,UA4)-SUM(TV4,TZ4),"")</f>
        <v>53.699999999999996</v>
      </c>
      <c r="UJ4" s="11">
        <f t="shared" ref="UJ4:UJ14" si="183">IF(SUM(UD4,UE4,UI4)&gt;0,SUM(UD4,UE4,UI4),"")</f>
        <v>119.6</v>
      </c>
    </row>
    <row r="5" spans="1:556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176</v>
      </c>
      <c r="C5" s="4" t="s">
        <v>7</v>
      </c>
      <c r="D5" s="4">
        <v>2006</v>
      </c>
      <c r="E5" s="9">
        <f t="shared" si="0"/>
        <v>156.0000102500052</v>
      </c>
      <c r="F5" s="3" t="str">
        <f t="shared" si="1"/>
        <v>P</v>
      </c>
      <c r="G5" s="3" t="str">
        <f t="shared" si="2"/>
        <v>P</v>
      </c>
      <c r="H5" s="36" t="str">
        <f t="shared" si="3"/>
        <v>Merit</v>
      </c>
      <c r="I5" s="3" t="str">
        <f t="shared" si="4"/>
        <v>P</v>
      </c>
      <c r="J5" s="8">
        <f>IF(COUNT(AO5,BR5,CU5)&gt;0,LARGE((AO5,BR5,CU5),1),0)</f>
        <v>51.900000000000006</v>
      </c>
      <c r="K5" s="8" t="str">
        <f t="shared" si="5"/>
        <v>2024 3rd Domestic Trial</v>
      </c>
      <c r="L5" s="8">
        <f>IF(COUNT(AO5,BR5,CU5)&gt;1,LARGE((AO5,BR5,CU5),2),0)</f>
        <v>50.6</v>
      </c>
      <c r="M5" s="8" t="str">
        <f t="shared" si="6"/>
        <v>2025 Elite Canada</v>
      </c>
      <c r="N5" s="8">
        <f t="shared" si="7"/>
        <v>53.5</v>
      </c>
      <c r="O5" s="8" t="str">
        <f t="shared" si="8"/>
        <v>2025 Elite Canada</v>
      </c>
      <c r="P5" s="8" t="str">
        <f t="shared" si="9"/>
        <v/>
      </c>
      <c r="Q5" s="11" t="str">
        <f t="shared" ref="Q5:Q14" si="184">IF(P5="","",IF(P5=DB5,"("&amp;DB$2&amp;")",IF(P5=DC5,"("&amp;DC$2&amp;")")))</f>
        <v/>
      </c>
      <c r="R5" s="8" t="str">
        <f t="shared" ref="R5:R14" si="185"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18.100000000000001</v>
      </c>
      <c r="T5" s="19">
        <v>7.1</v>
      </c>
      <c r="U5" s="19">
        <v>0.2</v>
      </c>
      <c r="V5" s="19">
        <v>0</v>
      </c>
      <c r="W5" s="19">
        <v>17.8</v>
      </c>
      <c r="X5" s="19">
        <v>6.6</v>
      </c>
      <c r="Y5" s="19">
        <v>0</v>
      </c>
      <c r="Z5" s="19">
        <v>0</v>
      </c>
      <c r="AA5" s="19">
        <v>18.3</v>
      </c>
      <c r="AB5" s="19">
        <v>7.1</v>
      </c>
      <c r="AC5" s="19">
        <v>0.2</v>
      </c>
      <c r="AD5" s="19">
        <v>0</v>
      </c>
      <c r="AE5" s="19">
        <v>18.399999999999999</v>
      </c>
      <c r="AF5" s="19">
        <v>7.2</v>
      </c>
      <c r="AG5" s="19">
        <v>0</v>
      </c>
      <c r="AH5" s="19">
        <v>0</v>
      </c>
      <c r="AI5" s="19">
        <v>18.3</v>
      </c>
      <c r="AJ5" s="19">
        <v>6.5</v>
      </c>
      <c r="AK5" s="19">
        <v>0</v>
      </c>
      <c r="AL5" s="19">
        <v>0</v>
      </c>
      <c r="AM5" s="27"/>
      <c r="AN5" s="40">
        <f t="shared" si="10"/>
        <v>13.7</v>
      </c>
      <c r="AO5" s="40">
        <f t="shared" si="11"/>
        <v>49.4</v>
      </c>
      <c r="AP5" s="40">
        <f t="shared" si="12"/>
        <v>25.2</v>
      </c>
      <c r="AQ5" s="40">
        <f t="shared" si="13"/>
        <v>20.799999999999997</v>
      </c>
      <c r="AR5" s="40">
        <f t="shared" si="14"/>
        <v>74.599999999999994</v>
      </c>
      <c r="AS5" s="40">
        <f t="shared" si="15"/>
        <v>13.7</v>
      </c>
      <c r="AT5" s="40">
        <f t="shared" si="16"/>
        <v>50.4</v>
      </c>
      <c r="AU5" s="40">
        <f t="shared" si="17"/>
        <v>125</v>
      </c>
      <c r="AV5" s="18">
        <v>18.100000000000001</v>
      </c>
      <c r="AW5" s="18">
        <v>7.5</v>
      </c>
      <c r="AX5" s="18">
        <v>0</v>
      </c>
      <c r="AY5" s="18">
        <v>0</v>
      </c>
      <c r="AZ5" s="18">
        <v>18.8</v>
      </c>
      <c r="BA5" s="18">
        <v>7.5</v>
      </c>
      <c r="BB5" s="18">
        <v>0</v>
      </c>
      <c r="BC5" s="18">
        <v>0</v>
      </c>
      <c r="BD5" s="18">
        <v>18.3</v>
      </c>
      <c r="BE5" s="18">
        <v>7.3</v>
      </c>
      <c r="BF5" s="18">
        <v>0</v>
      </c>
      <c r="BG5" s="18">
        <v>0</v>
      </c>
      <c r="BH5" s="18">
        <v>18.3</v>
      </c>
      <c r="BI5" s="18">
        <v>7.5</v>
      </c>
      <c r="BJ5" s="18">
        <v>0.2</v>
      </c>
      <c r="BK5" s="18">
        <v>0</v>
      </c>
      <c r="BL5" s="18">
        <v>18.3</v>
      </c>
      <c r="BM5" s="18">
        <v>6.9</v>
      </c>
      <c r="BN5" s="18">
        <v>0</v>
      </c>
      <c r="BO5" s="18">
        <v>0</v>
      </c>
      <c r="BP5" s="28"/>
      <c r="BQ5" s="11">
        <f t="shared" si="18"/>
        <v>15</v>
      </c>
      <c r="BR5" s="11">
        <f t="shared" si="19"/>
        <v>51.900000000000006</v>
      </c>
      <c r="BS5" s="11">
        <f t="shared" si="20"/>
        <v>25.6</v>
      </c>
      <c r="BT5" s="11">
        <f t="shared" si="21"/>
        <v>22.3</v>
      </c>
      <c r="BU5" s="11">
        <f t="shared" si="22"/>
        <v>77.5</v>
      </c>
      <c r="BV5" s="11">
        <f t="shared" si="23"/>
        <v>14.4</v>
      </c>
      <c r="BW5" s="11">
        <f t="shared" si="24"/>
        <v>50.8</v>
      </c>
      <c r="BX5" s="11">
        <f t="shared" si="25"/>
        <v>128.30000000000001</v>
      </c>
      <c r="BY5" s="19">
        <v>17.3</v>
      </c>
      <c r="BZ5" s="19">
        <v>6.7</v>
      </c>
      <c r="CA5" s="19">
        <v>0</v>
      </c>
      <c r="CB5" s="19">
        <v>0</v>
      </c>
      <c r="CC5" s="19">
        <v>18.7</v>
      </c>
      <c r="CD5" s="19">
        <v>7.9</v>
      </c>
      <c r="CE5" s="19">
        <v>0</v>
      </c>
      <c r="CF5" s="19">
        <v>0</v>
      </c>
      <c r="CG5" s="19"/>
      <c r="CH5" s="19"/>
      <c r="CI5" s="19"/>
      <c r="CJ5" s="19"/>
      <c r="CK5" s="19">
        <v>18.3</v>
      </c>
      <c r="CL5" s="19">
        <v>8.3000000000000007</v>
      </c>
      <c r="CM5" s="19">
        <v>0</v>
      </c>
      <c r="CN5" s="19">
        <v>0</v>
      </c>
      <c r="CO5" s="19">
        <v>19</v>
      </c>
      <c r="CP5" s="19">
        <v>7.9</v>
      </c>
      <c r="CQ5" s="19">
        <v>0</v>
      </c>
      <c r="CR5" s="19">
        <v>0</v>
      </c>
      <c r="CS5" s="27"/>
      <c r="CT5" s="40">
        <f t="shared" si="26"/>
        <v>14.600000000000001</v>
      </c>
      <c r="CU5" s="40">
        <f t="shared" si="27"/>
        <v>50.6</v>
      </c>
      <c r="CV5" s="40" t="str">
        <f t="shared" si="28"/>
        <v/>
      </c>
      <c r="CW5" s="40">
        <f t="shared" si="29"/>
        <v>14.600000000000001</v>
      </c>
      <c r="CX5" s="40">
        <f t="shared" si="30"/>
        <v>50.6</v>
      </c>
      <c r="CY5" s="40">
        <f t="shared" si="31"/>
        <v>16.200000000000003</v>
      </c>
      <c r="CZ5" s="40">
        <f t="shared" si="32"/>
        <v>53.5</v>
      </c>
      <c r="DA5" s="40">
        <f t="shared" si="33"/>
        <v>104.1</v>
      </c>
      <c r="DB5" s="51" t="str">
        <f t="shared" si="34"/>
        <v/>
      </c>
      <c r="DC5" s="51" t="str">
        <f t="shared" si="35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6"/>
        <v/>
      </c>
      <c r="DY5" s="40" t="str">
        <f t="shared" si="37"/>
        <v/>
      </c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18">
        <v>17.5</v>
      </c>
      <c r="EG5" s="18">
        <v>7.3</v>
      </c>
      <c r="EH5" s="18">
        <v>0</v>
      </c>
      <c r="EI5" s="18">
        <v>0</v>
      </c>
      <c r="EJ5" s="18">
        <v>17.600000000000001</v>
      </c>
      <c r="EK5" s="18">
        <v>7.5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 t="shared" si="44"/>
        <v>14.8</v>
      </c>
      <c r="FA5" s="11">
        <f t="shared" si="45"/>
        <v>49.900000000000006</v>
      </c>
      <c r="FB5" s="11" t="str">
        <f t="shared" si="46"/>
        <v/>
      </c>
      <c r="FC5" s="11">
        <f t="shared" si="47"/>
        <v>14.8</v>
      </c>
      <c r="FD5" s="11">
        <f t="shared" si="48"/>
        <v>49.900000000000006</v>
      </c>
      <c r="FE5" s="11" t="str">
        <f t="shared" si="49"/>
        <v/>
      </c>
      <c r="FF5" s="11" t="str">
        <f t="shared" si="50"/>
        <v/>
      </c>
      <c r="FG5" s="11">
        <f t="shared" si="51"/>
        <v>49.900000000000006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2"/>
        <v/>
      </c>
      <c r="GC5" s="40" t="str">
        <f t="shared" si="53"/>
        <v/>
      </c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0"/>
        <v/>
      </c>
      <c r="HE5" s="11" t="str">
        <f t="shared" si="61"/>
        <v/>
      </c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68"/>
        <v/>
      </c>
      <c r="IG5" s="40" t="str">
        <f t="shared" si="69"/>
        <v/>
      </c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6"/>
        <v/>
      </c>
      <c r="JI5" s="11" t="str">
        <f t="shared" si="77"/>
        <v/>
      </c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4"/>
        <v/>
      </c>
      <c r="KK5" s="40" t="str">
        <f t="shared" si="85"/>
        <v/>
      </c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2"/>
        <v/>
      </c>
      <c r="LM5" s="11" t="str">
        <f t="shared" si="93"/>
        <v/>
      </c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0"/>
        <v/>
      </c>
      <c r="MO5" s="40" t="str">
        <f t="shared" si="101"/>
        <v/>
      </c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08"/>
        <v/>
      </c>
      <c r="NQ5" s="11" t="str">
        <f t="shared" si="109"/>
        <v/>
      </c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6"/>
        <v/>
      </c>
      <c r="OS5" s="40" t="str">
        <f t="shared" si="117"/>
        <v/>
      </c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4"/>
        <v/>
      </c>
      <c r="PU5" s="11" t="str">
        <f t="shared" si="125"/>
        <v/>
      </c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2"/>
        <v/>
      </c>
      <c r="QW5" s="40" t="str">
        <f t="shared" si="133"/>
        <v/>
      </c>
      <c r="QX5" s="40" t="str">
        <f t="shared" si="134"/>
        <v/>
      </c>
      <c r="QY5" s="40" t="str">
        <f t="shared" si="135"/>
        <v/>
      </c>
      <c r="QZ5" s="40" t="str">
        <f t="shared" si="136"/>
        <v/>
      </c>
      <c r="RA5" s="40" t="str">
        <f t="shared" si="137"/>
        <v/>
      </c>
      <c r="RB5" s="40" t="str">
        <f t="shared" si="138"/>
        <v/>
      </c>
      <c r="RC5" s="40" t="str">
        <f t="shared" si="139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0"/>
        <v/>
      </c>
      <c r="RY5" s="11" t="str">
        <f t="shared" si="141"/>
        <v/>
      </c>
      <c r="RZ5" s="11" t="str">
        <f t="shared" si="142"/>
        <v/>
      </c>
      <c r="SA5" s="11" t="str">
        <f t="shared" si="143"/>
        <v/>
      </c>
      <c r="SB5" s="11" t="str">
        <f t="shared" si="144"/>
        <v/>
      </c>
      <c r="SC5" s="11" t="str">
        <f t="shared" si="145"/>
        <v/>
      </c>
      <c r="SD5" s="11" t="str">
        <f t="shared" si="146"/>
        <v/>
      </c>
      <c r="SE5" s="11" t="str">
        <f t="shared" si="147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48"/>
        <v/>
      </c>
      <c r="TA5" s="40" t="str">
        <f t="shared" si="149"/>
        <v/>
      </c>
      <c r="TB5" s="40" t="str">
        <f t="shared" si="150"/>
        <v/>
      </c>
      <c r="TC5" s="40" t="str">
        <f t="shared" si="151"/>
        <v/>
      </c>
      <c r="TD5" s="40" t="str">
        <f t="shared" si="152"/>
        <v/>
      </c>
      <c r="TE5" s="40" t="str">
        <f t="shared" si="153"/>
        <v/>
      </c>
      <c r="TF5" s="40" t="str">
        <f t="shared" si="154"/>
        <v/>
      </c>
      <c r="TG5" s="40" t="str">
        <f t="shared" si="155"/>
        <v/>
      </c>
      <c r="TH5" s="26">
        <f t="shared" si="156"/>
        <v>17.700000000000003</v>
      </c>
      <c r="TI5" s="26">
        <f t="shared" si="157"/>
        <v>7.1</v>
      </c>
      <c r="TJ5" s="26">
        <f t="shared" si="158"/>
        <v>0</v>
      </c>
      <c r="TK5" s="26">
        <f t="shared" si="159"/>
        <v>0</v>
      </c>
      <c r="TL5" s="26">
        <f t="shared" si="160"/>
        <v>18.75</v>
      </c>
      <c r="TM5" s="26">
        <f t="shared" si="161"/>
        <v>7.7</v>
      </c>
      <c r="TN5" s="26">
        <f t="shared" si="162"/>
        <v>0</v>
      </c>
      <c r="TO5" s="26">
        <f t="shared" si="163"/>
        <v>0</v>
      </c>
      <c r="TP5" s="26">
        <f t="shared" si="164"/>
        <v>9.15</v>
      </c>
      <c r="TQ5" s="26">
        <f t="shared" si="165"/>
        <v>3.65</v>
      </c>
      <c r="TR5" s="26">
        <f t="shared" si="166"/>
        <v>0</v>
      </c>
      <c r="TS5" s="26">
        <f t="shared" si="167"/>
        <v>0</v>
      </c>
      <c r="TT5" s="26">
        <f t="shared" si="168"/>
        <v>18.3</v>
      </c>
      <c r="TU5" s="26">
        <f t="shared" si="169"/>
        <v>7.9</v>
      </c>
      <c r="TV5" s="26">
        <f t="shared" si="170"/>
        <v>0.1</v>
      </c>
      <c r="TW5" s="26">
        <f t="shared" si="171"/>
        <v>0</v>
      </c>
      <c r="TX5" s="26">
        <f t="shared" si="172"/>
        <v>18.649999999999999</v>
      </c>
      <c r="TY5" s="26">
        <f t="shared" si="173"/>
        <v>7.4</v>
      </c>
      <c r="TZ5" s="26">
        <f t="shared" si="174"/>
        <v>0</v>
      </c>
      <c r="UA5" s="26">
        <f t="shared" si="175"/>
        <v>0</v>
      </c>
      <c r="UB5" s="28" t="s">
        <v>53</v>
      </c>
      <c r="UC5" s="11">
        <f t="shared" si="176"/>
        <v>14.8</v>
      </c>
      <c r="UD5" s="11">
        <f t="shared" si="177"/>
        <v>51.250000000000007</v>
      </c>
      <c r="UE5" s="11">
        <f t="shared" si="178"/>
        <v>12.8</v>
      </c>
      <c r="UF5" s="11">
        <f t="shared" si="179"/>
        <v>18.45</v>
      </c>
      <c r="UG5" s="11">
        <f t="shared" si="180"/>
        <v>64.050000000000011</v>
      </c>
      <c r="UH5" s="11">
        <f t="shared" si="181"/>
        <v>15.3</v>
      </c>
      <c r="UI5" s="11">
        <f t="shared" si="182"/>
        <v>52.15</v>
      </c>
      <c r="UJ5" s="11">
        <f t="shared" si="183"/>
        <v>116.20000000000002</v>
      </c>
    </row>
    <row r="6" spans="1:556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79</v>
      </c>
      <c r="C6" s="4" t="s">
        <v>5</v>
      </c>
      <c r="D6" s="4">
        <v>2002</v>
      </c>
      <c r="E6" s="9">
        <f t="shared" si="0"/>
        <v>140.60000943000472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IF(COUNT(AO6,BR6,CU6)&gt;0,LARGE((AO6,BR6,CU6),1),0)</f>
        <v>47.199999999999996</v>
      </c>
      <c r="K6" s="8" t="str">
        <f t="shared" si="5"/>
        <v>2025 Elite Canada</v>
      </c>
      <c r="L6" s="8">
        <f>IF(COUNT(AO6,BR6,CU6)&gt;1,LARGE((AO6,BR6,CU6),2),0)</f>
        <v>47.1</v>
      </c>
      <c r="M6" s="8" t="str">
        <f t="shared" si="6"/>
        <v>2024 3rd Domestic Trial</v>
      </c>
      <c r="N6" s="8">
        <f t="shared" si="7"/>
        <v>46.300000000000004</v>
      </c>
      <c r="O6" s="8" t="str">
        <f t="shared" si="8"/>
        <v>2024 3rd Domestic Trial</v>
      </c>
      <c r="P6" s="8" t="str">
        <f t="shared" si="9"/>
        <v/>
      </c>
      <c r="Q6" s="11" t="str">
        <f t="shared" si="184"/>
        <v/>
      </c>
      <c r="R6" s="8" t="str">
        <f t="shared" si="185"/>
        <v/>
      </c>
      <c r="S6" s="19">
        <v>17.600000000000001</v>
      </c>
      <c r="T6" s="19">
        <v>6.1</v>
      </c>
      <c r="U6" s="19">
        <v>0</v>
      </c>
      <c r="V6" s="19">
        <v>0</v>
      </c>
      <c r="W6" s="19">
        <v>17.899999999999999</v>
      </c>
      <c r="X6" s="19">
        <v>5.5</v>
      </c>
      <c r="Y6" s="19">
        <v>0</v>
      </c>
      <c r="Z6" s="19">
        <v>0</v>
      </c>
      <c r="AA6" s="19">
        <v>18.3</v>
      </c>
      <c r="AB6" s="19">
        <v>5.9</v>
      </c>
      <c r="AC6" s="19">
        <v>0</v>
      </c>
      <c r="AD6" s="19">
        <v>0</v>
      </c>
      <c r="AE6" s="19">
        <v>16</v>
      </c>
      <c r="AF6" s="19">
        <v>5.7</v>
      </c>
      <c r="AG6" s="19">
        <v>0</v>
      </c>
      <c r="AH6" s="19">
        <v>0</v>
      </c>
      <c r="AI6" s="19">
        <v>18.2</v>
      </c>
      <c r="AJ6" s="19">
        <v>6.1</v>
      </c>
      <c r="AK6" s="19">
        <v>0</v>
      </c>
      <c r="AL6" s="19">
        <v>0</v>
      </c>
      <c r="AM6" s="27"/>
      <c r="AN6" s="40">
        <f t="shared" si="10"/>
        <v>11.6</v>
      </c>
      <c r="AO6" s="40">
        <f t="shared" si="11"/>
        <v>47.1</v>
      </c>
      <c r="AP6" s="40">
        <f t="shared" si="12"/>
        <v>24.200000000000003</v>
      </c>
      <c r="AQ6" s="40">
        <f t="shared" si="13"/>
        <v>17.5</v>
      </c>
      <c r="AR6" s="40">
        <f t="shared" si="14"/>
        <v>71.300000000000011</v>
      </c>
      <c r="AS6" s="40">
        <f t="shared" si="15"/>
        <v>11.8</v>
      </c>
      <c r="AT6" s="40">
        <f t="shared" si="16"/>
        <v>46</v>
      </c>
      <c r="AU6" s="40">
        <f t="shared" si="17"/>
        <v>117.30000000000001</v>
      </c>
      <c r="AV6" s="18">
        <v>17.3</v>
      </c>
      <c r="AW6" s="18">
        <v>5.5</v>
      </c>
      <c r="AX6" s="18">
        <v>0.2</v>
      </c>
      <c r="AY6" s="18">
        <v>0</v>
      </c>
      <c r="AZ6" s="18">
        <v>17.399999999999999</v>
      </c>
      <c r="BA6" s="18">
        <v>7.3</v>
      </c>
      <c r="BB6" s="18">
        <v>0.2</v>
      </c>
      <c r="BC6" s="18">
        <v>0</v>
      </c>
      <c r="BD6" s="18">
        <v>17.5</v>
      </c>
      <c r="BE6" s="18">
        <v>5.5</v>
      </c>
      <c r="BF6" s="18">
        <v>0</v>
      </c>
      <c r="BG6" s="18">
        <v>0</v>
      </c>
      <c r="BH6" s="18">
        <v>17.3</v>
      </c>
      <c r="BI6" s="18">
        <v>5.9</v>
      </c>
      <c r="BJ6" s="18">
        <v>0</v>
      </c>
      <c r="BK6" s="18">
        <v>0</v>
      </c>
      <c r="BL6" s="18">
        <v>17.2</v>
      </c>
      <c r="BM6" s="18">
        <v>5.9</v>
      </c>
      <c r="BN6" s="18">
        <v>0</v>
      </c>
      <c r="BO6" s="18">
        <v>0</v>
      </c>
      <c r="BP6" s="28"/>
      <c r="BQ6" s="11">
        <f t="shared" si="18"/>
        <v>12.8</v>
      </c>
      <c r="BR6" s="11">
        <f t="shared" si="19"/>
        <v>47.099999999999994</v>
      </c>
      <c r="BS6" s="11">
        <f t="shared" si="20"/>
        <v>23</v>
      </c>
      <c r="BT6" s="11">
        <f t="shared" si="21"/>
        <v>18.3</v>
      </c>
      <c r="BU6" s="11">
        <f t="shared" si="22"/>
        <v>70.099999999999994</v>
      </c>
      <c r="BV6" s="11">
        <f t="shared" si="23"/>
        <v>11.8</v>
      </c>
      <c r="BW6" s="11">
        <f t="shared" si="24"/>
        <v>46.300000000000004</v>
      </c>
      <c r="BX6" s="11">
        <f t="shared" si="25"/>
        <v>116.4</v>
      </c>
      <c r="BY6" s="19">
        <v>18.2</v>
      </c>
      <c r="BZ6" s="19">
        <v>6.1</v>
      </c>
      <c r="CA6" s="19">
        <v>0</v>
      </c>
      <c r="CB6" s="19">
        <v>0</v>
      </c>
      <c r="CC6" s="19">
        <v>17</v>
      </c>
      <c r="CD6" s="19">
        <v>5.9</v>
      </c>
      <c r="CE6" s="19">
        <v>0</v>
      </c>
      <c r="CF6" s="19">
        <v>0</v>
      </c>
      <c r="CG6" s="19"/>
      <c r="CH6" s="19"/>
      <c r="CI6" s="19"/>
      <c r="CJ6" s="19"/>
      <c r="CK6" s="19">
        <v>17.8</v>
      </c>
      <c r="CL6" s="19">
        <v>6.1</v>
      </c>
      <c r="CM6" s="19">
        <v>0</v>
      </c>
      <c r="CN6" s="19">
        <v>0</v>
      </c>
      <c r="CO6" s="19">
        <v>16.3</v>
      </c>
      <c r="CP6" s="19">
        <v>5.9</v>
      </c>
      <c r="CQ6" s="19">
        <v>0</v>
      </c>
      <c r="CR6" s="19">
        <v>0</v>
      </c>
      <c r="CS6" s="27"/>
      <c r="CT6" s="40">
        <f t="shared" si="26"/>
        <v>12</v>
      </c>
      <c r="CU6" s="40">
        <f t="shared" si="27"/>
        <v>47.199999999999996</v>
      </c>
      <c r="CV6" s="40" t="str">
        <f t="shared" si="28"/>
        <v/>
      </c>
      <c r="CW6" s="40">
        <f t="shared" si="29"/>
        <v>12</v>
      </c>
      <c r="CX6" s="40">
        <f t="shared" si="30"/>
        <v>47.199999999999996</v>
      </c>
      <c r="CY6" s="40">
        <f t="shared" si="31"/>
        <v>12</v>
      </c>
      <c r="CZ6" s="40">
        <f t="shared" si="32"/>
        <v>46.1</v>
      </c>
      <c r="DA6" s="40">
        <f t="shared" si="33"/>
        <v>93.3</v>
      </c>
      <c r="DB6" s="51" t="str">
        <f t="shared" si="34"/>
        <v/>
      </c>
      <c r="DC6" s="51" t="str">
        <f t="shared" si="35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6"/>
        <v/>
      </c>
      <c r="DY6" s="40" t="str">
        <f t="shared" si="37"/>
        <v/>
      </c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4"/>
        <v/>
      </c>
      <c r="FA6" s="11" t="str">
        <f t="shared" si="45"/>
        <v/>
      </c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2"/>
        <v/>
      </c>
      <c r="GC6" s="40" t="str">
        <f t="shared" si="53"/>
        <v/>
      </c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0"/>
        <v/>
      </c>
      <c r="HE6" s="11" t="str">
        <f t="shared" si="61"/>
        <v/>
      </c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68"/>
        <v/>
      </c>
      <c r="IG6" s="40" t="str">
        <f t="shared" si="69"/>
        <v/>
      </c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6"/>
        <v/>
      </c>
      <c r="JI6" s="11" t="str">
        <f t="shared" si="77"/>
        <v/>
      </c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4"/>
        <v/>
      </c>
      <c r="KK6" s="40" t="str">
        <f t="shared" si="85"/>
        <v/>
      </c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2"/>
        <v/>
      </c>
      <c r="LM6" s="11" t="str">
        <f t="shared" si="93"/>
        <v/>
      </c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0"/>
        <v/>
      </c>
      <c r="MO6" s="40" t="str">
        <f t="shared" si="101"/>
        <v/>
      </c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08"/>
        <v/>
      </c>
      <c r="NQ6" s="11" t="str">
        <f t="shared" si="109"/>
        <v/>
      </c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6"/>
        <v/>
      </c>
      <c r="OS6" s="40" t="str">
        <f t="shared" si="117"/>
        <v/>
      </c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4"/>
        <v/>
      </c>
      <c r="PU6" s="11" t="str">
        <f t="shared" si="125"/>
        <v/>
      </c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2"/>
        <v/>
      </c>
      <c r="QW6" s="40" t="str">
        <f t="shared" si="133"/>
        <v/>
      </c>
      <c r="QX6" s="40" t="str">
        <f t="shared" si="134"/>
        <v/>
      </c>
      <c r="QY6" s="40" t="str">
        <f t="shared" si="135"/>
        <v/>
      </c>
      <c r="QZ6" s="40" t="str">
        <f t="shared" si="136"/>
        <v/>
      </c>
      <c r="RA6" s="40" t="str">
        <f t="shared" si="137"/>
        <v/>
      </c>
      <c r="RB6" s="40" t="str">
        <f t="shared" si="138"/>
        <v/>
      </c>
      <c r="RC6" s="40" t="str">
        <f t="shared" si="139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0"/>
        <v/>
      </c>
      <c r="RY6" s="11" t="str">
        <f t="shared" si="141"/>
        <v/>
      </c>
      <c r="RZ6" s="11" t="str">
        <f t="shared" si="142"/>
        <v/>
      </c>
      <c r="SA6" s="11" t="str">
        <f t="shared" si="143"/>
        <v/>
      </c>
      <c r="SB6" s="11" t="str">
        <f t="shared" si="144"/>
        <v/>
      </c>
      <c r="SC6" s="11" t="str">
        <f t="shared" si="145"/>
        <v/>
      </c>
      <c r="SD6" s="11" t="str">
        <f t="shared" si="146"/>
        <v/>
      </c>
      <c r="SE6" s="11" t="str">
        <f t="shared" si="147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48"/>
        <v/>
      </c>
      <c r="TA6" s="40" t="str">
        <f t="shared" si="149"/>
        <v/>
      </c>
      <c r="TB6" s="40" t="str">
        <f t="shared" si="150"/>
        <v/>
      </c>
      <c r="TC6" s="40" t="str">
        <f t="shared" si="151"/>
        <v/>
      </c>
      <c r="TD6" s="40" t="str">
        <f t="shared" si="152"/>
        <v/>
      </c>
      <c r="TE6" s="40" t="str">
        <f t="shared" si="153"/>
        <v/>
      </c>
      <c r="TF6" s="40" t="str">
        <f t="shared" si="154"/>
        <v/>
      </c>
      <c r="TG6" s="40" t="str">
        <f t="shared" si="155"/>
        <v/>
      </c>
      <c r="TH6" s="26">
        <f t="shared" si="156"/>
        <v>17.75</v>
      </c>
      <c r="TI6" s="26">
        <f t="shared" si="157"/>
        <v>5.8</v>
      </c>
      <c r="TJ6" s="26">
        <f t="shared" si="158"/>
        <v>0.1</v>
      </c>
      <c r="TK6" s="26">
        <f t="shared" si="159"/>
        <v>0</v>
      </c>
      <c r="TL6" s="26">
        <f t="shared" si="160"/>
        <v>17.2</v>
      </c>
      <c r="TM6" s="26">
        <f t="shared" si="161"/>
        <v>6.6</v>
      </c>
      <c r="TN6" s="26">
        <f t="shared" si="162"/>
        <v>0.1</v>
      </c>
      <c r="TO6" s="26">
        <f t="shared" si="163"/>
        <v>0</v>
      </c>
      <c r="TP6" s="26">
        <f t="shared" si="164"/>
        <v>8.75</v>
      </c>
      <c r="TQ6" s="26">
        <f t="shared" si="165"/>
        <v>2.75</v>
      </c>
      <c r="TR6" s="26">
        <f t="shared" si="166"/>
        <v>0</v>
      </c>
      <c r="TS6" s="26">
        <f t="shared" si="167"/>
        <v>0</v>
      </c>
      <c r="TT6" s="26">
        <f t="shared" si="168"/>
        <v>17.55</v>
      </c>
      <c r="TU6" s="26">
        <f t="shared" si="169"/>
        <v>6</v>
      </c>
      <c r="TV6" s="26">
        <f t="shared" si="170"/>
        <v>0</v>
      </c>
      <c r="TW6" s="26">
        <f t="shared" si="171"/>
        <v>0</v>
      </c>
      <c r="TX6" s="26">
        <f t="shared" si="172"/>
        <v>16.75</v>
      </c>
      <c r="TY6" s="26">
        <f t="shared" si="173"/>
        <v>5.9</v>
      </c>
      <c r="TZ6" s="26">
        <f t="shared" si="174"/>
        <v>0</v>
      </c>
      <c r="UA6" s="26">
        <f t="shared" si="175"/>
        <v>0</v>
      </c>
      <c r="UB6" s="28" t="s">
        <v>53</v>
      </c>
      <c r="UC6" s="11">
        <f t="shared" si="176"/>
        <v>12.399999999999999</v>
      </c>
      <c r="UD6" s="11">
        <f t="shared" si="177"/>
        <v>47.15</v>
      </c>
      <c r="UE6" s="11">
        <f t="shared" si="178"/>
        <v>11.5</v>
      </c>
      <c r="UF6" s="11">
        <f t="shared" si="179"/>
        <v>15.149999999999999</v>
      </c>
      <c r="UG6" s="11">
        <f t="shared" si="180"/>
        <v>58.65</v>
      </c>
      <c r="UH6" s="11">
        <f t="shared" si="181"/>
        <v>11.9</v>
      </c>
      <c r="UI6" s="11">
        <f t="shared" si="182"/>
        <v>46.199999999999996</v>
      </c>
      <c r="UJ6" s="11">
        <f t="shared" si="183"/>
        <v>104.85</v>
      </c>
    </row>
    <row r="7" spans="1:556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172</v>
      </c>
      <c r="C7" s="4" t="s">
        <v>147</v>
      </c>
      <c r="D7" s="4">
        <v>2005</v>
      </c>
      <c r="E7" s="9">
        <f t="shared" si="0"/>
        <v>138.20000950000482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IF(COUNT(AO7,BR7,CU7)&gt;0,LARGE((AO7,BR7,CU7),1),0)</f>
        <v>48.3</v>
      </c>
      <c r="K7" s="8" t="str">
        <f t="shared" si="5"/>
        <v>2025 Elite Canada</v>
      </c>
      <c r="L7" s="8">
        <f>IF(COUNT(AO7,BR7,CU7)&gt;1,LARGE((AO7,BR7,CU7),2),0)</f>
        <v>46.7</v>
      </c>
      <c r="M7" s="8" t="str">
        <f t="shared" si="6"/>
        <v>2024 3rd Domestic Trial</v>
      </c>
      <c r="N7" s="8">
        <f t="shared" si="7"/>
        <v>43.2</v>
      </c>
      <c r="O7" s="8" t="str">
        <f t="shared" si="8"/>
        <v>2024 Nationals</v>
      </c>
      <c r="P7" s="8" t="str">
        <f t="shared" si="9"/>
        <v/>
      </c>
      <c r="Q7" s="11" t="str">
        <f t="shared" si="184"/>
        <v/>
      </c>
      <c r="R7" s="8" t="str">
        <f t="shared" si="185"/>
        <v/>
      </c>
      <c r="S7" s="19">
        <v>16</v>
      </c>
      <c r="T7" s="19">
        <v>2.9</v>
      </c>
      <c r="U7" s="19">
        <v>0</v>
      </c>
      <c r="V7" s="19"/>
      <c r="W7" s="19">
        <v>17.100000000000001</v>
      </c>
      <c r="X7" s="19">
        <v>4.8</v>
      </c>
      <c r="Y7" s="19">
        <v>0</v>
      </c>
      <c r="Z7" s="19"/>
      <c r="AA7" s="19">
        <v>16.899999999999999</v>
      </c>
      <c r="AB7" s="19">
        <v>5.0999999999999996</v>
      </c>
      <c r="AC7" s="19">
        <v>0</v>
      </c>
      <c r="AD7" s="19"/>
      <c r="AE7" s="19">
        <v>17.100000000000001</v>
      </c>
      <c r="AF7" s="19">
        <v>5.0999999999999996</v>
      </c>
      <c r="AG7" s="19">
        <v>0</v>
      </c>
      <c r="AH7" s="19"/>
      <c r="AI7" s="19">
        <v>16</v>
      </c>
      <c r="AJ7" s="19">
        <v>5</v>
      </c>
      <c r="AK7" s="19">
        <v>0</v>
      </c>
      <c r="AL7" s="19"/>
      <c r="AM7" s="27"/>
      <c r="AN7" s="40">
        <f t="shared" si="10"/>
        <v>7.6999999999999993</v>
      </c>
      <c r="AO7" s="40">
        <f t="shared" si="11"/>
        <v>40.799999999999997</v>
      </c>
      <c r="AP7" s="40">
        <f t="shared" si="12"/>
        <v>22</v>
      </c>
      <c r="AQ7" s="40">
        <f t="shared" si="13"/>
        <v>12.799999999999999</v>
      </c>
      <c r="AR7" s="40">
        <f t="shared" si="14"/>
        <v>62.8</v>
      </c>
      <c r="AS7" s="40">
        <f t="shared" si="15"/>
        <v>10.1</v>
      </c>
      <c r="AT7" s="40">
        <f t="shared" si="16"/>
        <v>43.2</v>
      </c>
      <c r="AU7" s="40">
        <f t="shared" si="17"/>
        <v>106</v>
      </c>
      <c r="AV7" s="18">
        <v>17.5</v>
      </c>
      <c r="AW7" s="18">
        <v>6.3</v>
      </c>
      <c r="AX7" s="18">
        <v>0</v>
      </c>
      <c r="AY7" s="18"/>
      <c r="AZ7" s="18">
        <v>17.600000000000001</v>
      </c>
      <c r="BA7" s="18">
        <v>5.3</v>
      </c>
      <c r="BB7" s="18">
        <v>0</v>
      </c>
      <c r="BC7" s="18"/>
      <c r="BD7" s="18">
        <v>17.3</v>
      </c>
      <c r="BE7" s="18">
        <v>6.3</v>
      </c>
      <c r="BF7" s="18">
        <v>0</v>
      </c>
      <c r="BG7" s="18"/>
      <c r="BH7" s="18">
        <v>15.2</v>
      </c>
      <c r="BI7" s="18">
        <v>3.1</v>
      </c>
      <c r="BJ7" s="18">
        <v>0.3</v>
      </c>
      <c r="BK7" s="18"/>
      <c r="BL7" s="18">
        <v>17</v>
      </c>
      <c r="BM7" s="18">
        <v>6.1</v>
      </c>
      <c r="BN7" s="18">
        <v>0</v>
      </c>
      <c r="BO7" s="18"/>
      <c r="BP7" s="28"/>
      <c r="BQ7" s="11">
        <f t="shared" si="18"/>
        <v>11.6</v>
      </c>
      <c r="BR7" s="11">
        <f t="shared" si="19"/>
        <v>46.7</v>
      </c>
      <c r="BS7" s="11">
        <f t="shared" si="20"/>
        <v>23.6</v>
      </c>
      <c r="BT7" s="11">
        <f t="shared" si="21"/>
        <v>17.899999999999999</v>
      </c>
      <c r="BU7" s="11">
        <f t="shared" si="22"/>
        <v>70.300000000000011</v>
      </c>
      <c r="BV7" s="11">
        <f t="shared" si="23"/>
        <v>9.1999999999999993</v>
      </c>
      <c r="BW7" s="11">
        <f t="shared" si="24"/>
        <v>41.1</v>
      </c>
      <c r="BX7" s="11">
        <f t="shared" si="25"/>
        <v>111.4</v>
      </c>
      <c r="BY7" s="19">
        <v>18.3</v>
      </c>
      <c r="BZ7" s="19">
        <v>6.5</v>
      </c>
      <c r="CA7" s="19">
        <v>0</v>
      </c>
      <c r="CB7" s="19">
        <v>0</v>
      </c>
      <c r="CC7" s="19">
        <v>18</v>
      </c>
      <c r="CD7" s="19">
        <v>5.5</v>
      </c>
      <c r="CE7" s="19">
        <v>0</v>
      </c>
      <c r="CF7" s="19">
        <v>0</v>
      </c>
      <c r="CG7" s="19"/>
      <c r="CH7" s="19"/>
      <c r="CI7" s="19"/>
      <c r="CJ7" s="19"/>
      <c r="CK7" s="19">
        <v>16.600000000000001</v>
      </c>
      <c r="CL7" s="19">
        <v>3.3</v>
      </c>
      <c r="CM7" s="19">
        <v>0</v>
      </c>
      <c r="CN7" s="19">
        <v>0</v>
      </c>
      <c r="CO7" s="19">
        <v>14.9</v>
      </c>
      <c r="CP7" s="19">
        <v>6.1</v>
      </c>
      <c r="CQ7" s="19">
        <v>0.2</v>
      </c>
      <c r="CR7" s="19">
        <v>0</v>
      </c>
      <c r="CS7" s="27"/>
      <c r="CT7" s="40">
        <f t="shared" si="26"/>
        <v>12</v>
      </c>
      <c r="CU7" s="40">
        <f t="shared" si="27"/>
        <v>48.3</v>
      </c>
      <c r="CV7" s="40" t="str">
        <f t="shared" si="28"/>
        <v/>
      </c>
      <c r="CW7" s="40">
        <f t="shared" si="29"/>
        <v>12</v>
      </c>
      <c r="CX7" s="40">
        <f t="shared" si="30"/>
        <v>48.3</v>
      </c>
      <c r="CY7" s="40">
        <f t="shared" si="31"/>
        <v>9.3999999999999986</v>
      </c>
      <c r="CZ7" s="40">
        <f t="shared" si="32"/>
        <v>40.700000000000003</v>
      </c>
      <c r="DA7" s="40">
        <f t="shared" si="33"/>
        <v>89</v>
      </c>
      <c r="DB7" s="51" t="str">
        <f t="shared" si="34"/>
        <v/>
      </c>
      <c r="DC7" s="51" t="str">
        <f t="shared" si="35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6"/>
        <v/>
      </c>
      <c r="DY7" s="40" t="str">
        <f t="shared" si="37"/>
        <v/>
      </c>
      <c r="DZ7" s="40" t="str">
        <f t="shared" si="38"/>
        <v/>
      </c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4"/>
        <v/>
      </c>
      <c r="FA7" s="11" t="str">
        <f t="shared" si="45"/>
        <v/>
      </c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2"/>
        <v/>
      </c>
      <c r="GC7" s="40" t="str">
        <f t="shared" si="53"/>
        <v/>
      </c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0"/>
        <v/>
      </c>
      <c r="HE7" s="11" t="str">
        <f t="shared" si="61"/>
        <v/>
      </c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68"/>
        <v/>
      </c>
      <c r="IG7" s="40" t="str">
        <f t="shared" si="69"/>
        <v/>
      </c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6"/>
        <v/>
      </c>
      <c r="JI7" s="11" t="str">
        <f t="shared" si="77"/>
        <v/>
      </c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4"/>
        <v/>
      </c>
      <c r="KK7" s="40" t="str">
        <f t="shared" si="85"/>
        <v/>
      </c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2"/>
        <v/>
      </c>
      <c r="LM7" s="11" t="str">
        <f t="shared" si="93"/>
        <v/>
      </c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0"/>
        <v/>
      </c>
      <c r="MO7" s="40" t="str">
        <f t="shared" si="101"/>
        <v/>
      </c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08"/>
        <v/>
      </c>
      <c r="NQ7" s="11" t="str">
        <f t="shared" si="109"/>
        <v/>
      </c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6"/>
        <v/>
      </c>
      <c r="OS7" s="40" t="str">
        <f t="shared" si="117"/>
        <v/>
      </c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4"/>
        <v/>
      </c>
      <c r="PU7" s="11" t="str">
        <f t="shared" si="125"/>
        <v/>
      </c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2"/>
        <v/>
      </c>
      <c r="QW7" s="40" t="str">
        <f t="shared" si="133"/>
        <v/>
      </c>
      <c r="QX7" s="40" t="str">
        <f t="shared" si="134"/>
        <v/>
      </c>
      <c r="QY7" s="40" t="str">
        <f t="shared" si="135"/>
        <v/>
      </c>
      <c r="QZ7" s="40" t="str">
        <f t="shared" si="136"/>
        <v/>
      </c>
      <c r="RA7" s="40" t="str">
        <f t="shared" si="137"/>
        <v/>
      </c>
      <c r="RB7" s="40" t="str">
        <f t="shared" si="138"/>
        <v/>
      </c>
      <c r="RC7" s="40" t="str">
        <f t="shared" si="139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0"/>
        <v/>
      </c>
      <c r="RY7" s="11" t="str">
        <f t="shared" si="141"/>
        <v/>
      </c>
      <c r="RZ7" s="11" t="str">
        <f t="shared" si="142"/>
        <v/>
      </c>
      <c r="SA7" s="11" t="str">
        <f t="shared" si="143"/>
        <v/>
      </c>
      <c r="SB7" s="11" t="str">
        <f t="shared" si="144"/>
        <v/>
      </c>
      <c r="SC7" s="11" t="str">
        <f t="shared" si="145"/>
        <v/>
      </c>
      <c r="SD7" s="11" t="str">
        <f t="shared" si="146"/>
        <v/>
      </c>
      <c r="SE7" s="11" t="str">
        <f t="shared" si="147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48"/>
        <v/>
      </c>
      <c r="TA7" s="40" t="str">
        <f t="shared" si="149"/>
        <v/>
      </c>
      <c r="TB7" s="40" t="str">
        <f t="shared" si="150"/>
        <v/>
      </c>
      <c r="TC7" s="40" t="str">
        <f t="shared" si="151"/>
        <v/>
      </c>
      <c r="TD7" s="40" t="str">
        <f t="shared" si="152"/>
        <v/>
      </c>
      <c r="TE7" s="40" t="str">
        <f t="shared" si="153"/>
        <v/>
      </c>
      <c r="TF7" s="40" t="str">
        <f t="shared" si="154"/>
        <v/>
      </c>
      <c r="TG7" s="40" t="str">
        <f t="shared" si="155"/>
        <v/>
      </c>
      <c r="TH7" s="26">
        <f t="shared" si="156"/>
        <v>17.899999999999999</v>
      </c>
      <c r="TI7" s="26">
        <f t="shared" si="157"/>
        <v>6.4</v>
      </c>
      <c r="TJ7" s="26">
        <f t="shared" si="158"/>
        <v>0</v>
      </c>
      <c r="TK7" s="26">
        <f t="shared" si="159"/>
        <v>0</v>
      </c>
      <c r="TL7" s="26">
        <f t="shared" si="160"/>
        <v>17.8</v>
      </c>
      <c r="TM7" s="26">
        <f t="shared" si="161"/>
        <v>5.4</v>
      </c>
      <c r="TN7" s="26">
        <f t="shared" si="162"/>
        <v>0</v>
      </c>
      <c r="TO7" s="26">
        <f t="shared" si="163"/>
        <v>0</v>
      </c>
      <c r="TP7" s="26">
        <f t="shared" si="164"/>
        <v>8.65</v>
      </c>
      <c r="TQ7" s="26">
        <f t="shared" si="165"/>
        <v>3.15</v>
      </c>
      <c r="TR7" s="26">
        <f t="shared" si="166"/>
        <v>0</v>
      </c>
      <c r="TS7" s="26">
        <f t="shared" si="167"/>
        <v>0</v>
      </c>
      <c r="TT7" s="26">
        <f t="shared" si="168"/>
        <v>15.9</v>
      </c>
      <c r="TU7" s="26">
        <f t="shared" si="169"/>
        <v>3.2</v>
      </c>
      <c r="TV7" s="26">
        <f t="shared" si="170"/>
        <v>0.15</v>
      </c>
      <c r="TW7" s="26">
        <f t="shared" si="171"/>
        <v>0</v>
      </c>
      <c r="TX7" s="26">
        <f t="shared" si="172"/>
        <v>15.95</v>
      </c>
      <c r="TY7" s="26">
        <f t="shared" si="173"/>
        <v>6.1</v>
      </c>
      <c r="TZ7" s="26">
        <f t="shared" si="174"/>
        <v>0.1</v>
      </c>
      <c r="UA7" s="26">
        <f t="shared" si="175"/>
        <v>0</v>
      </c>
      <c r="UB7" s="28" t="s">
        <v>53</v>
      </c>
      <c r="UC7" s="11">
        <f t="shared" si="176"/>
        <v>11.8</v>
      </c>
      <c r="UD7" s="11">
        <f t="shared" si="177"/>
        <v>47.499999999999993</v>
      </c>
      <c r="UE7" s="11">
        <f t="shared" si="178"/>
        <v>11.8</v>
      </c>
      <c r="UF7" s="11">
        <f t="shared" si="179"/>
        <v>14.950000000000001</v>
      </c>
      <c r="UG7" s="11">
        <f t="shared" si="180"/>
        <v>59.3</v>
      </c>
      <c r="UH7" s="11">
        <f t="shared" si="181"/>
        <v>9.3000000000000007</v>
      </c>
      <c r="UI7" s="11">
        <f t="shared" si="182"/>
        <v>40.9</v>
      </c>
      <c r="UJ7" s="11">
        <f t="shared" si="183"/>
        <v>100.19999999999999</v>
      </c>
    </row>
    <row r="8" spans="1:556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157</v>
      </c>
      <c r="C8" s="4" t="s">
        <v>7</v>
      </c>
      <c r="D8" s="4">
        <v>2006</v>
      </c>
      <c r="E8" s="9">
        <f t="shared" si="0"/>
        <v>137.50000905000462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IF(COUNT(AO8,BR8,CU8)&gt;0,LARGE((AO8,BR8,CU8),1),0)</f>
        <v>46.4</v>
      </c>
      <c r="K8" s="8" t="str">
        <f t="shared" si="5"/>
        <v>2025 Elite Canada</v>
      </c>
      <c r="L8" s="8">
        <f>IF(COUNT(AO8,BR8,CU8)&gt;1,LARGE((AO8,BR8,CU8),2),0)</f>
        <v>44.1</v>
      </c>
      <c r="M8" s="8" t="str">
        <f t="shared" si="6"/>
        <v>2024 Nationals</v>
      </c>
      <c r="N8" s="8">
        <f t="shared" si="7"/>
        <v>47</v>
      </c>
      <c r="O8" s="8" t="str">
        <f t="shared" si="8"/>
        <v>2025 Elite Canada</v>
      </c>
      <c r="P8" s="8" t="str">
        <f t="shared" si="9"/>
        <v/>
      </c>
      <c r="Q8" s="11" t="str">
        <f t="shared" si="184"/>
        <v/>
      </c>
      <c r="R8" s="8" t="str">
        <f t="shared" si="185"/>
        <v/>
      </c>
      <c r="S8" s="19">
        <v>16.399999999999999</v>
      </c>
      <c r="T8" s="19">
        <v>5</v>
      </c>
      <c r="U8" s="19">
        <v>0.2</v>
      </c>
      <c r="V8" s="19">
        <v>0.6</v>
      </c>
      <c r="W8" s="19">
        <v>16.2</v>
      </c>
      <c r="X8" s="19">
        <v>5.5</v>
      </c>
      <c r="Y8" s="19">
        <v>0</v>
      </c>
      <c r="Z8" s="19">
        <v>0.6</v>
      </c>
      <c r="AA8" s="19">
        <v>15.4</v>
      </c>
      <c r="AB8" s="19">
        <v>4.8</v>
      </c>
      <c r="AC8" s="19">
        <v>0.2</v>
      </c>
      <c r="AD8" s="19">
        <v>0.6</v>
      </c>
      <c r="AE8" s="19">
        <v>16.5</v>
      </c>
      <c r="AF8" s="19">
        <v>5</v>
      </c>
      <c r="AG8" s="19">
        <v>0.2</v>
      </c>
      <c r="AH8" s="19">
        <v>0.6</v>
      </c>
      <c r="AI8" s="19">
        <v>16.5</v>
      </c>
      <c r="AJ8" s="19">
        <v>5.5</v>
      </c>
      <c r="AK8" s="19">
        <v>0</v>
      </c>
      <c r="AL8" s="19">
        <v>0.6</v>
      </c>
      <c r="AM8" s="27"/>
      <c r="AN8" s="40">
        <f t="shared" si="10"/>
        <v>10.5</v>
      </c>
      <c r="AO8" s="40">
        <f t="shared" si="11"/>
        <v>44.1</v>
      </c>
      <c r="AP8" s="40">
        <f t="shared" si="12"/>
        <v>20.6</v>
      </c>
      <c r="AQ8" s="40">
        <f t="shared" si="13"/>
        <v>15.3</v>
      </c>
      <c r="AR8" s="40">
        <f t="shared" si="14"/>
        <v>64.7</v>
      </c>
      <c r="AS8" s="40">
        <f t="shared" si="15"/>
        <v>10.5</v>
      </c>
      <c r="AT8" s="40">
        <f t="shared" si="16"/>
        <v>44.5</v>
      </c>
      <c r="AU8" s="40">
        <f t="shared" si="17"/>
        <v>109.2</v>
      </c>
      <c r="AV8" s="18">
        <v>16.8</v>
      </c>
      <c r="AW8" s="18">
        <v>5</v>
      </c>
      <c r="AX8" s="18">
        <v>0.5</v>
      </c>
      <c r="AY8" s="18">
        <v>0</v>
      </c>
      <c r="AZ8" s="18">
        <v>16.7</v>
      </c>
      <c r="BA8" s="18">
        <v>2.6</v>
      </c>
      <c r="BB8" s="18">
        <v>3</v>
      </c>
      <c r="BC8" s="18">
        <v>0</v>
      </c>
      <c r="BD8" s="18">
        <v>16.899999999999999</v>
      </c>
      <c r="BE8" s="18">
        <v>5.2</v>
      </c>
      <c r="BF8" s="18">
        <v>0</v>
      </c>
      <c r="BG8" s="18">
        <v>0</v>
      </c>
      <c r="BH8" s="18">
        <v>16.5</v>
      </c>
      <c r="BI8" s="18">
        <v>5.2</v>
      </c>
      <c r="BJ8" s="18">
        <v>0</v>
      </c>
      <c r="BK8" s="18">
        <v>0</v>
      </c>
      <c r="BL8" s="18">
        <v>17.100000000000001</v>
      </c>
      <c r="BM8" s="18">
        <v>5</v>
      </c>
      <c r="BN8" s="18">
        <v>0</v>
      </c>
      <c r="BO8" s="18">
        <v>0</v>
      </c>
      <c r="BP8" s="28"/>
      <c r="BQ8" s="11">
        <f t="shared" si="18"/>
        <v>7.6</v>
      </c>
      <c r="BR8" s="11">
        <f t="shared" si="19"/>
        <v>37.6</v>
      </c>
      <c r="BS8" s="11">
        <f t="shared" si="20"/>
        <v>22.099999999999998</v>
      </c>
      <c r="BT8" s="11">
        <f t="shared" si="21"/>
        <v>12.8</v>
      </c>
      <c r="BU8" s="11">
        <f t="shared" si="22"/>
        <v>59.7</v>
      </c>
      <c r="BV8" s="11">
        <f t="shared" si="23"/>
        <v>10.199999999999999</v>
      </c>
      <c r="BW8" s="11">
        <f t="shared" si="24"/>
        <v>43.8</v>
      </c>
      <c r="BX8" s="11">
        <f t="shared" si="25"/>
        <v>103.5</v>
      </c>
      <c r="BY8" s="19">
        <v>17.600000000000001</v>
      </c>
      <c r="BZ8" s="19">
        <v>5.8</v>
      </c>
      <c r="CA8" s="19">
        <v>0</v>
      </c>
      <c r="CB8" s="19">
        <v>0</v>
      </c>
      <c r="CC8" s="19">
        <v>17.100000000000001</v>
      </c>
      <c r="CD8" s="19">
        <v>5.9</v>
      </c>
      <c r="CE8" s="19">
        <v>0</v>
      </c>
      <c r="CF8" s="19">
        <v>0</v>
      </c>
      <c r="CG8" s="19"/>
      <c r="CH8" s="19"/>
      <c r="CI8" s="19"/>
      <c r="CJ8" s="19"/>
      <c r="CK8" s="19">
        <v>18.2</v>
      </c>
      <c r="CL8" s="19">
        <v>5.8</v>
      </c>
      <c r="CM8" s="19">
        <v>0</v>
      </c>
      <c r="CN8" s="19">
        <v>0</v>
      </c>
      <c r="CO8" s="19">
        <v>17.3</v>
      </c>
      <c r="CP8" s="19">
        <v>5.7</v>
      </c>
      <c r="CQ8" s="19">
        <v>0</v>
      </c>
      <c r="CR8" s="19">
        <v>0</v>
      </c>
      <c r="CS8" s="27"/>
      <c r="CT8" s="40">
        <f t="shared" si="26"/>
        <v>11.7</v>
      </c>
      <c r="CU8" s="40">
        <f t="shared" si="27"/>
        <v>46.4</v>
      </c>
      <c r="CV8" s="40" t="str">
        <f t="shared" si="28"/>
        <v/>
      </c>
      <c r="CW8" s="40">
        <f t="shared" si="29"/>
        <v>11.7</v>
      </c>
      <c r="CX8" s="40">
        <f t="shared" si="30"/>
        <v>46.4</v>
      </c>
      <c r="CY8" s="40">
        <f t="shared" si="31"/>
        <v>11.5</v>
      </c>
      <c r="CZ8" s="40">
        <f t="shared" si="32"/>
        <v>47</v>
      </c>
      <c r="DA8" s="40">
        <f t="shared" si="33"/>
        <v>93.4</v>
      </c>
      <c r="DB8" s="51" t="str">
        <f t="shared" si="34"/>
        <v/>
      </c>
      <c r="DC8" s="51" t="str">
        <f t="shared" si="35"/>
        <v/>
      </c>
      <c r="DD8" s="17">
        <v>16.899999999999999</v>
      </c>
      <c r="DE8" s="17">
        <v>5.2</v>
      </c>
      <c r="DF8" s="17">
        <v>0</v>
      </c>
      <c r="DG8" s="17">
        <v>0</v>
      </c>
      <c r="DH8" s="17">
        <v>16.3</v>
      </c>
      <c r="DI8" s="17">
        <v>5.5</v>
      </c>
      <c r="DJ8" s="17">
        <v>0</v>
      </c>
      <c r="DK8" s="17">
        <v>0</v>
      </c>
      <c r="DL8" s="17"/>
      <c r="DM8" s="17"/>
      <c r="DN8" s="17"/>
      <c r="DO8" s="17"/>
      <c r="DP8" s="17">
        <v>17</v>
      </c>
      <c r="DQ8" s="17">
        <v>5.3</v>
      </c>
      <c r="DR8" s="17">
        <v>0</v>
      </c>
      <c r="DS8" s="17">
        <v>0</v>
      </c>
      <c r="DT8" s="17"/>
      <c r="DU8" s="17"/>
      <c r="DV8" s="17"/>
      <c r="DW8" s="17"/>
      <c r="DX8" s="40">
        <f t="shared" si="36"/>
        <v>10.7</v>
      </c>
      <c r="DY8" s="40">
        <f t="shared" si="37"/>
        <v>43.9</v>
      </c>
      <c r="DZ8" s="40" t="str">
        <f t="shared" si="38"/>
        <v/>
      </c>
      <c r="EA8" s="40">
        <f t="shared" si="39"/>
        <v>10.7</v>
      </c>
      <c r="EB8" s="40">
        <f t="shared" si="40"/>
        <v>43.9</v>
      </c>
      <c r="EC8" s="40">
        <f t="shared" si="41"/>
        <v>5.3</v>
      </c>
      <c r="ED8" s="40">
        <f t="shared" si="42"/>
        <v>22.3</v>
      </c>
      <c r="EE8" s="40">
        <f t="shared" si="43"/>
        <v>66.2</v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4"/>
        <v/>
      </c>
      <c r="FA8" s="11" t="str">
        <f t="shared" si="45"/>
        <v/>
      </c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2"/>
        <v/>
      </c>
      <c r="GC8" s="40" t="str">
        <f t="shared" si="53"/>
        <v/>
      </c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0"/>
        <v/>
      </c>
      <c r="HE8" s="11" t="str">
        <f t="shared" si="61"/>
        <v/>
      </c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68"/>
        <v/>
      </c>
      <c r="IG8" s="40" t="str">
        <f t="shared" si="69"/>
        <v/>
      </c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6"/>
        <v/>
      </c>
      <c r="JI8" s="11" t="str">
        <f t="shared" si="77"/>
        <v/>
      </c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4"/>
        <v/>
      </c>
      <c r="KK8" s="40" t="str">
        <f t="shared" si="85"/>
        <v/>
      </c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2"/>
        <v/>
      </c>
      <c r="LM8" s="11" t="str">
        <f t="shared" si="93"/>
        <v/>
      </c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0"/>
        <v/>
      </c>
      <c r="MO8" s="40" t="str">
        <f t="shared" si="101"/>
        <v/>
      </c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08"/>
        <v/>
      </c>
      <c r="NQ8" s="11" t="str">
        <f t="shared" si="109"/>
        <v/>
      </c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6"/>
        <v/>
      </c>
      <c r="OS8" s="40" t="str">
        <f t="shared" si="117"/>
        <v/>
      </c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4"/>
        <v/>
      </c>
      <c r="PU8" s="11" t="str">
        <f t="shared" si="125"/>
        <v/>
      </c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2"/>
        <v/>
      </c>
      <c r="QW8" s="40" t="str">
        <f t="shared" si="133"/>
        <v/>
      </c>
      <c r="QX8" s="40" t="str">
        <f t="shared" si="134"/>
        <v/>
      </c>
      <c r="QY8" s="40" t="str">
        <f t="shared" si="135"/>
        <v/>
      </c>
      <c r="QZ8" s="40" t="str">
        <f t="shared" si="136"/>
        <v/>
      </c>
      <c r="RA8" s="40" t="str">
        <f t="shared" si="137"/>
        <v/>
      </c>
      <c r="RB8" s="40" t="str">
        <f t="shared" si="138"/>
        <v/>
      </c>
      <c r="RC8" s="40" t="str">
        <f t="shared" si="139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0"/>
        <v/>
      </c>
      <c r="RY8" s="11" t="str">
        <f t="shared" si="141"/>
        <v/>
      </c>
      <c r="RZ8" s="11" t="str">
        <f t="shared" si="142"/>
        <v/>
      </c>
      <c r="SA8" s="11" t="str">
        <f t="shared" si="143"/>
        <v/>
      </c>
      <c r="SB8" s="11" t="str">
        <f t="shared" si="144"/>
        <v/>
      </c>
      <c r="SC8" s="11" t="str">
        <f t="shared" si="145"/>
        <v/>
      </c>
      <c r="SD8" s="11" t="str">
        <f t="shared" si="146"/>
        <v/>
      </c>
      <c r="SE8" s="11" t="str">
        <f t="shared" si="147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48"/>
        <v/>
      </c>
      <c r="TA8" s="40" t="str">
        <f t="shared" si="149"/>
        <v/>
      </c>
      <c r="TB8" s="40" t="str">
        <f t="shared" si="150"/>
        <v/>
      </c>
      <c r="TC8" s="40" t="str">
        <f t="shared" si="151"/>
        <v/>
      </c>
      <c r="TD8" s="40" t="str">
        <f t="shared" si="152"/>
        <v/>
      </c>
      <c r="TE8" s="40" t="str">
        <f t="shared" si="153"/>
        <v/>
      </c>
      <c r="TF8" s="40" t="str">
        <f t="shared" si="154"/>
        <v/>
      </c>
      <c r="TG8" s="40" t="str">
        <f t="shared" si="155"/>
        <v/>
      </c>
      <c r="TH8" s="26">
        <f t="shared" si="156"/>
        <v>17.200000000000003</v>
      </c>
      <c r="TI8" s="26">
        <f t="shared" si="157"/>
        <v>5.4</v>
      </c>
      <c r="TJ8" s="26">
        <f t="shared" si="158"/>
        <v>0.25</v>
      </c>
      <c r="TK8" s="26">
        <f t="shared" si="159"/>
        <v>0</v>
      </c>
      <c r="TL8" s="26">
        <f t="shared" si="160"/>
        <v>16.899999999999999</v>
      </c>
      <c r="TM8" s="26">
        <f t="shared" si="161"/>
        <v>4.25</v>
      </c>
      <c r="TN8" s="26">
        <f t="shared" si="162"/>
        <v>1.5</v>
      </c>
      <c r="TO8" s="26">
        <f t="shared" si="163"/>
        <v>0</v>
      </c>
      <c r="TP8" s="26">
        <f t="shared" si="164"/>
        <v>8.4499999999999993</v>
      </c>
      <c r="TQ8" s="26">
        <f t="shared" si="165"/>
        <v>2.6</v>
      </c>
      <c r="TR8" s="26">
        <f t="shared" si="166"/>
        <v>0</v>
      </c>
      <c r="TS8" s="26">
        <f t="shared" si="167"/>
        <v>0</v>
      </c>
      <c r="TT8" s="26">
        <f t="shared" si="168"/>
        <v>17.350000000000001</v>
      </c>
      <c r="TU8" s="26">
        <f t="shared" si="169"/>
        <v>5.5</v>
      </c>
      <c r="TV8" s="26">
        <f t="shared" si="170"/>
        <v>0</v>
      </c>
      <c r="TW8" s="26">
        <f t="shared" si="171"/>
        <v>0</v>
      </c>
      <c r="TX8" s="26">
        <f t="shared" si="172"/>
        <v>17.200000000000003</v>
      </c>
      <c r="TY8" s="26">
        <f t="shared" si="173"/>
        <v>5.35</v>
      </c>
      <c r="TZ8" s="26">
        <f t="shared" si="174"/>
        <v>0</v>
      </c>
      <c r="UA8" s="26">
        <f t="shared" si="175"/>
        <v>0</v>
      </c>
      <c r="UB8" s="28" t="s">
        <v>53</v>
      </c>
      <c r="UC8" s="11">
        <f t="shared" si="176"/>
        <v>9.65</v>
      </c>
      <c r="UD8" s="11">
        <f t="shared" si="177"/>
        <v>42</v>
      </c>
      <c r="UE8" s="11">
        <f t="shared" si="178"/>
        <v>11.049999999999999</v>
      </c>
      <c r="UF8" s="11">
        <f t="shared" si="179"/>
        <v>12.25</v>
      </c>
      <c r="UG8" s="11">
        <f t="shared" si="180"/>
        <v>53.05</v>
      </c>
      <c r="UH8" s="11">
        <f t="shared" si="181"/>
        <v>10.85</v>
      </c>
      <c r="UI8" s="11">
        <f t="shared" si="182"/>
        <v>45.400000000000006</v>
      </c>
      <c r="UJ8" s="11">
        <f t="shared" si="183"/>
        <v>98.45</v>
      </c>
    </row>
    <row r="9" spans="1:556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145</v>
      </c>
      <c r="C9" s="4" t="s">
        <v>5</v>
      </c>
      <c r="D9" s="4">
        <v>2003</v>
      </c>
      <c r="E9" s="9">
        <f t="shared" si="0"/>
        <v>135.80000870000492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49.1</v>
      </c>
      <c r="K9" s="8" t="str">
        <f t="shared" si="5"/>
        <v>2025 Elite Canada</v>
      </c>
      <c r="L9" s="8">
        <f>IF(COUNT(AO9,BR9,CU9)&gt;1,LARGE((AO9,BR9,CU9),2),0)</f>
        <v>37.9</v>
      </c>
      <c r="M9" s="8" t="str">
        <f t="shared" si="6"/>
        <v>2024 3rd Domestic Trial</v>
      </c>
      <c r="N9" s="8">
        <f t="shared" si="7"/>
        <v>48.8</v>
      </c>
      <c r="O9" s="8" t="str">
        <f t="shared" si="8"/>
        <v>2024 3rd Domestic Trial</v>
      </c>
      <c r="P9" s="8" t="str">
        <f t="shared" si="9"/>
        <v/>
      </c>
      <c r="Q9" s="11" t="str">
        <f t="shared" si="184"/>
        <v/>
      </c>
      <c r="R9" s="8" t="str">
        <f t="shared" si="185"/>
        <v/>
      </c>
      <c r="S9" s="19">
        <v>15.2</v>
      </c>
      <c r="T9" s="19">
        <v>5.7</v>
      </c>
      <c r="U9" s="19">
        <v>0.2</v>
      </c>
      <c r="V9" s="19">
        <v>0</v>
      </c>
      <c r="W9" s="19">
        <v>11.3</v>
      </c>
      <c r="X9" s="19">
        <v>3.6</v>
      </c>
      <c r="Y9" s="19">
        <v>0</v>
      </c>
      <c r="Z9" s="19">
        <v>0</v>
      </c>
      <c r="AA9" s="19">
        <v>16.5</v>
      </c>
      <c r="AB9" s="19">
        <v>3.3</v>
      </c>
      <c r="AC9" s="19">
        <v>0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 t="shared" si="10"/>
        <v>9.3000000000000007</v>
      </c>
      <c r="AO9" s="40">
        <f t="shared" si="11"/>
        <v>35.6</v>
      </c>
      <c r="AP9" s="40">
        <f t="shared" si="12"/>
        <v>19.8</v>
      </c>
      <c r="AQ9" s="40">
        <f t="shared" si="13"/>
        <v>12.600000000000001</v>
      </c>
      <c r="AR9" s="40">
        <f t="shared" si="14"/>
        <v>55.400000000000006</v>
      </c>
      <c r="AS9" s="40" t="str">
        <f t="shared" si="15"/>
        <v/>
      </c>
      <c r="AT9" s="40" t="str">
        <f t="shared" si="16"/>
        <v/>
      </c>
      <c r="AU9" s="40">
        <f t="shared" si="17"/>
        <v>55.400000000000006</v>
      </c>
      <c r="AV9" s="18">
        <v>17.399999999999999</v>
      </c>
      <c r="AW9" s="18">
        <v>6.9</v>
      </c>
      <c r="AX9" s="18">
        <v>0</v>
      </c>
      <c r="AY9" s="18">
        <v>0</v>
      </c>
      <c r="AZ9" s="18">
        <v>10.4</v>
      </c>
      <c r="BA9" s="18">
        <v>3.2</v>
      </c>
      <c r="BB9" s="18">
        <v>0</v>
      </c>
      <c r="BC9" s="18">
        <v>0</v>
      </c>
      <c r="BD9" s="18">
        <v>16.7</v>
      </c>
      <c r="BE9" s="18">
        <v>6.9</v>
      </c>
      <c r="BF9" s="18">
        <v>0</v>
      </c>
      <c r="BG9" s="18">
        <v>0</v>
      </c>
      <c r="BH9" s="18">
        <v>18.100000000000001</v>
      </c>
      <c r="BI9" s="18">
        <v>6.9</v>
      </c>
      <c r="BJ9" s="18">
        <v>0</v>
      </c>
      <c r="BK9" s="18">
        <v>0</v>
      </c>
      <c r="BL9" s="18">
        <v>17.3</v>
      </c>
      <c r="BM9" s="18">
        <v>6.5</v>
      </c>
      <c r="BN9" s="18">
        <v>0</v>
      </c>
      <c r="BO9" s="18">
        <v>0</v>
      </c>
      <c r="BP9" s="28"/>
      <c r="BQ9" s="11">
        <f t="shared" si="18"/>
        <v>10.100000000000001</v>
      </c>
      <c r="BR9" s="11">
        <f t="shared" si="19"/>
        <v>37.9</v>
      </c>
      <c r="BS9" s="11">
        <f t="shared" si="20"/>
        <v>23.6</v>
      </c>
      <c r="BT9" s="11">
        <f t="shared" si="21"/>
        <v>17</v>
      </c>
      <c r="BU9" s="11">
        <f t="shared" si="22"/>
        <v>61.5</v>
      </c>
      <c r="BV9" s="11">
        <f t="shared" si="23"/>
        <v>13.4</v>
      </c>
      <c r="BW9" s="11">
        <f t="shared" si="24"/>
        <v>48.8</v>
      </c>
      <c r="BX9" s="11">
        <f t="shared" si="25"/>
        <v>110.3</v>
      </c>
      <c r="BY9" s="19">
        <v>18.3</v>
      </c>
      <c r="BZ9" s="19">
        <v>6.9</v>
      </c>
      <c r="CA9" s="19">
        <v>0</v>
      </c>
      <c r="CB9" s="19">
        <v>0</v>
      </c>
      <c r="CC9" s="19">
        <v>17.8</v>
      </c>
      <c r="CD9" s="19">
        <v>6.1</v>
      </c>
      <c r="CE9" s="19">
        <v>0</v>
      </c>
      <c r="CF9" s="19">
        <v>0</v>
      </c>
      <c r="CG9" s="19"/>
      <c r="CH9" s="19"/>
      <c r="CI9" s="19"/>
      <c r="CJ9" s="19"/>
      <c r="CK9" s="19">
        <v>14.6</v>
      </c>
      <c r="CL9" s="19">
        <v>3.2</v>
      </c>
      <c r="CM9" s="19">
        <v>0</v>
      </c>
      <c r="CN9" s="19">
        <v>0</v>
      </c>
      <c r="CO9" s="19">
        <v>17.399999999999999</v>
      </c>
      <c r="CP9" s="19">
        <v>5.9</v>
      </c>
      <c r="CQ9" s="19">
        <v>0</v>
      </c>
      <c r="CR9" s="19">
        <v>0</v>
      </c>
      <c r="CS9" s="27"/>
      <c r="CT9" s="40">
        <f t="shared" si="26"/>
        <v>13</v>
      </c>
      <c r="CU9" s="40">
        <f t="shared" si="27"/>
        <v>49.1</v>
      </c>
      <c r="CV9" s="40" t="str">
        <f t="shared" si="28"/>
        <v/>
      </c>
      <c r="CW9" s="40">
        <f t="shared" si="29"/>
        <v>13</v>
      </c>
      <c r="CX9" s="40">
        <f t="shared" si="30"/>
        <v>49.1</v>
      </c>
      <c r="CY9" s="40">
        <f t="shared" si="31"/>
        <v>9.1000000000000014</v>
      </c>
      <c r="CZ9" s="40">
        <f t="shared" si="32"/>
        <v>41.1</v>
      </c>
      <c r="DA9" s="40">
        <f t="shared" si="33"/>
        <v>90.2</v>
      </c>
      <c r="DB9" s="51" t="str">
        <f t="shared" si="34"/>
        <v/>
      </c>
      <c r="DC9" s="51" t="str">
        <f t="shared" si="35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6"/>
        <v/>
      </c>
      <c r="DY9" s="40" t="str">
        <f t="shared" si="37"/>
        <v/>
      </c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4"/>
        <v/>
      </c>
      <c r="FA9" s="11" t="str">
        <f t="shared" si="45"/>
        <v/>
      </c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2"/>
        <v/>
      </c>
      <c r="GC9" s="40" t="str">
        <f t="shared" si="53"/>
        <v/>
      </c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0"/>
        <v/>
      </c>
      <c r="HE9" s="11" t="str">
        <f t="shared" si="61"/>
        <v/>
      </c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68"/>
        <v/>
      </c>
      <c r="IG9" s="40" t="str">
        <f t="shared" si="69"/>
        <v/>
      </c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6"/>
        <v/>
      </c>
      <c r="JI9" s="11" t="str">
        <f t="shared" si="77"/>
        <v/>
      </c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4"/>
        <v/>
      </c>
      <c r="KK9" s="40" t="str">
        <f t="shared" si="85"/>
        <v/>
      </c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2"/>
        <v/>
      </c>
      <c r="LM9" s="11" t="str">
        <f t="shared" si="93"/>
        <v/>
      </c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0"/>
        <v/>
      </c>
      <c r="MO9" s="40" t="str">
        <f t="shared" si="101"/>
        <v/>
      </c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08"/>
        <v/>
      </c>
      <c r="NQ9" s="11" t="str">
        <f t="shared" si="109"/>
        <v/>
      </c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6"/>
        <v/>
      </c>
      <c r="OS9" s="40" t="str">
        <f t="shared" si="117"/>
        <v/>
      </c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4"/>
        <v/>
      </c>
      <c r="PU9" s="11" t="str">
        <f t="shared" si="125"/>
        <v/>
      </c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2"/>
        <v/>
      </c>
      <c r="QW9" s="40" t="str">
        <f t="shared" si="133"/>
        <v/>
      </c>
      <c r="QX9" s="40" t="str">
        <f t="shared" si="134"/>
        <v/>
      </c>
      <c r="QY9" s="40" t="str">
        <f t="shared" si="135"/>
        <v/>
      </c>
      <c r="QZ9" s="40" t="str">
        <f t="shared" si="136"/>
        <v/>
      </c>
      <c r="RA9" s="40" t="str">
        <f t="shared" si="137"/>
        <v/>
      </c>
      <c r="RB9" s="40" t="str">
        <f t="shared" si="138"/>
        <v/>
      </c>
      <c r="RC9" s="40" t="str">
        <f t="shared" si="139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0"/>
        <v/>
      </c>
      <c r="RY9" s="11" t="str">
        <f t="shared" si="141"/>
        <v/>
      </c>
      <c r="RZ9" s="11" t="str">
        <f t="shared" si="142"/>
        <v/>
      </c>
      <c r="SA9" s="11" t="str">
        <f t="shared" si="143"/>
        <v/>
      </c>
      <c r="SB9" s="11" t="str">
        <f t="shared" si="144"/>
        <v/>
      </c>
      <c r="SC9" s="11" t="str">
        <f t="shared" si="145"/>
        <v/>
      </c>
      <c r="SD9" s="11" t="str">
        <f t="shared" si="146"/>
        <v/>
      </c>
      <c r="SE9" s="11" t="str">
        <f t="shared" si="147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48"/>
        <v/>
      </c>
      <c r="TA9" s="40" t="str">
        <f t="shared" si="149"/>
        <v/>
      </c>
      <c r="TB9" s="40" t="str">
        <f t="shared" si="150"/>
        <v/>
      </c>
      <c r="TC9" s="40" t="str">
        <f t="shared" si="151"/>
        <v/>
      </c>
      <c r="TD9" s="40" t="str">
        <f t="shared" si="152"/>
        <v/>
      </c>
      <c r="TE9" s="40" t="str">
        <f t="shared" si="153"/>
        <v/>
      </c>
      <c r="TF9" s="40" t="str">
        <f t="shared" si="154"/>
        <v/>
      </c>
      <c r="TG9" s="40" t="str">
        <f t="shared" si="155"/>
        <v/>
      </c>
      <c r="TH9" s="26">
        <f t="shared" si="156"/>
        <v>17.850000000000001</v>
      </c>
      <c r="TI9" s="26">
        <f t="shared" si="157"/>
        <v>6.9</v>
      </c>
      <c r="TJ9" s="26">
        <f t="shared" si="158"/>
        <v>0</v>
      </c>
      <c r="TK9" s="26">
        <f t="shared" si="159"/>
        <v>0</v>
      </c>
      <c r="TL9" s="26">
        <f t="shared" si="160"/>
        <v>14.100000000000001</v>
      </c>
      <c r="TM9" s="26">
        <f t="shared" si="161"/>
        <v>4.6500000000000004</v>
      </c>
      <c r="TN9" s="26">
        <f t="shared" si="162"/>
        <v>0</v>
      </c>
      <c r="TO9" s="26">
        <f t="shared" si="163"/>
        <v>0</v>
      </c>
      <c r="TP9" s="26">
        <f t="shared" si="164"/>
        <v>8.35</v>
      </c>
      <c r="TQ9" s="26">
        <f t="shared" si="165"/>
        <v>3.45</v>
      </c>
      <c r="TR9" s="26">
        <f t="shared" si="166"/>
        <v>0</v>
      </c>
      <c r="TS9" s="26">
        <f t="shared" si="167"/>
        <v>0</v>
      </c>
      <c r="TT9" s="26">
        <f t="shared" si="168"/>
        <v>16.350000000000001</v>
      </c>
      <c r="TU9" s="26">
        <f t="shared" si="169"/>
        <v>5.0500000000000007</v>
      </c>
      <c r="TV9" s="26">
        <f t="shared" si="170"/>
        <v>0</v>
      </c>
      <c r="TW9" s="26">
        <f t="shared" si="171"/>
        <v>0</v>
      </c>
      <c r="TX9" s="26">
        <f t="shared" si="172"/>
        <v>17.350000000000001</v>
      </c>
      <c r="TY9" s="26">
        <f t="shared" si="173"/>
        <v>6.2</v>
      </c>
      <c r="TZ9" s="26">
        <f t="shared" si="174"/>
        <v>0</v>
      </c>
      <c r="UA9" s="26">
        <f t="shared" si="175"/>
        <v>0</v>
      </c>
      <c r="UB9" s="28" t="s">
        <v>53</v>
      </c>
      <c r="UC9" s="11">
        <f t="shared" si="176"/>
        <v>11.55</v>
      </c>
      <c r="UD9" s="11">
        <f t="shared" si="177"/>
        <v>43.5</v>
      </c>
      <c r="UE9" s="11">
        <f t="shared" si="178"/>
        <v>11.8</v>
      </c>
      <c r="UF9" s="11">
        <f t="shared" si="179"/>
        <v>15</v>
      </c>
      <c r="UG9" s="11">
        <f t="shared" si="180"/>
        <v>55.3</v>
      </c>
      <c r="UH9" s="11">
        <f t="shared" si="181"/>
        <v>11.25</v>
      </c>
      <c r="UI9" s="11">
        <f t="shared" si="182"/>
        <v>44.95</v>
      </c>
      <c r="UJ9" s="11">
        <f t="shared" si="183"/>
        <v>100.25</v>
      </c>
    </row>
    <row r="10" spans="1:556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245</v>
      </c>
      <c r="C10" s="4" t="s">
        <v>5</v>
      </c>
      <c r="D10" s="4">
        <v>2008</v>
      </c>
      <c r="E10" s="9">
        <f t="shared" si="0"/>
        <v>135.00000852000429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IF(COUNT(AO10,BR10,CU10)&gt;0,LARGE((AO10,BR10,CU10),1),0)</f>
        <v>43</v>
      </c>
      <c r="K10" s="8" t="str">
        <f t="shared" si="5"/>
        <v>2024 Nationals</v>
      </c>
      <c r="L10" s="8">
        <f>IF(COUNT(AO10,BR10,CU10)&gt;1,LARGE((AO10,BR10,CU10),2),0)</f>
        <v>42.199999999999996</v>
      </c>
      <c r="M10" s="8" t="str">
        <f t="shared" si="6"/>
        <v>2025 Elite Canada</v>
      </c>
      <c r="N10" s="8">
        <f t="shared" si="7"/>
        <v>47.300000000000004</v>
      </c>
      <c r="O10" s="8" t="str">
        <f t="shared" si="8"/>
        <v>2024 Nationals</v>
      </c>
      <c r="P10" s="8">
        <f t="shared" si="9"/>
        <v>2.5000000000000071</v>
      </c>
      <c r="Q10" s="11" t="str">
        <f t="shared" si="184"/>
        <v>(Q1)</v>
      </c>
      <c r="R10" s="8" t="str">
        <f t="shared" si="185"/>
        <v>2024 Coimbra Gym Fest (July 7)</v>
      </c>
      <c r="S10" s="19">
        <v>14.7</v>
      </c>
      <c r="T10" s="19">
        <v>5.5</v>
      </c>
      <c r="U10" s="19">
        <v>0</v>
      </c>
      <c r="V10" s="19">
        <v>0.6</v>
      </c>
      <c r="W10" s="19">
        <v>15.5</v>
      </c>
      <c r="X10" s="19">
        <v>6.1</v>
      </c>
      <c r="Y10" s="19">
        <v>0</v>
      </c>
      <c r="Z10" s="19">
        <v>0.6</v>
      </c>
      <c r="AA10" s="19">
        <v>16</v>
      </c>
      <c r="AB10" s="19">
        <v>7.5</v>
      </c>
      <c r="AC10" s="19">
        <v>0</v>
      </c>
      <c r="AD10" s="19">
        <v>0.6</v>
      </c>
      <c r="AE10" s="19">
        <v>15.7</v>
      </c>
      <c r="AF10" s="19">
        <v>6.8</v>
      </c>
      <c r="AG10" s="19">
        <v>0</v>
      </c>
      <c r="AH10" s="19">
        <v>0.6</v>
      </c>
      <c r="AI10" s="19">
        <v>16.100000000000001</v>
      </c>
      <c r="AJ10" s="19">
        <v>7.5</v>
      </c>
      <c r="AK10" s="19">
        <v>0</v>
      </c>
      <c r="AL10" s="19">
        <v>0.6</v>
      </c>
      <c r="AM10" s="27"/>
      <c r="AN10" s="40">
        <f t="shared" si="10"/>
        <v>11.6</v>
      </c>
      <c r="AO10" s="40">
        <f t="shared" si="11"/>
        <v>43</v>
      </c>
      <c r="AP10" s="40">
        <f t="shared" si="12"/>
        <v>24.1</v>
      </c>
      <c r="AQ10" s="40">
        <f t="shared" si="13"/>
        <v>19.100000000000001</v>
      </c>
      <c r="AR10" s="40">
        <f t="shared" si="14"/>
        <v>67.099999999999994</v>
      </c>
      <c r="AS10" s="40">
        <f t="shared" si="15"/>
        <v>14.3</v>
      </c>
      <c r="AT10" s="40">
        <f t="shared" si="16"/>
        <v>47.300000000000004</v>
      </c>
      <c r="AU10" s="40">
        <f t="shared" si="17"/>
        <v>114.4</v>
      </c>
      <c r="AV10" s="18">
        <v>15</v>
      </c>
      <c r="AW10" s="18">
        <v>7.2</v>
      </c>
      <c r="AX10" s="18">
        <v>2</v>
      </c>
      <c r="AY10" s="18">
        <v>0.6</v>
      </c>
      <c r="AZ10" s="18">
        <v>13.5</v>
      </c>
      <c r="BA10" s="18">
        <v>6.8</v>
      </c>
      <c r="BB10" s="18">
        <v>0.2</v>
      </c>
      <c r="BC10" s="18">
        <v>0.6</v>
      </c>
      <c r="BD10" s="18">
        <v>15.1</v>
      </c>
      <c r="BE10" s="18">
        <v>8.1999999999999993</v>
      </c>
      <c r="BF10" s="18">
        <v>0</v>
      </c>
      <c r="BG10" s="18">
        <v>0.6</v>
      </c>
      <c r="BH10" s="18">
        <v>15.4</v>
      </c>
      <c r="BI10" s="18">
        <v>7.5</v>
      </c>
      <c r="BJ10" s="18">
        <v>0.4</v>
      </c>
      <c r="BK10" s="18">
        <v>0.6</v>
      </c>
      <c r="BL10" s="18">
        <v>13.8</v>
      </c>
      <c r="BM10" s="18">
        <v>7</v>
      </c>
      <c r="BN10" s="18">
        <v>0</v>
      </c>
      <c r="BO10" s="18">
        <v>0.6</v>
      </c>
      <c r="BP10" s="28"/>
      <c r="BQ10" s="11">
        <f t="shared" si="18"/>
        <v>14</v>
      </c>
      <c r="BR10" s="11">
        <f t="shared" si="19"/>
        <v>41.499999999999993</v>
      </c>
      <c r="BS10" s="11">
        <f t="shared" si="20"/>
        <v>23.9</v>
      </c>
      <c r="BT10" s="11">
        <f t="shared" si="21"/>
        <v>22.2</v>
      </c>
      <c r="BU10" s="11">
        <f t="shared" si="22"/>
        <v>65.399999999999991</v>
      </c>
      <c r="BV10" s="11">
        <f t="shared" si="23"/>
        <v>14.5</v>
      </c>
      <c r="BW10" s="11">
        <f t="shared" si="24"/>
        <v>44.5</v>
      </c>
      <c r="BX10" s="11">
        <f t="shared" si="25"/>
        <v>109.89999999999999</v>
      </c>
      <c r="BY10" s="19">
        <v>15.3</v>
      </c>
      <c r="BZ10" s="19">
        <v>6.6</v>
      </c>
      <c r="CA10" s="19">
        <v>0.2</v>
      </c>
      <c r="CB10" s="19">
        <v>0</v>
      </c>
      <c r="CC10" s="19">
        <v>15.1</v>
      </c>
      <c r="CD10" s="19">
        <v>5.4</v>
      </c>
      <c r="CE10" s="19">
        <v>0</v>
      </c>
      <c r="CF10" s="19">
        <v>0</v>
      </c>
      <c r="CG10" s="19"/>
      <c r="CH10" s="19"/>
      <c r="CI10" s="19"/>
      <c r="CJ10" s="19"/>
      <c r="CK10" s="19">
        <v>16.3</v>
      </c>
      <c r="CL10" s="19">
        <v>5.7</v>
      </c>
      <c r="CM10" s="19">
        <v>0</v>
      </c>
      <c r="CN10" s="19">
        <v>0</v>
      </c>
      <c r="CO10" s="19">
        <v>15.4</v>
      </c>
      <c r="CP10" s="19">
        <v>4</v>
      </c>
      <c r="CQ10" s="19">
        <v>0</v>
      </c>
      <c r="CR10" s="19">
        <v>0</v>
      </c>
      <c r="CS10" s="27"/>
      <c r="CT10" s="40">
        <f t="shared" si="26"/>
        <v>12</v>
      </c>
      <c r="CU10" s="40">
        <f t="shared" si="27"/>
        <v>42.199999999999996</v>
      </c>
      <c r="CV10" s="40" t="str">
        <f t="shared" si="28"/>
        <v/>
      </c>
      <c r="CW10" s="40">
        <f t="shared" si="29"/>
        <v>12</v>
      </c>
      <c r="CX10" s="40">
        <f t="shared" si="30"/>
        <v>42.199999999999996</v>
      </c>
      <c r="CY10" s="40">
        <f t="shared" si="31"/>
        <v>9.6999999999999993</v>
      </c>
      <c r="CZ10" s="40">
        <f t="shared" si="32"/>
        <v>41.4</v>
      </c>
      <c r="DA10" s="40">
        <f t="shared" si="33"/>
        <v>83.6</v>
      </c>
      <c r="DB10" s="51">
        <f t="shared" si="34"/>
        <v>2.5000000000000071</v>
      </c>
      <c r="DC10" s="51" t="str">
        <f t="shared" si="35"/>
        <v/>
      </c>
      <c r="DD10" s="17">
        <v>15.1</v>
      </c>
      <c r="DE10" s="17">
        <v>7.5</v>
      </c>
      <c r="DF10" s="17">
        <v>0</v>
      </c>
      <c r="DG10" s="17">
        <v>0</v>
      </c>
      <c r="DH10" s="17">
        <v>15.3</v>
      </c>
      <c r="DI10" s="17">
        <v>6.8</v>
      </c>
      <c r="DJ10" s="17">
        <v>0</v>
      </c>
      <c r="DK10" s="17">
        <v>0</v>
      </c>
      <c r="DL10" s="17"/>
      <c r="DM10" s="17"/>
      <c r="DN10" s="17"/>
      <c r="DO10" s="17"/>
      <c r="DP10" s="17">
        <v>15.4</v>
      </c>
      <c r="DQ10" s="17">
        <v>6.8</v>
      </c>
      <c r="DR10" s="17">
        <v>0</v>
      </c>
      <c r="DS10" s="17">
        <v>0</v>
      </c>
      <c r="DT10" s="17">
        <v>15.5</v>
      </c>
      <c r="DU10" s="17">
        <v>7.5</v>
      </c>
      <c r="DV10" s="17">
        <v>0</v>
      </c>
      <c r="DW10" s="17">
        <v>0</v>
      </c>
      <c r="DX10" s="40">
        <f t="shared" si="36"/>
        <v>14.3</v>
      </c>
      <c r="DY10" s="40">
        <f t="shared" si="37"/>
        <v>44.7</v>
      </c>
      <c r="DZ10" s="40" t="str">
        <f t="shared" si="38"/>
        <v/>
      </c>
      <c r="EA10" s="40">
        <f t="shared" si="39"/>
        <v>14.3</v>
      </c>
      <c r="EB10" s="40">
        <f t="shared" si="40"/>
        <v>44.7</v>
      </c>
      <c r="EC10" s="40">
        <f t="shared" si="41"/>
        <v>14.3</v>
      </c>
      <c r="ED10" s="40">
        <f t="shared" si="42"/>
        <v>45.2</v>
      </c>
      <c r="EE10" s="40">
        <f t="shared" si="43"/>
        <v>89.9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4"/>
        <v/>
      </c>
      <c r="FA10" s="11" t="str">
        <f t="shared" si="45"/>
        <v/>
      </c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2"/>
        <v/>
      </c>
      <c r="GC10" s="40" t="str">
        <f t="shared" si="53"/>
        <v/>
      </c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0"/>
        <v/>
      </c>
      <c r="HE10" s="11" t="str">
        <f t="shared" si="61"/>
        <v/>
      </c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68"/>
        <v/>
      </c>
      <c r="IG10" s="40" t="str">
        <f t="shared" si="69"/>
        <v/>
      </c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6"/>
        <v/>
      </c>
      <c r="JI10" s="11" t="str">
        <f t="shared" si="77"/>
        <v/>
      </c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4"/>
        <v/>
      </c>
      <c r="KK10" s="40" t="str">
        <f t="shared" si="85"/>
        <v/>
      </c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2"/>
        <v/>
      </c>
      <c r="LM10" s="11" t="str">
        <f t="shared" si="93"/>
        <v/>
      </c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0"/>
        <v/>
      </c>
      <c r="MO10" s="40" t="str">
        <f t="shared" si="101"/>
        <v/>
      </c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08"/>
        <v/>
      </c>
      <c r="NQ10" s="11" t="str">
        <f t="shared" si="109"/>
        <v/>
      </c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6"/>
        <v/>
      </c>
      <c r="OS10" s="40" t="str">
        <f t="shared" si="117"/>
        <v/>
      </c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4"/>
        <v/>
      </c>
      <c r="PU10" s="11" t="str">
        <f t="shared" si="125"/>
        <v/>
      </c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2"/>
        <v/>
      </c>
      <c r="QW10" s="40" t="str">
        <f t="shared" si="133"/>
        <v/>
      </c>
      <c r="QX10" s="40" t="str">
        <f t="shared" si="134"/>
        <v/>
      </c>
      <c r="QY10" s="40" t="str">
        <f t="shared" si="135"/>
        <v/>
      </c>
      <c r="QZ10" s="40" t="str">
        <f t="shared" si="136"/>
        <v/>
      </c>
      <c r="RA10" s="40" t="str">
        <f t="shared" si="137"/>
        <v/>
      </c>
      <c r="RB10" s="40" t="str">
        <f t="shared" si="138"/>
        <v/>
      </c>
      <c r="RC10" s="40" t="str">
        <f t="shared" si="139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0"/>
        <v/>
      </c>
      <c r="RY10" s="11" t="str">
        <f t="shared" si="141"/>
        <v/>
      </c>
      <c r="RZ10" s="11" t="str">
        <f t="shared" si="142"/>
        <v/>
      </c>
      <c r="SA10" s="11" t="str">
        <f t="shared" si="143"/>
        <v/>
      </c>
      <c r="SB10" s="11" t="str">
        <f t="shared" si="144"/>
        <v/>
      </c>
      <c r="SC10" s="11" t="str">
        <f t="shared" si="145"/>
        <v/>
      </c>
      <c r="SD10" s="11" t="str">
        <f t="shared" si="146"/>
        <v/>
      </c>
      <c r="SE10" s="11" t="str">
        <f t="shared" si="147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48"/>
        <v/>
      </c>
      <c r="TA10" s="40" t="str">
        <f t="shared" si="149"/>
        <v/>
      </c>
      <c r="TB10" s="40" t="str">
        <f t="shared" si="150"/>
        <v/>
      </c>
      <c r="TC10" s="40" t="str">
        <f t="shared" si="151"/>
        <v/>
      </c>
      <c r="TD10" s="40" t="str">
        <f t="shared" si="152"/>
        <v/>
      </c>
      <c r="TE10" s="40" t="str">
        <f t="shared" si="153"/>
        <v/>
      </c>
      <c r="TF10" s="40" t="str">
        <f t="shared" si="154"/>
        <v/>
      </c>
      <c r="TG10" s="40" t="str">
        <f t="shared" si="155"/>
        <v/>
      </c>
      <c r="TH10" s="26">
        <f t="shared" si="156"/>
        <v>15.15</v>
      </c>
      <c r="TI10" s="26">
        <f t="shared" si="157"/>
        <v>6.9</v>
      </c>
      <c r="TJ10" s="26">
        <f t="shared" si="158"/>
        <v>1.1000000000000001</v>
      </c>
      <c r="TK10" s="26">
        <f t="shared" si="159"/>
        <v>0.3</v>
      </c>
      <c r="TL10" s="26">
        <f t="shared" si="160"/>
        <v>14.3</v>
      </c>
      <c r="TM10" s="26">
        <f t="shared" si="161"/>
        <v>6.1</v>
      </c>
      <c r="TN10" s="26">
        <f t="shared" si="162"/>
        <v>0.1</v>
      </c>
      <c r="TO10" s="26">
        <f t="shared" si="163"/>
        <v>0.3</v>
      </c>
      <c r="TP10" s="26">
        <f t="shared" si="164"/>
        <v>7.55</v>
      </c>
      <c r="TQ10" s="26">
        <f t="shared" si="165"/>
        <v>4.0999999999999996</v>
      </c>
      <c r="TR10" s="26">
        <f t="shared" si="166"/>
        <v>0</v>
      </c>
      <c r="TS10" s="26">
        <f t="shared" si="167"/>
        <v>0.3</v>
      </c>
      <c r="TT10" s="26">
        <f t="shared" si="168"/>
        <v>15.850000000000001</v>
      </c>
      <c r="TU10" s="26">
        <f t="shared" si="169"/>
        <v>6.6</v>
      </c>
      <c r="TV10" s="26">
        <f t="shared" si="170"/>
        <v>0.2</v>
      </c>
      <c r="TW10" s="26">
        <f t="shared" si="171"/>
        <v>0.3</v>
      </c>
      <c r="TX10" s="26">
        <f t="shared" si="172"/>
        <v>14.600000000000001</v>
      </c>
      <c r="TY10" s="26">
        <f t="shared" si="173"/>
        <v>5.5</v>
      </c>
      <c r="TZ10" s="26">
        <f t="shared" si="174"/>
        <v>0</v>
      </c>
      <c r="UA10" s="26">
        <f t="shared" si="175"/>
        <v>0.3</v>
      </c>
      <c r="UB10" s="28" t="s">
        <v>53</v>
      </c>
      <c r="UC10" s="11">
        <f t="shared" si="176"/>
        <v>13</v>
      </c>
      <c r="UD10" s="11">
        <f t="shared" si="177"/>
        <v>41.85</v>
      </c>
      <c r="UE10" s="11">
        <f t="shared" si="178"/>
        <v>11.95</v>
      </c>
      <c r="UF10" s="11">
        <f t="shared" si="179"/>
        <v>17.100000000000001</v>
      </c>
      <c r="UG10" s="11">
        <f t="shared" si="180"/>
        <v>53.8</v>
      </c>
      <c r="UH10" s="11">
        <f t="shared" si="181"/>
        <v>12.1</v>
      </c>
      <c r="UI10" s="11">
        <f t="shared" si="182"/>
        <v>42.95</v>
      </c>
      <c r="UJ10" s="11">
        <f t="shared" si="183"/>
        <v>96.75</v>
      </c>
    </row>
    <row r="11" spans="1:556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120</v>
      </c>
      <c r="C11" s="4" t="s">
        <v>5</v>
      </c>
      <c r="D11" s="4">
        <v>2004</v>
      </c>
      <c r="E11" s="9">
        <f t="shared" si="0"/>
        <v>97.100008540004879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48.899999999999991</v>
      </c>
      <c r="K11" s="8" t="str">
        <f t="shared" si="5"/>
        <v>2025 Elite Canada</v>
      </c>
      <c r="L11" s="8">
        <f>IF(COUNT(AO11,BR11,CU11)&gt;1,LARGE((AO11,BR11,CU11),2),0)</f>
        <v>36.5</v>
      </c>
      <c r="M11" s="8" t="str">
        <f t="shared" si="6"/>
        <v>2024 Nationals</v>
      </c>
      <c r="N11" s="8">
        <f t="shared" si="7"/>
        <v>0</v>
      </c>
      <c r="O11" s="8" t="str">
        <f t="shared" si="8"/>
        <v/>
      </c>
      <c r="P11" s="8">
        <f t="shared" si="9"/>
        <v>11.699999999999996</v>
      </c>
      <c r="Q11" s="11" t="str">
        <f t="shared" si="184"/>
        <v>(Q1)</v>
      </c>
      <c r="R11" s="8" t="str">
        <f t="shared" si="185"/>
        <v>2024 World Cup POR (July 7)</v>
      </c>
      <c r="S11" s="19">
        <v>15.2</v>
      </c>
      <c r="T11" s="19">
        <v>3.4</v>
      </c>
      <c r="U11" s="19">
        <v>0</v>
      </c>
      <c r="V11" s="19">
        <v>0</v>
      </c>
      <c r="W11" s="19">
        <v>15.2</v>
      </c>
      <c r="X11" s="19">
        <v>2.7</v>
      </c>
      <c r="Y11" s="19">
        <v>0</v>
      </c>
      <c r="Z11" s="19">
        <v>0</v>
      </c>
      <c r="AA11" s="19">
        <v>17.399999999999999</v>
      </c>
      <c r="AB11" s="19">
        <v>5.6</v>
      </c>
      <c r="AC11" s="19">
        <v>0.4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 t="shared" si="10"/>
        <v>6.1</v>
      </c>
      <c r="AO11" s="40">
        <f t="shared" si="11"/>
        <v>36.5</v>
      </c>
      <c r="AP11" s="40">
        <f t="shared" si="12"/>
        <v>22.6</v>
      </c>
      <c r="AQ11" s="40">
        <f t="shared" si="13"/>
        <v>11.7</v>
      </c>
      <c r="AR11" s="40">
        <f t="shared" si="14"/>
        <v>59.1</v>
      </c>
      <c r="AS11" s="40" t="str">
        <f t="shared" si="15"/>
        <v/>
      </c>
      <c r="AT11" s="40" t="str">
        <f t="shared" si="16"/>
        <v/>
      </c>
      <c r="AU11" s="40">
        <f t="shared" si="17"/>
        <v>59.1</v>
      </c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28"/>
      <c r="BQ11" s="11" t="str">
        <f t="shared" si="18"/>
        <v/>
      </c>
      <c r="BR11" s="11" t="str">
        <f t="shared" si="19"/>
        <v/>
      </c>
      <c r="BS11" s="11" t="str">
        <f t="shared" si="20"/>
        <v/>
      </c>
      <c r="BT11" s="11" t="str">
        <f t="shared" si="21"/>
        <v/>
      </c>
      <c r="BU11" s="11" t="str">
        <f t="shared" si="22"/>
        <v/>
      </c>
      <c r="BV11" s="11" t="str">
        <f t="shared" si="23"/>
        <v/>
      </c>
      <c r="BW11" s="11" t="str">
        <f t="shared" si="24"/>
        <v/>
      </c>
      <c r="BX11" s="11" t="str">
        <f t="shared" si="25"/>
        <v/>
      </c>
      <c r="BY11" s="19">
        <v>17.7</v>
      </c>
      <c r="BZ11" s="19">
        <v>6.5</v>
      </c>
      <c r="CA11" s="19">
        <v>0</v>
      </c>
      <c r="CB11" s="19">
        <v>0</v>
      </c>
      <c r="CC11" s="19">
        <v>17.399999999999999</v>
      </c>
      <c r="CD11" s="19">
        <v>7.3</v>
      </c>
      <c r="CE11" s="19">
        <v>0</v>
      </c>
      <c r="CF11" s="19">
        <v>0</v>
      </c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27"/>
      <c r="CT11" s="40">
        <f t="shared" si="26"/>
        <v>13.8</v>
      </c>
      <c r="CU11" s="40">
        <f t="shared" si="27"/>
        <v>48.899999999999991</v>
      </c>
      <c r="CV11" s="40" t="str">
        <f t="shared" si="28"/>
        <v/>
      </c>
      <c r="CW11" s="40">
        <f t="shared" si="29"/>
        <v>13.8</v>
      </c>
      <c r="CX11" s="40">
        <f t="shared" si="30"/>
        <v>48.899999999999991</v>
      </c>
      <c r="CY11" s="40" t="str">
        <f t="shared" si="31"/>
        <v/>
      </c>
      <c r="CZ11" s="40" t="str">
        <f t="shared" si="32"/>
        <v/>
      </c>
      <c r="DA11" s="40">
        <f t="shared" si="33"/>
        <v>48.899999999999991</v>
      </c>
      <c r="DB11" s="51">
        <f t="shared" si="34"/>
        <v>11.699999999999996</v>
      </c>
      <c r="DC11" s="51" t="str">
        <f t="shared" si="35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6"/>
        <v/>
      </c>
      <c r="DY11" s="40" t="str">
        <f t="shared" si="37"/>
        <v/>
      </c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18">
        <v>17.399999999999999</v>
      </c>
      <c r="EG11" s="18">
        <v>6.9</v>
      </c>
      <c r="EH11" s="18">
        <v>0</v>
      </c>
      <c r="EI11" s="18">
        <v>0</v>
      </c>
      <c r="EJ11" s="18">
        <v>17</v>
      </c>
      <c r="EK11" s="18">
        <v>6.9</v>
      </c>
      <c r="EL11" s="18">
        <v>0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>
        <f t="shared" si="44"/>
        <v>13.8</v>
      </c>
      <c r="FA11" s="11">
        <f t="shared" si="45"/>
        <v>48.199999999999996</v>
      </c>
      <c r="FB11" s="11" t="str">
        <f t="shared" si="46"/>
        <v/>
      </c>
      <c r="FC11" s="11">
        <f t="shared" si="47"/>
        <v>13.8</v>
      </c>
      <c r="FD11" s="11">
        <f t="shared" si="48"/>
        <v>48.199999999999996</v>
      </c>
      <c r="FE11" s="11" t="str">
        <f t="shared" si="49"/>
        <v/>
      </c>
      <c r="FF11" s="11" t="str">
        <f t="shared" si="50"/>
        <v/>
      </c>
      <c r="FG11" s="11">
        <f t="shared" si="51"/>
        <v>48.199999999999996</v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2"/>
        <v/>
      </c>
      <c r="GC11" s="40" t="str">
        <f t="shared" si="53"/>
        <v/>
      </c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0"/>
        <v/>
      </c>
      <c r="HE11" s="11" t="str">
        <f t="shared" si="61"/>
        <v/>
      </c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68"/>
        <v/>
      </c>
      <c r="IG11" s="40" t="str">
        <f t="shared" si="69"/>
        <v/>
      </c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6"/>
        <v/>
      </c>
      <c r="JI11" s="11" t="str">
        <f t="shared" si="77"/>
        <v/>
      </c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4"/>
        <v/>
      </c>
      <c r="KK11" s="40" t="str">
        <f t="shared" si="85"/>
        <v/>
      </c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2"/>
        <v/>
      </c>
      <c r="LM11" s="11" t="str">
        <f t="shared" si="93"/>
        <v/>
      </c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0"/>
        <v/>
      </c>
      <c r="MO11" s="40" t="str">
        <f t="shared" si="101"/>
        <v/>
      </c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08"/>
        <v/>
      </c>
      <c r="NQ11" s="11" t="str">
        <f t="shared" si="109"/>
        <v/>
      </c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6"/>
        <v/>
      </c>
      <c r="OS11" s="40" t="str">
        <f t="shared" si="117"/>
        <v/>
      </c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4"/>
        <v/>
      </c>
      <c r="PU11" s="11" t="str">
        <f t="shared" si="125"/>
        <v/>
      </c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2"/>
        <v/>
      </c>
      <c r="QW11" s="40" t="str">
        <f t="shared" si="133"/>
        <v/>
      </c>
      <c r="QX11" s="40" t="str">
        <f t="shared" si="134"/>
        <v/>
      </c>
      <c r="QY11" s="40" t="str">
        <f t="shared" si="135"/>
        <v/>
      </c>
      <c r="QZ11" s="40" t="str">
        <f t="shared" si="136"/>
        <v/>
      </c>
      <c r="RA11" s="40" t="str">
        <f t="shared" si="137"/>
        <v/>
      </c>
      <c r="RB11" s="40" t="str">
        <f t="shared" si="138"/>
        <v/>
      </c>
      <c r="RC11" s="40" t="str">
        <f t="shared" si="139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0"/>
        <v/>
      </c>
      <c r="RY11" s="11" t="str">
        <f t="shared" si="141"/>
        <v/>
      </c>
      <c r="RZ11" s="11" t="str">
        <f t="shared" si="142"/>
        <v/>
      </c>
      <c r="SA11" s="11" t="str">
        <f t="shared" si="143"/>
        <v/>
      </c>
      <c r="SB11" s="11" t="str">
        <f t="shared" si="144"/>
        <v/>
      </c>
      <c r="SC11" s="11" t="str">
        <f t="shared" si="145"/>
        <v/>
      </c>
      <c r="SD11" s="11" t="str">
        <f t="shared" si="146"/>
        <v/>
      </c>
      <c r="SE11" s="11" t="str">
        <f t="shared" si="147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48"/>
        <v/>
      </c>
      <c r="TA11" s="40" t="str">
        <f t="shared" si="149"/>
        <v/>
      </c>
      <c r="TB11" s="40" t="str">
        <f t="shared" si="150"/>
        <v/>
      </c>
      <c r="TC11" s="40" t="str">
        <f t="shared" si="151"/>
        <v/>
      </c>
      <c r="TD11" s="40" t="str">
        <f t="shared" si="152"/>
        <v/>
      </c>
      <c r="TE11" s="40" t="str">
        <f t="shared" si="153"/>
        <v/>
      </c>
      <c r="TF11" s="40" t="str">
        <f t="shared" si="154"/>
        <v/>
      </c>
      <c r="TG11" s="40" t="str">
        <f t="shared" si="155"/>
        <v/>
      </c>
      <c r="TH11" s="26">
        <f t="shared" si="156"/>
        <v>8.85</v>
      </c>
      <c r="TI11" s="26">
        <f t="shared" si="157"/>
        <v>3.25</v>
      </c>
      <c r="TJ11" s="26">
        <f t="shared" si="158"/>
        <v>0</v>
      </c>
      <c r="TK11" s="26">
        <f t="shared" si="159"/>
        <v>0</v>
      </c>
      <c r="TL11" s="26">
        <f t="shared" si="160"/>
        <v>8.6999999999999993</v>
      </c>
      <c r="TM11" s="26">
        <f t="shared" si="161"/>
        <v>3.65</v>
      </c>
      <c r="TN11" s="26">
        <f t="shared" si="162"/>
        <v>0</v>
      </c>
      <c r="TO11" s="26">
        <f t="shared" si="163"/>
        <v>0</v>
      </c>
      <c r="TP11" s="26">
        <f t="shared" si="164"/>
        <v>0</v>
      </c>
      <c r="TQ11" s="26">
        <f t="shared" si="165"/>
        <v>0</v>
      </c>
      <c r="TR11" s="26">
        <f t="shared" si="166"/>
        <v>0</v>
      </c>
      <c r="TS11" s="26">
        <f t="shared" si="167"/>
        <v>0</v>
      </c>
      <c r="TT11" s="26">
        <f t="shared" si="168"/>
        <v>0</v>
      </c>
      <c r="TU11" s="26">
        <f t="shared" si="169"/>
        <v>0</v>
      </c>
      <c r="TV11" s="26">
        <f t="shared" si="170"/>
        <v>0</v>
      </c>
      <c r="TW11" s="26">
        <f t="shared" si="171"/>
        <v>0</v>
      </c>
      <c r="TX11" s="26">
        <f t="shared" si="172"/>
        <v>0</v>
      </c>
      <c r="TY11" s="26">
        <f t="shared" si="173"/>
        <v>0</v>
      </c>
      <c r="TZ11" s="26">
        <f t="shared" si="174"/>
        <v>0</v>
      </c>
      <c r="UA11" s="26">
        <f t="shared" si="175"/>
        <v>0</v>
      </c>
      <c r="UB11" s="28" t="s">
        <v>53</v>
      </c>
      <c r="UC11" s="11">
        <f t="shared" si="176"/>
        <v>6.9</v>
      </c>
      <c r="UD11" s="11">
        <f t="shared" si="177"/>
        <v>24.449999999999996</v>
      </c>
      <c r="UE11" s="11" t="str">
        <f t="shared" si="178"/>
        <v/>
      </c>
      <c r="UF11" s="11">
        <f t="shared" si="179"/>
        <v>6.9</v>
      </c>
      <c r="UG11" s="11">
        <f t="shared" si="180"/>
        <v>24.449999999999996</v>
      </c>
      <c r="UH11" s="11" t="str">
        <f t="shared" si="181"/>
        <v/>
      </c>
      <c r="UI11" s="11" t="str">
        <f t="shared" si="182"/>
        <v/>
      </c>
      <c r="UJ11" s="11">
        <f t="shared" si="183"/>
        <v>24.449999999999996</v>
      </c>
    </row>
    <row r="12" spans="1:556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252</v>
      </c>
      <c r="C12" s="4" t="s">
        <v>3</v>
      </c>
      <c r="D12" s="4">
        <v>2008</v>
      </c>
      <c r="E12" s="9">
        <f t="shared" si="0"/>
        <v>132.10000875000446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IF(COUNT(AO12,BR12,CU12)&gt;0,LARGE((AO12,BR12,CU12),1),0)</f>
        <v>44.7</v>
      </c>
      <c r="K12" s="8" t="str">
        <f t="shared" si="5"/>
        <v>2024 Nationals</v>
      </c>
      <c r="L12" s="8">
        <f>IF(COUNT(AO12,BR12,CU12)&gt;1,LARGE((AO12,BR12,CU12),2),0)</f>
        <v>42.8</v>
      </c>
      <c r="M12" s="8" t="str">
        <f t="shared" si="6"/>
        <v>2025 Elite Canada</v>
      </c>
      <c r="N12" s="8">
        <f t="shared" si="7"/>
        <v>44.599999999999994</v>
      </c>
      <c r="O12" s="8" t="str">
        <f t="shared" si="8"/>
        <v>2024 3rd Domestic Trial</v>
      </c>
      <c r="P12" s="8" t="str">
        <f t="shared" si="9"/>
        <v/>
      </c>
      <c r="Q12" s="11" t="str">
        <f t="shared" si="184"/>
        <v/>
      </c>
      <c r="R12" s="8" t="str">
        <f t="shared" si="185"/>
        <v/>
      </c>
      <c r="S12" s="19">
        <v>16.600000000000001</v>
      </c>
      <c r="T12" s="19">
        <v>5.7</v>
      </c>
      <c r="U12" s="19">
        <v>0</v>
      </c>
      <c r="V12" s="19"/>
      <c r="W12" s="19">
        <v>16.600000000000001</v>
      </c>
      <c r="X12" s="19">
        <v>5.8</v>
      </c>
      <c r="Y12" s="19">
        <v>0</v>
      </c>
      <c r="Z12" s="19"/>
      <c r="AA12" s="19">
        <v>16.600000000000001</v>
      </c>
      <c r="AB12" s="19">
        <v>6</v>
      </c>
      <c r="AC12" s="19">
        <v>0</v>
      </c>
      <c r="AD12" s="19"/>
      <c r="AE12" s="19">
        <v>16.600000000000001</v>
      </c>
      <c r="AF12" s="19">
        <v>5.8</v>
      </c>
      <c r="AG12" s="19">
        <v>0</v>
      </c>
      <c r="AH12" s="19"/>
      <c r="AI12" s="19">
        <v>17.600000000000001</v>
      </c>
      <c r="AJ12" s="19">
        <v>3.5</v>
      </c>
      <c r="AK12" s="19">
        <v>0.6</v>
      </c>
      <c r="AL12" s="19"/>
      <c r="AM12" s="27"/>
      <c r="AN12" s="40">
        <f t="shared" si="10"/>
        <v>11.5</v>
      </c>
      <c r="AO12" s="40">
        <f t="shared" si="11"/>
        <v>44.7</v>
      </c>
      <c r="AP12" s="40">
        <f t="shared" si="12"/>
        <v>22.6</v>
      </c>
      <c r="AQ12" s="40">
        <f t="shared" si="13"/>
        <v>17.5</v>
      </c>
      <c r="AR12" s="40">
        <f t="shared" si="14"/>
        <v>67.300000000000011</v>
      </c>
      <c r="AS12" s="40">
        <f t="shared" si="15"/>
        <v>9.3000000000000007</v>
      </c>
      <c r="AT12" s="40">
        <f t="shared" si="16"/>
        <v>42.9</v>
      </c>
      <c r="AU12" s="40">
        <f t="shared" si="17"/>
        <v>110.20000000000002</v>
      </c>
      <c r="AV12" s="18">
        <v>16.100000000000001</v>
      </c>
      <c r="AW12" s="18">
        <v>5.9</v>
      </c>
      <c r="AX12" s="18">
        <v>0</v>
      </c>
      <c r="AY12" s="18"/>
      <c r="AZ12" s="18">
        <v>15.6</v>
      </c>
      <c r="BA12" s="18">
        <v>5.3</v>
      </c>
      <c r="BB12" s="18">
        <v>0.4</v>
      </c>
      <c r="BC12" s="18"/>
      <c r="BD12" s="18">
        <v>16.8</v>
      </c>
      <c r="BE12" s="18">
        <v>5.7</v>
      </c>
      <c r="BF12" s="18">
        <v>0</v>
      </c>
      <c r="BG12" s="18"/>
      <c r="BH12" s="18">
        <v>16.899999999999999</v>
      </c>
      <c r="BI12" s="18">
        <v>5.9</v>
      </c>
      <c r="BJ12" s="18">
        <v>0</v>
      </c>
      <c r="BK12" s="18"/>
      <c r="BL12" s="18">
        <v>16.3</v>
      </c>
      <c r="BM12" s="18">
        <v>5.5</v>
      </c>
      <c r="BN12" s="18">
        <v>0</v>
      </c>
      <c r="BO12" s="18"/>
      <c r="BP12" s="28"/>
      <c r="BQ12" s="11">
        <f t="shared" si="18"/>
        <v>11.2</v>
      </c>
      <c r="BR12" s="11">
        <f t="shared" si="19"/>
        <v>42.5</v>
      </c>
      <c r="BS12" s="11">
        <f t="shared" si="20"/>
        <v>22.5</v>
      </c>
      <c r="BT12" s="11">
        <f t="shared" si="21"/>
        <v>16.899999999999999</v>
      </c>
      <c r="BU12" s="11">
        <f t="shared" si="22"/>
        <v>65</v>
      </c>
      <c r="BV12" s="11">
        <f t="shared" si="23"/>
        <v>11.4</v>
      </c>
      <c r="BW12" s="11">
        <f t="shared" si="24"/>
        <v>44.599999999999994</v>
      </c>
      <c r="BX12" s="11">
        <f t="shared" si="25"/>
        <v>109.6</v>
      </c>
      <c r="BY12" s="19">
        <v>17.3</v>
      </c>
      <c r="BZ12" s="19">
        <v>5.5</v>
      </c>
      <c r="CA12" s="19">
        <v>0</v>
      </c>
      <c r="CB12" s="19">
        <v>0</v>
      </c>
      <c r="CC12" s="19">
        <v>14.3</v>
      </c>
      <c r="CD12" s="19">
        <v>5.9</v>
      </c>
      <c r="CE12" s="19">
        <v>0.2</v>
      </c>
      <c r="CF12" s="19">
        <v>0</v>
      </c>
      <c r="CG12" s="19"/>
      <c r="CH12" s="19"/>
      <c r="CI12" s="19"/>
      <c r="CJ12" s="19"/>
      <c r="CK12" s="19">
        <v>14.2</v>
      </c>
      <c r="CL12" s="19">
        <v>3.2</v>
      </c>
      <c r="CM12" s="19">
        <v>0</v>
      </c>
      <c r="CN12" s="19">
        <v>0</v>
      </c>
      <c r="CO12" s="19">
        <v>15.9</v>
      </c>
      <c r="CP12" s="19">
        <v>5.5</v>
      </c>
      <c r="CQ12" s="19">
        <v>0</v>
      </c>
      <c r="CR12" s="19">
        <v>0</v>
      </c>
      <c r="CS12" s="27"/>
      <c r="CT12" s="40">
        <f t="shared" si="26"/>
        <v>11.4</v>
      </c>
      <c r="CU12" s="40">
        <f t="shared" si="27"/>
        <v>42.8</v>
      </c>
      <c r="CV12" s="40" t="str">
        <f t="shared" si="28"/>
        <v/>
      </c>
      <c r="CW12" s="40">
        <f t="shared" si="29"/>
        <v>11.4</v>
      </c>
      <c r="CX12" s="40">
        <f t="shared" si="30"/>
        <v>42.8</v>
      </c>
      <c r="CY12" s="40">
        <f t="shared" si="31"/>
        <v>8.6999999999999993</v>
      </c>
      <c r="CZ12" s="40">
        <f t="shared" si="32"/>
        <v>38.799999999999997</v>
      </c>
      <c r="DA12" s="40">
        <f t="shared" si="33"/>
        <v>81.599999999999994</v>
      </c>
      <c r="DB12" s="51" t="str">
        <f t="shared" si="34"/>
        <v/>
      </c>
      <c r="DC12" s="51" t="str">
        <f t="shared" si="35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6"/>
        <v/>
      </c>
      <c r="DY12" s="40" t="str">
        <f t="shared" si="37"/>
        <v/>
      </c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4"/>
        <v/>
      </c>
      <c r="FA12" s="11" t="str">
        <f t="shared" si="45"/>
        <v/>
      </c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2"/>
        <v/>
      </c>
      <c r="GC12" s="40" t="str">
        <f t="shared" si="53"/>
        <v/>
      </c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0"/>
        <v/>
      </c>
      <c r="HE12" s="11" t="str">
        <f t="shared" si="61"/>
        <v/>
      </c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68"/>
        <v/>
      </c>
      <c r="IG12" s="40" t="str">
        <f t="shared" si="69"/>
        <v/>
      </c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6"/>
        <v/>
      </c>
      <c r="JI12" s="11" t="str">
        <f t="shared" si="77"/>
        <v/>
      </c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4"/>
        <v/>
      </c>
      <c r="KK12" s="40" t="str">
        <f t="shared" si="85"/>
        <v/>
      </c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2"/>
        <v/>
      </c>
      <c r="LM12" s="11" t="str">
        <f t="shared" si="93"/>
        <v/>
      </c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0"/>
        <v/>
      </c>
      <c r="MO12" s="40" t="str">
        <f t="shared" si="101"/>
        <v/>
      </c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08"/>
        <v/>
      </c>
      <c r="NQ12" s="11" t="str">
        <f t="shared" si="109"/>
        <v/>
      </c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6"/>
        <v/>
      </c>
      <c r="OS12" s="40" t="str">
        <f t="shared" si="117"/>
        <v/>
      </c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4"/>
        <v/>
      </c>
      <c r="PU12" s="11" t="str">
        <f t="shared" si="125"/>
        <v/>
      </c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2"/>
        <v/>
      </c>
      <c r="QW12" s="40" t="str">
        <f t="shared" si="133"/>
        <v/>
      </c>
      <c r="QX12" s="40" t="str">
        <f t="shared" si="134"/>
        <v/>
      </c>
      <c r="QY12" s="40" t="str">
        <f t="shared" si="135"/>
        <v/>
      </c>
      <c r="QZ12" s="40" t="str">
        <f t="shared" si="136"/>
        <v/>
      </c>
      <c r="RA12" s="40" t="str">
        <f t="shared" si="137"/>
        <v/>
      </c>
      <c r="RB12" s="40" t="str">
        <f t="shared" si="138"/>
        <v/>
      </c>
      <c r="RC12" s="40" t="str">
        <f t="shared" si="139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0"/>
        <v/>
      </c>
      <c r="RY12" s="11" t="str">
        <f t="shared" si="141"/>
        <v/>
      </c>
      <c r="RZ12" s="11" t="str">
        <f t="shared" si="142"/>
        <v/>
      </c>
      <c r="SA12" s="11" t="str">
        <f t="shared" si="143"/>
        <v/>
      </c>
      <c r="SB12" s="11" t="str">
        <f t="shared" si="144"/>
        <v/>
      </c>
      <c r="SC12" s="11" t="str">
        <f t="shared" si="145"/>
        <v/>
      </c>
      <c r="SD12" s="11" t="str">
        <f t="shared" si="146"/>
        <v/>
      </c>
      <c r="SE12" s="11" t="str">
        <f t="shared" si="147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48"/>
        <v/>
      </c>
      <c r="TA12" s="40" t="str">
        <f t="shared" si="149"/>
        <v/>
      </c>
      <c r="TB12" s="40" t="str">
        <f t="shared" si="150"/>
        <v/>
      </c>
      <c r="TC12" s="40" t="str">
        <f t="shared" si="151"/>
        <v/>
      </c>
      <c r="TD12" s="40" t="str">
        <f t="shared" si="152"/>
        <v/>
      </c>
      <c r="TE12" s="40" t="str">
        <f t="shared" si="153"/>
        <v/>
      </c>
      <c r="TF12" s="40" t="str">
        <f t="shared" si="154"/>
        <v/>
      </c>
      <c r="TG12" s="40" t="str">
        <f t="shared" si="155"/>
        <v/>
      </c>
      <c r="TH12" s="26">
        <f t="shared" si="156"/>
        <v>16.700000000000003</v>
      </c>
      <c r="TI12" s="26">
        <f t="shared" si="157"/>
        <v>5.7</v>
      </c>
      <c r="TJ12" s="26">
        <f t="shared" si="158"/>
        <v>0</v>
      </c>
      <c r="TK12" s="26">
        <f t="shared" si="159"/>
        <v>0</v>
      </c>
      <c r="TL12" s="26">
        <f t="shared" si="160"/>
        <v>14.95</v>
      </c>
      <c r="TM12" s="26">
        <f t="shared" si="161"/>
        <v>5.6</v>
      </c>
      <c r="TN12" s="26">
        <f t="shared" si="162"/>
        <v>0.30000000000000004</v>
      </c>
      <c r="TO12" s="26">
        <f t="shared" si="163"/>
        <v>0</v>
      </c>
      <c r="TP12" s="26">
        <f t="shared" si="164"/>
        <v>8.4</v>
      </c>
      <c r="TQ12" s="26">
        <f t="shared" si="165"/>
        <v>2.85</v>
      </c>
      <c r="TR12" s="26">
        <f t="shared" si="166"/>
        <v>0</v>
      </c>
      <c r="TS12" s="26">
        <f t="shared" si="167"/>
        <v>0</v>
      </c>
      <c r="TT12" s="26">
        <f t="shared" si="168"/>
        <v>15.549999999999999</v>
      </c>
      <c r="TU12" s="26">
        <f t="shared" si="169"/>
        <v>4.5500000000000007</v>
      </c>
      <c r="TV12" s="26">
        <f t="shared" si="170"/>
        <v>0</v>
      </c>
      <c r="TW12" s="26">
        <f t="shared" si="171"/>
        <v>0</v>
      </c>
      <c r="TX12" s="26">
        <f t="shared" si="172"/>
        <v>16.100000000000001</v>
      </c>
      <c r="TY12" s="26">
        <f t="shared" si="173"/>
        <v>5.5</v>
      </c>
      <c r="TZ12" s="26">
        <f t="shared" si="174"/>
        <v>0</v>
      </c>
      <c r="UA12" s="26">
        <f t="shared" si="175"/>
        <v>0</v>
      </c>
      <c r="UB12" s="28" t="s">
        <v>53</v>
      </c>
      <c r="UC12" s="11">
        <f t="shared" si="176"/>
        <v>11.3</v>
      </c>
      <c r="UD12" s="11">
        <f t="shared" si="177"/>
        <v>42.650000000000006</v>
      </c>
      <c r="UE12" s="11">
        <f t="shared" si="178"/>
        <v>11.25</v>
      </c>
      <c r="UF12" s="11">
        <f t="shared" si="179"/>
        <v>14.15</v>
      </c>
      <c r="UG12" s="11">
        <f t="shared" si="180"/>
        <v>53.900000000000006</v>
      </c>
      <c r="UH12" s="11">
        <f t="shared" si="181"/>
        <v>10.050000000000001</v>
      </c>
      <c r="UI12" s="11">
        <f t="shared" si="182"/>
        <v>41.7</v>
      </c>
      <c r="UJ12" s="11">
        <f t="shared" si="183"/>
        <v>95.600000000000009</v>
      </c>
    </row>
    <row r="13" spans="1:556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82</v>
      </c>
      <c r="C13" s="4" t="s">
        <v>5</v>
      </c>
      <c r="D13" s="4">
        <v>2003</v>
      </c>
      <c r="E13" s="9">
        <f t="shared" si="0"/>
        <v>116.60000706000363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IF(COUNT(AO13,BR13,CU13)&gt;0,LARGE((AO13,BR13,CU13),1),0)</f>
        <v>36.4</v>
      </c>
      <c r="K13" s="8" t="str">
        <f t="shared" si="5"/>
        <v>2025 Elite Canada</v>
      </c>
      <c r="L13" s="8">
        <f>IF(COUNT(AO13,BR13,CU13)&gt;1,LARGE((AO13,BR13,CU13),2),0)</f>
        <v>34.200000000000003</v>
      </c>
      <c r="M13" s="8" t="str">
        <f t="shared" si="6"/>
        <v>2024 Nationals</v>
      </c>
      <c r="N13" s="8">
        <f t="shared" si="7"/>
        <v>0</v>
      </c>
      <c r="O13" s="8" t="str">
        <f t="shared" si="8"/>
        <v/>
      </c>
      <c r="P13" s="8">
        <f t="shared" si="9"/>
        <v>46</v>
      </c>
      <c r="Q13" s="11" t="str">
        <f t="shared" si="184"/>
        <v>(Final)</v>
      </c>
      <c r="R13" s="8" t="str">
        <f t="shared" si="185"/>
        <v>2024 Coimbra Gym Fest (July 7)</v>
      </c>
      <c r="S13" s="19">
        <v>15.8</v>
      </c>
      <c r="T13" s="19">
        <v>4.9000000000000004</v>
      </c>
      <c r="U13" s="19">
        <v>4.5999999999999996</v>
      </c>
      <c r="V13" s="19">
        <v>0</v>
      </c>
      <c r="W13" s="19">
        <v>14.4</v>
      </c>
      <c r="X13" s="19">
        <v>8.1</v>
      </c>
      <c r="Y13" s="19">
        <v>4.4000000000000004</v>
      </c>
      <c r="Z13" s="19">
        <v>0</v>
      </c>
      <c r="AA13" s="19">
        <v>16.7</v>
      </c>
      <c r="AB13" s="19">
        <v>5</v>
      </c>
      <c r="AC13" s="19">
        <v>0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 t="shared" si="10"/>
        <v>13</v>
      </c>
      <c r="AO13" s="40">
        <f t="shared" si="11"/>
        <v>34.200000000000003</v>
      </c>
      <c r="AP13" s="40">
        <f t="shared" si="12"/>
        <v>21.7</v>
      </c>
      <c r="AQ13" s="40">
        <f t="shared" si="13"/>
        <v>18</v>
      </c>
      <c r="AR13" s="40">
        <f t="shared" si="14"/>
        <v>55.900000000000006</v>
      </c>
      <c r="AS13" s="40" t="str">
        <f t="shared" si="15"/>
        <v/>
      </c>
      <c r="AT13" s="40" t="str">
        <f t="shared" si="16"/>
        <v/>
      </c>
      <c r="AU13" s="40">
        <f t="shared" si="17"/>
        <v>55.900000000000006</v>
      </c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 t="str">
        <f t="shared" si="18"/>
        <v/>
      </c>
      <c r="BR13" s="11" t="str">
        <f t="shared" si="19"/>
        <v/>
      </c>
      <c r="BS13" s="11" t="str">
        <f t="shared" si="20"/>
        <v/>
      </c>
      <c r="BT13" s="11" t="str">
        <f t="shared" si="21"/>
        <v/>
      </c>
      <c r="BU13" s="11" t="str">
        <f t="shared" si="22"/>
        <v/>
      </c>
      <c r="BV13" s="11" t="str">
        <f t="shared" si="23"/>
        <v/>
      </c>
      <c r="BW13" s="11" t="str">
        <f t="shared" si="24"/>
        <v/>
      </c>
      <c r="BX13" s="11" t="str">
        <f t="shared" si="25"/>
        <v/>
      </c>
      <c r="BY13" s="19">
        <v>15.8</v>
      </c>
      <c r="BZ13" s="19">
        <v>4.5999999999999996</v>
      </c>
      <c r="CA13" s="19">
        <v>1.1000000000000001</v>
      </c>
      <c r="CB13" s="19">
        <v>0</v>
      </c>
      <c r="CC13" s="19">
        <v>15.1</v>
      </c>
      <c r="CD13" s="19">
        <v>2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6"/>
        <v>6.6</v>
      </c>
      <c r="CU13" s="40">
        <f t="shared" si="27"/>
        <v>36.4</v>
      </c>
      <c r="CV13" s="40" t="str">
        <f t="shared" si="28"/>
        <v/>
      </c>
      <c r="CW13" s="40">
        <f t="shared" si="29"/>
        <v>6.6</v>
      </c>
      <c r="CX13" s="40">
        <f t="shared" si="30"/>
        <v>36.4</v>
      </c>
      <c r="CY13" s="40" t="str">
        <f t="shared" si="31"/>
        <v/>
      </c>
      <c r="CZ13" s="40" t="str">
        <f t="shared" si="32"/>
        <v/>
      </c>
      <c r="DA13" s="40">
        <f t="shared" si="33"/>
        <v>36.4</v>
      </c>
      <c r="DB13" s="51">
        <f t="shared" si="34"/>
        <v>8.6999999999999957</v>
      </c>
      <c r="DC13" s="51">
        <f t="shared" si="35"/>
        <v>46</v>
      </c>
      <c r="DD13" s="17">
        <v>15.6</v>
      </c>
      <c r="DE13" s="17">
        <v>5.5</v>
      </c>
      <c r="DF13" s="17">
        <v>0</v>
      </c>
      <c r="DG13" s="17">
        <v>0</v>
      </c>
      <c r="DH13" s="17">
        <v>14.5</v>
      </c>
      <c r="DI13" s="17">
        <v>7.3</v>
      </c>
      <c r="DJ13" s="17">
        <v>0</v>
      </c>
      <c r="DK13" s="17">
        <v>0</v>
      </c>
      <c r="DL13" s="17"/>
      <c r="DM13" s="17"/>
      <c r="DN13" s="17"/>
      <c r="DO13" s="17"/>
      <c r="DP13" s="17">
        <v>14.9</v>
      </c>
      <c r="DQ13" s="17">
        <v>7.7</v>
      </c>
      <c r="DR13" s="17">
        <v>0</v>
      </c>
      <c r="DS13" s="17">
        <v>0</v>
      </c>
      <c r="DT13" s="17">
        <v>17</v>
      </c>
      <c r="DU13" s="17">
        <v>6.4</v>
      </c>
      <c r="DV13" s="17">
        <v>0</v>
      </c>
      <c r="DW13" s="17">
        <v>0</v>
      </c>
      <c r="DX13" s="40">
        <f t="shared" si="36"/>
        <v>12.8</v>
      </c>
      <c r="DY13" s="40">
        <f t="shared" si="37"/>
        <v>42.9</v>
      </c>
      <c r="DZ13" s="40" t="str">
        <f t="shared" si="38"/>
        <v/>
      </c>
      <c r="EA13" s="40">
        <f t="shared" si="39"/>
        <v>12.8</v>
      </c>
      <c r="EB13" s="40">
        <f t="shared" si="40"/>
        <v>42.9</v>
      </c>
      <c r="EC13" s="40">
        <f t="shared" si="41"/>
        <v>14.100000000000001</v>
      </c>
      <c r="ED13" s="40">
        <f t="shared" si="42"/>
        <v>46</v>
      </c>
      <c r="EE13" s="40">
        <f t="shared" si="43"/>
        <v>88.9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4"/>
        <v/>
      </c>
      <c r="FA13" s="11" t="str">
        <f t="shared" si="45"/>
        <v/>
      </c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2"/>
        <v/>
      </c>
      <c r="GC13" s="40" t="str">
        <f t="shared" si="53"/>
        <v/>
      </c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0"/>
        <v/>
      </c>
      <c r="HE13" s="11" t="str">
        <f t="shared" si="61"/>
        <v/>
      </c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68"/>
        <v/>
      </c>
      <c r="IG13" s="40" t="str">
        <f t="shared" si="69"/>
        <v/>
      </c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6"/>
        <v/>
      </c>
      <c r="JI13" s="11" t="str">
        <f t="shared" si="77"/>
        <v/>
      </c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4"/>
        <v/>
      </c>
      <c r="KK13" s="40" t="str">
        <f t="shared" si="85"/>
        <v/>
      </c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2"/>
        <v/>
      </c>
      <c r="LM13" s="11" t="str">
        <f t="shared" si="93"/>
        <v/>
      </c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0"/>
        <v/>
      </c>
      <c r="MO13" s="40" t="str">
        <f t="shared" si="101"/>
        <v/>
      </c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08"/>
        <v/>
      </c>
      <c r="NQ13" s="11" t="str">
        <f t="shared" si="109"/>
        <v/>
      </c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6"/>
        <v/>
      </c>
      <c r="OS13" s="40" t="str">
        <f t="shared" si="117"/>
        <v/>
      </c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4"/>
        <v/>
      </c>
      <c r="PU13" s="11" t="str">
        <f t="shared" si="125"/>
        <v/>
      </c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2"/>
        <v/>
      </c>
      <c r="QW13" s="40" t="str">
        <f t="shared" si="133"/>
        <v/>
      </c>
      <c r="QX13" s="40" t="str">
        <f t="shared" si="134"/>
        <v/>
      </c>
      <c r="QY13" s="40" t="str">
        <f t="shared" si="135"/>
        <v/>
      </c>
      <c r="QZ13" s="40" t="str">
        <f t="shared" si="136"/>
        <v/>
      </c>
      <c r="RA13" s="40" t="str">
        <f t="shared" si="137"/>
        <v/>
      </c>
      <c r="RB13" s="40" t="str">
        <f t="shared" si="138"/>
        <v/>
      </c>
      <c r="RC13" s="40" t="str">
        <f t="shared" si="139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0"/>
        <v/>
      </c>
      <c r="RY13" s="11" t="str">
        <f t="shared" si="141"/>
        <v/>
      </c>
      <c r="RZ13" s="11" t="str">
        <f t="shared" si="142"/>
        <v/>
      </c>
      <c r="SA13" s="11" t="str">
        <f t="shared" si="143"/>
        <v/>
      </c>
      <c r="SB13" s="11" t="str">
        <f t="shared" si="144"/>
        <v/>
      </c>
      <c r="SC13" s="11" t="str">
        <f t="shared" si="145"/>
        <v/>
      </c>
      <c r="SD13" s="11" t="str">
        <f t="shared" si="146"/>
        <v/>
      </c>
      <c r="SE13" s="11" t="str">
        <f t="shared" si="147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48"/>
        <v/>
      </c>
      <c r="TA13" s="40" t="str">
        <f t="shared" si="149"/>
        <v/>
      </c>
      <c r="TB13" s="40" t="str">
        <f t="shared" si="150"/>
        <v/>
      </c>
      <c r="TC13" s="40" t="str">
        <f t="shared" si="151"/>
        <v/>
      </c>
      <c r="TD13" s="40" t="str">
        <f t="shared" si="152"/>
        <v/>
      </c>
      <c r="TE13" s="40" t="str">
        <f t="shared" si="153"/>
        <v/>
      </c>
      <c r="TF13" s="40" t="str">
        <f t="shared" si="154"/>
        <v/>
      </c>
      <c r="TG13" s="40" t="str">
        <f t="shared" si="155"/>
        <v/>
      </c>
      <c r="TH13" s="26">
        <f t="shared" si="156"/>
        <v>7.9</v>
      </c>
      <c r="TI13" s="26">
        <f t="shared" si="157"/>
        <v>2.2999999999999998</v>
      </c>
      <c r="TJ13" s="26">
        <f t="shared" si="158"/>
        <v>0.55000000000000004</v>
      </c>
      <c r="TK13" s="26">
        <f t="shared" si="159"/>
        <v>0</v>
      </c>
      <c r="TL13" s="26">
        <f t="shared" si="160"/>
        <v>7.55</v>
      </c>
      <c r="TM13" s="26">
        <f t="shared" si="161"/>
        <v>1</v>
      </c>
      <c r="TN13" s="26">
        <f t="shared" si="162"/>
        <v>0</v>
      </c>
      <c r="TO13" s="26">
        <f t="shared" si="163"/>
        <v>0</v>
      </c>
      <c r="TP13" s="26">
        <f t="shared" si="164"/>
        <v>0</v>
      </c>
      <c r="TQ13" s="26">
        <f t="shared" si="165"/>
        <v>0</v>
      </c>
      <c r="TR13" s="26">
        <f t="shared" si="166"/>
        <v>0</v>
      </c>
      <c r="TS13" s="26">
        <f t="shared" si="167"/>
        <v>0</v>
      </c>
      <c r="TT13" s="26">
        <f t="shared" si="168"/>
        <v>0</v>
      </c>
      <c r="TU13" s="26">
        <f t="shared" si="169"/>
        <v>0</v>
      </c>
      <c r="TV13" s="26">
        <f t="shared" si="170"/>
        <v>0</v>
      </c>
      <c r="TW13" s="26">
        <f t="shared" si="171"/>
        <v>0</v>
      </c>
      <c r="TX13" s="26">
        <f t="shared" si="172"/>
        <v>0</v>
      </c>
      <c r="TY13" s="26">
        <f t="shared" si="173"/>
        <v>0</v>
      </c>
      <c r="TZ13" s="26">
        <f t="shared" si="174"/>
        <v>0</v>
      </c>
      <c r="UA13" s="26">
        <f t="shared" si="175"/>
        <v>0</v>
      </c>
      <c r="UB13" s="28" t="s">
        <v>53</v>
      </c>
      <c r="UC13" s="11">
        <f t="shared" si="176"/>
        <v>3.3</v>
      </c>
      <c r="UD13" s="11">
        <f t="shared" si="177"/>
        <v>18.2</v>
      </c>
      <c r="UE13" s="11" t="str">
        <f t="shared" si="178"/>
        <v/>
      </c>
      <c r="UF13" s="11">
        <f t="shared" si="179"/>
        <v>3.3</v>
      </c>
      <c r="UG13" s="11">
        <f t="shared" si="180"/>
        <v>18.2</v>
      </c>
      <c r="UH13" s="11" t="str">
        <f t="shared" si="181"/>
        <v/>
      </c>
      <c r="UI13" s="11" t="str">
        <f t="shared" si="182"/>
        <v/>
      </c>
      <c r="UJ13" s="11">
        <f t="shared" si="183"/>
        <v>18.2</v>
      </c>
    </row>
    <row r="14" spans="1:556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118</v>
      </c>
      <c r="C14" s="4" t="s">
        <v>3</v>
      </c>
      <c r="D14" s="4">
        <v>2003</v>
      </c>
      <c r="E14" s="9">
        <f t="shared" si="0"/>
        <v>98.625004680004679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IF(COUNT(AO14,BR14,CU14)&gt;0,LARGE((AO14,BR14,CU14),1),0)</f>
        <v>46.8</v>
      </c>
      <c r="K14" s="8" t="str">
        <f t="shared" si="5"/>
        <v>2024 Nationals</v>
      </c>
      <c r="L14" s="8">
        <f>IF(COUNT(AO14,BR14,CU14)&gt;1,LARGE((AO14,BR14,CU14),2),0)</f>
        <v>0</v>
      </c>
      <c r="M14" s="8" t="str">
        <f t="shared" si="6"/>
        <v/>
      </c>
      <c r="N14" s="8">
        <f t="shared" si="7"/>
        <v>51.825000000000003</v>
      </c>
      <c r="O14" s="8" t="str">
        <f t="shared" si="8"/>
        <v>2024 Nationals</v>
      </c>
      <c r="P14" s="8" t="str">
        <f t="shared" si="9"/>
        <v/>
      </c>
      <c r="Q14" s="11" t="str">
        <f t="shared" si="184"/>
        <v/>
      </c>
      <c r="R14" s="8" t="str">
        <f t="shared" si="185"/>
        <v/>
      </c>
      <c r="S14" s="19">
        <v>17.649999999999999</v>
      </c>
      <c r="T14" s="19">
        <v>6.1999999999999993</v>
      </c>
      <c r="U14" s="19">
        <v>0</v>
      </c>
      <c r="V14" s="19">
        <v>0</v>
      </c>
      <c r="W14" s="19">
        <v>17.05</v>
      </c>
      <c r="X14" s="19">
        <v>5.9</v>
      </c>
      <c r="Y14" s="19">
        <v>0</v>
      </c>
      <c r="Z14" s="19">
        <v>0</v>
      </c>
      <c r="AA14" s="19">
        <v>18.350000000000001</v>
      </c>
      <c r="AB14" s="19">
        <v>8.5</v>
      </c>
      <c r="AC14" s="19">
        <v>0</v>
      </c>
      <c r="AD14" s="19">
        <v>0</v>
      </c>
      <c r="AE14" s="19">
        <v>18.024999999999999</v>
      </c>
      <c r="AF14" s="19">
        <v>8.4</v>
      </c>
      <c r="AG14" s="19">
        <v>0</v>
      </c>
      <c r="AH14" s="19">
        <v>0</v>
      </c>
      <c r="AI14" s="19">
        <v>18.700000000000003</v>
      </c>
      <c r="AJ14" s="19">
        <v>6.7</v>
      </c>
      <c r="AK14" s="19">
        <v>0</v>
      </c>
      <c r="AL14" s="19">
        <v>0</v>
      </c>
      <c r="AM14" s="27" t="s">
        <v>53</v>
      </c>
      <c r="AN14" s="40">
        <f t="shared" si="10"/>
        <v>12.1</v>
      </c>
      <c r="AO14" s="40">
        <f t="shared" si="11"/>
        <v>46.8</v>
      </c>
      <c r="AP14" s="40">
        <f t="shared" si="12"/>
        <v>26.85</v>
      </c>
      <c r="AQ14" s="40">
        <f t="shared" si="13"/>
        <v>20.6</v>
      </c>
      <c r="AR14" s="40">
        <f t="shared" si="14"/>
        <v>73.650000000000006</v>
      </c>
      <c r="AS14" s="40">
        <f t="shared" si="15"/>
        <v>15.100000000000001</v>
      </c>
      <c r="AT14" s="40">
        <f t="shared" si="16"/>
        <v>51.825000000000003</v>
      </c>
      <c r="AU14" s="40">
        <f t="shared" si="17"/>
        <v>125.47500000000001</v>
      </c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 t="str">
        <f t="shared" si="18"/>
        <v/>
      </c>
      <c r="BR14" s="11" t="str">
        <f t="shared" si="19"/>
        <v/>
      </c>
      <c r="BS14" s="11" t="str">
        <f t="shared" si="20"/>
        <v/>
      </c>
      <c r="BT14" s="11" t="str">
        <f t="shared" si="21"/>
        <v/>
      </c>
      <c r="BU14" s="11" t="str">
        <f t="shared" si="22"/>
        <v/>
      </c>
      <c r="BV14" s="11" t="str">
        <f t="shared" si="23"/>
        <v/>
      </c>
      <c r="BW14" s="11" t="str">
        <f t="shared" si="24"/>
        <v/>
      </c>
      <c r="BX14" s="11" t="str">
        <f t="shared" si="25"/>
        <v/>
      </c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 t="str">
        <f t="shared" si="26"/>
        <v/>
      </c>
      <c r="CU14" s="40" t="str">
        <f t="shared" si="27"/>
        <v/>
      </c>
      <c r="CV14" s="40" t="str">
        <f t="shared" si="28"/>
        <v/>
      </c>
      <c r="CW14" s="40" t="str">
        <f t="shared" si="29"/>
        <v/>
      </c>
      <c r="CX14" s="40" t="str">
        <f t="shared" si="30"/>
        <v/>
      </c>
      <c r="CY14" s="40" t="str">
        <f t="shared" si="31"/>
        <v/>
      </c>
      <c r="CZ14" s="40" t="str">
        <f t="shared" si="32"/>
        <v/>
      </c>
      <c r="DA14" s="40" t="str">
        <f t="shared" si="33"/>
        <v/>
      </c>
      <c r="DB14" s="51" t="str">
        <f t="shared" si="34"/>
        <v/>
      </c>
      <c r="DC14" s="51" t="str">
        <f t="shared" si="35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6"/>
        <v/>
      </c>
      <c r="DY14" s="40" t="str">
        <f t="shared" si="37"/>
        <v/>
      </c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4"/>
        <v/>
      </c>
      <c r="FA14" s="11" t="str">
        <f t="shared" si="45"/>
        <v/>
      </c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2"/>
        <v/>
      </c>
      <c r="GC14" s="40" t="str">
        <f t="shared" si="53"/>
        <v/>
      </c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0"/>
        <v/>
      </c>
      <c r="HE14" s="11" t="str">
        <f t="shared" si="61"/>
        <v/>
      </c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68"/>
        <v/>
      </c>
      <c r="IG14" s="40" t="str">
        <f t="shared" si="69"/>
        <v/>
      </c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6"/>
        <v/>
      </c>
      <c r="JI14" s="11" t="str">
        <f t="shared" si="77"/>
        <v/>
      </c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4"/>
        <v/>
      </c>
      <c r="KK14" s="40" t="str">
        <f t="shared" si="85"/>
        <v/>
      </c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2"/>
        <v/>
      </c>
      <c r="LM14" s="11" t="str">
        <f t="shared" si="93"/>
        <v/>
      </c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0"/>
        <v/>
      </c>
      <c r="MO14" s="40" t="str">
        <f t="shared" si="101"/>
        <v/>
      </c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08"/>
        <v/>
      </c>
      <c r="NQ14" s="11" t="str">
        <f t="shared" si="109"/>
        <v/>
      </c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6"/>
        <v/>
      </c>
      <c r="OS14" s="40" t="str">
        <f t="shared" si="117"/>
        <v/>
      </c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4"/>
        <v/>
      </c>
      <c r="PU14" s="11" t="str">
        <f t="shared" si="125"/>
        <v/>
      </c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2"/>
        <v/>
      </c>
      <c r="QW14" s="40" t="str">
        <f t="shared" si="133"/>
        <v/>
      </c>
      <c r="QX14" s="40" t="str">
        <f t="shared" si="134"/>
        <v/>
      </c>
      <c r="QY14" s="40" t="str">
        <f t="shared" si="135"/>
        <v/>
      </c>
      <c r="QZ14" s="40" t="str">
        <f t="shared" si="136"/>
        <v/>
      </c>
      <c r="RA14" s="40" t="str">
        <f t="shared" si="137"/>
        <v/>
      </c>
      <c r="RB14" s="40" t="str">
        <f t="shared" si="138"/>
        <v/>
      </c>
      <c r="RC14" s="40" t="str">
        <f t="shared" si="139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0"/>
        <v/>
      </c>
      <c r="RY14" s="11" t="str">
        <f t="shared" si="141"/>
        <v/>
      </c>
      <c r="RZ14" s="11" t="str">
        <f t="shared" si="142"/>
        <v/>
      </c>
      <c r="SA14" s="11" t="str">
        <f t="shared" si="143"/>
        <v/>
      </c>
      <c r="SB14" s="11" t="str">
        <f t="shared" si="144"/>
        <v/>
      </c>
      <c r="SC14" s="11" t="str">
        <f t="shared" si="145"/>
        <v/>
      </c>
      <c r="SD14" s="11" t="str">
        <f t="shared" si="146"/>
        <v/>
      </c>
      <c r="SE14" s="11" t="str">
        <f t="shared" si="147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48"/>
        <v/>
      </c>
      <c r="TA14" s="40" t="str">
        <f t="shared" si="149"/>
        <v/>
      </c>
      <c r="TB14" s="40" t="str">
        <f t="shared" si="150"/>
        <v/>
      </c>
      <c r="TC14" s="40" t="str">
        <f t="shared" si="151"/>
        <v/>
      </c>
      <c r="TD14" s="40" t="str">
        <f t="shared" si="152"/>
        <v/>
      </c>
      <c r="TE14" s="40" t="str">
        <f t="shared" si="153"/>
        <v/>
      </c>
      <c r="TF14" s="40" t="str">
        <f t="shared" si="154"/>
        <v/>
      </c>
      <c r="TG14" s="40" t="str">
        <f t="shared" si="155"/>
        <v/>
      </c>
      <c r="TH14" s="26">
        <f t="shared" si="156"/>
        <v>0</v>
      </c>
      <c r="TI14" s="26">
        <f t="shared" si="157"/>
        <v>0</v>
      </c>
      <c r="TJ14" s="26">
        <f t="shared" si="158"/>
        <v>0</v>
      </c>
      <c r="TK14" s="26">
        <f t="shared" si="159"/>
        <v>0</v>
      </c>
      <c r="TL14" s="26">
        <f t="shared" si="160"/>
        <v>0</v>
      </c>
      <c r="TM14" s="26">
        <f t="shared" si="161"/>
        <v>0</v>
      </c>
      <c r="TN14" s="26">
        <f t="shared" si="162"/>
        <v>0</v>
      </c>
      <c r="TO14" s="26">
        <f t="shared" si="163"/>
        <v>0</v>
      </c>
      <c r="TP14" s="26">
        <f t="shared" si="164"/>
        <v>0</v>
      </c>
      <c r="TQ14" s="26">
        <f t="shared" si="165"/>
        <v>0</v>
      </c>
      <c r="TR14" s="26">
        <f t="shared" si="166"/>
        <v>0</v>
      </c>
      <c r="TS14" s="26">
        <f t="shared" si="167"/>
        <v>0</v>
      </c>
      <c r="TT14" s="26">
        <f t="shared" si="168"/>
        <v>0</v>
      </c>
      <c r="TU14" s="26">
        <f t="shared" si="169"/>
        <v>0</v>
      </c>
      <c r="TV14" s="26">
        <f t="shared" si="170"/>
        <v>0</v>
      </c>
      <c r="TW14" s="26">
        <f t="shared" si="171"/>
        <v>0</v>
      </c>
      <c r="TX14" s="26">
        <f t="shared" si="172"/>
        <v>0</v>
      </c>
      <c r="TY14" s="26">
        <f t="shared" si="173"/>
        <v>0</v>
      </c>
      <c r="TZ14" s="26">
        <f t="shared" si="174"/>
        <v>0</v>
      </c>
      <c r="UA14" s="26">
        <f t="shared" si="175"/>
        <v>0</v>
      </c>
      <c r="UB14" s="28" t="s">
        <v>53</v>
      </c>
      <c r="UC14" s="11" t="str">
        <f t="shared" si="176"/>
        <v/>
      </c>
      <c r="UD14" s="11" t="str">
        <f t="shared" si="177"/>
        <v/>
      </c>
      <c r="UE14" s="11" t="str">
        <f t="shared" si="178"/>
        <v/>
      </c>
      <c r="UF14" s="11" t="str">
        <f t="shared" si="179"/>
        <v/>
      </c>
      <c r="UG14" s="11" t="str">
        <f t="shared" si="180"/>
        <v/>
      </c>
      <c r="UH14" s="11" t="str">
        <f t="shared" si="181"/>
        <v/>
      </c>
      <c r="UI14" s="11" t="str">
        <f t="shared" si="182"/>
        <v/>
      </c>
      <c r="UJ14" s="11" t="str">
        <f t="shared" si="183"/>
        <v/>
      </c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P16" s="10"/>
      <c r="Q16" s="10"/>
      <c r="R16" s="10"/>
      <c r="QV16" s="36"/>
      <c r="RD16"/>
      <c r="RX16" s="36"/>
      <c r="RY16" s="36"/>
      <c r="RZ16" s="36"/>
      <c r="SA16" s="36"/>
      <c r="SB16" s="36"/>
      <c r="SC16" s="36"/>
      <c r="SD16" s="36"/>
      <c r="SE16" s="36"/>
      <c r="SZ16" s="36"/>
      <c r="TA16" s="36"/>
      <c r="TB16" s="36"/>
      <c r="TC16" s="36"/>
      <c r="TD16" s="36"/>
      <c r="TE16" s="36"/>
      <c r="TF16" s="36"/>
      <c r="TG16" s="36"/>
    </row>
    <row r="17" spans="1:527" ht="17" x14ac:dyDescent="0.2">
      <c r="B17" s="23" t="s">
        <v>51</v>
      </c>
      <c r="P17" s="10"/>
      <c r="Q17" s="10"/>
      <c r="R17" s="10"/>
      <c r="AN17" s="4"/>
      <c r="AU17" s="42">
        <v>11.4</v>
      </c>
      <c r="BQ17" s="4"/>
      <c r="BX17" s="42">
        <v>11.4</v>
      </c>
      <c r="CT17" s="4"/>
      <c r="DA17" s="42">
        <v>11.4</v>
      </c>
      <c r="DX17" s="4"/>
      <c r="EE17" s="42">
        <v>11.4</v>
      </c>
      <c r="EZ17" s="4"/>
      <c r="FG17" s="42">
        <v>11.4</v>
      </c>
      <c r="GB17" s="4"/>
      <c r="GI17" s="42">
        <v>11.4</v>
      </c>
      <c r="HD17" s="4"/>
      <c r="HK17" s="42">
        <v>11.4</v>
      </c>
      <c r="IF17" s="4"/>
      <c r="IM17" s="42">
        <v>11.4</v>
      </c>
      <c r="JH17" s="4"/>
      <c r="JO17" s="42">
        <v>11.4</v>
      </c>
      <c r="KJ17" s="4"/>
      <c r="KQ17" s="42">
        <v>11.4</v>
      </c>
      <c r="LL17" s="4"/>
      <c r="LS17" s="42">
        <v>11.4</v>
      </c>
      <c r="MN17" s="4"/>
      <c r="MU17" s="42">
        <v>11.4</v>
      </c>
      <c r="NP17" s="4"/>
      <c r="NW17" s="42">
        <v>11.4</v>
      </c>
      <c r="OR17" s="4"/>
      <c r="OY17" s="42">
        <v>11.4</v>
      </c>
      <c r="PT17" s="4"/>
      <c r="QA17" s="42">
        <v>11.4</v>
      </c>
      <c r="QV17" s="4"/>
      <c r="RC17" s="42">
        <v>11.4</v>
      </c>
      <c r="RD17"/>
      <c r="RX17" s="4"/>
      <c r="RY17" s="36"/>
      <c r="RZ17" s="36"/>
      <c r="SA17" s="36"/>
      <c r="SB17" s="36"/>
      <c r="SC17" s="36"/>
      <c r="SD17" s="36"/>
      <c r="SE17" s="42">
        <v>11.4</v>
      </c>
      <c r="SZ17" s="4"/>
      <c r="TA17" s="36"/>
      <c r="TB17" s="36"/>
      <c r="TC17" s="36"/>
      <c r="TD17" s="36"/>
      <c r="TE17" s="36"/>
      <c r="TF17" s="36"/>
      <c r="TG17" s="42">
        <v>11.4</v>
      </c>
    </row>
    <row r="18" spans="1:527" ht="17" x14ac:dyDescent="0.2">
      <c r="B18" s="30" t="s">
        <v>50</v>
      </c>
      <c r="P18" s="10"/>
      <c r="Q18" s="10"/>
      <c r="R18" s="10"/>
      <c r="AN18" s="4"/>
      <c r="AU18" s="52">
        <v>17.7</v>
      </c>
      <c r="BQ18" s="4"/>
      <c r="BX18" s="52">
        <v>17.7</v>
      </c>
      <c r="CT18" s="4"/>
      <c r="DA18" s="52">
        <v>12.4</v>
      </c>
      <c r="DX18" s="4"/>
      <c r="EE18" s="52">
        <v>17.7</v>
      </c>
      <c r="EZ18" s="4"/>
      <c r="FG18" s="52">
        <v>17.7</v>
      </c>
      <c r="GB18" s="4"/>
      <c r="GI18" s="52">
        <v>12.4</v>
      </c>
      <c r="HD18" s="4"/>
      <c r="HK18" s="52">
        <v>12.4</v>
      </c>
      <c r="IF18" s="4"/>
      <c r="IM18" s="52">
        <v>12.4</v>
      </c>
      <c r="JH18" s="4"/>
      <c r="JO18" s="52">
        <v>12.4</v>
      </c>
      <c r="KJ18" s="4"/>
      <c r="KQ18" s="52">
        <v>12.4</v>
      </c>
      <c r="LL18" s="4"/>
      <c r="LS18" s="52">
        <v>12.4</v>
      </c>
      <c r="MN18" s="4"/>
      <c r="MU18" s="52">
        <v>12.4</v>
      </c>
      <c r="NP18" s="4"/>
      <c r="NW18" s="52">
        <v>12.4</v>
      </c>
      <c r="OR18" s="4"/>
      <c r="OY18" s="52">
        <v>12.4</v>
      </c>
      <c r="PT18" s="4"/>
      <c r="QA18" s="52">
        <v>12.4</v>
      </c>
      <c r="QV18" s="4"/>
      <c r="RC18" s="52">
        <v>12.4</v>
      </c>
      <c r="RD18"/>
      <c r="RX18" s="4"/>
      <c r="RY18" s="36"/>
      <c r="RZ18" s="36"/>
      <c r="SA18" s="36"/>
      <c r="SB18" s="36"/>
      <c r="SC18" s="36"/>
      <c r="SD18" s="36"/>
      <c r="SE18" s="52">
        <v>12.4</v>
      </c>
      <c r="SZ18" s="4"/>
      <c r="TA18" s="36"/>
      <c r="TB18" s="36"/>
      <c r="TC18" s="36"/>
      <c r="TD18" s="36"/>
      <c r="TE18" s="36"/>
      <c r="TF18" s="36"/>
      <c r="TG18" s="52">
        <v>12.4</v>
      </c>
    </row>
    <row r="19" spans="1:527" ht="17" x14ac:dyDescent="0.2">
      <c r="A19" s="5"/>
      <c r="B19" s="31" t="s">
        <v>63</v>
      </c>
      <c r="C19" s="20"/>
      <c r="P19" s="10"/>
      <c r="Q19" s="10"/>
      <c r="R19" s="10"/>
      <c r="AN19" s="4"/>
      <c r="AU19" s="44">
        <v>20.7</v>
      </c>
      <c r="BQ19" s="4"/>
      <c r="BX19" s="44">
        <v>20.7</v>
      </c>
      <c r="CT19" s="4"/>
      <c r="DA19" s="44">
        <v>15</v>
      </c>
      <c r="DX19" s="4"/>
      <c r="EE19" s="44">
        <v>20.7</v>
      </c>
      <c r="EZ19" s="4"/>
      <c r="FG19" s="44">
        <v>20.7</v>
      </c>
      <c r="GB19" s="4"/>
      <c r="GI19" s="44">
        <v>15</v>
      </c>
      <c r="HD19" s="4"/>
      <c r="HK19" s="44">
        <v>15</v>
      </c>
      <c r="IF19" s="4"/>
      <c r="IM19" s="44">
        <v>15</v>
      </c>
      <c r="JH19" s="4"/>
      <c r="JO19" s="44">
        <v>15</v>
      </c>
      <c r="KJ19" s="4"/>
      <c r="KQ19" s="44">
        <v>15</v>
      </c>
      <c r="LL19" s="4"/>
      <c r="LS19" s="44">
        <v>15</v>
      </c>
      <c r="MN19" s="4"/>
      <c r="MU19" s="44">
        <v>15</v>
      </c>
      <c r="NP19" s="4"/>
      <c r="NW19" s="44">
        <v>15</v>
      </c>
      <c r="OR19" s="4"/>
      <c r="OY19" s="44">
        <v>15</v>
      </c>
      <c r="PT19" s="4"/>
      <c r="QA19" s="44">
        <v>15</v>
      </c>
      <c r="QV19" s="4"/>
      <c r="RC19" s="44">
        <v>15</v>
      </c>
      <c r="RD19"/>
      <c r="RX19" s="4"/>
      <c r="RY19" s="36"/>
      <c r="RZ19" s="36"/>
      <c r="SA19" s="36"/>
      <c r="SB19" s="36"/>
      <c r="SC19" s="36"/>
      <c r="SD19" s="36"/>
      <c r="SE19" s="44">
        <v>15</v>
      </c>
      <c r="SZ19" s="4"/>
      <c r="TA19" s="36"/>
      <c r="TB19" s="36"/>
      <c r="TC19" s="36"/>
      <c r="TD19" s="36"/>
      <c r="TE19" s="36"/>
      <c r="TF19" s="36"/>
      <c r="TG19" s="44">
        <v>15</v>
      </c>
    </row>
    <row r="20" spans="1:527" ht="17" x14ac:dyDescent="0.2">
      <c r="A20" s="5"/>
      <c r="B20" s="35" t="s">
        <v>76</v>
      </c>
      <c r="C20" s="20"/>
      <c r="P20" s="10"/>
      <c r="Q20" s="10"/>
      <c r="R20" s="10"/>
      <c r="AN20" s="4"/>
      <c r="AU20" s="45">
        <v>20.7</v>
      </c>
      <c r="BQ20" s="4"/>
      <c r="BX20" s="45">
        <v>20.7</v>
      </c>
      <c r="CT20" s="4"/>
      <c r="DA20" s="45">
        <v>17.100000000000001</v>
      </c>
      <c r="DX20" s="4"/>
      <c r="EE20" s="45">
        <v>20.7</v>
      </c>
      <c r="EZ20" s="4"/>
      <c r="FG20" s="45">
        <v>20.7</v>
      </c>
      <c r="GB20" s="4"/>
      <c r="GI20" s="45">
        <v>17.100000000000001</v>
      </c>
      <c r="HD20" s="4"/>
      <c r="HK20" s="45">
        <v>17.100000000000001</v>
      </c>
      <c r="IF20" s="4"/>
      <c r="IM20" s="45">
        <v>17.100000000000001</v>
      </c>
      <c r="JH20" s="4"/>
      <c r="JO20" s="45">
        <v>17.100000000000001</v>
      </c>
      <c r="KJ20" s="4"/>
      <c r="KQ20" s="45">
        <v>17.100000000000001</v>
      </c>
      <c r="LL20" s="4"/>
      <c r="LS20" s="45">
        <v>17.100000000000001</v>
      </c>
      <c r="MN20" s="4"/>
      <c r="MU20" s="45">
        <v>17.100000000000001</v>
      </c>
      <c r="NP20" s="4"/>
      <c r="NW20" s="45">
        <v>17.100000000000001</v>
      </c>
      <c r="OR20" s="4"/>
      <c r="OY20" s="45">
        <v>17.100000000000001</v>
      </c>
      <c r="PT20" s="4"/>
      <c r="QA20" s="45">
        <v>17.100000000000001</v>
      </c>
      <c r="QV20" s="4"/>
      <c r="RC20" s="45">
        <v>17.100000000000001</v>
      </c>
      <c r="RD20"/>
      <c r="RX20" s="4"/>
      <c r="RY20" s="36"/>
      <c r="RZ20" s="36"/>
      <c r="SA20" s="36"/>
      <c r="SB20" s="36"/>
      <c r="SC20" s="36"/>
      <c r="SD20" s="36"/>
      <c r="SE20" s="45">
        <v>17.100000000000001</v>
      </c>
      <c r="SZ20" s="4"/>
      <c r="TA20" s="36"/>
      <c r="TB20" s="36"/>
      <c r="TC20" s="36"/>
      <c r="TD20" s="36"/>
      <c r="TE20" s="36"/>
      <c r="TF20" s="36"/>
      <c r="TG20" s="45">
        <v>17.100000000000001</v>
      </c>
    </row>
    <row r="21" spans="1:527" ht="17" x14ac:dyDescent="0.2">
      <c r="A21" s="5"/>
      <c r="B21" s="34" t="s">
        <v>48</v>
      </c>
      <c r="C21" s="20"/>
      <c r="P21" s="10"/>
      <c r="Q21" s="10"/>
      <c r="R21" s="10"/>
      <c r="AN21" s="4"/>
      <c r="AU21" s="46">
        <v>46.2</v>
      </c>
      <c r="BQ21" s="4"/>
      <c r="BX21" s="46">
        <v>46.2</v>
      </c>
      <c r="CT21" s="4"/>
      <c r="DA21" s="46">
        <v>46.6</v>
      </c>
      <c r="DX21" s="4"/>
      <c r="EE21" s="46">
        <v>46.2</v>
      </c>
      <c r="EZ21" s="4"/>
      <c r="FG21" s="46">
        <v>46.2</v>
      </c>
      <c r="GB21" s="4"/>
      <c r="GI21" s="46">
        <v>46.6</v>
      </c>
      <c r="HD21" s="4"/>
      <c r="HK21" s="46">
        <v>46.6</v>
      </c>
      <c r="IF21" s="4"/>
      <c r="IM21" s="46">
        <v>46.6</v>
      </c>
      <c r="JH21" s="4"/>
      <c r="JO21" s="46">
        <v>46.6</v>
      </c>
      <c r="KJ21" s="4"/>
      <c r="KQ21" s="46">
        <v>46.6</v>
      </c>
      <c r="LL21" s="4"/>
      <c r="LS21" s="46">
        <v>46.6</v>
      </c>
      <c r="MN21" s="4"/>
      <c r="MU21" s="46">
        <v>46.6</v>
      </c>
      <c r="NP21" s="4"/>
      <c r="NW21" s="46">
        <v>46.6</v>
      </c>
      <c r="OR21" s="4"/>
      <c r="OY21" s="46">
        <v>46.6</v>
      </c>
      <c r="PT21" s="4"/>
      <c r="QA21" s="46">
        <v>46.6</v>
      </c>
      <c r="QV21" s="4"/>
      <c r="RC21" s="46">
        <v>46.6</v>
      </c>
      <c r="RD21"/>
      <c r="RX21" s="4"/>
      <c r="RY21" s="36"/>
      <c r="RZ21" s="36"/>
      <c r="SA21" s="36"/>
      <c r="SB21" s="36"/>
      <c r="SC21" s="36"/>
      <c r="SD21" s="36"/>
      <c r="SE21" s="46">
        <v>46.6</v>
      </c>
      <c r="SZ21" s="4"/>
      <c r="TA21" s="36"/>
      <c r="TB21" s="36"/>
      <c r="TC21" s="36"/>
      <c r="TD21" s="36"/>
      <c r="TE21" s="36"/>
      <c r="TF21" s="36"/>
      <c r="TG21" s="46">
        <v>46.6</v>
      </c>
    </row>
    <row r="22" spans="1:527" ht="17" x14ac:dyDescent="0.2">
      <c r="A22" s="5"/>
      <c r="B22" s="24" t="s">
        <v>49</v>
      </c>
      <c r="C22" s="20"/>
      <c r="P22" s="10"/>
      <c r="Q22" s="10"/>
      <c r="R22" s="10"/>
      <c r="AN22" s="4"/>
      <c r="AU22" s="47">
        <v>70.5</v>
      </c>
      <c r="BQ22" s="4"/>
      <c r="BX22" s="47">
        <v>70.5</v>
      </c>
      <c r="CT22" s="4"/>
      <c r="DA22" s="47">
        <v>47.6</v>
      </c>
      <c r="DX22" s="4"/>
      <c r="EE22" s="47">
        <v>70.5</v>
      </c>
      <c r="EZ22" s="4"/>
      <c r="FG22" s="47">
        <v>70.5</v>
      </c>
      <c r="GB22" s="4"/>
      <c r="GI22" s="47">
        <v>47.6</v>
      </c>
      <c r="HD22" s="4"/>
      <c r="HK22" s="47">
        <v>47.6</v>
      </c>
      <c r="IF22" s="4"/>
      <c r="IM22" s="47">
        <v>47.6</v>
      </c>
      <c r="JH22" s="4"/>
      <c r="JO22" s="47">
        <v>47.6</v>
      </c>
      <c r="KJ22" s="4"/>
      <c r="KQ22" s="47">
        <v>47.6</v>
      </c>
      <c r="LL22" s="4"/>
      <c r="LS22" s="47">
        <v>47.6</v>
      </c>
      <c r="MN22" s="4"/>
      <c r="MU22" s="47">
        <v>47.6</v>
      </c>
      <c r="NP22" s="4"/>
      <c r="NW22" s="47">
        <v>47.6</v>
      </c>
      <c r="OR22" s="4"/>
      <c r="OY22" s="47">
        <v>47.6</v>
      </c>
      <c r="PT22" s="4"/>
      <c r="QA22" s="47">
        <v>47.6</v>
      </c>
      <c r="QV22" s="4"/>
      <c r="RC22" s="47">
        <v>47.6</v>
      </c>
      <c r="RD22"/>
      <c r="RX22" s="4"/>
      <c r="RY22" s="36"/>
      <c r="RZ22" s="36"/>
      <c r="SA22" s="36"/>
      <c r="SB22" s="36"/>
      <c r="SC22" s="36"/>
      <c r="SD22" s="36"/>
      <c r="SE22" s="47">
        <v>47.6</v>
      </c>
      <c r="SZ22" s="4"/>
      <c r="TA22" s="36"/>
      <c r="TB22" s="36"/>
      <c r="TC22" s="36"/>
      <c r="TD22" s="36"/>
      <c r="TE22" s="36"/>
      <c r="TF22" s="36"/>
      <c r="TG22" s="47">
        <v>47.6</v>
      </c>
    </row>
    <row r="23" spans="1:527" ht="17" x14ac:dyDescent="0.2">
      <c r="A23" s="5"/>
      <c r="B23" s="33" t="s">
        <v>62</v>
      </c>
      <c r="C23" s="20"/>
      <c r="P23" s="10"/>
      <c r="Q23" s="10"/>
      <c r="R23" s="10"/>
      <c r="AN23" s="4"/>
      <c r="AU23" s="48">
        <v>74.400000000000006</v>
      </c>
      <c r="BQ23" s="4"/>
      <c r="BX23" s="48">
        <v>74.400000000000006</v>
      </c>
      <c r="CT23" s="4"/>
      <c r="DA23" s="48">
        <v>50.2</v>
      </c>
      <c r="DX23" s="4"/>
      <c r="EE23" s="48">
        <v>74.400000000000006</v>
      </c>
      <c r="EZ23" s="4"/>
      <c r="FG23" s="48">
        <v>74.400000000000006</v>
      </c>
      <c r="GB23" s="4"/>
      <c r="GI23" s="48">
        <v>50.2</v>
      </c>
      <c r="HD23" s="4"/>
      <c r="HK23" s="48">
        <v>50.2</v>
      </c>
      <c r="IF23" s="4"/>
      <c r="IM23" s="48">
        <v>50.2</v>
      </c>
      <c r="JH23" s="4"/>
      <c r="JO23" s="48">
        <v>50.2</v>
      </c>
      <c r="KJ23" s="4"/>
      <c r="KQ23" s="48">
        <v>50.2</v>
      </c>
      <c r="LL23" s="4"/>
      <c r="LS23" s="48">
        <v>50.2</v>
      </c>
      <c r="MN23" s="4"/>
      <c r="MU23" s="48">
        <v>50.2</v>
      </c>
      <c r="NP23" s="4"/>
      <c r="NW23" s="48">
        <v>50.2</v>
      </c>
      <c r="OR23" s="4"/>
      <c r="OY23" s="48">
        <v>50.2</v>
      </c>
      <c r="PT23" s="4"/>
      <c r="QA23" s="48">
        <v>50.2</v>
      </c>
      <c r="QV23" s="4"/>
      <c r="RC23" s="48">
        <v>50.2</v>
      </c>
      <c r="RD23"/>
      <c r="RX23" s="4"/>
      <c r="RY23" s="36"/>
      <c r="RZ23" s="36"/>
      <c r="SA23" s="36"/>
      <c r="SB23" s="36"/>
      <c r="SC23" s="36"/>
      <c r="SD23" s="36"/>
      <c r="SE23" s="48">
        <v>50.2</v>
      </c>
      <c r="SZ23" s="4"/>
      <c r="TA23" s="36"/>
      <c r="TB23" s="36"/>
      <c r="TC23" s="36"/>
      <c r="TD23" s="36"/>
      <c r="TE23" s="36"/>
      <c r="TF23" s="36"/>
      <c r="TG23" s="48">
        <v>50.2</v>
      </c>
    </row>
    <row r="24" spans="1:527" ht="17" x14ac:dyDescent="0.2">
      <c r="A24" s="5"/>
      <c r="B24" s="25" t="s">
        <v>32</v>
      </c>
      <c r="C24" s="20"/>
      <c r="P24" s="10"/>
      <c r="Q24" s="10"/>
      <c r="R24" s="10"/>
      <c r="AN24" s="4"/>
      <c r="AU24" s="49">
        <v>76.7</v>
      </c>
      <c r="BQ24" s="4"/>
      <c r="BX24" s="49">
        <v>76.7</v>
      </c>
      <c r="CT24" s="4"/>
      <c r="DA24" s="49">
        <v>54.7</v>
      </c>
      <c r="DX24" s="4"/>
      <c r="EE24" s="49">
        <v>76.7</v>
      </c>
      <c r="EZ24" s="4"/>
      <c r="FG24" s="49">
        <v>76.7</v>
      </c>
      <c r="GB24" s="4"/>
      <c r="GI24" s="49">
        <v>54.7</v>
      </c>
      <c r="HD24" s="4"/>
      <c r="HK24" s="49">
        <v>54.7</v>
      </c>
      <c r="IF24" s="4"/>
      <c r="IM24" s="49">
        <v>54.7</v>
      </c>
      <c r="JH24" s="4"/>
      <c r="JO24" s="49">
        <v>54.7</v>
      </c>
      <c r="KJ24" s="4"/>
      <c r="KQ24" s="49">
        <v>54.7</v>
      </c>
      <c r="LL24" s="4"/>
      <c r="LS24" s="49">
        <v>54.7</v>
      </c>
      <c r="MN24" s="4"/>
      <c r="MU24" s="49">
        <v>54.7</v>
      </c>
      <c r="NP24" s="4"/>
      <c r="NW24" s="49">
        <v>54.7</v>
      </c>
      <c r="OR24" s="4"/>
      <c r="OY24" s="49">
        <v>54.7</v>
      </c>
      <c r="PT24" s="4"/>
      <c r="QA24" s="49">
        <v>54.7</v>
      </c>
      <c r="QV24" s="4"/>
      <c r="RC24" s="49">
        <v>54.7</v>
      </c>
      <c r="RD24"/>
      <c r="RX24" s="4"/>
      <c r="RY24" s="36"/>
      <c r="RZ24" s="36"/>
      <c r="SA24" s="36"/>
      <c r="SB24" s="36"/>
      <c r="SC24" s="36"/>
      <c r="SD24" s="36"/>
      <c r="SE24" s="49">
        <v>54.7</v>
      </c>
      <c r="SZ24" s="4"/>
      <c r="TA24" s="36"/>
      <c r="TB24" s="36"/>
      <c r="TC24" s="36"/>
      <c r="TD24" s="36"/>
      <c r="TE24" s="36"/>
      <c r="TF24" s="36"/>
      <c r="TG24" s="49">
        <v>54.7</v>
      </c>
    </row>
    <row r="25" spans="1:527" x14ac:dyDescent="0.2">
      <c r="B25" s="29" t="s">
        <v>54</v>
      </c>
      <c r="C25" s="2"/>
    </row>
    <row r="26" spans="1:527" x14ac:dyDescent="0.2">
      <c r="A26" s="5"/>
      <c r="B26" s="5"/>
      <c r="C26" s="20"/>
      <c r="QC26" s="2"/>
      <c r="QD26" s="2"/>
      <c r="QE26" s="2"/>
      <c r="QF26" s="2"/>
      <c r="QG26" s="2"/>
      <c r="QH26" s="2"/>
      <c r="QI26" s="2"/>
      <c r="QJ26" s="2"/>
      <c r="QK26" s="2"/>
    </row>
    <row r="27" spans="1:527" x14ac:dyDescent="0.2">
      <c r="A27" s="5"/>
      <c r="B27" s="5"/>
      <c r="C27" s="20"/>
    </row>
    <row r="28" spans="1:527" x14ac:dyDescent="0.2">
      <c r="A28" s="5"/>
      <c r="B28" s="5"/>
      <c r="C28" s="20"/>
    </row>
    <row r="29" spans="1:527" x14ac:dyDescent="0.2">
      <c r="A29" s="5"/>
      <c r="B29" s="5"/>
      <c r="C29" s="5"/>
    </row>
    <row r="32" spans="1:527" x14ac:dyDescent="0.2">
      <c r="B32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4">
      <sortCondition descending="1" ref="F1:F15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4">
    <cfRule type="expression" dxfId="123" priority="61" stopIfTrue="1">
      <formula>IF($AM4&lt;&gt;"",1,0)</formula>
    </cfRule>
  </conditionalFormatting>
  <conditionalFormatting sqref="AV4:BX14">
    <cfRule type="expression" dxfId="122" priority="60" stopIfTrue="1">
      <formula>IF($BP4&lt;&gt;"",1,0)</formula>
    </cfRule>
  </conditionalFormatting>
  <conditionalFormatting sqref="K1:K1048576 O1:O1048576 M1:M1048576">
    <cfRule type="expression" dxfId="121" priority="57">
      <formula>IF(K1=$BY$1,1,0)</formula>
    </cfRule>
    <cfRule type="expression" dxfId="120" priority="58">
      <formula>IF(K1=$AV$1,1,0)</formula>
    </cfRule>
    <cfRule type="expression" dxfId="119" priority="59">
      <formula>IF(K1=$S$1,1,0)</formula>
    </cfRule>
  </conditionalFormatting>
  <conditionalFormatting sqref="BY4:DA14">
    <cfRule type="expression" dxfId="118" priority="47" stopIfTrue="1">
      <formula>IF($CS4&lt;&gt;"",1,0)</formula>
    </cfRule>
  </conditionalFormatting>
  <conditionalFormatting sqref="A4:A1048576">
    <cfRule type="expression" dxfId="117" priority="33">
      <formula>AND(G4="P",F4="")</formula>
    </cfRule>
    <cfRule type="expression" dxfId="116" priority="55" stopIfTrue="1">
      <formula>IF(A4&gt;8,1,0)</formula>
    </cfRule>
  </conditionalFormatting>
  <conditionalFormatting sqref="H1:H1048576">
    <cfRule type="containsText" dxfId="115" priority="50" operator="containsText" text="No DD">
      <formula>NOT(ISERROR(SEARCH("No DD",H1)))</formula>
    </cfRule>
    <cfRule type="containsText" dxfId="114" priority="51" operator="containsText" text="Merit">
      <formula>NOT(ISERROR(SEARCH("Merit",H1)))</formula>
    </cfRule>
    <cfRule type="containsText" dxfId="113" priority="52" operator="containsText" text="Excellence">
      <formula>NOT(ISERROR(SEARCH("Excellence",H1)))</formula>
    </cfRule>
    <cfRule type="containsText" dxfId="112" priority="53" operator="containsText" text="Worlds Team">
      <formula>NOT(ISERROR(SEARCH("Worlds Team",H1)))</formula>
    </cfRule>
    <cfRule type="containsText" dxfId="111" priority="54" operator="containsText" text="National Team">
      <formula>NOT(ISERROR(SEARCH("National Team",H1)))</formula>
    </cfRule>
  </conditionalFormatting>
  <conditionalFormatting sqref="AR25:AR1048576 BU25:BU1048576 EB25:EB1048576 BU1:BU23 CX1:CX1048576 EB1:EB23 FD1:FD1048576 GF1:GF1048576 HH1:HH1048576 IJ1:IJ1048576 JL1:JL1048576 KN1:KN1048576 LP1:LP1048576 MR1:MR1048576 NT1:NT1048576 OV1:OV1048576 PX1:PX1048576 AR1:AR23 SB1:SB24 QZ1:QZ24 TD1:TD24">
    <cfRule type="cellIs" dxfId="110" priority="48" operator="between">
      <formula>AU$24</formula>
      <formula>1000</formula>
    </cfRule>
    <cfRule type="cellIs" dxfId="109" priority="49" operator="between">
      <formula>AU$23</formula>
      <formula>AU$24</formula>
    </cfRule>
    <cfRule type="cellIs" dxfId="108" priority="56" operator="between">
      <formula>AU$22</formula>
      <formula>AU$23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4 RX1:RX24 SZ1:SZ24">
    <cfRule type="cellIs" dxfId="107" priority="124621" operator="between">
      <formula>AU$17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4 RY1:RY24 TA1:TA24">
    <cfRule type="cellIs" dxfId="106" priority="124672" operator="between">
      <formula>AU$21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4 RA1:RA24 TE1:TE24">
    <cfRule type="cellIs" dxfId="105" priority="124723" operator="between">
      <formula>AU$17</formula>
      <formula>AU$18</formula>
    </cfRule>
    <cfRule type="cellIs" dxfId="104" priority="124724" operator="between">
      <formula>AU$18</formula>
      <formula>AU$19</formula>
    </cfRule>
    <cfRule type="cellIs" dxfId="103" priority="124725" operator="between">
      <formula>AU$19</formula>
      <formula>AU$20</formula>
    </cfRule>
    <cfRule type="cellIs" dxfId="102" priority="124726" operator="between">
      <formula>AU$20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4 RB1:RB24 TF1:TF24">
    <cfRule type="cellIs" dxfId="101" priority="124927" operator="between">
      <formula>AU$21</formula>
      <formula>AU$22</formula>
    </cfRule>
    <cfRule type="cellIs" dxfId="100" priority="124928" operator="between">
      <formula>AU$22</formula>
      <formula>AU$23</formula>
    </cfRule>
    <cfRule type="cellIs" dxfId="99" priority="124929" operator="between">
      <formula>AU$23</formula>
      <formula>AU$24</formula>
    </cfRule>
    <cfRule type="cellIs" dxfId="98" priority="124930" operator="between">
      <formula>AU$24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4 QY1:QY24 TC1:TC24">
    <cfRule type="cellIs" dxfId="97" priority="125131" operator="between">
      <formula>AU$20</formula>
      <formula>1000</formula>
    </cfRule>
    <cfRule type="cellIs" dxfId="96" priority="125132" operator="between">
      <formula>AU$19</formula>
      <formula>AU$20</formula>
    </cfRule>
    <cfRule type="cellIs" dxfId="95" priority="125133" operator="between">
      <formula>AU$18</formula>
      <formula>AU$19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113</v>
      </c>
      <c r="K1" s="69" t="s">
        <v>30</v>
      </c>
      <c r="L1" s="71" t="s">
        <v>114</v>
      </c>
      <c r="M1" s="69" t="s">
        <v>30</v>
      </c>
      <c r="N1" s="69" t="s">
        <v>12</v>
      </c>
      <c r="O1" s="69" t="s">
        <v>30</v>
      </c>
      <c r="P1" s="73" t="s">
        <v>13</v>
      </c>
      <c r="Q1" s="69" t="s">
        <v>31</v>
      </c>
      <c r="R1" s="69" t="s">
        <v>30</v>
      </c>
      <c r="S1" s="64" t="s">
        <v>220</v>
      </c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7" t="s">
        <v>239</v>
      </c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4" t="s">
        <v>249</v>
      </c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60</v>
      </c>
      <c r="DC1" s="68"/>
      <c r="DD1" s="64" t="s">
        <v>233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7" t="s">
        <v>232</v>
      </c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4"/>
      <c r="SG1" s="64"/>
      <c r="SH1" s="64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7" t="s">
        <v>64</v>
      </c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</row>
    <row r="2" spans="1:556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69"/>
      <c r="O2" s="69"/>
      <c r="P2" s="73"/>
      <c r="Q2" s="69"/>
      <c r="R2" s="69"/>
      <c r="S2" s="65" t="s">
        <v>105</v>
      </c>
      <c r="T2" s="65"/>
      <c r="U2" s="65"/>
      <c r="V2" s="65"/>
      <c r="W2" s="65" t="s">
        <v>106</v>
      </c>
      <c r="X2" s="65"/>
      <c r="Y2" s="65"/>
      <c r="Z2" s="65"/>
      <c r="AA2" s="65" t="s">
        <v>107</v>
      </c>
      <c r="AB2" s="65"/>
      <c r="AC2" s="65"/>
      <c r="AD2" s="65"/>
      <c r="AE2" s="65" t="s">
        <v>108</v>
      </c>
      <c r="AF2" s="65"/>
      <c r="AG2" s="65"/>
      <c r="AH2" s="65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66" t="s">
        <v>105</v>
      </c>
      <c r="AW2" s="66"/>
      <c r="AX2" s="66"/>
      <c r="AY2" s="66"/>
      <c r="AZ2" s="66" t="s">
        <v>106</v>
      </c>
      <c r="BA2" s="66"/>
      <c r="BB2" s="66"/>
      <c r="BC2" s="66"/>
      <c r="BD2" s="66" t="s">
        <v>107</v>
      </c>
      <c r="BE2" s="66"/>
      <c r="BF2" s="66"/>
      <c r="BG2" s="66"/>
      <c r="BH2" s="66" t="s">
        <v>108</v>
      </c>
      <c r="BI2" s="66"/>
      <c r="BJ2" s="66"/>
      <c r="BK2" s="66"/>
      <c r="BL2" s="75" t="s">
        <v>109</v>
      </c>
      <c r="BM2" s="75"/>
      <c r="BN2" s="75"/>
      <c r="BO2" s="75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65" t="s">
        <v>105</v>
      </c>
      <c r="BZ2" s="65"/>
      <c r="CA2" s="65"/>
      <c r="CB2" s="65"/>
      <c r="CC2" s="65" t="s">
        <v>106</v>
      </c>
      <c r="CD2" s="65"/>
      <c r="CE2" s="65"/>
      <c r="CF2" s="65"/>
      <c r="CG2" s="65" t="s">
        <v>107</v>
      </c>
      <c r="CH2" s="65"/>
      <c r="CI2" s="65"/>
      <c r="CJ2" s="65"/>
      <c r="CK2" s="65" t="s">
        <v>108</v>
      </c>
      <c r="CL2" s="65"/>
      <c r="CM2" s="65"/>
      <c r="CN2" s="65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65" t="s">
        <v>105</v>
      </c>
      <c r="DE2" s="65"/>
      <c r="DF2" s="65"/>
      <c r="DG2" s="65"/>
      <c r="DH2" s="65" t="s">
        <v>106</v>
      </c>
      <c r="DI2" s="65"/>
      <c r="DJ2" s="65"/>
      <c r="DK2" s="65"/>
      <c r="DL2" s="65" t="s">
        <v>107</v>
      </c>
      <c r="DM2" s="65"/>
      <c r="DN2" s="65"/>
      <c r="DO2" s="65"/>
      <c r="DP2" s="65" t="s">
        <v>108</v>
      </c>
      <c r="DQ2" s="65"/>
      <c r="DR2" s="65"/>
      <c r="DS2" s="65"/>
      <c r="DT2" s="74" t="s">
        <v>109</v>
      </c>
      <c r="DU2" s="74"/>
      <c r="DV2" s="74"/>
      <c r="DW2" s="74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66" t="s">
        <v>105</v>
      </c>
      <c r="EG2" s="66"/>
      <c r="EH2" s="66"/>
      <c r="EI2" s="66"/>
      <c r="EJ2" s="66" t="s">
        <v>106</v>
      </c>
      <c r="EK2" s="66"/>
      <c r="EL2" s="66"/>
      <c r="EM2" s="66"/>
      <c r="EN2" s="66" t="s">
        <v>107</v>
      </c>
      <c r="EO2" s="66"/>
      <c r="EP2" s="66"/>
      <c r="EQ2" s="66"/>
      <c r="ER2" s="66" t="s">
        <v>108</v>
      </c>
      <c r="ES2" s="66"/>
      <c r="ET2" s="66"/>
      <c r="EU2" s="66"/>
      <c r="EV2" s="75" t="s">
        <v>109</v>
      </c>
      <c r="EW2" s="75"/>
      <c r="EX2" s="75"/>
      <c r="EY2" s="75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65" t="s">
        <v>105</v>
      </c>
      <c r="FI2" s="65"/>
      <c r="FJ2" s="65"/>
      <c r="FK2" s="65"/>
      <c r="FL2" s="65" t="s">
        <v>106</v>
      </c>
      <c r="FM2" s="65"/>
      <c r="FN2" s="65"/>
      <c r="FO2" s="65"/>
      <c r="FP2" s="65" t="s">
        <v>107</v>
      </c>
      <c r="FQ2" s="65"/>
      <c r="FR2" s="65"/>
      <c r="FS2" s="65"/>
      <c r="FT2" s="65" t="s">
        <v>108</v>
      </c>
      <c r="FU2" s="65"/>
      <c r="FV2" s="65"/>
      <c r="FW2" s="65"/>
      <c r="FX2" s="74" t="s">
        <v>109</v>
      </c>
      <c r="FY2" s="74"/>
      <c r="FZ2" s="74"/>
      <c r="GA2" s="74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66" t="s">
        <v>105</v>
      </c>
      <c r="GK2" s="66"/>
      <c r="GL2" s="66"/>
      <c r="GM2" s="66"/>
      <c r="GN2" s="66" t="s">
        <v>106</v>
      </c>
      <c r="GO2" s="66"/>
      <c r="GP2" s="66"/>
      <c r="GQ2" s="66"/>
      <c r="GR2" s="66" t="s">
        <v>107</v>
      </c>
      <c r="GS2" s="66"/>
      <c r="GT2" s="66"/>
      <c r="GU2" s="66"/>
      <c r="GV2" s="66" t="s">
        <v>108</v>
      </c>
      <c r="GW2" s="66"/>
      <c r="GX2" s="66"/>
      <c r="GY2" s="66"/>
      <c r="GZ2" s="75" t="s">
        <v>109</v>
      </c>
      <c r="HA2" s="75"/>
      <c r="HB2" s="75"/>
      <c r="HC2" s="75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65" t="s">
        <v>105</v>
      </c>
      <c r="HM2" s="65"/>
      <c r="HN2" s="65"/>
      <c r="HO2" s="65"/>
      <c r="HP2" s="65" t="s">
        <v>106</v>
      </c>
      <c r="HQ2" s="65"/>
      <c r="HR2" s="65"/>
      <c r="HS2" s="65"/>
      <c r="HT2" s="65" t="s">
        <v>107</v>
      </c>
      <c r="HU2" s="65"/>
      <c r="HV2" s="65"/>
      <c r="HW2" s="65"/>
      <c r="HX2" s="65" t="s">
        <v>108</v>
      </c>
      <c r="HY2" s="65"/>
      <c r="HZ2" s="65"/>
      <c r="IA2" s="65"/>
      <c r="IB2" s="74" t="s">
        <v>109</v>
      </c>
      <c r="IC2" s="74"/>
      <c r="ID2" s="74"/>
      <c r="IE2" s="74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66" t="s">
        <v>105</v>
      </c>
      <c r="IO2" s="66"/>
      <c r="IP2" s="66"/>
      <c r="IQ2" s="66"/>
      <c r="IR2" s="66" t="s">
        <v>106</v>
      </c>
      <c r="IS2" s="66"/>
      <c r="IT2" s="66"/>
      <c r="IU2" s="66"/>
      <c r="IV2" s="66" t="s">
        <v>107</v>
      </c>
      <c r="IW2" s="66"/>
      <c r="IX2" s="66"/>
      <c r="IY2" s="66"/>
      <c r="IZ2" s="66" t="s">
        <v>108</v>
      </c>
      <c r="JA2" s="66"/>
      <c r="JB2" s="66"/>
      <c r="JC2" s="66"/>
      <c r="JD2" s="75" t="s">
        <v>109</v>
      </c>
      <c r="JE2" s="75"/>
      <c r="JF2" s="75"/>
      <c r="JG2" s="75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65" t="s">
        <v>105</v>
      </c>
      <c r="JQ2" s="65"/>
      <c r="JR2" s="65"/>
      <c r="JS2" s="65"/>
      <c r="JT2" s="65" t="s">
        <v>106</v>
      </c>
      <c r="JU2" s="65"/>
      <c r="JV2" s="65"/>
      <c r="JW2" s="65"/>
      <c r="JX2" s="65" t="s">
        <v>107</v>
      </c>
      <c r="JY2" s="65"/>
      <c r="JZ2" s="65"/>
      <c r="KA2" s="65"/>
      <c r="KB2" s="65" t="s">
        <v>108</v>
      </c>
      <c r="KC2" s="65"/>
      <c r="KD2" s="65"/>
      <c r="KE2" s="65"/>
      <c r="KF2" s="74" t="s">
        <v>109</v>
      </c>
      <c r="KG2" s="74"/>
      <c r="KH2" s="74"/>
      <c r="KI2" s="74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66" t="s">
        <v>105</v>
      </c>
      <c r="KS2" s="66"/>
      <c r="KT2" s="66"/>
      <c r="KU2" s="66"/>
      <c r="KV2" s="66" t="s">
        <v>106</v>
      </c>
      <c r="KW2" s="66"/>
      <c r="KX2" s="66"/>
      <c r="KY2" s="66"/>
      <c r="KZ2" s="66" t="s">
        <v>107</v>
      </c>
      <c r="LA2" s="66"/>
      <c r="LB2" s="66"/>
      <c r="LC2" s="66"/>
      <c r="LD2" s="66" t="s">
        <v>108</v>
      </c>
      <c r="LE2" s="66"/>
      <c r="LF2" s="66"/>
      <c r="LG2" s="66"/>
      <c r="LH2" s="75" t="s">
        <v>109</v>
      </c>
      <c r="LI2" s="75"/>
      <c r="LJ2" s="75"/>
      <c r="LK2" s="75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65" t="s">
        <v>105</v>
      </c>
      <c r="LU2" s="65"/>
      <c r="LV2" s="65"/>
      <c r="LW2" s="65"/>
      <c r="LX2" s="65" t="s">
        <v>106</v>
      </c>
      <c r="LY2" s="65"/>
      <c r="LZ2" s="65"/>
      <c r="MA2" s="65"/>
      <c r="MB2" s="65" t="s">
        <v>107</v>
      </c>
      <c r="MC2" s="65"/>
      <c r="MD2" s="65"/>
      <c r="ME2" s="65"/>
      <c r="MF2" s="65" t="s">
        <v>108</v>
      </c>
      <c r="MG2" s="65"/>
      <c r="MH2" s="65"/>
      <c r="MI2" s="65"/>
      <c r="MJ2" s="74" t="s">
        <v>109</v>
      </c>
      <c r="MK2" s="74"/>
      <c r="ML2" s="74"/>
      <c r="MM2" s="74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66" t="s">
        <v>105</v>
      </c>
      <c r="MW2" s="66"/>
      <c r="MX2" s="66"/>
      <c r="MY2" s="66"/>
      <c r="MZ2" s="66" t="s">
        <v>106</v>
      </c>
      <c r="NA2" s="66"/>
      <c r="NB2" s="66"/>
      <c r="NC2" s="66"/>
      <c r="ND2" s="66" t="s">
        <v>107</v>
      </c>
      <c r="NE2" s="66"/>
      <c r="NF2" s="66"/>
      <c r="NG2" s="66"/>
      <c r="NH2" s="66" t="s">
        <v>108</v>
      </c>
      <c r="NI2" s="66"/>
      <c r="NJ2" s="66"/>
      <c r="NK2" s="66"/>
      <c r="NL2" s="75" t="s">
        <v>109</v>
      </c>
      <c r="NM2" s="75"/>
      <c r="NN2" s="75"/>
      <c r="NO2" s="75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65" t="s">
        <v>105</v>
      </c>
      <c r="NY2" s="65"/>
      <c r="NZ2" s="65"/>
      <c r="OA2" s="65"/>
      <c r="OB2" s="65" t="s">
        <v>106</v>
      </c>
      <c r="OC2" s="65"/>
      <c r="OD2" s="65"/>
      <c r="OE2" s="65"/>
      <c r="OF2" s="65" t="s">
        <v>107</v>
      </c>
      <c r="OG2" s="65"/>
      <c r="OH2" s="65"/>
      <c r="OI2" s="65"/>
      <c r="OJ2" s="65" t="s">
        <v>108</v>
      </c>
      <c r="OK2" s="65"/>
      <c r="OL2" s="65"/>
      <c r="OM2" s="65"/>
      <c r="ON2" s="74" t="s">
        <v>109</v>
      </c>
      <c r="OO2" s="74"/>
      <c r="OP2" s="74"/>
      <c r="OQ2" s="74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66" t="s">
        <v>105</v>
      </c>
      <c r="PA2" s="66"/>
      <c r="PB2" s="66"/>
      <c r="PC2" s="66"/>
      <c r="PD2" s="66" t="s">
        <v>106</v>
      </c>
      <c r="PE2" s="66"/>
      <c r="PF2" s="66"/>
      <c r="PG2" s="66"/>
      <c r="PH2" s="66" t="s">
        <v>107</v>
      </c>
      <c r="PI2" s="66"/>
      <c r="PJ2" s="66"/>
      <c r="PK2" s="66"/>
      <c r="PL2" s="66" t="s">
        <v>108</v>
      </c>
      <c r="PM2" s="66"/>
      <c r="PN2" s="66"/>
      <c r="PO2" s="66"/>
      <c r="PP2" s="75" t="s">
        <v>109</v>
      </c>
      <c r="PQ2" s="75"/>
      <c r="PR2" s="75"/>
      <c r="PS2" s="75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65" t="s">
        <v>105</v>
      </c>
      <c r="QC2" s="65"/>
      <c r="QD2" s="65"/>
      <c r="QE2" s="65"/>
      <c r="QF2" s="65" t="s">
        <v>106</v>
      </c>
      <c r="QG2" s="65"/>
      <c r="QH2" s="65"/>
      <c r="QI2" s="65"/>
      <c r="QJ2" s="65" t="s">
        <v>107</v>
      </c>
      <c r="QK2" s="65"/>
      <c r="QL2" s="65"/>
      <c r="QM2" s="65"/>
      <c r="QN2" s="65" t="s">
        <v>108</v>
      </c>
      <c r="QO2" s="65"/>
      <c r="QP2" s="65"/>
      <c r="QQ2" s="65"/>
      <c r="QR2" s="74" t="s">
        <v>109</v>
      </c>
      <c r="QS2" s="74"/>
      <c r="QT2" s="74"/>
      <c r="QU2" s="74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66" t="s">
        <v>105</v>
      </c>
      <c r="RE2" s="66"/>
      <c r="RF2" s="66"/>
      <c r="RG2" s="66"/>
      <c r="RH2" s="66" t="s">
        <v>106</v>
      </c>
      <c r="RI2" s="66"/>
      <c r="RJ2" s="66"/>
      <c r="RK2" s="66"/>
      <c r="RL2" s="66" t="s">
        <v>107</v>
      </c>
      <c r="RM2" s="66"/>
      <c r="RN2" s="66"/>
      <c r="RO2" s="66"/>
      <c r="RP2" s="66" t="s">
        <v>108</v>
      </c>
      <c r="RQ2" s="66"/>
      <c r="RR2" s="66"/>
      <c r="RS2" s="66"/>
      <c r="RT2" s="75" t="s">
        <v>109</v>
      </c>
      <c r="RU2" s="75"/>
      <c r="RV2" s="75"/>
      <c r="RW2" s="75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65" t="s">
        <v>105</v>
      </c>
      <c r="SG2" s="65"/>
      <c r="SH2" s="65"/>
      <c r="SI2" s="65"/>
      <c r="SJ2" s="65" t="s">
        <v>106</v>
      </c>
      <c r="SK2" s="65"/>
      <c r="SL2" s="65"/>
      <c r="SM2" s="65"/>
      <c r="SN2" s="65" t="s">
        <v>107</v>
      </c>
      <c r="SO2" s="65"/>
      <c r="SP2" s="65"/>
      <c r="SQ2" s="65"/>
      <c r="SR2" s="65" t="s">
        <v>108</v>
      </c>
      <c r="SS2" s="65"/>
      <c r="ST2" s="65"/>
      <c r="SU2" s="65"/>
      <c r="SV2" s="74" t="s">
        <v>109</v>
      </c>
      <c r="SW2" s="74"/>
      <c r="SX2" s="74"/>
      <c r="SY2" s="74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66" t="s">
        <v>105</v>
      </c>
      <c r="TI2" s="66"/>
      <c r="TJ2" s="66"/>
      <c r="TK2" s="66"/>
      <c r="TL2" s="66" t="s">
        <v>106</v>
      </c>
      <c r="TM2" s="66"/>
      <c r="TN2" s="66"/>
      <c r="TO2" s="66"/>
      <c r="TP2" s="66" t="s">
        <v>107</v>
      </c>
      <c r="TQ2" s="66"/>
      <c r="TR2" s="66"/>
      <c r="TS2" s="66"/>
      <c r="TT2" s="66" t="s">
        <v>108</v>
      </c>
      <c r="TU2" s="66"/>
      <c r="TV2" s="66"/>
      <c r="TW2" s="66"/>
      <c r="TX2" s="76" t="s">
        <v>109</v>
      </c>
      <c r="TY2" s="76"/>
      <c r="TZ2" s="76"/>
      <c r="UA2" s="76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69"/>
      <c r="O3" s="69"/>
      <c r="P3" s="73"/>
      <c r="Q3" s="69"/>
      <c r="R3" s="69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225</v>
      </c>
      <c r="C4" s="4" t="s">
        <v>7</v>
      </c>
      <c r="D4" s="4">
        <v>2003</v>
      </c>
      <c r="E4" s="9">
        <f t="shared" ref="E4:E17" si="0">SUM(J4:P4)+SUM(J4:M4)*0.0000001+SUM(J4)*0.0000000000001</f>
        <v>137.10000915000461</v>
      </c>
      <c r="F4" s="3" t="str">
        <f t="shared" ref="F4:F17" si="1">IF(OR(AND(AN4&gt;=AU$20,AO4&gt;=AU$24,AN4&lt;&gt;"",AM4=""),AND(AS4&gt;=AU$20,AT4&gt;=AU$24,AS4&lt;&gt;"",AM4=""),AND(BQ4&gt;=BX$20,BR4&gt;=BX$24,BQ4&lt;&gt;"",BP4=""),AND(BV4&gt;=BX$20,BW4&gt;=BX$24,BV4&lt;&gt;"",BP4=""),AND(CT4&gt;=DA$20,CU4&gt;=DA$24,CT4&lt;&gt;"",CS4=""),AND(CY4&gt;=DA$20,CZ4&gt;=DA$24,CY4&lt;&gt;""),AND(DX4&gt;=EE$20,DY4&gt;=EE$24,DX4&lt;&gt;""),AND(EC4&gt;=EE$20,ED4&gt;=EE$24,EC4&lt;&gt;""),AND(EZ4&gt;=FG$20,FA4&gt;=FG$24,EZ4&lt;&gt;""),AND(FE4&gt;=FG$20,FF4&gt;=FG$24,FE4&lt;&gt;""),AND(GB4&gt;=GI$20,GC4&gt;=GI$24,GB4&lt;&gt;""),AND(GG4&gt;=GI$20,GH4&gt;=GI$24,GG4&lt;&gt;""),AND(HD4&gt;=HK$20,HE4&gt;=HK$24,HD4&lt;&gt;""),AND(HI4&gt;=HK$20,HJ4&gt;=HK$24,HI4&lt;&gt;""),AND(IF4&gt;=IM$20,IG4&gt;=IM$24,IF4&lt;&gt;""),AND(IK4&gt;=IM$20,IL4&gt;=IM$24,IK4&lt;&gt;""),AND(JH4&gt;=JO$20,JI4&gt;=JO$24,JH4&lt;&gt;""),AND(JM4&gt;=JO$20,JN4&gt;=JO$24,JM4&lt;&gt;""),AND(KJ4&gt;=KQ$20,KK4&gt;=KQ$24,KJ4&lt;&gt;""),AND(KO4&gt;=KQ$20,KP4&gt;=KQ$24,KO4&lt;&gt;""),AND(LL4&gt;=LS$20,LM4&gt;=LS$24,LL4&lt;&gt;""),AND(LQ4&gt;=LS$20,LR4&gt;=LS$24,LQ4&lt;&gt;""),AND(MN4&gt;=MU$20,MO4&gt;=MU$24,MN4&lt;&gt;""),AND(MS4&gt;=MU$20,MT4&gt;=MU$24,MS4&lt;&gt;""),AND(NP4&gt;=NW$20,NQ4&gt;=NW$24,NP4&lt;&gt;""),AND(NU4&gt;=NW$20,NV4&gt;=NW$24,NU4&lt;&gt;""),AND(OR4&gt;=OY$20,OS4&gt;=OY$24,OR4&lt;&gt;""),AND(OW4&gt;=OY$20,OX4&gt;=OY$24,OW4&lt;&gt;""),AND(PT4&gt;=QA$20,PU4&gt;=QA$24,PT4&lt;&gt;""),AND(PY4&gt;=QA$20,PZ4&gt;=QA$24,PY4&lt;&gt;""),AND(QV4&gt;=RC$20,QW4&gt;=RC$24,QV4&lt;&gt;""),AND(RA4&gt;=RC$20,RB4&gt;=RC$24,RA4&lt;&gt;""),AND(RX4&gt;=SE$20,RY4&gt;=SE$24,RX4&lt;&gt;""),AND(SC4&gt;=SE$20,SD4&gt;=SE$24,SC4&lt;&gt;""),AND(SZ4&gt;=TG$20,TA4&gt;=TG$24,SZ4&lt;&gt;""),AND(TF4&gt;=TG$20,TG4&gt;=TG$24,TF4&lt;&gt;"")),"P","")</f>
        <v>P</v>
      </c>
      <c r="G4" s="3" t="str">
        <f t="shared" ref="G4:G17" si="2">IF(OR(AND(AO4&gt;=AU$24,AO4&lt;&gt;"",AM4=""),AND(AT4&gt;=AU$24,AT4&lt;&gt;"",AM4=""),AND(BR4&gt;=BX$24,BR4&lt;&gt;"",BP4=""),AND(BW4&gt;=BX$24,BW4&lt;&gt;"",BP4=""),AND(CU4&gt;=DA$24,CU4&lt;&gt;"",CS4=""),AND(CZ4&gt;=DA$24,CZ4&lt;&gt;"",CS4=""),AND(DY4&gt;=EE$24,DY4&lt;&gt;""),AND(ED4&gt;=EE$24,ED4&lt;&gt;""),AND(FA4&gt;=FG$24,FA4&lt;&gt;""),AND(FF4&gt;=FG$24,FF4&lt;&gt;""),AND(GC4&gt;=GI$24,GC4&lt;&gt;""),AND(GH4&gt;=GI$24,GH4&lt;&gt;""),AND(HE4&gt;=HK$24,HE4&lt;&gt;""),AND(HJ4&gt;=HK$24,HJ4&lt;&gt;""),AND(IG4&gt;=IM$24,IG4&lt;&gt;""),AND(IL4&gt;=IM$24,IL4&lt;&gt;""),AND(JI4&gt;=JO$24,JI4&lt;&gt;""),AND(JN4&gt;=JO$24,JN4&lt;&gt;""),AND(KK4&gt;=KQ$24,KK4&lt;&gt;""),AND(KP4&gt;=KQ$24,KP4&lt;&gt;""),AND(LM4&gt;=LS$24,LM4&lt;&gt;""),AND(LR4&gt;=LS$24,LR4&lt;&gt;""),AND(MO4&gt;=MU$24,MO4&lt;&gt;""),AND(MT4&gt;=MU$24,MT4&lt;&gt;""),AND(NQ4&gt;=NW$24,NQ4&lt;&gt;""),AND(NV4&gt;=NW$24,NV4&lt;&gt;""),AND(OS4&gt;=OY$24,OS4&lt;&gt;""),AND(OX4&gt;=OY$24,OX4&lt;&gt;""),AND(PU4&gt;=QA$24,PU4&lt;&gt;""),AND(PZ4&gt;=QA$24,PZ4&lt;&gt;""),AND(QW4&gt;=RC$24,QW4&lt;&gt;""),AND(RB4&gt;=RC$24,RB4&lt;&gt;""),AND(RY4&gt;=SE$24,RY4&lt;&gt;""),AND(SD4&gt;=SE$24,SD4&lt;&gt;""),AND(TA4&gt;=TG$24,TA4&lt;&gt;""),AND(TG4&gt;=TG$24,TG4&lt;&gt;"")),"P","")</f>
        <v>P</v>
      </c>
      <c r="H4" s="36" t="str">
        <f t="shared" ref="H4:H17" si="3">IF(AND(G4="P",F4=""),"No DD",IF(OR(AND(AQ4&gt;=AU$23,AR4&gt;=AU$27,AQ4&lt;&gt;"",AM4=""),AND(BT4&gt;=BX$23,BU4&gt;=BX$27,BT4&lt;&gt;"",BP4=""),AND(CW4&gt;=DA$23,CX4&gt;=DA$27,CW4&lt;&gt;"",CS4=""),AND(EA4&gt;=EE$23,EB4&gt;=EE$27,EA4&lt;&gt;""),AND(FC4&gt;=FG$23,FD4&gt;=FG$27,FC4&lt;&gt;""),AND(GE4&gt;=GI$23,GF4&gt;=GI$27,GE4&lt;&gt;""),AND(HG4&gt;=HK$23,HH4&gt;=HK$27,HG4&lt;&gt;""),AND(II4&gt;=IM$23,IJ4&gt;=IM$27,II4&lt;&gt;""),AND(JK4&gt;=JO$23,JL4&gt;=JO$27,JK4&lt;&gt;""),AND(KM4&gt;=KQ$23,KN4&gt;=KQ$27,KM4&lt;&gt;""),AND(LO4&gt;=LS$23,LP4&gt;=LS$27,LO4&lt;&gt;""),AND(MQ4&gt;=MU$23,MR4&gt;=MU$27,MQ4&lt;&gt;""),AND(NS4&gt;=NW$23,NT4&gt;=NW$27,NS4&lt;&gt;""),AND(OU4&gt;=OY$23,OV4&gt;=OY$27,OU4&lt;&gt;""),AND(PW4&gt;=QA$23,PX4&gt;=QA$27,PW4&lt;&gt;""),AND(QY4&gt;=RC$23,QZ4&gt;=RC$27,QY4&lt;&gt;""),AND(SA4&gt;=SE$23,SB4&gt;=SE$27,SA4&lt;&gt;""),AND(TC4&gt;=TG$23,TD4&gt;=TG$27,TC4&lt;&gt;"")),"Merit",IF(OR(AND(AQ4&gt;=AU$22,AR4&gt;=AU$26,AQ4&lt;&gt;"",AM4=""),AND(BT4&gt;=BX$22,BU4&gt;=BX$26,BT4&lt;&gt;"",BP4=""),AND(CW4&gt;=DA$22,CX4&gt;=DA$26,CW4&lt;&gt;"",CS4=""),AND(EA4&gt;=EE$22,EB4&gt;=EE$26,EA4&lt;&gt;""),AND(FC4&gt;=FG$22,FD4&gt;=FG$26,FC4&lt;&gt;""),AND(GE4&gt;=GI$22,GF4&gt;=GI$26,GE4&lt;&gt;""),AND(HG4&gt;=HK$22,HH4&gt;=HK$26,HG4&lt;&gt;""),AND(II4&gt;=IM$22,IJ4&gt;=IM$26,II4&lt;&gt;""),AND(JK4&gt;=JO$22,JL4&gt;=JO$26,JK4&lt;&gt;""),AND(KM4&gt;=KQ$22,KN4&gt;=KQ$26,KM4&lt;&gt;""),AND(LO4&gt;=LS$22,LP4&gt;=LS$26,LO4&lt;&gt;""),AND(MQ4&gt;=MU$22,MR4&gt;=MU$26,MQ4&lt;&gt;""),AND(NS4&gt;=NW$22,NT4&gt;=NW$26,NS4&lt;&gt;""),AND(OU4&gt;=OY$22,OV4&gt;=OY$26,OU4&lt;&gt;""),AND(PW4&gt;=QA$22,PX4&gt;=QA$26,PW4&lt;&gt;""),AND(QY4&gt;=RC$22,QZ4&gt;=RC$26,QY4&lt;&gt;""),AND(SA4&gt;=SE$22,SB4&gt;=SE$26,SA4&lt;&gt;""),AND(TC4&gt;=TG$22,TD4&gt;=TG$26,TC4&lt;&gt;"")),"Excellence",IF(I4="P","Worlds Team",IF(F4="P","National Team","")))))</f>
        <v>Excellence</v>
      </c>
      <c r="I4" s="3" t="str">
        <f t="shared" ref="I4:I17" si="4">IF(OR(AND(AQ4&gt;=AU$21,AR4&gt;=AU$25,AQ4&lt;&gt;"",AM4=""),AND(BT4&gt;=BX$21,BU4&gt;=BX$25,BT4&lt;&gt;"",BP4=""),AND(CW4&gt;=DA$21,CX4&gt;=DA$25,CW4&lt;&gt;"",CS4=""),AND(EA4&gt;=EE$21,EB4&gt;=EE$25,EA4&lt;&gt;""),AND(FC4&gt;=FG$21,FD4&gt;=FG$25,FC4&lt;&gt;""),AND(GE4&gt;=GI$21,GF4&gt;=GI$25,GE4&lt;&gt;""),AND(HG4&gt;=HK$21,HH4&gt;=HK$25,HG4&lt;&gt;""),AND(II4&gt;=IM$21,IJ4&gt;=IM$25,II4&lt;&gt;""),AND(JK4&gt;=JO$21,JL4&gt;=JO$25,JK4&lt;&gt;""),AND(KM4&gt;=KQ$21,KN4&gt;=KQ$25,KM4&lt;&gt;""),AND(LO4&gt;=LS$21,LP4&gt;=LS$25,LO4&lt;&gt;""),AND(MQ4&gt;=MU$21,MR4&gt;=MU$25,MQ4&lt;&gt;""),AND(NS4&gt;=NW$21,NT4&gt;=NW$25,NS4&lt;&gt;""),AND(OU4&gt;=OY$21,OV4&gt;=OY$25,OU4&lt;&gt;""),AND(PW4&gt;=QA$21,PX4&gt;=QA$25,PW4&lt;&gt;""),AND(QY4&gt;=RC$21,QZ4&gt;=RC$25,QY4&lt;&gt;""),AND(SA4&gt;=SE$21,SB4&gt;=SE$25,SA4&lt;&gt;""),AND(TC4&gt;=TG$21,TD4&gt;=TG$25,TC4&lt;&gt;"")),"P","")</f>
        <v>P</v>
      </c>
      <c r="J4" s="8">
        <f>IF(COUNT(AO4,BR4,CU4)&gt;0,LARGE((AO4,BR4,CU4),1),0)</f>
        <v>46</v>
      </c>
      <c r="K4" s="8" t="str">
        <f t="shared" ref="K4:K17" si="5">IF(J4=0,"",IF(J4=CU4,$BY$1,IF(J4=BR4,$AV$1,IF(J4=AO4,$S$1,""))))</f>
        <v>2025 Elite Canada</v>
      </c>
      <c r="L4" s="8">
        <f>IF(COUNT(AO4,BR4,CU4)&gt;1,LARGE((AO4,BR4,CU4),2),0)</f>
        <v>45.499999999999993</v>
      </c>
      <c r="M4" s="8" t="str">
        <f t="shared" ref="M4:M17" si="6">IF(K4=0,"",IF(AND(L4=J4,L4=AO4,K4=BR4),$S$1,IF(AND(L4=J4,L4=AO4,L4=CU4),$S$1,IF(AND(L4=J4,L4=CU4,L4=BR4),$AV$1,IF(L4=CU4,$BY$1,IF(L4=BR4,$AV$1,IF(L4=AO4,$S$1,"")))))))</f>
        <v>2024 3rd Domestic Trial</v>
      </c>
      <c r="N4" s="8">
        <f t="shared" ref="N4:N17" si="7">IF(MAX(AT4,BW4,CZ4)&gt;0,MAX(AT4,BW4,CZ4),0)</f>
        <v>45.6</v>
      </c>
      <c r="O4" s="8" t="str">
        <f t="shared" ref="O4:O17" si="8">IF(N4=0,"",IF(N4=CZ4,$BY$1,IF(N4=BW4,$AV$1,IF(N4=AT4,$S$1,""))))</f>
        <v>2025 Elite Canada</v>
      </c>
      <c r="P4" s="8" t="str">
        <f t="shared" ref="P4:P17" si="9"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16.7</v>
      </c>
      <c r="T4" s="19">
        <v>4.5999999999999996</v>
      </c>
      <c r="U4" s="19">
        <v>0</v>
      </c>
      <c r="V4" s="19">
        <v>0.6</v>
      </c>
      <c r="W4" s="19">
        <v>17.899999999999999</v>
      </c>
      <c r="X4" s="19">
        <v>4.3</v>
      </c>
      <c r="Y4" s="19">
        <v>0</v>
      </c>
      <c r="Z4" s="19">
        <v>0.3</v>
      </c>
      <c r="AA4" s="19">
        <v>17.5</v>
      </c>
      <c r="AB4" s="19">
        <v>4.0999999999999996</v>
      </c>
      <c r="AC4" s="19">
        <v>0</v>
      </c>
      <c r="AD4" s="19">
        <v>0.3</v>
      </c>
      <c r="AE4" s="19">
        <v>17.7</v>
      </c>
      <c r="AF4" s="19">
        <v>3.9</v>
      </c>
      <c r="AG4" s="19">
        <v>0</v>
      </c>
      <c r="AH4" s="19">
        <v>0.3</v>
      </c>
      <c r="AI4" s="19">
        <v>17.399999999999999</v>
      </c>
      <c r="AJ4" s="19">
        <v>4.0999999999999996</v>
      </c>
      <c r="AK4" s="19">
        <v>0</v>
      </c>
      <c r="AL4" s="19">
        <v>0.3</v>
      </c>
      <c r="AM4" s="27"/>
      <c r="AN4" s="40">
        <f t="shared" ref="AN4:AN17" si="10">IF(SUM(T4,X4)&gt;0,SUM(T4,X4),"")</f>
        <v>8.8999999999999986</v>
      </c>
      <c r="AO4" s="40">
        <f t="shared" ref="AO4:AO17" si="11">IF(SUM(S4:T4,V4:X4,Z4)-U4-Y4&gt;0,SUM(S4:T4,V4:X4,Z4)-U4-Y4,"")</f>
        <v>44.399999999999991</v>
      </c>
      <c r="AP4" s="40">
        <f t="shared" ref="AP4:AP17" si="12">IF(SUM(AA4:AB4,AD4)-AC4&gt;0,SUM(AA4:AB4,AD4)-AC4,"")</f>
        <v>21.900000000000002</v>
      </c>
      <c r="AQ4" s="40">
        <f t="shared" ref="AQ4:AQ17" si="13">IF(SUM(T4,X4,AB4)&gt;0,SUM(T4,X4,AB4),"")</f>
        <v>12.999999999999998</v>
      </c>
      <c r="AR4" s="40">
        <f t="shared" ref="AR4:AR17" si="14">IF(SUM(AO4,AP4)&gt;0,SUM(AO4,AP4),"")</f>
        <v>66.3</v>
      </c>
      <c r="AS4" s="40">
        <f t="shared" ref="AS4:AS17" si="15">IF(SUM(AF4,AJ4)&gt;0,SUM(AF4,AJ4),"")</f>
        <v>8</v>
      </c>
      <c r="AT4" s="40">
        <f t="shared" ref="AT4:AT17" si="16">IF(SUM(AE4:AF4,AH4:AJ4,AL4)-SUM(AG4,AK4)&gt;0,SUM(AE4:AF4,AH4:AJ4,AL4)-SUM(AG4,AK4),"")</f>
        <v>43.699999999999996</v>
      </c>
      <c r="AU4" s="40">
        <f t="shared" ref="AU4:AU17" si="17">IF(SUM(AO4,AP4,AT4)&gt;0,SUM(AO4,AP4,AT4),"")</f>
        <v>110</v>
      </c>
      <c r="AV4" s="18">
        <v>16.8</v>
      </c>
      <c r="AW4" s="18">
        <v>6.1</v>
      </c>
      <c r="AX4" s="18">
        <v>0</v>
      </c>
      <c r="AY4" s="18">
        <v>0.3</v>
      </c>
      <c r="AZ4" s="18">
        <v>17.7</v>
      </c>
      <c r="BA4" s="18">
        <v>4.3</v>
      </c>
      <c r="BB4" s="18">
        <v>0</v>
      </c>
      <c r="BC4" s="18">
        <v>0.3</v>
      </c>
      <c r="BD4" s="18">
        <v>17.7</v>
      </c>
      <c r="BE4" s="18">
        <v>4.3</v>
      </c>
      <c r="BF4" s="18">
        <v>0</v>
      </c>
      <c r="BG4" s="18">
        <v>0.3</v>
      </c>
      <c r="BH4" s="18">
        <v>16.3</v>
      </c>
      <c r="BI4" s="18">
        <v>3.8</v>
      </c>
      <c r="BJ4" s="18">
        <v>0</v>
      </c>
      <c r="BK4" s="18">
        <v>0.3</v>
      </c>
      <c r="BL4" s="18">
        <v>17.8</v>
      </c>
      <c r="BM4" s="18">
        <v>4.3</v>
      </c>
      <c r="BN4" s="18">
        <v>0</v>
      </c>
      <c r="BO4" s="18">
        <v>0.3</v>
      </c>
      <c r="BP4" s="28"/>
      <c r="BQ4" s="11">
        <f t="shared" ref="BQ4:BQ17" si="18">IF(SUM(AW4,BA4)&gt;0,SUM(AW4,BA4),"")</f>
        <v>10.399999999999999</v>
      </c>
      <c r="BR4" s="11">
        <f t="shared" ref="BR4:BR17" si="19">IF(SUM(AV4:AW4,AY4:BA4,BC4)-AX4-BB4&gt;0,SUM(AV4:AW4,AY4:BA4,BC4)-AX4-BB4,"")</f>
        <v>45.499999999999993</v>
      </c>
      <c r="BS4" s="11">
        <f t="shared" ref="BS4:BS17" si="20">IF(SUM(BD4:BE4,BG4)-BF4&gt;0,SUM(BD4:BE4,BG4)-BF4,"")</f>
        <v>22.3</v>
      </c>
      <c r="BT4" s="11">
        <f t="shared" ref="BT4:BT17" si="21">IF(SUM(AW4,BA4,BE4)&gt;0,SUM(AW4,BA4,BE4),"")</f>
        <v>14.7</v>
      </c>
      <c r="BU4" s="11">
        <f t="shared" ref="BU4:BU17" si="22">IF(SUM(BR4,BS4)&gt;0,SUM(BR4,BS4),"")</f>
        <v>67.8</v>
      </c>
      <c r="BV4" s="11">
        <f t="shared" ref="BV4:BV17" si="23">IF(SUM(BI4,BM4)&gt;0,SUM(BI4,BM4),"")</f>
        <v>8.1</v>
      </c>
      <c r="BW4" s="11">
        <f t="shared" ref="BW4:BW17" si="24">IF(SUM(BH4:BI4,BK4:BM4,BO4)-SUM(BJ4,BN4)&gt;0,SUM(BH4:BI4,BK4:BM4,BO4)-SUM(BJ4,BN4),"")</f>
        <v>42.8</v>
      </c>
      <c r="BX4" s="11">
        <f t="shared" ref="BX4:BX17" si="25">IF(SUM(BR4,BS4,BW4)&gt;0,SUM(BR4,BS4,BW4),"")</f>
        <v>110.6</v>
      </c>
      <c r="BY4" s="19">
        <v>17.100000000000001</v>
      </c>
      <c r="BZ4" s="19">
        <v>6.1</v>
      </c>
      <c r="CA4" s="19">
        <v>0</v>
      </c>
      <c r="CB4" s="19">
        <v>0.7</v>
      </c>
      <c r="CC4" s="19">
        <v>17.100000000000001</v>
      </c>
      <c r="CD4" s="19">
        <v>4.3</v>
      </c>
      <c r="CE4" s="19">
        <v>0</v>
      </c>
      <c r="CF4" s="19">
        <v>0.7</v>
      </c>
      <c r="CG4" s="19"/>
      <c r="CH4" s="19"/>
      <c r="CI4" s="19"/>
      <c r="CJ4" s="19"/>
      <c r="CK4" s="19">
        <v>16.100000000000001</v>
      </c>
      <c r="CL4" s="19">
        <v>6.1</v>
      </c>
      <c r="CM4" s="19">
        <v>0</v>
      </c>
      <c r="CN4" s="19">
        <v>0.7</v>
      </c>
      <c r="CO4" s="19">
        <v>17.7</v>
      </c>
      <c r="CP4" s="19">
        <v>4.3</v>
      </c>
      <c r="CQ4" s="19">
        <v>0</v>
      </c>
      <c r="CR4" s="19">
        <v>0.7</v>
      </c>
      <c r="CS4" s="27"/>
      <c r="CT4" s="40">
        <f t="shared" ref="CT4:CT17" si="26">IF(SUM(BZ4,CD4)&gt;0,SUM(BZ4,CD4),"")</f>
        <v>10.399999999999999</v>
      </c>
      <c r="CU4" s="40">
        <f t="shared" ref="CU4:CU17" si="27">IF(SUM(BY4:BZ4,CB4:CD4,CF4)-CA4-CE4&gt;0,SUM(BY4:BZ4,CB4:CD4,CF4)-CA4-CE4,"")</f>
        <v>46</v>
      </c>
      <c r="CV4" s="40" t="str">
        <f t="shared" ref="CV4:CV17" si="28">IF(SUM(CG4:CH4,CJ4)-CI4&gt;0,SUM(CG4:CH4,CJ4)-CI4,"")</f>
        <v/>
      </c>
      <c r="CW4" s="40">
        <f t="shared" ref="CW4:CW17" si="29">IF(SUM(BZ4,CD4,CH4)&gt;0,SUM(BZ4,CD4,CH4),"")</f>
        <v>10.399999999999999</v>
      </c>
      <c r="CX4" s="40">
        <f t="shared" ref="CX4:CX17" si="30">IF(SUM(CU4,CV4)&gt;0,SUM(CU4,CV4),"")</f>
        <v>46</v>
      </c>
      <c r="CY4" s="40">
        <f t="shared" ref="CY4:CY17" si="31">IF(SUM(CL4,CP4)&gt;0,SUM(CL4,CP4),"")</f>
        <v>10.399999999999999</v>
      </c>
      <c r="CZ4" s="40">
        <f t="shared" ref="CZ4:CZ17" si="32">IF(SUM(CK4:CL4,CN4:CP4,CR4)-SUM(CM4,CQ4)&gt;0,SUM(CK4:CL4,CN4:CP4,CR4)-SUM(CM4,CQ4),"")</f>
        <v>45.6</v>
      </c>
      <c r="DA4" s="40">
        <f t="shared" ref="DA4:DA17" si="33">IF(SUM(CU4,CV4,CZ4)&gt;0,SUM(CU4,CV4,CZ4),"")</f>
        <v>91.6</v>
      </c>
      <c r="DB4" s="51" t="str">
        <f t="shared" ref="DB4:DB17" si="34">IF(MAX(DY4,FA4,GC4,HE4,IG4,JI4,KK4,LM4,MO4,NQ4,OS4,PU4,QW4,RY4,TA4)-IF(L4="",0,L4)&gt;0.001,MAX(DY4,FA4,GC4,HE4,IG4,JI4,KK4,LM4,MO4,NQ4,OS4,PU4,QW4,RY4,TA4)-IF(L4="",0,L4),"")</f>
        <v/>
      </c>
      <c r="DC4" s="51" t="str">
        <f t="shared" ref="DC4:DC17" si="35">IF(MAX(ED4,FF4,GH4,HJ4,IL4,JN4,KP4,LR4,MT4,NV4,OX4,PZ4,RB4,SD4,TF4)-IF(N4="",0,N4)&gt;0.001,MAX(ED4,FF4,GH4,HJ4,IL4,JN4,KP4,LR4,MT4,NV4,OX4,PZ4,RB4,SD4,TF4)-IF(N4="",0,N4),"")</f>
        <v/>
      </c>
      <c r="DD4" s="17">
        <v>16.7</v>
      </c>
      <c r="DE4" s="17">
        <v>4.3</v>
      </c>
      <c r="DF4" s="17">
        <v>0</v>
      </c>
      <c r="DG4" s="17">
        <v>0</v>
      </c>
      <c r="DH4" s="17">
        <v>16.600000000000001</v>
      </c>
      <c r="DI4" s="17">
        <v>4.0999999999999996</v>
      </c>
      <c r="DJ4" s="17">
        <v>0.2</v>
      </c>
      <c r="DK4" s="17">
        <v>0</v>
      </c>
      <c r="DL4" s="17"/>
      <c r="DM4" s="17"/>
      <c r="DN4" s="17"/>
      <c r="DO4" s="17"/>
      <c r="DP4" s="17">
        <v>16.899999999999999</v>
      </c>
      <c r="DQ4" s="17">
        <v>3.9</v>
      </c>
      <c r="DR4" s="17">
        <v>0</v>
      </c>
      <c r="DS4" s="17">
        <v>0</v>
      </c>
      <c r="DT4" s="17"/>
      <c r="DU4" s="17"/>
      <c r="DV4" s="17"/>
      <c r="DW4" s="17"/>
      <c r="DX4" s="40">
        <f t="shared" ref="DX4:DX17" si="36">IF(SUM(DE4,DI4)&gt;0,SUM(DE4,DI4),"")</f>
        <v>8.3999999999999986</v>
      </c>
      <c r="DY4" s="40">
        <f t="shared" ref="DY4:DY17" si="37">IF(SUM(DD4:DE4,DG4:DI4,DK4)-DF4-DJ4&gt;0,SUM(DD4:DE4,DG4:DI4,DK4)-DF4-DJ4,"")</f>
        <v>41.5</v>
      </c>
      <c r="DZ4" s="40" t="str">
        <f t="shared" ref="DZ4:DZ17" si="38">IF(SUM(DL4:DM4,DO4)-DN4&gt;0,SUM(DL4:DM4,DO4)-DN4,"")</f>
        <v/>
      </c>
      <c r="EA4" s="40">
        <f t="shared" ref="EA4:EA17" si="39">IF(SUM(DE4,DI4,DM4)&gt;0,SUM(DE4,DI4,DM4),"")</f>
        <v>8.3999999999999986</v>
      </c>
      <c r="EB4" s="40">
        <f t="shared" ref="EB4:EB17" si="40">IF(SUM(DY4,DZ4)&gt;0,SUM(DY4,DZ4),"")</f>
        <v>41.5</v>
      </c>
      <c r="EC4" s="40">
        <f t="shared" ref="EC4:EC17" si="41">IF(SUM(DQ4,DU4)&gt;0,SUM(DQ4,DU4),"")</f>
        <v>3.9</v>
      </c>
      <c r="ED4" s="40">
        <f t="shared" ref="ED4:ED17" si="42">IF(SUM(DP4:DQ4,DS4:DU4,DW4)-SUM(DR4,DV4)&gt;0,SUM(DP4:DQ4,DS4:DU4,DW4)-SUM(DR4,DV4),"")</f>
        <v>20.799999999999997</v>
      </c>
      <c r="EE4" s="40">
        <f t="shared" ref="EE4:EE17" si="43">IF(SUM(DY4,DZ4,ED4)&gt;0,SUM(DY4,DZ4,ED4),"")</f>
        <v>62.3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17" si="44">IF(SUM(EG4,EK4)&gt;0,SUM(EG4,EK4),"")</f>
        <v/>
      </c>
      <c r="FA4" s="11" t="str">
        <f t="shared" ref="FA4:FA17" si="45">IF(SUM(EF4:EG4,EI4:EK4,EM4)-EH4-EL4&gt;0,SUM(EF4:EG4,EI4:EK4,EM4)-EH4-EL4,"")</f>
        <v/>
      </c>
      <c r="FB4" s="11" t="str">
        <f t="shared" ref="FB4:FB17" si="46">IF(SUM(EN4:EO4,EQ4)-EP4&gt;0,SUM(EN4:EO4,EQ4)-EP4,"")</f>
        <v/>
      </c>
      <c r="FC4" s="11" t="str">
        <f t="shared" ref="FC4:FC17" si="47">IF(SUM(EG4,EK4,EO4)&gt;0,SUM(EG4,EK4,EO4),"")</f>
        <v/>
      </c>
      <c r="FD4" s="11" t="str">
        <f t="shared" ref="FD4:FD17" si="48">IF(SUM(FA4,FB4)&gt;0,SUM(FA4,FB4),"")</f>
        <v/>
      </c>
      <c r="FE4" s="11" t="str">
        <f t="shared" ref="FE4:FE17" si="49">IF(SUM(ES4,EW4)&gt;0,SUM(ES4,EW4),"")</f>
        <v/>
      </c>
      <c r="FF4" s="11" t="str">
        <f t="shared" ref="FF4:FF17" si="50">IF(SUM(ER4:ES4,EU4:EW4,EY4)-SUM(ET4,EX4)&gt;0,SUM(ER4:ES4,EU4:EW4,EY4)-SUM(ET4,EX4),"")</f>
        <v/>
      </c>
      <c r="FG4" s="11" t="str">
        <f t="shared" ref="FG4:FG17" si="51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17" si="52">IF(SUM(FI4,FM4)&gt;0,SUM(FI4,FM4),"")</f>
        <v/>
      </c>
      <c r="GC4" s="40" t="str">
        <f t="shared" ref="GC4:GC17" si="53">IF(SUM(FH4:FI4,FK4:FM4,FO4)-FJ4-FN4&gt;0,SUM(FH4:FI4,FK4:FM4,FO4)-FJ4-FN4,"")</f>
        <v/>
      </c>
      <c r="GD4" s="40" t="str">
        <f t="shared" ref="GD4:GD17" si="54">IF(SUM(FP4:FQ4,FS4)-FR4&gt;0,SUM(FP4:FQ4,FS4)-FR4,"")</f>
        <v/>
      </c>
      <c r="GE4" s="40" t="str">
        <f t="shared" ref="GE4:GE17" si="55">IF(SUM(FI4,FM4,FQ4)&gt;0,SUM(FI4,FM4,FQ4),"")</f>
        <v/>
      </c>
      <c r="GF4" s="40" t="str">
        <f t="shared" ref="GF4:GF17" si="56">IF(SUM(GC4,GD4)&gt;0,SUM(GC4,GD4),"")</f>
        <v/>
      </c>
      <c r="GG4" s="40" t="str">
        <f t="shared" ref="GG4:GG17" si="57">IF(SUM(FU4,FY4)&gt;0,SUM(FU4,FY4),"")</f>
        <v/>
      </c>
      <c r="GH4" s="40" t="str">
        <f t="shared" ref="GH4:GH17" si="58">IF(SUM(FT4:FU4,FW4:FY4,GA4)-SUM(FV4,FZ4)&gt;0,SUM(FT4:FU4,FW4:FY4,GA4)-SUM(FV4,FZ4),"")</f>
        <v/>
      </c>
      <c r="GI4" s="40" t="str">
        <f t="shared" ref="GI4:GI17" si="59"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17" si="60">IF(SUM(GK4,GO4)&gt;0,SUM(GK4,GO4),"")</f>
        <v/>
      </c>
      <c r="HE4" s="11" t="str">
        <f t="shared" ref="HE4:HE17" si="61">IF(SUM(GJ4:GK4,GM4:GO4,GQ4)-GL4-GP4&gt;0,SUM(GJ4:GK4,GM4:GO4,GQ4)-GL4-GP4,"")</f>
        <v/>
      </c>
      <c r="HF4" s="11" t="str">
        <f t="shared" ref="HF4:HF17" si="62">IF(SUM(GR4:GS4,GU4)-GT4&gt;0,SUM(GR4:GS4,GU4)-GT4,"")</f>
        <v/>
      </c>
      <c r="HG4" s="11" t="str">
        <f t="shared" ref="HG4:HG17" si="63">IF(SUM(GK4,GO4,GS4)&gt;0,SUM(GK4,GO4,GS4),"")</f>
        <v/>
      </c>
      <c r="HH4" s="11" t="str">
        <f t="shared" ref="HH4:HH17" si="64">IF(SUM(HE4,HF4)&gt;0,SUM(HE4,HF4),"")</f>
        <v/>
      </c>
      <c r="HI4" s="11" t="str">
        <f t="shared" ref="HI4:HI17" si="65">IF(SUM(GW4,HA4)&gt;0,SUM(GW4,HA4),"")</f>
        <v/>
      </c>
      <c r="HJ4" s="11" t="str">
        <f t="shared" ref="HJ4:HJ17" si="66">IF(SUM(GV4:GW4,GY4:HA4,HC4)-SUM(GX4,HB4)&gt;0,SUM(GV4:GW4,GY4:HA4,HC4)-SUM(GX4,HB4),"")</f>
        <v/>
      </c>
      <c r="HK4" s="11" t="str">
        <f t="shared" ref="HK4:HK17" si="67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17" si="68">IF(SUM(HM4,HQ4)&gt;0,SUM(HM4,HQ4),"")</f>
        <v/>
      </c>
      <c r="IG4" s="40" t="str">
        <f t="shared" ref="IG4:IG17" si="69">IF(SUM(HL4:HM4,HO4:HQ4,HS4)-HN4-HR4&gt;0,SUM(HL4:HM4,HO4:HQ4,HS4)-HN4-HR4,"")</f>
        <v/>
      </c>
      <c r="IH4" s="40" t="str">
        <f t="shared" ref="IH4:IH17" si="70">IF(SUM(HT4:HU4,HW4)-HV4&gt;0,SUM(HT4:HU4,HW4)-HV4,"")</f>
        <v/>
      </c>
      <c r="II4" s="40" t="str">
        <f t="shared" ref="II4:II17" si="71">IF(SUM(HM4,HQ4,HU4)&gt;0,SUM(HM4,HQ4,HU4),"")</f>
        <v/>
      </c>
      <c r="IJ4" s="40" t="str">
        <f t="shared" ref="IJ4:IJ17" si="72">IF(SUM(IG4,IH4)&gt;0,SUM(IG4,IH4),"")</f>
        <v/>
      </c>
      <c r="IK4" s="40" t="str">
        <f t="shared" ref="IK4:IK17" si="73">IF(SUM(HY4,IC4)&gt;0,SUM(HY4,IC4),"")</f>
        <v/>
      </c>
      <c r="IL4" s="40" t="str">
        <f t="shared" ref="IL4:IL17" si="74">IF(SUM(HX4:HY4,IA4:IC4,IE4)-SUM(HZ4,ID4)&gt;0,SUM(HX4:HY4,IA4:IC4,IE4)-SUM(HZ4,ID4),"")</f>
        <v/>
      </c>
      <c r="IM4" s="40" t="str">
        <f t="shared" ref="IM4:IM17" si="75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17" si="76">IF(SUM(IO4,IS4)&gt;0,SUM(IO4,IS4),"")</f>
        <v/>
      </c>
      <c r="JI4" s="11" t="str">
        <f t="shared" ref="JI4:JI17" si="77">IF(SUM(IN4:IO4,IQ4:IS4,IU4)-IP4-IT4&gt;0,SUM(IN4:IO4,IQ4:IS4,IU4)-IP4-IT4,"")</f>
        <v/>
      </c>
      <c r="JJ4" s="11" t="str">
        <f t="shared" ref="JJ4:JJ17" si="78">IF(SUM(IV4:IW4,IY4)-IX4&gt;0,SUM(IV4:IW4,IY4)-IX4,"")</f>
        <v/>
      </c>
      <c r="JK4" s="11" t="str">
        <f t="shared" ref="JK4:JK17" si="79">IF(SUM(IO4,IS4,IW4)&gt;0,SUM(IO4,IS4,IW4),"")</f>
        <v/>
      </c>
      <c r="JL4" s="11" t="str">
        <f t="shared" ref="JL4:JL17" si="80">IF(SUM(JI4,JJ4)&gt;0,SUM(JI4,JJ4),"")</f>
        <v/>
      </c>
      <c r="JM4" s="11" t="str">
        <f t="shared" ref="JM4:JM17" si="81">IF(SUM(JA4,JE4)&gt;0,SUM(JA4,JE4),"")</f>
        <v/>
      </c>
      <c r="JN4" s="11" t="str">
        <f t="shared" ref="JN4:JN17" si="82">IF(SUM(IZ4:JA4,JC4:JE4,JG4)-SUM(JB4,JF4)&gt;0,SUM(IZ4:JA4,JC4:JE4,JG4)-SUM(JB4,JF4),"")</f>
        <v/>
      </c>
      <c r="JO4" s="11" t="str">
        <f t="shared" ref="JO4:JO17" si="83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17" si="84">IF(SUM(JQ4,JU4)&gt;0,SUM(JQ4,JU4),"")</f>
        <v/>
      </c>
      <c r="KK4" s="40" t="str">
        <f t="shared" ref="KK4:KK17" si="85">IF(SUM(JP4:JQ4,JS4:JU4,JW4)-JR4-JV4&gt;0,SUM(JP4:JQ4,JS4:JU4,JW4)-JR4-JV4,"")</f>
        <v/>
      </c>
      <c r="KL4" s="40" t="str">
        <f t="shared" ref="KL4:KL17" si="86">IF(SUM(JX4:JY4,KA4)-JZ4&gt;0,SUM(JX4:JY4,KA4)-JZ4,"")</f>
        <v/>
      </c>
      <c r="KM4" s="40" t="str">
        <f t="shared" ref="KM4:KM17" si="87">IF(SUM(JQ4,JU4,JY4)&gt;0,SUM(JQ4,JU4,JY4),"")</f>
        <v/>
      </c>
      <c r="KN4" s="40" t="str">
        <f t="shared" ref="KN4:KN17" si="88">IF(SUM(KK4,KL4)&gt;0,SUM(KK4,KL4),"")</f>
        <v/>
      </c>
      <c r="KO4" s="40" t="str">
        <f t="shared" ref="KO4:KO17" si="89">IF(SUM(KC4,KG4)&gt;0,SUM(KC4,KG4),"")</f>
        <v/>
      </c>
      <c r="KP4" s="40" t="str">
        <f t="shared" ref="KP4:KP17" si="90">IF(SUM(KB4:KC4,KE4:KG4,KI4)-SUM(KD4,KH4)&gt;0,SUM(KB4:KC4,KE4:KG4,KI4)-SUM(KD4,KH4),"")</f>
        <v/>
      </c>
      <c r="KQ4" s="40" t="str">
        <f t="shared" ref="KQ4:KQ17" si="91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17" si="92">IF(SUM(KS4,KW4)&gt;0,SUM(KS4,KW4),"")</f>
        <v/>
      </c>
      <c r="LM4" s="11" t="str">
        <f t="shared" ref="LM4:LM17" si="93">IF(SUM(KR4:KS4,KU4:KW4,KY4)-KT4-KX4&gt;0,SUM(KR4:KS4,KU4:KW4,KY4)-KT4-KX4,"")</f>
        <v/>
      </c>
      <c r="LN4" s="11" t="str">
        <f t="shared" ref="LN4:LN17" si="94">IF(SUM(KZ4:LA4,LC4)-LB4&gt;0,SUM(KZ4:LA4,LC4)-LB4,"")</f>
        <v/>
      </c>
      <c r="LO4" s="11" t="str">
        <f t="shared" ref="LO4:LO17" si="95">IF(SUM(KS4,KW4,LA4)&gt;0,SUM(KS4,KW4,LA4),"")</f>
        <v/>
      </c>
      <c r="LP4" s="11" t="str">
        <f t="shared" ref="LP4:LP17" si="96">IF(SUM(LM4,LN4)&gt;0,SUM(LM4,LN4),"")</f>
        <v/>
      </c>
      <c r="LQ4" s="11" t="str">
        <f t="shared" ref="LQ4:LQ17" si="97">IF(SUM(LE4,LI4)&gt;0,SUM(LE4,LI4),"")</f>
        <v/>
      </c>
      <c r="LR4" s="11" t="str">
        <f t="shared" ref="LR4:LR17" si="98">IF(SUM(LD4:LE4,LG4:LI4,LK4)-SUM(LF4,LJ4)&gt;0,SUM(LD4:LE4,LG4:LI4,LK4)-SUM(LF4,LJ4),"")</f>
        <v/>
      </c>
      <c r="LS4" s="11" t="str">
        <f t="shared" ref="LS4:LS17" si="99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17" si="100">IF(SUM(LU4,LY4)&gt;0,SUM(LU4,LY4),"")</f>
        <v/>
      </c>
      <c r="MO4" s="40" t="str">
        <f t="shared" ref="MO4:MO17" si="101">IF(SUM(LT4:LU4,LW4:LY4,MA4)-LV4-LZ4&gt;0,SUM(LT4:LU4,LW4:LY4,MA4)-LV4-LZ4,"")</f>
        <v/>
      </c>
      <c r="MP4" s="40" t="str">
        <f t="shared" ref="MP4:MP17" si="102">IF(SUM(MB4:MC4,ME4)-MD4&gt;0,SUM(MB4:MC4,ME4)-MD4,"")</f>
        <v/>
      </c>
      <c r="MQ4" s="40" t="str">
        <f t="shared" ref="MQ4:MQ17" si="103">IF(SUM(LU4,LY4,MC4)&gt;0,SUM(LU4,LY4,MC4),"")</f>
        <v/>
      </c>
      <c r="MR4" s="40" t="str">
        <f t="shared" ref="MR4:MR17" si="104">IF(SUM(MO4,MP4)&gt;0,SUM(MO4,MP4),"")</f>
        <v/>
      </c>
      <c r="MS4" s="40" t="str">
        <f t="shared" ref="MS4:MS17" si="105">IF(SUM(MG4,MK4)&gt;0,SUM(MG4,MK4),"")</f>
        <v/>
      </c>
      <c r="MT4" s="40" t="str">
        <f t="shared" ref="MT4:MT17" si="106">IF(SUM(MF4:MG4,MI4:MK4,MM4)-SUM(MH4,ML4)&gt;0,SUM(MF4:MG4,MI4:MK4,MM4)-SUM(MH4,ML4),"")</f>
        <v/>
      </c>
      <c r="MU4" s="40" t="str">
        <f t="shared" ref="MU4:MU17" si="107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17" si="108">IF(SUM(MW4,NA4)&gt;0,SUM(MW4,NA4),"")</f>
        <v/>
      </c>
      <c r="NQ4" s="11" t="str">
        <f t="shared" ref="NQ4:NQ17" si="109">IF(SUM(MV4:MW4,MY4:NA4,NC4)-MX4-NB4&gt;0,SUM(MV4:MW4,MY4:NA4,NC4)-MX4-NB4,"")</f>
        <v/>
      </c>
      <c r="NR4" s="11" t="str">
        <f t="shared" ref="NR4:NR17" si="110">IF(SUM(ND4:NE4,NG4)-NF4&gt;0,SUM(ND4:NE4,NG4)-NF4,"")</f>
        <v/>
      </c>
      <c r="NS4" s="11" t="str">
        <f t="shared" ref="NS4:NS17" si="111">IF(SUM(MW4,NA4,NE4)&gt;0,SUM(MW4,NA4,NE4),"")</f>
        <v/>
      </c>
      <c r="NT4" s="11" t="str">
        <f t="shared" ref="NT4:NT17" si="112">IF(SUM(NQ4,NR4)&gt;0,SUM(NQ4,NR4),"")</f>
        <v/>
      </c>
      <c r="NU4" s="11" t="str">
        <f t="shared" ref="NU4:NU17" si="113">IF(SUM(NI4,NM4)&gt;0,SUM(NI4,NM4),"")</f>
        <v/>
      </c>
      <c r="NV4" s="11" t="str">
        <f t="shared" ref="NV4:NV17" si="114">IF(SUM(NH4:NI4,NK4:NM4,NO4)-SUM(NJ4,NN4)&gt;0,SUM(NH4:NI4,NK4:NM4,NO4)-SUM(NJ4,NN4),"")</f>
        <v/>
      </c>
      <c r="NW4" s="11" t="str">
        <f t="shared" ref="NW4:NW17" si="115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17" si="116">IF(SUM(NY4,OC4)&gt;0,SUM(NY4,OC4),"")</f>
        <v/>
      </c>
      <c r="OS4" s="40" t="str">
        <f t="shared" ref="OS4:OS17" si="117">IF(SUM(NX4:NY4,OA4:OC4,OE4)-NZ4-OD4&gt;0,SUM(NX4:NY4,OA4:OC4,OE4)-NZ4-OD4,"")</f>
        <v/>
      </c>
      <c r="OT4" s="40" t="str">
        <f t="shared" ref="OT4:OT17" si="118">IF(SUM(OF4:OG4,OI4)-OH4&gt;0,SUM(OF4:OG4,OI4)-OH4,"")</f>
        <v/>
      </c>
      <c r="OU4" s="40" t="str">
        <f t="shared" ref="OU4:OU17" si="119">IF(SUM(NY4,OC4,OG4)&gt;0,SUM(NY4,OC4,OG4),"")</f>
        <v/>
      </c>
      <c r="OV4" s="40" t="str">
        <f t="shared" ref="OV4:OV17" si="120">IF(SUM(OS4,OT4)&gt;0,SUM(OS4,OT4),"")</f>
        <v/>
      </c>
      <c r="OW4" s="40" t="str">
        <f t="shared" ref="OW4:OW17" si="121">IF(SUM(OK4,OO4)&gt;0,SUM(OK4,OO4),"")</f>
        <v/>
      </c>
      <c r="OX4" s="40" t="str">
        <f t="shared" ref="OX4:OX17" si="122">IF(SUM(OJ4:OK4,OM4:OO4,OQ4)-SUM(OL4,OP4)&gt;0,SUM(OJ4:OK4,OM4:OO4,OQ4)-SUM(OL4,OP4),"")</f>
        <v/>
      </c>
      <c r="OY4" s="40" t="str">
        <f t="shared" ref="OY4:OY17" si="123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17" si="124">IF(SUM(PA4,PE4)&gt;0,SUM(PA4,PE4),"")</f>
        <v/>
      </c>
      <c r="PU4" s="11" t="str">
        <f t="shared" ref="PU4:PU17" si="125">IF(SUM(OZ4:PA4,PC4:PE4,PG4)-PB4-PF4&gt;0,SUM(OZ4:PA4,PC4:PE4,PG4)-PB4-PF4,"")</f>
        <v/>
      </c>
      <c r="PV4" s="11" t="str">
        <f t="shared" ref="PV4:PV17" si="126">IF(SUM(PH4:PI4,PK4)-PJ4&gt;0,SUM(PH4:PI4,PK4)-PJ4,"")</f>
        <v/>
      </c>
      <c r="PW4" s="11" t="str">
        <f t="shared" ref="PW4:PW17" si="127">IF(SUM(PA4,PE4,PI4)&gt;0,SUM(PA4,PE4,PI4),"")</f>
        <v/>
      </c>
      <c r="PX4" s="11" t="str">
        <f t="shared" ref="PX4:PX17" si="128">IF(SUM(PU4,PV4)&gt;0,SUM(PU4,PV4),"")</f>
        <v/>
      </c>
      <c r="PY4" s="11" t="str">
        <f t="shared" ref="PY4:PY17" si="129">IF(SUM(PM4,PQ4)&gt;0,SUM(PM4,PQ4),"")</f>
        <v/>
      </c>
      <c r="PZ4" s="11" t="str">
        <f t="shared" ref="PZ4:PZ17" si="130">IF(SUM(PL4:PM4,PO4:PQ4,PS4)-SUM(PN4,PR4)&gt;0,SUM(PL4:PM4,PO4:PQ4,PS4)-SUM(PN4,PR4),"")</f>
        <v/>
      </c>
      <c r="QA4" s="11" t="str">
        <f t="shared" ref="QA4:QA17" si="131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17" si="132">IF(SUM(QC4,QG4)&gt;0,SUM(QC4,QG4),"")</f>
        <v/>
      </c>
      <c r="QW4" s="40" t="str">
        <f t="shared" ref="QW4:QW17" si="133">IF(SUM(QB4:QC4,QE4:QG4,QI4)-QD4-QH4&gt;0,SUM(QB4:QC4,QE4:QG4,QI4)-QD4-QH4,"")</f>
        <v/>
      </c>
      <c r="QX4" s="40" t="str">
        <f t="shared" ref="QX4:QX17" si="134">IF(SUM(QJ4:QK4,QM4)-QL4&gt;0,SUM(QJ4:QK4,QM4)-QL4,"")</f>
        <v/>
      </c>
      <c r="QY4" s="40" t="str">
        <f t="shared" ref="QY4:QY17" si="135">IF(SUM(QC4,QG4,QK4)&gt;0,SUM(QC4,QG4,QK4),"")</f>
        <v/>
      </c>
      <c r="QZ4" s="40" t="str">
        <f t="shared" ref="QZ4:QZ17" si="136">IF(SUM(QW4,QX4)&gt;0,SUM(QW4,QX4),"")</f>
        <v/>
      </c>
      <c r="RA4" s="40" t="str">
        <f t="shared" ref="RA4:RA17" si="137">IF(SUM(QO4,QS4)&gt;0,SUM(QO4,QS4),"")</f>
        <v/>
      </c>
      <c r="RB4" s="40" t="str">
        <f t="shared" ref="RB4:RB17" si="138">IF(SUM(QN4:QO4,QQ4:QS4,QU4)-SUM(QP4,QT4)&gt;0,SUM(QN4:QO4,QQ4:QS4,QU4)-SUM(QP4,QT4),"")</f>
        <v/>
      </c>
      <c r="RC4" s="40" t="str">
        <f t="shared" ref="RC4:RC17" si="139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17" si="140">IF(SUM(RE4,RI4)&gt;0,SUM(RE4,RI4),"")</f>
        <v/>
      </c>
      <c r="RY4" s="11" t="str">
        <f t="shared" ref="RY4:RY17" si="141">IF(SUM(RD4:RE4,RG4:RI4,RK4)-RF4-RJ4&gt;0,SUM(RD4:RE4,RG4:RI4,RK4)-RF4-RJ4,"")</f>
        <v/>
      </c>
      <c r="RZ4" s="11" t="str">
        <f t="shared" ref="RZ4:RZ17" si="142">IF(SUM(RL4:RM4,RO4)-RN4&gt;0,SUM(RL4:RM4,RO4)-RN4,"")</f>
        <v/>
      </c>
      <c r="SA4" s="11" t="str">
        <f t="shared" ref="SA4:SA17" si="143">IF(SUM(RE4,RI4,RM4)&gt;0,SUM(RE4,RI4,RM4),"")</f>
        <v/>
      </c>
      <c r="SB4" s="11" t="str">
        <f t="shared" ref="SB4:SB17" si="144">IF(SUM(RY4,RZ4)&gt;0,SUM(RY4,RZ4),"")</f>
        <v/>
      </c>
      <c r="SC4" s="11" t="str">
        <f t="shared" ref="SC4:SC17" si="145">IF(SUM(RQ4,RU4)&gt;0,SUM(RQ4,RU4),"")</f>
        <v/>
      </c>
      <c r="SD4" s="11" t="str">
        <f t="shared" ref="SD4:SD17" si="146">IF(SUM(RP4:RQ4,RS4:RU4,RW4)-SUM(RR4,RV4)&gt;0,SUM(RP4:RQ4,RS4:RU4,RW4)-SUM(RR4,RV4),"")</f>
        <v/>
      </c>
      <c r="SE4" s="11" t="str">
        <f t="shared" ref="SE4:SE17" si="147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17" si="148">IF(SUM(SG4,SK4)&gt;0,SUM(SG4,SK4),"")</f>
        <v/>
      </c>
      <c r="TA4" s="40" t="str">
        <f t="shared" ref="TA4:TA17" si="149">IF(SUM(SF4:SG4,SI4:SK4,SM4)-SH4-SL4&gt;0,SUM(SF4:SG4,SI4:SK4,SM4)-SH4-SL4,"")</f>
        <v/>
      </c>
      <c r="TB4" s="40" t="str">
        <f t="shared" ref="TB4:TB17" si="150">IF(SUM(SN4:SO4,SQ4)-SP4&gt;0,SUM(SN4:SO4,SQ4)-SP4,"")</f>
        <v/>
      </c>
      <c r="TC4" s="40" t="str">
        <f t="shared" ref="TC4:TC17" si="151">IF(SUM(SG4,SK4,SO4)&gt;0,SUM(SG4,SK4,SO4),"")</f>
        <v/>
      </c>
      <c r="TD4" s="40" t="str">
        <f t="shared" ref="TD4:TD17" si="152">IF(SUM(TA4,TB4)&gt;0,SUM(TA4,TB4),"")</f>
        <v/>
      </c>
      <c r="TE4" s="40" t="str">
        <f t="shared" ref="TE4:TE17" si="153">IF(SUM(SS4,SW4)&gt;0,SUM(SS4,SW4),"")</f>
        <v/>
      </c>
      <c r="TF4" s="40" t="str">
        <f t="shared" ref="TF4:TF17" si="154">IF(SUM(SR4:SS4,SU4:SW4,SY4)-SUM(ST4,SX4)&gt;0,SUM(SR4:SS4,SU4:SW4,SY4)-SUM(ST4,SX4),"")</f>
        <v/>
      </c>
      <c r="TG4" s="40" t="str">
        <f t="shared" ref="TG4:TG17" si="155">IF(SUM(TA4,TB4,TF4)&gt;0,SUM(TA4,TB4,TF4),"")</f>
        <v/>
      </c>
      <c r="TH4" s="26">
        <f t="shared" ref="TH4:TH17" si="156">IF($CS4="P",BY4,(BY4+AV4)/2)</f>
        <v>16.950000000000003</v>
      </c>
      <c r="TI4" s="26">
        <f t="shared" ref="TI4:TI17" si="157">IF($CS4="P",BZ4,(BZ4+AW4)/2)</f>
        <v>6.1</v>
      </c>
      <c r="TJ4" s="26">
        <f t="shared" ref="TJ4:TJ17" si="158">IF($CS4="P",CA4,(CA4+AX4)/2)</f>
        <v>0</v>
      </c>
      <c r="TK4" s="26">
        <f t="shared" ref="TK4:TK17" si="159">IF($CS4="P",CB4,(CB4+AY4)/2)</f>
        <v>0.5</v>
      </c>
      <c r="TL4" s="26">
        <f t="shared" ref="TL4:TL17" si="160">IF($CS4="P",CC4,(CC4+AZ4)/2)</f>
        <v>17.399999999999999</v>
      </c>
      <c r="TM4" s="26">
        <f t="shared" ref="TM4:TM17" si="161">IF($CS4="P",CD4,(CD4+BA4)/2)</f>
        <v>4.3</v>
      </c>
      <c r="TN4" s="26">
        <f t="shared" ref="TN4:TN17" si="162">IF($CS4="P",CE4,(CE4+BB4)/2)</f>
        <v>0</v>
      </c>
      <c r="TO4" s="26">
        <f t="shared" ref="TO4:TO17" si="163">IF($CS4="P",CF4,(CF4+BC4)/2)</f>
        <v>0.5</v>
      </c>
      <c r="TP4" s="26">
        <f t="shared" ref="TP4:TP17" si="164">IF($CS4="P",CG4,(CG4+BD4)/2)</f>
        <v>8.85</v>
      </c>
      <c r="TQ4" s="26">
        <f t="shared" ref="TQ4:TQ17" si="165">IF($CS4="P",CH4,(CH4+BE4)/2)</f>
        <v>2.15</v>
      </c>
      <c r="TR4" s="26">
        <f t="shared" ref="TR4:TR17" si="166">IF($CS4="P",CI4,(CI4+BF4)/2)</f>
        <v>0</v>
      </c>
      <c r="TS4" s="26">
        <f t="shared" ref="TS4:TS17" si="167">IF($CS4="P",CJ4,(CJ4+BG4)/2)</f>
        <v>0.15</v>
      </c>
      <c r="TT4" s="26">
        <f t="shared" ref="TT4:TT17" si="168">IF($CS4="P",CK4,(CK4+BH4)/2)</f>
        <v>16.200000000000003</v>
      </c>
      <c r="TU4" s="26">
        <f t="shared" ref="TU4:TU17" si="169">IF($CS4="P",CL4,(CL4+BI4)/2)</f>
        <v>4.9499999999999993</v>
      </c>
      <c r="TV4" s="26">
        <f t="shared" ref="TV4:TV17" si="170">IF($CS4="P",CM4,(CM4+BJ4)/2)</f>
        <v>0</v>
      </c>
      <c r="TW4" s="26">
        <f t="shared" ref="TW4:TW17" si="171">IF($CS4="P",CN4,(CN4+BK4)/2)</f>
        <v>0.5</v>
      </c>
      <c r="TX4" s="26">
        <f t="shared" ref="TX4:TX17" si="172">IF($CS4="P",CO4,(CO4+BL4)/2)</f>
        <v>17.75</v>
      </c>
      <c r="TY4" s="26">
        <f t="shared" ref="TY4:TY17" si="173">IF($CS4="P",CP4,(CP4+BM4)/2)</f>
        <v>4.3</v>
      </c>
      <c r="TZ4" s="26">
        <f t="shared" ref="TZ4:TZ17" si="174">IF($CS4="P",CQ4,(CQ4+BN4)/2)</f>
        <v>0</v>
      </c>
      <c r="UA4" s="26">
        <f t="shared" ref="UA4:UA17" si="175">IF($CS4="P",CR4,(CR4+BO4)/2)</f>
        <v>0.5</v>
      </c>
      <c r="UB4" s="28" t="s">
        <v>53</v>
      </c>
      <c r="UC4" s="11">
        <f t="shared" ref="UC4:UC17" si="176">IF(SUM(TI4,TM4)&gt;0,SUM(TI4,TM4),"")</f>
        <v>10.399999999999999</v>
      </c>
      <c r="UD4" s="11">
        <f t="shared" ref="UD4:UD17" si="177">IF(SUM(TH4:TI4,TK4:TM4,TO4)-TJ4-TN4&gt;0,SUM(TH4:TI4,TK4:TM4,TO4)-TJ4-TN4,"")</f>
        <v>45.75</v>
      </c>
      <c r="UE4" s="11">
        <f t="shared" ref="UE4:UE17" si="178">IF(SUM(TP4:TQ4,TS4)-TR4&gt;0,SUM(TP4:TQ4,TS4)-TR4,"")</f>
        <v>11.15</v>
      </c>
      <c r="UF4" s="11">
        <f t="shared" ref="UF4:UF17" si="179">IF(SUM(TI4,TM4,TQ4)&gt;0,SUM(TI4,TM4,TQ4),"")</f>
        <v>12.549999999999999</v>
      </c>
      <c r="UG4" s="11">
        <f t="shared" ref="UG4:UG17" si="180">IF(SUM(UD4,UE4)&gt;0,SUM(UD4,UE4),"")</f>
        <v>56.9</v>
      </c>
      <c r="UH4" s="11">
        <f t="shared" ref="UH4:UH17" si="181">IF(SUM(TU4,TY4)&gt;0,SUM(TU4,TY4),"")</f>
        <v>9.25</v>
      </c>
      <c r="UI4" s="11">
        <f t="shared" ref="UI4:UI17" si="182">IF(SUM(TT4:TU4,TW4:TY4,UA4)-SUM(TV4,TZ4)&gt;0,SUM(TT4:TU4,TW4:TY4,UA4)-SUM(TV4,TZ4),"")</f>
        <v>44.2</v>
      </c>
      <c r="UJ4" s="11">
        <f t="shared" ref="UJ4:UJ17" si="183">IF(SUM(UD4,UE4,UI4)&gt;0,SUM(UD4,UE4,UI4),"")</f>
        <v>101.1</v>
      </c>
    </row>
    <row r="5" spans="1:556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171</v>
      </c>
      <c r="C5" s="4" t="s">
        <v>5</v>
      </c>
      <c r="D5" s="4">
        <v>2006</v>
      </c>
      <c r="E5" s="9">
        <f t="shared" si="0"/>
        <v>137.00000902000451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IF(COUNT(AO5,BR5,CU5)&gt;0,LARGE((AO5,BR5,CU5),1),0)</f>
        <v>45.199999999999996</v>
      </c>
      <c r="K5" s="8" t="str">
        <f t="shared" si="5"/>
        <v>2024 Nationals</v>
      </c>
      <c r="L5" s="8">
        <f>IF(COUNT(AO5,BR5,CU5)&gt;1,LARGE((AO5,BR5,CU5),2),0)</f>
        <v>45.000000000000007</v>
      </c>
      <c r="M5" s="8" t="str">
        <f t="shared" si="6"/>
        <v>2025 Elite Canada</v>
      </c>
      <c r="N5" s="8">
        <f t="shared" si="7"/>
        <v>46.800000000000004</v>
      </c>
      <c r="O5" s="8" t="str">
        <f t="shared" si="8"/>
        <v>2025 Elite Canada</v>
      </c>
      <c r="P5" s="8" t="str">
        <f t="shared" si="9"/>
        <v/>
      </c>
      <c r="Q5" s="11" t="str">
        <f t="shared" ref="Q5:Q17" si="184">IF(P5="","",IF(P5=DB5,"("&amp;DB$2&amp;")",IF(P5=DC5,"("&amp;DC$2&amp;")")))</f>
        <v/>
      </c>
      <c r="R5" s="8" t="str">
        <f t="shared" ref="R5:R17" si="185"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17.2</v>
      </c>
      <c r="T5" s="19">
        <v>5</v>
      </c>
      <c r="U5" s="19">
        <v>0</v>
      </c>
      <c r="V5" s="19">
        <v>0.6</v>
      </c>
      <c r="W5" s="19">
        <v>17</v>
      </c>
      <c r="X5" s="19">
        <v>4.8</v>
      </c>
      <c r="Y5" s="19">
        <v>0</v>
      </c>
      <c r="Z5" s="19">
        <v>0.6</v>
      </c>
      <c r="AA5" s="19">
        <v>16.5</v>
      </c>
      <c r="AB5" s="19">
        <v>4.8</v>
      </c>
      <c r="AC5" s="19">
        <v>0</v>
      </c>
      <c r="AD5" s="19">
        <v>0.6</v>
      </c>
      <c r="AE5" s="19">
        <v>16.7</v>
      </c>
      <c r="AF5" s="19">
        <v>4.8</v>
      </c>
      <c r="AG5" s="19">
        <v>0</v>
      </c>
      <c r="AH5" s="19">
        <v>0.6</v>
      </c>
      <c r="AI5" s="19">
        <v>16.899999999999999</v>
      </c>
      <c r="AJ5" s="19">
        <v>5</v>
      </c>
      <c r="AK5" s="19">
        <v>0.2</v>
      </c>
      <c r="AL5" s="19">
        <v>0.6</v>
      </c>
      <c r="AM5" s="27"/>
      <c r="AN5" s="40">
        <f t="shared" si="10"/>
        <v>9.8000000000000007</v>
      </c>
      <c r="AO5" s="40">
        <f t="shared" si="11"/>
        <v>45.199999999999996</v>
      </c>
      <c r="AP5" s="40">
        <f t="shared" si="12"/>
        <v>21.900000000000002</v>
      </c>
      <c r="AQ5" s="40">
        <f t="shared" si="13"/>
        <v>14.600000000000001</v>
      </c>
      <c r="AR5" s="40">
        <f t="shared" si="14"/>
        <v>67.099999999999994</v>
      </c>
      <c r="AS5" s="40">
        <f t="shared" si="15"/>
        <v>9.8000000000000007</v>
      </c>
      <c r="AT5" s="40">
        <f t="shared" si="16"/>
        <v>44.4</v>
      </c>
      <c r="AU5" s="40">
        <f t="shared" si="17"/>
        <v>111.5</v>
      </c>
      <c r="AV5" s="18">
        <v>16.2</v>
      </c>
      <c r="AW5" s="18">
        <v>3.6</v>
      </c>
      <c r="AX5" s="18">
        <v>0.2</v>
      </c>
      <c r="AY5" s="18">
        <v>0</v>
      </c>
      <c r="AZ5" s="18">
        <v>16.3</v>
      </c>
      <c r="BA5" s="18">
        <v>3.9</v>
      </c>
      <c r="BB5" s="18">
        <v>0</v>
      </c>
      <c r="BC5" s="18">
        <v>0.3</v>
      </c>
      <c r="BD5" s="18">
        <v>16.8</v>
      </c>
      <c r="BE5" s="18">
        <v>4.8</v>
      </c>
      <c r="BF5" s="18">
        <v>0</v>
      </c>
      <c r="BG5" s="18">
        <v>0.6</v>
      </c>
      <c r="BH5" s="18">
        <v>18.100000000000001</v>
      </c>
      <c r="BI5" s="18">
        <v>3.6</v>
      </c>
      <c r="BJ5" s="18">
        <v>0</v>
      </c>
      <c r="BK5" s="18">
        <v>0</v>
      </c>
      <c r="BL5" s="18">
        <v>17.100000000000001</v>
      </c>
      <c r="BM5" s="18">
        <v>4.0999999999999996</v>
      </c>
      <c r="BN5" s="18">
        <v>0</v>
      </c>
      <c r="BO5" s="18">
        <v>0.3</v>
      </c>
      <c r="BP5" s="28"/>
      <c r="BQ5" s="11">
        <f t="shared" si="18"/>
        <v>7.5</v>
      </c>
      <c r="BR5" s="11">
        <f t="shared" si="19"/>
        <v>40.099999999999994</v>
      </c>
      <c r="BS5" s="11">
        <f t="shared" si="20"/>
        <v>22.200000000000003</v>
      </c>
      <c r="BT5" s="11">
        <f t="shared" si="21"/>
        <v>12.3</v>
      </c>
      <c r="BU5" s="11">
        <f t="shared" si="22"/>
        <v>62.3</v>
      </c>
      <c r="BV5" s="11">
        <f t="shared" si="23"/>
        <v>7.6999999999999993</v>
      </c>
      <c r="BW5" s="11">
        <f t="shared" si="24"/>
        <v>43.2</v>
      </c>
      <c r="BX5" s="11">
        <f t="shared" si="25"/>
        <v>105.5</v>
      </c>
      <c r="BY5" s="19">
        <v>17.7</v>
      </c>
      <c r="BZ5" s="19">
        <v>4.3</v>
      </c>
      <c r="CA5" s="19">
        <v>0</v>
      </c>
      <c r="CB5" s="19">
        <v>0.7</v>
      </c>
      <c r="CC5" s="19">
        <v>15.5</v>
      </c>
      <c r="CD5" s="19">
        <v>6.1</v>
      </c>
      <c r="CE5" s="19">
        <v>0</v>
      </c>
      <c r="CF5" s="19">
        <v>0.7</v>
      </c>
      <c r="CG5" s="19"/>
      <c r="CH5" s="19"/>
      <c r="CI5" s="19"/>
      <c r="CJ5" s="19"/>
      <c r="CK5" s="19">
        <v>18.100000000000001</v>
      </c>
      <c r="CL5" s="19">
        <v>4.3</v>
      </c>
      <c r="CM5" s="19">
        <v>0</v>
      </c>
      <c r="CN5" s="19">
        <v>0.7</v>
      </c>
      <c r="CO5" s="19">
        <v>16.899999999999999</v>
      </c>
      <c r="CP5" s="19">
        <v>6.1</v>
      </c>
      <c r="CQ5" s="19">
        <v>0</v>
      </c>
      <c r="CR5" s="19">
        <v>0.7</v>
      </c>
      <c r="CS5" s="27"/>
      <c r="CT5" s="40">
        <f t="shared" si="26"/>
        <v>10.399999999999999</v>
      </c>
      <c r="CU5" s="40">
        <f t="shared" si="27"/>
        <v>45.000000000000007</v>
      </c>
      <c r="CV5" s="40" t="str">
        <f t="shared" si="28"/>
        <v/>
      </c>
      <c r="CW5" s="40">
        <f t="shared" si="29"/>
        <v>10.399999999999999</v>
      </c>
      <c r="CX5" s="40">
        <f t="shared" si="30"/>
        <v>45.000000000000007</v>
      </c>
      <c r="CY5" s="40">
        <f t="shared" si="31"/>
        <v>10.399999999999999</v>
      </c>
      <c r="CZ5" s="40">
        <f t="shared" si="32"/>
        <v>46.800000000000004</v>
      </c>
      <c r="DA5" s="40">
        <f t="shared" si="33"/>
        <v>91.800000000000011</v>
      </c>
      <c r="DB5" s="51" t="str">
        <f t="shared" si="34"/>
        <v/>
      </c>
      <c r="DC5" s="51" t="str">
        <f t="shared" si="35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6"/>
        <v/>
      </c>
      <c r="DY5" s="40" t="str">
        <f t="shared" si="37"/>
        <v/>
      </c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18">
        <v>16.600000000000001</v>
      </c>
      <c r="EG5" s="18">
        <v>3.8</v>
      </c>
      <c r="EH5" s="18">
        <v>0</v>
      </c>
      <c r="EI5" s="18">
        <v>0</v>
      </c>
      <c r="EJ5" s="18">
        <v>17</v>
      </c>
      <c r="EK5" s="18">
        <v>4.8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 t="shared" si="44"/>
        <v>8.6</v>
      </c>
      <c r="FA5" s="11">
        <f t="shared" si="45"/>
        <v>42.2</v>
      </c>
      <c r="FB5" s="11" t="str">
        <f t="shared" si="46"/>
        <v/>
      </c>
      <c r="FC5" s="11">
        <f t="shared" si="47"/>
        <v>8.6</v>
      </c>
      <c r="FD5" s="11">
        <f t="shared" si="48"/>
        <v>42.2</v>
      </c>
      <c r="FE5" s="11" t="str">
        <f t="shared" si="49"/>
        <v/>
      </c>
      <c r="FF5" s="11" t="str">
        <f t="shared" si="50"/>
        <v/>
      </c>
      <c r="FG5" s="11">
        <f t="shared" si="51"/>
        <v>42.2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2"/>
        <v/>
      </c>
      <c r="GC5" s="40" t="str">
        <f t="shared" si="53"/>
        <v/>
      </c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0"/>
        <v/>
      </c>
      <c r="HE5" s="11" t="str">
        <f t="shared" si="61"/>
        <v/>
      </c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68"/>
        <v/>
      </c>
      <c r="IG5" s="40" t="str">
        <f t="shared" si="69"/>
        <v/>
      </c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6"/>
        <v/>
      </c>
      <c r="JI5" s="11" t="str">
        <f t="shared" si="77"/>
        <v/>
      </c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4"/>
        <v/>
      </c>
      <c r="KK5" s="40" t="str">
        <f t="shared" si="85"/>
        <v/>
      </c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2"/>
        <v/>
      </c>
      <c r="LM5" s="11" t="str">
        <f t="shared" si="93"/>
        <v/>
      </c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0"/>
        <v/>
      </c>
      <c r="MO5" s="40" t="str">
        <f t="shared" si="101"/>
        <v/>
      </c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08"/>
        <v/>
      </c>
      <c r="NQ5" s="11" t="str">
        <f t="shared" si="109"/>
        <v/>
      </c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6"/>
        <v/>
      </c>
      <c r="OS5" s="40" t="str">
        <f t="shared" si="117"/>
        <v/>
      </c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4"/>
        <v/>
      </c>
      <c r="PU5" s="11" t="str">
        <f t="shared" si="125"/>
        <v/>
      </c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2"/>
        <v/>
      </c>
      <c r="QW5" s="40" t="str">
        <f t="shared" si="133"/>
        <v/>
      </c>
      <c r="QX5" s="40" t="str">
        <f t="shared" si="134"/>
        <v/>
      </c>
      <c r="QY5" s="40" t="str">
        <f t="shared" si="135"/>
        <v/>
      </c>
      <c r="QZ5" s="40" t="str">
        <f t="shared" si="136"/>
        <v/>
      </c>
      <c r="RA5" s="40" t="str">
        <f t="shared" si="137"/>
        <v/>
      </c>
      <c r="RB5" s="40" t="str">
        <f t="shared" si="138"/>
        <v/>
      </c>
      <c r="RC5" s="40" t="str">
        <f t="shared" si="139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0"/>
        <v/>
      </c>
      <c r="RY5" s="11" t="str">
        <f t="shared" si="141"/>
        <v/>
      </c>
      <c r="RZ5" s="11" t="str">
        <f t="shared" si="142"/>
        <v/>
      </c>
      <c r="SA5" s="11" t="str">
        <f t="shared" si="143"/>
        <v/>
      </c>
      <c r="SB5" s="11" t="str">
        <f t="shared" si="144"/>
        <v/>
      </c>
      <c r="SC5" s="11" t="str">
        <f t="shared" si="145"/>
        <v/>
      </c>
      <c r="SD5" s="11" t="str">
        <f t="shared" si="146"/>
        <v/>
      </c>
      <c r="SE5" s="11" t="str">
        <f t="shared" si="147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48"/>
        <v/>
      </c>
      <c r="TA5" s="40" t="str">
        <f t="shared" si="149"/>
        <v/>
      </c>
      <c r="TB5" s="40" t="str">
        <f t="shared" si="150"/>
        <v/>
      </c>
      <c r="TC5" s="40" t="str">
        <f t="shared" si="151"/>
        <v/>
      </c>
      <c r="TD5" s="40" t="str">
        <f t="shared" si="152"/>
        <v/>
      </c>
      <c r="TE5" s="40" t="str">
        <f t="shared" si="153"/>
        <v/>
      </c>
      <c r="TF5" s="40" t="str">
        <f t="shared" si="154"/>
        <v/>
      </c>
      <c r="TG5" s="40" t="str">
        <f t="shared" si="155"/>
        <v/>
      </c>
      <c r="TH5" s="26">
        <f t="shared" si="156"/>
        <v>16.95</v>
      </c>
      <c r="TI5" s="26">
        <f t="shared" si="157"/>
        <v>3.95</v>
      </c>
      <c r="TJ5" s="26">
        <f t="shared" si="158"/>
        <v>0.1</v>
      </c>
      <c r="TK5" s="26">
        <f t="shared" si="159"/>
        <v>0.35</v>
      </c>
      <c r="TL5" s="26">
        <f t="shared" si="160"/>
        <v>15.9</v>
      </c>
      <c r="TM5" s="26">
        <f t="shared" si="161"/>
        <v>5</v>
      </c>
      <c r="TN5" s="26">
        <f t="shared" si="162"/>
        <v>0</v>
      </c>
      <c r="TO5" s="26">
        <f t="shared" si="163"/>
        <v>0.5</v>
      </c>
      <c r="TP5" s="26">
        <f t="shared" si="164"/>
        <v>8.4</v>
      </c>
      <c r="TQ5" s="26">
        <f t="shared" si="165"/>
        <v>2.4</v>
      </c>
      <c r="TR5" s="26">
        <f t="shared" si="166"/>
        <v>0</v>
      </c>
      <c r="TS5" s="26">
        <f t="shared" si="167"/>
        <v>0.3</v>
      </c>
      <c r="TT5" s="26">
        <f t="shared" si="168"/>
        <v>18.100000000000001</v>
      </c>
      <c r="TU5" s="26">
        <f t="shared" si="169"/>
        <v>3.95</v>
      </c>
      <c r="TV5" s="26">
        <f t="shared" si="170"/>
        <v>0</v>
      </c>
      <c r="TW5" s="26">
        <f t="shared" si="171"/>
        <v>0.35</v>
      </c>
      <c r="TX5" s="26">
        <f t="shared" si="172"/>
        <v>17</v>
      </c>
      <c r="TY5" s="26">
        <f t="shared" si="173"/>
        <v>5.0999999999999996</v>
      </c>
      <c r="TZ5" s="26">
        <f t="shared" si="174"/>
        <v>0</v>
      </c>
      <c r="UA5" s="26">
        <f t="shared" si="175"/>
        <v>0.5</v>
      </c>
      <c r="UB5" s="28" t="s">
        <v>53</v>
      </c>
      <c r="UC5" s="11">
        <f t="shared" si="176"/>
        <v>8.9499999999999993</v>
      </c>
      <c r="UD5" s="11">
        <f t="shared" si="177"/>
        <v>42.55</v>
      </c>
      <c r="UE5" s="11">
        <f t="shared" si="178"/>
        <v>11.100000000000001</v>
      </c>
      <c r="UF5" s="11">
        <f t="shared" si="179"/>
        <v>11.35</v>
      </c>
      <c r="UG5" s="11">
        <f t="shared" si="180"/>
        <v>53.65</v>
      </c>
      <c r="UH5" s="11">
        <f t="shared" si="181"/>
        <v>9.0500000000000007</v>
      </c>
      <c r="UI5" s="11">
        <f t="shared" si="182"/>
        <v>45.000000000000007</v>
      </c>
      <c r="UJ5" s="11">
        <f t="shared" si="183"/>
        <v>98.65</v>
      </c>
    </row>
    <row r="6" spans="1:556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74</v>
      </c>
      <c r="C6" s="4" t="s">
        <v>6</v>
      </c>
      <c r="D6" s="4">
        <v>2003</v>
      </c>
      <c r="E6" s="9">
        <f t="shared" si="0"/>
        <v>131.30000859000432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IF(COUNT(AO6,BR6,CU6)&gt;0,LARGE((AO6,BR6,CU6),1),0)</f>
        <v>43.2</v>
      </c>
      <c r="K6" s="8" t="str">
        <f t="shared" si="5"/>
        <v>2025 Elite Canada</v>
      </c>
      <c r="L6" s="8">
        <f>IF(COUNT(AO6,BR6,CU6)&gt;1,LARGE((AO6,BR6,CU6),2),0)</f>
        <v>42.7</v>
      </c>
      <c r="M6" s="8" t="str">
        <f t="shared" si="6"/>
        <v>2024 3rd Domestic Trial</v>
      </c>
      <c r="N6" s="8">
        <f t="shared" si="7"/>
        <v>45.400000000000006</v>
      </c>
      <c r="O6" s="8" t="str">
        <f t="shared" si="8"/>
        <v>2024 3rd Domestic Trial</v>
      </c>
      <c r="P6" s="8" t="str">
        <f t="shared" si="9"/>
        <v/>
      </c>
      <c r="Q6" s="11" t="str">
        <f t="shared" si="184"/>
        <v/>
      </c>
      <c r="R6" s="8" t="str">
        <f t="shared" si="185"/>
        <v/>
      </c>
      <c r="S6" s="19">
        <v>16.7</v>
      </c>
      <c r="T6" s="19">
        <v>5</v>
      </c>
      <c r="U6" s="19">
        <v>0</v>
      </c>
      <c r="V6" s="19">
        <v>0.6</v>
      </c>
      <c r="W6" s="19">
        <v>16.100000000000001</v>
      </c>
      <c r="X6" s="19">
        <v>2.6</v>
      </c>
      <c r="Y6" s="19">
        <v>0</v>
      </c>
      <c r="Z6" s="19">
        <v>0.6</v>
      </c>
      <c r="AA6" s="19">
        <v>15.6</v>
      </c>
      <c r="AB6" s="19">
        <v>2.6</v>
      </c>
      <c r="AC6" s="19">
        <v>0</v>
      </c>
      <c r="AD6" s="19">
        <v>0.6</v>
      </c>
      <c r="AE6" s="19">
        <v>15.9</v>
      </c>
      <c r="AF6" s="19">
        <v>5.3</v>
      </c>
      <c r="AG6" s="19">
        <v>0</v>
      </c>
      <c r="AH6" s="19">
        <v>0.6</v>
      </c>
      <c r="AI6" s="19">
        <v>16.100000000000001</v>
      </c>
      <c r="AJ6" s="19">
        <v>5.5</v>
      </c>
      <c r="AK6" s="19">
        <v>0</v>
      </c>
      <c r="AL6" s="19">
        <v>0.6</v>
      </c>
      <c r="AM6" s="27"/>
      <c r="AN6" s="40">
        <f t="shared" si="10"/>
        <v>7.6</v>
      </c>
      <c r="AO6" s="40">
        <f t="shared" si="11"/>
        <v>41.600000000000009</v>
      </c>
      <c r="AP6" s="40">
        <f t="shared" si="12"/>
        <v>18.8</v>
      </c>
      <c r="AQ6" s="40">
        <f t="shared" si="13"/>
        <v>10.199999999999999</v>
      </c>
      <c r="AR6" s="40">
        <f t="shared" si="14"/>
        <v>60.400000000000006</v>
      </c>
      <c r="AS6" s="40">
        <f t="shared" si="15"/>
        <v>10.8</v>
      </c>
      <c r="AT6" s="40">
        <f t="shared" si="16"/>
        <v>44.000000000000007</v>
      </c>
      <c r="AU6" s="40">
        <f t="shared" si="17"/>
        <v>104.4</v>
      </c>
      <c r="AV6" s="18">
        <v>15</v>
      </c>
      <c r="AW6" s="18">
        <v>5</v>
      </c>
      <c r="AX6" s="18">
        <v>0.2</v>
      </c>
      <c r="AY6" s="18">
        <v>0.6</v>
      </c>
      <c r="AZ6" s="18">
        <v>16.5</v>
      </c>
      <c r="BA6" s="18">
        <v>5.2</v>
      </c>
      <c r="BB6" s="18">
        <v>0</v>
      </c>
      <c r="BC6" s="18">
        <v>0.6</v>
      </c>
      <c r="BD6" s="18">
        <v>16.8</v>
      </c>
      <c r="BE6" s="18">
        <v>5</v>
      </c>
      <c r="BF6" s="18">
        <v>0</v>
      </c>
      <c r="BG6" s="18">
        <v>0.6</v>
      </c>
      <c r="BH6" s="18">
        <v>17.100000000000001</v>
      </c>
      <c r="BI6" s="18">
        <v>5</v>
      </c>
      <c r="BJ6" s="18">
        <v>0</v>
      </c>
      <c r="BK6" s="18">
        <v>0.6</v>
      </c>
      <c r="BL6" s="18">
        <v>16.899999999999999</v>
      </c>
      <c r="BM6" s="18">
        <v>5.2</v>
      </c>
      <c r="BN6" s="18">
        <v>0</v>
      </c>
      <c r="BO6" s="18">
        <v>0.6</v>
      </c>
      <c r="BP6" s="28"/>
      <c r="BQ6" s="11">
        <f t="shared" si="18"/>
        <v>10.199999999999999</v>
      </c>
      <c r="BR6" s="11">
        <f t="shared" si="19"/>
        <v>42.7</v>
      </c>
      <c r="BS6" s="11">
        <f t="shared" si="20"/>
        <v>22.400000000000002</v>
      </c>
      <c r="BT6" s="11">
        <f t="shared" si="21"/>
        <v>15.2</v>
      </c>
      <c r="BU6" s="11">
        <f t="shared" si="22"/>
        <v>65.100000000000009</v>
      </c>
      <c r="BV6" s="11">
        <f t="shared" si="23"/>
        <v>10.199999999999999</v>
      </c>
      <c r="BW6" s="11">
        <f t="shared" si="24"/>
        <v>45.400000000000006</v>
      </c>
      <c r="BX6" s="11">
        <f t="shared" si="25"/>
        <v>110.50000000000001</v>
      </c>
      <c r="BY6" s="19">
        <v>15</v>
      </c>
      <c r="BZ6" s="19">
        <v>5</v>
      </c>
      <c r="CA6" s="19">
        <v>0</v>
      </c>
      <c r="CB6" s="19">
        <v>0.7</v>
      </c>
      <c r="CC6" s="19">
        <v>16.600000000000001</v>
      </c>
      <c r="CD6" s="19">
        <v>5.2</v>
      </c>
      <c r="CE6" s="19">
        <v>0</v>
      </c>
      <c r="CF6" s="19">
        <v>0.7</v>
      </c>
      <c r="CG6" s="19"/>
      <c r="CH6" s="19"/>
      <c r="CI6" s="19"/>
      <c r="CJ6" s="19"/>
      <c r="CK6" s="19">
        <v>16.5</v>
      </c>
      <c r="CL6" s="19">
        <v>5</v>
      </c>
      <c r="CM6" s="19">
        <v>0</v>
      </c>
      <c r="CN6" s="19">
        <v>0.7</v>
      </c>
      <c r="CO6" s="19">
        <v>14.7</v>
      </c>
      <c r="CP6" s="19">
        <v>5.2</v>
      </c>
      <c r="CQ6" s="19">
        <v>0.2</v>
      </c>
      <c r="CR6" s="19">
        <v>0.7</v>
      </c>
      <c r="CS6" s="27"/>
      <c r="CT6" s="40">
        <f t="shared" si="26"/>
        <v>10.199999999999999</v>
      </c>
      <c r="CU6" s="40">
        <f t="shared" si="27"/>
        <v>43.2</v>
      </c>
      <c r="CV6" s="40" t="str">
        <f t="shared" si="28"/>
        <v/>
      </c>
      <c r="CW6" s="40">
        <f t="shared" si="29"/>
        <v>10.199999999999999</v>
      </c>
      <c r="CX6" s="40">
        <f t="shared" si="30"/>
        <v>43.2</v>
      </c>
      <c r="CY6" s="40">
        <f t="shared" si="31"/>
        <v>10.199999999999999</v>
      </c>
      <c r="CZ6" s="40">
        <f t="shared" si="32"/>
        <v>42.6</v>
      </c>
      <c r="DA6" s="40">
        <f t="shared" si="33"/>
        <v>85.800000000000011</v>
      </c>
      <c r="DB6" s="51" t="str">
        <f t="shared" si="34"/>
        <v/>
      </c>
      <c r="DC6" s="51" t="str">
        <f t="shared" si="35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6"/>
        <v/>
      </c>
      <c r="DY6" s="40" t="str">
        <f t="shared" si="37"/>
        <v/>
      </c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4"/>
        <v/>
      </c>
      <c r="FA6" s="11" t="str">
        <f t="shared" si="45"/>
        <v/>
      </c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2"/>
        <v/>
      </c>
      <c r="GC6" s="40" t="str">
        <f t="shared" si="53"/>
        <v/>
      </c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0"/>
        <v/>
      </c>
      <c r="HE6" s="11" t="str">
        <f t="shared" si="61"/>
        <v/>
      </c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68"/>
        <v/>
      </c>
      <c r="IG6" s="40" t="str">
        <f t="shared" si="69"/>
        <v/>
      </c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6"/>
        <v/>
      </c>
      <c r="JI6" s="11" t="str">
        <f t="shared" si="77"/>
        <v/>
      </c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4"/>
        <v/>
      </c>
      <c r="KK6" s="40" t="str">
        <f t="shared" si="85"/>
        <v/>
      </c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2"/>
        <v/>
      </c>
      <c r="LM6" s="11" t="str">
        <f t="shared" si="93"/>
        <v/>
      </c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0"/>
        <v/>
      </c>
      <c r="MO6" s="40" t="str">
        <f t="shared" si="101"/>
        <v/>
      </c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08"/>
        <v/>
      </c>
      <c r="NQ6" s="11" t="str">
        <f t="shared" si="109"/>
        <v/>
      </c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6"/>
        <v/>
      </c>
      <c r="OS6" s="40" t="str">
        <f t="shared" si="117"/>
        <v/>
      </c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4"/>
        <v/>
      </c>
      <c r="PU6" s="11" t="str">
        <f t="shared" si="125"/>
        <v/>
      </c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2"/>
        <v/>
      </c>
      <c r="QW6" s="40" t="str">
        <f t="shared" si="133"/>
        <v/>
      </c>
      <c r="QX6" s="40" t="str">
        <f t="shared" si="134"/>
        <v/>
      </c>
      <c r="QY6" s="40" t="str">
        <f t="shared" si="135"/>
        <v/>
      </c>
      <c r="QZ6" s="40" t="str">
        <f t="shared" si="136"/>
        <v/>
      </c>
      <c r="RA6" s="40" t="str">
        <f t="shared" si="137"/>
        <v/>
      </c>
      <c r="RB6" s="40" t="str">
        <f t="shared" si="138"/>
        <v/>
      </c>
      <c r="RC6" s="40" t="str">
        <f t="shared" si="139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0"/>
        <v/>
      </c>
      <c r="RY6" s="11" t="str">
        <f t="shared" si="141"/>
        <v/>
      </c>
      <c r="RZ6" s="11" t="str">
        <f t="shared" si="142"/>
        <v/>
      </c>
      <c r="SA6" s="11" t="str">
        <f t="shared" si="143"/>
        <v/>
      </c>
      <c r="SB6" s="11" t="str">
        <f t="shared" si="144"/>
        <v/>
      </c>
      <c r="SC6" s="11" t="str">
        <f t="shared" si="145"/>
        <v/>
      </c>
      <c r="SD6" s="11" t="str">
        <f t="shared" si="146"/>
        <v/>
      </c>
      <c r="SE6" s="11" t="str">
        <f t="shared" si="147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48"/>
        <v/>
      </c>
      <c r="TA6" s="40" t="str">
        <f t="shared" si="149"/>
        <v/>
      </c>
      <c r="TB6" s="40" t="str">
        <f t="shared" si="150"/>
        <v/>
      </c>
      <c r="TC6" s="40" t="str">
        <f t="shared" si="151"/>
        <v/>
      </c>
      <c r="TD6" s="40" t="str">
        <f t="shared" si="152"/>
        <v/>
      </c>
      <c r="TE6" s="40" t="str">
        <f t="shared" si="153"/>
        <v/>
      </c>
      <c r="TF6" s="40" t="str">
        <f t="shared" si="154"/>
        <v/>
      </c>
      <c r="TG6" s="40" t="str">
        <f t="shared" si="155"/>
        <v/>
      </c>
      <c r="TH6" s="26">
        <f t="shared" si="156"/>
        <v>15</v>
      </c>
      <c r="TI6" s="26">
        <f t="shared" si="157"/>
        <v>5</v>
      </c>
      <c r="TJ6" s="26">
        <f t="shared" si="158"/>
        <v>0.1</v>
      </c>
      <c r="TK6" s="26">
        <f t="shared" si="159"/>
        <v>0.64999999999999991</v>
      </c>
      <c r="TL6" s="26">
        <f t="shared" si="160"/>
        <v>16.55</v>
      </c>
      <c r="TM6" s="26">
        <f t="shared" si="161"/>
        <v>5.2</v>
      </c>
      <c r="TN6" s="26">
        <f t="shared" si="162"/>
        <v>0</v>
      </c>
      <c r="TO6" s="26">
        <f t="shared" si="163"/>
        <v>0.64999999999999991</v>
      </c>
      <c r="TP6" s="26">
        <f t="shared" si="164"/>
        <v>8.4</v>
      </c>
      <c r="TQ6" s="26">
        <f t="shared" si="165"/>
        <v>2.5</v>
      </c>
      <c r="TR6" s="26">
        <f t="shared" si="166"/>
        <v>0</v>
      </c>
      <c r="TS6" s="26">
        <f t="shared" si="167"/>
        <v>0.3</v>
      </c>
      <c r="TT6" s="26">
        <f t="shared" si="168"/>
        <v>16.8</v>
      </c>
      <c r="TU6" s="26">
        <f t="shared" si="169"/>
        <v>5</v>
      </c>
      <c r="TV6" s="26">
        <f t="shared" si="170"/>
        <v>0</v>
      </c>
      <c r="TW6" s="26">
        <f t="shared" si="171"/>
        <v>0.64999999999999991</v>
      </c>
      <c r="TX6" s="26">
        <f t="shared" si="172"/>
        <v>15.799999999999999</v>
      </c>
      <c r="TY6" s="26">
        <f t="shared" si="173"/>
        <v>5.2</v>
      </c>
      <c r="TZ6" s="26">
        <f t="shared" si="174"/>
        <v>0.1</v>
      </c>
      <c r="UA6" s="26">
        <f t="shared" si="175"/>
        <v>0.64999999999999991</v>
      </c>
      <c r="UB6" s="28" t="s">
        <v>53</v>
      </c>
      <c r="UC6" s="11">
        <f t="shared" si="176"/>
        <v>10.199999999999999</v>
      </c>
      <c r="UD6" s="11">
        <f t="shared" si="177"/>
        <v>42.95</v>
      </c>
      <c r="UE6" s="11">
        <f t="shared" si="178"/>
        <v>11.200000000000001</v>
      </c>
      <c r="UF6" s="11">
        <f t="shared" si="179"/>
        <v>12.7</v>
      </c>
      <c r="UG6" s="11">
        <f t="shared" si="180"/>
        <v>54.150000000000006</v>
      </c>
      <c r="UH6" s="11">
        <f t="shared" si="181"/>
        <v>10.199999999999999</v>
      </c>
      <c r="UI6" s="11">
        <f t="shared" si="182"/>
        <v>44</v>
      </c>
      <c r="UJ6" s="11">
        <f t="shared" si="183"/>
        <v>98.15</v>
      </c>
    </row>
    <row r="7" spans="1:556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150</v>
      </c>
      <c r="C7" s="4" t="s">
        <v>5</v>
      </c>
      <c r="D7" s="4">
        <v>2003</v>
      </c>
      <c r="E7" s="9">
        <f t="shared" si="0"/>
        <v>129.30000881000444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IF(COUNT(AO7,BR7,CU7)&gt;0,LARGE((AO7,BR7,CU7),1),0)</f>
        <v>44.300000000000004</v>
      </c>
      <c r="K7" s="8" t="str">
        <f t="shared" si="5"/>
        <v>2025 Elite Canada</v>
      </c>
      <c r="L7" s="8">
        <f>IF(COUNT(AO7,BR7,CU7)&gt;1,LARGE((AO7,BR7,CU7),2),0)</f>
        <v>43.800000000000004</v>
      </c>
      <c r="M7" s="8" t="str">
        <f t="shared" si="6"/>
        <v>2024 3rd Domestic Trial</v>
      </c>
      <c r="N7" s="8">
        <f t="shared" si="7"/>
        <v>41.2</v>
      </c>
      <c r="O7" s="8" t="str">
        <f t="shared" si="8"/>
        <v>2024 3rd Domestic Trial</v>
      </c>
      <c r="P7" s="8" t="str">
        <f t="shared" si="9"/>
        <v/>
      </c>
      <c r="Q7" s="11" t="str">
        <f t="shared" si="184"/>
        <v/>
      </c>
      <c r="R7" s="8" t="str">
        <f t="shared" si="185"/>
        <v/>
      </c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27"/>
      <c r="AN7" s="40" t="str">
        <f t="shared" si="10"/>
        <v/>
      </c>
      <c r="AO7" s="40" t="str">
        <f t="shared" si="11"/>
        <v/>
      </c>
      <c r="AP7" s="40" t="str">
        <f t="shared" si="12"/>
        <v/>
      </c>
      <c r="AQ7" s="40" t="str">
        <f t="shared" si="13"/>
        <v/>
      </c>
      <c r="AR7" s="40" t="str">
        <f t="shared" si="14"/>
        <v/>
      </c>
      <c r="AS7" s="40" t="str">
        <f t="shared" si="15"/>
        <v/>
      </c>
      <c r="AT7" s="40" t="str">
        <f t="shared" si="16"/>
        <v/>
      </c>
      <c r="AU7" s="40" t="str">
        <f t="shared" si="17"/>
        <v/>
      </c>
      <c r="AV7" s="18">
        <v>16.2</v>
      </c>
      <c r="AW7" s="18">
        <v>4.8</v>
      </c>
      <c r="AX7" s="18">
        <v>0</v>
      </c>
      <c r="AY7" s="18">
        <v>0.6</v>
      </c>
      <c r="AZ7" s="18">
        <v>16.600000000000001</v>
      </c>
      <c r="BA7" s="18">
        <v>5</v>
      </c>
      <c r="BB7" s="18">
        <v>0</v>
      </c>
      <c r="BC7" s="18">
        <v>0.6</v>
      </c>
      <c r="BD7" s="18">
        <v>16.399999999999999</v>
      </c>
      <c r="BE7" s="18">
        <v>4.5999999999999996</v>
      </c>
      <c r="BF7" s="18">
        <v>0</v>
      </c>
      <c r="BG7" s="18">
        <v>0.6</v>
      </c>
      <c r="BH7" s="18">
        <v>16.899999999999999</v>
      </c>
      <c r="BI7" s="18">
        <v>4.8</v>
      </c>
      <c r="BJ7" s="18">
        <v>0</v>
      </c>
      <c r="BK7" s="18">
        <v>0.6</v>
      </c>
      <c r="BL7" s="18">
        <v>15.7</v>
      </c>
      <c r="BM7" s="18">
        <v>2.6</v>
      </c>
      <c r="BN7" s="18">
        <v>0</v>
      </c>
      <c r="BO7" s="18">
        <v>0.6</v>
      </c>
      <c r="BP7" s="28"/>
      <c r="BQ7" s="11">
        <f t="shared" si="18"/>
        <v>9.8000000000000007</v>
      </c>
      <c r="BR7" s="11">
        <f t="shared" si="19"/>
        <v>43.800000000000004</v>
      </c>
      <c r="BS7" s="11">
        <f t="shared" si="20"/>
        <v>21.6</v>
      </c>
      <c r="BT7" s="11">
        <f t="shared" si="21"/>
        <v>14.4</v>
      </c>
      <c r="BU7" s="11">
        <f t="shared" si="22"/>
        <v>65.400000000000006</v>
      </c>
      <c r="BV7" s="11">
        <f t="shared" si="23"/>
        <v>7.4</v>
      </c>
      <c r="BW7" s="11">
        <f t="shared" si="24"/>
        <v>41.2</v>
      </c>
      <c r="BX7" s="11">
        <f t="shared" si="25"/>
        <v>106.60000000000001</v>
      </c>
      <c r="BY7" s="19">
        <v>17.7</v>
      </c>
      <c r="BZ7" s="19">
        <v>4.0999999999999996</v>
      </c>
      <c r="CA7" s="19">
        <v>0</v>
      </c>
      <c r="CB7" s="19">
        <v>0</v>
      </c>
      <c r="CC7" s="19">
        <v>18.2</v>
      </c>
      <c r="CD7" s="19">
        <v>3.6</v>
      </c>
      <c r="CE7" s="19">
        <v>0</v>
      </c>
      <c r="CF7" s="19">
        <v>0.7</v>
      </c>
      <c r="CG7" s="19"/>
      <c r="CH7" s="19"/>
      <c r="CI7" s="19"/>
      <c r="CJ7" s="19"/>
      <c r="CK7" s="19">
        <v>14.3</v>
      </c>
      <c r="CL7" s="19">
        <v>2.9</v>
      </c>
      <c r="CM7" s="19">
        <v>1.1000000000000001</v>
      </c>
      <c r="CN7" s="19">
        <v>0.7</v>
      </c>
      <c r="CO7" s="19">
        <v>17.100000000000001</v>
      </c>
      <c r="CP7" s="19">
        <v>4.3</v>
      </c>
      <c r="CQ7" s="19">
        <v>0</v>
      </c>
      <c r="CR7" s="61">
        <v>0.7</v>
      </c>
      <c r="CS7" s="27"/>
      <c r="CT7" s="40">
        <f t="shared" si="26"/>
        <v>7.6999999999999993</v>
      </c>
      <c r="CU7" s="40">
        <f t="shared" si="27"/>
        <v>44.300000000000004</v>
      </c>
      <c r="CV7" s="40" t="str">
        <f t="shared" si="28"/>
        <v/>
      </c>
      <c r="CW7" s="40">
        <f t="shared" si="29"/>
        <v>7.6999999999999993</v>
      </c>
      <c r="CX7" s="40">
        <f t="shared" si="30"/>
        <v>44.300000000000004</v>
      </c>
      <c r="CY7" s="40">
        <f t="shared" si="31"/>
        <v>7.1999999999999993</v>
      </c>
      <c r="CZ7" s="40">
        <f t="shared" si="32"/>
        <v>38.9</v>
      </c>
      <c r="DA7" s="40">
        <f t="shared" si="33"/>
        <v>83.2</v>
      </c>
      <c r="DB7" s="51" t="str">
        <f t="shared" si="34"/>
        <v/>
      </c>
      <c r="DC7" s="51" t="str">
        <f t="shared" si="35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 t="shared" si="36"/>
        <v/>
      </c>
      <c r="DY7" s="40" t="str">
        <f t="shared" si="37"/>
        <v/>
      </c>
      <c r="DZ7" s="40" t="str">
        <f t="shared" si="38"/>
        <v/>
      </c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4"/>
        <v/>
      </c>
      <c r="FA7" s="11" t="str">
        <f t="shared" si="45"/>
        <v/>
      </c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2"/>
        <v/>
      </c>
      <c r="GC7" s="40" t="str">
        <f t="shared" si="53"/>
        <v/>
      </c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0"/>
        <v/>
      </c>
      <c r="HE7" s="11" t="str">
        <f t="shared" si="61"/>
        <v/>
      </c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68"/>
        <v/>
      </c>
      <c r="IG7" s="40" t="str">
        <f t="shared" si="69"/>
        <v/>
      </c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6"/>
        <v/>
      </c>
      <c r="JI7" s="11" t="str">
        <f t="shared" si="77"/>
        <v/>
      </c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4"/>
        <v/>
      </c>
      <c r="KK7" s="40" t="str">
        <f t="shared" si="85"/>
        <v/>
      </c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2"/>
        <v/>
      </c>
      <c r="LM7" s="11" t="str">
        <f t="shared" si="93"/>
        <v/>
      </c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0"/>
        <v/>
      </c>
      <c r="MO7" s="40" t="str">
        <f t="shared" si="101"/>
        <v/>
      </c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08"/>
        <v/>
      </c>
      <c r="NQ7" s="11" t="str">
        <f t="shared" si="109"/>
        <v/>
      </c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6"/>
        <v/>
      </c>
      <c r="OS7" s="40" t="str">
        <f t="shared" si="117"/>
        <v/>
      </c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4"/>
        <v/>
      </c>
      <c r="PU7" s="11" t="str">
        <f t="shared" si="125"/>
        <v/>
      </c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2"/>
        <v/>
      </c>
      <c r="QW7" s="40" t="str">
        <f t="shared" si="133"/>
        <v/>
      </c>
      <c r="QX7" s="40" t="str">
        <f t="shared" si="134"/>
        <v/>
      </c>
      <c r="QY7" s="40" t="str">
        <f t="shared" si="135"/>
        <v/>
      </c>
      <c r="QZ7" s="40" t="str">
        <f t="shared" si="136"/>
        <v/>
      </c>
      <c r="RA7" s="40" t="str">
        <f t="shared" si="137"/>
        <v/>
      </c>
      <c r="RB7" s="40" t="str">
        <f t="shared" si="138"/>
        <v/>
      </c>
      <c r="RC7" s="40" t="str">
        <f t="shared" si="139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0"/>
        <v/>
      </c>
      <c r="RY7" s="11" t="str">
        <f t="shared" si="141"/>
        <v/>
      </c>
      <c r="RZ7" s="11" t="str">
        <f t="shared" si="142"/>
        <v/>
      </c>
      <c r="SA7" s="11" t="str">
        <f t="shared" si="143"/>
        <v/>
      </c>
      <c r="SB7" s="11" t="str">
        <f t="shared" si="144"/>
        <v/>
      </c>
      <c r="SC7" s="11" t="str">
        <f t="shared" si="145"/>
        <v/>
      </c>
      <c r="SD7" s="11" t="str">
        <f t="shared" si="146"/>
        <v/>
      </c>
      <c r="SE7" s="11" t="str">
        <f t="shared" si="147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48"/>
        <v/>
      </c>
      <c r="TA7" s="40" t="str">
        <f t="shared" si="149"/>
        <v/>
      </c>
      <c r="TB7" s="40" t="str">
        <f t="shared" si="150"/>
        <v/>
      </c>
      <c r="TC7" s="40" t="str">
        <f t="shared" si="151"/>
        <v/>
      </c>
      <c r="TD7" s="40" t="str">
        <f t="shared" si="152"/>
        <v/>
      </c>
      <c r="TE7" s="40" t="str">
        <f t="shared" si="153"/>
        <v/>
      </c>
      <c r="TF7" s="40" t="str">
        <f t="shared" si="154"/>
        <v/>
      </c>
      <c r="TG7" s="40" t="str">
        <f t="shared" si="155"/>
        <v/>
      </c>
      <c r="TH7" s="26">
        <f t="shared" si="156"/>
        <v>16.95</v>
      </c>
      <c r="TI7" s="26">
        <f t="shared" si="157"/>
        <v>4.4499999999999993</v>
      </c>
      <c r="TJ7" s="26">
        <f t="shared" si="158"/>
        <v>0</v>
      </c>
      <c r="TK7" s="26">
        <f t="shared" si="159"/>
        <v>0.3</v>
      </c>
      <c r="TL7" s="26">
        <f t="shared" si="160"/>
        <v>17.399999999999999</v>
      </c>
      <c r="TM7" s="26">
        <f t="shared" si="161"/>
        <v>4.3</v>
      </c>
      <c r="TN7" s="26">
        <f t="shared" si="162"/>
        <v>0</v>
      </c>
      <c r="TO7" s="26">
        <f t="shared" si="163"/>
        <v>0.64999999999999991</v>
      </c>
      <c r="TP7" s="26">
        <f t="shared" si="164"/>
        <v>8.1999999999999993</v>
      </c>
      <c r="TQ7" s="26">
        <f t="shared" si="165"/>
        <v>2.2999999999999998</v>
      </c>
      <c r="TR7" s="26">
        <f t="shared" si="166"/>
        <v>0</v>
      </c>
      <c r="TS7" s="26">
        <f t="shared" si="167"/>
        <v>0.3</v>
      </c>
      <c r="TT7" s="26">
        <f t="shared" si="168"/>
        <v>15.6</v>
      </c>
      <c r="TU7" s="26">
        <f t="shared" si="169"/>
        <v>3.8499999999999996</v>
      </c>
      <c r="TV7" s="26">
        <f t="shared" si="170"/>
        <v>0.55000000000000004</v>
      </c>
      <c r="TW7" s="26">
        <f t="shared" si="171"/>
        <v>0.64999999999999991</v>
      </c>
      <c r="TX7" s="26">
        <f t="shared" si="172"/>
        <v>16.399999999999999</v>
      </c>
      <c r="TY7" s="26">
        <f t="shared" si="173"/>
        <v>3.45</v>
      </c>
      <c r="TZ7" s="26">
        <f t="shared" si="174"/>
        <v>0</v>
      </c>
      <c r="UA7" s="26">
        <f t="shared" si="175"/>
        <v>0.64999999999999991</v>
      </c>
      <c r="UB7" s="28" t="s">
        <v>53</v>
      </c>
      <c r="UC7" s="11">
        <f t="shared" si="176"/>
        <v>8.75</v>
      </c>
      <c r="UD7" s="11">
        <f t="shared" si="177"/>
        <v>44.04999999999999</v>
      </c>
      <c r="UE7" s="11">
        <f t="shared" si="178"/>
        <v>10.8</v>
      </c>
      <c r="UF7" s="11">
        <f t="shared" si="179"/>
        <v>11.05</v>
      </c>
      <c r="UG7" s="11">
        <f t="shared" si="180"/>
        <v>54.849999999999994</v>
      </c>
      <c r="UH7" s="11">
        <f t="shared" si="181"/>
        <v>7.3</v>
      </c>
      <c r="UI7" s="11">
        <f t="shared" si="182"/>
        <v>40.050000000000004</v>
      </c>
      <c r="UJ7" s="11">
        <f t="shared" si="183"/>
        <v>94.9</v>
      </c>
    </row>
    <row r="8" spans="1:556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201</v>
      </c>
      <c r="C8" s="4" t="s">
        <v>5</v>
      </c>
      <c r="D8" s="4">
        <v>2002</v>
      </c>
      <c r="E8" s="9">
        <f t="shared" si="0"/>
        <v>128.20000849000428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IF(COUNT(AO8,BR8,CU8)&gt;0,LARGE((AO8,BR8,CU8),1),0)</f>
        <v>42.499999999999993</v>
      </c>
      <c r="K8" s="8" t="str">
        <f t="shared" si="5"/>
        <v>2024 3rd Domestic Trial</v>
      </c>
      <c r="L8" s="8">
        <f>IF(COUNT(AO8,BR8,CU8)&gt;1,LARGE((AO8,BR8,CU8),2),0)</f>
        <v>42.400000000000006</v>
      </c>
      <c r="M8" s="8" t="str">
        <f t="shared" si="6"/>
        <v>2025 Elite Canada</v>
      </c>
      <c r="N8" s="8">
        <f t="shared" si="7"/>
        <v>43.300000000000011</v>
      </c>
      <c r="O8" s="8" t="str">
        <f t="shared" si="8"/>
        <v>2024 3rd Domestic Trial</v>
      </c>
      <c r="P8" s="8" t="str">
        <f t="shared" si="9"/>
        <v/>
      </c>
      <c r="Q8" s="11" t="str">
        <f t="shared" si="184"/>
        <v/>
      </c>
      <c r="R8" s="8" t="str">
        <f t="shared" si="185"/>
        <v/>
      </c>
      <c r="S8" s="19">
        <v>14.3</v>
      </c>
      <c r="T8" s="19">
        <v>3.1</v>
      </c>
      <c r="U8" s="19">
        <v>2.9</v>
      </c>
      <c r="V8" s="19">
        <v>0.6</v>
      </c>
      <c r="W8" s="19">
        <v>13.9</v>
      </c>
      <c r="X8" s="19">
        <v>2.6</v>
      </c>
      <c r="Y8" s="19">
        <v>5.4</v>
      </c>
      <c r="Z8" s="19">
        <v>0.6</v>
      </c>
      <c r="AA8" s="19">
        <v>14.8</v>
      </c>
      <c r="AB8" s="19">
        <v>3.5</v>
      </c>
      <c r="AC8" s="19">
        <v>0.5</v>
      </c>
      <c r="AD8" s="19">
        <v>0.6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 t="shared" si="10"/>
        <v>5.7</v>
      </c>
      <c r="AO8" s="40">
        <f t="shared" si="11"/>
        <v>26.800000000000011</v>
      </c>
      <c r="AP8" s="40">
        <f t="shared" si="12"/>
        <v>18.400000000000002</v>
      </c>
      <c r="AQ8" s="40">
        <f t="shared" si="13"/>
        <v>9.1999999999999993</v>
      </c>
      <c r="AR8" s="40">
        <f t="shared" si="14"/>
        <v>45.200000000000017</v>
      </c>
      <c r="AS8" s="40" t="str">
        <f t="shared" si="15"/>
        <v/>
      </c>
      <c r="AT8" s="40" t="str">
        <f t="shared" si="16"/>
        <v/>
      </c>
      <c r="AU8" s="40">
        <f t="shared" si="17"/>
        <v>45.200000000000017</v>
      </c>
      <c r="AV8" s="18">
        <v>17.3</v>
      </c>
      <c r="AW8" s="18">
        <v>3.6</v>
      </c>
      <c r="AX8" s="18">
        <v>0.2</v>
      </c>
      <c r="AY8" s="18">
        <v>0</v>
      </c>
      <c r="AZ8" s="18">
        <v>16.399999999999999</v>
      </c>
      <c r="BA8" s="18">
        <v>4.8</v>
      </c>
      <c r="BB8" s="18">
        <v>0</v>
      </c>
      <c r="BC8" s="18">
        <v>0.6</v>
      </c>
      <c r="BD8" s="18">
        <v>16</v>
      </c>
      <c r="BE8" s="18">
        <v>4.8</v>
      </c>
      <c r="BF8" s="18">
        <v>0.2</v>
      </c>
      <c r="BG8" s="18">
        <v>0.6</v>
      </c>
      <c r="BH8" s="18">
        <v>16.600000000000001</v>
      </c>
      <c r="BI8" s="18">
        <v>4.8</v>
      </c>
      <c r="BJ8" s="18">
        <v>0</v>
      </c>
      <c r="BK8" s="18">
        <v>0.6</v>
      </c>
      <c r="BL8" s="18">
        <v>16.100000000000001</v>
      </c>
      <c r="BM8" s="18">
        <v>4.5999999999999996</v>
      </c>
      <c r="BN8" s="18">
        <v>0</v>
      </c>
      <c r="BO8" s="18">
        <v>0.6</v>
      </c>
      <c r="BP8" s="28"/>
      <c r="BQ8" s="11">
        <f t="shared" si="18"/>
        <v>8.4</v>
      </c>
      <c r="BR8" s="11">
        <f t="shared" si="19"/>
        <v>42.499999999999993</v>
      </c>
      <c r="BS8" s="11">
        <f t="shared" si="20"/>
        <v>21.200000000000003</v>
      </c>
      <c r="BT8" s="11">
        <f t="shared" si="21"/>
        <v>13.2</v>
      </c>
      <c r="BU8" s="11">
        <f t="shared" si="22"/>
        <v>63.699999999999996</v>
      </c>
      <c r="BV8" s="11">
        <f t="shared" si="23"/>
        <v>9.3999999999999986</v>
      </c>
      <c r="BW8" s="11">
        <f t="shared" si="24"/>
        <v>43.300000000000011</v>
      </c>
      <c r="BX8" s="11">
        <f t="shared" si="25"/>
        <v>107</v>
      </c>
      <c r="BY8" s="19">
        <v>15.8</v>
      </c>
      <c r="BZ8" s="19">
        <v>5.3</v>
      </c>
      <c r="CA8" s="19">
        <v>0</v>
      </c>
      <c r="CB8" s="19">
        <v>0</v>
      </c>
      <c r="CC8" s="19">
        <v>15.8</v>
      </c>
      <c r="CD8" s="19">
        <v>5.5</v>
      </c>
      <c r="CE8" s="19">
        <v>0</v>
      </c>
      <c r="CF8" s="19">
        <v>0</v>
      </c>
      <c r="CG8" s="19"/>
      <c r="CH8" s="19"/>
      <c r="CI8" s="19"/>
      <c r="CJ8" s="19"/>
      <c r="CK8" s="19">
        <v>16.600000000000001</v>
      </c>
      <c r="CL8" s="19">
        <v>2.4</v>
      </c>
      <c r="CM8" s="19">
        <v>1</v>
      </c>
      <c r="CN8" s="19">
        <v>0</v>
      </c>
      <c r="CO8" s="19">
        <v>15.7</v>
      </c>
      <c r="CP8" s="19">
        <v>2.6</v>
      </c>
      <c r="CQ8" s="19">
        <v>0</v>
      </c>
      <c r="CR8" s="19">
        <v>0</v>
      </c>
      <c r="CS8" s="27"/>
      <c r="CT8" s="40">
        <f t="shared" si="26"/>
        <v>10.8</v>
      </c>
      <c r="CU8" s="40">
        <f t="shared" si="27"/>
        <v>42.400000000000006</v>
      </c>
      <c r="CV8" s="40" t="str">
        <f t="shared" si="28"/>
        <v/>
      </c>
      <c r="CW8" s="40">
        <f t="shared" si="29"/>
        <v>10.8</v>
      </c>
      <c r="CX8" s="40">
        <f t="shared" si="30"/>
        <v>42.400000000000006</v>
      </c>
      <c r="CY8" s="40">
        <f t="shared" si="31"/>
        <v>5</v>
      </c>
      <c r="CZ8" s="40">
        <f t="shared" si="32"/>
        <v>36.300000000000004</v>
      </c>
      <c r="DA8" s="40">
        <f t="shared" si="33"/>
        <v>78.700000000000017</v>
      </c>
      <c r="DB8" s="51" t="str">
        <f t="shared" si="34"/>
        <v/>
      </c>
      <c r="DC8" s="51" t="str">
        <f t="shared" si="35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6"/>
        <v/>
      </c>
      <c r="DY8" s="40" t="str">
        <f t="shared" si="37"/>
        <v/>
      </c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4"/>
        <v/>
      </c>
      <c r="FA8" s="11" t="str">
        <f t="shared" si="45"/>
        <v/>
      </c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2"/>
        <v/>
      </c>
      <c r="GC8" s="40" t="str">
        <f t="shared" si="53"/>
        <v/>
      </c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0"/>
        <v/>
      </c>
      <c r="HE8" s="11" t="str">
        <f t="shared" si="61"/>
        <v/>
      </c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68"/>
        <v/>
      </c>
      <c r="IG8" s="40" t="str">
        <f t="shared" si="69"/>
        <v/>
      </c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6"/>
        <v/>
      </c>
      <c r="JI8" s="11" t="str">
        <f t="shared" si="77"/>
        <v/>
      </c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4"/>
        <v/>
      </c>
      <c r="KK8" s="40" t="str">
        <f t="shared" si="85"/>
        <v/>
      </c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2"/>
        <v/>
      </c>
      <c r="LM8" s="11" t="str">
        <f t="shared" si="93"/>
        <v/>
      </c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0"/>
        <v/>
      </c>
      <c r="MO8" s="40" t="str">
        <f t="shared" si="101"/>
        <v/>
      </c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08"/>
        <v/>
      </c>
      <c r="NQ8" s="11" t="str">
        <f t="shared" si="109"/>
        <v/>
      </c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6"/>
        <v/>
      </c>
      <c r="OS8" s="40" t="str">
        <f t="shared" si="117"/>
        <v/>
      </c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4"/>
        <v/>
      </c>
      <c r="PU8" s="11" t="str">
        <f t="shared" si="125"/>
        <v/>
      </c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2"/>
        <v/>
      </c>
      <c r="QW8" s="40" t="str">
        <f t="shared" si="133"/>
        <v/>
      </c>
      <c r="QX8" s="40" t="str">
        <f t="shared" si="134"/>
        <v/>
      </c>
      <c r="QY8" s="40" t="str">
        <f t="shared" si="135"/>
        <v/>
      </c>
      <c r="QZ8" s="40" t="str">
        <f t="shared" si="136"/>
        <v/>
      </c>
      <c r="RA8" s="40" t="str">
        <f t="shared" si="137"/>
        <v/>
      </c>
      <c r="RB8" s="40" t="str">
        <f t="shared" si="138"/>
        <v/>
      </c>
      <c r="RC8" s="40" t="str">
        <f t="shared" si="139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0"/>
        <v/>
      </c>
      <c r="RY8" s="11" t="str">
        <f t="shared" si="141"/>
        <v/>
      </c>
      <c r="RZ8" s="11" t="str">
        <f t="shared" si="142"/>
        <v/>
      </c>
      <c r="SA8" s="11" t="str">
        <f t="shared" si="143"/>
        <v/>
      </c>
      <c r="SB8" s="11" t="str">
        <f t="shared" si="144"/>
        <v/>
      </c>
      <c r="SC8" s="11" t="str">
        <f t="shared" si="145"/>
        <v/>
      </c>
      <c r="SD8" s="11" t="str">
        <f t="shared" si="146"/>
        <v/>
      </c>
      <c r="SE8" s="11" t="str">
        <f t="shared" si="147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48"/>
        <v/>
      </c>
      <c r="TA8" s="40" t="str">
        <f t="shared" si="149"/>
        <v/>
      </c>
      <c r="TB8" s="40" t="str">
        <f t="shared" si="150"/>
        <v/>
      </c>
      <c r="TC8" s="40" t="str">
        <f t="shared" si="151"/>
        <v/>
      </c>
      <c r="TD8" s="40" t="str">
        <f t="shared" si="152"/>
        <v/>
      </c>
      <c r="TE8" s="40" t="str">
        <f t="shared" si="153"/>
        <v/>
      </c>
      <c r="TF8" s="40" t="str">
        <f t="shared" si="154"/>
        <v/>
      </c>
      <c r="TG8" s="40" t="str">
        <f t="shared" si="155"/>
        <v/>
      </c>
      <c r="TH8" s="26">
        <f t="shared" si="156"/>
        <v>16.55</v>
      </c>
      <c r="TI8" s="26">
        <f t="shared" si="157"/>
        <v>4.45</v>
      </c>
      <c r="TJ8" s="26">
        <f t="shared" si="158"/>
        <v>0.1</v>
      </c>
      <c r="TK8" s="26">
        <f t="shared" si="159"/>
        <v>0</v>
      </c>
      <c r="TL8" s="26">
        <f t="shared" si="160"/>
        <v>16.100000000000001</v>
      </c>
      <c r="TM8" s="26">
        <f t="shared" si="161"/>
        <v>5.15</v>
      </c>
      <c r="TN8" s="26">
        <f t="shared" si="162"/>
        <v>0</v>
      </c>
      <c r="TO8" s="26">
        <f t="shared" si="163"/>
        <v>0.3</v>
      </c>
      <c r="TP8" s="26">
        <f t="shared" si="164"/>
        <v>8</v>
      </c>
      <c r="TQ8" s="26">
        <f t="shared" si="165"/>
        <v>2.4</v>
      </c>
      <c r="TR8" s="26">
        <f t="shared" si="166"/>
        <v>0.1</v>
      </c>
      <c r="TS8" s="26">
        <f t="shared" si="167"/>
        <v>0.3</v>
      </c>
      <c r="TT8" s="26">
        <f t="shared" si="168"/>
        <v>16.600000000000001</v>
      </c>
      <c r="TU8" s="26">
        <f t="shared" si="169"/>
        <v>3.5999999999999996</v>
      </c>
      <c r="TV8" s="26">
        <f t="shared" si="170"/>
        <v>0.5</v>
      </c>
      <c r="TW8" s="26">
        <f t="shared" si="171"/>
        <v>0.3</v>
      </c>
      <c r="TX8" s="26">
        <f t="shared" si="172"/>
        <v>15.9</v>
      </c>
      <c r="TY8" s="26">
        <f t="shared" si="173"/>
        <v>3.5999999999999996</v>
      </c>
      <c r="TZ8" s="26">
        <f t="shared" si="174"/>
        <v>0</v>
      </c>
      <c r="UA8" s="26">
        <f t="shared" si="175"/>
        <v>0.3</v>
      </c>
      <c r="UB8" s="28" t="s">
        <v>53</v>
      </c>
      <c r="UC8" s="11">
        <f t="shared" si="176"/>
        <v>9.6000000000000014</v>
      </c>
      <c r="UD8" s="11">
        <f t="shared" si="177"/>
        <v>42.449999999999996</v>
      </c>
      <c r="UE8" s="11">
        <f t="shared" si="178"/>
        <v>10.600000000000001</v>
      </c>
      <c r="UF8" s="11">
        <f t="shared" si="179"/>
        <v>12.000000000000002</v>
      </c>
      <c r="UG8" s="11">
        <f t="shared" si="180"/>
        <v>53.05</v>
      </c>
      <c r="UH8" s="11">
        <f t="shared" si="181"/>
        <v>7.1999999999999993</v>
      </c>
      <c r="UI8" s="11">
        <f t="shared" si="182"/>
        <v>39.800000000000004</v>
      </c>
      <c r="UJ8" s="11">
        <f t="shared" si="183"/>
        <v>92.85</v>
      </c>
    </row>
    <row r="9" spans="1:556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146</v>
      </c>
      <c r="C9" s="4" t="s">
        <v>3</v>
      </c>
      <c r="D9" s="4">
        <v>2004</v>
      </c>
      <c r="E9" s="9">
        <f t="shared" si="0"/>
        <v>127.9000083400044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44</v>
      </c>
      <c r="K9" s="8" t="str">
        <f t="shared" si="5"/>
        <v>2025 Elite Canada</v>
      </c>
      <c r="L9" s="8">
        <f>IF(COUNT(AO9,BR9,CU9)&gt;1,LARGE((AO9,BR9,CU9),2),0)</f>
        <v>39.400000000000006</v>
      </c>
      <c r="M9" s="8" t="str">
        <f t="shared" si="6"/>
        <v>2024 3rd Domestic Trial</v>
      </c>
      <c r="N9" s="8">
        <f t="shared" si="7"/>
        <v>44.5</v>
      </c>
      <c r="O9" s="8" t="str">
        <f t="shared" si="8"/>
        <v>2025 Elite Canada</v>
      </c>
      <c r="P9" s="8" t="str">
        <f t="shared" si="9"/>
        <v/>
      </c>
      <c r="Q9" s="11" t="str">
        <f t="shared" si="184"/>
        <v/>
      </c>
      <c r="R9" s="8" t="str">
        <f t="shared" si="185"/>
        <v/>
      </c>
      <c r="S9" s="19">
        <v>15.7</v>
      </c>
      <c r="T9" s="19">
        <v>1.9</v>
      </c>
      <c r="U9" s="19">
        <v>0</v>
      </c>
      <c r="V9" s="19">
        <v>0.3</v>
      </c>
      <c r="W9" s="19">
        <v>15.6</v>
      </c>
      <c r="X9" s="19">
        <v>1.9</v>
      </c>
      <c r="Y9" s="19">
        <v>0</v>
      </c>
      <c r="Z9" s="19">
        <v>0.3</v>
      </c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27"/>
      <c r="AN9" s="40">
        <f t="shared" si="10"/>
        <v>3.8</v>
      </c>
      <c r="AO9" s="40">
        <f t="shared" si="11"/>
        <v>35.699999999999996</v>
      </c>
      <c r="AP9" s="40" t="str">
        <f t="shared" si="12"/>
        <v/>
      </c>
      <c r="AQ9" s="40">
        <f t="shared" si="13"/>
        <v>3.8</v>
      </c>
      <c r="AR9" s="40">
        <f t="shared" si="14"/>
        <v>35.699999999999996</v>
      </c>
      <c r="AS9" s="40" t="str">
        <f t="shared" si="15"/>
        <v/>
      </c>
      <c r="AT9" s="40" t="str">
        <f t="shared" si="16"/>
        <v/>
      </c>
      <c r="AU9" s="40">
        <f t="shared" si="17"/>
        <v>35.699999999999996</v>
      </c>
      <c r="AV9" s="18">
        <v>16.100000000000001</v>
      </c>
      <c r="AW9" s="18">
        <v>4.3</v>
      </c>
      <c r="AX9" s="18">
        <v>0</v>
      </c>
      <c r="AY9" s="18">
        <v>0.3</v>
      </c>
      <c r="AZ9" s="18">
        <v>15.5</v>
      </c>
      <c r="BA9" s="18">
        <v>2.6</v>
      </c>
      <c r="BB9" s="18">
        <v>0</v>
      </c>
      <c r="BC9" s="18">
        <v>0.6</v>
      </c>
      <c r="BD9" s="18">
        <v>13.5</v>
      </c>
      <c r="BE9" s="18">
        <v>3.5</v>
      </c>
      <c r="BF9" s="18">
        <v>0.3</v>
      </c>
      <c r="BG9" s="18">
        <v>0.6</v>
      </c>
      <c r="BH9" s="18">
        <v>17.100000000000001</v>
      </c>
      <c r="BI9" s="18">
        <v>4.3</v>
      </c>
      <c r="BJ9" s="18">
        <v>0</v>
      </c>
      <c r="BK9" s="18">
        <v>0.3</v>
      </c>
      <c r="BL9" s="18">
        <v>16.600000000000001</v>
      </c>
      <c r="BM9" s="18">
        <v>4.0999999999999996</v>
      </c>
      <c r="BN9" s="18">
        <v>0</v>
      </c>
      <c r="BO9" s="18">
        <v>0.3</v>
      </c>
      <c r="BP9" s="28"/>
      <c r="BQ9" s="11">
        <f t="shared" si="18"/>
        <v>6.9</v>
      </c>
      <c r="BR9" s="11">
        <f t="shared" si="19"/>
        <v>39.400000000000006</v>
      </c>
      <c r="BS9" s="11">
        <f t="shared" si="20"/>
        <v>17.3</v>
      </c>
      <c r="BT9" s="11">
        <f t="shared" si="21"/>
        <v>10.4</v>
      </c>
      <c r="BU9" s="11">
        <f t="shared" si="22"/>
        <v>56.7</v>
      </c>
      <c r="BV9" s="11">
        <f t="shared" si="23"/>
        <v>8.3999999999999986</v>
      </c>
      <c r="BW9" s="11">
        <f t="shared" si="24"/>
        <v>42.7</v>
      </c>
      <c r="BX9" s="11">
        <f t="shared" si="25"/>
        <v>99.4</v>
      </c>
      <c r="BY9" s="19">
        <v>16.399999999999999</v>
      </c>
      <c r="BZ9" s="19">
        <v>4.3</v>
      </c>
      <c r="CA9" s="19">
        <v>0.2</v>
      </c>
      <c r="CB9" s="19">
        <v>0.7</v>
      </c>
      <c r="CC9" s="19">
        <v>17.600000000000001</v>
      </c>
      <c r="CD9" s="19">
        <v>4.5</v>
      </c>
      <c r="CE9" s="19">
        <v>0</v>
      </c>
      <c r="CF9" s="19">
        <v>0.7</v>
      </c>
      <c r="CG9" s="19"/>
      <c r="CH9" s="19"/>
      <c r="CI9" s="19"/>
      <c r="CJ9" s="19"/>
      <c r="CK9" s="19">
        <v>17.7</v>
      </c>
      <c r="CL9" s="19">
        <v>4.5</v>
      </c>
      <c r="CM9" s="19">
        <v>0</v>
      </c>
      <c r="CN9" s="19">
        <v>0.7</v>
      </c>
      <c r="CO9" s="19">
        <v>16.8</v>
      </c>
      <c r="CP9" s="19">
        <v>4.3</v>
      </c>
      <c r="CQ9" s="19">
        <v>0.2</v>
      </c>
      <c r="CR9" s="19">
        <v>0.7</v>
      </c>
      <c r="CS9" s="27"/>
      <c r="CT9" s="40">
        <f t="shared" si="26"/>
        <v>8.8000000000000007</v>
      </c>
      <c r="CU9" s="40">
        <f t="shared" si="27"/>
        <v>44</v>
      </c>
      <c r="CV9" s="40" t="str">
        <f t="shared" si="28"/>
        <v/>
      </c>
      <c r="CW9" s="40">
        <f t="shared" si="29"/>
        <v>8.8000000000000007</v>
      </c>
      <c r="CX9" s="40">
        <f t="shared" si="30"/>
        <v>44</v>
      </c>
      <c r="CY9" s="40">
        <f t="shared" si="31"/>
        <v>8.8000000000000007</v>
      </c>
      <c r="CZ9" s="40">
        <f t="shared" si="32"/>
        <v>44.5</v>
      </c>
      <c r="DA9" s="40">
        <f t="shared" si="33"/>
        <v>88.5</v>
      </c>
      <c r="DB9" s="51" t="str">
        <f t="shared" si="34"/>
        <v/>
      </c>
      <c r="DC9" s="51" t="str">
        <f t="shared" si="35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6"/>
        <v/>
      </c>
      <c r="DY9" s="40" t="str">
        <f t="shared" si="37"/>
        <v/>
      </c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4"/>
        <v/>
      </c>
      <c r="FA9" s="11" t="str">
        <f t="shared" si="45"/>
        <v/>
      </c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2"/>
        <v/>
      </c>
      <c r="GC9" s="40" t="str">
        <f t="shared" si="53"/>
        <v/>
      </c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0"/>
        <v/>
      </c>
      <c r="HE9" s="11" t="str">
        <f t="shared" si="61"/>
        <v/>
      </c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68"/>
        <v/>
      </c>
      <c r="IG9" s="40" t="str">
        <f t="shared" si="69"/>
        <v/>
      </c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6"/>
        <v/>
      </c>
      <c r="JI9" s="11" t="str">
        <f t="shared" si="77"/>
        <v/>
      </c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4"/>
        <v/>
      </c>
      <c r="KK9" s="40" t="str">
        <f t="shared" si="85"/>
        <v/>
      </c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2"/>
        <v/>
      </c>
      <c r="LM9" s="11" t="str">
        <f t="shared" si="93"/>
        <v/>
      </c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0"/>
        <v/>
      </c>
      <c r="MO9" s="40" t="str">
        <f t="shared" si="101"/>
        <v/>
      </c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08"/>
        <v/>
      </c>
      <c r="NQ9" s="11" t="str">
        <f t="shared" si="109"/>
        <v/>
      </c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6"/>
        <v/>
      </c>
      <c r="OS9" s="40" t="str">
        <f t="shared" si="117"/>
        <v/>
      </c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4"/>
        <v/>
      </c>
      <c r="PU9" s="11" t="str">
        <f t="shared" si="125"/>
        <v/>
      </c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2"/>
        <v/>
      </c>
      <c r="QW9" s="40" t="str">
        <f t="shared" si="133"/>
        <v/>
      </c>
      <c r="QX9" s="40" t="str">
        <f t="shared" si="134"/>
        <v/>
      </c>
      <c r="QY9" s="40" t="str">
        <f t="shared" si="135"/>
        <v/>
      </c>
      <c r="QZ9" s="40" t="str">
        <f t="shared" si="136"/>
        <v/>
      </c>
      <c r="RA9" s="40" t="str">
        <f t="shared" si="137"/>
        <v/>
      </c>
      <c r="RB9" s="40" t="str">
        <f t="shared" si="138"/>
        <v/>
      </c>
      <c r="RC9" s="40" t="str">
        <f t="shared" si="139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0"/>
        <v/>
      </c>
      <c r="RY9" s="11" t="str">
        <f t="shared" si="141"/>
        <v/>
      </c>
      <c r="RZ9" s="11" t="str">
        <f t="shared" si="142"/>
        <v/>
      </c>
      <c r="SA9" s="11" t="str">
        <f t="shared" si="143"/>
        <v/>
      </c>
      <c r="SB9" s="11" t="str">
        <f t="shared" si="144"/>
        <v/>
      </c>
      <c r="SC9" s="11" t="str">
        <f t="shared" si="145"/>
        <v/>
      </c>
      <c r="SD9" s="11" t="str">
        <f t="shared" si="146"/>
        <v/>
      </c>
      <c r="SE9" s="11" t="str">
        <f t="shared" si="147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48"/>
        <v/>
      </c>
      <c r="TA9" s="40" t="str">
        <f t="shared" si="149"/>
        <v/>
      </c>
      <c r="TB9" s="40" t="str">
        <f t="shared" si="150"/>
        <v/>
      </c>
      <c r="TC9" s="40" t="str">
        <f t="shared" si="151"/>
        <v/>
      </c>
      <c r="TD9" s="40" t="str">
        <f t="shared" si="152"/>
        <v/>
      </c>
      <c r="TE9" s="40" t="str">
        <f t="shared" si="153"/>
        <v/>
      </c>
      <c r="TF9" s="40" t="str">
        <f t="shared" si="154"/>
        <v/>
      </c>
      <c r="TG9" s="40" t="str">
        <f t="shared" si="155"/>
        <v/>
      </c>
      <c r="TH9" s="26">
        <f t="shared" si="156"/>
        <v>16.25</v>
      </c>
      <c r="TI9" s="26">
        <f t="shared" si="157"/>
        <v>4.3</v>
      </c>
      <c r="TJ9" s="26">
        <f t="shared" si="158"/>
        <v>0.1</v>
      </c>
      <c r="TK9" s="26">
        <f t="shared" si="159"/>
        <v>0.5</v>
      </c>
      <c r="TL9" s="26">
        <f t="shared" si="160"/>
        <v>16.55</v>
      </c>
      <c r="TM9" s="26">
        <f t="shared" si="161"/>
        <v>3.55</v>
      </c>
      <c r="TN9" s="26">
        <f t="shared" si="162"/>
        <v>0</v>
      </c>
      <c r="TO9" s="26">
        <f t="shared" si="163"/>
        <v>0.64999999999999991</v>
      </c>
      <c r="TP9" s="26">
        <f t="shared" si="164"/>
        <v>6.75</v>
      </c>
      <c r="TQ9" s="26">
        <f t="shared" si="165"/>
        <v>1.75</v>
      </c>
      <c r="TR9" s="26">
        <f t="shared" si="166"/>
        <v>0.15</v>
      </c>
      <c r="TS9" s="26">
        <f t="shared" si="167"/>
        <v>0.3</v>
      </c>
      <c r="TT9" s="26">
        <f t="shared" si="168"/>
        <v>17.399999999999999</v>
      </c>
      <c r="TU9" s="26">
        <f t="shared" si="169"/>
        <v>4.4000000000000004</v>
      </c>
      <c r="TV9" s="26">
        <f t="shared" si="170"/>
        <v>0</v>
      </c>
      <c r="TW9" s="26">
        <f t="shared" si="171"/>
        <v>0.5</v>
      </c>
      <c r="TX9" s="26">
        <f t="shared" si="172"/>
        <v>16.700000000000003</v>
      </c>
      <c r="TY9" s="26">
        <f t="shared" si="173"/>
        <v>4.1999999999999993</v>
      </c>
      <c r="TZ9" s="26">
        <f t="shared" si="174"/>
        <v>0.1</v>
      </c>
      <c r="UA9" s="26">
        <f t="shared" si="175"/>
        <v>0.5</v>
      </c>
      <c r="UB9" s="28" t="s">
        <v>53</v>
      </c>
      <c r="UC9" s="11">
        <f t="shared" si="176"/>
        <v>7.85</v>
      </c>
      <c r="UD9" s="11">
        <f t="shared" si="177"/>
        <v>41.699999999999996</v>
      </c>
      <c r="UE9" s="11">
        <f t="shared" si="178"/>
        <v>8.65</v>
      </c>
      <c r="UF9" s="11">
        <f t="shared" si="179"/>
        <v>9.6</v>
      </c>
      <c r="UG9" s="11">
        <f t="shared" si="180"/>
        <v>50.349999999999994</v>
      </c>
      <c r="UH9" s="11">
        <f t="shared" si="181"/>
        <v>8.6</v>
      </c>
      <c r="UI9" s="11">
        <f t="shared" si="182"/>
        <v>43.6</v>
      </c>
      <c r="UJ9" s="11">
        <f t="shared" si="183"/>
        <v>93.949999999999989</v>
      </c>
    </row>
    <row r="10" spans="1:556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199</v>
      </c>
      <c r="C10" s="4" t="s">
        <v>3</v>
      </c>
      <c r="D10" s="4">
        <v>2007</v>
      </c>
      <c r="E10" s="9">
        <f t="shared" si="0"/>
        <v>126.90000827000426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IF(COUNT(AO10,BR10,CU10)&gt;0,LARGE((AO10,BR10,CU10),1),0)</f>
        <v>42.6</v>
      </c>
      <c r="K10" s="8" t="str">
        <f t="shared" si="5"/>
        <v>2024 Nationals</v>
      </c>
      <c r="L10" s="8">
        <f>IF(COUNT(AO10,BR10,CU10)&gt;1,LARGE((AO10,BR10,CU10),2),0)</f>
        <v>40.1</v>
      </c>
      <c r="M10" s="8" t="str">
        <f t="shared" si="6"/>
        <v>2025 Elite Canada</v>
      </c>
      <c r="N10" s="8">
        <f t="shared" si="7"/>
        <v>42.1</v>
      </c>
      <c r="O10" s="8" t="str">
        <f t="shared" si="8"/>
        <v>2024 Nationals</v>
      </c>
      <c r="P10" s="8">
        <f t="shared" si="9"/>
        <v>2.1000000000000014</v>
      </c>
      <c r="Q10" s="11" t="str">
        <f t="shared" si="184"/>
        <v>(Q1)</v>
      </c>
      <c r="R10" s="8" t="str">
        <f t="shared" si="185"/>
        <v>2024 Coimbra Gym Fest (July 7)</v>
      </c>
      <c r="S10" s="19">
        <v>16.8</v>
      </c>
      <c r="T10" s="19">
        <v>4.2</v>
      </c>
      <c r="U10" s="19">
        <v>0.2</v>
      </c>
      <c r="V10" s="19">
        <v>0.3</v>
      </c>
      <c r="W10" s="19">
        <v>16.3</v>
      </c>
      <c r="X10" s="19">
        <v>4.5999999999999996</v>
      </c>
      <c r="Y10" s="19">
        <v>0</v>
      </c>
      <c r="Z10" s="19">
        <v>0.6</v>
      </c>
      <c r="AA10" s="19">
        <v>16.5</v>
      </c>
      <c r="AB10" s="19">
        <v>4.5999999999999996</v>
      </c>
      <c r="AC10" s="19">
        <v>0</v>
      </c>
      <c r="AD10" s="19">
        <v>0.6</v>
      </c>
      <c r="AE10" s="19">
        <v>15.9</v>
      </c>
      <c r="AF10" s="19">
        <v>4.2</v>
      </c>
      <c r="AG10" s="19">
        <v>0.4</v>
      </c>
      <c r="AH10" s="19">
        <v>0.3</v>
      </c>
      <c r="AI10" s="19">
        <v>16.899999999999999</v>
      </c>
      <c r="AJ10" s="19">
        <v>4.5999999999999996</v>
      </c>
      <c r="AK10" s="19">
        <v>0</v>
      </c>
      <c r="AL10" s="19">
        <v>0.6</v>
      </c>
      <c r="AM10" s="27"/>
      <c r="AN10" s="40">
        <f t="shared" si="10"/>
        <v>8.8000000000000007</v>
      </c>
      <c r="AO10" s="40">
        <f t="shared" si="11"/>
        <v>42.6</v>
      </c>
      <c r="AP10" s="40">
        <f t="shared" si="12"/>
        <v>21.700000000000003</v>
      </c>
      <c r="AQ10" s="40">
        <f t="shared" si="13"/>
        <v>13.4</v>
      </c>
      <c r="AR10" s="40">
        <f t="shared" si="14"/>
        <v>64.300000000000011</v>
      </c>
      <c r="AS10" s="40">
        <f t="shared" si="15"/>
        <v>8.8000000000000007</v>
      </c>
      <c r="AT10" s="40">
        <f t="shared" si="16"/>
        <v>42.1</v>
      </c>
      <c r="AU10" s="40">
        <f t="shared" si="17"/>
        <v>106.4</v>
      </c>
      <c r="AV10" s="18">
        <v>11.7</v>
      </c>
      <c r="AW10" s="18">
        <v>3</v>
      </c>
      <c r="AX10" s="18">
        <v>0</v>
      </c>
      <c r="AY10" s="18">
        <v>0.6</v>
      </c>
      <c r="AZ10" s="18">
        <v>16.399999999999999</v>
      </c>
      <c r="BA10" s="18">
        <v>4.5999999999999996</v>
      </c>
      <c r="BB10" s="18">
        <v>0</v>
      </c>
      <c r="BC10" s="18">
        <v>0.6</v>
      </c>
      <c r="BD10" s="18">
        <v>16.2</v>
      </c>
      <c r="BE10" s="18">
        <v>4.5999999999999996</v>
      </c>
      <c r="BF10" s="18">
        <v>0</v>
      </c>
      <c r="BG10" s="18">
        <v>0.6</v>
      </c>
      <c r="BH10" s="18">
        <v>16.3</v>
      </c>
      <c r="BI10" s="18">
        <v>4.4000000000000004</v>
      </c>
      <c r="BJ10" s="18">
        <v>0.2</v>
      </c>
      <c r="BK10" s="18">
        <v>0.44999999999999996</v>
      </c>
      <c r="BL10" s="18">
        <v>16.25</v>
      </c>
      <c r="BM10" s="18">
        <v>3.5999999999999996</v>
      </c>
      <c r="BN10" s="18">
        <v>0</v>
      </c>
      <c r="BO10" s="18">
        <v>0.6</v>
      </c>
      <c r="BP10" s="28" t="s">
        <v>53</v>
      </c>
      <c r="BQ10" s="11">
        <f t="shared" si="18"/>
        <v>7.6</v>
      </c>
      <c r="BR10" s="11">
        <f t="shared" si="19"/>
        <v>36.9</v>
      </c>
      <c r="BS10" s="11">
        <f t="shared" si="20"/>
        <v>21.4</v>
      </c>
      <c r="BT10" s="11">
        <f t="shared" si="21"/>
        <v>12.2</v>
      </c>
      <c r="BU10" s="11">
        <f t="shared" si="22"/>
        <v>58.3</v>
      </c>
      <c r="BV10" s="11">
        <f t="shared" si="23"/>
        <v>8</v>
      </c>
      <c r="BW10" s="11">
        <f t="shared" si="24"/>
        <v>41.400000000000006</v>
      </c>
      <c r="BX10" s="11">
        <f t="shared" si="25"/>
        <v>99.7</v>
      </c>
      <c r="BY10" s="19">
        <v>15.3</v>
      </c>
      <c r="BZ10" s="19">
        <v>4.2</v>
      </c>
      <c r="CA10" s="19">
        <v>0.4</v>
      </c>
      <c r="CB10" s="19">
        <v>0.7</v>
      </c>
      <c r="CC10" s="19">
        <v>15.7</v>
      </c>
      <c r="CD10" s="19">
        <v>4.5999999999999996</v>
      </c>
      <c r="CE10" s="19">
        <v>0</v>
      </c>
      <c r="CF10" s="19">
        <v>0</v>
      </c>
      <c r="CG10" s="19"/>
      <c r="CH10" s="19"/>
      <c r="CI10" s="19"/>
      <c r="CJ10" s="19"/>
      <c r="CK10" s="19">
        <v>15.6</v>
      </c>
      <c r="CL10" s="19">
        <v>4.0999999999999996</v>
      </c>
      <c r="CM10" s="19">
        <v>0</v>
      </c>
      <c r="CN10" s="19">
        <v>0.7</v>
      </c>
      <c r="CO10" s="19">
        <v>16.399999999999999</v>
      </c>
      <c r="CP10" s="19">
        <v>4.8</v>
      </c>
      <c r="CQ10" s="19">
        <v>0</v>
      </c>
      <c r="CR10" s="19">
        <v>0</v>
      </c>
      <c r="CS10" s="27"/>
      <c r="CT10" s="40">
        <f t="shared" si="26"/>
        <v>8.8000000000000007</v>
      </c>
      <c r="CU10" s="40">
        <f t="shared" si="27"/>
        <v>40.1</v>
      </c>
      <c r="CV10" s="40" t="str">
        <f t="shared" si="28"/>
        <v/>
      </c>
      <c r="CW10" s="40">
        <f t="shared" si="29"/>
        <v>8.8000000000000007</v>
      </c>
      <c r="CX10" s="40">
        <f t="shared" si="30"/>
        <v>40.1</v>
      </c>
      <c r="CY10" s="40">
        <f t="shared" si="31"/>
        <v>8.8999999999999986</v>
      </c>
      <c r="CZ10" s="40">
        <f t="shared" si="32"/>
        <v>41.599999999999994</v>
      </c>
      <c r="DA10" s="40">
        <f t="shared" si="33"/>
        <v>81.699999999999989</v>
      </c>
      <c r="DB10" s="51">
        <f t="shared" si="34"/>
        <v>2.1000000000000014</v>
      </c>
      <c r="DC10" s="51">
        <f t="shared" si="35"/>
        <v>1.7999999999999972</v>
      </c>
      <c r="DD10" s="17">
        <v>16</v>
      </c>
      <c r="DE10" s="17">
        <v>5.3</v>
      </c>
      <c r="DF10" s="17">
        <v>0</v>
      </c>
      <c r="DG10" s="17">
        <v>1</v>
      </c>
      <c r="DH10" s="17">
        <v>16.399999999999999</v>
      </c>
      <c r="DI10" s="17">
        <v>3.5</v>
      </c>
      <c r="DJ10" s="17">
        <v>0</v>
      </c>
      <c r="DK10" s="17">
        <v>0</v>
      </c>
      <c r="DL10" s="17"/>
      <c r="DM10" s="17"/>
      <c r="DN10" s="17"/>
      <c r="DO10" s="17"/>
      <c r="DP10" s="17">
        <v>16.899999999999999</v>
      </c>
      <c r="DQ10" s="17">
        <v>4.5999999999999996</v>
      </c>
      <c r="DR10" s="17">
        <v>0</v>
      </c>
      <c r="DS10" s="17">
        <v>0</v>
      </c>
      <c r="DT10" s="17">
        <v>17.600000000000001</v>
      </c>
      <c r="DU10" s="17">
        <v>4.8</v>
      </c>
      <c r="DV10" s="17">
        <v>0</v>
      </c>
      <c r="DW10" s="17">
        <v>0</v>
      </c>
      <c r="DX10" s="40">
        <f t="shared" si="36"/>
        <v>8.8000000000000007</v>
      </c>
      <c r="DY10" s="40">
        <f t="shared" si="37"/>
        <v>42.2</v>
      </c>
      <c r="DZ10" s="40" t="str">
        <f t="shared" si="38"/>
        <v/>
      </c>
      <c r="EA10" s="40">
        <f t="shared" si="39"/>
        <v>8.8000000000000007</v>
      </c>
      <c r="EB10" s="40">
        <f t="shared" si="40"/>
        <v>42.2</v>
      </c>
      <c r="EC10" s="40">
        <f t="shared" si="41"/>
        <v>9.3999999999999986</v>
      </c>
      <c r="ED10" s="40">
        <f t="shared" si="42"/>
        <v>43.9</v>
      </c>
      <c r="EE10" s="40">
        <f t="shared" si="43"/>
        <v>86.1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4"/>
        <v/>
      </c>
      <c r="FA10" s="11" t="str">
        <f t="shared" si="45"/>
        <v/>
      </c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2"/>
        <v/>
      </c>
      <c r="GC10" s="40" t="str">
        <f t="shared" si="53"/>
        <v/>
      </c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0"/>
        <v/>
      </c>
      <c r="HE10" s="11" t="str">
        <f t="shared" si="61"/>
        <v/>
      </c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68"/>
        <v/>
      </c>
      <c r="IG10" s="40" t="str">
        <f t="shared" si="69"/>
        <v/>
      </c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6"/>
        <v/>
      </c>
      <c r="JI10" s="11" t="str">
        <f t="shared" si="77"/>
        <v/>
      </c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4"/>
        <v/>
      </c>
      <c r="KK10" s="40" t="str">
        <f t="shared" si="85"/>
        <v/>
      </c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2"/>
        <v/>
      </c>
      <c r="LM10" s="11" t="str">
        <f t="shared" si="93"/>
        <v/>
      </c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0"/>
        <v/>
      </c>
      <c r="MO10" s="40" t="str">
        <f t="shared" si="101"/>
        <v/>
      </c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08"/>
        <v/>
      </c>
      <c r="NQ10" s="11" t="str">
        <f t="shared" si="109"/>
        <v/>
      </c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6"/>
        <v/>
      </c>
      <c r="OS10" s="40" t="str">
        <f t="shared" si="117"/>
        <v/>
      </c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4"/>
        <v/>
      </c>
      <c r="PU10" s="11" t="str">
        <f t="shared" si="125"/>
        <v/>
      </c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2"/>
        <v/>
      </c>
      <c r="QW10" s="40" t="str">
        <f t="shared" si="133"/>
        <v/>
      </c>
      <c r="QX10" s="40" t="str">
        <f t="shared" si="134"/>
        <v/>
      </c>
      <c r="QY10" s="40" t="str">
        <f t="shared" si="135"/>
        <v/>
      </c>
      <c r="QZ10" s="40" t="str">
        <f t="shared" si="136"/>
        <v/>
      </c>
      <c r="RA10" s="40" t="str">
        <f t="shared" si="137"/>
        <v/>
      </c>
      <c r="RB10" s="40" t="str">
        <f t="shared" si="138"/>
        <v/>
      </c>
      <c r="RC10" s="40" t="str">
        <f t="shared" si="139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0"/>
        <v/>
      </c>
      <c r="RY10" s="11" t="str">
        <f t="shared" si="141"/>
        <v/>
      </c>
      <c r="RZ10" s="11" t="str">
        <f t="shared" si="142"/>
        <v/>
      </c>
      <c r="SA10" s="11" t="str">
        <f t="shared" si="143"/>
        <v/>
      </c>
      <c r="SB10" s="11" t="str">
        <f t="shared" si="144"/>
        <v/>
      </c>
      <c r="SC10" s="11" t="str">
        <f t="shared" si="145"/>
        <v/>
      </c>
      <c r="SD10" s="11" t="str">
        <f t="shared" si="146"/>
        <v/>
      </c>
      <c r="SE10" s="11" t="str">
        <f t="shared" si="147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48"/>
        <v/>
      </c>
      <c r="TA10" s="40" t="str">
        <f t="shared" si="149"/>
        <v/>
      </c>
      <c r="TB10" s="40" t="str">
        <f t="shared" si="150"/>
        <v/>
      </c>
      <c r="TC10" s="40" t="str">
        <f t="shared" si="151"/>
        <v/>
      </c>
      <c r="TD10" s="40" t="str">
        <f t="shared" si="152"/>
        <v/>
      </c>
      <c r="TE10" s="40" t="str">
        <f t="shared" si="153"/>
        <v/>
      </c>
      <c r="TF10" s="40" t="str">
        <f t="shared" si="154"/>
        <v/>
      </c>
      <c r="TG10" s="40" t="str">
        <f t="shared" si="155"/>
        <v/>
      </c>
      <c r="TH10" s="26">
        <f t="shared" si="156"/>
        <v>13.5</v>
      </c>
      <c r="TI10" s="26">
        <f t="shared" si="157"/>
        <v>3.6</v>
      </c>
      <c r="TJ10" s="26">
        <f t="shared" si="158"/>
        <v>0.2</v>
      </c>
      <c r="TK10" s="26">
        <f t="shared" si="159"/>
        <v>0.64999999999999991</v>
      </c>
      <c r="TL10" s="26">
        <f t="shared" si="160"/>
        <v>16.049999999999997</v>
      </c>
      <c r="TM10" s="26">
        <f t="shared" si="161"/>
        <v>4.5999999999999996</v>
      </c>
      <c r="TN10" s="26">
        <f t="shared" si="162"/>
        <v>0</v>
      </c>
      <c r="TO10" s="26">
        <f t="shared" si="163"/>
        <v>0.3</v>
      </c>
      <c r="TP10" s="26">
        <f t="shared" si="164"/>
        <v>8.1</v>
      </c>
      <c r="TQ10" s="26">
        <f t="shared" si="165"/>
        <v>2.2999999999999998</v>
      </c>
      <c r="TR10" s="26">
        <f t="shared" si="166"/>
        <v>0</v>
      </c>
      <c r="TS10" s="26">
        <f t="shared" si="167"/>
        <v>0.3</v>
      </c>
      <c r="TT10" s="26">
        <f t="shared" si="168"/>
        <v>15.95</v>
      </c>
      <c r="TU10" s="26">
        <f t="shared" si="169"/>
        <v>4.25</v>
      </c>
      <c r="TV10" s="26">
        <f t="shared" si="170"/>
        <v>0.1</v>
      </c>
      <c r="TW10" s="26">
        <f t="shared" si="171"/>
        <v>0.57499999999999996</v>
      </c>
      <c r="TX10" s="26">
        <f t="shared" si="172"/>
        <v>16.324999999999999</v>
      </c>
      <c r="TY10" s="26">
        <f t="shared" si="173"/>
        <v>4.1999999999999993</v>
      </c>
      <c r="TZ10" s="26">
        <f t="shared" si="174"/>
        <v>0</v>
      </c>
      <c r="UA10" s="26">
        <f t="shared" si="175"/>
        <v>0.3</v>
      </c>
      <c r="UB10" s="28" t="s">
        <v>53</v>
      </c>
      <c r="UC10" s="11">
        <f t="shared" si="176"/>
        <v>8.1999999999999993</v>
      </c>
      <c r="UD10" s="11">
        <f t="shared" si="177"/>
        <v>38.499999999999993</v>
      </c>
      <c r="UE10" s="11">
        <f t="shared" si="178"/>
        <v>10.7</v>
      </c>
      <c r="UF10" s="11">
        <f t="shared" si="179"/>
        <v>10.5</v>
      </c>
      <c r="UG10" s="11">
        <f t="shared" si="180"/>
        <v>49.199999999999989</v>
      </c>
      <c r="UH10" s="11">
        <f t="shared" si="181"/>
        <v>8.4499999999999993</v>
      </c>
      <c r="UI10" s="11">
        <f t="shared" si="182"/>
        <v>41.499999999999993</v>
      </c>
      <c r="UJ10" s="11">
        <f t="shared" si="183"/>
        <v>90.699999999999989</v>
      </c>
    </row>
    <row r="11" spans="1:556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253</v>
      </c>
      <c r="C11" s="4" t="s">
        <v>5</v>
      </c>
      <c r="D11" s="4">
        <v>2008</v>
      </c>
      <c r="E11" s="9">
        <f t="shared" si="0"/>
        <v>121.10000756000385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IF(COUNT(AO11,BR11,CU11)&gt;0,LARGE((AO11,BR11,CU11),1),0)</f>
        <v>38.5</v>
      </c>
      <c r="K11" s="8" t="str">
        <f t="shared" si="5"/>
        <v>2025 Elite Canada</v>
      </c>
      <c r="L11" s="8">
        <f>IF(COUNT(AO11,BR11,CU11)&gt;1,LARGE((AO11,BR11,CU11),2),0)</f>
        <v>37.1</v>
      </c>
      <c r="M11" s="8" t="str">
        <f t="shared" si="6"/>
        <v>2024 Nationals</v>
      </c>
      <c r="N11" s="8">
        <f t="shared" si="7"/>
        <v>45.5</v>
      </c>
      <c r="O11" s="8" t="str">
        <f t="shared" si="8"/>
        <v>2025 Elite Canada</v>
      </c>
      <c r="P11" s="8" t="str">
        <f t="shared" si="9"/>
        <v/>
      </c>
      <c r="Q11" s="11" t="str">
        <f t="shared" si="184"/>
        <v/>
      </c>
      <c r="R11" s="8" t="str">
        <f t="shared" si="185"/>
        <v/>
      </c>
      <c r="S11" s="19">
        <v>15.9</v>
      </c>
      <c r="T11" s="19">
        <v>3.8</v>
      </c>
      <c r="U11" s="19">
        <v>0.4</v>
      </c>
      <c r="V11" s="19"/>
      <c r="W11" s="19">
        <v>16.5</v>
      </c>
      <c r="X11" s="19">
        <v>1.3</v>
      </c>
      <c r="Y11" s="19">
        <v>0</v>
      </c>
      <c r="Z11" s="19"/>
      <c r="AA11" s="19">
        <v>13.8</v>
      </c>
      <c r="AB11" s="19">
        <v>6.1</v>
      </c>
      <c r="AC11" s="19">
        <v>0</v>
      </c>
      <c r="AD11" s="19"/>
      <c r="AE11" s="19">
        <v>15.8</v>
      </c>
      <c r="AF11" s="19">
        <v>6.1</v>
      </c>
      <c r="AG11" s="19">
        <v>0</v>
      </c>
      <c r="AH11" s="19"/>
      <c r="AI11" s="19">
        <v>17.399999999999999</v>
      </c>
      <c r="AJ11" s="19">
        <v>2.1</v>
      </c>
      <c r="AK11" s="19">
        <v>1</v>
      </c>
      <c r="AL11" s="19"/>
      <c r="AM11" s="27"/>
      <c r="AN11" s="40">
        <f t="shared" si="10"/>
        <v>5.0999999999999996</v>
      </c>
      <c r="AO11" s="40">
        <f t="shared" si="11"/>
        <v>37.1</v>
      </c>
      <c r="AP11" s="40">
        <f t="shared" si="12"/>
        <v>19.899999999999999</v>
      </c>
      <c r="AQ11" s="40">
        <f t="shared" si="13"/>
        <v>11.2</v>
      </c>
      <c r="AR11" s="40">
        <f t="shared" si="14"/>
        <v>57</v>
      </c>
      <c r="AS11" s="40">
        <f t="shared" si="15"/>
        <v>8.1999999999999993</v>
      </c>
      <c r="AT11" s="40">
        <f t="shared" si="16"/>
        <v>40.4</v>
      </c>
      <c r="AU11" s="40">
        <f t="shared" si="17"/>
        <v>97.4</v>
      </c>
      <c r="AV11" s="18">
        <v>9.9</v>
      </c>
      <c r="AW11" s="18">
        <v>2.4</v>
      </c>
      <c r="AX11" s="18">
        <v>0</v>
      </c>
      <c r="AY11" s="18"/>
      <c r="AZ11" s="18">
        <v>16.5</v>
      </c>
      <c r="BA11" s="18">
        <v>1.8</v>
      </c>
      <c r="BB11" s="18">
        <v>1</v>
      </c>
      <c r="BC11" s="18"/>
      <c r="BD11" s="18">
        <v>9.8000000000000007</v>
      </c>
      <c r="BE11" s="18">
        <v>2.4</v>
      </c>
      <c r="BF11" s="18">
        <v>0</v>
      </c>
      <c r="BG11" s="18"/>
      <c r="BH11" s="18">
        <v>9.9</v>
      </c>
      <c r="BI11" s="18">
        <v>2.4</v>
      </c>
      <c r="BJ11" s="18">
        <v>0</v>
      </c>
      <c r="BK11" s="18"/>
      <c r="BL11" s="18">
        <v>14.3</v>
      </c>
      <c r="BM11" s="18">
        <v>2.1</v>
      </c>
      <c r="BN11" s="18">
        <v>1</v>
      </c>
      <c r="BO11" s="18"/>
      <c r="BP11" s="28"/>
      <c r="BQ11" s="11">
        <f t="shared" si="18"/>
        <v>4.2</v>
      </c>
      <c r="BR11" s="11">
        <f t="shared" si="19"/>
        <v>29.6</v>
      </c>
      <c r="BS11" s="11">
        <f t="shared" si="20"/>
        <v>12.200000000000001</v>
      </c>
      <c r="BT11" s="11">
        <f t="shared" si="21"/>
        <v>6.6</v>
      </c>
      <c r="BU11" s="11">
        <f t="shared" si="22"/>
        <v>41.800000000000004</v>
      </c>
      <c r="BV11" s="11">
        <f t="shared" si="23"/>
        <v>4.5</v>
      </c>
      <c r="BW11" s="11">
        <f t="shared" si="24"/>
        <v>27.700000000000003</v>
      </c>
      <c r="BX11" s="11">
        <f t="shared" si="25"/>
        <v>69.5</v>
      </c>
      <c r="BY11" s="19">
        <v>16.5</v>
      </c>
      <c r="BZ11" s="19">
        <v>3.5</v>
      </c>
      <c r="CA11" s="19">
        <v>0.1</v>
      </c>
      <c r="CB11" s="19">
        <v>0</v>
      </c>
      <c r="CC11" s="19">
        <v>14.3</v>
      </c>
      <c r="CD11" s="19">
        <v>4</v>
      </c>
      <c r="CE11" s="19">
        <v>0.4</v>
      </c>
      <c r="CF11" s="19">
        <v>0.7</v>
      </c>
      <c r="CG11" s="19"/>
      <c r="CH11" s="19"/>
      <c r="CI11" s="19"/>
      <c r="CJ11" s="19"/>
      <c r="CK11" s="19">
        <v>16.399999999999999</v>
      </c>
      <c r="CL11" s="19">
        <v>6.3</v>
      </c>
      <c r="CM11" s="19">
        <v>0</v>
      </c>
      <c r="CN11" s="19">
        <v>0.7</v>
      </c>
      <c r="CO11" s="19">
        <v>17.600000000000001</v>
      </c>
      <c r="CP11" s="19">
        <v>3.8</v>
      </c>
      <c r="CQ11" s="19">
        <v>0</v>
      </c>
      <c r="CR11" s="19">
        <v>0.7</v>
      </c>
      <c r="CS11" s="27"/>
      <c r="CT11" s="40">
        <f t="shared" si="26"/>
        <v>7.5</v>
      </c>
      <c r="CU11" s="40">
        <f t="shared" si="27"/>
        <v>38.5</v>
      </c>
      <c r="CV11" s="40" t="str">
        <f t="shared" si="28"/>
        <v/>
      </c>
      <c r="CW11" s="40">
        <f t="shared" si="29"/>
        <v>7.5</v>
      </c>
      <c r="CX11" s="40">
        <f t="shared" si="30"/>
        <v>38.5</v>
      </c>
      <c r="CY11" s="40">
        <f t="shared" si="31"/>
        <v>10.1</v>
      </c>
      <c r="CZ11" s="40">
        <f t="shared" si="32"/>
        <v>45.5</v>
      </c>
      <c r="DA11" s="40">
        <f t="shared" si="33"/>
        <v>84</v>
      </c>
      <c r="DB11" s="51" t="str">
        <f t="shared" si="34"/>
        <v/>
      </c>
      <c r="DC11" s="51" t="str">
        <f t="shared" si="35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6"/>
        <v/>
      </c>
      <c r="DY11" s="40" t="str">
        <f t="shared" si="37"/>
        <v/>
      </c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4"/>
        <v/>
      </c>
      <c r="FA11" s="11" t="str">
        <f t="shared" si="45"/>
        <v/>
      </c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2"/>
        <v/>
      </c>
      <c r="GC11" s="40" t="str">
        <f t="shared" si="53"/>
        <v/>
      </c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0"/>
        <v/>
      </c>
      <c r="HE11" s="11" t="str">
        <f t="shared" si="61"/>
        <v/>
      </c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68"/>
        <v/>
      </c>
      <c r="IG11" s="40" t="str">
        <f t="shared" si="69"/>
        <v/>
      </c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6"/>
        <v/>
      </c>
      <c r="JI11" s="11" t="str">
        <f t="shared" si="77"/>
        <v/>
      </c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4"/>
        <v/>
      </c>
      <c r="KK11" s="40" t="str">
        <f t="shared" si="85"/>
        <v/>
      </c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2"/>
        <v/>
      </c>
      <c r="LM11" s="11" t="str">
        <f t="shared" si="93"/>
        <v/>
      </c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0"/>
        <v/>
      </c>
      <c r="MO11" s="40" t="str">
        <f t="shared" si="101"/>
        <v/>
      </c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08"/>
        <v/>
      </c>
      <c r="NQ11" s="11" t="str">
        <f t="shared" si="109"/>
        <v/>
      </c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6"/>
        <v/>
      </c>
      <c r="OS11" s="40" t="str">
        <f t="shared" si="117"/>
        <v/>
      </c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4"/>
        <v/>
      </c>
      <c r="PU11" s="11" t="str">
        <f t="shared" si="125"/>
        <v/>
      </c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2"/>
        <v/>
      </c>
      <c r="QW11" s="40" t="str">
        <f t="shared" si="133"/>
        <v/>
      </c>
      <c r="QX11" s="40" t="str">
        <f t="shared" si="134"/>
        <v/>
      </c>
      <c r="QY11" s="40" t="str">
        <f t="shared" si="135"/>
        <v/>
      </c>
      <c r="QZ11" s="40" t="str">
        <f t="shared" si="136"/>
        <v/>
      </c>
      <c r="RA11" s="40" t="str">
        <f t="shared" si="137"/>
        <v/>
      </c>
      <c r="RB11" s="40" t="str">
        <f t="shared" si="138"/>
        <v/>
      </c>
      <c r="RC11" s="40" t="str">
        <f t="shared" si="139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0"/>
        <v/>
      </c>
      <c r="RY11" s="11" t="str">
        <f t="shared" si="141"/>
        <v/>
      </c>
      <c r="RZ11" s="11" t="str">
        <f t="shared" si="142"/>
        <v/>
      </c>
      <c r="SA11" s="11" t="str">
        <f t="shared" si="143"/>
        <v/>
      </c>
      <c r="SB11" s="11" t="str">
        <f t="shared" si="144"/>
        <v/>
      </c>
      <c r="SC11" s="11" t="str">
        <f t="shared" si="145"/>
        <v/>
      </c>
      <c r="SD11" s="11" t="str">
        <f t="shared" si="146"/>
        <v/>
      </c>
      <c r="SE11" s="11" t="str">
        <f t="shared" si="147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48"/>
        <v/>
      </c>
      <c r="TA11" s="40" t="str">
        <f t="shared" si="149"/>
        <v/>
      </c>
      <c r="TB11" s="40" t="str">
        <f t="shared" si="150"/>
        <v/>
      </c>
      <c r="TC11" s="40" t="str">
        <f t="shared" si="151"/>
        <v/>
      </c>
      <c r="TD11" s="40" t="str">
        <f t="shared" si="152"/>
        <v/>
      </c>
      <c r="TE11" s="40" t="str">
        <f t="shared" si="153"/>
        <v/>
      </c>
      <c r="TF11" s="40" t="str">
        <f t="shared" si="154"/>
        <v/>
      </c>
      <c r="TG11" s="40" t="str">
        <f t="shared" si="155"/>
        <v/>
      </c>
      <c r="TH11" s="26">
        <f t="shared" si="156"/>
        <v>13.2</v>
      </c>
      <c r="TI11" s="26">
        <f t="shared" si="157"/>
        <v>2.95</v>
      </c>
      <c r="TJ11" s="26">
        <f t="shared" si="158"/>
        <v>0.05</v>
      </c>
      <c r="TK11" s="26">
        <f t="shared" si="159"/>
        <v>0</v>
      </c>
      <c r="TL11" s="26">
        <f t="shared" si="160"/>
        <v>15.4</v>
      </c>
      <c r="TM11" s="26">
        <f t="shared" si="161"/>
        <v>2.9</v>
      </c>
      <c r="TN11" s="26">
        <f t="shared" si="162"/>
        <v>0.7</v>
      </c>
      <c r="TO11" s="26">
        <f t="shared" si="163"/>
        <v>0.35</v>
      </c>
      <c r="TP11" s="26">
        <f t="shared" si="164"/>
        <v>4.9000000000000004</v>
      </c>
      <c r="TQ11" s="26">
        <f t="shared" si="165"/>
        <v>1.2</v>
      </c>
      <c r="TR11" s="26">
        <f t="shared" si="166"/>
        <v>0</v>
      </c>
      <c r="TS11" s="26">
        <f t="shared" si="167"/>
        <v>0</v>
      </c>
      <c r="TT11" s="26">
        <f t="shared" si="168"/>
        <v>13.149999999999999</v>
      </c>
      <c r="TU11" s="26">
        <f t="shared" si="169"/>
        <v>4.3499999999999996</v>
      </c>
      <c r="TV11" s="26">
        <f t="shared" si="170"/>
        <v>0</v>
      </c>
      <c r="TW11" s="26">
        <f t="shared" si="171"/>
        <v>0.35</v>
      </c>
      <c r="TX11" s="26">
        <f t="shared" si="172"/>
        <v>15.950000000000001</v>
      </c>
      <c r="TY11" s="26">
        <f t="shared" si="173"/>
        <v>2.95</v>
      </c>
      <c r="TZ11" s="26">
        <f t="shared" si="174"/>
        <v>0.5</v>
      </c>
      <c r="UA11" s="26">
        <f t="shared" si="175"/>
        <v>0.35</v>
      </c>
      <c r="UB11" s="28" t="s">
        <v>53</v>
      </c>
      <c r="UC11" s="11">
        <f t="shared" si="176"/>
        <v>5.85</v>
      </c>
      <c r="UD11" s="11">
        <f t="shared" si="177"/>
        <v>34.049999999999997</v>
      </c>
      <c r="UE11" s="11">
        <f t="shared" si="178"/>
        <v>6.1000000000000005</v>
      </c>
      <c r="UF11" s="11">
        <f t="shared" si="179"/>
        <v>7.05</v>
      </c>
      <c r="UG11" s="11">
        <f t="shared" si="180"/>
        <v>40.15</v>
      </c>
      <c r="UH11" s="11">
        <f t="shared" si="181"/>
        <v>7.3</v>
      </c>
      <c r="UI11" s="11">
        <f t="shared" si="182"/>
        <v>36.600000000000009</v>
      </c>
      <c r="UJ11" s="11">
        <f t="shared" si="183"/>
        <v>76.75</v>
      </c>
    </row>
    <row r="12" spans="1:556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240</v>
      </c>
      <c r="C12" s="4" t="s">
        <v>5</v>
      </c>
      <c r="D12" s="4">
        <v>2004</v>
      </c>
      <c r="E12" s="9">
        <f t="shared" si="0"/>
        <v>119.50000767000434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IF(COUNT(AO12,BR12,CU12)&gt;0,LARGE((AO12,BR12,CU12),1),0)</f>
        <v>43.300000000000004</v>
      </c>
      <c r="K12" s="8" t="str">
        <f t="shared" si="5"/>
        <v>2024 Nationals</v>
      </c>
      <c r="L12" s="8">
        <f>IF(COUNT(AO12,BR12,CU12)&gt;1,LARGE((AO12,BR12,CU12),2),0)</f>
        <v>33.4</v>
      </c>
      <c r="M12" s="8" t="str">
        <f t="shared" si="6"/>
        <v>2024 3rd Domestic Trial</v>
      </c>
      <c r="N12" s="8">
        <f t="shared" si="7"/>
        <v>42.800000000000004</v>
      </c>
      <c r="O12" s="8" t="str">
        <f t="shared" si="8"/>
        <v>2024 Nationals</v>
      </c>
      <c r="P12" s="8" t="str">
        <f t="shared" si="9"/>
        <v/>
      </c>
      <c r="Q12" s="11" t="str">
        <f t="shared" si="184"/>
        <v/>
      </c>
      <c r="R12" s="8" t="str">
        <f t="shared" si="185"/>
        <v/>
      </c>
      <c r="S12" s="19">
        <v>16.399999999999999</v>
      </c>
      <c r="T12" s="19">
        <v>6.1</v>
      </c>
      <c r="U12" s="19">
        <v>0</v>
      </c>
      <c r="V12" s="19">
        <v>0.3</v>
      </c>
      <c r="W12" s="19">
        <v>16.399999999999999</v>
      </c>
      <c r="X12" s="19">
        <v>3.5</v>
      </c>
      <c r="Y12" s="19">
        <v>0</v>
      </c>
      <c r="Z12" s="19">
        <v>0.6</v>
      </c>
      <c r="AA12" s="19">
        <v>15.5</v>
      </c>
      <c r="AB12" s="19">
        <v>6.1</v>
      </c>
      <c r="AC12" s="19">
        <v>0</v>
      </c>
      <c r="AD12" s="19">
        <v>0.3</v>
      </c>
      <c r="AE12" s="19">
        <v>15.9</v>
      </c>
      <c r="AF12" s="19">
        <v>6.1</v>
      </c>
      <c r="AG12" s="19">
        <v>0</v>
      </c>
      <c r="AH12" s="19">
        <v>0.3</v>
      </c>
      <c r="AI12" s="19">
        <v>16.399999999999999</v>
      </c>
      <c r="AJ12" s="19">
        <v>3.5</v>
      </c>
      <c r="AK12" s="19">
        <v>0</v>
      </c>
      <c r="AL12" s="19">
        <v>0.6</v>
      </c>
      <c r="AM12" s="27"/>
      <c r="AN12" s="40">
        <f t="shared" si="10"/>
        <v>9.6</v>
      </c>
      <c r="AO12" s="40">
        <f t="shared" si="11"/>
        <v>43.300000000000004</v>
      </c>
      <c r="AP12" s="40">
        <f t="shared" si="12"/>
        <v>21.900000000000002</v>
      </c>
      <c r="AQ12" s="40">
        <f t="shared" si="13"/>
        <v>15.7</v>
      </c>
      <c r="AR12" s="40">
        <f t="shared" si="14"/>
        <v>65.2</v>
      </c>
      <c r="AS12" s="40">
        <f t="shared" si="15"/>
        <v>9.6</v>
      </c>
      <c r="AT12" s="40">
        <f t="shared" si="16"/>
        <v>42.800000000000004</v>
      </c>
      <c r="AU12" s="40">
        <f t="shared" si="17"/>
        <v>108</v>
      </c>
      <c r="AV12" s="18">
        <v>14.4</v>
      </c>
      <c r="AW12" s="18">
        <v>3.4</v>
      </c>
      <c r="AX12" s="18">
        <v>0.6</v>
      </c>
      <c r="AY12" s="18">
        <v>0.3</v>
      </c>
      <c r="AZ12" s="18">
        <v>15</v>
      </c>
      <c r="BA12" s="18">
        <v>4.3</v>
      </c>
      <c r="BB12" s="18">
        <v>4</v>
      </c>
      <c r="BC12" s="18">
        <v>0.6</v>
      </c>
      <c r="BD12" s="18">
        <v>14.6</v>
      </c>
      <c r="BE12" s="18">
        <v>3.3</v>
      </c>
      <c r="BF12" s="18">
        <v>0.3</v>
      </c>
      <c r="BG12" s="18">
        <v>0.3</v>
      </c>
      <c r="BH12" s="18">
        <v>14.9</v>
      </c>
      <c r="BI12" s="18">
        <v>2.9</v>
      </c>
      <c r="BJ12" s="18">
        <v>0</v>
      </c>
      <c r="BK12" s="18">
        <v>0.3</v>
      </c>
      <c r="BL12" s="18">
        <v>14.1</v>
      </c>
      <c r="BM12" s="18">
        <v>3.9</v>
      </c>
      <c r="BN12" s="18">
        <v>0.4</v>
      </c>
      <c r="BO12" s="18">
        <v>0.6</v>
      </c>
      <c r="BP12" s="28"/>
      <c r="BQ12" s="11">
        <f t="shared" si="18"/>
        <v>7.6999999999999993</v>
      </c>
      <c r="BR12" s="11">
        <f t="shared" si="19"/>
        <v>33.4</v>
      </c>
      <c r="BS12" s="11">
        <f t="shared" si="20"/>
        <v>17.899999999999999</v>
      </c>
      <c r="BT12" s="11">
        <f t="shared" si="21"/>
        <v>11</v>
      </c>
      <c r="BU12" s="11">
        <f t="shared" si="22"/>
        <v>51.3</v>
      </c>
      <c r="BV12" s="11">
        <f t="shared" si="23"/>
        <v>6.8</v>
      </c>
      <c r="BW12" s="11">
        <f t="shared" si="24"/>
        <v>36.300000000000004</v>
      </c>
      <c r="BX12" s="11">
        <f t="shared" si="25"/>
        <v>87.6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 t="shared" si="26"/>
        <v/>
      </c>
      <c r="CU12" s="40" t="str">
        <f t="shared" si="27"/>
        <v/>
      </c>
      <c r="CV12" s="40" t="str">
        <f t="shared" si="28"/>
        <v/>
      </c>
      <c r="CW12" s="40" t="str">
        <f t="shared" si="29"/>
        <v/>
      </c>
      <c r="CX12" s="40" t="str">
        <f t="shared" si="30"/>
        <v/>
      </c>
      <c r="CY12" s="40" t="str">
        <f t="shared" si="31"/>
        <v/>
      </c>
      <c r="CZ12" s="40" t="str">
        <f t="shared" si="32"/>
        <v/>
      </c>
      <c r="DA12" s="40" t="str">
        <f t="shared" si="33"/>
        <v/>
      </c>
      <c r="DB12" s="51" t="str">
        <f t="shared" si="34"/>
        <v/>
      </c>
      <c r="DC12" s="51" t="str">
        <f t="shared" si="35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6"/>
        <v/>
      </c>
      <c r="DY12" s="40" t="str">
        <f t="shared" si="37"/>
        <v/>
      </c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4"/>
        <v/>
      </c>
      <c r="FA12" s="11" t="str">
        <f t="shared" si="45"/>
        <v/>
      </c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2"/>
        <v/>
      </c>
      <c r="GC12" s="40" t="str">
        <f t="shared" si="53"/>
        <v/>
      </c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0"/>
        <v/>
      </c>
      <c r="HE12" s="11" t="str">
        <f t="shared" si="61"/>
        <v/>
      </c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68"/>
        <v/>
      </c>
      <c r="IG12" s="40" t="str">
        <f t="shared" si="69"/>
        <v/>
      </c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6"/>
        <v/>
      </c>
      <c r="JI12" s="11" t="str">
        <f t="shared" si="77"/>
        <v/>
      </c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4"/>
        <v/>
      </c>
      <c r="KK12" s="40" t="str">
        <f t="shared" si="85"/>
        <v/>
      </c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2"/>
        <v/>
      </c>
      <c r="LM12" s="11" t="str">
        <f t="shared" si="93"/>
        <v/>
      </c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0"/>
        <v/>
      </c>
      <c r="MO12" s="40" t="str">
        <f t="shared" si="101"/>
        <v/>
      </c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08"/>
        <v/>
      </c>
      <c r="NQ12" s="11" t="str">
        <f t="shared" si="109"/>
        <v/>
      </c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6"/>
        <v/>
      </c>
      <c r="OS12" s="40" t="str">
        <f t="shared" si="117"/>
        <v/>
      </c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4"/>
        <v/>
      </c>
      <c r="PU12" s="11" t="str">
        <f t="shared" si="125"/>
        <v/>
      </c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2"/>
        <v/>
      </c>
      <c r="QW12" s="40" t="str">
        <f t="shared" si="133"/>
        <v/>
      </c>
      <c r="QX12" s="40" t="str">
        <f t="shared" si="134"/>
        <v/>
      </c>
      <c r="QY12" s="40" t="str">
        <f t="shared" si="135"/>
        <v/>
      </c>
      <c r="QZ12" s="40" t="str">
        <f t="shared" si="136"/>
        <v/>
      </c>
      <c r="RA12" s="40" t="str">
        <f t="shared" si="137"/>
        <v/>
      </c>
      <c r="RB12" s="40" t="str">
        <f t="shared" si="138"/>
        <v/>
      </c>
      <c r="RC12" s="40" t="str">
        <f t="shared" si="139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0"/>
        <v/>
      </c>
      <c r="RY12" s="11" t="str">
        <f t="shared" si="141"/>
        <v/>
      </c>
      <c r="RZ12" s="11" t="str">
        <f t="shared" si="142"/>
        <v/>
      </c>
      <c r="SA12" s="11" t="str">
        <f t="shared" si="143"/>
        <v/>
      </c>
      <c r="SB12" s="11" t="str">
        <f t="shared" si="144"/>
        <v/>
      </c>
      <c r="SC12" s="11" t="str">
        <f t="shared" si="145"/>
        <v/>
      </c>
      <c r="SD12" s="11" t="str">
        <f t="shared" si="146"/>
        <v/>
      </c>
      <c r="SE12" s="11" t="str">
        <f t="shared" si="147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48"/>
        <v/>
      </c>
      <c r="TA12" s="40" t="str">
        <f t="shared" si="149"/>
        <v/>
      </c>
      <c r="TB12" s="40" t="str">
        <f t="shared" si="150"/>
        <v/>
      </c>
      <c r="TC12" s="40" t="str">
        <f t="shared" si="151"/>
        <v/>
      </c>
      <c r="TD12" s="40" t="str">
        <f t="shared" si="152"/>
        <v/>
      </c>
      <c r="TE12" s="40" t="str">
        <f t="shared" si="153"/>
        <v/>
      </c>
      <c r="TF12" s="40" t="str">
        <f t="shared" si="154"/>
        <v/>
      </c>
      <c r="TG12" s="40" t="str">
        <f t="shared" si="155"/>
        <v/>
      </c>
      <c r="TH12" s="26">
        <f t="shared" si="156"/>
        <v>7.2</v>
      </c>
      <c r="TI12" s="26">
        <f t="shared" si="157"/>
        <v>1.7</v>
      </c>
      <c r="TJ12" s="26">
        <f t="shared" si="158"/>
        <v>0.3</v>
      </c>
      <c r="TK12" s="26">
        <f t="shared" si="159"/>
        <v>0.15</v>
      </c>
      <c r="TL12" s="26">
        <f t="shared" si="160"/>
        <v>7.5</v>
      </c>
      <c r="TM12" s="26">
        <f t="shared" si="161"/>
        <v>2.15</v>
      </c>
      <c r="TN12" s="26">
        <f t="shared" si="162"/>
        <v>2</v>
      </c>
      <c r="TO12" s="26">
        <f t="shared" si="163"/>
        <v>0.3</v>
      </c>
      <c r="TP12" s="26">
        <f t="shared" si="164"/>
        <v>7.3</v>
      </c>
      <c r="TQ12" s="26">
        <f t="shared" si="165"/>
        <v>1.65</v>
      </c>
      <c r="TR12" s="26">
        <f t="shared" si="166"/>
        <v>0.15</v>
      </c>
      <c r="TS12" s="26">
        <f t="shared" si="167"/>
        <v>0.15</v>
      </c>
      <c r="TT12" s="26">
        <f t="shared" si="168"/>
        <v>7.45</v>
      </c>
      <c r="TU12" s="26">
        <f t="shared" si="169"/>
        <v>1.45</v>
      </c>
      <c r="TV12" s="26">
        <f t="shared" si="170"/>
        <v>0</v>
      </c>
      <c r="TW12" s="26">
        <f t="shared" si="171"/>
        <v>0.15</v>
      </c>
      <c r="TX12" s="26">
        <f t="shared" si="172"/>
        <v>7.05</v>
      </c>
      <c r="TY12" s="26">
        <f t="shared" si="173"/>
        <v>1.95</v>
      </c>
      <c r="TZ12" s="26">
        <f t="shared" si="174"/>
        <v>0.2</v>
      </c>
      <c r="UA12" s="26">
        <f t="shared" si="175"/>
        <v>0.3</v>
      </c>
      <c r="UB12" s="28" t="s">
        <v>53</v>
      </c>
      <c r="UC12" s="11">
        <f t="shared" si="176"/>
        <v>3.8499999999999996</v>
      </c>
      <c r="UD12" s="11">
        <f t="shared" si="177"/>
        <v>16.7</v>
      </c>
      <c r="UE12" s="11">
        <f t="shared" si="178"/>
        <v>8.9499999999999993</v>
      </c>
      <c r="UF12" s="11">
        <f t="shared" si="179"/>
        <v>5.5</v>
      </c>
      <c r="UG12" s="11">
        <f t="shared" si="180"/>
        <v>25.65</v>
      </c>
      <c r="UH12" s="11">
        <f t="shared" si="181"/>
        <v>3.4</v>
      </c>
      <c r="UI12" s="11">
        <f t="shared" si="182"/>
        <v>18.150000000000002</v>
      </c>
      <c r="UJ12" s="11">
        <f t="shared" si="183"/>
        <v>43.8</v>
      </c>
    </row>
    <row r="13" spans="1:556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131</v>
      </c>
      <c r="C13" s="4" t="s">
        <v>5</v>
      </c>
      <c r="D13" s="4">
        <v>2001</v>
      </c>
      <c r="E13" s="9">
        <f t="shared" si="0"/>
        <v>116.50000732000379</v>
      </c>
      <c r="F13" s="3" t="str">
        <f t="shared" si="1"/>
        <v>P</v>
      </c>
      <c r="G13" s="3" t="str">
        <f t="shared" si="2"/>
        <v>P</v>
      </c>
      <c r="H13" s="36" t="str">
        <f t="shared" si="3"/>
        <v>National Team</v>
      </c>
      <c r="I13" s="3" t="str">
        <f t="shared" si="4"/>
        <v/>
      </c>
      <c r="J13" s="8">
        <f>IF(COUNT(AO13,BR13,CU13)&gt;0,LARGE((AO13,BR13,CU13),1),0)</f>
        <v>37.70000000000001</v>
      </c>
      <c r="K13" s="8" t="str">
        <f t="shared" si="5"/>
        <v>2024 3rd Domestic Trial</v>
      </c>
      <c r="L13" s="8">
        <f>IF(COUNT(AO13,BR13,CU13)&gt;1,LARGE((AO13,BR13,CU13),2),0)</f>
        <v>35.500000000000007</v>
      </c>
      <c r="M13" s="8" t="str">
        <f t="shared" si="6"/>
        <v>2024 Nationals</v>
      </c>
      <c r="N13" s="8">
        <f t="shared" si="7"/>
        <v>43.300000000000004</v>
      </c>
      <c r="O13" s="8" t="str">
        <f t="shared" si="8"/>
        <v>2024 3rd Domestic Trial</v>
      </c>
      <c r="P13" s="8" t="str">
        <f t="shared" si="9"/>
        <v/>
      </c>
      <c r="Q13" s="11" t="str">
        <f t="shared" si="184"/>
        <v/>
      </c>
      <c r="R13" s="8" t="str">
        <f t="shared" si="185"/>
        <v/>
      </c>
      <c r="S13" s="19">
        <v>17</v>
      </c>
      <c r="T13" s="19">
        <v>3.5</v>
      </c>
      <c r="U13" s="19">
        <v>2.1</v>
      </c>
      <c r="V13" s="19">
        <v>0.6</v>
      </c>
      <c r="W13" s="19">
        <v>17.100000000000001</v>
      </c>
      <c r="X13" s="19">
        <v>3.2</v>
      </c>
      <c r="Y13" s="19">
        <v>4.4000000000000004</v>
      </c>
      <c r="Z13" s="19">
        <v>0.6</v>
      </c>
      <c r="AA13" s="19">
        <v>16.600000000000001</v>
      </c>
      <c r="AB13" s="19">
        <v>4.5999999999999996</v>
      </c>
      <c r="AC13" s="19">
        <v>0</v>
      </c>
      <c r="AD13" s="19">
        <v>0.6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 t="shared" si="10"/>
        <v>6.7</v>
      </c>
      <c r="AO13" s="40">
        <f t="shared" si="11"/>
        <v>35.500000000000007</v>
      </c>
      <c r="AP13" s="40">
        <f t="shared" si="12"/>
        <v>21.800000000000004</v>
      </c>
      <c r="AQ13" s="40">
        <f t="shared" si="13"/>
        <v>11.3</v>
      </c>
      <c r="AR13" s="40">
        <f t="shared" si="14"/>
        <v>57.300000000000011</v>
      </c>
      <c r="AS13" s="40" t="str">
        <f t="shared" si="15"/>
        <v/>
      </c>
      <c r="AT13" s="40" t="str">
        <f t="shared" si="16"/>
        <v/>
      </c>
      <c r="AU13" s="40">
        <f t="shared" si="17"/>
        <v>57.300000000000011</v>
      </c>
      <c r="AV13" s="18">
        <v>16.8</v>
      </c>
      <c r="AW13" s="18">
        <v>3.2</v>
      </c>
      <c r="AX13" s="18">
        <v>2.4</v>
      </c>
      <c r="AY13" s="18">
        <v>0.6</v>
      </c>
      <c r="AZ13" s="18">
        <v>16.3</v>
      </c>
      <c r="BA13" s="18">
        <v>4.5999999999999996</v>
      </c>
      <c r="BB13" s="18">
        <v>2</v>
      </c>
      <c r="BC13" s="18">
        <v>0.6</v>
      </c>
      <c r="BD13" s="18">
        <v>17</v>
      </c>
      <c r="BE13" s="18">
        <v>3.2</v>
      </c>
      <c r="BF13" s="18">
        <v>0.4</v>
      </c>
      <c r="BG13" s="18">
        <v>0.6</v>
      </c>
      <c r="BH13" s="18">
        <v>16.5</v>
      </c>
      <c r="BI13" s="18">
        <v>4.8</v>
      </c>
      <c r="BJ13" s="18">
        <v>0</v>
      </c>
      <c r="BK13" s="18">
        <v>0.6</v>
      </c>
      <c r="BL13" s="18">
        <v>16.2</v>
      </c>
      <c r="BM13" s="18">
        <v>4.5999999999999996</v>
      </c>
      <c r="BN13" s="18">
        <v>0</v>
      </c>
      <c r="BO13" s="18">
        <v>0.6</v>
      </c>
      <c r="BP13" s="28"/>
      <c r="BQ13" s="11">
        <f t="shared" si="18"/>
        <v>7.8</v>
      </c>
      <c r="BR13" s="11">
        <f t="shared" si="19"/>
        <v>37.70000000000001</v>
      </c>
      <c r="BS13" s="11">
        <f t="shared" si="20"/>
        <v>20.400000000000002</v>
      </c>
      <c r="BT13" s="11">
        <f t="shared" si="21"/>
        <v>11</v>
      </c>
      <c r="BU13" s="11">
        <f t="shared" si="22"/>
        <v>58.100000000000009</v>
      </c>
      <c r="BV13" s="11">
        <f t="shared" si="23"/>
        <v>9.3999999999999986</v>
      </c>
      <c r="BW13" s="11">
        <f t="shared" si="24"/>
        <v>43.300000000000004</v>
      </c>
      <c r="BX13" s="11">
        <f t="shared" si="25"/>
        <v>101.4</v>
      </c>
      <c r="BY13" s="19">
        <v>14.5</v>
      </c>
      <c r="BZ13" s="19">
        <v>2.6</v>
      </c>
      <c r="CA13" s="19">
        <v>0</v>
      </c>
      <c r="CB13" s="19">
        <v>0</v>
      </c>
      <c r="CC13" s="19">
        <v>16.3</v>
      </c>
      <c r="CD13" s="19">
        <v>3.2</v>
      </c>
      <c r="CE13" s="19">
        <v>2.4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6"/>
        <v>5.8000000000000007</v>
      </c>
      <c r="CU13" s="40">
        <f t="shared" si="27"/>
        <v>34.20000000000001</v>
      </c>
      <c r="CV13" s="40" t="str">
        <f t="shared" si="28"/>
        <v/>
      </c>
      <c r="CW13" s="40">
        <f t="shared" si="29"/>
        <v>5.8000000000000007</v>
      </c>
      <c r="CX13" s="40">
        <f t="shared" si="30"/>
        <v>34.20000000000001</v>
      </c>
      <c r="CY13" s="40" t="str">
        <f t="shared" si="31"/>
        <v/>
      </c>
      <c r="CZ13" s="40" t="str">
        <f t="shared" si="32"/>
        <v/>
      </c>
      <c r="DA13" s="40">
        <f t="shared" si="33"/>
        <v>34.20000000000001</v>
      </c>
      <c r="DB13" s="51" t="str">
        <f t="shared" si="34"/>
        <v/>
      </c>
      <c r="DC13" s="51" t="str">
        <f t="shared" si="35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6"/>
        <v/>
      </c>
      <c r="DY13" s="40" t="str">
        <f t="shared" si="37"/>
        <v/>
      </c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4"/>
        <v/>
      </c>
      <c r="FA13" s="11" t="str">
        <f t="shared" si="45"/>
        <v/>
      </c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2"/>
        <v/>
      </c>
      <c r="GC13" s="40" t="str">
        <f t="shared" si="53"/>
        <v/>
      </c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0"/>
        <v/>
      </c>
      <c r="HE13" s="11" t="str">
        <f t="shared" si="61"/>
        <v/>
      </c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68"/>
        <v/>
      </c>
      <c r="IG13" s="40" t="str">
        <f t="shared" si="69"/>
        <v/>
      </c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6"/>
        <v/>
      </c>
      <c r="JI13" s="11" t="str">
        <f t="shared" si="77"/>
        <v/>
      </c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4"/>
        <v/>
      </c>
      <c r="KK13" s="40" t="str">
        <f t="shared" si="85"/>
        <v/>
      </c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2"/>
        <v/>
      </c>
      <c r="LM13" s="11" t="str">
        <f t="shared" si="93"/>
        <v/>
      </c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0"/>
        <v/>
      </c>
      <c r="MO13" s="40" t="str">
        <f t="shared" si="101"/>
        <v/>
      </c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08"/>
        <v/>
      </c>
      <c r="NQ13" s="11" t="str">
        <f t="shared" si="109"/>
        <v/>
      </c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6"/>
        <v/>
      </c>
      <c r="OS13" s="40" t="str">
        <f t="shared" si="117"/>
        <v/>
      </c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4"/>
        <v/>
      </c>
      <c r="PU13" s="11" t="str">
        <f t="shared" si="125"/>
        <v/>
      </c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2"/>
        <v/>
      </c>
      <c r="QW13" s="40" t="str">
        <f t="shared" si="133"/>
        <v/>
      </c>
      <c r="QX13" s="40" t="str">
        <f t="shared" si="134"/>
        <v/>
      </c>
      <c r="QY13" s="40" t="str">
        <f t="shared" si="135"/>
        <v/>
      </c>
      <c r="QZ13" s="40" t="str">
        <f t="shared" si="136"/>
        <v/>
      </c>
      <c r="RA13" s="40" t="str">
        <f t="shared" si="137"/>
        <v/>
      </c>
      <c r="RB13" s="40" t="str">
        <f t="shared" si="138"/>
        <v/>
      </c>
      <c r="RC13" s="40" t="str">
        <f t="shared" si="139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0"/>
        <v/>
      </c>
      <c r="RY13" s="11" t="str">
        <f t="shared" si="141"/>
        <v/>
      </c>
      <c r="RZ13" s="11" t="str">
        <f t="shared" si="142"/>
        <v/>
      </c>
      <c r="SA13" s="11" t="str">
        <f t="shared" si="143"/>
        <v/>
      </c>
      <c r="SB13" s="11" t="str">
        <f t="shared" si="144"/>
        <v/>
      </c>
      <c r="SC13" s="11" t="str">
        <f t="shared" si="145"/>
        <v/>
      </c>
      <c r="SD13" s="11" t="str">
        <f t="shared" si="146"/>
        <v/>
      </c>
      <c r="SE13" s="11" t="str">
        <f t="shared" si="147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48"/>
        <v/>
      </c>
      <c r="TA13" s="40" t="str">
        <f t="shared" si="149"/>
        <v/>
      </c>
      <c r="TB13" s="40" t="str">
        <f t="shared" si="150"/>
        <v/>
      </c>
      <c r="TC13" s="40" t="str">
        <f t="shared" si="151"/>
        <v/>
      </c>
      <c r="TD13" s="40" t="str">
        <f t="shared" si="152"/>
        <v/>
      </c>
      <c r="TE13" s="40" t="str">
        <f t="shared" si="153"/>
        <v/>
      </c>
      <c r="TF13" s="40" t="str">
        <f t="shared" si="154"/>
        <v/>
      </c>
      <c r="TG13" s="40" t="str">
        <f t="shared" si="155"/>
        <v/>
      </c>
      <c r="TH13" s="26">
        <f t="shared" si="156"/>
        <v>15.65</v>
      </c>
      <c r="TI13" s="26">
        <f t="shared" si="157"/>
        <v>2.9000000000000004</v>
      </c>
      <c r="TJ13" s="26">
        <f t="shared" si="158"/>
        <v>1.2</v>
      </c>
      <c r="TK13" s="26">
        <f t="shared" si="159"/>
        <v>0.3</v>
      </c>
      <c r="TL13" s="26">
        <f t="shared" si="160"/>
        <v>16.3</v>
      </c>
      <c r="TM13" s="26">
        <f t="shared" si="161"/>
        <v>3.9</v>
      </c>
      <c r="TN13" s="26">
        <f t="shared" si="162"/>
        <v>2.2000000000000002</v>
      </c>
      <c r="TO13" s="26">
        <f t="shared" si="163"/>
        <v>0.3</v>
      </c>
      <c r="TP13" s="26">
        <f t="shared" si="164"/>
        <v>8.5</v>
      </c>
      <c r="TQ13" s="26">
        <f t="shared" si="165"/>
        <v>1.6</v>
      </c>
      <c r="TR13" s="26">
        <f t="shared" si="166"/>
        <v>0.2</v>
      </c>
      <c r="TS13" s="26">
        <f t="shared" si="167"/>
        <v>0.3</v>
      </c>
      <c r="TT13" s="26">
        <f t="shared" si="168"/>
        <v>8.25</v>
      </c>
      <c r="TU13" s="26">
        <f t="shared" si="169"/>
        <v>2.4</v>
      </c>
      <c r="TV13" s="26">
        <f t="shared" si="170"/>
        <v>0</v>
      </c>
      <c r="TW13" s="26">
        <f t="shared" si="171"/>
        <v>0.3</v>
      </c>
      <c r="TX13" s="26">
        <f t="shared" si="172"/>
        <v>8.1</v>
      </c>
      <c r="TY13" s="26">
        <f t="shared" si="173"/>
        <v>2.2999999999999998</v>
      </c>
      <c r="TZ13" s="26">
        <f t="shared" si="174"/>
        <v>0</v>
      </c>
      <c r="UA13" s="26">
        <f t="shared" si="175"/>
        <v>0.3</v>
      </c>
      <c r="UB13" s="28" t="s">
        <v>53</v>
      </c>
      <c r="UC13" s="11">
        <f t="shared" si="176"/>
        <v>6.8000000000000007</v>
      </c>
      <c r="UD13" s="11">
        <f t="shared" si="177"/>
        <v>35.949999999999996</v>
      </c>
      <c r="UE13" s="11">
        <f t="shared" si="178"/>
        <v>10.200000000000001</v>
      </c>
      <c r="UF13" s="11">
        <f t="shared" si="179"/>
        <v>8.4</v>
      </c>
      <c r="UG13" s="11">
        <f t="shared" si="180"/>
        <v>46.15</v>
      </c>
      <c r="UH13" s="11">
        <f t="shared" si="181"/>
        <v>4.6999999999999993</v>
      </c>
      <c r="UI13" s="11">
        <f t="shared" si="182"/>
        <v>21.650000000000002</v>
      </c>
      <c r="UJ13" s="11">
        <f t="shared" si="183"/>
        <v>67.8</v>
      </c>
    </row>
    <row r="14" spans="1:556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71</v>
      </c>
      <c r="C14" s="4" t="s">
        <v>6</v>
      </c>
      <c r="D14" s="4">
        <v>2001</v>
      </c>
      <c r="E14" s="9">
        <f t="shared" si="0"/>
        <v>121.50000768000412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IF(COUNT(AO14,BR14,CU14)&gt;0,LARGE((AO14,BR14,CU14),1),0)</f>
        <v>41.4</v>
      </c>
      <c r="K14" s="8" t="str">
        <f t="shared" si="5"/>
        <v>2025 Elite Canada</v>
      </c>
      <c r="L14" s="8">
        <f>IF(COUNT(AO14,BR14,CU14)&gt;1,LARGE((AO14,BR14,CU14),2),0)</f>
        <v>35.4</v>
      </c>
      <c r="M14" s="8" t="str">
        <f t="shared" si="6"/>
        <v>2024 3rd Domestic Trial</v>
      </c>
      <c r="N14" s="8">
        <f t="shared" si="7"/>
        <v>41.4</v>
      </c>
      <c r="O14" s="8" t="str">
        <f t="shared" si="8"/>
        <v>2025 Elite Canada</v>
      </c>
      <c r="P14" s="8">
        <f t="shared" si="9"/>
        <v>3.2999999999999972</v>
      </c>
      <c r="Q14" s="11" t="str">
        <f t="shared" si="184"/>
        <v>(Q1)</v>
      </c>
      <c r="R14" s="8" t="str">
        <f t="shared" si="185"/>
        <v>2024 Coimbra Gym Fest (July 7)</v>
      </c>
      <c r="S14" s="19">
        <v>17.7</v>
      </c>
      <c r="T14" s="19">
        <v>2.5</v>
      </c>
      <c r="U14" s="19">
        <v>3</v>
      </c>
      <c r="V14" s="19">
        <v>0.3</v>
      </c>
      <c r="W14" s="19">
        <v>18</v>
      </c>
      <c r="X14" s="19">
        <v>1.2</v>
      </c>
      <c r="Y14" s="19">
        <v>5</v>
      </c>
      <c r="Z14" s="19">
        <v>0</v>
      </c>
      <c r="AA14" s="19">
        <v>16.7</v>
      </c>
      <c r="AB14" s="19">
        <v>2.5</v>
      </c>
      <c r="AC14" s="19">
        <v>1</v>
      </c>
      <c r="AD14" s="19">
        <v>0.3</v>
      </c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 t="shared" si="10"/>
        <v>3.7</v>
      </c>
      <c r="AO14" s="40">
        <f t="shared" si="11"/>
        <v>31.700000000000003</v>
      </c>
      <c r="AP14" s="40">
        <f t="shared" si="12"/>
        <v>18.5</v>
      </c>
      <c r="AQ14" s="40">
        <f t="shared" si="13"/>
        <v>6.2</v>
      </c>
      <c r="AR14" s="40">
        <f t="shared" si="14"/>
        <v>50.2</v>
      </c>
      <c r="AS14" s="40" t="str">
        <f t="shared" si="15"/>
        <v/>
      </c>
      <c r="AT14" s="40" t="str">
        <f t="shared" si="16"/>
        <v/>
      </c>
      <c r="AU14" s="40">
        <f t="shared" si="17"/>
        <v>50.2</v>
      </c>
      <c r="AV14" s="18">
        <v>15.7</v>
      </c>
      <c r="AW14" s="18">
        <v>3.2</v>
      </c>
      <c r="AX14" s="18">
        <v>0.4</v>
      </c>
      <c r="AY14" s="18">
        <v>0</v>
      </c>
      <c r="AZ14" s="18">
        <v>15.7</v>
      </c>
      <c r="BA14" s="18">
        <v>1.2</v>
      </c>
      <c r="BB14" s="18">
        <v>0</v>
      </c>
      <c r="BC14" s="18">
        <v>0</v>
      </c>
      <c r="BD14" s="18">
        <v>16.7</v>
      </c>
      <c r="BE14" s="18">
        <v>3.4</v>
      </c>
      <c r="BF14" s="18">
        <v>0.2</v>
      </c>
      <c r="BG14" s="18">
        <v>0</v>
      </c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 t="shared" si="18"/>
        <v>4.4000000000000004</v>
      </c>
      <c r="BR14" s="11">
        <f t="shared" si="19"/>
        <v>35.4</v>
      </c>
      <c r="BS14" s="11">
        <f t="shared" si="20"/>
        <v>19.899999999999999</v>
      </c>
      <c r="BT14" s="11">
        <f t="shared" si="21"/>
        <v>7.8000000000000007</v>
      </c>
      <c r="BU14" s="11">
        <f t="shared" si="22"/>
        <v>55.3</v>
      </c>
      <c r="BV14" s="11" t="str">
        <f t="shared" si="23"/>
        <v/>
      </c>
      <c r="BW14" s="11" t="str">
        <f t="shared" si="24"/>
        <v/>
      </c>
      <c r="BX14" s="11">
        <f t="shared" si="25"/>
        <v>55.3</v>
      </c>
      <c r="BY14" s="19">
        <v>16.3</v>
      </c>
      <c r="BZ14" s="19">
        <v>4.0999999999999996</v>
      </c>
      <c r="CA14" s="19">
        <v>0</v>
      </c>
      <c r="CB14" s="19">
        <v>0</v>
      </c>
      <c r="CC14" s="19">
        <v>16.399999999999999</v>
      </c>
      <c r="CD14" s="19">
        <v>4.5999999999999996</v>
      </c>
      <c r="CE14" s="19">
        <v>0</v>
      </c>
      <c r="CF14" s="19">
        <v>0</v>
      </c>
      <c r="CG14" s="19"/>
      <c r="CH14" s="19"/>
      <c r="CI14" s="19"/>
      <c r="CJ14" s="19"/>
      <c r="CK14" s="19">
        <v>16.399999999999999</v>
      </c>
      <c r="CL14" s="19">
        <v>4.8</v>
      </c>
      <c r="CM14" s="19">
        <v>0</v>
      </c>
      <c r="CN14" s="19">
        <v>0</v>
      </c>
      <c r="CO14" s="19">
        <v>15.6</v>
      </c>
      <c r="CP14" s="19">
        <v>4.5999999999999996</v>
      </c>
      <c r="CQ14" s="19">
        <v>0</v>
      </c>
      <c r="CR14" s="19">
        <v>0</v>
      </c>
      <c r="CS14" s="27"/>
      <c r="CT14" s="40">
        <f t="shared" si="26"/>
        <v>8.6999999999999993</v>
      </c>
      <c r="CU14" s="40">
        <f t="shared" si="27"/>
        <v>41.4</v>
      </c>
      <c r="CV14" s="40" t="str">
        <f t="shared" si="28"/>
        <v/>
      </c>
      <c r="CW14" s="40">
        <f t="shared" si="29"/>
        <v>8.6999999999999993</v>
      </c>
      <c r="CX14" s="40">
        <f t="shared" si="30"/>
        <v>41.4</v>
      </c>
      <c r="CY14" s="40">
        <f t="shared" si="31"/>
        <v>9.3999999999999986</v>
      </c>
      <c r="CZ14" s="40">
        <f t="shared" si="32"/>
        <v>41.4</v>
      </c>
      <c r="DA14" s="40">
        <f t="shared" si="33"/>
        <v>82.8</v>
      </c>
      <c r="DB14" s="51">
        <f t="shared" si="34"/>
        <v>3.2999999999999972</v>
      </c>
      <c r="DC14" s="51" t="str">
        <f t="shared" si="35"/>
        <v/>
      </c>
      <c r="DD14" s="17">
        <v>14.6</v>
      </c>
      <c r="DE14" s="17">
        <v>4.0999999999999996</v>
      </c>
      <c r="DF14" s="17">
        <v>0</v>
      </c>
      <c r="DG14" s="17">
        <v>0</v>
      </c>
      <c r="DH14" s="17">
        <v>16.100000000000001</v>
      </c>
      <c r="DI14" s="17">
        <v>3.9</v>
      </c>
      <c r="DJ14" s="17">
        <v>0</v>
      </c>
      <c r="DK14" s="17">
        <v>0</v>
      </c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>
        <f t="shared" si="36"/>
        <v>8</v>
      </c>
      <c r="DY14" s="40">
        <f t="shared" si="37"/>
        <v>38.699999999999996</v>
      </c>
      <c r="DZ14" s="40" t="str">
        <f t="shared" si="38"/>
        <v/>
      </c>
      <c r="EA14" s="40">
        <f t="shared" si="39"/>
        <v>8</v>
      </c>
      <c r="EB14" s="40">
        <f t="shared" si="40"/>
        <v>38.699999999999996</v>
      </c>
      <c r="EC14" s="40" t="str">
        <f t="shared" si="41"/>
        <v/>
      </c>
      <c r="ED14" s="40" t="str">
        <f t="shared" si="42"/>
        <v/>
      </c>
      <c r="EE14" s="40">
        <f t="shared" si="43"/>
        <v>38.699999999999996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4"/>
        <v/>
      </c>
      <c r="FA14" s="11" t="str">
        <f t="shared" si="45"/>
        <v/>
      </c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2"/>
        <v/>
      </c>
      <c r="GC14" s="40" t="str">
        <f t="shared" si="53"/>
        <v/>
      </c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0"/>
        <v/>
      </c>
      <c r="HE14" s="11" t="str">
        <f t="shared" si="61"/>
        <v/>
      </c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68"/>
        <v/>
      </c>
      <c r="IG14" s="40" t="str">
        <f t="shared" si="69"/>
        <v/>
      </c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6"/>
        <v/>
      </c>
      <c r="JI14" s="11" t="str">
        <f t="shared" si="77"/>
        <v/>
      </c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4"/>
        <v/>
      </c>
      <c r="KK14" s="40" t="str">
        <f t="shared" si="85"/>
        <v/>
      </c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2"/>
        <v/>
      </c>
      <c r="LM14" s="11" t="str">
        <f t="shared" si="93"/>
        <v/>
      </c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0"/>
        <v/>
      </c>
      <c r="MO14" s="40" t="str">
        <f t="shared" si="101"/>
        <v/>
      </c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08"/>
        <v/>
      </c>
      <c r="NQ14" s="11" t="str">
        <f t="shared" si="109"/>
        <v/>
      </c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6"/>
        <v/>
      </c>
      <c r="OS14" s="40" t="str">
        <f t="shared" si="117"/>
        <v/>
      </c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4"/>
        <v/>
      </c>
      <c r="PU14" s="11" t="str">
        <f t="shared" si="125"/>
        <v/>
      </c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2"/>
        <v/>
      </c>
      <c r="QW14" s="40" t="str">
        <f t="shared" si="133"/>
        <v/>
      </c>
      <c r="QX14" s="40" t="str">
        <f t="shared" si="134"/>
        <v/>
      </c>
      <c r="QY14" s="40" t="str">
        <f t="shared" si="135"/>
        <v/>
      </c>
      <c r="QZ14" s="40" t="str">
        <f t="shared" si="136"/>
        <v/>
      </c>
      <c r="RA14" s="40" t="str">
        <f t="shared" si="137"/>
        <v/>
      </c>
      <c r="RB14" s="40" t="str">
        <f t="shared" si="138"/>
        <v/>
      </c>
      <c r="RC14" s="40" t="str">
        <f t="shared" si="139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0"/>
        <v/>
      </c>
      <c r="RY14" s="11" t="str">
        <f t="shared" si="141"/>
        <v/>
      </c>
      <c r="RZ14" s="11" t="str">
        <f t="shared" si="142"/>
        <v/>
      </c>
      <c r="SA14" s="11" t="str">
        <f t="shared" si="143"/>
        <v/>
      </c>
      <c r="SB14" s="11" t="str">
        <f t="shared" si="144"/>
        <v/>
      </c>
      <c r="SC14" s="11" t="str">
        <f t="shared" si="145"/>
        <v/>
      </c>
      <c r="SD14" s="11" t="str">
        <f t="shared" si="146"/>
        <v/>
      </c>
      <c r="SE14" s="11" t="str">
        <f t="shared" si="147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48"/>
        <v/>
      </c>
      <c r="TA14" s="40" t="str">
        <f t="shared" si="149"/>
        <v/>
      </c>
      <c r="TB14" s="40" t="str">
        <f t="shared" si="150"/>
        <v/>
      </c>
      <c r="TC14" s="40" t="str">
        <f t="shared" si="151"/>
        <v/>
      </c>
      <c r="TD14" s="40" t="str">
        <f t="shared" si="152"/>
        <v/>
      </c>
      <c r="TE14" s="40" t="str">
        <f t="shared" si="153"/>
        <v/>
      </c>
      <c r="TF14" s="40" t="str">
        <f t="shared" si="154"/>
        <v/>
      </c>
      <c r="TG14" s="40" t="str">
        <f t="shared" si="155"/>
        <v/>
      </c>
      <c r="TH14" s="26">
        <f t="shared" si="156"/>
        <v>16</v>
      </c>
      <c r="TI14" s="26">
        <f t="shared" si="157"/>
        <v>3.65</v>
      </c>
      <c r="TJ14" s="26">
        <f t="shared" si="158"/>
        <v>0.2</v>
      </c>
      <c r="TK14" s="26">
        <f t="shared" si="159"/>
        <v>0</v>
      </c>
      <c r="TL14" s="26">
        <f t="shared" si="160"/>
        <v>16.049999999999997</v>
      </c>
      <c r="TM14" s="26">
        <f t="shared" si="161"/>
        <v>2.9</v>
      </c>
      <c r="TN14" s="26">
        <f t="shared" si="162"/>
        <v>0</v>
      </c>
      <c r="TO14" s="26">
        <f t="shared" si="163"/>
        <v>0</v>
      </c>
      <c r="TP14" s="26">
        <f t="shared" si="164"/>
        <v>8.35</v>
      </c>
      <c r="TQ14" s="26">
        <f t="shared" si="165"/>
        <v>1.7</v>
      </c>
      <c r="TR14" s="26">
        <f t="shared" si="166"/>
        <v>0.1</v>
      </c>
      <c r="TS14" s="26">
        <f t="shared" si="167"/>
        <v>0</v>
      </c>
      <c r="TT14" s="26">
        <f t="shared" si="168"/>
        <v>8.1999999999999993</v>
      </c>
      <c r="TU14" s="26">
        <f t="shared" si="169"/>
        <v>2.4</v>
      </c>
      <c r="TV14" s="26">
        <f t="shared" si="170"/>
        <v>0</v>
      </c>
      <c r="TW14" s="26">
        <f t="shared" si="171"/>
        <v>0</v>
      </c>
      <c r="TX14" s="26">
        <f t="shared" si="172"/>
        <v>7.8</v>
      </c>
      <c r="TY14" s="26">
        <f t="shared" si="173"/>
        <v>2.2999999999999998</v>
      </c>
      <c r="TZ14" s="26">
        <f t="shared" si="174"/>
        <v>0</v>
      </c>
      <c r="UA14" s="26">
        <f t="shared" si="175"/>
        <v>0</v>
      </c>
      <c r="UB14" s="28" t="s">
        <v>53</v>
      </c>
      <c r="UC14" s="11">
        <f t="shared" si="176"/>
        <v>6.55</v>
      </c>
      <c r="UD14" s="11">
        <f t="shared" si="177"/>
        <v>38.399999999999991</v>
      </c>
      <c r="UE14" s="11">
        <f t="shared" si="178"/>
        <v>9.9499999999999993</v>
      </c>
      <c r="UF14" s="11">
        <f t="shared" si="179"/>
        <v>8.25</v>
      </c>
      <c r="UG14" s="11">
        <f t="shared" si="180"/>
        <v>48.349999999999994</v>
      </c>
      <c r="UH14" s="11">
        <f t="shared" si="181"/>
        <v>4.6999999999999993</v>
      </c>
      <c r="UI14" s="11">
        <f t="shared" si="182"/>
        <v>20.7</v>
      </c>
      <c r="UJ14" s="11">
        <f t="shared" si="183"/>
        <v>69.05</v>
      </c>
    </row>
    <row r="15" spans="1:556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89</v>
      </c>
      <c r="C15" s="4" t="s">
        <v>6</v>
      </c>
      <c r="D15" s="4">
        <v>2004</v>
      </c>
      <c r="E15" s="9">
        <f t="shared" si="0"/>
        <v>119.80000771000392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IF(COUNT(AO15,BR15,CU15)&gt;0,LARGE((AO15,BR15,CU15),1),0)</f>
        <v>39.200000000000003</v>
      </c>
      <c r="K15" s="8" t="str">
        <f t="shared" si="5"/>
        <v>2025 Elite Canada</v>
      </c>
      <c r="L15" s="8">
        <f>IF(COUNT(AO15,BR15,CU15)&gt;1,LARGE((AO15,BR15,CU15),2),0)</f>
        <v>37.9</v>
      </c>
      <c r="M15" s="8" t="str">
        <f t="shared" si="6"/>
        <v>2024 Nationals</v>
      </c>
      <c r="N15" s="8">
        <f t="shared" si="7"/>
        <v>39.5</v>
      </c>
      <c r="O15" s="8" t="str">
        <f t="shared" si="8"/>
        <v>2024 Nationals</v>
      </c>
      <c r="P15" s="8">
        <f t="shared" si="9"/>
        <v>3.2000000000000028</v>
      </c>
      <c r="Q15" s="11" t="str">
        <f t="shared" si="184"/>
        <v>(Q1)</v>
      </c>
      <c r="R15" s="8" t="str">
        <f t="shared" si="185"/>
        <v>2024 World Cup POR (July 7)</v>
      </c>
      <c r="S15" s="19">
        <v>16.5</v>
      </c>
      <c r="T15" s="19">
        <v>3.4</v>
      </c>
      <c r="U15" s="19">
        <v>0.2</v>
      </c>
      <c r="V15" s="19">
        <v>0</v>
      </c>
      <c r="W15" s="19">
        <v>17.399999999999999</v>
      </c>
      <c r="X15" s="19">
        <v>3.2</v>
      </c>
      <c r="Y15" s="19">
        <v>2.4</v>
      </c>
      <c r="Z15" s="19">
        <v>0</v>
      </c>
      <c r="AA15" s="19">
        <v>17.600000000000001</v>
      </c>
      <c r="AB15" s="19">
        <v>3.4</v>
      </c>
      <c r="AC15" s="19">
        <v>0.2</v>
      </c>
      <c r="AD15" s="19">
        <v>0</v>
      </c>
      <c r="AE15" s="19">
        <v>15.8</v>
      </c>
      <c r="AF15" s="19">
        <v>3.4</v>
      </c>
      <c r="AG15" s="19">
        <v>0.2</v>
      </c>
      <c r="AH15" s="19">
        <v>0</v>
      </c>
      <c r="AI15" s="19">
        <v>17.7</v>
      </c>
      <c r="AJ15" s="19">
        <v>3.2</v>
      </c>
      <c r="AK15" s="19">
        <v>0.4</v>
      </c>
      <c r="AL15" s="19">
        <v>0</v>
      </c>
      <c r="AM15" s="27"/>
      <c r="AN15" s="40">
        <f t="shared" si="10"/>
        <v>6.6</v>
      </c>
      <c r="AO15" s="40">
        <f t="shared" si="11"/>
        <v>37.9</v>
      </c>
      <c r="AP15" s="40">
        <f t="shared" si="12"/>
        <v>20.8</v>
      </c>
      <c r="AQ15" s="40">
        <f t="shared" si="13"/>
        <v>10</v>
      </c>
      <c r="AR15" s="40">
        <f t="shared" si="14"/>
        <v>58.7</v>
      </c>
      <c r="AS15" s="40">
        <f t="shared" si="15"/>
        <v>6.6</v>
      </c>
      <c r="AT15" s="40">
        <f t="shared" si="16"/>
        <v>39.5</v>
      </c>
      <c r="AU15" s="40">
        <f t="shared" si="17"/>
        <v>98.2</v>
      </c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 t="str">
        <f t="shared" si="18"/>
        <v/>
      </c>
      <c r="BR15" s="11" t="str">
        <f t="shared" si="19"/>
        <v/>
      </c>
      <c r="BS15" s="11" t="str">
        <f t="shared" si="20"/>
        <v/>
      </c>
      <c r="BT15" s="11" t="str">
        <f t="shared" si="21"/>
        <v/>
      </c>
      <c r="BU15" s="11" t="str">
        <f t="shared" si="22"/>
        <v/>
      </c>
      <c r="BV15" s="11" t="str">
        <f t="shared" si="23"/>
        <v/>
      </c>
      <c r="BW15" s="11" t="str">
        <f t="shared" si="24"/>
        <v/>
      </c>
      <c r="BX15" s="11" t="str">
        <f t="shared" si="25"/>
        <v/>
      </c>
      <c r="BY15" s="19">
        <v>16.8</v>
      </c>
      <c r="BZ15" s="19">
        <v>3.5</v>
      </c>
      <c r="CA15" s="19">
        <v>0.5</v>
      </c>
      <c r="CB15" s="19">
        <v>0.7</v>
      </c>
      <c r="CC15" s="19">
        <v>14.6</v>
      </c>
      <c r="CD15" s="19">
        <v>4.0999999999999996</v>
      </c>
      <c r="CE15" s="19">
        <v>0</v>
      </c>
      <c r="CF15" s="19">
        <v>0</v>
      </c>
      <c r="CG15" s="19"/>
      <c r="CH15" s="19"/>
      <c r="CI15" s="19"/>
      <c r="CJ15" s="19"/>
      <c r="CK15" s="19">
        <v>16.899999999999999</v>
      </c>
      <c r="CL15" s="19">
        <v>3.8</v>
      </c>
      <c r="CM15" s="19">
        <v>0.4</v>
      </c>
      <c r="CN15" s="19">
        <v>0.7</v>
      </c>
      <c r="CO15" s="19">
        <v>15.5</v>
      </c>
      <c r="CP15" s="19">
        <v>1.9</v>
      </c>
      <c r="CQ15" s="19">
        <v>0</v>
      </c>
      <c r="CR15" s="19">
        <v>0</v>
      </c>
      <c r="CS15" s="27"/>
      <c r="CT15" s="40">
        <f t="shared" si="26"/>
        <v>7.6</v>
      </c>
      <c r="CU15" s="40">
        <f t="shared" si="27"/>
        <v>39.200000000000003</v>
      </c>
      <c r="CV15" s="40" t="str">
        <f t="shared" si="28"/>
        <v/>
      </c>
      <c r="CW15" s="40">
        <f t="shared" si="29"/>
        <v>7.6</v>
      </c>
      <c r="CX15" s="40">
        <f t="shared" si="30"/>
        <v>39.200000000000003</v>
      </c>
      <c r="CY15" s="40">
        <f t="shared" si="31"/>
        <v>5.6999999999999993</v>
      </c>
      <c r="CZ15" s="40">
        <f t="shared" si="32"/>
        <v>38.4</v>
      </c>
      <c r="DA15" s="40">
        <f t="shared" si="33"/>
        <v>77.599999999999994</v>
      </c>
      <c r="DB15" s="51">
        <f t="shared" si="34"/>
        <v>3.2000000000000028</v>
      </c>
      <c r="DC15" s="51" t="str">
        <f t="shared" si="35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6"/>
        <v/>
      </c>
      <c r="DY15" s="40" t="str">
        <f t="shared" si="37"/>
        <v/>
      </c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18">
        <v>16.899999999999999</v>
      </c>
      <c r="EG15" s="18">
        <v>3.5</v>
      </c>
      <c r="EH15" s="18">
        <v>0.4</v>
      </c>
      <c r="EI15" s="18">
        <v>0</v>
      </c>
      <c r="EJ15" s="18">
        <v>17.3</v>
      </c>
      <c r="EK15" s="18">
        <v>3.8</v>
      </c>
      <c r="EL15" s="18">
        <v>0</v>
      </c>
      <c r="EM15" s="18">
        <v>0</v>
      </c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>
        <f t="shared" si="44"/>
        <v>7.3</v>
      </c>
      <c r="FA15" s="11">
        <f t="shared" si="45"/>
        <v>41.1</v>
      </c>
      <c r="FB15" s="11" t="str">
        <f t="shared" si="46"/>
        <v/>
      </c>
      <c r="FC15" s="11">
        <f t="shared" si="47"/>
        <v>7.3</v>
      </c>
      <c r="FD15" s="11">
        <f t="shared" si="48"/>
        <v>41.1</v>
      </c>
      <c r="FE15" s="11" t="str">
        <f t="shared" si="49"/>
        <v/>
      </c>
      <c r="FF15" s="11" t="str">
        <f t="shared" si="50"/>
        <v/>
      </c>
      <c r="FG15" s="11">
        <f t="shared" si="51"/>
        <v>41.1</v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2"/>
        <v/>
      </c>
      <c r="GC15" s="40" t="str">
        <f t="shared" si="53"/>
        <v/>
      </c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0"/>
        <v/>
      </c>
      <c r="HE15" s="11" t="str">
        <f t="shared" si="61"/>
        <v/>
      </c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68"/>
        <v/>
      </c>
      <c r="IG15" s="40" t="str">
        <f t="shared" si="69"/>
        <v/>
      </c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6"/>
        <v/>
      </c>
      <c r="JI15" s="11" t="str">
        <f t="shared" si="77"/>
        <v/>
      </c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4"/>
        <v/>
      </c>
      <c r="KK15" s="40" t="str">
        <f t="shared" si="85"/>
        <v/>
      </c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2"/>
        <v/>
      </c>
      <c r="LM15" s="11" t="str">
        <f t="shared" si="93"/>
        <v/>
      </c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0"/>
        <v/>
      </c>
      <c r="MO15" s="40" t="str">
        <f t="shared" si="101"/>
        <v/>
      </c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08"/>
        <v/>
      </c>
      <c r="NQ15" s="11" t="str">
        <f t="shared" si="109"/>
        <v/>
      </c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6"/>
        <v/>
      </c>
      <c r="OS15" s="40" t="str">
        <f t="shared" si="117"/>
        <v/>
      </c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4"/>
        <v/>
      </c>
      <c r="PU15" s="11" t="str">
        <f t="shared" si="125"/>
        <v/>
      </c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2"/>
        <v/>
      </c>
      <c r="QW15" s="40" t="str">
        <f t="shared" si="133"/>
        <v/>
      </c>
      <c r="QX15" s="40" t="str">
        <f t="shared" si="134"/>
        <v/>
      </c>
      <c r="QY15" s="40" t="str">
        <f t="shared" si="135"/>
        <v/>
      </c>
      <c r="QZ15" s="40" t="str">
        <f t="shared" si="136"/>
        <v/>
      </c>
      <c r="RA15" s="40" t="str">
        <f t="shared" si="137"/>
        <v/>
      </c>
      <c r="RB15" s="40" t="str">
        <f t="shared" si="138"/>
        <v/>
      </c>
      <c r="RC15" s="40" t="str">
        <f t="shared" si="139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0"/>
        <v/>
      </c>
      <c r="RY15" s="11" t="str">
        <f t="shared" si="141"/>
        <v/>
      </c>
      <c r="RZ15" s="11" t="str">
        <f t="shared" si="142"/>
        <v/>
      </c>
      <c r="SA15" s="11" t="str">
        <f t="shared" si="143"/>
        <v/>
      </c>
      <c r="SB15" s="11" t="str">
        <f t="shared" si="144"/>
        <v/>
      </c>
      <c r="SC15" s="11" t="str">
        <f t="shared" si="145"/>
        <v/>
      </c>
      <c r="SD15" s="11" t="str">
        <f t="shared" si="146"/>
        <v/>
      </c>
      <c r="SE15" s="11" t="str">
        <f t="shared" si="147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48"/>
        <v/>
      </c>
      <c r="TA15" s="40" t="str">
        <f t="shared" si="149"/>
        <v/>
      </c>
      <c r="TB15" s="40" t="str">
        <f t="shared" si="150"/>
        <v/>
      </c>
      <c r="TC15" s="40" t="str">
        <f t="shared" si="151"/>
        <v/>
      </c>
      <c r="TD15" s="40" t="str">
        <f t="shared" si="152"/>
        <v/>
      </c>
      <c r="TE15" s="40" t="str">
        <f t="shared" si="153"/>
        <v/>
      </c>
      <c r="TF15" s="40" t="str">
        <f t="shared" si="154"/>
        <v/>
      </c>
      <c r="TG15" s="40" t="str">
        <f t="shared" si="155"/>
        <v/>
      </c>
      <c r="TH15" s="26">
        <f t="shared" si="156"/>
        <v>8.4</v>
      </c>
      <c r="TI15" s="26">
        <f t="shared" si="157"/>
        <v>1.75</v>
      </c>
      <c r="TJ15" s="26">
        <f t="shared" si="158"/>
        <v>0.25</v>
      </c>
      <c r="TK15" s="26">
        <f t="shared" si="159"/>
        <v>0.35</v>
      </c>
      <c r="TL15" s="26">
        <f t="shared" si="160"/>
        <v>7.3</v>
      </c>
      <c r="TM15" s="26">
        <f t="shared" si="161"/>
        <v>2.0499999999999998</v>
      </c>
      <c r="TN15" s="26">
        <f t="shared" si="162"/>
        <v>0</v>
      </c>
      <c r="TO15" s="26">
        <f t="shared" si="163"/>
        <v>0</v>
      </c>
      <c r="TP15" s="26">
        <f t="shared" si="164"/>
        <v>0</v>
      </c>
      <c r="TQ15" s="26">
        <f t="shared" si="165"/>
        <v>0</v>
      </c>
      <c r="TR15" s="26">
        <f t="shared" si="166"/>
        <v>0</v>
      </c>
      <c r="TS15" s="26">
        <f t="shared" si="167"/>
        <v>0</v>
      </c>
      <c r="TT15" s="26">
        <f t="shared" si="168"/>
        <v>8.4499999999999993</v>
      </c>
      <c r="TU15" s="26">
        <f t="shared" si="169"/>
        <v>1.9</v>
      </c>
      <c r="TV15" s="26">
        <f t="shared" si="170"/>
        <v>0.2</v>
      </c>
      <c r="TW15" s="26">
        <f t="shared" si="171"/>
        <v>0.35</v>
      </c>
      <c r="TX15" s="26">
        <f t="shared" si="172"/>
        <v>7.75</v>
      </c>
      <c r="TY15" s="26">
        <f t="shared" si="173"/>
        <v>0.95</v>
      </c>
      <c r="TZ15" s="26">
        <f t="shared" si="174"/>
        <v>0</v>
      </c>
      <c r="UA15" s="26">
        <f t="shared" si="175"/>
        <v>0</v>
      </c>
      <c r="UB15" s="28" t="s">
        <v>53</v>
      </c>
      <c r="UC15" s="11">
        <f t="shared" si="176"/>
        <v>3.8</v>
      </c>
      <c r="UD15" s="11">
        <f t="shared" si="177"/>
        <v>19.600000000000001</v>
      </c>
      <c r="UE15" s="11" t="str">
        <f t="shared" si="178"/>
        <v/>
      </c>
      <c r="UF15" s="11">
        <f t="shared" si="179"/>
        <v>3.8</v>
      </c>
      <c r="UG15" s="11">
        <f t="shared" si="180"/>
        <v>19.600000000000001</v>
      </c>
      <c r="UH15" s="11">
        <f t="shared" si="181"/>
        <v>2.8499999999999996</v>
      </c>
      <c r="UI15" s="11">
        <f t="shared" si="182"/>
        <v>19.2</v>
      </c>
      <c r="UJ15" s="11">
        <f t="shared" si="183"/>
        <v>38.799999999999997</v>
      </c>
    </row>
    <row r="16" spans="1:556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200</v>
      </c>
      <c r="C16" s="4" t="s">
        <v>5</v>
      </c>
      <c r="D16" s="4">
        <v>2005</v>
      </c>
      <c r="E16" s="9">
        <f t="shared" si="0"/>
        <v>116.50000739000399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IF(COUNT(AO16,BR16,CU16)&gt;0,LARGE((AO16,BR16,CU16),1),0)</f>
        <v>40.099999999999994</v>
      </c>
      <c r="K16" s="8" t="str">
        <f t="shared" si="5"/>
        <v>2024 3rd Domestic Trial</v>
      </c>
      <c r="L16" s="8">
        <f>IF(COUNT(AO16,BR16,CU16)&gt;1,LARGE((AO16,BR16,CU16),2),0)</f>
        <v>33.799999999999997</v>
      </c>
      <c r="M16" s="8" t="str">
        <f t="shared" si="6"/>
        <v>2025 Elite Canada</v>
      </c>
      <c r="N16" s="8">
        <f t="shared" si="7"/>
        <v>42.599999999999994</v>
      </c>
      <c r="O16" s="8" t="str">
        <f t="shared" si="8"/>
        <v>2024 3rd Domestic Trial</v>
      </c>
      <c r="P16" s="8" t="str">
        <f t="shared" si="9"/>
        <v/>
      </c>
      <c r="Q16" s="11" t="str">
        <f t="shared" si="184"/>
        <v/>
      </c>
      <c r="R16" s="8" t="str">
        <f t="shared" si="185"/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 t="shared" si="10"/>
        <v/>
      </c>
      <c r="AO16" s="40" t="str">
        <f t="shared" si="11"/>
        <v/>
      </c>
      <c r="AP16" s="40" t="str">
        <f t="shared" si="12"/>
        <v/>
      </c>
      <c r="AQ16" s="40" t="str">
        <f t="shared" si="13"/>
        <v/>
      </c>
      <c r="AR16" s="40" t="str">
        <f t="shared" si="14"/>
        <v/>
      </c>
      <c r="AS16" s="40" t="str">
        <f t="shared" si="15"/>
        <v/>
      </c>
      <c r="AT16" s="40" t="str">
        <f t="shared" si="16"/>
        <v/>
      </c>
      <c r="AU16" s="40" t="str">
        <f t="shared" si="17"/>
        <v/>
      </c>
      <c r="AV16" s="18">
        <v>16.899999999999999</v>
      </c>
      <c r="AW16" s="18">
        <v>4.3</v>
      </c>
      <c r="AX16" s="18">
        <v>0.2</v>
      </c>
      <c r="AY16" s="18">
        <v>0.3</v>
      </c>
      <c r="AZ16" s="18">
        <v>15</v>
      </c>
      <c r="BA16" s="18">
        <v>3.9</v>
      </c>
      <c r="BB16" s="18">
        <v>0.4</v>
      </c>
      <c r="BC16" s="18">
        <v>0.3</v>
      </c>
      <c r="BD16" s="18">
        <v>16.100000000000001</v>
      </c>
      <c r="BE16" s="18">
        <v>1.9</v>
      </c>
      <c r="BF16" s="18">
        <v>0</v>
      </c>
      <c r="BG16" s="18">
        <v>0.3</v>
      </c>
      <c r="BH16" s="18">
        <v>17.2</v>
      </c>
      <c r="BI16" s="18">
        <v>4.0999999999999996</v>
      </c>
      <c r="BJ16" s="18">
        <v>0</v>
      </c>
      <c r="BK16" s="18">
        <v>0.3</v>
      </c>
      <c r="BL16" s="18">
        <v>16.399999999999999</v>
      </c>
      <c r="BM16" s="18">
        <v>4.3</v>
      </c>
      <c r="BN16" s="18">
        <v>0</v>
      </c>
      <c r="BO16" s="18">
        <v>0.3</v>
      </c>
      <c r="BP16" s="28"/>
      <c r="BQ16" s="11">
        <f t="shared" si="18"/>
        <v>8.1999999999999993</v>
      </c>
      <c r="BR16" s="11">
        <f t="shared" si="19"/>
        <v>40.099999999999994</v>
      </c>
      <c r="BS16" s="11">
        <f t="shared" si="20"/>
        <v>18.3</v>
      </c>
      <c r="BT16" s="11">
        <f t="shared" si="21"/>
        <v>10.1</v>
      </c>
      <c r="BU16" s="11">
        <f t="shared" si="22"/>
        <v>58.399999999999991</v>
      </c>
      <c r="BV16" s="11">
        <f t="shared" si="23"/>
        <v>8.3999999999999986</v>
      </c>
      <c r="BW16" s="11">
        <f t="shared" si="24"/>
        <v>42.599999999999994</v>
      </c>
      <c r="BX16" s="11">
        <f t="shared" si="25"/>
        <v>100.99999999999999</v>
      </c>
      <c r="BY16" s="19">
        <v>16.100000000000001</v>
      </c>
      <c r="BZ16" s="19">
        <v>4.2</v>
      </c>
      <c r="CA16" s="19">
        <v>0.2</v>
      </c>
      <c r="CB16" s="19">
        <v>0</v>
      </c>
      <c r="CC16" s="19">
        <v>10.6</v>
      </c>
      <c r="CD16" s="19">
        <v>2.4</v>
      </c>
      <c r="CE16" s="19">
        <v>0</v>
      </c>
      <c r="CF16" s="19">
        <v>0.7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 t="shared" si="26"/>
        <v>6.6</v>
      </c>
      <c r="CU16" s="40">
        <f t="shared" si="27"/>
        <v>33.799999999999997</v>
      </c>
      <c r="CV16" s="40" t="str">
        <f t="shared" si="28"/>
        <v/>
      </c>
      <c r="CW16" s="40">
        <f t="shared" si="29"/>
        <v>6.6</v>
      </c>
      <c r="CX16" s="40">
        <f t="shared" si="30"/>
        <v>33.799999999999997</v>
      </c>
      <c r="CY16" s="40" t="str">
        <f t="shared" si="31"/>
        <v/>
      </c>
      <c r="CZ16" s="40" t="str">
        <f t="shared" si="32"/>
        <v/>
      </c>
      <c r="DA16" s="40">
        <f t="shared" si="33"/>
        <v>33.799999999999997</v>
      </c>
      <c r="DB16" s="51" t="str">
        <f t="shared" si="34"/>
        <v/>
      </c>
      <c r="DC16" s="51" t="str">
        <f t="shared" si="35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6"/>
        <v/>
      </c>
      <c r="DY16" s="40" t="str">
        <f t="shared" si="37"/>
        <v/>
      </c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4"/>
        <v/>
      </c>
      <c r="FA16" s="11" t="str">
        <f t="shared" si="45"/>
        <v/>
      </c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2"/>
        <v/>
      </c>
      <c r="GC16" s="40" t="str">
        <f t="shared" si="53"/>
        <v/>
      </c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0"/>
        <v/>
      </c>
      <c r="HE16" s="11" t="str">
        <f t="shared" si="61"/>
        <v/>
      </c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68"/>
        <v/>
      </c>
      <c r="IG16" s="40" t="str">
        <f t="shared" si="69"/>
        <v/>
      </c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6"/>
        <v/>
      </c>
      <c r="JI16" s="11" t="str">
        <f t="shared" si="77"/>
        <v/>
      </c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4"/>
        <v/>
      </c>
      <c r="KK16" s="40" t="str">
        <f t="shared" si="85"/>
        <v/>
      </c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2"/>
        <v/>
      </c>
      <c r="LM16" s="11" t="str">
        <f t="shared" si="93"/>
        <v/>
      </c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0"/>
        <v/>
      </c>
      <c r="MO16" s="40" t="str">
        <f t="shared" si="101"/>
        <v/>
      </c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08"/>
        <v/>
      </c>
      <c r="NQ16" s="11" t="str">
        <f t="shared" si="109"/>
        <v/>
      </c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6"/>
        <v/>
      </c>
      <c r="OS16" s="40" t="str">
        <f t="shared" si="117"/>
        <v/>
      </c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4"/>
        <v/>
      </c>
      <c r="PU16" s="11" t="str">
        <f t="shared" si="125"/>
        <v/>
      </c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2"/>
        <v/>
      </c>
      <c r="QW16" s="40" t="str">
        <f t="shared" si="133"/>
        <v/>
      </c>
      <c r="QX16" s="40" t="str">
        <f t="shared" si="134"/>
        <v/>
      </c>
      <c r="QY16" s="40" t="str">
        <f t="shared" si="135"/>
        <v/>
      </c>
      <c r="QZ16" s="40" t="str">
        <f t="shared" si="136"/>
        <v/>
      </c>
      <c r="RA16" s="40" t="str">
        <f t="shared" si="137"/>
        <v/>
      </c>
      <c r="RB16" s="40" t="str">
        <f t="shared" si="138"/>
        <v/>
      </c>
      <c r="RC16" s="40" t="str">
        <f t="shared" si="139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0"/>
        <v/>
      </c>
      <c r="RY16" s="11" t="str">
        <f t="shared" si="141"/>
        <v/>
      </c>
      <c r="RZ16" s="11" t="str">
        <f t="shared" si="142"/>
        <v/>
      </c>
      <c r="SA16" s="11" t="str">
        <f t="shared" si="143"/>
        <v/>
      </c>
      <c r="SB16" s="11" t="str">
        <f t="shared" si="144"/>
        <v/>
      </c>
      <c r="SC16" s="11" t="str">
        <f t="shared" si="145"/>
        <v/>
      </c>
      <c r="SD16" s="11" t="str">
        <f t="shared" si="146"/>
        <v/>
      </c>
      <c r="SE16" s="11" t="str">
        <f t="shared" si="147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48"/>
        <v/>
      </c>
      <c r="TA16" s="40" t="str">
        <f t="shared" si="149"/>
        <v/>
      </c>
      <c r="TB16" s="40" t="str">
        <f t="shared" si="150"/>
        <v/>
      </c>
      <c r="TC16" s="40" t="str">
        <f t="shared" si="151"/>
        <v/>
      </c>
      <c r="TD16" s="40" t="str">
        <f t="shared" si="152"/>
        <v/>
      </c>
      <c r="TE16" s="40" t="str">
        <f t="shared" si="153"/>
        <v/>
      </c>
      <c r="TF16" s="40" t="str">
        <f t="shared" si="154"/>
        <v/>
      </c>
      <c r="TG16" s="40" t="str">
        <f t="shared" si="155"/>
        <v/>
      </c>
      <c r="TH16" s="26">
        <f t="shared" si="156"/>
        <v>16.5</v>
      </c>
      <c r="TI16" s="26">
        <f t="shared" si="157"/>
        <v>4.25</v>
      </c>
      <c r="TJ16" s="26">
        <f t="shared" si="158"/>
        <v>0.2</v>
      </c>
      <c r="TK16" s="26">
        <f t="shared" si="159"/>
        <v>0.15</v>
      </c>
      <c r="TL16" s="26">
        <f t="shared" si="160"/>
        <v>12.8</v>
      </c>
      <c r="TM16" s="26">
        <f t="shared" si="161"/>
        <v>3.15</v>
      </c>
      <c r="TN16" s="26">
        <f t="shared" si="162"/>
        <v>0.2</v>
      </c>
      <c r="TO16" s="26">
        <f t="shared" si="163"/>
        <v>0.5</v>
      </c>
      <c r="TP16" s="26">
        <f t="shared" si="164"/>
        <v>8.0500000000000007</v>
      </c>
      <c r="TQ16" s="26">
        <f t="shared" si="165"/>
        <v>0.95</v>
      </c>
      <c r="TR16" s="26">
        <f t="shared" si="166"/>
        <v>0</v>
      </c>
      <c r="TS16" s="26">
        <f t="shared" si="167"/>
        <v>0.15</v>
      </c>
      <c r="TT16" s="26">
        <f t="shared" si="168"/>
        <v>8.6</v>
      </c>
      <c r="TU16" s="26">
        <f t="shared" si="169"/>
        <v>2.0499999999999998</v>
      </c>
      <c r="TV16" s="26">
        <f t="shared" si="170"/>
        <v>0</v>
      </c>
      <c r="TW16" s="26">
        <f t="shared" si="171"/>
        <v>0.15</v>
      </c>
      <c r="TX16" s="26">
        <f t="shared" si="172"/>
        <v>8.1999999999999993</v>
      </c>
      <c r="TY16" s="26">
        <f t="shared" si="173"/>
        <v>2.15</v>
      </c>
      <c r="TZ16" s="26">
        <f t="shared" si="174"/>
        <v>0</v>
      </c>
      <c r="UA16" s="26">
        <f t="shared" si="175"/>
        <v>0.15</v>
      </c>
      <c r="UB16" s="28" t="s">
        <v>53</v>
      </c>
      <c r="UC16" s="11">
        <f t="shared" si="176"/>
        <v>7.4</v>
      </c>
      <c r="UD16" s="11">
        <f t="shared" si="177"/>
        <v>36.949999999999996</v>
      </c>
      <c r="UE16" s="11">
        <f t="shared" si="178"/>
        <v>9.15</v>
      </c>
      <c r="UF16" s="11">
        <f t="shared" si="179"/>
        <v>8.35</v>
      </c>
      <c r="UG16" s="11">
        <f t="shared" si="180"/>
        <v>46.099999999999994</v>
      </c>
      <c r="UH16" s="11">
        <f t="shared" si="181"/>
        <v>4.1999999999999993</v>
      </c>
      <c r="UI16" s="11">
        <f t="shared" si="182"/>
        <v>21.299999999999997</v>
      </c>
      <c r="UJ16" s="11">
        <f t="shared" si="183"/>
        <v>67.399999999999991</v>
      </c>
    </row>
    <row r="17" spans="1:55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254</v>
      </c>
      <c r="C17" s="4" t="s">
        <v>3</v>
      </c>
      <c r="D17" s="4">
        <v>2008</v>
      </c>
      <c r="E17" s="9">
        <f t="shared" si="0"/>
        <v>114.90000739000408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40.9</v>
      </c>
      <c r="K17" s="8" t="str">
        <f t="shared" si="5"/>
        <v>2024 Nationals</v>
      </c>
      <c r="L17" s="8">
        <f>IF(COUNT(AO17,BR17,CU17)&gt;1,LARGE((AO17,BR17,CU17),2),0)</f>
        <v>32.999999999999993</v>
      </c>
      <c r="M17" s="8" t="str">
        <f t="shared" si="6"/>
        <v>2025 Elite Canada</v>
      </c>
      <c r="N17" s="8">
        <f t="shared" si="7"/>
        <v>41</v>
      </c>
      <c r="O17" s="8" t="str">
        <f t="shared" si="8"/>
        <v>2024 Nationals</v>
      </c>
      <c r="P17" s="8" t="str">
        <f t="shared" si="9"/>
        <v/>
      </c>
      <c r="Q17" s="11" t="str">
        <f t="shared" si="184"/>
        <v/>
      </c>
      <c r="R17" s="8" t="str">
        <f t="shared" si="185"/>
        <v/>
      </c>
      <c r="S17" s="19">
        <v>16.600000000000001</v>
      </c>
      <c r="T17" s="19">
        <v>3.9</v>
      </c>
      <c r="U17" s="19">
        <v>0</v>
      </c>
      <c r="V17" s="19"/>
      <c r="W17" s="19">
        <v>16.899999999999999</v>
      </c>
      <c r="X17" s="19">
        <v>3.5</v>
      </c>
      <c r="Y17" s="19">
        <v>0</v>
      </c>
      <c r="Z17" s="19"/>
      <c r="AA17" s="19"/>
      <c r="AB17" s="19"/>
      <c r="AC17" s="19"/>
      <c r="AD17" s="19"/>
      <c r="AE17" s="19">
        <v>16.7</v>
      </c>
      <c r="AF17" s="19">
        <v>3.9</v>
      </c>
      <c r="AG17" s="19">
        <v>0</v>
      </c>
      <c r="AH17" s="19"/>
      <c r="AI17" s="19">
        <v>16.899999999999999</v>
      </c>
      <c r="AJ17" s="19">
        <v>3.5</v>
      </c>
      <c r="AK17" s="19">
        <v>0</v>
      </c>
      <c r="AL17" s="19"/>
      <c r="AM17" s="27"/>
      <c r="AN17" s="40">
        <f t="shared" si="10"/>
        <v>7.4</v>
      </c>
      <c r="AO17" s="40">
        <f t="shared" si="11"/>
        <v>40.9</v>
      </c>
      <c r="AP17" s="40" t="str">
        <f t="shared" si="12"/>
        <v/>
      </c>
      <c r="AQ17" s="40">
        <f t="shared" si="13"/>
        <v>7.4</v>
      </c>
      <c r="AR17" s="40">
        <f t="shared" si="14"/>
        <v>40.9</v>
      </c>
      <c r="AS17" s="40">
        <f t="shared" si="15"/>
        <v>7.4</v>
      </c>
      <c r="AT17" s="40">
        <f t="shared" si="16"/>
        <v>41</v>
      </c>
      <c r="AU17" s="40">
        <f t="shared" si="17"/>
        <v>81.900000000000006</v>
      </c>
      <c r="AV17" s="18">
        <v>17</v>
      </c>
      <c r="AW17" s="18">
        <v>3.2</v>
      </c>
      <c r="AX17" s="18">
        <v>2.2000000000000002</v>
      </c>
      <c r="AY17" s="18"/>
      <c r="AZ17" s="18">
        <v>8.6</v>
      </c>
      <c r="BA17" s="18">
        <v>1.2</v>
      </c>
      <c r="BB17" s="18">
        <v>0.2</v>
      </c>
      <c r="BC17" s="18"/>
      <c r="BD17" s="18">
        <v>15.5</v>
      </c>
      <c r="BE17" s="18">
        <v>2.8</v>
      </c>
      <c r="BF17" s="18">
        <v>1</v>
      </c>
      <c r="BG17" s="18"/>
      <c r="BH17" s="18">
        <v>16.7</v>
      </c>
      <c r="BI17" s="18">
        <v>2.8</v>
      </c>
      <c r="BJ17" s="18">
        <v>0.6</v>
      </c>
      <c r="BK17" s="18"/>
      <c r="BL17" s="18">
        <v>14.9</v>
      </c>
      <c r="BM17" s="18">
        <v>1.9</v>
      </c>
      <c r="BN17" s="18">
        <v>0</v>
      </c>
      <c r="BO17" s="18"/>
      <c r="BP17" s="28"/>
      <c r="BQ17" s="11">
        <f t="shared" si="18"/>
        <v>4.4000000000000004</v>
      </c>
      <c r="BR17" s="11">
        <f t="shared" si="19"/>
        <v>27.599999999999998</v>
      </c>
      <c r="BS17" s="11">
        <f t="shared" si="20"/>
        <v>17.3</v>
      </c>
      <c r="BT17" s="11">
        <f t="shared" si="21"/>
        <v>7.2</v>
      </c>
      <c r="BU17" s="11">
        <f t="shared" si="22"/>
        <v>44.9</v>
      </c>
      <c r="BV17" s="11">
        <f t="shared" si="23"/>
        <v>4.6999999999999993</v>
      </c>
      <c r="BW17" s="11">
        <f t="shared" si="24"/>
        <v>35.699999999999996</v>
      </c>
      <c r="BX17" s="11">
        <f t="shared" si="25"/>
        <v>80.599999999999994</v>
      </c>
      <c r="BY17" s="19">
        <v>15.7</v>
      </c>
      <c r="BZ17" s="19">
        <v>1.9</v>
      </c>
      <c r="CA17" s="19">
        <v>0</v>
      </c>
      <c r="CB17" s="19">
        <v>0</v>
      </c>
      <c r="CC17" s="19">
        <v>16</v>
      </c>
      <c r="CD17" s="19">
        <v>2.4</v>
      </c>
      <c r="CE17" s="19">
        <v>3</v>
      </c>
      <c r="CF17" s="19">
        <v>0</v>
      </c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>
        <f t="shared" si="26"/>
        <v>4.3</v>
      </c>
      <c r="CU17" s="40">
        <f t="shared" si="27"/>
        <v>32.999999999999993</v>
      </c>
      <c r="CV17" s="40" t="str">
        <f t="shared" si="28"/>
        <v/>
      </c>
      <c r="CW17" s="40">
        <f t="shared" si="29"/>
        <v>4.3</v>
      </c>
      <c r="CX17" s="40">
        <f t="shared" si="30"/>
        <v>32.999999999999993</v>
      </c>
      <c r="CY17" s="40" t="str">
        <f t="shared" si="31"/>
        <v/>
      </c>
      <c r="CZ17" s="40" t="str">
        <f t="shared" si="32"/>
        <v/>
      </c>
      <c r="DA17" s="40">
        <f t="shared" si="33"/>
        <v>32.999999999999993</v>
      </c>
      <c r="DB17" s="51" t="str">
        <f t="shared" si="34"/>
        <v/>
      </c>
      <c r="DC17" s="51" t="str">
        <f t="shared" si="35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6"/>
        <v/>
      </c>
      <c r="DY17" s="40" t="str">
        <f t="shared" si="37"/>
        <v/>
      </c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4"/>
        <v/>
      </c>
      <c r="FA17" s="11" t="str">
        <f t="shared" si="45"/>
        <v/>
      </c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2"/>
        <v/>
      </c>
      <c r="GC17" s="40" t="str">
        <f t="shared" si="53"/>
        <v/>
      </c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0"/>
        <v/>
      </c>
      <c r="HE17" s="11" t="str">
        <f t="shared" si="61"/>
        <v/>
      </c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68"/>
        <v/>
      </c>
      <c r="IG17" s="40" t="str">
        <f t="shared" si="69"/>
        <v/>
      </c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6"/>
        <v/>
      </c>
      <c r="JI17" s="11" t="str">
        <f t="shared" si="77"/>
        <v/>
      </c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4"/>
        <v/>
      </c>
      <c r="KK17" s="40" t="str">
        <f t="shared" si="85"/>
        <v/>
      </c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2"/>
        <v/>
      </c>
      <c r="LM17" s="11" t="str">
        <f t="shared" si="93"/>
        <v/>
      </c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0"/>
        <v/>
      </c>
      <c r="MO17" s="40" t="str">
        <f t="shared" si="101"/>
        <v/>
      </c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08"/>
        <v/>
      </c>
      <c r="NQ17" s="11" t="str">
        <f t="shared" si="109"/>
        <v/>
      </c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6"/>
        <v/>
      </c>
      <c r="OS17" s="40" t="str">
        <f t="shared" si="117"/>
        <v/>
      </c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4"/>
        <v/>
      </c>
      <c r="PU17" s="11" t="str">
        <f t="shared" si="125"/>
        <v/>
      </c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2"/>
        <v/>
      </c>
      <c r="QW17" s="40" t="str">
        <f t="shared" si="133"/>
        <v/>
      </c>
      <c r="QX17" s="40" t="str">
        <f t="shared" si="134"/>
        <v/>
      </c>
      <c r="QY17" s="40" t="str">
        <f t="shared" si="135"/>
        <v/>
      </c>
      <c r="QZ17" s="40" t="str">
        <f t="shared" si="136"/>
        <v/>
      </c>
      <c r="RA17" s="40" t="str">
        <f t="shared" si="137"/>
        <v/>
      </c>
      <c r="RB17" s="40" t="str">
        <f t="shared" si="138"/>
        <v/>
      </c>
      <c r="RC17" s="40" t="str">
        <f t="shared" si="139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0"/>
        <v/>
      </c>
      <c r="RY17" s="11" t="str">
        <f t="shared" si="141"/>
        <v/>
      </c>
      <c r="RZ17" s="11" t="str">
        <f t="shared" si="142"/>
        <v/>
      </c>
      <c r="SA17" s="11" t="str">
        <f t="shared" si="143"/>
        <v/>
      </c>
      <c r="SB17" s="11" t="str">
        <f t="shared" si="144"/>
        <v/>
      </c>
      <c r="SC17" s="11" t="str">
        <f t="shared" si="145"/>
        <v/>
      </c>
      <c r="SD17" s="11" t="str">
        <f t="shared" si="146"/>
        <v/>
      </c>
      <c r="SE17" s="11" t="str">
        <f t="shared" si="147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48"/>
        <v/>
      </c>
      <c r="TA17" s="40" t="str">
        <f t="shared" si="149"/>
        <v/>
      </c>
      <c r="TB17" s="40" t="str">
        <f t="shared" si="150"/>
        <v/>
      </c>
      <c r="TC17" s="40" t="str">
        <f t="shared" si="151"/>
        <v/>
      </c>
      <c r="TD17" s="40" t="str">
        <f t="shared" si="152"/>
        <v/>
      </c>
      <c r="TE17" s="40" t="str">
        <f t="shared" si="153"/>
        <v/>
      </c>
      <c r="TF17" s="40" t="str">
        <f t="shared" si="154"/>
        <v/>
      </c>
      <c r="TG17" s="40" t="str">
        <f t="shared" si="155"/>
        <v/>
      </c>
      <c r="TH17" s="26">
        <f t="shared" si="156"/>
        <v>16.350000000000001</v>
      </c>
      <c r="TI17" s="26">
        <f t="shared" si="157"/>
        <v>2.5499999999999998</v>
      </c>
      <c r="TJ17" s="26">
        <f t="shared" si="158"/>
        <v>1.1000000000000001</v>
      </c>
      <c r="TK17" s="26">
        <f t="shared" si="159"/>
        <v>0</v>
      </c>
      <c r="TL17" s="26">
        <f t="shared" si="160"/>
        <v>12.3</v>
      </c>
      <c r="TM17" s="26">
        <f t="shared" si="161"/>
        <v>1.7999999999999998</v>
      </c>
      <c r="TN17" s="26">
        <f t="shared" si="162"/>
        <v>1.6</v>
      </c>
      <c r="TO17" s="26">
        <f t="shared" si="163"/>
        <v>0</v>
      </c>
      <c r="TP17" s="26">
        <f t="shared" si="164"/>
        <v>7.75</v>
      </c>
      <c r="TQ17" s="26">
        <f t="shared" si="165"/>
        <v>1.4</v>
      </c>
      <c r="TR17" s="26">
        <f t="shared" si="166"/>
        <v>0.5</v>
      </c>
      <c r="TS17" s="26">
        <f t="shared" si="167"/>
        <v>0</v>
      </c>
      <c r="TT17" s="26">
        <f t="shared" si="168"/>
        <v>8.35</v>
      </c>
      <c r="TU17" s="26">
        <f t="shared" si="169"/>
        <v>1.4</v>
      </c>
      <c r="TV17" s="26">
        <f t="shared" si="170"/>
        <v>0.3</v>
      </c>
      <c r="TW17" s="26">
        <f t="shared" si="171"/>
        <v>0</v>
      </c>
      <c r="TX17" s="26">
        <f t="shared" si="172"/>
        <v>7.45</v>
      </c>
      <c r="TY17" s="26">
        <f t="shared" si="173"/>
        <v>0.95</v>
      </c>
      <c r="TZ17" s="26">
        <f t="shared" si="174"/>
        <v>0</v>
      </c>
      <c r="UA17" s="26">
        <f t="shared" si="175"/>
        <v>0</v>
      </c>
      <c r="UB17" s="28" t="s">
        <v>53</v>
      </c>
      <c r="UC17" s="11">
        <f t="shared" si="176"/>
        <v>4.3499999999999996</v>
      </c>
      <c r="UD17" s="11">
        <f t="shared" si="177"/>
        <v>30.299999999999997</v>
      </c>
      <c r="UE17" s="11">
        <f t="shared" si="178"/>
        <v>8.65</v>
      </c>
      <c r="UF17" s="11">
        <f t="shared" si="179"/>
        <v>5.75</v>
      </c>
      <c r="UG17" s="11">
        <f t="shared" si="180"/>
        <v>38.949999999999996</v>
      </c>
      <c r="UH17" s="11">
        <f t="shared" si="181"/>
        <v>2.3499999999999996</v>
      </c>
      <c r="UI17" s="11">
        <f t="shared" si="182"/>
        <v>17.849999999999998</v>
      </c>
      <c r="UJ17" s="11">
        <f t="shared" si="183"/>
        <v>56.8</v>
      </c>
    </row>
    <row r="18" spans="1:556" ht="17" x14ac:dyDescent="0.2">
      <c r="P18" s="10"/>
      <c r="Q18" s="10"/>
      <c r="R18" s="10"/>
      <c r="QV18" s="36"/>
      <c r="RD18"/>
      <c r="RX18" s="36"/>
      <c r="RY18" s="36"/>
      <c r="RZ18" s="36"/>
      <c r="SA18" s="36"/>
      <c r="SB18" s="36"/>
      <c r="SC18" s="36"/>
      <c r="SD18" s="36"/>
      <c r="SE18" s="36"/>
      <c r="SZ18" s="36"/>
      <c r="TA18" s="36"/>
      <c r="TB18" s="36"/>
      <c r="TC18" s="36"/>
      <c r="TD18" s="36"/>
      <c r="TE18" s="36"/>
      <c r="TF18" s="36"/>
      <c r="TG18" s="36"/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B20" s="23" t="s">
        <v>51</v>
      </c>
      <c r="P20" s="10"/>
      <c r="Q20" s="10"/>
      <c r="R20" s="10"/>
      <c r="AN20" s="4"/>
      <c r="AU20" s="42">
        <v>8.6</v>
      </c>
      <c r="BQ20" s="4"/>
      <c r="BX20" s="42">
        <v>8.6</v>
      </c>
      <c r="CT20" s="4"/>
      <c r="DA20" s="42">
        <v>8.6</v>
      </c>
      <c r="DX20" s="4"/>
      <c r="EE20" s="42">
        <v>8.6</v>
      </c>
      <c r="EZ20" s="4"/>
      <c r="FG20" s="42">
        <v>8.6</v>
      </c>
      <c r="GB20" s="4"/>
      <c r="GI20" s="42">
        <v>8.6</v>
      </c>
      <c r="HD20" s="4"/>
      <c r="HK20" s="42">
        <v>8.6</v>
      </c>
      <c r="IF20" s="4"/>
      <c r="IM20" s="42">
        <v>8.6</v>
      </c>
      <c r="JH20" s="4"/>
      <c r="JO20" s="42">
        <v>8.6</v>
      </c>
      <c r="KJ20" s="4"/>
      <c r="KQ20" s="42">
        <v>8.6</v>
      </c>
      <c r="LL20" s="4"/>
      <c r="LS20" s="42">
        <v>8.6</v>
      </c>
      <c r="MN20" s="4"/>
      <c r="MU20" s="42">
        <v>8.6</v>
      </c>
      <c r="NP20" s="4"/>
      <c r="NW20" s="42">
        <v>8.6</v>
      </c>
      <c r="OR20" s="4"/>
      <c r="OY20" s="42">
        <v>8.6</v>
      </c>
      <c r="PT20" s="4"/>
      <c r="QA20" s="42">
        <v>8.6</v>
      </c>
      <c r="QV20" s="4"/>
      <c r="RC20" s="42">
        <v>8.6</v>
      </c>
      <c r="RD20"/>
      <c r="RX20" s="4"/>
      <c r="RY20" s="36"/>
      <c r="RZ20" s="36"/>
      <c r="SA20" s="36"/>
      <c r="SB20" s="36"/>
      <c r="SC20" s="36"/>
      <c r="SD20" s="36"/>
      <c r="SE20" s="42">
        <v>8.6</v>
      </c>
      <c r="SZ20" s="4"/>
      <c r="TA20" s="36"/>
      <c r="TB20" s="36"/>
      <c r="TC20" s="36"/>
      <c r="TD20" s="36"/>
      <c r="TE20" s="36"/>
      <c r="TF20" s="36"/>
      <c r="TG20" s="42">
        <v>8.6</v>
      </c>
    </row>
    <row r="21" spans="1:556" ht="17" x14ac:dyDescent="0.2">
      <c r="B21" s="30" t="s">
        <v>50</v>
      </c>
      <c r="P21" s="10"/>
      <c r="Q21" s="10"/>
      <c r="R21" s="10"/>
      <c r="AN21" s="4"/>
      <c r="AU21" s="52">
        <v>12.9</v>
      </c>
      <c r="BQ21" s="4"/>
      <c r="BX21" s="52">
        <v>12.9</v>
      </c>
      <c r="CT21" s="4"/>
      <c r="DA21" s="52">
        <v>8.6</v>
      </c>
      <c r="DX21" s="4"/>
      <c r="EE21" s="52">
        <v>12.9</v>
      </c>
      <c r="EZ21" s="4"/>
      <c r="FG21" s="52">
        <v>12.9</v>
      </c>
      <c r="GB21" s="4"/>
      <c r="GI21" s="52">
        <v>8.6</v>
      </c>
      <c r="HD21" s="4"/>
      <c r="HK21" s="52">
        <v>8.6</v>
      </c>
      <c r="IF21" s="4"/>
      <c r="IM21" s="52">
        <v>8.6</v>
      </c>
      <c r="JH21" s="4"/>
      <c r="JO21" s="52">
        <v>8.6</v>
      </c>
      <c r="KJ21" s="4"/>
      <c r="KQ21" s="52">
        <v>8.6</v>
      </c>
      <c r="LL21" s="4"/>
      <c r="LS21" s="52">
        <v>8.6</v>
      </c>
      <c r="MN21" s="4"/>
      <c r="MU21" s="52">
        <v>8.6</v>
      </c>
      <c r="NP21" s="4"/>
      <c r="NW21" s="52">
        <v>8.6</v>
      </c>
      <c r="OR21" s="4"/>
      <c r="OY21" s="52">
        <v>8.6</v>
      </c>
      <c r="PT21" s="4"/>
      <c r="QA21" s="52">
        <v>8.6</v>
      </c>
      <c r="QV21" s="4"/>
      <c r="RC21" s="52">
        <v>8.6</v>
      </c>
      <c r="RD21"/>
      <c r="RX21" s="4"/>
      <c r="RY21" s="36"/>
      <c r="RZ21" s="36"/>
      <c r="SA21" s="36"/>
      <c r="SB21" s="36"/>
      <c r="SC21" s="36"/>
      <c r="SD21" s="36"/>
      <c r="SE21" s="52">
        <v>8.6</v>
      </c>
      <c r="SZ21" s="4"/>
      <c r="TA21" s="36"/>
      <c r="TB21" s="36"/>
      <c r="TC21" s="36"/>
      <c r="TD21" s="36"/>
      <c r="TE21" s="36"/>
      <c r="TF21" s="36"/>
      <c r="TG21" s="52">
        <v>8.6</v>
      </c>
    </row>
    <row r="22" spans="1:556" ht="17" x14ac:dyDescent="0.2">
      <c r="A22" s="5"/>
      <c r="B22" s="31" t="s">
        <v>63</v>
      </c>
      <c r="C22" s="20"/>
      <c r="P22" s="10"/>
      <c r="Q22" s="10"/>
      <c r="R22" s="10"/>
      <c r="AN22" s="4"/>
      <c r="AU22" s="44">
        <v>15.1</v>
      </c>
      <c r="BQ22" s="4"/>
      <c r="BX22" s="44">
        <v>15.1</v>
      </c>
      <c r="CT22" s="4"/>
      <c r="DA22" s="44">
        <v>10.4</v>
      </c>
      <c r="DX22" s="4"/>
      <c r="EE22" s="44">
        <v>15.1</v>
      </c>
      <c r="EZ22" s="4"/>
      <c r="FG22" s="44">
        <v>15.1</v>
      </c>
      <c r="GB22" s="4"/>
      <c r="GI22" s="44">
        <v>10.4</v>
      </c>
      <c r="HD22" s="4"/>
      <c r="HK22" s="44">
        <v>10.4</v>
      </c>
      <c r="IF22" s="4"/>
      <c r="IM22" s="44">
        <v>10.4</v>
      </c>
      <c r="JH22" s="4"/>
      <c r="JO22" s="44">
        <v>10.4</v>
      </c>
      <c r="KJ22" s="4"/>
      <c r="KQ22" s="44">
        <v>10.4</v>
      </c>
      <c r="LL22" s="4"/>
      <c r="LS22" s="44">
        <v>10.4</v>
      </c>
      <c r="MN22" s="4"/>
      <c r="MU22" s="44">
        <v>10.4</v>
      </c>
      <c r="NP22" s="4"/>
      <c r="NW22" s="44">
        <v>10.4</v>
      </c>
      <c r="OR22" s="4"/>
      <c r="OY22" s="44">
        <v>10.4</v>
      </c>
      <c r="PT22" s="4"/>
      <c r="QA22" s="44">
        <v>10.4</v>
      </c>
      <c r="QV22" s="4"/>
      <c r="RC22" s="44">
        <v>10.4</v>
      </c>
      <c r="RD22"/>
      <c r="RX22" s="4"/>
      <c r="RY22" s="36"/>
      <c r="RZ22" s="36"/>
      <c r="SA22" s="36"/>
      <c r="SB22" s="36"/>
      <c r="SC22" s="36"/>
      <c r="SD22" s="36"/>
      <c r="SE22" s="44">
        <v>10.4</v>
      </c>
      <c r="SZ22" s="4"/>
      <c r="TA22" s="36"/>
      <c r="TB22" s="36"/>
      <c r="TC22" s="36"/>
      <c r="TD22" s="36"/>
      <c r="TE22" s="36"/>
      <c r="TF22" s="36"/>
      <c r="TG22" s="44">
        <v>10.4</v>
      </c>
    </row>
    <row r="23" spans="1:556" ht="17" x14ac:dyDescent="0.2">
      <c r="A23" s="5"/>
      <c r="B23" s="35" t="s">
        <v>76</v>
      </c>
      <c r="C23" s="20"/>
      <c r="P23" s="10"/>
      <c r="Q23" s="10"/>
      <c r="R23" s="10"/>
      <c r="AN23" s="4"/>
      <c r="AU23" s="45">
        <v>15.1</v>
      </c>
      <c r="BQ23" s="4"/>
      <c r="BX23" s="45">
        <v>15.1</v>
      </c>
      <c r="CT23" s="4"/>
      <c r="DA23" s="45">
        <v>11.7</v>
      </c>
      <c r="DX23" s="4"/>
      <c r="EE23" s="45">
        <v>15.1</v>
      </c>
      <c r="EZ23" s="4"/>
      <c r="FG23" s="45">
        <v>15.1</v>
      </c>
      <c r="GB23" s="4"/>
      <c r="GI23" s="45">
        <v>11.7</v>
      </c>
      <c r="HD23" s="4"/>
      <c r="HK23" s="45">
        <v>11.7</v>
      </c>
      <c r="IF23" s="4"/>
      <c r="IM23" s="45">
        <v>11.7</v>
      </c>
      <c r="JH23" s="4"/>
      <c r="JO23" s="45">
        <v>11.7</v>
      </c>
      <c r="KJ23" s="4"/>
      <c r="KQ23" s="45">
        <v>11.7</v>
      </c>
      <c r="LL23" s="4"/>
      <c r="LS23" s="45">
        <v>11.7</v>
      </c>
      <c r="MN23" s="4"/>
      <c r="MU23" s="45">
        <v>11.7</v>
      </c>
      <c r="NP23" s="4"/>
      <c r="NW23" s="45">
        <v>11.7</v>
      </c>
      <c r="OR23" s="4"/>
      <c r="OY23" s="45">
        <v>11.7</v>
      </c>
      <c r="PT23" s="4"/>
      <c r="QA23" s="45">
        <v>11.7</v>
      </c>
      <c r="QV23" s="4"/>
      <c r="RC23" s="45">
        <v>11.7</v>
      </c>
      <c r="RD23"/>
      <c r="RX23" s="4"/>
      <c r="RY23" s="36"/>
      <c r="RZ23" s="36"/>
      <c r="SA23" s="36"/>
      <c r="SB23" s="36"/>
      <c r="SC23" s="36"/>
      <c r="SD23" s="36"/>
      <c r="SE23" s="45">
        <v>11.7</v>
      </c>
      <c r="SZ23" s="4"/>
      <c r="TA23" s="36"/>
      <c r="TB23" s="36"/>
      <c r="TC23" s="36"/>
      <c r="TD23" s="36"/>
      <c r="TE23" s="36"/>
      <c r="TF23" s="36"/>
      <c r="TG23" s="45">
        <v>11.7</v>
      </c>
    </row>
    <row r="24" spans="1:556" ht="17" x14ac:dyDescent="0.2">
      <c r="A24" s="5"/>
      <c r="B24" s="34" t="s">
        <v>48</v>
      </c>
      <c r="C24" s="20"/>
      <c r="P24" s="10"/>
      <c r="Q24" s="10"/>
      <c r="R24" s="10"/>
      <c r="AN24" s="4"/>
      <c r="AU24" s="46">
        <v>43</v>
      </c>
      <c r="BQ24" s="4"/>
      <c r="BX24" s="46">
        <v>43</v>
      </c>
      <c r="CT24" s="4"/>
      <c r="DA24" s="46">
        <v>43</v>
      </c>
      <c r="DX24" s="4"/>
      <c r="EE24" s="46">
        <v>43</v>
      </c>
      <c r="EZ24" s="4"/>
      <c r="FG24" s="46">
        <v>43</v>
      </c>
      <c r="GB24" s="4"/>
      <c r="GI24" s="46">
        <v>43</v>
      </c>
      <c r="HD24" s="4"/>
      <c r="HK24" s="46">
        <v>43</v>
      </c>
      <c r="IF24" s="4"/>
      <c r="IM24" s="46">
        <v>43</v>
      </c>
      <c r="JH24" s="4"/>
      <c r="JO24" s="46">
        <v>43</v>
      </c>
      <c r="KJ24" s="4"/>
      <c r="KQ24" s="46">
        <v>43</v>
      </c>
      <c r="LL24" s="4"/>
      <c r="LS24" s="46">
        <v>43</v>
      </c>
      <c r="MN24" s="4"/>
      <c r="MU24" s="46">
        <v>43</v>
      </c>
      <c r="NP24" s="4"/>
      <c r="NW24" s="46">
        <v>43</v>
      </c>
      <c r="OR24" s="4"/>
      <c r="OY24" s="46">
        <v>43</v>
      </c>
      <c r="PT24" s="4"/>
      <c r="QA24" s="46">
        <v>43</v>
      </c>
      <c r="QV24" s="4"/>
      <c r="RC24" s="46">
        <v>43</v>
      </c>
      <c r="RD24"/>
      <c r="RX24" s="4"/>
      <c r="RY24" s="36"/>
      <c r="RZ24" s="36"/>
      <c r="SA24" s="36"/>
      <c r="SB24" s="36"/>
      <c r="SC24" s="36"/>
      <c r="SD24" s="36"/>
      <c r="SE24" s="46">
        <v>43</v>
      </c>
      <c r="SZ24" s="4"/>
      <c r="TA24" s="36"/>
      <c r="TB24" s="36"/>
      <c r="TC24" s="36"/>
      <c r="TD24" s="36"/>
      <c r="TE24" s="36"/>
      <c r="TF24" s="36"/>
      <c r="TG24" s="46">
        <v>43</v>
      </c>
    </row>
    <row r="25" spans="1:556" ht="17" x14ac:dyDescent="0.2">
      <c r="A25" s="5"/>
      <c r="B25" s="24" t="s">
        <v>49</v>
      </c>
      <c r="C25" s="20"/>
      <c r="P25" s="10"/>
      <c r="Q25" s="10"/>
      <c r="R25" s="10"/>
      <c r="AN25" s="4"/>
      <c r="AU25" s="47">
        <v>65.7</v>
      </c>
      <c r="BQ25" s="4"/>
      <c r="BX25" s="47">
        <v>65.7</v>
      </c>
      <c r="CT25" s="4"/>
      <c r="DA25" s="47">
        <v>43.8</v>
      </c>
      <c r="DX25" s="4"/>
      <c r="EE25" s="47">
        <v>65.7</v>
      </c>
      <c r="EZ25" s="4"/>
      <c r="FG25" s="47">
        <v>65.7</v>
      </c>
      <c r="GB25" s="4"/>
      <c r="GI25" s="47">
        <v>43.8</v>
      </c>
      <c r="HD25" s="4"/>
      <c r="HK25" s="47">
        <v>43.8</v>
      </c>
      <c r="IF25" s="4"/>
      <c r="IM25" s="47">
        <v>43.8</v>
      </c>
      <c r="JH25" s="4"/>
      <c r="JO25" s="47">
        <v>43.8</v>
      </c>
      <c r="KJ25" s="4"/>
      <c r="KQ25" s="47">
        <v>43.8</v>
      </c>
      <c r="LL25" s="4"/>
      <c r="LS25" s="47">
        <v>43.8</v>
      </c>
      <c r="MN25" s="4"/>
      <c r="MU25" s="47">
        <v>43.8</v>
      </c>
      <c r="NP25" s="4"/>
      <c r="NW25" s="47">
        <v>43.8</v>
      </c>
      <c r="OR25" s="4"/>
      <c r="OY25" s="47">
        <v>43.8</v>
      </c>
      <c r="PT25" s="4"/>
      <c r="QA25" s="47">
        <v>43.8</v>
      </c>
      <c r="QV25" s="4"/>
      <c r="RC25" s="47">
        <v>43.8</v>
      </c>
      <c r="RD25"/>
      <c r="RX25" s="4"/>
      <c r="RY25" s="36"/>
      <c r="RZ25" s="36"/>
      <c r="SA25" s="36"/>
      <c r="SB25" s="36"/>
      <c r="SC25" s="36"/>
      <c r="SD25" s="36"/>
      <c r="SE25" s="47">
        <v>43.8</v>
      </c>
      <c r="SZ25" s="4"/>
      <c r="TA25" s="36"/>
      <c r="TB25" s="36"/>
      <c r="TC25" s="36"/>
      <c r="TD25" s="36"/>
      <c r="TE25" s="36"/>
      <c r="TF25" s="36"/>
      <c r="TG25" s="47">
        <v>43.8</v>
      </c>
    </row>
    <row r="26" spans="1:556" ht="17" x14ac:dyDescent="0.2">
      <c r="A26" s="5"/>
      <c r="B26" s="33" t="s">
        <v>62</v>
      </c>
      <c r="C26" s="20"/>
      <c r="P26" s="10"/>
      <c r="Q26" s="10"/>
      <c r="R26" s="10"/>
      <c r="AN26" s="4"/>
      <c r="AU26" s="48">
        <v>68.099999999999994</v>
      </c>
      <c r="BQ26" s="4"/>
      <c r="BX26" s="48">
        <v>68.099999999999994</v>
      </c>
      <c r="CT26" s="4"/>
      <c r="DA26" s="48">
        <v>44.8</v>
      </c>
      <c r="DX26" s="4"/>
      <c r="EE26" s="48">
        <v>68.099999999999994</v>
      </c>
      <c r="EZ26" s="4"/>
      <c r="FG26" s="48">
        <v>68.099999999999994</v>
      </c>
      <c r="GB26" s="4"/>
      <c r="GI26" s="48">
        <v>44.8</v>
      </c>
      <c r="HD26" s="4"/>
      <c r="HK26" s="48">
        <v>44.8</v>
      </c>
      <c r="IF26" s="4"/>
      <c r="IM26" s="48">
        <v>44.8</v>
      </c>
      <c r="JH26" s="4"/>
      <c r="JO26" s="48">
        <v>44.8</v>
      </c>
      <c r="KJ26" s="4"/>
      <c r="KQ26" s="48">
        <v>44.8</v>
      </c>
      <c r="LL26" s="4"/>
      <c r="LS26" s="48">
        <v>44.8</v>
      </c>
      <c r="MN26" s="4"/>
      <c r="MU26" s="48">
        <v>44.8</v>
      </c>
      <c r="NP26" s="4"/>
      <c r="NW26" s="48">
        <v>44.8</v>
      </c>
      <c r="OR26" s="4"/>
      <c r="OY26" s="48">
        <v>44.8</v>
      </c>
      <c r="PT26" s="4"/>
      <c r="QA26" s="48">
        <v>44.8</v>
      </c>
      <c r="QV26" s="4"/>
      <c r="RC26" s="48">
        <v>44.8</v>
      </c>
      <c r="RD26"/>
      <c r="RX26" s="4"/>
      <c r="RY26" s="36"/>
      <c r="RZ26" s="36"/>
      <c r="SA26" s="36"/>
      <c r="SB26" s="36"/>
      <c r="SC26" s="36"/>
      <c r="SD26" s="36"/>
      <c r="SE26" s="48">
        <v>44.8</v>
      </c>
      <c r="SZ26" s="4"/>
      <c r="TA26" s="36"/>
      <c r="TB26" s="36"/>
      <c r="TC26" s="36"/>
      <c r="TD26" s="36"/>
      <c r="TE26" s="36"/>
      <c r="TF26" s="36"/>
      <c r="TG26" s="48">
        <v>44.8</v>
      </c>
    </row>
    <row r="27" spans="1:556" ht="17" x14ac:dyDescent="0.2">
      <c r="A27" s="5"/>
      <c r="B27" s="25" t="s">
        <v>32</v>
      </c>
      <c r="C27" s="20"/>
      <c r="P27" s="10"/>
      <c r="Q27" s="10"/>
      <c r="R27" s="10"/>
      <c r="AN27" s="4"/>
      <c r="AU27" s="49">
        <v>69.900000000000006</v>
      </c>
      <c r="BQ27" s="4"/>
      <c r="BX27" s="49">
        <v>69.900000000000006</v>
      </c>
      <c r="CT27" s="4"/>
      <c r="DA27" s="49">
        <v>46.7</v>
      </c>
      <c r="DX27" s="4"/>
      <c r="EE27" s="49">
        <v>69.900000000000006</v>
      </c>
      <c r="EZ27" s="4"/>
      <c r="FG27" s="49">
        <v>69.900000000000006</v>
      </c>
      <c r="GB27" s="4"/>
      <c r="GI27" s="49">
        <v>46.7</v>
      </c>
      <c r="HD27" s="4"/>
      <c r="HK27" s="49">
        <v>46.7</v>
      </c>
      <c r="IF27" s="4"/>
      <c r="IM27" s="49">
        <v>46.7</v>
      </c>
      <c r="JH27" s="4"/>
      <c r="JO27" s="49">
        <v>46.7</v>
      </c>
      <c r="KJ27" s="4"/>
      <c r="KQ27" s="49">
        <v>46.7</v>
      </c>
      <c r="LL27" s="4"/>
      <c r="LS27" s="49">
        <v>46.7</v>
      </c>
      <c r="MN27" s="4"/>
      <c r="MU27" s="49">
        <v>46.7</v>
      </c>
      <c r="NP27" s="4"/>
      <c r="NW27" s="49">
        <v>46.7</v>
      </c>
      <c r="OR27" s="4"/>
      <c r="OY27" s="49">
        <v>46.7</v>
      </c>
      <c r="PT27" s="4"/>
      <c r="QA27" s="49">
        <v>46.7</v>
      </c>
      <c r="QV27" s="4"/>
      <c r="RC27" s="49">
        <v>46.7</v>
      </c>
      <c r="RD27"/>
      <c r="RX27" s="4"/>
      <c r="RY27" s="36"/>
      <c r="RZ27" s="36"/>
      <c r="SA27" s="36"/>
      <c r="SB27" s="36"/>
      <c r="SC27" s="36"/>
      <c r="SD27" s="36"/>
      <c r="SE27" s="49">
        <v>46.7</v>
      </c>
      <c r="SZ27" s="4"/>
      <c r="TA27" s="36"/>
      <c r="TB27" s="36"/>
      <c r="TC27" s="36"/>
      <c r="TD27" s="36"/>
      <c r="TE27" s="36"/>
      <c r="TF27" s="36"/>
      <c r="TG27" s="49">
        <v>46.7</v>
      </c>
    </row>
    <row r="28" spans="1:556" x14ac:dyDescent="0.2">
      <c r="B28" s="29" t="s">
        <v>54</v>
      </c>
      <c r="C28" s="2"/>
    </row>
    <row r="29" spans="1:556" x14ac:dyDescent="0.2">
      <c r="A29" s="5"/>
      <c r="B29" s="5"/>
      <c r="C29" s="20"/>
      <c r="QC29" s="2"/>
      <c r="QD29" s="2"/>
      <c r="QE29" s="2"/>
      <c r="QF29" s="2"/>
      <c r="QG29" s="2"/>
      <c r="QH29" s="2"/>
      <c r="QI29" s="2"/>
      <c r="QJ29" s="2"/>
      <c r="QK29" s="2"/>
    </row>
    <row r="30" spans="1:556" x14ac:dyDescent="0.2">
      <c r="A30" s="5"/>
      <c r="B30" s="5"/>
      <c r="C30" s="20"/>
    </row>
    <row r="31" spans="1:556" x14ac:dyDescent="0.2">
      <c r="A31" s="5"/>
      <c r="B31" s="5"/>
      <c r="C31" s="20"/>
    </row>
    <row r="32" spans="1:556" x14ac:dyDescent="0.2">
      <c r="A32" s="5"/>
      <c r="B32" s="5"/>
      <c r="C32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17">
      <sortCondition descending="1" ref="F1:F18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17">
    <cfRule type="expression" dxfId="94" priority="61" stopIfTrue="1">
      <formula>IF($AM4&lt;&gt;"",1,0)</formula>
    </cfRule>
  </conditionalFormatting>
  <conditionalFormatting sqref="AV4:BX17">
    <cfRule type="expression" dxfId="93" priority="60" stopIfTrue="1">
      <formula>IF($BP4&lt;&gt;"",1,0)</formula>
    </cfRule>
  </conditionalFormatting>
  <conditionalFormatting sqref="K1:K1048576 O1:O1048576 M1:M1048576">
    <cfRule type="expression" dxfId="92" priority="57">
      <formula>IF(K1=$BY$1,1,0)</formula>
    </cfRule>
    <cfRule type="expression" dxfId="91" priority="58">
      <formula>IF(K1=$AV$1,1,0)</formula>
    </cfRule>
    <cfRule type="expression" dxfId="90" priority="59">
      <formula>IF(K1=$S$1,1,0)</formula>
    </cfRule>
  </conditionalFormatting>
  <conditionalFormatting sqref="BY4:DA17">
    <cfRule type="expression" dxfId="89" priority="56" stopIfTrue="1">
      <formula>IF($CS4&lt;&gt;"",1,0)</formula>
    </cfRule>
  </conditionalFormatting>
  <conditionalFormatting sqref="A4:A1048576">
    <cfRule type="expression" dxfId="88" priority="33">
      <formula>AND(G4="P",F4="")</formula>
    </cfRule>
    <cfRule type="expression" dxfId="87" priority="55" stopIfTrue="1">
      <formula>IF(A4&gt;8,1,0)</formula>
    </cfRule>
  </conditionalFormatting>
  <conditionalFormatting sqref="H1:H1048576">
    <cfRule type="containsText" dxfId="86" priority="50" operator="containsText" text="No DD">
      <formula>NOT(ISERROR(SEARCH("No DD",H1)))</formula>
    </cfRule>
    <cfRule type="containsText" dxfId="85" priority="51" operator="containsText" text="Merit">
      <formula>NOT(ISERROR(SEARCH("Merit",H1)))</formula>
    </cfRule>
    <cfRule type="containsText" dxfId="84" priority="52" operator="containsText" text="Excellence">
      <formula>NOT(ISERROR(SEARCH("Excellence",H1)))</formula>
    </cfRule>
    <cfRule type="containsText" dxfId="83" priority="53" operator="containsText" text="Worlds Team">
      <formula>NOT(ISERROR(SEARCH("Worlds Team",H1)))</formula>
    </cfRule>
    <cfRule type="containsText" dxfId="82" priority="54" operator="containsText" text="National Team">
      <formula>NOT(ISERROR(SEARCH("National Team",H1)))</formula>
    </cfRule>
  </conditionalFormatting>
  <conditionalFormatting sqref="AR28:AR1048576 BU28:BU1048576 EB28:EB1048576 BU1:BU26 CX1:CX1048576 EB1:EB26 FD1:FD1048576 GF1:GF1048576 HH1:HH1048576 IJ1:IJ1048576 JL1:JL1048576 KN1:KN1048576 LP1:LP1048576 MR1:MR1048576 NT1:NT1048576 OV1:OV1048576 PX1:PX1048576 AR1:AR26 SB1:SB27 QZ1:QZ27 TD1:TD27">
    <cfRule type="cellIs" dxfId="81" priority="47" operator="between">
      <formula>AU$27</formula>
      <formula>1000</formula>
    </cfRule>
    <cfRule type="cellIs" dxfId="80" priority="48" operator="between">
      <formula>AU$26</formula>
      <formula>AU$27</formula>
    </cfRule>
    <cfRule type="cellIs" dxfId="79" priority="49" operator="between">
      <formula>AU$25</formula>
      <formula>AU$26</formula>
    </cfRule>
  </conditionalFormatting>
  <conditionalFormatting sqref="PZ49:PZ1048576 AT1:AT1048576 BW1:BW1048576 CZ1:CZ1048576 ED1:ED1048576 FF1:FF1048576 GH1:GH1048576 HJ1:HJ1048576 IL1:IL1048576 JN1:JN1048576 KP1:KP1048576 LR1:LR1048576 MT1:MT1048576 NV1:NV1048576 OX1:OX1048576 PZ1:PZ32 SD1:SD27 RB1:RB27 TF1:TF27">
    <cfRule type="cellIs" dxfId="78" priority="89734" operator="between">
      <formula>AU$24</formula>
      <formula>AU$25</formula>
    </cfRule>
    <cfRule type="cellIs" dxfId="77" priority="89735" operator="between">
      <formula>AU$25</formula>
      <formula>AU$26</formula>
    </cfRule>
    <cfRule type="cellIs" dxfId="76" priority="89736" operator="between">
      <formula>AU$26</formula>
      <formula>AU$27</formula>
    </cfRule>
    <cfRule type="cellIs" dxfId="75" priority="89737" operator="between">
      <formula>AU$27</formula>
      <formula>1000</formula>
    </cfRule>
  </conditionalFormatting>
  <conditionalFormatting sqref="TH1:TH17">
    <cfRule type="cellIs" dxfId="74" priority="131341" operator="between">
      <formula>QA$24</formula>
      <formula>QA$25</formula>
    </cfRule>
    <cfRule type="cellIs" dxfId="73" priority="131342" operator="between">
      <formula>QA$25</formula>
      <formula>QA$26</formula>
    </cfRule>
    <cfRule type="cellIs" dxfId="72" priority="131343" operator="between">
      <formula>QA$26</formula>
      <formula>QA$27</formula>
    </cfRule>
    <cfRule type="cellIs" dxfId="71" priority="131344" operator="between">
      <formula>QA$27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7 RX1:RX27 SZ1:SZ27">
    <cfRule type="cellIs" dxfId="70" priority="131349" operator="between">
      <formula>AU$20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7 RY1:RY27 TA1:TA27">
    <cfRule type="cellIs" dxfId="69" priority="131400" operator="between">
      <formula>AU$24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7 RA1:RA27 TE1:TE27">
    <cfRule type="cellIs" dxfId="68" priority="131451" operator="between">
      <formula>AU$20</formula>
      <formula>AU$21</formula>
    </cfRule>
    <cfRule type="cellIs" dxfId="67" priority="131452" operator="between">
      <formula>AU$21</formula>
      <formula>AU$22</formula>
    </cfRule>
    <cfRule type="cellIs" dxfId="66" priority="131453" operator="between">
      <formula>AU$22</formula>
      <formula>AU$23</formula>
    </cfRule>
    <cfRule type="cellIs" dxfId="65" priority="131454" operator="between">
      <formula>AU$23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7 QY1:QY27 TC1:TC27">
    <cfRule type="cellIs" dxfId="64" priority="131655" operator="between">
      <formula>AU$23</formula>
      <formula>1000</formula>
    </cfRule>
    <cfRule type="cellIs" dxfId="63" priority="131656" operator="between">
      <formula>AU$22</formula>
      <formula>AU$23</formula>
    </cfRule>
    <cfRule type="cellIs" dxfId="62" priority="131657" operator="between">
      <formula>AU$21</formula>
      <formula>AU$22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113</v>
      </c>
      <c r="K1" s="69" t="s">
        <v>30</v>
      </c>
      <c r="L1" s="71" t="s">
        <v>114</v>
      </c>
      <c r="M1" s="69" t="s">
        <v>30</v>
      </c>
      <c r="N1" s="69" t="s">
        <v>12</v>
      </c>
      <c r="O1" s="69" t="s">
        <v>30</v>
      </c>
      <c r="P1" s="73" t="s">
        <v>13</v>
      </c>
      <c r="Q1" s="69" t="s">
        <v>31</v>
      </c>
      <c r="R1" s="69" t="s">
        <v>30</v>
      </c>
      <c r="S1" s="64" t="s">
        <v>220</v>
      </c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7" t="s">
        <v>239</v>
      </c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4" t="s">
        <v>249</v>
      </c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60</v>
      </c>
      <c r="DC1" s="68"/>
      <c r="DD1" s="64" t="s">
        <v>211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7" t="s">
        <v>212</v>
      </c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4" t="s">
        <v>233</v>
      </c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7" t="s">
        <v>232</v>
      </c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4"/>
      <c r="SG1" s="64"/>
      <c r="SH1" s="64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7" t="s">
        <v>64</v>
      </c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</row>
    <row r="2" spans="1:556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69"/>
      <c r="O2" s="69"/>
      <c r="P2" s="73"/>
      <c r="Q2" s="69"/>
      <c r="R2" s="69"/>
      <c r="S2" s="65" t="s">
        <v>105</v>
      </c>
      <c r="T2" s="65"/>
      <c r="U2" s="65"/>
      <c r="V2" s="65"/>
      <c r="W2" s="65" t="s">
        <v>106</v>
      </c>
      <c r="X2" s="65"/>
      <c r="Y2" s="65"/>
      <c r="Z2" s="65"/>
      <c r="AA2" s="65" t="s">
        <v>107</v>
      </c>
      <c r="AB2" s="65"/>
      <c r="AC2" s="65"/>
      <c r="AD2" s="65"/>
      <c r="AE2" s="65" t="s">
        <v>108</v>
      </c>
      <c r="AF2" s="65"/>
      <c r="AG2" s="65"/>
      <c r="AH2" s="65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66" t="s">
        <v>105</v>
      </c>
      <c r="AW2" s="66"/>
      <c r="AX2" s="66"/>
      <c r="AY2" s="66"/>
      <c r="AZ2" s="66" t="s">
        <v>106</v>
      </c>
      <c r="BA2" s="66"/>
      <c r="BB2" s="66"/>
      <c r="BC2" s="66"/>
      <c r="BD2" s="66" t="s">
        <v>107</v>
      </c>
      <c r="BE2" s="66"/>
      <c r="BF2" s="66"/>
      <c r="BG2" s="66"/>
      <c r="BH2" s="66" t="s">
        <v>108</v>
      </c>
      <c r="BI2" s="66"/>
      <c r="BJ2" s="66"/>
      <c r="BK2" s="66"/>
      <c r="BL2" s="75" t="s">
        <v>109</v>
      </c>
      <c r="BM2" s="75"/>
      <c r="BN2" s="75"/>
      <c r="BO2" s="75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65" t="s">
        <v>105</v>
      </c>
      <c r="BZ2" s="65"/>
      <c r="CA2" s="65"/>
      <c r="CB2" s="65"/>
      <c r="CC2" s="65" t="s">
        <v>106</v>
      </c>
      <c r="CD2" s="65"/>
      <c r="CE2" s="65"/>
      <c r="CF2" s="65"/>
      <c r="CG2" s="65" t="s">
        <v>107</v>
      </c>
      <c r="CH2" s="65"/>
      <c r="CI2" s="65"/>
      <c r="CJ2" s="65"/>
      <c r="CK2" s="65" t="s">
        <v>108</v>
      </c>
      <c r="CL2" s="65"/>
      <c r="CM2" s="65"/>
      <c r="CN2" s="65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65" t="s">
        <v>105</v>
      </c>
      <c r="DE2" s="65"/>
      <c r="DF2" s="65"/>
      <c r="DG2" s="65"/>
      <c r="DH2" s="65" t="s">
        <v>106</v>
      </c>
      <c r="DI2" s="65"/>
      <c r="DJ2" s="65"/>
      <c r="DK2" s="65"/>
      <c r="DL2" s="65" t="s">
        <v>107</v>
      </c>
      <c r="DM2" s="65"/>
      <c r="DN2" s="65"/>
      <c r="DO2" s="65"/>
      <c r="DP2" s="65" t="s">
        <v>108</v>
      </c>
      <c r="DQ2" s="65"/>
      <c r="DR2" s="65"/>
      <c r="DS2" s="65"/>
      <c r="DT2" s="74" t="s">
        <v>109</v>
      </c>
      <c r="DU2" s="74"/>
      <c r="DV2" s="74"/>
      <c r="DW2" s="74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66" t="s">
        <v>105</v>
      </c>
      <c r="EG2" s="66"/>
      <c r="EH2" s="66"/>
      <c r="EI2" s="66"/>
      <c r="EJ2" s="66" t="s">
        <v>106</v>
      </c>
      <c r="EK2" s="66"/>
      <c r="EL2" s="66"/>
      <c r="EM2" s="66"/>
      <c r="EN2" s="66" t="s">
        <v>107</v>
      </c>
      <c r="EO2" s="66"/>
      <c r="EP2" s="66"/>
      <c r="EQ2" s="66"/>
      <c r="ER2" s="66" t="s">
        <v>108</v>
      </c>
      <c r="ES2" s="66"/>
      <c r="ET2" s="66"/>
      <c r="EU2" s="66"/>
      <c r="EV2" s="75" t="s">
        <v>109</v>
      </c>
      <c r="EW2" s="75"/>
      <c r="EX2" s="75"/>
      <c r="EY2" s="75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65" t="s">
        <v>105</v>
      </c>
      <c r="FI2" s="65"/>
      <c r="FJ2" s="65"/>
      <c r="FK2" s="65"/>
      <c r="FL2" s="65" t="s">
        <v>106</v>
      </c>
      <c r="FM2" s="65"/>
      <c r="FN2" s="65"/>
      <c r="FO2" s="65"/>
      <c r="FP2" s="65" t="s">
        <v>107</v>
      </c>
      <c r="FQ2" s="65"/>
      <c r="FR2" s="65"/>
      <c r="FS2" s="65"/>
      <c r="FT2" s="65" t="s">
        <v>108</v>
      </c>
      <c r="FU2" s="65"/>
      <c r="FV2" s="65"/>
      <c r="FW2" s="65"/>
      <c r="FX2" s="74" t="s">
        <v>109</v>
      </c>
      <c r="FY2" s="74"/>
      <c r="FZ2" s="74"/>
      <c r="GA2" s="74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66" t="s">
        <v>105</v>
      </c>
      <c r="GK2" s="66"/>
      <c r="GL2" s="66"/>
      <c r="GM2" s="66"/>
      <c r="GN2" s="66" t="s">
        <v>106</v>
      </c>
      <c r="GO2" s="66"/>
      <c r="GP2" s="66"/>
      <c r="GQ2" s="66"/>
      <c r="GR2" s="66" t="s">
        <v>107</v>
      </c>
      <c r="GS2" s="66"/>
      <c r="GT2" s="66"/>
      <c r="GU2" s="66"/>
      <c r="GV2" s="66" t="s">
        <v>108</v>
      </c>
      <c r="GW2" s="66"/>
      <c r="GX2" s="66"/>
      <c r="GY2" s="66"/>
      <c r="GZ2" s="75" t="s">
        <v>109</v>
      </c>
      <c r="HA2" s="75"/>
      <c r="HB2" s="75"/>
      <c r="HC2" s="75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65" t="s">
        <v>105</v>
      </c>
      <c r="HM2" s="65"/>
      <c r="HN2" s="65"/>
      <c r="HO2" s="65"/>
      <c r="HP2" s="65" t="s">
        <v>106</v>
      </c>
      <c r="HQ2" s="65"/>
      <c r="HR2" s="65"/>
      <c r="HS2" s="65"/>
      <c r="HT2" s="65" t="s">
        <v>107</v>
      </c>
      <c r="HU2" s="65"/>
      <c r="HV2" s="65"/>
      <c r="HW2" s="65"/>
      <c r="HX2" s="65" t="s">
        <v>108</v>
      </c>
      <c r="HY2" s="65"/>
      <c r="HZ2" s="65"/>
      <c r="IA2" s="65"/>
      <c r="IB2" s="74" t="s">
        <v>109</v>
      </c>
      <c r="IC2" s="74"/>
      <c r="ID2" s="74"/>
      <c r="IE2" s="74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66" t="s">
        <v>105</v>
      </c>
      <c r="IO2" s="66"/>
      <c r="IP2" s="66"/>
      <c r="IQ2" s="66"/>
      <c r="IR2" s="66" t="s">
        <v>106</v>
      </c>
      <c r="IS2" s="66"/>
      <c r="IT2" s="66"/>
      <c r="IU2" s="66"/>
      <c r="IV2" s="66" t="s">
        <v>107</v>
      </c>
      <c r="IW2" s="66"/>
      <c r="IX2" s="66"/>
      <c r="IY2" s="66"/>
      <c r="IZ2" s="66" t="s">
        <v>108</v>
      </c>
      <c r="JA2" s="66"/>
      <c r="JB2" s="66"/>
      <c r="JC2" s="66"/>
      <c r="JD2" s="75" t="s">
        <v>109</v>
      </c>
      <c r="JE2" s="75"/>
      <c r="JF2" s="75"/>
      <c r="JG2" s="75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65" t="s">
        <v>105</v>
      </c>
      <c r="JQ2" s="65"/>
      <c r="JR2" s="65"/>
      <c r="JS2" s="65"/>
      <c r="JT2" s="65" t="s">
        <v>106</v>
      </c>
      <c r="JU2" s="65"/>
      <c r="JV2" s="65"/>
      <c r="JW2" s="65"/>
      <c r="JX2" s="65" t="s">
        <v>107</v>
      </c>
      <c r="JY2" s="65"/>
      <c r="JZ2" s="65"/>
      <c r="KA2" s="65"/>
      <c r="KB2" s="65" t="s">
        <v>108</v>
      </c>
      <c r="KC2" s="65"/>
      <c r="KD2" s="65"/>
      <c r="KE2" s="65"/>
      <c r="KF2" s="74" t="s">
        <v>109</v>
      </c>
      <c r="KG2" s="74"/>
      <c r="KH2" s="74"/>
      <c r="KI2" s="74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66" t="s">
        <v>105</v>
      </c>
      <c r="KS2" s="66"/>
      <c r="KT2" s="66"/>
      <c r="KU2" s="66"/>
      <c r="KV2" s="66" t="s">
        <v>106</v>
      </c>
      <c r="KW2" s="66"/>
      <c r="KX2" s="66"/>
      <c r="KY2" s="66"/>
      <c r="KZ2" s="66" t="s">
        <v>107</v>
      </c>
      <c r="LA2" s="66"/>
      <c r="LB2" s="66"/>
      <c r="LC2" s="66"/>
      <c r="LD2" s="66" t="s">
        <v>108</v>
      </c>
      <c r="LE2" s="66"/>
      <c r="LF2" s="66"/>
      <c r="LG2" s="66"/>
      <c r="LH2" s="75" t="s">
        <v>109</v>
      </c>
      <c r="LI2" s="75"/>
      <c r="LJ2" s="75"/>
      <c r="LK2" s="75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65" t="s">
        <v>105</v>
      </c>
      <c r="LU2" s="65"/>
      <c r="LV2" s="65"/>
      <c r="LW2" s="65"/>
      <c r="LX2" s="65" t="s">
        <v>106</v>
      </c>
      <c r="LY2" s="65"/>
      <c r="LZ2" s="65"/>
      <c r="MA2" s="65"/>
      <c r="MB2" s="65" t="s">
        <v>107</v>
      </c>
      <c r="MC2" s="65"/>
      <c r="MD2" s="65"/>
      <c r="ME2" s="65"/>
      <c r="MF2" s="65" t="s">
        <v>108</v>
      </c>
      <c r="MG2" s="65"/>
      <c r="MH2" s="65"/>
      <c r="MI2" s="65"/>
      <c r="MJ2" s="74" t="s">
        <v>109</v>
      </c>
      <c r="MK2" s="74"/>
      <c r="ML2" s="74"/>
      <c r="MM2" s="74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66" t="s">
        <v>105</v>
      </c>
      <c r="MW2" s="66"/>
      <c r="MX2" s="66"/>
      <c r="MY2" s="66"/>
      <c r="MZ2" s="66" t="s">
        <v>106</v>
      </c>
      <c r="NA2" s="66"/>
      <c r="NB2" s="66"/>
      <c r="NC2" s="66"/>
      <c r="ND2" s="66" t="s">
        <v>107</v>
      </c>
      <c r="NE2" s="66"/>
      <c r="NF2" s="66"/>
      <c r="NG2" s="66"/>
      <c r="NH2" s="66" t="s">
        <v>108</v>
      </c>
      <c r="NI2" s="66"/>
      <c r="NJ2" s="66"/>
      <c r="NK2" s="66"/>
      <c r="NL2" s="75" t="s">
        <v>109</v>
      </c>
      <c r="NM2" s="75"/>
      <c r="NN2" s="75"/>
      <c r="NO2" s="75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65" t="s">
        <v>105</v>
      </c>
      <c r="NY2" s="65"/>
      <c r="NZ2" s="65"/>
      <c r="OA2" s="65"/>
      <c r="OB2" s="65" t="s">
        <v>106</v>
      </c>
      <c r="OC2" s="65"/>
      <c r="OD2" s="65"/>
      <c r="OE2" s="65"/>
      <c r="OF2" s="65" t="s">
        <v>107</v>
      </c>
      <c r="OG2" s="65"/>
      <c r="OH2" s="65"/>
      <c r="OI2" s="65"/>
      <c r="OJ2" s="65" t="s">
        <v>108</v>
      </c>
      <c r="OK2" s="65"/>
      <c r="OL2" s="65"/>
      <c r="OM2" s="65"/>
      <c r="ON2" s="74" t="s">
        <v>109</v>
      </c>
      <c r="OO2" s="74"/>
      <c r="OP2" s="74"/>
      <c r="OQ2" s="74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66" t="s">
        <v>105</v>
      </c>
      <c r="PA2" s="66"/>
      <c r="PB2" s="66"/>
      <c r="PC2" s="66"/>
      <c r="PD2" s="66" t="s">
        <v>106</v>
      </c>
      <c r="PE2" s="66"/>
      <c r="PF2" s="66"/>
      <c r="PG2" s="66"/>
      <c r="PH2" s="66" t="s">
        <v>107</v>
      </c>
      <c r="PI2" s="66"/>
      <c r="PJ2" s="66"/>
      <c r="PK2" s="66"/>
      <c r="PL2" s="66" t="s">
        <v>108</v>
      </c>
      <c r="PM2" s="66"/>
      <c r="PN2" s="66"/>
      <c r="PO2" s="66"/>
      <c r="PP2" s="75" t="s">
        <v>109</v>
      </c>
      <c r="PQ2" s="75"/>
      <c r="PR2" s="75"/>
      <c r="PS2" s="75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65" t="s">
        <v>105</v>
      </c>
      <c r="QC2" s="65"/>
      <c r="QD2" s="65"/>
      <c r="QE2" s="65"/>
      <c r="QF2" s="65" t="s">
        <v>106</v>
      </c>
      <c r="QG2" s="65"/>
      <c r="QH2" s="65"/>
      <c r="QI2" s="65"/>
      <c r="QJ2" s="65" t="s">
        <v>107</v>
      </c>
      <c r="QK2" s="65"/>
      <c r="QL2" s="65"/>
      <c r="QM2" s="65"/>
      <c r="QN2" s="65" t="s">
        <v>108</v>
      </c>
      <c r="QO2" s="65"/>
      <c r="QP2" s="65"/>
      <c r="QQ2" s="65"/>
      <c r="QR2" s="74" t="s">
        <v>109</v>
      </c>
      <c r="QS2" s="74"/>
      <c r="QT2" s="74"/>
      <c r="QU2" s="74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66" t="s">
        <v>105</v>
      </c>
      <c r="RE2" s="66"/>
      <c r="RF2" s="66"/>
      <c r="RG2" s="66"/>
      <c r="RH2" s="66" t="s">
        <v>106</v>
      </c>
      <c r="RI2" s="66"/>
      <c r="RJ2" s="66"/>
      <c r="RK2" s="66"/>
      <c r="RL2" s="66" t="s">
        <v>107</v>
      </c>
      <c r="RM2" s="66"/>
      <c r="RN2" s="66"/>
      <c r="RO2" s="66"/>
      <c r="RP2" s="66" t="s">
        <v>108</v>
      </c>
      <c r="RQ2" s="66"/>
      <c r="RR2" s="66"/>
      <c r="RS2" s="66"/>
      <c r="RT2" s="75" t="s">
        <v>109</v>
      </c>
      <c r="RU2" s="75"/>
      <c r="RV2" s="75"/>
      <c r="RW2" s="75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65" t="s">
        <v>105</v>
      </c>
      <c r="SG2" s="65"/>
      <c r="SH2" s="65"/>
      <c r="SI2" s="65"/>
      <c r="SJ2" s="65" t="s">
        <v>106</v>
      </c>
      <c r="SK2" s="65"/>
      <c r="SL2" s="65"/>
      <c r="SM2" s="65"/>
      <c r="SN2" s="65" t="s">
        <v>107</v>
      </c>
      <c r="SO2" s="65"/>
      <c r="SP2" s="65"/>
      <c r="SQ2" s="65"/>
      <c r="SR2" s="65" t="s">
        <v>108</v>
      </c>
      <c r="SS2" s="65"/>
      <c r="ST2" s="65"/>
      <c r="SU2" s="65"/>
      <c r="SV2" s="74" t="s">
        <v>109</v>
      </c>
      <c r="SW2" s="74"/>
      <c r="SX2" s="74"/>
      <c r="SY2" s="74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66" t="s">
        <v>105</v>
      </c>
      <c r="TI2" s="66"/>
      <c r="TJ2" s="66"/>
      <c r="TK2" s="66"/>
      <c r="TL2" s="66" t="s">
        <v>106</v>
      </c>
      <c r="TM2" s="66"/>
      <c r="TN2" s="66"/>
      <c r="TO2" s="66"/>
      <c r="TP2" s="66" t="s">
        <v>107</v>
      </c>
      <c r="TQ2" s="66"/>
      <c r="TR2" s="66"/>
      <c r="TS2" s="66"/>
      <c r="TT2" s="66" t="s">
        <v>108</v>
      </c>
      <c r="TU2" s="66"/>
      <c r="TV2" s="66"/>
      <c r="TW2" s="66"/>
      <c r="TX2" s="76" t="s">
        <v>109</v>
      </c>
      <c r="TY2" s="76"/>
      <c r="TZ2" s="76"/>
      <c r="UA2" s="76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69"/>
      <c r="O3" s="69"/>
      <c r="P3" s="73"/>
      <c r="Q3" s="69"/>
      <c r="R3" s="69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84</v>
      </c>
      <c r="C4" s="4" t="s">
        <v>6</v>
      </c>
      <c r="D4" s="4">
        <v>2003</v>
      </c>
      <c r="E4" s="9">
        <f t="shared" ref="E4:E33" si="0">SUM(J4:P4)+SUM(J4:M4)*0.0000001+SUM(J4)*0.0000000000001</f>
        <v>171.90001098000582</v>
      </c>
      <c r="F4" s="3" t="str">
        <f t="shared" ref="F4:F33" si="1">IF(OR(AND(AN4&gt;=AU$36,AO4&gt;=AU$40,AN4&lt;&gt;"",AM4=""),AND(AS4&gt;=AU$36,AT4&gt;=AU$40,AS4&lt;&gt;"",AM4=""),AND(BQ4&gt;=BX$36,BR4&gt;=BX$40,BQ4&lt;&gt;"",BP4=""),AND(BV4&gt;=BX$36,BW4&gt;=BX$40,BV4&lt;&gt;"",BP4=""),AND(CT4&gt;=DA$36,CU4&gt;=DA$40,CT4&lt;&gt;"",CS4=""),AND(CY4&gt;=DA$36,CZ4&gt;=DA$40,CY4&lt;&gt;""),AND(DX4&gt;=EE$36,DY4&gt;=EE$40,DX4&lt;&gt;""),AND(EC4&gt;=EE$36,ED4&gt;=EE$40,EC4&lt;&gt;""),AND(EZ4&gt;=FG$36,FA4&gt;=FG$40,EZ4&lt;&gt;""),AND(FE4&gt;=FG$36,FF4&gt;=FG$40,FE4&lt;&gt;""),AND(GB4&gt;=GI$36,GC4&gt;=GI$40,GB4&lt;&gt;""),AND(GG4&gt;=GI$36,GH4&gt;=GI$40,GG4&lt;&gt;""),AND(HD4&gt;=HK$36,HE4&gt;=HK$40,HD4&lt;&gt;""),AND(HI4&gt;=HK$36,HJ4&gt;=HK$40,HI4&lt;&gt;""),AND(IF4&gt;=IM$36,IG4&gt;=IM$40,IF4&lt;&gt;""),AND(IK4&gt;=IM$36,IL4&gt;=IM$40,IK4&lt;&gt;""),AND(JH4&gt;=JO$36,JI4&gt;=JO$40,JH4&lt;&gt;""),AND(JM4&gt;=JO$36,JN4&gt;=JO$40,JM4&lt;&gt;""),AND(KJ4&gt;=KQ$36,KK4&gt;=KQ$40,KJ4&lt;&gt;""),AND(KO4&gt;=KQ$36,KP4&gt;=KQ$40,KO4&lt;&gt;""),AND(LL4&gt;=LS$36,LM4&gt;=LS$40,LL4&lt;&gt;""),AND(LQ4&gt;=LS$36,LR4&gt;=LS$40,LQ4&lt;&gt;""),AND(MN4&gt;=MU$36,MO4&gt;=MU$40,MN4&lt;&gt;""),AND(MS4&gt;=MU$36,MT4&gt;=MU$40,MS4&lt;&gt;""),AND(NP4&gt;=NW$36,NQ4&gt;=NW$40,NP4&lt;&gt;""),AND(NU4&gt;=NW$36,NV4&gt;=NW$40,NU4&lt;&gt;""),AND(OR4&gt;=OY$36,OS4&gt;=OY$40,OR4&lt;&gt;""),AND(OW4&gt;=OY$36,OX4&gt;=OY$40,OW4&lt;&gt;""),AND(PT4&gt;=QA$36,PU4&gt;=QA$40,PT4&lt;&gt;""),AND(PY4&gt;=QA$36,PZ4&gt;=QA$40,PY4&lt;&gt;""),AND(QV4&gt;=RC$36,QW4&gt;=RC$40,QV4&lt;&gt;""),AND(RA4&gt;=RC$36,RB4&gt;=RC$40,RA4&lt;&gt;""),AND(RX4&gt;=SE$36,RY4&gt;=SE$40,RX4&lt;&gt;""),AND(SC4&gt;=SE$36,SD4&gt;=SE$40,SC4&lt;&gt;""),AND(SZ4&gt;=TG$36,TA4&gt;=TG$40,SZ4&lt;&gt;""),AND(TF4&gt;=TG$36,TG4&gt;=TG$40,TF4&lt;&gt;"")),"P","")</f>
        <v>P</v>
      </c>
      <c r="G4" s="3" t="str">
        <f t="shared" ref="G4:G33" si="2">IF(OR(AND(AO4&gt;=AU$40,AO4&lt;&gt;"",AM4=""),AND(AT4&gt;=AU$40,AT4&lt;&gt;"",AM4=""),AND(BR4&gt;=BX$40,BR4&lt;&gt;"",BP4=""),AND(BW4&gt;=BX$40,BW4&lt;&gt;"",BP4=""),AND(CU4&gt;=DA$40,CU4&lt;&gt;"",CS4=""),AND(CZ4&gt;=DA$40,CZ4&lt;&gt;"",CS4=""),AND(DY4&gt;=EE$40,DY4&lt;&gt;""),AND(ED4&gt;=EE$40,ED4&lt;&gt;""),AND(FA4&gt;=FG$40,FA4&lt;&gt;""),AND(FF4&gt;=FG$40,FF4&lt;&gt;""),AND(GC4&gt;=GI$40,GC4&lt;&gt;""),AND(GH4&gt;=GI$40,GH4&lt;&gt;""),AND(HE4&gt;=HK$40,HE4&lt;&gt;""),AND(HJ4&gt;=HK$40,HJ4&lt;&gt;""),AND(IG4&gt;=IM$40,IG4&lt;&gt;""),AND(IL4&gt;=IM$40,IL4&lt;&gt;""),AND(JI4&gt;=JO$40,JI4&lt;&gt;""),AND(JN4&gt;=JO$40,JN4&lt;&gt;""),AND(KK4&gt;=KQ$40,KK4&lt;&gt;""),AND(KP4&gt;=KQ$40,KP4&lt;&gt;""),AND(LM4&gt;=LS$40,LM4&lt;&gt;""),AND(LR4&gt;=LS$40,LR4&lt;&gt;""),AND(MO4&gt;=MU$40,MO4&lt;&gt;""),AND(MT4&gt;=MU$40,MT4&lt;&gt;""),AND(NQ4&gt;=NW$40,NQ4&lt;&gt;""),AND(NV4&gt;=NW$40,NV4&lt;&gt;""),AND(OS4&gt;=OY$40,OS4&lt;&gt;""),AND(OX4&gt;=OY$40,OX4&lt;&gt;""),AND(PU4&gt;=QA$40,PU4&lt;&gt;""),AND(PZ4&gt;=QA$40,PZ4&lt;&gt;""),AND(QW4&gt;=RC$40,QW4&lt;&gt;""),AND(RB4&gt;=RC$40,RB4&lt;&gt;""),AND(RY4&gt;=SE$40,RY4&lt;&gt;""),AND(SD4&gt;=SE$40,SD4&lt;&gt;""),AND(TA4&gt;=TG$40,TA4&lt;&gt;""),AND(TG4&gt;=TG$40,TG4&lt;&gt;"")),"P","")</f>
        <v>P</v>
      </c>
      <c r="H4" s="36" t="str">
        <f t="shared" ref="H4:H33" si="3">IF(AND(G4="P",F4=""),"No DD",IF(OR(AND(AQ4&gt;=AU$39,AR4&gt;=AU$43,AQ4&lt;&gt;"",AM4=""),AND(BT4&gt;=BX$39,BU4&gt;=BX$43,BT4&lt;&gt;"",BP4=""),AND(CW4&gt;=DA$39,CX4&gt;=DA$43,CW4&lt;&gt;"",CS4=""),AND(EA4&gt;=EE$39,EB4&gt;=EE$43,EA4&lt;&gt;""),AND(FC4&gt;=FG$39,FD4&gt;=FG$43,FC4&lt;&gt;""),AND(GE4&gt;=GI$39,GF4&gt;=GI$43,GE4&lt;&gt;""),AND(HG4&gt;=HK$39,HH4&gt;=HK$43,HG4&lt;&gt;""),AND(II4&gt;=IM$39,IJ4&gt;=IM$43,II4&lt;&gt;""),AND(JK4&gt;=JO$39,JL4&gt;=JO$43,JK4&lt;&gt;""),AND(KM4&gt;=KQ$39,KN4&gt;=KQ$43,KM4&lt;&gt;""),AND(LO4&gt;=LS$39,LP4&gt;=LS$43,LO4&lt;&gt;""),AND(MQ4&gt;=MU$39,MR4&gt;=MU$43,MQ4&lt;&gt;""),AND(NS4&gt;=NW$39,NT4&gt;=NW$43,NS4&lt;&gt;""),AND(OU4&gt;=OY$39,OV4&gt;=OY$43,OU4&lt;&gt;""),AND(PW4&gt;=QA$39,PX4&gt;=QA$43,PW4&lt;&gt;""),AND(QY4&gt;=RC$39,QZ4&gt;=RC$43,QY4&lt;&gt;""),AND(SA4&gt;=SE$39,SB4&gt;=SE$43,SA4&lt;&gt;""),AND(TC4&gt;=TG$39,TD4&gt;=TG$43,TC4&lt;&gt;"")),"Merit",IF(OR(AND(AQ4&gt;=AU$38,AR4&gt;=AU$42,AQ4&lt;&gt;"",AM4=""),AND(BT4&gt;=BX$38,BU4&gt;=BX$42,BT4&lt;&gt;"",BP4=""),AND(CW4&gt;=DA$38,CX4&gt;=DA$42,CW4&lt;&gt;"",CS4=""),AND(EA4&gt;=EE$38,EB4&gt;=EE$42,EA4&lt;&gt;""),AND(FC4&gt;=FG$38,FD4&gt;=FG$42,FC4&lt;&gt;""),AND(GE4&gt;=GI$38,GF4&gt;=GI$42,GE4&lt;&gt;""),AND(HG4&gt;=HK$38,HH4&gt;=HK$42,HG4&lt;&gt;""),AND(II4&gt;=IM$38,IJ4&gt;=IM$42,II4&lt;&gt;""),AND(JK4&gt;=JO$38,JL4&gt;=JO$42,JK4&lt;&gt;""),AND(KM4&gt;=KQ$38,KN4&gt;=KQ$42,KM4&lt;&gt;""),AND(LO4&gt;=LS$38,LP4&gt;=LS$42,LO4&lt;&gt;""),AND(MQ4&gt;=MU$38,MR4&gt;=MU$42,MQ4&lt;&gt;""),AND(NS4&gt;=NW$38,NT4&gt;=NW$42,NS4&lt;&gt;""),AND(OU4&gt;=OY$38,OV4&gt;=OY$42,OU4&lt;&gt;""),AND(PW4&gt;=QA$38,PX4&gt;=QA$42,PW4&lt;&gt;""),AND(QY4&gt;=RC$38,QZ4&gt;=RC$42,QY4&lt;&gt;""),AND(SA4&gt;=SE$38,SB4&gt;=SE$42,SA4&lt;&gt;""),AND(TC4&gt;=TG$38,TD4&gt;=TG$42,TC4&lt;&gt;"")),"Excellence",IF(I4="P","Worlds Team",IF(F4="P","National Team","")))))</f>
        <v>Merit</v>
      </c>
      <c r="I4" s="3" t="str">
        <f t="shared" ref="I4:I33" si="4">IF(OR(AND(AQ4&gt;=AU$37,AR4&gt;=AU$41,AQ4&lt;&gt;"",AM4=""),AND(BT4&gt;=BX$37,BU4&gt;=BX$41,BT4&lt;&gt;"",BP4=""),AND(CW4&gt;=DA$37,CX4&gt;=DA$41,CW4&lt;&gt;"",CS4=""),AND(EA4&gt;=EE$37,EB4&gt;=EE$41,EA4&lt;&gt;""),AND(FC4&gt;=FG$37,FD4&gt;=FG$41,FC4&lt;&gt;""),AND(GE4&gt;=GI$37,GF4&gt;=GI$41,GE4&lt;&gt;""),AND(HG4&gt;=HK$37,HH4&gt;=HK$41,HG4&lt;&gt;""),AND(II4&gt;=IM$37,IJ4&gt;=IM$41,II4&lt;&gt;""),AND(JK4&gt;=JO$37,JL4&gt;=JO$41,JK4&lt;&gt;""),AND(KM4&gt;=KQ$37,KN4&gt;=KQ$41,KM4&lt;&gt;""),AND(LO4&gt;=LS$37,LP4&gt;=LS$41,LO4&lt;&gt;""),AND(MQ4&gt;=MU$37,MR4&gt;=MU$41,MQ4&lt;&gt;""),AND(NS4&gt;=NW$37,NT4&gt;=NW$41,NS4&lt;&gt;""),AND(OU4&gt;=OY$37,OV4&gt;=OY$41,OU4&lt;&gt;""),AND(PW4&gt;=QA$37,PX4&gt;=QA$41,PW4&lt;&gt;""),AND(QY4&gt;=RC$37,QZ4&gt;=RC$41,QY4&lt;&gt;""),AND(SA4&gt;=SE$37,SB4&gt;=SE$41,SA4&lt;&gt;""),AND(TC4&gt;=TG$37,TD4&gt;=TG$41,TC4&lt;&gt;"")),"P","")</f>
        <v>P</v>
      </c>
      <c r="J4" s="8">
        <f>IF(COUNT(AO4,BR4,CU4)&gt;0,LARGE((AO4,BR4,CU4),1),0)</f>
        <v>57.800000000000004</v>
      </c>
      <c r="K4" s="8" t="str">
        <f t="shared" ref="K4:K33" si="5">IF(J4=0,"",IF(J4=CU4,$BY$1,IF(J4=BR4,$AV$1,IF(J4=AO4,$S$1,""))))</f>
        <v>2024 3rd Domestic Trial</v>
      </c>
      <c r="L4" s="8">
        <f>IF(COUNT(AO4,BR4,CU4)&gt;1,LARGE((AO4,BR4,CU4),2),0)</f>
        <v>52</v>
      </c>
      <c r="M4" s="8" t="str">
        <f t="shared" ref="M4:M33" si="6">IF(K4=0,"",IF(AND(L4=J4,L4=AO4,K4=BR4),$S$1,IF(AND(L4=J4,L4=AO4,L4=CU4),$S$1,IF(AND(L4=J4,L4=CU4,L4=BR4),$AV$1,IF(L4=CU4,$BY$1,IF(L4=BR4,$AV$1,IF(L4=AO4,$S$1,"")))))))</f>
        <v>2024 Nationals</v>
      </c>
      <c r="N4" s="8">
        <f t="shared" ref="N4:N33" si="7">IF(MAX(AT4,BW4,CZ4)&gt;0,MAX(AT4,BW4,CZ4),0)</f>
        <v>59.099999999999994</v>
      </c>
      <c r="O4" s="8" t="str">
        <f t="shared" ref="O4:O33" si="8">IF(N4=0,"",IF(N4=CZ4,$BY$1,IF(N4=BW4,$AV$1,IF(N4=AT4,$S$1,""))))</f>
        <v>2024 3rd Domestic Trial</v>
      </c>
      <c r="P4" s="8">
        <f t="shared" ref="P4:P33" si="9">IF(MAX(DB4:DC4)&gt;0,MAX(DB4:DC4),"")</f>
        <v>3.0000000000000142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2024 World Cup POR (July 7)</v>
      </c>
      <c r="S4" s="19">
        <v>19.2</v>
      </c>
      <c r="T4" s="19">
        <v>10</v>
      </c>
      <c r="U4" s="19">
        <v>0.6</v>
      </c>
      <c r="V4" s="19">
        <v>0.6</v>
      </c>
      <c r="W4" s="19">
        <v>17.399999999999999</v>
      </c>
      <c r="X4" s="19">
        <v>5.0999999999999996</v>
      </c>
      <c r="Y4" s="19">
        <v>0</v>
      </c>
      <c r="Z4" s="19">
        <v>0.3</v>
      </c>
      <c r="AA4" s="19">
        <v>18.600000000000001</v>
      </c>
      <c r="AB4" s="19">
        <v>9.3000000000000007</v>
      </c>
      <c r="AC4" s="19">
        <v>0.8</v>
      </c>
      <c r="AD4" s="19">
        <v>0.3</v>
      </c>
      <c r="AE4" s="19">
        <v>19</v>
      </c>
      <c r="AF4" s="19">
        <v>10</v>
      </c>
      <c r="AG4" s="19">
        <v>0.8</v>
      </c>
      <c r="AH4" s="19">
        <v>0.6</v>
      </c>
      <c r="AI4" s="19">
        <v>18.399999999999999</v>
      </c>
      <c r="AJ4" s="19">
        <v>10.8</v>
      </c>
      <c r="AK4" s="19">
        <v>1</v>
      </c>
      <c r="AL4" s="19">
        <v>0.6</v>
      </c>
      <c r="AM4" s="27"/>
      <c r="AN4" s="40">
        <f t="shared" ref="AN4:AN33" si="10">IF(SUM(T4,X4)&gt;0,SUM(T4,X4),"")</f>
        <v>15.1</v>
      </c>
      <c r="AO4" s="40">
        <f t="shared" ref="AO4:AO33" si="11">IF(SUM(S4:T4,V4:X4,Z4)-U4-Y4&gt;0,SUM(S4:T4,V4:X4,Z4)-U4-Y4,"")</f>
        <v>52</v>
      </c>
      <c r="AP4" s="40">
        <f t="shared" ref="AP4:AP33" si="12">IF(SUM(AA4:AB4,AD4)-AC4&gt;0,SUM(AA4:AB4,AD4)-AC4,"")</f>
        <v>27.400000000000002</v>
      </c>
      <c r="AQ4" s="40">
        <f t="shared" ref="AQ4:AQ33" si="13">IF(SUM(T4,X4,AB4)&gt;0,SUM(T4,X4,AB4),"")</f>
        <v>24.4</v>
      </c>
      <c r="AR4" s="40">
        <f t="shared" ref="AR4:AR33" si="14">IF(SUM(AO4,AP4)&gt;0,SUM(AO4,AP4),"")</f>
        <v>79.400000000000006</v>
      </c>
      <c r="AS4" s="40">
        <f t="shared" ref="AS4:AS33" si="15">IF(SUM(AF4,AJ4)&gt;0,SUM(AF4,AJ4),"")</f>
        <v>20.8</v>
      </c>
      <c r="AT4" s="40">
        <f t="shared" ref="AT4:AT33" si="16">IF(SUM(AE4:AF4,AH4:AJ4,AL4)-SUM(AG4,AK4)&gt;0,SUM(AE4:AF4,AH4:AJ4,AL4)-SUM(AG4,AK4),"")</f>
        <v>57.6</v>
      </c>
      <c r="AU4" s="40">
        <f t="shared" ref="AU4:AU33" si="17">IF(SUM(AO4,AP4,AT4)&gt;0,SUM(AO4,AP4,AT4),"")</f>
        <v>137</v>
      </c>
      <c r="AV4" s="18">
        <v>19.399999999999999</v>
      </c>
      <c r="AW4" s="18">
        <v>10</v>
      </c>
      <c r="AX4" s="18">
        <v>0</v>
      </c>
      <c r="AY4" s="18">
        <v>0.6</v>
      </c>
      <c r="AZ4" s="18">
        <v>18.7</v>
      </c>
      <c r="BA4" s="18">
        <v>9.6</v>
      </c>
      <c r="BB4" s="18">
        <v>0.8</v>
      </c>
      <c r="BC4" s="18">
        <v>0.3</v>
      </c>
      <c r="BD4" s="18">
        <v>18.399999999999999</v>
      </c>
      <c r="BE4" s="18">
        <v>9.3000000000000007</v>
      </c>
      <c r="BF4" s="18">
        <v>0</v>
      </c>
      <c r="BG4" s="18">
        <v>0.3</v>
      </c>
      <c r="BH4" s="18">
        <v>19.2</v>
      </c>
      <c r="BI4" s="18">
        <v>10</v>
      </c>
      <c r="BJ4" s="18">
        <v>0.2</v>
      </c>
      <c r="BK4" s="18">
        <v>0.6</v>
      </c>
      <c r="BL4" s="18">
        <v>18.399999999999999</v>
      </c>
      <c r="BM4" s="18">
        <v>10.8</v>
      </c>
      <c r="BN4" s="18">
        <v>0</v>
      </c>
      <c r="BO4" s="18">
        <v>0.3</v>
      </c>
      <c r="BP4" s="28"/>
      <c r="BQ4" s="11">
        <f t="shared" ref="BQ4:BQ33" si="18">IF(SUM(AW4,BA4)&gt;0,SUM(AW4,BA4),"")</f>
        <v>19.600000000000001</v>
      </c>
      <c r="BR4" s="11">
        <f t="shared" ref="BR4:BR33" si="19">IF(SUM(AV4:AW4,AY4:BA4,BC4)-AX4-BB4&gt;0,SUM(AV4:AW4,AY4:BA4,BC4)-AX4-BB4,"")</f>
        <v>57.800000000000004</v>
      </c>
      <c r="BS4" s="11">
        <f t="shared" ref="BS4:BS33" si="20">IF(SUM(BD4:BE4,BG4)-BF4&gt;0,SUM(BD4:BE4,BG4)-BF4,"")</f>
        <v>28</v>
      </c>
      <c r="BT4" s="11">
        <f t="shared" ref="BT4:BT33" si="21">IF(SUM(AW4,BA4,BE4)&gt;0,SUM(AW4,BA4,BE4),"")</f>
        <v>28.900000000000002</v>
      </c>
      <c r="BU4" s="11">
        <f t="shared" ref="BU4:BU33" si="22">IF(SUM(BR4,BS4)&gt;0,SUM(BR4,BS4),"")</f>
        <v>85.800000000000011</v>
      </c>
      <c r="BV4" s="11">
        <f t="shared" ref="BV4:BV33" si="23">IF(SUM(BI4,BM4)&gt;0,SUM(BI4,BM4),"")</f>
        <v>20.8</v>
      </c>
      <c r="BW4" s="11">
        <f t="shared" ref="BW4:BW33" si="24">IF(SUM(BH4:BI4,BK4:BM4,BO4)-SUM(BJ4,BN4)&gt;0,SUM(BH4:BI4,BK4:BM4,BO4)-SUM(BJ4,BN4),"")</f>
        <v>59.099999999999994</v>
      </c>
      <c r="BX4" s="11">
        <f t="shared" ref="BX4:BX33" si="25">IF(SUM(BR4,BS4,BW4)&gt;0,SUM(BR4,BS4,BW4),"")</f>
        <v>144.9</v>
      </c>
      <c r="BY4" s="19">
        <v>18.899999999999999</v>
      </c>
      <c r="BZ4" s="19">
        <v>10.1</v>
      </c>
      <c r="CA4" s="19">
        <v>0</v>
      </c>
      <c r="CB4" s="19">
        <v>0.6</v>
      </c>
      <c r="CC4" s="19">
        <v>0</v>
      </c>
      <c r="CD4" s="19">
        <v>0</v>
      </c>
      <c r="CE4" s="19">
        <v>0</v>
      </c>
      <c r="CF4" s="19">
        <v>0</v>
      </c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27"/>
      <c r="CT4" s="40">
        <f t="shared" ref="CT4:CT33" si="26">IF(SUM(BZ4,CD4)&gt;0,SUM(BZ4,CD4),"")</f>
        <v>10.1</v>
      </c>
      <c r="CU4" s="40">
        <f t="shared" ref="CU4:CU33" si="27">IF(SUM(BY4:BZ4,CB4:CD4,CF4)-CA4-CE4&gt;0,SUM(BY4:BZ4,CB4:CD4,CF4)-CA4-CE4,"")</f>
        <v>29.6</v>
      </c>
      <c r="CV4" s="40" t="str">
        <f t="shared" ref="CV4:CV33" si="28">IF(SUM(CG4:CH4,CJ4)-CI4&gt;0,SUM(CG4:CH4,CJ4)-CI4,"")</f>
        <v/>
      </c>
      <c r="CW4" s="40">
        <f t="shared" ref="CW4:CW33" si="29">IF(SUM(BZ4,CD4,CH4)&gt;0,SUM(BZ4,CD4,CH4),"")</f>
        <v>10.1</v>
      </c>
      <c r="CX4" s="40">
        <f t="shared" ref="CX4:CX33" si="30">IF(SUM(CU4,CV4)&gt;0,SUM(CU4,CV4),"")</f>
        <v>29.6</v>
      </c>
      <c r="CY4" s="40" t="str">
        <f t="shared" ref="CY4:CY33" si="31">IF(SUM(CL4,CP4)&gt;0,SUM(CL4,CP4),"")</f>
        <v/>
      </c>
      <c r="CZ4" s="40" t="str">
        <f t="shared" ref="CZ4:CZ33" si="32">IF(SUM(CK4:CL4,CN4:CP4,CR4)-SUM(CM4,CQ4)&gt;0,SUM(CK4:CL4,CN4:CP4,CR4)-SUM(CM4,CQ4),"")</f>
        <v/>
      </c>
      <c r="DA4" s="40">
        <f t="shared" ref="DA4:DA33" si="33">IF(SUM(CU4,CV4,CZ4)&gt;0,SUM(CU4,CV4,CZ4),"")</f>
        <v>29.6</v>
      </c>
      <c r="DB4" s="51">
        <f t="shared" ref="DB4:DB33" si="34">IF(MAX(DY4,FA4,GC4,HE4,IG4,JI4,KK4,LM4,MO4,NQ4,OS4,PU4,QW4,RY4,TA4)-IF(L4="",0,L4)&gt;0.001,MAX(DY4,FA4,GC4,HE4,IG4,JI4,KK4,LM4,MO4,NQ4,OS4,PU4,QW4,RY4,TA4)-IF(L4="",0,L4),"")</f>
        <v>3.0000000000000142</v>
      </c>
      <c r="DC4" s="51" t="str">
        <f t="shared" ref="DC4:DC33" si="35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33" si="36">IF(SUM(DE4,DI4)&gt;0,SUM(DE4,DI4),"")</f>
        <v/>
      </c>
      <c r="DY4" s="40" t="str">
        <f t="shared" ref="DY4:DY33" si="37">IF(SUM(DD4:DE4,DG4:DI4,DK4)-DF4-DJ4&gt;0,SUM(DD4:DE4,DG4:DI4,DK4)-DF4-DJ4,"")</f>
        <v/>
      </c>
      <c r="DZ4" s="40" t="str">
        <f t="shared" ref="DZ4:DZ33" si="38">IF(SUM(DL4:DM4,DO4)-DN4&gt;0,SUM(DL4:DM4,DO4)-DN4,"")</f>
        <v/>
      </c>
      <c r="EA4" s="40" t="str">
        <f t="shared" ref="EA4:EA33" si="39">IF(SUM(DE4,DI4,DM4)&gt;0,SUM(DE4,DI4,DM4),"")</f>
        <v/>
      </c>
      <c r="EB4" s="40" t="str">
        <f t="shared" ref="EB4:EB33" si="40">IF(SUM(DY4,DZ4)&gt;0,SUM(DY4,DZ4),"")</f>
        <v/>
      </c>
      <c r="EC4" s="40" t="str">
        <f t="shared" ref="EC4:EC33" si="41">IF(SUM(DQ4,DU4)&gt;0,SUM(DQ4,DU4),"")</f>
        <v/>
      </c>
      <c r="ED4" s="40" t="str">
        <f t="shared" ref="ED4:ED33" si="42">IF(SUM(DP4:DQ4,DS4:DU4,DW4)-SUM(DR4,DV4)&gt;0,SUM(DP4:DQ4,DS4:DU4,DW4)-SUM(DR4,DV4),"")</f>
        <v/>
      </c>
      <c r="EE4" s="40" t="str">
        <f t="shared" ref="EE4:EE33" si="43"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33" si="44">IF(SUM(EG4,EK4)&gt;0,SUM(EG4,EK4),"")</f>
        <v/>
      </c>
      <c r="FA4" s="11" t="str">
        <f t="shared" ref="FA4:FA33" si="45">IF(SUM(EF4:EG4,EI4:EK4,EM4)-EH4-EL4&gt;0,SUM(EF4:EG4,EI4:EK4,EM4)-EH4-EL4,"")</f>
        <v/>
      </c>
      <c r="FB4" s="11" t="str">
        <f t="shared" ref="FB4:FB33" si="46">IF(SUM(EN4:EO4,EQ4)-EP4&gt;0,SUM(EN4:EO4,EQ4)-EP4,"")</f>
        <v/>
      </c>
      <c r="FC4" s="11" t="str">
        <f t="shared" ref="FC4:FC33" si="47">IF(SUM(EG4,EK4,EO4)&gt;0,SUM(EG4,EK4,EO4),"")</f>
        <v/>
      </c>
      <c r="FD4" s="11" t="str">
        <f t="shared" ref="FD4:FD33" si="48">IF(SUM(FA4,FB4)&gt;0,SUM(FA4,FB4),"")</f>
        <v/>
      </c>
      <c r="FE4" s="11" t="str">
        <f t="shared" ref="FE4:FE33" si="49">IF(SUM(ES4,EW4)&gt;0,SUM(ES4,EW4),"")</f>
        <v/>
      </c>
      <c r="FF4" s="11" t="str">
        <f t="shared" ref="FF4:FF33" si="50">IF(SUM(ER4:ES4,EU4:EW4,EY4)-SUM(ET4,EX4)&gt;0,SUM(ER4:ES4,EU4:EW4,EY4)-SUM(ET4,EX4),"")</f>
        <v/>
      </c>
      <c r="FG4" s="11" t="str">
        <f t="shared" ref="FG4:FG33" si="51"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 t="shared" ref="GB4:GB33" si="52">IF(SUM(FI4,FM4)&gt;0,SUM(FI4,FM4),"")</f>
        <v/>
      </c>
      <c r="GC4" s="40" t="str">
        <f t="shared" ref="GC4:GC33" si="53">IF(SUM(FH4:FI4,FK4:FM4,FO4)-FJ4-FN4&gt;0,SUM(FH4:FI4,FK4:FM4,FO4)-FJ4-FN4,"")</f>
        <v/>
      </c>
      <c r="GD4" s="40" t="str">
        <f t="shared" ref="GD4:GD33" si="54">IF(SUM(FP4:FQ4,FS4)-FR4&gt;0,SUM(FP4:FQ4,FS4)-FR4,"")</f>
        <v/>
      </c>
      <c r="GE4" s="40" t="str">
        <f t="shared" ref="GE4:GE33" si="55">IF(SUM(FI4,FM4,FQ4)&gt;0,SUM(FI4,FM4,FQ4),"")</f>
        <v/>
      </c>
      <c r="GF4" s="40" t="str">
        <f t="shared" ref="GF4:GF33" si="56">IF(SUM(GC4,GD4)&gt;0,SUM(GC4,GD4),"")</f>
        <v/>
      </c>
      <c r="GG4" s="40" t="str">
        <f t="shared" ref="GG4:GG33" si="57">IF(SUM(FU4,FY4)&gt;0,SUM(FU4,FY4),"")</f>
        <v/>
      </c>
      <c r="GH4" s="40" t="str">
        <f t="shared" ref="GH4:GH33" si="58">IF(SUM(FT4:FU4,FW4:FY4,GA4)-SUM(FV4,FZ4)&gt;0,SUM(FT4:FU4,FW4:FY4,GA4)-SUM(FV4,FZ4),"")</f>
        <v/>
      </c>
      <c r="GI4" s="40" t="str">
        <f t="shared" ref="GI4:GI33" si="59">IF(SUM(GC4,GD4,GH4)&gt;0,SUM(GC4,GD4,GH4),"")</f>
        <v/>
      </c>
      <c r="GJ4" s="18">
        <v>18.8</v>
      </c>
      <c r="GK4" s="18">
        <v>8.4</v>
      </c>
      <c r="GL4" s="18">
        <v>0.8</v>
      </c>
      <c r="GM4" s="18">
        <v>0</v>
      </c>
      <c r="GN4" s="18">
        <v>18.600000000000001</v>
      </c>
      <c r="GO4" s="18">
        <v>10.8</v>
      </c>
      <c r="GP4" s="18">
        <v>0.8</v>
      </c>
      <c r="GQ4" s="18">
        <v>0</v>
      </c>
      <c r="GR4" s="18"/>
      <c r="GS4" s="18"/>
      <c r="GT4" s="18"/>
      <c r="GU4" s="18"/>
      <c r="GV4" s="18">
        <v>16.8</v>
      </c>
      <c r="GW4" s="18">
        <v>9.5</v>
      </c>
      <c r="GX4" s="18">
        <v>1</v>
      </c>
      <c r="GY4" s="18">
        <v>0</v>
      </c>
      <c r="GZ4" s="18"/>
      <c r="HA4" s="18"/>
      <c r="HB4" s="18"/>
      <c r="HC4" s="18"/>
      <c r="HD4" s="11">
        <f t="shared" ref="HD4:HD33" si="60">IF(SUM(GK4,GO4)&gt;0,SUM(GK4,GO4),"")</f>
        <v>19.200000000000003</v>
      </c>
      <c r="HE4" s="11">
        <f t="shared" ref="HE4:HE33" si="61">IF(SUM(GJ4:GK4,GM4:GO4,GQ4)-GL4-GP4&gt;0,SUM(GJ4:GK4,GM4:GO4,GQ4)-GL4-GP4,"")</f>
        <v>55.000000000000014</v>
      </c>
      <c r="HF4" s="11" t="str">
        <f t="shared" ref="HF4:HF33" si="62">IF(SUM(GR4:GS4,GU4)-GT4&gt;0,SUM(GR4:GS4,GU4)-GT4,"")</f>
        <v/>
      </c>
      <c r="HG4" s="11">
        <f t="shared" ref="HG4:HG33" si="63">IF(SUM(GK4,GO4,GS4)&gt;0,SUM(GK4,GO4,GS4),"")</f>
        <v>19.200000000000003</v>
      </c>
      <c r="HH4" s="11">
        <f t="shared" ref="HH4:HH33" si="64">IF(SUM(HE4,HF4)&gt;0,SUM(HE4,HF4),"")</f>
        <v>55.000000000000014</v>
      </c>
      <c r="HI4" s="11">
        <f t="shared" ref="HI4:HI33" si="65">IF(SUM(GW4,HA4)&gt;0,SUM(GW4,HA4),"")</f>
        <v>9.5</v>
      </c>
      <c r="HJ4" s="11">
        <f t="shared" ref="HJ4:HJ33" si="66">IF(SUM(GV4:GW4,GY4:HA4,HC4)-SUM(GX4,HB4)&gt;0,SUM(GV4:GW4,GY4:HA4,HC4)-SUM(GX4,HB4),"")</f>
        <v>25.3</v>
      </c>
      <c r="HK4" s="11">
        <f t="shared" ref="HK4:HK33" si="67">IF(SUM(HE4,HF4,HJ4)&gt;0,SUM(HE4,HF4,HJ4),"")</f>
        <v>80.300000000000011</v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33" si="68">IF(SUM(HM4,HQ4)&gt;0,SUM(HM4,HQ4),"")</f>
        <v/>
      </c>
      <c r="IG4" s="40" t="str">
        <f t="shared" ref="IG4:IG33" si="69">IF(SUM(HL4:HM4,HO4:HQ4,HS4)-HN4-HR4&gt;0,SUM(HL4:HM4,HO4:HQ4,HS4)-HN4-HR4,"")</f>
        <v/>
      </c>
      <c r="IH4" s="40" t="str">
        <f t="shared" ref="IH4:IH33" si="70">IF(SUM(HT4:HU4,HW4)-HV4&gt;0,SUM(HT4:HU4,HW4)-HV4,"")</f>
        <v/>
      </c>
      <c r="II4" s="40" t="str">
        <f t="shared" ref="II4:II33" si="71">IF(SUM(HM4,HQ4,HU4)&gt;0,SUM(HM4,HQ4,HU4),"")</f>
        <v/>
      </c>
      <c r="IJ4" s="40" t="str">
        <f t="shared" ref="IJ4:IJ33" si="72">IF(SUM(IG4,IH4)&gt;0,SUM(IG4,IH4),"")</f>
        <v/>
      </c>
      <c r="IK4" s="40" t="str">
        <f t="shared" ref="IK4:IK33" si="73">IF(SUM(HY4,IC4)&gt;0,SUM(HY4,IC4),"")</f>
        <v/>
      </c>
      <c r="IL4" s="40" t="str">
        <f t="shared" ref="IL4:IL33" si="74">IF(SUM(HX4:HY4,IA4:IC4,IE4)-SUM(HZ4,ID4)&gt;0,SUM(HX4:HY4,IA4:IC4,IE4)-SUM(HZ4,ID4),"")</f>
        <v/>
      </c>
      <c r="IM4" s="40" t="str">
        <f t="shared" ref="IM4:IM33" si="75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33" si="76">IF(SUM(IO4,IS4)&gt;0,SUM(IO4,IS4),"")</f>
        <v/>
      </c>
      <c r="JI4" s="11" t="str">
        <f t="shared" ref="JI4:JI33" si="77">IF(SUM(IN4:IO4,IQ4:IS4,IU4)-IP4-IT4&gt;0,SUM(IN4:IO4,IQ4:IS4,IU4)-IP4-IT4,"")</f>
        <v/>
      </c>
      <c r="JJ4" s="11" t="str">
        <f t="shared" ref="JJ4:JJ33" si="78">IF(SUM(IV4:IW4,IY4)-IX4&gt;0,SUM(IV4:IW4,IY4)-IX4,"")</f>
        <v/>
      </c>
      <c r="JK4" s="11" t="str">
        <f t="shared" ref="JK4:JK33" si="79">IF(SUM(IO4,IS4,IW4)&gt;0,SUM(IO4,IS4,IW4),"")</f>
        <v/>
      </c>
      <c r="JL4" s="11" t="str">
        <f t="shared" ref="JL4:JL33" si="80">IF(SUM(JI4,JJ4)&gt;0,SUM(JI4,JJ4),"")</f>
        <v/>
      </c>
      <c r="JM4" s="11" t="str">
        <f t="shared" ref="JM4:JM33" si="81">IF(SUM(JA4,JE4)&gt;0,SUM(JA4,JE4),"")</f>
        <v/>
      </c>
      <c r="JN4" s="11" t="str">
        <f t="shared" ref="JN4:JN33" si="82">IF(SUM(IZ4:JA4,JC4:JE4,JG4)-SUM(JB4,JF4)&gt;0,SUM(IZ4:JA4,JC4:JE4,JG4)-SUM(JB4,JF4),"")</f>
        <v/>
      </c>
      <c r="JO4" s="11" t="str">
        <f t="shared" ref="JO4:JO33" si="83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33" si="84">IF(SUM(JQ4,JU4)&gt;0,SUM(JQ4,JU4),"")</f>
        <v/>
      </c>
      <c r="KK4" s="40" t="str">
        <f t="shared" ref="KK4:KK33" si="85">IF(SUM(JP4:JQ4,JS4:JU4,JW4)-JR4-JV4&gt;0,SUM(JP4:JQ4,JS4:JU4,JW4)-JR4-JV4,"")</f>
        <v/>
      </c>
      <c r="KL4" s="40" t="str">
        <f t="shared" ref="KL4:KL33" si="86">IF(SUM(JX4:JY4,KA4)-JZ4&gt;0,SUM(JX4:JY4,KA4)-JZ4,"")</f>
        <v/>
      </c>
      <c r="KM4" s="40" t="str">
        <f t="shared" ref="KM4:KM33" si="87">IF(SUM(JQ4,JU4,JY4)&gt;0,SUM(JQ4,JU4,JY4),"")</f>
        <v/>
      </c>
      <c r="KN4" s="40" t="str">
        <f t="shared" ref="KN4:KN33" si="88">IF(SUM(KK4,KL4)&gt;0,SUM(KK4,KL4),"")</f>
        <v/>
      </c>
      <c r="KO4" s="40" t="str">
        <f t="shared" ref="KO4:KO33" si="89">IF(SUM(KC4,KG4)&gt;0,SUM(KC4,KG4),"")</f>
        <v/>
      </c>
      <c r="KP4" s="40" t="str">
        <f t="shared" ref="KP4:KP33" si="90">IF(SUM(KB4:KC4,KE4:KG4,KI4)-SUM(KD4,KH4)&gt;0,SUM(KB4:KC4,KE4:KG4,KI4)-SUM(KD4,KH4),"")</f>
        <v/>
      </c>
      <c r="KQ4" s="40" t="str">
        <f t="shared" ref="KQ4:KQ33" si="91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33" si="92">IF(SUM(KS4,KW4)&gt;0,SUM(KS4,KW4),"")</f>
        <v/>
      </c>
      <c r="LM4" s="11" t="str">
        <f t="shared" ref="LM4:LM33" si="93">IF(SUM(KR4:KS4,KU4:KW4,KY4)-KT4-KX4&gt;0,SUM(KR4:KS4,KU4:KW4,KY4)-KT4-KX4,"")</f>
        <v/>
      </c>
      <c r="LN4" s="11" t="str">
        <f t="shared" ref="LN4:LN33" si="94">IF(SUM(KZ4:LA4,LC4)-LB4&gt;0,SUM(KZ4:LA4,LC4)-LB4,"")</f>
        <v/>
      </c>
      <c r="LO4" s="11" t="str">
        <f t="shared" ref="LO4:LO33" si="95">IF(SUM(KS4,KW4,LA4)&gt;0,SUM(KS4,KW4,LA4),"")</f>
        <v/>
      </c>
      <c r="LP4" s="11" t="str">
        <f t="shared" ref="LP4:LP33" si="96">IF(SUM(LM4,LN4)&gt;0,SUM(LM4,LN4),"")</f>
        <v/>
      </c>
      <c r="LQ4" s="11" t="str">
        <f t="shared" ref="LQ4:LQ33" si="97">IF(SUM(LE4,LI4)&gt;0,SUM(LE4,LI4),"")</f>
        <v/>
      </c>
      <c r="LR4" s="11" t="str">
        <f t="shared" ref="LR4:LR33" si="98">IF(SUM(LD4:LE4,LG4:LI4,LK4)-SUM(LF4,LJ4)&gt;0,SUM(LD4:LE4,LG4:LI4,LK4)-SUM(LF4,LJ4),"")</f>
        <v/>
      </c>
      <c r="LS4" s="11" t="str">
        <f t="shared" ref="LS4:LS33" si="99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33" si="100">IF(SUM(LU4,LY4)&gt;0,SUM(LU4,LY4),"")</f>
        <v/>
      </c>
      <c r="MO4" s="40" t="str">
        <f t="shared" ref="MO4:MO33" si="101">IF(SUM(LT4:LU4,LW4:LY4,MA4)-LV4-LZ4&gt;0,SUM(LT4:LU4,LW4:LY4,MA4)-LV4-LZ4,"")</f>
        <v/>
      </c>
      <c r="MP4" s="40" t="str">
        <f t="shared" ref="MP4:MP33" si="102">IF(SUM(MB4:MC4,ME4)-MD4&gt;0,SUM(MB4:MC4,ME4)-MD4,"")</f>
        <v/>
      </c>
      <c r="MQ4" s="40" t="str">
        <f t="shared" ref="MQ4:MQ33" si="103">IF(SUM(LU4,LY4,MC4)&gt;0,SUM(LU4,LY4,MC4),"")</f>
        <v/>
      </c>
      <c r="MR4" s="40" t="str">
        <f t="shared" ref="MR4:MR33" si="104">IF(SUM(MO4,MP4)&gt;0,SUM(MO4,MP4),"")</f>
        <v/>
      </c>
      <c r="MS4" s="40" t="str">
        <f t="shared" ref="MS4:MS33" si="105">IF(SUM(MG4,MK4)&gt;0,SUM(MG4,MK4),"")</f>
        <v/>
      </c>
      <c r="MT4" s="40" t="str">
        <f t="shared" ref="MT4:MT33" si="106">IF(SUM(MF4:MG4,MI4:MK4,MM4)-SUM(MH4,ML4)&gt;0,SUM(MF4:MG4,MI4:MK4,MM4)-SUM(MH4,ML4),"")</f>
        <v/>
      </c>
      <c r="MU4" s="40" t="str">
        <f t="shared" ref="MU4:MU33" si="107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33" si="108">IF(SUM(MW4,NA4)&gt;0,SUM(MW4,NA4),"")</f>
        <v/>
      </c>
      <c r="NQ4" s="11" t="str">
        <f t="shared" ref="NQ4:NQ33" si="109">IF(SUM(MV4:MW4,MY4:NA4,NC4)-MX4-NB4&gt;0,SUM(MV4:MW4,MY4:NA4,NC4)-MX4-NB4,"")</f>
        <v/>
      </c>
      <c r="NR4" s="11" t="str">
        <f t="shared" ref="NR4:NR33" si="110">IF(SUM(ND4:NE4,NG4)-NF4&gt;0,SUM(ND4:NE4,NG4)-NF4,"")</f>
        <v/>
      </c>
      <c r="NS4" s="11" t="str">
        <f t="shared" ref="NS4:NS33" si="111">IF(SUM(MW4,NA4,NE4)&gt;0,SUM(MW4,NA4,NE4),"")</f>
        <v/>
      </c>
      <c r="NT4" s="11" t="str">
        <f t="shared" ref="NT4:NT33" si="112">IF(SUM(NQ4,NR4)&gt;0,SUM(NQ4,NR4),"")</f>
        <v/>
      </c>
      <c r="NU4" s="11" t="str">
        <f t="shared" ref="NU4:NU33" si="113">IF(SUM(NI4,NM4)&gt;0,SUM(NI4,NM4),"")</f>
        <v/>
      </c>
      <c r="NV4" s="11" t="str">
        <f t="shared" ref="NV4:NV33" si="114">IF(SUM(NH4:NI4,NK4:NM4,NO4)-SUM(NJ4,NN4)&gt;0,SUM(NH4:NI4,NK4:NM4,NO4)-SUM(NJ4,NN4),"")</f>
        <v/>
      </c>
      <c r="NW4" s="11" t="str">
        <f t="shared" ref="NW4:NW33" si="115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33" si="116">IF(SUM(NY4,OC4)&gt;0,SUM(NY4,OC4),"")</f>
        <v/>
      </c>
      <c r="OS4" s="40" t="str">
        <f t="shared" ref="OS4:OS33" si="117">IF(SUM(NX4:NY4,OA4:OC4,OE4)-NZ4-OD4&gt;0,SUM(NX4:NY4,OA4:OC4,OE4)-NZ4-OD4,"")</f>
        <v/>
      </c>
      <c r="OT4" s="40" t="str">
        <f t="shared" ref="OT4:OT33" si="118">IF(SUM(OF4:OG4,OI4)-OH4&gt;0,SUM(OF4:OG4,OI4)-OH4,"")</f>
        <v/>
      </c>
      <c r="OU4" s="40" t="str">
        <f t="shared" ref="OU4:OU33" si="119">IF(SUM(NY4,OC4,OG4)&gt;0,SUM(NY4,OC4,OG4),"")</f>
        <v/>
      </c>
      <c r="OV4" s="40" t="str">
        <f t="shared" ref="OV4:OV33" si="120">IF(SUM(OS4,OT4)&gt;0,SUM(OS4,OT4),"")</f>
        <v/>
      </c>
      <c r="OW4" s="40" t="str">
        <f t="shared" ref="OW4:OW33" si="121">IF(SUM(OK4,OO4)&gt;0,SUM(OK4,OO4),"")</f>
        <v/>
      </c>
      <c r="OX4" s="40" t="str">
        <f t="shared" ref="OX4:OX33" si="122">IF(SUM(OJ4:OK4,OM4:OO4,OQ4)-SUM(OL4,OP4)&gt;0,SUM(OJ4:OK4,OM4:OO4,OQ4)-SUM(OL4,OP4),"")</f>
        <v/>
      </c>
      <c r="OY4" s="40" t="str">
        <f t="shared" ref="OY4:OY33" si="123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33" si="124">IF(SUM(PA4,PE4)&gt;0,SUM(PA4,PE4),"")</f>
        <v/>
      </c>
      <c r="PU4" s="11" t="str">
        <f t="shared" ref="PU4:PU33" si="125">IF(SUM(OZ4:PA4,PC4:PE4,PG4)-PB4-PF4&gt;0,SUM(OZ4:PA4,PC4:PE4,PG4)-PB4-PF4,"")</f>
        <v/>
      </c>
      <c r="PV4" s="11" t="str">
        <f t="shared" ref="PV4:PV33" si="126">IF(SUM(PH4:PI4,PK4)-PJ4&gt;0,SUM(PH4:PI4,PK4)-PJ4,"")</f>
        <v/>
      </c>
      <c r="PW4" s="11" t="str">
        <f t="shared" ref="PW4:PW33" si="127">IF(SUM(PA4,PE4,PI4)&gt;0,SUM(PA4,PE4,PI4),"")</f>
        <v/>
      </c>
      <c r="PX4" s="11" t="str">
        <f t="shared" ref="PX4:PX33" si="128">IF(SUM(PU4,PV4)&gt;0,SUM(PU4,PV4),"")</f>
        <v/>
      </c>
      <c r="PY4" s="11" t="str">
        <f t="shared" ref="PY4:PY33" si="129">IF(SUM(PM4,PQ4)&gt;0,SUM(PM4,PQ4),"")</f>
        <v/>
      </c>
      <c r="PZ4" s="11" t="str">
        <f t="shared" ref="PZ4:PZ33" si="130">IF(SUM(PL4:PM4,PO4:PQ4,PS4)-SUM(PN4,PR4)&gt;0,SUM(PL4:PM4,PO4:PQ4,PS4)-SUM(PN4,PR4),"")</f>
        <v/>
      </c>
      <c r="QA4" s="11" t="str">
        <f t="shared" ref="QA4:QA33" si="131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33" si="132">IF(SUM(QC4,QG4)&gt;0,SUM(QC4,QG4),"")</f>
        <v/>
      </c>
      <c r="QW4" s="40" t="str">
        <f t="shared" ref="QW4:QW33" si="133">IF(SUM(QB4:QC4,QE4:QG4,QI4)-QD4-QH4&gt;0,SUM(QB4:QC4,QE4:QG4,QI4)-QD4-QH4,"")</f>
        <v/>
      </c>
      <c r="QX4" s="40" t="str">
        <f t="shared" ref="QX4:QX33" si="134">IF(SUM(QJ4:QK4,QM4)-QL4&gt;0,SUM(QJ4:QK4,QM4)-QL4,"")</f>
        <v/>
      </c>
      <c r="QY4" s="40" t="str">
        <f t="shared" ref="QY4:QY33" si="135">IF(SUM(QC4,QG4,QK4)&gt;0,SUM(QC4,QG4,QK4),"")</f>
        <v/>
      </c>
      <c r="QZ4" s="40" t="str">
        <f t="shared" ref="QZ4:QZ33" si="136">IF(SUM(QW4,QX4)&gt;0,SUM(QW4,QX4),"")</f>
        <v/>
      </c>
      <c r="RA4" s="40" t="str">
        <f t="shared" ref="RA4:RA33" si="137">IF(SUM(QO4,QS4)&gt;0,SUM(QO4,QS4),"")</f>
        <v/>
      </c>
      <c r="RB4" s="40" t="str">
        <f t="shared" ref="RB4:RB33" si="138">IF(SUM(QN4:QO4,QQ4:QS4,QU4)-SUM(QP4,QT4)&gt;0,SUM(QN4:QO4,QQ4:QS4,QU4)-SUM(QP4,QT4),"")</f>
        <v/>
      </c>
      <c r="RC4" s="40" t="str">
        <f t="shared" ref="RC4:RC33" si="139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33" si="140">IF(SUM(RE4,RI4)&gt;0,SUM(RE4,RI4),"")</f>
        <v/>
      </c>
      <c r="RY4" s="11" t="str">
        <f t="shared" ref="RY4:RY33" si="141">IF(SUM(RD4:RE4,RG4:RI4,RK4)-RF4-RJ4&gt;0,SUM(RD4:RE4,RG4:RI4,RK4)-RF4-RJ4,"")</f>
        <v/>
      </c>
      <c r="RZ4" s="11" t="str">
        <f t="shared" ref="RZ4:RZ33" si="142">IF(SUM(RL4:RM4,RO4)-RN4&gt;0,SUM(RL4:RM4,RO4)-RN4,"")</f>
        <v/>
      </c>
      <c r="SA4" s="11" t="str">
        <f t="shared" ref="SA4:SA33" si="143">IF(SUM(RE4,RI4,RM4)&gt;0,SUM(RE4,RI4,RM4),"")</f>
        <v/>
      </c>
      <c r="SB4" s="11" t="str">
        <f t="shared" ref="SB4:SB33" si="144">IF(SUM(RY4,RZ4)&gt;0,SUM(RY4,RZ4),"")</f>
        <v/>
      </c>
      <c r="SC4" s="11" t="str">
        <f t="shared" ref="SC4:SC33" si="145">IF(SUM(RQ4,RU4)&gt;0,SUM(RQ4,RU4),"")</f>
        <v/>
      </c>
      <c r="SD4" s="11" t="str">
        <f t="shared" ref="SD4:SD33" si="146">IF(SUM(RP4:RQ4,RS4:RU4,RW4)-SUM(RR4,RV4)&gt;0,SUM(RP4:RQ4,RS4:RU4,RW4)-SUM(RR4,RV4),"")</f>
        <v/>
      </c>
      <c r="SE4" s="11" t="str">
        <f t="shared" ref="SE4:SE33" si="147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33" si="148">IF(SUM(SG4,SK4)&gt;0,SUM(SG4,SK4),"")</f>
        <v/>
      </c>
      <c r="TA4" s="40" t="str">
        <f t="shared" ref="TA4:TA33" si="149">IF(SUM(SF4:SG4,SI4:SK4,SM4)-SH4-SL4&gt;0,SUM(SF4:SG4,SI4:SK4,SM4)-SH4-SL4,"")</f>
        <v/>
      </c>
      <c r="TB4" s="40" t="str">
        <f t="shared" ref="TB4:TB33" si="150">IF(SUM(SN4:SO4,SQ4)-SP4&gt;0,SUM(SN4:SO4,SQ4)-SP4,"")</f>
        <v/>
      </c>
      <c r="TC4" s="40" t="str">
        <f t="shared" ref="TC4:TC33" si="151">IF(SUM(SG4,SK4,SO4)&gt;0,SUM(SG4,SK4,SO4),"")</f>
        <v/>
      </c>
      <c r="TD4" s="40" t="str">
        <f t="shared" ref="TD4:TD33" si="152">IF(SUM(TA4,TB4)&gt;0,SUM(TA4,TB4),"")</f>
        <v/>
      </c>
      <c r="TE4" s="40" t="str">
        <f t="shared" ref="TE4:TE33" si="153">IF(SUM(SS4,SW4)&gt;0,SUM(SS4,SW4),"")</f>
        <v/>
      </c>
      <c r="TF4" s="40" t="str">
        <f t="shared" ref="TF4:TF33" si="154">IF(SUM(SR4:SS4,SU4:SW4,SY4)-SUM(ST4,SX4)&gt;0,SUM(SR4:SS4,SU4:SW4,SY4)-SUM(ST4,SX4),"")</f>
        <v/>
      </c>
      <c r="TG4" s="40" t="str">
        <f t="shared" ref="TG4:TG33" si="155">IF(SUM(TA4,TB4,TF4)&gt;0,SUM(TA4,TB4,TF4),"")</f>
        <v/>
      </c>
      <c r="TH4" s="26">
        <f t="shared" ref="TH4:TH33" si="156">IF($CS4="P",BY4,(BY4+AV4)/2)</f>
        <v>19.149999999999999</v>
      </c>
      <c r="TI4" s="26">
        <f t="shared" ref="TI4:TI33" si="157">IF($CS4="P",BZ4,(BZ4+AW4)/2)</f>
        <v>10.050000000000001</v>
      </c>
      <c r="TJ4" s="26">
        <f t="shared" ref="TJ4:TJ33" si="158">IF($CS4="P",CA4,(CA4+AX4)/2)</f>
        <v>0</v>
      </c>
      <c r="TK4" s="26">
        <f t="shared" ref="TK4:TK33" si="159">IF($CS4="P",CB4,(CB4+AY4)/2)</f>
        <v>0.6</v>
      </c>
      <c r="TL4" s="26">
        <f t="shared" ref="TL4:TL33" si="160">IF($CS4="P",CC4,(CC4+AZ4)/2)</f>
        <v>9.35</v>
      </c>
      <c r="TM4" s="26">
        <f t="shared" ref="TM4:TM33" si="161">IF($CS4="P",CD4,(CD4+BA4)/2)</f>
        <v>4.8</v>
      </c>
      <c r="TN4" s="26">
        <f t="shared" ref="TN4:TN33" si="162">IF($CS4="P",CE4,(CE4+BB4)/2)</f>
        <v>0.4</v>
      </c>
      <c r="TO4" s="26">
        <f t="shared" ref="TO4:TO33" si="163">IF($CS4="P",CF4,(CF4+BC4)/2)</f>
        <v>0.15</v>
      </c>
      <c r="TP4" s="26">
        <f t="shared" ref="TP4:TP33" si="164">IF($CS4="P",CG4,(CG4+BD4)/2)</f>
        <v>9.1999999999999993</v>
      </c>
      <c r="TQ4" s="26">
        <f t="shared" ref="TQ4:TQ33" si="165">IF($CS4="P",CH4,(CH4+BE4)/2)</f>
        <v>4.6500000000000004</v>
      </c>
      <c r="TR4" s="26">
        <f t="shared" ref="TR4:TR33" si="166">IF($CS4="P",CI4,(CI4+BF4)/2)</f>
        <v>0</v>
      </c>
      <c r="TS4" s="26">
        <f t="shared" ref="TS4:TS33" si="167">IF($CS4="P",CJ4,(CJ4+BG4)/2)</f>
        <v>0.15</v>
      </c>
      <c r="TT4" s="26">
        <f t="shared" ref="TT4:TT33" si="168">IF($CS4="P",CK4,(CK4+BH4)/2)</f>
        <v>9.6</v>
      </c>
      <c r="TU4" s="26">
        <f t="shared" ref="TU4:TU33" si="169">IF($CS4="P",CL4,(CL4+BI4)/2)</f>
        <v>5</v>
      </c>
      <c r="TV4" s="26">
        <f t="shared" ref="TV4:TV33" si="170">IF($CS4="P",CM4,(CM4+BJ4)/2)</f>
        <v>0.1</v>
      </c>
      <c r="TW4" s="26">
        <f t="shared" ref="TW4:TW33" si="171">IF($CS4="P",CN4,(CN4+BK4)/2)</f>
        <v>0.3</v>
      </c>
      <c r="TX4" s="26">
        <f t="shared" ref="TX4:TX33" si="172">IF($CS4="P",CO4,(CO4+BL4)/2)</f>
        <v>9.1999999999999993</v>
      </c>
      <c r="TY4" s="26">
        <f t="shared" ref="TY4:TY33" si="173">IF($CS4="P",CP4,(CP4+BM4)/2)</f>
        <v>5.4</v>
      </c>
      <c r="TZ4" s="26">
        <f t="shared" ref="TZ4:TZ33" si="174">IF($CS4="P",CQ4,(CQ4+BN4)/2)</f>
        <v>0</v>
      </c>
      <c r="UA4" s="26">
        <f t="shared" ref="UA4:UA33" si="175">IF($CS4="P",CR4,(CR4+BO4)/2)</f>
        <v>0.15</v>
      </c>
      <c r="UB4" s="28" t="s">
        <v>53</v>
      </c>
      <c r="UC4" s="11">
        <f t="shared" ref="UC4:UC33" si="176">IF(SUM(TI4,TM4)&gt;0,SUM(TI4,TM4),"")</f>
        <v>14.850000000000001</v>
      </c>
      <c r="UD4" s="11">
        <f t="shared" ref="UD4:UD33" si="177">IF(SUM(TH4:TI4,TK4:TM4,TO4)-TJ4-TN4&gt;0,SUM(TH4:TI4,TK4:TM4,TO4)-TJ4-TN4,"")</f>
        <v>43.699999999999996</v>
      </c>
      <c r="UE4" s="11">
        <f t="shared" ref="UE4:UE33" si="178">IF(SUM(TP4:TQ4,TS4)-TR4&gt;0,SUM(TP4:TQ4,TS4)-TR4,"")</f>
        <v>14</v>
      </c>
      <c r="UF4" s="11">
        <f t="shared" ref="UF4:UF33" si="179">IF(SUM(TI4,TM4,TQ4)&gt;0,SUM(TI4,TM4,TQ4),"")</f>
        <v>19.5</v>
      </c>
      <c r="UG4" s="11">
        <f t="shared" ref="UG4:UG33" si="180">IF(SUM(UD4,UE4)&gt;0,SUM(UD4,UE4),"")</f>
        <v>57.699999999999996</v>
      </c>
      <c r="UH4" s="11">
        <f t="shared" ref="UH4:UH33" si="181">IF(SUM(TU4,TY4)&gt;0,SUM(TU4,TY4),"")</f>
        <v>10.4</v>
      </c>
      <c r="UI4" s="11">
        <f t="shared" ref="UI4:UI33" si="182">IF(SUM(TT4:TU4,TW4:TY4,UA4)-SUM(TV4,TZ4)&gt;0,SUM(TT4:TU4,TW4:TY4,UA4)-SUM(TV4,TZ4),"")</f>
        <v>29.549999999999997</v>
      </c>
      <c r="UJ4" s="11">
        <f t="shared" ref="UJ4:UJ33" si="183">IF(SUM(UD4,UE4,UI4)&gt;0,SUM(UD4,UE4,UI4),"")</f>
        <v>87.25</v>
      </c>
    </row>
    <row r="5" spans="1:556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75</v>
      </c>
      <c r="C5" s="4" t="s">
        <v>3</v>
      </c>
      <c r="D5" s="4">
        <v>2003</v>
      </c>
      <c r="E5" s="9">
        <f t="shared" si="0"/>
        <v>163.90001090000553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IF(COUNT(AO5,BR5,CU5)&gt;0,LARGE((AO5,BR5,CU5),1),0)</f>
        <v>55.4</v>
      </c>
      <c r="K5" s="8" t="str">
        <f t="shared" si="5"/>
        <v>2024 3rd Domestic Trial</v>
      </c>
      <c r="L5" s="8">
        <f>IF(COUNT(AO5,BR5,CU5)&gt;1,LARGE((AO5,BR5,CU5),2),0)</f>
        <v>53.6</v>
      </c>
      <c r="M5" s="8" t="str">
        <f t="shared" si="6"/>
        <v>2025 Elite Canada</v>
      </c>
      <c r="N5" s="8">
        <f t="shared" si="7"/>
        <v>54.899999999999991</v>
      </c>
      <c r="O5" s="8" t="str">
        <f t="shared" si="8"/>
        <v>2025 Elite Canada</v>
      </c>
      <c r="P5" s="8" t="str">
        <f t="shared" si="9"/>
        <v/>
      </c>
      <c r="Q5" s="11" t="str">
        <f t="shared" ref="Q5:Q33" si="184">IF(P5="","",IF(P5=DB5,"("&amp;DB$2&amp;")",IF(P5=DC5,"("&amp;DC$2&amp;")")))</f>
        <v/>
      </c>
      <c r="R5" s="8" t="str">
        <f t="shared" ref="R5:R33" si="185"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7"/>
      <c r="AN5" s="40" t="str">
        <f t="shared" si="10"/>
        <v/>
      </c>
      <c r="AO5" s="40" t="str">
        <f t="shared" si="11"/>
        <v/>
      </c>
      <c r="AP5" s="40" t="str">
        <f t="shared" si="12"/>
        <v/>
      </c>
      <c r="AQ5" s="40" t="str">
        <f t="shared" si="13"/>
        <v/>
      </c>
      <c r="AR5" s="40" t="str">
        <f t="shared" si="14"/>
        <v/>
      </c>
      <c r="AS5" s="40" t="str">
        <f t="shared" si="15"/>
        <v/>
      </c>
      <c r="AT5" s="40" t="str">
        <f t="shared" si="16"/>
        <v/>
      </c>
      <c r="AU5" s="40" t="str">
        <f t="shared" si="17"/>
        <v/>
      </c>
      <c r="AV5" s="18">
        <v>19.3</v>
      </c>
      <c r="AW5" s="18">
        <v>8</v>
      </c>
      <c r="AX5" s="18">
        <v>0</v>
      </c>
      <c r="AY5" s="18">
        <v>0.3</v>
      </c>
      <c r="AZ5" s="18">
        <v>19.399999999999999</v>
      </c>
      <c r="BA5" s="18">
        <v>8.4</v>
      </c>
      <c r="BB5" s="18">
        <v>0</v>
      </c>
      <c r="BC5" s="18">
        <v>0</v>
      </c>
      <c r="BD5" s="18">
        <v>18.600000000000001</v>
      </c>
      <c r="BE5" s="18">
        <v>8.1</v>
      </c>
      <c r="BF5" s="18">
        <v>0.2</v>
      </c>
      <c r="BG5" s="18">
        <v>0</v>
      </c>
      <c r="BH5" s="18">
        <v>19.100000000000001</v>
      </c>
      <c r="BI5" s="18">
        <v>7.2</v>
      </c>
      <c r="BJ5" s="18">
        <v>0</v>
      </c>
      <c r="BK5" s="18">
        <v>0</v>
      </c>
      <c r="BL5" s="18">
        <v>19.2</v>
      </c>
      <c r="BM5" s="18">
        <v>9.1999999999999993</v>
      </c>
      <c r="BN5" s="18">
        <v>0.2</v>
      </c>
      <c r="BO5" s="18">
        <v>0.3</v>
      </c>
      <c r="BP5" s="28"/>
      <c r="BQ5" s="11">
        <f t="shared" si="18"/>
        <v>16.399999999999999</v>
      </c>
      <c r="BR5" s="11">
        <f t="shared" si="19"/>
        <v>55.4</v>
      </c>
      <c r="BS5" s="11">
        <f t="shared" si="20"/>
        <v>26.500000000000004</v>
      </c>
      <c r="BT5" s="11">
        <f t="shared" si="21"/>
        <v>24.5</v>
      </c>
      <c r="BU5" s="11">
        <f t="shared" si="22"/>
        <v>81.900000000000006</v>
      </c>
      <c r="BV5" s="11">
        <f t="shared" si="23"/>
        <v>16.399999999999999</v>
      </c>
      <c r="BW5" s="11">
        <f t="shared" si="24"/>
        <v>54.8</v>
      </c>
      <c r="BX5" s="11">
        <f t="shared" si="25"/>
        <v>136.69999999999999</v>
      </c>
      <c r="BY5" s="19">
        <v>19</v>
      </c>
      <c r="BZ5" s="19">
        <v>8</v>
      </c>
      <c r="CA5" s="19">
        <v>0</v>
      </c>
      <c r="CB5" s="19">
        <v>0.3</v>
      </c>
      <c r="CC5" s="19">
        <v>18.899999999999999</v>
      </c>
      <c r="CD5" s="19">
        <v>7.6</v>
      </c>
      <c r="CE5" s="19">
        <v>0.2</v>
      </c>
      <c r="CF5" s="19">
        <v>0</v>
      </c>
      <c r="CG5" s="19"/>
      <c r="CH5" s="19"/>
      <c r="CI5" s="19"/>
      <c r="CJ5" s="19"/>
      <c r="CK5" s="19">
        <v>19.2</v>
      </c>
      <c r="CL5" s="19">
        <v>8.4</v>
      </c>
      <c r="CM5" s="19">
        <v>0</v>
      </c>
      <c r="CN5" s="19">
        <v>0</v>
      </c>
      <c r="CO5" s="19">
        <v>19.2</v>
      </c>
      <c r="CP5" s="19">
        <v>8.4</v>
      </c>
      <c r="CQ5" s="19">
        <v>0.6</v>
      </c>
      <c r="CR5" s="19">
        <v>0.3</v>
      </c>
      <c r="CS5" s="27"/>
      <c r="CT5" s="40">
        <f t="shared" si="26"/>
        <v>15.6</v>
      </c>
      <c r="CU5" s="40">
        <f t="shared" si="27"/>
        <v>53.6</v>
      </c>
      <c r="CV5" s="40" t="str">
        <f t="shared" si="28"/>
        <v/>
      </c>
      <c r="CW5" s="40">
        <f t="shared" si="29"/>
        <v>15.6</v>
      </c>
      <c r="CX5" s="40">
        <f t="shared" si="30"/>
        <v>53.6</v>
      </c>
      <c r="CY5" s="40">
        <f t="shared" si="31"/>
        <v>16.8</v>
      </c>
      <c r="CZ5" s="40">
        <f t="shared" si="32"/>
        <v>54.899999999999991</v>
      </c>
      <c r="DA5" s="40">
        <f t="shared" si="33"/>
        <v>108.5</v>
      </c>
      <c r="DB5" s="51" t="str">
        <f t="shared" si="34"/>
        <v/>
      </c>
      <c r="DC5" s="51" t="str">
        <f t="shared" si="35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6"/>
        <v/>
      </c>
      <c r="DY5" s="40" t="str">
        <f t="shared" si="37"/>
        <v/>
      </c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4"/>
        <v/>
      </c>
      <c r="FA5" s="11" t="str">
        <f t="shared" si="45"/>
        <v/>
      </c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 t="shared" si="52"/>
        <v/>
      </c>
      <c r="GC5" s="40" t="str">
        <f t="shared" si="53"/>
        <v/>
      </c>
      <c r="GD5" s="40" t="str">
        <f t="shared" si="54"/>
        <v/>
      </c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0"/>
        <v/>
      </c>
      <c r="HE5" s="11" t="str">
        <f t="shared" si="61"/>
        <v/>
      </c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68"/>
        <v/>
      </c>
      <c r="IG5" s="40" t="str">
        <f t="shared" si="69"/>
        <v/>
      </c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6"/>
        <v/>
      </c>
      <c r="JI5" s="11" t="str">
        <f t="shared" si="77"/>
        <v/>
      </c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4"/>
        <v/>
      </c>
      <c r="KK5" s="40" t="str">
        <f t="shared" si="85"/>
        <v/>
      </c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2"/>
        <v/>
      </c>
      <c r="LM5" s="11" t="str">
        <f t="shared" si="93"/>
        <v/>
      </c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0"/>
        <v/>
      </c>
      <c r="MO5" s="40" t="str">
        <f t="shared" si="101"/>
        <v/>
      </c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08"/>
        <v/>
      </c>
      <c r="NQ5" s="11" t="str">
        <f t="shared" si="109"/>
        <v/>
      </c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6"/>
        <v/>
      </c>
      <c r="OS5" s="40" t="str">
        <f t="shared" si="117"/>
        <v/>
      </c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4"/>
        <v/>
      </c>
      <c r="PU5" s="11" t="str">
        <f t="shared" si="125"/>
        <v/>
      </c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2"/>
        <v/>
      </c>
      <c r="QW5" s="40" t="str">
        <f t="shared" si="133"/>
        <v/>
      </c>
      <c r="QX5" s="40" t="str">
        <f t="shared" si="134"/>
        <v/>
      </c>
      <c r="QY5" s="40" t="str">
        <f t="shared" si="135"/>
        <v/>
      </c>
      <c r="QZ5" s="40" t="str">
        <f t="shared" si="136"/>
        <v/>
      </c>
      <c r="RA5" s="40" t="str">
        <f t="shared" si="137"/>
        <v/>
      </c>
      <c r="RB5" s="40" t="str">
        <f t="shared" si="138"/>
        <v/>
      </c>
      <c r="RC5" s="40" t="str">
        <f t="shared" si="139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0"/>
        <v/>
      </c>
      <c r="RY5" s="11" t="str">
        <f t="shared" si="141"/>
        <v/>
      </c>
      <c r="RZ5" s="11" t="str">
        <f t="shared" si="142"/>
        <v/>
      </c>
      <c r="SA5" s="11" t="str">
        <f t="shared" si="143"/>
        <v/>
      </c>
      <c r="SB5" s="11" t="str">
        <f t="shared" si="144"/>
        <v/>
      </c>
      <c r="SC5" s="11" t="str">
        <f t="shared" si="145"/>
        <v/>
      </c>
      <c r="SD5" s="11" t="str">
        <f t="shared" si="146"/>
        <v/>
      </c>
      <c r="SE5" s="11" t="str">
        <f t="shared" si="147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48"/>
        <v/>
      </c>
      <c r="TA5" s="40" t="str">
        <f t="shared" si="149"/>
        <v/>
      </c>
      <c r="TB5" s="40" t="str">
        <f t="shared" si="150"/>
        <v/>
      </c>
      <c r="TC5" s="40" t="str">
        <f t="shared" si="151"/>
        <v/>
      </c>
      <c r="TD5" s="40" t="str">
        <f t="shared" si="152"/>
        <v/>
      </c>
      <c r="TE5" s="40" t="str">
        <f t="shared" si="153"/>
        <v/>
      </c>
      <c r="TF5" s="40" t="str">
        <f t="shared" si="154"/>
        <v/>
      </c>
      <c r="TG5" s="40" t="str">
        <f t="shared" si="155"/>
        <v/>
      </c>
      <c r="TH5" s="26">
        <f t="shared" si="156"/>
        <v>19.149999999999999</v>
      </c>
      <c r="TI5" s="26">
        <f t="shared" si="157"/>
        <v>8</v>
      </c>
      <c r="TJ5" s="26">
        <f t="shared" si="158"/>
        <v>0</v>
      </c>
      <c r="TK5" s="26">
        <f t="shared" si="159"/>
        <v>0.3</v>
      </c>
      <c r="TL5" s="26">
        <f t="shared" si="160"/>
        <v>19.149999999999999</v>
      </c>
      <c r="TM5" s="26">
        <f t="shared" si="161"/>
        <v>8</v>
      </c>
      <c r="TN5" s="26">
        <f t="shared" si="162"/>
        <v>0.1</v>
      </c>
      <c r="TO5" s="26">
        <f t="shared" si="163"/>
        <v>0</v>
      </c>
      <c r="TP5" s="26">
        <f t="shared" si="164"/>
        <v>9.3000000000000007</v>
      </c>
      <c r="TQ5" s="26">
        <f t="shared" si="165"/>
        <v>4.05</v>
      </c>
      <c r="TR5" s="26">
        <f t="shared" si="166"/>
        <v>0.1</v>
      </c>
      <c r="TS5" s="26">
        <f t="shared" si="167"/>
        <v>0</v>
      </c>
      <c r="TT5" s="26">
        <f t="shared" si="168"/>
        <v>19.149999999999999</v>
      </c>
      <c r="TU5" s="26">
        <f t="shared" si="169"/>
        <v>7.8000000000000007</v>
      </c>
      <c r="TV5" s="26">
        <f t="shared" si="170"/>
        <v>0</v>
      </c>
      <c r="TW5" s="26">
        <f t="shared" si="171"/>
        <v>0</v>
      </c>
      <c r="TX5" s="26">
        <f t="shared" si="172"/>
        <v>19.2</v>
      </c>
      <c r="TY5" s="26">
        <f t="shared" si="173"/>
        <v>8.8000000000000007</v>
      </c>
      <c r="TZ5" s="26">
        <f t="shared" si="174"/>
        <v>0.4</v>
      </c>
      <c r="UA5" s="26">
        <f t="shared" si="175"/>
        <v>0.3</v>
      </c>
      <c r="UB5" s="28" t="s">
        <v>53</v>
      </c>
      <c r="UC5" s="11">
        <f t="shared" si="176"/>
        <v>16</v>
      </c>
      <c r="UD5" s="11">
        <f t="shared" si="177"/>
        <v>54.499999999999993</v>
      </c>
      <c r="UE5" s="11">
        <f t="shared" si="178"/>
        <v>13.250000000000002</v>
      </c>
      <c r="UF5" s="11">
        <f t="shared" si="179"/>
        <v>20.05</v>
      </c>
      <c r="UG5" s="11">
        <f t="shared" si="180"/>
        <v>67.75</v>
      </c>
      <c r="UH5" s="11">
        <f t="shared" si="181"/>
        <v>16.600000000000001</v>
      </c>
      <c r="UI5" s="11">
        <f t="shared" si="182"/>
        <v>54.85</v>
      </c>
      <c r="UJ5" s="11">
        <f t="shared" si="183"/>
        <v>122.6</v>
      </c>
    </row>
    <row r="6" spans="1:556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246</v>
      </c>
      <c r="C6" s="4" t="s">
        <v>5</v>
      </c>
      <c r="D6" s="4">
        <v>2008</v>
      </c>
      <c r="E6" s="9">
        <f t="shared" si="0"/>
        <v>160.70001081000541</v>
      </c>
      <c r="F6" s="3" t="str">
        <f t="shared" si="1"/>
        <v>P</v>
      </c>
      <c r="G6" s="3" t="str">
        <f t="shared" si="2"/>
        <v>P</v>
      </c>
      <c r="H6" s="36" t="str">
        <f t="shared" si="3"/>
        <v>Worlds Team</v>
      </c>
      <c r="I6" s="3" t="str">
        <f t="shared" si="4"/>
        <v>P</v>
      </c>
      <c r="J6" s="8">
        <f>IF(COUNT(AO6,BR6,CU6)&gt;0,LARGE((AO6,BR6,CU6),1),0)</f>
        <v>54.199999999999996</v>
      </c>
      <c r="K6" s="8" t="str">
        <f t="shared" si="5"/>
        <v>2025 Elite Canada</v>
      </c>
      <c r="L6" s="8">
        <f>IF(COUNT(AO6,BR6,CU6)&gt;1,LARGE((AO6,BR6,CU6),2),0)</f>
        <v>53.9</v>
      </c>
      <c r="M6" s="8" t="str">
        <f t="shared" si="6"/>
        <v>2024 Nationals</v>
      </c>
      <c r="N6" s="8">
        <f t="shared" si="7"/>
        <v>52.499999999999993</v>
      </c>
      <c r="O6" s="8" t="str">
        <f t="shared" si="8"/>
        <v>2025 Elite Canada</v>
      </c>
      <c r="P6" s="8">
        <f t="shared" si="9"/>
        <v>0.10000000000000853</v>
      </c>
      <c r="Q6" s="11" t="str">
        <f t="shared" si="184"/>
        <v>(Final)</v>
      </c>
      <c r="R6" s="8" t="str">
        <f t="shared" si="185"/>
        <v>2024 Coimbra Gym Fest (July 7)</v>
      </c>
      <c r="S6" s="19">
        <v>18.8</v>
      </c>
      <c r="T6" s="19">
        <v>8</v>
      </c>
      <c r="U6" s="19">
        <v>0</v>
      </c>
      <c r="V6" s="19">
        <v>0</v>
      </c>
      <c r="W6" s="19">
        <v>18.899999999999999</v>
      </c>
      <c r="X6" s="19">
        <v>8.4</v>
      </c>
      <c r="Y6" s="19">
        <v>0.2</v>
      </c>
      <c r="Z6" s="19">
        <v>0</v>
      </c>
      <c r="AA6" s="19">
        <v>18</v>
      </c>
      <c r="AB6" s="19">
        <v>8.1</v>
      </c>
      <c r="AC6" s="19">
        <v>0.8</v>
      </c>
      <c r="AD6" s="19">
        <v>0</v>
      </c>
      <c r="AE6" s="19">
        <v>18.2</v>
      </c>
      <c r="AF6" s="19">
        <v>7.3</v>
      </c>
      <c r="AG6" s="19">
        <v>0.2</v>
      </c>
      <c r="AH6" s="19">
        <v>0</v>
      </c>
      <c r="AI6" s="19">
        <v>18.8</v>
      </c>
      <c r="AJ6" s="19">
        <v>8.4</v>
      </c>
      <c r="AK6" s="19">
        <v>0</v>
      </c>
      <c r="AL6" s="19">
        <v>0</v>
      </c>
      <c r="AM6" s="27"/>
      <c r="AN6" s="40">
        <f t="shared" si="10"/>
        <v>16.399999999999999</v>
      </c>
      <c r="AO6" s="40">
        <f t="shared" si="11"/>
        <v>53.9</v>
      </c>
      <c r="AP6" s="40">
        <f t="shared" si="12"/>
        <v>25.3</v>
      </c>
      <c r="AQ6" s="40">
        <f t="shared" si="13"/>
        <v>24.5</v>
      </c>
      <c r="AR6" s="40">
        <f t="shared" si="14"/>
        <v>79.2</v>
      </c>
      <c r="AS6" s="40">
        <f t="shared" si="15"/>
        <v>15.7</v>
      </c>
      <c r="AT6" s="40">
        <f t="shared" si="16"/>
        <v>52.499999999999993</v>
      </c>
      <c r="AU6" s="40">
        <f t="shared" si="17"/>
        <v>131.69999999999999</v>
      </c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28"/>
      <c r="BQ6" s="11" t="str">
        <f t="shared" si="18"/>
        <v/>
      </c>
      <c r="BR6" s="11" t="str">
        <f t="shared" si="19"/>
        <v/>
      </c>
      <c r="BS6" s="11" t="str">
        <f t="shared" si="20"/>
        <v/>
      </c>
      <c r="BT6" s="11" t="str">
        <f t="shared" si="21"/>
        <v/>
      </c>
      <c r="BU6" s="11" t="str">
        <f t="shared" si="22"/>
        <v/>
      </c>
      <c r="BV6" s="11" t="str">
        <f t="shared" si="23"/>
        <v/>
      </c>
      <c r="BW6" s="11" t="str">
        <f t="shared" si="24"/>
        <v/>
      </c>
      <c r="BX6" s="11" t="str">
        <f t="shared" si="25"/>
        <v/>
      </c>
      <c r="BY6" s="19">
        <v>19</v>
      </c>
      <c r="BZ6" s="19">
        <v>8.4</v>
      </c>
      <c r="CA6" s="19">
        <v>0</v>
      </c>
      <c r="CB6" s="19">
        <v>0</v>
      </c>
      <c r="CC6" s="19">
        <v>18.600000000000001</v>
      </c>
      <c r="CD6" s="19">
        <v>8.1</v>
      </c>
      <c r="CE6" s="19">
        <v>0.2</v>
      </c>
      <c r="CF6" s="19">
        <v>0.3</v>
      </c>
      <c r="CG6" s="19"/>
      <c r="CH6" s="19"/>
      <c r="CI6" s="19"/>
      <c r="CJ6" s="19"/>
      <c r="CK6" s="19">
        <v>19</v>
      </c>
      <c r="CL6" s="19">
        <v>8.4</v>
      </c>
      <c r="CM6" s="19">
        <v>0.6</v>
      </c>
      <c r="CN6" s="19">
        <v>0</v>
      </c>
      <c r="CO6" s="19">
        <v>18.399999999999999</v>
      </c>
      <c r="CP6" s="19">
        <v>7.3</v>
      </c>
      <c r="CQ6" s="19">
        <v>0</v>
      </c>
      <c r="CR6" s="19">
        <v>0</v>
      </c>
      <c r="CS6" s="27"/>
      <c r="CT6" s="40">
        <f t="shared" si="26"/>
        <v>16.5</v>
      </c>
      <c r="CU6" s="40">
        <f t="shared" si="27"/>
        <v>54.199999999999996</v>
      </c>
      <c r="CV6" s="40" t="str">
        <f t="shared" si="28"/>
        <v/>
      </c>
      <c r="CW6" s="40">
        <f t="shared" si="29"/>
        <v>16.5</v>
      </c>
      <c r="CX6" s="40">
        <f t="shared" si="30"/>
        <v>54.199999999999996</v>
      </c>
      <c r="CY6" s="40">
        <f t="shared" si="31"/>
        <v>15.7</v>
      </c>
      <c r="CZ6" s="40">
        <f t="shared" si="32"/>
        <v>52.499999999999993</v>
      </c>
      <c r="DA6" s="40">
        <f t="shared" si="33"/>
        <v>106.69999999999999</v>
      </c>
      <c r="DB6" s="51" t="str">
        <f t="shared" si="34"/>
        <v/>
      </c>
      <c r="DC6" s="51">
        <f t="shared" si="35"/>
        <v>0.10000000000000853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6"/>
        <v/>
      </c>
      <c r="DY6" s="40" t="str">
        <f t="shared" si="37"/>
        <v/>
      </c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4"/>
        <v/>
      </c>
      <c r="FA6" s="11" t="str">
        <f t="shared" si="45"/>
        <v/>
      </c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7">
        <v>19</v>
      </c>
      <c r="FI6" s="17">
        <v>8.4</v>
      </c>
      <c r="FJ6" s="17">
        <v>0.2</v>
      </c>
      <c r="FK6" s="17">
        <v>0</v>
      </c>
      <c r="FL6" s="17">
        <v>18.399999999999999</v>
      </c>
      <c r="FM6" s="17">
        <v>8.1</v>
      </c>
      <c r="FN6" s="17">
        <v>0.8</v>
      </c>
      <c r="FO6" s="17">
        <v>0</v>
      </c>
      <c r="FP6" s="17"/>
      <c r="FQ6" s="17"/>
      <c r="FR6" s="17"/>
      <c r="FS6" s="17"/>
      <c r="FT6" s="17">
        <v>18.600000000000001</v>
      </c>
      <c r="FU6" s="17">
        <v>8.4</v>
      </c>
      <c r="FV6" s="17">
        <v>0.2</v>
      </c>
      <c r="FW6" s="17">
        <v>0</v>
      </c>
      <c r="FX6" s="17">
        <v>17.899999999999999</v>
      </c>
      <c r="FY6" s="17">
        <v>8.1</v>
      </c>
      <c r="FZ6" s="17">
        <v>0.2</v>
      </c>
      <c r="GA6" s="17">
        <v>0</v>
      </c>
      <c r="GB6" s="40">
        <f t="shared" si="52"/>
        <v>16.5</v>
      </c>
      <c r="GC6" s="40">
        <f t="shared" si="53"/>
        <v>52.9</v>
      </c>
      <c r="GD6" s="40" t="str">
        <f t="shared" si="54"/>
        <v/>
      </c>
      <c r="GE6" s="40">
        <f t="shared" si="55"/>
        <v>16.5</v>
      </c>
      <c r="GF6" s="40">
        <f t="shared" si="56"/>
        <v>52.9</v>
      </c>
      <c r="GG6" s="40">
        <f t="shared" si="57"/>
        <v>16.5</v>
      </c>
      <c r="GH6" s="40">
        <f t="shared" si="58"/>
        <v>52.6</v>
      </c>
      <c r="GI6" s="40">
        <f t="shared" si="59"/>
        <v>105.5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0"/>
        <v/>
      </c>
      <c r="HE6" s="11" t="str">
        <f t="shared" si="61"/>
        <v/>
      </c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68"/>
        <v/>
      </c>
      <c r="IG6" s="40" t="str">
        <f t="shared" si="69"/>
        <v/>
      </c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6"/>
        <v/>
      </c>
      <c r="JI6" s="11" t="str">
        <f t="shared" si="77"/>
        <v/>
      </c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4"/>
        <v/>
      </c>
      <c r="KK6" s="40" t="str">
        <f t="shared" si="85"/>
        <v/>
      </c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2"/>
        <v/>
      </c>
      <c r="LM6" s="11" t="str">
        <f t="shared" si="93"/>
        <v/>
      </c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0"/>
        <v/>
      </c>
      <c r="MO6" s="40" t="str">
        <f t="shared" si="101"/>
        <v/>
      </c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08"/>
        <v/>
      </c>
      <c r="NQ6" s="11" t="str">
        <f t="shared" si="109"/>
        <v/>
      </c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6"/>
        <v/>
      </c>
      <c r="OS6" s="40" t="str">
        <f t="shared" si="117"/>
        <v/>
      </c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4"/>
        <v/>
      </c>
      <c r="PU6" s="11" t="str">
        <f t="shared" si="125"/>
        <v/>
      </c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2"/>
        <v/>
      </c>
      <c r="QW6" s="40" t="str">
        <f t="shared" si="133"/>
        <v/>
      </c>
      <c r="QX6" s="40" t="str">
        <f t="shared" si="134"/>
        <v/>
      </c>
      <c r="QY6" s="40" t="str">
        <f t="shared" si="135"/>
        <v/>
      </c>
      <c r="QZ6" s="40" t="str">
        <f t="shared" si="136"/>
        <v/>
      </c>
      <c r="RA6" s="40" t="str">
        <f t="shared" si="137"/>
        <v/>
      </c>
      <c r="RB6" s="40" t="str">
        <f t="shared" si="138"/>
        <v/>
      </c>
      <c r="RC6" s="40" t="str">
        <f t="shared" si="139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0"/>
        <v/>
      </c>
      <c r="RY6" s="11" t="str">
        <f t="shared" si="141"/>
        <v/>
      </c>
      <c r="RZ6" s="11" t="str">
        <f t="shared" si="142"/>
        <v/>
      </c>
      <c r="SA6" s="11" t="str">
        <f t="shared" si="143"/>
        <v/>
      </c>
      <c r="SB6" s="11" t="str">
        <f t="shared" si="144"/>
        <v/>
      </c>
      <c r="SC6" s="11" t="str">
        <f t="shared" si="145"/>
        <v/>
      </c>
      <c r="SD6" s="11" t="str">
        <f t="shared" si="146"/>
        <v/>
      </c>
      <c r="SE6" s="11" t="str">
        <f t="shared" si="147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48"/>
        <v/>
      </c>
      <c r="TA6" s="40" t="str">
        <f t="shared" si="149"/>
        <v/>
      </c>
      <c r="TB6" s="40" t="str">
        <f t="shared" si="150"/>
        <v/>
      </c>
      <c r="TC6" s="40" t="str">
        <f t="shared" si="151"/>
        <v/>
      </c>
      <c r="TD6" s="40" t="str">
        <f t="shared" si="152"/>
        <v/>
      </c>
      <c r="TE6" s="40" t="str">
        <f t="shared" si="153"/>
        <v/>
      </c>
      <c r="TF6" s="40" t="str">
        <f t="shared" si="154"/>
        <v/>
      </c>
      <c r="TG6" s="40" t="str">
        <f t="shared" si="155"/>
        <v/>
      </c>
      <c r="TH6" s="26">
        <f t="shared" si="156"/>
        <v>9.5</v>
      </c>
      <c r="TI6" s="26">
        <f t="shared" si="157"/>
        <v>4.2</v>
      </c>
      <c r="TJ6" s="26">
        <f t="shared" si="158"/>
        <v>0</v>
      </c>
      <c r="TK6" s="26">
        <f t="shared" si="159"/>
        <v>0</v>
      </c>
      <c r="TL6" s="26">
        <f t="shared" si="160"/>
        <v>9.3000000000000007</v>
      </c>
      <c r="TM6" s="26">
        <f t="shared" si="161"/>
        <v>4.05</v>
      </c>
      <c r="TN6" s="26">
        <f t="shared" si="162"/>
        <v>0.1</v>
      </c>
      <c r="TO6" s="26">
        <f t="shared" si="163"/>
        <v>0.15</v>
      </c>
      <c r="TP6" s="26">
        <f t="shared" si="164"/>
        <v>0</v>
      </c>
      <c r="TQ6" s="26">
        <f t="shared" si="165"/>
        <v>0</v>
      </c>
      <c r="TR6" s="26">
        <f t="shared" si="166"/>
        <v>0</v>
      </c>
      <c r="TS6" s="26">
        <f t="shared" si="167"/>
        <v>0</v>
      </c>
      <c r="TT6" s="26">
        <f t="shared" si="168"/>
        <v>9.5</v>
      </c>
      <c r="TU6" s="26">
        <f t="shared" si="169"/>
        <v>4.2</v>
      </c>
      <c r="TV6" s="26">
        <f t="shared" si="170"/>
        <v>0.3</v>
      </c>
      <c r="TW6" s="26">
        <f t="shared" si="171"/>
        <v>0</v>
      </c>
      <c r="TX6" s="26">
        <f t="shared" si="172"/>
        <v>9.1999999999999993</v>
      </c>
      <c r="TY6" s="26">
        <f t="shared" si="173"/>
        <v>3.65</v>
      </c>
      <c r="TZ6" s="26">
        <f t="shared" si="174"/>
        <v>0</v>
      </c>
      <c r="UA6" s="26">
        <f t="shared" si="175"/>
        <v>0</v>
      </c>
      <c r="UB6" s="28" t="s">
        <v>53</v>
      </c>
      <c r="UC6" s="11">
        <f t="shared" si="176"/>
        <v>8.25</v>
      </c>
      <c r="UD6" s="11">
        <f t="shared" si="177"/>
        <v>27.099999999999998</v>
      </c>
      <c r="UE6" s="11" t="str">
        <f t="shared" si="178"/>
        <v/>
      </c>
      <c r="UF6" s="11">
        <f t="shared" si="179"/>
        <v>8.25</v>
      </c>
      <c r="UG6" s="11">
        <f t="shared" si="180"/>
        <v>27.099999999999998</v>
      </c>
      <c r="UH6" s="11">
        <f t="shared" si="181"/>
        <v>7.85</v>
      </c>
      <c r="UI6" s="11">
        <f t="shared" si="182"/>
        <v>26.249999999999996</v>
      </c>
      <c r="UJ6" s="11">
        <f t="shared" si="183"/>
        <v>53.349999999999994</v>
      </c>
    </row>
    <row r="7" spans="1:556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120</v>
      </c>
      <c r="C7" s="4" t="s">
        <v>5</v>
      </c>
      <c r="D7" s="4">
        <v>2004</v>
      </c>
      <c r="E7" s="9">
        <f t="shared" si="0"/>
        <v>160.10001012000529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IF(COUNT(AO7,BR7,CU7)&gt;0,LARGE((AO7,BR7,CU7),1),0)</f>
        <v>53</v>
      </c>
      <c r="K7" s="8" t="str">
        <f t="shared" si="5"/>
        <v>2024 Nationals</v>
      </c>
      <c r="L7" s="8">
        <f>IF(COUNT(AO7,BR7,CU7)&gt;1,LARGE((AO7,BR7,CU7),2),0)</f>
        <v>48.2</v>
      </c>
      <c r="M7" s="8" t="str">
        <f t="shared" si="6"/>
        <v>2025 Elite Canada</v>
      </c>
      <c r="N7" s="8">
        <f t="shared" si="7"/>
        <v>55.2</v>
      </c>
      <c r="O7" s="8" t="str">
        <f t="shared" si="8"/>
        <v>2024 3rd Domestic Trial</v>
      </c>
      <c r="P7" s="8">
        <f t="shared" si="9"/>
        <v>3.6999999999999957</v>
      </c>
      <c r="Q7" s="11" t="str">
        <f t="shared" si="184"/>
        <v>(Q1)</v>
      </c>
      <c r="R7" s="8" t="str">
        <f t="shared" si="185"/>
        <v>2024 Pan Am Championships (May 19)</v>
      </c>
      <c r="S7" s="19">
        <v>16.600000000000001</v>
      </c>
      <c r="T7" s="19">
        <v>8.9</v>
      </c>
      <c r="U7" s="19">
        <v>0.8</v>
      </c>
      <c r="V7" s="19">
        <v>0.3</v>
      </c>
      <c r="W7" s="19">
        <v>18.7</v>
      </c>
      <c r="X7" s="19">
        <v>9.1999999999999993</v>
      </c>
      <c r="Y7" s="19">
        <v>0.2</v>
      </c>
      <c r="Z7" s="19">
        <v>0.3</v>
      </c>
      <c r="AA7" s="19">
        <v>0</v>
      </c>
      <c r="AB7" s="19">
        <v>0</v>
      </c>
      <c r="AC7" s="19">
        <v>0</v>
      </c>
      <c r="AD7" s="19">
        <v>0</v>
      </c>
      <c r="AE7" s="19"/>
      <c r="AF7" s="19"/>
      <c r="AG7" s="19"/>
      <c r="AH7" s="19"/>
      <c r="AI7" s="19"/>
      <c r="AJ7" s="19"/>
      <c r="AK7" s="19"/>
      <c r="AL7" s="19"/>
      <c r="AM7" s="27"/>
      <c r="AN7" s="40">
        <f t="shared" si="10"/>
        <v>18.100000000000001</v>
      </c>
      <c r="AO7" s="40">
        <f t="shared" si="11"/>
        <v>53</v>
      </c>
      <c r="AP7" s="40" t="str">
        <f t="shared" si="12"/>
        <v/>
      </c>
      <c r="AQ7" s="40">
        <f t="shared" si="13"/>
        <v>18.100000000000001</v>
      </c>
      <c r="AR7" s="40">
        <f t="shared" si="14"/>
        <v>53</v>
      </c>
      <c r="AS7" s="40" t="str">
        <f t="shared" si="15"/>
        <v/>
      </c>
      <c r="AT7" s="40" t="str">
        <f t="shared" si="16"/>
        <v/>
      </c>
      <c r="AU7" s="40">
        <f t="shared" si="17"/>
        <v>53</v>
      </c>
      <c r="AV7" s="18">
        <v>17.2</v>
      </c>
      <c r="AW7" s="18">
        <v>3.6</v>
      </c>
      <c r="AX7" s="18">
        <v>0</v>
      </c>
      <c r="AY7" s="18">
        <v>0</v>
      </c>
      <c r="AZ7" s="18">
        <v>18.600000000000001</v>
      </c>
      <c r="BA7" s="18">
        <v>9.1999999999999993</v>
      </c>
      <c r="BB7" s="18">
        <v>0.8</v>
      </c>
      <c r="BC7" s="18">
        <v>0.3</v>
      </c>
      <c r="BD7" s="18">
        <v>18.100000000000001</v>
      </c>
      <c r="BE7" s="18">
        <v>9.3000000000000007</v>
      </c>
      <c r="BF7" s="18">
        <v>0.6</v>
      </c>
      <c r="BG7" s="18">
        <v>0.3</v>
      </c>
      <c r="BH7" s="18">
        <v>18.399999999999999</v>
      </c>
      <c r="BI7" s="18">
        <v>8.9</v>
      </c>
      <c r="BJ7" s="18">
        <v>0.8</v>
      </c>
      <c r="BK7" s="18">
        <v>0.3</v>
      </c>
      <c r="BL7" s="18">
        <v>19.100000000000001</v>
      </c>
      <c r="BM7" s="18">
        <v>9.1999999999999993</v>
      </c>
      <c r="BN7" s="18">
        <v>0.2</v>
      </c>
      <c r="BO7" s="18">
        <v>0.3</v>
      </c>
      <c r="BP7" s="28"/>
      <c r="BQ7" s="11">
        <f t="shared" si="18"/>
        <v>12.799999999999999</v>
      </c>
      <c r="BR7" s="11">
        <f t="shared" si="19"/>
        <v>48.100000000000009</v>
      </c>
      <c r="BS7" s="11">
        <f t="shared" si="20"/>
        <v>27.1</v>
      </c>
      <c r="BT7" s="11">
        <f t="shared" si="21"/>
        <v>22.1</v>
      </c>
      <c r="BU7" s="11">
        <f t="shared" si="22"/>
        <v>75.200000000000017</v>
      </c>
      <c r="BV7" s="11">
        <f t="shared" si="23"/>
        <v>18.100000000000001</v>
      </c>
      <c r="BW7" s="11">
        <f t="shared" si="24"/>
        <v>55.2</v>
      </c>
      <c r="BX7" s="11">
        <f t="shared" si="25"/>
        <v>130.40000000000003</v>
      </c>
      <c r="BY7" s="19">
        <v>15.3</v>
      </c>
      <c r="BZ7" s="19">
        <v>4</v>
      </c>
      <c r="CA7" s="19">
        <v>0</v>
      </c>
      <c r="CB7" s="19">
        <v>0</v>
      </c>
      <c r="CC7" s="19">
        <v>18.3</v>
      </c>
      <c r="CD7" s="19">
        <v>10</v>
      </c>
      <c r="CE7" s="19">
        <v>0</v>
      </c>
      <c r="CF7" s="19">
        <v>0.6</v>
      </c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27"/>
      <c r="CT7" s="40">
        <f t="shared" si="26"/>
        <v>14</v>
      </c>
      <c r="CU7" s="40">
        <f t="shared" si="27"/>
        <v>48.2</v>
      </c>
      <c r="CV7" s="40" t="str">
        <f t="shared" si="28"/>
        <v/>
      </c>
      <c r="CW7" s="40">
        <f t="shared" si="29"/>
        <v>14</v>
      </c>
      <c r="CX7" s="40">
        <f t="shared" si="30"/>
        <v>48.2</v>
      </c>
      <c r="CY7" s="40" t="str">
        <f t="shared" si="31"/>
        <v/>
      </c>
      <c r="CZ7" s="40" t="str">
        <f t="shared" si="32"/>
        <v/>
      </c>
      <c r="DA7" s="40">
        <f t="shared" si="33"/>
        <v>48.2</v>
      </c>
      <c r="DB7" s="51">
        <f t="shared" si="34"/>
        <v>3.6999999999999957</v>
      </c>
      <c r="DC7" s="51" t="str">
        <f t="shared" si="35"/>
        <v/>
      </c>
      <c r="DD7" s="17">
        <v>18.8</v>
      </c>
      <c r="DE7" s="17">
        <v>9.1999999999999993</v>
      </c>
      <c r="DF7" s="17">
        <v>0.6</v>
      </c>
      <c r="DG7" s="17">
        <v>0</v>
      </c>
      <c r="DH7" s="17">
        <v>16.399999999999999</v>
      </c>
      <c r="DI7" s="17">
        <v>8.9</v>
      </c>
      <c r="DJ7" s="17">
        <v>0.8</v>
      </c>
      <c r="DK7" s="17">
        <v>0</v>
      </c>
      <c r="DL7" s="17"/>
      <c r="DM7" s="17"/>
      <c r="DN7" s="17"/>
      <c r="DO7" s="17"/>
      <c r="DP7" s="17">
        <v>17.899999999999999</v>
      </c>
      <c r="DQ7" s="17">
        <v>8.9</v>
      </c>
      <c r="DR7" s="17">
        <v>0.2</v>
      </c>
      <c r="DS7" s="17">
        <v>0</v>
      </c>
      <c r="DT7" s="17">
        <v>18.5</v>
      </c>
      <c r="DU7" s="17">
        <v>9.1999999999999993</v>
      </c>
      <c r="DV7" s="17">
        <v>0.6</v>
      </c>
      <c r="DW7" s="17">
        <v>0</v>
      </c>
      <c r="DX7" s="40">
        <f t="shared" si="36"/>
        <v>18.100000000000001</v>
      </c>
      <c r="DY7" s="40">
        <f t="shared" si="37"/>
        <v>51.9</v>
      </c>
      <c r="DZ7" s="40" t="str">
        <f t="shared" si="38"/>
        <v/>
      </c>
      <c r="EA7" s="40">
        <f t="shared" si="39"/>
        <v>18.100000000000001</v>
      </c>
      <c r="EB7" s="40">
        <f t="shared" si="40"/>
        <v>51.9</v>
      </c>
      <c r="EC7" s="40">
        <f t="shared" si="41"/>
        <v>18.100000000000001</v>
      </c>
      <c r="ED7" s="40">
        <f t="shared" si="42"/>
        <v>53.7</v>
      </c>
      <c r="EE7" s="40">
        <f t="shared" si="43"/>
        <v>105.6</v>
      </c>
      <c r="EF7" s="18">
        <v>18.3</v>
      </c>
      <c r="EG7" s="18">
        <v>9.1999999999999993</v>
      </c>
      <c r="EH7" s="18">
        <v>0.4</v>
      </c>
      <c r="EI7" s="18">
        <v>0</v>
      </c>
      <c r="EJ7" s="18">
        <v>18.2</v>
      </c>
      <c r="EK7" s="18">
        <v>6.8</v>
      </c>
      <c r="EL7" s="18">
        <v>0.6</v>
      </c>
      <c r="EM7" s="18">
        <v>0</v>
      </c>
      <c r="EN7" s="18"/>
      <c r="EO7" s="18"/>
      <c r="EP7" s="18"/>
      <c r="EQ7" s="18"/>
      <c r="ER7" s="18">
        <v>17.899999999999999</v>
      </c>
      <c r="ES7" s="18">
        <v>4.2</v>
      </c>
      <c r="ET7" s="18">
        <v>1</v>
      </c>
      <c r="EU7" s="18">
        <v>0</v>
      </c>
      <c r="EV7" s="18">
        <v>0</v>
      </c>
      <c r="EW7" s="18">
        <v>0</v>
      </c>
      <c r="EX7" s="18">
        <v>0</v>
      </c>
      <c r="EY7" s="18">
        <v>0</v>
      </c>
      <c r="EZ7" s="11">
        <f t="shared" si="44"/>
        <v>16</v>
      </c>
      <c r="FA7" s="11">
        <f t="shared" si="45"/>
        <v>51.5</v>
      </c>
      <c r="FB7" s="11" t="str">
        <f t="shared" si="46"/>
        <v/>
      </c>
      <c r="FC7" s="11">
        <f t="shared" si="47"/>
        <v>16</v>
      </c>
      <c r="FD7" s="11">
        <f t="shared" si="48"/>
        <v>51.5</v>
      </c>
      <c r="FE7" s="11">
        <f t="shared" si="49"/>
        <v>4.2</v>
      </c>
      <c r="FF7" s="11">
        <f t="shared" si="50"/>
        <v>21.099999999999998</v>
      </c>
      <c r="FG7" s="11">
        <f t="shared" si="51"/>
        <v>72.599999999999994</v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 t="shared" si="52"/>
        <v/>
      </c>
      <c r="GC7" s="40" t="str">
        <f t="shared" si="53"/>
        <v/>
      </c>
      <c r="GD7" s="40" t="str">
        <f t="shared" si="54"/>
        <v/>
      </c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18">
        <v>18.8</v>
      </c>
      <c r="GK7" s="18">
        <v>10</v>
      </c>
      <c r="GL7" s="18">
        <v>1</v>
      </c>
      <c r="GM7" s="18">
        <v>0</v>
      </c>
      <c r="GN7" s="18">
        <v>0</v>
      </c>
      <c r="GO7" s="18">
        <v>0</v>
      </c>
      <c r="GP7" s="18">
        <v>0</v>
      </c>
      <c r="GQ7" s="18">
        <v>0</v>
      </c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>
        <f t="shared" si="60"/>
        <v>10</v>
      </c>
      <c r="HE7" s="11">
        <f t="shared" si="61"/>
        <v>27.8</v>
      </c>
      <c r="HF7" s="11" t="str">
        <f t="shared" si="62"/>
        <v/>
      </c>
      <c r="HG7" s="11">
        <f t="shared" si="63"/>
        <v>10</v>
      </c>
      <c r="HH7" s="11">
        <f t="shared" si="64"/>
        <v>27.8</v>
      </c>
      <c r="HI7" s="11" t="str">
        <f t="shared" si="65"/>
        <v/>
      </c>
      <c r="HJ7" s="11" t="str">
        <f t="shared" si="66"/>
        <v/>
      </c>
      <c r="HK7" s="11">
        <f t="shared" si="67"/>
        <v>27.8</v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68"/>
        <v/>
      </c>
      <c r="IG7" s="40" t="str">
        <f t="shared" si="69"/>
        <v/>
      </c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6"/>
        <v/>
      </c>
      <c r="JI7" s="11" t="str">
        <f t="shared" si="77"/>
        <v/>
      </c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4"/>
        <v/>
      </c>
      <c r="KK7" s="40" t="str">
        <f t="shared" si="85"/>
        <v/>
      </c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2"/>
        <v/>
      </c>
      <c r="LM7" s="11" t="str">
        <f t="shared" si="93"/>
        <v/>
      </c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0"/>
        <v/>
      </c>
      <c r="MO7" s="40" t="str">
        <f t="shared" si="101"/>
        <v/>
      </c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08"/>
        <v/>
      </c>
      <c r="NQ7" s="11" t="str">
        <f t="shared" si="109"/>
        <v/>
      </c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6"/>
        <v/>
      </c>
      <c r="OS7" s="40" t="str">
        <f t="shared" si="117"/>
        <v/>
      </c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4"/>
        <v/>
      </c>
      <c r="PU7" s="11" t="str">
        <f t="shared" si="125"/>
        <v/>
      </c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2"/>
        <v/>
      </c>
      <c r="QW7" s="40" t="str">
        <f t="shared" si="133"/>
        <v/>
      </c>
      <c r="QX7" s="40" t="str">
        <f t="shared" si="134"/>
        <v/>
      </c>
      <c r="QY7" s="40" t="str">
        <f t="shared" si="135"/>
        <v/>
      </c>
      <c r="QZ7" s="40" t="str">
        <f t="shared" si="136"/>
        <v/>
      </c>
      <c r="RA7" s="40" t="str">
        <f t="shared" si="137"/>
        <v/>
      </c>
      <c r="RB7" s="40" t="str">
        <f t="shared" si="138"/>
        <v/>
      </c>
      <c r="RC7" s="40" t="str">
        <f t="shared" si="139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0"/>
        <v/>
      </c>
      <c r="RY7" s="11" t="str">
        <f t="shared" si="141"/>
        <v/>
      </c>
      <c r="RZ7" s="11" t="str">
        <f t="shared" si="142"/>
        <v/>
      </c>
      <c r="SA7" s="11" t="str">
        <f t="shared" si="143"/>
        <v/>
      </c>
      <c r="SB7" s="11" t="str">
        <f t="shared" si="144"/>
        <v/>
      </c>
      <c r="SC7" s="11" t="str">
        <f t="shared" si="145"/>
        <v/>
      </c>
      <c r="SD7" s="11" t="str">
        <f t="shared" si="146"/>
        <v/>
      </c>
      <c r="SE7" s="11" t="str">
        <f t="shared" si="147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48"/>
        <v/>
      </c>
      <c r="TA7" s="40" t="str">
        <f t="shared" si="149"/>
        <v/>
      </c>
      <c r="TB7" s="40" t="str">
        <f t="shared" si="150"/>
        <v/>
      </c>
      <c r="TC7" s="40" t="str">
        <f t="shared" si="151"/>
        <v/>
      </c>
      <c r="TD7" s="40" t="str">
        <f t="shared" si="152"/>
        <v/>
      </c>
      <c r="TE7" s="40" t="str">
        <f t="shared" si="153"/>
        <v/>
      </c>
      <c r="TF7" s="40" t="str">
        <f t="shared" si="154"/>
        <v/>
      </c>
      <c r="TG7" s="40" t="str">
        <f t="shared" si="155"/>
        <v/>
      </c>
      <c r="TH7" s="26">
        <f t="shared" si="156"/>
        <v>16.25</v>
      </c>
      <c r="TI7" s="26">
        <f t="shared" si="157"/>
        <v>3.8</v>
      </c>
      <c r="TJ7" s="26">
        <f t="shared" si="158"/>
        <v>0</v>
      </c>
      <c r="TK7" s="26">
        <f t="shared" si="159"/>
        <v>0</v>
      </c>
      <c r="TL7" s="26">
        <f t="shared" si="160"/>
        <v>18.450000000000003</v>
      </c>
      <c r="TM7" s="26">
        <f t="shared" si="161"/>
        <v>9.6</v>
      </c>
      <c r="TN7" s="26">
        <f t="shared" si="162"/>
        <v>0.4</v>
      </c>
      <c r="TO7" s="26">
        <f t="shared" si="163"/>
        <v>0.44999999999999996</v>
      </c>
      <c r="TP7" s="26">
        <f t="shared" si="164"/>
        <v>9.0500000000000007</v>
      </c>
      <c r="TQ7" s="26">
        <f t="shared" si="165"/>
        <v>4.6500000000000004</v>
      </c>
      <c r="TR7" s="26">
        <f t="shared" si="166"/>
        <v>0.3</v>
      </c>
      <c r="TS7" s="26">
        <f t="shared" si="167"/>
        <v>0.15</v>
      </c>
      <c r="TT7" s="26">
        <f t="shared" si="168"/>
        <v>9.1999999999999993</v>
      </c>
      <c r="TU7" s="26">
        <f t="shared" si="169"/>
        <v>4.45</v>
      </c>
      <c r="TV7" s="26">
        <f t="shared" si="170"/>
        <v>0.4</v>
      </c>
      <c r="TW7" s="26">
        <f t="shared" si="171"/>
        <v>0.15</v>
      </c>
      <c r="TX7" s="26">
        <f t="shared" si="172"/>
        <v>9.5500000000000007</v>
      </c>
      <c r="TY7" s="26">
        <f t="shared" si="173"/>
        <v>4.5999999999999996</v>
      </c>
      <c r="TZ7" s="26">
        <f t="shared" si="174"/>
        <v>0.1</v>
      </c>
      <c r="UA7" s="26">
        <f t="shared" si="175"/>
        <v>0.15</v>
      </c>
      <c r="UB7" s="28" t="s">
        <v>53</v>
      </c>
      <c r="UC7" s="11">
        <f t="shared" si="176"/>
        <v>13.399999999999999</v>
      </c>
      <c r="UD7" s="11">
        <f t="shared" si="177"/>
        <v>48.150000000000006</v>
      </c>
      <c r="UE7" s="11">
        <f t="shared" si="178"/>
        <v>13.55</v>
      </c>
      <c r="UF7" s="11">
        <f t="shared" si="179"/>
        <v>18.049999999999997</v>
      </c>
      <c r="UG7" s="11">
        <f t="shared" si="180"/>
        <v>61.7</v>
      </c>
      <c r="UH7" s="11">
        <f t="shared" si="181"/>
        <v>9.0500000000000007</v>
      </c>
      <c r="UI7" s="11">
        <f t="shared" si="182"/>
        <v>27.6</v>
      </c>
      <c r="UJ7" s="11">
        <f t="shared" si="183"/>
        <v>89.300000000000011</v>
      </c>
    </row>
    <row r="8" spans="1:556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158</v>
      </c>
      <c r="C8" s="4" t="s">
        <v>6</v>
      </c>
      <c r="D8" s="4">
        <v>2005</v>
      </c>
      <c r="E8" s="9">
        <f t="shared" si="0"/>
        <v>159.7000105700053</v>
      </c>
      <c r="F8" s="3" t="str">
        <f t="shared" si="1"/>
        <v>P</v>
      </c>
      <c r="G8" s="3" t="str">
        <f t="shared" si="2"/>
        <v>P</v>
      </c>
      <c r="H8" s="36" t="str">
        <f t="shared" si="3"/>
        <v>Excellence</v>
      </c>
      <c r="I8" s="3" t="str">
        <f t="shared" si="4"/>
        <v>P</v>
      </c>
      <c r="J8" s="8">
        <f>IF(COUNT(AO8,BR8,CU8)&gt;0,LARGE((AO8,BR8,CU8),1),0)</f>
        <v>53.099999999999994</v>
      </c>
      <c r="K8" s="8" t="str">
        <f t="shared" si="5"/>
        <v>2024 3rd Domestic Trial</v>
      </c>
      <c r="L8" s="8">
        <f>IF(COUNT(AO8,BR8,CU8)&gt;1,LARGE((AO8,BR8,CU8),2),0)</f>
        <v>52.600000000000009</v>
      </c>
      <c r="M8" s="8" t="str">
        <f t="shared" si="6"/>
        <v>2025 Elite Canada</v>
      </c>
      <c r="N8" s="8">
        <f t="shared" si="7"/>
        <v>54</v>
      </c>
      <c r="O8" s="8" t="str">
        <f t="shared" si="8"/>
        <v>2025 Elite Canada</v>
      </c>
      <c r="P8" s="8" t="str">
        <f t="shared" si="9"/>
        <v/>
      </c>
      <c r="Q8" s="11" t="str">
        <f t="shared" si="184"/>
        <v/>
      </c>
      <c r="R8" s="8" t="str">
        <f t="shared" si="185"/>
        <v/>
      </c>
      <c r="S8" s="19">
        <v>18.2</v>
      </c>
      <c r="T8" s="19">
        <v>8.4</v>
      </c>
      <c r="U8" s="19">
        <v>0</v>
      </c>
      <c r="V8" s="19">
        <v>0.3</v>
      </c>
      <c r="W8" s="19">
        <v>18.2</v>
      </c>
      <c r="X8" s="19">
        <v>6.8</v>
      </c>
      <c r="Y8" s="19">
        <v>0.2</v>
      </c>
      <c r="Z8" s="19">
        <v>0</v>
      </c>
      <c r="AA8" s="19">
        <v>17.399999999999999</v>
      </c>
      <c r="AB8" s="19">
        <v>2.8</v>
      </c>
      <c r="AC8" s="19">
        <v>0</v>
      </c>
      <c r="AD8" s="19">
        <v>0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 t="shared" si="10"/>
        <v>15.2</v>
      </c>
      <c r="AO8" s="40">
        <f t="shared" si="11"/>
        <v>51.699999999999996</v>
      </c>
      <c r="AP8" s="40">
        <f t="shared" si="12"/>
        <v>20.2</v>
      </c>
      <c r="AQ8" s="40">
        <f t="shared" si="13"/>
        <v>18</v>
      </c>
      <c r="AR8" s="40">
        <f t="shared" si="14"/>
        <v>71.899999999999991</v>
      </c>
      <c r="AS8" s="40" t="str">
        <f t="shared" si="15"/>
        <v/>
      </c>
      <c r="AT8" s="40" t="str">
        <f t="shared" si="16"/>
        <v/>
      </c>
      <c r="AU8" s="40">
        <f t="shared" si="17"/>
        <v>71.899999999999991</v>
      </c>
      <c r="AV8" s="18">
        <v>18.5</v>
      </c>
      <c r="AW8" s="18">
        <v>8.4</v>
      </c>
      <c r="AX8" s="18">
        <v>0.6</v>
      </c>
      <c r="AY8" s="18">
        <v>0.3</v>
      </c>
      <c r="AZ8" s="18">
        <v>18.899999999999999</v>
      </c>
      <c r="BA8" s="18">
        <v>7.6</v>
      </c>
      <c r="BB8" s="18">
        <v>0</v>
      </c>
      <c r="BC8" s="18">
        <v>0</v>
      </c>
      <c r="BD8" s="18">
        <v>18.399999999999999</v>
      </c>
      <c r="BE8" s="18">
        <v>8.1</v>
      </c>
      <c r="BF8" s="18">
        <v>0</v>
      </c>
      <c r="BG8" s="18">
        <v>0.3</v>
      </c>
      <c r="BH8" s="18">
        <v>18.399999999999999</v>
      </c>
      <c r="BI8" s="18">
        <v>8.4</v>
      </c>
      <c r="BJ8" s="18">
        <v>0.8</v>
      </c>
      <c r="BK8" s="18">
        <v>0.3</v>
      </c>
      <c r="BL8" s="18">
        <v>18.8</v>
      </c>
      <c r="BM8" s="18">
        <v>8</v>
      </c>
      <c r="BN8" s="18">
        <v>0.2</v>
      </c>
      <c r="BO8" s="18">
        <v>0</v>
      </c>
      <c r="BP8" s="28"/>
      <c r="BQ8" s="11">
        <f t="shared" si="18"/>
        <v>16</v>
      </c>
      <c r="BR8" s="11">
        <f t="shared" si="19"/>
        <v>53.099999999999994</v>
      </c>
      <c r="BS8" s="11">
        <f t="shared" si="20"/>
        <v>26.8</v>
      </c>
      <c r="BT8" s="11">
        <f t="shared" si="21"/>
        <v>24.1</v>
      </c>
      <c r="BU8" s="11">
        <f t="shared" si="22"/>
        <v>79.899999999999991</v>
      </c>
      <c r="BV8" s="11">
        <f t="shared" si="23"/>
        <v>16.399999999999999</v>
      </c>
      <c r="BW8" s="11">
        <f t="shared" si="24"/>
        <v>52.9</v>
      </c>
      <c r="BX8" s="11">
        <f t="shared" si="25"/>
        <v>132.79999999999998</v>
      </c>
      <c r="BY8" s="19">
        <v>18.2</v>
      </c>
      <c r="BZ8" s="19">
        <v>8.4</v>
      </c>
      <c r="CA8" s="19">
        <v>0.8</v>
      </c>
      <c r="CB8" s="19">
        <v>0.3</v>
      </c>
      <c r="CC8" s="19">
        <v>18.5</v>
      </c>
      <c r="CD8" s="19">
        <v>8</v>
      </c>
      <c r="CE8" s="19">
        <v>0</v>
      </c>
      <c r="CF8" s="19">
        <v>0</v>
      </c>
      <c r="CG8" s="19"/>
      <c r="CH8" s="19"/>
      <c r="CI8" s="19"/>
      <c r="CJ8" s="19"/>
      <c r="CK8" s="19">
        <v>18.100000000000001</v>
      </c>
      <c r="CL8" s="19">
        <v>8.5</v>
      </c>
      <c r="CM8" s="19">
        <v>0.2</v>
      </c>
      <c r="CN8" s="19">
        <v>0.3</v>
      </c>
      <c r="CO8" s="19">
        <v>18.8</v>
      </c>
      <c r="CP8" s="19">
        <v>8.8000000000000007</v>
      </c>
      <c r="CQ8" s="19">
        <v>0.6</v>
      </c>
      <c r="CR8" s="19">
        <v>0.3</v>
      </c>
      <c r="CS8" s="27"/>
      <c r="CT8" s="40">
        <f t="shared" si="26"/>
        <v>16.399999999999999</v>
      </c>
      <c r="CU8" s="40">
        <f t="shared" si="27"/>
        <v>52.600000000000009</v>
      </c>
      <c r="CV8" s="40" t="str">
        <f t="shared" si="28"/>
        <v/>
      </c>
      <c r="CW8" s="40">
        <f t="shared" si="29"/>
        <v>16.399999999999999</v>
      </c>
      <c r="CX8" s="40">
        <f t="shared" si="30"/>
        <v>52.600000000000009</v>
      </c>
      <c r="CY8" s="40">
        <f t="shared" si="31"/>
        <v>17.3</v>
      </c>
      <c r="CZ8" s="40">
        <f t="shared" si="32"/>
        <v>54</v>
      </c>
      <c r="DA8" s="40">
        <f t="shared" si="33"/>
        <v>106.60000000000001</v>
      </c>
      <c r="DB8" s="51" t="str">
        <f t="shared" si="34"/>
        <v/>
      </c>
      <c r="DC8" s="51" t="str">
        <f t="shared" si="35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6"/>
        <v/>
      </c>
      <c r="DY8" s="40" t="str">
        <f t="shared" si="37"/>
        <v/>
      </c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 t="shared" si="44"/>
        <v/>
      </c>
      <c r="FA8" s="11" t="str">
        <f t="shared" si="45"/>
        <v/>
      </c>
      <c r="FB8" s="11" t="str">
        <f t="shared" si="46"/>
        <v/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7">
        <v>18.399999999999999</v>
      </c>
      <c r="FI8" s="17">
        <v>8.4</v>
      </c>
      <c r="FJ8" s="17">
        <v>0.8</v>
      </c>
      <c r="FK8" s="17">
        <v>0</v>
      </c>
      <c r="FL8" s="17">
        <v>17.2</v>
      </c>
      <c r="FM8" s="17">
        <v>3.6</v>
      </c>
      <c r="FN8" s="17">
        <v>0</v>
      </c>
      <c r="FO8" s="17">
        <v>0</v>
      </c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>
        <f t="shared" si="52"/>
        <v>12</v>
      </c>
      <c r="GC8" s="40">
        <f t="shared" si="53"/>
        <v>46.800000000000004</v>
      </c>
      <c r="GD8" s="40" t="str">
        <f t="shared" si="54"/>
        <v/>
      </c>
      <c r="GE8" s="40">
        <f t="shared" si="55"/>
        <v>12</v>
      </c>
      <c r="GF8" s="40">
        <f t="shared" si="56"/>
        <v>46.800000000000004</v>
      </c>
      <c r="GG8" s="40" t="str">
        <f t="shared" si="57"/>
        <v/>
      </c>
      <c r="GH8" s="40" t="str">
        <f t="shared" si="58"/>
        <v/>
      </c>
      <c r="GI8" s="40">
        <f t="shared" si="59"/>
        <v>46.800000000000004</v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0"/>
        <v/>
      </c>
      <c r="HE8" s="11" t="str">
        <f t="shared" si="61"/>
        <v/>
      </c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68"/>
        <v/>
      </c>
      <c r="IG8" s="40" t="str">
        <f t="shared" si="69"/>
        <v/>
      </c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6"/>
        <v/>
      </c>
      <c r="JI8" s="11" t="str">
        <f t="shared" si="77"/>
        <v/>
      </c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4"/>
        <v/>
      </c>
      <c r="KK8" s="40" t="str">
        <f t="shared" si="85"/>
        <v/>
      </c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2"/>
        <v/>
      </c>
      <c r="LM8" s="11" t="str">
        <f t="shared" si="93"/>
        <v/>
      </c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0"/>
        <v/>
      </c>
      <c r="MO8" s="40" t="str">
        <f t="shared" si="101"/>
        <v/>
      </c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08"/>
        <v/>
      </c>
      <c r="NQ8" s="11" t="str">
        <f t="shared" si="109"/>
        <v/>
      </c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6"/>
        <v/>
      </c>
      <c r="OS8" s="40" t="str">
        <f t="shared" si="117"/>
        <v/>
      </c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4"/>
        <v/>
      </c>
      <c r="PU8" s="11" t="str">
        <f t="shared" si="125"/>
        <v/>
      </c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2"/>
        <v/>
      </c>
      <c r="QW8" s="40" t="str">
        <f t="shared" si="133"/>
        <v/>
      </c>
      <c r="QX8" s="40" t="str">
        <f t="shared" si="134"/>
        <v/>
      </c>
      <c r="QY8" s="40" t="str">
        <f t="shared" si="135"/>
        <v/>
      </c>
      <c r="QZ8" s="40" t="str">
        <f t="shared" si="136"/>
        <v/>
      </c>
      <c r="RA8" s="40" t="str">
        <f t="shared" si="137"/>
        <v/>
      </c>
      <c r="RB8" s="40" t="str">
        <f t="shared" si="138"/>
        <v/>
      </c>
      <c r="RC8" s="40" t="str">
        <f t="shared" si="139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0"/>
        <v/>
      </c>
      <c r="RY8" s="11" t="str">
        <f t="shared" si="141"/>
        <v/>
      </c>
      <c r="RZ8" s="11" t="str">
        <f t="shared" si="142"/>
        <v/>
      </c>
      <c r="SA8" s="11" t="str">
        <f t="shared" si="143"/>
        <v/>
      </c>
      <c r="SB8" s="11" t="str">
        <f t="shared" si="144"/>
        <v/>
      </c>
      <c r="SC8" s="11" t="str">
        <f t="shared" si="145"/>
        <v/>
      </c>
      <c r="SD8" s="11" t="str">
        <f t="shared" si="146"/>
        <v/>
      </c>
      <c r="SE8" s="11" t="str">
        <f t="shared" si="147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48"/>
        <v/>
      </c>
      <c r="TA8" s="40" t="str">
        <f t="shared" si="149"/>
        <v/>
      </c>
      <c r="TB8" s="40" t="str">
        <f t="shared" si="150"/>
        <v/>
      </c>
      <c r="TC8" s="40" t="str">
        <f t="shared" si="151"/>
        <v/>
      </c>
      <c r="TD8" s="40" t="str">
        <f t="shared" si="152"/>
        <v/>
      </c>
      <c r="TE8" s="40" t="str">
        <f t="shared" si="153"/>
        <v/>
      </c>
      <c r="TF8" s="40" t="str">
        <f t="shared" si="154"/>
        <v/>
      </c>
      <c r="TG8" s="40" t="str">
        <f t="shared" si="155"/>
        <v/>
      </c>
      <c r="TH8" s="26">
        <f t="shared" si="156"/>
        <v>18.350000000000001</v>
      </c>
      <c r="TI8" s="26">
        <f t="shared" si="157"/>
        <v>8.4</v>
      </c>
      <c r="TJ8" s="26">
        <f t="shared" si="158"/>
        <v>0.7</v>
      </c>
      <c r="TK8" s="26">
        <f t="shared" si="159"/>
        <v>0.3</v>
      </c>
      <c r="TL8" s="26">
        <f t="shared" si="160"/>
        <v>18.7</v>
      </c>
      <c r="TM8" s="26">
        <f t="shared" si="161"/>
        <v>7.8</v>
      </c>
      <c r="TN8" s="26">
        <f t="shared" si="162"/>
        <v>0</v>
      </c>
      <c r="TO8" s="26">
        <f t="shared" si="163"/>
        <v>0</v>
      </c>
      <c r="TP8" s="26">
        <f t="shared" si="164"/>
        <v>9.1999999999999993</v>
      </c>
      <c r="TQ8" s="26">
        <f t="shared" si="165"/>
        <v>4.05</v>
      </c>
      <c r="TR8" s="26">
        <f t="shared" si="166"/>
        <v>0</v>
      </c>
      <c r="TS8" s="26">
        <f t="shared" si="167"/>
        <v>0.15</v>
      </c>
      <c r="TT8" s="26">
        <f t="shared" si="168"/>
        <v>18.25</v>
      </c>
      <c r="TU8" s="26">
        <f t="shared" si="169"/>
        <v>8.4499999999999993</v>
      </c>
      <c r="TV8" s="26">
        <f t="shared" si="170"/>
        <v>0.5</v>
      </c>
      <c r="TW8" s="26">
        <f t="shared" si="171"/>
        <v>0.3</v>
      </c>
      <c r="TX8" s="26">
        <f t="shared" si="172"/>
        <v>18.8</v>
      </c>
      <c r="TY8" s="26">
        <f t="shared" si="173"/>
        <v>8.4</v>
      </c>
      <c r="TZ8" s="26">
        <f t="shared" si="174"/>
        <v>0.4</v>
      </c>
      <c r="UA8" s="26">
        <f t="shared" si="175"/>
        <v>0.15</v>
      </c>
      <c r="UB8" s="28" t="s">
        <v>53</v>
      </c>
      <c r="UC8" s="11">
        <f t="shared" si="176"/>
        <v>16.2</v>
      </c>
      <c r="UD8" s="11">
        <f t="shared" si="177"/>
        <v>52.849999999999994</v>
      </c>
      <c r="UE8" s="11">
        <f t="shared" si="178"/>
        <v>13.4</v>
      </c>
      <c r="UF8" s="11">
        <f t="shared" si="179"/>
        <v>20.25</v>
      </c>
      <c r="UG8" s="11">
        <f t="shared" si="180"/>
        <v>66.25</v>
      </c>
      <c r="UH8" s="11">
        <f t="shared" si="181"/>
        <v>16.850000000000001</v>
      </c>
      <c r="UI8" s="11">
        <f t="shared" si="182"/>
        <v>53.449999999999996</v>
      </c>
      <c r="UJ8" s="11">
        <f t="shared" si="183"/>
        <v>119.69999999999999</v>
      </c>
    </row>
    <row r="9" spans="1:556" x14ac:dyDescent="0.2">
      <c r="A9" s="4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>6</v>
      </c>
      <c r="B9" s="5" t="s">
        <v>255</v>
      </c>
      <c r="C9" s="4" t="s">
        <v>5</v>
      </c>
      <c r="D9" s="4">
        <v>2007</v>
      </c>
      <c r="E9" s="9">
        <f t="shared" si="0"/>
        <v>158.10001051000526</v>
      </c>
      <c r="F9" s="3" t="str">
        <f t="shared" si="1"/>
        <v>P</v>
      </c>
      <c r="G9" s="3" t="str">
        <f t="shared" si="2"/>
        <v>P</v>
      </c>
      <c r="H9" s="36" t="str">
        <f t="shared" si="3"/>
        <v>Worlds Team</v>
      </c>
      <c r="I9" s="3" t="str">
        <f t="shared" si="4"/>
        <v>P</v>
      </c>
      <c r="J9" s="8">
        <f>IF(COUNT(AO9,BR9,CU9)&gt;0,LARGE((AO9,BR9,CU9),1),0)</f>
        <v>52.7</v>
      </c>
      <c r="K9" s="8" t="str">
        <f t="shared" si="5"/>
        <v>2025 Elite Canada</v>
      </c>
      <c r="L9" s="8">
        <f>IF(COUNT(AO9,BR9,CU9)&gt;1,LARGE((AO9,BR9,CU9),2),0)</f>
        <v>52.4</v>
      </c>
      <c r="M9" s="8" t="str">
        <f t="shared" si="6"/>
        <v>2024 3rd Domestic Trial</v>
      </c>
      <c r="N9" s="8">
        <f t="shared" si="7"/>
        <v>53</v>
      </c>
      <c r="O9" s="8" t="str">
        <f t="shared" si="8"/>
        <v>2024 Nationals</v>
      </c>
      <c r="P9" s="8" t="str">
        <f t="shared" si="9"/>
        <v/>
      </c>
      <c r="Q9" s="11" t="str">
        <f t="shared" si="184"/>
        <v/>
      </c>
      <c r="R9" s="8" t="str">
        <f t="shared" si="185"/>
        <v/>
      </c>
      <c r="S9" s="19">
        <v>18.2</v>
      </c>
      <c r="T9" s="19">
        <v>7.2</v>
      </c>
      <c r="U9" s="19">
        <v>1</v>
      </c>
      <c r="V9" s="19"/>
      <c r="W9" s="19">
        <v>17</v>
      </c>
      <c r="X9" s="19">
        <v>8.4</v>
      </c>
      <c r="Y9" s="19">
        <v>1</v>
      </c>
      <c r="Z9" s="19"/>
      <c r="AA9" s="19">
        <v>18</v>
      </c>
      <c r="AB9" s="19">
        <v>6.8</v>
      </c>
      <c r="AC9" s="19">
        <v>0.8</v>
      </c>
      <c r="AD9" s="19"/>
      <c r="AE9" s="19">
        <v>19</v>
      </c>
      <c r="AF9" s="19">
        <v>8.4</v>
      </c>
      <c r="AG9" s="19">
        <v>0</v>
      </c>
      <c r="AH9" s="19"/>
      <c r="AI9" s="19">
        <v>18.8</v>
      </c>
      <c r="AJ9" s="19">
        <v>6.8</v>
      </c>
      <c r="AK9" s="19">
        <v>0</v>
      </c>
      <c r="AL9" s="19"/>
      <c r="AM9" s="27"/>
      <c r="AN9" s="40">
        <f t="shared" si="10"/>
        <v>15.600000000000001</v>
      </c>
      <c r="AO9" s="40">
        <f t="shared" si="11"/>
        <v>48.8</v>
      </c>
      <c r="AP9" s="40">
        <f t="shared" si="12"/>
        <v>24</v>
      </c>
      <c r="AQ9" s="40">
        <f t="shared" si="13"/>
        <v>22.400000000000002</v>
      </c>
      <c r="AR9" s="40">
        <f t="shared" si="14"/>
        <v>72.8</v>
      </c>
      <c r="AS9" s="40">
        <f t="shared" si="15"/>
        <v>15.2</v>
      </c>
      <c r="AT9" s="40">
        <f t="shared" si="16"/>
        <v>53</v>
      </c>
      <c r="AU9" s="40">
        <f t="shared" si="17"/>
        <v>125.8</v>
      </c>
      <c r="AV9" s="18">
        <v>18.7</v>
      </c>
      <c r="AW9" s="18">
        <v>7.2</v>
      </c>
      <c r="AX9" s="18">
        <v>0.8</v>
      </c>
      <c r="AY9" s="18"/>
      <c r="AZ9" s="18">
        <v>18.899999999999999</v>
      </c>
      <c r="BA9" s="18">
        <v>8.4</v>
      </c>
      <c r="BB9" s="18">
        <v>0</v>
      </c>
      <c r="BC9" s="18"/>
      <c r="BD9" s="18">
        <v>18.5</v>
      </c>
      <c r="BE9" s="18">
        <v>7.7</v>
      </c>
      <c r="BF9" s="18">
        <v>0</v>
      </c>
      <c r="BG9" s="18"/>
      <c r="BH9" s="18">
        <v>17.399999999999999</v>
      </c>
      <c r="BI9" s="18">
        <v>4</v>
      </c>
      <c r="BJ9" s="18">
        <v>0</v>
      </c>
      <c r="BK9" s="18"/>
      <c r="BL9" s="18">
        <v>18.2</v>
      </c>
      <c r="BM9" s="18">
        <v>6</v>
      </c>
      <c r="BN9" s="18">
        <v>0</v>
      </c>
      <c r="BO9" s="18"/>
      <c r="BP9" s="28"/>
      <c r="BQ9" s="11">
        <f t="shared" si="18"/>
        <v>15.600000000000001</v>
      </c>
      <c r="BR9" s="11">
        <f t="shared" si="19"/>
        <v>52.4</v>
      </c>
      <c r="BS9" s="11">
        <f t="shared" si="20"/>
        <v>26.2</v>
      </c>
      <c r="BT9" s="11">
        <f t="shared" si="21"/>
        <v>23.3</v>
      </c>
      <c r="BU9" s="11">
        <f t="shared" si="22"/>
        <v>78.599999999999994</v>
      </c>
      <c r="BV9" s="11">
        <f t="shared" si="23"/>
        <v>10</v>
      </c>
      <c r="BW9" s="11">
        <f t="shared" si="24"/>
        <v>45.599999999999994</v>
      </c>
      <c r="BX9" s="11">
        <f t="shared" si="25"/>
        <v>124.19999999999999</v>
      </c>
      <c r="BY9" s="19">
        <v>18.600000000000001</v>
      </c>
      <c r="BZ9" s="19">
        <v>8.4</v>
      </c>
      <c r="CA9" s="19">
        <v>0</v>
      </c>
      <c r="CB9" s="19">
        <v>0</v>
      </c>
      <c r="CC9" s="19">
        <v>18.2</v>
      </c>
      <c r="CD9" s="19">
        <v>7.7</v>
      </c>
      <c r="CE9" s="19">
        <v>0.2</v>
      </c>
      <c r="CF9" s="19">
        <v>0</v>
      </c>
      <c r="CG9" s="19"/>
      <c r="CH9" s="19"/>
      <c r="CI9" s="19"/>
      <c r="CJ9" s="19"/>
      <c r="CK9" s="19">
        <v>18.600000000000001</v>
      </c>
      <c r="CL9" s="19">
        <v>8.4</v>
      </c>
      <c r="CM9" s="19">
        <v>0.6</v>
      </c>
      <c r="CN9" s="19">
        <v>0</v>
      </c>
      <c r="CO9" s="19">
        <v>18.2</v>
      </c>
      <c r="CP9" s="19">
        <v>7.7</v>
      </c>
      <c r="CQ9" s="19">
        <v>0.2</v>
      </c>
      <c r="CR9" s="19">
        <v>0</v>
      </c>
      <c r="CS9" s="27"/>
      <c r="CT9" s="40">
        <f t="shared" si="26"/>
        <v>16.100000000000001</v>
      </c>
      <c r="CU9" s="40">
        <f t="shared" si="27"/>
        <v>52.7</v>
      </c>
      <c r="CV9" s="40" t="str">
        <f t="shared" si="28"/>
        <v/>
      </c>
      <c r="CW9" s="40">
        <f t="shared" si="29"/>
        <v>16.100000000000001</v>
      </c>
      <c r="CX9" s="40">
        <f t="shared" si="30"/>
        <v>52.7</v>
      </c>
      <c r="CY9" s="40">
        <f t="shared" si="31"/>
        <v>16.100000000000001</v>
      </c>
      <c r="CZ9" s="40">
        <f t="shared" si="32"/>
        <v>52.100000000000009</v>
      </c>
      <c r="DA9" s="40">
        <f t="shared" si="33"/>
        <v>104.80000000000001</v>
      </c>
      <c r="DB9" s="51" t="str">
        <f t="shared" si="34"/>
        <v/>
      </c>
      <c r="DC9" s="51" t="str">
        <f t="shared" si="35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6"/>
        <v/>
      </c>
      <c r="DY9" s="40" t="str">
        <f t="shared" si="37"/>
        <v/>
      </c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4"/>
        <v/>
      </c>
      <c r="FA9" s="11" t="str">
        <f t="shared" si="45"/>
        <v/>
      </c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2"/>
        <v/>
      </c>
      <c r="GC9" s="40" t="str">
        <f t="shared" si="53"/>
        <v/>
      </c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0"/>
        <v/>
      </c>
      <c r="HE9" s="11" t="str">
        <f t="shared" si="61"/>
        <v/>
      </c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68"/>
        <v/>
      </c>
      <c r="IG9" s="40" t="str">
        <f t="shared" si="69"/>
        <v/>
      </c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6"/>
        <v/>
      </c>
      <c r="JI9" s="11" t="str">
        <f t="shared" si="77"/>
        <v/>
      </c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4"/>
        <v/>
      </c>
      <c r="KK9" s="40" t="str">
        <f t="shared" si="85"/>
        <v/>
      </c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2"/>
        <v/>
      </c>
      <c r="LM9" s="11" t="str">
        <f t="shared" si="93"/>
        <v/>
      </c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0"/>
        <v/>
      </c>
      <c r="MO9" s="40" t="str">
        <f t="shared" si="101"/>
        <v/>
      </c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08"/>
        <v/>
      </c>
      <c r="NQ9" s="11" t="str">
        <f t="shared" si="109"/>
        <v/>
      </c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6"/>
        <v/>
      </c>
      <c r="OS9" s="40" t="str">
        <f t="shared" si="117"/>
        <v/>
      </c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4"/>
        <v/>
      </c>
      <c r="PU9" s="11" t="str">
        <f t="shared" si="125"/>
        <v/>
      </c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2"/>
        <v/>
      </c>
      <c r="QW9" s="40" t="str">
        <f t="shared" si="133"/>
        <v/>
      </c>
      <c r="QX9" s="40" t="str">
        <f t="shared" si="134"/>
        <v/>
      </c>
      <c r="QY9" s="40" t="str">
        <f t="shared" si="135"/>
        <v/>
      </c>
      <c r="QZ9" s="40" t="str">
        <f t="shared" si="136"/>
        <v/>
      </c>
      <c r="RA9" s="40" t="str">
        <f t="shared" si="137"/>
        <v/>
      </c>
      <c r="RB9" s="40" t="str">
        <f t="shared" si="138"/>
        <v/>
      </c>
      <c r="RC9" s="40" t="str">
        <f t="shared" si="139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0"/>
        <v/>
      </c>
      <c r="RY9" s="11" t="str">
        <f t="shared" si="141"/>
        <v/>
      </c>
      <c r="RZ9" s="11" t="str">
        <f t="shared" si="142"/>
        <v/>
      </c>
      <c r="SA9" s="11" t="str">
        <f t="shared" si="143"/>
        <v/>
      </c>
      <c r="SB9" s="11" t="str">
        <f t="shared" si="144"/>
        <v/>
      </c>
      <c r="SC9" s="11" t="str">
        <f t="shared" si="145"/>
        <v/>
      </c>
      <c r="SD9" s="11" t="str">
        <f t="shared" si="146"/>
        <v/>
      </c>
      <c r="SE9" s="11" t="str">
        <f t="shared" si="147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48"/>
        <v/>
      </c>
      <c r="TA9" s="40" t="str">
        <f t="shared" si="149"/>
        <v/>
      </c>
      <c r="TB9" s="40" t="str">
        <f t="shared" si="150"/>
        <v/>
      </c>
      <c r="TC9" s="40" t="str">
        <f t="shared" si="151"/>
        <v/>
      </c>
      <c r="TD9" s="40" t="str">
        <f t="shared" si="152"/>
        <v/>
      </c>
      <c r="TE9" s="40" t="str">
        <f t="shared" si="153"/>
        <v/>
      </c>
      <c r="TF9" s="40" t="str">
        <f t="shared" si="154"/>
        <v/>
      </c>
      <c r="TG9" s="40" t="str">
        <f t="shared" si="155"/>
        <v/>
      </c>
      <c r="TH9" s="26">
        <f t="shared" si="156"/>
        <v>18.649999999999999</v>
      </c>
      <c r="TI9" s="26">
        <f t="shared" si="157"/>
        <v>7.8000000000000007</v>
      </c>
      <c r="TJ9" s="26">
        <f t="shared" si="158"/>
        <v>0.4</v>
      </c>
      <c r="TK9" s="26">
        <f t="shared" si="159"/>
        <v>0</v>
      </c>
      <c r="TL9" s="26">
        <f t="shared" si="160"/>
        <v>18.549999999999997</v>
      </c>
      <c r="TM9" s="26">
        <f t="shared" si="161"/>
        <v>8.0500000000000007</v>
      </c>
      <c r="TN9" s="26">
        <f t="shared" si="162"/>
        <v>0.1</v>
      </c>
      <c r="TO9" s="26">
        <f t="shared" si="163"/>
        <v>0</v>
      </c>
      <c r="TP9" s="26">
        <f t="shared" si="164"/>
        <v>9.25</v>
      </c>
      <c r="TQ9" s="26">
        <f t="shared" si="165"/>
        <v>3.85</v>
      </c>
      <c r="TR9" s="26">
        <f t="shared" si="166"/>
        <v>0</v>
      </c>
      <c r="TS9" s="26">
        <f t="shared" si="167"/>
        <v>0</v>
      </c>
      <c r="TT9" s="26">
        <f t="shared" si="168"/>
        <v>18</v>
      </c>
      <c r="TU9" s="26">
        <f t="shared" si="169"/>
        <v>6.2</v>
      </c>
      <c r="TV9" s="26">
        <f t="shared" si="170"/>
        <v>0.3</v>
      </c>
      <c r="TW9" s="26">
        <f t="shared" si="171"/>
        <v>0</v>
      </c>
      <c r="TX9" s="26">
        <f t="shared" si="172"/>
        <v>18.2</v>
      </c>
      <c r="TY9" s="26">
        <f t="shared" si="173"/>
        <v>6.85</v>
      </c>
      <c r="TZ9" s="26">
        <f t="shared" si="174"/>
        <v>0.1</v>
      </c>
      <c r="UA9" s="26">
        <f t="shared" si="175"/>
        <v>0</v>
      </c>
      <c r="UB9" s="28" t="s">
        <v>53</v>
      </c>
      <c r="UC9" s="11">
        <f t="shared" si="176"/>
        <v>15.850000000000001</v>
      </c>
      <c r="UD9" s="11">
        <f t="shared" si="177"/>
        <v>52.55</v>
      </c>
      <c r="UE9" s="11">
        <f t="shared" si="178"/>
        <v>13.1</v>
      </c>
      <c r="UF9" s="11">
        <f t="shared" si="179"/>
        <v>19.700000000000003</v>
      </c>
      <c r="UG9" s="11">
        <f t="shared" si="180"/>
        <v>65.649999999999991</v>
      </c>
      <c r="UH9" s="11">
        <f t="shared" si="181"/>
        <v>13.05</v>
      </c>
      <c r="UI9" s="11">
        <f t="shared" si="182"/>
        <v>48.85</v>
      </c>
      <c r="UJ9" s="11">
        <f t="shared" si="183"/>
        <v>114.5</v>
      </c>
    </row>
    <row r="10" spans="1:556" x14ac:dyDescent="0.2">
      <c r="A10" s="4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>7</v>
      </c>
      <c r="B10" s="5" t="s">
        <v>82</v>
      </c>
      <c r="C10" s="4" t="s">
        <v>5</v>
      </c>
      <c r="D10" s="4">
        <v>2003</v>
      </c>
      <c r="E10" s="9">
        <f t="shared" si="0"/>
        <v>156.30000996000524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IF(COUNT(AO10,BR10,CU10)&gt;0,LARGE((AO10,BR10,CU10),1),0)</f>
        <v>52.300000000000004</v>
      </c>
      <c r="K10" s="8" t="str">
        <f t="shared" si="5"/>
        <v>2024 3rd Domestic Trial</v>
      </c>
      <c r="L10" s="8">
        <f>IF(COUNT(AO10,BR10,CU10)&gt;1,LARGE((AO10,BR10,CU10),2),0)</f>
        <v>47.3</v>
      </c>
      <c r="M10" s="8" t="str">
        <f t="shared" si="6"/>
        <v>2024 Nationals</v>
      </c>
      <c r="N10" s="8">
        <f t="shared" si="7"/>
        <v>54.099999999999987</v>
      </c>
      <c r="O10" s="8" t="str">
        <f t="shared" si="8"/>
        <v>2024 Nationals</v>
      </c>
      <c r="P10" s="8">
        <f t="shared" si="9"/>
        <v>2.6000000000000085</v>
      </c>
      <c r="Q10" s="11" t="str">
        <f t="shared" si="184"/>
        <v>(Q1)</v>
      </c>
      <c r="R10" s="8" t="str">
        <f t="shared" si="185"/>
        <v>2024 World Cup POR (July 7)</v>
      </c>
      <c r="S10" s="19">
        <v>18.600000000000001</v>
      </c>
      <c r="T10" s="19">
        <v>8.4</v>
      </c>
      <c r="U10" s="19">
        <v>0.6</v>
      </c>
      <c r="V10" s="19">
        <v>0</v>
      </c>
      <c r="W10" s="19">
        <v>17.3</v>
      </c>
      <c r="X10" s="19">
        <v>3.6</v>
      </c>
      <c r="Y10" s="19">
        <v>0</v>
      </c>
      <c r="Z10" s="19">
        <v>0</v>
      </c>
      <c r="AA10" s="19">
        <v>18.8</v>
      </c>
      <c r="AB10" s="19">
        <v>8.4</v>
      </c>
      <c r="AC10" s="19">
        <v>0</v>
      </c>
      <c r="AD10" s="19">
        <v>0.3</v>
      </c>
      <c r="AE10" s="19">
        <v>19</v>
      </c>
      <c r="AF10" s="19">
        <v>8.4</v>
      </c>
      <c r="AG10" s="19">
        <v>0.2</v>
      </c>
      <c r="AH10" s="19">
        <v>0</v>
      </c>
      <c r="AI10" s="19">
        <v>18.2</v>
      </c>
      <c r="AJ10" s="19">
        <v>8.4</v>
      </c>
      <c r="AK10" s="19">
        <v>0</v>
      </c>
      <c r="AL10" s="19">
        <v>0.3</v>
      </c>
      <c r="AM10" s="27"/>
      <c r="AN10" s="40">
        <f t="shared" si="10"/>
        <v>12</v>
      </c>
      <c r="AO10" s="40">
        <f t="shared" si="11"/>
        <v>47.3</v>
      </c>
      <c r="AP10" s="40">
        <f t="shared" si="12"/>
        <v>27.500000000000004</v>
      </c>
      <c r="AQ10" s="40">
        <f t="shared" si="13"/>
        <v>20.399999999999999</v>
      </c>
      <c r="AR10" s="40">
        <f t="shared" si="14"/>
        <v>74.8</v>
      </c>
      <c r="AS10" s="40">
        <f t="shared" si="15"/>
        <v>16.8</v>
      </c>
      <c r="AT10" s="40">
        <f t="shared" si="16"/>
        <v>54.099999999999987</v>
      </c>
      <c r="AU10" s="40">
        <f t="shared" si="17"/>
        <v>128.89999999999998</v>
      </c>
      <c r="AV10" s="18">
        <v>18.5</v>
      </c>
      <c r="AW10" s="18">
        <v>8.4</v>
      </c>
      <c r="AX10" s="18">
        <v>0.8</v>
      </c>
      <c r="AY10" s="18">
        <v>0.3</v>
      </c>
      <c r="AZ10" s="18">
        <v>18.8</v>
      </c>
      <c r="BA10" s="18">
        <v>7.6</v>
      </c>
      <c r="BB10" s="18">
        <v>0.8</v>
      </c>
      <c r="BC10" s="18">
        <v>0.3</v>
      </c>
      <c r="BD10" s="18">
        <v>17.399999999999999</v>
      </c>
      <c r="BE10" s="18">
        <v>4</v>
      </c>
      <c r="BF10" s="18">
        <v>0</v>
      </c>
      <c r="BG10" s="18">
        <v>0</v>
      </c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 t="shared" si="18"/>
        <v>16</v>
      </c>
      <c r="BR10" s="11">
        <f t="shared" si="19"/>
        <v>52.300000000000004</v>
      </c>
      <c r="BS10" s="11">
        <f t="shared" si="20"/>
        <v>21.4</v>
      </c>
      <c r="BT10" s="11">
        <f t="shared" si="21"/>
        <v>20</v>
      </c>
      <c r="BU10" s="11">
        <f t="shared" si="22"/>
        <v>73.7</v>
      </c>
      <c r="BV10" s="11" t="str">
        <f t="shared" si="23"/>
        <v/>
      </c>
      <c r="BW10" s="11" t="str">
        <f t="shared" si="24"/>
        <v/>
      </c>
      <c r="BX10" s="11">
        <f t="shared" si="25"/>
        <v>73.7</v>
      </c>
      <c r="BY10" s="19">
        <v>17.899999999999999</v>
      </c>
      <c r="BZ10" s="19">
        <v>6.8</v>
      </c>
      <c r="CA10" s="19">
        <v>0.6</v>
      </c>
      <c r="CB10" s="19">
        <v>0</v>
      </c>
      <c r="CC10" s="19">
        <v>0</v>
      </c>
      <c r="CD10" s="19">
        <v>0</v>
      </c>
      <c r="CE10" s="19">
        <v>0</v>
      </c>
      <c r="CF10" s="19">
        <v>0</v>
      </c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27"/>
      <c r="CT10" s="40">
        <f t="shared" si="26"/>
        <v>6.8</v>
      </c>
      <c r="CU10" s="40">
        <f t="shared" si="27"/>
        <v>24.099999999999998</v>
      </c>
      <c r="CV10" s="40" t="str">
        <f t="shared" si="28"/>
        <v/>
      </c>
      <c r="CW10" s="40">
        <f t="shared" si="29"/>
        <v>6.8</v>
      </c>
      <c r="CX10" s="40">
        <f t="shared" si="30"/>
        <v>24.099999999999998</v>
      </c>
      <c r="CY10" s="40" t="str">
        <f t="shared" si="31"/>
        <v/>
      </c>
      <c r="CZ10" s="40" t="str">
        <f t="shared" si="32"/>
        <v/>
      </c>
      <c r="DA10" s="40">
        <f t="shared" si="33"/>
        <v>24.099999999999998</v>
      </c>
      <c r="DB10" s="51">
        <f t="shared" si="34"/>
        <v>2.6000000000000085</v>
      </c>
      <c r="DC10" s="51" t="str">
        <f t="shared" si="35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6"/>
        <v/>
      </c>
      <c r="DY10" s="40" t="str">
        <f t="shared" si="37"/>
        <v/>
      </c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4"/>
        <v/>
      </c>
      <c r="FA10" s="11" t="str">
        <f t="shared" si="45"/>
        <v/>
      </c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 t="shared" si="52"/>
        <v/>
      </c>
      <c r="GC10" s="40" t="str">
        <f t="shared" si="53"/>
        <v/>
      </c>
      <c r="GD10" s="40" t="str">
        <f t="shared" si="54"/>
        <v/>
      </c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18">
        <v>16.3</v>
      </c>
      <c r="GK10" s="18">
        <v>8</v>
      </c>
      <c r="GL10" s="18">
        <v>0.8</v>
      </c>
      <c r="GM10" s="18">
        <v>0</v>
      </c>
      <c r="GN10" s="18">
        <v>18.600000000000001</v>
      </c>
      <c r="GO10" s="18">
        <v>8.4</v>
      </c>
      <c r="GP10" s="18">
        <v>0.6</v>
      </c>
      <c r="GQ10" s="18">
        <v>0</v>
      </c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>
        <f t="shared" si="60"/>
        <v>16.399999999999999</v>
      </c>
      <c r="HE10" s="11">
        <f t="shared" si="61"/>
        <v>49.900000000000006</v>
      </c>
      <c r="HF10" s="11" t="str">
        <f t="shared" si="62"/>
        <v/>
      </c>
      <c r="HG10" s="11">
        <f t="shared" si="63"/>
        <v>16.399999999999999</v>
      </c>
      <c r="HH10" s="11">
        <f t="shared" si="64"/>
        <v>49.900000000000006</v>
      </c>
      <c r="HI10" s="11" t="str">
        <f t="shared" si="65"/>
        <v/>
      </c>
      <c r="HJ10" s="11" t="str">
        <f t="shared" si="66"/>
        <v/>
      </c>
      <c r="HK10" s="11">
        <f t="shared" si="67"/>
        <v>49.900000000000006</v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68"/>
        <v/>
      </c>
      <c r="IG10" s="40" t="str">
        <f t="shared" si="69"/>
        <v/>
      </c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6"/>
        <v/>
      </c>
      <c r="JI10" s="11" t="str">
        <f t="shared" si="77"/>
        <v/>
      </c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4"/>
        <v/>
      </c>
      <c r="KK10" s="40" t="str">
        <f t="shared" si="85"/>
        <v/>
      </c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2"/>
        <v/>
      </c>
      <c r="LM10" s="11" t="str">
        <f t="shared" si="93"/>
        <v/>
      </c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0"/>
        <v/>
      </c>
      <c r="MO10" s="40" t="str">
        <f t="shared" si="101"/>
        <v/>
      </c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08"/>
        <v/>
      </c>
      <c r="NQ10" s="11" t="str">
        <f t="shared" si="109"/>
        <v/>
      </c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6"/>
        <v/>
      </c>
      <c r="OS10" s="40" t="str">
        <f t="shared" si="117"/>
        <v/>
      </c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4"/>
        <v/>
      </c>
      <c r="PU10" s="11" t="str">
        <f t="shared" si="125"/>
        <v/>
      </c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2"/>
        <v/>
      </c>
      <c r="QW10" s="40" t="str">
        <f t="shared" si="133"/>
        <v/>
      </c>
      <c r="QX10" s="40" t="str">
        <f t="shared" si="134"/>
        <v/>
      </c>
      <c r="QY10" s="40" t="str">
        <f t="shared" si="135"/>
        <v/>
      </c>
      <c r="QZ10" s="40" t="str">
        <f t="shared" si="136"/>
        <v/>
      </c>
      <c r="RA10" s="40" t="str">
        <f t="shared" si="137"/>
        <v/>
      </c>
      <c r="RB10" s="40" t="str">
        <f t="shared" si="138"/>
        <v/>
      </c>
      <c r="RC10" s="40" t="str">
        <f t="shared" si="139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0"/>
        <v/>
      </c>
      <c r="RY10" s="11" t="str">
        <f t="shared" si="141"/>
        <v/>
      </c>
      <c r="RZ10" s="11" t="str">
        <f t="shared" si="142"/>
        <v/>
      </c>
      <c r="SA10" s="11" t="str">
        <f t="shared" si="143"/>
        <v/>
      </c>
      <c r="SB10" s="11" t="str">
        <f t="shared" si="144"/>
        <v/>
      </c>
      <c r="SC10" s="11" t="str">
        <f t="shared" si="145"/>
        <v/>
      </c>
      <c r="SD10" s="11" t="str">
        <f t="shared" si="146"/>
        <v/>
      </c>
      <c r="SE10" s="11" t="str">
        <f t="shared" si="147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48"/>
        <v/>
      </c>
      <c r="TA10" s="40" t="str">
        <f t="shared" si="149"/>
        <v/>
      </c>
      <c r="TB10" s="40" t="str">
        <f t="shared" si="150"/>
        <v/>
      </c>
      <c r="TC10" s="40" t="str">
        <f t="shared" si="151"/>
        <v/>
      </c>
      <c r="TD10" s="40" t="str">
        <f t="shared" si="152"/>
        <v/>
      </c>
      <c r="TE10" s="40" t="str">
        <f t="shared" si="153"/>
        <v/>
      </c>
      <c r="TF10" s="40" t="str">
        <f t="shared" si="154"/>
        <v/>
      </c>
      <c r="TG10" s="40" t="str">
        <f t="shared" si="155"/>
        <v/>
      </c>
      <c r="TH10" s="26">
        <f t="shared" si="156"/>
        <v>18.2</v>
      </c>
      <c r="TI10" s="26">
        <f t="shared" si="157"/>
        <v>7.6</v>
      </c>
      <c r="TJ10" s="26">
        <f t="shared" si="158"/>
        <v>0.7</v>
      </c>
      <c r="TK10" s="26">
        <f t="shared" si="159"/>
        <v>0.15</v>
      </c>
      <c r="TL10" s="26">
        <f t="shared" si="160"/>
        <v>9.4</v>
      </c>
      <c r="TM10" s="26">
        <f t="shared" si="161"/>
        <v>3.8</v>
      </c>
      <c r="TN10" s="26">
        <f t="shared" si="162"/>
        <v>0.4</v>
      </c>
      <c r="TO10" s="26">
        <f t="shared" si="163"/>
        <v>0.15</v>
      </c>
      <c r="TP10" s="26">
        <f t="shared" si="164"/>
        <v>8.6999999999999993</v>
      </c>
      <c r="TQ10" s="26">
        <f t="shared" si="165"/>
        <v>2</v>
      </c>
      <c r="TR10" s="26">
        <f t="shared" si="166"/>
        <v>0</v>
      </c>
      <c r="TS10" s="26">
        <f t="shared" si="167"/>
        <v>0</v>
      </c>
      <c r="TT10" s="26">
        <f t="shared" si="168"/>
        <v>0</v>
      </c>
      <c r="TU10" s="26">
        <f t="shared" si="169"/>
        <v>0</v>
      </c>
      <c r="TV10" s="26">
        <f t="shared" si="170"/>
        <v>0</v>
      </c>
      <c r="TW10" s="26">
        <f t="shared" si="171"/>
        <v>0</v>
      </c>
      <c r="TX10" s="26">
        <f t="shared" si="172"/>
        <v>0</v>
      </c>
      <c r="TY10" s="26">
        <f t="shared" si="173"/>
        <v>0</v>
      </c>
      <c r="TZ10" s="26">
        <f t="shared" si="174"/>
        <v>0</v>
      </c>
      <c r="UA10" s="26">
        <f t="shared" si="175"/>
        <v>0</v>
      </c>
      <c r="UB10" s="28" t="s">
        <v>53</v>
      </c>
      <c r="UC10" s="11">
        <f t="shared" si="176"/>
        <v>11.399999999999999</v>
      </c>
      <c r="UD10" s="11">
        <f t="shared" si="177"/>
        <v>38.199999999999989</v>
      </c>
      <c r="UE10" s="11">
        <f t="shared" si="178"/>
        <v>10.7</v>
      </c>
      <c r="UF10" s="11">
        <f t="shared" si="179"/>
        <v>13.399999999999999</v>
      </c>
      <c r="UG10" s="11">
        <f t="shared" si="180"/>
        <v>48.899999999999991</v>
      </c>
      <c r="UH10" s="11" t="str">
        <f t="shared" si="181"/>
        <v/>
      </c>
      <c r="UI10" s="11" t="str">
        <f t="shared" si="182"/>
        <v/>
      </c>
      <c r="UJ10" s="11">
        <f t="shared" si="183"/>
        <v>48.899999999999991</v>
      </c>
    </row>
    <row r="11" spans="1:556" x14ac:dyDescent="0.2">
      <c r="A11" s="4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>8</v>
      </c>
      <c r="B11" s="5" t="s">
        <v>157</v>
      </c>
      <c r="C11" s="4" t="s">
        <v>7</v>
      </c>
      <c r="D11" s="4">
        <v>2006</v>
      </c>
      <c r="E11" s="9">
        <f t="shared" si="0"/>
        <v>156.10001051000532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52.999999999999993</v>
      </c>
      <c r="K11" s="8" t="str">
        <f t="shared" si="5"/>
        <v>2025 Elite Canada</v>
      </c>
      <c r="L11" s="8">
        <f>IF(COUNT(AO11,BR11,CU11)&gt;1,LARGE((AO11,BR11,CU11),2),0)</f>
        <v>52.099999999999994</v>
      </c>
      <c r="M11" s="8" t="str">
        <f t="shared" si="6"/>
        <v>2024 3rd Domestic Trial</v>
      </c>
      <c r="N11" s="8">
        <f t="shared" si="7"/>
        <v>50.499999999999993</v>
      </c>
      <c r="O11" s="8" t="str">
        <f t="shared" si="8"/>
        <v>2025 Elite Canada</v>
      </c>
      <c r="P11" s="8">
        <f t="shared" si="9"/>
        <v>0.50000000000001421</v>
      </c>
      <c r="Q11" s="11" t="str">
        <f t="shared" si="184"/>
        <v>(Q1)</v>
      </c>
      <c r="R11" s="8" t="str">
        <f t="shared" si="185"/>
        <v>2024 Coimbra Gym Fest (July 7)</v>
      </c>
      <c r="S11" s="19">
        <v>18.8</v>
      </c>
      <c r="T11" s="19">
        <v>7.6</v>
      </c>
      <c r="U11" s="19">
        <v>0.6</v>
      </c>
      <c r="V11" s="19">
        <v>0</v>
      </c>
      <c r="W11" s="19">
        <v>18.2</v>
      </c>
      <c r="X11" s="19">
        <v>3.2</v>
      </c>
      <c r="Y11" s="19">
        <v>1.6</v>
      </c>
      <c r="Z11" s="19">
        <v>0</v>
      </c>
      <c r="AA11" s="19">
        <v>16.600000000000001</v>
      </c>
      <c r="AB11" s="19">
        <v>7.3</v>
      </c>
      <c r="AC11" s="19">
        <v>0.2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 t="shared" si="10"/>
        <v>10.8</v>
      </c>
      <c r="AO11" s="40">
        <f t="shared" si="11"/>
        <v>45.599999999999994</v>
      </c>
      <c r="AP11" s="40">
        <f t="shared" si="12"/>
        <v>23.700000000000003</v>
      </c>
      <c r="AQ11" s="40">
        <f t="shared" si="13"/>
        <v>18.100000000000001</v>
      </c>
      <c r="AR11" s="40">
        <f t="shared" si="14"/>
        <v>69.3</v>
      </c>
      <c r="AS11" s="40" t="str">
        <f t="shared" si="15"/>
        <v/>
      </c>
      <c r="AT11" s="40" t="str">
        <f t="shared" si="16"/>
        <v/>
      </c>
      <c r="AU11" s="40">
        <f t="shared" si="17"/>
        <v>69.3</v>
      </c>
      <c r="AV11" s="18">
        <v>19</v>
      </c>
      <c r="AW11" s="18">
        <v>8.4</v>
      </c>
      <c r="AX11" s="18">
        <v>0</v>
      </c>
      <c r="AY11" s="18">
        <v>0</v>
      </c>
      <c r="AZ11" s="18">
        <v>18.7</v>
      </c>
      <c r="BA11" s="18">
        <v>6</v>
      </c>
      <c r="BB11" s="18">
        <v>0</v>
      </c>
      <c r="BC11" s="18">
        <v>0</v>
      </c>
      <c r="BD11" s="18">
        <v>18.8</v>
      </c>
      <c r="BE11" s="18">
        <v>7.3</v>
      </c>
      <c r="BF11" s="18">
        <v>0</v>
      </c>
      <c r="BG11" s="18">
        <v>0</v>
      </c>
      <c r="BH11" s="18">
        <v>17.2</v>
      </c>
      <c r="BI11" s="18">
        <v>4</v>
      </c>
      <c r="BJ11" s="18">
        <v>0</v>
      </c>
      <c r="BK11" s="18">
        <v>0</v>
      </c>
      <c r="BL11" s="18">
        <v>18.2</v>
      </c>
      <c r="BM11" s="18">
        <v>7.3</v>
      </c>
      <c r="BN11" s="18">
        <v>0</v>
      </c>
      <c r="BO11" s="18">
        <v>0</v>
      </c>
      <c r="BP11" s="28"/>
      <c r="BQ11" s="11">
        <f t="shared" si="18"/>
        <v>14.4</v>
      </c>
      <c r="BR11" s="11">
        <f t="shared" si="19"/>
        <v>52.099999999999994</v>
      </c>
      <c r="BS11" s="11">
        <f t="shared" si="20"/>
        <v>26.1</v>
      </c>
      <c r="BT11" s="11">
        <f t="shared" si="21"/>
        <v>21.7</v>
      </c>
      <c r="BU11" s="11">
        <f t="shared" si="22"/>
        <v>78.199999999999989</v>
      </c>
      <c r="BV11" s="11">
        <f t="shared" si="23"/>
        <v>11.3</v>
      </c>
      <c r="BW11" s="11">
        <f t="shared" si="24"/>
        <v>46.699999999999996</v>
      </c>
      <c r="BX11" s="11">
        <f t="shared" si="25"/>
        <v>124.89999999999998</v>
      </c>
      <c r="BY11" s="19">
        <v>19.2</v>
      </c>
      <c r="BZ11" s="19">
        <v>8.4</v>
      </c>
      <c r="CA11" s="19">
        <v>0.6</v>
      </c>
      <c r="CB11" s="19">
        <v>0</v>
      </c>
      <c r="CC11" s="19">
        <v>18.7</v>
      </c>
      <c r="CD11" s="19">
        <v>7.3</v>
      </c>
      <c r="CE11" s="19">
        <v>0</v>
      </c>
      <c r="CF11" s="19">
        <v>0</v>
      </c>
      <c r="CG11" s="19"/>
      <c r="CH11" s="19"/>
      <c r="CI11" s="19"/>
      <c r="CJ11" s="19"/>
      <c r="CK11" s="19">
        <v>18.7</v>
      </c>
      <c r="CL11" s="19">
        <v>6</v>
      </c>
      <c r="CM11" s="19">
        <v>1.4</v>
      </c>
      <c r="CN11" s="19">
        <v>0</v>
      </c>
      <c r="CO11" s="19">
        <v>17.899999999999999</v>
      </c>
      <c r="CP11" s="19">
        <v>9.6</v>
      </c>
      <c r="CQ11" s="19">
        <v>0.6</v>
      </c>
      <c r="CR11" s="19">
        <v>0.3</v>
      </c>
      <c r="CS11" s="27"/>
      <c r="CT11" s="40">
        <f t="shared" si="26"/>
        <v>15.7</v>
      </c>
      <c r="CU11" s="40">
        <f t="shared" si="27"/>
        <v>52.999999999999993</v>
      </c>
      <c r="CV11" s="40" t="str">
        <f t="shared" si="28"/>
        <v/>
      </c>
      <c r="CW11" s="40">
        <f t="shared" si="29"/>
        <v>15.7</v>
      </c>
      <c r="CX11" s="40">
        <f t="shared" si="30"/>
        <v>52.999999999999993</v>
      </c>
      <c r="CY11" s="40">
        <f t="shared" si="31"/>
        <v>15.6</v>
      </c>
      <c r="CZ11" s="40">
        <f t="shared" si="32"/>
        <v>50.499999999999993</v>
      </c>
      <c r="DA11" s="40">
        <f t="shared" si="33"/>
        <v>103.49999999999999</v>
      </c>
      <c r="DB11" s="51">
        <f t="shared" si="34"/>
        <v>0.50000000000001421</v>
      </c>
      <c r="DC11" s="51" t="str">
        <f t="shared" si="35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6"/>
        <v/>
      </c>
      <c r="DY11" s="40" t="str">
        <f t="shared" si="37"/>
        <v/>
      </c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4"/>
        <v/>
      </c>
      <c r="FA11" s="11" t="str">
        <f t="shared" si="45"/>
        <v/>
      </c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7">
        <v>19</v>
      </c>
      <c r="FI11" s="17">
        <v>8.4</v>
      </c>
      <c r="FJ11" s="17">
        <v>0</v>
      </c>
      <c r="FK11" s="17">
        <v>0</v>
      </c>
      <c r="FL11" s="17">
        <v>18.3</v>
      </c>
      <c r="FM11" s="17">
        <v>7.7</v>
      </c>
      <c r="FN11" s="17">
        <v>0.8</v>
      </c>
      <c r="FO11" s="17">
        <v>0</v>
      </c>
      <c r="FP11" s="17"/>
      <c r="FQ11" s="17"/>
      <c r="FR11" s="17"/>
      <c r="FS11" s="17"/>
      <c r="FT11" s="17">
        <v>18.899999999999999</v>
      </c>
      <c r="FU11" s="17">
        <v>8.4</v>
      </c>
      <c r="FV11" s="17">
        <v>0.6</v>
      </c>
      <c r="FW11" s="17">
        <v>0</v>
      </c>
      <c r="FX11" s="17">
        <v>16.399999999999999</v>
      </c>
      <c r="FY11" s="17">
        <v>7.7</v>
      </c>
      <c r="FZ11" s="17">
        <v>0.8</v>
      </c>
      <c r="GA11" s="17">
        <v>0</v>
      </c>
      <c r="GB11" s="40">
        <f t="shared" si="52"/>
        <v>16.100000000000001</v>
      </c>
      <c r="GC11" s="40">
        <f t="shared" si="53"/>
        <v>52.600000000000009</v>
      </c>
      <c r="GD11" s="40" t="str">
        <f t="shared" si="54"/>
        <v/>
      </c>
      <c r="GE11" s="40">
        <f t="shared" si="55"/>
        <v>16.100000000000001</v>
      </c>
      <c r="GF11" s="40">
        <f t="shared" si="56"/>
        <v>52.600000000000009</v>
      </c>
      <c r="GG11" s="40">
        <f t="shared" si="57"/>
        <v>16.100000000000001</v>
      </c>
      <c r="GH11" s="40">
        <f t="shared" si="58"/>
        <v>50</v>
      </c>
      <c r="GI11" s="40">
        <f t="shared" si="59"/>
        <v>102.60000000000001</v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0"/>
        <v/>
      </c>
      <c r="HE11" s="11" t="str">
        <f t="shared" si="61"/>
        <v/>
      </c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68"/>
        <v/>
      </c>
      <c r="IG11" s="40" t="str">
        <f t="shared" si="69"/>
        <v/>
      </c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6"/>
        <v/>
      </c>
      <c r="JI11" s="11" t="str">
        <f t="shared" si="77"/>
        <v/>
      </c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4"/>
        <v/>
      </c>
      <c r="KK11" s="40" t="str">
        <f t="shared" si="85"/>
        <v/>
      </c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2"/>
        <v/>
      </c>
      <c r="LM11" s="11" t="str">
        <f t="shared" si="93"/>
        <v/>
      </c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0"/>
        <v/>
      </c>
      <c r="MO11" s="40" t="str">
        <f t="shared" si="101"/>
        <v/>
      </c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08"/>
        <v/>
      </c>
      <c r="NQ11" s="11" t="str">
        <f t="shared" si="109"/>
        <v/>
      </c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6"/>
        <v/>
      </c>
      <c r="OS11" s="40" t="str">
        <f t="shared" si="117"/>
        <v/>
      </c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4"/>
        <v/>
      </c>
      <c r="PU11" s="11" t="str">
        <f t="shared" si="125"/>
        <v/>
      </c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2"/>
        <v/>
      </c>
      <c r="QW11" s="40" t="str">
        <f t="shared" si="133"/>
        <v/>
      </c>
      <c r="QX11" s="40" t="str">
        <f t="shared" si="134"/>
        <v/>
      </c>
      <c r="QY11" s="40" t="str">
        <f t="shared" si="135"/>
        <v/>
      </c>
      <c r="QZ11" s="40" t="str">
        <f t="shared" si="136"/>
        <v/>
      </c>
      <c r="RA11" s="40" t="str">
        <f t="shared" si="137"/>
        <v/>
      </c>
      <c r="RB11" s="40" t="str">
        <f t="shared" si="138"/>
        <v/>
      </c>
      <c r="RC11" s="40" t="str">
        <f t="shared" si="139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0"/>
        <v/>
      </c>
      <c r="RY11" s="11" t="str">
        <f t="shared" si="141"/>
        <v/>
      </c>
      <c r="RZ11" s="11" t="str">
        <f t="shared" si="142"/>
        <v/>
      </c>
      <c r="SA11" s="11" t="str">
        <f t="shared" si="143"/>
        <v/>
      </c>
      <c r="SB11" s="11" t="str">
        <f t="shared" si="144"/>
        <v/>
      </c>
      <c r="SC11" s="11" t="str">
        <f t="shared" si="145"/>
        <v/>
      </c>
      <c r="SD11" s="11" t="str">
        <f t="shared" si="146"/>
        <v/>
      </c>
      <c r="SE11" s="11" t="str">
        <f t="shared" si="147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48"/>
        <v/>
      </c>
      <c r="TA11" s="40" t="str">
        <f t="shared" si="149"/>
        <v/>
      </c>
      <c r="TB11" s="40" t="str">
        <f t="shared" si="150"/>
        <v/>
      </c>
      <c r="TC11" s="40" t="str">
        <f t="shared" si="151"/>
        <v/>
      </c>
      <c r="TD11" s="40" t="str">
        <f t="shared" si="152"/>
        <v/>
      </c>
      <c r="TE11" s="40" t="str">
        <f t="shared" si="153"/>
        <v/>
      </c>
      <c r="TF11" s="40" t="str">
        <f t="shared" si="154"/>
        <v/>
      </c>
      <c r="TG11" s="40" t="str">
        <f t="shared" si="155"/>
        <v/>
      </c>
      <c r="TH11" s="26">
        <f t="shared" si="156"/>
        <v>19.100000000000001</v>
      </c>
      <c r="TI11" s="26">
        <f t="shared" si="157"/>
        <v>8.4</v>
      </c>
      <c r="TJ11" s="26">
        <f t="shared" si="158"/>
        <v>0.3</v>
      </c>
      <c r="TK11" s="26">
        <f t="shared" si="159"/>
        <v>0</v>
      </c>
      <c r="TL11" s="26">
        <f t="shared" si="160"/>
        <v>18.7</v>
      </c>
      <c r="TM11" s="26">
        <f t="shared" si="161"/>
        <v>6.65</v>
      </c>
      <c r="TN11" s="26">
        <f t="shared" si="162"/>
        <v>0</v>
      </c>
      <c r="TO11" s="26">
        <f t="shared" si="163"/>
        <v>0</v>
      </c>
      <c r="TP11" s="26">
        <f t="shared" si="164"/>
        <v>9.4</v>
      </c>
      <c r="TQ11" s="26">
        <f t="shared" si="165"/>
        <v>3.65</v>
      </c>
      <c r="TR11" s="26">
        <f t="shared" si="166"/>
        <v>0</v>
      </c>
      <c r="TS11" s="26">
        <f t="shared" si="167"/>
        <v>0</v>
      </c>
      <c r="TT11" s="26">
        <f t="shared" si="168"/>
        <v>17.95</v>
      </c>
      <c r="TU11" s="26">
        <f t="shared" si="169"/>
        <v>5</v>
      </c>
      <c r="TV11" s="26">
        <f t="shared" si="170"/>
        <v>0.7</v>
      </c>
      <c r="TW11" s="26">
        <f t="shared" si="171"/>
        <v>0</v>
      </c>
      <c r="TX11" s="26">
        <f t="shared" si="172"/>
        <v>18.049999999999997</v>
      </c>
      <c r="TY11" s="26">
        <f t="shared" si="173"/>
        <v>8.4499999999999993</v>
      </c>
      <c r="TZ11" s="26">
        <f t="shared" si="174"/>
        <v>0.3</v>
      </c>
      <c r="UA11" s="26">
        <f t="shared" si="175"/>
        <v>0.15</v>
      </c>
      <c r="UB11" s="28" t="s">
        <v>53</v>
      </c>
      <c r="UC11" s="11">
        <f t="shared" si="176"/>
        <v>15.05</v>
      </c>
      <c r="UD11" s="11">
        <f t="shared" si="177"/>
        <v>52.550000000000004</v>
      </c>
      <c r="UE11" s="11">
        <f t="shared" si="178"/>
        <v>13.05</v>
      </c>
      <c r="UF11" s="11">
        <f t="shared" si="179"/>
        <v>18.7</v>
      </c>
      <c r="UG11" s="11">
        <f t="shared" si="180"/>
        <v>65.600000000000009</v>
      </c>
      <c r="UH11" s="11">
        <f t="shared" si="181"/>
        <v>13.45</v>
      </c>
      <c r="UI11" s="11">
        <f t="shared" si="182"/>
        <v>48.6</v>
      </c>
      <c r="UJ11" s="11">
        <f t="shared" si="183"/>
        <v>114.20000000000002</v>
      </c>
    </row>
    <row r="12" spans="1:556" x14ac:dyDescent="0.2">
      <c r="A12" s="4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>9</v>
      </c>
      <c r="B12" s="5" t="s">
        <v>181</v>
      </c>
      <c r="C12" s="4" t="s">
        <v>6</v>
      </c>
      <c r="D12" s="4">
        <v>2007</v>
      </c>
      <c r="E12" s="9">
        <f t="shared" si="0"/>
        <v>154.60001005000507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IF(COUNT(AO12,BR12,CU12)&gt;0,LARGE((AO12,BR12,CU12),1),0)</f>
        <v>50.5</v>
      </c>
      <c r="K12" s="8" t="str">
        <f t="shared" si="5"/>
        <v>2024 Nationals</v>
      </c>
      <c r="L12" s="8">
        <f>IF(COUNT(AO12,BR12,CU12)&gt;1,LARGE((AO12,BR12,CU12),2),0)</f>
        <v>49.999999999999993</v>
      </c>
      <c r="M12" s="8" t="str">
        <f t="shared" si="6"/>
        <v>2025 Elite Canada</v>
      </c>
      <c r="N12" s="8">
        <f t="shared" si="7"/>
        <v>50.800000000000004</v>
      </c>
      <c r="O12" s="8" t="str">
        <f t="shared" si="8"/>
        <v>2025 Elite Canada</v>
      </c>
      <c r="P12" s="8">
        <f t="shared" si="9"/>
        <v>3.3000000000000043</v>
      </c>
      <c r="Q12" s="11" t="str">
        <f t="shared" si="184"/>
        <v>(Q1)</v>
      </c>
      <c r="R12" s="8" t="str">
        <f t="shared" si="185"/>
        <v>2024 Coimbra Gym Fest (July 7)</v>
      </c>
      <c r="S12" s="19">
        <v>16.5</v>
      </c>
      <c r="T12" s="19">
        <v>8.1</v>
      </c>
      <c r="U12" s="19">
        <v>0.2</v>
      </c>
      <c r="V12" s="19">
        <v>0</v>
      </c>
      <c r="W12" s="19">
        <v>18.899999999999999</v>
      </c>
      <c r="X12" s="19">
        <v>7.2</v>
      </c>
      <c r="Y12" s="19">
        <v>0</v>
      </c>
      <c r="Z12" s="19">
        <v>0</v>
      </c>
      <c r="AA12" s="19">
        <v>18.7</v>
      </c>
      <c r="AB12" s="19">
        <v>7.2</v>
      </c>
      <c r="AC12" s="19">
        <v>0.6</v>
      </c>
      <c r="AD12" s="19">
        <v>0.3</v>
      </c>
      <c r="AE12" s="19">
        <v>18.600000000000001</v>
      </c>
      <c r="AF12" s="19">
        <v>7.2</v>
      </c>
      <c r="AG12" s="19">
        <v>1</v>
      </c>
      <c r="AH12" s="19">
        <v>0.3</v>
      </c>
      <c r="AI12" s="19">
        <v>0</v>
      </c>
      <c r="AJ12" s="19">
        <v>0</v>
      </c>
      <c r="AK12" s="19">
        <v>0</v>
      </c>
      <c r="AL12" s="19">
        <v>0</v>
      </c>
      <c r="AM12" s="27"/>
      <c r="AN12" s="40">
        <f t="shared" si="10"/>
        <v>15.3</v>
      </c>
      <c r="AO12" s="40">
        <f t="shared" si="11"/>
        <v>50.5</v>
      </c>
      <c r="AP12" s="40">
        <f t="shared" si="12"/>
        <v>25.599999999999998</v>
      </c>
      <c r="AQ12" s="40">
        <f t="shared" si="13"/>
        <v>22.5</v>
      </c>
      <c r="AR12" s="40">
        <f t="shared" si="14"/>
        <v>76.099999999999994</v>
      </c>
      <c r="AS12" s="40">
        <f t="shared" si="15"/>
        <v>7.2</v>
      </c>
      <c r="AT12" s="40">
        <f t="shared" si="16"/>
        <v>25.1</v>
      </c>
      <c r="AU12" s="40">
        <f t="shared" si="17"/>
        <v>101.19999999999999</v>
      </c>
      <c r="AV12" s="18">
        <v>0</v>
      </c>
      <c r="AW12" s="18">
        <v>0</v>
      </c>
      <c r="AX12" s="18">
        <v>0</v>
      </c>
      <c r="AY12" s="18">
        <v>0</v>
      </c>
      <c r="AZ12" s="18">
        <v>17.600000000000001</v>
      </c>
      <c r="BA12" s="18">
        <v>4</v>
      </c>
      <c r="BB12" s="18">
        <v>0</v>
      </c>
      <c r="BC12" s="18">
        <v>0</v>
      </c>
      <c r="BD12" s="18">
        <v>18.399999999999999</v>
      </c>
      <c r="BE12" s="18">
        <v>6</v>
      </c>
      <c r="BF12" s="18">
        <v>0.6</v>
      </c>
      <c r="BG12" s="18">
        <v>0</v>
      </c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 t="shared" si="18"/>
        <v>4</v>
      </c>
      <c r="BR12" s="11">
        <f t="shared" si="19"/>
        <v>21.6</v>
      </c>
      <c r="BS12" s="11">
        <f t="shared" si="20"/>
        <v>23.799999999999997</v>
      </c>
      <c r="BT12" s="11">
        <f t="shared" si="21"/>
        <v>10</v>
      </c>
      <c r="BU12" s="11">
        <f t="shared" si="22"/>
        <v>45.4</v>
      </c>
      <c r="BV12" s="11" t="str">
        <f t="shared" si="23"/>
        <v/>
      </c>
      <c r="BW12" s="11" t="str">
        <f t="shared" si="24"/>
        <v/>
      </c>
      <c r="BX12" s="11">
        <f t="shared" si="25"/>
        <v>45.4</v>
      </c>
      <c r="BY12" s="19">
        <v>18.899999999999999</v>
      </c>
      <c r="BZ12" s="19">
        <v>6.4</v>
      </c>
      <c r="CA12" s="19">
        <v>0.4</v>
      </c>
      <c r="CB12" s="19">
        <v>0</v>
      </c>
      <c r="CC12" s="19">
        <v>18.600000000000001</v>
      </c>
      <c r="CD12" s="19">
        <v>6.8</v>
      </c>
      <c r="CE12" s="19">
        <v>0.6</v>
      </c>
      <c r="CF12" s="19">
        <v>0.3</v>
      </c>
      <c r="CG12" s="19"/>
      <c r="CH12" s="19"/>
      <c r="CI12" s="19"/>
      <c r="CJ12" s="19"/>
      <c r="CK12" s="19">
        <v>16.8</v>
      </c>
      <c r="CL12" s="19">
        <v>9.3000000000000007</v>
      </c>
      <c r="CM12" s="19">
        <v>1</v>
      </c>
      <c r="CN12" s="19">
        <v>0.3</v>
      </c>
      <c r="CO12" s="19">
        <v>18.7</v>
      </c>
      <c r="CP12" s="19">
        <v>7.2</v>
      </c>
      <c r="CQ12" s="19">
        <v>0.8</v>
      </c>
      <c r="CR12" s="19">
        <v>0.3</v>
      </c>
      <c r="CS12" s="27"/>
      <c r="CT12" s="40">
        <f t="shared" si="26"/>
        <v>13.2</v>
      </c>
      <c r="CU12" s="40">
        <f t="shared" si="27"/>
        <v>49.999999999999993</v>
      </c>
      <c r="CV12" s="40" t="str">
        <f t="shared" si="28"/>
        <v/>
      </c>
      <c r="CW12" s="40">
        <f t="shared" si="29"/>
        <v>13.2</v>
      </c>
      <c r="CX12" s="40">
        <f t="shared" si="30"/>
        <v>49.999999999999993</v>
      </c>
      <c r="CY12" s="40">
        <f t="shared" si="31"/>
        <v>16.5</v>
      </c>
      <c r="CZ12" s="40">
        <f t="shared" si="32"/>
        <v>50.800000000000004</v>
      </c>
      <c r="DA12" s="40">
        <f t="shared" si="33"/>
        <v>100.8</v>
      </c>
      <c r="DB12" s="51">
        <f t="shared" si="34"/>
        <v>3.3000000000000043</v>
      </c>
      <c r="DC12" s="51" t="str">
        <f t="shared" si="35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6"/>
        <v/>
      </c>
      <c r="DY12" s="40" t="str">
        <f t="shared" si="37"/>
        <v/>
      </c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 t="shared" si="44"/>
        <v/>
      </c>
      <c r="FA12" s="11" t="str">
        <f t="shared" si="45"/>
        <v/>
      </c>
      <c r="FB12" s="11" t="str">
        <f t="shared" si="46"/>
        <v/>
      </c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7">
        <v>18.399999999999999</v>
      </c>
      <c r="FI12" s="17">
        <v>8.8000000000000007</v>
      </c>
      <c r="FJ12" s="17">
        <v>0.8</v>
      </c>
      <c r="FK12" s="17">
        <v>0</v>
      </c>
      <c r="FL12" s="17">
        <v>18.399999999999999</v>
      </c>
      <c r="FM12" s="17">
        <v>9.3000000000000007</v>
      </c>
      <c r="FN12" s="17">
        <v>0.8</v>
      </c>
      <c r="FO12" s="17">
        <v>0</v>
      </c>
      <c r="FP12" s="17"/>
      <c r="FQ12" s="17"/>
      <c r="FR12" s="17"/>
      <c r="FS12" s="17"/>
      <c r="FT12" s="17">
        <v>16.5</v>
      </c>
      <c r="FU12" s="17">
        <v>8.5</v>
      </c>
      <c r="FV12" s="17">
        <v>0.6</v>
      </c>
      <c r="FW12" s="17">
        <v>0</v>
      </c>
      <c r="FX12" s="17"/>
      <c r="FY12" s="17"/>
      <c r="FZ12" s="17"/>
      <c r="GA12" s="17"/>
      <c r="GB12" s="40">
        <f t="shared" si="52"/>
        <v>18.100000000000001</v>
      </c>
      <c r="GC12" s="40">
        <f t="shared" si="53"/>
        <v>53.3</v>
      </c>
      <c r="GD12" s="40" t="str">
        <f t="shared" si="54"/>
        <v/>
      </c>
      <c r="GE12" s="40">
        <f t="shared" si="55"/>
        <v>18.100000000000001</v>
      </c>
      <c r="GF12" s="40">
        <f t="shared" si="56"/>
        <v>53.3</v>
      </c>
      <c r="GG12" s="40">
        <f t="shared" si="57"/>
        <v>8.5</v>
      </c>
      <c r="GH12" s="40">
        <f t="shared" si="58"/>
        <v>24.4</v>
      </c>
      <c r="GI12" s="40">
        <f t="shared" si="59"/>
        <v>77.699999999999989</v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0"/>
        <v/>
      </c>
      <c r="HE12" s="11" t="str">
        <f t="shared" si="61"/>
        <v/>
      </c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68"/>
        <v/>
      </c>
      <c r="IG12" s="40" t="str">
        <f t="shared" si="69"/>
        <v/>
      </c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6"/>
        <v/>
      </c>
      <c r="JI12" s="11" t="str">
        <f t="shared" si="77"/>
        <v/>
      </c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4"/>
        <v/>
      </c>
      <c r="KK12" s="40" t="str">
        <f t="shared" si="85"/>
        <v/>
      </c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2"/>
        <v/>
      </c>
      <c r="LM12" s="11" t="str">
        <f t="shared" si="93"/>
        <v/>
      </c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0"/>
        <v/>
      </c>
      <c r="MO12" s="40" t="str">
        <f t="shared" si="101"/>
        <v/>
      </c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08"/>
        <v/>
      </c>
      <c r="NQ12" s="11" t="str">
        <f t="shared" si="109"/>
        <v/>
      </c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6"/>
        <v/>
      </c>
      <c r="OS12" s="40" t="str">
        <f t="shared" si="117"/>
        <v/>
      </c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4"/>
        <v/>
      </c>
      <c r="PU12" s="11" t="str">
        <f t="shared" si="125"/>
        <v/>
      </c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2"/>
        <v/>
      </c>
      <c r="QW12" s="40" t="str">
        <f t="shared" si="133"/>
        <v/>
      </c>
      <c r="QX12" s="40" t="str">
        <f t="shared" si="134"/>
        <v/>
      </c>
      <c r="QY12" s="40" t="str">
        <f t="shared" si="135"/>
        <v/>
      </c>
      <c r="QZ12" s="40" t="str">
        <f t="shared" si="136"/>
        <v/>
      </c>
      <c r="RA12" s="40" t="str">
        <f t="shared" si="137"/>
        <v/>
      </c>
      <c r="RB12" s="40" t="str">
        <f t="shared" si="138"/>
        <v/>
      </c>
      <c r="RC12" s="40" t="str">
        <f t="shared" si="139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0"/>
        <v/>
      </c>
      <c r="RY12" s="11" t="str">
        <f t="shared" si="141"/>
        <v/>
      </c>
      <c r="RZ12" s="11" t="str">
        <f t="shared" si="142"/>
        <v/>
      </c>
      <c r="SA12" s="11" t="str">
        <f t="shared" si="143"/>
        <v/>
      </c>
      <c r="SB12" s="11" t="str">
        <f t="shared" si="144"/>
        <v/>
      </c>
      <c r="SC12" s="11" t="str">
        <f t="shared" si="145"/>
        <v/>
      </c>
      <c r="SD12" s="11" t="str">
        <f t="shared" si="146"/>
        <v/>
      </c>
      <c r="SE12" s="11" t="str">
        <f t="shared" si="147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48"/>
        <v/>
      </c>
      <c r="TA12" s="40" t="str">
        <f t="shared" si="149"/>
        <v/>
      </c>
      <c r="TB12" s="40" t="str">
        <f t="shared" si="150"/>
        <v/>
      </c>
      <c r="TC12" s="40" t="str">
        <f t="shared" si="151"/>
        <v/>
      </c>
      <c r="TD12" s="40" t="str">
        <f t="shared" si="152"/>
        <v/>
      </c>
      <c r="TE12" s="40" t="str">
        <f t="shared" si="153"/>
        <v/>
      </c>
      <c r="TF12" s="40" t="str">
        <f t="shared" si="154"/>
        <v/>
      </c>
      <c r="TG12" s="40" t="str">
        <f t="shared" si="155"/>
        <v/>
      </c>
      <c r="TH12" s="26">
        <f t="shared" si="156"/>
        <v>9.4499999999999993</v>
      </c>
      <c r="TI12" s="26">
        <f t="shared" si="157"/>
        <v>3.2</v>
      </c>
      <c r="TJ12" s="26">
        <f t="shared" si="158"/>
        <v>0.2</v>
      </c>
      <c r="TK12" s="26">
        <f t="shared" si="159"/>
        <v>0</v>
      </c>
      <c r="TL12" s="26">
        <f t="shared" si="160"/>
        <v>18.100000000000001</v>
      </c>
      <c r="TM12" s="26">
        <f t="shared" si="161"/>
        <v>5.4</v>
      </c>
      <c r="TN12" s="26">
        <f t="shared" si="162"/>
        <v>0.3</v>
      </c>
      <c r="TO12" s="26">
        <f t="shared" si="163"/>
        <v>0.15</v>
      </c>
      <c r="TP12" s="26">
        <f t="shared" si="164"/>
        <v>9.1999999999999993</v>
      </c>
      <c r="TQ12" s="26">
        <f t="shared" si="165"/>
        <v>3</v>
      </c>
      <c r="TR12" s="26">
        <f t="shared" si="166"/>
        <v>0.3</v>
      </c>
      <c r="TS12" s="26">
        <f t="shared" si="167"/>
        <v>0</v>
      </c>
      <c r="TT12" s="26">
        <f t="shared" si="168"/>
        <v>8.4</v>
      </c>
      <c r="TU12" s="26">
        <f t="shared" si="169"/>
        <v>4.6500000000000004</v>
      </c>
      <c r="TV12" s="26">
        <f t="shared" si="170"/>
        <v>0.5</v>
      </c>
      <c r="TW12" s="26">
        <f t="shared" si="171"/>
        <v>0.15</v>
      </c>
      <c r="TX12" s="26">
        <f t="shared" si="172"/>
        <v>9.35</v>
      </c>
      <c r="TY12" s="26">
        <f t="shared" si="173"/>
        <v>3.6</v>
      </c>
      <c r="TZ12" s="26">
        <f t="shared" si="174"/>
        <v>0.4</v>
      </c>
      <c r="UA12" s="26">
        <f t="shared" si="175"/>
        <v>0.15</v>
      </c>
      <c r="UB12" s="28" t="s">
        <v>53</v>
      </c>
      <c r="UC12" s="11">
        <f t="shared" si="176"/>
        <v>8.6000000000000014</v>
      </c>
      <c r="UD12" s="11">
        <f t="shared" si="177"/>
        <v>35.799999999999997</v>
      </c>
      <c r="UE12" s="11">
        <f t="shared" si="178"/>
        <v>11.899999999999999</v>
      </c>
      <c r="UF12" s="11">
        <f t="shared" si="179"/>
        <v>11.600000000000001</v>
      </c>
      <c r="UG12" s="11">
        <f t="shared" si="180"/>
        <v>47.699999999999996</v>
      </c>
      <c r="UH12" s="11">
        <f t="shared" si="181"/>
        <v>8.25</v>
      </c>
      <c r="UI12" s="11">
        <f t="shared" si="182"/>
        <v>25.400000000000002</v>
      </c>
      <c r="UJ12" s="11">
        <f t="shared" si="183"/>
        <v>73.099999999999994</v>
      </c>
    </row>
    <row r="13" spans="1:556" x14ac:dyDescent="0.2">
      <c r="A13" s="4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>10</v>
      </c>
      <c r="B13" s="5" t="s">
        <v>79</v>
      </c>
      <c r="C13" s="4" t="s">
        <v>5</v>
      </c>
      <c r="D13" s="4">
        <v>2002</v>
      </c>
      <c r="E13" s="9">
        <f t="shared" si="0"/>
        <v>154.40001022000524</v>
      </c>
      <c r="F13" s="3" t="str">
        <f t="shared" si="1"/>
        <v>P</v>
      </c>
      <c r="G13" s="3" t="str">
        <f t="shared" si="2"/>
        <v>P</v>
      </c>
      <c r="H13" s="36" t="str">
        <f t="shared" si="3"/>
        <v>Worlds Team</v>
      </c>
      <c r="I13" s="3" t="str">
        <f t="shared" si="4"/>
        <v>P</v>
      </c>
      <c r="J13" s="8">
        <f>IF(COUNT(AO13,BR13,CU13)&gt;0,LARGE((AO13,BR13,CU13),1),0)</f>
        <v>52.2</v>
      </c>
      <c r="K13" s="8" t="str">
        <f t="shared" si="5"/>
        <v>2024 3rd Domestic Trial</v>
      </c>
      <c r="L13" s="8">
        <f>IF(COUNT(AO13,BR13,CU13)&gt;1,LARGE((AO13,BR13,CU13),2),0)</f>
        <v>50</v>
      </c>
      <c r="M13" s="8" t="str">
        <f t="shared" si="6"/>
        <v>2024 Nationals</v>
      </c>
      <c r="N13" s="8">
        <f t="shared" si="7"/>
        <v>52.199999999999996</v>
      </c>
      <c r="O13" s="8" t="str">
        <f t="shared" si="8"/>
        <v>2024 3rd Domestic Trial</v>
      </c>
      <c r="P13" s="8" t="str">
        <f t="shared" si="9"/>
        <v/>
      </c>
      <c r="Q13" s="11" t="str">
        <f t="shared" si="184"/>
        <v/>
      </c>
      <c r="R13" s="8" t="str">
        <f t="shared" si="185"/>
        <v/>
      </c>
      <c r="S13" s="19">
        <v>18.600000000000001</v>
      </c>
      <c r="T13" s="19">
        <v>5.6</v>
      </c>
      <c r="U13" s="19">
        <v>1.4</v>
      </c>
      <c r="V13" s="19">
        <v>0</v>
      </c>
      <c r="W13" s="19">
        <v>19</v>
      </c>
      <c r="X13" s="19">
        <v>8.4</v>
      </c>
      <c r="Y13" s="19">
        <v>0.2</v>
      </c>
      <c r="Z13" s="19">
        <v>0</v>
      </c>
      <c r="AA13" s="19">
        <v>17.399999999999999</v>
      </c>
      <c r="AB13" s="19">
        <v>3.6</v>
      </c>
      <c r="AC13" s="19">
        <v>0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 t="shared" si="10"/>
        <v>14</v>
      </c>
      <c r="AO13" s="40">
        <f t="shared" si="11"/>
        <v>50</v>
      </c>
      <c r="AP13" s="40">
        <f t="shared" si="12"/>
        <v>21</v>
      </c>
      <c r="AQ13" s="40">
        <f t="shared" si="13"/>
        <v>17.600000000000001</v>
      </c>
      <c r="AR13" s="40">
        <f t="shared" si="14"/>
        <v>71</v>
      </c>
      <c r="AS13" s="40" t="str">
        <f t="shared" si="15"/>
        <v/>
      </c>
      <c r="AT13" s="40" t="str">
        <f t="shared" si="16"/>
        <v/>
      </c>
      <c r="AU13" s="40">
        <f t="shared" si="17"/>
        <v>71</v>
      </c>
      <c r="AV13" s="18">
        <v>18.8</v>
      </c>
      <c r="AW13" s="18">
        <v>7.2</v>
      </c>
      <c r="AX13" s="18">
        <v>0.8</v>
      </c>
      <c r="AY13" s="18">
        <v>0</v>
      </c>
      <c r="AZ13" s="18">
        <v>18.600000000000001</v>
      </c>
      <c r="BA13" s="18">
        <v>8.4</v>
      </c>
      <c r="BB13" s="18">
        <v>0</v>
      </c>
      <c r="BC13" s="18">
        <v>0</v>
      </c>
      <c r="BD13" s="18">
        <v>18.399999999999999</v>
      </c>
      <c r="BE13" s="18">
        <v>7.3</v>
      </c>
      <c r="BF13" s="18">
        <v>0</v>
      </c>
      <c r="BG13" s="18">
        <v>0</v>
      </c>
      <c r="BH13" s="18">
        <v>18.399999999999999</v>
      </c>
      <c r="BI13" s="18">
        <v>7.2</v>
      </c>
      <c r="BJ13" s="18">
        <v>0</v>
      </c>
      <c r="BK13" s="18">
        <v>0</v>
      </c>
      <c r="BL13" s="18">
        <v>18.8</v>
      </c>
      <c r="BM13" s="18">
        <v>8.4</v>
      </c>
      <c r="BN13" s="18">
        <v>0.6</v>
      </c>
      <c r="BO13" s="18">
        <v>0</v>
      </c>
      <c r="BP13" s="28"/>
      <c r="BQ13" s="11">
        <f t="shared" si="18"/>
        <v>15.600000000000001</v>
      </c>
      <c r="BR13" s="11">
        <f t="shared" si="19"/>
        <v>52.2</v>
      </c>
      <c r="BS13" s="11">
        <f t="shared" si="20"/>
        <v>25.7</v>
      </c>
      <c r="BT13" s="11">
        <f t="shared" si="21"/>
        <v>22.900000000000002</v>
      </c>
      <c r="BU13" s="11">
        <f t="shared" si="22"/>
        <v>77.900000000000006</v>
      </c>
      <c r="BV13" s="11">
        <f t="shared" si="23"/>
        <v>15.600000000000001</v>
      </c>
      <c r="BW13" s="11">
        <f t="shared" si="24"/>
        <v>52.199999999999996</v>
      </c>
      <c r="BX13" s="11">
        <f t="shared" si="25"/>
        <v>130.1</v>
      </c>
      <c r="BY13" s="19">
        <v>18.600000000000001</v>
      </c>
      <c r="BZ13" s="19">
        <v>6</v>
      </c>
      <c r="CA13" s="19">
        <v>1.4</v>
      </c>
      <c r="CB13" s="19">
        <v>0</v>
      </c>
      <c r="CC13" s="19">
        <v>18.8</v>
      </c>
      <c r="CD13" s="19">
        <v>7.6</v>
      </c>
      <c r="CE13" s="19">
        <v>0.6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 t="shared" si="26"/>
        <v>13.6</v>
      </c>
      <c r="CU13" s="40">
        <f t="shared" si="27"/>
        <v>49.000000000000007</v>
      </c>
      <c r="CV13" s="40" t="str">
        <f t="shared" si="28"/>
        <v/>
      </c>
      <c r="CW13" s="40">
        <f t="shared" si="29"/>
        <v>13.6</v>
      </c>
      <c r="CX13" s="40">
        <f t="shared" si="30"/>
        <v>49.000000000000007</v>
      </c>
      <c r="CY13" s="40" t="str">
        <f t="shared" si="31"/>
        <v/>
      </c>
      <c r="CZ13" s="40" t="str">
        <f t="shared" si="32"/>
        <v/>
      </c>
      <c r="DA13" s="40">
        <f t="shared" si="33"/>
        <v>49.000000000000007</v>
      </c>
      <c r="DB13" s="51" t="str">
        <f t="shared" si="34"/>
        <v/>
      </c>
      <c r="DC13" s="51" t="str">
        <f t="shared" si="35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6"/>
        <v/>
      </c>
      <c r="DY13" s="40" t="str">
        <f t="shared" si="37"/>
        <v/>
      </c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4"/>
        <v/>
      </c>
      <c r="FA13" s="11" t="str">
        <f t="shared" si="45"/>
        <v/>
      </c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2"/>
        <v/>
      </c>
      <c r="GC13" s="40" t="str">
        <f t="shared" si="53"/>
        <v/>
      </c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0"/>
        <v/>
      </c>
      <c r="HE13" s="11" t="str">
        <f t="shared" si="61"/>
        <v/>
      </c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68"/>
        <v/>
      </c>
      <c r="IG13" s="40" t="str">
        <f t="shared" si="69"/>
        <v/>
      </c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6"/>
        <v/>
      </c>
      <c r="JI13" s="11" t="str">
        <f t="shared" si="77"/>
        <v/>
      </c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4"/>
        <v/>
      </c>
      <c r="KK13" s="40" t="str">
        <f t="shared" si="85"/>
        <v/>
      </c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2"/>
        <v/>
      </c>
      <c r="LM13" s="11" t="str">
        <f t="shared" si="93"/>
        <v/>
      </c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0"/>
        <v/>
      </c>
      <c r="MO13" s="40" t="str">
        <f t="shared" si="101"/>
        <v/>
      </c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08"/>
        <v/>
      </c>
      <c r="NQ13" s="11" t="str">
        <f t="shared" si="109"/>
        <v/>
      </c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6"/>
        <v/>
      </c>
      <c r="OS13" s="40" t="str">
        <f t="shared" si="117"/>
        <v/>
      </c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4"/>
        <v/>
      </c>
      <c r="PU13" s="11" t="str">
        <f t="shared" si="125"/>
        <v/>
      </c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2"/>
        <v/>
      </c>
      <c r="QW13" s="40" t="str">
        <f t="shared" si="133"/>
        <v/>
      </c>
      <c r="QX13" s="40" t="str">
        <f t="shared" si="134"/>
        <v/>
      </c>
      <c r="QY13" s="40" t="str">
        <f t="shared" si="135"/>
        <v/>
      </c>
      <c r="QZ13" s="40" t="str">
        <f t="shared" si="136"/>
        <v/>
      </c>
      <c r="RA13" s="40" t="str">
        <f t="shared" si="137"/>
        <v/>
      </c>
      <c r="RB13" s="40" t="str">
        <f t="shared" si="138"/>
        <v/>
      </c>
      <c r="RC13" s="40" t="str">
        <f t="shared" si="139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0"/>
        <v/>
      </c>
      <c r="RY13" s="11" t="str">
        <f t="shared" si="141"/>
        <v/>
      </c>
      <c r="RZ13" s="11" t="str">
        <f t="shared" si="142"/>
        <v/>
      </c>
      <c r="SA13" s="11" t="str">
        <f t="shared" si="143"/>
        <v/>
      </c>
      <c r="SB13" s="11" t="str">
        <f t="shared" si="144"/>
        <v/>
      </c>
      <c r="SC13" s="11" t="str">
        <f t="shared" si="145"/>
        <v/>
      </c>
      <c r="SD13" s="11" t="str">
        <f t="shared" si="146"/>
        <v/>
      </c>
      <c r="SE13" s="11" t="str">
        <f t="shared" si="147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48"/>
        <v/>
      </c>
      <c r="TA13" s="40" t="str">
        <f t="shared" si="149"/>
        <v/>
      </c>
      <c r="TB13" s="40" t="str">
        <f t="shared" si="150"/>
        <v/>
      </c>
      <c r="TC13" s="40" t="str">
        <f t="shared" si="151"/>
        <v/>
      </c>
      <c r="TD13" s="40" t="str">
        <f t="shared" si="152"/>
        <v/>
      </c>
      <c r="TE13" s="40" t="str">
        <f t="shared" si="153"/>
        <v/>
      </c>
      <c r="TF13" s="40" t="str">
        <f t="shared" si="154"/>
        <v/>
      </c>
      <c r="TG13" s="40" t="str">
        <f t="shared" si="155"/>
        <v/>
      </c>
      <c r="TH13" s="26">
        <f t="shared" si="156"/>
        <v>18.700000000000003</v>
      </c>
      <c r="TI13" s="26">
        <f t="shared" si="157"/>
        <v>6.6</v>
      </c>
      <c r="TJ13" s="26">
        <f t="shared" si="158"/>
        <v>1.1000000000000001</v>
      </c>
      <c r="TK13" s="26">
        <f t="shared" si="159"/>
        <v>0</v>
      </c>
      <c r="TL13" s="26">
        <f t="shared" si="160"/>
        <v>18.700000000000003</v>
      </c>
      <c r="TM13" s="26">
        <f t="shared" si="161"/>
        <v>8</v>
      </c>
      <c r="TN13" s="26">
        <f t="shared" si="162"/>
        <v>0.3</v>
      </c>
      <c r="TO13" s="26">
        <f t="shared" si="163"/>
        <v>0</v>
      </c>
      <c r="TP13" s="26">
        <f t="shared" si="164"/>
        <v>9.1999999999999993</v>
      </c>
      <c r="TQ13" s="26">
        <f t="shared" si="165"/>
        <v>3.65</v>
      </c>
      <c r="TR13" s="26">
        <f t="shared" si="166"/>
        <v>0</v>
      </c>
      <c r="TS13" s="26">
        <f t="shared" si="167"/>
        <v>0</v>
      </c>
      <c r="TT13" s="26">
        <f t="shared" si="168"/>
        <v>9.1999999999999993</v>
      </c>
      <c r="TU13" s="26">
        <f t="shared" si="169"/>
        <v>3.6</v>
      </c>
      <c r="TV13" s="26">
        <f t="shared" si="170"/>
        <v>0</v>
      </c>
      <c r="TW13" s="26">
        <f t="shared" si="171"/>
        <v>0</v>
      </c>
      <c r="TX13" s="26">
        <f t="shared" si="172"/>
        <v>9.4</v>
      </c>
      <c r="TY13" s="26">
        <f t="shared" si="173"/>
        <v>4.2</v>
      </c>
      <c r="TZ13" s="26">
        <f t="shared" si="174"/>
        <v>0.3</v>
      </c>
      <c r="UA13" s="26">
        <f t="shared" si="175"/>
        <v>0</v>
      </c>
      <c r="UB13" s="28" t="s">
        <v>53</v>
      </c>
      <c r="UC13" s="11">
        <f t="shared" si="176"/>
        <v>14.6</v>
      </c>
      <c r="UD13" s="11">
        <f t="shared" si="177"/>
        <v>50.600000000000009</v>
      </c>
      <c r="UE13" s="11">
        <f t="shared" si="178"/>
        <v>12.85</v>
      </c>
      <c r="UF13" s="11">
        <f t="shared" si="179"/>
        <v>18.25</v>
      </c>
      <c r="UG13" s="11">
        <f t="shared" si="180"/>
        <v>63.45000000000001</v>
      </c>
      <c r="UH13" s="11">
        <f t="shared" si="181"/>
        <v>7.8000000000000007</v>
      </c>
      <c r="UI13" s="11">
        <f t="shared" si="182"/>
        <v>26.099999999999998</v>
      </c>
      <c r="UJ13" s="11">
        <f t="shared" si="183"/>
        <v>89.550000000000011</v>
      </c>
    </row>
    <row r="14" spans="1:556" x14ac:dyDescent="0.2">
      <c r="A14" s="4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>11</v>
      </c>
      <c r="B14" s="5" t="s">
        <v>130</v>
      </c>
      <c r="C14" s="4" t="s">
        <v>5</v>
      </c>
      <c r="D14" s="4">
        <v>2004</v>
      </c>
      <c r="E14" s="9">
        <f t="shared" si="0"/>
        <v>153.70001016000506</v>
      </c>
      <c r="F14" s="3" t="str">
        <f t="shared" si="1"/>
        <v>P</v>
      </c>
      <c r="G14" s="3" t="str">
        <f t="shared" si="2"/>
        <v>P</v>
      </c>
      <c r="H14" s="36" t="str">
        <f t="shared" si="3"/>
        <v>Worlds Team</v>
      </c>
      <c r="I14" s="3" t="str">
        <f t="shared" si="4"/>
        <v>P</v>
      </c>
      <c r="J14" s="8">
        <f>IF(COUNT(AO14,BR14,CU14)&gt;0,LARGE((AO14,BR14,CU14),1),0)</f>
        <v>50.900000000000006</v>
      </c>
      <c r="K14" s="8" t="str">
        <f t="shared" si="5"/>
        <v>2025 Elite Canada</v>
      </c>
      <c r="L14" s="8">
        <f>IF(COUNT(AO14,BR14,CU14)&gt;1,LARGE((AO14,BR14,CU14),2),0)</f>
        <v>50.699999999999996</v>
      </c>
      <c r="M14" s="8" t="str">
        <f t="shared" si="6"/>
        <v>2024 Nationals</v>
      </c>
      <c r="N14" s="8">
        <f t="shared" si="7"/>
        <v>52.099999999999994</v>
      </c>
      <c r="O14" s="8" t="str">
        <f t="shared" si="8"/>
        <v>2024 Nationals</v>
      </c>
      <c r="P14" s="8" t="str">
        <f t="shared" si="9"/>
        <v/>
      </c>
      <c r="Q14" s="11" t="str">
        <f t="shared" si="184"/>
        <v/>
      </c>
      <c r="R14" s="8" t="str">
        <f t="shared" si="185"/>
        <v/>
      </c>
      <c r="S14" s="19">
        <v>18.5</v>
      </c>
      <c r="T14" s="19">
        <v>7.3</v>
      </c>
      <c r="U14" s="19">
        <v>0.2</v>
      </c>
      <c r="V14" s="19">
        <v>0</v>
      </c>
      <c r="W14" s="19">
        <v>18.5</v>
      </c>
      <c r="X14" s="19">
        <v>7.2</v>
      </c>
      <c r="Y14" s="19">
        <v>0.6</v>
      </c>
      <c r="Z14" s="19">
        <v>0</v>
      </c>
      <c r="AA14" s="19">
        <v>18.8</v>
      </c>
      <c r="AB14" s="19">
        <v>8.4</v>
      </c>
      <c r="AC14" s="19">
        <v>0</v>
      </c>
      <c r="AD14" s="19">
        <v>0</v>
      </c>
      <c r="AE14" s="19">
        <v>18.2</v>
      </c>
      <c r="AF14" s="19">
        <v>7.6</v>
      </c>
      <c r="AG14" s="19">
        <v>0.2</v>
      </c>
      <c r="AH14" s="19">
        <v>0</v>
      </c>
      <c r="AI14" s="19">
        <v>18.899999999999999</v>
      </c>
      <c r="AJ14" s="19">
        <v>7.6</v>
      </c>
      <c r="AK14" s="19">
        <v>0</v>
      </c>
      <c r="AL14" s="19">
        <v>0</v>
      </c>
      <c r="AM14" s="27"/>
      <c r="AN14" s="40">
        <f t="shared" si="10"/>
        <v>14.5</v>
      </c>
      <c r="AO14" s="40">
        <f t="shared" si="11"/>
        <v>50.699999999999996</v>
      </c>
      <c r="AP14" s="40">
        <f t="shared" si="12"/>
        <v>27.200000000000003</v>
      </c>
      <c r="AQ14" s="40">
        <f t="shared" si="13"/>
        <v>22.9</v>
      </c>
      <c r="AR14" s="40">
        <f t="shared" si="14"/>
        <v>77.900000000000006</v>
      </c>
      <c r="AS14" s="40">
        <f t="shared" si="15"/>
        <v>15.2</v>
      </c>
      <c r="AT14" s="40">
        <f t="shared" si="16"/>
        <v>52.099999999999994</v>
      </c>
      <c r="AU14" s="40">
        <f t="shared" si="17"/>
        <v>130</v>
      </c>
      <c r="AV14" s="18">
        <v>16.399999999999999</v>
      </c>
      <c r="AW14" s="18">
        <v>8.4</v>
      </c>
      <c r="AX14" s="18">
        <v>1</v>
      </c>
      <c r="AY14" s="18">
        <v>0</v>
      </c>
      <c r="AZ14" s="18">
        <v>16.2</v>
      </c>
      <c r="BA14" s="18">
        <v>7.2</v>
      </c>
      <c r="BB14" s="18">
        <v>1</v>
      </c>
      <c r="BC14" s="18">
        <v>0</v>
      </c>
      <c r="BD14" s="18">
        <v>19.2</v>
      </c>
      <c r="BE14" s="18">
        <v>5.6</v>
      </c>
      <c r="BF14" s="18">
        <v>0.4</v>
      </c>
      <c r="BG14" s="18">
        <v>0</v>
      </c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 t="shared" si="18"/>
        <v>15.600000000000001</v>
      </c>
      <c r="BR14" s="11">
        <f t="shared" si="19"/>
        <v>46.2</v>
      </c>
      <c r="BS14" s="11">
        <f t="shared" si="20"/>
        <v>24.4</v>
      </c>
      <c r="BT14" s="11">
        <f t="shared" si="21"/>
        <v>21.200000000000003</v>
      </c>
      <c r="BU14" s="11">
        <f t="shared" si="22"/>
        <v>70.599999999999994</v>
      </c>
      <c r="BV14" s="11" t="str">
        <f t="shared" si="23"/>
        <v/>
      </c>
      <c r="BW14" s="11" t="str">
        <f t="shared" si="24"/>
        <v/>
      </c>
      <c r="BX14" s="11">
        <f t="shared" si="25"/>
        <v>70.599999999999994</v>
      </c>
      <c r="BY14" s="19">
        <v>18.399999999999999</v>
      </c>
      <c r="BZ14" s="19">
        <v>8</v>
      </c>
      <c r="CA14" s="19">
        <v>0.2</v>
      </c>
      <c r="CB14" s="19">
        <v>0</v>
      </c>
      <c r="CC14" s="19">
        <v>17.8</v>
      </c>
      <c r="CD14" s="19">
        <v>7.7</v>
      </c>
      <c r="CE14" s="19">
        <v>0.8</v>
      </c>
      <c r="CF14" s="19">
        <v>0</v>
      </c>
      <c r="CG14" s="19"/>
      <c r="CH14" s="19"/>
      <c r="CI14" s="19"/>
      <c r="CJ14" s="19"/>
      <c r="CK14" s="19">
        <v>18.100000000000001</v>
      </c>
      <c r="CL14" s="19">
        <v>7.2</v>
      </c>
      <c r="CM14" s="19">
        <v>0.6</v>
      </c>
      <c r="CN14" s="19">
        <v>0</v>
      </c>
      <c r="CO14" s="19">
        <v>17.899999999999999</v>
      </c>
      <c r="CP14" s="19">
        <v>7.7</v>
      </c>
      <c r="CQ14" s="19">
        <v>0.8</v>
      </c>
      <c r="CR14" s="19">
        <v>0</v>
      </c>
      <c r="CS14" s="27"/>
      <c r="CT14" s="40">
        <f t="shared" si="26"/>
        <v>15.7</v>
      </c>
      <c r="CU14" s="40">
        <f t="shared" si="27"/>
        <v>50.900000000000006</v>
      </c>
      <c r="CV14" s="40" t="str">
        <f t="shared" si="28"/>
        <v/>
      </c>
      <c r="CW14" s="40">
        <f t="shared" si="29"/>
        <v>15.7</v>
      </c>
      <c r="CX14" s="40">
        <f t="shared" si="30"/>
        <v>50.900000000000006</v>
      </c>
      <c r="CY14" s="40">
        <f t="shared" si="31"/>
        <v>14.9</v>
      </c>
      <c r="CZ14" s="40">
        <f t="shared" si="32"/>
        <v>49.500000000000007</v>
      </c>
      <c r="DA14" s="40">
        <f t="shared" si="33"/>
        <v>100.4</v>
      </c>
      <c r="DB14" s="51" t="str">
        <f t="shared" si="34"/>
        <v/>
      </c>
      <c r="DC14" s="51" t="str">
        <f t="shared" si="35"/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 t="shared" si="36"/>
        <v/>
      </c>
      <c r="DY14" s="40" t="str">
        <f t="shared" si="37"/>
        <v/>
      </c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4"/>
        <v/>
      </c>
      <c r="FA14" s="11" t="str">
        <f t="shared" si="45"/>
        <v/>
      </c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2"/>
        <v/>
      </c>
      <c r="GC14" s="40" t="str">
        <f t="shared" si="53"/>
        <v/>
      </c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0"/>
        <v/>
      </c>
      <c r="HE14" s="11" t="str">
        <f t="shared" si="61"/>
        <v/>
      </c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68"/>
        <v/>
      </c>
      <c r="IG14" s="40" t="str">
        <f t="shared" si="69"/>
        <v/>
      </c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6"/>
        <v/>
      </c>
      <c r="JI14" s="11" t="str">
        <f t="shared" si="77"/>
        <v/>
      </c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4"/>
        <v/>
      </c>
      <c r="KK14" s="40" t="str">
        <f t="shared" si="85"/>
        <v/>
      </c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2"/>
        <v/>
      </c>
      <c r="LM14" s="11" t="str">
        <f t="shared" si="93"/>
        <v/>
      </c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0"/>
        <v/>
      </c>
      <c r="MO14" s="40" t="str">
        <f t="shared" si="101"/>
        <v/>
      </c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08"/>
        <v/>
      </c>
      <c r="NQ14" s="11" t="str">
        <f t="shared" si="109"/>
        <v/>
      </c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6"/>
        <v/>
      </c>
      <c r="OS14" s="40" t="str">
        <f t="shared" si="117"/>
        <v/>
      </c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4"/>
        <v/>
      </c>
      <c r="PU14" s="11" t="str">
        <f t="shared" si="125"/>
        <v/>
      </c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2"/>
        <v/>
      </c>
      <c r="QW14" s="40" t="str">
        <f t="shared" si="133"/>
        <v/>
      </c>
      <c r="QX14" s="40" t="str">
        <f t="shared" si="134"/>
        <v/>
      </c>
      <c r="QY14" s="40" t="str">
        <f t="shared" si="135"/>
        <v/>
      </c>
      <c r="QZ14" s="40" t="str">
        <f t="shared" si="136"/>
        <v/>
      </c>
      <c r="RA14" s="40" t="str">
        <f t="shared" si="137"/>
        <v/>
      </c>
      <c r="RB14" s="40" t="str">
        <f t="shared" si="138"/>
        <v/>
      </c>
      <c r="RC14" s="40" t="str">
        <f t="shared" si="139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0"/>
        <v/>
      </c>
      <c r="RY14" s="11" t="str">
        <f t="shared" si="141"/>
        <v/>
      </c>
      <c r="RZ14" s="11" t="str">
        <f t="shared" si="142"/>
        <v/>
      </c>
      <c r="SA14" s="11" t="str">
        <f t="shared" si="143"/>
        <v/>
      </c>
      <c r="SB14" s="11" t="str">
        <f t="shared" si="144"/>
        <v/>
      </c>
      <c r="SC14" s="11" t="str">
        <f t="shared" si="145"/>
        <v/>
      </c>
      <c r="SD14" s="11" t="str">
        <f t="shared" si="146"/>
        <v/>
      </c>
      <c r="SE14" s="11" t="str">
        <f t="shared" si="147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48"/>
        <v/>
      </c>
      <c r="TA14" s="40" t="str">
        <f t="shared" si="149"/>
        <v/>
      </c>
      <c r="TB14" s="40" t="str">
        <f t="shared" si="150"/>
        <v/>
      </c>
      <c r="TC14" s="40" t="str">
        <f t="shared" si="151"/>
        <v/>
      </c>
      <c r="TD14" s="40" t="str">
        <f t="shared" si="152"/>
        <v/>
      </c>
      <c r="TE14" s="40" t="str">
        <f t="shared" si="153"/>
        <v/>
      </c>
      <c r="TF14" s="40" t="str">
        <f t="shared" si="154"/>
        <v/>
      </c>
      <c r="TG14" s="40" t="str">
        <f t="shared" si="155"/>
        <v/>
      </c>
      <c r="TH14" s="26">
        <f t="shared" si="156"/>
        <v>17.399999999999999</v>
      </c>
      <c r="TI14" s="26">
        <f t="shared" si="157"/>
        <v>8.1999999999999993</v>
      </c>
      <c r="TJ14" s="26">
        <f t="shared" si="158"/>
        <v>0.6</v>
      </c>
      <c r="TK14" s="26">
        <f t="shared" si="159"/>
        <v>0</v>
      </c>
      <c r="TL14" s="26">
        <f t="shared" si="160"/>
        <v>17</v>
      </c>
      <c r="TM14" s="26">
        <f t="shared" si="161"/>
        <v>7.45</v>
      </c>
      <c r="TN14" s="26">
        <f t="shared" si="162"/>
        <v>0.9</v>
      </c>
      <c r="TO14" s="26">
        <f t="shared" si="163"/>
        <v>0</v>
      </c>
      <c r="TP14" s="26">
        <f t="shared" si="164"/>
        <v>9.6</v>
      </c>
      <c r="TQ14" s="26">
        <f t="shared" si="165"/>
        <v>2.8</v>
      </c>
      <c r="TR14" s="26">
        <f t="shared" si="166"/>
        <v>0.2</v>
      </c>
      <c r="TS14" s="26">
        <f t="shared" si="167"/>
        <v>0</v>
      </c>
      <c r="TT14" s="26">
        <f t="shared" si="168"/>
        <v>9.0500000000000007</v>
      </c>
      <c r="TU14" s="26">
        <f t="shared" si="169"/>
        <v>3.6</v>
      </c>
      <c r="TV14" s="26">
        <f t="shared" si="170"/>
        <v>0.3</v>
      </c>
      <c r="TW14" s="26">
        <f t="shared" si="171"/>
        <v>0</v>
      </c>
      <c r="TX14" s="26">
        <f t="shared" si="172"/>
        <v>8.9499999999999993</v>
      </c>
      <c r="TY14" s="26">
        <f t="shared" si="173"/>
        <v>3.85</v>
      </c>
      <c r="TZ14" s="26">
        <f t="shared" si="174"/>
        <v>0.4</v>
      </c>
      <c r="UA14" s="26">
        <f t="shared" si="175"/>
        <v>0</v>
      </c>
      <c r="UB14" s="28" t="s">
        <v>53</v>
      </c>
      <c r="UC14" s="11">
        <f t="shared" si="176"/>
        <v>15.649999999999999</v>
      </c>
      <c r="UD14" s="11">
        <f t="shared" si="177"/>
        <v>48.55</v>
      </c>
      <c r="UE14" s="11">
        <f t="shared" si="178"/>
        <v>12.2</v>
      </c>
      <c r="UF14" s="11">
        <f t="shared" si="179"/>
        <v>18.45</v>
      </c>
      <c r="UG14" s="11">
        <f t="shared" si="180"/>
        <v>60.75</v>
      </c>
      <c r="UH14" s="11">
        <f t="shared" si="181"/>
        <v>7.45</v>
      </c>
      <c r="UI14" s="11">
        <f t="shared" si="182"/>
        <v>24.750000000000004</v>
      </c>
      <c r="UJ14" s="11">
        <f t="shared" si="183"/>
        <v>85.5</v>
      </c>
    </row>
    <row r="15" spans="1:556" x14ac:dyDescent="0.2">
      <c r="A15" s="4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>12</v>
      </c>
      <c r="B15" s="5" t="s">
        <v>172</v>
      </c>
      <c r="C15" s="4" t="s">
        <v>147</v>
      </c>
      <c r="D15" s="4">
        <v>2005</v>
      </c>
      <c r="E15" s="9">
        <f t="shared" si="0"/>
        <v>153.10001038000527</v>
      </c>
      <c r="F15" s="3" t="str">
        <f t="shared" si="1"/>
        <v>P</v>
      </c>
      <c r="G15" s="3" t="str">
        <f t="shared" si="2"/>
        <v>P</v>
      </c>
      <c r="H15" s="36" t="str">
        <f t="shared" si="3"/>
        <v>National Team</v>
      </c>
      <c r="I15" s="3" t="str">
        <f t="shared" si="4"/>
        <v/>
      </c>
      <c r="J15" s="8">
        <f>IF(COUNT(AO15,BR15,CU15)&gt;0,LARGE((AO15,BR15,CU15),1),0)</f>
        <v>52.500000000000007</v>
      </c>
      <c r="K15" s="8" t="str">
        <f t="shared" si="5"/>
        <v>2024 Nationals</v>
      </c>
      <c r="L15" s="8">
        <f>IF(COUNT(AO15,BR15,CU15)&gt;1,LARGE((AO15,BR15,CU15),2),0)</f>
        <v>51.3</v>
      </c>
      <c r="M15" s="8" t="str">
        <f t="shared" si="6"/>
        <v>2024 3rd Domestic Trial</v>
      </c>
      <c r="N15" s="8">
        <f t="shared" si="7"/>
        <v>49.3</v>
      </c>
      <c r="O15" s="8" t="str">
        <f t="shared" si="8"/>
        <v>2024 Nationals</v>
      </c>
      <c r="P15" s="8" t="str">
        <f t="shared" si="9"/>
        <v/>
      </c>
      <c r="Q15" s="11" t="str">
        <f t="shared" si="184"/>
        <v/>
      </c>
      <c r="R15" s="8" t="str">
        <f t="shared" si="185"/>
        <v/>
      </c>
      <c r="S15" s="19">
        <v>19.100000000000001</v>
      </c>
      <c r="T15" s="19">
        <v>8</v>
      </c>
      <c r="U15" s="19">
        <v>0.2</v>
      </c>
      <c r="V15" s="19">
        <v>0.3</v>
      </c>
      <c r="W15" s="19">
        <v>18.5</v>
      </c>
      <c r="X15" s="19">
        <v>7.6</v>
      </c>
      <c r="Y15" s="19">
        <v>0.8</v>
      </c>
      <c r="Z15" s="19">
        <v>0</v>
      </c>
      <c r="AA15" s="19">
        <v>17.7</v>
      </c>
      <c r="AB15" s="19">
        <v>2.4</v>
      </c>
      <c r="AC15" s="19">
        <v>0</v>
      </c>
      <c r="AD15" s="19">
        <v>0</v>
      </c>
      <c r="AE15" s="19">
        <v>18.899999999999999</v>
      </c>
      <c r="AF15" s="19">
        <v>8</v>
      </c>
      <c r="AG15" s="19">
        <v>0.2</v>
      </c>
      <c r="AH15" s="19">
        <v>0.3</v>
      </c>
      <c r="AI15" s="19">
        <v>16.5</v>
      </c>
      <c r="AJ15" s="19">
        <v>6.8</v>
      </c>
      <c r="AK15" s="19">
        <v>1</v>
      </c>
      <c r="AL15" s="19">
        <v>0</v>
      </c>
      <c r="AM15" s="27"/>
      <c r="AN15" s="40">
        <f t="shared" si="10"/>
        <v>15.6</v>
      </c>
      <c r="AO15" s="40">
        <f t="shared" si="11"/>
        <v>52.500000000000007</v>
      </c>
      <c r="AP15" s="40">
        <f t="shared" si="12"/>
        <v>20.099999999999998</v>
      </c>
      <c r="AQ15" s="40">
        <f t="shared" si="13"/>
        <v>18</v>
      </c>
      <c r="AR15" s="40">
        <f t="shared" si="14"/>
        <v>72.600000000000009</v>
      </c>
      <c r="AS15" s="40">
        <f t="shared" si="15"/>
        <v>14.8</v>
      </c>
      <c r="AT15" s="40">
        <f t="shared" si="16"/>
        <v>49.3</v>
      </c>
      <c r="AU15" s="40">
        <f t="shared" si="17"/>
        <v>121.9</v>
      </c>
      <c r="AV15" s="18">
        <v>18.899999999999999</v>
      </c>
      <c r="AW15" s="18">
        <v>8</v>
      </c>
      <c r="AX15" s="18">
        <v>0.6</v>
      </c>
      <c r="AY15" s="18">
        <v>0.3</v>
      </c>
      <c r="AZ15" s="18">
        <v>18.5</v>
      </c>
      <c r="BA15" s="18">
        <v>6.8</v>
      </c>
      <c r="BB15" s="18">
        <v>0.6</v>
      </c>
      <c r="BC15" s="18">
        <v>0</v>
      </c>
      <c r="BD15" s="18">
        <v>17.600000000000001</v>
      </c>
      <c r="BE15" s="18">
        <v>2.4</v>
      </c>
      <c r="BF15" s="18">
        <v>0</v>
      </c>
      <c r="BG15" s="18">
        <v>0</v>
      </c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 t="shared" si="18"/>
        <v>14.8</v>
      </c>
      <c r="BR15" s="11">
        <f t="shared" si="19"/>
        <v>51.3</v>
      </c>
      <c r="BS15" s="11">
        <f t="shared" si="20"/>
        <v>20</v>
      </c>
      <c r="BT15" s="11">
        <f t="shared" si="21"/>
        <v>17.2</v>
      </c>
      <c r="BU15" s="11">
        <f t="shared" si="22"/>
        <v>71.3</v>
      </c>
      <c r="BV15" s="11" t="str">
        <f t="shared" si="23"/>
        <v/>
      </c>
      <c r="BW15" s="11" t="str">
        <f t="shared" si="24"/>
        <v/>
      </c>
      <c r="BX15" s="11">
        <f t="shared" si="25"/>
        <v>71.3</v>
      </c>
      <c r="BY15" s="19">
        <v>15.4</v>
      </c>
      <c r="BZ15" s="19">
        <v>2.8</v>
      </c>
      <c r="CA15" s="19">
        <v>0</v>
      </c>
      <c r="CB15" s="19">
        <v>0</v>
      </c>
      <c r="CC15" s="19">
        <v>18.2</v>
      </c>
      <c r="CD15" s="19">
        <v>7.2</v>
      </c>
      <c r="CE15" s="19">
        <v>0.2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 t="shared" si="26"/>
        <v>10</v>
      </c>
      <c r="CU15" s="40">
        <f t="shared" si="27"/>
        <v>43.4</v>
      </c>
      <c r="CV15" s="40" t="str">
        <f t="shared" si="28"/>
        <v/>
      </c>
      <c r="CW15" s="40">
        <f t="shared" si="29"/>
        <v>10</v>
      </c>
      <c r="CX15" s="40">
        <f t="shared" si="30"/>
        <v>43.4</v>
      </c>
      <c r="CY15" s="40" t="str">
        <f t="shared" si="31"/>
        <v/>
      </c>
      <c r="CZ15" s="40" t="str">
        <f t="shared" si="32"/>
        <v/>
      </c>
      <c r="DA15" s="40">
        <f t="shared" si="33"/>
        <v>43.4</v>
      </c>
      <c r="DB15" s="51" t="str">
        <f t="shared" si="34"/>
        <v/>
      </c>
      <c r="DC15" s="51" t="str">
        <f t="shared" si="35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6"/>
        <v/>
      </c>
      <c r="DY15" s="40" t="str">
        <f t="shared" si="37"/>
        <v/>
      </c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4"/>
        <v/>
      </c>
      <c r="FA15" s="11" t="str">
        <f t="shared" si="45"/>
        <v/>
      </c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2"/>
        <v/>
      </c>
      <c r="GC15" s="40" t="str">
        <f t="shared" si="53"/>
        <v/>
      </c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0"/>
        <v/>
      </c>
      <c r="HE15" s="11" t="str">
        <f t="shared" si="61"/>
        <v/>
      </c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68"/>
        <v/>
      </c>
      <c r="IG15" s="40" t="str">
        <f t="shared" si="69"/>
        <v/>
      </c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6"/>
        <v/>
      </c>
      <c r="JI15" s="11" t="str">
        <f t="shared" si="77"/>
        <v/>
      </c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4"/>
        <v/>
      </c>
      <c r="KK15" s="40" t="str">
        <f t="shared" si="85"/>
        <v/>
      </c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2"/>
        <v/>
      </c>
      <c r="LM15" s="11" t="str">
        <f t="shared" si="93"/>
        <v/>
      </c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0"/>
        <v/>
      </c>
      <c r="MO15" s="40" t="str">
        <f t="shared" si="101"/>
        <v/>
      </c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08"/>
        <v/>
      </c>
      <c r="NQ15" s="11" t="str">
        <f t="shared" si="109"/>
        <v/>
      </c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6"/>
        <v/>
      </c>
      <c r="OS15" s="40" t="str">
        <f t="shared" si="117"/>
        <v/>
      </c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4"/>
        <v/>
      </c>
      <c r="PU15" s="11" t="str">
        <f t="shared" si="125"/>
        <v/>
      </c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2"/>
        <v/>
      </c>
      <c r="QW15" s="40" t="str">
        <f t="shared" si="133"/>
        <v/>
      </c>
      <c r="QX15" s="40" t="str">
        <f t="shared" si="134"/>
        <v/>
      </c>
      <c r="QY15" s="40" t="str">
        <f t="shared" si="135"/>
        <v/>
      </c>
      <c r="QZ15" s="40" t="str">
        <f t="shared" si="136"/>
        <v/>
      </c>
      <c r="RA15" s="40" t="str">
        <f t="shared" si="137"/>
        <v/>
      </c>
      <c r="RB15" s="40" t="str">
        <f t="shared" si="138"/>
        <v/>
      </c>
      <c r="RC15" s="40" t="str">
        <f t="shared" si="139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0"/>
        <v/>
      </c>
      <c r="RY15" s="11" t="str">
        <f t="shared" si="141"/>
        <v/>
      </c>
      <c r="RZ15" s="11" t="str">
        <f t="shared" si="142"/>
        <v/>
      </c>
      <c r="SA15" s="11" t="str">
        <f t="shared" si="143"/>
        <v/>
      </c>
      <c r="SB15" s="11" t="str">
        <f t="shared" si="144"/>
        <v/>
      </c>
      <c r="SC15" s="11" t="str">
        <f t="shared" si="145"/>
        <v/>
      </c>
      <c r="SD15" s="11" t="str">
        <f t="shared" si="146"/>
        <v/>
      </c>
      <c r="SE15" s="11" t="str">
        <f t="shared" si="147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48"/>
        <v/>
      </c>
      <c r="TA15" s="40" t="str">
        <f t="shared" si="149"/>
        <v/>
      </c>
      <c r="TB15" s="40" t="str">
        <f t="shared" si="150"/>
        <v/>
      </c>
      <c r="TC15" s="40" t="str">
        <f t="shared" si="151"/>
        <v/>
      </c>
      <c r="TD15" s="40" t="str">
        <f t="shared" si="152"/>
        <v/>
      </c>
      <c r="TE15" s="40" t="str">
        <f t="shared" si="153"/>
        <v/>
      </c>
      <c r="TF15" s="40" t="str">
        <f t="shared" si="154"/>
        <v/>
      </c>
      <c r="TG15" s="40" t="str">
        <f t="shared" si="155"/>
        <v/>
      </c>
      <c r="TH15" s="26">
        <f t="shared" si="156"/>
        <v>17.149999999999999</v>
      </c>
      <c r="TI15" s="26">
        <f t="shared" si="157"/>
        <v>5.4</v>
      </c>
      <c r="TJ15" s="26">
        <f t="shared" si="158"/>
        <v>0.3</v>
      </c>
      <c r="TK15" s="26">
        <f t="shared" si="159"/>
        <v>0.15</v>
      </c>
      <c r="TL15" s="26">
        <f t="shared" si="160"/>
        <v>18.350000000000001</v>
      </c>
      <c r="TM15" s="26">
        <f t="shared" si="161"/>
        <v>7</v>
      </c>
      <c r="TN15" s="26">
        <f t="shared" si="162"/>
        <v>0.4</v>
      </c>
      <c r="TO15" s="26">
        <f t="shared" si="163"/>
        <v>0</v>
      </c>
      <c r="TP15" s="26">
        <f t="shared" si="164"/>
        <v>8.8000000000000007</v>
      </c>
      <c r="TQ15" s="26">
        <f t="shared" si="165"/>
        <v>1.2</v>
      </c>
      <c r="TR15" s="26">
        <f t="shared" si="166"/>
        <v>0</v>
      </c>
      <c r="TS15" s="26">
        <f t="shared" si="167"/>
        <v>0</v>
      </c>
      <c r="TT15" s="26">
        <f t="shared" si="168"/>
        <v>0</v>
      </c>
      <c r="TU15" s="26">
        <f t="shared" si="169"/>
        <v>0</v>
      </c>
      <c r="TV15" s="26">
        <f t="shared" si="170"/>
        <v>0</v>
      </c>
      <c r="TW15" s="26">
        <f t="shared" si="171"/>
        <v>0</v>
      </c>
      <c r="TX15" s="26">
        <f t="shared" si="172"/>
        <v>0</v>
      </c>
      <c r="TY15" s="26">
        <f t="shared" si="173"/>
        <v>0</v>
      </c>
      <c r="TZ15" s="26">
        <f t="shared" si="174"/>
        <v>0</v>
      </c>
      <c r="UA15" s="26">
        <f t="shared" si="175"/>
        <v>0</v>
      </c>
      <c r="UB15" s="28" t="s">
        <v>53</v>
      </c>
      <c r="UC15" s="11">
        <f t="shared" si="176"/>
        <v>12.4</v>
      </c>
      <c r="UD15" s="11">
        <f t="shared" si="177"/>
        <v>47.35</v>
      </c>
      <c r="UE15" s="11">
        <f t="shared" si="178"/>
        <v>10</v>
      </c>
      <c r="UF15" s="11">
        <f t="shared" si="179"/>
        <v>13.6</v>
      </c>
      <c r="UG15" s="11">
        <f t="shared" si="180"/>
        <v>57.35</v>
      </c>
      <c r="UH15" s="11" t="str">
        <f t="shared" si="181"/>
        <v/>
      </c>
      <c r="UI15" s="11" t="str">
        <f t="shared" si="182"/>
        <v/>
      </c>
      <c r="UJ15" s="11">
        <f t="shared" si="183"/>
        <v>57.35</v>
      </c>
    </row>
    <row r="16" spans="1:556" x14ac:dyDescent="0.2">
      <c r="A16" s="4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>13</v>
      </c>
      <c r="B16" s="5" t="s">
        <v>242</v>
      </c>
      <c r="C16" s="4" t="s">
        <v>6</v>
      </c>
      <c r="D16" s="4">
        <v>2008</v>
      </c>
      <c r="E16" s="9">
        <f t="shared" si="0"/>
        <v>152.50000979000512</v>
      </c>
      <c r="F16" s="3" t="str">
        <f t="shared" si="1"/>
        <v>P</v>
      </c>
      <c r="G16" s="3" t="str">
        <f t="shared" si="2"/>
        <v>P</v>
      </c>
      <c r="H16" s="36" t="str">
        <f t="shared" si="3"/>
        <v>National Team</v>
      </c>
      <c r="I16" s="3" t="str">
        <f t="shared" si="4"/>
        <v/>
      </c>
      <c r="J16" s="8">
        <f>IF(COUNT(AO16,BR16,CU16)&gt;0,LARGE((AO16,BR16,CU16),1),0)</f>
        <v>51.2</v>
      </c>
      <c r="K16" s="8" t="str">
        <f t="shared" si="5"/>
        <v>2024 3rd Domestic Trial</v>
      </c>
      <c r="L16" s="8">
        <f>IF(COUNT(AO16,BR16,CU16)&gt;1,LARGE((AO16,BR16,CU16),2),0)</f>
        <v>46.70000000000001</v>
      </c>
      <c r="M16" s="8" t="str">
        <f t="shared" si="6"/>
        <v>2025 Elite Canada</v>
      </c>
      <c r="N16" s="8">
        <f t="shared" si="7"/>
        <v>51.2</v>
      </c>
      <c r="O16" s="8" t="str">
        <f t="shared" si="8"/>
        <v>2024 3rd Domestic Trial</v>
      </c>
      <c r="P16" s="8">
        <f t="shared" si="9"/>
        <v>3.3999999999999844</v>
      </c>
      <c r="Q16" s="11" t="str">
        <f t="shared" si="184"/>
        <v>(Q1)</v>
      </c>
      <c r="R16" s="8" t="str">
        <f t="shared" si="185"/>
        <v>2024 Coimbra Gym Fest (July 7)</v>
      </c>
      <c r="S16" s="19">
        <v>18.2</v>
      </c>
      <c r="T16" s="19">
        <v>6.8</v>
      </c>
      <c r="U16" s="19">
        <v>1</v>
      </c>
      <c r="V16" s="19">
        <v>0</v>
      </c>
      <c r="W16" s="19">
        <v>18.5</v>
      </c>
      <c r="X16" s="19">
        <v>3.6</v>
      </c>
      <c r="Y16" s="19">
        <v>0.9</v>
      </c>
      <c r="Z16" s="19">
        <v>0</v>
      </c>
      <c r="AA16" s="19">
        <v>18.399999999999999</v>
      </c>
      <c r="AB16" s="19">
        <v>6</v>
      </c>
      <c r="AC16" s="19">
        <v>0.8</v>
      </c>
      <c r="AD16" s="19">
        <v>0</v>
      </c>
      <c r="AE16" s="19">
        <v>18.8</v>
      </c>
      <c r="AF16" s="19">
        <v>7.2</v>
      </c>
      <c r="AG16" s="19">
        <v>1</v>
      </c>
      <c r="AH16" s="19">
        <v>0</v>
      </c>
      <c r="AI16" s="19">
        <v>16.2</v>
      </c>
      <c r="AJ16" s="19">
        <v>6</v>
      </c>
      <c r="AK16" s="19">
        <v>0.8</v>
      </c>
      <c r="AL16" s="19">
        <v>0</v>
      </c>
      <c r="AM16" s="27"/>
      <c r="AN16" s="40">
        <f t="shared" si="10"/>
        <v>10.4</v>
      </c>
      <c r="AO16" s="40">
        <f t="shared" si="11"/>
        <v>45.2</v>
      </c>
      <c r="AP16" s="40">
        <f t="shared" si="12"/>
        <v>23.599999999999998</v>
      </c>
      <c r="AQ16" s="40">
        <f t="shared" si="13"/>
        <v>16.399999999999999</v>
      </c>
      <c r="AR16" s="40">
        <f t="shared" si="14"/>
        <v>68.8</v>
      </c>
      <c r="AS16" s="40">
        <f t="shared" si="15"/>
        <v>13.2</v>
      </c>
      <c r="AT16" s="40">
        <f t="shared" si="16"/>
        <v>46.400000000000006</v>
      </c>
      <c r="AU16" s="40">
        <f t="shared" si="17"/>
        <v>115.2</v>
      </c>
      <c r="AV16" s="18">
        <v>18.600000000000001</v>
      </c>
      <c r="AW16" s="18">
        <v>7.2</v>
      </c>
      <c r="AX16" s="18">
        <v>0</v>
      </c>
      <c r="AY16" s="18">
        <v>0</v>
      </c>
      <c r="AZ16" s="18">
        <v>18.600000000000001</v>
      </c>
      <c r="BA16" s="18">
        <v>6.8</v>
      </c>
      <c r="BB16" s="18">
        <v>0</v>
      </c>
      <c r="BC16" s="18">
        <v>0</v>
      </c>
      <c r="BD16" s="18">
        <v>18.2</v>
      </c>
      <c r="BE16" s="18">
        <v>6.9</v>
      </c>
      <c r="BF16" s="18">
        <v>0</v>
      </c>
      <c r="BG16" s="18">
        <v>0</v>
      </c>
      <c r="BH16" s="18">
        <v>18.7</v>
      </c>
      <c r="BI16" s="18">
        <v>7.3</v>
      </c>
      <c r="BJ16" s="18">
        <v>0</v>
      </c>
      <c r="BK16" s="18">
        <v>0</v>
      </c>
      <c r="BL16" s="18">
        <v>18.399999999999999</v>
      </c>
      <c r="BM16" s="18">
        <v>7.6</v>
      </c>
      <c r="BN16" s="18">
        <v>0.8</v>
      </c>
      <c r="BO16" s="18">
        <v>0</v>
      </c>
      <c r="BP16" s="28"/>
      <c r="BQ16" s="11">
        <f t="shared" si="18"/>
        <v>14</v>
      </c>
      <c r="BR16" s="11">
        <f t="shared" si="19"/>
        <v>51.2</v>
      </c>
      <c r="BS16" s="11">
        <f t="shared" si="20"/>
        <v>25.1</v>
      </c>
      <c r="BT16" s="11">
        <f t="shared" si="21"/>
        <v>20.9</v>
      </c>
      <c r="BU16" s="11">
        <f t="shared" si="22"/>
        <v>76.300000000000011</v>
      </c>
      <c r="BV16" s="11">
        <f t="shared" si="23"/>
        <v>14.899999999999999</v>
      </c>
      <c r="BW16" s="11">
        <f t="shared" si="24"/>
        <v>51.2</v>
      </c>
      <c r="BX16" s="11">
        <f t="shared" si="25"/>
        <v>127.50000000000001</v>
      </c>
      <c r="BY16" s="19">
        <v>18.600000000000001</v>
      </c>
      <c r="BZ16" s="19">
        <v>7.2</v>
      </c>
      <c r="CA16" s="19">
        <v>0.6</v>
      </c>
      <c r="CB16" s="19">
        <v>0</v>
      </c>
      <c r="CC16" s="19">
        <v>18.100000000000001</v>
      </c>
      <c r="CD16" s="19">
        <v>5.2</v>
      </c>
      <c r="CE16" s="19">
        <v>1.8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 t="shared" si="26"/>
        <v>12.4</v>
      </c>
      <c r="CU16" s="40">
        <f t="shared" si="27"/>
        <v>46.70000000000001</v>
      </c>
      <c r="CV16" s="40" t="str">
        <f t="shared" si="28"/>
        <v/>
      </c>
      <c r="CW16" s="40">
        <f t="shared" si="29"/>
        <v>12.4</v>
      </c>
      <c r="CX16" s="40">
        <f t="shared" si="30"/>
        <v>46.70000000000001</v>
      </c>
      <c r="CY16" s="40" t="str">
        <f t="shared" si="31"/>
        <v/>
      </c>
      <c r="CZ16" s="40" t="str">
        <f t="shared" si="32"/>
        <v/>
      </c>
      <c r="DA16" s="40">
        <f t="shared" si="33"/>
        <v>46.70000000000001</v>
      </c>
      <c r="DB16" s="51">
        <f t="shared" si="34"/>
        <v>3.3999999999999844</v>
      </c>
      <c r="DC16" s="51" t="str">
        <f t="shared" si="35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6"/>
        <v/>
      </c>
      <c r="DY16" s="40" t="str">
        <f t="shared" si="37"/>
        <v/>
      </c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 t="shared" si="44"/>
        <v/>
      </c>
      <c r="FA16" s="11" t="str">
        <f t="shared" si="45"/>
        <v/>
      </c>
      <c r="FB16" s="11" t="str">
        <f t="shared" si="46"/>
        <v/>
      </c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7">
        <v>18.600000000000001</v>
      </c>
      <c r="FI16" s="17">
        <v>7.2</v>
      </c>
      <c r="FJ16" s="17">
        <v>0.6</v>
      </c>
      <c r="FK16" s="17">
        <v>0</v>
      </c>
      <c r="FL16" s="17">
        <v>18.3</v>
      </c>
      <c r="FM16" s="17">
        <v>6.8</v>
      </c>
      <c r="FN16" s="17">
        <v>0.2</v>
      </c>
      <c r="FO16" s="17">
        <v>0</v>
      </c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>
        <f t="shared" si="52"/>
        <v>14</v>
      </c>
      <c r="GC16" s="40">
        <f t="shared" si="53"/>
        <v>50.099999999999994</v>
      </c>
      <c r="GD16" s="40" t="str">
        <f t="shared" si="54"/>
        <v/>
      </c>
      <c r="GE16" s="40">
        <f t="shared" si="55"/>
        <v>14</v>
      </c>
      <c r="GF16" s="40">
        <f t="shared" si="56"/>
        <v>50.099999999999994</v>
      </c>
      <c r="GG16" s="40" t="str">
        <f t="shared" si="57"/>
        <v/>
      </c>
      <c r="GH16" s="40" t="str">
        <f t="shared" si="58"/>
        <v/>
      </c>
      <c r="GI16" s="40">
        <f t="shared" si="59"/>
        <v>50.099999999999994</v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0"/>
        <v/>
      </c>
      <c r="HE16" s="11" t="str">
        <f t="shared" si="61"/>
        <v/>
      </c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68"/>
        <v/>
      </c>
      <c r="IG16" s="40" t="str">
        <f t="shared" si="69"/>
        <v/>
      </c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6"/>
        <v/>
      </c>
      <c r="JI16" s="11" t="str">
        <f t="shared" si="77"/>
        <v/>
      </c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4"/>
        <v/>
      </c>
      <c r="KK16" s="40" t="str">
        <f t="shared" si="85"/>
        <v/>
      </c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2"/>
        <v/>
      </c>
      <c r="LM16" s="11" t="str">
        <f t="shared" si="93"/>
        <v/>
      </c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0"/>
        <v/>
      </c>
      <c r="MO16" s="40" t="str">
        <f t="shared" si="101"/>
        <v/>
      </c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08"/>
        <v/>
      </c>
      <c r="NQ16" s="11" t="str">
        <f t="shared" si="109"/>
        <v/>
      </c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6"/>
        <v/>
      </c>
      <c r="OS16" s="40" t="str">
        <f t="shared" si="117"/>
        <v/>
      </c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4"/>
        <v/>
      </c>
      <c r="PU16" s="11" t="str">
        <f t="shared" si="125"/>
        <v/>
      </c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2"/>
        <v/>
      </c>
      <c r="QW16" s="40" t="str">
        <f t="shared" si="133"/>
        <v/>
      </c>
      <c r="QX16" s="40" t="str">
        <f t="shared" si="134"/>
        <v/>
      </c>
      <c r="QY16" s="40" t="str">
        <f t="shared" si="135"/>
        <v/>
      </c>
      <c r="QZ16" s="40" t="str">
        <f t="shared" si="136"/>
        <v/>
      </c>
      <c r="RA16" s="40" t="str">
        <f t="shared" si="137"/>
        <v/>
      </c>
      <c r="RB16" s="40" t="str">
        <f t="shared" si="138"/>
        <v/>
      </c>
      <c r="RC16" s="40" t="str">
        <f t="shared" si="139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0"/>
        <v/>
      </c>
      <c r="RY16" s="11" t="str">
        <f t="shared" si="141"/>
        <v/>
      </c>
      <c r="RZ16" s="11" t="str">
        <f t="shared" si="142"/>
        <v/>
      </c>
      <c r="SA16" s="11" t="str">
        <f t="shared" si="143"/>
        <v/>
      </c>
      <c r="SB16" s="11" t="str">
        <f t="shared" si="144"/>
        <v/>
      </c>
      <c r="SC16" s="11" t="str">
        <f t="shared" si="145"/>
        <v/>
      </c>
      <c r="SD16" s="11" t="str">
        <f t="shared" si="146"/>
        <v/>
      </c>
      <c r="SE16" s="11" t="str">
        <f t="shared" si="147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48"/>
        <v/>
      </c>
      <c r="TA16" s="40" t="str">
        <f t="shared" si="149"/>
        <v/>
      </c>
      <c r="TB16" s="40" t="str">
        <f t="shared" si="150"/>
        <v/>
      </c>
      <c r="TC16" s="40" t="str">
        <f t="shared" si="151"/>
        <v/>
      </c>
      <c r="TD16" s="40" t="str">
        <f t="shared" si="152"/>
        <v/>
      </c>
      <c r="TE16" s="40" t="str">
        <f t="shared" si="153"/>
        <v/>
      </c>
      <c r="TF16" s="40" t="str">
        <f t="shared" si="154"/>
        <v/>
      </c>
      <c r="TG16" s="40" t="str">
        <f t="shared" si="155"/>
        <v/>
      </c>
      <c r="TH16" s="26">
        <f t="shared" si="156"/>
        <v>18.600000000000001</v>
      </c>
      <c r="TI16" s="26">
        <f t="shared" si="157"/>
        <v>7.2</v>
      </c>
      <c r="TJ16" s="26">
        <f t="shared" si="158"/>
        <v>0.3</v>
      </c>
      <c r="TK16" s="26">
        <f t="shared" si="159"/>
        <v>0</v>
      </c>
      <c r="TL16" s="26">
        <f t="shared" si="160"/>
        <v>18.350000000000001</v>
      </c>
      <c r="TM16" s="26">
        <f t="shared" si="161"/>
        <v>6</v>
      </c>
      <c r="TN16" s="26">
        <f t="shared" si="162"/>
        <v>0.9</v>
      </c>
      <c r="TO16" s="26">
        <f t="shared" si="163"/>
        <v>0</v>
      </c>
      <c r="TP16" s="26">
        <f t="shared" si="164"/>
        <v>9.1</v>
      </c>
      <c r="TQ16" s="26">
        <f t="shared" si="165"/>
        <v>3.45</v>
      </c>
      <c r="TR16" s="26">
        <f t="shared" si="166"/>
        <v>0</v>
      </c>
      <c r="TS16" s="26">
        <f t="shared" si="167"/>
        <v>0</v>
      </c>
      <c r="TT16" s="26">
        <f t="shared" si="168"/>
        <v>9.35</v>
      </c>
      <c r="TU16" s="26">
        <f t="shared" si="169"/>
        <v>3.65</v>
      </c>
      <c r="TV16" s="26">
        <f t="shared" si="170"/>
        <v>0</v>
      </c>
      <c r="TW16" s="26">
        <f t="shared" si="171"/>
        <v>0</v>
      </c>
      <c r="TX16" s="26">
        <f t="shared" si="172"/>
        <v>9.1999999999999993</v>
      </c>
      <c r="TY16" s="26">
        <f t="shared" si="173"/>
        <v>3.8</v>
      </c>
      <c r="TZ16" s="26">
        <f t="shared" si="174"/>
        <v>0.4</v>
      </c>
      <c r="UA16" s="26">
        <f t="shared" si="175"/>
        <v>0</v>
      </c>
      <c r="UB16" s="28" t="s">
        <v>53</v>
      </c>
      <c r="UC16" s="11">
        <f t="shared" si="176"/>
        <v>13.2</v>
      </c>
      <c r="UD16" s="11">
        <f t="shared" si="177"/>
        <v>48.95000000000001</v>
      </c>
      <c r="UE16" s="11">
        <f t="shared" si="178"/>
        <v>12.55</v>
      </c>
      <c r="UF16" s="11">
        <f t="shared" si="179"/>
        <v>16.649999999999999</v>
      </c>
      <c r="UG16" s="11">
        <f t="shared" si="180"/>
        <v>61.500000000000014</v>
      </c>
      <c r="UH16" s="11">
        <f t="shared" si="181"/>
        <v>7.4499999999999993</v>
      </c>
      <c r="UI16" s="11">
        <f t="shared" si="182"/>
        <v>25.6</v>
      </c>
      <c r="UJ16" s="11">
        <f t="shared" si="183"/>
        <v>87.100000000000023</v>
      </c>
    </row>
    <row r="17" spans="1:556" x14ac:dyDescent="0.2">
      <c r="A17" s="4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>14</v>
      </c>
      <c r="B17" s="5" t="s">
        <v>177</v>
      </c>
      <c r="C17" s="4" t="s">
        <v>5</v>
      </c>
      <c r="D17" s="4">
        <v>2005</v>
      </c>
      <c r="E17" s="9">
        <f t="shared" si="0"/>
        <v>152.25001016500531</v>
      </c>
      <c r="F17" s="3" t="str">
        <f t="shared" si="1"/>
        <v>P</v>
      </c>
      <c r="G17" s="3" t="str">
        <f t="shared" si="2"/>
        <v>P</v>
      </c>
      <c r="H17" s="36" t="str">
        <f t="shared" si="3"/>
        <v>Worlds Team</v>
      </c>
      <c r="I17" s="3" t="str">
        <f t="shared" si="4"/>
        <v>P</v>
      </c>
      <c r="J17" s="8">
        <f>IF(COUNT(AO17,BR17,CU17)&gt;0,LARGE((AO17,BR17,CU17),1),0)</f>
        <v>53.1</v>
      </c>
      <c r="K17" s="8" t="str">
        <f t="shared" si="5"/>
        <v>2024 3rd Domestic Trial</v>
      </c>
      <c r="L17" s="8">
        <f>IF(COUNT(AO17,BR17,CU17)&gt;1,LARGE((AO17,BR17,CU17),2),0)</f>
        <v>48.55</v>
      </c>
      <c r="M17" s="8" t="str">
        <f t="shared" si="6"/>
        <v>2025 Elite Canada</v>
      </c>
      <c r="N17" s="8">
        <f t="shared" si="7"/>
        <v>50.6</v>
      </c>
      <c r="O17" s="8" t="str">
        <f t="shared" si="8"/>
        <v>2024 3rd Domestic Trial</v>
      </c>
      <c r="P17" s="8" t="str">
        <f t="shared" si="9"/>
        <v/>
      </c>
      <c r="Q17" s="11" t="str">
        <f t="shared" si="184"/>
        <v/>
      </c>
      <c r="R17" s="8" t="str">
        <f t="shared" si="185"/>
        <v/>
      </c>
      <c r="S17" s="19">
        <v>16.3</v>
      </c>
      <c r="T17" s="19">
        <v>2.9</v>
      </c>
      <c r="U17" s="19">
        <v>2</v>
      </c>
      <c r="V17" s="19">
        <v>0</v>
      </c>
      <c r="W17" s="19">
        <v>18.399999999999999</v>
      </c>
      <c r="X17" s="19">
        <v>8.1</v>
      </c>
      <c r="Y17" s="19">
        <v>0</v>
      </c>
      <c r="Z17" s="19">
        <v>0.3</v>
      </c>
      <c r="AA17" s="19">
        <v>18.399999999999999</v>
      </c>
      <c r="AB17" s="19">
        <v>6</v>
      </c>
      <c r="AC17" s="19">
        <v>0.6</v>
      </c>
      <c r="AD17" s="19">
        <v>0</v>
      </c>
      <c r="AE17" s="19"/>
      <c r="AF17" s="19"/>
      <c r="AG17" s="19"/>
      <c r="AH17" s="19"/>
      <c r="AI17" s="19"/>
      <c r="AJ17" s="19"/>
      <c r="AK17" s="19"/>
      <c r="AL17" s="19"/>
      <c r="AM17" s="27"/>
      <c r="AN17" s="40">
        <f t="shared" si="10"/>
        <v>11</v>
      </c>
      <c r="AO17" s="40">
        <f t="shared" si="11"/>
        <v>43.999999999999993</v>
      </c>
      <c r="AP17" s="40">
        <f t="shared" si="12"/>
        <v>23.799999999999997</v>
      </c>
      <c r="AQ17" s="40">
        <f t="shared" si="13"/>
        <v>17</v>
      </c>
      <c r="AR17" s="40">
        <f t="shared" si="14"/>
        <v>67.799999999999983</v>
      </c>
      <c r="AS17" s="40" t="str">
        <f t="shared" si="15"/>
        <v/>
      </c>
      <c r="AT17" s="40" t="str">
        <f t="shared" si="16"/>
        <v/>
      </c>
      <c r="AU17" s="40">
        <f t="shared" si="17"/>
        <v>67.799999999999983</v>
      </c>
      <c r="AV17" s="18">
        <v>18.899999999999999</v>
      </c>
      <c r="AW17" s="18">
        <v>7.7</v>
      </c>
      <c r="AX17" s="18">
        <v>0</v>
      </c>
      <c r="AY17" s="18">
        <v>0.3</v>
      </c>
      <c r="AZ17" s="18">
        <v>19</v>
      </c>
      <c r="BA17" s="18">
        <v>7.2</v>
      </c>
      <c r="BB17" s="18">
        <v>0</v>
      </c>
      <c r="BC17" s="18">
        <v>0</v>
      </c>
      <c r="BD17" s="18">
        <v>18.600000000000001</v>
      </c>
      <c r="BE17" s="18">
        <v>7.2</v>
      </c>
      <c r="BF17" s="18">
        <v>0.6</v>
      </c>
      <c r="BG17" s="18">
        <v>0</v>
      </c>
      <c r="BH17" s="18">
        <v>18.5</v>
      </c>
      <c r="BI17" s="18">
        <v>6.9</v>
      </c>
      <c r="BJ17" s="18">
        <v>0.2</v>
      </c>
      <c r="BK17" s="18">
        <v>0</v>
      </c>
      <c r="BL17" s="18">
        <v>18.399999999999999</v>
      </c>
      <c r="BM17" s="18">
        <v>7.2</v>
      </c>
      <c r="BN17" s="18">
        <v>0.2</v>
      </c>
      <c r="BO17" s="18">
        <v>0</v>
      </c>
      <c r="BP17" s="28"/>
      <c r="BQ17" s="11">
        <f t="shared" si="18"/>
        <v>14.9</v>
      </c>
      <c r="BR17" s="11">
        <f t="shared" si="19"/>
        <v>53.1</v>
      </c>
      <c r="BS17" s="11">
        <f t="shared" si="20"/>
        <v>25.2</v>
      </c>
      <c r="BT17" s="11">
        <f t="shared" si="21"/>
        <v>22.1</v>
      </c>
      <c r="BU17" s="11">
        <f t="shared" si="22"/>
        <v>78.3</v>
      </c>
      <c r="BV17" s="11">
        <f t="shared" si="23"/>
        <v>14.100000000000001</v>
      </c>
      <c r="BW17" s="11">
        <f t="shared" si="24"/>
        <v>50.6</v>
      </c>
      <c r="BX17" s="11">
        <f t="shared" si="25"/>
        <v>128.9</v>
      </c>
      <c r="BY17" s="19">
        <v>17.600000000000001</v>
      </c>
      <c r="BZ17" s="19">
        <v>5.3</v>
      </c>
      <c r="CA17" s="19">
        <v>1</v>
      </c>
      <c r="CB17" s="19">
        <v>0.15</v>
      </c>
      <c r="CC17" s="19">
        <v>18.7</v>
      </c>
      <c r="CD17" s="19">
        <v>7.65</v>
      </c>
      <c r="CE17" s="19">
        <v>0</v>
      </c>
      <c r="CF17" s="19">
        <v>0.15</v>
      </c>
      <c r="CG17" s="19"/>
      <c r="CH17" s="19"/>
      <c r="CI17" s="19"/>
      <c r="CJ17" s="19"/>
      <c r="CK17" s="19">
        <v>9.25</v>
      </c>
      <c r="CL17" s="19">
        <v>3.45</v>
      </c>
      <c r="CM17" s="19">
        <v>0.1</v>
      </c>
      <c r="CN17" s="19">
        <v>0</v>
      </c>
      <c r="CO17" s="19">
        <v>9.1999999999999993</v>
      </c>
      <c r="CP17" s="19">
        <v>3.6</v>
      </c>
      <c r="CQ17" s="19">
        <v>0.1</v>
      </c>
      <c r="CR17" s="19">
        <v>0</v>
      </c>
      <c r="CS17" s="27" t="s">
        <v>53</v>
      </c>
      <c r="CT17" s="40">
        <f t="shared" si="26"/>
        <v>12.95</v>
      </c>
      <c r="CU17" s="40">
        <f t="shared" si="27"/>
        <v>48.55</v>
      </c>
      <c r="CV17" s="40" t="str">
        <f t="shared" si="28"/>
        <v/>
      </c>
      <c r="CW17" s="40">
        <f t="shared" si="29"/>
        <v>12.95</v>
      </c>
      <c r="CX17" s="40">
        <f t="shared" si="30"/>
        <v>48.55</v>
      </c>
      <c r="CY17" s="40">
        <f t="shared" si="31"/>
        <v>7.0500000000000007</v>
      </c>
      <c r="CZ17" s="40">
        <f t="shared" si="32"/>
        <v>25.3</v>
      </c>
      <c r="DA17" s="40">
        <f t="shared" si="33"/>
        <v>73.849999999999994</v>
      </c>
      <c r="DB17" s="51" t="str">
        <f t="shared" si="34"/>
        <v/>
      </c>
      <c r="DC17" s="51" t="str">
        <f t="shared" si="35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6"/>
        <v/>
      </c>
      <c r="DY17" s="40" t="str">
        <f t="shared" si="37"/>
        <v/>
      </c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4"/>
        <v/>
      </c>
      <c r="FA17" s="11" t="str">
        <f t="shared" si="45"/>
        <v/>
      </c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2"/>
        <v/>
      </c>
      <c r="GC17" s="40" t="str">
        <f t="shared" si="53"/>
        <v/>
      </c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0"/>
        <v/>
      </c>
      <c r="HE17" s="11" t="str">
        <f t="shared" si="61"/>
        <v/>
      </c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68"/>
        <v/>
      </c>
      <c r="IG17" s="40" t="str">
        <f t="shared" si="69"/>
        <v/>
      </c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6"/>
        <v/>
      </c>
      <c r="JI17" s="11" t="str">
        <f t="shared" si="77"/>
        <v/>
      </c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4"/>
        <v/>
      </c>
      <c r="KK17" s="40" t="str">
        <f t="shared" si="85"/>
        <v/>
      </c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2"/>
        <v/>
      </c>
      <c r="LM17" s="11" t="str">
        <f t="shared" si="93"/>
        <v/>
      </c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0"/>
        <v/>
      </c>
      <c r="MO17" s="40" t="str">
        <f t="shared" si="101"/>
        <v/>
      </c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08"/>
        <v/>
      </c>
      <c r="NQ17" s="11" t="str">
        <f t="shared" si="109"/>
        <v/>
      </c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6"/>
        <v/>
      </c>
      <c r="OS17" s="40" t="str">
        <f t="shared" si="117"/>
        <v/>
      </c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4"/>
        <v/>
      </c>
      <c r="PU17" s="11" t="str">
        <f t="shared" si="125"/>
        <v/>
      </c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2"/>
        <v/>
      </c>
      <c r="QW17" s="40" t="str">
        <f t="shared" si="133"/>
        <v/>
      </c>
      <c r="QX17" s="40" t="str">
        <f t="shared" si="134"/>
        <v/>
      </c>
      <c r="QY17" s="40" t="str">
        <f t="shared" si="135"/>
        <v/>
      </c>
      <c r="QZ17" s="40" t="str">
        <f t="shared" si="136"/>
        <v/>
      </c>
      <c r="RA17" s="40" t="str">
        <f t="shared" si="137"/>
        <v/>
      </c>
      <c r="RB17" s="40" t="str">
        <f t="shared" si="138"/>
        <v/>
      </c>
      <c r="RC17" s="40" t="str">
        <f t="shared" si="139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0"/>
        <v/>
      </c>
      <c r="RY17" s="11" t="str">
        <f t="shared" si="141"/>
        <v/>
      </c>
      <c r="RZ17" s="11" t="str">
        <f t="shared" si="142"/>
        <v/>
      </c>
      <c r="SA17" s="11" t="str">
        <f t="shared" si="143"/>
        <v/>
      </c>
      <c r="SB17" s="11" t="str">
        <f t="shared" si="144"/>
        <v/>
      </c>
      <c r="SC17" s="11" t="str">
        <f t="shared" si="145"/>
        <v/>
      </c>
      <c r="SD17" s="11" t="str">
        <f t="shared" si="146"/>
        <v/>
      </c>
      <c r="SE17" s="11" t="str">
        <f t="shared" si="147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48"/>
        <v/>
      </c>
      <c r="TA17" s="40" t="str">
        <f t="shared" si="149"/>
        <v/>
      </c>
      <c r="TB17" s="40" t="str">
        <f t="shared" si="150"/>
        <v/>
      </c>
      <c r="TC17" s="40" t="str">
        <f t="shared" si="151"/>
        <v/>
      </c>
      <c r="TD17" s="40" t="str">
        <f t="shared" si="152"/>
        <v/>
      </c>
      <c r="TE17" s="40" t="str">
        <f t="shared" si="153"/>
        <v/>
      </c>
      <c r="TF17" s="40" t="str">
        <f t="shared" si="154"/>
        <v/>
      </c>
      <c r="TG17" s="40" t="str">
        <f t="shared" si="155"/>
        <v/>
      </c>
      <c r="TH17" s="26">
        <f t="shared" si="156"/>
        <v>17.600000000000001</v>
      </c>
      <c r="TI17" s="26">
        <f t="shared" si="157"/>
        <v>5.3</v>
      </c>
      <c r="TJ17" s="26">
        <f t="shared" si="158"/>
        <v>1</v>
      </c>
      <c r="TK17" s="26">
        <f t="shared" si="159"/>
        <v>0.15</v>
      </c>
      <c r="TL17" s="26">
        <f t="shared" si="160"/>
        <v>18.7</v>
      </c>
      <c r="TM17" s="26">
        <f t="shared" si="161"/>
        <v>7.65</v>
      </c>
      <c r="TN17" s="26">
        <f t="shared" si="162"/>
        <v>0</v>
      </c>
      <c r="TO17" s="26">
        <f t="shared" si="163"/>
        <v>0.15</v>
      </c>
      <c r="TP17" s="26">
        <f t="shared" si="164"/>
        <v>0</v>
      </c>
      <c r="TQ17" s="26">
        <f t="shared" si="165"/>
        <v>0</v>
      </c>
      <c r="TR17" s="26">
        <f t="shared" si="166"/>
        <v>0</v>
      </c>
      <c r="TS17" s="26">
        <f t="shared" si="167"/>
        <v>0</v>
      </c>
      <c r="TT17" s="26">
        <f t="shared" si="168"/>
        <v>9.25</v>
      </c>
      <c r="TU17" s="26">
        <f t="shared" si="169"/>
        <v>3.45</v>
      </c>
      <c r="TV17" s="26">
        <f t="shared" si="170"/>
        <v>0.1</v>
      </c>
      <c r="TW17" s="26">
        <f t="shared" si="171"/>
        <v>0</v>
      </c>
      <c r="TX17" s="26">
        <f t="shared" si="172"/>
        <v>9.1999999999999993</v>
      </c>
      <c r="TY17" s="26">
        <f t="shared" si="173"/>
        <v>3.6</v>
      </c>
      <c r="TZ17" s="26">
        <f t="shared" si="174"/>
        <v>0.1</v>
      </c>
      <c r="UA17" s="26">
        <f t="shared" si="175"/>
        <v>0</v>
      </c>
      <c r="UB17" s="28" t="s">
        <v>53</v>
      </c>
      <c r="UC17" s="11">
        <f t="shared" si="176"/>
        <v>12.95</v>
      </c>
      <c r="UD17" s="11">
        <f t="shared" si="177"/>
        <v>48.55</v>
      </c>
      <c r="UE17" s="11" t="str">
        <f t="shared" si="178"/>
        <v/>
      </c>
      <c r="UF17" s="11">
        <f t="shared" si="179"/>
        <v>12.95</v>
      </c>
      <c r="UG17" s="11">
        <f t="shared" si="180"/>
        <v>48.55</v>
      </c>
      <c r="UH17" s="11">
        <f t="shared" si="181"/>
        <v>7.0500000000000007</v>
      </c>
      <c r="UI17" s="11">
        <f t="shared" si="182"/>
        <v>25.3</v>
      </c>
      <c r="UJ17" s="11">
        <f t="shared" si="183"/>
        <v>73.849999999999994</v>
      </c>
    </row>
    <row r="18" spans="1:556" x14ac:dyDescent="0.2">
      <c r="A18" s="4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>15</v>
      </c>
      <c r="B18" s="5" t="s">
        <v>8</v>
      </c>
      <c r="C18" s="4" t="s">
        <v>5</v>
      </c>
      <c r="D18" s="4">
        <v>1994</v>
      </c>
      <c r="E18" s="9">
        <f t="shared" si="0"/>
        <v>151.70001035000521</v>
      </c>
      <c r="F18" s="3" t="str">
        <f t="shared" si="1"/>
        <v>P</v>
      </c>
      <c r="G18" s="3" t="str">
        <f t="shared" si="2"/>
        <v>P</v>
      </c>
      <c r="H18" s="36" t="str">
        <f t="shared" si="3"/>
        <v>National Team</v>
      </c>
      <c r="I18" s="3" t="str">
        <f t="shared" si="4"/>
        <v/>
      </c>
      <c r="J18" s="8">
        <f>IF(COUNT(AO18,BR18,CU18)&gt;0,LARGE((AO18,BR18,CU18),1),0)</f>
        <v>52.4</v>
      </c>
      <c r="K18" s="8" t="str">
        <f t="shared" si="5"/>
        <v>2024 3rd Domestic Trial</v>
      </c>
      <c r="L18" s="8">
        <f>IF(COUNT(AO18,BR18,CU18)&gt;1,LARGE((AO18,BR18,CU18),2),0)</f>
        <v>51.1</v>
      </c>
      <c r="M18" s="8" t="str">
        <f t="shared" si="6"/>
        <v>2025 Elite Canada</v>
      </c>
      <c r="N18" s="8">
        <f t="shared" si="7"/>
        <v>48.2</v>
      </c>
      <c r="O18" s="8" t="str">
        <f t="shared" si="8"/>
        <v>2024 3rd Domestic Trial</v>
      </c>
      <c r="P18" s="8" t="str">
        <f t="shared" si="9"/>
        <v/>
      </c>
      <c r="Q18" s="11" t="str">
        <f t="shared" si="184"/>
        <v/>
      </c>
      <c r="R18" s="8" t="str">
        <f t="shared" si="185"/>
        <v/>
      </c>
      <c r="S18" s="19">
        <v>16.600000000000001</v>
      </c>
      <c r="T18" s="19">
        <v>7.6</v>
      </c>
      <c r="U18" s="19">
        <v>1</v>
      </c>
      <c r="V18" s="19">
        <v>0.3</v>
      </c>
      <c r="W18" s="19">
        <v>18.600000000000001</v>
      </c>
      <c r="X18" s="19">
        <v>7.2</v>
      </c>
      <c r="Y18" s="19">
        <v>0.2</v>
      </c>
      <c r="Z18" s="19">
        <v>0</v>
      </c>
      <c r="AA18" s="19">
        <v>19.100000000000001</v>
      </c>
      <c r="AB18" s="19">
        <v>8.4</v>
      </c>
      <c r="AC18" s="19">
        <v>0</v>
      </c>
      <c r="AD18" s="19">
        <v>0</v>
      </c>
      <c r="AE18" s="19">
        <v>16.600000000000001</v>
      </c>
      <c r="AF18" s="19">
        <v>7.6</v>
      </c>
      <c r="AG18" s="19">
        <v>0.8</v>
      </c>
      <c r="AH18" s="19">
        <v>0</v>
      </c>
      <c r="AI18" s="19">
        <v>17.5</v>
      </c>
      <c r="AJ18" s="19">
        <v>3.6</v>
      </c>
      <c r="AK18" s="19">
        <v>0</v>
      </c>
      <c r="AL18" s="19">
        <v>0</v>
      </c>
      <c r="AM18" s="27"/>
      <c r="AN18" s="40">
        <f t="shared" si="10"/>
        <v>14.8</v>
      </c>
      <c r="AO18" s="40">
        <f t="shared" si="11"/>
        <v>49.100000000000009</v>
      </c>
      <c r="AP18" s="40">
        <f t="shared" si="12"/>
        <v>27.5</v>
      </c>
      <c r="AQ18" s="40">
        <f t="shared" si="13"/>
        <v>23.200000000000003</v>
      </c>
      <c r="AR18" s="40">
        <f t="shared" si="14"/>
        <v>76.600000000000009</v>
      </c>
      <c r="AS18" s="40">
        <f t="shared" si="15"/>
        <v>11.2</v>
      </c>
      <c r="AT18" s="40">
        <f t="shared" si="16"/>
        <v>44.500000000000007</v>
      </c>
      <c r="AU18" s="40">
        <f t="shared" si="17"/>
        <v>121.10000000000002</v>
      </c>
      <c r="AV18" s="18">
        <v>18.899999999999999</v>
      </c>
      <c r="AW18" s="18">
        <v>8.4</v>
      </c>
      <c r="AX18" s="18">
        <v>0.2</v>
      </c>
      <c r="AY18" s="18">
        <v>0</v>
      </c>
      <c r="AZ18" s="18">
        <v>18.899999999999999</v>
      </c>
      <c r="BA18" s="18">
        <v>7.2</v>
      </c>
      <c r="BB18" s="18">
        <v>0.8</v>
      </c>
      <c r="BC18" s="18">
        <v>0</v>
      </c>
      <c r="BD18" s="18">
        <v>17.5</v>
      </c>
      <c r="BE18" s="18">
        <v>4.8</v>
      </c>
      <c r="BF18" s="18">
        <v>0</v>
      </c>
      <c r="BG18" s="18">
        <v>0</v>
      </c>
      <c r="BH18" s="18">
        <v>18.7</v>
      </c>
      <c r="BI18" s="18">
        <v>8.4</v>
      </c>
      <c r="BJ18" s="18">
        <v>0.8</v>
      </c>
      <c r="BK18" s="18">
        <v>0.3</v>
      </c>
      <c r="BL18" s="18">
        <v>17.600000000000001</v>
      </c>
      <c r="BM18" s="18">
        <v>4</v>
      </c>
      <c r="BN18" s="18">
        <v>0</v>
      </c>
      <c r="BO18" s="18">
        <v>0</v>
      </c>
      <c r="BP18" s="28"/>
      <c r="BQ18" s="11">
        <f t="shared" si="18"/>
        <v>15.600000000000001</v>
      </c>
      <c r="BR18" s="11">
        <f t="shared" si="19"/>
        <v>52.4</v>
      </c>
      <c r="BS18" s="11">
        <f t="shared" si="20"/>
        <v>22.3</v>
      </c>
      <c r="BT18" s="11">
        <f t="shared" si="21"/>
        <v>20.400000000000002</v>
      </c>
      <c r="BU18" s="11">
        <f t="shared" si="22"/>
        <v>74.7</v>
      </c>
      <c r="BV18" s="11">
        <f t="shared" si="23"/>
        <v>12.4</v>
      </c>
      <c r="BW18" s="11">
        <f t="shared" si="24"/>
        <v>48.2</v>
      </c>
      <c r="BX18" s="11">
        <f t="shared" si="25"/>
        <v>122.9</v>
      </c>
      <c r="BY18" s="19">
        <v>18.5</v>
      </c>
      <c r="BZ18" s="19">
        <v>7.6</v>
      </c>
      <c r="CA18" s="19">
        <v>0</v>
      </c>
      <c r="CB18" s="19">
        <v>0</v>
      </c>
      <c r="CC18" s="19">
        <v>18.2</v>
      </c>
      <c r="CD18" s="19">
        <v>7.6</v>
      </c>
      <c r="CE18" s="19">
        <v>0.8</v>
      </c>
      <c r="CF18" s="19">
        <v>0</v>
      </c>
      <c r="CG18" s="19"/>
      <c r="CH18" s="19"/>
      <c r="CI18" s="19"/>
      <c r="CJ18" s="19"/>
      <c r="CK18" s="19">
        <v>15.4</v>
      </c>
      <c r="CL18" s="19">
        <v>4.8</v>
      </c>
      <c r="CM18" s="19">
        <v>0</v>
      </c>
      <c r="CN18" s="19">
        <v>0.3</v>
      </c>
      <c r="CO18" s="19">
        <v>19</v>
      </c>
      <c r="CP18" s="19">
        <v>7.6</v>
      </c>
      <c r="CQ18" s="19">
        <v>0</v>
      </c>
      <c r="CR18" s="19">
        <v>0</v>
      </c>
      <c r="CS18" s="27"/>
      <c r="CT18" s="40">
        <f t="shared" si="26"/>
        <v>15.2</v>
      </c>
      <c r="CU18" s="40">
        <f t="shared" si="27"/>
        <v>51.1</v>
      </c>
      <c r="CV18" s="40" t="str">
        <f t="shared" si="28"/>
        <v/>
      </c>
      <c r="CW18" s="40">
        <f t="shared" si="29"/>
        <v>15.2</v>
      </c>
      <c r="CX18" s="40">
        <f t="shared" si="30"/>
        <v>51.1</v>
      </c>
      <c r="CY18" s="40">
        <f t="shared" si="31"/>
        <v>12.399999999999999</v>
      </c>
      <c r="CZ18" s="40">
        <f t="shared" si="32"/>
        <v>47.1</v>
      </c>
      <c r="DA18" s="40">
        <f t="shared" si="33"/>
        <v>98.2</v>
      </c>
      <c r="DB18" s="51" t="str">
        <f t="shared" si="34"/>
        <v/>
      </c>
      <c r="DC18" s="51" t="str">
        <f t="shared" si="35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6"/>
        <v/>
      </c>
      <c r="DY18" s="40" t="str">
        <f t="shared" si="37"/>
        <v/>
      </c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 t="shared" si="44"/>
        <v/>
      </c>
      <c r="FA18" s="11" t="str">
        <f t="shared" si="45"/>
        <v/>
      </c>
      <c r="FB18" s="11" t="str">
        <f t="shared" si="46"/>
        <v/>
      </c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2"/>
        <v/>
      </c>
      <c r="GC18" s="40" t="str">
        <f t="shared" si="53"/>
        <v/>
      </c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18">
        <v>17.3</v>
      </c>
      <c r="GK18" s="18">
        <v>4</v>
      </c>
      <c r="GL18" s="18">
        <v>0</v>
      </c>
      <c r="GM18" s="18">
        <v>0</v>
      </c>
      <c r="GN18" s="18">
        <v>18.399999999999999</v>
      </c>
      <c r="GO18" s="18">
        <v>8</v>
      </c>
      <c r="GP18" s="18">
        <v>0.6</v>
      </c>
      <c r="GQ18" s="18">
        <v>0</v>
      </c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>
        <f t="shared" si="60"/>
        <v>12</v>
      </c>
      <c r="HE18" s="11">
        <f t="shared" si="61"/>
        <v>47.1</v>
      </c>
      <c r="HF18" s="11" t="str">
        <f t="shared" si="62"/>
        <v/>
      </c>
      <c r="HG18" s="11">
        <f t="shared" si="63"/>
        <v>12</v>
      </c>
      <c r="HH18" s="11">
        <f t="shared" si="64"/>
        <v>47.1</v>
      </c>
      <c r="HI18" s="11" t="str">
        <f t="shared" si="65"/>
        <v/>
      </c>
      <c r="HJ18" s="11" t="str">
        <f t="shared" si="66"/>
        <v/>
      </c>
      <c r="HK18" s="11">
        <f t="shared" si="67"/>
        <v>47.1</v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68"/>
        <v/>
      </c>
      <c r="IG18" s="40" t="str">
        <f t="shared" si="69"/>
        <v/>
      </c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6"/>
        <v/>
      </c>
      <c r="JI18" s="11" t="str">
        <f t="shared" si="77"/>
        <v/>
      </c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4"/>
        <v/>
      </c>
      <c r="KK18" s="40" t="str">
        <f t="shared" si="85"/>
        <v/>
      </c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2"/>
        <v/>
      </c>
      <c r="LM18" s="11" t="str">
        <f t="shared" si="93"/>
        <v/>
      </c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0"/>
        <v/>
      </c>
      <c r="MO18" s="40" t="str">
        <f t="shared" si="101"/>
        <v/>
      </c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08"/>
        <v/>
      </c>
      <c r="NQ18" s="11" t="str">
        <f t="shared" si="109"/>
        <v/>
      </c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6"/>
        <v/>
      </c>
      <c r="OS18" s="40" t="str">
        <f t="shared" si="117"/>
        <v/>
      </c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4"/>
        <v/>
      </c>
      <c r="PU18" s="11" t="str">
        <f t="shared" si="125"/>
        <v/>
      </c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2"/>
        <v/>
      </c>
      <c r="QW18" s="40" t="str">
        <f t="shared" si="133"/>
        <v/>
      </c>
      <c r="QX18" s="40" t="str">
        <f t="shared" si="134"/>
        <v/>
      </c>
      <c r="QY18" s="40" t="str">
        <f t="shared" si="135"/>
        <v/>
      </c>
      <c r="QZ18" s="40" t="str">
        <f t="shared" si="136"/>
        <v/>
      </c>
      <c r="RA18" s="40" t="str">
        <f t="shared" si="137"/>
        <v/>
      </c>
      <c r="RB18" s="40" t="str">
        <f t="shared" si="138"/>
        <v/>
      </c>
      <c r="RC18" s="40" t="str">
        <f t="shared" si="139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0"/>
        <v/>
      </c>
      <c r="RY18" s="11" t="str">
        <f t="shared" si="141"/>
        <v/>
      </c>
      <c r="RZ18" s="11" t="str">
        <f t="shared" si="142"/>
        <v/>
      </c>
      <c r="SA18" s="11" t="str">
        <f t="shared" si="143"/>
        <v/>
      </c>
      <c r="SB18" s="11" t="str">
        <f t="shared" si="144"/>
        <v/>
      </c>
      <c r="SC18" s="11" t="str">
        <f t="shared" si="145"/>
        <v/>
      </c>
      <c r="SD18" s="11" t="str">
        <f t="shared" si="146"/>
        <v/>
      </c>
      <c r="SE18" s="11" t="str">
        <f t="shared" si="147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48"/>
        <v/>
      </c>
      <c r="TA18" s="40" t="str">
        <f t="shared" si="149"/>
        <v/>
      </c>
      <c r="TB18" s="40" t="str">
        <f t="shared" si="150"/>
        <v/>
      </c>
      <c r="TC18" s="40" t="str">
        <f t="shared" si="151"/>
        <v/>
      </c>
      <c r="TD18" s="40" t="str">
        <f t="shared" si="152"/>
        <v/>
      </c>
      <c r="TE18" s="40" t="str">
        <f t="shared" si="153"/>
        <v/>
      </c>
      <c r="TF18" s="40" t="str">
        <f t="shared" si="154"/>
        <v/>
      </c>
      <c r="TG18" s="40" t="str">
        <f t="shared" si="155"/>
        <v/>
      </c>
      <c r="TH18" s="26">
        <f t="shared" si="156"/>
        <v>18.7</v>
      </c>
      <c r="TI18" s="26">
        <f t="shared" si="157"/>
        <v>8</v>
      </c>
      <c r="TJ18" s="26">
        <f t="shared" si="158"/>
        <v>0.1</v>
      </c>
      <c r="TK18" s="26">
        <f t="shared" si="159"/>
        <v>0</v>
      </c>
      <c r="TL18" s="26">
        <f t="shared" si="160"/>
        <v>18.549999999999997</v>
      </c>
      <c r="TM18" s="26">
        <f t="shared" si="161"/>
        <v>7.4</v>
      </c>
      <c r="TN18" s="26">
        <f t="shared" si="162"/>
        <v>0.8</v>
      </c>
      <c r="TO18" s="26">
        <f t="shared" si="163"/>
        <v>0</v>
      </c>
      <c r="TP18" s="26">
        <f t="shared" si="164"/>
        <v>8.75</v>
      </c>
      <c r="TQ18" s="26">
        <f t="shared" si="165"/>
        <v>2.4</v>
      </c>
      <c r="TR18" s="26">
        <f t="shared" si="166"/>
        <v>0</v>
      </c>
      <c r="TS18" s="26">
        <f t="shared" si="167"/>
        <v>0</v>
      </c>
      <c r="TT18" s="26">
        <f t="shared" si="168"/>
        <v>17.05</v>
      </c>
      <c r="TU18" s="26">
        <f t="shared" si="169"/>
        <v>6.6</v>
      </c>
      <c r="TV18" s="26">
        <f t="shared" si="170"/>
        <v>0.4</v>
      </c>
      <c r="TW18" s="26">
        <f t="shared" si="171"/>
        <v>0.3</v>
      </c>
      <c r="TX18" s="26">
        <f t="shared" si="172"/>
        <v>18.3</v>
      </c>
      <c r="TY18" s="26">
        <f t="shared" si="173"/>
        <v>5.8</v>
      </c>
      <c r="TZ18" s="26">
        <f t="shared" si="174"/>
        <v>0</v>
      </c>
      <c r="UA18" s="26">
        <f t="shared" si="175"/>
        <v>0</v>
      </c>
      <c r="UB18" s="28" t="s">
        <v>53</v>
      </c>
      <c r="UC18" s="11">
        <f t="shared" si="176"/>
        <v>15.4</v>
      </c>
      <c r="UD18" s="11">
        <f t="shared" si="177"/>
        <v>51.75</v>
      </c>
      <c r="UE18" s="11">
        <f t="shared" si="178"/>
        <v>11.15</v>
      </c>
      <c r="UF18" s="11">
        <f t="shared" si="179"/>
        <v>17.8</v>
      </c>
      <c r="UG18" s="11">
        <f t="shared" si="180"/>
        <v>62.9</v>
      </c>
      <c r="UH18" s="11">
        <f t="shared" si="181"/>
        <v>12.399999999999999</v>
      </c>
      <c r="UI18" s="11">
        <f t="shared" si="182"/>
        <v>47.65</v>
      </c>
      <c r="UJ18" s="11">
        <f t="shared" si="183"/>
        <v>110.55</v>
      </c>
    </row>
    <row r="19" spans="1:556" x14ac:dyDescent="0.2">
      <c r="A19" s="4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>16</v>
      </c>
      <c r="B19" s="5" t="s">
        <v>245</v>
      </c>
      <c r="C19" s="4" t="s">
        <v>5</v>
      </c>
      <c r="D19" s="4">
        <v>2008</v>
      </c>
      <c r="E19" s="9">
        <f t="shared" si="0"/>
        <v>150.35000775000512</v>
      </c>
      <c r="F19" s="3" t="str">
        <f t="shared" si="1"/>
        <v>P</v>
      </c>
      <c r="G19" s="3" t="str">
        <f t="shared" si="2"/>
        <v>P</v>
      </c>
      <c r="H19" s="36" t="str">
        <f t="shared" si="3"/>
        <v>Worlds Team</v>
      </c>
      <c r="I19" s="3" t="str">
        <f t="shared" si="4"/>
        <v>P</v>
      </c>
      <c r="J19" s="8">
        <f>IF(COUNT(AO19,BR19,CU19)&gt;0,LARGE((AO19,BR19,CU19),1),0)</f>
        <v>51.1</v>
      </c>
      <c r="K19" s="8" t="str">
        <f t="shared" si="5"/>
        <v>2024 3rd Domestic Trial</v>
      </c>
      <c r="L19" s="8">
        <f>IF(COUNT(AO19,BR19,CU19)&gt;1,LARGE((AO19,BR19,CU19),2),0)</f>
        <v>26.4</v>
      </c>
      <c r="M19" s="8" t="str">
        <f t="shared" si="6"/>
        <v>2024 Nationals</v>
      </c>
      <c r="N19" s="8">
        <f t="shared" si="7"/>
        <v>46.15</v>
      </c>
      <c r="O19" s="8" t="str">
        <f t="shared" si="8"/>
        <v>2024 3rd Domestic Trial</v>
      </c>
      <c r="P19" s="8">
        <f t="shared" si="9"/>
        <v>26.699999999999996</v>
      </c>
      <c r="Q19" s="11" t="str">
        <f t="shared" si="184"/>
        <v>(Q1)</v>
      </c>
      <c r="R19" s="8" t="str">
        <f t="shared" si="185"/>
        <v>2024 Coimbra Gym Fest (July 7)</v>
      </c>
      <c r="S19" s="19">
        <v>0</v>
      </c>
      <c r="T19" s="19">
        <v>0</v>
      </c>
      <c r="U19" s="19">
        <v>0</v>
      </c>
      <c r="V19" s="19">
        <v>0</v>
      </c>
      <c r="W19" s="19">
        <v>18.8</v>
      </c>
      <c r="X19" s="19">
        <v>7.6</v>
      </c>
      <c r="Y19" s="19">
        <v>0</v>
      </c>
      <c r="Z19" s="19">
        <v>0</v>
      </c>
      <c r="AA19" s="19">
        <v>19.399999999999999</v>
      </c>
      <c r="AB19" s="19">
        <v>7.6</v>
      </c>
      <c r="AC19" s="19">
        <v>0</v>
      </c>
      <c r="AD19" s="19">
        <v>0</v>
      </c>
      <c r="AE19" s="19"/>
      <c r="AF19" s="19"/>
      <c r="AG19" s="19"/>
      <c r="AH19" s="19"/>
      <c r="AI19" s="19"/>
      <c r="AJ19" s="19"/>
      <c r="AK19" s="19"/>
      <c r="AL19" s="19"/>
      <c r="AM19" s="27"/>
      <c r="AN19" s="40">
        <f t="shared" si="10"/>
        <v>7.6</v>
      </c>
      <c r="AO19" s="40">
        <f t="shared" si="11"/>
        <v>26.4</v>
      </c>
      <c r="AP19" s="40">
        <f t="shared" si="12"/>
        <v>27</v>
      </c>
      <c r="AQ19" s="40">
        <f t="shared" si="13"/>
        <v>15.2</v>
      </c>
      <c r="AR19" s="40">
        <f t="shared" si="14"/>
        <v>53.4</v>
      </c>
      <c r="AS19" s="40" t="str">
        <f t="shared" si="15"/>
        <v/>
      </c>
      <c r="AT19" s="40" t="str">
        <f t="shared" si="16"/>
        <v/>
      </c>
      <c r="AU19" s="40">
        <f t="shared" si="17"/>
        <v>53.4</v>
      </c>
      <c r="AV19" s="18">
        <v>16.7</v>
      </c>
      <c r="AW19" s="18">
        <v>8.1</v>
      </c>
      <c r="AX19" s="18">
        <v>0</v>
      </c>
      <c r="AY19" s="18">
        <v>0</v>
      </c>
      <c r="AZ19" s="18">
        <v>18.7</v>
      </c>
      <c r="BA19" s="18">
        <v>8.4</v>
      </c>
      <c r="BB19" s="18">
        <v>0.8</v>
      </c>
      <c r="BC19" s="18">
        <v>0</v>
      </c>
      <c r="BD19" s="18">
        <v>18.399999999999999</v>
      </c>
      <c r="BE19" s="18">
        <v>8.1</v>
      </c>
      <c r="BF19" s="18">
        <v>0</v>
      </c>
      <c r="BG19" s="18">
        <v>0</v>
      </c>
      <c r="BH19" s="18">
        <v>19</v>
      </c>
      <c r="BI19" s="18">
        <v>8.4</v>
      </c>
      <c r="BJ19" s="18">
        <v>0</v>
      </c>
      <c r="BK19" s="18">
        <v>0</v>
      </c>
      <c r="BL19" s="18">
        <v>18.75</v>
      </c>
      <c r="BM19" s="18">
        <v>0</v>
      </c>
      <c r="BN19" s="18">
        <v>0</v>
      </c>
      <c r="BO19" s="18">
        <v>0</v>
      </c>
      <c r="BP19" s="28"/>
      <c r="BQ19" s="11">
        <f t="shared" si="18"/>
        <v>16.5</v>
      </c>
      <c r="BR19" s="11">
        <f t="shared" si="19"/>
        <v>51.1</v>
      </c>
      <c r="BS19" s="11">
        <f t="shared" si="20"/>
        <v>26.5</v>
      </c>
      <c r="BT19" s="11">
        <f t="shared" si="21"/>
        <v>24.6</v>
      </c>
      <c r="BU19" s="11">
        <f t="shared" si="22"/>
        <v>77.599999999999994</v>
      </c>
      <c r="BV19" s="11">
        <f t="shared" si="23"/>
        <v>8.4</v>
      </c>
      <c r="BW19" s="11">
        <f t="shared" si="24"/>
        <v>46.15</v>
      </c>
      <c r="BX19" s="11">
        <f t="shared" si="25"/>
        <v>123.75</v>
      </c>
      <c r="BY19" s="19">
        <v>0</v>
      </c>
      <c r="BZ19" s="19">
        <v>0</v>
      </c>
      <c r="CA19" s="19">
        <v>0</v>
      </c>
      <c r="CB19" s="19">
        <v>0</v>
      </c>
      <c r="CC19" s="19">
        <v>18.2</v>
      </c>
      <c r="CD19" s="19">
        <v>8.1</v>
      </c>
      <c r="CE19" s="19">
        <v>0.2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 t="shared" si="26"/>
        <v>8.1</v>
      </c>
      <c r="CU19" s="40">
        <f t="shared" si="27"/>
        <v>26.099999999999998</v>
      </c>
      <c r="CV19" s="40" t="str">
        <f t="shared" si="28"/>
        <v/>
      </c>
      <c r="CW19" s="40">
        <f t="shared" si="29"/>
        <v>8.1</v>
      </c>
      <c r="CX19" s="40">
        <f t="shared" si="30"/>
        <v>26.099999999999998</v>
      </c>
      <c r="CY19" s="40" t="str">
        <f t="shared" si="31"/>
        <v/>
      </c>
      <c r="CZ19" s="40" t="str">
        <f t="shared" si="32"/>
        <v/>
      </c>
      <c r="DA19" s="40">
        <f t="shared" si="33"/>
        <v>26.099999999999998</v>
      </c>
      <c r="DB19" s="51">
        <f t="shared" si="34"/>
        <v>26.699999999999996</v>
      </c>
      <c r="DC19" s="51">
        <f t="shared" si="35"/>
        <v>0.45000000000000995</v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36"/>
        <v/>
      </c>
      <c r="DY19" s="40" t="str">
        <f t="shared" si="37"/>
        <v/>
      </c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4"/>
        <v/>
      </c>
      <c r="FA19" s="11" t="str">
        <f t="shared" si="45"/>
        <v/>
      </c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7">
        <v>18.899999999999999</v>
      </c>
      <c r="FI19" s="17">
        <v>8.4</v>
      </c>
      <c r="FJ19" s="17">
        <v>0.2</v>
      </c>
      <c r="FK19" s="17">
        <v>0</v>
      </c>
      <c r="FL19" s="17">
        <v>18.3</v>
      </c>
      <c r="FM19" s="17">
        <v>7.7</v>
      </c>
      <c r="FN19" s="17">
        <v>0</v>
      </c>
      <c r="FO19" s="17">
        <v>0</v>
      </c>
      <c r="FP19" s="17"/>
      <c r="FQ19" s="17"/>
      <c r="FR19" s="17"/>
      <c r="FS19" s="17"/>
      <c r="FT19" s="17">
        <v>18.600000000000001</v>
      </c>
      <c r="FU19" s="17">
        <v>8.4</v>
      </c>
      <c r="FV19" s="17">
        <v>0.8</v>
      </c>
      <c r="FW19" s="17">
        <v>0</v>
      </c>
      <c r="FX19" s="17">
        <v>17.2</v>
      </c>
      <c r="FY19" s="17">
        <v>3.2</v>
      </c>
      <c r="FZ19" s="17">
        <v>0</v>
      </c>
      <c r="GA19" s="17">
        <v>0</v>
      </c>
      <c r="GB19" s="40">
        <f t="shared" si="52"/>
        <v>16.100000000000001</v>
      </c>
      <c r="GC19" s="40">
        <f t="shared" si="53"/>
        <v>53.099999999999994</v>
      </c>
      <c r="GD19" s="40" t="str">
        <f t="shared" si="54"/>
        <v/>
      </c>
      <c r="GE19" s="40">
        <f t="shared" si="55"/>
        <v>16.100000000000001</v>
      </c>
      <c r="GF19" s="40">
        <f t="shared" si="56"/>
        <v>53.099999999999994</v>
      </c>
      <c r="GG19" s="40">
        <f t="shared" si="57"/>
        <v>11.600000000000001</v>
      </c>
      <c r="GH19" s="40">
        <f t="shared" si="58"/>
        <v>46.600000000000009</v>
      </c>
      <c r="GI19" s="40">
        <f t="shared" si="59"/>
        <v>99.7</v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0"/>
        <v/>
      </c>
      <c r="HE19" s="11" t="str">
        <f t="shared" si="61"/>
        <v/>
      </c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68"/>
        <v/>
      </c>
      <c r="IG19" s="40" t="str">
        <f t="shared" si="69"/>
        <v/>
      </c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6"/>
        <v/>
      </c>
      <c r="JI19" s="11" t="str">
        <f t="shared" si="77"/>
        <v/>
      </c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4"/>
        <v/>
      </c>
      <c r="KK19" s="40" t="str">
        <f t="shared" si="85"/>
        <v/>
      </c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2"/>
        <v/>
      </c>
      <c r="LM19" s="11" t="str">
        <f t="shared" si="93"/>
        <v/>
      </c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0"/>
        <v/>
      </c>
      <c r="MO19" s="40" t="str">
        <f t="shared" si="101"/>
        <v/>
      </c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08"/>
        <v/>
      </c>
      <c r="NQ19" s="11" t="str">
        <f t="shared" si="109"/>
        <v/>
      </c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6"/>
        <v/>
      </c>
      <c r="OS19" s="40" t="str">
        <f t="shared" si="117"/>
        <v/>
      </c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4"/>
        <v/>
      </c>
      <c r="PU19" s="11" t="str">
        <f t="shared" si="125"/>
        <v/>
      </c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2"/>
        <v/>
      </c>
      <c r="QW19" s="40" t="str">
        <f t="shared" si="133"/>
        <v/>
      </c>
      <c r="QX19" s="40" t="str">
        <f t="shared" si="134"/>
        <v/>
      </c>
      <c r="QY19" s="40" t="str">
        <f t="shared" si="135"/>
        <v/>
      </c>
      <c r="QZ19" s="40" t="str">
        <f t="shared" si="136"/>
        <v/>
      </c>
      <c r="RA19" s="40" t="str">
        <f t="shared" si="137"/>
        <v/>
      </c>
      <c r="RB19" s="40" t="str">
        <f t="shared" si="138"/>
        <v/>
      </c>
      <c r="RC19" s="40" t="str">
        <f t="shared" si="139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0"/>
        <v/>
      </c>
      <c r="RY19" s="11" t="str">
        <f t="shared" si="141"/>
        <v/>
      </c>
      <c r="RZ19" s="11" t="str">
        <f t="shared" si="142"/>
        <v/>
      </c>
      <c r="SA19" s="11" t="str">
        <f t="shared" si="143"/>
        <v/>
      </c>
      <c r="SB19" s="11" t="str">
        <f t="shared" si="144"/>
        <v/>
      </c>
      <c r="SC19" s="11" t="str">
        <f t="shared" si="145"/>
        <v/>
      </c>
      <c r="SD19" s="11" t="str">
        <f t="shared" si="146"/>
        <v/>
      </c>
      <c r="SE19" s="11" t="str">
        <f t="shared" si="147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48"/>
        <v/>
      </c>
      <c r="TA19" s="40" t="str">
        <f t="shared" si="149"/>
        <v/>
      </c>
      <c r="TB19" s="40" t="str">
        <f t="shared" si="150"/>
        <v/>
      </c>
      <c r="TC19" s="40" t="str">
        <f t="shared" si="151"/>
        <v/>
      </c>
      <c r="TD19" s="40" t="str">
        <f t="shared" si="152"/>
        <v/>
      </c>
      <c r="TE19" s="40" t="str">
        <f t="shared" si="153"/>
        <v/>
      </c>
      <c r="TF19" s="40" t="str">
        <f t="shared" si="154"/>
        <v/>
      </c>
      <c r="TG19" s="40" t="str">
        <f t="shared" si="155"/>
        <v/>
      </c>
      <c r="TH19" s="26">
        <f t="shared" si="156"/>
        <v>8.35</v>
      </c>
      <c r="TI19" s="26">
        <f t="shared" si="157"/>
        <v>4.05</v>
      </c>
      <c r="TJ19" s="26">
        <f t="shared" si="158"/>
        <v>0</v>
      </c>
      <c r="TK19" s="26">
        <f t="shared" si="159"/>
        <v>0</v>
      </c>
      <c r="TL19" s="26">
        <f t="shared" si="160"/>
        <v>18.45</v>
      </c>
      <c r="TM19" s="26">
        <f t="shared" si="161"/>
        <v>8.25</v>
      </c>
      <c r="TN19" s="26">
        <f t="shared" si="162"/>
        <v>0.5</v>
      </c>
      <c r="TO19" s="26">
        <f t="shared" si="163"/>
        <v>0</v>
      </c>
      <c r="TP19" s="26">
        <f t="shared" si="164"/>
        <v>9.1999999999999993</v>
      </c>
      <c r="TQ19" s="26">
        <f t="shared" si="165"/>
        <v>4.05</v>
      </c>
      <c r="TR19" s="26">
        <f t="shared" si="166"/>
        <v>0</v>
      </c>
      <c r="TS19" s="26">
        <f t="shared" si="167"/>
        <v>0</v>
      </c>
      <c r="TT19" s="26">
        <f t="shared" si="168"/>
        <v>9.5</v>
      </c>
      <c r="TU19" s="26">
        <f t="shared" si="169"/>
        <v>4.2</v>
      </c>
      <c r="TV19" s="26">
        <f t="shared" si="170"/>
        <v>0</v>
      </c>
      <c r="TW19" s="26">
        <f t="shared" si="171"/>
        <v>0</v>
      </c>
      <c r="TX19" s="26">
        <f t="shared" si="172"/>
        <v>9.375</v>
      </c>
      <c r="TY19" s="26">
        <f t="shared" si="173"/>
        <v>0</v>
      </c>
      <c r="TZ19" s="26">
        <f t="shared" si="174"/>
        <v>0</v>
      </c>
      <c r="UA19" s="26">
        <f t="shared" si="175"/>
        <v>0</v>
      </c>
      <c r="UB19" s="28" t="s">
        <v>53</v>
      </c>
      <c r="UC19" s="11">
        <f t="shared" si="176"/>
        <v>12.3</v>
      </c>
      <c r="UD19" s="11">
        <f t="shared" si="177"/>
        <v>38.599999999999994</v>
      </c>
      <c r="UE19" s="11">
        <f t="shared" si="178"/>
        <v>13.25</v>
      </c>
      <c r="UF19" s="11">
        <f t="shared" si="179"/>
        <v>16.350000000000001</v>
      </c>
      <c r="UG19" s="11">
        <f t="shared" si="180"/>
        <v>51.849999999999994</v>
      </c>
      <c r="UH19" s="11">
        <f t="shared" si="181"/>
        <v>4.2</v>
      </c>
      <c r="UI19" s="11">
        <f t="shared" si="182"/>
        <v>23.074999999999999</v>
      </c>
      <c r="UJ19" s="11">
        <f t="shared" si="183"/>
        <v>74.924999999999997</v>
      </c>
    </row>
    <row r="20" spans="1:556" x14ac:dyDescent="0.2">
      <c r="A20" s="4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>17</v>
      </c>
      <c r="B20" s="5" t="s">
        <v>119</v>
      </c>
      <c r="C20" s="4" t="s">
        <v>6</v>
      </c>
      <c r="D20" s="4">
        <v>2003</v>
      </c>
      <c r="E20" s="9">
        <f t="shared" si="0"/>
        <v>149.70000979000511</v>
      </c>
      <c r="F20" s="3" t="str">
        <f t="shared" si="1"/>
        <v>P</v>
      </c>
      <c r="G20" s="3" t="str">
        <f t="shared" si="2"/>
        <v>P</v>
      </c>
      <c r="H20" s="36" t="str">
        <f t="shared" si="3"/>
        <v>National Team</v>
      </c>
      <c r="I20" s="3" t="str">
        <f t="shared" si="4"/>
        <v/>
      </c>
      <c r="J20" s="8">
        <f>IF(COUNT(AO20,BR20,CU20)&gt;0,LARGE((AO20,BR20,CU20),1),0)</f>
        <v>51.2</v>
      </c>
      <c r="K20" s="8" t="str">
        <f t="shared" si="5"/>
        <v>2024 Nationals</v>
      </c>
      <c r="L20" s="8">
        <f>IF(COUNT(AO20,BR20,CU20)&gt;1,LARGE((AO20,BR20,CU20),2),0)</f>
        <v>46.7</v>
      </c>
      <c r="M20" s="8" t="str">
        <f t="shared" si="6"/>
        <v>2025 Elite Canada</v>
      </c>
      <c r="N20" s="8">
        <f t="shared" si="7"/>
        <v>51.8</v>
      </c>
      <c r="O20" s="8" t="str">
        <f t="shared" si="8"/>
        <v>2024 Nationals</v>
      </c>
      <c r="P20" s="8" t="str">
        <f t="shared" si="9"/>
        <v/>
      </c>
      <c r="Q20" s="11" t="str">
        <f t="shared" si="184"/>
        <v/>
      </c>
      <c r="R20" s="8" t="str">
        <f t="shared" si="185"/>
        <v/>
      </c>
      <c r="S20" s="19">
        <v>18.600000000000001</v>
      </c>
      <c r="T20" s="19">
        <v>7.3</v>
      </c>
      <c r="U20" s="19">
        <v>0.2</v>
      </c>
      <c r="V20" s="19">
        <v>0</v>
      </c>
      <c r="W20" s="19">
        <v>18.5</v>
      </c>
      <c r="X20" s="19">
        <v>7.5</v>
      </c>
      <c r="Y20" s="19">
        <v>0.8</v>
      </c>
      <c r="Z20" s="19">
        <v>0.3</v>
      </c>
      <c r="AA20" s="19">
        <v>18.600000000000001</v>
      </c>
      <c r="AB20" s="19">
        <v>4.4000000000000004</v>
      </c>
      <c r="AC20" s="19">
        <v>1</v>
      </c>
      <c r="AD20" s="19">
        <v>0</v>
      </c>
      <c r="AE20" s="19">
        <v>18.3</v>
      </c>
      <c r="AF20" s="19">
        <v>7.3</v>
      </c>
      <c r="AG20" s="19">
        <v>0</v>
      </c>
      <c r="AH20" s="19">
        <v>0</v>
      </c>
      <c r="AI20" s="19">
        <v>18.399999999999999</v>
      </c>
      <c r="AJ20" s="19">
        <v>7.5</v>
      </c>
      <c r="AK20" s="19">
        <v>0</v>
      </c>
      <c r="AL20" s="19">
        <v>0.3</v>
      </c>
      <c r="AM20" s="27"/>
      <c r="AN20" s="40">
        <f t="shared" si="10"/>
        <v>14.8</v>
      </c>
      <c r="AO20" s="40">
        <f t="shared" si="11"/>
        <v>51.2</v>
      </c>
      <c r="AP20" s="40">
        <f t="shared" si="12"/>
        <v>22</v>
      </c>
      <c r="AQ20" s="40">
        <f t="shared" si="13"/>
        <v>19.200000000000003</v>
      </c>
      <c r="AR20" s="40">
        <f t="shared" si="14"/>
        <v>73.2</v>
      </c>
      <c r="AS20" s="40">
        <f t="shared" si="15"/>
        <v>14.8</v>
      </c>
      <c r="AT20" s="40">
        <f t="shared" si="16"/>
        <v>51.8</v>
      </c>
      <c r="AU20" s="40">
        <f t="shared" si="17"/>
        <v>125</v>
      </c>
      <c r="AV20" s="18">
        <v>17.600000000000001</v>
      </c>
      <c r="AW20" s="18">
        <v>2.4</v>
      </c>
      <c r="AX20" s="18">
        <v>0</v>
      </c>
      <c r="AY20" s="18">
        <v>0</v>
      </c>
      <c r="AZ20" s="18">
        <v>17.600000000000001</v>
      </c>
      <c r="BA20" s="18">
        <v>2.8</v>
      </c>
      <c r="BB20" s="18">
        <v>0</v>
      </c>
      <c r="BC20" s="18">
        <v>0</v>
      </c>
      <c r="BD20" s="18">
        <v>18.5</v>
      </c>
      <c r="BE20" s="18">
        <v>5.2</v>
      </c>
      <c r="BF20" s="18">
        <v>1</v>
      </c>
      <c r="BG20" s="18">
        <v>0</v>
      </c>
      <c r="BH20" s="18"/>
      <c r="BI20" s="18"/>
      <c r="BJ20" s="18"/>
      <c r="BK20" s="18"/>
      <c r="BL20" s="18"/>
      <c r="BM20" s="18"/>
      <c r="BN20" s="18"/>
      <c r="BO20" s="18"/>
      <c r="BP20" s="28"/>
      <c r="BQ20" s="11">
        <f t="shared" si="18"/>
        <v>5.1999999999999993</v>
      </c>
      <c r="BR20" s="11">
        <f t="shared" si="19"/>
        <v>40.4</v>
      </c>
      <c r="BS20" s="11">
        <f t="shared" si="20"/>
        <v>22.7</v>
      </c>
      <c r="BT20" s="11">
        <f t="shared" si="21"/>
        <v>10.399999999999999</v>
      </c>
      <c r="BU20" s="11">
        <f t="shared" si="22"/>
        <v>63.099999999999994</v>
      </c>
      <c r="BV20" s="11" t="str">
        <f t="shared" si="23"/>
        <v/>
      </c>
      <c r="BW20" s="11" t="str">
        <f t="shared" si="24"/>
        <v/>
      </c>
      <c r="BX20" s="11">
        <f t="shared" si="25"/>
        <v>63.099999999999994</v>
      </c>
      <c r="BY20" s="19">
        <v>18.399999999999999</v>
      </c>
      <c r="BZ20" s="19">
        <v>7.3</v>
      </c>
      <c r="CA20" s="19">
        <v>1</v>
      </c>
      <c r="CB20" s="19">
        <v>0</v>
      </c>
      <c r="CC20" s="19">
        <v>18.600000000000001</v>
      </c>
      <c r="CD20" s="19">
        <v>5.2</v>
      </c>
      <c r="CE20" s="19">
        <v>1.8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 t="shared" si="26"/>
        <v>12.5</v>
      </c>
      <c r="CU20" s="40">
        <f t="shared" si="27"/>
        <v>46.7</v>
      </c>
      <c r="CV20" s="40" t="str">
        <f t="shared" si="28"/>
        <v/>
      </c>
      <c r="CW20" s="40">
        <f t="shared" si="29"/>
        <v>12.5</v>
      </c>
      <c r="CX20" s="40">
        <f t="shared" si="30"/>
        <v>46.7</v>
      </c>
      <c r="CY20" s="40" t="str">
        <f t="shared" si="31"/>
        <v/>
      </c>
      <c r="CZ20" s="40" t="str">
        <f t="shared" si="32"/>
        <v/>
      </c>
      <c r="DA20" s="40">
        <f t="shared" si="33"/>
        <v>46.7</v>
      </c>
      <c r="DB20" s="51" t="str">
        <f t="shared" si="34"/>
        <v/>
      </c>
      <c r="DC20" s="51" t="str">
        <f t="shared" si="35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6"/>
        <v/>
      </c>
      <c r="DY20" s="40" t="str">
        <f t="shared" si="37"/>
        <v/>
      </c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4"/>
        <v/>
      </c>
      <c r="FA20" s="11" t="str">
        <f t="shared" si="45"/>
        <v/>
      </c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7">
        <v>16.8</v>
      </c>
      <c r="FI20" s="17">
        <v>8.1</v>
      </c>
      <c r="FJ20" s="17">
        <v>1</v>
      </c>
      <c r="FK20" s="17">
        <v>0</v>
      </c>
      <c r="FL20" s="17">
        <v>17.100000000000001</v>
      </c>
      <c r="FM20" s="17">
        <v>5.0999999999999996</v>
      </c>
      <c r="FN20" s="17">
        <v>0</v>
      </c>
      <c r="FO20" s="17">
        <v>0</v>
      </c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>
        <f t="shared" si="52"/>
        <v>13.2</v>
      </c>
      <c r="GC20" s="40">
        <f t="shared" si="53"/>
        <v>46.1</v>
      </c>
      <c r="GD20" s="40" t="str">
        <f t="shared" si="54"/>
        <v/>
      </c>
      <c r="GE20" s="40">
        <f t="shared" si="55"/>
        <v>13.2</v>
      </c>
      <c r="GF20" s="40">
        <f t="shared" si="56"/>
        <v>46.1</v>
      </c>
      <c r="GG20" s="40" t="str">
        <f t="shared" si="57"/>
        <v/>
      </c>
      <c r="GH20" s="40" t="str">
        <f t="shared" si="58"/>
        <v/>
      </c>
      <c r="GI20" s="40">
        <f t="shared" si="59"/>
        <v>46.1</v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0"/>
        <v/>
      </c>
      <c r="HE20" s="11" t="str">
        <f t="shared" si="61"/>
        <v/>
      </c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68"/>
        <v/>
      </c>
      <c r="IG20" s="40" t="str">
        <f t="shared" si="69"/>
        <v/>
      </c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6"/>
        <v/>
      </c>
      <c r="JI20" s="11" t="str">
        <f t="shared" si="77"/>
        <v/>
      </c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4"/>
        <v/>
      </c>
      <c r="KK20" s="40" t="str">
        <f t="shared" si="85"/>
        <v/>
      </c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2"/>
        <v/>
      </c>
      <c r="LM20" s="11" t="str">
        <f t="shared" si="93"/>
        <v/>
      </c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0"/>
        <v/>
      </c>
      <c r="MO20" s="40" t="str">
        <f t="shared" si="101"/>
        <v/>
      </c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08"/>
        <v/>
      </c>
      <c r="NQ20" s="11" t="str">
        <f t="shared" si="109"/>
        <v/>
      </c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6"/>
        <v/>
      </c>
      <c r="OS20" s="40" t="str">
        <f t="shared" si="117"/>
        <v/>
      </c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4"/>
        <v/>
      </c>
      <c r="PU20" s="11" t="str">
        <f t="shared" si="125"/>
        <v/>
      </c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2"/>
        <v/>
      </c>
      <c r="QW20" s="40" t="str">
        <f t="shared" si="133"/>
        <v/>
      </c>
      <c r="QX20" s="40" t="str">
        <f t="shared" si="134"/>
        <v/>
      </c>
      <c r="QY20" s="40" t="str">
        <f t="shared" si="135"/>
        <v/>
      </c>
      <c r="QZ20" s="40" t="str">
        <f t="shared" si="136"/>
        <v/>
      </c>
      <c r="RA20" s="40" t="str">
        <f t="shared" si="137"/>
        <v/>
      </c>
      <c r="RB20" s="40" t="str">
        <f t="shared" si="138"/>
        <v/>
      </c>
      <c r="RC20" s="40" t="str">
        <f t="shared" si="139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0"/>
        <v/>
      </c>
      <c r="RY20" s="11" t="str">
        <f t="shared" si="141"/>
        <v/>
      </c>
      <c r="RZ20" s="11" t="str">
        <f t="shared" si="142"/>
        <v/>
      </c>
      <c r="SA20" s="11" t="str">
        <f t="shared" si="143"/>
        <v/>
      </c>
      <c r="SB20" s="11" t="str">
        <f t="shared" si="144"/>
        <v/>
      </c>
      <c r="SC20" s="11" t="str">
        <f t="shared" si="145"/>
        <v/>
      </c>
      <c r="SD20" s="11" t="str">
        <f t="shared" si="146"/>
        <v/>
      </c>
      <c r="SE20" s="11" t="str">
        <f t="shared" si="147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48"/>
        <v/>
      </c>
      <c r="TA20" s="40" t="str">
        <f t="shared" si="149"/>
        <v/>
      </c>
      <c r="TB20" s="40" t="str">
        <f t="shared" si="150"/>
        <v/>
      </c>
      <c r="TC20" s="40" t="str">
        <f t="shared" si="151"/>
        <v/>
      </c>
      <c r="TD20" s="40" t="str">
        <f t="shared" si="152"/>
        <v/>
      </c>
      <c r="TE20" s="40" t="str">
        <f t="shared" si="153"/>
        <v/>
      </c>
      <c r="TF20" s="40" t="str">
        <f t="shared" si="154"/>
        <v/>
      </c>
      <c r="TG20" s="40" t="str">
        <f t="shared" si="155"/>
        <v/>
      </c>
      <c r="TH20" s="26">
        <f t="shared" si="156"/>
        <v>18</v>
      </c>
      <c r="TI20" s="26">
        <f t="shared" si="157"/>
        <v>4.8499999999999996</v>
      </c>
      <c r="TJ20" s="26">
        <f t="shared" si="158"/>
        <v>0.5</v>
      </c>
      <c r="TK20" s="26">
        <f t="shared" si="159"/>
        <v>0</v>
      </c>
      <c r="TL20" s="26">
        <f t="shared" si="160"/>
        <v>18.100000000000001</v>
      </c>
      <c r="TM20" s="26">
        <f t="shared" si="161"/>
        <v>4</v>
      </c>
      <c r="TN20" s="26">
        <f t="shared" si="162"/>
        <v>0.9</v>
      </c>
      <c r="TO20" s="26">
        <f t="shared" si="163"/>
        <v>0</v>
      </c>
      <c r="TP20" s="26">
        <f t="shared" si="164"/>
        <v>9.25</v>
      </c>
      <c r="TQ20" s="26">
        <f t="shared" si="165"/>
        <v>2.6</v>
      </c>
      <c r="TR20" s="26">
        <f t="shared" si="166"/>
        <v>0.5</v>
      </c>
      <c r="TS20" s="26">
        <f t="shared" si="167"/>
        <v>0</v>
      </c>
      <c r="TT20" s="26">
        <f t="shared" si="168"/>
        <v>0</v>
      </c>
      <c r="TU20" s="26">
        <f t="shared" si="169"/>
        <v>0</v>
      </c>
      <c r="TV20" s="26">
        <f t="shared" si="170"/>
        <v>0</v>
      </c>
      <c r="TW20" s="26">
        <f t="shared" si="171"/>
        <v>0</v>
      </c>
      <c r="TX20" s="26">
        <f t="shared" si="172"/>
        <v>0</v>
      </c>
      <c r="TY20" s="26">
        <f t="shared" si="173"/>
        <v>0</v>
      </c>
      <c r="TZ20" s="26">
        <f t="shared" si="174"/>
        <v>0</v>
      </c>
      <c r="UA20" s="26">
        <f t="shared" si="175"/>
        <v>0</v>
      </c>
      <c r="UB20" s="28" t="s">
        <v>53</v>
      </c>
      <c r="UC20" s="11">
        <f t="shared" si="176"/>
        <v>8.85</v>
      </c>
      <c r="UD20" s="11">
        <f t="shared" si="177"/>
        <v>43.550000000000004</v>
      </c>
      <c r="UE20" s="11">
        <f t="shared" si="178"/>
        <v>11.35</v>
      </c>
      <c r="UF20" s="11">
        <f t="shared" si="179"/>
        <v>11.45</v>
      </c>
      <c r="UG20" s="11">
        <f t="shared" si="180"/>
        <v>54.900000000000006</v>
      </c>
      <c r="UH20" s="11" t="str">
        <f t="shared" si="181"/>
        <v/>
      </c>
      <c r="UI20" s="11" t="str">
        <f t="shared" si="182"/>
        <v/>
      </c>
      <c r="UJ20" s="11">
        <f t="shared" si="183"/>
        <v>54.900000000000006</v>
      </c>
    </row>
    <row r="21" spans="1:556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205</v>
      </c>
      <c r="C21" s="4" t="s">
        <v>6</v>
      </c>
      <c r="D21" s="4">
        <v>2007</v>
      </c>
      <c r="E21" s="9">
        <f t="shared" si="0"/>
        <v>149.50000997000504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50.4</v>
      </c>
      <c r="K21" s="8" t="str">
        <f t="shared" si="5"/>
        <v>2024 3rd Domestic Trial</v>
      </c>
      <c r="L21" s="8">
        <f>IF(COUNT(AO21,BR21,CU21)&gt;1,LARGE((AO21,BR21,CU21),2),0)</f>
        <v>49.29999999999999</v>
      </c>
      <c r="M21" s="8" t="str">
        <f t="shared" si="6"/>
        <v>2024 Nationals</v>
      </c>
      <c r="N21" s="8">
        <f t="shared" si="7"/>
        <v>49.800000000000004</v>
      </c>
      <c r="O21" s="8" t="str">
        <f t="shared" si="8"/>
        <v>2024 3rd Domestic Trial</v>
      </c>
      <c r="P21" s="8" t="str">
        <f t="shared" si="9"/>
        <v/>
      </c>
      <c r="Q21" s="11" t="str">
        <f t="shared" si="184"/>
        <v/>
      </c>
      <c r="R21" s="8" t="str">
        <f t="shared" si="185"/>
        <v/>
      </c>
      <c r="S21" s="19">
        <v>18.2</v>
      </c>
      <c r="T21" s="19">
        <v>6</v>
      </c>
      <c r="U21" s="19">
        <v>0.2</v>
      </c>
      <c r="V21" s="19">
        <v>0</v>
      </c>
      <c r="W21" s="19">
        <v>18.899999999999999</v>
      </c>
      <c r="X21" s="19">
        <v>6.4</v>
      </c>
      <c r="Y21" s="19">
        <v>0</v>
      </c>
      <c r="Z21" s="19">
        <v>0</v>
      </c>
      <c r="AA21" s="19">
        <v>18.2</v>
      </c>
      <c r="AB21" s="19">
        <v>6</v>
      </c>
      <c r="AC21" s="19">
        <v>0</v>
      </c>
      <c r="AD21" s="19">
        <v>0</v>
      </c>
      <c r="AE21" s="19">
        <v>17.899999999999999</v>
      </c>
      <c r="AF21" s="19">
        <v>6</v>
      </c>
      <c r="AG21" s="19">
        <v>0.8</v>
      </c>
      <c r="AH21" s="19">
        <v>0</v>
      </c>
      <c r="AI21" s="19">
        <v>18.8</v>
      </c>
      <c r="AJ21" s="19">
        <v>6.4</v>
      </c>
      <c r="AK21" s="19">
        <v>0</v>
      </c>
      <c r="AL21" s="19">
        <v>0</v>
      </c>
      <c r="AM21" s="27"/>
      <c r="AN21" s="40">
        <f t="shared" si="10"/>
        <v>12.4</v>
      </c>
      <c r="AO21" s="40">
        <f t="shared" si="11"/>
        <v>49.29999999999999</v>
      </c>
      <c r="AP21" s="40">
        <f t="shared" si="12"/>
        <v>24.2</v>
      </c>
      <c r="AQ21" s="40">
        <f t="shared" si="13"/>
        <v>18.399999999999999</v>
      </c>
      <c r="AR21" s="40">
        <f t="shared" si="14"/>
        <v>73.499999999999986</v>
      </c>
      <c r="AS21" s="40">
        <f t="shared" si="15"/>
        <v>12.4</v>
      </c>
      <c r="AT21" s="40">
        <f t="shared" si="16"/>
        <v>48.300000000000004</v>
      </c>
      <c r="AU21" s="40">
        <f t="shared" si="17"/>
        <v>121.79999999999998</v>
      </c>
      <c r="AV21" s="18">
        <v>18.7</v>
      </c>
      <c r="AW21" s="18">
        <v>6.8</v>
      </c>
      <c r="AX21" s="18">
        <v>0</v>
      </c>
      <c r="AY21" s="18">
        <v>0</v>
      </c>
      <c r="AZ21" s="18">
        <v>18.5</v>
      </c>
      <c r="BA21" s="18">
        <v>6.4</v>
      </c>
      <c r="BB21" s="18">
        <v>0</v>
      </c>
      <c r="BC21" s="18">
        <v>0</v>
      </c>
      <c r="BD21" s="18">
        <v>18.399999999999999</v>
      </c>
      <c r="BE21" s="18">
        <v>6</v>
      </c>
      <c r="BF21" s="18">
        <v>0</v>
      </c>
      <c r="BG21" s="18">
        <v>0</v>
      </c>
      <c r="BH21" s="18">
        <v>18.8</v>
      </c>
      <c r="BI21" s="18">
        <v>6.8</v>
      </c>
      <c r="BJ21" s="18">
        <v>0.6</v>
      </c>
      <c r="BK21" s="18">
        <v>0</v>
      </c>
      <c r="BL21" s="18">
        <v>18.600000000000001</v>
      </c>
      <c r="BM21" s="18">
        <v>6.4</v>
      </c>
      <c r="BN21" s="18">
        <v>0.2</v>
      </c>
      <c r="BO21" s="18">
        <v>0</v>
      </c>
      <c r="BP21" s="28"/>
      <c r="BQ21" s="11">
        <f t="shared" si="18"/>
        <v>13.2</v>
      </c>
      <c r="BR21" s="11">
        <f t="shared" si="19"/>
        <v>50.4</v>
      </c>
      <c r="BS21" s="11">
        <f t="shared" si="20"/>
        <v>24.4</v>
      </c>
      <c r="BT21" s="11">
        <f t="shared" si="21"/>
        <v>19.2</v>
      </c>
      <c r="BU21" s="11">
        <f t="shared" si="22"/>
        <v>74.8</v>
      </c>
      <c r="BV21" s="11">
        <f t="shared" si="23"/>
        <v>13.2</v>
      </c>
      <c r="BW21" s="11">
        <f t="shared" si="24"/>
        <v>49.800000000000004</v>
      </c>
      <c r="BX21" s="11">
        <f t="shared" si="25"/>
        <v>124.6</v>
      </c>
      <c r="BY21" s="19">
        <v>18.2</v>
      </c>
      <c r="BZ21" s="19">
        <v>6.4</v>
      </c>
      <c r="CA21" s="19">
        <v>0.6</v>
      </c>
      <c r="CB21" s="19">
        <v>0</v>
      </c>
      <c r="CC21" s="19">
        <v>17.8</v>
      </c>
      <c r="CD21" s="19">
        <v>6</v>
      </c>
      <c r="CE21" s="19">
        <v>1.6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 t="shared" si="26"/>
        <v>12.4</v>
      </c>
      <c r="CU21" s="40">
        <f t="shared" si="27"/>
        <v>46.2</v>
      </c>
      <c r="CV21" s="40" t="str">
        <f t="shared" si="28"/>
        <v/>
      </c>
      <c r="CW21" s="40">
        <f t="shared" si="29"/>
        <v>12.4</v>
      </c>
      <c r="CX21" s="40">
        <f t="shared" si="30"/>
        <v>46.2</v>
      </c>
      <c r="CY21" s="40" t="str">
        <f t="shared" si="31"/>
        <v/>
      </c>
      <c r="CZ21" s="40" t="str">
        <f t="shared" si="32"/>
        <v/>
      </c>
      <c r="DA21" s="40">
        <f t="shared" si="33"/>
        <v>46.2</v>
      </c>
      <c r="DB21" s="51" t="str">
        <f t="shared" si="34"/>
        <v/>
      </c>
      <c r="DC21" s="51" t="str">
        <f t="shared" si="35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36"/>
        <v/>
      </c>
      <c r="DY21" s="40" t="str">
        <f t="shared" si="37"/>
        <v/>
      </c>
      <c r="DZ21" s="40" t="str">
        <f t="shared" si="38"/>
        <v/>
      </c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4"/>
        <v/>
      </c>
      <c r="FA21" s="11" t="str">
        <f t="shared" si="45"/>
        <v/>
      </c>
      <c r="FB21" s="11" t="str">
        <f t="shared" si="46"/>
        <v/>
      </c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2"/>
        <v/>
      </c>
      <c r="GC21" s="40" t="str">
        <f t="shared" si="53"/>
        <v/>
      </c>
      <c r="GD21" s="40" t="str">
        <f t="shared" si="54"/>
        <v/>
      </c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0"/>
        <v/>
      </c>
      <c r="HE21" s="11" t="str">
        <f t="shared" si="61"/>
        <v/>
      </c>
      <c r="HF21" s="11" t="str">
        <f t="shared" si="62"/>
        <v/>
      </c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68"/>
        <v/>
      </c>
      <c r="IG21" s="40" t="str">
        <f t="shared" si="69"/>
        <v/>
      </c>
      <c r="IH21" s="40" t="str">
        <f t="shared" si="70"/>
        <v/>
      </c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6"/>
        <v/>
      </c>
      <c r="JI21" s="11" t="str">
        <f t="shared" si="77"/>
        <v/>
      </c>
      <c r="JJ21" s="11" t="str">
        <f t="shared" si="78"/>
        <v/>
      </c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4"/>
        <v/>
      </c>
      <c r="KK21" s="40" t="str">
        <f t="shared" si="85"/>
        <v/>
      </c>
      <c r="KL21" s="40" t="str">
        <f t="shared" si="86"/>
        <v/>
      </c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2"/>
        <v/>
      </c>
      <c r="LM21" s="11" t="str">
        <f t="shared" si="93"/>
        <v/>
      </c>
      <c r="LN21" s="11" t="str">
        <f t="shared" si="94"/>
        <v/>
      </c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0"/>
        <v/>
      </c>
      <c r="MO21" s="40" t="str">
        <f t="shared" si="101"/>
        <v/>
      </c>
      <c r="MP21" s="40" t="str">
        <f t="shared" si="102"/>
        <v/>
      </c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08"/>
        <v/>
      </c>
      <c r="NQ21" s="11" t="str">
        <f t="shared" si="109"/>
        <v/>
      </c>
      <c r="NR21" s="11" t="str">
        <f t="shared" si="110"/>
        <v/>
      </c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6"/>
        <v/>
      </c>
      <c r="OS21" s="40" t="str">
        <f t="shared" si="117"/>
        <v/>
      </c>
      <c r="OT21" s="40" t="str">
        <f t="shared" si="118"/>
        <v/>
      </c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4"/>
        <v/>
      </c>
      <c r="PU21" s="11" t="str">
        <f t="shared" si="125"/>
        <v/>
      </c>
      <c r="PV21" s="11" t="str">
        <f t="shared" si="126"/>
        <v/>
      </c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2"/>
        <v/>
      </c>
      <c r="QW21" s="40" t="str">
        <f t="shared" si="133"/>
        <v/>
      </c>
      <c r="QX21" s="40" t="str">
        <f t="shared" si="134"/>
        <v/>
      </c>
      <c r="QY21" s="40" t="str">
        <f t="shared" si="135"/>
        <v/>
      </c>
      <c r="QZ21" s="40" t="str">
        <f t="shared" si="136"/>
        <v/>
      </c>
      <c r="RA21" s="40" t="str">
        <f t="shared" si="137"/>
        <v/>
      </c>
      <c r="RB21" s="40" t="str">
        <f t="shared" si="138"/>
        <v/>
      </c>
      <c r="RC21" s="40" t="str">
        <f t="shared" si="139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0"/>
        <v/>
      </c>
      <c r="RY21" s="11" t="str">
        <f t="shared" si="141"/>
        <v/>
      </c>
      <c r="RZ21" s="11" t="str">
        <f t="shared" si="142"/>
        <v/>
      </c>
      <c r="SA21" s="11" t="str">
        <f t="shared" si="143"/>
        <v/>
      </c>
      <c r="SB21" s="11" t="str">
        <f t="shared" si="144"/>
        <v/>
      </c>
      <c r="SC21" s="11" t="str">
        <f t="shared" si="145"/>
        <v/>
      </c>
      <c r="SD21" s="11" t="str">
        <f t="shared" si="146"/>
        <v/>
      </c>
      <c r="SE21" s="11" t="str">
        <f t="shared" si="147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48"/>
        <v/>
      </c>
      <c r="TA21" s="40" t="str">
        <f t="shared" si="149"/>
        <v/>
      </c>
      <c r="TB21" s="40" t="str">
        <f t="shared" si="150"/>
        <v/>
      </c>
      <c r="TC21" s="40" t="str">
        <f t="shared" si="151"/>
        <v/>
      </c>
      <c r="TD21" s="40" t="str">
        <f t="shared" si="152"/>
        <v/>
      </c>
      <c r="TE21" s="40" t="str">
        <f t="shared" si="153"/>
        <v/>
      </c>
      <c r="TF21" s="40" t="str">
        <f t="shared" si="154"/>
        <v/>
      </c>
      <c r="TG21" s="40" t="str">
        <f t="shared" si="155"/>
        <v/>
      </c>
      <c r="TH21" s="26">
        <f t="shared" si="156"/>
        <v>18.45</v>
      </c>
      <c r="TI21" s="26">
        <f t="shared" si="157"/>
        <v>6.6</v>
      </c>
      <c r="TJ21" s="26">
        <f t="shared" si="158"/>
        <v>0.3</v>
      </c>
      <c r="TK21" s="26">
        <f t="shared" si="159"/>
        <v>0</v>
      </c>
      <c r="TL21" s="26">
        <f t="shared" si="160"/>
        <v>18.149999999999999</v>
      </c>
      <c r="TM21" s="26">
        <f t="shared" si="161"/>
        <v>6.2</v>
      </c>
      <c r="TN21" s="26">
        <f t="shared" si="162"/>
        <v>0.8</v>
      </c>
      <c r="TO21" s="26">
        <f t="shared" si="163"/>
        <v>0</v>
      </c>
      <c r="TP21" s="26">
        <f t="shared" si="164"/>
        <v>9.1999999999999993</v>
      </c>
      <c r="TQ21" s="26">
        <f t="shared" si="165"/>
        <v>3</v>
      </c>
      <c r="TR21" s="26">
        <f t="shared" si="166"/>
        <v>0</v>
      </c>
      <c r="TS21" s="26">
        <f t="shared" si="167"/>
        <v>0</v>
      </c>
      <c r="TT21" s="26">
        <f t="shared" si="168"/>
        <v>9.4</v>
      </c>
      <c r="TU21" s="26">
        <f t="shared" si="169"/>
        <v>3.4</v>
      </c>
      <c r="TV21" s="26">
        <f t="shared" si="170"/>
        <v>0.3</v>
      </c>
      <c r="TW21" s="26">
        <f t="shared" si="171"/>
        <v>0</v>
      </c>
      <c r="TX21" s="26">
        <f t="shared" si="172"/>
        <v>9.3000000000000007</v>
      </c>
      <c r="TY21" s="26">
        <f t="shared" si="173"/>
        <v>3.2</v>
      </c>
      <c r="TZ21" s="26">
        <f t="shared" si="174"/>
        <v>0.1</v>
      </c>
      <c r="UA21" s="26">
        <f t="shared" si="175"/>
        <v>0</v>
      </c>
      <c r="UB21" s="28" t="s">
        <v>53</v>
      </c>
      <c r="UC21" s="11">
        <f t="shared" si="176"/>
        <v>12.8</v>
      </c>
      <c r="UD21" s="11">
        <f t="shared" si="177"/>
        <v>48.300000000000004</v>
      </c>
      <c r="UE21" s="11">
        <f t="shared" si="178"/>
        <v>12.2</v>
      </c>
      <c r="UF21" s="11">
        <f t="shared" si="179"/>
        <v>15.8</v>
      </c>
      <c r="UG21" s="11">
        <f t="shared" si="180"/>
        <v>60.5</v>
      </c>
      <c r="UH21" s="11">
        <f t="shared" si="181"/>
        <v>6.6</v>
      </c>
      <c r="UI21" s="11">
        <f t="shared" si="182"/>
        <v>24.900000000000002</v>
      </c>
      <c r="UJ21" s="11">
        <f t="shared" si="183"/>
        <v>85.4</v>
      </c>
    </row>
    <row r="22" spans="1:556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204</v>
      </c>
      <c r="C22" s="4" t="s">
        <v>6</v>
      </c>
      <c r="D22" s="4">
        <v>2007</v>
      </c>
      <c r="E22" s="9">
        <f t="shared" si="0"/>
        <v>148.80000990000505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50.4</v>
      </c>
      <c r="K22" s="8" t="str">
        <f t="shared" si="5"/>
        <v>2024 3rd Domestic Trial</v>
      </c>
      <c r="L22" s="8">
        <f>IF(COUNT(AO22,BR22,CU22)&gt;1,LARGE((AO22,BR22,CU22),2),0)</f>
        <v>48.6</v>
      </c>
      <c r="M22" s="8" t="str">
        <f t="shared" si="6"/>
        <v>2024 Nationals</v>
      </c>
      <c r="N22" s="8">
        <f t="shared" si="7"/>
        <v>49.800000000000004</v>
      </c>
      <c r="O22" s="8" t="str">
        <f t="shared" si="8"/>
        <v>2024 3rd Domestic Trial</v>
      </c>
      <c r="P22" s="8" t="str">
        <f t="shared" si="9"/>
        <v/>
      </c>
      <c r="Q22" s="11" t="str">
        <f t="shared" si="184"/>
        <v/>
      </c>
      <c r="R22" s="8" t="str">
        <f t="shared" si="185"/>
        <v/>
      </c>
      <c r="S22" s="19">
        <v>18.399999999999999</v>
      </c>
      <c r="T22" s="19">
        <v>6.8</v>
      </c>
      <c r="U22" s="19">
        <v>0</v>
      </c>
      <c r="V22" s="19">
        <v>0</v>
      </c>
      <c r="W22" s="19">
        <v>18.2</v>
      </c>
      <c r="X22" s="19">
        <v>5.6</v>
      </c>
      <c r="Y22" s="19">
        <v>0.4</v>
      </c>
      <c r="Z22" s="19">
        <v>0</v>
      </c>
      <c r="AA22" s="19">
        <v>17.2</v>
      </c>
      <c r="AB22" s="19">
        <v>3.2</v>
      </c>
      <c r="AC22" s="19">
        <v>0</v>
      </c>
      <c r="AD22" s="19">
        <v>0</v>
      </c>
      <c r="AE22" s="19"/>
      <c r="AF22" s="19"/>
      <c r="AG22" s="19"/>
      <c r="AH22" s="19"/>
      <c r="AI22" s="19"/>
      <c r="AJ22" s="19"/>
      <c r="AK22" s="19"/>
      <c r="AL22" s="19"/>
      <c r="AM22" s="27"/>
      <c r="AN22" s="40">
        <f t="shared" si="10"/>
        <v>12.399999999999999</v>
      </c>
      <c r="AO22" s="40">
        <f t="shared" si="11"/>
        <v>48.6</v>
      </c>
      <c r="AP22" s="40">
        <f t="shared" si="12"/>
        <v>20.399999999999999</v>
      </c>
      <c r="AQ22" s="40">
        <f t="shared" si="13"/>
        <v>15.599999999999998</v>
      </c>
      <c r="AR22" s="40">
        <f t="shared" si="14"/>
        <v>69</v>
      </c>
      <c r="AS22" s="40" t="str">
        <f t="shared" si="15"/>
        <v/>
      </c>
      <c r="AT22" s="40" t="str">
        <f t="shared" si="16"/>
        <v/>
      </c>
      <c r="AU22" s="40">
        <f t="shared" si="17"/>
        <v>69</v>
      </c>
      <c r="AV22" s="18">
        <v>18.8</v>
      </c>
      <c r="AW22" s="18">
        <v>6</v>
      </c>
      <c r="AX22" s="18">
        <v>0.2</v>
      </c>
      <c r="AY22" s="18">
        <v>0</v>
      </c>
      <c r="AZ22" s="18">
        <v>18.8</v>
      </c>
      <c r="BA22" s="18">
        <v>7.2</v>
      </c>
      <c r="BB22" s="18">
        <v>0.2</v>
      </c>
      <c r="BC22" s="18">
        <v>0</v>
      </c>
      <c r="BD22" s="18">
        <v>18.600000000000001</v>
      </c>
      <c r="BE22" s="18">
        <v>5.6</v>
      </c>
      <c r="BF22" s="18">
        <v>0.4</v>
      </c>
      <c r="BG22" s="18">
        <v>0</v>
      </c>
      <c r="BH22" s="18">
        <v>19</v>
      </c>
      <c r="BI22" s="18">
        <v>6</v>
      </c>
      <c r="BJ22" s="18">
        <v>0</v>
      </c>
      <c r="BK22" s="18">
        <v>0</v>
      </c>
      <c r="BL22" s="18">
        <v>18.399999999999999</v>
      </c>
      <c r="BM22" s="18">
        <v>7.2</v>
      </c>
      <c r="BN22" s="18">
        <v>0.8</v>
      </c>
      <c r="BO22" s="18">
        <v>0</v>
      </c>
      <c r="BP22" s="28"/>
      <c r="BQ22" s="11">
        <f t="shared" si="18"/>
        <v>13.2</v>
      </c>
      <c r="BR22" s="11">
        <f t="shared" si="19"/>
        <v>50.4</v>
      </c>
      <c r="BS22" s="11">
        <f t="shared" si="20"/>
        <v>23.800000000000004</v>
      </c>
      <c r="BT22" s="11">
        <f t="shared" si="21"/>
        <v>18.799999999999997</v>
      </c>
      <c r="BU22" s="11">
        <f t="shared" si="22"/>
        <v>74.2</v>
      </c>
      <c r="BV22" s="11">
        <f t="shared" si="23"/>
        <v>13.2</v>
      </c>
      <c r="BW22" s="11">
        <f t="shared" si="24"/>
        <v>49.800000000000004</v>
      </c>
      <c r="BX22" s="11">
        <f t="shared" si="25"/>
        <v>124</v>
      </c>
      <c r="BY22" s="19">
        <v>18</v>
      </c>
      <c r="BZ22" s="19">
        <v>6.8</v>
      </c>
      <c r="CA22" s="19">
        <v>0.2</v>
      </c>
      <c r="CB22" s="19">
        <v>0</v>
      </c>
      <c r="CC22" s="19">
        <v>18.3</v>
      </c>
      <c r="CD22" s="19">
        <v>6.4</v>
      </c>
      <c r="CE22" s="19">
        <v>1.2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 t="shared" si="26"/>
        <v>13.2</v>
      </c>
      <c r="CU22" s="40">
        <f t="shared" si="27"/>
        <v>48.099999999999994</v>
      </c>
      <c r="CV22" s="40" t="str">
        <f t="shared" si="28"/>
        <v/>
      </c>
      <c r="CW22" s="40">
        <f t="shared" si="29"/>
        <v>13.2</v>
      </c>
      <c r="CX22" s="40">
        <f t="shared" si="30"/>
        <v>48.099999999999994</v>
      </c>
      <c r="CY22" s="40" t="str">
        <f t="shared" si="31"/>
        <v/>
      </c>
      <c r="CZ22" s="40" t="str">
        <f t="shared" si="32"/>
        <v/>
      </c>
      <c r="DA22" s="40">
        <f t="shared" si="33"/>
        <v>48.099999999999994</v>
      </c>
      <c r="DB22" s="51" t="str">
        <f t="shared" si="34"/>
        <v/>
      </c>
      <c r="DC22" s="51" t="str">
        <f t="shared" si="35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6"/>
        <v/>
      </c>
      <c r="DY22" s="40" t="str">
        <f t="shared" si="37"/>
        <v/>
      </c>
      <c r="DZ22" s="40" t="str">
        <f t="shared" si="38"/>
        <v/>
      </c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4"/>
        <v/>
      </c>
      <c r="FA22" s="11" t="str">
        <f t="shared" si="45"/>
        <v/>
      </c>
      <c r="FB22" s="11" t="str">
        <f t="shared" si="46"/>
        <v/>
      </c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2"/>
        <v/>
      </c>
      <c r="GC22" s="40" t="str">
        <f t="shared" si="53"/>
        <v/>
      </c>
      <c r="GD22" s="40" t="str">
        <f t="shared" si="54"/>
        <v/>
      </c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0"/>
        <v/>
      </c>
      <c r="HE22" s="11" t="str">
        <f t="shared" si="61"/>
        <v/>
      </c>
      <c r="HF22" s="11" t="str">
        <f t="shared" si="62"/>
        <v/>
      </c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68"/>
        <v/>
      </c>
      <c r="IG22" s="40" t="str">
        <f t="shared" si="69"/>
        <v/>
      </c>
      <c r="IH22" s="40" t="str">
        <f t="shared" si="70"/>
        <v/>
      </c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6"/>
        <v/>
      </c>
      <c r="JI22" s="11" t="str">
        <f t="shared" si="77"/>
        <v/>
      </c>
      <c r="JJ22" s="11" t="str">
        <f t="shared" si="78"/>
        <v/>
      </c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4"/>
        <v/>
      </c>
      <c r="KK22" s="40" t="str">
        <f t="shared" si="85"/>
        <v/>
      </c>
      <c r="KL22" s="40" t="str">
        <f t="shared" si="86"/>
        <v/>
      </c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2"/>
        <v/>
      </c>
      <c r="LM22" s="11" t="str">
        <f t="shared" si="93"/>
        <v/>
      </c>
      <c r="LN22" s="11" t="str">
        <f t="shared" si="94"/>
        <v/>
      </c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0"/>
        <v/>
      </c>
      <c r="MO22" s="40" t="str">
        <f t="shared" si="101"/>
        <v/>
      </c>
      <c r="MP22" s="40" t="str">
        <f t="shared" si="102"/>
        <v/>
      </c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08"/>
        <v/>
      </c>
      <c r="NQ22" s="11" t="str">
        <f t="shared" si="109"/>
        <v/>
      </c>
      <c r="NR22" s="11" t="str">
        <f t="shared" si="110"/>
        <v/>
      </c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6"/>
        <v/>
      </c>
      <c r="OS22" s="40" t="str">
        <f t="shared" si="117"/>
        <v/>
      </c>
      <c r="OT22" s="40" t="str">
        <f t="shared" si="118"/>
        <v/>
      </c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4"/>
        <v/>
      </c>
      <c r="PU22" s="11" t="str">
        <f t="shared" si="125"/>
        <v/>
      </c>
      <c r="PV22" s="11" t="str">
        <f t="shared" si="126"/>
        <v/>
      </c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2"/>
        <v/>
      </c>
      <c r="QW22" s="40" t="str">
        <f t="shared" si="133"/>
        <v/>
      </c>
      <c r="QX22" s="40" t="str">
        <f t="shared" si="134"/>
        <v/>
      </c>
      <c r="QY22" s="40" t="str">
        <f t="shared" si="135"/>
        <v/>
      </c>
      <c r="QZ22" s="40" t="str">
        <f t="shared" si="136"/>
        <v/>
      </c>
      <c r="RA22" s="40" t="str">
        <f t="shared" si="137"/>
        <v/>
      </c>
      <c r="RB22" s="40" t="str">
        <f t="shared" si="138"/>
        <v/>
      </c>
      <c r="RC22" s="40" t="str">
        <f t="shared" si="139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0"/>
        <v/>
      </c>
      <c r="RY22" s="11" t="str">
        <f t="shared" si="141"/>
        <v/>
      </c>
      <c r="RZ22" s="11" t="str">
        <f t="shared" si="142"/>
        <v/>
      </c>
      <c r="SA22" s="11" t="str">
        <f t="shared" si="143"/>
        <v/>
      </c>
      <c r="SB22" s="11" t="str">
        <f t="shared" si="144"/>
        <v/>
      </c>
      <c r="SC22" s="11" t="str">
        <f t="shared" si="145"/>
        <v/>
      </c>
      <c r="SD22" s="11" t="str">
        <f t="shared" si="146"/>
        <v/>
      </c>
      <c r="SE22" s="11" t="str">
        <f t="shared" si="147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48"/>
        <v/>
      </c>
      <c r="TA22" s="40" t="str">
        <f t="shared" si="149"/>
        <v/>
      </c>
      <c r="TB22" s="40" t="str">
        <f t="shared" si="150"/>
        <v/>
      </c>
      <c r="TC22" s="40" t="str">
        <f t="shared" si="151"/>
        <v/>
      </c>
      <c r="TD22" s="40" t="str">
        <f t="shared" si="152"/>
        <v/>
      </c>
      <c r="TE22" s="40" t="str">
        <f t="shared" si="153"/>
        <v/>
      </c>
      <c r="TF22" s="40" t="str">
        <f t="shared" si="154"/>
        <v/>
      </c>
      <c r="TG22" s="40" t="str">
        <f t="shared" si="155"/>
        <v/>
      </c>
      <c r="TH22" s="26">
        <f t="shared" si="156"/>
        <v>18.399999999999999</v>
      </c>
      <c r="TI22" s="26">
        <f t="shared" si="157"/>
        <v>6.4</v>
      </c>
      <c r="TJ22" s="26">
        <f t="shared" si="158"/>
        <v>0.2</v>
      </c>
      <c r="TK22" s="26">
        <f t="shared" si="159"/>
        <v>0</v>
      </c>
      <c r="TL22" s="26">
        <f t="shared" si="160"/>
        <v>18.55</v>
      </c>
      <c r="TM22" s="26">
        <f t="shared" si="161"/>
        <v>6.8000000000000007</v>
      </c>
      <c r="TN22" s="26">
        <f t="shared" si="162"/>
        <v>0.7</v>
      </c>
      <c r="TO22" s="26">
        <f t="shared" si="163"/>
        <v>0</v>
      </c>
      <c r="TP22" s="26">
        <f t="shared" si="164"/>
        <v>9.3000000000000007</v>
      </c>
      <c r="TQ22" s="26">
        <f t="shared" si="165"/>
        <v>2.8</v>
      </c>
      <c r="TR22" s="26">
        <f t="shared" si="166"/>
        <v>0.2</v>
      </c>
      <c r="TS22" s="26">
        <f t="shared" si="167"/>
        <v>0</v>
      </c>
      <c r="TT22" s="26">
        <f t="shared" si="168"/>
        <v>9.5</v>
      </c>
      <c r="TU22" s="26">
        <f t="shared" si="169"/>
        <v>3</v>
      </c>
      <c r="TV22" s="26">
        <f t="shared" si="170"/>
        <v>0</v>
      </c>
      <c r="TW22" s="26">
        <f t="shared" si="171"/>
        <v>0</v>
      </c>
      <c r="TX22" s="26">
        <f t="shared" si="172"/>
        <v>9.1999999999999993</v>
      </c>
      <c r="TY22" s="26">
        <f t="shared" si="173"/>
        <v>3.6</v>
      </c>
      <c r="TZ22" s="26">
        <f t="shared" si="174"/>
        <v>0.4</v>
      </c>
      <c r="UA22" s="26">
        <f t="shared" si="175"/>
        <v>0</v>
      </c>
      <c r="UB22" s="28" t="s">
        <v>53</v>
      </c>
      <c r="UC22" s="11">
        <f t="shared" si="176"/>
        <v>13.200000000000001</v>
      </c>
      <c r="UD22" s="11">
        <f t="shared" si="177"/>
        <v>49.249999999999986</v>
      </c>
      <c r="UE22" s="11">
        <f t="shared" si="178"/>
        <v>11.900000000000002</v>
      </c>
      <c r="UF22" s="11">
        <f t="shared" si="179"/>
        <v>16</v>
      </c>
      <c r="UG22" s="11">
        <f t="shared" si="180"/>
        <v>61.149999999999991</v>
      </c>
      <c r="UH22" s="11">
        <f t="shared" si="181"/>
        <v>6.6</v>
      </c>
      <c r="UI22" s="11">
        <f t="shared" si="182"/>
        <v>24.900000000000002</v>
      </c>
      <c r="UJ22" s="11">
        <f t="shared" si="183"/>
        <v>86.05</v>
      </c>
    </row>
    <row r="23" spans="1:556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251</v>
      </c>
      <c r="C23" s="4" t="s">
        <v>5</v>
      </c>
      <c r="D23" s="4">
        <v>2007</v>
      </c>
      <c r="E23" s="9">
        <f t="shared" si="0"/>
        <v>148.00000975000512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51.099999999999994</v>
      </c>
      <c r="K23" s="8" t="str">
        <f t="shared" si="5"/>
        <v>2024 3rd Domestic Trial</v>
      </c>
      <c r="L23" s="8">
        <f>IF(COUNT(AO23,BR23,CU23)&gt;1,LARGE((AO23,BR23,CU23),2),0)</f>
        <v>46.4</v>
      </c>
      <c r="M23" s="8" t="str">
        <f t="shared" si="6"/>
        <v>2025 Elite Canada</v>
      </c>
      <c r="N23" s="8">
        <f t="shared" si="7"/>
        <v>50.5</v>
      </c>
      <c r="O23" s="8" t="str">
        <f t="shared" si="8"/>
        <v>2024 3rd Domestic Trial</v>
      </c>
      <c r="P23" s="8" t="str">
        <f t="shared" si="9"/>
        <v/>
      </c>
      <c r="Q23" s="11" t="str">
        <f t="shared" si="184"/>
        <v/>
      </c>
      <c r="R23" s="8" t="str">
        <f t="shared" si="185"/>
        <v/>
      </c>
      <c r="S23" s="19">
        <v>18.2</v>
      </c>
      <c r="T23" s="19">
        <v>7.2</v>
      </c>
      <c r="U23" s="19">
        <v>0.8</v>
      </c>
      <c r="V23" s="19"/>
      <c r="W23" s="19">
        <v>17.2</v>
      </c>
      <c r="X23" s="19">
        <v>2.4</v>
      </c>
      <c r="Y23" s="19">
        <v>0</v>
      </c>
      <c r="Z23" s="19"/>
      <c r="AA23" s="19">
        <v>16.399999999999999</v>
      </c>
      <c r="AB23" s="19">
        <v>6.8</v>
      </c>
      <c r="AC23" s="19">
        <v>0.8</v>
      </c>
      <c r="AD23" s="19"/>
      <c r="AE23" s="19"/>
      <c r="AF23" s="19"/>
      <c r="AG23" s="19"/>
      <c r="AH23" s="19"/>
      <c r="AI23" s="19"/>
      <c r="AJ23" s="19"/>
      <c r="AK23" s="19"/>
      <c r="AL23" s="19"/>
      <c r="AM23" s="27"/>
      <c r="AN23" s="40">
        <f t="shared" si="10"/>
        <v>9.6</v>
      </c>
      <c r="AO23" s="40">
        <f t="shared" si="11"/>
        <v>44.199999999999996</v>
      </c>
      <c r="AP23" s="40">
        <f t="shared" si="12"/>
        <v>22.4</v>
      </c>
      <c r="AQ23" s="40">
        <f t="shared" si="13"/>
        <v>16.399999999999999</v>
      </c>
      <c r="AR23" s="40">
        <f t="shared" si="14"/>
        <v>66.599999999999994</v>
      </c>
      <c r="AS23" s="40" t="str">
        <f t="shared" si="15"/>
        <v/>
      </c>
      <c r="AT23" s="40" t="str">
        <f t="shared" si="16"/>
        <v/>
      </c>
      <c r="AU23" s="40">
        <f t="shared" si="17"/>
        <v>66.599999999999994</v>
      </c>
      <c r="AV23" s="18">
        <v>18.899999999999999</v>
      </c>
      <c r="AW23" s="18">
        <v>7.2</v>
      </c>
      <c r="AX23" s="18">
        <v>0.6</v>
      </c>
      <c r="AY23" s="18"/>
      <c r="AZ23" s="18">
        <v>18.8</v>
      </c>
      <c r="BA23" s="18">
        <v>6.8</v>
      </c>
      <c r="BB23" s="18">
        <v>0</v>
      </c>
      <c r="BC23" s="18"/>
      <c r="BD23" s="18">
        <v>18.7</v>
      </c>
      <c r="BE23" s="18">
        <v>6</v>
      </c>
      <c r="BF23" s="18">
        <v>0</v>
      </c>
      <c r="BG23" s="18"/>
      <c r="BH23" s="18">
        <v>18.7</v>
      </c>
      <c r="BI23" s="18">
        <v>7.2</v>
      </c>
      <c r="BJ23" s="18">
        <v>0.6</v>
      </c>
      <c r="BK23" s="18"/>
      <c r="BL23" s="18">
        <v>18.600000000000001</v>
      </c>
      <c r="BM23" s="18">
        <v>6.8</v>
      </c>
      <c r="BN23" s="18">
        <v>0.2</v>
      </c>
      <c r="BO23" s="18"/>
      <c r="BP23" s="28"/>
      <c r="BQ23" s="11">
        <f t="shared" si="18"/>
        <v>14</v>
      </c>
      <c r="BR23" s="11">
        <f t="shared" si="19"/>
        <v>51.099999999999994</v>
      </c>
      <c r="BS23" s="11">
        <f t="shared" si="20"/>
        <v>24.7</v>
      </c>
      <c r="BT23" s="11">
        <f t="shared" si="21"/>
        <v>20</v>
      </c>
      <c r="BU23" s="11">
        <f t="shared" si="22"/>
        <v>75.8</v>
      </c>
      <c r="BV23" s="11">
        <f t="shared" si="23"/>
        <v>14</v>
      </c>
      <c r="BW23" s="11">
        <f t="shared" si="24"/>
        <v>50.5</v>
      </c>
      <c r="BX23" s="11">
        <f t="shared" si="25"/>
        <v>126.3</v>
      </c>
      <c r="BY23" s="19">
        <v>19</v>
      </c>
      <c r="BZ23" s="19">
        <v>7.2</v>
      </c>
      <c r="CA23" s="19">
        <v>0.2</v>
      </c>
      <c r="CB23" s="19">
        <v>0</v>
      </c>
      <c r="CC23" s="19">
        <v>16.2</v>
      </c>
      <c r="CD23" s="19">
        <v>6</v>
      </c>
      <c r="CE23" s="19">
        <v>1.8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 t="shared" si="26"/>
        <v>13.2</v>
      </c>
      <c r="CU23" s="40">
        <f t="shared" si="27"/>
        <v>46.4</v>
      </c>
      <c r="CV23" s="40" t="str">
        <f t="shared" si="28"/>
        <v/>
      </c>
      <c r="CW23" s="40">
        <f t="shared" si="29"/>
        <v>13.2</v>
      </c>
      <c r="CX23" s="40">
        <f t="shared" si="30"/>
        <v>46.4</v>
      </c>
      <c r="CY23" s="40" t="str">
        <f t="shared" si="31"/>
        <v/>
      </c>
      <c r="CZ23" s="40" t="str">
        <f t="shared" si="32"/>
        <v/>
      </c>
      <c r="DA23" s="40">
        <f t="shared" si="33"/>
        <v>46.4</v>
      </c>
      <c r="DB23" s="51" t="str">
        <f t="shared" si="34"/>
        <v/>
      </c>
      <c r="DC23" s="51" t="str">
        <f t="shared" si="35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6"/>
        <v/>
      </c>
      <c r="DY23" s="40" t="str">
        <f t="shared" si="37"/>
        <v/>
      </c>
      <c r="DZ23" s="40" t="str">
        <f t="shared" si="38"/>
        <v/>
      </c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4"/>
        <v/>
      </c>
      <c r="FA23" s="11" t="str">
        <f t="shared" si="45"/>
        <v/>
      </c>
      <c r="FB23" s="11" t="str">
        <f t="shared" si="46"/>
        <v/>
      </c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2"/>
        <v/>
      </c>
      <c r="GC23" s="40" t="str">
        <f t="shared" si="53"/>
        <v/>
      </c>
      <c r="GD23" s="40" t="str">
        <f t="shared" si="54"/>
        <v/>
      </c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0"/>
        <v/>
      </c>
      <c r="HE23" s="11" t="str">
        <f t="shared" si="61"/>
        <v/>
      </c>
      <c r="HF23" s="11" t="str">
        <f t="shared" si="62"/>
        <v/>
      </c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68"/>
        <v/>
      </c>
      <c r="IG23" s="40" t="str">
        <f t="shared" si="69"/>
        <v/>
      </c>
      <c r="IH23" s="40" t="str">
        <f t="shared" si="70"/>
        <v/>
      </c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6"/>
        <v/>
      </c>
      <c r="JI23" s="11" t="str">
        <f t="shared" si="77"/>
        <v/>
      </c>
      <c r="JJ23" s="11" t="str">
        <f t="shared" si="78"/>
        <v/>
      </c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4"/>
        <v/>
      </c>
      <c r="KK23" s="40" t="str">
        <f t="shared" si="85"/>
        <v/>
      </c>
      <c r="KL23" s="40" t="str">
        <f t="shared" si="86"/>
        <v/>
      </c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2"/>
        <v/>
      </c>
      <c r="LM23" s="11" t="str">
        <f t="shared" si="93"/>
        <v/>
      </c>
      <c r="LN23" s="11" t="str">
        <f t="shared" si="94"/>
        <v/>
      </c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0"/>
        <v/>
      </c>
      <c r="MO23" s="40" t="str">
        <f t="shared" si="101"/>
        <v/>
      </c>
      <c r="MP23" s="40" t="str">
        <f t="shared" si="102"/>
        <v/>
      </c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08"/>
        <v/>
      </c>
      <c r="NQ23" s="11" t="str">
        <f t="shared" si="109"/>
        <v/>
      </c>
      <c r="NR23" s="11" t="str">
        <f t="shared" si="110"/>
        <v/>
      </c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6"/>
        <v/>
      </c>
      <c r="OS23" s="40" t="str">
        <f t="shared" si="117"/>
        <v/>
      </c>
      <c r="OT23" s="40" t="str">
        <f t="shared" si="118"/>
        <v/>
      </c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4"/>
        <v/>
      </c>
      <c r="PU23" s="11" t="str">
        <f t="shared" si="125"/>
        <v/>
      </c>
      <c r="PV23" s="11" t="str">
        <f t="shared" si="126"/>
        <v/>
      </c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2"/>
        <v/>
      </c>
      <c r="QW23" s="40" t="str">
        <f t="shared" si="133"/>
        <v/>
      </c>
      <c r="QX23" s="40" t="str">
        <f t="shared" si="134"/>
        <v/>
      </c>
      <c r="QY23" s="40" t="str">
        <f t="shared" si="135"/>
        <v/>
      </c>
      <c r="QZ23" s="40" t="str">
        <f t="shared" si="136"/>
        <v/>
      </c>
      <c r="RA23" s="40" t="str">
        <f t="shared" si="137"/>
        <v/>
      </c>
      <c r="RB23" s="40" t="str">
        <f t="shared" si="138"/>
        <v/>
      </c>
      <c r="RC23" s="40" t="str">
        <f t="shared" si="139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0"/>
        <v/>
      </c>
      <c r="RY23" s="11" t="str">
        <f t="shared" si="141"/>
        <v/>
      </c>
      <c r="RZ23" s="11" t="str">
        <f t="shared" si="142"/>
        <v/>
      </c>
      <c r="SA23" s="11" t="str">
        <f t="shared" si="143"/>
        <v/>
      </c>
      <c r="SB23" s="11" t="str">
        <f t="shared" si="144"/>
        <v/>
      </c>
      <c r="SC23" s="11" t="str">
        <f t="shared" si="145"/>
        <v/>
      </c>
      <c r="SD23" s="11" t="str">
        <f t="shared" si="146"/>
        <v/>
      </c>
      <c r="SE23" s="11" t="str">
        <f t="shared" si="147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48"/>
        <v/>
      </c>
      <c r="TA23" s="40" t="str">
        <f t="shared" si="149"/>
        <v/>
      </c>
      <c r="TB23" s="40" t="str">
        <f t="shared" si="150"/>
        <v/>
      </c>
      <c r="TC23" s="40" t="str">
        <f t="shared" si="151"/>
        <v/>
      </c>
      <c r="TD23" s="40" t="str">
        <f t="shared" si="152"/>
        <v/>
      </c>
      <c r="TE23" s="40" t="str">
        <f t="shared" si="153"/>
        <v/>
      </c>
      <c r="TF23" s="40" t="str">
        <f t="shared" si="154"/>
        <v/>
      </c>
      <c r="TG23" s="40" t="str">
        <f t="shared" si="155"/>
        <v/>
      </c>
      <c r="TH23" s="26">
        <f t="shared" si="156"/>
        <v>18.95</v>
      </c>
      <c r="TI23" s="26">
        <f t="shared" si="157"/>
        <v>7.2</v>
      </c>
      <c r="TJ23" s="26">
        <f t="shared" si="158"/>
        <v>0.4</v>
      </c>
      <c r="TK23" s="26">
        <f t="shared" si="159"/>
        <v>0</v>
      </c>
      <c r="TL23" s="26">
        <f t="shared" si="160"/>
        <v>17.5</v>
      </c>
      <c r="TM23" s="26">
        <f t="shared" si="161"/>
        <v>6.4</v>
      </c>
      <c r="TN23" s="26">
        <f t="shared" si="162"/>
        <v>0.9</v>
      </c>
      <c r="TO23" s="26">
        <f t="shared" si="163"/>
        <v>0</v>
      </c>
      <c r="TP23" s="26">
        <f t="shared" si="164"/>
        <v>9.35</v>
      </c>
      <c r="TQ23" s="26">
        <f t="shared" si="165"/>
        <v>3</v>
      </c>
      <c r="TR23" s="26">
        <f t="shared" si="166"/>
        <v>0</v>
      </c>
      <c r="TS23" s="26">
        <f t="shared" si="167"/>
        <v>0</v>
      </c>
      <c r="TT23" s="26">
        <f t="shared" si="168"/>
        <v>9.35</v>
      </c>
      <c r="TU23" s="26">
        <f t="shared" si="169"/>
        <v>3.6</v>
      </c>
      <c r="TV23" s="26">
        <f t="shared" si="170"/>
        <v>0.3</v>
      </c>
      <c r="TW23" s="26">
        <f t="shared" si="171"/>
        <v>0</v>
      </c>
      <c r="TX23" s="26">
        <f t="shared" si="172"/>
        <v>9.3000000000000007</v>
      </c>
      <c r="TY23" s="26">
        <f t="shared" si="173"/>
        <v>3.4</v>
      </c>
      <c r="TZ23" s="26">
        <f t="shared" si="174"/>
        <v>0.1</v>
      </c>
      <c r="UA23" s="26">
        <f t="shared" si="175"/>
        <v>0</v>
      </c>
      <c r="UB23" s="28" t="s">
        <v>53</v>
      </c>
      <c r="UC23" s="11">
        <f t="shared" si="176"/>
        <v>13.600000000000001</v>
      </c>
      <c r="UD23" s="11">
        <f t="shared" si="177"/>
        <v>48.75</v>
      </c>
      <c r="UE23" s="11">
        <f t="shared" si="178"/>
        <v>12.35</v>
      </c>
      <c r="UF23" s="11">
        <f t="shared" si="179"/>
        <v>16.600000000000001</v>
      </c>
      <c r="UG23" s="11">
        <f t="shared" si="180"/>
        <v>61.1</v>
      </c>
      <c r="UH23" s="11">
        <f t="shared" si="181"/>
        <v>7</v>
      </c>
      <c r="UI23" s="11">
        <f t="shared" si="182"/>
        <v>25.25</v>
      </c>
      <c r="UJ23" s="11">
        <f t="shared" si="183"/>
        <v>86.35</v>
      </c>
    </row>
    <row r="24" spans="1:556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156</v>
      </c>
      <c r="C24" s="4" t="s">
        <v>3</v>
      </c>
      <c r="D24" s="4">
        <v>2005</v>
      </c>
      <c r="E24" s="9">
        <f t="shared" si="0"/>
        <v>147.30000968000502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50.099999999999994</v>
      </c>
      <c r="K24" s="8" t="str">
        <f t="shared" si="5"/>
        <v>2025 Elite Canada</v>
      </c>
      <c r="L24" s="8">
        <f>IF(COUNT(AO24,BR24,CU24)&gt;1,LARGE((AO24,BR24,CU24),2),0)</f>
        <v>46.7</v>
      </c>
      <c r="M24" s="8" t="str">
        <f t="shared" si="6"/>
        <v>2024 3rd Domestic Trial</v>
      </c>
      <c r="N24" s="8">
        <f t="shared" si="7"/>
        <v>50.5</v>
      </c>
      <c r="O24" s="8" t="str">
        <f t="shared" si="8"/>
        <v>2025 Elite Canada</v>
      </c>
      <c r="P24" s="8" t="str">
        <f t="shared" si="9"/>
        <v/>
      </c>
      <c r="Q24" s="11" t="str">
        <f t="shared" si="184"/>
        <v/>
      </c>
      <c r="R24" s="8" t="str">
        <f t="shared" si="185"/>
        <v/>
      </c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27"/>
      <c r="AN24" s="40" t="str">
        <f t="shared" si="10"/>
        <v/>
      </c>
      <c r="AO24" s="40" t="str">
        <f t="shared" si="11"/>
        <v/>
      </c>
      <c r="AP24" s="40" t="str">
        <f t="shared" si="12"/>
        <v/>
      </c>
      <c r="AQ24" s="40" t="str">
        <f t="shared" si="13"/>
        <v/>
      </c>
      <c r="AR24" s="40" t="str">
        <f t="shared" si="14"/>
        <v/>
      </c>
      <c r="AS24" s="40" t="str">
        <f t="shared" si="15"/>
        <v/>
      </c>
      <c r="AT24" s="40" t="str">
        <f t="shared" si="16"/>
        <v/>
      </c>
      <c r="AU24" s="40" t="str">
        <f t="shared" si="17"/>
        <v/>
      </c>
      <c r="AV24" s="18">
        <v>19</v>
      </c>
      <c r="AW24" s="18">
        <v>7.2</v>
      </c>
      <c r="AX24" s="18">
        <v>0</v>
      </c>
      <c r="AY24" s="18">
        <v>0</v>
      </c>
      <c r="AZ24" s="18">
        <v>17.3</v>
      </c>
      <c r="BA24" s="18">
        <v>3.2</v>
      </c>
      <c r="BB24" s="18">
        <v>0</v>
      </c>
      <c r="BC24" s="18">
        <v>0</v>
      </c>
      <c r="BD24" s="18">
        <v>16.8</v>
      </c>
      <c r="BE24" s="18">
        <v>6.9</v>
      </c>
      <c r="BF24" s="18">
        <v>0.2</v>
      </c>
      <c r="BG24" s="18">
        <v>0</v>
      </c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 t="shared" si="18"/>
        <v>10.4</v>
      </c>
      <c r="BR24" s="11">
        <f t="shared" si="19"/>
        <v>46.7</v>
      </c>
      <c r="BS24" s="11">
        <f t="shared" si="20"/>
        <v>23.500000000000004</v>
      </c>
      <c r="BT24" s="11">
        <f t="shared" si="21"/>
        <v>17.3</v>
      </c>
      <c r="BU24" s="11">
        <f t="shared" si="22"/>
        <v>70.2</v>
      </c>
      <c r="BV24" s="11" t="str">
        <f t="shared" si="23"/>
        <v/>
      </c>
      <c r="BW24" s="11" t="str">
        <f t="shared" si="24"/>
        <v/>
      </c>
      <c r="BX24" s="11">
        <f t="shared" si="25"/>
        <v>70.2</v>
      </c>
      <c r="BY24" s="19">
        <v>18.600000000000001</v>
      </c>
      <c r="BZ24" s="19">
        <v>7.2</v>
      </c>
      <c r="CA24" s="19">
        <v>0.8</v>
      </c>
      <c r="CB24" s="19">
        <v>0</v>
      </c>
      <c r="CC24" s="19">
        <v>18.5</v>
      </c>
      <c r="CD24" s="19">
        <v>6.8</v>
      </c>
      <c r="CE24" s="19">
        <v>0.2</v>
      </c>
      <c r="CF24" s="19">
        <v>0</v>
      </c>
      <c r="CG24" s="19"/>
      <c r="CH24" s="19"/>
      <c r="CI24" s="19"/>
      <c r="CJ24" s="19"/>
      <c r="CK24" s="19">
        <v>19.2</v>
      </c>
      <c r="CL24" s="19">
        <v>7.2</v>
      </c>
      <c r="CM24" s="19">
        <v>0</v>
      </c>
      <c r="CN24" s="19">
        <v>0</v>
      </c>
      <c r="CO24" s="19">
        <v>18.100000000000001</v>
      </c>
      <c r="CP24" s="19">
        <v>6.8</v>
      </c>
      <c r="CQ24" s="19">
        <v>0.8</v>
      </c>
      <c r="CR24" s="19">
        <v>0</v>
      </c>
      <c r="CS24" s="27"/>
      <c r="CT24" s="40">
        <f t="shared" si="26"/>
        <v>14</v>
      </c>
      <c r="CU24" s="40">
        <f t="shared" si="27"/>
        <v>50.099999999999994</v>
      </c>
      <c r="CV24" s="40" t="str">
        <f t="shared" si="28"/>
        <v/>
      </c>
      <c r="CW24" s="40">
        <f t="shared" si="29"/>
        <v>14</v>
      </c>
      <c r="CX24" s="40">
        <f t="shared" si="30"/>
        <v>50.099999999999994</v>
      </c>
      <c r="CY24" s="40">
        <f t="shared" si="31"/>
        <v>14</v>
      </c>
      <c r="CZ24" s="40">
        <f t="shared" si="32"/>
        <v>50.5</v>
      </c>
      <c r="DA24" s="40">
        <f t="shared" si="33"/>
        <v>100.6</v>
      </c>
      <c r="DB24" s="51" t="str">
        <f t="shared" si="34"/>
        <v/>
      </c>
      <c r="DC24" s="51" t="str">
        <f t="shared" si="35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6"/>
        <v/>
      </c>
      <c r="DY24" s="40" t="str">
        <f t="shared" si="37"/>
        <v/>
      </c>
      <c r="DZ24" s="40" t="str">
        <f t="shared" si="38"/>
        <v/>
      </c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4"/>
        <v/>
      </c>
      <c r="FA24" s="11" t="str">
        <f t="shared" si="45"/>
        <v/>
      </c>
      <c r="FB24" s="11" t="str">
        <f t="shared" si="46"/>
        <v/>
      </c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2"/>
        <v/>
      </c>
      <c r="GC24" s="40" t="str">
        <f t="shared" si="53"/>
        <v/>
      </c>
      <c r="GD24" s="40" t="str">
        <f t="shared" si="54"/>
        <v/>
      </c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0"/>
        <v/>
      </c>
      <c r="HE24" s="11" t="str">
        <f t="shared" si="61"/>
        <v/>
      </c>
      <c r="HF24" s="11" t="str">
        <f t="shared" si="62"/>
        <v/>
      </c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68"/>
        <v/>
      </c>
      <c r="IG24" s="40" t="str">
        <f t="shared" si="69"/>
        <v/>
      </c>
      <c r="IH24" s="40" t="str">
        <f t="shared" si="70"/>
        <v/>
      </c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6"/>
        <v/>
      </c>
      <c r="JI24" s="11" t="str">
        <f t="shared" si="77"/>
        <v/>
      </c>
      <c r="JJ24" s="11" t="str">
        <f t="shared" si="78"/>
        <v/>
      </c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4"/>
        <v/>
      </c>
      <c r="KK24" s="40" t="str">
        <f t="shared" si="85"/>
        <v/>
      </c>
      <c r="KL24" s="40" t="str">
        <f t="shared" si="86"/>
        <v/>
      </c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2"/>
        <v/>
      </c>
      <c r="LM24" s="11" t="str">
        <f t="shared" si="93"/>
        <v/>
      </c>
      <c r="LN24" s="11" t="str">
        <f t="shared" si="94"/>
        <v/>
      </c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0"/>
        <v/>
      </c>
      <c r="MO24" s="40" t="str">
        <f t="shared" si="101"/>
        <v/>
      </c>
      <c r="MP24" s="40" t="str">
        <f t="shared" si="102"/>
        <v/>
      </c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08"/>
        <v/>
      </c>
      <c r="NQ24" s="11" t="str">
        <f t="shared" si="109"/>
        <v/>
      </c>
      <c r="NR24" s="11" t="str">
        <f t="shared" si="110"/>
        <v/>
      </c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6"/>
        <v/>
      </c>
      <c r="OS24" s="40" t="str">
        <f t="shared" si="117"/>
        <v/>
      </c>
      <c r="OT24" s="40" t="str">
        <f t="shared" si="118"/>
        <v/>
      </c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4"/>
        <v/>
      </c>
      <c r="PU24" s="11" t="str">
        <f t="shared" si="125"/>
        <v/>
      </c>
      <c r="PV24" s="11" t="str">
        <f t="shared" si="126"/>
        <v/>
      </c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2"/>
        <v/>
      </c>
      <c r="QW24" s="40" t="str">
        <f t="shared" si="133"/>
        <v/>
      </c>
      <c r="QX24" s="40" t="str">
        <f t="shared" si="134"/>
        <v/>
      </c>
      <c r="QY24" s="40" t="str">
        <f t="shared" si="135"/>
        <v/>
      </c>
      <c r="QZ24" s="40" t="str">
        <f t="shared" si="136"/>
        <v/>
      </c>
      <c r="RA24" s="40" t="str">
        <f t="shared" si="137"/>
        <v/>
      </c>
      <c r="RB24" s="40" t="str">
        <f t="shared" si="138"/>
        <v/>
      </c>
      <c r="RC24" s="40" t="str">
        <f t="shared" si="139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0"/>
        <v/>
      </c>
      <c r="RY24" s="11" t="str">
        <f t="shared" si="141"/>
        <v/>
      </c>
      <c r="RZ24" s="11" t="str">
        <f t="shared" si="142"/>
        <v/>
      </c>
      <c r="SA24" s="11" t="str">
        <f t="shared" si="143"/>
        <v/>
      </c>
      <c r="SB24" s="11" t="str">
        <f t="shared" si="144"/>
        <v/>
      </c>
      <c r="SC24" s="11" t="str">
        <f t="shared" si="145"/>
        <v/>
      </c>
      <c r="SD24" s="11" t="str">
        <f t="shared" si="146"/>
        <v/>
      </c>
      <c r="SE24" s="11" t="str">
        <f t="shared" si="147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48"/>
        <v/>
      </c>
      <c r="TA24" s="40" t="str">
        <f t="shared" si="149"/>
        <v/>
      </c>
      <c r="TB24" s="40" t="str">
        <f t="shared" si="150"/>
        <v/>
      </c>
      <c r="TC24" s="40" t="str">
        <f t="shared" si="151"/>
        <v/>
      </c>
      <c r="TD24" s="40" t="str">
        <f t="shared" si="152"/>
        <v/>
      </c>
      <c r="TE24" s="40" t="str">
        <f t="shared" si="153"/>
        <v/>
      </c>
      <c r="TF24" s="40" t="str">
        <f t="shared" si="154"/>
        <v/>
      </c>
      <c r="TG24" s="40" t="str">
        <f t="shared" si="155"/>
        <v/>
      </c>
      <c r="TH24" s="26">
        <f t="shared" si="156"/>
        <v>18.8</v>
      </c>
      <c r="TI24" s="26">
        <f t="shared" si="157"/>
        <v>7.2</v>
      </c>
      <c r="TJ24" s="26">
        <f t="shared" si="158"/>
        <v>0.4</v>
      </c>
      <c r="TK24" s="26">
        <f t="shared" si="159"/>
        <v>0</v>
      </c>
      <c r="TL24" s="26">
        <f t="shared" si="160"/>
        <v>17.899999999999999</v>
      </c>
      <c r="TM24" s="26">
        <f t="shared" si="161"/>
        <v>5</v>
      </c>
      <c r="TN24" s="26">
        <f t="shared" si="162"/>
        <v>0.1</v>
      </c>
      <c r="TO24" s="26">
        <f t="shared" si="163"/>
        <v>0</v>
      </c>
      <c r="TP24" s="26">
        <f t="shared" si="164"/>
        <v>8.4</v>
      </c>
      <c r="TQ24" s="26">
        <f t="shared" si="165"/>
        <v>3.45</v>
      </c>
      <c r="TR24" s="26">
        <f t="shared" si="166"/>
        <v>0.1</v>
      </c>
      <c r="TS24" s="26">
        <f t="shared" si="167"/>
        <v>0</v>
      </c>
      <c r="TT24" s="26">
        <f t="shared" si="168"/>
        <v>9.6</v>
      </c>
      <c r="TU24" s="26">
        <f t="shared" si="169"/>
        <v>3.6</v>
      </c>
      <c r="TV24" s="26">
        <f t="shared" si="170"/>
        <v>0</v>
      </c>
      <c r="TW24" s="26">
        <f t="shared" si="171"/>
        <v>0</v>
      </c>
      <c r="TX24" s="26">
        <f t="shared" si="172"/>
        <v>9.0500000000000007</v>
      </c>
      <c r="TY24" s="26">
        <f t="shared" si="173"/>
        <v>3.4</v>
      </c>
      <c r="TZ24" s="26">
        <f t="shared" si="174"/>
        <v>0.4</v>
      </c>
      <c r="UA24" s="26">
        <f t="shared" si="175"/>
        <v>0</v>
      </c>
      <c r="UB24" s="28" t="s">
        <v>53</v>
      </c>
      <c r="UC24" s="11">
        <f t="shared" si="176"/>
        <v>12.2</v>
      </c>
      <c r="UD24" s="11">
        <f t="shared" si="177"/>
        <v>48.4</v>
      </c>
      <c r="UE24" s="11">
        <f t="shared" si="178"/>
        <v>11.750000000000002</v>
      </c>
      <c r="UF24" s="11">
        <f t="shared" si="179"/>
        <v>15.649999999999999</v>
      </c>
      <c r="UG24" s="11">
        <f t="shared" si="180"/>
        <v>60.15</v>
      </c>
      <c r="UH24" s="11">
        <f t="shared" si="181"/>
        <v>7</v>
      </c>
      <c r="UI24" s="11">
        <f t="shared" si="182"/>
        <v>25.25</v>
      </c>
      <c r="UJ24" s="11">
        <f t="shared" si="183"/>
        <v>85.4</v>
      </c>
    </row>
    <row r="25" spans="1:556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180</v>
      </c>
      <c r="C25" s="4" t="s">
        <v>5</v>
      </c>
      <c r="D25" s="4">
        <v>2007</v>
      </c>
      <c r="E25" s="9">
        <f t="shared" si="0"/>
        <v>145.10000955000487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48.999999999999993</v>
      </c>
      <c r="K25" s="8" t="str">
        <f t="shared" si="5"/>
        <v>2024 Nationals</v>
      </c>
      <c r="L25" s="8">
        <f>IF(COUNT(AO25,BR25,CU25)&gt;1,LARGE((AO25,BR25,CU25),2),0)</f>
        <v>46.5</v>
      </c>
      <c r="M25" s="8" t="str">
        <f t="shared" si="6"/>
        <v>2025 Elite Canada</v>
      </c>
      <c r="N25" s="8">
        <f t="shared" si="7"/>
        <v>49.6</v>
      </c>
      <c r="O25" s="8" t="str">
        <f t="shared" si="8"/>
        <v>2024 Nationals</v>
      </c>
      <c r="P25" s="8" t="str">
        <f t="shared" si="9"/>
        <v/>
      </c>
      <c r="Q25" s="11" t="str">
        <f t="shared" si="184"/>
        <v/>
      </c>
      <c r="R25" s="8" t="str">
        <f t="shared" si="185"/>
        <v/>
      </c>
      <c r="S25" s="19">
        <v>18.600000000000001</v>
      </c>
      <c r="T25" s="19">
        <v>6.4</v>
      </c>
      <c r="U25" s="19">
        <v>0.2</v>
      </c>
      <c r="V25" s="19">
        <v>0</v>
      </c>
      <c r="W25" s="19">
        <v>18.8</v>
      </c>
      <c r="X25" s="19">
        <v>6</v>
      </c>
      <c r="Y25" s="19">
        <v>0.6</v>
      </c>
      <c r="Z25" s="19">
        <v>0</v>
      </c>
      <c r="AA25" s="19">
        <v>19.100000000000001</v>
      </c>
      <c r="AB25" s="19">
        <v>5.6</v>
      </c>
      <c r="AC25" s="19">
        <v>0.4</v>
      </c>
      <c r="AD25" s="19">
        <v>0</v>
      </c>
      <c r="AE25" s="19">
        <v>18.8</v>
      </c>
      <c r="AF25" s="19">
        <v>6.4</v>
      </c>
      <c r="AG25" s="19">
        <v>0.6</v>
      </c>
      <c r="AH25" s="19">
        <v>0</v>
      </c>
      <c r="AI25" s="19">
        <v>19</v>
      </c>
      <c r="AJ25" s="19">
        <v>6</v>
      </c>
      <c r="AK25" s="19">
        <v>0</v>
      </c>
      <c r="AL25" s="19">
        <v>0</v>
      </c>
      <c r="AM25" s="27"/>
      <c r="AN25" s="40">
        <f t="shared" si="10"/>
        <v>12.4</v>
      </c>
      <c r="AO25" s="40">
        <f t="shared" si="11"/>
        <v>48.999999999999993</v>
      </c>
      <c r="AP25" s="40">
        <f t="shared" si="12"/>
        <v>24.300000000000004</v>
      </c>
      <c r="AQ25" s="40">
        <f t="shared" si="13"/>
        <v>18</v>
      </c>
      <c r="AR25" s="40">
        <f t="shared" si="14"/>
        <v>73.3</v>
      </c>
      <c r="AS25" s="40">
        <f t="shared" si="15"/>
        <v>12.4</v>
      </c>
      <c r="AT25" s="40">
        <f t="shared" si="16"/>
        <v>49.6</v>
      </c>
      <c r="AU25" s="40">
        <f t="shared" si="17"/>
        <v>122.9</v>
      </c>
      <c r="AV25" s="18">
        <v>19.2</v>
      </c>
      <c r="AW25" s="18">
        <v>6</v>
      </c>
      <c r="AX25" s="18">
        <v>0</v>
      </c>
      <c r="AY25" s="18">
        <v>0</v>
      </c>
      <c r="AZ25" s="18">
        <v>17.399999999999999</v>
      </c>
      <c r="BA25" s="18">
        <v>3.2</v>
      </c>
      <c r="BB25" s="18">
        <v>0</v>
      </c>
      <c r="BC25" s="18">
        <v>0</v>
      </c>
      <c r="BD25" s="18">
        <v>18.899999999999999</v>
      </c>
      <c r="BE25" s="18">
        <v>6.4</v>
      </c>
      <c r="BF25" s="18">
        <v>0.6</v>
      </c>
      <c r="BG25" s="18">
        <v>0</v>
      </c>
      <c r="BH25" s="18"/>
      <c r="BI25" s="18"/>
      <c r="BJ25" s="18"/>
      <c r="BK25" s="18"/>
      <c r="BL25" s="18"/>
      <c r="BM25" s="18"/>
      <c r="BN25" s="18"/>
      <c r="BO25" s="18"/>
      <c r="BP25" s="28"/>
      <c r="BQ25" s="11">
        <f t="shared" si="18"/>
        <v>9.1999999999999993</v>
      </c>
      <c r="BR25" s="11">
        <f t="shared" si="19"/>
        <v>45.8</v>
      </c>
      <c r="BS25" s="11">
        <f t="shared" si="20"/>
        <v>24.699999999999996</v>
      </c>
      <c r="BT25" s="11">
        <f t="shared" si="21"/>
        <v>15.6</v>
      </c>
      <c r="BU25" s="11">
        <f t="shared" si="22"/>
        <v>70.5</v>
      </c>
      <c r="BV25" s="11" t="str">
        <f t="shared" si="23"/>
        <v/>
      </c>
      <c r="BW25" s="11" t="str">
        <f t="shared" si="24"/>
        <v/>
      </c>
      <c r="BX25" s="11">
        <f t="shared" si="25"/>
        <v>70.5</v>
      </c>
      <c r="BY25" s="19">
        <v>18.899999999999999</v>
      </c>
      <c r="BZ25" s="19">
        <v>5.6</v>
      </c>
      <c r="CA25" s="19">
        <v>1.6</v>
      </c>
      <c r="CB25" s="19">
        <v>0</v>
      </c>
      <c r="CC25" s="19">
        <v>19</v>
      </c>
      <c r="CD25" s="19">
        <v>5.6</v>
      </c>
      <c r="CE25" s="19">
        <v>1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 t="shared" si="26"/>
        <v>11.2</v>
      </c>
      <c r="CU25" s="40">
        <f t="shared" si="27"/>
        <v>46.5</v>
      </c>
      <c r="CV25" s="40" t="str">
        <f t="shared" si="28"/>
        <v/>
      </c>
      <c r="CW25" s="40">
        <f t="shared" si="29"/>
        <v>11.2</v>
      </c>
      <c r="CX25" s="40">
        <f t="shared" si="30"/>
        <v>46.5</v>
      </c>
      <c r="CY25" s="40" t="str">
        <f t="shared" si="31"/>
        <v/>
      </c>
      <c r="CZ25" s="40" t="str">
        <f t="shared" si="32"/>
        <v/>
      </c>
      <c r="DA25" s="40">
        <f t="shared" si="33"/>
        <v>46.5</v>
      </c>
      <c r="DB25" s="51" t="str">
        <f t="shared" si="34"/>
        <v/>
      </c>
      <c r="DC25" s="51" t="str">
        <f t="shared" si="35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6"/>
        <v/>
      </c>
      <c r="DY25" s="40" t="str">
        <f t="shared" si="37"/>
        <v/>
      </c>
      <c r="DZ25" s="40" t="str">
        <f t="shared" si="38"/>
        <v/>
      </c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4"/>
        <v/>
      </c>
      <c r="FA25" s="11" t="str">
        <f t="shared" si="45"/>
        <v/>
      </c>
      <c r="FB25" s="11" t="str">
        <f t="shared" si="46"/>
        <v/>
      </c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2"/>
        <v/>
      </c>
      <c r="GC25" s="40" t="str">
        <f t="shared" si="53"/>
        <v/>
      </c>
      <c r="GD25" s="40" t="str">
        <f t="shared" si="54"/>
        <v/>
      </c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0"/>
        <v/>
      </c>
      <c r="HE25" s="11" t="str">
        <f t="shared" si="61"/>
        <v/>
      </c>
      <c r="HF25" s="11" t="str">
        <f t="shared" si="62"/>
        <v/>
      </c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68"/>
        <v/>
      </c>
      <c r="IG25" s="40" t="str">
        <f t="shared" si="69"/>
        <v/>
      </c>
      <c r="IH25" s="40" t="str">
        <f t="shared" si="70"/>
        <v/>
      </c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6"/>
        <v/>
      </c>
      <c r="JI25" s="11" t="str">
        <f t="shared" si="77"/>
        <v/>
      </c>
      <c r="JJ25" s="11" t="str">
        <f t="shared" si="78"/>
        <v/>
      </c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4"/>
        <v/>
      </c>
      <c r="KK25" s="40" t="str">
        <f t="shared" si="85"/>
        <v/>
      </c>
      <c r="KL25" s="40" t="str">
        <f t="shared" si="86"/>
        <v/>
      </c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2"/>
        <v/>
      </c>
      <c r="LM25" s="11" t="str">
        <f t="shared" si="93"/>
        <v/>
      </c>
      <c r="LN25" s="11" t="str">
        <f t="shared" si="94"/>
        <v/>
      </c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0"/>
        <v/>
      </c>
      <c r="MO25" s="40" t="str">
        <f t="shared" si="101"/>
        <v/>
      </c>
      <c r="MP25" s="40" t="str">
        <f t="shared" si="102"/>
        <v/>
      </c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08"/>
        <v/>
      </c>
      <c r="NQ25" s="11" t="str">
        <f t="shared" si="109"/>
        <v/>
      </c>
      <c r="NR25" s="11" t="str">
        <f t="shared" si="110"/>
        <v/>
      </c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6"/>
        <v/>
      </c>
      <c r="OS25" s="40" t="str">
        <f t="shared" si="117"/>
        <v/>
      </c>
      <c r="OT25" s="40" t="str">
        <f t="shared" si="118"/>
        <v/>
      </c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4"/>
        <v/>
      </c>
      <c r="PU25" s="11" t="str">
        <f t="shared" si="125"/>
        <v/>
      </c>
      <c r="PV25" s="11" t="str">
        <f t="shared" si="126"/>
        <v/>
      </c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2"/>
        <v/>
      </c>
      <c r="QW25" s="40" t="str">
        <f t="shared" si="133"/>
        <v/>
      </c>
      <c r="QX25" s="40" t="str">
        <f t="shared" si="134"/>
        <v/>
      </c>
      <c r="QY25" s="40" t="str">
        <f t="shared" si="135"/>
        <v/>
      </c>
      <c r="QZ25" s="40" t="str">
        <f t="shared" si="136"/>
        <v/>
      </c>
      <c r="RA25" s="40" t="str">
        <f t="shared" si="137"/>
        <v/>
      </c>
      <c r="RB25" s="40" t="str">
        <f t="shared" si="138"/>
        <v/>
      </c>
      <c r="RC25" s="40" t="str">
        <f t="shared" si="139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0"/>
        <v/>
      </c>
      <c r="RY25" s="11" t="str">
        <f t="shared" si="141"/>
        <v/>
      </c>
      <c r="RZ25" s="11" t="str">
        <f t="shared" si="142"/>
        <v/>
      </c>
      <c r="SA25" s="11" t="str">
        <f t="shared" si="143"/>
        <v/>
      </c>
      <c r="SB25" s="11" t="str">
        <f t="shared" si="144"/>
        <v/>
      </c>
      <c r="SC25" s="11" t="str">
        <f t="shared" si="145"/>
        <v/>
      </c>
      <c r="SD25" s="11" t="str">
        <f t="shared" si="146"/>
        <v/>
      </c>
      <c r="SE25" s="11" t="str">
        <f t="shared" si="147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48"/>
        <v/>
      </c>
      <c r="TA25" s="40" t="str">
        <f t="shared" si="149"/>
        <v/>
      </c>
      <c r="TB25" s="40" t="str">
        <f t="shared" si="150"/>
        <v/>
      </c>
      <c r="TC25" s="40" t="str">
        <f t="shared" si="151"/>
        <v/>
      </c>
      <c r="TD25" s="40" t="str">
        <f t="shared" si="152"/>
        <v/>
      </c>
      <c r="TE25" s="40" t="str">
        <f t="shared" si="153"/>
        <v/>
      </c>
      <c r="TF25" s="40" t="str">
        <f t="shared" si="154"/>
        <v/>
      </c>
      <c r="TG25" s="40" t="str">
        <f t="shared" si="155"/>
        <v/>
      </c>
      <c r="TH25" s="26">
        <f t="shared" si="156"/>
        <v>19.049999999999997</v>
      </c>
      <c r="TI25" s="26">
        <f t="shared" si="157"/>
        <v>5.8</v>
      </c>
      <c r="TJ25" s="26">
        <f t="shared" si="158"/>
        <v>0.8</v>
      </c>
      <c r="TK25" s="26">
        <f t="shared" si="159"/>
        <v>0</v>
      </c>
      <c r="TL25" s="26">
        <f t="shared" si="160"/>
        <v>18.2</v>
      </c>
      <c r="TM25" s="26">
        <f t="shared" si="161"/>
        <v>4.4000000000000004</v>
      </c>
      <c r="TN25" s="26">
        <f t="shared" si="162"/>
        <v>0.5</v>
      </c>
      <c r="TO25" s="26">
        <f t="shared" si="163"/>
        <v>0</v>
      </c>
      <c r="TP25" s="26">
        <f t="shared" si="164"/>
        <v>9.4499999999999993</v>
      </c>
      <c r="TQ25" s="26">
        <f t="shared" si="165"/>
        <v>3.2</v>
      </c>
      <c r="TR25" s="26">
        <f t="shared" si="166"/>
        <v>0.3</v>
      </c>
      <c r="TS25" s="26">
        <f t="shared" si="167"/>
        <v>0</v>
      </c>
      <c r="TT25" s="26">
        <f t="shared" si="168"/>
        <v>0</v>
      </c>
      <c r="TU25" s="26">
        <f t="shared" si="169"/>
        <v>0</v>
      </c>
      <c r="TV25" s="26">
        <f t="shared" si="170"/>
        <v>0</v>
      </c>
      <c r="TW25" s="26">
        <f t="shared" si="171"/>
        <v>0</v>
      </c>
      <c r="TX25" s="26">
        <f t="shared" si="172"/>
        <v>0</v>
      </c>
      <c r="TY25" s="26">
        <f t="shared" si="173"/>
        <v>0</v>
      </c>
      <c r="TZ25" s="26">
        <f t="shared" si="174"/>
        <v>0</v>
      </c>
      <c r="UA25" s="26">
        <f t="shared" si="175"/>
        <v>0</v>
      </c>
      <c r="UB25" s="28" t="s">
        <v>53</v>
      </c>
      <c r="UC25" s="11">
        <f t="shared" si="176"/>
        <v>10.199999999999999</v>
      </c>
      <c r="UD25" s="11">
        <f t="shared" si="177"/>
        <v>46.15</v>
      </c>
      <c r="UE25" s="11">
        <f t="shared" si="178"/>
        <v>12.349999999999998</v>
      </c>
      <c r="UF25" s="11">
        <f t="shared" si="179"/>
        <v>13.399999999999999</v>
      </c>
      <c r="UG25" s="11">
        <f t="shared" si="180"/>
        <v>58.5</v>
      </c>
      <c r="UH25" s="11" t="str">
        <f t="shared" si="181"/>
        <v/>
      </c>
      <c r="UI25" s="11" t="str">
        <f t="shared" si="182"/>
        <v/>
      </c>
      <c r="UJ25" s="11">
        <f t="shared" si="183"/>
        <v>58.5</v>
      </c>
    </row>
    <row r="26" spans="1:556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256</v>
      </c>
      <c r="C26" s="4" t="s">
        <v>5</v>
      </c>
      <c r="D26" s="4">
        <v>2008</v>
      </c>
      <c r="E26" s="9">
        <f t="shared" si="0"/>
        <v>133.4000087700044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44.300000000000004</v>
      </c>
      <c r="K26" s="8" t="str">
        <f t="shared" si="5"/>
        <v>2025 Elite Canada</v>
      </c>
      <c r="L26" s="8">
        <f>IF(COUNT(AO26,BR26,CU26)&gt;1,LARGE((AO26,BR26,CU26),2),0)</f>
        <v>43.399999999999991</v>
      </c>
      <c r="M26" s="8" t="str">
        <f t="shared" si="6"/>
        <v>2024 Nationals</v>
      </c>
      <c r="N26" s="8">
        <f t="shared" si="7"/>
        <v>45.7</v>
      </c>
      <c r="O26" s="8" t="str">
        <f t="shared" si="8"/>
        <v>2024 Nationals</v>
      </c>
      <c r="P26" s="8" t="str">
        <f t="shared" si="9"/>
        <v/>
      </c>
      <c r="Q26" s="11" t="str">
        <f t="shared" si="184"/>
        <v/>
      </c>
      <c r="R26" s="8" t="str">
        <f t="shared" si="185"/>
        <v/>
      </c>
      <c r="S26" s="19">
        <v>17.7</v>
      </c>
      <c r="T26" s="19">
        <v>6.8</v>
      </c>
      <c r="U26" s="19">
        <v>0</v>
      </c>
      <c r="V26" s="19"/>
      <c r="W26" s="19">
        <v>18.3</v>
      </c>
      <c r="X26" s="19">
        <v>0.8</v>
      </c>
      <c r="Y26" s="19">
        <v>0.2</v>
      </c>
      <c r="Z26" s="19"/>
      <c r="AA26" s="19">
        <v>18.5</v>
      </c>
      <c r="AB26" s="19">
        <v>4.8</v>
      </c>
      <c r="AC26" s="19">
        <v>0.6</v>
      </c>
      <c r="AD26" s="19"/>
      <c r="AE26" s="19">
        <v>17.8</v>
      </c>
      <c r="AF26" s="19">
        <v>7.6</v>
      </c>
      <c r="AG26" s="19">
        <v>0.2</v>
      </c>
      <c r="AH26" s="19"/>
      <c r="AI26" s="19">
        <v>17.3</v>
      </c>
      <c r="AJ26" s="19">
        <v>3.2</v>
      </c>
      <c r="AK26" s="19">
        <v>0</v>
      </c>
      <c r="AL26" s="19"/>
      <c r="AM26" s="27"/>
      <c r="AN26" s="40">
        <f t="shared" si="10"/>
        <v>7.6</v>
      </c>
      <c r="AO26" s="40">
        <f t="shared" si="11"/>
        <v>43.399999999999991</v>
      </c>
      <c r="AP26" s="40">
        <f t="shared" si="12"/>
        <v>22.7</v>
      </c>
      <c r="AQ26" s="40">
        <f t="shared" si="13"/>
        <v>12.399999999999999</v>
      </c>
      <c r="AR26" s="40">
        <f t="shared" si="14"/>
        <v>66.099999999999994</v>
      </c>
      <c r="AS26" s="40">
        <f t="shared" si="15"/>
        <v>10.8</v>
      </c>
      <c r="AT26" s="40">
        <f t="shared" si="16"/>
        <v>45.7</v>
      </c>
      <c r="AU26" s="40">
        <f t="shared" si="17"/>
        <v>111.8</v>
      </c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 t="str">
        <f t="shared" si="18"/>
        <v/>
      </c>
      <c r="BR26" s="11" t="str">
        <f t="shared" si="19"/>
        <v/>
      </c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9">
        <v>18.600000000000001</v>
      </c>
      <c r="BZ26" s="19">
        <v>7.3</v>
      </c>
      <c r="CA26" s="19">
        <v>0</v>
      </c>
      <c r="CB26" s="19">
        <v>0</v>
      </c>
      <c r="CC26" s="19">
        <v>15.2</v>
      </c>
      <c r="CD26" s="19">
        <v>3.2</v>
      </c>
      <c r="CE26" s="19">
        <v>0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 t="shared" si="26"/>
        <v>10.5</v>
      </c>
      <c r="CU26" s="40">
        <f t="shared" si="27"/>
        <v>44.300000000000004</v>
      </c>
      <c r="CV26" s="40" t="str">
        <f t="shared" si="28"/>
        <v/>
      </c>
      <c r="CW26" s="40">
        <f t="shared" si="29"/>
        <v>10.5</v>
      </c>
      <c r="CX26" s="40">
        <f t="shared" si="30"/>
        <v>44.300000000000004</v>
      </c>
      <c r="CY26" s="40" t="str">
        <f t="shared" si="31"/>
        <v/>
      </c>
      <c r="CZ26" s="40" t="str">
        <f t="shared" si="32"/>
        <v/>
      </c>
      <c r="DA26" s="40">
        <f t="shared" si="33"/>
        <v>44.300000000000004</v>
      </c>
      <c r="DB26" s="51" t="str">
        <f t="shared" si="34"/>
        <v/>
      </c>
      <c r="DC26" s="51" t="str">
        <f t="shared" si="35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6"/>
        <v/>
      </c>
      <c r="DY26" s="40" t="str">
        <f t="shared" si="37"/>
        <v/>
      </c>
      <c r="DZ26" s="40" t="str">
        <f t="shared" si="38"/>
        <v/>
      </c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4"/>
        <v/>
      </c>
      <c r="FA26" s="11" t="str">
        <f t="shared" si="45"/>
        <v/>
      </c>
      <c r="FB26" s="11" t="str">
        <f t="shared" si="46"/>
        <v/>
      </c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2"/>
        <v/>
      </c>
      <c r="GC26" s="40" t="str">
        <f t="shared" si="53"/>
        <v/>
      </c>
      <c r="GD26" s="40" t="str">
        <f t="shared" si="54"/>
        <v/>
      </c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0"/>
        <v/>
      </c>
      <c r="HE26" s="11" t="str">
        <f t="shared" si="61"/>
        <v/>
      </c>
      <c r="HF26" s="11" t="str">
        <f t="shared" si="62"/>
        <v/>
      </c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68"/>
        <v/>
      </c>
      <c r="IG26" s="40" t="str">
        <f t="shared" si="69"/>
        <v/>
      </c>
      <c r="IH26" s="40" t="str">
        <f t="shared" si="70"/>
        <v/>
      </c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6"/>
        <v/>
      </c>
      <c r="JI26" s="11" t="str">
        <f t="shared" si="77"/>
        <v/>
      </c>
      <c r="JJ26" s="11" t="str">
        <f t="shared" si="78"/>
        <v/>
      </c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4"/>
        <v/>
      </c>
      <c r="KK26" s="40" t="str">
        <f t="shared" si="85"/>
        <v/>
      </c>
      <c r="KL26" s="40" t="str">
        <f t="shared" si="86"/>
        <v/>
      </c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2"/>
        <v/>
      </c>
      <c r="LM26" s="11" t="str">
        <f t="shared" si="93"/>
        <v/>
      </c>
      <c r="LN26" s="11" t="str">
        <f t="shared" si="94"/>
        <v/>
      </c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0"/>
        <v/>
      </c>
      <c r="MO26" s="40" t="str">
        <f t="shared" si="101"/>
        <v/>
      </c>
      <c r="MP26" s="40" t="str">
        <f t="shared" si="102"/>
        <v/>
      </c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08"/>
        <v/>
      </c>
      <c r="NQ26" s="11" t="str">
        <f t="shared" si="109"/>
        <v/>
      </c>
      <c r="NR26" s="11" t="str">
        <f t="shared" si="110"/>
        <v/>
      </c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6"/>
        <v/>
      </c>
      <c r="OS26" s="40" t="str">
        <f t="shared" si="117"/>
        <v/>
      </c>
      <c r="OT26" s="40" t="str">
        <f t="shared" si="118"/>
        <v/>
      </c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4"/>
        <v/>
      </c>
      <c r="PU26" s="11" t="str">
        <f t="shared" si="125"/>
        <v/>
      </c>
      <c r="PV26" s="11" t="str">
        <f t="shared" si="126"/>
        <v/>
      </c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2"/>
        <v/>
      </c>
      <c r="QW26" s="40" t="str">
        <f t="shared" si="133"/>
        <v/>
      </c>
      <c r="QX26" s="40" t="str">
        <f t="shared" si="134"/>
        <v/>
      </c>
      <c r="QY26" s="40" t="str">
        <f t="shared" si="135"/>
        <v/>
      </c>
      <c r="QZ26" s="40" t="str">
        <f t="shared" si="136"/>
        <v/>
      </c>
      <c r="RA26" s="40" t="str">
        <f t="shared" si="137"/>
        <v/>
      </c>
      <c r="RB26" s="40" t="str">
        <f t="shared" si="138"/>
        <v/>
      </c>
      <c r="RC26" s="40" t="str">
        <f t="shared" si="139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0"/>
        <v/>
      </c>
      <c r="RY26" s="11" t="str">
        <f t="shared" si="141"/>
        <v/>
      </c>
      <c r="RZ26" s="11" t="str">
        <f t="shared" si="142"/>
        <v/>
      </c>
      <c r="SA26" s="11" t="str">
        <f t="shared" si="143"/>
        <v/>
      </c>
      <c r="SB26" s="11" t="str">
        <f t="shared" si="144"/>
        <v/>
      </c>
      <c r="SC26" s="11" t="str">
        <f t="shared" si="145"/>
        <v/>
      </c>
      <c r="SD26" s="11" t="str">
        <f t="shared" si="146"/>
        <v/>
      </c>
      <c r="SE26" s="11" t="str">
        <f t="shared" si="147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48"/>
        <v/>
      </c>
      <c r="TA26" s="40" t="str">
        <f t="shared" si="149"/>
        <v/>
      </c>
      <c r="TB26" s="40" t="str">
        <f t="shared" si="150"/>
        <v/>
      </c>
      <c r="TC26" s="40" t="str">
        <f t="shared" si="151"/>
        <v/>
      </c>
      <c r="TD26" s="40" t="str">
        <f t="shared" si="152"/>
        <v/>
      </c>
      <c r="TE26" s="40" t="str">
        <f t="shared" si="153"/>
        <v/>
      </c>
      <c r="TF26" s="40" t="str">
        <f t="shared" si="154"/>
        <v/>
      </c>
      <c r="TG26" s="40" t="str">
        <f t="shared" si="155"/>
        <v/>
      </c>
      <c r="TH26" s="26">
        <f t="shared" si="156"/>
        <v>9.3000000000000007</v>
      </c>
      <c r="TI26" s="26">
        <f t="shared" si="157"/>
        <v>3.65</v>
      </c>
      <c r="TJ26" s="26">
        <f t="shared" si="158"/>
        <v>0</v>
      </c>
      <c r="TK26" s="26">
        <f t="shared" si="159"/>
        <v>0</v>
      </c>
      <c r="TL26" s="26">
        <f t="shared" si="160"/>
        <v>7.6</v>
      </c>
      <c r="TM26" s="26">
        <f t="shared" si="161"/>
        <v>1.6</v>
      </c>
      <c r="TN26" s="26">
        <f t="shared" si="162"/>
        <v>0</v>
      </c>
      <c r="TO26" s="26">
        <f t="shared" si="163"/>
        <v>0</v>
      </c>
      <c r="TP26" s="26">
        <f t="shared" si="164"/>
        <v>0</v>
      </c>
      <c r="TQ26" s="26">
        <f t="shared" si="165"/>
        <v>0</v>
      </c>
      <c r="TR26" s="26">
        <f t="shared" si="166"/>
        <v>0</v>
      </c>
      <c r="TS26" s="26">
        <f t="shared" si="167"/>
        <v>0</v>
      </c>
      <c r="TT26" s="26">
        <f t="shared" si="168"/>
        <v>0</v>
      </c>
      <c r="TU26" s="26">
        <f t="shared" si="169"/>
        <v>0</v>
      </c>
      <c r="TV26" s="26">
        <f t="shared" si="170"/>
        <v>0</v>
      </c>
      <c r="TW26" s="26">
        <f t="shared" si="171"/>
        <v>0</v>
      </c>
      <c r="TX26" s="26">
        <f t="shared" si="172"/>
        <v>0</v>
      </c>
      <c r="TY26" s="26">
        <f t="shared" si="173"/>
        <v>0</v>
      </c>
      <c r="TZ26" s="26">
        <f t="shared" si="174"/>
        <v>0</v>
      </c>
      <c r="UA26" s="26">
        <f t="shared" si="175"/>
        <v>0</v>
      </c>
      <c r="UB26" s="28" t="s">
        <v>53</v>
      </c>
      <c r="UC26" s="11">
        <f t="shared" si="176"/>
        <v>5.25</v>
      </c>
      <c r="UD26" s="11">
        <f t="shared" si="177"/>
        <v>22.150000000000002</v>
      </c>
      <c r="UE26" s="11" t="str">
        <f t="shared" si="178"/>
        <v/>
      </c>
      <c r="UF26" s="11">
        <f t="shared" si="179"/>
        <v>5.25</v>
      </c>
      <c r="UG26" s="11">
        <f t="shared" si="180"/>
        <v>22.150000000000002</v>
      </c>
      <c r="UH26" s="11" t="str">
        <f t="shared" si="181"/>
        <v/>
      </c>
      <c r="UI26" s="11" t="str">
        <f t="shared" si="182"/>
        <v/>
      </c>
      <c r="UJ26" s="11">
        <f t="shared" si="183"/>
        <v>22.150000000000002</v>
      </c>
    </row>
    <row r="27" spans="1:556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73</v>
      </c>
      <c r="C27" s="4" t="s">
        <v>72</v>
      </c>
      <c r="D27" s="4">
        <v>2001</v>
      </c>
      <c r="E27" s="9">
        <f t="shared" si="0"/>
        <v>100.70000502000502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IF(COUNT(AO27,BR27,CU27)&gt;0,LARGE((AO27,BR27,CU27),1),0)</f>
        <v>50.2</v>
      </c>
      <c r="K27" s="8" t="str">
        <f t="shared" si="5"/>
        <v>2024 Nationals</v>
      </c>
      <c r="L27" s="8">
        <f>IF(COUNT(AO27,BR27,CU27)&gt;1,LARGE((AO27,BR27,CU27),2),0)</f>
        <v>0</v>
      </c>
      <c r="M27" s="8" t="str">
        <f t="shared" si="6"/>
        <v/>
      </c>
      <c r="N27" s="8">
        <f t="shared" si="7"/>
        <v>50.5</v>
      </c>
      <c r="O27" s="8" t="str">
        <f t="shared" si="8"/>
        <v>2024 Nationals</v>
      </c>
      <c r="P27" s="8" t="str">
        <f t="shared" si="9"/>
        <v/>
      </c>
      <c r="Q27" s="11" t="str">
        <f t="shared" si="184"/>
        <v/>
      </c>
      <c r="R27" s="8" t="str">
        <f t="shared" si="185"/>
        <v/>
      </c>
      <c r="S27" s="19">
        <v>18.8</v>
      </c>
      <c r="T27" s="19">
        <v>6.8</v>
      </c>
      <c r="U27" s="19">
        <v>0.2</v>
      </c>
      <c r="V27" s="19">
        <v>0</v>
      </c>
      <c r="W27" s="19">
        <v>18.8</v>
      </c>
      <c r="X27" s="19">
        <v>6.8</v>
      </c>
      <c r="Y27" s="19">
        <v>0.8</v>
      </c>
      <c r="Z27" s="19">
        <v>0</v>
      </c>
      <c r="AA27" s="19">
        <v>18.600000000000001</v>
      </c>
      <c r="AB27" s="19">
        <v>8</v>
      </c>
      <c r="AC27" s="19">
        <v>1</v>
      </c>
      <c r="AD27" s="19">
        <v>0.3</v>
      </c>
      <c r="AE27" s="19">
        <v>18.899999999999999</v>
      </c>
      <c r="AF27" s="19">
        <v>6</v>
      </c>
      <c r="AG27" s="19">
        <v>0.2</v>
      </c>
      <c r="AH27" s="19">
        <v>0</v>
      </c>
      <c r="AI27" s="19">
        <v>18.600000000000001</v>
      </c>
      <c r="AJ27" s="19">
        <v>7.2</v>
      </c>
      <c r="AK27" s="19">
        <v>0</v>
      </c>
      <c r="AL27" s="19">
        <v>0</v>
      </c>
      <c r="AM27" s="27"/>
      <c r="AN27" s="40">
        <f t="shared" si="10"/>
        <v>13.6</v>
      </c>
      <c r="AO27" s="40">
        <f t="shared" si="11"/>
        <v>50.2</v>
      </c>
      <c r="AP27" s="40">
        <f t="shared" si="12"/>
        <v>25.900000000000002</v>
      </c>
      <c r="AQ27" s="40">
        <f t="shared" si="13"/>
        <v>21.6</v>
      </c>
      <c r="AR27" s="40">
        <f t="shared" si="14"/>
        <v>76.100000000000009</v>
      </c>
      <c r="AS27" s="40">
        <f t="shared" si="15"/>
        <v>13.2</v>
      </c>
      <c r="AT27" s="40">
        <f t="shared" si="16"/>
        <v>50.5</v>
      </c>
      <c r="AU27" s="40">
        <f t="shared" si="17"/>
        <v>126.60000000000001</v>
      </c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 t="str">
        <f t="shared" si="18"/>
        <v/>
      </c>
      <c r="BR27" s="11" t="str">
        <f t="shared" si="19"/>
        <v/>
      </c>
      <c r="BS27" s="11" t="str">
        <f t="shared" si="20"/>
        <v/>
      </c>
      <c r="BT27" s="11" t="str">
        <f t="shared" si="21"/>
        <v/>
      </c>
      <c r="BU27" s="11" t="str">
        <f t="shared" si="22"/>
        <v/>
      </c>
      <c r="BV27" s="11" t="str">
        <f t="shared" si="23"/>
        <v/>
      </c>
      <c r="BW27" s="11" t="str">
        <f t="shared" si="24"/>
        <v/>
      </c>
      <c r="BX27" s="11" t="str">
        <f t="shared" si="25"/>
        <v/>
      </c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 t="str">
        <f t="shared" si="26"/>
        <v/>
      </c>
      <c r="CU27" s="40" t="str">
        <f t="shared" si="27"/>
        <v/>
      </c>
      <c r="CV27" s="40" t="str">
        <f t="shared" si="28"/>
        <v/>
      </c>
      <c r="CW27" s="40" t="str">
        <f t="shared" si="29"/>
        <v/>
      </c>
      <c r="CX27" s="40" t="str">
        <f t="shared" si="30"/>
        <v/>
      </c>
      <c r="CY27" s="40" t="str">
        <f t="shared" si="31"/>
        <v/>
      </c>
      <c r="CZ27" s="40" t="str">
        <f t="shared" si="32"/>
        <v/>
      </c>
      <c r="DA27" s="40" t="str">
        <f t="shared" si="33"/>
        <v/>
      </c>
      <c r="DB27" s="51" t="str">
        <f t="shared" si="34"/>
        <v/>
      </c>
      <c r="DC27" s="51" t="str">
        <f t="shared" si="35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 t="shared" si="36"/>
        <v/>
      </c>
      <c r="DY27" s="40" t="str">
        <f t="shared" si="37"/>
        <v/>
      </c>
      <c r="DZ27" s="40" t="str">
        <f t="shared" si="38"/>
        <v/>
      </c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 t="shared" si="44"/>
        <v/>
      </c>
      <c r="FA27" s="11" t="str">
        <f t="shared" si="45"/>
        <v/>
      </c>
      <c r="FB27" s="11" t="str">
        <f t="shared" si="46"/>
        <v/>
      </c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 t="shared" si="52"/>
        <v/>
      </c>
      <c r="GC27" s="40" t="str">
        <f t="shared" si="53"/>
        <v/>
      </c>
      <c r="GD27" s="40" t="str">
        <f t="shared" si="54"/>
        <v/>
      </c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 t="shared" si="60"/>
        <v/>
      </c>
      <c r="HE27" s="11" t="str">
        <f t="shared" si="61"/>
        <v/>
      </c>
      <c r="HF27" s="11" t="str">
        <f t="shared" si="62"/>
        <v/>
      </c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 t="shared" si="68"/>
        <v/>
      </c>
      <c r="IG27" s="40" t="str">
        <f t="shared" si="69"/>
        <v/>
      </c>
      <c r="IH27" s="40" t="str">
        <f t="shared" si="70"/>
        <v/>
      </c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 t="shared" si="76"/>
        <v/>
      </c>
      <c r="JI27" s="11" t="str">
        <f t="shared" si="77"/>
        <v/>
      </c>
      <c r="JJ27" s="11" t="str">
        <f t="shared" si="78"/>
        <v/>
      </c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 t="shared" si="84"/>
        <v/>
      </c>
      <c r="KK27" s="40" t="str">
        <f t="shared" si="85"/>
        <v/>
      </c>
      <c r="KL27" s="40" t="str">
        <f t="shared" si="86"/>
        <v/>
      </c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 t="shared" si="92"/>
        <v/>
      </c>
      <c r="LM27" s="11" t="str">
        <f t="shared" si="93"/>
        <v/>
      </c>
      <c r="LN27" s="11" t="str">
        <f t="shared" si="94"/>
        <v/>
      </c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 t="shared" si="100"/>
        <v/>
      </c>
      <c r="MO27" s="40" t="str">
        <f t="shared" si="101"/>
        <v/>
      </c>
      <c r="MP27" s="40" t="str">
        <f t="shared" si="102"/>
        <v/>
      </c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 t="shared" si="108"/>
        <v/>
      </c>
      <c r="NQ27" s="11" t="str">
        <f t="shared" si="109"/>
        <v/>
      </c>
      <c r="NR27" s="11" t="str">
        <f t="shared" si="110"/>
        <v/>
      </c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 t="shared" si="116"/>
        <v/>
      </c>
      <c r="OS27" s="40" t="str">
        <f t="shared" si="117"/>
        <v/>
      </c>
      <c r="OT27" s="40" t="str">
        <f t="shared" si="118"/>
        <v/>
      </c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 t="shared" si="124"/>
        <v/>
      </c>
      <c r="PU27" s="11" t="str">
        <f t="shared" si="125"/>
        <v/>
      </c>
      <c r="PV27" s="11" t="str">
        <f t="shared" si="126"/>
        <v/>
      </c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 t="shared" si="132"/>
        <v/>
      </c>
      <c r="QW27" s="40" t="str">
        <f t="shared" si="133"/>
        <v/>
      </c>
      <c r="QX27" s="40" t="str">
        <f t="shared" si="134"/>
        <v/>
      </c>
      <c r="QY27" s="40" t="str">
        <f t="shared" si="135"/>
        <v/>
      </c>
      <c r="QZ27" s="40" t="str">
        <f t="shared" si="136"/>
        <v/>
      </c>
      <c r="RA27" s="40" t="str">
        <f t="shared" si="137"/>
        <v/>
      </c>
      <c r="RB27" s="40" t="str">
        <f t="shared" si="138"/>
        <v/>
      </c>
      <c r="RC27" s="40" t="str">
        <f t="shared" si="139"/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 t="shared" si="140"/>
        <v/>
      </c>
      <c r="RY27" s="11" t="str">
        <f t="shared" si="141"/>
        <v/>
      </c>
      <c r="RZ27" s="11" t="str">
        <f t="shared" si="142"/>
        <v/>
      </c>
      <c r="SA27" s="11" t="str">
        <f t="shared" si="143"/>
        <v/>
      </c>
      <c r="SB27" s="11" t="str">
        <f t="shared" si="144"/>
        <v/>
      </c>
      <c r="SC27" s="11" t="str">
        <f t="shared" si="145"/>
        <v/>
      </c>
      <c r="SD27" s="11" t="str">
        <f t="shared" si="146"/>
        <v/>
      </c>
      <c r="SE27" s="11" t="str">
        <f t="shared" si="147"/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 t="shared" si="148"/>
        <v/>
      </c>
      <c r="TA27" s="40" t="str">
        <f t="shared" si="149"/>
        <v/>
      </c>
      <c r="TB27" s="40" t="str">
        <f t="shared" si="150"/>
        <v/>
      </c>
      <c r="TC27" s="40" t="str">
        <f t="shared" si="151"/>
        <v/>
      </c>
      <c r="TD27" s="40" t="str">
        <f t="shared" si="152"/>
        <v/>
      </c>
      <c r="TE27" s="40" t="str">
        <f t="shared" si="153"/>
        <v/>
      </c>
      <c r="TF27" s="40" t="str">
        <f t="shared" si="154"/>
        <v/>
      </c>
      <c r="TG27" s="40" t="str">
        <f t="shared" si="155"/>
        <v/>
      </c>
      <c r="TH27" s="26">
        <f t="shared" si="156"/>
        <v>0</v>
      </c>
      <c r="TI27" s="26">
        <f t="shared" si="157"/>
        <v>0</v>
      </c>
      <c r="TJ27" s="26">
        <f t="shared" si="158"/>
        <v>0</v>
      </c>
      <c r="TK27" s="26">
        <f t="shared" si="159"/>
        <v>0</v>
      </c>
      <c r="TL27" s="26">
        <f t="shared" si="160"/>
        <v>0</v>
      </c>
      <c r="TM27" s="26">
        <f t="shared" si="161"/>
        <v>0</v>
      </c>
      <c r="TN27" s="26">
        <f t="shared" si="162"/>
        <v>0</v>
      </c>
      <c r="TO27" s="26">
        <f t="shared" si="163"/>
        <v>0</v>
      </c>
      <c r="TP27" s="26">
        <f t="shared" si="164"/>
        <v>0</v>
      </c>
      <c r="TQ27" s="26">
        <f t="shared" si="165"/>
        <v>0</v>
      </c>
      <c r="TR27" s="26">
        <f t="shared" si="166"/>
        <v>0</v>
      </c>
      <c r="TS27" s="26">
        <f t="shared" si="167"/>
        <v>0</v>
      </c>
      <c r="TT27" s="26">
        <f t="shared" si="168"/>
        <v>0</v>
      </c>
      <c r="TU27" s="26">
        <f t="shared" si="169"/>
        <v>0</v>
      </c>
      <c r="TV27" s="26">
        <f t="shared" si="170"/>
        <v>0</v>
      </c>
      <c r="TW27" s="26">
        <f t="shared" si="171"/>
        <v>0</v>
      </c>
      <c r="TX27" s="26">
        <f t="shared" si="172"/>
        <v>0</v>
      </c>
      <c r="TY27" s="26">
        <f t="shared" si="173"/>
        <v>0</v>
      </c>
      <c r="TZ27" s="26">
        <f t="shared" si="174"/>
        <v>0</v>
      </c>
      <c r="UA27" s="26">
        <f t="shared" si="175"/>
        <v>0</v>
      </c>
      <c r="UB27" s="28" t="s">
        <v>53</v>
      </c>
      <c r="UC27" s="11" t="str">
        <f t="shared" si="176"/>
        <v/>
      </c>
      <c r="UD27" s="11" t="str">
        <f t="shared" si="177"/>
        <v/>
      </c>
      <c r="UE27" s="11" t="str">
        <f t="shared" si="178"/>
        <v/>
      </c>
      <c r="UF27" s="11" t="str">
        <f t="shared" si="179"/>
        <v/>
      </c>
      <c r="UG27" s="11" t="str">
        <f t="shared" si="180"/>
        <v/>
      </c>
      <c r="UH27" s="11" t="str">
        <f t="shared" si="181"/>
        <v/>
      </c>
      <c r="UI27" s="11" t="str">
        <f t="shared" si="182"/>
        <v/>
      </c>
      <c r="UJ27" s="11" t="str">
        <f t="shared" si="183"/>
        <v/>
      </c>
    </row>
    <row r="28" spans="1:556" x14ac:dyDescent="0.2">
      <c r="A28" s="4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>18</v>
      </c>
      <c r="B28" s="5" t="s">
        <v>227</v>
      </c>
      <c r="C28" s="4" t="s">
        <v>7</v>
      </c>
      <c r="D28" s="4">
        <v>2003</v>
      </c>
      <c r="E28" s="9">
        <f t="shared" si="0"/>
        <v>100.50000512000511</v>
      </c>
      <c r="F28" s="3" t="str">
        <f t="shared" si="1"/>
        <v/>
      </c>
      <c r="G28" s="3" t="str">
        <f t="shared" si="2"/>
        <v>P</v>
      </c>
      <c r="H28" s="36" t="str">
        <f t="shared" si="3"/>
        <v>No DD</v>
      </c>
      <c r="I28" s="3" t="str">
        <f t="shared" si="4"/>
        <v/>
      </c>
      <c r="J28" s="8">
        <f>IF(COUNT(AO28,BR28,CU28)&gt;0,LARGE((AO28,BR28,CU28),1),0)</f>
        <v>51.2</v>
      </c>
      <c r="K28" s="8" t="str">
        <f t="shared" si="5"/>
        <v>2024 Nationals</v>
      </c>
      <c r="L28" s="8">
        <f>IF(COUNT(AO28,BR28,CU28)&gt;1,LARGE((AO28,BR28,CU28),2),0)</f>
        <v>0</v>
      </c>
      <c r="M28" s="8" t="str">
        <f t="shared" si="6"/>
        <v/>
      </c>
      <c r="N28" s="8">
        <f t="shared" si="7"/>
        <v>0</v>
      </c>
      <c r="O28" s="8" t="str">
        <f t="shared" si="8"/>
        <v/>
      </c>
      <c r="P28" s="8">
        <f t="shared" si="9"/>
        <v>49.3</v>
      </c>
      <c r="Q28" s="11" t="str">
        <f t="shared" si="184"/>
        <v>(Q1)</v>
      </c>
      <c r="R28" s="8" t="str">
        <f t="shared" si="185"/>
        <v>2024 Coimbra Gym Fest (July 7)</v>
      </c>
      <c r="S28" s="19">
        <v>18.7</v>
      </c>
      <c r="T28" s="19">
        <v>6.9</v>
      </c>
      <c r="U28" s="19">
        <v>0</v>
      </c>
      <c r="V28" s="19">
        <v>0</v>
      </c>
      <c r="W28" s="19">
        <v>19</v>
      </c>
      <c r="X28" s="19">
        <v>7.2</v>
      </c>
      <c r="Y28" s="19">
        <v>0.6</v>
      </c>
      <c r="Z28" s="19">
        <v>0</v>
      </c>
      <c r="AA28" s="19">
        <v>17.3</v>
      </c>
      <c r="AB28" s="19">
        <v>3.2</v>
      </c>
      <c r="AC28" s="19">
        <v>0.2</v>
      </c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 t="shared" si="10"/>
        <v>14.100000000000001</v>
      </c>
      <c r="AO28" s="40">
        <f t="shared" si="11"/>
        <v>51.2</v>
      </c>
      <c r="AP28" s="40">
        <f t="shared" si="12"/>
        <v>20.3</v>
      </c>
      <c r="AQ28" s="40">
        <f t="shared" si="13"/>
        <v>17.3</v>
      </c>
      <c r="AR28" s="40">
        <f t="shared" si="14"/>
        <v>71.5</v>
      </c>
      <c r="AS28" s="40" t="str">
        <f t="shared" si="15"/>
        <v/>
      </c>
      <c r="AT28" s="40" t="str">
        <f t="shared" si="16"/>
        <v/>
      </c>
      <c r="AU28" s="40">
        <f t="shared" si="17"/>
        <v>71.5</v>
      </c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 t="str">
        <f t="shared" si="18"/>
        <v/>
      </c>
      <c r="BR28" s="11" t="str">
        <f t="shared" si="19"/>
        <v/>
      </c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 t="shared" si="26"/>
        <v/>
      </c>
      <c r="CU28" s="40" t="str">
        <f t="shared" si="27"/>
        <v/>
      </c>
      <c r="CV28" s="40" t="str">
        <f t="shared" si="28"/>
        <v/>
      </c>
      <c r="CW28" s="40" t="str">
        <f t="shared" si="29"/>
        <v/>
      </c>
      <c r="CX28" s="40" t="str">
        <f t="shared" si="30"/>
        <v/>
      </c>
      <c r="CY28" s="40" t="str">
        <f t="shared" si="31"/>
        <v/>
      </c>
      <c r="CZ28" s="40" t="str">
        <f t="shared" si="32"/>
        <v/>
      </c>
      <c r="DA28" s="40" t="str">
        <f t="shared" si="33"/>
        <v/>
      </c>
      <c r="DB28" s="51">
        <f t="shared" si="34"/>
        <v>49.3</v>
      </c>
      <c r="DC28" s="51" t="str">
        <f t="shared" si="35"/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 t="shared" si="36"/>
        <v/>
      </c>
      <c r="DY28" s="40" t="str">
        <f t="shared" si="37"/>
        <v/>
      </c>
      <c r="DZ28" s="40" t="str">
        <f t="shared" si="38"/>
        <v/>
      </c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 t="shared" si="44"/>
        <v/>
      </c>
      <c r="FA28" s="11" t="str">
        <f t="shared" si="45"/>
        <v/>
      </c>
      <c r="FB28" s="11" t="str">
        <f t="shared" si="46"/>
        <v/>
      </c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7">
        <v>18.5</v>
      </c>
      <c r="FI28" s="17">
        <v>4.8</v>
      </c>
      <c r="FJ28" s="17">
        <v>0</v>
      </c>
      <c r="FK28" s="17">
        <v>0</v>
      </c>
      <c r="FL28" s="17">
        <v>18.7</v>
      </c>
      <c r="FM28" s="17">
        <v>7.3</v>
      </c>
      <c r="FN28" s="17">
        <v>0</v>
      </c>
      <c r="FO28" s="17">
        <v>0</v>
      </c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>
        <f t="shared" si="52"/>
        <v>12.1</v>
      </c>
      <c r="GC28" s="40">
        <f t="shared" si="53"/>
        <v>49.3</v>
      </c>
      <c r="GD28" s="40" t="str">
        <f t="shared" si="54"/>
        <v/>
      </c>
      <c r="GE28" s="40">
        <f t="shared" si="55"/>
        <v>12.1</v>
      </c>
      <c r="GF28" s="40">
        <f t="shared" si="56"/>
        <v>49.3</v>
      </c>
      <c r="GG28" s="40" t="str">
        <f t="shared" si="57"/>
        <v/>
      </c>
      <c r="GH28" s="40" t="str">
        <f t="shared" si="58"/>
        <v/>
      </c>
      <c r="GI28" s="40">
        <f t="shared" si="59"/>
        <v>49.3</v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 t="shared" si="60"/>
        <v/>
      </c>
      <c r="HE28" s="11" t="str">
        <f t="shared" si="61"/>
        <v/>
      </c>
      <c r="HF28" s="11" t="str">
        <f t="shared" si="62"/>
        <v/>
      </c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 t="shared" si="68"/>
        <v/>
      </c>
      <c r="IG28" s="40" t="str">
        <f t="shared" si="69"/>
        <v/>
      </c>
      <c r="IH28" s="40" t="str">
        <f t="shared" si="70"/>
        <v/>
      </c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 t="shared" si="76"/>
        <v/>
      </c>
      <c r="JI28" s="11" t="str">
        <f t="shared" si="77"/>
        <v/>
      </c>
      <c r="JJ28" s="11" t="str">
        <f t="shared" si="78"/>
        <v/>
      </c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 t="shared" si="84"/>
        <v/>
      </c>
      <c r="KK28" s="40" t="str">
        <f t="shared" si="85"/>
        <v/>
      </c>
      <c r="KL28" s="40" t="str">
        <f t="shared" si="86"/>
        <v/>
      </c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 t="shared" si="92"/>
        <v/>
      </c>
      <c r="LM28" s="11" t="str">
        <f t="shared" si="93"/>
        <v/>
      </c>
      <c r="LN28" s="11" t="str">
        <f t="shared" si="94"/>
        <v/>
      </c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 t="shared" si="100"/>
        <v/>
      </c>
      <c r="MO28" s="40" t="str">
        <f t="shared" si="101"/>
        <v/>
      </c>
      <c r="MP28" s="40" t="str">
        <f t="shared" si="102"/>
        <v/>
      </c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 t="shared" si="108"/>
        <v/>
      </c>
      <c r="NQ28" s="11" t="str">
        <f t="shared" si="109"/>
        <v/>
      </c>
      <c r="NR28" s="11" t="str">
        <f t="shared" si="110"/>
        <v/>
      </c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 t="shared" si="116"/>
        <v/>
      </c>
      <c r="OS28" s="40" t="str">
        <f t="shared" si="117"/>
        <v/>
      </c>
      <c r="OT28" s="40" t="str">
        <f t="shared" si="118"/>
        <v/>
      </c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 t="shared" si="124"/>
        <v/>
      </c>
      <c r="PU28" s="11" t="str">
        <f t="shared" si="125"/>
        <v/>
      </c>
      <c r="PV28" s="11" t="str">
        <f t="shared" si="126"/>
        <v/>
      </c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 t="shared" si="132"/>
        <v/>
      </c>
      <c r="QW28" s="40" t="str">
        <f t="shared" si="133"/>
        <v/>
      </c>
      <c r="QX28" s="40" t="str">
        <f t="shared" si="134"/>
        <v/>
      </c>
      <c r="QY28" s="40" t="str">
        <f t="shared" si="135"/>
        <v/>
      </c>
      <c r="QZ28" s="40" t="str">
        <f t="shared" si="136"/>
        <v/>
      </c>
      <c r="RA28" s="40" t="str">
        <f t="shared" si="137"/>
        <v/>
      </c>
      <c r="RB28" s="40" t="str">
        <f t="shared" si="138"/>
        <v/>
      </c>
      <c r="RC28" s="40" t="str">
        <f t="shared" si="139"/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 t="shared" si="140"/>
        <v/>
      </c>
      <c r="RY28" s="11" t="str">
        <f t="shared" si="141"/>
        <v/>
      </c>
      <c r="RZ28" s="11" t="str">
        <f t="shared" si="142"/>
        <v/>
      </c>
      <c r="SA28" s="11" t="str">
        <f t="shared" si="143"/>
        <v/>
      </c>
      <c r="SB28" s="11" t="str">
        <f t="shared" si="144"/>
        <v/>
      </c>
      <c r="SC28" s="11" t="str">
        <f t="shared" si="145"/>
        <v/>
      </c>
      <c r="SD28" s="11" t="str">
        <f t="shared" si="146"/>
        <v/>
      </c>
      <c r="SE28" s="11" t="str">
        <f t="shared" si="147"/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 t="shared" si="148"/>
        <v/>
      </c>
      <c r="TA28" s="40" t="str">
        <f t="shared" si="149"/>
        <v/>
      </c>
      <c r="TB28" s="40" t="str">
        <f t="shared" si="150"/>
        <v/>
      </c>
      <c r="TC28" s="40" t="str">
        <f t="shared" si="151"/>
        <v/>
      </c>
      <c r="TD28" s="40" t="str">
        <f t="shared" si="152"/>
        <v/>
      </c>
      <c r="TE28" s="40" t="str">
        <f t="shared" si="153"/>
        <v/>
      </c>
      <c r="TF28" s="40" t="str">
        <f t="shared" si="154"/>
        <v/>
      </c>
      <c r="TG28" s="40" t="str">
        <f t="shared" si="155"/>
        <v/>
      </c>
      <c r="TH28" s="26">
        <f t="shared" si="156"/>
        <v>0</v>
      </c>
      <c r="TI28" s="26">
        <f t="shared" si="157"/>
        <v>0</v>
      </c>
      <c r="TJ28" s="26">
        <f t="shared" si="158"/>
        <v>0</v>
      </c>
      <c r="TK28" s="26">
        <f t="shared" si="159"/>
        <v>0</v>
      </c>
      <c r="TL28" s="26">
        <f t="shared" si="160"/>
        <v>0</v>
      </c>
      <c r="TM28" s="26">
        <f t="shared" si="161"/>
        <v>0</v>
      </c>
      <c r="TN28" s="26">
        <f t="shared" si="162"/>
        <v>0</v>
      </c>
      <c r="TO28" s="26">
        <f t="shared" si="163"/>
        <v>0</v>
      </c>
      <c r="TP28" s="26">
        <f t="shared" si="164"/>
        <v>0</v>
      </c>
      <c r="TQ28" s="26">
        <f t="shared" si="165"/>
        <v>0</v>
      </c>
      <c r="TR28" s="26">
        <f t="shared" si="166"/>
        <v>0</v>
      </c>
      <c r="TS28" s="26">
        <f t="shared" si="167"/>
        <v>0</v>
      </c>
      <c r="TT28" s="26">
        <f t="shared" si="168"/>
        <v>0</v>
      </c>
      <c r="TU28" s="26">
        <f t="shared" si="169"/>
        <v>0</v>
      </c>
      <c r="TV28" s="26">
        <f t="shared" si="170"/>
        <v>0</v>
      </c>
      <c r="TW28" s="26">
        <f t="shared" si="171"/>
        <v>0</v>
      </c>
      <c r="TX28" s="26">
        <f t="shared" si="172"/>
        <v>0</v>
      </c>
      <c r="TY28" s="26">
        <f t="shared" si="173"/>
        <v>0</v>
      </c>
      <c r="TZ28" s="26">
        <f t="shared" si="174"/>
        <v>0</v>
      </c>
      <c r="UA28" s="26">
        <f t="shared" si="175"/>
        <v>0</v>
      </c>
      <c r="UB28" s="28" t="s">
        <v>53</v>
      </c>
      <c r="UC28" s="11" t="str">
        <f t="shared" si="176"/>
        <v/>
      </c>
      <c r="UD28" s="11" t="str">
        <f t="shared" si="177"/>
        <v/>
      </c>
      <c r="UE28" s="11" t="str">
        <f t="shared" si="178"/>
        <v/>
      </c>
      <c r="UF28" s="11" t="str">
        <f t="shared" si="179"/>
        <v/>
      </c>
      <c r="UG28" s="11" t="str">
        <f t="shared" si="180"/>
        <v/>
      </c>
      <c r="UH28" s="11" t="str">
        <f t="shared" si="181"/>
        <v/>
      </c>
      <c r="UI28" s="11" t="str">
        <f t="shared" si="182"/>
        <v/>
      </c>
      <c r="UJ28" s="11" t="str">
        <f t="shared" si="183"/>
        <v/>
      </c>
    </row>
    <row r="29" spans="1:556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202</v>
      </c>
      <c r="C29" s="4" t="s">
        <v>7</v>
      </c>
      <c r="D29" s="4">
        <v>2004</v>
      </c>
      <c r="E29" s="9">
        <f t="shared" si="0"/>
        <v>99.300004920004923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IF(COUNT(AO29,BR29,CU29)&gt;0,LARGE((AO29,BR29,CU29),1),0)</f>
        <v>49.2</v>
      </c>
      <c r="K29" s="8" t="str">
        <f t="shared" si="5"/>
        <v>2025 Elite Canada</v>
      </c>
      <c r="L29" s="8">
        <f>IF(COUNT(AO29,BR29,CU29)&gt;1,LARGE((AO29,BR29,CU29),2),0)</f>
        <v>0</v>
      </c>
      <c r="M29" s="8" t="str">
        <f t="shared" si="6"/>
        <v/>
      </c>
      <c r="N29" s="8">
        <f t="shared" si="7"/>
        <v>50.1</v>
      </c>
      <c r="O29" s="8" t="str">
        <f t="shared" si="8"/>
        <v>2025 Elite Canada</v>
      </c>
      <c r="P29" s="8" t="str">
        <f t="shared" si="9"/>
        <v/>
      </c>
      <c r="Q29" s="11" t="str">
        <f t="shared" si="184"/>
        <v/>
      </c>
      <c r="R29" s="8" t="str">
        <f t="shared" si="185"/>
        <v/>
      </c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27"/>
      <c r="AN29" s="40" t="str">
        <f t="shared" si="10"/>
        <v/>
      </c>
      <c r="AO29" s="40" t="str">
        <f t="shared" si="11"/>
        <v/>
      </c>
      <c r="AP29" s="40" t="str">
        <f t="shared" si="12"/>
        <v/>
      </c>
      <c r="AQ29" s="40" t="str">
        <f t="shared" si="13"/>
        <v/>
      </c>
      <c r="AR29" s="40" t="str">
        <f t="shared" si="14"/>
        <v/>
      </c>
      <c r="AS29" s="40" t="str">
        <f t="shared" si="15"/>
        <v/>
      </c>
      <c r="AT29" s="40" t="str">
        <f t="shared" si="16"/>
        <v/>
      </c>
      <c r="AU29" s="40" t="str">
        <f t="shared" si="17"/>
        <v/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 t="str">
        <f t="shared" si="18"/>
        <v/>
      </c>
      <c r="BR29" s="11" t="str">
        <f t="shared" si="19"/>
        <v/>
      </c>
      <c r="BS29" s="11" t="str">
        <f t="shared" si="20"/>
        <v/>
      </c>
      <c r="BT29" s="11" t="str">
        <f t="shared" si="21"/>
        <v/>
      </c>
      <c r="BU29" s="11" t="str">
        <f t="shared" si="22"/>
        <v/>
      </c>
      <c r="BV29" s="11" t="str">
        <f t="shared" si="23"/>
        <v/>
      </c>
      <c r="BW29" s="11" t="str">
        <f t="shared" si="24"/>
        <v/>
      </c>
      <c r="BX29" s="11" t="str">
        <f t="shared" si="25"/>
        <v/>
      </c>
      <c r="BY29" s="19">
        <v>18.600000000000001</v>
      </c>
      <c r="BZ29" s="19">
        <v>6.8</v>
      </c>
      <c r="CA29" s="19">
        <v>0.8</v>
      </c>
      <c r="CB29" s="19">
        <v>0</v>
      </c>
      <c r="CC29" s="19">
        <v>18</v>
      </c>
      <c r="CD29" s="19">
        <v>6.8</v>
      </c>
      <c r="CE29" s="19">
        <v>0.2</v>
      </c>
      <c r="CF29" s="19">
        <v>0</v>
      </c>
      <c r="CG29" s="19"/>
      <c r="CH29" s="19"/>
      <c r="CI29" s="19"/>
      <c r="CJ29" s="19"/>
      <c r="CK29" s="19">
        <v>19.100000000000001</v>
      </c>
      <c r="CL29" s="19">
        <v>6.8</v>
      </c>
      <c r="CM29" s="19">
        <v>0</v>
      </c>
      <c r="CN29" s="19">
        <v>0</v>
      </c>
      <c r="CO29" s="19">
        <v>18</v>
      </c>
      <c r="CP29" s="19">
        <v>6.8</v>
      </c>
      <c r="CQ29" s="19">
        <v>0.6</v>
      </c>
      <c r="CR29" s="19">
        <v>0</v>
      </c>
      <c r="CS29" s="27"/>
      <c r="CT29" s="40">
        <f t="shared" si="26"/>
        <v>13.6</v>
      </c>
      <c r="CU29" s="40">
        <f t="shared" si="27"/>
        <v>49.2</v>
      </c>
      <c r="CV29" s="40" t="str">
        <f t="shared" si="28"/>
        <v/>
      </c>
      <c r="CW29" s="40">
        <f t="shared" si="29"/>
        <v>13.6</v>
      </c>
      <c r="CX29" s="40">
        <f t="shared" si="30"/>
        <v>49.2</v>
      </c>
      <c r="CY29" s="40">
        <f t="shared" si="31"/>
        <v>13.6</v>
      </c>
      <c r="CZ29" s="40">
        <f t="shared" si="32"/>
        <v>50.1</v>
      </c>
      <c r="DA29" s="40">
        <f t="shared" si="33"/>
        <v>99.300000000000011</v>
      </c>
      <c r="DB29" s="51" t="str">
        <f t="shared" si="34"/>
        <v/>
      </c>
      <c r="DC29" s="51" t="str">
        <f t="shared" si="35"/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 t="shared" si="36"/>
        <v/>
      </c>
      <c r="DY29" s="40" t="str">
        <f t="shared" si="37"/>
        <v/>
      </c>
      <c r="DZ29" s="40" t="str">
        <f t="shared" si="38"/>
        <v/>
      </c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 t="shared" si="44"/>
        <v/>
      </c>
      <c r="FA29" s="11" t="str">
        <f t="shared" si="45"/>
        <v/>
      </c>
      <c r="FB29" s="11" t="str">
        <f t="shared" si="46"/>
        <v/>
      </c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 t="shared" si="52"/>
        <v/>
      </c>
      <c r="GC29" s="40" t="str">
        <f t="shared" si="53"/>
        <v/>
      </c>
      <c r="GD29" s="40" t="str">
        <f t="shared" si="54"/>
        <v/>
      </c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 t="shared" si="60"/>
        <v/>
      </c>
      <c r="HE29" s="11" t="str">
        <f t="shared" si="61"/>
        <v/>
      </c>
      <c r="HF29" s="11" t="str">
        <f t="shared" si="62"/>
        <v/>
      </c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 t="shared" si="68"/>
        <v/>
      </c>
      <c r="IG29" s="40" t="str">
        <f t="shared" si="69"/>
        <v/>
      </c>
      <c r="IH29" s="40" t="str">
        <f t="shared" si="70"/>
        <v/>
      </c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 t="shared" si="76"/>
        <v/>
      </c>
      <c r="JI29" s="11" t="str">
        <f t="shared" si="77"/>
        <v/>
      </c>
      <c r="JJ29" s="11" t="str">
        <f t="shared" si="78"/>
        <v/>
      </c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 t="shared" si="84"/>
        <v/>
      </c>
      <c r="KK29" s="40" t="str">
        <f t="shared" si="85"/>
        <v/>
      </c>
      <c r="KL29" s="40" t="str">
        <f t="shared" si="86"/>
        <v/>
      </c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 t="shared" si="92"/>
        <v/>
      </c>
      <c r="LM29" s="11" t="str">
        <f t="shared" si="93"/>
        <v/>
      </c>
      <c r="LN29" s="11" t="str">
        <f t="shared" si="94"/>
        <v/>
      </c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 t="shared" si="100"/>
        <v/>
      </c>
      <c r="MO29" s="40" t="str">
        <f t="shared" si="101"/>
        <v/>
      </c>
      <c r="MP29" s="40" t="str">
        <f t="shared" si="102"/>
        <v/>
      </c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 t="shared" si="108"/>
        <v/>
      </c>
      <c r="NQ29" s="11" t="str">
        <f t="shared" si="109"/>
        <v/>
      </c>
      <c r="NR29" s="11" t="str">
        <f t="shared" si="110"/>
        <v/>
      </c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 t="shared" si="116"/>
        <v/>
      </c>
      <c r="OS29" s="40" t="str">
        <f t="shared" si="117"/>
        <v/>
      </c>
      <c r="OT29" s="40" t="str">
        <f t="shared" si="118"/>
        <v/>
      </c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 t="shared" si="124"/>
        <v/>
      </c>
      <c r="PU29" s="11" t="str">
        <f t="shared" si="125"/>
        <v/>
      </c>
      <c r="PV29" s="11" t="str">
        <f t="shared" si="126"/>
        <v/>
      </c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 t="shared" si="132"/>
        <v/>
      </c>
      <c r="QW29" s="40" t="str">
        <f t="shared" si="133"/>
        <v/>
      </c>
      <c r="QX29" s="40" t="str">
        <f t="shared" si="134"/>
        <v/>
      </c>
      <c r="QY29" s="40" t="str">
        <f t="shared" si="135"/>
        <v/>
      </c>
      <c r="QZ29" s="40" t="str">
        <f t="shared" si="136"/>
        <v/>
      </c>
      <c r="RA29" s="40" t="str">
        <f t="shared" si="137"/>
        <v/>
      </c>
      <c r="RB29" s="40" t="str">
        <f t="shared" si="138"/>
        <v/>
      </c>
      <c r="RC29" s="40" t="str">
        <f t="shared" si="139"/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 t="shared" si="140"/>
        <v/>
      </c>
      <c r="RY29" s="11" t="str">
        <f t="shared" si="141"/>
        <v/>
      </c>
      <c r="RZ29" s="11" t="str">
        <f t="shared" si="142"/>
        <v/>
      </c>
      <c r="SA29" s="11" t="str">
        <f t="shared" si="143"/>
        <v/>
      </c>
      <c r="SB29" s="11" t="str">
        <f t="shared" si="144"/>
        <v/>
      </c>
      <c r="SC29" s="11" t="str">
        <f t="shared" si="145"/>
        <v/>
      </c>
      <c r="SD29" s="11" t="str">
        <f t="shared" si="146"/>
        <v/>
      </c>
      <c r="SE29" s="11" t="str">
        <f t="shared" si="147"/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 t="shared" si="148"/>
        <v/>
      </c>
      <c r="TA29" s="40" t="str">
        <f t="shared" si="149"/>
        <v/>
      </c>
      <c r="TB29" s="40" t="str">
        <f t="shared" si="150"/>
        <v/>
      </c>
      <c r="TC29" s="40" t="str">
        <f t="shared" si="151"/>
        <v/>
      </c>
      <c r="TD29" s="40" t="str">
        <f t="shared" si="152"/>
        <v/>
      </c>
      <c r="TE29" s="40" t="str">
        <f t="shared" si="153"/>
        <v/>
      </c>
      <c r="TF29" s="40" t="str">
        <f t="shared" si="154"/>
        <v/>
      </c>
      <c r="TG29" s="40" t="str">
        <f t="shared" si="155"/>
        <v/>
      </c>
      <c r="TH29" s="26">
        <f t="shared" si="156"/>
        <v>9.3000000000000007</v>
      </c>
      <c r="TI29" s="26">
        <f t="shared" si="157"/>
        <v>3.4</v>
      </c>
      <c r="TJ29" s="26">
        <f t="shared" si="158"/>
        <v>0.4</v>
      </c>
      <c r="TK29" s="26">
        <f t="shared" si="159"/>
        <v>0</v>
      </c>
      <c r="TL29" s="26">
        <f t="shared" si="160"/>
        <v>9</v>
      </c>
      <c r="TM29" s="26">
        <f t="shared" si="161"/>
        <v>3.4</v>
      </c>
      <c r="TN29" s="26">
        <f t="shared" si="162"/>
        <v>0.1</v>
      </c>
      <c r="TO29" s="26">
        <f t="shared" si="163"/>
        <v>0</v>
      </c>
      <c r="TP29" s="26">
        <f t="shared" si="164"/>
        <v>0</v>
      </c>
      <c r="TQ29" s="26">
        <f t="shared" si="165"/>
        <v>0</v>
      </c>
      <c r="TR29" s="26">
        <f t="shared" si="166"/>
        <v>0</v>
      </c>
      <c r="TS29" s="26">
        <f t="shared" si="167"/>
        <v>0</v>
      </c>
      <c r="TT29" s="26">
        <f t="shared" si="168"/>
        <v>9.5500000000000007</v>
      </c>
      <c r="TU29" s="26">
        <f t="shared" si="169"/>
        <v>3.4</v>
      </c>
      <c r="TV29" s="26">
        <f t="shared" si="170"/>
        <v>0</v>
      </c>
      <c r="TW29" s="26">
        <f t="shared" si="171"/>
        <v>0</v>
      </c>
      <c r="TX29" s="26">
        <f t="shared" si="172"/>
        <v>9</v>
      </c>
      <c r="TY29" s="26">
        <f t="shared" si="173"/>
        <v>3.4</v>
      </c>
      <c r="TZ29" s="26">
        <f t="shared" si="174"/>
        <v>0.3</v>
      </c>
      <c r="UA29" s="26">
        <f t="shared" si="175"/>
        <v>0</v>
      </c>
      <c r="UB29" s="28" t="s">
        <v>53</v>
      </c>
      <c r="UC29" s="11">
        <f t="shared" si="176"/>
        <v>6.8</v>
      </c>
      <c r="UD29" s="11">
        <f t="shared" si="177"/>
        <v>24.6</v>
      </c>
      <c r="UE29" s="11" t="str">
        <f t="shared" si="178"/>
        <v/>
      </c>
      <c r="UF29" s="11">
        <f t="shared" si="179"/>
        <v>6.8</v>
      </c>
      <c r="UG29" s="11">
        <f t="shared" si="180"/>
        <v>24.6</v>
      </c>
      <c r="UH29" s="11">
        <f t="shared" si="181"/>
        <v>6.8</v>
      </c>
      <c r="UI29" s="11">
        <f t="shared" si="182"/>
        <v>25.05</v>
      </c>
      <c r="UJ29" s="11">
        <f t="shared" si="183"/>
        <v>49.650000000000006</v>
      </c>
    </row>
    <row r="30" spans="1:556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203</v>
      </c>
      <c r="C30" s="4" t="s">
        <v>6</v>
      </c>
      <c r="D30" s="4">
        <v>2006</v>
      </c>
      <c r="E30" s="9">
        <f t="shared" si="0"/>
        <v>95.900009590004927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IF(COUNT(AO30,BR30,CU30)&gt;0,LARGE((AO30,BR30,CU30),1),0)</f>
        <v>49.099999999999994</v>
      </c>
      <c r="K30" s="8" t="str">
        <f t="shared" si="5"/>
        <v>2024 3rd Domestic Trial</v>
      </c>
      <c r="L30" s="8">
        <f>IF(COUNT(AO30,BR30,CU30)&gt;1,LARGE((AO30,BR30,CU30),2),0)</f>
        <v>46.800000000000004</v>
      </c>
      <c r="M30" s="8" t="str">
        <f t="shared" si="6"/>
        <v>2025 Elite Canada</v>
      </c>
      <c r="N30" s="8">
        <f t="shared" si="7"/>
        <v>0</v>
      </c>
      <c r="O30" s="8" t="str">
        <f t="shared" si="8"/>
        <v/>
      </c>
      <c r="P30" s="8" t="str">
        <f t="shared" si="9"/>
        <v/>
      </c>
      <c r="Q30" s="11" t="str">
        <f t="shared" si="184"/>
        <v/>
      </c>
      <c r="R30" s="8" t="str">
        <f t="shared" si="185"/>
        <v/>
      </c>
      <c r="S30" s="19">
        <v>18</v>
      </c>
      <c r="T30" s="19">
        <v>4.4000000000000004</v>
      </c>
      <c r="U30" s="19">
        <v>1</v>
      </c>
      <c r="V30" s="19">
        <v>0</v>
      </c>
      <c r="W30" s="19">
        <v>17.399999999999999</v>
      </c>
      <c r="X30" s="19">
        <v>2.8</v>
      </c>
      <c r="Y30" s="19">
        <v>0</v>
      </c>
      <c r="Z30" s="19">
        <v>0</v>
      </c>
      <c r="AA30" s="19">
        <v>17</v>
      </c>
      <c r="AB30" s="19">
        <v>3.2</v>
      </c>
      <c r="AC30" s="19">
        <v>0</v>
      </c>
      <c r="AD30" s="19">
        <v>0</v>
      </c>
      <c r="AE30" s="19"/>
      <c r="AF30" s="19"/>
      <c r="AG30" s="19"/>
      <c r="AH30" s="19"/>
      <c r="AI30" s="19"/>
      <c r="AJ30" s="19"/>
      <c r="AK30" s="19"/>
      <c r="AL30" s="19"/>
      <c r="AM30" s="27"/>
      <c r="AN30" s="40">
        <f t="shared" si="10"/>
        <v>7.2</v>
      </c>
      <c r="AO30" s="40">
        <f t="shared" si="11"/>
        <v>41.599999999999994</v>
      </c>
      <c r="AP30" s="40">
        <f t="shared" si="12"/>
        <v>20.2</v>
      </c>
      <c r="AQ30" s="40">
        <f t="shared" si="13"/>
        <v>10.4</v>
      </c>
      <c r="AR30" s="40">
        <f t="shared" si="14"/>
        <v>61.8</v>
      </c>
      <c r="AS30" s="40" t="str">
        <f t="shared" si="15"/>
        <v/>
      </c>
      <c r="AT30" s="40" t="str">
        <f t="shared" si="16"/>
        <v/>
      </c>
      <c r="AU30" s="40">
        <f t="shared" si="17"/>
        <v>61.8</v>
      </c>
      <c r="AV30" s="18">
        <v>18.7</v>
      </c>
      <c r="AW30" s="18">
        <v>6</v>
      </c>
      <c r="AX30" s="18">
        <v>0</v>
      </c>
      <c r="AY30" s="18">
        <v>0</v>
      </c>
      <c r="AZ30" s="18">
        <v>18.600000000000001</v>
      </c>
      <c r="BA30" s="18">
        <v>6</v>
      </c>
      <c r="BB30" s="18">
        <v>0.2</v>
      </c>
      <c r="BC30" s="18">
        <v>0</v>
      </c>
      <c r="BD30" s="18">
        <v>17.100000000000001</v>
      </c>
      <c r="BE30" s="18">
        <v>3.2</v>
      </c>
      <c r="BF30" s="18">
        <v>0</v>
      </c>
      <c r="BG30" s="18">
        <v>0</v>
      </c>
      <c r="BH30" s="18"/>
      <c r="BI30" s="18"/>
      <c r="BJ30" s="18"/>
      <c r="BK30" s="18"/>
      <c r="BL30" s="18"/>
      <c r="BM30" s="18"/>
      <c r="BN30" s="18"/>
      <c r="BO30" s="18"/>
      <c r="BP30" s="28"/>
      <c r="BQ30" s="11">
        <f t="shared" si="18"/>
        <v>12</v>
      </c>
      <c r="BR30" s="11">
        <f t="shared" si="19"/>
        <v>49.099999999999994</v>
      </c>
      <c r="BS30" s="11">
        <f t="shared" si="20"/>
        <v>20.3</v>
      </c>
      <c r="BT30" s="11">
        <f t="shared" si="21"/>
        <v>15.2</v>
      </c>
      <c r="BU30" s="11">
        <f t="shared" si="22"/>
        <v>69.399999999999991</v>
      </c>
      <c r="BV30" s="11" t="str">
        <f t="shared" si="23"/>
        <v/>
      </c>
      <c r="BW30" s="11" t="str">
        <f t="shared" si="24"/>
        <v/>
      </c>
      <c r="BX30" s="11">
        <f t="shared" si="25"/>
        <v>69.399999999999991</v>
      </c>
      <c r="BY30" s="19">
        <v>17.7</v>
      </c>
      <c r="BZ30" s="19">
        <v>5.6</v>
      </c>
      <c r="CA30" s="19">
        <v>1.6</v>
      </c>
      <c r="CB30" s="19">
        <v>0</v>
      </c>
      <c r="CC30" s="19">
        <v>18.7</v>
      </c>
      <c r="CD30" s="19">
        <v>7.2</v>
      </c>
      <c r="CE30" s="19">
        <v>0.8</v>
      </c>
      <c r="CF30" s="19">
        <v>0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>
        <f t="shared" si="26"/>
        <v>12.8</v>
      </c>
      <c r="CU30" s="40">
        <f t="shared" si="27"/>
        <v>46.800000000000004</v>
      </c>
      <c r="CV30" s="40" t="str">
        <f t="shared" si="28"/>
        <v/>
      </c>
      <c r="CW30" s="40">
        <f t="shared" si="29"/>
        <v>12.8</v>
      </c>
      <c r="CX30" s="40">
        <f t="shared" si="30"/>
        <v>46.800000000000004</v>
      </c>
      <c r="CY30" s="40" t="str">
        <f t="shared" si="31"/>
        <v/>
      </c>
      <c r="CZ30" s="40" t="str">
        <f t="shared" si="32"/>
        <v/>
      </c>
      <c r="DA30" s="40">
        <f t="shared" si="33"/>
        <v>46.800000000000004</v>
      </c>
      <c r="DB30" s="51" t="str">
        <f t="shared" si="34"/>
        <v/>
      </c>
      <c r="DC30" s="51" t="str">
        <f t="shared" si="35"/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 t="shared" si="36"/>
        <v/>
      </c>
      <c r="DY30" s="40" t="str">
        <f t="shared" si="37"/>
        <v/>
      </c>
      <c r="DZ30" s="40" t="str">
        <f t="shared" si="38"/>
        <v/>
      </c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 t="shared" si="44"/>
        <v/>
      </c>
      <c r="FA30" s="11" t="str">
        <f t="shared" si="45"/>
        <v/>
      </c>
      <c r="FB30" s="11" t="str">
        <f t="shared" si="46"/>
        <v/>
      </c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 t="shared" si="52"/>
        <v/>
      </c>
      <c r="GC30" s="40" t="str">
        <f t="shared" si="53"/>
        <v/>
      </c>
      <c r="GD30" s="40" t="str">
        <f t="shared" si="54"/>
        <v/>
      </c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 t="shared" si="60"/>
        <v/>
      </c>
      <c r="HE30" s="11" t="str">
        <f t="shared" si="61"/>
        <v/>
      </c>
      <c r="HF30" s="11" t="str">
        <f t="shared" si="62"/>
        <v/>
      </c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 t="shared" si="68"/>
        <v/>
      </c>
      <c r="IG30" s="40" t="str">
        <f t="shared" si="69"/>
        <v/>
      </c>
      <c r="IH30" s="40" t="str">
        <f t="shared" si="70"/>
        <v/>
      </c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 t="shared" si="76"/>
        <v/>
      </c>
      <c r="JI30" s="11" t="str">
        <f t="shared" si="77"/>
        <v/>
      </c>
      <c r="JJ30" s="11" t="str">
        <f t="shared" si="78"/>
        <v/>
      </c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 t="shared" si="84"/>
        <v/>
      </c>
      <c r="KK30" s="40" t="str">
        <f t="shared" si="85"/>
        <v/>
      </c>
      <c r="KL30" s="40" t="str">
        <f t="shared" si="86"/>
        <v/>
      </c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 t="shared" si="92"/>
        <v/>
      </c>
      <c r="LM30" s="11" t="str">
        <f t="shared" si="93"/>
        <v/>
      </c>
      <c r="LN30" s="11" t="str">
        <f t="shared" si="94"/>
        <v/>
      </c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 t="shared" si="100"/>
        <v/>
      </c>
      <c r="MO30" s="40" t="str">
        <f t="shared" si="101"/>
        <v/>
      </c>
      <c r="MP30" s="40" t="str">
        <f t="shared" si="102"/>
        <v/>
      </c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 t="shared" si="108"/>
        <v/>
      </c>
      <c r="NQ30" s="11" t="str">
        <f t="shared" si="109"/>
        <v/>
      </c>
      <c r="NR30" s="11" t="str">
        <f t="shared" si="110"/>
        <v/>
      </c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 t="shared" si="116"/>
        <v/>
      </c>
      <c r="OS30" s="40" t="str">
        <f t="shared" si="117"/>
        <v/>
      </c>
      <c r="OT30" s="40" t="str">
        <f t="shared" si="118"/>
        <v/>
      </c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 t="shared" si="124"/>
        <v/>
      </c>
      <c r="PU30" s="11" t="str">
        <f t="shared" si="125"/>
        <v/>
      </c>
      <c r="PV30" s="11" t="str">
        <f t="shared" si="126"/>
        <v/>
      </c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 t="shared" si="132"/>
        <v/>
      </c>
      <c r="QW30" s="40" t="str">
        <f t="shared" si="133"/>
        <v/>
      </c>
      <c r="QX30" s="40" t="str">
        <f t="shared" si="134"/>
        <v/>
      </c>
      <c r="QY30" s="40" t="str">
        <f t="shared" si="135"/>
        <v/>
      </c>
      <c r="QZ30" s="40" t="str">
        <f t="shared" si="136"/>
        <v/>
      </c>
      <c r="RA30" s="40" t="str">
        <f t="shared" si="137"/>
        <v/>
      </c>
      <c r="RB30" s="40" t="str">
        <f t="shared" si="138"/>
        <v/>
      </c>
      <c r="RC30" s="40" t="str">
        <f t="shared" si="139"/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 t="shared" si="140"/>
        <v/>
      </c>
      <c r="RY30" s="11" t="str">
        <f t="shared" si="141"/>
        <v/>
      </c>
      <c r="RZ30" s="11" t="str">
        <f t="shared" si="142"/>
        <v/>
      </c>
      <c r="SA30" s="11" t="str">
        <f t="shared" si="143"/>
        <v/>
      </c>
      <c r="SB30" s="11" t="str">
        <f t="shared" si="144"/>
        <v/>
      </c>
      <c r="SC30" s="11" t="str">
        <f t="shared" si="145"/>
        <v/>
      </c>
      <c r="SD30" s="11" t="str">
        <f t="shared" si="146"/>
        <v/>
      </c>
      <c r="SE30" s="11" t="str">
        <f t="shared" si="147"/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 t="shared" si="148"/>
        <v/>
      </c>
      <c r="TA30" s="40" t="str">
        <f t="shared" si="149"/>
        <v/>
      </c>
      <c r="TB30" s="40" t="str">
        <f t="shared" si="150"/>
        <v/>
      </c>
      <c r="TC30" s="40" t="str">
        <f t="shared" si="151"/>
        <v/>
      </c>
      <c r="TD30" s="40" t="str">
        <f t="shared" si="152"/>
        <v/>
      </c>
      <c r="TE30" s="40" t="str">
        <f t="shared" si="153"/>
        <v/>
      </c>
      <c r="TF30" s="40" t="str">
        <f t="shared" si="154"/>
        <v/>
      </c>
      <c r="TG30" s="40" t="str">
        <f t="shared" si="155"/>
        <v/>
      </c>
      <c r="TH30" s="26">
        <f t="shared" si="156"/>
        <v>18.2</v>
      </c>
      <c r="TI30" s="26">
        <f t="shared" si="157"/>
        <v>5.8</v>
      </c>
      <c r="TJ30" s="26">
        <f t="shared" si="158"/>
        <v>0.8</v>
      </c>
      <c r="TK30" s="26">
        <f t="shared" si="159"/>
        <v>0</v>
      </c>
      <c r="TL30" s="26">
        <f t="shared" si="160"/>
        <v>18.649999999999999</v>
      </c>
      <c r="TM30" s="26">
        <f t="shared" si="161"/>
        <v>6.6</v>
      </c>
      <c r="TN30" s="26">
        <f t="shared" si="162"/>
        <v>0.5</v>
      </c>
      <c r="TO30" s="26">
        <f t="shared" si="163"/>
        <v>0</v>
      </c>
      <c r="TP30" s="26">
        <f t="shared" si="164"/>
        <v>8.5500000000000007</v>
      </c>
      <c r="TQ30" s="26">
        <f t="shared" si="165"/>
        <v>1.6</v>
      </c>
      <c r="TR30" s="26">
        <f t="shared" si="166"/>
        <v>0</v>
      </c>
      <c r="TS30" s="26">
        <f t="shared" si="167"/>
        <v>0</v>
      </c>
      <c r="TT30" s="26">
        <f t="shared" si="168"/>
        <v>0</v>
      </c>
      <c r="TU30" s="26">
        <f t="shared" si="169"/>
        <v>0</v>
      </c>
      <c r="TV30" s="26">
        <f t="shared" si="170"/>
        <v>0</v>
      </c>
      <c r="TW30" s="26">
        <f t="shared" si="171"/>
        <v>0</v>
      </c>
      <c r="TX30" s="26">
        <f t="shared" si="172"/>
        <v>0</v>
      </c>
      <c r="TY30" s="26">
        <f t="shared" si="173"/>
        <v>0</v>
      </c>
      <c r="TZ30" s="26">
        <f t="shared" si="174"/>
        <v>0</v>
      </c>
      <c r="UA30" s="26">
        <f t="shared" si="175"/>
        <v>0</v>
      </c>
      <c r="UB30" s="28" t="s">
        <v>53</v>
      </c>
      <c r="UC30" s="11">
        <f t="shared" si="176"/>
        <v>12.399999999999999</v>
      </c>
      <c r="UD30" s="11">
        <f t="shared" si="177"/>
        <v>47.95</v>
      </c>
      <c r="UE30" s="11">
        <f t="shared" si="178"/>
        <v>10.15</v>
      </c>
      <c r="UF30" s="11">
        <f t="shared" si="179"/>
        <v>13.999999999999998</v>
      </c>
      <c r="UG30" s="11">
        <f t="shared" si="180"/>
        <v>58.1</v>
      </c>
      <c r="UH30" s="11" t="str">
        <f t="shared" si="181"/>
        <v/>
      </c>
      <c r="UI30" s="11" t="str">
        <f t="shared" si="182"/>
        <v/>
      </c>
      <c r="UJ30" s="11">
        <f t="shared" si="183"/>
        <v>58.1</v>
      </c>
    </row>
    <row r="31" spans="1:556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148</v>
      </c>
      <c r="C31" s="4" t="s">
        <v>3</v>
      </c>
      <c r="D31" s="4">
        <v>2000</v>
      </c>
      <c r="E31" s="9">
        <f t="shared" si="0"/>
        <v>94.900009490005019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IF(COUNT(AO31,BR31,CU31)&gt;0,LARGE((AO31,BR31,CU31),1),0)</f>
        <v>50.099999999999994</v>
      </c>
      <c r="K31" s="8" t="str">
        <f t="shared" si="5"/>
        <v>2024 3rd Domestic Trial</v>
      </c>
      <c r="L31" s="8">
        <f>IF(COUNT(AO31,BR31,CU31)&gt;1,LARGE((AO31,BR31,CU31),2),0)</f>
        <v>44.800000000000004</v>
      </c>
      <c r="M31" s="8" t="str">
        <f t="shared" si="6"/>
        <v>2024 Nationals</v>
      </c>
      <c r="N31" s="8">
        <f t="shared" si="7"/>
        <v>0</v>
      </c>
      <c r="O31" s="8" t="str">
        <f t="shared" si="8"/>
        <v/>
      </c>
      <c r="P31" s="8" t="str">
        <f t="shared" si="9"/>
        <v/>
      </c>
      <c r="Q31" s="11" t="str">
        <f t="shared" si="184"/>
        <v/>
      </c>
      <c r="R31" s="8" t="str">
        <f t="shared" si="185"/>
        <v/>
      </c>
      <c r="S31" s="19">
        <v>18.600000000000001</v>
      </c>
      <c r="T31" s="19">
        <v>6</v>
      </c>
      <c r="U31" s="19">
        <v>0</v>
      </c>
      <c r="V31" s="19">
        <v>0</v>
      </c>
      <c r="W31" s="19">
        <v>17</v>
      </c>
      <c r="X31" s="19">
        <v>3.2</v>
      </c>
      <c r="Y31" s="19">
        <v>0</v>
      </c>
      <c r="Z31" s="19">
        <v>0</v>
      </c>
      <c r="AA31" s="19">
        <v>18.399999999999999</v>
      </c>
      <c r="AB31" s="19">
        <v>2.8</v>
      </c>
      <c r="AC31" s="19">
        <v>1.6</v>
      </c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27"/>
      <c r="AN31" s="40">
        <f t="shared" si="10"/>
        <v>9.1999999999999993</v>
      </c>
      <c r="AO31" s="40">
        <f t="shared" si="11"/>
        <v>44.800000000000004</v>
      </c>
      <c r="AP31" s="40">
        <f t="shared" si="12"/>
        <v>19.599999999999998</v>
      </c>
      <c r="AQ31" s="40">
        <f t="shared" si="13"/>
        <v>12</v>
      </c>
      <c r="AR31" s="40">
        <f t="shared" si="14"/>
        <v>64.400000000000006</v>
      </c>
      <c r="AS31" s="40" t="str">
        <f t="shared" si="15"/>
        <v/>
      </c>
      <c r="AT31" s="40" t="str">
        <f t="shared" si="16"/>
        <v/>
      </c>
      <c r="AU31" s="40">
        <f t="shared" si="17"/>
        <v>64.400000000000006</v>
      </c>
      <c r="AV31" s="18">
        <v>19.2</v>
      </c>
      <c r="AW31" s="18">
        <v>6</v>
      </c>
      <c r="AX31" s="18">
        <v>0</v>
      </c>
      <c r="AY31" s="18">
        <v>0</v>
      </c>
      <c r="AZ31" s="18">
        <v>18.3</v>
      </c>
      <c r="BA31" s="18">
        <v>6.8</v>
      </c>
      <c r="BB31" s="18">
        <v>0.2</v>
      </c>
      <c r="BC31" s="18">
        <v>0</v>
      </c>
      <c r="BD31" s="18">
        <v>18.8</v>
      </c>
      <c r="BE31" s="18">
        <v>5.6</v>
      </c>
      <c r="BF31" s="18">
        <v>0.6</v>
      </c>
      <c r="BG31" s="18">
        <v>0</v>
      </c>
      <c r="BH31" s="18"/>
      <c r="BI31" s="18"/>
      <c r="BJ31" s="18"/>
      <c r="BK31" s="18"/>
      <c r="BL31" s="18"/>
      <c r="BM31" s="18"/>
      <c r="BN31" s="18"/>
      <c r="BO31" s="18"/>
      <c r="BP31" s="28"/>
      <c r="BQ31" s="11">
        <f t="shared" si="18"/>
        <v>12.8</v>
      </c>
      <c r="BR31" s="11">
        <f t="shared" si="19"/>
        <v>50.099999999999994</v>
      </c>
      <c r="BS31" s="11">
        <f t="shared" si="20"/>
        <v>23.799999999999997</v>
      </c>
      <c r="BT31" s="11">
        <f t="shared" si="21"/>
        <v>18.399999999999999</v>
      </c>
      <c r="BU31" s="11">
        <f t="shared" si="22"/>
        <v>73.899999999999991</v>
      </c>
      <c r="BV31" s="11" t="str">
        <f t="shared" si="23"/>
        <v/>
      </c>
      <c r="BW31" s="11" t="str">
        <f t="shared" si="24"/>
        <v/>
      </c>
      <c r="BX31" s="11">
        <f t="shared" si="25"/>
        <v>73.899999999999991</v>
      </c>
      <c r="BY31" s="19">
        <v>17.8</v>
      </c>
      <c r="BZ31" s="19">
        <v>4.4000000000000004</v>
      </c>
      <c r="CA31" s="19">
        <v>1</v>
      </c>
      <c r="CB31" s="19">
        <v>0</v>
      </c>
      <c r="CC31" s="19">
        <v>17.600000000000001</v>
      </c>
      <c r="CD31" s="19">
        <v>3.7</v>
      </c>
      <c r="CE31" s="19">
        <v>1</v>
      </c>
      <c r="CF31" s="19">
        <v>0</v>
      </c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>
        <f t="shared" si="26"/>
        <v>8.1000000000000014</v>
      </c>
      <c r="CU31" s="40">
        <f t="shared" si="27"/>
        <v>41.500000000000007</v>
      </c>
      <c r="CV31" s="40" t="str">
        <f t="shared" si="28"/>
        <v/>
      </c>
      <c r="CW31" s="40">
        <f t="shared" si="29"/>
        <v>8.1000000000000014</v>
      </c>
      <c r="CX31" s="40">
        <f t="shared" si="30"/>
        <v>41.500000000000007</v>
      </c>
      <c r="CY31" s="40" t="str">
        <f t="shared" si="31"/>
        <v/>
      </c>
      <c r="CZ31" s="40" t="str">
        <f t="shared" si="32"/>
        <v/>
      </c>
      <c r="DA31" s="40">
        <f t="shared" si="33"/>
        <v>41.500000000000007</v>
      </c>
      <c r="DB31" s="51" t="str">
        <f t="shared" si="34"/>
        <v/>
      </c>
      <c r="DC31" s="51" t="str">
        <f t="shared" si="35"/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 t="shared" si="36"/>
        <v/>
      </c>
      <c r="DY31" s="40" t="str">
        <f t="shared" si="37"/>
        <v/>
      </c>
      <c r="DZ31" s="40" t="str">
        <f t="shared" si="38"/>
        <v/>
      </c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 t="shared" si="44"/>
        <v/>
      </c>
      <c r="FA31" s="11" t="str">
        <f t="shared" si="45"/>
        <v/>
      </c>
      <c r="FB31" s="11" t="str">
        <f t="shared" si="46"/>
        <v/>
      </c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 t="shared" si="52"/>
        <v/>
      </c>
      <c r="GC31" s="40" t="str">
        <f t="shared" si="53"/>
        <v/>
      </c>
      <c r="GD31" s="40" t="str">
        <f t="shared" si="54"/>
        <v/>
      </c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 t="shared" si="60"/>
        <v/>
      </c>
      <c r="HE31" s="11" t="str">
        <f t="shared" si="61"/>
        <v/>
      </c>
      <c r="HF31" s="11" t="str">
        <f t="shared" si="62"/>
        <v/>
      </c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 t="shared" si="68"/>
        <v/>
      </c>
      <c r="IG31" s="40" t="str">
        <f t="shared" si="69"/>
        <v/>
      </c>
      <c r="IH31" s="40" t="str">
        <f t="shared" si="70"/>
        <v/>
      </c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 t="shared" si="76"/>
        <v/>
      </c>
      <c r="JI31" s="11" t="str">
        <f t="shared" si="77"/>
        <v/>
      </c>
      <c r="JJ31" s="11" t="str">
        <f t="shared" si="78"/>
        <v/>
      </c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 t="shared" si="84"/>
        <v/>
      </c>
      <c r="KK31" s="40" t="str">
        <f t="shared" si="85"/>
        <v/>
      </c>
      <c r="KL31" s="40" t="str">
        <f t="shared" si="86"/>
        <v/>
      </c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 t="shared" si="92"/>
        <v/>
      </c>
      <c r="LM31" s="11" t="str">
        <f t="shared" si="93"/>
        <v/>
      </c>
      <c r="LN31" s="11" t="str">
        <f t="shared" si="94"/>
        <v/>
      </c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 t="shared" si="100"/>
        <v/>
      </c>
      <c r="MO31" s="40" t="str">
        <f t="shared" si="101"/>
        <v/>
      </c>
      <c r="MP31" s="40" t="str">
        <f t="shared" si="102"/>
        <v/>
      </c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 t="shared" si="108"/>
        <v/>
      </c>
      <c r="NQ31" s="11" t="str">
        <f t="shared" si="109"/>
        <v/>
      </c>
      <c r="NR31" s="11" t="str">
        <f t="shared" si="110"/>
        <v/>
      </c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 t="shared" si="116"/>
        <v/>
      </c>
      <c r="OS31" s="40" t="str">
        <f t="shared" si="117"/>
        <v/>
      </c>
      <c r="OT31" s="40" t="str">
        <f t="shared" si="118"/>
        <v/>
      </c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 t="shared" si="124"/>
        <v/>
      </c>
      <c r="PU31" s="11" t="str">
        <f t="shared" si="125"/>
        <v/>
      </c>
      <c r="PV31" s="11" t="str">
        <f t="shared" si="126"/>
        <v/>
      </c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 t="shared" si="132"/>
        <v/>
      </c>
      <c r="QW31" s="40" t="str">
        <f t="shared" si="133"/>
        <v/>
      </c>
      <c r="QX31" s="40" t="str">
        <f t="shared" si="134"/>
        <v/>
      </c>
      <c r="QY31" s="40" t="str">
        <f t="shared" si="135"/>
        <v/>
      </c>
      <c r="QZ31" s="40" t="str">
        <f t="shared" si="136"/>
        <v/>
      </c>
      <c r="RA31" s="40" t="str">
        <f t="shared" si="137"/>
        <v/>
      </c>
      <c r="RB31" s="40" t="str">
        <f t="shared" si="138"/>
        <v/>
      </c>
      <c r="RC31" s="40" t="str">
        <f t="shared" si="139"/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 t="shared" si="140"/>
        <v/>
      </c>
      <c r="RY31" s="11" t="str">
        <f t="shared" si="141"/>
        <v/>
      </c>
      <c r="RZ31" s="11" t="str">
        <f t="shared" si="142"/>
        <v/>
      </c>
      <c r="SA31" s="11" t="str">
        <f t="shared" si="143"/>
        <v/>
      </c>
      <c r="SB31" s="11" t="str">
        <f t="shared" si="144"/>
        <v/>
      </c>
      <c r="SC31" s="11" t="str">
        <f t="shared" si="145"/>
        <v/>
      </c>
      <c r="SD31" s="11" t="str">
        <f t="shared" si="146"/>
        <v/>
      </c>
      <c r="SE31" s="11" t="str">
        <f t="shared" si="147"/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 t="shared" si="148"/>
        <v/>
      </c>
      <c r="TA31" s="40" t="str">
        <f t="shared" si="149"/>
        <v/>
      </c>
      <c r="TB31" s="40" t="str">
        <f t="shared" si="150"/>
        <v/>
      </c>
      <c r="TC31" s="40" t="str">
        <f t="shared" si="151"/>
        <v/>
      </c>
      <c r="TD31" s="40" t="str">
        <f t="shared" si="152"/>
        <v/>
      </c>
      <c r="TE31" s="40" t="str">
        <f t="shared" si="153"/>
        <v/>
      </c>
      <c r="TF31" s="40" t="str">
        <f t="shared" si="154"/>
        <v/>
      </c>
      <c r="TG31" s="40" t="str">
        <f t="shared" si="155"/>
        <v/>
      </c>
      <c r="TH31" s="26">
        <f t="shared" si="156"/>
        <v>18.5</v>
      </c>
      <c r="TI31" s="26">
        <f t="shared" si="157"/>
        <v>5.2</v>
      </c>
      <c r="TJ31" s="26">
        <f t="shared" si="158"/>
        <v>0.5</v>
      </c>
      <c r="TK31" s="26">
        <f t="shared" si="159"/>
        <v>0</v>
      </c>
      <c r="TL31" s="26">
        <f t="shared" si="160"/>
        <v>17.950000000000003</v>
      </c>
      <c r="TM31" s="26">
        <f t="shared" si="161"/>
        <v>5.25</v>
      </c>
      <c r="TN31" s="26">
        <f t="shared" si="162"/>
        <v>0.6</v>
      </c>
      <c r="TO31" s="26">
        <f t="shared" si="163"/>
        <v>0</v>
      </c>
      <c r="TP31" s="26">
        <f t="shared" si="164"/>
        <v>9.4</v>
      </c>
      <c r="TQ31" s="26">
        <f t="shared" si="165"/>
        <v>2.8</v>
      </c>
      <c r="TR31" s="26">
        <f t="shared" si="166"/>
        <v>0.3</v>
      </c>
      <c r="TS31" s="26">
        <f t="shared" si="167"/>
        <v>0</v>
      </c>
      <c r="TT31" s="26">
        <f t="shared" si="168"/>
        <v>0</v>
      </c>
      <c r="TU31" s="26">
        <f t="shared" si="169"/>
        <v>0</v>
      </c>
      <c r="TV31" s="26">
        <f t="shared" si="170"/>
        <v>0</v>
      </c>
      <c r="TW31" s="26">
        <f t="shared" si="171"/>
        <v>0</v>
      </c>
      <c r="TX31" s="26">
        <f t="shared" si="172"/>
        <v>0</v>
      </c>
      <c r="TY31" s="26">
        <f t="shared" si="173"/>
        <v>0</v>
      </c>
      <c r="TZ31" s="26">
        <f t="shared" si="174"/>
        <v>0</v>
      </c>
      <c r="UA31" s="26">
        <f t="shared" si="175"/>
        <v>0</v>
      </c>
      <c r="UB31" s="28" t="s">
        <v>53</v>
      </c>
      <c r="UC31" s="11">
        <f t="shared" si="176"/>
        <v>10.45</v>
      </c>
      <c r="UD31" s="11">
        <f t="shared" si="177"/>
        <v>45.800000000000004</v>
      </c>
      <c r="UE31" s="11">
        <f t="shared" si="178"/>
        <v>11.899999999999999</v>
      </c>
      <c r="UF31" s="11">
        <f t="shared" si="179"/>
        <v>13.25</v>
      </c>
      <c r="UG31" s="11">
        <f t="shared" si="180"/>
        <v>57.7</v>
      </c>
      <c r="UH31" s="11" t="str">
        <f t="shared" si="181"/>
        <v/>
      </c>
      <c r="UI31" s="11" t="str">
        <f t="shared" si="182"/>
        <v/>
      </c>
      <c r="UJ31" s="11">
        <f t="shared" si="183"/>
        <v>57.7</v>
      </c>
    </row>
    <row r="32" spans="1:556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208</v>
      </c>
      <c r="C32" s="4" t="s">
        <v>6</v>
      </c>
      <c r="D32" s="4">
        <v>2004</v>
      </c>
      <c r="E32" s="9">
        <f t="shared" si="0"/>
        <v>81.450008145004617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IF(COUNT(AO32,BR32,CU32)&gt;0,LARGE((AO32,BR32,CU32),1),0)</f>
        <v>46.3</v>
      </c>
      <c r="K32" s="8" t="str">
        <f t="shared" si="5"/>
        <v>2024 3rd Domestic Trial</v>
      </c>
      <c r="L32" s="8">
        <f>IF(COUNT(AO32,BR32,CU32)&gt;1,LARGE((AO32,BR32,CU32),2),0)</f>
        <v>35.15</v>
      </c>
      <c r="M32" s="8" t="str">
        <f t="shared" si="6"/>
        <v>2025 Elite Canada</v>
      </c>
      <c r="N32" s="8">
        <f t="shared" si="7"/>
        <v>0</v>
      </c>
      <c r="O32" s="8" t="str">
        <f t="shared" si="8"/>
        <v/>
      </c>
      <c r="P32" s="8" t="str">
        <f t="shared" si="9"/>
        <v/>
      </c>
      <c r="Q32" s="11" t="str">
        <f t="shared" si="184"/>
        <v/>
      </c>
      <c r="R32" s="8" t="str">
        <f t="shared" si="185"/>
        <v/>
      </c>
      <c r="S32" s="19">
        <v>0</v>
      </c>
      <c r="T32" s="19">
        <v>0</v>
      </c>
      <c r="U32" s="19">
        <v>0</v>
      </c>
      <c r="V32" s="19">
        <v>0</v>
      </c>
      <c r="W32" s="19">
        <v>18</v>
      </c>
      <c r="X32" s="19">
        <v>6.8</v>
      </c>
      <c r="Y32" s="19">
        <v>0.8</v>
      </c>
      <c r="Z32" s="19">
        <v>0</v>
      </c>
      <c r="AA32" s="19">
        <v>17.399999999999999</v>
      </c>
      <c r="AB32" s="19">
        <v>3.6</v>
      </c>
      <c r="AC32" s="19">
        <v>0</v>
      </c>
      <c r="AD32" s="19">
        <v>0</v>
      </c>
      <c r="AE32" s="19"/>
      <c r="AF32" s="19"/>
      <c r="AG32" s="19"/>
      <c r="AH32" s="19"/>
      <c r="AI32" s="19"/>
      <c r="AJ32" s="19"/>
      <c r="AK32" s="19"/>
      <c r="AL32" s="19"/>
      <c r="AM32" s="27"/>
      <c r="AN32" s="40">
        <f t="shared" si="10"/>
        <v>6.8</v>
      </c>
      <c r="AO32" s="40">
        <f t="shared" si="11"/>
        <v>24</v>
      </c>
      <c r="AP32" s="40">
        <f t="shared" si="12"/>
        <v>21</v>
      </c>
      <c r="AQ32" s="40">
        <f t="shared" si="13"/>
        <v>10.4</v>
      </c>
      <c r="AR32" s="40">
        <f t="shared" si="14"/>
        <v>45</v>
      </c>
      <c r="AS32" s="40" t="str">
        <f t="shared" si="15"/>
        <v/>
      </c>
      <c r="AT32" s="40" t="str">
        <f t="shared" si="16"/>
        <v/>
      </c>
      <c r="AU32" s="40">
        <f t="shared" si="17"/>
        <v>45</v>
      </c>
      <c r="AV32" s="18">
        <v>16.7</v>
      </c>
      <c r="AW32" s="18">
        <v>6</v>
      </c>
      <c r="AX32" s="18">
        <v>1</v>
      </c>
      <c r="AY32" s="18">
        <v>0</v>
      </c>
      <c r="AZ32" s="18">
        <v>18.8</v>
      </c>
      <c r="BA32" s="18">
        <v>6.4</v>
      </c>
      <c r="BB32" s="18">
        <v>0.6</v>
      </c>
      <c r="BC32" s="18">
        <v>0</v>
      </c>
      <c r="BD32" s="18">
        <v>18.8</v>
      </c>
      <c r="BE32" s="18">
        <v>5.6</v>
      </c>
      <c r="BF32" s="18">
        <v>0.4</v>
      </c>
      <c r="BG32" s="18">
        <v>0</v>
      </c>
      <c r="BH32" s="18"/>
      <c r="BI32" s="18"/>
      <c r="BJ32" s="18"/>
      <c r="BK32" s="18"/>
      <c r="BL32" s="18"/>
      <c r="BM32" s="18"/>
      <c r="BN32" s="18"/>
      <c r="BO32" s="18"/>
      <c r="BP32" s="28"/>
      <c r="BQ32" s="11">
        <f t="shared" si="18"/>
        <v>12.4</v>
      </c>
      <c r="BR32" s="11">
        <f t="shared" si="19"/>
        <v>46.3</v>
      </c>
      <c r="BS32" s="11">
        <f t="shared" si="20"/>
        <v>24</v>
      </c>
      <c r="BT32" s="11">
        <f t="shared" si="21"/>
        <v>18</v>
      </c>
      <c r="BU32" s="11">
        <f t="shared" si="22"/>
        <v>70.3</v>
      </c>
      <c r="BV32" s="11" t="str">
        <f t="shared" si="23"/>
        <v/>
      </c>
      <c r="BW32" s="11" t="str">
        <f t="shared" si="24"/>
        <v/>
      </c>
      <c r="BX32" s="11">
        <f t="shared" si="25"/>
        <v>70.3</v>
      </c>
      <c r="BY32" s="19">
        <v>8.35</v>
      </c>
      <c r="BZ32" s="19">
        <v>3</v>
      </c>
      <c r="CA32" s="19">
        <v>0.5</v>
      </c>
      <c r="CB32" s="19">
        <v>0</v>
      </c>
      <c r="CC32" s="19">
        <v>18.399999999999999</v>
      </c>
      <c r="CD32" s="19">
        <v>6.6</v>
      </c>
      <c r="CE32" s="19">
        <v>0.7</v>
      </c>
      <c r="CF32" s="19">
        <v>0</v>
      </c>
      <c r="CG32" s="19"/>
      <c r="CH32" s="19"/>
      <c r="CI32" s="19"/>
      <c r="CJ32" s="19"/>
      <c r="CK32" s="19">
        <v>0</v>
      </c>
      <c r="CL32" s="19">
        <v>0</v>
      </c>
      <c r="CM32" s="19">
        <v>0</v>
      </c>
      <c r="CN32" s="19">
        <v>0</v>
      </c>
      <c r="CO32" s="19">
        <v>0</v>
      </c>
      <c r="CP32" s="19">
        <v>0</v>
      </c>
      <c r="CQ32" s="19">
        <v>0</v>
      </c>
      <c r="CR32" s="19">
        <v>0</v>
      </c>
      <c r="CS32" s="27" t="s">
        <v>53</v>
      </c>
      <c r="CT32" s="40">
        <f t="shared" si="26"/>
        <v>9.6</v>
      </c>
      <c r="CU32" s="40">
        <f t="shared" si="27"/>
        <v>35.15</v>
      </c>
      <c r="CV32" s="40" t="str">
        <f t="shared" si="28"/>
        <v/>
      </c>
      <c r="CW32" s="40">
        <f t="shared" si="29"/>
        <v>9.6</v>
      </c>
      <c r="CX32" s="40">
        <f t="shared" si="30"/>
        <v>35.15</v>
      </c>
      <c r="CY32" s="40" t="str">
        <f t="shared" si="31"/>
        <v/>
      </c>
      <c r="CZ32" s="40" t="str">
        <f t="shared" si="32"/>
        <v/>
      </c>
      <c r="DA32" s="40">
        <f t="shared" si="33"/>
        <v>35.15</v>
      </c>
      <c r="DB32" s="51" t="str">
        <f t="shared" si="34"/>
        <v/>
      </c>
      <c r="DC32" s="51" t="str">
        <f t="shared" si="35"/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 t="shared" si="36"/>
        <v/>
      </c>
      <c r="DY32" s="40" t="str">
        <f t="shared" si="37"/>
        <v/>
      </c>
      <c r="DZ32" s="40" t="str">
        <f t="shared" si="38"/>
        <v/>
      </c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1" t="str">
        <f t="shared" si="44"/>
        <v/>
      </c>
      <c r="FA32" s="11" t="str">
        <f t="shared" si="45"/>
        <v/>
      </c>
      <c r="FB32" s="11" t="str">
        <f t="shared" si="46"/>
        <v/>
      </c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40" t="str">
        <f t="shared" si="52"/>
        <v/>
      </c>
      <c r="GC32" s="40" t="str">
        <f t="shared" si="53"/>
        <v/>
      </c>
      <c r="GD32" s="40" t="str">
        <f t="shared" si="54"/>
        <v/>
      </c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1" t="str">
        <f t="shared" si="60"/>
        <v/>
      </c>
      <c r="HE32" s="11" t="str">
        <f t="shared" si="61"/>
        <v/>
      </c>
      <c r="HF32" s="11" t="str">
        <f t="shared" si="62"/>
        <v/>
      </c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7"/>
      <c r="HM32" s="17"/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40" t="str">
        <f t="shared" si="68"/>
        <v/>
      </c>
      <c r="IG32" s="40" t="str">
        <f t="shared" si="69"/>
        <v/>
      </c>
      <c r="IH32" s="40" t="str">
        <f t="shared" si="70"/>
        <v/>
      </c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1" t="str">
        <f t="shared" si="76"/>
        <v/>
      </c>
      <c r="JI32" s="11" t="str">
        <f t="shared" si="77"/>
        <v/>
      </c>
      <c r="JJ32" s="11" t="str">
        <f t="shared" si="78"/>
        <v/>
      </c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7"/>
      <c r="JQ32" s="17"/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40" t="str">
        <f t="shared" si="84"/>
        <v/>
      </c>
      <c r="KK32" s="40" t="str">
        <f t="shared" si="85"/>
        <v/>
      </c>
      <c r="KL32" s="40" t="str">
        <f t="shared" si="86"/>
        <v/>
      </c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1" t="str">
        <f t="shared" si="92"/>
        <v/>
      </c>
      <c r="LM32" s="11" t="str">
        <f t="shared" si="93"/>
        <v/>
      </c>
      <c r="LN32" s="11" t="str">
        <f t="shared" si="94"/>
        <v/>
      </c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7"/>
      <c r="LU32" s="17"/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40" t="str">
        <f t="shared" si="100"/>
        <v/>
      </c>
      <c r="MO32" s="40" t="str">
        <f t="shared" si="101"/>
        <v/>
      </c>
      <c r="MP32" s="40" t="str">
        <f t="shared" si="102"/>
        <v/>
      </c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1" t="str">
        <f t="shared" si="108"/>
        <v/>
      </c>
      <c r="NQ32" s="11" t="str">
        <f t="shared" si="109"/>
        <v/>
      </c>
      <c r="NR32" s="11" t="str">
        <f t="shared" si="110"/>
        <v/>
      </c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40" t="str">
        <f t="shared" si="116"/>
        <v/>
      </c>
      <c r="OS32" s="40" t="str">
        <f t="shared" si="117"/>
        <v/>
      </c>
      <c r="OT32" s="40" t="str">
        <f t="shared" si="118"/>
        <v/>
      </c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1" t="str">
        <f t="shared" si="124"/>
        <v/>
      </c>
      <c r="PU32" s="11" t="str">
        <f t="shared" si="125"/>
        <v/>
      </c>
      <c r="PV32" s="11" t="str">
        <f t="shared" si="126"/>
        <v/>
      </c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7"/>
      <c r="QC32" s="17"/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40" t="str">
        <f t="shared" si="132"/>
        <v/>
      </c>
      <c r="QW32" s="40" t="str">
        <f t="shared" si="133"/>
        <v/>
      </c>
      <c r="QX32" s="40" t="str">
        <f t="shared" si="134"/>
        <v/>
      </c>
      <c r="QY32" s="40" t="str">
        <f t="shared" si="135"/>
        <v/>
      </c>
      <c r="QZ32" s="40" t="str">
        <f t="shared" si="136"/>
        <v/>
      </c>
      <c r="RA32" s="40" t="str">
        <f t="shared" si="137"/>
        <v/>
      </c>
      <c r="RB32" s="40" t="str">
        <f t="shared" si="138"/>
        <v/>
      </c>
      <c r="RC32" s="40" t="str">
        <f t="shared" si="139"/>
        <v/>
      </c>
      <c r="RD32" s="18"/>
      <c r="RE32" s="18"/>
      <c r="RF32" s="18"/>
      <c r="RG32" s="18"/>
      <c r="RH32" s="18"/>
      <c r="RI32" s="18"/>
      <c r="RJ32" s="18"/>
      <c r="RK32" s="18"/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1" t="str">
        <f t="shared" si="140"/>
        <v/>
      </c>
      <c r="RY32" s="11" t="str">
        <f t="shared" si="141"/>
        <v/>
      </c>
      <c r="RZ32" s="11" t="str">
        <f t="shared" si="142"/>
        <v/>
      </c>
      <c r="SA32" s="11" t="str">
        <f t="shared" si="143"/>
        <v/>
      </c>
      <c r="SB32" s="11" t="str">
        <f t="shared" si="144"/>
        <v/>
      </c>
      <c r="SC32" s="11" t="str">
        <f t="shared" si="145"/>
        <v/>
      </c>
      <c r="SD32" s="11" t="str">
        <f t="shared" si="146"/>
        <v/>
      </c>
      <c r="SE32" s="11" t="str">
        <f t="shared" si="147"/>
        <v/>
      </c>
      <c r="SF32" s="17"/>
      <c r="SG32" s="17"/>
      <c r="SH32" s="17"/>
      <c r="SI32" s="17"/>
      <c r="SJ32" s="17"/>
      <c r="SK32" s="17"/>
      <c r="SL32" s="17"/>
      <c r="SM32" s="17"/>
      <c r="SN32" s="17"/>
      <c r="SO32" s="17"/>
      <c r="SP32" s="17"/>
      <c r="SQ32" s="17"/>
      <c r="SR32" s="17"/>
      <c r="SS32" s="17"/>
      <c r="ST32" s="17"/>
      <c r="SU32" s="17"/>
      <c r="SV32" s="17"/>
      <c r="SW32" s="17"/>
      <c r="SX32" s="17"/>
      <c r="SY32" s="17"/>
      <c r="SZ32" s="40" t="str">
        <f t="shared" si="148"/>
        <v/>
      </c>
      <c r="TA32" s="40" t="str">
        <f t="shared" si="149"/>
        <v/>
      </c>
      <c r="TB32" s="40" t="str">
        <f t="shared" si="150"/>
        <v/>
      </c>
      <c r="TC32" s="40" t="str">
        <f t="shared" si="151"/>
        <v/>
      </c>
      <c r="TD32" s="40" t="str">
        <f t="shared" si="152"/>
        <v/>
      </c>
      <c r="TE32" s="40" t="str">
        <f t="shared" si="153"/>
        <v/>
      </c>
      <c r="TF32" s="40" t="str">
        <f t="shared" si="154"/>
        <v/>
      </c>
      <c r="TG32" s="40" t="str">
        <f t="shared" si="155"/>
        <v/>
      </c>
      <c r="TH32" s="26">
        <f t="shared" si="156"/>
        <v>8.35</v>
      </c>
      <c r="TI32" s="26">
        <f t="shared" si="157"/>
        <v>3</v>
      </c>
      <c r="TJ32" s="26">
        <f t="shared" si="158"/>
        <v>0.5</v>
      </c>
      <c r="TK32" s="26">
        <f t="shared" si="159"/>
        <v>0</v>
      </c>
      <c r="TL32" s="26">
        <f t="shared" si="160"/>
        <v>18.399999999999999</v>
      </c>
      <c r="TM32" s="26">
        <f t="shared" si="161"/>
        <v>6.6</v>
      </c>
      <c r="TN32" s="26">
        <f t="shared" si="162"/>
        <v>0.7</v>
      </c>
      <c r="TO32" s="26">
        <f t="shared" si="163"/>
        <v>0</v>
      </c>
      <c r="TP32" s="26">
        <f t="shared" si="164"/>
        <v>0</v>
      </c>
      <c r="TQ32" s="26">
        <f t="shared" si="165"/>
        <v>0</v>
      </c>
      <c r="TR32" s="26">
        <f t="shared" si="166"/>
        <v>0</v>
      </c>
      <c r="TS32" s="26">
        <f t="shared" si="167"/>
        <v>0</v>
      </c>
      <c r="TT32" s="26">
        <f t="shared" si="168"/>
        <v>0</v>
      </c>
      <c r="TU32" s="26">
        <f t="shared" si="169"/>
        <v>0</v>
      </c>
      <c r="TV32" s="26">
        <f t="shared" si="170"/>
        <v>0</v>
      </c>
      <c r="TW32" s="26">
        <f t="shared" si="171"/>
        <v>0</v>
      </c>
      <c r="TX32" s="26">
        <f t="shared" si="172"/>
        <v>0</v>
      </c>
      <c r="TY32" s="26">
        <f t="shared" si="173"/>
        <v>0</v>
      </c>
      <c r="TZ32" s="26">
        <f t="shared" si="174"/>
        <v>0</v>
      </c>
      <c r="UA32" s="26">
        <f t="shared" si="175"/>
        <v>0</v>
      </c>
      <c r="UB32" s="28" t="s">
        <v>53</v>
      </c>
      <c r="UC32" s="11">
        <f t="shared" si="176"/>
        <v>9.6</v>
      </c>
      <c r="UD32" s="11">
        <f t="shared" si="177"/>
        <v>35.15</v>
      </c>
      <c r="UE32" s="11" t="str">
        <f t="shared" si="178"/>
        <v/>
      </c>
      <c r="UF32" s="11">
        <f t="shared" si="179"/>
        <v>9.6</v>
      </c>
      <c r="UG32" s="11">
        <f t="shared" si="180"/>
        <v>35.15</v>
      </c>
      <c r="UH32" s="11" t="str">
        <f t="shared" si="181"/>
        <v/>
      </c>
      <c r="UI32" s="11" t="str">
        <f t="shared" si="182"/>
        <v/>
      </c>
      <c r="UJ32" s="11">
        <f t="shared" si="183"/>
        <v>35.15</v>
      </c>
    </row>
    <row r="33" spans="1:556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149</v>
      </c>
      <c r="C33" s="4" t="s">
        <v>3</v>
      </c>
      <c r="D33" s="4">
        <v>2002</v>
      </c>
      <c r="E33" s="9">
        <f t="shared" si="0"/>
        <v>44.50000445000444</v>
      </c>
      <c r="F33" s="3" t="str">
        <f t="shared" si="1"/>
        <v/>
      </c>
      <c r="G33" s="3" t="str">
        <f t="shared" si="2"/>
        <v/>
      </c>
      <c r="H33" s="36" t="str">
        <f t="shared" si="3"/>
        <v/>
      </c>
      <c r="I33" s="3" t="str">
        <f t="shared" si="4"/>
        <v/>
      </c>
      <c r="J33" s="8">
        <f>IF(COUNT(AO33,BR33,CU33)&gt;0,LARGE((AO33,BR33,CU33),1),0)</f>
        <v>44.499999999999993</v>
      </c>
      <c r="K33" s="8" t="str">
        <f t="shared" si="5"/>
        <v>2024 Nationals</v>
      </c>
      <c r="L33" s="8">
        <f>IF(COUNT(AO33,BR33,CU33)&gt;1,LARGE((AO33,BR33,CU33),2),0)</f>
        <v>0</v>
      </c>
      <c r="M33" s="8" t="str">
        <f t="shared" si="6"/>
        <v/>
      </c>
      <c r="N33" s="8">
        <f t="shared" si="7"/>
        <v>0</v>
      </c>
      <c r="O33" s="8" t="str">
        <f t="shared" si="8"/>
        <v/>
      </c>
      <c r="P33" s="8" t="str">
        <f t="shared" si="9"/>
        <v/>
      </c>
      <c r="Q33" s="11" t="str">
        <f t="shared" si="184"/>
        <v/>
      </c>
      <c r="R33" s="8" t="str">
        <f t="shared" si="185"/>
        <v/>
      </c>
      <c r="S33" s="19">
        <v>17.5</v>
      </c>
      <c r="T33" s="19">
        <v>3.2</v>
      </c>
      <c r="U33" s="19">
        <v>0</v>
      </c>
      <c r="V33" s="19">
        <v>0</v>
      </c>
      <c r="W33" s="19">
        <v>18.399999999999999</v>
      </c>
      <c r="X33" s="19">
        <v>6.4</v>
      </c>
      <c r="Y33" s="19">
        <v>1</v>
      </c>
      <c r="Z33" s="19">
        <v>0</v>
      </c>
      <c r="AA33" s="19">
        <v>18.600000000000001</v>
      </c>
      <c r="AB33" s="19">
        <v>8.4</v>
      </c>
      <c r="AC33" s="19">
        <v>0.6</v>
      </c>
      <c r="AD33" s="19">
        <v>0</v>
      </c>
      <c r="AE33" s="19"/>
      <c r="AF33" s="19"/>
      <c r="AG33" s="19"/>
      <c r="AH33" s="19"/>
      <c r="AI33" s="19"/>
      <c r="AJ33" s="19"/>
      <c r="AK33" s="19"/>
      <c r="AL33" s="19"/>
      <c r="AM33" s="27"/>
      <c r="AN33" s="40">
        <f t="shared" si="10"/>
        <v>9.6000000000000014</v>
      </c>
      <c r="AO33" s="40">
        <f t="shared" si="11"/>
        <v>44.499999999999993</v>
      </c>
      <c r="AP33" s="40">
        <f t="shared" si="12"/>
        <v>26.4</v>
      </c>
      <c r="AQ33" s="40">
        <f t="shared" si="13"/>
        <v>18</v>
      </c>
      <c r="AR33" s="40">
        <f t="shared" si="14"/>
        <v>70.899999999999991</v>
      </c>
      <c r="AS33" s="40" t="str">
        <f t="shared" si="15"/>
        <v/>
      </c>
      <c r="AT33" s="40" t="str">
        <f t="shared" si="16"/>
        <v/>
      </c>
      <c r="AU33" s="40">
        <f t="shared" si="17"/>
        <v>70.899999999999991</v>
      </c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28"/>
      <c r="BQ33" s="11" t="str">
        <f t="shared" si="18"/>
        <v/>
      </c>
      <c r="BR33" s="11" t="str">
        <f t="shared" si="19"/>
        <v/>
      </c>
      <c r="BS33" s="11" t="str">
        <f t="shared" si="20"/>
        <v/>
      </c>
      <c r="BT33" s="11" t="str">
        <f t="shared" si="21"/>
        <v/>
      </c>
      <c r="BU33" s="11" t="str">
        <f t="shared" si="22"/>
        <v/>
      </c>
      <c r="BV33" s="11" t="str">
        <f t="shared" si="23"/>
        <v/>
      </c>
      <c r="BW33" s="11" t="str">
        <f t="shared" si="24"/>
        <v/>
      </c>
      <c r="BX33" s="11" t="str">
        <f t="shared" si="25"/>
        <v/>
      </c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27"/>
      <c r="CT33" s="40" t="str">
        <f t="shared" si="26"/>
        <v/>
      </c>
      <c r="CU33" s="40" t="str">
        <f t="shared" si="27"/>
        <v/>
      </c>
      <c r="CV33" s="40" t="str">
        <f t="shared" si="28"/>
        <v/>
      </c>
      <c r="CW33" s="40" t="str">
        <f t="shared" si="29"/>
        <v/>
      </c>
      <c r="CX33" s="40" t="str">
        <f t="shared" si="30"/>
        <v/>
      </c>
      <c r="CY33" s="40" t="str">
        <f t="shared" si="31"/>
        <v/>
      </c>
      <c r="CZ33" s="40" t="str">
        <f t="shared" si="32"/>
        <v/>
      </c>
      <c r="DA33" s="40" t="str">
        <f t="shared" si="33"/>
        <v/>
      </c>
      <c r="DB33" s="51" t="str">
        <f t="shared" si="34"/>
        <v/>
      </c>
      <c r="DC33" s="51" t="str">
        <f t="shared" si="35"/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 t="shared" si="36"/>
        <v/>
      </c>
      <c r="DY33" s="40" t="str">
        <f t="shared" si="37"/>
        <v/>
      </c>
      <c r="DZ33" s="40" t="str">
        <f t="shared" si="38"/>
        <v/>
      </c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1" t="str">
        <f t="shared" si="44"/>
        <v/>
      </c>
      <c r="FA33" s="11" t="str">
        <f t="shared" si="45"/>
        <v/>
      </c>
      <c r="FB33" s="11" t="str">
        <f t="shared" si="46"/>
        <v/>
      </c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40" t="str">
        <f t="shared" si="52"/>
        <v/>
      </c>
      <c r="GC33" s="40" t="str">
        <f t="shared" si="53"/>
        <v/>
      </c>
      <c r="GD33" s="40" t="str">
        <f t="shared" si="54"/>
        <v/>
      </c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1" t="str">
        <f t="shared" si="60"/>
        <v/>
      </c>
      <c r="HE33" s="11" t="str">
        <f t="shared" si="61"/>
        <v/>
      </c>
      <c r="HF33" s="11" t="str">
        <f t="shared" si="62"/>
        <v/>
      </c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40" t="str">
        <f t="shared" si="68"/>
        <v/>
      </c>
      <c r="IG33" s="40" t="str">
        <f t="shared" si="69"/>
        <v/>
      </c>
      <c r="IH33" s="40" t="str">
        <f t="shared" si="70"/>
        <v/>
      </c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18"/>
      <c r="IO33" s="18"/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1" t="str">
        <f t="shared" si="76"/>
        <v/>
      </c>
      <c r="JI33" s="11" t="str">
        <f t="shared" si="77"/>
        <v/>
      </c>
      <c r="JJ33" s="11" t="str">
        <f t="shared" si="78"/>
        <v/>
      </c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40" t="str">
        <f t="shared" si="84"/>
        <v/>
      </c>
      <c r="KK33" s="40" t="str">
        <f t="shared" si="85"/>
        <v/>
      </c>
      <c r="KL33" s="40" t="str">
        <f t="shared" si="86"/>
        <v/>
      </c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18"/>
      <c r="KS33" s="18"/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1" t="str">
        <f t="shared" si="92"/>
        <v/>
      </c>
      <c r="LM33" s="11" t="str">
        <f t="shared" si="93"/>
        <v/>
      </c>
      <c r="LN33" s="11" t="str">
        <f t="shared" si="94"/>
        <v/>
      </c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40" t="str">
        <f t="shared" si="100"/>
        <v/>
      </c>
      <c r="MO33" s="40" t="str">
        <f t="shared" si="101"/>
        <v/>
      </c>
      <c r="MP33" s="40" t="str">
        <f t="shared" si="102"/>
        <v/>
      </c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18"/>
      <c r="MW33" s="18"/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1" t="str">
        <f t="shared" si="108"/>
        <v/>
      </c>
      <c r="NQ33" s="11" t="str">
        <f t="shared" si="109"/>
        <v/>
      </c>
      <c r="NR33" s="11" t="str">
        <f t="shared" si="110"/>
        <v/>
      </c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40" t="str">
        <f t="shared" si="116"/>
        <v/>
      </c>
      <c r="OS33" s="40" t="str">
        <f t="shared" si="117"/>
        <v/>
      </c>
      <c r="OT33" s="40" t="str">
        <f t="shared" si="118"/>
        <v/>
      </c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1" t="str">
        <f t="shared" si="124"/>
        <v/>
      </c>
      <c r="PU33" s="11" t="str">
        <f t="shared" si="125"/>
        <v/>
      </c>
      <c r="PV33" s="11" t="str">
        <f t="shared" si="126"/>
        <v/>
      </c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40" t="str">
        <f t="shared" si="132"/>
        <v/>
      </c>
      <c r="QW33" s="40" t="str">
        <f t="shared" si="133"/>
        <v/>
      </c>
      <c r="QX33" s="40" t="str">
        <f t="shared" si="134"/>
        <v/>
      </c>
      <c r="QY33" s="40" t="str">
        <f t="shared" si="135"/>
        <v/>
      </c>
      <c r="QZ33" s="40" t="str">
        <f t="shared" si="136"/>
        <v/>
      </c>
      <c r="RA33" s="40" t="str">
        <f t="shared" si="137"/>
        <v/>
      </c>
      <c r="RB33" s="40" t="str">
        <f t="shared" si="138"/>
        <v/>
      </c>
      <c r="RC33" s="40" t="str">
        <f t="shared" si="139"/>
        <v/>
      </c>
      <c r="RD33" s="18"/>
      <c r="RE33" s="18"/>
      <c r="RF33" s="18"/>
      <c r="RG33" s="18"/>
      <c r="RH33" s="18"/>
      <c r="RI33" s="18"/>
      <c r="RJ33" s="18"/>
      <c r="RK33" s="18"/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1" t="str">
        <f t="shared" si="140"/>
        <v/>
      </c>
      <c r="RY33" s="11" t="str">
        <f t="shared" si="141"/>
        <v/>
      </c>
      <c r="RZ33" s="11" t="str">
        <f t="shared" si="142"/>
        <v/>
      </c>
      <c r="SA33" s="11" t="str">
        <f t="shared" si="143"/>
        <v/>
      </c>
      <c r="SB33" s="11" t="str">
        <f t="shared" si="144"/>
        <v/>
      </c>
      <c r="SC33" s="11" t="str">
        <f t="shared" si="145"/>
        <v/>
      </c>
      <c r="SD33" s="11" t="str">
        <f t="shared" si="146"/>
        <v/>
      </c>
      <c r="SE33" s="11" t="str">
        <f t="shared" si="147"/>
        <v/>
      </c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40" t="str">
        <f t="shared" si="148"/>
        <v/>
      </c>
      <c r="TA33" s="40" t="str">
        <f t="shared" si="149"/>
        <v/>
      </c>
      <c r="TB33" s="40" t="str">
        <f t="shared" si="150"/>
        <v/>
      </c>
      <c r="TC33" s="40" t="str">
        <f t="shared" si="151"/>
        <v/>
      </c>
      <c r="TD33" s="40" t="str">
        <f t="shared" si="152"/>
        <v/>
      </c>
      <c r="TE33" s="40" t="str">
        <f t="shared" si="153"/>
        <v/>
      </c>
      <c r="TF33" s="40" t="str">
        <f t="shared" si="154"/>
        <v/>
      </c>
      <c r="TG33" s="40" t="str">
        <f t="shared" si="155"/>
        <v/>
      </c>
      <c r="TH33" s="26">
        <f t="shared" si="156"/>
        <v>0</v>
      </c>
      <c r="TI33" s="26">
        <f t="shared" si="157"/>
        <v>0</v>
      </c>
      <c r="TJ33" s="26">
        <f t="shared" si="158"/>
        <v>0</v>
      </c>
      <c r="TK33" s="26">
        <f t="shared" si="159"/>
        <v>0</v>
      </c>
      <c r="TL33" s="26">
        <f t="shared" si="160"/>
        <v>0</v>
      </c>
      <c r="TM33" s="26">
        <f t="shared" si="161"/>
        <v>0</v>
      </c>
      <c r="TN33" s="26">
        <f t="shared" si="162"/>
        <v>0</v>
      </c>
      <c r="TO33" s="26">
        <f t="shared" si="163"/>
        <v>0</v>
      </c>
      <c r="TP33" s="26">
        <f t="shared" si="164"/>
        <v>0</v>
      </c>
      <c r="TQ33" s="26">
        <f t="shared" si="165"/>
        <v>0</v>
      </c>
      <c r="TR33" s="26">
        <f t="shared" si="166"/>
        <v>0</v>
      </c>
      <c r="TS33" s="26">
        <f t="shared" si="167"/>
        <v>0</v>
      </c>
      <c r="TT33" s="26">
        <f t="shared" si="168"/>
        <v>0</v>
      </c>
      <c r="TU33" s="26">
        <f t="shared" si="169"/>
        <v>0</v>
      </c>
      <c r="TV33" s="26">
        <f t="shared" si="170"/>
        <v>0</v>
      </c>
      <c r="TW33" s="26">
        <f t="shared" si="171"/>
        <v>0</v>
      </c>
      <c r="TX33" s="26">
        <f t="shared" si="172"/>
        <v>0</v>
      </c>
      <c r="TY33" s="26">
        <f t="shared" si="173"/>
        <v>0</v>
      </c>
      <c r="TZ33" s="26">
        <f t="shared" si="174"/>
        <v>0</v>
      </c>
      <c r="UA33" s="26">
        <f t="shared" si="175"/>
        <v>0</v>
      </c>
      <c r="UB33" s="28" t="s">
        <v>53</v>
      </c>
      <c r="UC33" s="11" t="str">
        <f t="shared" si="176"/>
        <v/>
      </c>
      <c r="UD33" s="11" t="str">
        <f t="shared" si="177"/>
        <v/>
      </c>
      <c r="UE33" s="11" t="str">
        <f t="shared" si="178"/>
        <v/>
      </c>
      <c r="UF33" s="11" t="str">
        <f t="shared" si="179"/>
        <v/>
      </c>
      <c r="UG33" s="11" t="str">
        <f t="shared" si="180"/>
        <v/>
      </c>
      <c r="UH33" s="11" t="str">
        <f t="shared" si="181"/>
        <v/>
      </c>
      <c r="UI33" s="11" t="str">
        <f t="shared" si="182"/>
        <v/>
      </c>
      <c r="UJ33" s="11" t="str">
        <f t="shared" si="183"/>
        <v/>
      </c>
    </row>
    <row r="34" spans="1:556" ht="17" x14ac:dyDescent="0.2">
      <c r="P34" s="10"/>
      <c r="Q34" s="10"/>
      <c r="R34" s="10"/>
      <c r="QV34" s="36"/>
      <c r="RD34"/>
      <c r="RX34" s="36"/>
      <c r="RY34" s="36"/>
      <c r="RZ34" s="36"/>
      <c r="SA34" s="36"/>
      <c r="SB34" s="36"/>
      <c r="SC34" s="36"/>
      <c r="SD34" s="36"/>
      <c r="SE34" s="36"/>
      <c r="SZ34" s="36"/>
      <c r="TA34" s="36"/>
      <c r="TB34" s="36"/>
      <c r="TC34" s="36"/>
      <c r="TD34" s="36"/>
      <c r="TE34" s="36"/>
      <c r="TF34" s="36"/>
      <c r="TG34" s="36"/>
    </row>
    <row r="35" spans="1:556" ht="17" x14ac:dyDescent="0.2">
      <c r="P35" s="10"/>
      <c r="Q35" s="10"/>
      <c r="R35" s="10"/>
      <c r="QV35" s="36"/>
      <c r="RD35"/>
      <c r="RX35" s="36"/>
      <c r="RY35" s="36"/>
      <c r="RZ35" s="36"/>
      <c r="SA35" s="36"/>
      <c r="SB35" s="36"/>
      <c r="SC35" s="36"/>
      <c r="SD35" s="36"/>
      <c r="SE35" s="36"/>
      <c r="SZ35" s="36"/>
      <c r="TA35" s="36"/>
      <c r="TB35" s="36"/>
      <c r="TC35" s="36"/>
      <c r="TD35" s="36"/>
      <c r="TE35" s="36"/>
      <c r="TF35" s="36"/>
      <c r="TG35" s="36"/>
    </row>
    <row r="36" spans="1:556" ht="17" x14ac:dyDescent="0.2">
      <c r="B36" s="23" t="s">
        <v>51</v>
      </c>
      <c r="P36" s="10"/>
      <c r="Q36" s="10"/>
      <c r="R36" s="10"/>
      <c r="AN36" s="4"/>
      <c r="AU36" s="42">
        <v>14.4</v>
      </c>
      <c r="BQ36" s="4"/>
      <c r="BX36" s="42">
        <v>14.4</v>
      </c>
      <c r="CT36" s="4"/>
      <c r="DA36" s="42">
        <v>15.6</v>
      </c>
      <c r="DX36" s="4"/>
      <c r="EE36" s="42">
        <v>14.4</v>
      </c>
      <c r="EZ36" s="4"/>
      <c r="FG36" s="42">
        <v>14.4</v>
      </c>
      <c r="GB36" s="4"/>
      <c r="GI36" s="42">
        <v>14.4</v>
      </c>
      <c r="HD36" s="4"/>
      <c r="HK36" s="42">
        <v>14.4</v>
      </c>
      <c r="IF36" s="4"/>
      <c r="IM36" s="42">
        <v>15.6</v>
      </c>
      <c r="JH36" s="4"/>
      <c r="JO36" s="42">
        <v>15.6</v>
      </c>
      <c r="KJ36" s="4"/>
      <c r="KQ36" s="42">
        <v>15.6</v>
      </c>
      <c r="LL36" s="4"/>
      <c r="LS36" s="42">
        <v>15.6</v>
      </c>
      <c r="MN36" s="4"/>
      <c r="MU36" s="42">
        <v>15.6</v>
      </c>
      <c r="NP36" s="4"/>
      <c r="NW36" s="42">
        <v>15.6</v>
      </c>
      <c r="OR36" s="4"/>
      <c r="OY36" s="42">
        <v>15.6</v>
      </c>
      <c r="PT36" s="4"/>
      <c r="QA36" s="42">
        <v>15.6</v>
      </c>
      <c r="QV36" s="4"/>
      <c r="RC36" s="42">
        <v>15.6</v>
      </c>
      <c r="RD36"/>
      <c r="RX36" s="4"/>
      <c r="RY36" s="36"/>
      <c r="RZ36" s="36"/>
      <c r="SA36" s="36"/>
      <c r="SB36" s="36"/>
      <c r="SC36" s="36"/>
      <c r="SD36" s="36"/>
      <c r="SE36" s="42">
        <v>15.6</v>
      </c>
      <c r="SZ36" s="4"/>
      <c r="TA36" s="36"/>
      <c r="TB36" s="36"/>
      <c r="TC36" s="36"/>
      <c r="TD36" s="36"/>
      <c r="TE36" s="36"/>
      <c r="TF36" s="36"/>
      <c r="TG36" s="42">
        <v>15.6</v>
      </c>
    </row>
    <row r="37" spans="1:556" ht="17" x14ac:dyDescent="0.2">
      <c r="B37" s="30" t="s">
        <v>50</v>
      </c>
      <c r="P37" s="10"/>
      <c r="Q37" s="10"/>
      <c r="R37" s="10"/>
      <c r="AN37" s="4"/>
      <c r="AU37" s="52">
        <v>21.6</v>
      </c>
      <c r="BQ37" s="4"/>
      <c r="BX37" s="52">
        <v>21.6</v>
      </c>
      <c r="CT37" s="4"/>
      <c r="DA37" s="52">
        <v>16</v>
      </c>
      <c r="DX37" s="4"/>
      <c r="EE37" s="52">
        <v>21.6</v>
      </c>
      <c r="EZ37" s="4"/>
      <c r="FG37" s="52">
        <v>21.6</v>
      </c>
      <c r="GB37" s="4"/>
      <c r="GI37" s="52">
        <v>21.6</v>
      </c>
      <c r="HD37" s="4"/>
      <c r="HK37" s="52">
        <v>21.6</v>
      </c>
      <c r="IF37" s="4"/>
      <c r="IM37" s="52">
        <v>16</v>
      </c>
      <c r="JH37" s="4"/>
      <c r="JO37" s="52">
        <v>16</v>
      </c>
      <c r="KJ37" s="4"/>
      <c r="KQ37" s="52">
        <v>16</v>
      </c>
      <c r="LL37" s="4"/>
      <c r="LS37" s="52">
        <v>16</v>
      </c>
      <c r="MN37" s="4"/>
      <c r="MU37" s="52">
        <v>16</v>
      </c>
      <c r="NP37" s="4"/>
      <c r="NW37" s="52">
        <v>16</v>
      </c>
      <c r="OR37" s="4"/>
      <c r="OY37" s="52">
        <v>16</v>
      </c>
      <c r="PT37" s="4"/>
      <c r="QA37" s="52">
        <v>16</v>
      </c>
      <c r="QV37" s="4"/>
      <c r="RC37" s="52">
        <v>16</v>
      </c>
      <c r="RD37"/>
      <c r="RX37" s="4"/>
      <c r="RY37" s="36"/>
      <c r="RZ37" s="36"/>
      <c r="SA37" s="36"/>
      <c r="SB37" s="36"/>
      <c r="SC37" s="36"/>
      <c r="SD37" s="36"/>
      <c r="SE37" s="52">
        <v>16</v>
      </c>
      <c r="SZ37" s="4"/>
      <c r="TA37" s="36"/>
      <c r="TB37" s="36"/>
      <c r="TC37" s="36"/>
      <c r="TD37" s="36"/>
      <c r="TE37" s="36"/>
      <c r="TF37" s="36"/>
      <c r="TG37" s="52">
        <v>16</v>
      </c>
    </row>
    <row r="38" spans="1:556" ht="17" x14ac:dyDescent="0.2">
      <c r="A38" s="5"/>
      <c r="B38" s="31" t="s">
        <v>63</v>
      </c>
      <c r="C38" s="20"/>
      <c r="P38" s="10"/>
      <c r="Q38" s="10"/>
      <c r="R38" s="10"/>
      <c r="AN38" s="4"/>
      <c r="AU38" s="44">
        <v>23.2</v>
      </c>
      <c r="BQ38" s="4"/>
      <c r="BX38" s="44">
        <v>23.2</v>
      </c>
      <c r="CT38" s="4"/>
      <c r="DA38" s="44">
        <v>17.2</v>
      </c>
      <c r="DX38" s="4"/>
      <c r="EE38" s="44">
        <v>23.2</v>
      </c>
      <c r="EZ38" s="4"/>
      <c r="FG38" s="44">
        <v>23.2</v>
      </c>
      <c r="GB38" s="4"/>
      <c r="GI38" s="44">
        <v>23.2</v>
      </c>
      <c r="HD38" s="4"/>
      <c r="HK38" s="44">
        <v>23.2</v>
      </c>
      <c r="IF38" s="4"/>
      <c r="IM38" s="44">
        <v>17.2</v>
      </c>
      <c r="JH38" s="4"/>
      <c r="JO38" s="44">
        <v>17.2</v>
      </c>
      <c r="KJ38" s="4"/>
      <c r="KQ38" s="44">
        <v>17.2</v>
      </c>
      <c r="LL38" s="4"/>
      <c r="LS38" s="44">
        <v>17.2</v>
      </c>
      <c r="MN38" s="4"/>
      <c r="MU38" s="44">
        <v>17.2</v>
      </c>
      <c r="NP38" s="4"/>
      <c r="NW38" s="44">
        <v>17.2</v>
      </c>
      <c r="OR38" s="4"/>
      <c r="OY38" s="44">
        <v>17.2</v>
      </c>
      <c r="PT38" s="4"/>
      <c r="QA38" s="44">
        <v>17.2</v>
      </c>
      <c r="QV38" s="4"/>
      <c r="RC38" s="44">
        <v>17.2</v>
      </c>
      <c r="RD38"/>
      <c r="RX38" s="4"/>
      <c r="RY38" s="36"/>
      <c r="RZ38" s="36"/>
      <c r="SA38" s="36"/>
      <c r="SB38" s="36"/>
      <c r="SC38" s="36"/>
      <c r="SD38" s="36"/>
      <c r="SE38" s="44">
        <v>17.2</v>
      </c>
      <c r="SZ38" s="4"/>
      <c r="TA38" s="36"/>
      <c r="TB38" s="36"/>
      <c r="TC38" s="36"/>
      <c r="TD38" s="36"/>
      <c r="TE38" s="36"/>
      <c r="TF38" s="36"/>
      <c r="TG38" s="44">
        <v>17.2</v>
      </c>
    </row>
    <row r="39" spans="1:556" ht="17" x14ac:dyDescent="0.2">
      <c r="A39" s="5"/>
      <c r="B39" s="35" t="s">
        <v>76</v>
      </c>
      <c r="C39" s="20"/>
      <c r="P39" s="10"/>
      <c r="Q39" s="10"/>
      <c r="R39" s="10"/>
      <c r="AN39" s="4"/>
      <c r="AU39" s="45">
        <v>25.6</v>
      </c>
      <c r="BQ39" s="4"/>
      <c r="BX39" s="45">
        <v>25.6</v>
      </c>
      <c r="CT39" s="4"/>
      <c r="DA39" s="45">
        <v>18.399999999999999</v>
      </c>
      <c r="DX39" s="4"/>
      <c r="EE39" s="45">
        <v>25.6</v>
      </c>
      <c r="EZ39" s="4"/>
      <c r="FG39" s="45">
        <v>25.6</v>
      </c>
      <c r="GB39" s="4"/>
      <c r="GI39" s="45">
        <v>25.6</v>
      </c>
      <c r="HD39" s="4"/>
      <c r="HK39" s="45">
        <v>25.6</v>
      </c>
      <c r="IF39" s="4"/>
      <c r="IM39" s="45">
        <v>18.399999999999999</v>
      </c>
      <c r="JH39" s="4"/>
      <c r="JO39" s="45">
        <v>18.399999999999999</v>
      </c>
      <c r="KJ39" s="4"/>
      <c r="KQ39" s="45">
        <v>18.399999999999999</v>
      </c>
      <c r="LL39" s="4"/>
      <c r="LS39" s="45">
        <v>18.399999999999999</v>
      </c>
      <c r="MN39" s="4"/>
      <c r="MU39" s="45">
        <v>18.399999999999999</v>
      </c>
      <c r="NP39" s="4"/>
      <c r="NW39" s="45">
        <v>18.399999999999999</v>
      </c>
      <c r="OR39" s="4"/>
      <c r="OY39" s="45">
        <v>18.399999999999999</v>
      </c>
      <c r="PT39" s="4"/>
      <c r="QA39" s="45">
        <v>18.399999999999999</v>
      </c>
      <c r="QV39" s="4"/>
      <c r="RC39" s="45">
        <v>18.399999999999999</v>
      </c>
      <c r="RD39"/>
      <c r="RX39" s="4"/>
      <c r="RY39" s="36"/>
      <c r="RZ39" s="36"/>
      <c r="SA39" s="36"/>
      <c r="SB39" s="36"/>
      <c r="SC39" s="36"/>
      <c r="SD39" s="36"/>
      <c r="SE39" s="45">
        <v>18.399999999999999</v>
      </c>
      <c r="SZ39" s="4"/>
      <c r="TA39" s="36"/>
      <c r="TB39" s="36"/>
      <c r="TC39" s="36"/>
      <c r="TD39" s="36"/>
      <c r="TE39" s="36"/>
      <c r="TF39" s="36"/>
      <c r="TG39" s="45">
        <v>18.399999999999999</v>
      </c>
    </row>
    <row r="40" spans="1:556" ht="17" x14ac:dyDescent="0.2">
      <c r="A40" s="5"/>
      <c r="B40" s="34" t="s">
        <v>48</v>
      </c>
      <c r="C40" s="20"/>
      <c r="P40" s="10"/>
      <c r="Q40" s="10"/>
      <c r="R40" s="10"/>
      <c r="AN40" s="4"/>
      <c r="AU40" s="46">
        <v>51.2</v>
      </c>
      <c r="BQ40" s="4"/>
      <c r="BX40" s="46">
        <v>51.2</v>
      </c>
      <c r="CT40" s="4"/>
      <c r="DA40" s="46">
        <v>52</v>
      </c>
      <c r="DX40" s="4"/>
      <c r="EE40" s="46">
        <v>51.2</v>
      </c>
      <c r="EZ40" s="4"/>
      <c r="FG40" s="46">
        <v>51.2</v>
      </c>
      <c r="GB40" s="4"/>
      <c r="GI40" s="46">
        <v>51.2</v>
      </c>
      <c r="HD40" s="4"/>
      <c r="HK40" s="46">
        <v>51.2</v>
      </c>
      <c r="IF40" s="4"/>
      <c r="IM40" s="46">
        <v>52</v>
      </c>
      <c r="JH40" s="4"/>
      <c r="JO40" s="46">
        <v>52</v>
      </c>
      <c r="KJ40" s="4"/>
      <c r="KQ40" s="46">
        <v>52</v>
      </c>
      <c r="LL40" s="4"/>
      <c r="LS40" s="46">
        <v>52</v>
      </c>
      <c r="MN40" s="4"/>
      <c r="MU40" s="46">
        <v>52</v>
      </c>
      <c r="NP40" s="4"/>
      <c r="NW40" s="46">
        <v>52</v>
      </c>
      <c r="OR40" s="4"/>
      <c r="OY40" s="46">
        <v>52</v>
      </c>
      <c r="PT40" s="4"/>
      <c r="QA40" s="46">
        <v>52</v>
      </c>
      <c r="QV40" s="4"/>
      <c r="RC40" s="46">
        <v>52</v>
      </c>
      <c r="RD40"/>
      <c r="RX40" s="4"/>
      <c r="RY40" s="36"/>
      <c r="RZ40" s="36"/>
      <c r="SA40" s="36"/>
      <c r="SB40" s="36"/>
      <c r="SC40" s="36"/>
      <c r="SD40" s="36"/>
      <c r="SE40" s="46">
        <v>52</v>
      </c>
      <c r="SZ40" s="4"/>
      <c r="TA40" s="36"/>
      <c r="TB40" s="36"/>
      <c r="TC40" s="36"/>
      <c r="TD40" s="36"/>
      <c r="TE40" s="36"/>
      <c r="TF40" s="36"/>
      <c r="TG40" s="46">
        <v>52</v>
      </c>
    </row>
    <row r="41" spans="1:556" ht="17" x14ac:dyDescent="0.2">
      <c r="A41" s="5"/>
      <c r="B41" s="24" t="s">
        <v>49</v>
      </c>
      <c r="C41" s="20"/>
      <c r="P41" s="10"/>
      <c r="Q41" s="10"/>
      <c r="R41" s="10"/>
      <c r="AN41" s="4"/>
      <c r="AU41" s="47">
        <v>77.2</v>
      </c>
      <c r="BQ41" s="4"/>
      <c r="BX41" s="47">
        <v>77.2</v>
      </c>
      <c r="CT41" s="4"/>
      <c r="DA41" s="47">
        <v>53</v>
      </c>
      <c r="DX41" s="4"/>
      <c r="EE41" s="47">
        <v>77.2</v>
      </c>
      <c r="EZ41" s="4"/>
      <c r="FG41" s="47">
        <v>77.2</v>
      </c>
      <c r="GB41" s="4"/>
      <c r="GI41" s="47">
        <v>77.2</v>
      </c>
      <c r="HD41" s="4"/>
      <c r="HK41" s="47">
        <v>77.2</v>
      </c>
      <c r="IF41" s="4"/>
      <c r="IM41" s="47">
        <v>53</v>
      </c>
      <c r="JH41" s="4"/>
      <c r="JO41" s="47">
        <v>53</v>
      </c>
      <c r="KJ41" s="4"/>
      <c r="KQ41" s="47">
        <v>53</v>
      </c>
      <c r="LL41" s="4"/>
      <c r="LS41" s="47">
        <v>53</v>
      </c>
      <c r="MN41" s="4"/>
      <c r="MU41" s="47">
        <v>53</v>
      </c>
      <c r="NP41" s="4"/>
      <c r="NW41" s="47">
        <v>53</v>
      </c>
      <c r="OR41" s="4"/>
      <c r="OY41" s="47">
        <v>53</v>
      </c>
      <c r="PT41" s="4"/>
      <c r="QA41" s="47">
        <v>53</v>
      </c>
      <c r="QV41" s="4"/>
      <c r="RC41" s="47">
        <v>53</v>
      </c>
      <c r="RD41"/>
      <c r="RX41" s="4"/>
      <c r="RY41" s="36"/>
      <c r="RZ41" s="36"/>
      <c r="SA41" s="36"/>
      <c r="SB41" s="36"/>
      <c r="SC41" s="36"/>
      <c r="SD41" s="36"/>
      <c r="SE41" s="47">
        <v>53</v>
      </c>
      <c r="SZ41" s="4"/>
      <c r="TA41" s="36"/>
      <c r="TB41" s="36"/>
      <c r="TC41" s="36"/>
      <c r="TD41" s="36"/>
      <c r="TE41" s="36"/>
      <c r="TF41" s="36"/>
      <c r="TG41" s="47">
        <v>53</v>
      </c>
    </row>
    <row r="42" spans="1:556" ht="17" x14ac:dyDescent="0.2">
      <c r="A42" s="5"/>
      <c r="B42" s="33" t="s">
        <v>62</v>
      </c>
      <c r="C42" s="20"/>
      <c r="P42" s="10"/>
      <c r="Q42" s="10"/>
      <c r="R42" s="10"/>
      <c r="AN42" s="4"/>
      <c r="AU42" s="48">
        <v>79.8</v>
      </c>
      <c r="BQ42" s="4"/>
      <c r="BX42" s="48">
        <v>79.8</v>
      </c>
      <c r="CT42" s="4"/>
      <c r="DA42" s="48">
        <v>54.2</v>
      </c>
      <c r="DX42" s="4"/>
      <c r="EE42" s="48">
        <v>79.8</v>
      </c>
      <c r="EZ42" s="4"/>
      <c r="FG42" s="48">
        <v>79.8</v>
      </c>
      <c r="GB42" s="4"/>
      <c r="GI42" s="48">
        <v>79.8</v>
      </c>
      <c r="HD42" s="4"/>
      <c r="HK42" s="48">
        <v>79.8</v>
      </c>
      <c r="IF42" s="4"/>
      <c r="IM42" s="48">
        <v>54.2</v>
      </c>
      <c r="JH42" s="4"/>
      <c r="JO42" s="48">
        <v>54.2</v>
      </c>
      <c r="KJ42" s="4"/>
      <c r="KQ42" s="48">
        <v>54.2</v>
      </c>
      <c r="LL42" s="4"/>
      <c r="LS42" s="48">
        <v>54.2</v>
      </c>
      <c r="MN42" s="4"/>
      <c r="MU42" s="48">
        <v>54.2</v>
      </c>
      <c r="NP42" s="4"/>
      <c r="NW42" s="48">
        <v>54.2</v>
      </c>
      <c r="OR42" s="4"/>
      <c r="OY42" s="48">
        <v>54.2</v>
      </c>
      <c r="PT42" s="4"/>
      <c r="QA42" s="48">
        <v>54.2</v>
      </c>
      <c r="QV42" s="4"/>
      <c r="RC42" s="48">
        <v>54.2</v>
      </c>
      <c r="RD42"/>
      <c r="RX42" s="4"/>
      <c r="RY42" s="36"/>
      <c r="RZ42" s="36"/>
      <c r="SA42" s="36"/>
      <c r="SB42" s="36"/>
      <c r="SC42" s="36"/>
      <c r="SD42" s="36"/>
      <c r="SE42" s="48">
        <v>54.2</v>
      </c>
      <c r="SZ42" s="4"/>
      <c r="TA42" s="36"/>
      <c r="TB42" s="36"/>
      <c r="TC42" s="36"/>
      <c r="TD42" s="36"/>
      <c r="TE42" s="36"/>
      <c r="TF42" s="36"/>
      <c r="TG42" s="48">
        <v>54.2</v>
      </c>
    </row>
    <row r="43" spans="1:556" ht="17" x14ac:dyDescent="0.2">
      <c r="A43" s="5"/>
      <c r="B43" s="25" t="s">
        <v>32</v>
      </c>
      <c r="C43" s="20"/>
      <c r="P43" s="10"/>
      <c r="Q43" s="10"/>
      <c r="R43" s="10"/>
      <c r="AN43" s="4"/>
      <c r="AU43" s="49">
        <v>82.2</v>
      </c>
      <c r="BQ43" s="4"/>
      <c r="BX43" s="49">
        <v>82.2</v>
      </c>
      <c r="CT43" s="4"/>
      <c r="DA43" s="49">
        <v>55.2</v>
      </c>
      <c r="DX43" s="4"/>
      <c r="EE43" s="49">
        <v>82.2</v>
      </c>
      <c r="EZ43" s="4"/>
      <c r="FG43" s="49">
        <v>82.2</v>
      </c>
      <c r="GB43" s="4"/>
      <c r="GI43" s="49">
        <v>82.2</v>
      </c>
      <c r="HD43" s="4"/>
      <c r="HK43" s="49">
        <v>82.2</v>
      </c>
      <c r="IF43" s="4"/>
      <c r="IM43" s="49">
        <v>55.2</v>
      </c>
      <c r="JH43" s="4"/>
      <c r="JO43" s="49">
        <v>55.2</v>
      </c>
      <c r="KJ43" s="4"/>
      <c r="KQ43" s="49">
        <v>55.2</v>
      </c>
      <c r="LL43" s="4"/>
      <c r="LS43" s="49">
        <v>55.2</v>
      </c>
      <c r="MN43" s="4"/>
      <c r="MU43" s="49">
        <v>55.2</v>
      </c>
      <c r="NP43" s="4"/>
      <c r="NW43" s="49">
        <v>55.2</v>
      </c>
      <c r="OR43" s="4"/>
      <c r="OY43" s="49">
        <v>55.2</v>
      </c>
      <c r="PT43" s="4"/>
      <c r="QA43" s="49">
        <v>55.2</v>
      </c>
      <c r="QV43" s="4"/>
      <c r="RC43" s="49">
        <v>55.2</v>
      </c>
      <c r="RD43"/>
      <c r="RX43" s="4"/>
      <c r="RY43" s="36"/>
      <c r="RZ43" s="36"/>
      <c r="SA43" s="36"/>
      <c r="SB43" s="36"/>
      <c r="SC43" s="36"/>
      <c r="SD43" s="36"/>
      <c r="SE43" s="49">
        <v>55.2</v>
      </c>
      <c r="SZ43" s="4"/>
      <c r="TA43" s="36"/>
      <c r="TB43" s="36"/>
      <c r="TC43" s="36"/>
      <c r="TD43" s="36"/>
      <c r="TE43" s="36"/>
      <c r="TF43" s="36"/>
      <c r="TG43" s="49">
        <v>55.2</v>
      </c>
    </row>
    <row r="44" spans="1:556" x14ac:dyDescent="0.2">
      <c r="B44" s="29" t="s">
        <v>54</v>
      </c>
      <c r="C44" s="2"/>
    </row>
    <row r="45" spans="1:556" x14ac:dyDescent="0.2">
      <c r="A45" s="5"/>
      <c r="B45" s="5"/>
      <c r="C45" s="20"/>
      <c r="QC45" s="2"/>
      <c r="QD45" s="2"/>
      <c r="QE45" s="2"/>
      <c r="QF45" s="2"/>
      <c r="QG45" s="2"/>
      <c r="QH45" s="2"/>
      <c r="QI45" s="2"/>
      <c r="QJ45" s="2"/>
      <c r="QK45" s="2"/>
    </row>
    <row r="46" spans="1:556" x14ac:dyDescent="0.2">
      <c r="A46" s="5"/>
      <c r="B46" s="5"/>
      <c r="C46" s="20"/>
    </row>
    <row r="47" spans="1:556" x14ac:dyDescent="0.2">
      <c r="A47" s="5"/>
      <c r="B47" s="5"/>
      <c r="C47" s="20"/>
    </row>
    <row r="48" spans="1:556" x14ac:dyDescent="0.2">
      <c r="A48" s="5"/>
      <c r="B48" s="5"/>
      <c r="C48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33">
      <sortCondition descending="1" ref="F1:F34"/>
    </sortState>
  </autoFilter>
  <mergeCells count="133"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</mergeCells>
  <conditionalFormatting sqref="S4:AU33">
    <cfRule type="expression" dxfId="61" priority="38" stopIfTrue="1">
      <formula>IF($AM4&lt;&gt;"",1,0)</formula>
    </cfRule>
  </conditionalFormatting>
  <conditionalFormatting sqref="AV4:BX33">
    <cfRule type="expression" dxfId="60" priority="43" stopIfTrue="1">
      <formula>IF($BP4&lt;&gt;"",1,0)</formula>
    </cfRule>
  </conditionalFormatting>
  <conditionalFormatting sqref="K1:K1048576 O1:O1048576 M1:M1048576">
    <cfRule type="expression" dxfId="59" priority="50">
      <formula>IF(K1=$BY$1,1,0)</formula>
    </cfRule>
    <cfRule type="expression" dxfId="58" priority="51">
      <formula>IF(K1=$AV$1,1,0)</formula>
    </cfRule>
    <cfRule type="expression" dxfId="57" priority="52">
      <formula>IF(K1=$S$1,1,0)</formula>
    </cfRule>
  </conditionalFormatting>
  <conditionalFormatting sqref="BY4:DA33">
    <cfRule type="expression" dxfId="56" priority="44" stopIfTrue="1">
      <formula>IF($CS4&lt;&gt;"",1,0)</formula>
    </cfRule>
  </conditionalFormatting>
  <conditionalFormatting sqref="A4:A1048576">
    <cfRule type="expression" dxfId="55" priority="33">
      <formula>AND(G4="P",F4="")</formula>
    </cfRule>
    <cfRule type="expression" dxfId="54" priority="53" stopIfTrue="1">
      <formula>IF(A4&gt;8,1,0)</formula>
    </cfRule>
  </conditionalFormatting>
  <conditionalFormatting sqref="H1:H1048576">
    <cfRule type="containsText" dxfId="53" priority="45" operator="containsText" text="No DD">
      <formula>NOT(ISERROR(SEARCH("No DD",H1)))</formula>
    </cfRule>
    <cfRule type="containsText" dxfId="52" priority="46" operator="containsText" text="Merit">
      <formula>NOT(ISERROR(SEARCH("Merit",H1)))</formula>
    </cfRule>
    <cfRule type="containsText" dxfId="51" priority="47" operator="containsText" text="Excellence">
      <formula>NOT(ISERROR(SEARCH("Excellence",H1)))</formula>
    </cfRule>
    <cfRule type="containsText" dxfId="50" priority="48" operator="containsText" text="Worlds Team">
      <formula>NOT(ISERROR(SEARCH("Worlds Team",H1)))</formula>
    </cfRule>
    <cfRule type="containsText" dxfId="49" priority="49" operator="containsText" text="National Team">
      <formula>NOT(ISERROR(SEARCH("National Team",H1)))</formula>
    </cfRule>
  </conditionalFormatting>
  <conditionalFormatting sqref="AR44:AR1048576 BU44:BU1048576 EB44:EB1048576 FD44:FD1048576 BU1:BU42 CX1:CX1048576 EB1:EB42 FD1:FD42 GF1:GF1048576 HH1:HH1048576 IJ1:IJ1048576 JL1:JL1048576 KN1:KN1048576 LP1:LP1048576 MR1:MR1048576 NT1:NT1048576 OV1:OV1048576 PX1:PX1048576 AR1:AR42 QZ1:QZ43 SB1:SB43 TD1:TD43">
    <cfRule type="cellIs" dxfId="48" priority="59119" operator="between">
      <formula>AU$43</formula>
      <formula>1000</formula>
    </cfRule>
    <cfRule type="cellIs" dxfId="47" priority="59120" operator="between">
      <formula>AU$42</formula>
      <formula>AU$43</formula>
    </cfRule>
    <cfRule type="cellIs" dxfId="46" priority="59121" operator="between">
      <formula>AU$41</formula>
      <formula>AU$42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3 QV1:QV43 SZ1:SZ43">
    <cfRule type="cellIs" dxfId="45" priority="130424" operator="between">
      <formula>AU$36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3 QW1:QW43 TA1:TA43">
    <cfRule type="cellIs" dxfId="44" priority="130475" operator="between">
      <formula>AU$40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3 SC1:SC43 TE1:TE43">
    <cfRule type="cellIs" dxfId="43" priority="130526" operator="between">
      <formula>AU$36</formula>
      <formula>AU$37</formula>
    </cfRule>
    <cfRule type="cellIs" dxfId="42" priority="130527" operator="between">
      <formula>AU$37</formula>
      <formula>AU$38</formula>
    </cfRule>
    <cfRule type="cellIs" dxfId="41" priority="130528" operator="between">
      <formula>AU$38</formula>
      <formula>AU$39</formula>
    </cfRule>
    <cfRule type="cellIs" dxfId="40" priority="130529" operator="between">
      <formula>AU$39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3 SD1:SD43 TF1:TF43">
    <cfRule type="cellIs" dxfId="39" priority="130730" operator="between">
      <formula>AU$40</formula>
      <formula>AU$41</formula>
    </cfRule>
    <cfRule type="cellIs" dxfId="38" priority="130731" operator="between">
      <formula>AU$41</formula>
      <formula>AU$42</formula>
    </cfRule>
    <cfRule type="cellIs" dxfId="37" priority="130732" operator="between">
      <formula>AU$42</formula>
      <formula>AU$43</formula>
    </cfRule>
    <cfRule type="cellIs" dxfId="36" priority="130733" operator="between">
      <formula>AU$43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QY1:QY43 SA1:SA43 TC1:TC43">
    <cfRule type="cellIs" dxfId="35" priority="130934" operator="between">
      <formula>AU$39</formula>
      <formula>1000</formula>
    </cfRule>
    <cfRule type="cellIs" dxfId="34" priority="130935" operator="between">
      <formula>AU$38</formula>
      <formula>AU$39</formula>
    </cfRule>
    <cfRule type="cellIs" dxfId="33" priority="130936" operator="between">
      <formula>AU$37</formula>
      <formula>AU$38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70" t="s">
        <v>1</v>
      </c>
      <c r="B1" s="70" t="s">
        <v>27</v>
      </c>
      <c r="C1" s="70" t="s">
        <v>0</v>
      </c>
      <c r="D1" s="70" t="s">
        <v>55</v>
      </c>
      <c r="E1" s="70" t="s">
        <v>2</v>
      </c>
      <c r="F1" s="72" t="s">
        <v>61</v>
      </c>
      <c r="G1" s="72" t="s">
        <v>10</v>
      </c>
      <c r="H1" s="70" t="s">
        <v>11</v>
      </c>
      <c r="I1" s="72" t="s">
        <v>83</v>
      </c>
      <c r="J1" s="71" t="s">
        <v>113</v>
      </c>
      <c r="K1" s="69" t="s">
        <v>30</v>
      </c>
      <c r="L1" s="71" t="s">
        <v>114</v>
      </c>
      <c r="M1" s="69" t="s">
        <v>30</v>
      </c>
      <c r="N1" s="69" t="s">
        <v>12</v>
      </c>
      <c r="O1" s="69" t="s">
        <v>30</v>
      </c>
      <c r="P1" s="73" t="s">
        <v>13</v>
      </c>
      <c r="Q1" s="69" t="s">
        <v>31</v>
      </c>
      <c r="R1" s="69" t="s">
        <v>30</v>
      </c>
      <c r="S1" s="64" t="s">
        <v>220</v>
      </c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7" t="s">
        <v>239</v>
      </c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4" t="s">
        <v>249</v>
      </c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8" t="s">
        <v>60</v>
      </c>
      <c r="DC1" s="68"/>
      <c r="DD1" s="64" t="s">
        <v>211</v>
      </c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7" t="s">
        <v>233</v>
      </c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4" t="s">
        <v>232</v>
      </c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7"/>
      <c r="GK1" s="67"/>
      <c r="GL1" s="67"/>
      <c r="GM1" s="67"/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7"/>
      <c r="RE1" s="67"/>
      <c r="RF1" s="67"/>
      <c r="RG1" s="67"/>
      <c r="RH1" s="67"/>
      <c r="RI1" s="67"/>
      <c r="RJ1" s="67"/>
      <c r="RK1" s="67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4"/>
      <c r="SG1" s="64"/>
      <c r="SH1" s="64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7" t="s">
        <v>64</v>
      </c>
      <c r="TI1" s="67"/>
      <c r="TJ1" s="67"/>
      <c r="TK1" s="67"/>
      <c r="TL1" s="67"/>
      <c r="TM1" s="67"/>
      <c r="TN1" s="67"/>
      <c r="TO1" s="67"/>
      <c r="TP1" s="67"/>
      <c r="TQ1" s="67"/>
      <c r="TR1" s="67"/>
      <c r="TS1" s="67"/>
      <c r="TT1" s="67"/>
      <c r="TU1" s="67"/>
      <c r="TV1" s="67"/>
      <c r="TW1" s="67"/>
      <c r="TX1" s="67"/>
      <c r="TY1" s="67"/>
      <c r="TZ1" s="67"/>
      <c r="UA1" s="67"/>
      <c r="UB1" s="67"/>
      <c r="UC1" s="67"/>
      <c r="UD1" s="67"/>
      <c r="UE1" s="67"/>
      <c r="UF1" s="67"/>
      <c r="UG1" s="67"/>
      <c r="UH1" s="67"/>
      <c r="UI1" s="67"/>
      <c r="UJ1" s="67"/>
    </row>
    <row r="2" spans="1:556" x14ac:dyDescent="0.2">
      <c r="A2" s="70"/>
      <c r="B2" s="70"/>
      <c r="C2" s="70"/>
      <c r="D2" s="70"/>
      <c r="E2" s="70"/>
      <c r="F2" s="72"/>
      <c r="G2" s="72"/>
      <c r="H2" s="70"/>
      <c r="I2" s="72"/>
      <c r="J2" s="71"/>
      <c r="K2" s="69"/>
      <c r="L2" s="71"/>
      <c r="M2" s="69"/>
      <c r="N2" s="69"/>
      <c r="O2" s="69"/>
      <c r="P2" s="73"/>
      <c r="Q2" s="69"/>
      <c r="R2" s="69"/>
      <c r="S2" s="65" t="s">
        <v>105</v>
      </c>
      <c r="T2" s="65"/>
      <c r="U2" s="65"/>
      <c r="V2" s="65"/>
      <c r="W2" s="65" t="s">
        <v>106</v>
      </c>
      <c r="X2" s="65"/>
      <c r="Y2" s="65"/>
      <c r="Z2" s="65"/>
      <c r="AA2" s="65" t="s">
        <v>107</v>
      </c>
      <c r="AB2" s="65"/>
      <c r="AC2" s="65"/>
      <c r="AD2" s="65"/>
      <c r="AE2" s="65" t="s">
        <v>108</v>
      </c>
      <c r="AF2" s="65"/>
      <c r="AG2" s="65"/>
      <c r="AH2" s="65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66" t="s">
        <v>105</v>
      </c>
      <c r="AW2" s="66"/>
      <c r="AX2" s="66"/>
      <c r="AY2" s="66"/>
      <c r="AZ2" s="66" t="s">
        <v>106</v>
      </c>
      <c r="BA2" s="66"/>
      <c r="BB2" s="66"/>
      <c r="BC2" s="66"/>
      <c r="BD2" s="66" t="s">
        <v>107</v>
      </c>
      <c r="BE2" s="66"/>
      <c r="BF2" s="66"/>
      <c r="BG2" s="66"/>
      <c r="BH2" s="66" t="s">
        <v>108</v>
      </c>
      <c r="BI2" s="66"/>
      <c r="BJ2" s="66"/>
      <c r="BK2" s="66"/>
      <c r="BL2" s="75" t="s">
        <v>109</v>
      </c>
      <c r="BM2" s="75"/>
      <c r="BN2" s="75"/>
      <c r="BO2" s="75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65" t="s">
        <v>105</v>
      </c>
      <c r="BZ2" s="65"/>
      <c r="CA2" s="65"/>
      <c r="CB2" s="65"/>
      <c r="CC2" s="65" t="s">
        <v>106</v>
      </c>
      <c r="CD2" s="65"/>
      <c r="CE2" s="65"/>
      <c r="CF2" s="65"/>
      <c r="CG2" s="65" t="s">
        <v>107</v>
      </c>
      <c r="CH2" s="65"/>
      <c r="CI2" s="65"/>
      <c r="CJ2" s="65"/>
      <c r="CK2" s="65" t="s">
        <v>108</v>
      </c>
      <c r="CL2" s="65"/>
      <c r="CM2" s="65"/>
      <c r="CN2" s="65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65" t="s">
        <v>105</v>
      </c>
      <c r="DE2" s="65"/>
      <c r="DF2" s="65"/>
      <c r="DG2" s="65"/>
      <c r="DH2" s="65" t="s">
        <v>106</v>
      </c>
      <c r="DI2" s="65"/>
      <c r="DJ2" s="65"/>
      <c r="DK2" s="65"/>
      <c r="DL2" s="65" t="s">
        <v>107</v>
      </c>
      <c r="DM2" s="65"/>
      <c r="DN2" s="65"/>
      <c r="DO2" s="65"/>
      <c r="DP2" s="65" t="s">
        <v>108</v>
      </c>
      <c r="DQ2" s="65"/>
      <c r="DR2" s="65"/>
      <c r="DS2" s="65"/>
      <c r="DT2" s="74" t="s">
        <v>109</v>
      </c>
      <c r="DU2" s="74"/>
      <c r="DV2" s="74"/>
      <c r="DW2" s="74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66" t="s">
        <v>105</v>
      </c>
      <c r="EG2" s="66"/>
      <c r="EH2" s="66"/>
      <c r="EI2" s="66"/>
      <c r="EJ2" s="66" t="s">
        <v>106</v>
      </c>
      <c r="EK2" s="66"/>
      <c r="EL2" s="66"/>
      <c r="EM2" s="66"/>
      <c r="EN2" s="66" t="s">
        <v>107</v>
      </c>
      <c r="EO2" s="66"/>
      <c r="EP2" s="66"/>
      <c r="EQ2" s="66"/>
      <c r="ER2" s="66" t="s">
        <v>108</v>
      </c>
      <c r="ES2" s="66"/>
      <c r="ET2" s="66"/>
      <c r="EU2" s="66"/>
      <c r="EV2" s="75" t="s">
        <v>109</v>
      </c>
      <c r="EW2" s="75"/>
      <c r="EX2" s="75"/>
      <c r="EY2" s="75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65" t="s">
        <v>105</v>
      </c>
      <c r="FI2" s="65"/>
      <c r="FJ2" s="65"/>
      <c r="FK2" s="65"/>
      <c r="FL2" s="65" t="s">
        <v>106</v>
      </c>
      <c r="FM2" s="65"/>
      <c r="FN2" s="65"/>
      <c r="FO2" s="65"/>
      <c r="FP2" s="65" t="s">
        <v>107</v>
      </c>
      <c r="FQ2" s="65"/>
      <c r="FR2" s="65"/>
      <c r="FS2" s="65"/>
      <c r="FT2" s="65" t="s">
        <v>108</v>
      </c>
      <c r="FU2" s="65"/>
      <c r="FV2" s="65"/>
      <c r="FW2" s="65"/>
      <c r="FX2" s="74" t="s">
        <v>109</v>
      </c>
      <c r="FY2" s="74"/>
      <c r="FZ2" s="74"/>
      <c r="GA2" s="74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66" t="s">
        <v>105</v>
      </c>
      <c r="GK2" s="66"/>
      <c r="GL2" s="66"/>
      <c r="GM2" s="66"/>
      <c r="GN2" s="66" t="s">
        <v>106</v>
      </c>
      <c r="GO2" s="66"/>
      <c r="GP2" s="66"/>
      <c r="GQ2" s="66"/>
      <c r="GR2" s="66" t="s">
        <v>107</v>
      </c>
      <c r="GS2" s="66"/>
      <c r="GT2" s="66"/>
      <c r="GU2" s="66"/>
      <c r="GV2" s="66" t="s">
        <v>108</v>
      </c>
      <c r="GW2" s="66"/>
      <c r="GX2" s="66"/>
      <c r="GY2" s="66"/>
      <c r="GZ2" s="75" t="s">
        <v>109</v>
      </c>
      <c r="HA2" s="75"/>
      <c r="HB2" s="75"/>
      <c r="HC2" s="75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65" t="s">
        <v>105</v>
      </c>
      <c r="HM2" s="65"/>
      <c r="HN2" s="65"/>
      <c r="HO2" s="65"/>
      <c r="HP2" s="65" t="s">
        <v>106</v>
      </c>
      <c r="HQ2" s="65"/>
      <c r="HR2" s="65"/>
      <c r="HS2" s="65"/>
      <c r="HT2" s="65" t="s">
        <v>107</v>
      </c>
      <c r="HU2" s="65"/>
      <c r="HV2" s="65"/>
      <c r="HW2" s="65"/>
      <c r="HX2" s="65" t="s">
        <v>108</v>
      </c>
      <c r="HY2" s="65"/>
      <c r="HZ2" s="65"/>
      <c r="IA2" s="65"/>
      <c r="IB2" s="74" t="s">
        <v>109</v>
      </c>
      <c r="IC2" s="74"/>
      <c r="ID2" s="74"/>
      <c r="IE2" s="74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66" t="s">
        <v>105</v>
      </c>
      <c r="IO2" s="66"/>
      <c r="IP2" s="66"/>
      <c r="IQ2" s="66"/>
      <c r="IR2" s="66" t="s">
        <v>106</v>
      </c>
      <c r="IS2" s="66"/>
      <c r="IT2" s="66"/>
      <c r="IU2" s="66"/>
      <c r="IV2" s="66" t="s">
        <v>107</v>
      </c>
      <c r="IW2" s="66"/>
      <c r="IX2" s="66"/>
      <c r="IY2" s="66"/>
      <c r="IZ2" s="66" t="s">
        <v>108</v>
      </c>
      <c r="JA2" s="66"/>
      <c r="JB2" s="66"/>
      <c r="JC2" s="66"/>
      <c r="JD2" s="75" t="s">
        <v>109</v>
      </c>
      <c r="JE2" s="75"/>
      <c r="JF2" s="75"/>
      <c r="JG2" s="75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65" t="s">
        <v>105</v>
      </c>
      <c r="JQ2" s="65"/>
      <c r="JR2" s="65"/>
      <c r="JS2" s="65"/>
      <c r="JT2" s="65" t="s">
        <v>106</v>
      </c>
      <c r="JU2" s="65"/>
      <c r="JV2" s="65"/>
      <c r="JW2" s="65"/>
      <c r="JX2" s="65" t="s">
        <v>107</v>
      </c>
      <c r="JY2" s="65"/>
      <c r="JZ2" s="65"/>
      <c r="KA2" s="65"/>
      <c r="KB2" s="65" t="s">
        <v>108</v>
      </c>
      <c r="KC2" s="65"/>
      <c r="KD2" s="65"/>
      <c r="KE2" s="65"/>
      <c r="KF2" s="74" t="s">
        <v>109</v>
      </c>
      <c r="KG2" s="74"/>
      <c r="KH2" s="74"/>
      <c r="KI2" s="74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66" t="s">
        <v>105</v>
      </c>
      <c r="KS2" s="66"/>
      <c r="KT2" s="66"/>
      <c r="KU2" s="66"/>
      <c r="KV2" s="66" t="s">
        <v>106</v>
      </c>
      <c r="KW2" s="66"/>
      <c r="KX2" s="66"/>
      <c r="KY2" s="66"/>
      <c r="KZ2" s="66" t="s">
        <v>107</v>
      </c>
      <c r="LA2" s="66"/>
      <c r="LB2" s="66"/>
      <c r="LC2" s="66"/>
      <c r="LD2" s="66" t="s">
        <v>108</v>
      </c>
      <c r="LE2" s="66"/>
      <c r="LF2" s="66"/>
      <c r="LG2" s="66"/>
      <c r="LH2" s="75" t="s">
        <v>109</v>
      </c>
      <c r="LI2" s="75"/>
      <c r="LJ2" s="75"/>
      <c r="LK2" s="75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65" t="s">
        <v>105</v>
      </c>
      <c r="LU2" s="65"/>
      <c r="LV2" s="65"/>
      <c r="LW2" s="65"/>
      <c r="LX2" s="65" t="s">
        <v>106</v>
      </c>
      <c r="LY2" s="65"/>
      <c r="LZ2" s="65"/>
      <c r="MA2" s="65"/>
      <c r="MB2" s="65" t="s">
        <v>107</v>
      </c>
      <c r="MC2" s="65"/>
      <c r="MD2" s="65"/>
      <c r="ME2" s="65"/>
      <c r="MF2" s="65" t="s">
        <v>108</v>
      </c>
      <c r="MG2" s="65"/>
      <c r="MH2" s="65"/>
      <c r="MI2" s="65"/>
      <c r="MJ2" s="74" t="s">
        <v>109</v>
      </c>
      <c r="MK2" s="74"/>
      <c r="ML2" s="74"/>
      <c r="MM2" s="74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66" t="s">
        <v>105</v>
      </c>
      <c r="MW2" s="66"/>
      <c r="MX2" s="66"/>
      <c r="MY2" s="66"/>
      <c r="MZ2" s="66" t="s">
        <v>106</v>
      </c>
      <c r="NA2" s="66"/>
      <c r="NB2" s="66"/>
      <c r="NC2" s="66"/>
      <c r="ND2" s="66" t="s">
        <v>107</v>
      </c>
      <c r="NE2" s="66"/>
      <c r="NF2" s="66"/>
      <c r="NG2" s="66"/>
      <c r="NH2" s="66" t="s">
        <v>108</v>
      </c>
      <c r="NI2" s="66"/>
      <c r="NJ2" s="66"/>
      <c r="NK2" s="66"/>
      <c r="NL2" s="75" t="s">
        <v>109</v>
      </c>
      <c r="NM2" s="75"/>
      <c r="NN2" s="75"/>
      <c r="NO2" s="75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65" t="s">
        <v>105</v>
      </c>
      <c r="NY2" s="65"/>
      <c r="NZ2" s="65"/>
      <c r="OA2" s="65"/>
      <c r="OB2" s="65" t="s">
        <v>106</v>
      </c>
      <c r="OC2" s="65"/>
      <c r="OD2" s="65"/>
      <c r="OE2" s="65"/>
      <c r="OF2" s="65" t="s">
        <v>107</v>
      </c>
      <c r="OG2" s="65"/>
      <c r="OH2" s="65"/>
      <c r="OI2" s="65"/>
      <c r="OJ2" s="65" t="s">
        <v>108</v>
      </c>
      <c r="OK2" s="65"/>
      <c r="OL2" s="65"/>
      <c r="OM2" s="65"/>
      <c r="ON2" s="74" t="s">
        <v>109</v>
      </c>
      <c r="OO2" s="74"/>
      <c r="OP2" s="74"/>
      <c r="OQ2" s="74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66" t="s">
        <v>105</v>
      </c>
      <c r="PA2" s="66"/>
      <c r="PB2" s="66"/>
      <c r="PC2" s="66"/>
      <c r="PD2" s="66" t="s">
        <v>106</v>
      </c>
      <c r="PE2" s="66"/>
      <c r="PF2" s="66"/>
      <c r="PG2" s="66"/>
      <c r="PH2" s="66" t="s">
        <v>107</v>
      </c>
      <c r="PI2" s="66"/>
      <c r="PJ2" s="66"/>
      <c r="PK2" s="66"/>
      <c r="PL2" s="66" t="s">
        <v>108</v>
      </c>
      <c r="PM2" s="66"/>
      <c r="PN2" s="66"/>
      <c r="PO2" s="66"/>
      <c r="PP2" s="75" t="s">
        <v>109</v>
      </c>
      <c r="PQ2" s="75"/>
      <c r="PR2" s="75"/>
      <c r="PS2" s="75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65" t="s">
        <v>105</v>
      </c>
      <c r="QC2" s="65"/>
      <c r="QD2" s="65"/>
      <c r="QE2" s="65"/>
      <c r="QF2" s="65" t="s">
        <v>106</v>
      </c>
      <c r="QG2" s="65"/>
      <c r="QH2" s="65"/>
      <c r="QI2" s="65"/>
      <c r="QJ2" s="65" t="s">
        <v>107</v>
      </c>
      <c r="QK2" s="65"/>
      <c r="QL2" s="65"/>
      <c r="QM2" s="65"/>
      <c r="QN2" s="65" t="s">
        <v>108</v>
      </c>
      <c r="QO2" s="65"/>
      <c r="QP2" s="65"/>
      <c r="QQ2" s="65"/>
      <c r="QR2" s="74" t="s">
        <v>109</v>
      </c>
      <c r="QS2" s="74"/>
      <c r="QT2" s="74"/>
      <c r="QU2" s="74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66" t="s">
        <v>105</v>
      </c>
      <c r="RE2" s="66"/>
      <c r="RF2" s="66"/>
      <c r="RG2" s="66"/>
      <c r="RH2" s="66" t="s">
        <v>106</v>
      </c>
      <c r="RI2" s="66"/>
      <c r="RJ2" s="66"/>
      <c r="RK2" s="66"/>
      <c r="RL2" s="66" t="s">
        <v>107</v>
      </c>
      <c r="RM2" s="66"/>
      <c r="RN2" s="66"/>
      <c r="RO2" s="66"/>
      <c r="RP2" s="66" t="s">
        <v>108</v>
      </c>
      <c r="RQ2" s="66"/>
      <c r="RR2" s="66"/>
      <c r="RS2" s="66"/>
      <c r="RT2" s="75" t="s">
        <v>109</v>
      </c>
      <c r="RU2" s="75"/>
      <c r="RV2" s="75"/>
      <c r="RW2" s="75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65" t="s">
        <v>105</v>
      </c>
      <c r="SG2" s="65"/>
      <c r="SH2" s="65"/>
      <c r="SI2" s="65"/>
      <c r="SJ2" s="65" t="s">
        <v>106</v>
      </c>
      <c r="SK2" s="65"/>
      <c r="SL2" s="65"/>
      <c r="SM2" s="65"/>
      <c r="SN2" s="65" t="s">
        <v>107</v>
      </c>
      <c r="SO2" s="65"/>
      <c r="SP2" s="65"/>
      <c r="SQ2" s="65"/>
      <c r="SR2" s="65" t="s">
        <v>108</v>
      </c>
      <c r="SS2" s="65"/>
      <c r="ST2" s="65"/>
      <c r="SU2" s="65"/>
      <c r="SV2" s="74" t="s">
        <v>109</v>
      </c>
      <c r="SW2" s="74"/>
      <c r="SX2" s="74"/>
      <c r="SY2" s="74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66" t="s">
        <v>105</v>
      </c>
      <c r="TI2" s="66"/>
      <c r="TJ2" s="66"/>
      <c r="TK2" s="66"/>
      <c r="TL2" s="66" t="s">
        <v>106</v>
      </c>
      <c r="TM2" s="66"/>
      <c r="TN2" s="66"/>
      <c r="TO2" s="66"/>
      <c r="TP2" s="66" t="s">
        <v>107</v>
      </c>
      <c r="TQ2" s="66"/>
      <c r="TR2" s="66"/>
      <c r="TS2" s="66"/>
      <c r="TT2" s="66" t="s">
        <v>108</v>
      </c>
      <c r="TU2" s="66"/>
      <c r="TV2" s="66"/>
      <c r="TW2" s="66"/>
      <c r="TX2" s="76" t="s">
        <v>109</v>
      </c>
      <c r="TY2" s="76"/>
      <c r="TZ2" s="76"/>
      <c r="UA2" s="76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70"/>
      <c r="B3" s="70"/>
      <c r="C3" s="70"/>
      <c r="D3" s="70"/>
      <c r="E3" s="70"/>
      <c r="F3" s="72"/>
      <c r="G3" s="72"/>
      <c r="H3" s="70"/>
      <c r="I3" s="72"/>
      <c r="J3" s="71"/>
      <c r="K3" s="69"/>
      <c r="L3" s="71"/>
      <c r="M3" s="69"/>
      <c r="N3" s="69"/>
      <c r="O3" s="69"/>
      <c r="P3" s="73"/>
      <c r="Q3" s="69"/>
      <c r="R3" s="69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70</v>
      </c>
      <c r="C4" s="4" t="s">
        <v>6</v>
      </c>
      <c r="D4" s="4">
        <v>2001</v>
      </c>
      <c r="E4" s="9">
        <f t="shared" ref="E4:E26" si="0">SUM(J4:P4)+SUM(J4:M4)*0.0000001+SUM(J4)*0.0000000000001</f>
        <v>153.80001013000518</v>
      </c>
      <c r="F4" s="3" t="str">
        <f t="shared" ref="F4:F26" si="1">IF(OR(AND(AN4&gt;=AU$29,AO4&gt;=AU$33,AN4&lt;&gt;"",AM4=""),AND(AS4&gt;=AU$29,AT4&gt;=AU$33,AS4&lt;&gt;"",AM4=""),AND(BQ4&gt;=BX$29,BR4&gt;=BX$33,BQ4&lt;&gt;"",BP4=""),AND(BV4&gt;=BX$29,BW4&gt;=BX$33,BV4&lt;&gt;"",BP4=""),AND(CT4&gt;=DA$29,CU4&gt;=DA$33,CT4&lt;&gt;"",CS4=""),AND(CY4&gt;=DA$29,CZ4&gt;=DA$33,CY4&lt;&gt;""),AND(DX4&gt;=EE$29,DY4&gt;=EE$33,DX4&lt;&gt;""),AND(EC4&gt;=EE$29,ED4&gt;=EE$33,EC4&lt;&gt;""),AND(EZ4&gt;=FG$29,FA4&gt;=FG$33,EZ4&lt;&gt;""),AND(FE4&gt;=FG$29,FF4&gt;=FG$33,FE4&lt;&gt;""),AND(GB4&gt;=GI$29,GC4&gt;=GI$33,GB4&lt;&gt;""),AND(GG4&gt;=GI$29,GH4&gt;=GI$33,GG4&lt;&gt;""),AND(HD4&gt;=HK$29,HE4&gt;=HK$33,HD4&lt;&gt;""),AND(HI4&gt;=HK$29,HJ4&gt;=HK$33,HI4&lt;&gt;""),AND(IF4&gt;=IM$29,IG4&gt;=IM$33,IF4&lt;&gt;""),AND(IK4&gt;=IM$29,IL4&gt;=IM$33,IK4&lt;&gt;""),AND(JH4&gt;=JO$29,JI4&gt;=JO$33,JH4&lt;&gt;""),AND(JM4&gt;=JO$29,JN4&gt;=JO$33,JM4&lt;&gt;""),AND(KJ4&gt;=KQ$29,KK4&gt;=KQ$33,KJ4&lt;&gt;""),AND(KO4&gt;=KQ$29,KP4&gt;=KQ$33,KO4&lt;&gt;""),AND(LL4&gt;=LS$29,LM4&gt;=LS$33,LL4&lt;&gt;""),AND(LQ4&gt;=LS$29,LR4&gt;=LS$33,LQ4&lt;&gt;""),AND(MN4&gt;=MU$29,MO4&gt;=MU$33,MN4&lt;&gt;""),AND(MS4&gt;=MU$29,MT4&gt;=MU$33,MS4&lt;&gt;""),AND(NP4&gt;=NW$29,NQ4&gt;=NW$33,NP4&lt;&gt;""),AND(NU4&gt;=NW$29,NV4&gt;=NW$33,NU4&lt;&gt;""),AND(OR4&gt;=OY$29,OS4&gt;=OY$33,OR4&lt;&gt;""),AND(OW4&gt;=OY$29,OX4&gt;=OY$33,OW4&lt;&gt;""),AND(PT4&gt;=QA$29,PU4&gt;=QA$33,PT4&lt;&gt;""),AND(PY4&gt;=QA$29,PZ4&gt;=QA$33,PY4&lt;&gt;""),AND(QV4&gt;=RC$29,QW4&gt;=RC$33,QV4&lt;&gt;""),AND(RA4&gt;=RC$29,RB4&gt;=RC$33,RA4&lt;&gt;""),AND(RX4&gt;=SE$29,RY4&gt;=SE$33,RX4&lt;&gt;""),AND(SC4&gt;=SE$29,SD4&gt;=SE$33,SC4&lt;&gt;""),AND(SZ4&gt;=TG$29,TA4&gt;=TG$33,SZ4&lt;&gt;""),AND(TF4&gt;=TG$29,TG4&gt;=TG$33,TF4&lt;&gt;"")),"P","")</f>
        <v>P</v>
      </c>
      <c r="G4" s="3" t="str">
        <f t="shared" ref="G4:G26" si="2">IF(OR(AND(AO4&gt;=AU$33,AO4&lt;&gt;"",AM4=""),AND(AT4&gt;=AU$33,AT4&lt;&gt;"",AM4=""),AND(BR4&gt;=BX$33,BR4&lt;&gt;"",BP4=""),AND(BW4&gt;=BX$33,BW4&lt;&gt;"",BP4=""),AND(CU4&gt;=DA$33,CU4&lt;&gt;"",CS4=""),AND(CZ4&gt;=DA$33,CZ4&lt;&gt;"",CS4=""),AND(DY4&gt;=EE$33,DY4&lt;&gt;""),AND(ED4&gt;=EE$33,ED4&lt;&gt;""),AND(FA4&gt;=FG$33,FA4&lt;&gt;""),AND(FF4&gt;=FG$33,FF4&lt;&gt;""),AND(GC4&gt;=GI$33,GC4&lt;&gt;""),AND(GH4&gt;=GI$33,GH4&lt;&gt;""),AND(HE4&gt;=HK$33,HE4&lt;&gt;""),AND(HJ4&gt;=HK$33,HJ4&lt;&gt;""),AND(IG4&gt;=IM$33,IG4&lt;&gt;""),AND(IL4&gt;=IM$33,IL4&lt;&gt;""),AND(JI4&gt;=JO$33,JI4&lt;&gt;""),AND(JN4&gt;=JO$33,JN4&lt;&gt;""),AND(KK4&gt;=KQ$33,KK4&lt;&gt;""),AND(KP4&gt;=KQ$33,KP4&lt;&gt;""),AND(LM4&gt;=LS$33,LM4&lt;&gt;""),AND(LR4&gt;=LS$33,LR4&lt;&gt;""),AND(MO4&gt;=MU$33,MO4&lt;&gt;""),AND(MT4&gt;=MU$33,MT4&lt;&gt;""),AND(NQ4&gt;=NW$33,NQ4&lt;&gt;""),AND(NV4&gt;=NW$33,NV4&lt;&gt;""),AND(OS4&gt;=OY$33,OS4&lt;&gt;""),AND(OX4&gt;=OY$33,OX4&lt;&gt;""),AND(PU4&gt;=QA$33,PU4&lt;&gt;""),AND(PZ4&gt;=QA$33,PZ4&lt;&gt;""),AND(QW4&gt;=RC$33,QW4&lt;&gt;""),AND(RB4&gt;=RC$33,RB4&lt;&gt;""),AND(RY4&gt;=SE$33,RY4&lt;&gt;""),AND(SD4&gt;=SE$33,SD4&lt;&gt;""),AND(TA4&gt;=TG$33,TA4&lt;&gt;""),AND(TG4&gt;=TG$33,TG4&lt;&gt;"")),"P","")</f>
        <v>P</v>
      </c>
      <c r="H4" s="36" t="str">
        <f t="shared" ref="H4:H26" si="3">IF(AND(G4="P",F4=""),"No DD",IF(OR(AND(AQ4&gt;=AU$32,AR4&gt;=AU$36,AQ4&lt;&gt;"",AM4=""),AND(BT4&gt;=BX$32,BU4&gt;=BX$36,BT4&lt;&gt;"",BP4=""),AND(CW4&gt;=DA$32,CX4&gt;=DA$36,CW4&lt;&gt;"",CS4=""),AND(EA4&gt;=EE$32,EB4&gt;=EE$36,EA4&lt;&gt;""),AND(FC4&gt;=FG$32,FD4&gt;=FG$36,FC4&lt;&gt;""),AND(GE4&gt;=GI$32,GF4&gt;=GI$36,GE4&lt;&gt;""),AND(HG4&gt;=HK$32,HH4&gt;=HK$36,HG4&lt;&gt;""),AND(II4&gt;=IM$32,IJ4&gt;=IM$36,II4&lt;&gt;""),AND(JK4&gt;=JO$32,JL4&gt;=JO$36,JK4&lt;&gt;""),AND(KM4&gt;=KQ$32,KN4&gt;=KQ$36,KM4&lt;&gt;""),AND(LO4&gt;=LS$32,LP4&gt;=LS$36,LO4&lt;&gt;""),AND(MQ4&gt;=MU$32,MR4&gt;=MU$36,MQ4&lt;&gt;""),AND(NS4&gt;=NW$32,NT4&gt;=NW$36,NS4&lt;&gt;""),AND(OU4&gt;=OY$32,OV4&gt;=OY$36,OU4&lt;&gt;""),AND(PW4&gt;=QA$32,PX4&gt;=QA$36,PW4&lt;&gt;""),AND(QY4&gt;=RC$32,QZ4&gt;=RC$36,QY4&lt;&gt;""),AND(SA4&gt;=SE$32,SB4&gt;=SE$36,SA4&lt;&gt;""),AND(TC4&gt;=TG$32,TD4&gt;=TG$36,TC4&lt;&gt;"")),"Merit",IF(OR(AND(AQ4&gt;=AU$31,AR4&gt;=AU$35,AQ4&lt;&gt;"",AM4=""),AND(BT4&gt;=BX$31,BU4&gt;=BX$35,BT4&lt;&gt;"",BP4=""),AND(CW4&gt;=DA$31,CX4&gt;=DA$35,CW4&lt;&gt;"",CS4=""),AND(EA4&gt;=EE$31,EB4&gt;=EE$35,EA4&lt;&gt;""),AND(FC4&gt;=FG$31,FD4&gt;=FG$35,FC4&lt;&gt;""),AND(GE4&gt;=GI$31,GF4&gt;=GI$35,GE4&lt;&gt;""),AND(HG4&gt;=HK$31,HH4&gt;=HK$35,HG4&lt;&gt;""),AND(II4&gt;=IM$31,IJ4&gt;=IM$35,II4&lt;&gt;""),AND(JK4&gt;=JO$31,JL4&gt;=JO$35,JK4&lt;&gt;""),AND(KM4&gt;=KQ$31,KN4&gt;=KQ$35,KM4&lt;&gt;""),AND(LO4&gt;=LS$31,LP4&gt;=LS$35,LO4&lt;&gt;""),AND(MQ4&gt;=MU$31,MR4&gt;=MU$35,MQ4&lt;&gt;""),AND(NS4&gt;=NW$31,NT4&gt;=NW$35,NS4&lt;&gt;""),AND(OU4&gt;=OY$31,OV4&gt;=OY$35,OU4&lt;&gt;""),AND(PW4&gt;=QA$31,PX4&gt;=QA$35,PW4&lt;&gt;""),AND(QY4&gt;=RC$31,QZ4&gt;=RC$35,QY4&lt;&gt;""),AND(SA4&gt;=SE$31,SB4&gt;=SE$35,SA4&lt;&gt;""),AND(TC4&gt;=TG$31,TD4&gt;=TG$35,TC4&lt;&gt;"")),"Excellence",IF(I4="P","Worlds Team",IF(F4="P","National Team","")))))</f>
        <v>Merit</v>
      </c>
      <c r="I4" s="3" t="str">
        <f t="shared" ref="I4:I26" si="4">IF(OR(AND(AQ4&gt;=AU$30,AR4&gt;=AU$34,AQ4&lt;&gt;"",AM4=""),AND(BT4&gt;=BX$30,BU4&gt;=BX$34,BT4&lt;&gt;"",BP4=""),AND(CW4&gt;=DA$30,CX4&gt;=DA$34,CW4&lt;&gt;"",CS4=""),AND(EA4&gt;=EE$30,EB4&gt;=EE$34,EA4&lt;&gt;""),AND(FC4&gt;=FG$30,FD4&gt;=FG$34,FC4&lt;&gt;""),AND(GE4&gt;=GI$30,GF4&gt;=GI$34,GE4&lt;&gt;""),AND(HG4&gt;=HK$30,HH4&gt;=HK$34,HG4&lt;&gt;""),AND(II4&gt;=IM$30,IJ4&gt;=IM$34,II4&lt;&gt;""),AND(JK4&gt;=JO$30,JL4&gt;=JO$34,JK4&lt;&gt;""),AND(KM4&gt;=KQ$30,KN4&gt;=KQ$34,KM4&lt;&gt;""),AND(LO4&gt;=LS$30,LP4&gt;=LS$34,LO4&lt;&gt;""),AND(MQ4&gt;=MU$30,MR4&gt;=MU$34,MQ4&lt;&gt;""),AND(NS4&gt;=NW$30,NT4&gt;=NW$34,NS4&lt;&gt;""),AND(OU4&gt;=OY$30,OV4&gt;=OY$34,OU4&lt;&gt;""),AND(PW4&gt;=QA$30,PX4&gt;=QA$34,PW4&lt;&gt;""),AND(QY4&gt;=RC$30,QZ4&gt;=RC$34,QY4&lt;&gt;""),AND(SA4&gt;=SE$30,SB4&gt;=SE$34,SA4&lt;&gt;""),AND(TC4&gt;=TG$30,TD4&gt;=TG$34,TC4&lt;&gt;"")),"P","")</f>
        <v>P</v>
      </c>
      <c r="J4" s="8">
        <f>IF(COUNT(AO4,BR4,CU4)&gt;0,LARGE((AO4,BR4,CU4),1),0)</f>
        <v>51.800000000000004</v>
      </c>
      <c r="K4" s="8" t="str">
        <f t="shared" ref="K4:K26" si="5">IF(J4=0,"",IF(J4=CU4,$BY$1,IF(J4=BR4,$AV$1,IF(J4=AO4,$S$1,""))))</f>
        <v>2025 Elite Canada</v>
      </c>
      <c r="L4" s="8">
        <f>IF(COUNT(AO4,BR4,CU4)&gt;1,LARGE((AO4,BR4,CU4),2),0)</f>
        <v>49.5</v>
      </c>
      <c r="M4" s="8" t="str">
        <f t="shared" ref="M4:M26" si="6">IF(K4=0,"",IF(AND(L4=J4,L4=AO4,K4=BR4),$S$1,IF(AND(L4=J4,L4=AO4,L4=CU4),$S$1,IF(AND(L4=J4,L4=CU4,L4=BR4),$AV$1,IF(L4=CU4,$BY$1,IF(L4=BR4,$AV$1,IF(L4=AO4,$S$1,"")))))))</f>
        <v>2024 3rd Domestic Trial</v>
      </c>
      <c r="N4" s="8">
        <f t="shared" ref="N4:N26" si="7">IF(MAX(AT4,BW4,CZ4)&gt;0,MAX(AT4,BW4,CZ4),0)</f>
        <v>51.599999999999994</v>
      </c>
      <c r="O4" s="8" t="str">
        <f t="shared" ref="O4:O26" si="8">IF(N4=0,"",IF(N4=CZ4,$BY$1,IF(N4=BW4,$AV$1,IF(N4=AT4,$S$1,""))))</f>
        <v>2024 Nationals</v>
      </c>
      <c r="P4" s="8">
        <f t="shared" ref="P4:P26" si="9">IF(MAX(DB4:DC4)&gt;0,MAX(DB4:DC4),"")</f>
        <v>0.89999999999999858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2024 World Cup POR (July 7)</v>
      </c>
      <c r="S4" s="19">
        <v>18.5</v>
      </c>
      <c r="T4" s="19">
        <v>7.2</v>
      </c>
      <c r="U4" s="19">
        <v>0</v>
      </c>
      <c r="V4" s="19">
        <v>0.3</v>
      </c>
      <c r="W4" s="19">
        <v>18.2</v>
      </c>
      <c r="X4" s="19">
        <v>4.4000000000000004</v>
      </c>
      <c r="Y4" s="19">
        <v>0.6</v>
      </c>
      <c r="Z4" s="19">
        <v>0</v>
      </c>
      <c r="AA4" s="19">
        <v>18.8</v>
      </c>
      <c r="AB4" s="19">
        <v>6.8</v>
      </c>
      <c r="AC4" s="19">
        <v>0.2</v>
      </c>
      <c r="AD4" s="19">
        <v>0.3</v>
      </c>
      <c r="AE4" s="19">
        <v>18.3</v>
      </c>
      <c r="AF4" s="19">
        <v>7.2</v>
      </c>
      <c r="AG4" s="19">
        <v>0.2</v>
      </c>
      <c r="AH4" s="19">
        <v>0.3</v>
      </c>
      <c r="AI4" s="19">
        <v>18.899999999999999</v>
      </c>
      <c r="AJ4" s="19">
        <v>6.8</v>
      </c>
      <c r="AK4" s="19">
        <v>0</v>
      </c>
      <c r="AL4" s="19">
        <v>0.3</v>
      </c>
      <c r="AM4" s="27"/>
      <c r="AN4" s="40">
        <f t="shared" ref="AN4:AN26" si="10">IF(SUM(T4,X4)&gt;0,SUM(T4,X4),"")</f>
        <v>11.600000000000001</v>
      </c>
      <c r="AO4" s="40">
        <f t="shared" ref="AO4:AO26" si="11">IF(SUM(S4:T4,V4:X4,Z4)-U4-Y4&gt;0,SUM(S4:T4,V4:X4,Z4)-U4-Y4,"")</f>
        <v>48</v>
      </c>
      <c r="AP4" s="40">
        <f t="shared" ref="AP4:AP26" si="12">IF(SUM(AA4:AB4,AD4)-AC4&gt;0,SUM(AA4:AB4,AD4)-AC4,"")</f>
        <v>25.700000000000003</v>
      </c>
      <c r="AQ4" s="40">
        <f t="shared" ref="AQ4:AQ26" si="13">IF(SUM(T4,X4,AB4)&gt;0,SUM(T4,X4,AB4),"")</f>
        <v>18.400000000000002</v>
      </c>
      <c r="AR4" s="40">
        <f t="shared" ref="AR4:AR26" si="14">IF(SUM(AO4,AP4)&gt;0,SUM(AO4,AP4),"")</f>
        <v>73.7</v>
      </c>
      <c r="AS4" s="40">
        <f t="shared" ref="AS4:AS26" si="15">IF(SUM(AF4,AJ4)&gt;0,SUM(AF4,AJ4),"")</f>
        <v>14</v>
      </c>
      <c r="AT4" s="40">
        <f t="shared" ref="AT4:AT26" si="16">IF(SUM(AE4:AF4,AH4:AJ4,AL4)-SUM(AG4,AK4)&gt;0,SUM(AE4:AF4,AH4:AJ4,AL4)-SUM(AG4,AK4),"")</f>
        <v>51.599999999999994</v>
      </c>
      <c r="AU4" s="40">
        <f t="shared" ref="AU4:AU26" si="17">IF(SUM(AO4,AP4,AT4)&gt;0,SUM(AO4,AP4,AT4),"")</f>
        <v>125.3</v>
      </c>
      <c r="AV4" s="18">
        <v>18.75</v>
      </c>
      <c r="AW4" s="18">
        <v>7.2</v>
      </c>
      <c r="AX4" s="18">
        <v>0</v>
      </c>
      <c r="AY4" s="18">
        <v>0.3</v>
      </c>
      <c r="AZ4" s="18">
        <v>18.25</v>
      </c>
      <c r="BA4" s="18">
        <v>5.6</v>
      </c>
      <c r="BB4" s="18">
        <v>0.6</v>
      </c>
      <c r="BC4" s="18">
        <v>0</v>
      </c>
      <c r="BD4" s="18">
        <v>18.55</v>
      </c>
      <c r="BE4" s="18">
        <v>6.8</v>
      </c>
      <c r="BF4" s="18">
        <v>0.2</v>
      </c>
      <c r="BG4" s="18">
        <v>0.3</v>
      </c>
      <c r="BH4" s="18">
        <v>18.55</v>
      </c>
      <c r="BI4" s="18">
        <v>6.8000000000000007</v>
      </c>
      <c r="BJ4" s="18">
        <v>0.2</v>
      </c>
      <c r="BK4" s="18">
        <v>0.3</v>
      </c>
      <c r="BL4" s="18">
        <v>18.850000000000001</v>
      </c>
      <c r="BM4" s="18">
        <v>6.8</v>
      </c>
      <c r="BN4" s="18">
        <v>0</v>
      </c>
      <c r="BO4" s="18">
        <v>0.3</v>
      </c>
      <c r="BP4" s="28" t="s">
        <v>53</v>
      </c>
      <c r="BQ4" s="11">
        <f t="shared" ref="BQ4:BQ26" si="18">IF(SUM(AW4,BA4)&gt;0,SUM(AW4,BA4),"")</f>
        <v>12.8</v>
      </c>
      <c r="BR4" s="11">
        <f t="shared" ref="BR4:BR26" si="19">IF(SUM(AV4:AW4,AY4:BA4,BC4)-AX4-BB4&gt;0,SUM(AV4:AW4,AY4:BA4,BC4)-AX4-BB4,"")</f>
        <v>49.5</v>
      </c>
      <c r="BS4" s="11">
        <f t="shared" ref="BS4:BS26" si="20">IF(SUM(BD4:BE4,BG4)-BF4&gt;0,SUM(BD4:BE4,BG4)-BF4,"")</f>
        <v>25.450000000000003</v>
      </c>
      <c r="BT4" s="11">
        <f t="shared" ref="BT4:BT26" si="21">IF(SUM(AW4,BA4,BE4)&gt;0,SUM(AW4,BA4,BE4),"")</f>
        <v>19.600000000000001</v>
      </c>
      <c r="BU4" s="11">
        <f t="shared" ref="BU4:BU26" si="22">IF(SUM(BR4,BS4)&gt;0,SUM(BR4,BS4),"")</f>
        <v>74.95</v>
      </c>
      <c r="BV4" s="11">
        <f t="shared" ref="BV4:BV26" si="23">IF(SUM(BI4,BM4)&gt;0,SUM(BI4,BM4),"")</f>
        <v>13.600000000000001</v>
      </c>
      <c r="BW4" s="11">
        <f t="shared" ref="BW4:BW26" si="24">IF(SUM(BH4:BI4,BK4:BM4,BO4)-SUM(BJ4,BN4)&gt;0,SUM(BH4:BI4,BK4:BM4,BO4)-SUM(BJ4,BN4),"")</f>
        <v>51.399999999999991</v>
      </c>
      <c r="BX4" s="11">
        <f t="shared" ref="BX4:BX26" si="25">IF(SUM(BR4,BS4,BW4)&gt;0,SUM(BR4,BS4,BW4),"")</f>
        <v>126.35</v>
      </c>
      <c r="BY4" s="19">
        <v>18.600000000000001</v>
      </c>
      <c r="BZ4" s="19">
        <v>6.8</v>
      </c>
      <c r="CA4" s="19">
        <v>0</v>
      </c>
      <c r="CB4" s="19">
        <v>0.3</v>
      </c>
      <c r="CC4" s="19">
        <v>18.600000000000001</v>
      </c>
      <c r="CD4" s="19">
        <v>7.2</v>
      </c>
      <c r="CE4" s="19">
        <v>0</v>
      </c>
      <c r="CF4" s="19">
        <v>0.3</v>
      </c>
      <c r="CG4" s="19"/>
      <c r="CH4" s="19"/>
      <c r="CI4" s="19"/>
      <c r="CJ4" s="19"/>
      <c r="CK4" s="19">
        <v>18.2</v>
      </c>
      <c r="CL4" s="19">
        <v>6.8</v>
      </c>
      <c r="CM4" s="19">
        <v>0</v>
      </c>
      <c r="CN4" s="19">
        <v>0.6</v>
      </c>
      <c r="CO4" s="19">
        <v>17.2</v>
      </c>
      <c r="CP4" s="19">
        <v>6.4</v>
      </c>
      <c r="CQ4" s="19">
        <v>0.2</v>
      </c>
      <c r="CR4" s="19">
        <v>0</v>
      </c>
      <c r="CS4" s="27"/>
      <c r="CT4" s="40">
        <f t="shared" ref="CT4:CT26" si="26">IF(SUM(BZ4,CD4)&gt;0,SUM(BZ4,CD4),"")</f>
        <v>14</v>
      </c>
      <c r="CU4" s="40">
        <f t="shared" ref="CU4:CU26" si="27">IF(SUM(BY4:BZ4,CB4:CD4,CF4)-CA4-CE4&gt;0,SUM(BY4:BZ4,CB4:CD4,CF4)-CA4-CE4,"")</f>
        <v>51.800000000000004</v>
      </c>
      <c r="CV4" s="40" t="str">
        <f t="shared" ref="CV4:CV26" si="28">IF(SUM(CG4:CH4,CJ4)-CI4&gt;0,SUM(CG4:CH4,CJ4)-CI4,"")</f>
        <v/>
      </c>
      <c r="CW4" s="40">
        <f t="shared" ref="CW4:CW26" si="29">IF(SUM(BZ4,CD4,CH4)&gt;0,SUM(BZ4,CD4,CH4),"")</f>
        <v>14</v>
      </c>
      <c r="CX4" s="40">
        <f t="shared" ref="CX4:CX26" si="30">IF(SUM(CU4,CV4)&gt;0,SUM(CU4,CV4),"")</f>
        <v>51.800000000000004</v>
      </c>
      <c r="CY4" s="40">
        <f t="shared" ref="CY4:CY26" si="31">IF(SUM(CL4,CP4)&gt;0,SUM(CL4,CP4),"")</f>
        <v>13.2</v>
      </c>
      <c r="CZ4" s="40">
        <f t="shared" ref="CZ4:CZ26" si="32">IF(SUM(CK4:CL4,CN4:CP4,CR4)-SUM(CM4,CQ4)&gt;0,SUM(CK4:CL4,CN4:CP4,CR4)-SUM(CM4,CQ4),"")</f>
        <v>48.999999999999993</v>
      </c>
      <c r="DA4" s="40">
        <f t="shared" ref="DA4:DA26" si="33">IF(SUM(CU4,CV4,CZ4)&gt;0,SUM(CU4,CV4,CZ4),"")</f>
        <v>100.8</v>
      </c>
      <c r="DB4" s="51">
        <f t="shared" ref="DB4:DB26" si="34">IF(MAX(DY4,FA4,GC4,HE4,IG4,JI4,KK4,LM4,MO4,NQ4,OS4,PU4,QW4,RY4,TA4)-IF(L4="",0,L4)&gt;0.001,MAX(DY4,FA4,GC4,HE4,IG4,JI4,KK4,LM4,MO4,NQ4,OS4,PU4,QW4,RY4,TA4)-IF(L4="",0,L4),"")</f>
        <v>0.89999999999999858</v>
      </c>
      <c r="DC4" s="51" t="str">
        <f t="shared" ref="DC4:DC26" si="35"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 t="shared" ref="DX4:DX26" si="36">IF(SUM(DE4,DI4)&gt;0,SUM(DE4,DI4),"")</f>
        <v/>
      </c>
      <c r="DY4" s="40" t="str">
        <f t="shared" ref="DY4:DY26" si="37">IF(SUM(DD4:DE4,DG4:DI4,DK4)-DF4-DJ4&gt;0,SUM(DD4:DE4,DG4:DI4,DK4)-DF4-DJ4,"")</f>
        <v/>
      </c>
      <c r="DZ4" s="40" t="str">
        <f t="shared" ref="DZ4:DZ26" si="38">IF(SUM(DL4:DM4,DO4)-DN4&gt;0,SUM(DL4:DM4,DO4)-DN4,"")</f>
        <v/>
      </c>
      <c r="EA4" s="40" t="str">
        <f t="shared" ref="EA4:EA26" si="39">IF(SUM(DE4,DI4,DM4)&gt;0,SUM(DE4,DI4,DM4),"")</f>
        <v/>
      </c>
      <c r="EB4" s="40" t="str">
        <f t="shared" ref="EB4:EB26" si="40">IF(SUM(DY4,DZ4)&gt;0,SUM(DY4,DZ4),"")</f>
        <v/>
      </c>
      <c r="EC4" s="40" t="str">
        <f t="shared" ref="EC4:EC26" si="41">IF(SUM(DQ4,DU4)&gt;0,SUM(DQ4,DU4),"")</f>
        <v/>
      </c>
      <c r="ED4" s="40" t="str">
        <f t="shared" ref="ED4:ED26" si="42">IF(SUM(DP4:DQ4,DS4:DU4,DW4)-SUM(DR4,DV4)&gt;0,SUM(DP4:DQ4,DS4:DU4,DW4)-SUM(DR4,DV4),"")</f>
        <v/>
      </c>
      <c r="EE4" s="40" t="str">
        <f t="shared" ref="EE4:EE26" si="43"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 t="shared" ref="EZ4:EZ26" si="44">IF(SUM(EG4,EK4)&gt;0,SUM(EG4,EK4),"")</f>
        <v/>
      </c>
      <c r="FA4" s="11" t="str">
        <f t="shared" ref="FA4:FA26" si="45">IF(SUM(EF4:EG4,EI4:EK4,EM4)-EH4-EL4&gt;0,SUM(EF4:EG4,EI4:EK4,EM4)-EH4-EL4,"")</f>
        <v/>
      </c>
      <c r="FB4" s="11" t="str">
        <f t="shared" ref="FB4:FB26" si="46">IF(SUM(EN4:EO4,EQ4)-EP4&gt;0,SUM(EN4:EO4,EQ4)-EP4,"")</f>
        <v/>
      </c>
      <c r="FC4" s="11" t="str">
        <f t="shared" ref="FC4:FC26" si="47">IF(SUM(EG4,EK4,EO4)&gt;0,SUM(EG4,EK4,EO4),"")</f>
        <v/>
      </c>
      <c r="FD4" s="11" t="str">
        <f t="shared" ref="FD4:FD26" si="48">IF(SUM(FA4,FB4)&gt;0,SUM(FA4,FB4),"")</f>
        <v/>
      </c>
      <c r="FE4" s="11" t="str">
        <f t="shared" ref="FE4:FE26" si="49">IF(SUM(ES4,EW4)&gt;0,SUM(ES4,EW4),"")</f>
        <v/>
      </c>
      <c r="FF4" s="11" t="str">
        <f t="shared" ref="FF4:FF26" si="50">IF(SUM(ER4:ES4,EU4:EW4,EY4)-SUM(ET4,EX4)&gt;0,SUM(ER4:ES4,EU4:EW4,EY4)-SUM(ET4,EX4),"")</f>
        <v/>
      </c>
      <c r="FG4" s="11" t="str">
        <f t="shared" ref="FG4:FG26" si="51">IF(SUM(FA4,FB4,FF4)&gt;0,SUM(FA4,FB4,FF4),"")</f>
        <v/>
      </c>
      <c r="FH4" s="17">
        <v>18.600000000000001</v>
      </c>
      <c r="FI4" s="17">
        <v>7.2</v>
      </c>
      <c r="FJ4" s="17">
        <v>0.6</v>
      </c>
      <c r="FK4" s="17">
        <v>0</v>
      </c>
      <c r="FL4" s="17">
        <v>18.600000000000001</v>
      </c>
      <c r="FM4" s="17">
        <v>6.8</v>
      </c>
      <c r="FN4" s="17">
        <v>0.2</v>
      </c>
      <c r="FO4" s="17">
        <v>0</v>
      </c>
      <c r="FP4" s="17"/>
      <c r="FQ4" s="17"/>
      <c r="FR4" s="17"/>
      <c r="FS4" s="17"/>
      <c r="FT4" s="17">
        <v>18.600000000000001</v>
      </c>
      <c r="FU4" s="17">
        <v>6.8</v>
      </c>
      <c r="FV4" s="17">
        <v>0</v>
      </c>
      <c r="FW4" s="17">
        <v>0</v>
      </c>
      <c r="FX4" s="17"/>
      <c r="FY4" s="17"/>
      <c r="FZ4" s="17"/>
      <c r="GA4" s="17"/>
      <c r="GB4" s="40">
        <f t="shared" ref="GB4:GB26" si="52">IF(SUM(FI4,FM4)&gt;0,SUM(FI4,FM4),"")</f>
        <v>14</v>
      </c>
      <c r="GC4" s="40">
        <f t="shared" ref="GC4:GC26" si="53">IF(SUM(FH4:FI4,FK4:FM4,FO4)-FJ4-FN4&gt;0,SUM(FH4:FI4,FK4:FM4,FO4)-FJ4-FN4,"")</f>
        <v>50.4</v>
      </c>
      <c r="GD4" s="40" t="str">
        <f t="shared" ref="GD4:GD26" si="54">IF(SUM(FP4:FQ4,FS4)-FR4&gt;0,SUM(FP4:FQ4,FS4)-FR4,"")</f>
        <v/>
      </c>
      <c r="GE4" s="40">
        <f t="shared" ref="GE4:GE26" si="55">IF(SUM(FI4,FM4,FQ4)&gt;0,SUM(FI4,FM4,FQ4),"")</f>
        <v>14</v>
      </c>
      <c r="GF4" s="40">
        <f t="shared" ref="GF4:GF26" si="56">IF(SUM(GC4,GD4)&gt;0,SUM(GC4,GD4),"")</f>
        <v>50.4</v>
      </c>
      <c r="GG4" s="40">
        <f t="shared" ref="GG4:GG26" si="57">IF(SUM(FU4,FY4)&gt;0,SUM(FU4,FY4),"")</f>
        <v>6.8</v>
      </c>
      <c r="GH4" s="40">
        <f t="shared" ref="GH4:GH26" si="58">IF(SUM(FT4:FU4,FW4:FY4,GA4)-SUM(FV4,FZ4)&gt;0,SUM(FT4:FU4,FW4:FY4,GA4)-SUM(FV4,FZ4),"")</f>
        <v>25.400000000000002</v>
      </c>
      <c r="GI4" s="40">
        <f t="shared" ref="GI4:GI26" si="59">IF(SUM(GC4,GD4,GH4)&gt;0,SUM(GC4,GD4,GH4),"")</f>
        <v>75.8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 t="shared" ref="HD4:HD26" si="60">IF(SUM(GK4,GO4)&gt;0,SUM(GK4,GO4),"")</f>
        <v/>
      </c>
      <c r="HE4" s="11" t="str">
        <f t="shared" ref="HE4:HE26" si="61">IF(SUM(GJ4:GK4,GM4:GO4,GQ4)-GL4-GP4&gt;0,SUM(GJ4:GK4,GM4:GO4,GQ4)-GL4-GP4,"")</f>
        <v/>
      </c>
      <c r="HF4" s="11" t="str">
        <f t="shared" ref="HF4:HF26" si="62">IF(SUM(GR4:GS4,GU4)-GT4&gt;0,SUM(GR4:GS4,GU4)-GT4,"")</f>
        <v/>
      </c>
      <c r="HG4" s="11" t="str">
        <f t="shared" ref="HG4:HG26" si="63">IF(SUM(GK4,GO4,GS4)&gt;0,SUM(GK4,GO4,GS4),"")</f>
        <v/>
      </c>
      <c r="HH4" s="11" t="str">
        <f t="shared" ref="HH4:HH26" si="64">IF(SUM(HE4,HF4)&gt;0,SUM(HE4,HF4),"")</f>
        <v/>
      </c>
      <c r="HI4" s="11" t="str">
        <f t="shared" ref="HI4:HI26" si="65">IF(SUM(GW4,HA4)&gt;0,SUM(GW4,HA4),"")</f>
        <v/>
      </c>
      <c r="HJ4" s="11" t="str">
        <f t="shared" ref="HJ4:HJ26" si="66">IF(SUM(GV4:GW4,GY4:HA4,HC4)-SUM(GX4,HB4)&gt;0,SUM(GV4:GW4,GY4:HA4,HC4)-SUM(GX4,HB4),"")</f>
        <v/>
      </c>
      <c r="HK4" s="11" t="str">
        <f t="shared" ref="HK4:HK26" si="67"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 t="shared" ref="IF4:IF26" si="68">IF(SUM(HM4,HQ4)&gt;0,SUM(HM4,HQ4),"")</f>
        <v/>
      </c>
      <c r="IG4" s="40" t="str">
        <f t="shared" ref="IG4:IG26" si="69">IF(SUM(HL4:HM4,HO4:HQ4,HS4)-HN4-HR4&gt;0,SUM(HL4:HM4,HO4:HQ4,HS4)-HN4-HR4,"")</f>
        <v/>
      </c>
      <c r="IH4" s="40" t="str">
        <f t="shared" ref="IH4:IH26" si="70">IF(SUM(HT4:HU4,HW4)-HV4&gt;0,SUM(HT4:HU4,HW4)-HV4,"")</f>
        <v/>
      </c>
      <c r="II4" s="40" t="str">
        <f t="shared" ref="II4:II26" si="71">IF(SUM(HM4,HQ4,HU4)&gt;0,SUM(HM4,HQ4,HU4),"")</f>
        <v/>
      </c>
      <c r="IJ4" s="40" t="str">
        <f t="shared" ref="IJ4:IJ26" si="72">IF(SUM(IG4,IH4)&gt;0,SUM(IG4,IH4),"")</f>
        <v/>
      </c>
      <c r="IK4" s="40" t="str">
        <f t="shared" ref="IK4:IK26" si="73">IF(SUM(HY4,IC4)&gt;0,SUM(HY4,IC4),"")</f>
        <v/>
      </c>
      <c r="IL4" s="40" t="str">
        <f t="shared" ref="IL4:IL26" si="74">IF(SUM(HX4:HY4,IA4:IC4,IE4)-SUM(HZ4,ID4)&gt;0,SUM(HX4:HY4,IA4:IC4,IE4)-SUM(HZ4,ID4),"")</f>
        <v/>
      </c>
      <c r="IM4" s="40" t="str">
        <f t="shared" ref="IM4:IM26" si="75"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 t="shared" ref="JH4:JH26" si="76">IF(SUM(IO4,IS4)&gt;0,SUM(IO4,IS4),"")</f>
        <v/>
      </c>
      <c r="JI4" s="11" t="str">
        <f t="shared" ref="JI4:JI26" si="77">IF(SUM(IN4:IO4,IQ4:IS4,IU4)-IP4-IT4&gt;0,SUM(IN4:IO4,IQ4:IS4,IU4)-IP4-IT4,"")</f>
        <v/>
      </c>
      <c r="JJ4" s="11" t="str">
        <f t="shared" ref="JJ4:JJ26" si="78">IF(SUM(IV4:IW4,IY4)-IX4&gt;0,SUM(IV4:IW4,IY4)-IX4,"")</f>
        <v/>
      </c>
      <c r="JK4" s="11" t="str">
        <f t="shared" ref="JK4:JK26" si="79">IF(SUM(IO4,IS4,IW4)&gt;0,SUM(IO4,IS4,IW4),"")</f>
        <v/>
      </c>
      <c r="JL4" s="11" t="str">
        <f t="shared" ref="JL4:JL26" si="80">IF(SUM(JI4,JJ4)&gt;0,SUM(JI4,JJ4),"")</f>
        <v/>
      </c>
      <c r="JM4" s="11" t="str">
        <f t="shared" ref="JM4:JM26" si="81">IF(SUM(JA4,JE4)&gt;0,SUM(JA4,JE4),"")</f>
        <v/>
      </c>
      <c r="JN4" s="11" t="str">
        <f t="shared" ref="JN4:JN26" si="82">IF(SUM(IZ4:JA4,JC4:JE4,JG4)-SUM(JB4,JF4)&gt;0,SUM(IZ4:JA4,JC4:JE4,JG4)-SUM(JB4,JF4),"")</f>
        <v/>
      </c>
      <c r="JO4" s="11" t="str">
        <f t="shared" ref="JO4:JO26" si="83"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 t="shared" ref="KJ4:KJ26" si="84">IF(SUM(JQ4,JU4)&gt;0,SUM(JQ4,JU4),"")</f>
        <v/>
      </c>
      <c r="KK4" s="40" t="str">
        <f t="shared" ref="KK4:KK26" si="85">IF(SUM(JP4:JQ4,JS4:JU4,JW4)-JR4-JV4&gt;0,SUM(JP4:JQ4,JS4:JU4,JW4)-JR4-JV4,"")</f>
        <v/>
      </c>
      <c r="KL4" s="40" t="str">
        <f t="shared" ref="KL4:KL26" si="86">IF(SUM(JX4:JY4,KA4)-JZ4&gt;0,SUM(JX4:JY4,KA4)-JZ4,"")</f>
        <v/>
      </c>
      <c r="KM4" s="40" t="str">
        <f t="shared" ref="KM4:KM26" si="87">IF(SUM(JQ4,JU4,JY4)&gt;0,SUM(JQ4,JU4,JY4),"")</f>
        <v/>
      </c>
      <c r="KN4" s="40" t="str">
        <f t="shared" ref="KN4:KN26" si="88">IF(SUM(KK4,KL4)&gt;0,SUM(KK4,KL4),"")</f>
        <v/>
      </c>
      <c r="KO4" s="40" t="str">
        <f t="shared" ref="KO4:KO26" si="89">IF(SUM(KC4,KG4)&gt;0,SUM(KC4,KG4),"")</f>
        <v/>
      </c>
      <c r="KP4" s="40" t="str">
        <f t="shared" ref="KP4:KP26" si="90">IF(SUM(KB4:KC4,KE4:KG4,KI4)-SUM(KD4,KH4)&gt;0,SUM(KB4:KC4,KE4:KG4,KI4)-SUM(KD4,KH4),"")</f>
        <v/>
      </c>
      <c r="KQ4" s="40" t="str">
        <f t="shared" ref="KQ4:KQ26" si="91"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 t="shared" ref="LL4:LL26" si="92">IF(SUM(KS4,KW4)&gt;0,SUM(KS4,KW4),"")</f>
        <v/>
      </c>
      <c r="LM4" s="11" t="str">
        <f t="shared" ref="LM4:LM26" si="93">IF(SUM(KR4:KS4,KU4:KW4,KY4)-KT4-KX4&gt;0,SUM(KR4:KS4,KU4:KW4,KY4)-KT4-KX4,"")</f>
        <v/>
      </c>
      <c r="LN4" s="11" t="str">
        <f t="shared" ref="LN4:LN26" si="94">IF(SUM(KZ4:LA4,LC4)-LB4&gt;0,SUM(KZ4:LA4,LC4)-LB4,"")</f>
        <v/>
      </c>
      <c r="LO4" s="11" t="str">
        <f t="shared" ref="LO4:LO26" si="95">IF(SUM(KS4,KW4,LA4)&gt;0,SUM(KS4,KW4,LA4),"")</f>
        <v/>
      </c>
      <c r="LP4" s="11" t="str">
        <f t="shared" ref="LP4:LP26" si="96">IF(SUM(LM4,LN4)&gt;0,SUM(LM4,LN4),"")</f>
        <v/>
      </c>
      <c r="LQ4" s="11" t="str">
        <f t="shared" ref="LQ4:LQ26" si="97">IF(SUM(LE4,LI4)&gt;0,SUM(LE4,LI4),"")</f>
        <v/>
      </c>
      <c r="LR4" s="11" t="str">
        <f t="shared" ref="LR4:LR26" si="98">IF(SUM(LD4:LE4,LG4:LI4,LK4)-SUM(LF4,LJ4)&gt;0,SUM(LD4:LE4,LG4:LI4,LK4)-SUM(LF4,LJ4),"")</f>
        <v/>
      </c>
      <c r="LS4" s="11" t="str">
        <f t="shared" ref="LS4:LS26" si="99"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 t="shared" ref="MN4:MN26" si="100">IF(SUM(LU4,LY4)&gt;0,SUM(LU4,LY4),"")</f>
        <v/>
      </c>
      <c r="MO4" s="40" t="str">
        <f t="shared" ref="MO4:MO26" si="101">IF(SUM(LT4:LU4,LW4:LY4,MA4)-LV4-LZ4&gt;0,SUM(LT4:LU4,LW4:LY4,MA4)-LV4-LZ4,"")</f>
        <v/>
      </c>
      <c r="MP4" s="40" t="str">
        <f t="shared" ref="MP4:MP26" si="102">IF(SUM(MB4:MC4,ME4)-MD4&gt;0,SUM(MB4:MC4,ME4)-MD4,"")</f>
        <v/>
      </c>
      <c r="MQ4" s="40" t="str">
        <f t="shared" ref="MQ4:MQ26" si="103">IF(SUM(LU4,LY4,MC4)&gt;0,SUM(LU4,LY4,MC4),"")</f>
        <v/>
      </c>
      <c r="MR4" s="40" t="str">
        <f t="shared" ref="MR4:MR26" si="104">IF(SUM(MO4,MP4)&gt;0,SUM(MO4,MP4),"")</f>
        <v/>
      </c>
      <c r="MS4" s="40" t="str">
        <f t="shared" ref="MS4:MS26" si="105">IF(SUM(MG4,MK4)&gt;0,SUM(MG4,MK4),"")</f>
        <v/>
      </c>
      <c r="MT4" s="40" t="str">
        <f t="shared" ref="MT4:MT26" si="106">IF(SUM(MF4:MG4,MI4:MK4,MM4)-SUM(MH4,ML4)&gt;0,SUM(MF4:MG4,MI4:MK4,MM4)-SUM(MH4,ML4),"")</f>
        <v/>
      </c>
      <c r="MU4" s="40" t="str">
        <f t="shared" ref="MU4:MU26" si="107"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 t="shared" ref="NP4:NP26" si="108">IF(SUM(MW4,NA4)&gt;0,SUM(MW4,NA4),"")</f>
        <v/>
      </c>
      <c r="NQ4" s="11" t="str">
        <f t="shared" ref="NQ4:NQ26" si="109">IF(SUM(MV4:MW4,MY4:NA4,NC4)-MX4-NB4&gt;0,SUM(MV4:MW4,MY4:NA4,NC4)-MX4-NB4,"")</f>
        <v/>
      </c>
      <c r="NR4" s="11" t="str">
        <f t="shared" ref="NR4:NR26" si="110">IF(SUM(ND4:NE4,NG4)-NF4&gt;0,SUM(ND4:NE4,NG4)-NF4,"")</f>
        <v/>
      </c>
      <c r="NS4" s="11" t="str">
        <f t="shared" ref="NS4:NS26" si="111">IF(SUM(MW4,NA4,NE4)&gt;0,SUM(MW4,NA4,NE4),"")</f>
        <v/>
      </c>
      <c r="NT4" s="11" t="str">
        <f t="shared" ref="NT4:NT26" si="112">IF(SUM(NQ4,NR4)&gt;0,SUM(NQ4,NR4),"")</f>
        <v/>
      </c>
      <c r="NU4" s="11" t="str">
        <f t="shared" ref="NU4:NU26" si="113">IF(SUM(NI4,NM4)&gt;0,SUM(NI4,NM4),"")</f>
        <v/>
      </c>
      <c r="NV4" s="11" t="str">
        <f t="shared" ref="NV4:NV26" si="114">IF(SUM(NH4:NI4,NK4:NM4,NO4)-SUM(NJ4,NN4)&gt;0,SUM(NH4:NI4,NK4:NM4,NO4)-SUM(NJ4,NN4),"")</f>
        <v/>
      </c>
      <c r="NW4" s="11" t="str">
        <f t="shared" ref="NW4:NW26" si="115"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 t="shared" ref="OR4:OR26" si="116">IF(SUM(NY4,OC4)&gt;0,SUM(NY4,OC4),"")</f>
        <v/>
      </c>
      <c r="OS4" s="40" t="str">
        <f t="shared" ref="OS4:OS26" si="117">IF(SUM(NX4:NY4,OA4:OC4,OE4)-NZ4-OD4&gt;0,SUM(NX4:NY4,OA4:OC4,OE4)-NZ4-OD4,"")</f>
        <v/>
      </c>
      <c r="OT4" s="40" t="str">
        <f t="shared" ref="OT4:OT26" si="118">IF(SUM(OF4:OG4,OI4)-OH4&gt;0,SUM(OF4:OG4,OI4)-OH4,"")</f>
        <v/>
      </c>
      <c r="OU4" s="40" t="str">
        <f t="shared" ref="OU4:OU26" si="119">IF(SUM(NY4,OC4,OG4)&gt;0,SUM(NY4,OC4,OG4),"")</f>
        <v/>
      </c>
      <c r="OV4" s="40" t="str">
        <f t="shared" ref="OV4:OV26" si="120">IF(SUM(OS4,OT4)&gt;0,SUM(OS4,OT4),"")</f>
        <v/>
      </c>
      <c r="OW4" s="40" t="str">
        <f t="shared" ref="OW4:OW26" si="121">IF(SUM(OK4,OO4)&gt;0,SUM(OK4,OO4),"")</f>
        <v/>
      </c>
      <c r="OX4" s="40" t="str">
        <f t="shared" ref="OX4:OX26" si="122">IF(SUM(OJ4:OK4,OM4:OO4,OQ4)-SUM(OL4,OP4)&gt;0,SUM(OJ4:OK4,OM4:OO4,OQ4)-SUM(OL4,OP4),"")</f>
        <v/>
      </c>
      <c r="OY4" s="40" t="str">
        <f t="shared" ref="OY4:OY26" si="123"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 t="shared" ref="PT4:PT26" si="124">IF(SUM(PA4,PE4)&gt;0,SUM(PA4,PE4),"")</f>
        <v/>
      </c>
      <c r="PU4" s="11" t="str">
        <f t="shared" ref="PU4:PU26" si="125">IF(SUM(OZ4:PA4,PC4:PE4,PG4)-PB4-PF4&gt;0,SUM(OZ4:PA4,PC4:PE4,PG4)-PB4-PF4,"")</f>
        <v/>
      </c>
      <c r="PV4" s="11" t="str">
        <f t="shared" ref="PV4:PV26" si="126">IF(SUM(PH4:PI4,PK4)-PJ4&gt;0,SUM(PH4:PI4,PK4)-PJ4,"")</f>
        <v/>
      </c>
      <c r="PW4" s="11" t="str">
        <f t="shared" ref="PW4:PW26" si="127">IF(SUM(PA4,PE4,PI4)&gt;0,SUM(PA4,PE4,PI4),"")</f>
        <v/>
      </c>
      <c r="PX4" s="11" t="str">
        <f t="shared" ref="PX4:PX26" si="128">IF(SUM(PU4,PV4)&gt;0,SUM(PU4,PV4),"")</f>
        <v/>
      </c>
      <c r="PY4" s="11" t="str">
        <f t="shared" ref="PY4:PY26" si="129">IF(SUM(PM4,PQ4)&gt;0,SUM(PM4,PQ4),"")</f>
        <v/>
      </c>
      <c r="PZ4" s="11" t="str">
        <f t="shared" ref="PZ4:PZ26" si="130">IF(SUM(PL4:PM4,PO4:PQ4,PS4)-SUM(PN4,PR4)&gt;0,SUM(PL4:PM4,PO4:PQ4,PS4)-SUM(PN4,PR4),"")</f>
        <v/>
      </c>
      <c r="QA4" s="11" t="str">
        <f t="shared" ref="QA4:QA26" si="131"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 t="shared" ref="QV4:QV26" si="132">IF(SUM(QC4,QG4)&gt;0,SUM(QC4,QG4),"")</f>
        <v/>
      </c>
      <c r="QW4" s="40" t="str">
        <f t="shared" ref="QW4:QW26" si="133">IF(SUM(QB4:QC4,QE4:QG4,QI4)-QD4-QH4&gt;0,SUM(QB4:QC4,QE4:QG4,QI4)-QD4-QH4,"")</f>
        <v/>
      </c>
      <c r="QX4" s="40" t="str">
        <f t="shared" ref="QX4:QX26" si="134">IF(SUM(QJ4:QK4,QM4)-QL4&gt;0,SUM(QJ4:QK4,QM4)-QL4,"")</f>
        <v/>
      </c>
      <c r="QY4" s="40" t="str">
        <f t="shared" ref="QY4:QY26" si="135">IF(SUM(QC4,QG4,QK4)&gt;0,SUM(QC4,QG4,QK4),"")</f>
        <v/>
      </c>
      <c r="QZ4" s="40" t="str">
        <f t="shared" ref="QZ4:QZ26" si="136">IF(SUM(QW4,QX4)&gt;0,SUM(QW4,QX4),"")</f>
        <v/>
      </c>
      <c r="RA4" s="40" t="str">
        <f t="shared" ref="RA4:RA26" si="137">IF(SUM(QO4,QS4)&gt;0,SUM(QO4,QS4),"")</f>
        <v/>
      </c>
      <c r="RB4" s="40" t="str">
        <f t="shared" ref="RB4:RB26" si="138">IF(SUM(QN4:QO4,QQ4:QS4,QU4)-SUM(QP4,QT4)&gt;0,SUM(QN4:QO4,QQ4:QS4,QU4)-SUM(QP4,QT4),"")</f>
        <v/>
      </c>
      <c r="RC4" s="40" t="str">
        <f t="shared" ref="RC4:RC26" si="139"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 t="shared" ref="RX4:RX26" si="140">IF(SUM(RE4,RI4)&gt;0,SUM(RE4,RI4),"")</f>
        <v/>
      </c>
      <c r="RY4" s="11" t="str">
        <f t="shared" ref="RY4:RY26" si="141">IF(SUM(RD4:RE4,RG4:RI4,RK4)-RF4-RJ4&gt;0,SUM(RD4:RE4,RG4:RI4,RK4)-RF4-RJ4,"")</f>
        <v/>
      </c>
      <c r="RZ4" s="11" t="str">
        <f t="shared" ref="RZ4:RZ26" si="142">IF(SUM(RL4:RM4,RO4)-RN4&gt;0,SUM(RL4:RM4,RO4)-RN4,"")</f>
        <v/>
      </c>
      <c r="SA4" s="11" t="str">
        <f t="shared" ref="SA4:SA26" si="143">IF(SUM(RE4,RI4,RM4)&gt;0,SUM(RE4,RI4,RM4),"")</f>
        <v/>
      </c>
      <c r="SB4" s="11" t="str">
        <f t="shared" ref="SB4:SB26" si="144">IF(SUM(RY4,RZ4)&gt;0,SUM(RY4,RZ4),"")</f>
        <v/>
      </c>
      <c r="SC4" s="11" t="str">
        <f t="shared" ref="SC4:SC26" si="145">IF(SUM(RQ4,RU4)&gt;0,SUM(RQ4,RU4),"")</f>
        <v/>
      </c>
      <c r="SD4" s="11" t="str">
        <f t="shared" ref="SD4:SD26" si="146">IF(SUM(RP4:RQ4,RS4:RU4,RW4)-SUM(RR4,RV4)&gt;0,SUM(RP4:RQ4,RS4:RU4,RW4)-SUM(RR4,RV4),"")</f>
        <v/>
      </c>
      <c r="SE4" s="11" t="str">
        <f t="shared" ref="SE4:SE26" si="147"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 t="shared" ref="SZ4:SZ26" si="148">IF(SUM(SG4,SK4)&gt;0,SUM(SG4,SK4),"")</f>
        <v/>
      </c>
      <c r="TA4" s="40" t="str">
        <f t="shared" ref="TA4:TA26" si="149">IF(SUM(SF4:SG4,SI4:SK4,SM4)-SH4-SL4&gt;0,SUM(SF4:SG4,SI4:SK4,SM4)-SH4-SL4,"")</f>
        <v/>
      </c>
      <c r="TB4" s="40" t="str">
        <f t="shared" ref="TB4:TB26" si="150">IF(SUM(SN4:SO4,SQ4)-SP4&gt;0,SUM(SN4:SO4,SQ4)-SP4,"")</f>
        <v/>
      </c>
      <c r="TC4" s="40" t="str">
        <f t="shared" ref="TC4:TC26" si="151">IF(SUM(SG4,SK4,SO4)&gt;0,SUM(SG4,SK4,SO4),"")</f>
        <v/>
      </c>
      <c r="TD4" s="40" t="str">
        <f t="shared" ref="TD4:TD26" si="152">IF(SUM(TA4,TB4)&gt;0,SUM(TA4,TB4),"")</f>
        <v/>
      </c>
      <c r="TE4" s="40" t="str">
        <f t="shared" ref="TE4:TE26" si="153">IF(SUM(SS4,SW4)&gt;0,SUM(SS4,SW4),"")</f>
        <v/>
      </c>
      <c r="TF4" s="40" t="str">
        <f t="shared" ref="TF4:TF26" si="154">IF(SUM(SR4:SS4,SU4:SW4,SY4)-SUM(ST4,SX4)&gt;0,SUM(SR4:SS4,SU4:SW4,SY4)-SUM(ST4,SX4),"")</f>
        <v/>
      </c>
      <c r="TG4" s="40" t="str">
        <f t="shared" ref="TG4:TG26" si="155">IF(SUM(TA4,TB4,TF4)&gt;0,SUM(TA4,TB4,TF4),"")</f>
        <v/>
      </c>
      <c r="TH4" s="26">
        <f t="shared" ref="TH4:TH26" si="156">IF($CS4="P",BY4,(BY4+AV4)/2)</f>
        <v>18.675000000000001</v>
      </c>
      <c r="TI4" s="26">
        <f t="shared" ref="TI4:TI26" si="157">IF($CS4="P",BZ4,(BZ4+AW4)/2)</f>
        <v>7</v>
      </c>
      <c r="TJ4" s="26">
        <f t="shared" ref="TJ4:TJ26" si="158">IF($CS4="P",CA4,(CA4+AX4)/2)</f>
        <v>0</v>
      </c>
      <c r="TK4" s="26">
        <f t="shared" ref="TK4:TK26" si="159">IF($CS4="P",CB4,(CB4+AY4)/2)</f>
        <v>0.3</v>
      </c>
      <c r="TL4" s="26">
        <f t="shared" ref="TL4:TL26" si="160">IF($CS4="P",CC4,(CC4+AZ4)/2)</f>
        <v>18.425000000000001</v>
      </c>
      <c r="TM4" s="26">
        <f t="shared" ref="TM4:TM26" si="161">IF($CS4="P",CD4,(CD4+BA4)/2)</f>
        <v>6.4</v>
      </c>
      <c r="TN4" s="26">
        <f t="shared" ref="TN4:TN26" si="162">IF($CS4="P",CE4,(CE4+BB4)/2)</f>
        <v>0.3</v>
      </c>
      <c r="TO4" s="26">
        <f t="shared" ref="TO4:TO26" si="163">IF($CS4="P",CF4,(CF4+BC4)/2)</f>
        <v>0.15</v>
      </c>
      <c r="TP4" s="26">
        <f t="shared" ref="TP4:TP26" si="164">IF($CS4="P",CG4,(CG4+BD4)/2)</f>
        <v>9.2750000000000004</v>
      </c>
      <c r="TQ4" s="26">
        <f t="shared" ref="TQ4:TQ26" si="165">IF($CS4="P",CH4,(CH4+BE4)/2)</f>
        <v>3.4</v>
      </c>
      <c r="TR4" s="26">
        <f t="shared" ref="TR4:TR26" si="166">IF($CS4="P",CI4,(CI4+BF4)/2)</f>
        <v>0.1</v>
      </c>
      <c r="TS4" s="26">
        <f t="shared" ref="TS4:TS26" si="167">IF($CS4="P",CJ4,(CJ4+BG4)/2)</f>
        <v>0.15</v>
      </c>
      <c r="TT4" s="26">
        <f t="shared" ref="TT4:TT26" si="168">IF($CS4="P",CK4,(CK4+BH4)/2)</f>
        <v>18.375</v>
      </c>
      <c r="TU4" s="26">
        <f t="shared" ref="TU4:TU26" si="169">IF($CS4="P",CL4,(CL4+BI4)/2)</f>
        <v>6.8000000000000007</v>
      </c>
      <c r="TV4" s="26">
        <f t="shared" ref="TV4:TV26" si="170">IF($CS4="P",CM4,(CM4+BJ4)/2)</f>
        <v>0.1</v>
      </c>
      <c r="TW4" s="26">
        <f t="shared" ref="TW4:TW26" si="171">IF($CS4="P",CN4,(CN4+BK4)/2)</f>
        <v>0.44999999999999996</v>
      </c>
      <c r="TX4" s="26">
        <f t="shared" ref="TX4:TX26" si="172">IF($CS4="P",CO4,(CO4+BL4)/2)</f>
        <v>18.024999999999999</v>
      </c>
      <c r="TY4" s="26">
        <f t="shared" ref="TY4:TY26" si="173">IF($CS4="P",CP4,(CP4+BM4)/2)</f>
        <v>6.6</v>
      </c>
      <c r="TZ4" s="26">
        <f t="shared" ref="TZ4:TZ26" si="174">IF($CS4="P",CQ4,(CQ4+BN4)/2)</f>
        <v>0.1</v>
      </c>
      <c r="UA4" s="26">
        <f t="shared" ref="UA4:UA26" si="175">IF($CS4="P",CR4,(CR4+BO4)/2)</f>
        <v>0.15</v>
      </c>
      <c r="UB4" s="28" t="s">
        <v>53</v>
      </c>
      <c r="UC4" s="11">
        <f t="shared" ref="UC4:UC26" si="176">IF(SUM(TI4,TM4)&gt;0,SUM(TI4,TM4),"")</f>
        <v>13.4</v>
      </c>
      <c r="UD4" s="11">
        <f t="shared" ref="UD4:UD26" si="177">IF(SUM(TH4:TI4,TK4:TM4,TO4)-TJ4-TN4&gt;0,SUM(TH4:TI4,TK4:TM4,TO4)-TJ4-TN4,"")</f>
        <v>50.650000000000006</v>
      </c>
      <c r="UE4" s="11">
        <f t="shared" ref="UE4:UE26" si="178">IF(SUM(TP4:TQ4,TS4)-TR4&gt;0,SUM(TP4:TQ4,TS4)-TR4,"")</f>
        <v>12.725000000000001</v>
      </c>
      <c r="UF4" s="11">
        <f t="shared" ref="UF4:UF26" si="179">IF(SUM(TI4,TM4,TQ4)&gt;0,SUM(TI4,TM4,TQ4),"")</f>
        <v>16.8</v>
      </c>
      <c r="UG4" s="11">
        <f t="shared" ref="UG4:UG26" si="180">IF(SUM(UD4,UE4)&gt;0,SUM(UD4,UE4),"")</f>
        <v>63.375000000000007</v>
      </c>
      <c r="UH4" s="11">
        <f t="shared" ref="UH4:UH26" si="181">IF(SUM(TU4,TY4)&gt;0,SUM(TU4,TY4),"")</f>
        <v>13.4</v>
      </c>
      <c r="UI4" s="11">
        <f t="shared" ref="UI4:UI26" si="182">IF(SUM(TT4:TU4,TW4:TY4,UA4)-SUM(TV4,TZ4)&gt;0,SUM(TT4:TU4,TW4:TY4,UA4)-SUM(TV4,TZ4),"")</f>
        <v>50.199999999999996</v>
      </c>
      <c r="UJ4" s="11">
        <f t="shared" ref="UJ4:UJ26" si="183">IF(SUM(UD4,UE4,UI4)&gt;0,SUM(UD4,UE4,UI4),"")</f>
        <v>113.575</v>
      </c>
    </row>
    <row r="5" spans="1:556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182</v>
      </c>
      <c r="C5" s="4" t="s">
        <v>6</v>
      </c>
      <c r="D5" s="4">
        <v>2007</v>
      </c>
      <c r="E5" s="9">
        <f t="shared" si="0"/>
        <v>153.00001016500508</v>
      </c>
      <c r="F5" s="3" t="str">
        <f t="shared" si="1"/>
        <v>P</v>
      </c>
      <c r="G5" s="3" t="str">
        <f t="shared" si="2"/>
        <v>P</v>
      </c>
      <c r="H5" s="36" t="str">
        <f t="shared" si="3"/>
        <v>Excellence</v>
      </c>
      <c r="I5" s="3" t="str">
        <f t="shared" si="4"/>
        <v>P</v>
      </c>
      <c r="J5" s="8">
        <f>IF(COUNT(AO5,BR5,CU5)&gt;0,LARGE((AO5,BR5,CU5),1),0)</f>
        <v>51</v>
      </c>
      <c r="K5" s="8" t="str">
        <f t="shared" si="5"/>
        <v>2024 Nationals</v>
      </c>
      <c r="L5" s="8">
        <f>IF(COUNT(AO5,BR5,CU5)&gt;1,LARGE((AO5,BR5,CU5),2),0)</f>
        <v>50.65</v>
      </c>
      <c r="M5" s="8" t="str">
        <f t="shared" si="6"/>
        <v>2024 3rd Domestic Trial</v>
      </c>
      <c r="N5" s="8">
        <f t="shared" si="7"/>
        <v>51.35</v>
      </c>
      <c r="O5" s="8" t="str">
        <f t="shared" si="8"/>
        <v>2024 3rd Domestic Trial</v>
      </c>
      <c r="P5" s="8" t="str">
        <f t="shared" si="9"/>
        <v/>
      </c>
      <c r="Q5" s="11" t="str">
        <f t="shared" ref="Q5:Q26" si="184">IF(P5="","",IF(P5=DB5,"("&amp;DB$2&amp;")",IF(P5=DC5,"("&amp;DC$2&amp;")")))</f>
        <v/>
      </c>
      <c r="R5" s="8" t="str">
        <f t="shared" ref="R5:R26" si="185"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19</v>
      </c>
      <c r="T5" s="19">
        <v>6.8</v>
      </c>
      <c r="U5" s="19">
        <v>0</v>
      </c>
      <c r="V5" s="19">
        <v>0.3</v>
      </c>
      <c r="W5" s="19">
        <v>18.5</v>
      </c>
      <c r="X5" s="19">
        <v>6.4</v>
      </c>
      <c r="Y5" s="19">
        <v>0</v>
      </c>
      <c r="Z5" s="19">
        <v>0</v>
      </c>
      <c r="AA5" s="19">
        <v>18.2</v>
      </c>
      <c r="AB5" s="19">
        <v>5.2</v>
      </c>
      <c r="AC5" s="19">
        <v>0.6</v>
      </c>
      <c r="AD5" s="19">
        <v>0.3</v>
      </c>
      <c r="AE5" s="19">
        <v>18.8</v>
      </c>
      <c r="AF5" s="19">
        <v>6.8</v>
      </c>
      <c r="AG5" s="19">
        <v>0</v>
      </c>
      <c r="AH5" s="19">
        <v>0.3</v>
      </c>
      <c r="AI5" s="19">
        <v>18.899999999999999</v>
      </c>
      <c r="AJ5" s="19">
        <v>6.4</v>
      </c>
      <c r="AK5" s="19">
        <v>0</v>
      </c>
      <c r="AL5" s="19">
        <v>0</v>
      </c>
      <c r="AM5" s="27"/>
      <c r="AN5" s="40">
        <f t="shared" si="10"/>
        <v>13.2</v>
      </c>
      <c r="AO5" s="40">
        <f t="shared" si="11"/>
        <v>51</v>
      </c>
      <c r="AP5" s="40">
        <f t="shared" si="12"/>
        <v>23.099999999999998</v>
      </c>
      <c r="AQ5" s="40">
        <f t="shared" si="13"/>
        <v>18.399999999999999</v>
      </c>
      <c r="AR5" s="40">
        <f t="shared" si="14"/>
        <v>74.099999999999994</v>
      </c>
      <c r="AS5" s="40">
        <f t="shared" si="15"/>
        <v>13.2</v>
      </c>
      <c r="AT5" s="40">
        <f t="shared" si="16"/>
        <v>51.199999999999996</v>
      </c>
      <c r="AU5" s="40">
        <f t="shared" si="17"/>
        <v>125.29999999999998</v>
      </c>
      <c r="AV5" s="18">
        <v>18.899999999999999</v>
      </c>
      <c r="AW5" s="18">
        <v>6.8</v>
      </c>
      <c r="AX5" s="18">
        <v>0</v>
      </c>
      <c r="AY5" s="18">
        <v>0.3</v>
      </c>
      <c r="AZ5" s="18">
        <v>18.55</v>
      </c>
      <c r="BA5" s="18">
        <v>6.4</v>
      </c>
      <c r="BB5" s="18">
        <v>0.3</v>
      </c>
      <c r="BC5" s="18">
        <v>0</v>
      </c>
      <c r="BD5" s="18">
        <v>18.299999999999997</v>
      </c>
      <c r="BE5" s="18">
        <v>5.6</v>
      </c>
      <c r="BF5" s="18">
        <v>0.6</v>
      </c>
      <c r="BG5" s="18">
        <v>0.3</v>
      </c>
      <c r="BH5" s="18">
        <v>18.899999999999999</v>
      </c>
      <c r="BI5" s="18">
        <v>6.8</v>
      </c>
      <c r="BJ5" s="18">
        <v>0</v>
      </c>
      <c r="BK5" s="18">
        <v>0.3</v>
      </c>
      <c r="BL5" s="18">
        <v>18.95</v>
      </c>
      <c r="BM5" s="18">
        <v>6.4</v>
      </c>
      <c r="BN5" s="18">
        <v>0</v>
      </c>
      <c r="BO5" s="18">
        <v>0</v>
      </c>
      <c r="BP5" s="28" t="s">
        <v>53</v>
      </c>
      <c r="BQ5" s="11">
        <f t="shared" si="18"/>
        <v>13.2</v>
      </c>
      <c r="BR5" s="11">
        <f t="shared" si="19"/>
        <v>50.65</v>
      </c>
      <c r="BS5" s="11">
        <f t="shared" si="20"/>
        <v>23.599999999999998</v>
      </c>
      <c r="BT5" s="11">
        <f t="shared" si="21"/>
        <v>18.799999999999997</v>
      </c>
      <c r="BU5" s="11">
        <f t="shared" si="22"/>
        <v>74.25</v>
      </c>
      <c r="BV5" s="11">
        <f t="shared" si="23"/>
        <v>13.2</v>
      </c>
      <c r="BW5" s="11">
        <f t="shared" si="24"/>
        <v>51.35</v>
      </c>
      <c r="BX5" s="11">
        <f t="shared" si="25"/>
        <v>125.6</v>
      </c>
      <c r="BY5" s="19">
        <v>18.760000000000002</v>
      </c>
      <c r="BZ5" s="19">
        <v>6.8</v>
      </c>
      <c r="CA5" s="19">
        <v>0.8</v>
      </c>
      <c r="CB5" s="19">
        <v>0.3</v>
      </c>
      <c r="CC5" s="19">
        <v>18.399999999999999</v>
      </c>
      <c r="CD5" s="19">
        <v>4.8</v>
      </c>
      <c r="CE5" s="19">
        <v>0</v>
      </c>
      <c r="CF5" s="19">
        <v>0</v>
      </c>
      <c r="CG5" s="19"/>
      <c r="CH5" s="19"/>
      <c r="CI5" s="19"/>
      <c r="CJ5" s="19"/>
      <c r="CK5" s="19">
        <v>18.2</v>
      </c>
      <c r="CL5" s="19">
        <v>7.2</v>
      </c>
      <c r="CM5" s="19">
        <v>0.2</v>
      </c>
      <c r="CN5" s="19">
        <v>0.3</v>
      </c>
      <c r="CO5" s="19">
        <v>18.600000000000001</v>
      </c>
      <c r="CP5" s="19">
        <v>6</v>
      </c>
      <c r="CQ5" s="19">
        <v>0</v>
      </c>
      <c r="CR5" s="19">
        <v>0</v>
      </c>
      <c r="CS5" s="27"/>
      <c r="CT5" s="40">
        <f t="shared" si="26"/>
        <v>11.6</v>
      </c>
      <c r="CU5" s="40">
        <f t="shared" si="27"/>
        <v>48.260000000000005</v>
      </c>
      <c r="CV5" s="40" t="str">
        <f t="shared" si="28"/>
        <v/>
      </c>
      <c r="CW5" s="40">
        <f t="shared" si="29"/>
        <v>11.6</v>
      </c>
      <c r="CX5" s="40">
        <f t="shared" si="30"/>
        <v>48.260000000000005</v>
      </c>
      <c r="CY5" s="40">
        <f t="shared" si="31"/>
        <v>13.2</v>
      </c>
      <c r="CZ5" s="40">
        <f t="shared" si="32"/>
        <v>50.099999999999994</v>
      </c>
      <c r="DA5" s="40">
        <f t="shared" si="33"/>
        <v>98.36</v>
      </c>
      <c r="DB5" s="51" t="str">
        <f t="shared" si="34"/>
        <v/>
      </c>
      <c r="DC5" s="51" t="str">
        <f t="shared" si="35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 t="shared" si="36"/>
        <v/>
      </c>
      <c r="DY5" s="40" t="str">
        <f t="shared" si="37"/>
        <v/>
      </c>
      <c r="DZ5" s="40" t="str">
        <f t="shared" si="38"/>
        <v/>
      </c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 t="shared" si="44"/>
        <v/>
      </c>
      <c r="FA5" s="11" t="str">
        <f t="shared" si="45"/>
        <v/>
      </c>
      <c r="FB5" s="11" t="str">
        <f t="shared" si="46"/>
        <v/>
      </c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7">
        <v>18.8</v>
      </c>
      <c r="FI5" s="17">
        <v>7.2</v>
      </c>
      <c r="FJ5" s="17">
        <v>0</v>
      </c>
      <c r="FK5" s="17">
        <v>0</v>
      </c>
      <c r="FL5" s="17">
        <v>18.600000000000001</v>
      </c>
      <c r="FM5" s="17">
        <v>6</v>
      </c>
      <c r="FN5" s="17">
        <v>0.2</v>
      </c>
      <c r="FO5" s="17">
        <v>0</v>
      </c>
      <c r="FP5" s="17"/>
      <c r="FQ5" s="17"/>
      <c r="FR5" s="17"/>
      <c r="FS5" s="17"/>
      <c r="FT5" s="17">
        <v>19</v>
      </c>
      <c r="FU5" s="17">
        <v>7.2</v>
      </c>
      <c r="FV5" s="17">
        <v>0</v>
      </c>
      <c r="FW5" s="17">
        <v>0</v>
      </c>
      <c r="FX5" s="17">
        <v>18.600000000000001</v>
      </c>
      <c r="FY5" s="17">
        <v>6</v>
      </c>
      <c r="FZ5" s="17">
        <v>0.6</v>
      </c>
      <c r="GA5" s="17">
        <v>0</v>
      </c>
      <c r="GB5" s="40">
        <f t="shared" si="52"/>
        <v>13.2</v>
      </c>
      <c r="GC5" s="40">
        <f t="shared" si="53"/>
        <v>50.4</v>
      </c>
      <c r="GD5" s="40" t="str">
        <f t="shared" si="54"/>
        <v/>
      </c>
      <c r="GE5" s="40">
        <f t="shared" si="55"/>
        <v>13.2</v>
      </c>
      <c r="GF5" s="40">
        <f t="shared" si="56"/>
        <v>50.4</v>
      </c>
      <c r="GG5" s="40">
        <f t="shared" si="57"/>
        <v>13.2</v>
      </c>
      <c r="GH5" s="40">
        <f t="shared" si="58"/>
        <v>50.199999999999996</v>
      </c>
      <c r="GI5" s="40">
        <f t="shared" si="59"/>
        <v>100.6</v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 t="shared" si="60"/>
        <v/>
      </c>
      <c r="HE5" s="11" t="str">
        <f t="shared" si="61"/>
        <v/>
      </c>
      <c r="HF5" s="11" t="str">
        <f t="shared" si="62"/>
        <v/>
      </c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 t="shared" si="68"/>
        <v/>
      </c>
      <c r="IG5" s="40" t="str">
        <f t="shared" si="69"/>
        <v/>
      </c>
      <c r="IH5" s="40" t="str">
        <f t="shared" si="70"/>
        <v/>
      </c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 t="shared" si="76"/>
        <v/>
      </c>
      <c r="JI5" s="11" t="str">
        <f t="shared" si="77"/>
        <v/>
      </c>
      <c r="JJ5" s="11" t="str">
        <f t="shared" si="78"/>
        <v/>
      </c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 t="shared" si="84"/>
        <v/>
      </c>
      <c r="KK5" s="40" t="str">
        <f t="shared" si="85"/>
        <v/>
      </c>
      <c r="KL5" s="40" t="str">
        <f t="shared" si="86"/>
        <v/>
      </c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 t="shared" si="92"/>
        <v/>
      </c>
      <c r="LM5" s="11" t="str">
        <f t="shared" si="93"/>
        <v/>
      </c>
      <c r="LN5" s="11" t="str">
        <f t="shared" si="94"/>
        <v/>
      </c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 t="shared" si="100"/>
        <v/>
      </c>
      <c r="MO5" s="40" t="str">
        <f t="shared" si="101"/>
        <v/>
      </c>
      <c r="MP5" s="40" t="str">
        <f t="shared" si="102"/>
        <v/>
      </c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 t="shared" si="108"/>
        <v/>
      </c>
      <c r="NQ5" s="11" t="str">
        <f t="shared" si="109"/>
        <v/>
      </c>
      <c r="NR5" s="11" t="str">
        <f t="shared" si="110"/>
        <v/>
      </c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 t="shared" si="116"/>
        <v/>
      </c>
      <c r="OS5" s="40" t="str">
        <f t="shared" si="117"/>
        <v/>
      </c>
      <c r="OT5" s="40" t="str">
        <f t="shared" si="118"/>
        <v/>
      </c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 t="shared" si="124"/>
        <v/>
      </c>
      <c r="PU5" s="11" t="str">
        <f t="shared" si="125"/>
        <v/>
      </c>
      <c r="PV5" s="11" t="str">
        <f t="shared" si="126"/>
        <v/>
      </c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 t="shared" si="132"/>
        <v/>
      </c>
      <c r="QW5" s="40" t="str">
        <f t="shared" si="133"/>
        <v/>
      </c>
      <c r="QX5" s="40" t="str">
        <f t="shared" si="134"/>
        <v/>
      </c>
      <c r="QY5" s="40" t="str">
        <f t="shared" si="135"/>
        <v/>
      </c>
      <c r="QZ5" s="40" t="str">
        <f t="shared" si="136"/>
        <v/>
      </c>
      <c r="RA5" s="40" t="str">
        <f t="shared" si="137"/>
        <v/>
      </c>
      <c r="RB5" s="40" t="str">
        <f t="shared" si="138"/>
        <v/>
      </c>
      <c r="RC5" s="40" t="str">
        <f t="shared" si="139"/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 t="shared" si="140"/>
        <v/>
      </c>
      <c r="RY5" s="11" t="str">
        <f t="shared" si="141"/>
        <v/>
      </c>
      <c r="RZ5" s="11" t="str">
        <f t="shared" si="142"/>
        <v/>
      </c>
      <c r="SA5" s="11" t="str">
        <f t="shared" si="143"/>
        <v/>
      </c>
      <c r="SB5" s="11" t="str">
        <f t="shared" si="144"/>
        <v/>
      </c>
      <c r="SC5" s="11" t="str">
        <f t="shared" si="145"/>
        <v/>
      </c>
      <c r="SD5" s="11" t="str">
        <f t="shared" si="146"/>
        <v/>
      </c>
      <c r="SE5" s="11" t="str">
        <f t="shared" si="147"/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 t="shared" si="148"/>
        <v/>
      </c>
      <c r="TA5" s="40" t="str">
        <f t="shared" si="149"/>
        <v/>
      </c>
      <c r="TB5" s="40" t="str">
        <f t="shared" si="150"/>
        <v/>
      </c>
      <c r="TC5" s="40" t="str">
        <f t="shared" si="151"/>
        <v/>
      </c>
      <c r="TD5" s="40" t="str">
        <f t="shared" si="152"/>
        <v/>
      </c>
      <c r="TE5" s="40" t="str">
        <f t="shared" si="153"/>
        <v/>
      </c>
      <c r="TF5" s="40" t="str">
        <f t="shared" si="154"/>
        <v/>
      </c>
      <c r="TG5" s="40" t="str">
        <f t="shared" si="155"/>
        <v/>
      </c>
      <c r="TH5" s="26">
        <f t="shared" si="156"/>
        <v>18.829999999999998</v>
      </c>
      <c r="TI5" s="26">
        <f t="shared" si="157"/>
        <v>6.8</v>
      </c>
      <c r="TJ5" s="26">
        <f t="shared" si="158"/>
        <v>0.4</v>
      </c>
      <c r="TK5" s="26">
        <f t="shared" si="159"/>
        <v>0.3</v>
      </c>
      <c r="TL5" s="26">
        <f t="shared" si="160"/>
        <v>18.475000000000001</v>
      </c>
      <c r="TM5" s="26">
        <f t="shared" si="161"/>
        <v>5.6</v>
      </c>
      <c r="TN5" s="26">
        <f t="shared" si="162"/>
        <v>0.15</v>
      </c>
      <c r="TO5" s="26">
        <f t="shared" si="163"/>
        <v>0</v>
      </c>
      <c r="TP5" s="26">
        <f t="shared" si="164"/>
        <v>9.1499999999999986</v>
      </c>
      <c r="TQ5" s="26">
        <f t="shared" si="165"/>
        <v>2.8</v>
      </c>
      <c r="TR5" s="26">
        <f t="shared" si="166"/>
        <v>0.3</v>
      </c>
      <c r="TS5" s="26">
        <f t="shared" si="167"/>
        <v>0.15</v>
      </c>
      <c r="TT5" s="26">
        <f t="shared" si="168"/>
        <v>18.549999999999997</v>
      </c>
      <c r="TU5" s="26">
        <f t="shared" si="169"/>
        <v>7</v>
      </c>
      <c r="TV5" s="26">
        <f t="shared" si="170"/>
        <v>0.1</v>
      </c>
      <c r="TW5" s="26">
        <f t="shared" si="171"/>
        <v>0.3</v>
      </c>
      <c r="TX5" s="26">
        <f t="shared" si="172"/>
        <v>18.774999999999999</v>
      </c>
      <c r="TY5" s="26">
        <f t="shared" si="173"/>
        <v>6.2</v>
      </c>
      <c r="TZ5" s="26">
        <f t="shared" si="174"/>
        <v>0</v>
      </c>
      <c r="UA5" s="26">
        <f t="shared" si="175"/>
        <v>0</v>
      </c>
      <c r="UB5" s="28" t="s">
        <v>53</v>
      </c>
      <c r="UC5" s="11">
        <f t="shared" si="176"/>
        <v>12.399999999999999</v>
      </c>
      <c r="UD5" s="11">
        <f t="shared" si="177"/>
        <v>49.455000000000005</v>
      </c>
      <c r="UE5" s="11">
        <f t="shared" si="178"/>
        <v>11.799999999999999</v>
      </c>
      <c r="UF5" s="11">
        <f t="shared" si="179"/>
        <v>15.2</v>
      </c>
      <c r="UG5" s="11">
        <f t="shared" si="180"/>
        <v>61.255000000000003</v>
      </c>
      <c r="UH5" s="11">
        <f t="shared" si="181"/>
        <v>13.2</v>
      </c>
      <c r="UI5" s="11">
        <f t="shared" si="182"/>
        <v>50.725000000000001</v>
      </c>
      <c r="UJ5" s="11">
        <f t="shared" si="183"/>
        <v>111.98</v>
      </c>
    </row>
    <row r="6" spans="1:556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200</v>
      </c>
      <c r="C6" s="4" t="s">
        <v>5</v>
      </c>
      <c r="D6" s="4">
        <v>2005</v>
      </c>
      <c r="E6" s="9">
        <f t="shared" si="0"/>
        <v>149.80000993000505</v>
      </c>
      <c r="F6" s="3" t="str">
        <f t="shared" si="1"/>
        <v>P</v>
      </c>
      <c r="G6" s="3" t="str">
        <f t="shared" si="2"/>
        <v>P</v>
      </c>
      <c r="H6" s="36" t="str">
        <f t="shared" si="3"/>
        <v>Excellence</v>
      </c>
      <c r="I6" s="3" t="str">
        <f t="shared" si="4"/>
        <v>P</v>
      </c>
      <c r="J6" s="8">
        <f>IF(COUNT(AO6,BR6,CU6)&gt;0,LARGE((AO6,BR6,CU6),1),0)</f>
        <v>50.599999999999994</v>
      </c>
      <c r="K6" s="8" t="str">
        <f t="shared" si="5"/>
        <v>2024 3rd Domestic Trial</v>
      </c>
      <c r="L6" s="8">
        <f>IF(COUNT(AO6,BR6,CU6)&gt;1,LARGE((AO6,BR6,CU6),2),0)</f>
        <v>48.699999999999996</v>
      </c>
      <c r="M6" s="8" t="str">
        <f t="shared" si="6"/>
        <v>2025 Elite Canada</v>
      </c>
      <c r="N6" s="8">
        <f t="shared" si="7"/>
        <v>50.5</v>
      </c>
      <c r="O6" s="8" t="str">
        <f t="shared" si="8"/>
        <v>2025 Elite Canada</v>
      </c>
      <c r="P6" s="8" t="str">
        <f t="shared" si="9"/>
        <v/>
      </c>
      <c r="Q6" s="11" t="str">
        <f t="shared" si="184"/>
        <v/>
      </c>
      <c r="R6" s="8" t="str">
        <f t="shared" si="185"/>
        <v/>
      </c>
      <c r="S6" s="19">
        <v>17.399999999999999</v>
      </c>
      <c r="T6" s="19">
        <v>2.4</v>
      </c>
      <c r="U6" s="19">
        <v>0</v>
      </c>
      <c r="V6" s="19">
        <v>0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27"/>
      <c r="AN6" s="40">
        <f t="shared" si="10"/>
        <v>2.4</v>
      </c>
      <c r="AO6" s="40">
        <f t="shared" si="11"/>
        <v>19.799999999999997</v>
      </c>
      <c r="AP6" s="40" t="str">
        <f t="shared" si="12"/>
        <v/>
      </c>
      <c r="AQ6" s="40">
        <f t="shared" si="13"/>
        <v>2.4</v>
      </c>
      <c r="AR6" s="40">
        <f t="shared" si="14"/>
        <v>19.799999999999997</v>
      </c>
      <c r="AS6" s="40" t="str">
        <f t="shared" si="15"/>
        <v/>
      </c>
      <c r="AT6" s="40" t="str">
        <f t="shared" si="16"/>
        <v/>
      </c>
      <c r="AU6" s="40">
        <f t="shared" si="17"/>
        <v>19.799999999999997</v>
      </c>
      <c r="AV6" s="18">
        <v>18.7</v>
      </c>
      <c r="AW6" s="18">
        <v>6.8</v>
      </c>
      <c r="AX6" s="18">
        <v>0.6</v>
      </c>
      <c r="AY6" s="18">
        <v>0.3</v>
      </c>
      <c r="AZ6" s="18">
        <v>19</v>
      </c>
      <c r="BA6" s="18">
        <v>6.4</v>
      </c>
      <c r="BB6" s="18">
        <v>0</v>
      </c>
      <c r="BC6" s="18">
        <v>0</v>
      </c>
      <c r="BD6" s="18">
        <v>18.600000000000001</v>
      </c>
      <c r="BE6" s="18">
        <v>5.2</v>
      </c>
      <c r="BF6" s="18">
        <v>0.6</v>
      </c>
      <c r="BG6" s="18">
        <v>0</v>
      </c>
      <c r="BH6" s="18">
        <v>18.2</v>
      </c>
      <c r="BI6" s="18">
        <v>6.8</v>
      </c>
      <c r="BJ6" s="18">
        <v>0.2</v>
      </c>
      <c r="BK6" s="18">
        <v>0.3</v>
      </c>
      <c r="BL6" s="18">
        <v>18.399999999999999</v>
      </c>
      <c r="BM6" s="18">
        <v>6.4</v>
      </c>
      <c r="BN6" s="18">
        <v>0.6</v>
      </c>
      <c r="BO6" s="18">
        <v>0</v>
      </c>
      <c r="BP6" s="28"/>
      <c r="BQ6" s="11">
        <f t="shared" si="18"/>
        <v>13.2</v>
      </c>
      <c r="BR6" s="11">
        <f t="shared" si="19"/>
        <v>50.599999999999994</v>
      </c>
      <c r="BS6" s="11">
        <f t="shared" si="20"/>
        <v>23.2</v>
      </c>
      <c r="BT6" s="11">
        <f t="shared" si="21"/>
        <v>18.399999999999999</v>
      </c>
      <c r="BU6" s="11">
        <f t="shared" si="22"/>
        <v>73.8</v>
      </c>
      <c r="BV6" s="11">
        <f t="shared" si="23"/>
        <v>13.2</v>
      </c>
      <c r="BW6" s="11">
        <f t="shared" si="24"/>
        <v>49.300000000000004</v>
      </c>
      <c r="BX6" s="11">
        <f t="shared" si="25"/>
        <v>123.1</v>
      </c>
      <c r="BY6" s="19">
        <v>18.399999999999999</v>
      </c>
      <c r="BZ6" s="19">
        <v>6</v>
      </c>
      <c r="CA6" s="19">
        <v>0.2</v>
      </c>
      <c r="CB6" s="19">
        <v>0.3</v>
      </c>
      <c r="CC6" s="19">
        <v>18.600000000000001</v>
      </c>
      <c r="CD6" s="19">
        <v>6.4</v>
      </c>
      <c r="CE6" s="19">
        <v>0.8</v>
      </c>
      <c r="CF6" s="19">
        <v>0</v>
      </c>
      <c r="CG6" s="19"/>
      <c r="CH6" s="19"/>
      <c r="CI6" s="19"/>
      <c r="CJ6" s="19"/>
      <c r="CK6" s="19">
        <v>18.600000000000001</v>
      </c>
      <c r="CL6" s="19">
        <v>6.8</v>
      </c>
      <c r="CM6" s="19">
        <v>0.2</v>
      </c>
      <c r="CN6" s="19">
        <v>0.3</v>
      </c>
      <c r="CO6" s="19">
        <v>18.600000000000001</v>
      </c>
      <c r="CP6" s="19">
        <v>6.4</v>
      </c>
      <c r="CQ6" s="19">
        <v>0</v>
      </c>
      <c r="CR6" s="19">
        <v>0</v>
      </c>
      <c r="CS6" s="27"/>
      <c r="CT6" s="40">
        <f t="shared" si="26"/>
        <v>12.4</v>
      </c>
      <c r="CU6" s="40">
        <f t="shared" si="27"/>
        <v>48.699999999999996</v>
      </c>
      <c r="CV6" s="40" t="str">
        <f t="shared" si="28"/>
        <v/>
      </c>
      <c r="CW6" s="40">
        <f t="shared" si="29"/>
        <v>12.4</v>
      </c>
      <c r="CX6" s="40">
        <f t="shared" si="30"/>
        <v>48.699999999999996</v>
      </c>
      <c r="CY6" s="40">
        <f t="shared" si="31"/>
        <v>13.2</v>
      </c>
      <c r="CZ6" s="40">
        <f t="shared" si="32"/>
        <v>50.5</v>
      </c>
      <c r="DA6" s="40">
        <f t="shared" si="33"/>
        <v>99.199999999999989</v>
      </c>
      <c r="DB6" s="51" t="str">
        <f t="shared" si="34"/>
        <v/>
      </c>
      <c r="DC6" s="51" t="str">
        <f t="shared" si="35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 t="shared" si="36"/>
        <v/>
      </c>
      <c r="DY6" s="40" t="str">
        <f t="shared" si="37"/>
        <v/>
      </c>
      <c r="DZ6" s="40" t="str">
        <f t="shared" si="38"/>
        <v/>
      </c>
      <c r="EA6" s="40" t="str">
        <f t="shared" si="39"/>
        <v/>
      </c>
      <c r="EB6" s="40" t="str">
        <f t="shared" si="40"/>
        <v/>
      </c>
      <c r="EC6" s="40" t="str">
        <f t="shared" si="41"/>
        <v/>
      </c>
      <c r="ED6" s="40" t="str">
        <f t="shared" si="42"/>
        <v/>
      </c>
      <c r="EE6" s="40" t="str">
        <f t="shared" si="43"/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 t="shared" si="44"/>
        <v/>
      </c>
      <c r="FA6" s="11" t="str">
        <f t="shared" si="45"/>
        <v/>
      </c>
      <c r="FB6" s="11" t="str">
        <f t="shared" si="46"/>
        <v/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 t="shared" si="52"/>
        <v/>
      </c>
      <c r="GC6" s="40" t="str">
        <f t="shared" si="53"/>
        <v/>
      </c>
      <c r="GD6" s="40" t="str">
        <f t="shared" si="54"/>
        <v/>
      </c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 t="shared" si="60"/>
        <v/>
      </c>
      <c r="HE6" s="11" t="str">
        <f t="shared" si="61"/>
        <v/>
      </c>
      <c r="HF6" s="11" t="str">
        <f t="shared" si="62"/>
        <v/>
      </c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 t="shared" si="68"/>
        <v/>
      </c>
      <c r="IG6" s="40" t="str">
        <f t="shared" si="69"/>
        <v/>
      </c>
      <c r="IH6" s="40" t="str">
        <f t="shared" si="70"/>
        <v/>
      </c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 t="shared" si="76"/>
        <v/>
      </c>
      <c r="JI6" s="11" t="str">
        <f t="shared" si="77"/>
        <v/>
      </c>
      <c r="JJ6" s="11" t="str">
        <f t="shared" si="78"/>
        <v/>
      </c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 t="shared" si="84"/>
        <v/>
      </c>
      <c r="KK6" s="40" t="str">
        <f t="shared" si="85"/>
        <v/>
      </c>
      <c r="KL6" s="40" t="str">
        <f t="shared" si="86"/>
        <v/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 t="shared" si="92"/>
        <v/>
      </c>
      <c r="LM6" s="11" t="str">
        <f t="shared" si="93"/>
        <v/>
      </c>
      <c r="LN6" s="11" t="str">
        <f t="shared" si="94"/>
        <v/>
      </c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 t="shared" si="100"/>
        <v/>
      </c>
      <c r="MO6" s="40" t="str">
        <f t="shared" si="101"/>
        <v/>
      </c>
      <c r="MP6" s="40" t="str">
        <f t="shared" si="102"/>
        <v/>
      </c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 t="shared" si="108"/>
        <v/>
      </c>
      <c r="NQ6" s="11" t="str">
        <f t="shared" si="109"/>
        <v/>
      </c>
      <c r="NR6" s="11" t="str">
        <f t="shared" si="110"/>
        <v/>
      </c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 t="shared" si="116"/>
        <v/>
      </c>
      <c r="OS6" s="40" t="str">
        <f t="shared" si="117"/>
        <v/>
      </c>
      <c r="OT6" s="40" t="str">
        <f t="shared" si="118"/>
        <v/>
      </c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 t="shared" si="124"/>
        <v/>
      </c>
      <c r="PU6" s="11" t="str">
        <f t="shared" si="125"/>
        <v/>
      </c>
      <c r="PV6" s="11" t="str">
        <f t="shared" si="126"/>
        <v/>
      </c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 t="shared" si="132"/>
        <v/>
      </c>
      <c r="QW6" s="40" t="str">
        <f t="shared" si="133"/>
        <v/>
      </c>
      <c r="QX6" s="40" t="str">
        <f t="shared" si="134"/>
        <v/>
      </c>
      <c r="QY6" s="40" t="str">
        <f t="shared" si="135"/>
        <v/>
      </c>
      <c r="QZ6" s="40" t="str">
        <f t="shared" si="136"/>
        <v/>
      </c>
      <c r="RA6" s="40" t="str">
        <f t="shared" si="137"/>
        <v/>
      </c>
      <c r="RB6" s="40" t="str">
        <f t="shared" si="138"/>
        <v/>
      </c>
      <c r="RC6" s="40" t="str">
        <f t="shared" si="139"/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 t="shared" si="140"/>
        <v/>
      </c>
      <c r="RY6" s="11" t="str">
        <f t="shared" si="141"/>
        <v/>
      </c>
      <c r="RZ6" s="11" t="str">
        <f t="shared" si="142"/>
        <v/>
      </c>
      <c r="SA6" s="11" t="str">
        <f t="shared" si="143"/>
        <v/>
      </c>
      <c r="SB6" s="11" t="str">
        <f t="shared" si="144"/>
        <v/>
      </c>
      <c r="SC6" s="11" t="str">
        <f t="shared" si="145"/>
        <v/>
      </c>
      <c r="SD6" s="11" t="str">
        <f t="shared" si="146"/>
        <v/>
      </c>
      <c r="SE6" s="11" t="str">
        <f t="shared" si="147"/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 t="shared" si="148"/>
        <v/>
      </c>
      <c r="TA6" s="40" t="str">
        <f t="shared" si="149"/>
        <v/>
      </c>
      <c r="TB6" s="40" t="str">
        <f t="shared" si="150"/>
        <v/>
      </c>
      <c r="TC6" s="40" t="str">
        <f t="shared" si="151"/>
        <v/>
      </c>
      <c r="TD6" s="40" t="str">
        <f t="shared" si="152"/>
        <v/>
      </c>
      <c r="TE6" s="40" t="str">
        <f t="shared" si="153"/>
        <v/>
      </c>
      <c r="TF6" s="40" t="str">
        <f t="shared" si="154"/>
        <v/>
      </c>
      <c r="TG6" s="40" t="str">
        <f t="shared" si="155"/>
        <v/>
      </c>
      <c r="TH6" s="26">
        <f t="shared" si="156"/>
        <v>18.549999999999997</v>
      </c>
      <c r="TI6" s="26">
        <f t="shared" si="157"/>
        <v>6.4</v>
      </c>
      <c r="TJ6" s="26">
        <f t="shared" si="158"/>
        <v>0.4</v>
      </c>
      <c r="TK6" s="26">
        <f t="shared" si="159"/>
        <v>0.3</v>
      </c>
      <c r="TL6" s="26">
        <f t="shared" si="160"/>
        <v>18.8</v>
      </c>
      <c r="TM6" s="26">
        <f t="shared" si="161"/>
        <v>6.4</v>
      </c>
      <c r="TN6" s="26">
        <f t="shared" si="162"/>
        <v>0.4</v>
      </c>
      <c r="TO6" s="26">
        <f t="shared" si="163"/>
        <v>0</v>
      </c>
      <c r="TP6" s="26">
        <f t="shared" si="164"/>
        <v>9.3000000000000007</v>
      </c>
      <c r="TQ6" s="26">
        <f t="shared" si="165"/>
        <v>2.6</v>
      </c>
      <c r="TR6" s="26">
        <f t="shared" si="166"/>
        <v>0.3</v>
      </c>
      <c r="TS6" s="26">
        <f t="shared" si="167"/>
        <v>0</v>
      </c>
      <c r="TT6" s="26">
        <f t="shared" si="168"/>
        <v>18.399999999999999</v>
      </c>
      <c r="TU6" s="26">
        <f t="shared" si="169"/>
        <v>6.8</v>
      </c>
      <c r="TV6" s="26">
        <f t="shared" si="170"/>
        <v>0.2</v>
      </c>
      <c r="TW6" s="26">
        <f t="shared" si="171"/>
        <v>0.3</v>
      </c>
      <c r="TX6" s="26">
        <f t="shared" si="172"/>
        <v>18.5</v>
      </c>
      <c r="TY6" s="26">
        <f t="shared" si="173"/>
        <v>6.4</v>
      </c>
      <c r="TZ6" s="26">
        <f t="shared" si="174"/>
        <v>0.3</v>
      </c>
      <c r="UA6" s="26">
        <f t="shared" si="175"/>
        <v>0</v>
      </c>
      <c r="UB6" s="28" t="s">
        <v>53</v>
      </c>
      <c r="UC6" s="11">
        <f t="shared" si="176"/>
        <v>12.8</v>
      </c>
      <c r="UD6" s="11">
        <f t="shared" si="177"/>
        <v>49.65</v>
      </c>
      <c r="UE6" s="11">
        <f t="shared" si="178"/>
        <v>11.6</v>
      </c>
      <c r="UF6" s="11">
        <f t="shared" si="179"/>
        <v>15.4</v>
      </c>
      <c r="UG6" s="11">
        <f t="shared" si="180"/>
        <v>61.25</v>
      </c>
      <c r="UH6" s="11">
        <f t="shared" si="181"/>
        <v>13.2</v>
      </c>
      <c r="UI6" s="11">
        <f t="shared" si="182"/>
        <v>49.9</v>
      </c>
      <c r="UJ6" s="11">
        <f t="shared" si="183"/>
        <v>111.15</v>
      </c>
    </row>
    <row r="7" spans="1:556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90</v>
      </c>
      <c r="C7" s="4" t="s">
        <v>5</v>
      </c>
      <c r="D7" s="4">
        <v>1999</v>
      </c>
      <c r="E7" s="9">
        <f t="shared" si="0"/>
        <v>148.90000984000491</v>
      </c>
      <c r="F7" s="3" t="str">
        <f t="shared" si="1"/>
        <v>P</v>
      </c>
      <c r="G7" s="3" t="str">
        <f t="shared" si="2"/>
        <v>P</v>
      </c>
      <c r="H7" s="36" t="str">
        <f t="shared" si="3"/>
        <v>Excellence</v>
      </c>
      <c r="I7" s="3" t="str">
        <f t="shared" si="4"/>
        <v>P</v>
      </c>
      <c r="J7" s="8">
        <f>IF(COUNT(AO7,BR7,CU7)&gt;0,LARGE((AO7,BR7,CU7),1),0)</f>
        <v>49.3</v>
      </c>
      <c r="K7" s="8" t="str">
        <f t="shared" si="5"/>
        <v>2024 3rd Domestic Trial</v>
      </c>
      <c r="L7" s="8">
        <f>IF(COUNT(AO7,BR7,CU7)&gt;1,LARGE((AO7,BR7,CU7),2),0)</f>
        <v>49.099999999999994</v>
      </c>
      <c r="M7" s="8" t="str">
        <f t="shared" si="6"/>
        <v>2025 Elite Canada</v>
      </c>
      <c r="N7" s="8">
        <f t="shared" si="7"/>
        <v>50.400000000000006</v>
      </c>
      <c r="O7" s="8" t="str">
        <f t="shared" si="8"/>
        <v>2024 3rd Domestic Trial</v>
      </c>
      <c r="P7" s="8">
        <f t="shared" si="9"/>
        <v>0.10000000000000142</v>
      </c>
      <c r="Q7" s="11" t="str">
        <f t="shared" si="184"/>
        <v>(Q1)</v>
      </c>
      <c r="R7" s="8" t="str">
        <f t="shared" si="185"/>
        <v>2024 World Cup POR (July 7)</v>
      </c>
      <c r="S7" s="19">
        <v>17.600000000000001</v>
      </c>
      <c r="T7" s="19">
        <v>4</v>
      </c>
      <c r="U7" s="19">
        <v>0</v>
      </c>
      <c r="V7" s="19">
        <v>0.3</v>
      </c>
      <c r="W7" s="19">
        <v>17.5</v>
      </c>
      <c r="X7" s="19">
        <v>2.8</v>
      </c>
      <c r="Y7" s="19">
        <v>0</v>
      </c>
      <c r="Z7" s="19">
        <v>0</v>
      </c>
      <c r="AA7" s="19">
        <v>18.8</v>
      </c>
      <c r="AB7" s="19">
        <v>6</v>
      </c>
      <c r="AC7" s="19">
        <v>0</v>
      </c>
      <c r="AD7" s="19">
        <v>0</v>
      </c>
      <c r="AE7" s="19"/>
      <c r="AF7" s="19"/>
      <c r="AG7" s="19"/>
      <c r="AH7" s="19"/>
      <c r="AI7" s="19"/>
      <c r="AJ7" s="19"/>
      <c r="AK7" s="19"/>
      <c r="AL7" s="19"/>
      <c r="AM7" s="27"/>
      <c r="AN7" s="40">
        <f t="shared" si="10"/>
        <v>6.8</v>
      </c>
      <c r="AO7" s="40">
        <f t="shared" si="11"/>
        <v>42.2</v>
      </c>
      <c r="AP7" s="40">
        <f t="shared" si="12"/>
        <v>24.8</v>
      </c>
      <c r="AQ7" s="40">
        <f t="shared" si="13"/>
        <v>12.8</v>
      </c>
      <c r="AR7" s="40">
        <f t="shared" si="14"/>
        <v>67</v>
      </c>
      <c r="AS7" s="40" t="str">
        <f t="shared" si="15"/>
        <v/>
      </c>
      <c r="AT7" s="40" t="str">
        <f t="shared" si="16"/>
        <v/>
      </c>
      <c r="AU7" s="40">
        <f t="shared" si="17"/>
        <v>67</v>
      </c>
      <c r="AV7" s="18">
        <v>18.5</v>
      </c>
      <c r="AW7" s="18">
        <v>6</v>
      </c>
      <c r="AX7" s="18">
        <v>0.6</v>
      </c>
      <c r="AY7" s="18">
        <v>0.3</v>
      </c>
      <c r="AZ7" s="18">
        <v>18.899999999999999</v>
      </c>
      <c r="BA7" s="18">
        <v>6.4</v>
      </c>
      <c r="BB7" s="18">
        <v>0.2</v>
      </c>
      <c r="BC7" s="18">
        <v>0</v>
      </c>
      <c r="BD7" s="18">
        <v>18.7</v>
      </c>
      <c r="BE7" s="18">
        <v>6</v>
      </c>
      <c r="BF7" s="18">
        <v>0</v>
      </c>
      <c r="BG7" s="18">
        <v>0</v>
      </c>
      <c r="BH7" s="18">
        <v>19.2</v>
      </c>
      <c r="BI7" s="18">
        <v>6.4</v>
      </c>
      <c r="BJ7" s="18">
        <v>0</v>
      </c>
      <c r="BK7" s="18">
        <v>0</v>
      </c>
      <c r="BL7" s="18">
        <v>18.8</v>
      </c>
      <c r="BM7" s="18">
        <v>6</v>
      </c>
      <c r="BN7" s="18">
        <v>0</v>
      </c>
      <c r="BO7" s="18">
        <v>0</v>
      </c>
      <c r="BP7" s="28"/>
      <c r="BQ7" s="11">
        <f t="shared" si="18"/>
        <v>12.4</v>
      </c>
      <c r="BR7" s="11">
        <f t="shared" si="19"/>
        <v>49.3</v>
      </c>
      <c r="BS7" s="11">
        <f t="shared" si="20"/>
        <v>24.7</v>
      </c>
      <c r="BT7" s="11">
        <f t="shared" si="21"/>
        <v>18.399999999999999</v>
      </c>
      <c r="BU7" s="11">
        <f t="shared" si="22"/>
        <v>74</v>
      </c>
      <c r="BV7" s="11">
        <f t="shared" si="23"/>
        <v>12.4</v>
      </c>
      <c r="BW7" s="11">
        <f t="shared" si="24"/>
        <v>50.400000000000006</v>
      </c>
      <c r="BX7" s="11">
        <f t="shared" si="25"/>
        <v>124.4</v>
      </c>
      <c r="BY7" s="19">
        <v>18.2</v>
      </c>
      <c r="BZ7" s="19">
        <v>5.2</v>
      </c>
      <c r="CA7" s="19">
        <v>0.2</v>
      </c>
      <c r="CB7" s="19">
        <v>0.3</v>
      </c>
      <c r="CC7" s="19">
        <v>19.2</v>
      </c>
      <c r="CD7" s="19">
        <v>6.4</v>
      </c>
      <c r="CE7" s="19">
        <v>0</v>
      </c>
      <c r="CF7" s="19">
        <v>0</v>
      </c>
      <c r="CG7" s="19"/>
      <c r="CH7" s="19"/>
      <c r="CI7" s="19"/>
      <c r="CJ7" s="19"/>
      <c r="CK7" s="19">
        <v>18.399999999999999</v>
      </c>
      <c r="CL7" s="19">
        <v>6</v>
      </c>
      <c r="CM7" s="19">
        <v>0</v>
      </c>
      <c r="CN7" s="19">
        <v>0.3</v>
      </c>
      <c r="CO7" s="19">
        <v>18.5</v>
      </c>
      <c r="CP7" s="19">
        <v>5.6</v>
      </c>
      <c r="CQ7" s="19">
        <v>0.2</v>
      </c>
      <c r="CR7" s="19">
        <v>0</v>
      </c>
      <c r="CS7" s="27"/>
      <c r="CT7" s="40">
        <f t="shared" si="26"/>
        <v>11.600000000000001</v>
      </c>
      <c r="CU7" s="40">
        <f t="shared" si="27"/>
        <v>49.099999999999994</v>
      </c>
      <c r="CV7" s="40" t="str">
        <f t="shared" si="28"/>
        <v/>
      </c>
      <c r="CW7" s="40">
        <f t="shared" si="29"/>
        <v>11.600000000000001</v>
      </c>
      <c r="CX7" s="40">
        <f t="shared" si="30"/>
        <v>49.099999999999994</v>
      </c>
      <c r="CY7" s="40">
        <f t="shared" si="31"/>
        <v>11.6</v>
      </c>
      <c r="CZ7" s="40">
        <f t="shared" si="32"/>
        <v>48.6</v>
      </c>
      <c r="DA7" s="40">
        <f t="shared" si="33"/>
        <v>97.699999999999989</v>
      </c>
      <c r="DB7" s="51">
        <f t="shared" si="34"/>
        <v>0.10000000000000142</v>
      </c>
      <c r="DC7" s="51" t="str">
        <f t="shared" si="35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>
        <v>18.7</v>
      </c>
      <c r="DQ7" s="17">
        <v>6</v>
      </c>
      <c r="DR7" s="17">
        <v>0</v>
      </c>
      <c r="DS7" s="17">
        <v>0</v>
      </c>
      <c r="DT7" s="17">
        <v>18.8</v>
      </c>
      <c r="DU7" s="17">
        <v>5.6</v>
      </c>
      <c r="DV7" s="17">
        <v>0</v>
      </c>
      <c r="DW7" s="17">
        <v>0</v>
      </c>
      <c r="DX7" s="40" t="str">
        <f t="shared" si="36"/>
        <v/>
      </c>
      <c r="DY7" s="40" t="str">
        <f t="shared" si="37"/>
        <v/>
      </c>
      <c r="DZ7" s="40" t="str">
        <f t="shared" si="38"/>
        <v/>
      </c>
      <c r="EA7" s="40" t="str">
        <f t="shared" si="39"/>
        <v/>
      </c>
      <c r="EB7" s="40" t="str">
        <f t="shared" si="40"/>
        <v/>
      </c>
      <c r="EC7" s="40">
        <f t="shared" si="41"/>
        <v>11.6</v>
      </c>
      <c r="ED7" s="40">
        <f t="shared" si="42"/>
        <v>49.1</v>
      </c>
      <c r="EE7" s="40">
        <f t="shared" si="43"/>
        <v>49.1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 t="shared" si="44"/>
        <v/>
      </c>
      <c r="FA7" s="11" t="str">
        <f t="shared" si="45"/>
        <v/>
      </c>
      <c r="FB7" s="11" t="str">
        <f t="shared" si="46"/>
        <v/>
      </c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7">
        <v>19</v>
      </c>
      <c r="FI7" s="17">
        <v>6.4</v>
      </c>
      <c r="FJ7" s="17">
        <v>0</v>
      </c>
      <c r="FK7" s="17">
        <v>0</v>
      </c>
      <c r="FL7" s="17">
        <v>18.399999999999999</v>
      </c>
      <c r="FM7" s="17">
        <v>6</v>
      </c>
      <c r="FN7" s="17">
        <v>0.6</v>
      </c>
      <c r="FO7" s="17">
        <v>0</v>
      </c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>
        <f t="shared" si="52"/>
        <v>12.4</v>
      </c>
      <c r="GC7" s="40">
        <f t="shared" si="53"/>
        <v>49.199999999999996</v>
      </c>
      <c r="GD7" s="40" t="str">
        <f t="shared" si="54"/>
        <v/>
      </c>
      <c r="GE7" s="40">
        <f t="shared" si="55"/>
        <v>12.4</v>
      </c>
      <c r="GF7" s="40">
        <f t="shared" si="56"/>
        <v>49.199999999999996</v>
      </c>
      <c r="GG7" s="40" t="str">
        <f t="shared" si="57"/>
        <v/>
      </c>
      <c r="GH7" s="40" t="str">
        <f t="shared" si="58"/>
        <v/>
      </c>
      <c r="GI7" s="40">
        <f t="shared" si="59"/>
        <v>49.199999999999996</v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 t="shared" si="60"/>
        <v/>
      </c>
      <c r="HE7" s="11" t="str">
        <f t="shared" si="61"/>
        <v/>
      </c>
      <c r="HF7" s="11" t="str">
        <f t="shared" si="62"/>
        <v/>
      </c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 t="shared" si="68"/>
        <v/>
      </c>
      <c r="IG7" s="40" t="str">
        <f t="shared" si="69"/>
        <v/>
      </c>
      <c r="IH7" s="40" t="str">
        <f t="shared" si="70"/>
        <v/>
      </c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 t="shared" si="76"/>
        <v/>
      </c>
      <c r="JI7" s="11" t="str">
        <f t="shared" si="77"/>
        <v/>
      </c>
      <c r="JJ7" s="11" t="str">
        <f t="shared" si="78"/>
        <v/>
      </c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 t="shared" si="84"/>
        <v/>
      </c>
      <c r="KK7" s="40" t="str">
        <f t="shared" si="85"/>
        <v/>
      </c>
      <c r="KL7" s="40" t="str">
        <f t="shared" si="86"/>
        <v/>
      </c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 t="shared" si="92"/>
        <v/>
      </c>
      <c r="LM7" s="11" t="str">
        <f t="shared" si="93"/>
        <v/>
      </c>
      <c r="LN7" s="11" t="str">
        <f t="shared" si="94"/>
        <v/>
      </c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 t="shared" si="100"/>
        <v/>
      </c>
      <c r="MO7" s="40" t="str">
        <f t="shared" si="101"/>
        <v/>
      </c>
      <c r="MP7" s="40" t="str">
        <f t="shared" si="102"/>
        <v/>
      </c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 t="shared" si="108"/>
        <v/>
      </c>
      <c r="NQ7" s="11" t="str">
        <f t="shared" si="109"/>
        <v/>
      </c>
      <c r="NR7" s="11" t="str">
        <f t="shared" si="110"/>
        <v/>
      </c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 t="shared" si="116"/>
        <v/>
      </c>
      <c r="OS7" s="40" t="str">
        <f t="shared" si="117"/>
        <v/>
      </c>
      <c r="OT7" s="40" t="str">
        <f t="shared" si="118"/>
        <v/>
      </c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 t="shared" si="124"/>
        <v/>
      </c>
      <c r="PU7" s="11" t="str">
        <f t="shared" si="125"/>
        <v/>
      </c>
      <c r="PV7" s="11" t="str">
        <f t="shared" si="126"/>
        <v/>
      </c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 t="shared" si="132"/>
        <v/>
      </c>
      <c r="QW7" s="40" t="str">
        <f t="shared" si="133"/>
        <v/>
      </c>
      <c r="QX7" s="40" t="str">
        <f t="shared" si="134"/>
        <v/>
      </c>
      <c r="QY7" s="40" t="str">
        <f t="shared" si="135"/>
        <v/>
      </c>
      <c r="QZ7" s="40" t="str">
        <f t="shared" si="136"/>
        <v/>
      </c>
      <c r="RA7" s="40" t="str">
        <f t="shared" si="137"/>
        <v/>
      </c>
      <c r="RB7" s="40" t="str">
        <f t="shared" si="138"/>
        <v/>
      </c>
      <c r="RC7" s="40" t="str">
        <f t="shared" si="139"/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 t="shared" si="140"/>
        <v/>
      </c>
      <c r="RY7" s="11" t="str">
        <f t="shared" si="141"/>
        <v/>
      </c>
      <c r="RZ7" s="11" t="str">
        <f t="shared" si="142"/>
        <v/>
      </c>
      <c r="SA7" s="11" t="str">
        <f t="shared" si="143"/>
        <v/>
      </c>
      <c r="SB7" s="11" t="str">
        <f t="shared" si="144"/>
        <v/>
      </c>
      <c r="SC7" s="11" t="str">
        <f t="shared" si="145"/>
        <v/>
      </c>
      <c r="SD7" s="11" t="str">
        <f t="shared" si="146"/>
        <v/>
      </c>
      <c r="SE7" s="11" t="str">
        <f t="shared" si="147"/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 t="shared" si="148"/>
        <v/>
      </c>
      <c r="TA7" s="40" t="str">
        <f t="shared" si="149"/>
        <v/>
      </c>
      <c r="TB7" s="40" t="str">
        <f t="shared" si="150"/>
        <v/>
      </c>
      <c r="TC7" s="40" t="str">
        <f t="shared" si="151"/>
        <v/>
      </c>
      <c r="TD7" s="40" t="str">
        <f t="shared" si="152"/>
        <v/>
      </c>
      <c r="TE7" s="40" t="str">
        <f t="shared" si="153"/>
        <v/>
      </c>
      <c r="TF7" s="40" t="str">
        <f t="shared" si="154"/>
        <v/>
      </c>
      <c r="TG7" s="40" t="str">
        <f t="shared" si="155"/>
        <v/>
      </c>
      <c r="TH7" s="26">
        <f t="shared" si="156"/>
        <v>18.350000000000001</v>
      </c>
      <c r="TI7" s="26">
        <f t="shared" si="157"/>
        <v>5.6</v>
      </c>
      <c r="TJ7" s="26">
        <f t="shared" si="158"/>
        <v>0.4</v>
      </c>
      <c r="TK7" s="26">
        <f t="shared" si="159"/>
        <v>0.3</v>
      </c>
      <c r="TL7" s="26">
        <f t="shared" si="160"/>
        <v>19.049999999999997</v>
      </c>
      <c r="TM7" s="26">
        <f t="shared" si="161"/>
        <v>6.4</v>
      </c>
      <c r="TN7" s="26">
        <f t="shared" si="162"/>
        <v>0.1</v>
      </c>
      <c r="TO7" s="26">
        <f t="shared" si="163"/>
        <v>0</v>
      </c>
      <c r="TP7" s="26">
        <f t="shared" si="164"/>
        <v>9.35</v>
      </c>
      <c r="TQ7" s="26">
        <f t="shared" si="165"/>
        <v>3</v>
      </c>
      <c r="TR7" s="26">
        <f t="shared" si="166"/>
        <v>0</v>
      </c>
      <c r="TS7" s="26">
        <f t="shared" si="167"/>
        <v>0</v>
      </c>
      <c r="TT7" s="26">
        <f t="shared" si="168"/>
        <v>18.799999999999997</v>
      </c>
      <c r="TU7" s="26">
        <f t="shared" si="169"/>
        <v>6.2</v>
      </c>
      <c r="TV7" s="26">
        <f t="shared" si="170"/>
        <v>0</v>
      </c>
      <c r="TW7" s="26">
        <f t="shared" si="171"/>
        <v>0.15</v>
      </c>
      <c r="TX7" s="26">
        <f t="shared" si="172"/>
        <v>18.649999999999999</v>
      </c>
      <c r="TY7" s="26">
        <f t="shared" si="173"/>
        <v>5.8</v>
      </c>
      <c r="TZ7" s="26">
        <f t="shared" si="174"/>
        <v>0.1</v>
      </c>
      <c r="UA7" s="26">
        <f t="shared" si="175"/>
        <v>0</v>
      </c>
      <c r="UB7" s="28" t="s">
        <v>53</v>
      </c>
      <c r="UC7" s="11">
        <f t="shared" si="176"/>
        <v>12</v>
      </c>
      <c r="UD7" s="11">
        <f t="shared" si="177"/>
        <v>49.199999999999996</v>
      </c>
      <c r="UE7" s="11">
        <f t="shared" si="178"/>
        <v>12.35</v>
      </c>
      <c r="UF7" s="11">
        <f t="shared" si="179"/>
        <v>15</v>
      </c>
      <c r="UG7" s="11">
        <f t="shared" si="180"/>
        <v>61.55</v>
      </c>
      <c r="UH7" s="11">
        <f t="shared" si="181"/>
        <v>12</v>
      </c>
      <c r="UI7" s="11">
        <f t="shared" si="182"/>
        <v>49.499999999999993</v>
      </c>
      <c r="UJ7" s="11">
        <f t="shared" si="183"/>
        <v>111.04999999999998</v>
      </c>
    </row>
    <row r="8" spans="1:556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71</v>
      </c>
      <c r="C8" s="4" t="s">
        <v>6</v>
      </c>
      <c r="D8" s="4">
        <v>2001</v>
      </c>
      <c r="E8" s="9">
        <f t="shared" si="0"/>
        <v>146.30000970000489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IF(COUNT(AO8,BR8,CU8)&gt;0,LARGE((AO8,BR8,CU8),1),0)</f>
        <v>48.9</v>
      </c>
      <c r="K8" s="8" t="str">
        <f t="shared" si="5"/>
        <v>2024 Nationals</v>
      </c>
      <c r="L8" s="8">
        <f>IF(COUNT(AO8,BR8,CU8)&gt;1,LARGE((AO8,BR8,CU8),2),0)</f>
        <v>48.099999999999994</v>
      </c>
      <c r="M8" s="8" t="str">
        <f t="shared" si="6"/>
        <v>2025 Elite Canada</v>
      </c>
      <c r="N8" s="8">
        <f t="shared" si="7"/>
        <v>49.3</v>
      </c>
      <c r="O8" s="8" t="str">
        <f t="shared" si="8"/>
        <v>2024 3rd Domestic Trial</v>
      </c>
      <c r="P8" s="8" t="str">
        <f t="shared" si="9"/>
        <v/>
      </c>
      <c r="Q8" s="11" t="str">
        <f t="shared" si="184"/>
        <v/>
      </c>
      <c r="R8" s="8" t="str">
        <f t="shared" si="185"/>
        <v/>
      </c>
      <c r="S8" s="19">
        <v>18.7</v>
      </c>
      <c r="T8" s="19">
        <v>5.6</v>
      </c>
      <c r="U8" s="19">
        <v>0</v>
      </c>
      <c r="V8" s="19">
        <v>0</v>
      </c>
      <c r="W8" s="19">
        <v>18.600000000000001</v>
      </c>
      <c r="X8" s="19">
        <v>6</v>
      </c>
      <c r="Y8" s="19">
        <v>0</v>
      </c>
      <c r="Z8" s="19">
        <v>0</v>
      </c>
      <c r="AA8" s="19">
        <v>18</v>
      </c>
      <c r="AB8" s="19">
        <v>4.8</v>
      </c>
      <c r="AC8" s="19">
        <v>0.6</v>
      </c>
      <c r="AD8" s="19">
        <v>0</v>
      </c>
      <c r="AE8" s="19">
        <v>18.600000000000001</v>
      </c>
      <c r="AF8" s="19">
        <v>5.6</v>
      </c>
      <c r="AG8" s="19">
        <v>0</v>
      </c>
      <c r="AH8" s="19">
        <v>0</v>
      </c>
      <c r="AI8" s="19">
        <v>18.5</v>
      </c>
      <c r="AJ8" s="19">
        <v>6</v>
      </c>
      <c r="AK8" s="19">
        <v>0</v>
      </c>
      <c r="AL8" s="19">
        <v>0</v>
      </c>
      <c r="AM8" s="27"/>
      <c r="AN8" s="40">
        <f t="shared" si="10"/>
        <v>11.6</v>
      </c>
      <c r="AO8" s="40">
        <f t="shared" si="11"/>
        <v>48.9</v>
      </c>
      <c r="AP8" s="40">
        <f t="shared" si="12"/>
        <v>22.2</v>
      </c>
      <c r="AQ8" s="40">
        <f t="shared" si="13"/>
        <v>16.399999999999999</v>
      </c>
      <c r="AR8" s="40">
        <f t="shared" si="14"/>
        <v>71.099999999999994</v>
      </c>
      <c r="AS8" s="40">
        <f t="shared" si="15"/>
        <v>11.6</v>
      </c>
      <c r="AT8" s="40">
        <f t="shared" si="16"/>
        <v>48.7</v>
      </c>
      <c r="AU8" s="40">
        <f t="shared" si="17"/>
        <v>119.8</v>
      </c>
      <c r="AV8" s="18">
        <v>18.899999999999999</v>
      </c>
      <c r="AW8" s="18">
        <v>5.6</v>
      </c>
      <c r="AX8" s="18">
        <v>0</v>
      </c>
      <c r="AY8" s="18">
        <v>0</v>
      </c>
      <c r="AZ8" s="18">
        <v>17.399999999999999</v>
      </c>
      <c r="BA8" s="18">
        <v>2.4</v>
      </c>
      <c r="BB8" s="18">
        <v>0</v>
      </c>
      <c r="BC8" s="18">
        <v>0</v>
      </c>
      <c r="BD8" s="18">
        <v>18.3</v>
      </c>
      <c r="BE8" s="18">
        <v>4.4000000000000004</v>
      </c>
      <c r="BF8" s="18">
        <v>0</v>
      </c>
      <c r="BG8" s="18">
        <v>0</v>
      </c>
      <c r="BH8" s="18">
        <v>19</v>
      </c>
      <c r="BI8" s="18">
        <v>5.6</v>
      </c>
      <c r="BJ8" s="18">
        <v>0</v>
      </c>
      <c r="BK8" s="18">
        <v>0</v>
      </c>
      <c r="BL8" s="18">
        <v>18.7</v>
      </c>
      <c r="BM8" s="18">
        <v>6</v>
      </c>
      <c r="BN8" s="18">
        <v>0</v>
      </c>
      <c r="BO8" s="18">
        <v>0</v>
      </c>
      <c r="BP8" s="28"/>
      <c r="BQ8" s="11">
        <f t="shared" si="18"/>
        <v>8</v>
      </c>
      <c r="BR8" s="11">
        <f t="shared" si="19"/>
        <v>44.3</v>
      </c>
      <c r="BS8" s="11">
        <f t="shared" si="20"/>
        <v>22.700000000000003</v>
      </c>
      <c r="BT8" s="11">
        <f t="shared" si="21"/>
        <v>12.4</v>
      </c>
      <c r="BU8" s="11">
        <f t="shared" si="22"/>
        <v>67</v>
      </c>
      <c r="BV8" s="11">
        <f t="shared" si="23"/>
        <v>11.6</v>
      </c>
      <c r="BW8" s="11">
        <f t="shared" si="24"/>
        <v>49.3</v>
      </c>
      <c r="BX8" s="11">
        <f t="shared" si="25"/>
        <v>116.3</v>
      </c>
      <c r="BY8" s="19">
        <v>18.7</v>
      </c>
      <c r="BZ8" s="19">
        <v>5.6</v>
      </c>
      <c r="CA8" s="19">
        <v>0.6</v>
      </c>
      <c r="CB8" s="19">
        <v>0</v>
      </c>
      <c r="CC8" s="19">
        <v>18.399999999999999</v>
      </c>
      <c r="CD8" s="19">
        <v>6</v>
      </c>
      <c r="CE8" s="19">
        <v>0</v>
      </c>
      <c r="CF8" s="19">
        <v>0</v>
      </c>
      <c r="CG8" s="19"/>
      <c r="CH8" s="19"/>
      <c r="CI8" s="19"/>
      <c r="CJ8" s="19"/>
      <c r="CK8" s="19">
        <v>18.8</v>
      </c>
      <c r="CL8" s="19">
        <v>5.6</v>
      </c>
      <c r="CM8" s="19">
        <v>0</v>
      </c>
      <c r="CN8" s="19">
        <v>0</v>
      </c>
      <c r="CO8" s="19">
        <v>18.600000000000001</v>
      </c>
      <c r="CP8" s="19">
        <v>6</v>
      </c>
      <c r="CQ8" s="19">
        <v>0</v>
      </c>
      <c r="CR8" s="19">
        <v>0</v>
      </c>
      <c r="CS8" s="27"/>
      <c r="CT8" s="40">
        <f t="shared" si="26"/>
        <v>11.6</v>
      </c>
      <c r="CU8" s="40">
        <f t="shared" si="27"/>
        <v>48.099999999999994</v>
      </c>
      <c r="CV8" s="40" t="str">
        <f t="shared" si="28"/>
        <v/>
      </c>
      <c r="CW8" s="40">
        <f t="shared" si="29"/>
        <v>11.6</v>
      </c>
      <c r="CX8" s="40">
        <f t="shared" si="30"/>
        <v>48.099999999999994</v>
      </c>
      <c r="CY8" s="40">
        <f t="shared" si="31"/>
        <v>11.6</v>
      </c>
      <c r="CZ8" s="40">
        <f t="shared" si="32"/>
        <v>49</v>
      </c>
      <c r="DA8" s="40">
        <f t="shared" si="33"/>
        <v>97.1</v>
      </c>
      <c r="DB8" s="51" t="str">
        <f t="shared" si="34"/>
        <v/>
      </c>
      <c r="DC8" s="51" t="str">
        <f t="shared" si="35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 t="shared" si="36"/>
        <v/>
      </c>
      <c r="DY8" s="40" t="str">
        <f t="shared" si="37"/>
        <v/>
      </c>
      <c r="DZ8" s="40" t="str">
        <f t="shared" si="38"/>
        <v/>
      </c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18">
        <v>18.399999999999999</v>
      </c>
      <c r="EG8" s="18">
        <v>5.6</v>
      </c>
      <c r="EH8" s="18">
        <v>0.6</v>
      </c>
      <c r="EI8" s="18">
        <v>0</v>
      </c>
      <c r="EJ8" s="18">
        <v>18.600000000000001</v>
      </c>
      <c r="EK8" s="18">
        <v>6</v>
      </c>
      <c r="EL8" s="18">
        <v>0</v>
      </c>
      <c r="EM8" s="18">
        <v>0</v>
      </c>
      <c r="EN8" s="18"/>
      <c r="EO8" s="18"/>
      <c r="EP8" s="18"/>
      <c r="EQ8" s="18"/>
      <c r="ER8" s="18">
        <v>18.600000000000001</v>
      </c>
      <c r="ES8" s="18">
        <v>5.6</v>
      </c>
      <c r="ET8" s="18">
        <v>0.6</v>
      </c>
      <c r="EU8" s="18">
        <v>0</v>
      </c>
      <c r="EV8" s="18">
        <v>18.600000000000001</v>
      </c>
      <c r="EW8" s="18">
        <v>6</v>
      </c>
      <c r="EX8" s="18">
        <v>0.6</v>
      </c>
      <c r="EY8" s="18">
        <v>0</v>
      </c>
      <c r="EZ8" s="11">
        <f t="shared" si="44"/>
        <v>11.6</v>
      </c>
      <c r="FA8" s="11">
        <f t="shared" si="45"/>
        <v>48</v>
      </c>
      <c r="FB8" s="11" t="str">
        <f t="shared" si="46"/>
        <v/>
      </c>
      <c r="FC8" s="11">
        <f t="shared" si="47"/>
        <v>11.6</v>
      </c>
      <c r="FD8" s="11">
        <f t="shared" si="48"/>
        <v>48</v>
      </c>
      <c r="FE8" s="11">
        <f t="shared" si="49"/>
        <v>11.6</v>
      </c>
      <c r="FF8" s="11">
        <f t="shared" si="50"/>
        <v>47.6</v>
      </c>
      <c r="FG8" s="11">
        <f t="shared" si="51"/>
        <v>95.6</v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 t="shared" si="52"/>
        <v/>
      </c>
      <c r="GC8" s="40" t="str">
        <f t="shared" si="53"/>
        <v/>
      </c>
      <c r="GD8" s="40" t="str">
        <f t="shared" si="54"/>
        <v/>
      </c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 t="shared" si="60"/>
        <v/>
      </c>
      <c r="HE8" s="11" t="str">
        <f t="shared" si="61"/>
        <v/>
      </c>
      <c r="HF8" s="11" t="str">
        <f t="shared" si="62"/>
        <v/>
      </c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 t="shared" si="68"/>
        <v/>
      </c>
      <c r="IG8" s="40" t="str">
        <f t="shared" si="69"/>
        <v/>
      </c>
      <c r="IH8" s="40" t="str">
        <f t="shared" si="70"/>
        <v/>
      </c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 t="shared" si="76"/>
        <v/>
      </c>
      <c r="JI8" s="11" t="str">
        <f t="shared" si="77"/>
        <v/>
      </c>
      <c r="JJ8" s="11" t="str">
        <f t="shared" si="78"/>
        <v/>
      </c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 t="shared" si="84"/>
        <v/>
      </c>
      <c r="KK8" s="40" t="str">
        <f t="shared" si="85"/>
        <v/>
      </c>
      <c r="KL8" s="40" t="str">
        <f t="shared" si="86"/>
        <v/>
      </c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 t="shared" si="92"/>
        <v/>
      </c>
      <c r="LM8" s="11" t="str">
        <f t="shared" si="93"/>
        <v/>
      </c>
      <c r="LN8" s="11" t="str">
        <f t="shared" si="94"/>
        <v/>
      </c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 t="shared" si="100"/>
        <v/>
      </c>
      <c r="MO8" s="40" t="str">
        <f t="shared" si="101"/>
        <v/>
      </c>
      <c r="MP8" s="40" t="str">
        <f t="shared" si="102"/>
        <v/>
      </c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 t="shared" si="108"/>
        <v/>
      </c>
      <c r="NQ8" s="11" t="str">
        <f t="shared" si="109"/>
        <v/>
      </c>
      <c r="NR8" s="11" t="str">
        <f t="shared" si="110"/>
        <v/>
      </c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 t="shared" si="116"/>
        <v/>
      </c>
      <c r="OS8" s="40" t="str">
        <f t="shared" si="117"/>
        <v/>
      </c>
      <c r="OT8" s="40" t="str">
        <f t="shared" si="118"/>
        <v/>
      </c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 t="shared" si="124"/>
        <v/>
      </c>
      <c r="PU8" s="11" t="str">
        <f t="shared" si="125"/>
        <v/>
      </c>
      <c r="PV8" s="11" t="str">
        <f t="shared" si="126"/>
        <v/>
      </c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 t="shared" si="132"/>
        <v/>
      </c>
      <c r="QW8" s="40" t="str">
        <f t="shared" si="133"/>
        <v/>
      </c>
      <c r="QX8" s="40" t="str">
        <f t="shared" si="134"/>
        <v/>
      </c>
      <c r="QY8" s="40" t="str">
        <f t="shared" si="135"/>
        <v/>
      </c>
      <c r="QZ8" s="40" t="str">
        <f t="shared" si="136"/>
        <v/>
      </c>
      <c r="RA8" s="40" t="str">
        <f t="shared" si="137"/>
        <v/>
      </c>
      <c r="RB8" s="40" t="str">
        <f t="shared" si="138"/>
        <v/>
      </c>
      <c r="RC8" s="40" t="str">
        <f t="shared" si="139"/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 t="shared" si="140"/>
        <v/>
      </c>
      <c r="RY8" s="11" t="str">
        <f t="shared" si="141"/>
        <v/>
      </c>
      <c r="RZ8" s="11" t="str">
        <f t="shared" si="142"/>
        <v/>
      </c>
      <c r="SA8" s="11" t="str">
        <f t="shared" si="143"/>
        <v/>
      </c>
      <c r="SB8" s="11" t="str">
        <f t="shared" si="144"/>
        <v/>
      </c>
      <c r="SC8" s="11" t="str">
        <f t="shared" si="145"/>
        <v/>
      </c>
      <c r="SD8" s="11" t="str">
        <f t="shared" si="146"/>
        <v/>
      </c>
      <c r="SE8" s="11" t="str">
        <f t="shared" si="147"/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 t="shared" si="148"/>
        <v/>
      </c>
      <c r="TA8" s="40" t="str">
        <f t="shared" si="149"/>
        <v/>
      </c>
      <c r="TB8" s="40" t="str">
        <f t="shared" si="150"/>
        <v/>
      </c>
      <c r="TC8" s="40" t="str">
        <f t="shared" si="151"/>
        <v/>
      </c>
      <c r="TD8" s="40" t="str">
        <f t="shared" si="152"/>
        <v/>
      </c>
      <c r="TE8" s="40" t="str">
        <f t="shared" si="153"/>
        <v/>
      </c>
      <c r="TF8" s="40" t="str">
        <f t="shared" si="154"/>
        <v/>
      </c>
      <c r="TG8" s="40" t="str">
        <f t="shared" si="155"/>
        <v/>
      </c>
      <c r="TH8" s="26">
        <f t="shared" si="156"/>
        <v>18.799999999999997</v>
      </c>
      <c r="TI8" s="26">
        <f t="shared" si="157"/>
        <v>5.6</v>
      </c>
      <c r="TJ8" s="26">
        <f t="shared" si="158"/>
        <v>0.3</v>
      </c>
      <c r="TK8" s="26">
        <f t="shared" si="159"/>
        <v>0</v>
      </c>
      <c r="TL8" s="26">
        <f t="shared" si="160"/>
        <v>17.899999999999999</v>
      </c>
      <c r="TM8" s="26">
        <f t="shared" si="161"/>
        <v>4.2</v>
      </c>
      <c r="TN8" s="26">
        <f t="shared" si="162"/>
        <v>0</v>
      </c>
      <c r="TO8" s="26">
        <f t="shared" si="163"/>
        <v>0</v>
      </c>
      <c r="TP8" s="26">
        <f t="shared" si="164"/>
        <v>9.15</v>
      </c>
      <c r="TQ8" s="26">
        <f t="shared" si="165"/>
        <v>2.2000000000000002</v>
      </c>
      <c r="TR8" s="26">
        <f t="shared" si="166"/>
        <v>0</v>
      </c>
      <c r="TS8" s="26">
        <f t="shared" si="167"/>
        <v>0</v>
      </c>
      <c r="TT8" s="26">
        <f t="shared" si="168"/>
        <v>18.899999999999999</v>
      </c>
      <c r="TU8" s="26">
        <f t="shared" si="169"/>
        <v>5.6</v>
      </c>
      <c r="TV8" s="26">
        <f t="shared" si="170"/>
        <v>0</v>
      </c>
      <c r="TW8" s="26">
        <f t="shared" si="171"/>
        <v>0</v>
      </c>
      <c r="TX8" s="26">
        <f t="shared" si="172"/>
        <v>18.649999999999999</v>
      </c>
      <c r="TY8" s="26">
        <f t="shared" si="173"/>
        <v>6</v>
      </c>
      <c r="TZ8" s="26">
        <f t="shared" si="174"/>
        <v>0</v>
      </c>
      <c r="UA8" s="26">
        <f t="shared" si="175"/>
        <v>0</v>
      </c>
      <c r="UB8" s="28" t="s">
        <v>53</v>
      </c>
      <c r="UC8" s="11">
        <f t="shared" si="176"/>
        <v>9.8000000000000007</v>
      </c>
      <c r="UD8" s="11">
        <f t="shared" si="177"/>
        <v>46.2</v>
      </c>
      <c r="UE8" s="11">
        <f t="shared" si="178"/>
        <v>11.350000000000001</v>
      </c>
      <c r="UF8" s="11">
        <f t="shared" si="179"/>
        <v>12</v>
      </c>
      <c r="UG8" s="11">
        <f t="shared" si="180"/>
        <v>57.550000000000004</v>
      </c>
      <c r="UH8" s="11">
        <f t="shared" si="181"/>
        <v>11.6</v>
      </c>
      <c r="UI8" s="11">
        <f t="shared" si="182"/>
        <v>49.15</v>
      </c>
      <c r="UJ8" s="11">
        <f t="shared" si="183"/>
        <v>106.7</v>
      </c>
    </row>
    <row r="9" spans="1:556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80</v>
      </c>
      <c r="C9" s="4" t="s">
        <v>5</v>
      </c>
      <c r="D9" s="4">
        <v>2003</v>
      </c>
      <c r="E9" s="9">
        <f t="shared" si="0"/>
        <v>145.80000963000484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IF(COUNT(AO9,BR9,CU9)&gt;0,LARGE((AO9,BR9,CU9),1),0)</f>
        <v>48.3</v>
      </c>
      <c r="K9" s="8" t="str">
        <f t="shared" si="5"/>
        <v>2024 Nationals</v>
      </c>
      <c r="L9" s="8">
        <f>IF(COUNT(AO9,BR9,CU9)&gt;1,LARGE((AO9,BR9,CU9),2),0)</f>
        <v>48</v>
      </c>
      <c r="M9" s="8" t="str">
        <f t="shared" si="6"/>
        <v>2024 3rd Domestic Trial</v>
      </c>
      <c r="N9" s="8">
        <f t="shared" si="7"/>
        <v>49.5</v>
      </c>
      <c r="O9" s="8" t="str">
        <f t="shared" si="8"/>
        <v>2024 Nationals</v>
      </c>
      <c r="P9" s="8" t="str">
        <f t="shared" si="9"/>
        <v/>
      </c>
      <c r="Q9" s="11" t="str">
        <f t="shared" si="184"/>
        <v/>
      </c>
      <c r="R9" s="8" t="str">
        <f t="shared" si="185"/>
        <v/>
      </c>
      <c r="S9" s="19">
        <v>18.100000000000001</v>
      </c>
      <c r="T9" s="19">
        <v>6.4</v>
      </c>
      <c r="U9" s="19">
        <v>0.2</v>
      </c>
      <c r="V9" s="19">
        <v>0</v>
      </c>
      <c r="W9" s="19">
        <v>18.600000000000001</v>
      </c>
      <c r="X9" s="19">
        <v>6</v>
      </c>
      <c r="Y9" s="19">
        <v>0.6</v>
      </c>
      <c r="Z9" s="19">
        <v>0</v>
      </c>
      <c r="AA9" s="19">
        <v>18.3</v>
      </c>
      <c r="AB9" s="19">
        <v>5.2</v>
      </c>
      <c r="AC9" s="19">
        <v>0.6</v>
      </c>
      <c r="AD9" s="19">
        <v>0.3</v>
      </c>
      <c r="AE9" s="19">
        <v>18.5</v>
      </c>
      <c r="AF9" s="19">
        <v>6.4</v>
      </c>
      <c r="AG9" s="19">
        <v>0</v>
      </c>
      <c r="AH9" s="19">
        <v>0</v>
      </c>
      <c r="AI9" s="19">
        <v>18.600000000000001</v>
      </c>
      <c r="AJ9" s="19">
        <v>6</v>
      </c>
      <c r="AK9" s="19">
        <v>0</v>
      </c>
      <c r="AL9" s="19">
        <v>0</v>
      </c>
      <c r="AM9" s="27"/>
      <c r="AN9" s="40">
        <f t="shared" si="10"/>
        <v>12.4</v>
      </c>
      <c r="AO9" s="40">
        <f t="shared" si="11"/>
        <v>48.3</v>
      </c>
      <c r="AP9" s="40">
        <f t="shared" si="12"/>
        <v>23.2</v>
      </c>
      <c r="AQ9" s="40">
        <f t="shared" si="13"/>
        <v>17.600000000000001</v>
      </c>
      <c r="AR9" s="40">
        <f t="shared" si="14"/>
        <v>71.5</v>
      </c>
      <c r="AS9" s="40">
        <f t="shared" si="15"/>
        <v>12.4</v>
      </c>
      <c r="AT9" s="40">
        <f t="shared" si="16"/>
        <v>49.5</v>
      </c>
      <c r="AU9" s="40">
        <f t="shared" si="17"/>
        <v>121</v>
      </c>
      <c r="AV9" s="18">
        <v>18.7</v>
      </c>
      <c r="AW9" s="18">
        <v>6.4</v>
      </c>
      <c r="AX9" s="18">
        <v>0.6</v>
      </c>
      <c r="AY9" s="18">
        <v>0</v>
      </c>
      <c r="AZ9" s="18">
        <v>18.5</v>
      </c>
      <c r="BA9" s="18">
        <v>5.2</v>
      </c>
      <c r="BB9" s="18">
        <v>0.2</v>
      </c>
      <c r="BC9" s="18">
        <v>0</v>
      </c>
      <c r="BD9" s="18">
        <v>18.5</v>
      </c>
      <c r="BE9" s="18">
        <v>4.8</v>
      </c>
      <c r="BF9" s="18">
        <v>0</v>
      </c>
      <c r="BG9" s="18">
        <v>0.3</v>
      </c>
      <c r="BH9" s="18">
        <v>18.899999999999999</v>
      </c>
      <c r="BI9" s="18">
        <v>6.4</v>
      </c>
      <c r="BJ9" s="18">
        <v>0.8</v>
      </c>
      <c r="BK9" s="18">
        <v>0</v>
      </c>
      <c r="BL9" s="18">
        <v>19</v>
      </c>
      <c r="BM9" s="18">
        <v>5.2</v>
      </c>
      <c r="BN9" s="18">
        <v>0</v>
      </c>
      <c r="BO9" s="18">
        <v>0</v>
      </c>
      <c r="BP9" s="28"/>
      <c r="BQ9" s="11">
        <f t="shared" si="18"/>
        <v>11.600000000000001</v>
      </c>
      <c r="BR9" s="11">
        <f t="shared" si="19"/>
        <v>48</v>
      </c>
      <c r="BS9" s="11">
        <f t="shared" si="20"/>
        <v>23.6</v>
      </c>
      <c r="BT9" s="11">
        <f t="shared" si="21"/>
        <v>16.400000000000002</v>
      </c>
      <c r="BU9" s="11">
        <f t="shared" si="22"/>
        <v>71.599999999999994</v>
      </c>
      <c r="BV9" s="11">
        <f t="shared" si="23"/>
        <v>11.600000000000001</v>
      </c>
      <c r="BW9" s="11">
        <f t="shared" si="24"/>
        <v>48.7</v>
      </c>
      <c r="BX9" s="11">
        <f t="shared" si="25"/>
        <v>120.3</v>
      </c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27"/>
      <c r="CT9" s="40" t="str">
        <f t="shared" si="26"/>
        <v/>
      </c>
      <c r="CU9" s="40" t="str">
        <f t="shared" si="27"/>
        <v/>
      </c>
      <c r="CV9" s="40" t="str">
        <f t="shared" si="28"/>
        <v/>
      </c>
      <c r="CW9" s="40" t="str">
        <f t="shared" si="29"/>
        <v/>
      </c>
      <c r="CX9" s="40" t="str">
        <f t="shared" si="30"/>
        <v/>
      </c>
      <c r="CY9" s="40" t="str">
        <f t="shared" si="31"/>
        <v/>
      </c>
      <c r="CZ9" s="40" t="str">
        <f t="shared" si="32"/>
        <v/>
      </c>
      <c r="DA9" s="40" t="str">
        <f t="shared" si="33"/>
        <v/>
      </c>
      <c r="DB9" s="51" t="str">
        <f t="shared" si="34"/>
        <v/>
      </c>
      <c r="DC9" s="51" t="str">
        <f t="shared" si="35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 t="shared" si="36"/>
        <v/>
      </c>
      <c r="DY9" s="40" t="str">
        <f t="shared" si="37"/>
        <v/>
      </c>
      <c r="DZ9" s="40" t="str">
        <f t="shared" si="38"/>
        <v/>
      </c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 t="shared" si="44"/>
        <v/>
      </c>
      <c r="FA9" s="11" t="str">
        <f t="shared" si="45"/>
        <v/>
      </c>
      <c r="FB9" s="11" t="str">
        <f t="shared" si="46"/>
        <v/>
      </c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 t="shared" si="52"/>
        <v/>
      </c>
      <c r="GC9" s="40" t="str">
        <f t="shared" si="53"/>
        <v/>
      </c>
      <c r="GD9" s="40" t="str">
        <f t="shared" si="54"/>
        <v/>
      </c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 t="shared" si="60"/>
        <v/>
      </c>
      <c r="HE9" s="11" t="str">
        <f t="shared" si="61"/>
        <v/>
      </c>
      <c r="HF9" s="11" t="str">
        <f t="shared" si="62"/>
        <v/>
      </c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 t="shared" si="68"/>
        <v/>
      </c>
      <c r="IG9" s="40" t="str">
        <f t="shared" si="69"/>
        <v/>
      </c>
      <c r="IH9" s="40" t="str">
        <f t="shared" si="70"/>
        <v/>
      </c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 t="shared" si="76"/>
        <v/>
      </c>
      <c r="JI9" s="11" t="str">
        <f t="shared" si="77"/>
        <v/>
      </c>
      <c r="JJ9" s="11" t="str">
        <f t="shared" si="78"/>
        <v/>
      </c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 t="shared" si="84"/>
        <v/>
      </c>
      <c r="KK9" s="40" t="str">
        <f t="shared" si="85"/>
        <v/>
      </c>
      <c r="KL9" s="40" t="str">
        <f t="shared" si="86"/>
        <v/>
      </c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 t="shared" si="92"/>
        <v/>
      </c>
      <c r="LM9" s="11" t="str">
        <f t="shared" si="93"/>
        <v/>
      </c>
      <c r="LN9" s="11" t="str">
        <f t="shared" si="94"/>
        <v/>
      </c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 t="shared" si="100"/>
        <v/>
      </c>
      <c r="MO9" s="40" t="str">
        <f t="shared" si="101"/>
        <v/>
      </c>
      <c r="MP9" s="40" t="str">
        <f t="shared" si="102"/>
        <v/>
      </c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 t="shared" si="108"/>
        <v/>
      </c>
      <c r="NQ9" s="11" t="str">
        <f t="shared" si="109"/>
        <v/>
      </c>
      <c r="NR9" s="11" t="str">
        <f t="shared" si="110"/>
        <v/>
      </c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 t="shared" si="116"/>
        <v/>
      </c>
      <c r="OS9" s="40" t="str">
        <f t="shared" si="117"/>
        <v/>
      </c>
      <c r="OT9" s="40" t="str">
        <f t="shared" si="118"/>
        <v/>
      </c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 t="shared" si="124"/>
        <v/>
      </c>
      <c r="PU9" s="11" t="str">
        <f t="shared" si="125"/>
        <v/>
      </c>
      <c r="PV9" s="11" t="str">
        <f t="shared" si="126"/>
        <v/>
      </c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 t="shared" si="132"/>
        <v/>
      </c>
      <c r="QW9" s="40" t="str">
        <f t="shared" si="133"/>
        <v/>
      </c>
      <c r="QX9" s="40" t="str">
        <f t="shared" si="134"/>
        <v/>
      </c>
      <c r="QY9" s="40" t="str">
        <f t="shared" si="135"/>
        <v/>
      </c>
      <c r="QZ9" s="40" t="str">
        <f t="shared" si="136"/>
        <v/>
      </c>
      <c r="RA9" s="40" t="str">
        <f t="shared" si="137"/>
        <v/>
      </c>
      <c r="RB9" s="40" t="str">
        <f t="shared" si="138"/>
        <v/>
      </c>
      <c r="RC9" s="40" t="str">
        <f t="shared" si="139"/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 t="shared" si="140"/>
        <v/>
      </c>
      <c r="RY9" s="11" t="str">
        <f t="shared" si="141"/>
        <v/>
      </c>
      <c r="RZ9" s="11" t="str">
        <f t="shared" si="142"/>
        <v/>
      </c>
      <c r="SA9" s="11" t="str">
        <f t="shared" si="143"/>
        <v/>
      </c>
      <c r="SB9" s="11" t="str">
        <f t="shared" si="144"/>
        <v/>
      </c>
      <c r="SC9" s="11" t="str">
        <f t="shared" si="145"/>
        <v/>
      </c>
      <c r="SD9" s="11" t="str">
        <f t="shared" si="146"/>
        <v/>
      </c>
      <c r="SE9" s="11" t="str">
        <f t="shared" si="147"/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 t="shared" si="148"/>
        <v/>
      </c>
      <c r="TA9" s="40" t="str">
        <f t="shared" si="149"/>
        <v/>
      </c>
      <c r="TB9" s="40" t="str">
        <f t="shared" si="150"/>
        <v/>
      </c>
      <c r="TC9" s="40" t="str">
        <f t="shared" si="151"/>
        <v/>
      </c>
      <c r="TD9" s="40" t="str">
        <f t="shared" si="152"/>
        <v/>
      </c>
      <c r="TE9" s="40" t="str">
        <f t="shared" si="153"/>
        <v/>
      </c>
      <c r="TF9" s="40" t="str">
        <f t="shared" si="154"/>
        <v/>
      </c>
      <c r="TG9" s="40" t="str">
        <f t="shared" si="155"/>
        <v/>
      </c>
      <c r="TH9" s="26">
        <f t="shared" si="156"/>
        <v>9.35</v>
      </c>
      <c r="TI9" s="26">
        <f t="shared" si="157"/>
        <v>3.2</v>
      </c>
      <c r="TJ9" s="26">
        <f t="shared" si="158"/>
        <v>0.3</v>
      </c>
      <c r="TK9" s="26">
        <f t="shared" si="159"/>
        <v>0</v>
      </c>
      <c r="TL9" s="26">
        <f t="shared" si="160"/>
        <v>9.25</v>
      </c>
      <c r="TM9" s="26">
        <f t="shared" si="161"/>
        <v>2.6</v>
      </c>
      <c r="TN9" s="26">
        <f t="shared" si="162"/>
        <v>0.1</v>
      </c>
      <c r="TO9" s="26">
        <f t="shared" si="163"/>
        <v>0</v>
      </c>
      <c r="TP9" s="26">
        <f t="shared" si="164"/>
        <v>9.25</v>
      </c>
      <c r="TQ9" s="26">
        <f t="shared" si="165"/>
        <v>2.4</v>
      </c>
      <c r="TR9" s="26">
        <f t="shared" si="166"/>
        <v>0</v>
      </c>
      <c r="TS9" s="26">
        <f t="shared" si="167"/>
        <v>0.15</v>
      </c>
      <c r="TT9" s="26">
        <f t="shared" si="168"/>
        <v>9.4499999999999993</v>
      </c>
      <c r="TU9" s="26">
        <f t="shared" si="169"/>
        <v>3.2</v>
      </c>
      <c r="TV9" s="26">
        <f t="shared" si="170"/>
        <v>0.4</v>
      </c>
      <c r="TW9" s="26">
        <f t="shared" si="171"/>
        <v>0</v>
      </c>
      <c r="TX9" s="26">
        <f t="shared" si="172"/>
        <v>9.5</v>
      </c>
      <c r="TY9" s="26">
        <f t="shared" si="173"/>
        <v>2.6</v>
      </c>
      <c r="TZ9" s="26">
        <f t="shared" si="174"/>
        <v>0</v>
      </c>
      <c r="UA9" s="26">
        <f t="shared" si="175"/>
        <v>0</v>
      </c>
      <c r="UB9" s="28" t="s">
        <v>53</v>
      </c>
      <c r="UC9" s="11">
        <f t="shared" si="176"/>
        <v>5.8000000000000007</v>
      </c>
      <c r="UD9" s="11">
        <f t="shared" si="177"/>
        <v>24</v>
      </c>
      <c r="UE9" s="11">
        <f t="shared" si="178"/>
        <v>11.8</v>
      </c>
      <c r="UF9" s="11">
        <f t="shared" si="179"/>
        <v>8.2000000000000011</v>
      </c>
      <c r="UG9" s="11">
        <f t="shared" si="180"/>
        <v>35.799999999999997</v>
      </c>
      <c r="UH9" s="11">
        <f t="shared" si="181"/>
        <v>5.8000000000000007</v>
      </c>
      <c r="UI9" s="11">
        <f t="shared" si="182"/>
        <v>24.35</v>
      </c>
      <c r="UJ9" s="11">
        <f t="shared" si="183"/>
        <v>60.15</v>
      </c>
    </row>
    <row r="10" spans="1:556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89</v>
      </c>
      <c r="C10" s="4" t="s">
        <v>6</v>
      </c>
      <c r="D10" s="4">
        <v>2004</v>
      </c>
      <c r="E10" s="9">
        <f t="shared" si="0"/>
        <v>145.5000099100051</v>
      </c>
      <c r="F10" s="3" t="str">
        <f t="shared" si="1"/>
        <v>P</v>
      </c>
      <c r="G10" s="3" t="str">
        <f t="shared" si="2"/>
        <v>P</v>
      </c>
      <c r="H10" s="36" t="str">
        <f t="shared" si="3"/>
        <v>Merit</v>
      </c>
      <c r="I10" s="3" t="str">
        <f t="shared" si="4"/>
        <v>P</v>
      </c>
      <c r="J10" s="8">
        <f>IF(COUNT(AO10,BR10,CU10)&gt;0,LARGE((AO10,BR10,CU10),1),0)</f>
        <v>51.1</v>
      </c>
      <c r="K10" s="8" t="str">
        <f t="shared" si="5"/>
        <v>2025 Elite Canada</v>
      </c>
      <c r="L10" s="8">
        <f>IF(COUNT(AO10,BR10,CU10)&gt;1,LARGE((AO10,BR10,CU10),2),0)</f>
        <v>48</v>
      </c>
      <c r="M10" s="8" t="str">
        <f t="shared" si="6"/>
        <v>2024 Nationals</v>
      </c>
      <c r="N10" s="8">
        <f t="shared" si="7"/>
        <v>44.7</v>
      </c>
      <c r="O10" s="8" t="str">
        <f t="shared" si="8"/>
        <v>2024 Nationals</v>
      </c>
      <c r="P10" s="8">
        <f t="shared" si="9"/>
        <v>1.7000000000000028</v>
      </c>
      <c r="Q10" s="11" t="str">
        <f t="shared" si="184"/>
        <v>(Q1)</v>
      </c>
      <c r="R10" s="8" t="str">
        <f t="shared" si="185"/>
        <v>2024 World Cup POR (July 7)</v>
      </c>
      <c r="S10" s="19">
        <v>17</v>
      </c>
      <c r="T10" s="19">
        <v>6.8</v>
      </c>
      <c r="U10" s="19">
        <v>0.8</v>
      </c>
      <c r="V10" s="19">
        <v>0.3</v>
      </c>
      <c r="W10" s="19">
        <v>18.600000000000001</v>
      </c>
      <c r="X10" s="19">
        <v>6</v>
      </c>
      <c r="Y10" s="19">
        <v>0.2</v>
      </c>
      <c r="Z10" s="19">
        <v>0.3</v>
      </c>
      <c r="AA10" s="19">
        <v>18.399999999999999</v>
      </c>
      <c r="AB10" s="19">
        <v>5.6</v>
      </c>
      <c r="AC10" s="19">
        <v>0.2</v>
      </c>
      <c r="AD10" s="19">
        <v>0</v>
      </c>
      <c r="AE10" s="19">
        <v>17.600000000000001</v>
      </c>
      <c r="AF10" s="19">
        <v>2.4</v>
      </c>
      <c r="AG10" s="19">
        <v>0</v>
      </c>
      <c r="AH10" s="19">
        <v>0</v>
      </c>
      <c r="AI10" s="19">
        <v>19.100000000000001</v>
      </c>
      <c r="AJ10" s="19">
        <v>5.6</v>
      </c>
      <c r="AK10" s="19">
        <v>0</v>
      </c>
      <c r="AL10" s="19">
        <v>0</v>
      </c>
      <c r="AM10" s="27"/>
      <c r="AN10" s="40">
        <f t="shared" si="10"/>
        <v>12.8</v>
      </c>
      <c r="AO10" s="40">
        <f t="shared" si="11"/>
        <v>48</v>
      </c>
      <c r="AP10" s="40">
        <f t="shared" si="12"/>
        <v>23.8</v>
      </c>
      <c r="AQ10" s="40">
        <f t="shared" si="13"/>
        <v>18.399999999999999</v>
      </c>
      <c r="AR10" s="40">
        <f t="shared" si="14"/>
        <v>71.8</v>
      </c>
      <c r="AS10" s="40">
        <f t="shared" si="15"/>
        <v>8</v>
      </c>
      <c r="AT10" s="40">
        <f t="shared" si="16"/>
        <v>44.7</v>
      </c>
      <c r="AU10" s="40">
        <f t="shared" si="17"/>
        <v>116.5</v>
      </c>
      <c r="AV10" s="18">
        <v>18.399999999999999</v>
      </c>
      <c r="AW10" s="18">
        <v>6.8</v>
      </c>
      <c r="AX10" s="18">
        <v>0</v>
      </c>
      <c r="AY10" s="18">
        <v>0.3</v>
      </c>
      <c r="AZ10" s="18">
        <v>0</v>
      </c>
      <c r="BA10" s="18">
        <v>0</v>
      </c>
      <c r="BB10" s="18">
        <v>0</v>
      </c>
      <c r="BC10" s="18">
        <v>0</v>
      </c>
      <c r="BD10" s="18">
        <v>19.100000000000001</v>
      </c>
      <c r="BE10" s="18">
        <v>5.6</v>
      </c>
      <c r="BF10" s="18">
        <v>0.6</v>
      </c>
      <c r="BG10" s="18">
        <v>0</v>
      </c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 t="shared" si="18"/>
        <v>6.8</v>
      </c>
      <c r="BR10" s="11">
        <f t="shared" si="19"/>
        <v>25.5</v>
      </c>
      <c r="BS10" s="11">
        <f t="shared" si="20"/>
        <v>24.1</v>
      </c>
      <c r="BT10" s="11">
        <f t="shared" si="21"/>
        <v>12.399999999999999</v>
      </c>
      <c r="BU10" s="11">
        <f t="shared" si="22"/>
        <v>49.6</v>
      </c>
      <c r="BV10" s="11" t="str">
        <f t="shared" si="23"/>
        <v/>
      </c>
      <c r="BW10" s="11" t="str">
        <f t="shared" si="24"/>
        <v/>
      </c>
      <c r="BX10" s="11">
        <f t="shared" si="25"/>
        <v>49.6</v>
      </c>
      <c r="BY10" s="19">
        <v>19</v>
      </c>
      <c r="BZ10" s="19">
        <v>6.8</v>
      </c>
      <c r="CA10" s="19">
        <v>0.2</v>
      </c>
      <c r="CB10" s="19">
        <v>0.3</v>
      </c>
      <c r="CC10" s="19">
        <v>18.8</v>
      </c>
      <c r="CD10" s="19">
        <v>6.4</v>
      </c>
      <c r="CE10" s="19">
        <v>0</v>
      </c>
      <c r="CF10" s="19">
        <v>0</v>
      </c>
      <c r="CG10" s="19"/>
      <c r="CH10" s="19"/>
      <c r="CI10" s="19"/>
      <c r="CJ10" s="19"/>
      <c r="CK10" s="19">
        <v>18.8</v>
      </c>
      <c r="CL10" s="19">
        <v>6.8</v>
      </c>
      <c r="CM10" s="19">
        <v>0.2</v>
      </c>
      <c r="CN10" s="19">
        <v>0.3</v>
      </c>
      <c r="CO10" s="19">
        <v>15.6</v>
      </c>
      <c r="CP10" s="19">
        <v>2.8</v>
      </c>
      <c r="CQ10" s="19">
        <v>0</v>
      </c>
      <c r="CR10" s="19">
        <v>0</v>
      </c>
      <c r="CS10" s="27"/>
      <c r="CT10" s="40">
        <f t="shared" si="26"/>
        <v>13.2</v>
      </c>
      <c r="CU10" s="40">
        <f t="shared" si="27"/>
        <v>51.1</v>
      </c>
      <c r="CV10" s="40" t="str">
        <f t="shared" si="28"/>
        <v/>
      </c>
      <c r="CW10" s="40">
        <f t="shared" si="29"/>
        <v>13.2</v>
      </c>
      <c r="CX10" s="40">
        <f t="shared" si="30"/>
        <v>51.1</v>
      </c>
      <c r="CY10" s="40">
        <f t="shared" si="31"/>
        <v>9.6</v>
      </c>
      <c r="CZ10" s="40">
        <f t="shared" si="32"/>
        <v>44.099999999999994</v>
      </c>
      <c r="DA10" s="40">
        <f t="shared" si="33"/>
        <v>95.199999999999989</v>
      </c>
      <c r="DB10" s="51">
        <f t="shared" si="34"/>
        <v>1.7000000000000028</v>
      </c>
      <c r="DC10" s="51" t="str">
        <f t="shared" si="35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 t="shared" si="36"/>
        <v/>
      </c>
      <c r="DY10" s="40" t="str">
        <f t="shared" si="37"/>
        <v/>
      </c>
      <c r="DZ10" s="40" t="str">
        <f t="shared" si="38"/>
        <v/>
      </c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 t="shared" si="44"/>
        <v/>
      </c>
      <c r="FA10" s="11" t="str">
        <f t="shared" si="45"/>
        <v/>
      </c>
      <c r="FB10" s="11" t="str">
        <f t="shared" si="46"/>
        <v/>
      </c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7">
        <v>18.8</v>
      </c>
      <c r="FI10" s="17">
        <v>6.8</v>
      </c>
      <c r="FJ10" s="17">
        <v>0.8</v>
      </c>
      <c r="FK10" s="17">
        <v>0</v>
      </c>
      <c r="FL10" s="17">
        <v>18.5</v>
      </c>
      <c r="FM10" s="17">
        <v>6.4</v>
      </c>
      <c r="FN10" s="17">
        <v>0</v>
      </c>
      <c r="FO10" s="17">
        <v>0</v>
      </c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>
        <f t="shared" si="52"/>
        <v>13.2</v>
      </c>
      <c r="GC10" s="40">
        <f t="shared" si="53"/>
        <v>49.7</v>
      </c>
      <c r="GD10" s="40" t="str">
        <f t="shared" si="54"/>
        <v/>
      </c>
      <c r="GE10" s="40">
        <f t="shared" si="55"/>
        <v>13.2</v>
      </c>
      <c r="GF10" s="40">
        <f t="shared" si="56"/>
        <v>49.7</v>
      </c>
      <c r="GG10" s="40" t="str">
        <f t="shared" si="57"/>
        <v/>
      </c>
      <c r="GH10" s="40" t="str">
        <f t="shared" si="58"/>
        <v/>
      </c>
      <c r="GI10" s="40">
        <f t="shared" si="59"/>
        <v>49.7</v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 t="shared" si="60"/>
        <v/>
      </c>
      <c r="HE10" s="11" t="str">
        <f t="shared" si="61"/>
        <v/>
      </c>
      <c r="HF10" s="11" t="str">
        <f t="shared" si="62"/>
        <v/>
      </c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 t="shared" si="68"/>
        <v/>
      </c>
      <c r="IG10" s="40" t="str">
        <f t="shared" si="69"/>
        <v/>
      </c>
      <c r="IH10" s="40" t="str">
        <f t="shared" si="70"/>
        <v/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 t="shared" si="76"/>
        <v/>
      </c>
      <c r="JI10" s="11" t="str">
        <f t="shared" si="77"/>
        <v/>
      </c>
      <c r="JJ10" s="11" t="str">
        <f t="shared" si="78"/>
        <v/>
      </c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 t="shared" si="84"/>
        <v/>
      </c>
      <c r="KK10" s="40" t="str">
        <f t="shared" si="85"/>
        <v/>
      </c>
      <c r="KL10" s="40" t="str">
        <f t="shared" si="86"/>
        <v/>
      </c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 t="shared" si="92"/>
        <v/>
      </c>
      <c r="LM10" s="11" t="str">
        <f t="shared" si="93"/>
        <v/>
      </c>
      <c r="LN10" s="11" t="str">
        <f t="shared" si="94"/>
        <v/>
      </c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 t="shared" si="100"/>
        <v/>
      </c>
      <c r="MO10" s="40" t="str">
        <f t="shared" si="101"/>
        <v/>
      </c>
      <c r="MP10" s="40" t="str">
        <f t="shared" si="102"/>
        <v/>
      </c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 t="shared" si="108"/>
        <v/>
      </c>
      <c r="NQ10" s="11" t="str">
        <f t="shared" si="109"/>
        <v/>
      </c>
      <c r="NR10" s="11" t="str">
        <f t="shared" si="110"/>
        <v/>
      </c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 t="shared" si="116"/>
        <v/>
      </c>
      <c r="OS10" s="40" t="str">
        <f t="shared" si="117"/>
        <v/>
      </c>
      <c r="OT10" s="40" t="str">
        <f t="shared" si="118"/>
        <v/>
      </c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 t="shared" si="124"/>
        <v/>
      </c>
      <c r="PU10" s="11" t="str">
        <f t="shared" si="125"/>
        <v/>
      </c>
      <c r="PV10" s="11" t="str">
        <f t="shared" si="126"/>
        <v/>
      </c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 t="shared" si="132"/>
        <v/>
      </c>
      <c r="QW10" s="40" t="str">
        <f t="shared" si="133"/>
        <v/>
      </c>
      <c r="QX10" s="40" t="str">
        <f t="shared" si="134"/>
        <v/>
      </c>
      <c r="QY10" s="40" t="str">
        <f t="shared" si="135"/>
        <v/>
      </c>
      <c r="QZ10" s="40" t="str">
        <f t="shared" si="136"/>
        <v/>
      </c>
      <c r="RA10" s="40" t="str">
        <f t="shared" si="137"/>
        <v/>
      </c>
      <c r="RB10" s="40" t="str">
        <f t="shared" si="138"/>
        <v/>
      </c>
      <c r="RC10" s="40" t="str">
        <f t="shared" si="139"/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 t="shared" si="140"/>
        <v/>
      </c>
      <c r="RY10" s="11" t="str">
        <f t="shared" si="141"/>
        <v/>
      </c>
      <c r="RZ10" s="11" t="str">
        <f t="shared" si="142"/>
        <v/>
      </c>
      <c r="SA10" s="11" t="str">
        <f t="shared" si="143"/>
        <v/>
      </c>
      <c r="SB10" s="11" t="str">
        <f t="shared" si="144"/>
        <v/>
      </c>
      <c r="SC10" s="11" t="str">
        <f t="shared" si="145"/>
        <v/>
      </c>
      <c r="SD10" s="11" t="str">
        <f t="shared" si="146"/>
        <v/>
      </c>
      <c r="SE10" s="11" t="str">
        <f t="shared" si="147"/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 t="shared" si="148"/>
        <v/>
      </c>
      <c r="TA10" s="40" t="str">
        <f t="shared" si="149"/>
        <v/>
      </c>
      <c r="TB10" s="40" t="str">
        <f t="shared" si="150"/>
        <v/>
      </c>
      <c r="TC10" s="40" t="str">
        <f t="shared" si="151"/>
        <v/>
      </c>
      <c r="TD10" s="40" t="str">
        <f t="shared" si="152"/>
        <v/>
      </c>
      <c r="TE10" s="40" t="str">
        <f t="shared" si="153"/>
        <v/>
      </c>
      <c r="TF10" s="40" t="str">
        <f t="shared" si="154"/>
        <v/>
      </c>
      <c r="TG10" s="40" t="str">
        <f t="shared" si="155"/>
        <v/>
      </c>
      <c r="TH10" s="26">
        <f t="shared" si="156"/>
        <v>18.7</v>
      </c>
      <c r="TI10" s="26">
        <f t="shared" si="157"/>
        <v>6.8</v>
      </c>
      <c r="TJ10" s="26">
        <f t="shared" si="158"/>
        <v>0.1</v>
      </c>
      <c r="TK10" s="26">
        <f t="shared" si="159"/>
        <v>0.3</v>
      </c>
      <c r="TL10" s="26">
        <f t="shared" si="160"/>
        <v>9.4</v>
      </c>
      <c r="TM10" s="26">
        <f t="shared" si="161"/>
        <v>3.2</v>
      </c>
      <c r="TN10" s="26">
        <f t="shared" si="162"/>
        <v>0</v>
      </c>
      <c r="TO10" s="26">
        <f t="shared" si="163"/>
        <v>0</v>
      </c>
      <c r="TP10" s="26">
        <f t="shared" si="164"/>
        <v>9.5500000000000007</v>
      </c>
      <c r="TQ10" s="26">
        <f t="shared" si="165"/>
        <v>2.8</v>
      </c>
      <c r="TR10" s="26">
        <f t="shared" si="166"/>
        <v>0.3</v>
      </c>
      <c r="TS10" s="26">
        <f t="shared" si="167"/>
        <v>0</v>
      </c>
      <c r="TT10" s="26">
        <f t="shared" si="168"/>
        <v>9.4</v>
      </c>
      <c r="TU10" s="26">
        <f t="shared" si="169"/>
        <v>3.4</v>
      </c>
      <c r="TV10" s="26">
        <f t="shared" si="170"/>
        <v>0.1</v>
      </c>
      <c r="TW10" s="26">
        <f t="shared" si="171"/>
        <v>0.15</v>
      </c>
      <c r="TX10" s="26">
        <f t="shared" si="172"/>
        <v>7.8</v>
      </c>
      <c r="TY10" s="26">
        <f t="shared" si="173"/>
        <v>1.4</v>
      </c>
      <c r="TZ10" s="26">
        <f t="shared" si="174"/>
        <v>0</v>
      </c>
      <c r="UA10" s="26">
        <f t="shared" si="175"/>
        <v>0</v>
      </c>
      <c r="UB10" s="28" t="s">
        <v>53</v>
      </c>
      <c r="UC10" s="11">
        <f t="shared" si="176"/>
        <v>10</v>
      </c>
      <c r="UD10" s="11">
        <f t="shared" si="177"/>
        <v>38.300000000000004</v>
      </c>
      <c r="UE10" s="11">
        <f t="shared" si="178"/>
        <v>12.05</v>
      </c>
      <c r="UF10" s="11">
        <f t="shared" si="179"/>
        <v>12.8</v>
      </c>
      <c r="UG10" s="11">
        <f t="shared" si="180"/>
        <v>50.350000000000009</v>
      </c>
      <c r="UH10" s="11">
        <f t="shared" si="181"/>
        <v>4.8</v>
      </c>
      <c r="UI10" s="11">
        <f t="shared" si="182"/>
        <v>22.049999999999997</v>
      </c>
      <c r="UJ10" s="11">
        <f t="shared" si="183"/>
        <v>72.400000000000006</v>
      </c>
    </row>
    <row r="11" spans="1:556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206</v>
      </c>
      <c r="C11" s="4" t="s">
        <v>3</v>
      </c>
      <c r="D11" s="4">
        <v>2002</v>
      </c>
      <c r="E11" s="9">
        <f t="shared" si="0"/>
        <v>144.9000096100049</v>
      </c>
      <c r="F11" s="3" t="str">
        <f t="shared" si="1"/>
        <v>P</v>
      </c>
      <c r="G11" s="3" t="str">
        <f t="shared" si="2"/>
        <v>P</v>
      </c>
      <c r="H11" s="36" t="str">
        <f t="shared" si="3"/>
        <v>Worlds Team</v>
      </c>
      <c r="I11" s="3" t="str">
        <f t="shared" si="4"/>
        <v>P</v>
      </c>
      <c r="J11" s="8">
        <f>IF(COUNT(AO11,BR11,CU11)&gt;0,LARGE((AO11,BR11,CU11),1),0)</f>
        <v>48.899999999999991</v>
      </c>
      <c r="K11" s="8" t="str">
        <f t="shared" si="5"/>
        <v>2024 3rd Domestic Trial</v>
      </c>
      <c r="L11" s="8">
        <f>IF(COUNT(AO11,BR11,CU11)&gt;1,LARGE((AO11,BR11,CU11),2),0)</f>
        <v>47.20000000000001</v>
      </c>
      <c r="M11" s="8" t="str">
        <f t="shared" si="6"/>
        <v>2025 Elite Canada</v>
      </c>
      <c r="N11" s="8">
        <f t="shared" si="7"/>
        <v>48.800000000000004</v>
      </c>
      <c r="O11" s="8" t="str">
        <f t="shared" si="8"/>
        <v>2025 Elite Canada</v>
      </c>
      <c r="P11" s="8" t="str">
        <f t="shared" si="9"/>
        <v/>
      </c>
      <c r="Q11" s="11" t="str">
        <f t="shared" si="184"/>
        <v/>
      </c>
      <c r="R11" s="8" t="str">
        <f t="shared" si="185"/>
        <v/>
      </c>
      <c r="S11" s="19">
        <v>17.899999999999999</v>
      </c>
      <c r="T11" s="19">
        <v>5.6</v>
      </c>
      <c r="U11" s="19">
        <v>0.8</v>
      </c>
      <c r="V11" s="19">
        <v>0</v>
      </c>
      <c r="W11" s="19">
        <v>18.7</v>
      </c>
      <c r="X11" s="19">
        <v>2.8</v>
      </c>
      <c r="Y11" s="19">
        <v>1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 t="shared" si="10"/>
        <v>8.3999999999999986</v>
      </c>
      <c r="AO11" s="40">
        <f t="shared" si="11"/>
        <v>43.2</v>
      </c>
      <c r="AP11" s="40" t="str">
        <f t="shared" si="12"/>
        <v/>
      </c>
      <c r="AQ11" s="40">
        <f t="shared" si="13"/>
        <v>8.3999999999999986</v>
      </c>
      <c r="AR11" s="40">
        <f t="shared" si="14"/>
        <v>43.2</v>
      </c>
      <c r="AS11" s="40" t="str">
        <f t="shared" si="15"/>
        <v/>
      </c>
      <c r="AT11" s="40" t="str">
        <f t="shared" si="16"/>
        <v/>
      </c>
      <c r="AU11" s="40">
        <f t="shared" si="17"/>
        <v>43.2</v>
      </c>
      <c r="AV11" s="18">
        <v>18.600000000000001</v>
      </c>
      <c r="AW11" s="18">
        <v>6.4</v>
      </c>
      <c r="AX11" s="18">
        <v>0.2</v>
      </c>
      <c r="AY11" s="18">
        <v>0</v>
      </c>
      <c r="AZ11" s="18">
        <v>18.399999999999999</v>
      </c>
      <c r="BA11" s="18">
        <v>6</v>
      </c>
      <c r="BB11" s="18">
        <v>0.6</v>
      </c>
      <c r="BC11" s="18">
        <v>0.3</v>
      </c>
      <c r="BD11" s="18">
        <v>18.2</v>
      </c>
      <c r="BE11" s="18">
        <v>5.2</v>
      </c>
      <c r="BF11" s="18">
        <v>0.2</v>
      </c>
      <c r="BG11" s="18">
        <v>0.3</v>
      </c>
      <c r="BH11" s="18">
        <v>19</v>
      </c>
      <c r="BI11" s="18">
        <v>6.4</v>
      </c>
      <c r="BJ11" s="18">
        <v>0</v>
      </c>
      <c r="BK11" s="18">
        <v>0</v>
      </c>
      <c r="BL11" s="18">
        <v>18.8</v>
      </c>
      <c r="BM11" s="18">
        <v>5.2</v>
      </c>
      <c r="BN11" s="18">
        <v>0.6</v>
      </c>
      <c r="BO11" s="18">
        <v>0</v>
      </c>
      <c r="BP11" s="28"/>
      <c r="BQ11" s="11">
        <f t="shared" si="18"/>
        <v>12.4</v>
      </c>
      <c r="BR11" s="11">
        <f t="shared" si="19"/>
        <v>48.899999999999991</v>
      </c>
      <c r="BS11" s="11">
        <f t="shared" si="20"/>
        <v>23.5</v>
      </c>
      <c r="BT11" s="11">
        <f t="shared" si="21"/>
        <v>17.600000000000001</v>
      </c>
      <c r="BU11" s="11">
        <f t="shared" si="22"/>
        <v>72.399999999999991</v>
      </c>
      <c r="BV11" s="11">
        <f t="shared" si="23"/>
        <v>11.600000000000001</v>
      </c>
      <c r="BW11" s="11">
        <f t="shared" si="24"/>
        <v>48.800000000000004</v>
      </c>
      <c r="BX11" s="11">
        <f t="shared" si="25"/>
        <v>121.19999999999999</v>
      </c>
      <c r="BY11" s="19">
        <v>17.8</v>
      </c>
      <c r="BZ11" s="19">
        <v>6.4</v>
      </c>
      <c r="CA11" s="19">
        <v>0.8</v>
      </c>
      <c r="CB11" s="19">
        <v>0</v>
      </c>
      <c r="CC11" s="19">
        <v>18.600000000000001</v>
      </c>
      <c r="CD11" s="19">
        <v>5.2</v>
      </c>
      <c r="CE11" s="19">
        <v>0</v>
      </c>
      <c r="CF11" s="19">
        <v>0</v>
      </c>
      <c r="CG11" s="19"/>
      <c r="CH11" s="19"/>
      <c r="CI11" s="19"/>
      <c r="CJ11" s="19"/>
      <c r="CK11" s="19">
        <v>18.100000000000001</v>
      </c>
      <c r="CL11" s="19">
        <v>6.4</v>
      </c>
      <c r="CM11" s="19">
        <v>0.2</v>
      </c>
      <c r="CN11" s="19">
        <v>0</v>
      </c>
      <c r="CO11" s="19">
        <v>18.2</v>
      </c>
      <c r="CP11" s="19">
        <v>6</v>
      </c>
      <c r="CQ11" s="19">
        <v>0</v>
      </c>
      <c r="CR11" s="19">
        <v>0.3</v>
      </c>
      <c r="CS11" s="27"/>
      <c r="CT11" s="40">
        <f t="shared" si="26"/>
        <v>11.600000000000001</v>
      </c>
      <c r="CU11" s="40">
        <f t="shared" si="27"/>
        <v>47.20000000000001</v>
      </c>
      <c r="CV11" s="40" t="str">
        <f t="shared" si="28"/>
        <v/>
      </c>
      <c r="CW11" s="40">
        <f t="shared" si="29"/>
        <v>11.600000000000001</v>
      </c>
      <c r="CX11" s="40">
        <f t="shared" si="30"/>
        <v>47.20000000000001</v>
      </c>
      <c r="CY11" s="40">
        <f t="shared" si="31"/>
        <v>12.4</v>
      </c>
      <c r="CZ11" s="40">
        <f t="shared" si="32"/>
        <v>48.8</v>
      </c>
      <c r="DA11" s="40">
        <f t="shared" si="33"/>
        <v>96</v>
      </c>
      <c r="DB11" s="51" t="str">
        <f t="shared" si="34"/>
        <v/>
      </c>
      <c r="DC11" s="51" t="str">
        <f t="shared" si="35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 t="shared" si="36"/>
        <v/>
      </c>
      <c r="DY11" s="40" t="str">
        <f t="shared" si="37"/>
        <v/>
      </c>
      <c r="DZ11" s="40" t="str">
        <f t="shared" si="38"/>
        <v/>
      </c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 t="shared" si="44"/>
        <v/>
      </c>
      <c r="FA11" s="11" t="str">
        <f t="shared" si="45"/>
        <v/>
      </c>
      <c r="FB11" s="11" t="str">
        <f t="shared" si="46"/>
        <v/>
      </c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 t="shared" si="52"/>
        <v/>
      </c>
      <c r="GC11" s="40" t="str">
        <f t="shared" si="53"/>
        <v/>
      </c>
      <c r="GD11" s="40" t="str">
        <f t="shared" si="54"/>
        <v/>
      </c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 t="shared" si="60"/>
        <v/>
      </c>
      <c r="HE11" s="11" t="str">
        <f t="shared" si="61"/>
        <v/>
      </c>
      <c r="HF11" s="11" t="str">
        <f t="shared" si="62"/>
        <v/>
      </c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 t="shared" si="68"/>
        <v/>
      </c>
      <c r="IG11" s="40" t="str">
        <f t="shared" si="69"/>
        <v/>
      </c>
      <c r="IH11" s="40" t="str">
        <f t="shared" si="70"/>
        <v/>
      </c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 t="shared" si="76"/>
        <v/>
      </c>
      <c r="JI11" s="11" t="str">
        <f t="shared" si="77"/>
        <v/>
      </c>
      <c r="JJ11" s="11" t="str">
        <f t="shared" si="78"/>
        <v/>
      </c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 t="shared" si="84"/>
        <v/>
      </c>
      <c r="KK11" s="40" t="str">
        <f t="shared" si="85"/>
        <v/>
      </c>
      <c r="KL11" s="40" t="str">
        <f t="shared" si="86"/>
        <v/>
      </c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 t="shared" si="92"/>
        <v/>
      </c>
      <c r="LM11" s="11" t="str">
        <f t="shared" si="93"/>
        <v/>
      </c>
      <c r="LN11" s="11" t="str">
        <f t="shared" si="94"/>
        <v/>
      </c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 t="shared" si="100"/>
        <v/>
      </c>
      <c r="MO11" s="40" t="str">
        <f t="shared" si="101"/>
        <v/>
      </c>
      <c r="MP11" s="40" t="str">
        <f t="shared" si="102"/>
        <v/>
      </c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 t="shared" si="108"/>
        <v/>
      </c>
      <c r="NQ11" s="11" t="str">
        <f t="shared" si="109"/>
        <v/>
      </c>
      <c r="NR11" s="11" t="str">
        <f t="shared" si="110"/>
        <v/>
      </c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 t="shared" si="116"/>
        <v/>
      </c>
      <c r="OS11" s="40" t="str">
        <f t="shared" si="117"/>
        <v/>
      </c>
      <c r="OT11" s="40" t="str">
        <f t="shared" si="118"/>
        <v/>
      </c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 t="shared" si="124"/>
        <v/>
      </c>
      <c r="PU11" s="11" t="str">
        <f t="shared" si="125"/>
        <v/>
      </c>
      <c r="PV11" s="11" t="str">
        <f t="shared" si="126"/>
        <v/>
      </c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 t="shared" si="132"/>
        <v/>
      </c>
      <c r="QW11" s="40" t="str">
        <f t="shared" si="133"/>
        <v/>
      </c>
      <c r="QX11" s="40" t="str">
        <f t="shared" si="134"/>
        <v/>
      </c>
      <c r="QY11" s="40" t="str">
        <f t="shared" si="135"/>
        <v/>
      </c>
      <c r="QZ11" s="40" t="str">
        <f t="shared" si="136"/>
        <v/>
      </c>
      <c r="RA11" s="40" t="str">
        <f t="shared" si="137"/>
        <v/>
      </c>
      <c r="RB11" s="40" t="str">
        <f t="shared" si="138"/>
        <v/>
      </c>
      <c r="RC11" s="40" t="str">
        <f t="shared" si="139"/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 t="shared" si="140"/>
        <v/>
      </c>
      <c r="RY11" s="11" t="str">
        <f t="shared" si="141"/>
        <v/>
      </c>
      <c r="RZ11" s="11" t="str">
        <f t="shared" si="142"/>
        <v/>
      </c>
      <c r="SA11" s="11" t="str">
        <f t="shared" si="143"/>
        <v/>
      </c>
      <c r="SB11" s="11" t="str">
        <f t="shared" si="144"/>
        <v/>
      </c>
      <c r="SC11" s="11" t="str">
        <f t="shared" si="145"/>
        <v/>
      </c>
      <c r="SD11" s="11" t="str">
        <f t="shared" si="146"/>
        <v/>
      </c>
      <c r="SE11" s="11" t="str">
        <f t="shared" si="147"/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 t="shared" si="148"/>
        <v/>
      </c>
      <c r="TA11" s="40" t="str">
        <f t="shared" si="149"/>
        <v/>
      </c>
      <c r="TB11" s="40" t="str">
        <f t="shared" si="150"/>
        <v/>
      </c>
      <c r="TC11" s="40" t="str">
        <f t="shared" si="151"/>
        <v/>
      </c>
      <c r="TD11" s="40" t="str">
        <f t="shared" si="152"/>
        <v/>
      </c>
      <c r="TE11" s="40" t="str">
        <f t="shared" si="153"/>
        <v/>
      </c>
      <c r="TF11" s="40" t="str">
        <f t="shared" si="154"/>
        <v/>
      </c>
      <c r="TG11" s="40" t="str">
        <f t="shared" si="155"/>
        <v/>
      </c>
      <c r="TH11" s="26">
        <f t="shared" si="156"/>
        <v>18.200000000000003</v>
      </c>
      <c r="TI11" s="26">
        <f t="shared" si="157"/>
        <v>6.4</v>
      </c>
      <c r="TJ11" s="26">
        <f t="shared" si="158"/>
        <v>0.5</v>
      </c>
      <c r="TK11" s="26">
        <f t="shared" si="159"/>
        <v>0</v>
      </c>
      <c r="TL11" s="26">
        <f t="shared" si="160"/>
        <v>18.5</v>
      </c>
      <c r="TM11" s="26">
        <f t="shared" si="161"/>
        <v>5.6</v>
      </c>
      <c r="TN11" s="26">
        <f t="shared" si="162"/>
        <v>0.3</v>
      </c>
      <c r="TO11" s="26">
        <f t="shared" si="163"/>
        <v>0.15</v>
      </c>
      <c r="TP11" s="26">
        <f t="shared" si="164"/>
        <v>9.1</v>
      </c>
      <c r="TQ11" s="26">
        <f t="shared" si="165"/>
        <v>2.6</v>
      </c>
      <c r="TR11" s="26">
        <f t="shared" si="166"/>
        <v>0.1</v>
      </c>
      <c r="TS11" s="26">
        <f t="shared" si="167"/>
        <v>0.15</v>
      </c>
      <c r="TT11" s="26">
        <f t="shared" si="168"/>
        <v>18.55</v>
      </c>
      <c r="TU11" s="26">
        <f t="shared" si="169"/>
        <v>6.4</v>
      </c>
      <c r="TV11" s="26">
        <f t="shared" si="170"/>
        <v>0.1</v>
      </c>
      <c r="TW11" s="26">
        <f t="shared" si="171"/>
        <v>0</v>
      </c>
      <c r="TX11" s="26">
        <f t="shared" si="172"/>
        <v>18.5</v>
      </c>
      <c r="TY11" s="26">
        <f t="shared" si="173"/>
        <v>5.6</v>
      </c>
      <c r="TZ11" s="26">
        <f t="shared" si="174"/>
        <v>0.3</v>
      </c>
      <c r="UA11" s="26">
        <f t="shared" si="175"/>
        <v>0.15</v>
      </c>
      <c r="UB11" s="28" t="s">
        <v>53</v>
      </c>
      <c r="UC11" s="11">
        <f t="shared" si="176"/>
        <v>12</v>
      </c>
      <c r="UD11" s="11">
        <f t="shared" si="177"/>
        <v>48.050000000000004</v>
      </c>
      <c r="UE11" s="11">
        <f t="shared" si="178"/>
        <v>11.75</v>
      </c>
      <c r="UF11" s="11">
        <f t="shared" si="179"/>
        <v>14.6</v>
      </c>
      <c r="UG11" s="11">
        <f t="shared" si="180"/>
        <v>59.800000000000004</v>
      </c>
      <c r="UH11" s="11">
        <f t="shared" si="181"/>
        <v>12</v>
      </c>
      <c r="UI11" s="11">
        <f t="shared" si="182"/>
        <v>48.800000000000004</v>
      </c>
      <c r="UJ11" s="11">
        <f t="shared" si="183"/>
        <v>108.60000000000001</v>
      </c>
    </row>
    <row r="12" spans="1:556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244</v>
      </c>
      <c r="C12" s="4" t="s">
        <v>6</v>
      </c>
      <c r="D12" s="4">
        <v>2008</v>
      </c>
      <c r="E12" s="9">
        <f t="shared" si="0"/>
        <v>144.10000928000503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IF(COUNT(AO12,BR12,CU12)&gt;0,LARGE((AO12,BR12,CU12),1),0)</f>
        <v>49.900000000000006</v>
      </c>
      <c r="K12" s="8" t="str">
        <f t="shared" si="5"/>
        <v>2024 Nationals</v>
      </c>
      <c r="L12" s="8">
        <f>IF(COUNT(AO12,BR12,CU12)&gt;1,LARGE((AO12,BR12,CU12),2),0)</f>
        <v>42.900000000000006</v>
      </c>
      <c r="M12" s="8" t="str">
        <f t="shared" si="6"/>
        <v>2024 3rd Domestic Trial</v>
      </c>
      <c r="N12" s="8">
        <f t="shared" si="7"/>
        <v>44.8</v>
      </c>
      <c r="O12" s="8" t="str">
        <f t="shared" si="8"/>
        <v>2024 Nationals</v>
      </c>
      <c r="P12" s="8">
        <f t="shared" si="9"/>
        <v>6.4999999999999929</v>
      </c>
      <c r="Q12" s="11" t="str">
        <f t="shared" si="184"/>
        <v>(Q1)</v>
      </c>
      <c r="R12" s="8" t="str">
        <f t="shared" si="185"/>
        <v>2024 Coimbra Gym Fest (July 7)</v>
      </c>
      <c r="S12" s="19">
        <v>18.600000000000001</v>
      </c>
      <c r="T12" s="19">
        <v>6</v>
      </c>
      <c r="U12" s="19">
        <v>0</v>
      </c>
      <c r="V12" s="19">
        <v>0</v>
      </c>
      <c r="W12" s="19">
        <v>18.3</v>
      </c>
      <c r="X12" s="19">
        <v>7.2</v>
      </c>
      <c r="Y12" s="19">
        <v>0.2</v>
      </c>
      <c r="Z12" s="19">
        <v>0</v>
      </c>
      <c r="AA12" s="19">
        <v>18.3</v>
      </c>
      <c r="AB12" s="19">
        <v>4.4000000000000004</v>
      </c>
      <c r="AC12" s="19">
        <v>1</v>
      </c>
      <c r="AD12" s="19">
        <v>0</v>
      </c>
      <c r="AE12" s="19">
        <v>17.399999999999999</v>
      </c>
      <c r="AF12" s="19">
        <v>2.4</v>
      </c>
      <c r="AG12" s="19">
        <v>0</v>
      </c>
      <c r="AH12" s="19">
        <v>0</v>
      </c>
      <c r="AI12" s="19">
        <v>18.600000000000001</v>
      </c>
      <c r="AJ12" s="19">
        <v>6.4</v>
      </c>
      <c r="AK12" s="19">
        <v>0</v>
      </c>
      <c r="AL12" s="19">
        <v>0</v>
      </c>
      <c r="AM12" s="27"/>
      <c r="AN12" s="40">
        <f t="shared" si="10"/>
        <v>13.2</v>
      </c>
      <c r="AO12" s="40">
        <f t="shared" si="11"/>
        <v>49.900000000000006</v>
      </c>
      <c r="AP12" s="40">
        <f t="shared" si="12"/>
        <v>21.700000000000003</v>
      </c>
      <c r="AQ12" s="40">
        <f t="shared" si="13"/>
        <v>17.600000000000001</v>
      </c>
      <c r="AR12" s="40">
        <f t="shared" si="14"/>
        <v>71.600000000000009</v>
      </c>
      <c r="AS12" s="40">
        <f t="shared" si="15"/>
        <v>8.8000000000000007</v>
      </c>
      <c r="AT12" s="40">
        <f t="shared" si="16"/>
        <v>44.8</v>
      </c>
      <c r="AU12" s="40">
        <f t="shared" si="17"/>
        <v>116.4</v>
      </c>
      <c r="AV12" s="18">
        <v>17.8</v>
      </c>
      <c r="AW12" s="18">
        <v>4.4000000000000004</v>
      </c>
      <c r="AX12" s="18">
        <v>0.6</v>
      </c>
      <c r="AY12" s="18">
        <v>0</v>
      </c>
      <c r="AZ12" s="18">
        <v>19</v>
      </c>
      <c r="BA12" s="18">
        <v>3.1</v>
      </c>
      <c r="BB12" s="18">
        <v>0.8</v>
      </c>
      <c r="BC12" s="18">
        <v>0</v>
      </c>
      <c r="BD12" s="18">
        <v>16.2</v>
      </c>
      <c r="BE12" s="18">
        <v>2.8</v>
      </c>
      <c r="BF12" s="18">
        <v>1.2</v>
      </c>
      <c r="BG12" s="18">
        <v>0</v>
      </c>
      <c r="BH12" s="18">
        <v>17.8</v>
      </c>
      <c r="BI12" s="18">
        <v>5.6</v>
      </c>
      <c r="BJ12" s="18">
        <v>1</v>
      </c>
      <c r="BK12" s="18">
        <v>0</v>
      </c>
      <c r="BL12" s="18">
        <v>17.2</v>
      </c>
      <c r="BM12" s="18">
        <v>2.4</v>
      </c>
      <c r="BN12" s="18">
        <v>0</v>
      </c>
      <c r="BO12" s="18">
        <v>0</v>
      </c>
      <c r="BP12" s="28"/>
      <c r="BQ12" s="11">
        <f t="shared" si="18"/>
        <v>7.5</v>
      </c>
      <c r="BR12" s="11">
        <f t="shared" si="19"/>
        <v>42.900000000000006</v>
      </c>
      <c r="BS12" s="11">
        <f t="shared" si="20"/>
        <v>17.8</v>
      </c>
      <c r="BT12" s="11">
        <f t="shared" si="21"/>
        <v>10.3</v>
      </c>
      <c r="BU12" s="11">
        <f t="shared" si="22"/>
        <v>60.7</v>
      </c>
      <c r="BV12" s="11">
        <f t="shared" si="23"/>
        <v>8</v>
      </c>
      <c r="BW12" s="11">
        <f t="shared" si="24"/>
        <v>41.999999999999993</v>
      </c>
      <c r="BX12" s="11">
        <f t="shared" si="25"/>
        <v>102.69999999999999</v>
      </c>
      <c r="BY12" s="19">
        <v>18.7</v>
      </c>
      <c r="BZ12" s="19">
        <v>5.2</v>
      </c>
      <c r="CA12" s="19">
        <v>0</v>
      </c>
      <c r="CB12" s="19">
        <v>0</v>
      </c>
      <c r="CC12" s="19">
        <v>15.2</v>
      </c>
      <c r="CD12" s="19">
        <v>0</v>
      </c>
      <c r="CE12" s="19">
        <v>0</v>
      </c>
      <c r="CF12" s="19">
        <v>0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 t="shared" si="26"/>
        <v>5.2</v>
      </c>
      <c r="CU12" s="40">
        <f t="shared" si="27"/>
        <v>39.099999999999994</v>
      </c>
      <c r="CV12" s="40" t="str">
        <f t="shared" si="28"/>
        <v/>
      </c>
      <c r="CW12" s="40">
        <f t="shared" si="29"/>
        <v>5.2</v>
      </c>
      <c r="CX12" s="40">
        <f t="shared" si="30"/>
        <v>39.099999999999994</v>
      </c>
      <c r="CY12" s="40" t="str">
        <f t="shared" si="31"/>
        <v/>
      </c>
      <c r="CZ12" s="40" t="str">
        <f t="shared" si="32"/>
        <v/>
      </c>
      <c r="DA12" s="40">
        <f t="shared" si="33"/>
        <v>39.099999999999994</v>
      </c>
      <c r="DB12" s="51">
        <f t="shared" si="34"/>
        <v>6.4999999999999929</v>
      </c>
      <c r="DC12" s="51">
        <f t="shared" si="35"/>
        <v>4.8000000000000043</v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 t="shared" si="36"/>
        <v/>
      </c>
      <c r="DY12" s="40" t="str">
        <f t="shared" si="37"/>
        <v/>
      </c>
      <c r="DZ12" s="40" t="str">
        <f t="shared" si="38"/>
        <v/>
      </c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18">
        <v>18.2</v>
      </c>
      <c r="EG12" s="18">
        <v>6</v>
      </c>
      <c r="EH12" s="18">
        <v>0.6</v>
      </c>
      <c r="EI12" s="18">
        <v>0</v>
      </c>
      <c r="EJ12" s="18">
        <v>18.600000000000001</v>
      </c>
      <c r="EK12" s="18">
        <v>7.2</v>
      </c>
      <c r="EL12" s="18">
        <v>0</v>
      </c>
      <c r="EM12" s="18">
        <v>0</v>
      </c>
      <c r="EN12" s="18"/>
      <c r="EO12" s="18"/>
      <c r="EP12" s="18"/>
      <c r="EQ12" s="18"/>
      <c r="ER12" s="18">
        <v>18.600000000000001</v>
      </c>
      <c r="ES12" s="18">
        <v>6</v>
      </c>
      <c r="ET12" s="18">
        <v>0</v>
      </c>
      <c r="EU12" s="18">
        <v>0</v>
      </c>
      <c r="EV12" s="18">
        <v>18</v>
      </c>
      <c r="EW12" s="18">
        <v>7.2</v>
      </c>
      <c r="EX12" s="18">
        <v>0.2</v>
      </c>
      <c r="EY12" s="18">
        <v>0</v>
      </c>
      <c r="EZ12" s="11">
        <f t="shared" si="44"/>
        <v>13.2</v>
      </c>
      <c r="FA12" s="11">
        <f t="shared" si="45"/>
        <v>49.4</v>
      </c>
      <c r="FB12" s="11" t="str">
        <f t="shared" si="46"/>
        <v/>
      </c>
      <c r="FC12" s="11">
        <f t="shared" si="47"/>
        <v>13.2</v>
      </c>
      <c r="FD12" s="11">
        <f t="shared" si="48"/>
        <v>49.4</v>
      </c>
      <c r="FE12" s="11">
        <f t="shared" si="49"/>
        <v>13.2</v>
      </c>
      <c r="FF12" s="11">
        <f t="shared" si="50"/>
        <v>49.6</v>
      </c>
      <c r="FG12" s="11">
        <f t="shared" si="51"/>
        <v>99</v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 t="shared" si="52"/>
        <v/>
      </c>
      <c r="GC12" s="40" t="str">
        <f t="shared" si="53"/>
        <v/>
      </c>
      <c r="GD12" s="40" t="str">
        <f t="shared" si="54"/>
        <v/>
      </c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 t="shared" si="60"/>
        <v/>
      </c>
      <c r="HE12" s="11" t="str">
        <f t="shared" si="61"/>
        <v/>
      </c>
      <c r="HF12" s="11" t="str">
        <f t="shared" si="62"/>
        <v/>
      </c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 t="shared" si="68"/>
        <v/>
      </c>
      <c r="IG12" s="40" t="str">
        <f t="shared" si="69"/>
        <v/>
      </c>
      <c r="IH12" s="40" t="str">
        <f t="shared" si="70"/>
        <v/>
      </c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 t="shared" si="76"/>
        <v/>
      </c>
      <c r="JI12" s="11" t="str">
        <f t="shared" si="77"/>
        <v/>
      </c>
      <c r="JJ12" s="11" t="str">
        <f t="shared" si="78"/>
        <v/>
      </c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 t="shared" si="84"/>
        <v/>
      </c>
      <c r="KK12" s="40" t="str">
        <f t="shared" si="85"/>
        <v/>
      </c>
      <c r="KL12" s="40" t="str">
        <f t="shared" si="86"/>
        <v/>
      </c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 t="shared" si="92"/>
        <v/>
      </c>
      <c r="LM12" s="11" t="str">
        <f t="shared" si="93"/>
        <v/>
      </c>
      <c r="LN12" s="11" t="str">
        <f t="shared" si="94"/>
        <v/>
      </c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 t="shared" si="100"/>
        <v/>
      </c>
      <c r="MO12" s="40" t="str">
        <f t="shared" si="101"/>
        <v/>
      </c>
      <c r="MP12" s="40" t="str">
        <f t="shared" si="102"/>
        <v/>
      </c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 t="shared" si="108"/>
        <v/>
      </c>
      <c r="NQ12" s="11" t="str">
        <f t="shared" si="109"/>
        <v/>
      </c>
      <c r="NR12" s="11" t="str">
        <f t="shared" si="110"/>
        <v/>
      </c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 t="shared" si="116"/>
        <v/>
      </c>
      <c r="OS12" s="40" t="str">
        <f t="shared" si="117"/>
        <v/>
      </c>
      <c r="OT12" s="40" t="str">
        <f t="shared" si="118"/>
        <v/>
      </c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 t="shared" si="124"/>
        <v/>
      </c>
      <c r="PU12" s="11" t="str">
        <f t="shared" si="125"/>
        <v/>
      </c>
      <c r="PV12" s="11" t="str">
        <f t="shared" si="126"/>
        <v/>
      </c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 t="shared" si="132"/>
        <v/>
      </c>
      <c r="QW12" s="40" t="str">
        <f t="shared" si="133"/>
        <v/>
      </c>
      <c r="QX12" s="40" t="str">
        <f t="shared" si="134"/>
        <v/>
      </c>
      <c r="QY12" s="40" t="str">
        <f t="shared" si="135"/>
        <v/>
      </c>
      <c r="QZ12" s="40" t="str">
        <f t="shared" si="136"/>
        <v/>
      </c>
      <c r="RA12" s="40" t="str">
        <f t="shared" si="137"/>
        <v/>
      </c>
      <c r="RB12" s="40" t="str">
        <f t="shared" si="138"/>
        <v/>
      </c>
      <c r="RC12" s="40" t="str">
        <f t="shared" si="139"/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 t="shared" si="140"/>
        <v/>
      </c>
      <c r="RY12" s="11" t="str">
        <f t="shared" si="141"/>
        <v/>
      </c>
      <c r="RZ12" s="11" t="str">
        <f t="shared" si="142"/>
        <v/>
      </c>
      <c r="SA12" s="11" t="str">
        <f t="shared" si="143"/>
        <v/>
      </c>
      <c r="SB12" s="11" t="str">
        <f t="shared" si="144"/>
        <v/>
      </c>
      <c r="SC12" s="11" t="str">
        <f t="shared" si="145"/>
        <v/>
      </c>
      <c r="SD12" s="11" t="str">
        <f t="shared" si="146"/>
        <v/>
      </c>
      <c r="SE12" s="11" t="str">
        <f t="shared" si="147"/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 t="shared" si="148"/>
        <v/>
      </c>
      <c r="TA12" s="40" t="str">
        <f t="shared" si="149"/>
        <v/>
      </c>
      <c r="TB12" s="40" t="str">
        <f t="shared" si="150"/>
        <v/>
      </c>
      <c r="TC12" s="40" t="str">
        <f t="shared" si="151"/>
        <v/>
      </c>
      <c r="TD12" s="40" t="str">
        <f t="shared" si="152"/>
        <v/>
      </c>
      <c r="TE12" s="40" t="str">
        <f t="shared" si="153"/>
        <v/>
      </c>
      <c r="TF12" s="40" t="str">
        <f t="shared" si="154"/>
        <v/>
      </c>
      <c r="TG12" s="40" t="str">
        <f t="shared" si="155"/>
        <v/>
      </c>
      <c r="TH12" s="26">
        <f t="shared" si="156"/>
        <v>18.25</v>
      </c>
      <c r="TI12" s="26">
        <f t="shared" si="157"/>
        <v>4.8000000000000007</v>
      </c>
      <c r="TJ12" s="26">
        <f t="shared" si="158"/>
        <v>0.3</v>
      </c>
      <c r="TK12" s="26">
        <f t="shared" si="159"/>
        <v>0</v>
      </c>
      <c r="TL12" s="26">
        <f t="shared" si="160"/>
        <v>17.100000000000001</v>
      </c>
      <c r="TM12" s="26">
        <f t="shared" si="161"/>
        <v>1.55</v>
      </c>
      <c r="TN12" s="26">
        <f t="shared" si="162"/>
        <v>0.4</v>
      </c>
      <c r="TO12" s="26">
        <f t="shared" si="163"/>
        <v>0</v>
      </c>
      <c r="TP12" s="26">
        <f t="shared" si="164"/>
        <v>8.1</v>
      </c>
      <c r="TQ12" s="26">
        <f t="shared" si="165"/>
        <v>1.4</v>
      </c>
      <c r="TR12" s="26">
        <f t="shared" si="166"/>
        <v>0.6</v>
      </c>
      <c r="TS12" s="26">
        <f t="shared" si="167"/>
        <v>0</v>
      </c>
      <c r="TT12" s="26">
        <f t="shared" si="168"/>
        <v>8.9</v>
      </c>
      <c r="TU12" s="26">
        <f t="shared" si="169"/>
        <v>2.8</v>
      </c>
      <c r="TV12" s="26">
        <f t="shared" si="170"/>
        <v>0.5</v>
      </c>
      <c r="TW12" s="26">
        <f t="shared" si="171"/>
        <v>0</v>
      </c>
      <c r="TX12" s="26">
        <f t="shared" si="172"/>
        <v>8.6</v>
      </c>
      <c r="TY12" s="26">
        <f t="shared" si="173"/>
        <v>1.2</v>
      </c>
      <c r="TZ12" s="26">
        <f t="shared" si="174"/>
        <v>0</v>
      </c>
      <c r="UA12" s="26">
        <f t="shared" si="175"/>
        <v>0</v>
      </c>
      <c r="UB12" s="28" t="s">
        <v>53</v>
      </c>
      <c r="UC12" s="11">
        <f t="shared" si="176"/>
        <v>6.3500000000000005</v>
      </c>
      <c r="UD12" s="11">
        <f t="shared" si="177"/>
        <v>41.000000000000007</v>
      </c>
      <c r="UE12" s="11">
        <f t="shared" si="178"/>
        <v>8.9</v>
      </c>
      <c r="UF12" s="11">
        <f t="shared" si="179"/>
        <v>7.75</v>
      </c>
      <c r="UG12" s="11">
        <f t="shared" si="180"/>
        <v>49.900000000000006</v>
      </c>
      <c r="UH12" s="11">
        <f t="shared" si="181"/>
        <v>4</v>
      </c>
      <c r="UI12" s="11">
        <f t="shared" si="182"/>
        <v>20.999999999999996</v>
      </c>
      <c r="UJ12" s="11">
        <f t="shared" si="183"/>
        <v>70.900000000000006</v>
      </c>
    </row>
    <row r="13" spans="1:556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159</v>
      </c>
      <c r="C13" s="4" t="s">
        <v>7</v>
      </c>
      <c r="D13" s="4">
        <v>2002</v>
      </c>
      <c r="E13" s="9">
        <f t="shared" si="0"/>
        <v>142.20000977000487</v>
      </c>
      <c r="F13" s="3" t="str">
        <f t="shared" si="1"/>
        <v>P</v>
      </c>
      <c r="G13" s="3" t="str">
        <f t="shared" si="2"/>
        <v>P</v>
      </c>
      <c r="H13" s="36" t="str">
        <f t="shared" si="3"/>
        <v>Worlds Team</v>
      </c>
      <c r="I13" s="3" t="str">
        <f t="shared" si="4"/>
        <v>P</v>
      </c>
      <c r="J13" s="8">
        <f>IF(COUNT(AO13,BR13,CU13)&gt;0,LARGE((AO13,BR13,CU13),1),0)</f>
        <v>48.9</v>
      </c>
      <c r="K13" s="8" t="str">
        <f t="shared" si="5"/>
        <v>2025 Elite Canada</v>
      </c>
      <c r="L13" s="8">
        <f>IF(COUNT(AO13,BR13,CU13)&gt;1,LARGE((AO13,BR13,CU13),2),0)</f>
        <v>48.8</v>
      </c>
      <c r="M13" s="8" t="str">
        <f t="shared" si="6"/>
        <v>2024 Nationals</v>
      </c>
      <c r="N13" s="8">
        <f t="shared" si="7"/>
        <v>44.500000000000007</v>
      </c>
      <c r="O13" s="8" t="str">
        <f t="shared" si="8"/>
        <v>2024 3rd Domestic Trial</v>
      </c>
      <c r="P13" s="8" t="str">
        <f t="shared" si="9"/>
        <v/>
      </c>
      <c r="Q13" s="11" t="str">
        <f t="shared" si="184"/>
        <v/>
      </c>
      <c r="R13" s="8" t="str">
        <f t="shared" si="185"/>
        <v/>
      </c>
      <c r="S13" s="19">
        <v>18.8</v>
      </c>
      <c r="T13" s="19">
        <v>5.6</v>
      </c>
      <c r="U13" s="19">
        <v>0.2</v>
      </c>
      <c r="V13" s="19">
        <v>0</v>
      </c>
      <c r="W13" s="19">
        <v>18.8</v>
      </c>
      <c r="X13" s="19">
        <v>6</v>
      </c>
      <c r="Y13" s="19">
        <v>0.2</v>
      </c>
      <c r="Z13" s="19">
        <v>0</v>
      </c>
      <c r="AA13" s="19">
        <v>18.600000000000001</v>
      </c>
      <c r="AB13" s="19">
        <v>5.0999999999999996</v>
      </c>
      <c r="AC13" s="19">
        <v>0.6</v>
      </c>
      <c r="AD13" s="19">
        <v>0.3</v>
      </c>
      <c r="AE13" s="19">
        <v>18.7</v>
      </c>
      <c r="AF13" s="19">
        <v>6.8</v>
      </c>
      <c r="AG13" s="19">
        <v>0.2</v>
      </c>
      <c r="AH13" s="19">
        <v>0.3</v>
      </c>
      <c r="AI13" s="19">
        <v>0</v>
      </c>
      <c r="AJ13" s="19">
        <v>0</v>
      </c>
      <c r="AK13" s="19">
        <v>0</v>
      </c>
      <c r="AL13" s="19">
        <v>0</v>
      </c>
      <c r="AM13" s="27"/>
      <c r="AN13" s="40">
        <f t="shared" si="10"/>
        <v>11.6</v>
      </c>
      <c r="AO13" s="40">
        <f t="shared" si="11"/>
        <v>48.8</v>
      </c>
      <c r="AP13" s="40">
        <f t="shared" si="12"/>
        <v>23.400000000000002</v>
      </c>
      <c r="AQ13" s="40">
        <f t="shared" si="13"/>
        <v>16.7</v>
      </c>
      <c r="AR13" s="40">
        <f t="shared" si="14"/>
        <v>72.2</v>
      </c>
      <c r="AS13" s="40">
        <f t="shared" si="15"/>
        <v>6.8</v>
      </c>
      <c r="AT13" s="40">
        <f t="shared" si="16"/>
        <v>25.6</v>
      </c>
      <c r="AU13" s="40">
        <f t="shared" si="17"/>
        <v>97.800000000000011</v>
      </c>
      <c r="AV13" s="18">
        <v>18.399999999999999</v>
      </c>
      <c r="AW13" s="18">
        <v>5.6</v>
      </c>
      <c r="AX13" s="18">
        <v>0</v>
      </c>
      <c r="AY13" s="18">
        <v>0</v>
      </c>
      <c r="AZ13" s="18">
        <v>18.399999999999999</v>
      </c>
      <c r="BA13" s="18">
        <v>4.4000000000000004</v>
      </c>
      <c r="BB13" s="18">
        <v>0.6</v>
      </c>
      <c r="BC13" s="18">
        <v>0</v>
      </c>
      <c r="BD13" s="18">
        <v>19.2</v>
      </c>
      <c r="BE13" s="18">
        <v>4.3</v>
      </c>
      <c r="BF13" s="18">
        <v>0.3</v>
      </c>
      <c r="BG13" s="18">
        <v>0</v>
      </c>
      <c r="BH13" s="18">
        <v>16.5</v>
      </c>
      <c r="BI13" s="18">
        <v>4.8</v>
      </c>
      <c r="BJ13" s="18">
        <v>0.2</v>
      </c>
      <c r="BK13" s="18">
        <v>0</v>
      </c>
      <c r="BL13" s="18">
        <v>18.399999999999999</v>
      </c>
      <c r="BM13" s="18">
        <v>5.2</v>
      </c>
      <c r="BN13" s="18">
        <v>0.2</v>
      </c>
      <c r="BO13" s="18">
        <v>0</v>
      </c>
      <c r="BP13" s="28"/>
      <c r="BQ13" s="11">
        <f t="shared" si="18"/>
        <v>10</v>
      </c>
      <c r="BR13" s="11">
        <f t="shared" si="19"/>
        <v>46.199999999999996</v>
      </c>
      <c r="BS13" s="11">
        <f t="shared" si="20"/>
        <v>23.2</v>
      </c>
      <c r="BT13" s="11">
        <f t="shared" si="21"/>
        <v>14.3</v>
      </c>
      <c r="BU13" s="11">
        <f t="shared" si="22"/>
        <v>69.399999999999991</v>
      </c>
      <c r="BV13" s="11">
        <f t="shared" si="23"/>
        <v>10</v>
      </c>
      <c r="BW13" s="11">
        <f t="shared" si="24"/>
        <v>44.500000000000007</v>
      </c>
      <c r="BX13" s="11">
        <f t="shared" si="25"/>
        <v>113.9</v>
      </c>
      <c r="BY13" s="19">
        <v>19</v>
      </c>
      <c r="BZ13" s="19">
        <v>5.2</v>
      </c>
      <c r="CA13" s="19">
        <v>0</v>
      </c>
      <c r="CB13" s="19">
        <v>0</v>
      </c>
      <c r="CC13" s="19">
        <v>18.5</v>
      </c>
      <c r="CD13" s="19">
        <v>6.4</v>
      </c>
      <c r="CE13" s="19">
        <v>0.2</v>
      </c>
      <c r="CF13" s="19">
        <v>0</v>
      </c>
      <c r="CG13" s="19"/>
      <c r="CH13" s="19"/>
      <c r="CI13" s="19"/>
      <c r="CJ13" s="19"/>
      <c r="CK13" s="19">
        <v>18.2</v>
      </c>
      <c r="CL13" s="19">
        <v>5.2</v>
      </c>
      <c r="CM13" s="19">
        <v>0.2</v>
      </c>
      <c r="CN13" s="19">
        <v>0</v>
      </c>
      <c r="CO13" s="19">
        <v>15.2</v>
      </c>
      <c r="CP13" s="19">
        <v>0</v>
      </c>
      <c r="CQ13" s="19">
        <v>0.2</v>
      </c>
      <c r="CR13" s="19">
        <v>0</v>
      </c>
      <c r="CS13" s="27"/>
      <c r="CT13" s="40">
        <f t="shared" si="26"/>
        <v>11.600000000000001</v>
      </c>
      <c r="CU13" s="40">
        <f t="shared" si="27"/>
        <v>48.9</v>
      </c>
      <c r="CV13" s="40" t="str">
        <f t="shared" si="28"/>
        <v/>
      </c>
      <c r="CW13" s="40">
        <f t="shared" si="29"/>
        <v>11.600000000000001</v>
      </c>
      <c r="CX13" s="40">
        <f t="shared" si="30"/>
        <v>48.9</v>
      </c>
      <c r="CY13" s="40">
        <f t="shared" si="31"/>
        <v>5.2</v>
      </c>
      <c r="CZ13" s="40">
        <f t="shared" si="32"/>
        <v>38.199999999999996</v>
      </c>
      <c r="DA13" s="40">
        <f t="shared" si="33"/>
        <v>87.1</v>
      </c>
      <c r="DB13" s="51" t="str">
        <f t="shared" si="34"/>
        <v/>
      </c>
      <c r="DC13" s="51" t="str">
        <f t="shared" si="35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 t="shared" si="36"/>
        <v/>
      </c>
      <c r="DY13" s="40" t="str">
        <f t="shared" si="37"/>
        <v/>
      </c>
      <c r="DZ13" s="40" t="str">
        <f t="shared" si="38"/>
        <v/>
      </c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 t="shared" si="44"/>
        <v/>
      </c>
      <c r="FA13" s="11" t="str">
        <f t="shared" si="45"/>
        <v/>
      </c>
      <c r="FB13" s="11" t="str">
        <f t="shared" si="46"/>
        <v/>
      </c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 t="shared" si="52"/>
        <v/>
      </c>
      <c r="GC13" s="40" t="str">
        <f t="shared" si="53"/>
        <v/>
      </c>
      <c r="GD13" s="40" t="str">
        <f t="shared" si="54"/>
        <v/>
      </c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 t="shared" si="60"/>
        <v/>
      </c>
      <c r="HE13" s="11" t="str">
        <f t="shared" si="61"/>
        <v/>
      </c>
      <c r="HF13" s="11" t="str">
        <f t="shared" si="62"/>
        <v/>
      </c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 t="shared" si="68"/>
        <v/>
      </c>
      <c r="IG13" s="40" t="str">
        <f t="shared" si="69"/>
        <v/>
      </c>
      <c r="IH13" s="40" t="str">
        <f t="shared" si="70"/>
        <v/>
      </c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 t="shared" si="76"/>
        <v/>
      </c>
      <c r="JI13" s="11" t="str">
        <f t="shared" si="77"/>
        <v/>
      </c>
      <c r="JJ13" s="11" t="str">
        <f t="shared" si="78"/>
        <v/>
      </c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 t="shared" si="84"/>
        <v/>
      </c>
      <c r="KK13" s="40" t="str">
        <f t="shared" si="85"/>
        <v/>
      </c>
      <c r="KL13" s="40" t="str">
        <f t="shared" si="86"/>
        <v/>
      </c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 t="shared" si="92"/>
        <v/>
      </c>
      <c r="LM13" s="11" t="str">
        <f t="shared" si="93"/>
        <v/>
      </c>
      <c r="LN13" s="11" t="str">
        <f t="shared" si="94"/>
        <v/>
      </c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 t="shared" si="100"/>
        <v/>
      </c>
      <c r="MO13" s="40" t="str">
        <f t="shared" si="101"/>
        <v/>
      </c>
      <c r="MP13" s="40" t="str">
        <f t="shared" si="102"/>
        <v/>
      </c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 t="shared" si="108"/>
        <v/>
      </c>
      <c r="NQ13" s="11" t="str">
        <f t="shared" si="109"/>
        <v/>
      </c>
      <c r="NR13" s="11" t="str">
        <f t="shared" si="110"/>
        <v/>
      </c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 t="shared" si="116"/>
        <v/>
      </c>
      <c r="OS13" s="40" t="str">
        <f t="shared" si="117"/>
        <v/>
      </c>
      <c r="OT13" s="40" t="str">
        <f t="shared" si="118"/>
        <v/>
      </c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 t="shared" si="124"/>
        <v/>
      </c>
      <c r="PU13" s="11" t="str">
        <f t="shared" si="125"/>
        <v/>
      </c>
      <c r="PV13" s="11" t="str">
        <f t="shared" si="126"/>
        <v/>
      </c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 t="shared" si="132"/>
        <v/>
      </c>
      <c r="QW13" s="40" t="str">
        <f t="shared" si="133"/>
        <v/>
      </c>
      <c r="QX13" s="40" t="str">
        <f t="shared" si="134"/>
        <v/>
      </c>
      <c r="QY13" s="40" t="str">
        <f t="shared" si="135"/>
        <v/>
      </c>
      <c r="QZ13" s="40" t="str">
        <f t="shared" si="136"/>
        <v/>
      </c>
      <c r="RA13" s="40" t="str">
        <f t="shared" si="137"/>
        <v/>
      </c>
      <c r="RB13" s="40" t="str">
        <f t="shared" si="138"/>
        <v/>
      </c>
      <c r="RC13" s="40" t="str">
        <f t="shared" si="139"/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 t="shared" si="140"/>
        <v/>
      </c>
      <c r="RY13" s="11" t="str">
        <f t="shared" si="141"/>
        <v/>
      </c>
      <c r="RZ13" s="11" t="str">
        <f t="shared" si="142"/>
        <v/>
      </c>
      <c r="SA13" s="11" t="str">
        <f t="shared" si="143"/>
        <v/>
      </c>
      <c r="SB13" s="11" t="str">
        <f t="shared" si="144"/>
        <v/>
      </c>
      <c r="SC13" s="11" t="str">
        <f t="shared" si="145"/>
        <v/>
      </c>
      <c r="SD13" s="11" t="str">
        <f t="shared" si="146"/>
        <v/>
      </c>
      <c r="SE13" s="11" t="str">
        <f t="shared" si="147"/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 t="shared" si="148"/>
        <v/>
      </c>
      <c r="TA13" s="40" t="str">
        <f t="shared" si="149"/>
        <v/>
      </c>
      <c r="TB13" s="40" t="str">
        <f t="shared" si="150"/>
        <v/>
      </c>
      <c r="TC13" s="40" t="str">
        <f t="shared" si="151"/>
        <v/>
      </c>
      <c r="TD13" s="40" t="str">
        <f t="shared" si="152"/>
        <v/>
      </c>
      <c r="TE13" s="40" t="str">
        <f t="shared" si="153"/>
        <v/>
      </c>
      <c r="TF13" s="40" t="str">
        <f t="shared" si="154"/>
        <v/>
      </c>
      <c r="TG13" s="40" t="str">
        <f t="shared" si="155"/>
        <v/>
      </c>
      <c r="TH13" s="26">
        <f t="shared" si="156"/>
        <v>18.7</v>
      </c>
      <c r="TI13" s="26">
        <f t="shared" si="157"/>
        <v>5.4</v>
      </c>
      <c r="TJ13" s="26">
        <f t="shared" si="158"/>
        <v>0</v>
      </c>
      <c r="TK13" s="26">
        <f t="shared" si="159"/>
        <v>0</v>
      </c>
      <c r="TL13" s="26">
        <f t="shared" si="160"/>
        <v>18.45</v>
      </c>
      <c r="TM13" s="26">
        <f t="shared" si="161"/>
        <v>5.4</v>
      </c>
      <c r="TN13" s="26">
        <f t="shared" si="162"/>
        <v>0.4</v>
      </c>
      <c r="TO13" s="26">
        <f t="shared" si="163"/>
        <v>0</v>
      </c>
      <c r="TP13" s="26">
        <f t="shared" si="164"/>
        <v>9.6</v>
      </c>
      <c r="TQ13" s="26">
        <f t="shared" si="165"/>
        <v>2.15</v>
      </c>
      <c r="TR13" s="26">
        <f t="shared" si="166"/>
        <v>0.15</v>
      </c>
      <c r="TS13" s="26">
        <f t="shared" si="167"/>
        <v>0</v>
      </c>
      <c r="TT13" s="26">
        <f t="shared" si="168"/>
        <v>17.350000000000001</v>
      </c>
      <c r="TU13" s="26">
        <f t="shared" si="169"/>
        <v>5</v>
      </c>
      <c r="TV13" s="26">
        <f t="shared" si="170"/>
        <v>0.2</v>
      </c>
      <c r="TW13" s="26">
        <f t="shared" si="171"/>
        <v>0</v>
      </c>
      <c r="TX13" s="26">
        <f t="shared" si="172"/>
        <v>16.799999999999997</v>
      </c>
      <c r="TY13" s="26">
        <f t="shared" si="173"/>
        <v>2.6</v>
      </c>
      <c r="TZ13" s="26">
        <f t="shared" si="174"/>
        <v>0.2</v>
      </c>
      <c r="UA13" s="26">
        <f t="shared" si="175"/>
        <v>0</v>
      </c>
      <c r="UB13" s="28" t="s">
        <v>53</v>
      </c>
      <c r="UC13" s="11">
        <f t="shared" si="176"/>
        <v>10.8</v>
      </c>
      <c r="UD13" s="11">
        <f t="shared" si="177"/>
        <v>47.55</v>
      </c>
      <c r="UE13" s="11">
        <f t="shared" si="178"/>
        <v>11.6</v>
      </c>
      <c r="UF13" s="11">
        <f t="shared" si="179"/>
        <v>12.950000000000001</v>
      </c>
      <c r="UG13" s="11">
        <f t="shared" si="180"/>
        <v>59.15</v>
      </c>
      <c r="UH13" s="11">
        <f t="shared" si="181"/>
        <v>7.6</v>
      </c>
      <c r="UI13" s="11">
        <f t="shared" si="182"/>
        <v>41.35</v>
      </c>
      <c r="UJ13" s="11">
        <f t="shared" si="183"/>
        <v>100.5</v>
      </c>
    </row>
    <row r="14" spans="1:556" x14ac:dyDescent="0.2">
      <c r="A14" s="4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>11</v>
      </c>
      <c r="B14" s="5" t="s">
        <v>131</v>
      </c>
      <c r="C14" s="4" t="s">
        <v>5</v>
      </c>
      <c r="D14" s="4">
        <v>2001</v>
      </c>
      <c r="E14" s="9">
        <f t="shared" si="0"/>
        <v>140.20000923000489</v>
      </c>
      <c r="F14" s="3" t="str">
        <f t="shared" si="1"/>
        <v>P</v>
      </c>
      <c r="G14" s="3" t="str">
        <f t="shared" si="2"/>
        <v>P</v>
      </c>
      <c r="H14" s="36" t="str">
        <f t="shared" si="3"/>
        <v>National Team</v>
      </c>
      <c r="I14" s="3" t="str">
        <f t="shared" si="4"/>
        <v/>
      </c>
      <c r="J14" s="8">
        <f>IF(COUNT(AO14,BR14,CU14)&gt;0,LARGE((AO14,BR14,CU14),1),0)</f>
        <v>48.9</v>
      </c>
      <c r="K14" s="8" t="str">
        <f t="shared" si="5"/>
        <v>2024 Nationals</v>
      </c>
      <c r="L14" s="8">
        <f>IF(COUNT(AO14,BR14,CU14)&gt;1,LARGE((AO14,BR14,CU14),2),0)</f>
        <v>43.4</v>
      </c>
      <c r="M14" s="8" t="str">
        <f t="shared" si="6"/>
        <v>2024 3rd Domestic Trial</v>
      </c>
      <c r="N14" s="8">
        <f t="shared" si="7"/>
        <v>47.1</v>
      </c>
      <c r="O14" s="8" t="str">
        <f t="shared" si="8"/>
        <v>2024 3rd Domestic Trial</v>
      </c>
      <c r="P14" s="8">
        <f t="shared" si="9"/>
        <v>0.80000000000000426</v>
      </c>
      <c r="Q14" s="11" t="str">
        <f t="shared" si="184"/>
        <v>(Final)</v>
      </c>
      <c r="R14" s="8" t="str">
        <f t="shared" si="185"/>
        <v>2024 Pan Am Championships (May 19)</v>
      </c>
      <c r="S14" s="19">
        <v>18.7</v>
      </c>
      <c r="T14" s="19">
        <v>5.6</v>
      </c>
      <c r="U14" s="19">
        <v>0</v>
      </c>
      <c r="V14" s="19">
        <v>0</v>
      </c>
      <c r="W14" s="19">
        <v>18.600000000000001</v>
      </c>
      <c r="X14" s="19">
        <v>6</v>
      </c>
      <c r="Y14" s="19">
        <v>0</v>
      </c>
      <c r="Z14" s="19">
        <v>0</v>
      </c>
      <c r="AA14" s="19">
        <v>17.2</v>
      </c>
      <c r="AB14" s="19">
        <v>2.4</v>
      </c>
      <c r="AC14" s="19">
        <v>0</v>
      </c>
      <c r="AD14" s="19">
        <v>0</v>
      </c>
      <c r="AE14" s="19">
        <v>18.399999999999999</v>
      </c>
      <c r="AF14" s="19">
        <v>5.6</v>
      </c>
      <c r="AG14" s="19">
        <v>0</v>
      </c>
      <c r="AH14" s="19">
        <v>0</v>
      </c>
      <c r="AI14" s="19">
        <v>18.100000000000001</v>
      </c>
      <c r="AJ14" s="19">
        <v>5.2</v>
      </c>
      <c r="AK14" s="19">
        <v>0.2</v>
      </c>
      <c r="AL14" s="19">
        <v>0</v>
      </c>
      <c r="AM14" s="27"/>
      <c r="AN14" s="40">
        <f t="shared" si="10"/>
        <v>11.6</v>
      </c>
      <c r="AO14" s="40">
        <f t="shared" si="11"/>
        <v>48.9</v>
      </c>
      <c r="AP14" s="40">
        <f t="shared" si="12"/>
        <v>19.599999999999998</v>
      </c>
      <c r="AQ14" s="40">
        <f t="shared" si="13"/>
        <v>14</v>
      </c>
      <c r="AR14" s="40">
        <f t="shared" si="14"/>
        <v>68.5</v>
      </c>
      <c r="AS14" s="40">
        <f t="shared" si="15"/>
        <v>10.8</v>
      </c>
      <c r="AT14" s="40">
        <f t="shared" si="16"/>
        <v>47.1</v>
      </c>
      <c r="AU14" s="40">
        <f t="shared" si="17"/>
        <v>115.6</v>
      </c>
      <c r="AV14" s="18">
        <v>18.600000000000001</v>
      </c>
      <c r="AW14" s="18">
        <v>4.4000000000000004</v>
      </c>
      <c r="AX14" s="18">
        <v>0.2</v>
      </c>
      <c r="AY14" s="18">
        <v>0</v>
      </c>
      <c r="AZ14" s="18">
        <v>18.5</v>
      </c>
      <c r="BA14" s="18">
        <v>3.1</v>
      </c>
      <c r="BB14" s="18">
        <v>1</v>
      </c>
      <c r="BC14" s="18">
        <v>0</v>
      </c>
      <c r="BD14" s="18">
        <v>18.899999999999999</v>
      </c>
      <c r="BE14" s="18">
        <v>5.6</v>
      </c>
      <c r="BF14" s="18">
        <v>0</v>
      </c>
      <c r="BG14" s="18">
        <v>0</v>
      </c>
      <c r="BH14" s="18">
        <v>18.8</v>
      </c>
      <c r="BI14" s="18">
        <v>4.8</v>
      </c>
      <c r="BJ14" s="18">
        <v>0</v>
      </c>
      <c r="BK14" s="18">
        <v>0</v>
      </c>
      <c r="BL14" s="18">
        <v>18.7</v>
      </c>
      <c r="BM14" s="18">
        <v>5.6</v>
      </c>
      <c r="BN14" s="18">
        <v>0.8</v>
      </c>
      <c r="BO14" s="18">
        <v>0</v>
      </c>
      <c r="BP14" s="28"/>
      <c r="BQ14" s="11">
        <f t="shared" si="18"/>
        <v>7.5</v>
      </c>
      <c r="BR14" s="11">
        <f t="shared" si="19"/>
        <v>43.4</v>
      </c>
      <c r="BS14" s="11">
        <f t="shared" si="20"/>
        <v>24.5</v>
      </c>
      <c r="BT14" s="11">
        <f t="shared" si="21"/>
        <v>13.1</v>
      </c>
      <c r="BU14" s="11">
        <f t="shared" si="22"/>
        <v>67.900000000000006</v>
      </c>
      <c r="BV14" s="11">
        <f t="shared" si="23"/>
        <v>10.399999999999999</v>
      </c>
      <c r="BW14" s="11">
        <f t="shared" si="24"/>
        <v>47.1</v>
      </c>
      <c r="BX14" s="11">
        <f t="shared" si="25"/>
        <v>115</v>
      </c>
      <c r="BY14" s="19">
        <v>15.4</v>
      </c>
      <c r="BZ14" s="19">
        <v>2.4</v>
      </c>
      <c r="CA14" s="19">
        <v>0</v>
      </c>
      <c r="CB14" s="19">
        <v>0</v>
      </c>
      <c r="CC14" s="19">
        <v>18.3</v>
      </c>
      <c r="CD14" s="19">
        <v>5.6</v>
      </c>
      <c r="CE14" s="19">
        <v>0.2</v>
      </c>
      <c r="CF14" s="19">
        <v>0</v>
      </c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>
        <f t="shared" si="26"/>
        <v>8</v>
      </c>
      <c r="CU14" s="40">
        <f t="shared" si="27"/>
        <v>41.5</v>
      </c>
      <c r="CV14" s="40" t="str">
        <f t="shared" si="28"/>
        <v/>
      </c>
      <c r="CW14" s="40">
        <f t="shared" si="29"/>
        <v>8</v>
      </c>
      <c r="CX14" s="40">
        <f t="shared" si="30"/>
        <v>41.5</v>
      </c>
      <c r="CY14" s="40" t="str">
        <f t="shared" si="31"/>
        <v/>
      </c>
      <c r="CZ14" s="40" t="str">
        <f t="shared" si="32"/>
        <v/>
      </c>
      <c r="DA14" s="40">
        <f t="shared" si="33"/>
        <v>41.5</v>
      </c>
      <c r="DB14" s="51" t="str">
        <f t="shared" si="34"/>
        <v/>
      </c>
      <c r="DC14" s="51">
        <f t="shared" si="35"/>
        <v>0.80000000000000426</v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>
        <v>18.600000000000001</v>
      </c>
      <c r="DQ14" s="17">
        <v>5.6</v>
      </c>
      <c r="DR14" s="17">
        <v>0</v>
      </c>
      <c r="DS14" s="17">
        <v>0</v>
      </c>
      <c r="DT14" s="17">
        <v>18.5</v>
      </c>
      <c r="DU14" s="17">
        <v>6</v>
      </c>
      <c r="DV14" s="17">
        <v>0.8</v>
      </c>
      <c r="DW14" s="17">
        <v>0</v>
      </c>
      <c r="DX14" s="40" t="str">
        <f t="shared" si="36"/>
        <v/>
      </c>
      <c r="DY14" s="40" t="str">
        <f t="shared" si="37"/>
        <v/>
      </c>
      <c r="DZ14" s="40" t="str">
        <f t="shared" si="38"/>
        <v/>
      </c>
      <c r="EA14" s="40" t="str">
        <f t="shared" si="39"/>
        <v/>
      </c>
      <c r="EB14" s="40" t="str">
        <f t="shared" si="40"/>
        <v/>
      </c>
      <c r="EC14" s="40">
        <f t="shared" si="41"/>
        <v>11.6</v>
      </c>
      <c r="ED14" s="40">
        <f t="shared" si="42"/>
        <v>47.900000000000006</v>
      </c>
      <c r="EE14" s="40">
        <f t="shared" si="43"/>
        <v>47.900000000000006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 t="shared" si="44"/>
        <v/>
      </c>
      <c r="FA14" s="11" t="str">
        <f t="shared" si="45"/>
        <v/>
      </c>
      <c r="FB14" s="11" t="str">
        <f t="shared" si="46"/>
        <v/>
      </c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 t="shared" si="52"/>
        <v/>
      </c>
      <c r="GC14" s="40" t="str">
        <f t="shared" si="53"/>
        <v/>
      </c>
      <c r="GD14" s="40" t="str">
        <f t="shared" si="54"/>
        <v/>
      </c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 t="shared" si="60"/>
        <v/>
      </c>
      <c r="HE14" s="11" t="str">
        <f t="shared" si="61"/>
        <v/>
      </c>
      <c r="HF14" s="11" t="str">
        <f t="shared" si="62"/>
        <v/>
      </c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 t="shared" si="68"/>
        <v/>
      </c>
      <c r="IG14" s="40" t="str">
        <f t="shared" si="69"/>
        <v/>
      </c>
      <c r="IH14" s="40" t="str">
        <f t="shared" si="70"/>
        <v/>
      </c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 t="shared" si="76"/>
        <v/>
      </c>
      <c r="JI14" s="11" t="str">
        <f t="shared" si="77"/>
        <v/>
      </c>
      <c r="JJ14" s="11" t="str">
        <f t="shared" si="78"/>
        <v/>
      </c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 t="shared" si="84"/>
        <v/>
      </c>
      <c r="KK14" s="40" t="str">
        <f t="shared" si="85"/>
        <v/>
      </c>
      <c r="KL14" s="40" t="str">
        <f t="shared" si="86"/>
        <v/>
      </c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 t="shared" si="92"/>
        <v/>
      </c>
      <c r="LM14" s="11" t="str">
        <f t="shared" si="93"/>
        <v/>
      </c>
      <c r="LN14" s="11" t="str">
        <f t="shared" si="94"/>
        <v/>
      </c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 t="shared" si="100"/>
        <v/>
      </c>
      <c r="MO14" s="40" t="str">
        <f t="shared" si="101"/>
        <v/>
      </c>
      <c r="MP14" s="40" t="str">
        <f t="shared" si="102"/>
        <v/>
      </c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 t="shared" si="108"/>
        <v/>
      </c>
      <c r="NQ14" s="11" t="str">
        <f t="shared" si="109"/>
        <v/>
      </c>
      <c r="NR14" s="11" t="str">
        <f t="shared" si="110"/>
        <v/>
      </c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 t="shared" si="116"/>
        <v/>
      </c>
      <c r="OS14" s="40" t="str">
        <f t="shared" si="117"/>
        <v/>
      </c>
      <c r="OT14" s="40" t="str">
        <f t="shared" si="118"/>
        <v/>
      </c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 t="shared" si="124"/>
        <v/>
      </c>
      <c r="PU14" s="11" t="str">
        <f t="shared" si="125"/>
        <v/>
      </c>
      <c r="PV14" s="11" t="str">
        <f t="shared" si="126"/>
        <v/>
      </c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 t="shared" si="132"/>
        <v/>
      </c>
      <c r="QW14" s="40" t="str">
        <f t="shared" si="133"/>
        <v/>
      </c>
      <c r="QX14" s="40" t="str">
        <f t="shared" si="134"/>
        <v/>
      </c>
      <c r="QY14" s="40" t="str">
        <f t="shared" si="135"/>
        <v/>
      </c>
      <c r="QZ14" s="40" t="str">
        <f t="shared" si="136"/>
        <v/>
      </c>
      <c r="RA14" s="40" t="str">
        <f t="shared" si="137"/>
        <v/>
      </c>
      <c r="RB14" s="40" t="str">
        <f t="shared" si="138"/>
        <v/>
      </c>
      <c r="RC14" s="40" t="str">
        <f t="shared" si="139"/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 t="shared" si="140"/>
        <v/>
      </c>
      <c r="RY14" s="11" t="str">
        <f t="shared" si="141"/>
        <v/>
      </c>
      <c r="RZ14" s="11" t="str">
        <f t="shared" si="142"/>
        <v/>
      </c>
      <c r="SA14" s="11" t="str">
        <f t="shared" si="143"/>
        <v/>
      </c>
      <c r="SB14" s="11" t="str">
        <f t="shared" si="144"/>
        <v/>
      </c>
      <c r="SC14" s="11" t="str">
        <f t="shared" si="145"/>
        <v/>
      </c>
      <c r="SD14" s="11" t="str">
        <f t="shared" si="146"/>
        <v/>
      </c>
      <c r="SE14" s="11" t="str">
        <f t="shared" si="147"/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 t="shared" si="148"/>
        <v/>
      </c>
      <c r="TA14" s="40" t="str">
        <f t="shared" si="149"/>
        <v/>
      </c>
      <c r="TB14" s="40" t="str">
        <f t="shared" si="150"/>
        <v/>
      </c>
      <c r="TC14" s="40" t="str">
        <f t="shared" si="151"/>
        <v/>
      </c>
      <c r="TD14" s="40" t="str">
        <f t="shared" si="152"/>
        <v/>
      </c>
      <c r="TE14" s="40" t="str">
        <f t="shared" si="153"/>
        <v/>
      </c>
      <c r="TF14" s="40" t="str">
        <f t="shared" si="154"/>
        <v/>
      </c>
      <c r="TG14" s="40" t="str">
        <f t="shared" si="155"/>
        <v/>
      </c>
      <c r="TH14" s="26">
        <f t="shared" si="156"/>
        <v>17</v>
      </c>
      <c r="TI14" s="26">
        <f t="shared" si="157"/>
        <v>3.4000000000000004</v>
      </c>
      <c r="TJ14" s="26">
        <f t="shared" si="158"/>
        <v>0.1</v>
      </c>
      <c r="TK14" s="26">
        <f t="shared" si="159"/>
        <v>0</v>
      </c>
      <c r="TL14" s="26">
        <f t="shared" si="160"/>
        <v>18.399999999999999</v>
      </c>
      <c r="TM14" s="26">
        <f t="shared" si="161"/>
        <v>4.3499999999999996</v>
      </c>
      <c r="TN14" s="26">
        <f t="shared" si="162"/>
        <v>0.6</v>
      </c>
      <c r="TO14" s="26">
        <f t="shared" si="163"/>
        <v>0</v>
      </c>
      <c r="TP14" s="26">
        <f t="shared" si="164"/>
        <v>9.4499999999999993</v>
      </c>
      <c r="TQ14" s="26">
        <f t="shared" si="165"/>
        <v>2.8</v>
      </c>
      <c r="TR14" s="26">
        <f t="shared" si="166"/>
        <v>0</v>
      </c>
      <c r="TS14" s="26">
        <f t="shared" si="167"/>
        <v>0</v>
      </c>
      <c r="TT14" s="26">
        <f t="shared" si="168"/>
        <v>9.4</v>
      </c>
      <c r="TU14" s="26">
        <f t="shared" si="169"/>
        <v>2.4</v>
      </c>
      <c r="TV14" s="26">
        <f t="shared" si="170"/>
        <v>0</v>
      </c>
      <c r="TW14" s="26">
        <f t="shared" si="171"/>
        <v>0</v>
      </c>
      <c r="TX14" s="26">
        <f t="shared" si="172"/>
        <v>9.35</v>
      </c>
      <c r="TY14" s="26">
        <f t="shared" si="173"/>
        <v>2.8</v>
      </c>
      <c r="TZ14" s="26">
        <f t="shared" si="174"/>
        <v>0.4</v>
      </c>
      <c r="UA14" s="26">
        <f t="shared" si="175"/>
        <v>0</v>
      </c>
      <c r="UB14" s="28" t="s">
        <v>53</v>
      </c>
      <c r="UC14" s="11">
        <f t="shared" si="176"/>
        <v>7.75</v>
      </c>
      <c r="UD14" s="11">
        <f t="shared" si="177"/>
        <v>42.449999999999996</v>
      </c>
      <c r="UE14" s="11">
        <f t="shared" si="178"/>
        <v>12.25</v>
      </c>
      <c r="UF14" s="11">
        <f t="shared" si="179"/>
        <v>10.55</v>
      </c>
      <c r="UG14" s="11">
        <f t="shared" si="180"/>
        <v>54.699999999999996</v>
      </c>
      <c r="UH14" s="11">
        <f t="shared" si="181"/>
        <v>5.1999999999999993</v>
      </c>
      <c r="UI14" s="11">
        <f t="shared" si="182"/>
        <v>23.55</v>
      </c>
      <c r="UJ14" s="11">
        <f t="shared" si="183"/>
        <v>78.25</v>
      </c>
    </row>
    <row r="15" spans="1:556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12</v>
      </c>
      <c r="B15" s="5" t="s">
        <v>85</v>
      </c>
      <c r="C15" s="4" t="s">
        <v>6</v>
      </c>
      <c r="D15" s="4">
        <v>2003</v>
      </c>
      <c r="E15" s="9">
        <f t="shared" si="0"/>
        <v>138.90000930000494</v>
      </c>
      <c r="F15" s="3" t="str">
        <f t="shared" si="1"/>
        <v>P</v>
      </c>
      <c r="G15" s="3" t="str">
        <f t="shared" si="2"/>
        <v>P</v>
      </c>
      <c r="H15" s="36" t="str">
        <f t="shared" si="3"/>
        <v>Excellence</v>
      </c>
      <c r="I15" s="3" t="str">
        <f t="shared" si="4"/>
        <v>P</v>
      </c>
      <c r="J15" s="8">
        <f>IF(COUNT(AO15,BR15,CU15)&gt;0,LARGE((AO15,BR15,CU15),1),0)</f>
        <v>49.4</v>
      </c>
      <c r="K15" s="8" t="str">
        <f t="shared" si="5"/>
        <v>2025 Elite Canada</v>
      </c>
      <c r="L15" s="8">
        <f>IF(COUNT(AO15,BR15,CU15)&gt;1,LARGE((AO15,BR15,CU15),2),0)</f>
        <v>43.6</v>
      </c>
      <c r="M15" s="8" t="str">
        <f t="shared" si="6"/>
        <v>2024 Nationals</v>
      </c>
      <c r="N15" s="8">
        <f t="shared" si="7"/>
        <v>45.9</v>
      </c>
      <c r="O15" s="8" t="str">
        <f t="shared" si="8"/>
        <v>2024 Nationals</v>
      </c>
      <c r="P15" s="8" t="str">
        <f t="shared" si="9"/>
        <v/>
      </c>
      <c r="Q15" s="11" t="str">
        <f t="shared" si="184"/>
        <v/>
      </c>
      <c r="R15" s="8" t="str">
        <f t="shared" si="185"/>
        <v/>
      </c>
      <c r="S15" s="19">
        <v>17.2</v>
      </c>
      <c r="T15" s="19">
        <v>2.4</v>
      </c>
      <c r="U15" s="19">
        <v>0</v>
      </c>
      <c r="V15" s="19">
        <v>0</v>
      </c>
      <c r="W15" s="19">
        <v>18.399999999999999</v>
      </c>
      <c r="X15" s="19">
        <v>5.6</v>
      </c>
      <c r="Y15" s="19">
        <v>0</v>
      </c>
      <c r="Z15" s="19">
        <v>0</v>
      </c>
      <c r="AA15" s="19">
        <v>18</v>
      </c>
      <c r="AB15" s="19">
        <v>5.2</v>
      </c>
      <c r="AC15" s="19">
        <v>0.2</v>
      </c>
      <c r="AD15" s="19">
        <v>0</v>
      </c>
      <c r="AE15" s="19">
        <v>17.899999999999999</v>
      </c>
      <c r="AF15" s="19">
        <v>5.2</v>
      </c>
      <c r="AG15" s="19">
        <v>0.2</v>
      </c>
      <c r="AH15" s="19">
        <v>0</v>
      </c>
      <c r="AI15" s="19">
        <v>18</v>
      </c>
      <c r="AJ15" s="19">
        <v>5.2</v>
      </c>
      <c r="AK15" s="19">
        <v>0.2</v>
      </c>
      <c r="AL15" s="19">
        <v>0</v>
      </c>
      <c r="AM15" s="27"/>
      <c r="AN15" s="40">
        <f t="shared" si="10"/>
        <v>8</v>
      </c>
      <c r="AO15" s="40">
        <f t="shared" si="11"/>
        <v>43.6</v>
      </c>
      <c r="AP15" s="40">
        <f t="shared" si="12"/>
        <v>23</v>
      </c>
      <c r="AQ15" s="40">
        <f t="shared" si="13"/>
        <v>13.2</v>
      </c>
      <c r="AR15" s="40">
        <f t="shared" si="14"/>
        <v>66.599999999999994</v>
      </c>
      <c r="AS15" s="40">
        <f t="shared" si="15"/>
        <v>10.4</v>
      </c>
      <c r="AT15" s="40">
        <f t="shared" si="16"/>
        <v>45.9</v>
      </c>
      <c r="AU15" s="40">
        <f t="shared" si="17"/>
        <v>112.5</v>
      </c>
      <c r="AV15" s="18">
        <v>17.2</v>
      </c>
      <c r="AW15" s="18">
        <v>2.4</v>
      </c>
      <c r="AX15" s="18">
        <v>0</v>
      </c>
      <c r="AY15" s="18">
        <v>0</v>
      </c>
      <c r="AZ15" s="18">
        <v>18.5</v>
      </c>
      <c r="BA15" s="18">
        <v>5.6</v>
      </c>
      <c r="BB15" s="18">
        <v>0.2</v>
      </c>
      <c r="BC15" s="18">
        <v>0</v>
      </c>
      <c r="BD15" s="18">
        <v>18.899999999999999</v>
      </c>
      <c r="BE15" s="18">
        <v>3.1</v>
      </c>
      <c r="BF15" s="18">
        <v>1.2</v>
      </c>
      <c r="BG15" s="18">
        <v>0</v>
      </c>
      <c r="BH15" s="18">
        <v>17.399999999999999</v>
      </c>
      <c r="BI15" s="18">
        <v>2.8</v>
      </c>
      <c r="BJ15" s="18">
        <v>0</v>
      </c>
      <c r="BK15" s="18">
        <v>0</v>
      </c>
      <c r="BL15" s="18">
        <v>0</v>
      </c>
      <c r="BM15" s="18">
        <v>0</v>
      </c>
      <c r="BN15" s="18">
        <v>0</v>
      </c>
      <c r="BO15" s="18">
        <v>0</v>
      </c>
      <c r="BP15" s="28"/>
      <c r="BQ15" s="11">
        <f t="shared" si="18"/>
        <v>8</v>
      </c>
      <c r="BR15" s="11">
        <f t="shared" si="19"/>
        <v>43.499999999999993</v>
      </c>
      <c r="BS15" s="11">
        <f t="shared" si="20"/>
        <v>20.8</v>
      </c>
      <c r="BT15" s="11">
        <f t="shared" si="21"/>
        <v>11.1</v>
      </c>
      <c r="BU15" s="11">
        <f t="shared" si="22"/>
        <v>64.3</v>
      </c>
      <c r="BV15" s="11">
        <f t="shared" si="23"/>
        <v>2.8</v>
      </c>
      <c r="BW15" s="11">
        <f t="shared" si="24"/>
        <v>20.2</v>
      </c>
      <c r="BX15" s="11">
        <f t="shared" si="25"/>
        <v>84.5</v>
      </c>
      <c r="BY15" s="19">
        <v>18.100000000000001</v>
      </c>
      <c r="BZ15" s="19">
        <v>6.8</v>
      </c>
      <c r="CA15" s="19">
        <v>0.2</v>
      </c>
      <c r="CB15" s="19">
        <v>0.3</v>
      </c>
      <c r="CC15" s="19">
        <v>18.8</v>
      </c>
      <c r="CD15" s="19">
        <v>5.6</v>
      </c>
      <c r="CE15" s="19">
        <v>0</v>
      </c>
      <c r="CF15" s="19">
        <v>0</v>
      </c>
      <c r="CG15" s="19"/>
      <c r="CH15" s="19"/>
      <c r="CI15" s="19"/>
      <c r="CJ15" s="19"/>
      <c r="CK15" s="19">
        <v>15.4</v>
      </c>
      <c r="CL15" s="19">
        <v>2.4</v>
      </c>
      <c r="CM15" s="19">
        <v>0</v>
      </c>
      <c r="CN15" s="19">
        <v>0</v>
      </c>
      <c r="CO15" s="19">
        <v>17.899999999999999</v>
      </c>
      <c r="CP15" s="19">
        <v>0.6</v>
      </c>
      <c r="CQ15" s="19">
        <v>1</v>
      </c>
      <c r="CR15" s="19">
        <v>0</v>
      </c>
      <c r="CS15" s="27"/>
      <c r="CT15" s="40">
        <f t="shared" si="26"/>
        <v>12.399999999999999</v>
      </c>
      <c r="CU15" s="40">
        <f t="shared" si="27"/>
        <v>49.4</v>
      </c>
      <c r="CV15" s="40" t="str">
        <f t="shared" si="28"/>
        <v/>
      </c>
      <c r="CW15" s="40">
        <f t="shared" si="29"/>
        <v>12.399999999999999</v>
      </c>
      <c r="CX15" s="40">
        <f t="shared" si="30"/>
        <v>49.4</v>
      </c>
      <c r="CY15" s="40">
        <f t="shared" si="31"/>
        <v>3</v>
      </c>
      <c r="CZ15" s="40">
        <f t="shared" si="32"/>
        <v>35.300000000000004</v>
      </c>
      <c r="DA15" s="40">
        <f t="shared" si="33"/>
        <v>84.7</v>
      </c>
      <c r="DB15" s="51" t="str">
        <f t="shared" si="34"/>
        <v/>
      </c>
      <c r="DC15" s="51" t="str">
        <f t="shared" si="35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 t="shared" si="36"/>
        <v/>
      </c>
      <c r="DY15" s="40" t="str">
        <f t="shared" si="37"/>
        <v/>
      </c>
      <c r="DZ15" s="40" t="str">
        <f t="shared" si="38"/>
        <v/>
      </c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 t="shared" si="44"/>
        <v/>
      </c>
      <c r="FA15" s="11" t="str">
        <f t="shared" si="45"/>
        <v/>
      </c>
      <c r="FB15" s="11" t="str">
        <f t="shared" si="46"/>
        <v/>
      </c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 t="shared" si="52"/>
        <v/>
      </c>
      <c r="GC15" s="40" t="str">
        <f t="shared" si="53"/>
        <v/>
      </c>
      <c r="GD15" s="40" t="str">
        <f t="shared" si="54"/>
        <v/>
      </c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 t="shared" si="60"/>
        <v/>
      </c>
      <c r="HE15" s="11" t="str">
        <f t="shared" si="61"/>
        <v/>
      </c>
      <c r="HF15" s="11" t="str">
        <f t="shared" si="62"/>
        <v/>
      </c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 t="shared" si="68"/>
        <v/>
      </c>
      <c r="IG15" s="40" t="str">
        <f t="shared" si="69"/>
        <v/>
      </c>
      <c r="IH15" s="40" t="str">
        <f t="shared" si="70"/>
        <v/>
      </c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 t="shared" si="76"/>
        <v/>
      </c>
      <c r="JI15" s="11" t="str">
        <f t="shared" si="77"/>
        <v/>
      </c>
      <c r="JJ15" s="11" t="str">
        <f t="shared" si="78"/>
        <v/>
      </c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 t="shared" si="84"/>
        <v/>
      </c>
      <c r="KK15" s="40" t="str">
        <f t="shared" si="85"/>
        <v/>
      </c>
      <c r="KL15" s="40" t="str">
        <f t="shared" si="86"/>
        <v/>
      </c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 t="shared" si="92"/>
        <v/>
      </c>
      <c r="LM15" s="11" t="str">
        <f t="shared" si="93"/>
        <v/>
      </c>
      <c r="LN15" s="11" t="str">
        <f t="shared" si="94"/>
        <v/>
      </c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 t="shared" si="100"/>
        <v/>
      </c>
      <c r="MO15" s="40" t="str">
        <f t="shared" si="101"/>
        <v/>
      </c>
      <c r="MP15" s="40" t="str">
        <f t="shared" si="102"/>
        <v/>
      </c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 t="shared" si="108"/>
        <v/>
      </c>
      <c r="NQ15" s="11" t="str">
        <f t="shared" si="109"/>
        <v/>
      </c>
      <c r="NR15" s="11" t="str">
        <f t="shared" si="110"/>
        <v/>
      </c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 t="shared" si="116"/>
        <v/>
      </c>
      <c r="OS15" s="40" t="str">
        <f t="shared" si="117"/>
        <v/>
      </c>
      <c r="OT15" s="40" t="str">
        <f t="shared" si="118"/>
        <v/>
      </c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 t="shared" si="124"/>
        <v/>
      </c>
      <c r="PU15" s="11" t="str">
        <f t="shared" si="125"/>
        <v/>
      </c>
      <c r="PV15" s="11" t="str">
        <f t="shared" si="126"/>
        <v/>
      </c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 t="shared" si="132"/>
        <v/>
      </c>
      <c r="QW15" s="40" t="str">
        <f t="shared" si="133"/>
        <v/>
      </c>
      <c r="QX15" s="40" t="str">
        <f t="shared" si="134"/>
        <v/>
      </c>
      <c r="QY15" s="40" t="str">
        <f t="shared" si="135"/>
        <v/>
      </c>
      <c r="QZ15" s="40" t="str">
        <f t="shared" si="136"/>
        <v/>
      </c>
      <c r="RA15" s="40" t="str">
        <f t="shared" si="137"/>
        <v/>
      </c>
      <c r="RB15" s="40" t="str">
        <f t="shared" si="138"/>
        <v/>
      </c>
      <c r="RC15" s="40" t="str">
        <f t="shared" si="139"/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 t="shared" si="140"/>
        <v/>
      </c>
      <c r="RY15" s="11" t="str">
        <f t="shared" si="141"/>
        <v/>
      </c>
      <c r="RZ15" s="11" t="str">
        <f t="shared" si="142"/>
        <v/>
      </c>
      <c r="SA15" s="11" t="str">
        <f t="shared" si="143"/>
        <v/>
      </c>
      <c r="SB15" s="11" t="str">
        <f t="shared" si="144"/>
        <v/>
      </c>
      <c r="SC15" s="11" t="str">
        <f t="shared" si="145"/>
        <v/>
      </c>
      <c r="SD15" s="11" t="str">
        <f t="shared" si="146"/>
        <v/>
      </c>
      <c r="SE15" s="11" t="str">
        <f t="shared" si="147"/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 t="shared" si="148"/>
        <v/>
      </c>
      <c r="TA15" s="40" t="str">
        <f t="shared" si="149"/>
        <v/>
      </c>
      <c r="TB15" s="40" t="str">
        <f t="shared" si="150"/>
        <v/>
      </c>
      <c r="TC15" s="40" t="str">
        <f t="shared" si="151"/>
        <v/>
      </c>
      <c r="TD15" s="40" t="str">
        <f t="shared" si="152"/>
        <v/>
      </c>
      <c r="TE15" s="40" t="str">
        <f t="shared" si="153"/>
        <v/>
      </c>
      <c r="TF15" s="40" t="str">
        <f t="shared" si="154"/>
        <v/>
      </c>
      <c r="TG15" s="40" t="str">
        <f t="shared" si="155"/>
        <v/>
      </c>
      <c r="TH15" s="26">
        <f t="shared" si="156"/>
        <v>17.649999999999999</v>
      </c>
      <c r="TI15" s="26">
        <f t="shared" si="157"/>
        <v>4.5999999999999996</v>
      </c>
      <c r="TJ15" s="26">
        <f t="shared" si="158"/>
        <v>0.1</v>
      </c>
      <c r="TK15" s="26">
        <f t="shared" si="159"/>
        <v>0.15</v>
      </c>
      <c r="TL15" s="26">
        <f t="shared" si="160"/>
        <v>18.649999999999999</v>
      </c>
      <c r="TM15" s="26">
        <f t="shared" si="161"/>
        <v>5.6</v>
      </c>
      <c r="TN15" s="26">
        <f t="shared" si="162"/>
        <v>0.1</v>
      </c>
      <c r="TO15" s="26">
        <f t="shared" si="163"/>
        <v>0</v>
      </c>
      <c r="TP15" s="26">
        <f t="shared" si="164"/>
        <v>9.4499999999999993</v>
      </c>
      <c r="TQ15" s="26">
        <f t="shared" si="165"/>
        <v>1.55</v>
      </c>
      <c r="TR15" s="26">
        <f t="shared" si="166"/>
        <v>0.6</v>
      </c>
      <c r="TS15" s="26">
        <f t="shared" si="167"/>
        <v>0</v>
      </c>
      <c r="TT15" s="26">
        <f t="shared" si="168"/>
        <v>16.399999999999999</v>
      </c>
      <c r="TU15" s="26">
        <f t="shared" si="169"/>
        <v>2.5999999999999996</v>
      </c>
      <c r="TV15" s="26">
        <f t="shared" si="170"/>
        <v>0</v>
      </c>
      <c r="TW15" s="26">
        <f t="shared" si="171"/>
        <v>0</v>
      </c>
      <c r="TX15" s="26">
        <f t="shared" si="172"/>
        <v>8.9499999999999993</v>
      </c>
      <c r="TY15" s="26">
        <f t="shared" si="173"/>
        <v>0.3</v>
      </c>
      <c r="TZ15" s="26">
        <f t="shared" si="174"/>
        <v>0.5</v>
      </c>
      <c r="UA15" s="26">
        <f t="shared" si="175"/>
        <v>0</v>
      </c>
      <c r="UB15" s="28" t="s">
        <v>53</v>
      </c>
      <c r="UC15" s="11">
        <f t="shared" si="176"/>
        <v>10.199999999999999</v>
      </c>
      <c r="UD15" s="11">
        <f t="shared" si="177"/>
        <v>46.449999999999996</v>
      </c>
      <c r="UE15" s="11">
        <f t="shared" si="178"/>
        <v>10.4</v>
      </c>
      <c r="UF15" s="11">
        <f t="shared" si="179"/>
        <v>11.75</v>
      </c>
      <c r="UG15" s="11">
        <f t="shared" si="180"/>
        <v>56.849999999999994</v>
      </c>
      <c r="UH15" s="11">
        <f t="shared" si="181"/>
        <v>2.8999999999999995</v>
      </c>
      <c r="UI15" s="11">
        <f t="shared" si="182"/>
        <v>27.75</v>
      </c>
      <c r="UJ15" s="11">
        <f t="shared" si="183"/>
        <v>84.6</v>
      </c>
    </row>
    <row r="16" spans="1:556" x14ac:dyDescent="0.2">
      <c r="A16" s="4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>13</v>
      </c>
      <c r="B16" s="5" t="s">
        <v>247</v>
      </c>
      <c r="C16" s="4" t="s">
        <v>5</v>
      </c>
      <c r="D16" s="4">
        <v>2008</v>
      </c>
      <c r="E16" s="9">
        <f t="shared" si="0"/>
        <v>132.70000485000486</v>
      </c>
      <c r="F16" s="3" t="str">
        <f t="shared" si="1"/>
        <v>P</v>
      </c>
      <c r="G16" s="3" t="str">
        <f t="shared" si="2"/>
        <v>P</v>
      </c>
      <c r="H16" s="36" t="str">
        <f t="shared" si="3"/>
        <v>National Team</v>
      </c>
      <c r="I16" s="3" t="str">
        <f t="shared" si="4"/>
        <v/>
      </c>
      <c r="J16" s="8">
        <f>IF(COUNT(AO16,BR16,CU16)&gt;0,LARGE((AO16,BR16,CU16),1),0)</f>
        <v>48.5</v>
      </c>
      <c r="K16" s="8" t="str">
        <f t="shared" si="5"/>
        <v>2025 Elite Canada</v>
      </c>
      <c r="L16" s="8">
        <f>IF(COUNT(AO16,BR16,CU16)&gt;1,LARGE((AO16,BR16,CU16),2),0)</f>
        <v>0</v>
      </c>
      <c r="M16" s="8" t="str">
        <f t="shared" si="6"/>
        <v/>
      </c>
      <c r="N16" s="8">
        <f t="shared" si="7"/>
        <v>38.400000000000006</v>
      </c>
      <c r="O16" s="8" t="str">
        <f t="shared" si="8"/>
        <v>2025 Elite Canada</v>
      </c>
      <c r="P16" s="8">
        <f t="shared" si="9"/>
        <v>45.8</v>
      </c>
      <c r="Q16" s="11" t="str">
        <f t="shared" si="184"/>
        <v>(Q1)</v>
      </c>
      <c r="R16" s="8" t="str">
        <f t="shared" si="185"/>
        <v>2024 Coimbra Gym Fest (July 7)</v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 t="shared" si="10"/>
        <v/>
      </c>
      <c r="AO16" s="40" t="str">
        <f t="shared" si="11"/>
        <v/>
      </c>
      <c r="AP16" s="40" t="str">
        <f t="shared" si="12"/>
        <v/>
      </c>
      <c r="AQ16" s="40" t="str">
        <f t="shared" si="13"/>
        <v/>
      </c>
      <c r="AR16" s="40" t="str">
        <f t="shared" si="14"/>
        <v/>
      </c>
      <c r="AS16" s="40" t="str">
        <f t="shared" si="15"/>
        <v/>
      </c>
      <c r="AT16" s="40" t="str">
        <f t="shared" si="16"/>
        <v/>
      </c>
      <c r="AU16" s="40" t="str">
        <f t="shared" si="17"/>
        <v/>
      </c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 t="str">
        <f t="shared" si="18"/>
        <v/>
      </c>
      <c r="BR16" s="11" t="str">
        <f t="shared" si="19"/>
        <v/>
      </c>
      <c r="BS16" s="11" t="str">
        <f t="shared" si="20"/>
        <v/>
      </c>
      <c r="BT16" s="11" t="str">
        <f t="shared" si="21"/>
        <v/>
      </c>
      <c r="BU16" s="11" t="str">
        <f t="shared" si="22"/>
        <v/>
      </c>
      <c r="BV16" s="11" t="str">
        <f t="shared" si="23"/>
        <v/>
      </c>
      <c r="BW16" s="11" t="str">
        <f t="shared" si="24"/>
        <v/>
      </c>
      <c r="BX16" s="11" t="str">
        <f t="shared" si="25"/>
        <v/>
      </c>
      <c r="BY16" s="19">
        <v>18.8</v>
      </c>
      <c r="BZ16" s="19">
        <v>5.6</v>
      </c>
      <c r="CA16" s="19">
        <v>0</v>
      </c>
      <c r="CB16" s="19">
        <v>0</v>
      </c>
      <c r="CC16" s="19">
        <v>18.5</v>
      </c>
      <c r="CD16" s="19">
        <v>5.6</v>
      </c>
      <c r="CE16" s="19">
        <v>0</v>
      </c>
      <c r="CF16" s="19">
        <v>0</v>
      </c>
      <c r="CG16" s="19"/>
      <c r="CH16" s="19"/>
      <c r="CI16" s="19"/>
      <c r="CJ16" s="19"/>
      <c r="CK16" s="19">
        <v>16.600000000000001</v>
      </c>
      <c r="CL16" s="19">
        <v>4.8</v>
      </c>
      <c r="CM16" s="19">
        <v>0.8</v>
      </c>
      <c r="CN16" s="19">
        <v>0</v>
      </c>
      <c r="CO16" s="19">
        <v>15.4</v>
      </c>
      <c r="CP16" s="19">
        <v>2.4</v>
      </c>
      <c r="CQ16" s="19">
        <v>0</v>
      </c>
      <c r="CR16" s="19">
        <v>0</v>
      </c>
      <c r="CS16" s="27"/>
      <c r="CT16" s="40">
        <f t="shared" si="26"/>
        <v>11.2</v>
      </c>
      <c r="CU16" s="40">
        <f t="shared" si="27"/>
        <v>48.5</v>
      </c>
      <c r="CV16" s="40" t="str">
        <f t="shared" si="28"/>
        <v/>
      </c>
      <c r="CW16" s="40">
        <f t="shared" si="29"/>
        <v>11.2</v>
      </c>
      <c r="CX16" s="40">
        <f t="shared" si="30"/>
        <v>48.5</v>
      </c>
      <c r="CY16" s="40">
        <f t="shared" si="31"/>
        <v>7.1999999999999993</v>
      </c>
      <c r="CZ16" s="40">
        <f t="shared" si="32"/>
        <v>38.400000000000006</v>
      </c>
      <c r="DA16" s="40">
        <f t="shared" si="33"/>
        <v>86.9</v>
      </c>
      <c r="DB16" s="51">
        <f t="shared" si="34"/>
        <v>45.8</v>
      </c>
      <c r="DC16" s="51" t="str">
        <f t="shared" si="35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 t="shared" si="36"/>
        <v/>
      </c>
      <c r="DY16" s="40" t="str">
        <f t="shared" si="37"/>
        <v/>
      </c>
      <c r="DZ16" s="40" t="str">
        <f t="shared" si="38"/>
        <v/>
      </c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18">
        <v>18.399999999999999</v>
      </c>
      <c r="EG16" s="18">
        <v>5.2</v>
      </c>
      <c r="EH16" s="18">
        <v>0.2</v>
      </c>
      <c r="EI16" s="18">
        <v>0</v>
      </c>
      <c r="EJ16" s="18">
        <v>16.600000000000001</v>
      </c>
      <c r="EK16" s="18">
        <v>6</v>
      </c>
      <c r="EL16" s="18">
        <v>0.2</v>
      </c>
      <c r="EM16" s="18">
        <v>0</v>
      </c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>
        <f t="shared" si="44"/>
        <v>11.2</v>
      </c>
      <c r="FA16" s="11">
        <f t="shared" si="45"/>
        <v>45.8</v>
      </c>
      <c r="FB16" s="11" t="str">
        <f t="shared" si="46"/>
        <v/>
      </c>
      <c r="FC16" s="11">
        <f t="shared" si="47"/>
        <v>11.2</v>
      </c>
      <c r="FD16" s="11">
        <f t="shared" si="48"/>
        <v>45.8</v>
      </c>
      <c r="FE16" s="11" t="str">
        <f t="shared" si="49"/>
        <v/>
      </c>
      <c r="FF16" s="11" t="str">
        <f t="shared" si="50"/>
        <v/>
      </c>
      <c r="FG16" s="11">
        <f t="shared" si="51"/>
        <v>45.8</v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 t="shared" si="52"/>
        <v/>
      </c>
      <c r="GC16" s="40" t="str">
        <f t="shared" si="53"/>
        <v/>
      </c>
      <c r="GD16" s="40" t="str">
        <f t="shared" si="54"/>
        <v/>
      </c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 t="shared" si="60"/>
        <v/>
      </c>
      <c r="HE16" s="11" t="str">
        <f t="shared" si="61"/>
        <v/>
      </c>
      <c r="HF16" s="11" t="str">
        <f t="shared" si="62"/>
        <v/>
      </c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 t="shared" si="68"/>
        <v/>
      </c>
      <c r="IG16" s="40" t="str">
        <f t="shared" si="69"/>
        <v/>
      </c>
      <c r="IH16" s="40" t="str">
        <f t="shared" si="70"/>
        <v/>
      </c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 t="shared" si="76"/>
        <v/>
      </c>
      <c r="JI16" s="11" t="str">
        <f t="shared" si="77"/>
        <v/>
      </c>
      <c r="JJ16" s="11" t="str">
        <f t="shared" si="78"/>
        <v/>
      </c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 t="shared" si="84"/>
        <v/>
      </c>
      <c r="KK16" s="40" t="str">
        <f t="shared" si="85"/>
        <v/>
      </c>
      <c r="KL16" s="40" t="str">
        <f t="shared" si="86"/>
        <v/>
      </c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 t="shared" si="92"/>
        <v/>
      </c>
      <c r="LM16" s="11" t="str">
        <f t="shared" si="93"/>
        <v/>
      </c>
      <c r="LN16" s="11" t="str">
        <f t="shared" si="94"/>
        <v/>
      </c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 t="shared" si="100"/>
        <v/>
      </c>
      <c r="MO16" s="40" t="str">
        <f t="shared" si="101"/>
        <v/>
      </c>
      <c r="MP16" s="40" t="str">
        <f t="shared" si="102"/>
        <v/>
      </c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 t="shared" si="108"/>
        <v/>
      </c>
      <c r="NQ16" s="11" t="str">
        <f t="shared" si="109"/>
        <v/>
      </c>
      <c r="NR16" s="11" t="str">
        <f t="shared" si="110"/>
        <v/>
      </c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 t="shared" si="116"/>
        <v/>
      </c>
      <c r="OS16" s="40" t="str">
        <f t="shared" si="117"/>
        <v/>
      </c>
      <c r="OT16" s="40" t="str">
        <f t="shared" si="118"/>
        <v/>
      </c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 t="shared" si="124"/>
        <v/>
      </c>
      <c r="PU16" s="11" t="str">
        <f t="shared" si="125"/>
        <v/>
      </c>
      <c r="PV16" s="11" t="str">
        <f t="shared" si="126"/>
        <v/>
      </c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 t="shared" si="132"/>
        <v/>
      </c>
      <c r="QW16" s="40" t="str">
        <f t="shared" si="133"/>
        <v/>
      </c>
      <c r="QX16" s="40" t="str">
        <f t="shared" si="134"/>
        <v/>
      </c>
      <c r="QY16" s="40" t="str">
        <f t="shared" si="135"/>
        <v/>
      </c>
      <c r="QZ16" s="40" t="str">
        <f t="shared" si="136"/>
        <v/>
      </c>
      <c r="RA16" s="40" t="str">
        <f t="shared" si="137"/>
        <v/>
      </c>
      <c r="RB16" s="40" t="str">
        <f t="shared" si="138"/>
        <v/>
      </c>
      <c r="RC16" s="40" t="str">
        <f t="shared" si="139"/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 t="shared" si="140"/>
        <v/>
      </c>
      <c r="RY16" s="11" t="str">
        <f t="shared" si="141"/>
        <v/>
      </c>
      <c r="RZ16" s="11" t="str">
        <f t="shared" si="142"/>
        <v/>
      </c>
      <c r="SA16" s="11" t="str">
        <f t="shared" si="143"/>
        <v/>
      </c>
      <c r="SB16" s="11" t="str">
        <f t="shared" si="144"/>
        <v/>
      </c>
      <c r="SC16" s="11" t="str">
        <f t="shared" si="145"/>
        <v/>
      </c>
      <c r="SD16" s="11" t="str">
        <f t="shared" si="146"/>
        <v/>
      </c>
      <c r="SE16" s="11" t="str">
        <f t="shared" si="147"/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 t="shared" si="148"/>
        <v/>
      </c>
      <c r="TA16" s="40" t="str">
        <f t="shared" si="149"/>
        <v/>
      </c>
      <c r="TB16" s="40" t="str">
        <f t="shared" si="150"/>
        <v/>
      </c>
      <c r="TC16" s="40" t="str">
        <f t="shared" si="151"/>
        <v/>
      </c>
      <c r="TD16" s="40" t="str">
        <f t="shared" si="152"/>
        <v/>
      </c>
      <c r="TE16" s="40" t="str">
        <f t="shared" si="153"/>
        <v/>
      </c>
      <c r="TF16" s="40" t="str">
        <f t="shared" si="154"/>
        <v/>
      </c>
      <c r="TG16" s="40" t="str">
        <f t="shared" si="155"/>
        <v/>
      </c>
      <c r="TH16" s="26">
        <f t="shared" si="156"/>
        <v>9.4</v>
      </c>
      <c r="TI16" s="26">
        <f t="shared" si="157"/>
        <v>2.8</v>
      </c>
      <c r="TJ16" s="26">
        <f t="shared" si="158"/>
        <v>0</v>
      </c>
      <c r="TK16" s="26">
        <f t="shared" si="159"/>
        <v>0</v>
      </c>
      <c r="TL16" s="26">
        <f t="shared" si="160"/>
        <v>9.25</v>
      </c>
      <c r="TM16" s="26">
        <f t="shared" si="161"/>
        <v>2.8</v>
      </c>
      <c r="TN16" s="26">
        <f t="shared" si="162"/>
        <v>0</v>
      </c>
      <c r="TO16" s="26">
        <f t="shared" si="163"/>
        <v>0</v>
      </c>
      <c r="TP16" s="26">
        <f t="shared" si="164"/>
        <v>0</v>
      </c>
      <c r="TQ16" s="26">
        <f t="shared" si="165"/>
        <v>0</v>
      </c>
      <c r="TR16" s="26">
        <f t="shared" si="166"/>
        <v>0</v>
      </c>
      <c r="TS16" s="26">
        <f t="shared" si="167"/>
        <v>0</v>
      </c>
      <c r="TT16" s="26">
        <f t="shared" si="168"/>
        <v>8.3000000000000007</v>
      </c>
      <c r="TU16" s="26">
        <f t="shared" si="169"/>
        <v>2.4</v>
      </c>
      <c r="TV16" s="26">
        <f t="shared" si="170"/>
        <v>0.4</v>
      </c>
      <c r="TW16" s="26">
        <f t="shared" si="171"/>
        <v>0</v>
      </c>
      <c r="TX16" s="26">
        <f t="shared" si="172"/>
        <v>7.7</v>
      </c>
      <c r="TY16" s="26">
        <f t="shared" si="173"/>
        <v>1.2</v>
      </c>
      <c r="TZ16" s="26">
        <f t="shared" si="174"/>
        <v>0</v>
      </c>
      <c r="UA16" s="26">
        <f t="shared" si="175"/>
        <v>0</v>
      </c>
      <c r="UB16" s="28" t="s">
        <v>53</v>
      </c>
      <c r="UC16" s="11">
        <f t="shared" si="176"/>
        <v>5.6</v>
      </c>
      <c r="UD16" s="11">
        <f t="shared" si="177"/>
        <v>24.25</v>
      </c>
      <c r="UE16" s="11" t="str">
        <f t="shared" si="178"/>
        <v/>
      </c>
      <c r="UF16" s="11">
        <f t="shared" si="179"/>
        <v>5.6</v>
      </c>
      <c r="UG16" s="11">
        <f t="shared" si="180"/>
        <v>24.25</v>
      </c>
      <c r="UH16" s="11">
        <f t="shared" si="181"/>
        <v>3.5999999999999996</v>
      </c>
      <c r="UI16" s="11">
        <f t="shared" si="182"/>
        <v>19.200000000000003</v>
      </c>
      <c r="UJ16" s="11">
        <f t="shared" si="183"/>
        <v>43.45</v>
      </c>
    </row>
    <row r="17" spans="1:556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88</v>
      </c>
      <c r="C17" s="4" t="s">
        <v>36</v>
      </c>
      <c r="D17" s="4">
        <v>2002</v>
      </c>
      <c r="E17" s="9">
        <f t="shared" si="0"/>
        <v>140.05000905500449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IF(COUNT(AO17,BR17,CU17)&gt;0,LARGE((AO17,BR17,CU17),1),0)</f>
        <v>45.274999999999999</v>
      </c>
      <c r="K17" s="8" t="str">
        <f t="shared" si="5"/>
        <v>2024 3rd Domestic Trial</v>
      </c>
      <c r="L17" s="8">
        <f>IF(COUNT(AO17,BR17,CU17)&gt;1,LARGE((AO17,BR17,CU17),2),0)</f>
        <v>45.274999999999999</v>
      </c>
      <c r="M17" s="8" t="str">
        <f t="shared" si="6"/>
        <v>2024 3rd Domestic Trial</v>
      </c>
      <c r="N17" s="8">
        <f t="shared" si="7"/>
        <v>49.499999999999993</v>
      </c>
      <c r="O17" s="8" t="str">
        <f t="shared" si="8"/>
        <v>2024 3rd Domestic Trial</v>
      </c>
      <c r="P17" s="8" t="str">
        <f t="shared" si="9"/>
        <v/>
      </c>
      <c r="Q17" s="11" t="str">
        <f t="shared" si="184"/>
        <v/>
      </c>
      <c r="R17" s="8" t="str">
        <f t="shared" si="185"/>
        <v/>
      </c>
      <c r="S17" s="19">
        <v>18.125</v>
      </c>
      <c r="T17" s="19">
        <v>5.9</v>
      </c>
      <c r="U17" s="19">
        <v>0.15000000000000002</v>
      </c>
      <c r="V17" s="19">
        <v>0.22499999999999998</v>
      </c>
      <c r="W17" s="19">
        <v>17.875</v>
      </c>
      <c r="X17" s="19">
        <v>3.3</v>
      </c>
      <c r="Y17" s="19">
        <v>0</v>
      </c>
      <c r="Z17" s="19">
        <v>0</v>
      </c>
      <c r="AA17" s="19">
        <v>18.450000000000003</v>
      </c>
      <c r="AB17" s="19">
        <v>6.1000000000000005</v>
      </c>
      <c r="AC17" s="19">
        <v>0.15</v>
      </c>
      <c r="AD17" s="19">
        <v>7.4999999999999997E-2</v>
      </c>
      <c r="AE17" s="19">
        <v>18.674999999999997</v>
      </c>
      <c r="AF17" s="19">
        <v>6.3000000000000007</v>
      </c>
      <c r="AG17" s="19">
        <v>0.05</v>
      </c>
      <c r="AH17" s="19">
        <v>0</v>
      </c>
      <c r="AI17" s="19">
        <v>18.299999999999997</v>
      </c>
      <c r="AJ17" s="19">
        <v>6.5</v>
      </c>
      <c r="AK17" s="19">
        <v>0.44999999999999996</v>
      </c>
      <c r="AL17" s="19">
        <v>0.22499999999999998</v>
      </c>
      <c r="AM17" s="27" t="s">
        <v>53</v>
      </c>
      <c r="AN17" s="40">
        <f t="shared" si="10"/>
        <v>9.1999999999999993</v>
      </c>
      <c r="AO17" s="40">
        <f t="shared" si="11"/>
        <v>45.274999999999999</v>
      </c>
      <c r="AP17" s="40">
        <f t="shared" si="12"/>
        <v>24.475000000000005</v>
      </c>
      <c r="AQ17" s="40">
        <f t="shared" si="13"/>
        <v>15.3</v>
      </c>
      <c r="AR17" s="40">
        <f t="shared" si="14"/>
        <v>69.75</v>
      </c>
      <c r="AS17" s="40">
        <f t="shared" si="15"/>
        <v>12.8</v>
      </c>
      <c r="AT17" s="40">
        <f t="shared" si="16"/>
        <v>49.499999999999993</v>
      </c>
      <c r="AU17" s="40">
        <f t="shared" si="17"/>
        <v>119.25</v>
      </c>
      <c r="AV17" s="18">
        <v>18.125</v>
      </c>
      <c r="AW17" s="18">
        <v>5.9</v>
      </c>
      <c r="AX17" s="18">
        <v>0.15000000000000002</v>
      </c>
      <c r="AY17" s="18">
        <v>0.22499999999999998</v>
      </c>
      <c r="AZ17" s="18">
        <v>17.875</v>
      </c>
      <c r="BA17" s="18">
        <v>3.3</v>
      </c>
      <c r="BB17" s="18">
        <v>0</v>
      </c>
      <c r="BC17" s="18">
        <v>0</v>
      </c>
      <c r="BD17" s="18">
        <v>18.450000000000003</v>
      </c>
      <c r="BE17" s="18">
        <v>6.1000000000000005</v>
      </c>
      <c r="BF17" s="18">
        <v>0.15</v>
      </c>
      <c r="BG17" s="18">
        <v>7.4999999999999997E-2</v>
      </c>
      <c r="BH17" s="18">
        <v>18.674999999999997</v>
      </c>
      <c r="BI17" s="18">
        <v>6.3000000000000007</v>
      </c>
      <c r="BJ17" s="18">
        <v>0.05</v>
      </c>
      <c r="BK17" s="18">
        <v>0</v>
      </c>
      <c r="BL17" s="18">
        <v>18.299999999999997</v>
      </c>
      <c r="BM17" s="18">
        <v>6.5</v>
      </c>
      <c r="BN17" s="18">
        <v>0.44999999999999996</v>
      </c>
      <c r="BO17" s="18">
        <v>0.22499999999999998</v>
      </c>
      <c r="BP17" s="28" t="s">
        <v>53</v>
      </c>
      <c r="BQ17" s="11">
        <f t="shared" si="18"/>
        <v>9.1999999999999993</v>
      </c>
      <c r="BR17" s="11">
        <f t="shared" si="19"/>
        <v>45.274999999999999</v>
      </c>
      <c r="BS17" s="11">
        <f t="shared" si="20"/>
        <v>24.475000000000005</v>
      </c>
      <c r="BT17" s="11">
        <f t="shared" si="21"/>
        <v>15.3</v>
      </c>
      <c r="BU17" s="11">
        <f t="shared" si="22"/>
        <v>69.75</v>
      </c>
      <c r="BV17" s="11">
        <f t="shared" si="23"/>
        <v>12.8</v>
      </c>
      <c r="BW17" s="11">
        <f t="shared" si="24"/>
        <v>49.499999999999993</v>
      </c>
      <c r="BX17" s="11">
        <f t="shared" si="25"/>
        <v>119.25</v>
      </c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 t="str">
        <f t="shared" si="26"/>
        <v/>
      </c>
      <c r="CU17" s="40" t="str">
        <f t="shared" si="27"/>
        <v/>
      </c>
      <c r="CV17" s="40" t="str">
        <f t="shared" si="28"/>
        <v/>
      </c>
      <c r="CW17" s="40" t="str">
        <f t="shared" si="29"/>
        <v/>
      </c>
      <c r="CX17" s="40" t="str">
        <f t="shared" si="30"/>
        <v/>
      </c>
      <c r="CY17" s="40" t="str">
        <f t="shared" si="31"/>
        <v/>
      </c>
      <c r="CZ17" s="40" t="str">
        <f t="shared" si="32"/>
        <v/>
      </c>
      <c r="DA17" s="40" t="str">
        <f t="shared" si="33"/>
        <v/>
      </c>
      <c r="DB17" s="51" t="str">
        <f t="shared" si="34"/>
        <v/>
      </c>
      <c r="DC17" s="51" t="str">
        <f t="shared" si="35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 t="shared" si="36"/>
        <v/>
      </c>
      <c r="DY17" s="40" t="str">
        <f t="shared" si="37"/>
        <v/>
      </c>
      <c r="DZ17" s="40" t="str">
        <f t="shared" si="38"/>
        <v/>
      </c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 t="shared" si="44"/>
        <v/>
      </c>
      <c r="FA17" s="11" t="str">
        <f t="shared" si="45"/>
        <v/>
      </c>
      <c r="FB17" s="11" t="str">
        <f t="shared" si="46"/>
        <v/>
      </c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 t="shared" si="52"/>
        <v/>
      </c>
      <c r="GC17" s="40" t="str">
        <f t="shared" si="53"/>
        <v/>
      </c>
      <c r="GD17" s="40" t="str">
        <f t="shared" si="54"/>
        <v/>
      </c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 t="shared" si="60"/>
        <v/>
      </c>
      <c r="HE17" s="11" t="str">
        <f t="shared" si="61"/>
        <v/>
      </c>
      <c r="HF17" s="11" t="str">
        <f t="shared" si="62"/>
        <v/>
      </c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 t="shared" si="68"/>
        <v/>
      </c>
      <c r="IG17" s="40" t="str">
        <f t="shared" si="69"/>
        <v/>
      </c>
      <c r="IH17" s="40" t="str">
        <f t="shared" si="70"/>
        <v/>
      </c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 t="shared" si="76"/>
        <v/>
      </c>
      <c r="JI17" s="11" t="str">
        <f t="shared" si="77"/>
        <v/>
      </c>
      <c r="JJ17" s="11" t="str">
        <f t="shared" si="78"/>
        <v/>
      </c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 t="shared" si="84"/>
        <v/>
      </c>
      <c r="KK17" s="40" t="str">
        <f t="shared" si="85"/>
        <v/>
      </c>
      <c r="KL17" s="40" t="str">
        <f t="shared" si="86"/>
        <v/>
      </c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 t="shared" si="92"/>
        <v/>
      </c>
      <c r="LM17" s="11" t="str">
        <f t="shared" si="93"/>
        <v/>
      </c>
      <c r="LN17" s="11" t="str">
        <f t="shared" si="94"/>
        <v/>
      </c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 t="shared" si="100"/>
        <v/>
      </c>
      <c r="MO17" s="40" t="str">
        <f t="shared" si="101"/>
        <v/>
      </c>
      <c r="MP17" s="40" t="str">
        <f t="shared" si="102"/>
        <v/>
      </c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 t="shared" si="108"/>
        <v/>
      </c>
      <c r="NQ17" s="11" t="str">
        <f t="shared" si="109"/>
        <v/>
      </c>
      <c r="NR17" s="11" t="str">
        <f t="shared" si="110"/>
        <v/>
      </c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 t="shared" si="116"/>
        <v/>
      </c>
      <c r="OS17" s="40" t="str">
        <f t="shared" si="117"/>
        <v/>
      </c>
      <c r="OT17" s="40" t="str">
        <f t="shared" si="118"/>
        <v/>
      </c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 t="shared" si="124"/>
        <v/>
      </c>
      <c r="PU17" s="11" t="str">
        <f t="shared" si="125"/>
        <v/>
      </c>
      <c r="PV17" s="11" t="str">
        <f t="shared" si="126"/>
        <v/>
      </c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 t="shared" si="132"/>
        <v/>
      </c>
      <c r="QW17" s="40" t="str">
        <f t="shared" si="133"/>
        <v/>
      </c>
      <c r="QX17" s="40" t="str">
        <f t="shared" si="134"/>
        <v/>
      </c>
      <c r="QY17" s="40" t="str">
        <f t="shared" si="135"/>
        <v/>
      </c>
      <c r="QZ17" s="40" t="str">
        <f t="shared" si="136"/>
        <v/>
      </c>
      <c r="RA17" s="40" t="str">
        <f t="shared" si="137"/>
        <v/>
      </c>
      <c r="RB17" s="40" t="str">
        <f t="shared" si="138"/>
        <v/>
      </c>
      <c r="RC17" s="40" t="str">
        <f t="shared" si="139"/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 t="shared" si="140"/>
        <v/>
      </c>
      <c r="RY17" s="11" t="str">
        <f t="shared" si="141"/>
        <v/>
      </c>
      <c r="RZ17" s="11" t="str">
        <f t="shared" si="142"/>
        <v/>
      </c>
      <c r="SA17" s="11" t="str">
        <f t="shared" si="143"/>
        <v/>
      </c>
      <c r="SB17" s="11" t="str">
        <f t="shared" si="144"/>
        <v/>
      </c>
      <c r="SC17" s="11" t="str">
        <f t="shared" si="145"/>
        <v/>
      </c>
      <c r="SD17" s="11" t="str">
        <f t="shared" si="146"/>
        <v/>
      </c>
      <c r="SE17" s="11" t="str">
        <f t="shared" si="147"/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 t="shared" si="148"/>
        <v/>
      </c>
      <c r="TA17" s="40" t="str">
        <f t="shared" si="149"/>
        <v/>
      </c>
      <c r="TB17" s="40" t="str">
        <f t="shared" si="150"/>
        <v/>
      </c>
      <c r="TC17" s="40" t="str">
        <f t="shared" si="151"/>
        <v/>
      </c>
      <c r="TD17" s="40" t="str">
        <f t="shared" si="152"/>
        <v/>
      </c>
      <c r="TE17" s="40" t="str">
        <f t="shared" si="153"/>
        <v/>
      </c>
      <c r="TF17" s="40" t="str">
        <f t="shared" si="154"/>
        <v/>
      </c>
      <c r="TG17" s="40" t="str">
        <f t="shared" si="155"/>
        <v/>
      </c>
      <c r="TH17" s="26">
        <f t="shared" si="156"/>
        <v>9.0625</v>
      </c>
      <c r="TI17" s="26">
        <f t="shared" si="157"/>
        <v>2.95</v>
      </c>
      <c r="TJ17" s="26">
        <f t="shared" si="158"/>
        <v>7.5000000000000011E-2</v>
      </c>
      <c r="TK17" s="26">
        <f t="shared" si="159"/>
        <v>0.11249999999999999</v>
      </c>
      <c r="TL17" s="26">
        <f t="shared" si="160"/>
        <v>8.9375</v>
      </c>
      <c r="TM17" s="26">
        <f t="shared" si="161"/>
        <v>1.65</v>
      </c>
      <c r="TN17" s="26">
        <f t="shared" si="162"/>
        <v>0</v>
      </c>
      <c r="TO17" s="26">
        <f t="shared" si="163"/>
        <v>0</v>
      </c>
      <c r="TP17" s="26">
        <f t="shared" si="164"/>
        <v>9.2250000000000014</v>
      </c>
      <c r="TQ17" s="26">
        <f t="shared" si="165"/>
        <v>3.0500000000000003</v>
      </c>
      <c r="TR17" s="26">
        <f t="shared" si="166"/>
        <v>7.4999999999999997E-2</v>
      </c>
      <c r="TS17" s="26">
        <f t="shared" si="167"/>
        <v>3.7499999999999999E-2</v>
      </c>
      <c r="TT17" s="26">
        <f t="shared" si="168"/>
        <v>9.3374999999999986</v>
      </c>
      <c r="TU17" s="26">
        <f t="shared" si="169"/>
        <v>3.1500000000000004</v>
      </c>
      <c r="TV17" s="26">
        <f t="shared" si="170"/>
        <v>2.5000000000000001E-2</v>
      </c>
      <c r="TW17" s="26">
        <f t="shared" si="171"/>
        <v>0</v>
      </c>
      <c r="TX17" s="26">
        <f t="shared" si="172"/>
        <v>9.1499999999999986</v>
      </c>
      <c r="TY17" s="26">
        <f t="shared" si="173"/>
        <v>3.25</v>
      </c>
      <c r="TZ17" s="26">
        <f t="shared" si="174"/>
        <v>0.22499999999999998</v>
      </c>
      <c r="UA17" s="26">
        <f t="shared" si="175"/>
        <v>0.11249999999999999</v>
      </c>
      <c r="UB17" s="28" t="s">
        <v>53</v>
      </c>
      <c r="UC17" s="11">
        <f t="shared" si="176"/>
        <v>4.5999999999999996</v>
      </c>
      <c r="UD17" s="11">
        <f t="shared" si="177"/>
        <v>22.637499999999999</v>
      </c>
      <c r="UE17" s="11">
        <f t="shared" si="178"/>
        <v>12.237500000000002</v>
      </c>
      <c r="UF17" s="11">
        <f t="shared" si="179"/>
        <v>7.65</v>
      </c>
      <c r="UG17" s="11">
        <f t="shared" si="180"/>
        <v>34.875</v>
      </c>
      <c r="UH17" s="11">
        <f t="shared" si="181"/>
        <v>6.4</v>
      </c>
      <c r="UI17" s="11">
        <f t="shared" si="182"/>
        <v>24.749999999999996</v>
      </c>
      <c r="UJ17" s="11">
        <f t="shared" si="183"/>
        <v>59.625</v>
      </c>
    </row>
    <row r="18" spans="1:556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241</v>
      </c>
      <c r="C18" s="4" t="s">
        <v>36</v>
      </c>
      <c r="D18" s="4">
        <v>2003</v>
      </c>
      <c r="E18" s="9">
        <f t="shared" si="0"/>
        <v>138.80000920000464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IF(COUNT(AO18,BR18,CU18)&gt;0,LARGE((AO18,BR18,CU18),1),0)</f>
        <v>46.400000000000006</v>
      </c>
      <c r="K18" s="8" t="str">
        <f t="shared" si="5"/>
        <v>2025 Elite Canada</v>
      </c>
      <c r="L18" s="8">
        <f>IF(COUNT(AO18,BR18,CU18)&gt;1,LARGE((AO18,BR18,CU18),2),0)</f>
        <v>45.6</v>
      </c>
      <c r="M18" s="8" t="str">
        <f t="shared" si="6"/>
        <v>2024 Nationals</v>
      </c>
      <c r="N18" s="8">
        <f t="shared" si="7"/>
        <v>46.8</v>
      </c>
      <c r="O18" s="8" t="str">
        <f t="shared" si="8"/>
        <v>2024 Nationals</v>
      </c>
      <c r="P18" s="8" t="str">
        <f t="shared" si="9"/>
        <v/>
      </c>
      <c r="Q18" s="11" t="str">
        <f t="shared" si="184"/>
        <v/>
      </c>
      <c r="R18" s="8" t="str">
        <f t="shared" si="185"/>
        <v/>
      </c>
      <c r="S18" s="19">
        <v>18.100000000000001</v>
      </c>
      <c r="T18" s="19">
        <v>4.4000000000000004</v>
      </c>
      <c r="U18" s="19">
        <v>0.8</v>
      </c>
      <c r="V18" s="19">
        <v>0</v>
      </c>
      <c r="W18" s="19">
        <v>18.600000000000001</v>
      </c>
      <c r="X18" s="19">
        <v>5.2</v>
      </c>
      <c r="Y18" s="19">
        <v>0.2</v>
      </c>
      <c r="Z18" s="19">
        <v>0.3</v>
      </c>
      <c r="AA18" s="19">
        <v>18.8</v>
      </c>
      <c r="AB18" s="19">
        <v>3.7</v>
      </c>
      <c r="AC18" s="19">
        <v>0</v>
      </c>
      <c r="AD18" s="19">
        <v>0</v>
      </c>
      <c r="AE18" s="19">
        <v>18.2</v>
      </c>
      <c r="AF18" s="19">
        <v>5.2</v>
      </c>
      <c r="AG18" s="19">
        <v>0</v>
      </c>
      <c r="AH18" s="19">
        <v>0</v>
      </c>
      <c r="AI18" s="19">
        <v>18.100000000000001</v>
      </c>
      <c r="AJ18" s="19">
        <v>5.2</v>
      </c>
      <c r="AK18" s="19">
        <v>0.2</v>
      </c>
      <c r="AL18" s="19">
        <v>0.3</v>
      </c>
      <c r="AM18" s="27"/>
      <c r="AN18" s="40">
        <f t="shared" si="10"/>
        <v>9.6000000000000014</v>
      </c>
      <c r="AO18" s="40">
        <f t="shared" si="11"/>
        <v>45.6</v>
      </c>
      <c r="AP18" s="40">
        <f t="shared" si="12"/>
        <v>22.5</v>
      </c>
      <c r="AQ18" s="40">
        <f t="shared" si="13"/>
        <v>13.3</v>
      </c>
      <c r="AR18" s="40">
        <f t="shared" si="14"/>
        <v>68.099999999999994</v>
      </c>
      <c r="AS18" s="40">
        <f t="shared" si="15"/>
        <v>10.4</v>
      </c>
      <c r="AT18" s="40">
        <f t="shared" si="16"/>
        <v>46.8</v>
      </c>
      <c r="AU18" s="40">
        <f t="shared" si="17"/>
        <v>114.89999999999999</v>
      </c>
      <c r="AV18" s="18">
        <v>18.600000000000001</v>
      </c>
      <c r="AW18" s="18">
        <v>5.2</v>
      </c>
      <c r="AX18" s="18">
        <v>0.2</v>
      </c>
      <c r="AY18" s="18">
        <v>0</v>
      </c>
      <c r="AZ18" s="18">
        <v>16.600000000000001</v>
      </c>
      <c r="BA18" s="18">
        <v>5.2</v>
      </c>
      <c r="BB18" s="18">
        <v>1</v>
      </c>
      <c r="BC18" s="18">
        <v>0</v>
      </c>
      <c r="BD18" s="18">
        <v>18.5</v>
      </c>
      <c r="BE18" s="18">
        <v>4.4000000000000004</v>
      </c>
      <c r="BF18" s="18">
        <v>0.8</v>
      </c>
      <c r="BG18" s="18">
        <v>0</v>
      </c>
      <c r="BH18" s="18">
        <v>18.8</v>
      </c>
      <c r="BI18" s="18">
        <v>5.2</v>
      </c>
      <c r="BJ18" s="18">
        <v>0</v>
      </c>
      <c r="BK18" s="18">
        <v>0</v>
      </c>
      <c r="BL18" s="18">
        <v>17.399999999999999</v>
      </c>
      <c r="BM18" s="18">
        <v>2.8</v>
      </c>
      <c r="BN18" s="18">
        <v>0</v>
      </c>
      <c r="BO18" s="18">
        <v>0</v>
      </c>
      <c r="BP18" s="28"/>
      <c r="BQ18" s="11">
        <f t="shared" si="18"/>
        <v>10.4</v>
      </c>
      <c r="BR18" s="11">
        <f t="shared" si="19"/>
        <v>44.400000000000006</v>
      </c>
      <c r="BS18" s="11">
        <f t="shared" si="20"/>
        <v>22.099999999999998</v>
      </c>
      <c r="BT18" s="11">
        <f t="shared" si="21"/>
        <v>14.8</v>
      </c>
      <c r="BU18" s="11">
        <f t="shared" si="22"/>
        <v>66.5</v>
      </c>
      <c r="BV18" s="11">
        <f t="shared" si="23"/>
        <v>8</v>
      </c>
      <c r="BW18" s="11">
        <f t="shared" si="24"/>
        <v>44.199999999999996</v>
      </c>
      <c r="BX18" s="11">
        <f t="shared" si="25"/>
        <v>110.69999999999999</v>
      </c>
      <c r="BY18" s="19">
        <v>18.2</v>
      </c>
      <c r="BZ18" s="19">
        <v>4.4000000000000004</v>
      </c>
      <c r="CA18" s="19">
        <v>0.4</v>
      </c>
      <c r="CB18" s="19">
        <v>0</v>
      </c>
      <c r="CC18" s="19">
        <v>19</v>
      </c>
      <c r="CD18" s="19">
        <v>5.2</v>
      </c>
      <c r="CE18" s="19">
        <v>0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 t="shared" si="26"/>
        <v>9.6000000000000014</v>
      </c>
      <c r="CU18" s="40">
        <f t="shared" si="27"/>
        <v>46.400000000000006</v>
      </c>
      <c r="CV18" s="40" t="str">
        <f t="shared" si="28"/>
        <v/>
      </c>
      <c r="CW18" s="40">
        <f t="shared" si="29"/>
        <v>9.6000000000000014</v>
      </c>
      <c r="CX18" s="40">
        <f t="shared" si="30"/>
        <v>46.400000000000006</v>
      </c>
      <c r="CY18" s="40" t="str">
        <f t="shared" si="31"/>
        <v/>
      </c>
      <c r="CZ18" s="40" t="str">
        <f t="shared" si="32"/>
        <v/>
      </c>
      <c r="DA18" s="40">
        <f t="shared" si="33"/>
        <v>46.400000000000006</v>
      </c>
      <c r="DB18" s="51" t="str">
        <f t="shared" si="34"/>
        <v/>
      </c>
      <c r="DC18" s="51" t="str">
        <f t="shared" si="35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 t="shared" si="36"/>
        <v/>
      </c>
      <c r="DY18" s="40" t="str">
        <f t="shared" si="37"/>
        <v/>
      </c>
      <c r="DZ18" s="40" t="str">
        <f t="shared" si="38"/>
        <v/>
      </c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18">
        <v>16.8</v>
      </c>
      <c r="EG18" s="18">
        <v>5.2</v>
      </c>
      <c r="EH18" s="18">
        <v>0.8</v>
      </c>
      <c r="EI18" s="18">
        <v>0</v>
      </c>
      <c r="EJ18" s="18">
        <v>18.5</v>
      </c>
      <c r="EK18" s="18">
        <v>5.2</v>
      </c>
      <c r="EL18" s="18">
        <v>0.8</v>
      </c>
      <c r="EM18" s="18">
        <v>0</v>
      </c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>
        <f t="shared" si="44"/>
        <v>10.4</v>
      </c>
      <c r="FA18" s="11">
        <f t="shared" si="45"/>
        <v>44.100000000000009</v>
      </c>
      <c r="FB18" s="11" t="str">
        <f t="shared" si="46"/>
        <v/>
      </c>
      <c r="FC18" s="11">
        <f t="shared" si="47"/>
        <v>10.4</v>
      </c>
      <c r="FD18" s="11">
        <f t="shared" si="48"/>
        <v>44.100000000000009</v>
      </c>
      <c r="FE18" s="11" t="str">
        <f t="shared" si="49"/>
        <v/>
      </c>
      <c r="FF18" s="11" t="str">
        <f t="shared" si="50"/>
        <v/>
      </c>
      <c r="FG18" s="11">
        <f t="shared" si="51"/>
        <v>44.100000000000009</v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 t="shared" si="52"/>
        <v/>
      </c>
      <c r="GC18" s="40" t="str">
        <f t="shared" si="53"/>
        <v/>
      </c>
      <c r="GD18" s="40" t="str">
        <f t="shared" si="54"/>
        <v/>
      </c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 t="shared" si="60"/>
        <v/>
      </c>
      <c r="HE18" s="11" t="str">
        <f t="shared" si="61"/>
        <v/>
      </c>
      <c r="HF18" s="11" t="str">
        <f t="shared" si="62"/>
        <v/>
      </c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 t="shared" si="68"/>
        <v/>
      </c>
      <c r="IG18" s="40" t="str">
        <f t="shared" si="69"/>
        <v/>
      </c>
      <c r="IH18" s="40" t="str">
        <f t="shared" si="70"/>
        <v/>
      </c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 t="shared" si="76"/>
        <v/>
      </c>
      <c r="JI18" s="11" t="str">
        <f t="shared" si="77"/>
        <v/>
      </c>
      <c r="JJ18" s="11" t="str">
        <f t="shared" si="78"/>
        <v/>
      </c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 t="shared" si="84"/>
        <v/>
      </c>
      <c r="KK18" s="40" t="str">
        <f t="shared" si="85"/>
        <v/>
      </c>
      <c r="KL18" s="40" t="str">
        <f t="shared" si="86"/>
        <v/>
      </c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 t="shared" si="92"/>
        <v/>
      </c>
      <c r="LM18" s="11" t="str">
        <f t="shared" si="93"/>
        <v/>
      </c>
      <c r="LN18" s="11" t="str">
        <f t="shared" si="94"/>
        <v/>
      </c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 t="shared" si="100"/>
        <v/>
      </c>
      <c r="MO18" s="40" t="str">
        <f t="shared" si="101"/>
        <v/>
      </c>
      <c r="MP18" s="40" t="str">
        <f t="shared" si="102"/>
        <v/>
      </c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 t="shared" si="108"/>
        <v/>
      </c>
      <c r="NQ18" s="11" t="str">
        <f t="shared" si="109"/>
        <v/>
      </c>
      <c r="NR18" s="11" t="str">
        <f t="shared" si="110"/>
        <v/>
      </c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 t="shared" si="116"/>
        <v/>
      </c>
      <c r="OS18" s="40" t="str">
        <f t="shared" si="117"/>
        <v/>
      </c>
      <c r="OT18" s="40" t="str">
        <f t="shared" si="118"/>
        <v/>
      </c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 t="shared" si="124"/>
        <v/>
      </c>
      <c r="PU18" s="11" t="str">
        <f t="shared" si="125"/>
        <v/>
      </c>
      <c r="PV18" s="11" t="str">
        <f t="shared" si="126"/>
        <v/>
      </c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 t="shared" si="132"/>
        <v/>
      </c>
      <c r="QW18" s="40" t="str">
        <f t="shared" si="133"/>
        <v/>
      </c>
      <c r="QX18" s="40" t="str">
        <f t="shared" si="134"/>
        <v/>
      </c>
      <c r="QY18" s="40" t="str">
        <f t="shared" si="135"/>
        <v/>
      </c>
      <c r="QZ18" s="40" t="str">
        <f t="shared" si="136"/>
        <v/>
      </c>
      <c r="RA18" s="40" t="str">
        <f t="shared" si="137"/>
        <v/>
      </c>
      <c r="RB18" s="40" t="str">
        <f t="shared" si="138"/>
        <v/>
      </c>
      <c r="RC18" s="40" t="str">
        <f t="shared" si="139"/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 t="shared" si="140"/>
        <v/>
      </c>
      <c r="RY18" s="11" t="str">
        <f t="shared" si="141"/>
        <v/>
      </c>
      <c r="RZ18" s="11" t="str">
        <f t="shared" si="142"/>
        <v/>
      </c>
      <c r="SA18" s="11" t="str">
        <f t="shared" si="143"/>
        <v/>
      </c>
      <c r="SB18" s="11" t="str">
        <f t="shared" si="144"/>
        <v/>
      </c>
      <c r="SC18" s="11" t="str">
        <f t="shared" si="145"/>
        <v/>
      </c>
      <c r="SD18" s="11" t="str">
        <f t="shared" si="146"/>
        <v/>
      </c>
      <c r="SE18" s="11" t="str">
        <f t="shared" si="147"/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 t="shared" si="148"/>
        <v/>
      </c>
      <c r="TA18" s="40" t="str">
        <f t="shared" si="149"/>
        <v/>
      </c>
      <c r="TB18" s="40" t="str">
        <f t="shared" si="150"/>
        <v/>
      </c>
      <c r="TC18" s="40" t="str">
        <f t="shared" si="151"/>
        <v/>
      </c>
      <c r="TD18" s="40" t="str">
        <f t="shared" si="152"/>
        <v/>
      </c>
      <c r="TE18" s="40" t="str">
        <f t="shared" si="153"/>
        <v/>
      </c>
      <c r="TF18" s="40" t="str">
        <f t="shared" si="154"/>
        <v/>
      </c>
      <c r="TG18" s="40" t="str">
        <f t="shared" si="155"/>
        <v/>
      </c>
      <c r="TH18" s="26">
        <f t="shared" si="156"/>
        <v>18.399999999999999</v>
      </c>
      <c r="TI18" s="26">
        <f t="shared" si="157"/>
        <v>4.8000000000000007</v>
      </c>
      <c r="TJ18" s="26">
        <f t="shared" si="158"/>
        <v>0.30000000000000004</v>
      </c>
      <c r="TK18" s="26">
        <f t="shared" si="159"/>
        <v>0</v>
      </c>
      <c r="TL18" s="26">
        <f t="shared" si="160"/>
        <v>17.8</v>
      </c>
      <c r="TM18" s="26">
        <f t="shared" si="161"/>
        <v>5.2</v>
      </c>
      <c r="TN18" s="26">
        <f t="shared" si="162"/>
        <v>0.5</v>
      </c>
      <c r="TO18" s="26">
        <f t="shared" si="163"/>
        <v>0</v>
      </c>
      <c r="TP18" s="26">
        <f t="shared" si="164"/>
        <v>9.25</v>
      </c>
      <c r="TQ18" s="26">
        <f t="shared" si="165"/>
        <v>2.2000000000000002</v>
      </c>
      <c r="TR18" s="26">
        <f t="shared" si="166"/>
        <v>0.4</v>
      </c>
      <c r="TS18" s="26">
        <f t="shared" si="167"/>
        <v>0</v>
      </c>
      <c r="TT18" s="26">
        <f t="shared" si="168"/>
        <v>9.4</v>
      </c>
      <c r="TU18" s="26">
        <f t="shared" si="169"/>
        <v>2.6</v>
      </c>
      <c r="TV18" s="26">
        <f t="shared" si="170"/>
        <v>0</v>
      </c>
      <c r="TW18" s="26">
        <f t="shared" si="171"/>
        <v>0</v>
      </c>
      <c r="TX18" s="26">
        <f t="shared" si="172"/>
        <v>8.6999999999999993</v>
      </c>
      <c r="TY18" s="26">
        <f t="shared" si="173"/>
        <v>1.4</v>
      </c>
      <c r="TZ18" s="26">
        <f t="shared" si="174"/>
        <v>0</v>
      </c>
      <c r="UA18" s="26">
        <f t="shared" si="175"/>
        <v>0</v>
      </c>
      <c r="UB18" s="28" t="s">
        <v>53</v>
      </c>
      <c r="UC18" s="11">
        <f t="shared" si="176"/>
        <v>10</v>
      </c>
      <c r="UD18" s="11">
        <f t="shared" si="177"/>
        <v>45.400000000000006</v>
      </c>
      <c r="UE18" s="11">
        <f t="shared" si="178"/>
        <v>11.049999999999999</v>
      </c>
      <c r="UF18" s="11">
        <f t="shared" si="179"/>
        <v>12.2</v>
      </c>
      <c r="UG18" s="11">
        <f t="shared" si="180"/>
        <v>56.45</v>
      </c>
      <c r="UH18" s="11">
        <f t="shared" si="181"/>
        <v>4</v>
      </c>
      <c r="UI18" s="11">
        <f t="shared" si="182"/>
        <v>22.099999999999998</v>
      </c>
      <c r="UJ18" s="11">
        <f t="shared" si="183"/>
        <v>78.55</v>
      </c>
    </row>
    <row r="19" spans="1:556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173</v>
      </c>
      <c r="C19" s="4" t="s">
        <v>5</v>
      </c>
      <c r="D19" s="4">
        <v>1999</v>
      </c>
      <c r="E19" s="9">
        <f t="shared" si="0"/>
        <v>137.10000904000464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IF(COUNT(AO19,BR19,CU19)&gt;0,LARGE((AO19,BR19,CU19),1),0)</f>
        <v>46.2</v>
      </c>
      <c r="K19" s="8" t="str">
        <f t="shared" si="5"/>
        <v>2024 3rd Domestic Trial</v>
      </c>
      <c r="L19" s="8">
        <f>IF(COUNT(AO19,BR19,CU19)&gt;1,LARGE((AO19,BR19,CU19),2),0)</f>
        <v>44.2</v>
      </c>
      <c r="M19" s="8" t="str">
        <f t="shared" si="6"/>
        <v>2024 Nationals</v>
      </c>
      <c r="N19" s="8">
        <f t="shared" si="7"/>
        <v>46.699999999999996</v>
      </c>
      <c r="O19" s="8" t="str">
        <f t="shared" si="8"/>
        <v>2024 3rd Domestic Trial</v>
      </c>
      <c r="P19" s="8" t="str">
        <f t="shared" si="9"/>
        <v/>
      </c>
      <c r="Q19" s="11" t="str">
        <f t="shared" si="184"/>
        <v/>
      </c>
      <c r="R19" s="8" t="str">
        <f t="shared" si="185"/>
        <v/>
      </c>
      <c r="S19" s="19">
        <v>18.600000000000001</v>
      </c>
      <c r="T19" s="19">
        <v>5.2</v>
      </c>
      <c r="U19" s="19">
        <v>0</v>
      </c>
      <c r="V19" s="19">
        <v>0</v>
      </c>
      <c r="W19" s="19">
        <v>16.399999999999999</v>
      </c>
      <c r="X19" s="19">
        <v>5.2</v>
      </c>
      <c r="Y19" s="19">
        <v>1.2</v>
      </c>
      <c r="Z19" s="19">
        <v>0</v>
      </c>
      <c r="AA19" s="19">
        <v>18.2</v>
      </c>
      <c r="AB19" s="19">
        <v>4.4000000000000004</v>
      </c>
      <c r="AC19" s="19">
        <v>0</v>
      </c>
      <c r="AD19" s="19">
        <v>0</v>
      </c>
      <c r="AE19" s="19">
        <v>18.5</v>
      </c>
      <c r="AF19" s="19">
        <v>5.6</v>
      </c>
      <c r="AG19" s="19">
        <v>0.6</v>
      </c>
      <c r="AH19" s="19">
        <v>0</v>
      </c>
      <c r="AI19" s="19">
        <v>18.2</v>
      </c>
      <c r="AJ19" s="19">
        <v>4.8</v>
      </c>
      <c r="AK19" s="19">
        <v>0</v>
      </c>
      <c r="AL19" s="19">
        <v>0</v>
      </c>
      <c r="AM19" s="27"/>
      <c r="AN19" s="40">
        <f t="shared" si="10"/>
        <v>10.4</v>
      </c>
      <c r="AO19" s="40">
        <f t="shared" si="11"/>
        <v>44.2</v>
      </c>
      <c r="AP19" s="40">
        <f t="shared" si="12"/>
        <v>22.6</v>
      </c>
      <c r="AQ19" s="40">
        <f t="shared" si="13"/>
        <v>14.8</v>
      </c>
      <c r="AR19" s="40">
        <f t="shared" si="14"/>
        <v>66.800000000000011</v>
      </c>
      <c r="AS19" s="40">
        <f t="shared" si="15"/>
        <v>10.399999999999999</v>
      </c>
      <c r="AT19" s="40">
        <f t="shared" si="16"/>
        <v>46.499999999999993</v>
      </c>
      <c r="AU19" s="40">
        <f t="shared" si="17"/>
        <v>113.30000000000001</v>
      </c>
      <c r="AV19" s="18">
        <v>18.3</v>
      </c>
      <c r="AW19" s="18">
        <v>5.2</v>
      </c>
      <c r="AX19" s="18">
        <v>0.2</v>
      </c>
      <c r="AY19" s="18">
        <v>0</v>
      </c>
      <c r="AZ19" s="18">
        <v>18.5</v>
      </c>
      <c r="BA19" s="18">
        <v>5.2</v>
      </c>
      <c r="BB19" s="18">
        <v>0.8</v>
      </c>
      <c r="BC19" s="18">
        <v>0</v>
      </c>
      <c r="BD19" s="18">
        <v>18.3</v>
      </c>
      <c r="BE19" s="18">
        <v>4.4000000000000004</v>
      </c>
      <c r="BF19" s="18">
        <v>0.2</v>
      </c>
      <c r="BG19" s="18">
        <v>0</v>
      </c>
      <c r="BH19" s="18">
        <v>18.399999999999999</v>
      </c>
      <c r="BI19" s="18">
        <v>5.2</v>
      </c>
      <c r="BJ19" s="18">
        <v>0</v>
      </c>
      <c r="BK19" s="18">
        <v>0</v>
      </c>
      <c r="BL19" s="18">
        <v>18.5</v>
      </c>
      <c r="BM19" s="18">
        <v>5.2</v>
      </c>
      <c r="BN19" s="18">
        <v>0.6</v>
      </c>
      <c r="BO19" s="18">
        <v>0</v>
      </c>
      <c r="BP19" s="28"/>
      <c r="BQ19" s="11">
        <f t="shared" si="18"/>
        <v>10.4</v>
      </c>
      <c r="BR19" s="11">
        <f t="shared" si="19"/>
        <v>46.2</v>
      </c>
      <c r="BS19" s="11">
        <f t="shared" si="20"/>
        <v>22.500000000000004</v>
      </c>
      <c r="BT19" s="11">
        <f t="shared" si="21"/>
        <v>14.8</v>
      </c>
      <c r="BU19" s="11">
        <f t="shared" si="22"/>
        <v>68.7</v>
      </c>
      <c r="BV19" s="11">
        <f t="shared" si="23"/>
        <v>10.4</v>
      </c>
      <c r="BW19" s="11">
        <f t="shared" si="24"/>
        <v>46.699999999999996</v>
      </c>
      <c r="BX19" s="11">
        <f t="shared" si="25"/>
        <v>115.4</v>
      </c>
      <c r="BY19" s="19">
        <v>15.2</v>
      </c>
      <c r="BZ19" s="19">
        <v>2.4</v>
      </c>
      <c r="CA19" s="19">
        <v>0</v>
      </c>
      <c r="CB19" s="19">
        <v>0</v>
      </c>
      <c r="CC19" s="19">
        <v>18.399999999999999</v>
      </c>
      <c r="CD19" s="19">
        <v>5.6</v>
      </c>
      <c r="CE19" s="19">
        <v>0.6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 t="shared" si="26"/>
        <v>8</v>
      </c>
      <c r="CU19" s="40">
        <f t="shared" si="27"/>
        <v>41</v>
      </c>
      <c r="CV19" s="40" t="str">
        <f t="shared" si="28"/>
        <v/>
      </c>
      <c r="CW19" s="40">
        <f t="shared" si="29"/>
        <v>8</v>
      </c>
      <c r="CX19" s="40">
        <f t="shared" si="30"/>
        <v>41</v>
      </c>
      <c r="CY19" s="40" t="str">
        <f t="shared" si="31"/>
        <v/>
      </c>
      <c r="CZ19" s="40" t="str">
        <f t="shared" si="32"/>
        <v/>
      </c>
      <c r="DA19" s="40">
        <f t="shared" si="33"/>
        <v>41</v>
      </c>
      <c r="DB19" s="51" t="str">
        <f t="shared" si="34"/>
        <v/>
      </c>
      <c r="DC19" s="51" t="str">
        <f t="shared" si="35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 t="shared" si="36"/>
        <v/>
      </c>
      <c r="DY19" s="40" t="str">
        <f t="shared" si="37"/>
        <v/>
      </c>
      <c r="DZ19" s="40" t="str">
        <f t="shared" si="38"/>
        <v/>
      </c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 t="shared" si="44"/>
        <v/>
      </c>
      <c r="FA19" s="11" t="str">
        <f t="shared" si="45"/>
        <v/>
      </c>
      <c r="FB19" s="11" t="str">
        <f t="shared" si="46"/>
        <v/>
      </c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 t="shared" si="52"/>
        <v/>
      </c>
      <c r="GC19" s="40" t="str">
        <f t="shared" si="53"/>
        <v/>
      </c>
      <c r="GD19" s="40" t="str">
        <f t="shared" si="54"/>
        <v/>
      </c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 t="shared" si="60"/>
        <v/>
      </c>
      <c r="HE19" s="11" t="str">
        <f t="shared" si="61"/>
        <v/>
      </c>
      <c r="HF19" s="11" t="str">
        <f t="shared" si="62"/>
        <v/>
      </c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 t="shared" si="68"/>
        <v/>
      </c>
      <c r="IG19" s="40" t="str">
        <f t="shared" si="69"/>
        <v/>
      </c>
      <c r="IH19" s="40" t="str">
        <f t="shared" si="70"/>
        <v/>
      </c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 t="shared" si="76"/>
        <v/>
      </c>
      <c r="JI19" s="11" t="str">
        <f t="shared" si="77"/>
        <v/>
      </c>
      <c r="JJ19" s="11" t="str">
        <f t="shared" si="78"/>
        <v/>
      </c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 t="shared" si="84"/>
        <v/>
      </c>
      <c r="KK19" s="40" t="str">
        <f t="shared" si="85"/>
        <v/>
      </c>
      <c r="KL19" s="40" t="str">
        <f t="shared" si="86"/>
        <v/>
      </c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 t="shared" si="92"/>
        <v/>
      </c>
      <c r="LM19" s="11" t="str">
        <f t="shared" si="93"/>
        <v/>
      </c>
      <c r="LN19" s="11" t="str">
        <f t="shared" si="94"/>
        <v/>
      </c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 t="shared" si="100"/>
        <v/>
      </c>
      <c r="MO19" s="40" t="str">
        <f t="shared" si="101"/>
        <v/>
      </c>
      <c r="MP19" s="40" t="str">
        <f t="shared" si="102"/>
        <v/>
      </c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 t="shared" si="108"/>
        <v/>
      </c>
      <c r="NQ19" s="11" t="str">
        <f t="shared" si="109"/>
        <v/>
      </c>
      <c r="NR19" s="11" t="str">
        <f t="shared" si="110"/>
        <v/>
      </c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 t="shared" si="116"/>
        <v/>
      </c>
      <c r="OS19" s="40" t="str">
        <f t="shared" si="117"/>
        <v/>
      </c>
      <c r="OT19" s="40" t="str">
        <f t="shared" si="118"/>
        <v/>
      </c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 t="shared" si="124"/>
        <v/>
      </c>
      <c r="PU19" s="11" t="str">
        <f t="shared" si="125"/>
        <v/>
      </c>
      <c r="PV19" s="11" t="str">
        <f t="shared" si="126"/>
        <v/>
      </c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 t="shared" si="132"/>
        <v/>
      </c>
      <c r="QW19" s="40" t="str">
        <f t="shared" si="133"/>
        <v/>
      </c>
      <c r="QX19" s="40" t="str">
        <f t="shared" si="134"/>
        <v/>
      </c>
      <c r="QY19" s="40" t="str">
        <f t="shared" si="135"/>
        <v/>
      </c>
      <c r="QZ19" s="40" t="str">
        <f t="shared" si="136"/>
        <v/>
      </c>
      <c r="RA19" s="40" t="str">
        <f t="shared" si="137"/>
        <v/>
      </c>
      <c r="RB19" s="40" t="str">
        <f t="shared" si="138"/>
        <v/>
      </c>
      <c r="RC19" s="40" t="str">
        <f t="shared" si="139"/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 t="shared" si="140"/>
        <v/>
      </c>
      <c r="RY19" s="11" t="str">
        <f t="shared" si="141"/>
        <v/>
      </c>
      <c r="RZ19" s="11" t="str">
        <f t="shared" si="142"/>
        <v/>
      </c>
      <c r="SA19" s="11" t="str">
        <f t="shared" si="143"/>
        <v/>
      </c>
      <c r="SB19" s="11" t="str">
        <f t="shared" si="144"/>
        <v/>
      </c>
      <c r="SC19" s="11" t="str">
        <f t="shared" si="145"/>
        <v/>
      </c>
      <c r="SD19" s="11" t="str">
        <f t="shared" si="146"/>
        <v/>
      </c>
      <c r="SE19" s="11" t="str">
        <f t="shared" si="147"/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 t="shared" si="148"/>
        <v/>
      </c>
      <c r="TA19" s="40" t="str">
        <f t="shared" si="149"/>
        <v/>
      </c>
      <c r="TB19" s="40" t="str">
        <f t="shared" si="150"/>
        <v/>
      </c>
      <c r="TC19" s="40" t="str">
        <f t="shared" si="151"/>
        <v/>
      </c>
      <c r="TD19" s="40" t="str">
        <f t="shared" si="152"/>
        <v/>
      </c>
      <c r="TE19" s="40" t="str">
        <f t="shared" si="153"/>
        <v/>
      </c>
      <c r="TF19" s="40" t="str">
        <f t="shared" si="154"/>
        <v/>
      </c>
      <c r="TG19" s="40" t="str">
        <f t="shared" si="155"/>
        <v/>
      </c>
      <c r="TH19" s="26">
        <f t="shared" si="156"/>
        <v>16.75</v>
      </c>
      <c r="TI19" s="26">
        <f t="shared" si="157"/>
        <v>3.8</v>
      </c>
      <c r="TJ19" s="26">
        <f t="shared" si="158"/>
        <v>0.1</v>
      </c>
      <c r="TK19" s="26">
        <f t="shared" si="159"/>
        <v>0</v>
      </c>
      <c r="TL19" s="26">
        <f t="shared" si="160"/>
        <v>18.45</v>
      </c>
      <c r="TM19" s="26">
        <f t="shared" si="161"/>
        <v>5.4</v>
      </c>
      <c r="TN19" s="26">
        <f t="shared" si="162"/>
        <v>0.7</v>
      </c>
      <c r="TO19" s="26">
        <f t="shared" si="163"/>
        <v>0</v>
      </c>
      <c r="TP19" s="26">
        <f t="shared" si="164"/>
        <v>9.15</v>
      </c>
      <c r="TQ19" s="26">
        <f t="shared" si="165"/>
        <v>2.2000000000000002</v>
      </c>
      <c r="TR19" s="26">
        <f t="shared" si="166"/>
        <v>0.1</v>
      </c>
      <c r="TS19" s="26">
        <f t="shared" si="167"/>
        <v>0</v>
      </c>
      <c r="TT19" s="26">
        <f t="shared" si="168"/>
        <v>9.1999999999999993</v>
      </c>
      <c r="TU19" s="26">
        <f t="shared" si="169"/>
        <v>2.6</v>
      </c>
      <c r="TV19" s="26">
        <f t="shared" si="170"/>
        <v>0</v>
      </c>
      <c r="TW19" s="26">
        <f t="shared" si="171"/>
        <v>0</v>
      </c>
      <c r="TX19" s="26">
        <f t="shared" si="172"/>
        <v>9.25</v>
      </c>
      <c r="TY19" s="26">
        <f t="shared" si="173"/>
        <v>2.6</v>
      </c>
      <c r="TZ19" s="26">
        <f t="shared" si="174"/>
        <v>0.3</v>
      </c>
      <c r="UA19" s="26">
        <f t="shared" si="175"/>
        <v>0</v>
      </c>
      <c r="UB19" s="28" t="s">
        <v>53</v>
      </c>
      <c r="UC19" s="11">
        <f t="shared" si="176"/>
        <v>9.1999999999999993</v>
      </c>
      <c r="UD19" s="11">
        <f t="shared" si="177"/>
        <v>43.599999999999994</v>
      </c>
      <c r="UE19" s="11">
        <f t="shared" si="178"/>
        <v>11.250000000000002</v>
      </c>
      <c r="UF19" s="11">
        <f t="shared" si="179"/>
        <v>11.399999999999999</v>
      </c>
      <c r="UG19" s="11">
        <f t="shared" si="180"/>
        <v>54.849999999999994</v>
      </c>
      <c r="UH19" s="11">
        <f t="shared" si="181"/>
        <v>5.2</v>
      </c>
      <c r="UI19" s="11">
        <f t="shared" si="182"/>
        <v>23.349999999999998</v>
      </c>
      <c r="UJ19" s="11">
        <f t="shared" si="183"/>
        <v>78.199999999999989</v>
      </c>
    </row>
    <row r="20" spans="1:556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257</v>
      </c>
      <c r="C20" s="4" t="s">
        <v>6</v>
      </c>
      <c r="D20" s="4">
        <v>2008</v>
      </c>
      <c r="E20" s="9">
        <f t="shared" si="0"/>
        <v>128.20000827000428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IF(COUNT(AO20,BR20,CU20)&gt;0,LARGE((AO20,BR20,CU20),1),0)</f>
        <v>42.6</v>
      </c>
      <c r="K20" s="8" t="str">
        <f t="shared" si="5"/>
        <v>2024 3rd Domestic Trial</v>
      </c>
      <c r="L20" s="8">
        <f>IF(COUNT(AO20,BR20,CU20)&gt;1,LARGE((AO20,BR20,CU20),2),0)</f>
        <v>40.1</v>
      </c>
      <c r="M20" s="8" t="str">
        <f t="shared" si="6"/>
        <v>2024 Nationals</v>
      </c>
      <c r="N20" s="8">
        <f t="shared" si="7"/>
        <v>45.500000000000007</v>
      </c>
      <c r="O20" s="8" t="str">
        <f t="shared" si="8"/>
        <v>2024 3rd Domestic Trial</v>
      </c>
      <c r="P20" s="8" t="str">
        <f t="shared" si="9"/>
        <v/>
      </c>
      <c r="Q20" s="11" t="str">
        <f t="shared" si="184"/>
        <v/>
      </c>
      <c r="R20" s="8" t="str">
        <f t="shared" si="185"/>
        <v/>
      </c>
      <c r="S20" s="19">
        <v>17.3</v>
      </c>
      <c r="T20" s="19">
        <v>2.4</v>
      </c>
      <c r="U20" s="19">
        <v>0</v>
      </c>
      <c r="V20" s="19">
        <v>0</v>
      </c>
      <c r="W20" s="19">
        <v>16.2</v>
      </c>
      <c r="X20" s="19">
        <v>5.2</v>
      </c>
      <c r="Y20" s="19">
        <v>1</v>
      </c>
      <c r="Z20" s="19">
        <v>0</v>
      </c>
      <c r="AA20" s="19">
        <v>19.2</v>
      </c>
      <c r="AB20" s="19">
        <v>3.5</v>
      </c>
      <c r="AC20" s="19">
        <v>0.4</v>
      </c>
      <c r="AD20" s="19">
        <v>0</v>
      </c>
      <c r="AE20" s="19"/>
      <c r="AF20" s="19"/>
      <c r="AG20" s="19"/>
      <c r="AH20" s="19"/>
      <c r="AI20" s="19"/>
      <c r="AJ20" s="19"/>
      <c r="AK20" s="19"/>
      <c r="AL20" s="19"/>
      <c r="AM20" s="27"/>
      <c r="AN20" s="40">
        <f t="shared" si="10"/>
        <v>7.6</v>
      </c>
      <c r="AO20" s="40">
        <f t="shared" si="11"/>
        <v>40.1</v>
      </c>
      <c r="AP20" s="40">
        <f t="shared" si="12"/>
        <v>22.3</v>
      </c>
      <c r="AQ20" s="40">
        <f t="shared" si="13"/>
        <v>11.1</v>
      </c>
      <c r="AR20" s="40">
        <f t="shared" si="14"/>
        <v>62.400000000000006</v>
      </c>
      <c r="AS20" s="40" t="str">
        <f t="shared" si="15"/>
        <v/>
      </c>
      <c r="AT20" s="40" t="str">
        <f t="shared" si="16"/>
        <v/>
      </c>
      <c r="AU20" s="40">
        <f t="shared" si="17"/>
        <v>62.400000000000006</v>
      </c>
      <c r="AV20" s="18">
        <v>17.399999999999999</v>
      </c>
      <c r="AW20" s="18">
        <v>2.4</v>
      </c>
      <c r="AX20" s="18">
        <v>0</v>
      </c>
      <c r="AY20" s="18"/>
      <c r="AZ20" s="18">
        <v>18.2</v>
      </c>
      <c r="BA20" s="18">
        <v>5.2</v>
      </c>
      <c r="BB20" s="18">
        <v>0.6</v>
      </c>
      <c r="BC20" s="18"/>
      <c r="BD20" s="18">
        <v>18.7</v>
      </c>
      <c r="BE20" s="18">
        <v>2.8</v>
      </c>
      <c r="BF20" s="18">
        <v>0</v>
      </c>
      <c r="BG20" s="18"/>
      <c r="BH20" s="18">
        <v>16.8</v>
      </c>
      <c r="BI20" s="18">
        <v>5.2</v>
      </c>
      <c r="BJ20" s="18">
        <v>0.2</v>
      </c>
      <c r="BK20" s="18"/>
      <c r="BL20" s="18">
        <v>18.7</v>
      </c>
      <c r="BM20" s="18">
        <v>5.2</v>
      </c>
      <c r="BN20" s="18">
        <v>0.2</v>
      </c>
      <c r="BO20" s="18"/>
      <c r="BP20" s="28"/>
      <c r="BQ20" s="11">
        <f t="shared" si="18"/>
        <v>7.6</v>
      </c>
      <c r="BR20" s="11">
        <f t="shared" si="19"/>
        <v>42.6</v>
      </c>
      <c r="BS20" s="11">
        <f t="shared" si="20"/>
        <v>21.5</v>
      </c>
      <c r="BT20" s="11">
        <f t="shared" si="21"/>
        <v>10.399999999999999</v>
      </c>
      <c r="BU20" s="11">
        <f t="shared" si="22"/>
        <v>64.099999999999994</v>
      </c>
      <c r="BV20" s="11">
        <f t="shared" si="23"/>
        <v>10.4</v>
      </c>
      <c r="BW20" s="11">
        <f t="shared" si="24"/>
        <v>45.500000000000007</v>
      </c>
      <c r="BX20" s="11">
        <f t="shared" si="25"/>
        <v>109.6</v>
      </c>
      <c r="BY20" s="19">
        <v>15.2</v>
      </c>
      <c r="BZ20" s="19">
        <v>2.4</v>
      </c>
      <c r="CA20" s="19">
        <v>0</v>
      </c>
      <c r="CB20" s="19">
        <v>0</v>
      </c>
      <c r="CC20" s="19">
        <v>15.2</v>
      </c>
      <c r="CD20" s="19">
        <v>0</v>
      </c>
      <c r="CE20" s="19">
        <v>0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 t="shared" si="26"/>
        <v>2.4</v>
      </c>
      <c r="CU20" s="40">
        <f t="shared" si="27"/>
        <v>32.799999999999997</v>
      </c>
      <c r="CV20" s="40" t="str">
        <f t="shared" si="28"/>
        <v/>
      </c>
      <c r="CW20" s="40">
        <f t="shared" si="29"/>
        <v>2.4</v>
      </c>
      <c r="CX20" s="40">
        <f t="shared" si="30"/>
        <v>32.799999999999997</v>
      </c>
      <c r="CY20" s="40" t="str">
        <f t="shared" si="31"/>
        <v/>
      </c>
      <c r="CZ20" s="40" t="str">
        <f t="shared" si="32"/>
        <v/>
      </c>
      <c r="DA20" s="40">
        <f t="shared" si="33"/>
        <v>32.799999999999997</v>
      </c>
      <c r="DB20" s="51" t="str">
        <f t="shared" si="34"/>
        <v/>
      </c>
      <c r="DC20" s="51" t="str">
        <f t="shared" si="35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 t="shared" si="36"/>
        <v/>
      </c>
      <c r="DY20" s="40" t="str">
        <f t="shared" si="37"/>
        <v/>
      </c>
      <c r="DZ20" s="40" t="str">
        <f t="shared" si="38"/>
        <v/>
      </c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 t="shared" si="44"/>
        <v/>
      </c>
      <c r="FA20" s="11" t="str">
        <f t="shared" si="45"/>
        <v/>
      </c>
      <c r="FB20" s="11" t="str">
        <f t="shared" si="46"/>
        <v/>
      </c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 t="shared" si="52"/>
        <v/>
      </c>
      <c r="GC20" s="40" t="str">
        <f t="shared" si="53"/>
        <v/>
      </c>
      <c r="GD20" s="40" t="str">
        <f t="shared" si="54"/>
        <v/>
      </c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 t="shared" si="60"/>
        <v/>
      </c>
      <c r="HE20" s="11" t="str">
        <f t="shared" si="61"/>
        <v/>
      </c>
      <c r="HF20" s="11" t="str">
        <f t="shared" si="62"/>
        <v/>
      </c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 t="shared" si="68"/>
        <v/>
      </c>
      <c r="IG20" s="40" t="str">
        <f t="shared" si="69"/>
        <v/>
      </c>
      <c r="IH20" s="40" t="str">
        <f t="shared" si="70"/>
        <v/>
      </c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 t="shared" si="76"/>
        <v/>
      </c>
      <c r="JI20" s="11" t="str">
        <f t="shared" si="77"/>
        <v/>
      </c>
      <c r="JJ20" s="11" t="str">
        <f t="shared" si="78"/>
        <v/>
      </c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 t="shared" si="84"/>
        <v/>
      </c>
      <c r="KK20" s="40" t="str">
        <f t="shared" si="85"/>
        <v/>
      </c>
      <c r="KL20" s="40" t="str">
        <f t="shared" si="86"/>
        <v/>
      </c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 t="shared" si="92"/>
        <v/>
      </c>
      <c r="LM20" s="11" t="str">
        <f t="shared" si="93"/>
        <v/>
      </c>
      <c r="LN20" s="11" t="str">
        <f t="shared" si="94"/>
        <v/>
      </c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 t="shared" si="100"/>
        <v/>
      </c>
      <c r="MO20" s="40" t="str">
        <f t="shared" si="101"/>
        <v/>
      </c>
      <c r="MP20" s="40" t="str">
        <f t="shared" si="102"/>
        <v/>
      </c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 t="shared" si="108"/>
        <v/>
      </c>
      <c r="NQ20" s="11" t="str">
        <f t="shared" si="109"/>
        <v/>
      </c>
      <c r="NR20" s="11" t="str">
        <f t="shared" si="110"/>
        <v/>
      </c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 t="shared" si="116"/>
        <v/>
      </c>
      <c r="OS20" s="40" t="str">
        <f t="shared" si="117"/>
        <v/>
      </c>
      <c r="OT20" s="40" t="str">
        <f t="shared" si="118"/>
        <v/>
      </c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 t="shared" si="124"/>
        <v/>
      </c>
      <c r="PU20" s="11" t="str">
        <f t="shared" si="125"/>
        <v/>
      </c>
      <c r="PV20" s="11" t="str">
        <f t="shared" si="126"/>
        <v/>
      </c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 t="shared" si="132"/>
        <v/>
      </c>
      <c r="QW20" s="40" t="str">
        <f t="shared" si="133"/>
        <v/>
      </c>
      <c r="QX20" s="40" t="str">
        <f t="shared" si="134"/>
        <v/>
      </c>
      <c r="QY20" s="40" t="str">
        <f t="shared" si="135"/>
        <v/>
      </c>
      <c r="QZ20" s="40" t="str">
        <f t="shared" si="136"/>
        <v/>
      </c>
      <c r="RA20" s="40" t="str">
        <f t="shared" si="137"/>
        <v/>
      </c>
      <c r="RB20" s="40" t="str">
        <f t="shared" si="138"/>
        <v/>
      </c>
      <c r="RC20" s="40" t="str">
        <f t="shared" si="139"/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 t="shared" si="140"/>
        <v/>
      </c>
      <c r="RY20" s="11" t="str">
        <f t="shared" si="141"/>
        <v/>
      </c>
      <c r="RZ20" s="11" t="str">
        <f t="shared" si="142"/>
        <v/>
      </c>
      <c r="SA20" s="11" t="str">
        <f t="shared" si="143"/>
        <v/>
      </c>
      <c r="SB20" s="11" t="str">
        <f t="shared" si="144"/>
        <v/>
      </c>
      <c r="SC20" s="11" t="str">
        <f t="shared" si="145"/>
        <v/>
      </c>
      <c r="SD20" s="11" t="str">
        <f t="shared" si="146"/>
        <v/>
      </c>
      <c r="SE20" s="11" t="str">
        <f t="shared" si="147"/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 t="shared" si="148"/>
        <v/>
      </c>
      <c r="TA20" s="40" t="str">
        <f t="shared" si="149"/>
        <v/>
      </c>
      <c r="TB20" s="40" t="str">
        <f t="shared" si="150"/>
        <v/>
      </c>
      <c r="TC20" s="40" t="str">
        <f t="shared" si="151"/>
        <v/>
      </c>
      <c r="TD20" s="40" t="str">
        <f t="shared" si="152"/>
        <v/>
      </c>
      <c r="TE20" s="40" t="str">
        <f t="shared" si="153"/>
        <v/>
      </c>
      <c r="TF20" s="40" t="str">
        <f t="shared" si="154"/>
        <v/>
      </c>
      <c r="TG20" s="40" t="str">
        <f t="shared" si="155"/>
        <v/>
      </c>
      <c r="TH20" s="26">
        <f t="shared" si="156"/>
        <v>16.299999999999997</v>
      </c>
      <c r="TI20" s="26">
        <f t="shared" si="157"/>
        <v>2.4</v>
      </c>
      <c r="TJ20" s="26">
        <f t="shared" si="158"/>
        <v>0</v>
      </c>
      <c r="TK20" s="26">
        <f t="shared" si="159"/>
        <v>0</v>
      </c>
      <c r="TL20" s="26">
        <f t="shared" si="160"/>
        <v>16.7</v>
      </c>
      <c r="TM20" s="26">
        <f t="shared" si="161"/>
        <v>2.6</v>
      </c>
      <c r="TN20" s="26">
        <f t="shared" si="162"/>
        <v>0.3</v>
      </c>
      <c r="TO20" s="26">
        <f t="shared" si="163"/>
        <v>0</v>
      </c>
      <c r="TP20" s="26">
        <f t="shared" si="164"/>
        <v>9.35</v>
      </c>
      <c r="TQ20" s="26">
        <f t="shared" si="165"/>
        <v>1.4</v>
      </c>
      <c r="TR20" s="26">
        <f t="shared" si="166"/>
        <v>0</v>
      </c>
      <c r="TS20" s="26">
        <f t="shared" si="167"/>
        <v>0</v>
      </c>
      <c r="TT20" s="26">
        <f t="shared" si="168"/>
        <v>8.4</v>
      </c>
      <c r="TU20" s="26">
        <f t="shared" si="169"/>
        <v>2.6</v>
      </c>
      <c r="TV20" s="26">
        <f t="shared" si="170"/>
        <v>0.1</v>
      </c>
      <c r="TW20" s="26">
        <f t="shared" si="171"/>
        <v>0</v>
      </c>
      <c r="TX20" s="26">
        <f t="shared" si="172"/>
        <v>9.35</v>
      </c>
      <c r="TY20" s="26">
        <f t="shared" si="173"/>
        <v>2.6</v>
      </c>
      <c r="TZ20" s="26">
        <f t="shared" si="174"/>
        <v>0.1</v>
      </c>
      <c r="UA20" s="26">
        <f t="shared" si="175"/>
        <v>0</v>
      </c>
      <c r="UB20" s="28" t="s">
        <v>53</v>
      </c>
      <c r="UC20" s="11">
        <f t="shared" si="176"/>
        <v>5</v>
      </c>
      <c r="UD20" s="11">
        <f t="shared" si="177"/>
        <v>37.699999999999996</v>
      </c>
      <c r="UE20" s="11">
        <f t="shared" si="178"/>
        <v>10.75</v>
      </c>
      <c r="UF20" s="11">
        <f t="shared" si="179"/>
        <v>6.4</v>
      </c>
      <c r="UG20" s="11">
        <f t="shared" si="180"/>
        <v>48.449999999999996</v>
      </c>
      <c r="UH20" s="11">
        <f t="shared" si="181"/>
        <v>5.2</v>
      </c>
      <c r="UI20" s="11">
        <f t="shared" si="182"/>
        <v>22.750000000000004</v>
      </c>
      <c r="UJ20" s="11">
        <f t="shared" si="183"/>
        <v>71.2</v>
      </c>
    </row>
    <row r="21" spans="1:556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258</v>
      </c>
      <c r="C21" s="4" t="s">
        <v>6</v>
      </c>
      <c r="D21" s="4">
        <v>2008</v>
      </c>
      <c r="E21" s="9">
        <f t="shared" si="0"/>
        <v>114.60000911000472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IF(COUNT(AO21,BR21,CU21)&gt;0,LARGE((AO21,BR21,CU21),1),0)</f>
        <v>47.2</v>
      </c>
      <c r="K21" s="8" t="str">
        <f t="shared" si="5"/>
        <v>2025 Elite Canada</v>
      </c>
      <c r="L21" s="8">
        <f>IF(COUNT(AO21,BR21,CU21)&gt;1,LARGE((AO21,BR21,CU21),2),0)</f>
        <v>43.900000000000006</v>
      </c>
      <c r="M21" s="8" t="str">
        <f t="shared" si="6"/>
        <v>2024 Nationals</v>
      </c>
      <c r="N21" s="8">
        <f t="shared" si="7"/>
        <v>23.5</v>
      </c>
      <c r="O21" s="8" t="str">
        <f t="shared" si="8"/>
        <v>2024 Nationals</v>
      </c>
      <c r="P21" s="8" t="str">
        <f t="shared" si="9"/>
        <v/>
      </c>
      <c r="Q21" s="11" t="str">
        <f t="shared" si="184"/>
        <v/>
      </c>
      <c r="R21" s="8" t="str">
        <f t="shared" si="185"/>
        <v/>
      </c>
      <c r="S21" s="19">
        <v>18.600000000000001</v>
      </c>
      <c r="T21" s="19">
        <v>3.5</v>
      </c>
      <c r="U21" s="19">
        <v>0</v>
      </c>
      <c r="V21" s="19"/>
      <c r="W21" s="19">
        <v>18.600000000000001</v>
      </c>
      <c r="X21" s="19">
        <v>3.2</v>
      </c>
      <c r="Y21" s="19">
        <v>0</v>
      </c>
      <c r="Z21" s="19"/>
      <c r="AA21" s="19"/>
      <c r="AB21" s="19"/>
      <c r="AC21" s="19"/>
      <c r="AD21" s="19"/>
      <c r="AE21" s="19">
        <v>0</v>
      </c>
      <c r="AF21" s="19">
        <v>0</v>
      </c>
      <c r="AG21" s="19">
        <v>0</v>
      </c>
      <c r="AH21" s="19"/>
      <c r="AI21" s="19">
        <v>18.3</v>
      </c>
      <c r="AJ21" s="19">
        <v>5.2</v>
      </c>
      <c r="AK21" s="19">
        <v>0</v>
      </c>
      <c r="AL21" s="19"/>
      <c r="AM21" s="27"/>
      <c r="AN21" s="40">
        <f t="shared" si="10"/>
        <v>6.7</v>
      </c>
      <c r="AO21" s="40">
        <f t="shared" si="11"/>
        <v>43.900000000000006</v>
      </c>
      <c r="AP21" s="40" t="str">
        <f t="shared" si="12"/>
        <v/>
      </c>
      <c r="AQ21" s="40">
        <f t="shared" si="13"/>
        <v>6.7</v>
      </c>
      <c r="AR21" s="40">
        <f t="shared" si="14"/>
        <v>43.900000000000006</v>
      </c>
      <c r="AS21" s="40">
        <f t="shared" si="15"/>
        <v>5.2</v>
      </c>
      <c r="AT21" s="40">
        <f t="shared" si="16"/>
        <v>23.5</v>
      </c>
      <c r="AU21" s="40">
        <f t="shared" si="17"/>
        <v>67.400000000000006</v>
      </c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 t="str">
        <f t="shared" si="18"/>
        <v/>
      </c>
      <c r="BR21" s="11" t="str">
        <f t="shared" si="19"/>
        <v/>
      </c>
      <c r="BS21" s="11" t="str">
        <f t="shared" si="20"/>
        <v/>
      </c>
      <c r="BT21" s="11" t="str">
        <f t="shared" si="21"/>
        <v/>
      </c>
      <c r="BU21" s="11" t="str">
        <f t="shared" si="22"/>
        <v/>
      </c>
      <c r="BV21" s="11" t="str">
        <f t="shared" si="23"/>
        <v/>
      </c>
      <c r="BW21" s="11" t="str">
        <f t="shared" si="24"/>
        <v/>
      </c>
      <c r="BX21" s="11" t="str">
        <f t="shared" si="25"/>
        <v/>
      </c>
      <c r="BY21" s="19">
        <v>18.600000000000001</v>
      </c>
      <c r="BZ21" s="19">
        <v>5.2</v>
      </c>
      <c r="CA21" s="19">
        <v>0</v>
      </c>
      <c r="CB21" s="19">
        <v>0</v>
      </c>
      <c r="CC21" s="19">
        <v>18.2</v>
      </c>
      <c r="CD21" s="19">
        <v>5.2</v>
      </c>
      <c r="CE21" s="19">
        <v>0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 t="shared" si="26"/>
        <v>10.4</v>
      </c>
      <c r="CU21" s="40">
        <f t="shared" si="27"/>
        <v>47.2</v>
      </c>
      <c r="CV21" s="40" t="str">
        <f t="shared" si="28"/>
        <v/>
      </c>
      <c r="CW21" s="40">
        <f t="shared" si="29"/>
        <v>10.4</v>
      </c>
      <c r="CX21" s="40">
        <f t="shared" si="30"/>
        <v>47.2</v>
      </c>
      <c r="CY21" s="40" t="str">
        <f t="shared" si="31"/>
        <v/>
      </c>
      <c r="CZ21" s="40" t="str">
        <f t="shared" si="32"/>
        <v/>
      </c>
      <c r="DA21" s="40">
        <f t="shared" si="33"/>
        <v>47.2</v>
      </c>
      <c r="DB21" s="51" t="str">
        <f t="shared" si="34"/>
        <v/>
      </c>
      <c r="DC21" s="51" t="str">
        <f t="shared" si="35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 t="shared" si="36"/>
        <v/>
      </c>
      <c r="DY21" s="40" t="str">
        <f t="shared" si="37"/>
        <v/>
      </c>
      <c r="DZ21" s="40" t="str">
        <f t="shared" si="38"/>
        <v/>
      </c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 t="shared" si="44"/>
        <v/>
      </c>
      <c r="FA21" s="11" t="str">
        <f t="shared" si="45"/>
        <v/>
      </c>
      <c r="FB21" s="11" t="str">
        <f t="shared" si="46"/>
        <v/>
      </c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 t="shared" si="52"/>
        <v/>
      </c>
      <c r="GC21" s="40" t="str">
        <f t="shared" si="53"/>
        <v/>
      </c>
      <c r="GD21" s="40" t="str">
        <f t="shared" si="54"/>
        <v/>
      </c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 t="shared" si="60"/>
        <v/>
      </c>
      <c r="HE21" s="11" t="str">
        <f t="shared" si="61"/>
        <v/>
      </c>
      <c r="HF21" s="11" t="str">
        <f t="shared" si="62"/>
        <v/>
      </c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 t="shared" si="68"/>
        <v/>
      </c>
      <c r="IG21" s="40" t="str">
        <f t="shared" si="69"/>
        <v/>
      </c>
      <c r="IH21" s="40" t="str">
        <f t="shared" si="70"/>
        <v/>
      </c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 t="shared" si="76"/>
        <v/>
      </c>
      <c r="JI21" s="11" t="str">
        <f t="shared" si="77"/>
        <v/>
      </c>
      <c r="JJ21" s="11" t="str">
        <f t="shared" si="78"/>
        <v/>
      </c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 t="shared" si="84"/>
        <v/>
      </c>
      <c r="KK21" s="40" t="str">
        <f t="shared" si="85"/>
        <v/>
      </c>
      <c r="KL21" s="40" t="str">
        <f t="shared" si="86"/>
        <v/>
      </c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 t="shared" si="92"/>
        <v/>
      </c>
      <c r="LM21" s="11" t="str">
        <f t="shared" si="93"/>
        <v/>
      </c>
      <c r="LN21" s="11" t="str">
        <f t="shared" si="94"/>
        <v/>
      </c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 t="shared" si="100"/>
        <v/>
      </c>
      <c r="MO21" s="40" t="str">
        <f t="shared" si="101"/>
        <v/>
      </c>
      <c r="MP21" s="40" t="str">
        <f t="shared" si="102"/>
        <v/>
      </c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 t="shared" si="108"/>
        <v/>
      </c>
      <c r="NQ21" s="11" t="str">
        <f t="shared" si="109"/>
        <v/>
      </c>
      <c r="NR21" s="11" t="str">
        <f t="shared" si="110"/>
        <v/>
      </c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 t="shared" si="116"/>
        <v/>
      </c>
      <c r="OS21" s="40" t="str">
        <f t="shared" si="117"/>
        <v/>
      </c>
      <c r="OT21" s="40" t="str">
        <f t="shared" si="118"/>
        <v/>
      </c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 t="shared" si="124"/>
        <v/>
      </c>
      <c r="PU21" s="11" t="str">
        <f t="shared" si="125"/>
        <v/>
      </c>
      <c r="PV21" s="11" t="str">
        <f t="shared" si="126"/>
        <v/>
      </c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 t="shared" si="132"/>
        <v/>
      </c>
      <c r="QW21" s="40" t="str">
        <f t="shared" si="133"/>
        <v/>
      </c>
      <c r="QX21" s="40" t="str">
        <f t="shared" si="134"/>
        <v/>
      </c>
      <c r="QY21" s="40" t="str">
        <f t="shared" si="135"/>
        <v/>
      </c>
      <c r="QZ21" s="40" t="str">
        <f t="shared" si="136"/>
        <v/>
      </c>
      <c r="RA21" s="40" t="str">
        <f t="shared" si="137"/>
        <v/>
      </c>
      <c r="RB21" s="40" t="str">
        <f t="shared" si="138"/>
        <v/>
      </c>
      <c r="RC21" s="40" t="str">
        <f t="shared" si="139"/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 t="shared" si="140"/>
        <v/>
      </c>
      <c r="RY21" s="11" t="str">
        <f t="shared" si="141"/>
        <v/>
      </c>
      <c r="RZ21" s="11" t="str">
        <f t="shared" si="142"/>
        <v/>
      </c>
      <c r="SA21" s="11" t="str">
        <f t="shared" si="143"/>
        <v/>
      </c>
      <c r="SB21" s="11" t="str">
        <f t="shared" si="144"/>
        <v/>
      </c>
      <c r="SC21" s="11" t="str">
        <f t="shared" si="145"/>
        <v/>
      </c>
      <c r="SD21" s="11" t="str">
        <f t="shared" si="146"/>
        <v/>
      </c>
      <c r="SE21" s="11" t="str">
        <f t="shared" si="147"/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 t="shared" si="148"/>
        <v/>
      </c>
      <c r="TA21" s="40" t="str">
        <f t="shared" si="149"/>
        <v/>
      </c>
      <c r="TB21" s="40" t="str">
        <f t="shared" si="150"/>
        <v/>
      </c>
      <c r="TC21" s="40" t="str">
        <f t="shared" si="151"/>
        <v/>
      </c>
      <c r="TD21" s="40" t="str">
        <f t="shared" si="152"/>
        <v/>
      </c>
      <c r="TE21" s="40" t="str">
        <f t="shared" si="153"/>
        <v/>
      </c>
      <c r="TF21" s="40" t="str">
        <f t="shared" si="154"/>
        <v/>
      </c>
      <c r="TG21" s="40" t="str">
        <f t="shared" si="155"/>
        <v/>
      </c>
      <c r="TH21" s="26">
        <f t="shared" si="156"/>
        <v>9.3000000000000007</v>
      </c>
      <c r="TI21" s="26">
        <f t="shared" si="157"/>
        <v>2.6</v>
      </c>
      <c r="TJ21" s="26">
        <f t="shared" si="158"/>
        <v>0</v>
      </c>
      <c r="TK21" s="26">
        <f t="shared" si="159"/>
        <v>0</v>
      </c>
      <c r="TL21" s="26">
        <f t="shared" si="160"/>
        <v>9.1</v>
      </c>
      <c r="TM21" s="26">
        <f t="shared" si="161"/>
        <v>2.6</v>
      </c>
      <c r="TN21" s="26">
        <f t="shared" si="162"/>
        <v>0</v>
      </c>
      <c r="TO21" s="26">
        <f t="shared" si="163"/>
        <v>0</v>
      </c>
      <c r="TP21" s="26">
        <f t="shared" si="164"/>
        <v>0</v>
      </c>
      <c r="TQ21" s="26">
        <f t="shared" si="165"/>
        <v>0</v>
      </c>
      <c r="TR21" s="26">
        <f t="shared" si="166"/>
        <v>0</v>
      </c>
      <c r="TS21" s="26">
        <f t="shared" si="167"/>
        <v>0</v>
      </c>
      <c r="TT21" s="26">
        <f t="shared" si="168"/>
        <v>0</v>
      </c>
      <c r="TU21" s="26">
        <f t="shared" si="169"/>
        <v>0</v>
      </c>
      <c r="TV21" s="26">
        <f t="shared" si="170"/>
        <v>0</v>
      </c>
      <c r="TW21" s="26">
        <f t="shared" si="171"/>
        <v>0</v>
      </c>
      <c r="TX21" s="26">
        <f t="shared" si="172"/>
        <v>0</v>
      </c>
      <c r="TY21" s="26">
        <f t="shared" si="173"/>
        <v>0</v>
      </c>
      <c r="TZ21" s="26">
        <f t="shared" si="174"/>
        <v>0</v>
      </c>
      <c r="UA21" s="26">
        <f t="shared" si="175"/>
        <v>0</v>
      </c>
      <c r="UB21" s="28" t="s">
        <v>53</v>
      </c>
      <c r="UC21" s="11">
        <f t="shared" si="176"/>
        <v>5.2</v>
      </c>
      <c r="UD21" s="11">
        <f t="shared" si="177"/>
        <v>23.6</v>
      </c>
      <c r="UE21" s="11" t="str">
        <f t="shared" si="178"/>
        <v/>
      </c>
      <c r="UF21" s="11">
        <f t="shared" si="179"/>
        <v>5.2</v>
      </c>
      <c r="UG21" s="11">
        <f t="shared" si="180"/>
        <v>23.6</v>
      </c>
      <c r="UH21" s="11" t="str">
        <f t="shared" si="181"/>
        <v/>
      </c>
      <c r="UI21" s="11" t="str">
        <f t="shared" si="182"/>
        <v/>
      </c>
      <c r="UJ21" s="11">
        <f t="shared" si="183"/>
        <v>23.6</v>
      </c>
    </row>
    <row r="22" spans="1:556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81</v>
      </c>
      <c r="C22" s="4" t="s">
        <v>6</v>
      </c>
      <c r="D22" s="4">
        <v>1996</v>
      </c>
      <c r="E22" s="9">
        <f t="shared" si="0"/>
        <v>94.000004545004543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IF(COUNT(AO22,BR22,CU22)&gt;0,LARGE((AO22,BR22,CU22),1),0)</f>
        <v>45.45</v>
      </c>
      <c r="K22" s="8" t="str">
        <f t="shared" si="5"/>
        <v>2024 Nationals</v>
      </c>
      <c r="L22" s="8">
        <f>IF(COUNT(AO22,BR22,CU22)&gt;1,LARGE((AO22,BR22,CU22),2),0)</f>
        <v>0</v>
      </c>
      <c r="M22" s="8" t="str">
        <f t="shared" si="6"/>
        <v/>
      </c>
      <c r="N22" s="8">
        <f t="shared" si="7"/>
        <v>48.55</v>
      </c>
      <c r="O22" s="8" t="str">
        <f t="shared" si="8"/>
        <v>2024 Nationals</v>
      </c>
      <c r="P22" s="8" t="str">
        <f t="shared" si="9"/>
        <v/>
      </c>
      <c r="Q22" s="11" t="str">
        <f t="shared" si="184"/>
        <v/>
      </c>
      <c r="R22" s="8" t="str">
        <f t="shared" si="185"/>
        <v/>
      </c>
      <c r="S22" s="19">
        <v>18.200000000000003</v>
      </c>
      <c r="T22" s="19">
        <v>5.6</v>
      </c>
      <c r="U22" s="19">
        <v>0.3</v>
      </c>
      <c r="V22" s="19">
        <v>0</v>
      </c>
      <c r="W22" s="19">
        <v>17.7</v>
      </c>
      <c r="X22" s="19">
        <v>4.2</v>
      </c>
      <c r="Y22" s="19">
        <v>0.1</v>
      </c>
      <c r="Z22" s="19">
        <v>0.15</v>
      </c>
      <c r="AA22" s="19">
        <v>18.55</v>
      </c>
      <c r="AB22" s="19">
        <v>5.6</v>
      </c>
      <c r="AC22" s="19">
        <v>0</v>
      </c>
      <c r="AD22" s="19">
        <v>0</v>
      </c>
      <c r="AE22" s="19">
        <v>18.600000000000001</v>
      </c>
      <c r="AF22" s="19">
        <v>5.6</v>
      </c>
      <c r="AG22" s="19">
        <v>0</v>
      </c>
      <c r="AH22" s="19">
        <v>0</v>
      </c>
      <c r="AI22" s="19">
        <v>18.549999999999997</v>
      </c>
      <c r="AJ22" s="19">
        <v>6</v>
      </c>
      <c r="AK22" s="19">
        <v>0.2</v>
      </c>
      <c r="AL22" s="19">
        <v>0</v>
      </c>
      <c r="AM22" s="27" t="s">
        <v>53</v>
      </c>
      <c r="AN22" s="40">
        <f t="shared" si="10"/>
        <v>9.8000000000000007</v>
      </c>
      <c r="AO22" s="40">
        <f t="shared" si="11"/>
        <v>45.45</v>
      </c>
      <c r="AP22" s="40">
        <f t="shared" si="12"/>
        <v>24.15</v>
      </c>
      <c r="AQ22" s="40">
        <f t="shared" si="13"/>
        <v>15.4</v>
      </c>
      <c r="AR22" s="40">
        <f t="shared" si="14"/>
        <v>69.599999999999994</v>
      </c>
      <c r="AS22" s="40">
        <f t="shared" si="15"/>
        <v>11.6</v>
      </c>
      <c r="AT22" s="40">
        <f t="shared" si="16"/>
        <v>48.55</v>
      </c>
      <c r="AU22" s="40">
        <f t="shared" si="17"/>
        <v>118.14999999999999</v>
      </c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 t="str">
        <f t="shared" si="18"/>
        <v/>
      </c>
      <c r="BR22" s="11" t="str">
        <f t="shared" si="19"/>
        <v/>
      </c>
      <c r="BS22" s="11" t="str">
        <f t="shared" si="20"/>
        <v/>
      </c>
      <c r="BT22" s="11" t="str">
        <f t="shared" si="21"/>
        <v/>
      </c>
      <c r="BU22" s="11" t="str">
        <f t="shared" si="22"/>
        <v/>
      </c>
      <c r="BV22" s="11" t="str">
        <f t="shared" si="23"/>
        <v/>
      </c>
      <c r="BW22" s="11" t="str">
        <f t="shared" si="24"/>
        <v/>
      </c>
      <c r="BX22" s="11" t="str">
        <f t="shared" si="25"/>
        <v/>
      </c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 t="str">
        <f t="shared" si="26"/>
        <v/>
      </c>
      <c r="CU22" s="40" t="str">
        <f t="shared" si="27"/>
        <v/>
      </c>
      <c r="CV22" s="40" t="str">
        <f t="shared" si="28"/>
        <v/>
      </c>
      <c r="CW22" s="40" t="str">
        <f t="shared" si="29"/>
        <v/>
      </c>
      <c r="CX22" s="40" t="str">
        <f t="shared" si="30"/>
        <v/>
      </c>
      <c r="CY22" s="40" t="str">
        <f t="shared" si="31"/>
        <v/>
      </c>
      <c r="CZ22" s="40" t="str">
        <f t="shared" si="32"/>
        <v/>
      </c>
      <c r="DA22" s="40" t="str">
        <f t="shared" si="33"/>
        <v/>
      </c>
      <c r="DB22" s="51" t="str">
        <f t="shared" si="34"/>
        <v/>
      </c>
      <c r="DC22" s="51" t="str">
        <f t="shared" si="35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 t="shared" si="36"/>
        <v/>
      </c>
      <c r="DY22" s="40" t="str">
        <f t="shared" si="37"/>
        <v/>
      </c>
      <c r="DZ22" s="40" t="str">
        <f t="shared" si="38"/>
        <v/>
      </c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 t="shared" si="44"/>
        <v/>
      </c>
      <c r="FA22" s="11" t="str">
        <f t="shared" si="45"/>
        <v/>
      </c>
      <c r="FB22" s="11" t="str">
        <f t="shared" si="46"/>
        <v/>
      </c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 t="shared" si="52"/>
        <v/>
      </c>
      <c r="GC22" s="40" t="str">
        <f t="shared" si="53"/>
        <v/>
      </c>
      <c r="GD22" s="40" t="str">
        <f t="shared" si="54"/>
        <v/>
      </c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 t="shared" si="60"/>
        <v/>
      </c>
      <c r="HE22" s="11" t="str">
        <f t="shared" si="61"/>
        <v/>
      </c>
      <c r="HF22" s="11" t="str">
        <f t="shared" si="62"/>
        <v/>
      </c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 t="shared" si="68"/>
        <v/>
      </c>
      <c r="IG22" s="40" t="str">
        <f t="shared" si="69"/>
        <v/>
      </c>
      <c r="IH22" s="40" t="str">
        <f t="shared" si="70"/>
        <v/>
      </c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 t="shared" si="76"/>
        <v/>
      </c>
      <c r="JI22" s="11" t="str">
        <f t="shared" si="77"/>
        <v/>
      </c>
      <c r="JJ22" s="11" t="str">
        <f t="shared" si="78"/>
        <v/>
      </c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 t="shared" si="84"/>
        <v/>
      </c>
      <c r="KK22" s="40" t="str">
        <f t="shared" si="85"/>
        <v/>
      </c>
      <c r="KL22" s="40" t="str">
        <f t="shared" si="86"/>
        <v/>
      </c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 t="shared" si="92"/>
        <v/>
      </c>
      <c r="LM22" s="11" t="str">
        <f t="shared" si="93"/>
        <v/>
      </c>
      <c r="LN22" s="11" t="str">
        <f t="shared" si="94"/>
        <v/>
      </c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 t="shared" si="100"/>
        <v/>
      </c>
      <c r="MO22" s="40" t="str">
        <f t="shared" si="101"/>
        <v/>
      </c>
      <c r="MP22" s="40" t="str">
        <f t="shared" si="102"/>
        <v/>
      </c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 t="shared" si="108"/>
        <v/>
      </c>
      <c r="NQ22" s="11" t="str">
        <f t="shared" si="109"/>
        <v/>
      </c>
      <c r="NR22" s="11" t="str">
        <f t="shared" si="110"/>
        <v/>
      </c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 t="shared" si="116"/>
        <v/>
      </c>
      <c r="OS22" s="40" t="str">
        <f t="shared" si="117"/>
        <v/>
      </c>
      <c r="OT22" s="40" t="str">
        <f t="shared" si="118"/>
        <v/>
      </c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 t="shared" si="124"/>
        <v/>
      </c>
      <c r="PU22" s="11" t="str">
        <f t="shared" si="125"/>
        <v/>
      </c>
      <c r="PV22" s="11" t="str">
        <f t="shared" si="126"/>
        <v/>
      </c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 t="shared" si="132"/>
        <v/>
      </c>
      <c r="QW22" s="40" t="str">
        <f t="shared" si="133"/>
        <v/>
      </c>
      <c r="QX22" s="40" t="str">
        <f t="shared" si="134"/>
        <v/>
      </c>
      <c r="QY22" s="40" t="str">
        <f t="shared" si="135"/>
        <v/>
      </c>
      <c r="QZ22" s="40" t="str">
        <f t="shared" si="136"/>
        <v/>
      </c>
      <c r="RA22" s="40" t="str">
        <f t="shared" si="137"/>
        <v/>
      </c>
      <c r="RB22" s="40" t="str">
        <f t="shared" si="138"/>
        <v/>
      </c>
      <c r="RC22" s="40" t="str">
        <f t="shared" si="139"/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 t="shared" si="140"/>
        <v/>
      </c>
      <c r="RY22" s="11" t="str">
        <f t="shared" si="141"/>
        <v/>
      </c>
      <c r="RZ22" s="11" t="str">
        <f t="shared" si="142"/>
        <v/>
      </c>
      <c r="SA22" s="11" t="str">
        <f t="shared" si="143"/>
        <v/>
      </c>
      <c r="SB22" s="11" t="str">
        <f t="shared" si="144"/>
        <v/>
      </c>
      <c r="SC22" s="11" t="str">
        <f t="shared" si="145"/>
        <v/>
      </c>
      <c r="SD22" s="11" t="str">
        <f t="shared" si="146"/>
        <v/>
      </c>
      <c r="SE22" s="11" t="str">
        <f t="shared" si="147"/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 t="shared" si="148"/>
        <v/>
      </c>
      <c r="TA22" s="40" t="str">
        <f t="shared" si="149"/>
        <v/>
      </c>
      <c r="TB22" s="40" t="str">
        <f t="shared" si="150"/>
        <v/>
      </c>
      <c r="TC22" s="40" t="str">
        <f t="shared" si="151"/>
        <v/>
      </c>
      <c r="TD22" s="40" t="str">
        <f t="shared" si="152"/>
        <v/>
      </c>
      <c r="TE22" s="40" t="str">
        <f t="shared" si="153"/>
        <v/>
      </c>
      <c r="TF22" s="40" t="str">
        <f t="shared" si="154"/>
        <v/>
      </c>
      <c r="TG22" s="40" t="str">
        <f t="shared" si="155"/>
        <v/>
      </c>
      <c r="TH22" s="26">
        <f t="shared" si="156"/>
        <v>0</v>
      </c>
      <c r="TI22" s="26">
        <f t="shared" si="157"/>
        <v>0</v>
      </c>
      <c r="TJ22" s="26">
        <f t="shared" si="158"/>
        <v>0</v>
      </c>
      <c r="TK22" s="26">
        <f t="shared" si="159"/>
        <v>0</v>
      </c>
      <c r="TL22" s="26">
        <f t="shared" si="160"/>
        <v>0</v>
      </c>
      <c r="TM22" s="26">
        <f t="shared" si="161"/>
        <v>0</v>
      </c>
      <c r="TN22" s="26">
        <f t="shared" si="162"/>
        <v>0</v>
      </c>
      <c r="TO22" s="26">
        <f t="shared" si="163"/>
        <v>0</v>
      </c>
      <c r="TP22" s="26">
        <f t="shared" si="164"/>
        <v>0</v>
      </c>
      <c r="TQ22" s="26">
        <f t="shared" si="165"/>
        <v>0</v>
      </c>
      <c r="TR22" s="26">
        <f t="shared" si="166"/>
        <v>0</v>
      </c>
      <c r="TS22" s="26">
        <f t="shared" si="167"/>
        <v>0</v>
      </c>
      <c r="TT22" s="26">
        <f t="shared" si="168"/>
        <v>0</v>
      </c>
      <c r="TU22" s="26">
        <f t="shared" si="169"/>
        <v>0</v>
      </c>
      <c r="TV22" s="26">
        <f t="shared" si="170"/>
        <v>0</v>
      </c>
      <c r="TW22" s="26">
        <f t="shared" si="171"/>
        <v>0</v>
      </c>
      <c r="TX22" s="26">
        <f t="shared" si="172"/>
        <v>0</v>
      </c>
      <c r="TY22" s="26">
        <f t="shared" si="173"/>
        <v>0</v>
      </c>
      <c r="TZ22" s="26">
        <f t="shared" si="174"/>
        <v>0</v>
      </c>
      <c r="UA22" s="26">
        <f t="shared" si="175"/>
        <v>0</v>
      </c>
      <c r="UB22" s="28" t="s">
        <v>53</v>
      </c>
      <c r="UC22" s="11" t="str">
        <f t="shared" si="176"/>
        <v/>
      </c>
      <c r="UD22" s="11" t="str">
        <f t="shared" si="177"/>
        <v/>
      </c>
      <c r="UE22" s="11" t="str">
        <f t="shared" si="178"/>
        <v/>
      </c>
      <c r="UF22" s="11" t="str">
        <f t="shared" si="179"/>
        <v/>
      </c>
      <c r="UG22" s="11" t="str">
        <f t="shared" si="180"/>
        <v/>
      </c>
      <c r="UH22" s="11" t="str">
        <f t="shared" si="181"/>
        <v/>
      </c>
      <c r="UI22" s="11" t="str">
        <f t="shared" si="182"/>
        <v/>
      </c>
      <c r="UJ22" s="11" t="str">
        <f t="shared" si="183"/>
        <v/>
      </c>
    </row>
    <row r="23" spans="1:556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160</v>
      </c>
      <c r="C23" s="4" t="s">
        <v>6</v>
      </c>
      <c r="D23" s="4">
        <v>2001</v>
      </c>
      <c r="E23" s="9">
        <f t="shared" si="0"/>
        <v>85.200004320004311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IF(COUNT(AO23,BR23,CU23)&gt;0,LARGE((AO23,BR23,CU23),1),0)</f>
        <v>43.199999999999996</v>
      </c>
      <c r="K23" s="8" t="str">
        <f t="shared" si="5"/>
        <v>2024 Nationals</v>
      </c>
      <c r="L23" s="8">
        <f>IF(COUNT(AO23,BR23,CU23)&gt;1,LARGE((AO23,BR23,CU23),2),0)</f>
        <v>0</v>
      </c>
      <c r="M23" s="8" t="str">
        <f t="shared" si="6"/>
        <v/>
      </c>
      <c r="N23" s="8">
        <f t="shared" si="7"/>
        <v>42</v>
      </c>
      <c r="O23" s="8" t="str">
        <f t="shared" si="8"/>
        <v>2024 Nationals</v>
      </c>
      <c r="P23" s="8" t="str">
        <f t="shared" si="9"/>
        <v/>
      </c>
      <c r="Q23" s="11" t="str">
        <f t="shared" si="184"/>
        <v/>
      </c>
      <c r="R23" s="8" t="str">
        <f t="shared" si="185"/>
        <v/>
      </c>
      <c r="S23" s="19">
        <v>19</v>
      </c>
      <c r="T23" s="19">
        <v>3.5</v>
      </c>
      <c r="U23" s="19">
        <v>0.9</v>
      </c>
      <c r="V23" s="19">
        <v>0</v>
      </c>
      <c r="W23" s="19">
        <v>18.8</v>
      </c>
      <c r="X23" s="19">
        <v>3.9</v>
      </c>
      <c r="Y23" s="19">
        <v>1.1000000000000001</v>
      </c>
      <c r="Z23" s="19">
        <v>0</v>
      </c>
      <c r="AA23" s="19">
        <v>17.8</v>
      </c>
      <c r="AB23" s="19">
        <v>3</v>
      </c>
      <c r="AC23" s="19">
        <v>2</v>
      </c>
      <c r="AD23" s="19">
        <v>0</v>
      </c>
      <c r="AE23" s="19">
        <v>17.5</v>
      </c>
      <c r="AF23" s="19">
        <v>3.5</v>
      </c>
      <c r="AG23" s="19">
        <v>0.9</v>
      </c>
      <c r="AH23" s="19">
        <v>0</v>
      </c>
      <c r="AI23" s="19">
        <v>18.7</v>
      </c>
      <c r="AJ23" s="19">
        <v>3.9</v>
      </c>
      <c r="AK23" s="19">
        <v>0.7</v>
      </c>
      <c r="AL23" s="19">
        <v>0</v>
      </c>
      <c r="AM23" s="27"/>
      <c r="AN23" s="40">
        <f t="shared" si="10"/>
        <v>7.4</v>
      </c>
      <c r="AO23" s="40">
        <f t="shared" si="11"/>
        <v>43.199999999999996</v>
      </c>
      <c r="AP23" s="40">
        <f t="shared" si="12"/>
        <v>18.8</v>
      </c>
      <c r="AQ23" s="40">
        <f t="shared" si="13"/>
        <v>10.4</v>
      </c>
      <c r="AR23" s="40">
        <f t="shared" si="14"/>
        <v>62</v>
      </c>
      <c r="AS23" s="40">
        <f t="shared" si="15"/>
        <v>7.4</v>
      </c>
      <c r="AT23" s="40">
        <f t="shared" si="16"/>
        <v>42</v>
      </c>
      <c r="AU23" s="40">
        <f t="shared" si="17"/>
        <v>104</v>
      </c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 t="str">
        <f t="shared" si="18"/>
        <v/>
      </c>
      <c r="BR23" s="11" t="str">
        <f t="shared" si="19"/>
        <v/>
      </c>
      <c r="BS23" s="11" t="str">
        <f t="shared" si="20"/>
        <v/>
      </c>
      <c r="BT23" s="11" t="str">
        <f t="shared" si="21"/>
        <v/>
      </c>
      <c r="BU23" s="11" t="str">
        <f t="shared" si="22"/>
        <v/>
      </c>
      <c r="BV23" s="11" t="str">
        <f t="shared" si="23"/>
        <v/>
      </c>
      <c r="BW23" s="11" t="str">
        <f t="shared" si="24"/>
        <v/>
      </c>
      <c r="BX23" s="11" t="str">
        <f t="shared" si="25"/>
        <v/>
      </c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 t="str">
        <f t="shared" si="26"/>
        <v/>
      </c>
      <c r="CU23" s="40" t="str">
        <f t="shared" si="27"/>
        <v/>
      </c>
      <c r="CV23" s="40" t="str">
        <f t="shared" si="28"/>
        <v/>
      </c>
      <c r="CW23" s="40" t="str">
        <f t="shared" si="29"/>
        <v/>
      </c>
      <c r="CX23" s="40" t="str">
        <f t="shared" si="30"/>
        <v/>
      </c>
      <c r="CY23" s="40" t="str">
        <f t="shared" si="31"/>
        <v/>
      </c>
      <c r="CZ23" s="40" t="str">
        <f t="shared" si="32"/>
        <v/>
      </c>
      <c r="DA23" s="40" t="str">
        <f t="shared" si="33"/>
        <v/>
      </c>
      <c r="DB23" s="51" t="str">
        <f t="shared" si="34"/>
        <v/>
      </c>
      <c r="DC23" s="51" t="str">
        <f t="shared" si="35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 t="shared" si="36"/>
        <v/>
      </c>
      <c r="DY23" s="40" t="str">
        <f t="shared" si="37"/>
        <v/>
      </c>
      <c r="DZ23" s="40" t="str">
        <f t="shared" si="38"/>
        <v/>
      </c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 t="shared" si="44"/>
        <v/>
      </c>
      <c r="FA23" s="11" t="str">
        <f t="shared" si="45"/>
        <v/>
      </c>
      <c r="FB23" s="11" t="str">
        <f t="shared" si="46"/>
        <v/>
      </c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 t="shared" si="52"/>
        <v/>
      </c>
      <c r="GC23" s="40" t="str">
        <f t="shared" si="53"/>
        <v/>
      </c>
      <c r="GD23" s="40" t="str">
        <f t="shared" si="54"/>
        <v/>
      </c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 t="shared" si="60"/>
        <v/>
      </c>
      <c r="HE23" s="11" t="str">
        <f t="shared" si="61"/>
        <v/>
      </c>
      <c r="HF23" s="11" t="str">
        <f t="shared" si="62"/>
        <v/>
      </c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 t="shared" si="68"/>
        <v/>
      </c>
      <c r="IG23" s="40" t="str">
        <f t="shared" si="69"/>
        <v/>
      </c>
      <c r="IH23" s="40" t="str">
        <f t="shared" si="70"/>
        <v/>
      </c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 t="shared" si="76"/>
        <v/>
      </c>
      <c r="JI23" s="11" t="str">
        <f t="shared" si="77"/>
        <v/>
      </c>
      <c r="JJ23" s="11" t="str">
        <f t="shared" si="78"/>
        <v/>
      </c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 t="shared" si="84"/>
        <v/>
      </c>
      <c r="KK23" s="40" t="str">
        <f t="shared" si="85"/>
        <v/>
      </c>
      <c r="KL23" s="40" t="str">
        <f t="shared" si="86"/>
        <v/>
      </c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 t="shared" si="92"/>
        <v/>
      </c>
      <c r="LM23" s="11" t="str">
        <f t="shared" si="93"/>
        <v/>
      </c>
      <c r="LN23" s="11" t="str">
        <f t="shared" si="94"/>
        <v/>
      </c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 t="shared" si="100"/>
        <v/>
      </c>
      <c r="MO23" s="40" t="str">
        <f t="shared" si="101"/>
        <v/>
      </c>
      <c r="MP23" s="40" t="str">
        <f t="shared" si="102"/>
        <v/>
      </c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 t="shared" si="108"/>
        <v/>
      </c>
      <c r="NQ23" s="11" t="str">
        <f t="shared" si="109"/>
        <v/>
      </c>
      <c r="NR23" s="11" t="str">
        <f t="shared" si="110"/>
        <v/>
      </c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 t="shared" si="116"/>
        <v/>
      </c>
      <c r="OS23" s="40" t="str">
        <f t="shared" si="117"/>
        <v/>
      </c>
      <c r="OT23" s="40" t="str">
        <f t="shared" si="118"/>
        <v/>
      </c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 t="shared" si="124"/>
        <v/>
      </c>
      <c r="PU23" s="11" t="str">
        <f t="shared" si="125"/>
        <v/>
      </c>
      <c r="PV23" s="11" t="str">
        <f t="shared" si="126"/>
        <v/>
      </c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 t="shared" si="132"/>
        <v/>
      </c>
      <c r="QW23" s="40" t="str">
        <f t="shared" si="133"/>
        <v/>
      </c>
      <c r="QX23" s="40" t="str">
        <f t="shared" si="134"/>
        <v/>
      </c>
      <c r="QY23" s="40" t="str">
        <f t="shared" si="135"/>
        <v/>
      </c>
      <c r="QZ23" s="40" t="str">
        <f t="shared" si="136"/>
        <v/>
      </c>
      <c r="RA23" s="40" t="str">
        <f t="shared" si="137"/>
        <v/>
      </c>
      <c r="RB23" s="40" t="str">
        <f t="shared" si="138"/>
        <v/>
      </c>
      <c r="RC23" s="40" t="str">
        <f t="shared" si="139"/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 t="shared" si="140"/>
        <v/>
      </c>
      <c r="RY23" s="11" t="str">
        <f t="shared" si="141"/>
        <v/>
      </c>
      <c r="RZ23" s="11" t="str">
        <f t="shared" si="142"/>
        <v/>
      </c>
      <c r="SA23" s="11" t="str">
        <f t="shared" si="143"/>
        <v/>
      </c>
      <c r="SB23" s="11" t="str">
        <f t="shared" si="144"/>
        <v/>
      </c>
      <c r="SC23" s="11" t="str">
        <f t="shared" si="145"/>
        <v/>
      </c>
      <c r="SD23" s="11" t="str">
        <f t="shared" si="146"/>
        <v/>
      </c>
      <c r="SE23" s="11" t="str">
        <f t="shared" si="147"/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 t="shared" si="148"/>
        <v/>
      </c>
      <c r="TA23" s="40" t="str">
        <f t="shared" si="149"/>
        <v/>
      </c>
      <c r="TB23" s="40" t="str">
        <f t="shared" si="150"/>
        <v/>
      </c>
      <c r="TC23" s="40" t="str">
        <f t="shared" si="151"/>
        <v/>
      </c>
      <c r="TD23" s="40" t="str">
        <f t="shared" si="152"/>
        <v/>
      </c>
      <c r="TE23" s="40" t="str">
        <f t="shared" si="153"/>
        <v/>
      </c>
      <c r="TF23" s="40" t="str">
        <f t="shared" si="154"/>
        <v/>
      </c>
      <c r="TG23" s="40" t="str">
        <f t="shared" si="155"/>
        <v/>
      </c>
      <c r="TH23" s="26">
        <f t="shared" si="156"/>
        <v>0</v>
      </c>
      <c r="TI23" s="26">
        <f t="shared" si="157"/>
        <v>0</v>
      </c>
      <c r="TJ23" s="26">
        <f t="shared" si="158"/>
        <v>0</v>
      </c>
      <c r="TK23" s="26">
        <f t="shared" si="159"/>
        <v>0</v>
      </c>
      <c r="TL23" s="26">
        <f t="shared" si="160"/>
        <v>0</v>
      </c>
      <c r="TM23" s="26">
        <f t="shared" si="161"/>
        <v>0</v>
      </c>
      <c r="TN23" s="26">
        <f t="shared" si="162"/>
        <v>0</v>
      </c>
      <c r="TO23" s="26">
        <f t="shared" si="163"/>
        <v>0</v>
      </c>
      <c r="TP23" s="26">
        <f t="shared" si="164"/>
        <v>0</v>
      </c>
      <c r="TQ23" s="26">
        <f t="shared" si="165"/>
        <v>0</v>
      </c>
      <c r="TR23" s="26">
        <f t="shared" si="166"/>
        <v>0</v>
      </c>
      <c r="TS23" s="26">
        <f t="shared" si="167"/>
        <v>0</v>
      </c>
      <c r="TT23" s="26">
        <f t="shared" si="168"/>
        <v>0</v>
      </c>
      <c r="TU23" s="26">
        <f t="shared" si="169"/>
        <v>0</v>
      </c>
      <c r="TV23" s="26">
        <f t="shared" si="170"/>
        <v>0</v>
      </c>
      <c r="TW23" s="26">
        <f t="shared" si="171"/>
        <v>0</v>
      </c>
      <c r="TX23" s="26">
        <f t="shared" si="172"/>
        <v>0</v>
      </c>
      <c r="TY23" s="26">
        <f t="shared" si="173"/>
        <v>0</v>
      </c>
      <c r="TZ23" s="26">
        <f t="shared" si="174"/>
        <v>0</v>
      </c>
      <c r="UA23" s="26">
        <f t="shared" si="175"/>
        <v>0</v>
      </c>
      <c r="UB23" s="28" t="s">
        <v>53</v>
      </c>
      <c r="UC23" s="11" t="str">
        <f t="shared" si="176"/>
        <v/>
      </c>
      <c r="UD23" s="11" t="str">
        <f t="shared" si="177"/>
        <v/>
      </c>
      <c r="UE23" s="11" t="str">
        <f t="shared" si="178"/>
        <v/>
      </c>
      <c r="UF23" s="11" t="str">
        <f t="shared" si="179"/>
        <v/>
      </c>
      <c r="UG23" s="11" t="str">
        <f t="shared" si="180"/>
        <v/>
      </c>
      <c r="UH23" s="11" t="str">
        <f t="shared" si="181"/>
        <v/>
      </c>
      <c r="UI23" s="11" t="str">
        <f t="shared" si="182"/>
        <v/>
      </c>
      <c r="UJ23" s="11" t="str">
        <f t="shared" si="183"/>
        <v/>
      </c>
    </row>
    <row r="24" spans="1:556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226</v>
      </c>
      <c r="C24" s="4" t="s">
        <v>6</v>
      </c>
      <c r="D24" s="4">
        <v>2001</v>
      </c>
      <c r="E24" s="9">
        <f t="shared" si="0"/>
        <v>57.500005750003702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IF(COUNT(AO24,BR24,CU24)&gt;0,LARGE((AO24,BR24,CU24),1),0)</f>
        <v>37</v>
      </c>
      <c r="K24" s="8" t="str">
        <f t="shared" si="5"/>
        <v>2024 Nationals</v>
      </c>
      <c r="L24" s="8">
        <f>IF(COUNT(AO24,BR24,CU24)&gt;1,LARGE((AO24,BR24,CU24),2),0)</f>
        <v>20.5</v>
      </c>
      <c r="M24" s="8" t="str">
        <f t="shared" si="6"/>
        <v>2025 Elite Canada</v>
      </c>
      <c r="N24" s="8">
        <f t="shared" si="7"/>
        <v>0</v>
      </c>
      <c r="O24" s="8" t="str">
        <f t="shared" si="8"/>
        <v/>
      </c>
      <c r="P24" s="8" t="str">
        <f t="shared" si="9"/>
        <v/>
      </c>
      <c r="Q24" s="11" t="str">
        <f t="shared" si="184"/>
        <v/>
      </c>
      <c r="R24" s="8" t="str">
        <f t="shared" si="185"/>
        <v/>
      </c>
      <c r="S24" s="19">
        <v>17.399999999999999</v>
      </c>
      <c r="T24" s="19">
        <v>2.4</v>
      </c>
      <c r="U24" s="19">
        <v>0</v>
      </c>
      <c r="V24" s="19">
        <v>0</v>
      </c>
      <c r="W24" s="19">
        <v>17.2</v>
      </c>
      <c r="X24" s="19">
        <v>0</v>
      </c>
      <c r="Y24" s="19">
        <v>0</v>
      </c>
      <c r="Z24" s="19">
        <v>0</v>
      </c>
      <c r="AA24" s="19">
        <v>16.399999999999999</v>
      </c>
      <c r="AB24" s="19">
        <v>4.8</v>
      </c>
      <c r="AC24" s="19">
        <v>0.8</v>
      </c>
      <c r="AD24" s="19">
        <v>0</v>
      </c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 t="shared" si="10"/>
        <v>2.4</v>
      </c>
      <c r="AO24" s="40">
        <f t="shared" si="11"/>
        <v>37</v>
      </c>
      <c r="AP24" s="40">
        <f t="shared" si="12"/>
        <v>20.399999999999999</v>
      </c>
      <c r="AQ24" s="40">
        <f t="shared" si="13"/>
        <v>7.1999999999999993</v>
      </c>
      <c r="AR24" s="40">
        <f t="shared" si="14"/>
        <v>57.4</v>
      </c>
      <c r="AS24" s="40" t="str">
        <f t="shared" si="15"/>
        <v/>
      </c>
      <c r="AT24" s="40" t="str">
        <f t="shared" si="16"/>
        <v/>
      </c>
      <c r="AU24" s="40">
        <f t="shared" si="17"/>
        <v>57.4</v>
      </c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 t="str">
        <f t="shared" si="18"/>
        <v/>
      </c>
      <c r="BR24" s="11" t="str">
        <f t="shared" si="19"/>
        <v/>
      </c>
      <c r="BS24" s="11" t="str">
        <f t="shared" si="20"/>
        <v/>
      </c>
      <c r="BT24" s="11" t="str">
        <f t="shared" si="21"/>
        <v/>
      </c>
      <c r="BU24" s="11" t="str">
        <f t="shared" si="22"/>
        <v/>
      </c>
      <c r="BV24" s="11" t="str">
        <f t="shared" si="23"/>
        <v/>
      </c>
      <c r="BW24" s="11" t="str">
        <f t="shared" si="24"/>
        <v/>
      </c>
      <c r="BX24" s="11" t="str">
        <f t="shared" si="25"/>
        <v/>
      </c>
      <c r="BY24" s="19">
        <v>18.399999999999999</v>
      </c>
      <c r="BZ24" s="19">
        <v>3.1</v>
      </c>
      <c r="CA24" s="19">
        <v>1</v>
      </c>
      <c r="CB24" s="19">
        <v>0</v>
      </c>
      <c r="CC24" s="19">
        <v>0</v>
      </c>
      <c r="CD24" s="19">
        <v>0</v>
      </c>
      <c r="CE24" s="19">
        <v>0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 t="shared" si="26"/>
        <v>3.1</v>
      </c>
      <c r="CU24" s="40">
        <f t="shared" si="27"/>
        <v>20.5</v>
      </c>
      <c r="CV24" s="40" t="str">
        <f t="shared" si="28"/>
        <v/>
      </c>
      <c r="CW24" s="40">
        <f t="shared" si="29"/>
        <v>3.1</v>
      </c>
      <c r="CX24" s="40">
        <f t="shared" si="30"/>
        <v>20.5</v>
      </c>
      <c r="CY24" s="40" t="str">
        <f t="shared" si="31"/>
        <v/>
      </c>
      <c r="CZ24" s="40" t="str">
        <f t="shared" si="32"/>
        <v/>
      </c>
      <c r="DA24" s="40">
        <f t="shared" si="33"/>
        <v>20.5</v>
      </c>
      <c r="DB24" s="51" t="str">
        <f t="shared" si="34"/>
        <v/>
      </c>
      <c r="DC24" s="51" t="str">
        <f t="shared" si="35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 t="shared" si="36"/>
        <v/>
      </c>
      <c r="DY24" s="40" t="str">
        <f t="shared" si="37"/>
        <v/>
      </c>
      <c r="DZ24" s="40" t="str">
        <f t="shared" si="38"/>
        <v/>
      </c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 t="shared" si="44"/>
        <v/>
      </c>
      <c r="FA24" s="11" t="str">
        <f t="shared" si="45"/>
        <v/>
      </c>
      <c r="FB24" s="11" t="str">
        <f t="shared" si="46"/>
        <v/>
      </c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 t="shared" si="52"/>
        <v/>
      </c>
      <c r="GC24" s="40" t="str">
        <f t="shared" si="53"/>
        <v/>
      </c>
      <c r="GD24" s="40" t="str">
        <f t="shared" si="54"/>
        <v/>
      </c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 t="shared" si="60"/>
        <v/>
      </c>
      <c r="HE24" s="11" t="str">
        <f t="shared" si="61"/>
        <v/>
      </c>
      <c r="HF24" s="11" t="str">
        <f t="shared" si="62"/>
        <v/>
      </c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 t="shared" si="68"/>
        <v/>
      </c>
      <c r="IG24" s="40" t="str">
        <f t="shared" si="69"/>
        <v/>
      </c>
      <c r="IH24" s="40" t="str">
        <f t="shared" si="70"/>
        <v/>
      </c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 t="shared" si="76"/>
        <v/>
      </c>
      <c r="JI24" s="11" t="str">
        <f t="shared" si="77"/>
        <v/>
      </c>
      <c r="JJ24" s="11" t="str">
        <f t="shared" si="78"/>
        <v/>
      </c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 t="shared" si="84"/>
        <v/>
      </c>
      <c r="KK24" s="40" t="str">
        <f t="shared" si="85"/>
        <v/>
      </c>
      <c r="KL24" s="40" t="str">
        <f t="shared" si="86"/>
        <v/>
      </c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 t="shared" si="92"/>
        <v/>
      </c>
      <c r="LM24" s="11" t="str">
        <f t="shared" si="93"/>
        <v/>
      </c>
      <c r="LN24" s="11" t="str">
        <f t="shared" si="94"/>
        <v/>
      </c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 t="shared" si="100"/>
        <v/>
      </c>
      <c r="MO24" s="40" t="str">
        <f t="shared" si="101"/>
        <v/>
      </c>
      <c r="MP24" s="40" t="str">
        <f t="shared" si="102"/>
        <v/>
      </c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 t="shared" si="108"/>
        <v/>
      </c>
      <c r="NQ24" s="11" t="str">
        <f t="shared" si="109"/>
        <v/>
      </c>
      <c r="NR24" s="11" t="str">
        <f t="shared" si="110"/>
        <v/>
      </c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 t="shared" si="116"/>
        <v/>
      </c>
      <c r="OS24" s="40" t="str">
        <f t="shared" si="117"/>
        <v/>
      </c>
      <c r="OT24" s="40" t="str">
        <f t="shared" si="118"/>
        <v/>
      </c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 t="shared" si="124"/>
        <v/>
      </c>
      <c r="PU24" s="11" t="str">
        <f t="shared" si="125"/>
        <v/>
      </c>
      <c r="PV24" s="11" t="str">
        <f t="shared" si="126"/>
        <v/>
      </c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 t="shared" si="132"/>
        <v/>
      </c>
      <c r="QW24" s="40" t="str">
        <f t="shared" si="133"/>
        <v/>
      </c>
      <c r="QX24" s="40" t="str">
        <f t="shared" si="134"/>
        <v/>
      </c>
      <c r="QY24" s="40" t="str">
        <f t="shared" si="135"/>
        <v/>
      </c>
      <c r="QZ24" s="40" t="str">
        <f t="shared" si="136"/>
        <v/>
      </c>
      <c r="RA24" s="40" t="str">
        <f t="shared" si="137"/>
        <v/>
      </c>
      <c r="RB24" s="40" t="str">
        <f t="shared" si="138"/>
        <v/>
      </c>
      <c r="RC24" s="40" t="str">
        <f t="shared" si="139"/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 t="shared" si="140"/>
        <v/>
      </c>
      <c r="RY24" s="11" t="str">
        <f t="shared" si="141"/>
        <v/>
      </c>
      <c r="RZ24" s="11" t="str">
        <f t="shared" si="142"/>
        <v/>
      </c>
      <c r="SA24" s="11" t="str">
        <f t="shared" si="143"/>
        <v/>
      </c>
      <c r="SB24" s="11" t="str">
        <f t="shared" si="144"/>
        <v/>
      </c>
      <c r="SC24" s="11" t="str">
        <f t="shared" si="145"/>
        <v/>
      </c>
      <c r="SD24" s="11" t="str">
        <f t="shared" si="146"/>
        <v/>
      </c>
      <c r="SE24" s="11" t="str">
        <f t="shared" si="147"/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 t="shared" si="148"/>
        <v/>
      </c>
      <c r="TA24" s="40" t="str">
        <f t="shared" si="149"/>
        <v/>
      </c>
      <c r="TB24" s="40" t="str">
        <f t="shared" si="150"/>
        <v/>
      </c>
      <c r="TC24" s="40" t="str">
        <f t="shared" si="151"/>
        <v/>
      </c>
      <c r="TD24" s="40" t="str">
        <f t="shared" si="152"/>
        <v/>
      </c>
      <c r="TE24" s="40" t="str">
        <f t="shared" si="153"/>
        <v/>
      </c>
      <c r="TF24" s="40" t="str">
        <f t="shared" si="154"/>
        <v/>
      </c>
      <c r="TG24" s="40" t="str">
        <f t="shared" si="155"/>
        <v/>
      </c>
      <c r="TH24" s="26">
        <f t="shared" si="156"/>
        <v>9.1999999999999993</v>
      </c>
      <c r="TI24" s="26">
        <f t="shared" si="157"/>
        <v>1.55</v>
      </c>
      <c r="TJ24" s="26">
        <f t="shared" si="158"/>
        <v>0.5</v>
      </c>
      <c r="TK24" s="26">
        <f t="shared" si="159"/>
        <v>0</v>
      </c>
      <c r="TL24" s="26">
        <f t="shared" si="160"/>
        <v>0</v>
      </c>
      <c r="TM24" s="26">
        <f t="shared" si="161"/>
        <v>0</v>
      </c>
      <c r="TN24" s="26">
        <f t="shared" si="162"/>
        <v>0</v>
      </c>
      <c r="TO24" s="26">
        <f t="shared" si="163"/>
        <v>0</v>
      </c>
      <c r="TP24" s="26">
        <f t="shared" si="164"/>
        <v>0</v>
      </c>
      <c r="TQ24" s="26">
        <f t="shared" si="165"/>
        <v>0</v>
      </c>
      <c r="TR24" s="26">
        <f t="shared" si="166"/>
        <v>0</v>
      </c>
      <c r="TS24" s="26">
        <f t="shared" si="167"/>
        <v>0</v>
      </c>
      <c r="TT24" s="26">
        <f t="shared" si="168"/>
        <v>0</v>
      </c>
      <c r="TU24" s="26">
        <f t="shared" si="169"/>
        <v>0</v>
      </c>
      <c r="TV24" s="26">
        <f t="shared" si="170"/>
        <v>0</v>
      </c>
      <c r="TW24" s="26">
        <f t="shared" si="171"/>
        <v>0</v>
      </c>
      <c r="TX24" s="26">
        <f t="shared" si="172"/>
        <v>0</v>
      </c>
      <c r="TY24" s="26">
        <f t="shared" si="173"/>
        <v>0</v>
      </c>
      <c r="TZ24" s="26">
        <f t="shared" si="174"/>
        <v>0</v>
      </c>
      <c r="UA24" s="26">
        <f t="shared" si="175"/>
        <v>0</v>
      </c>
      <c r="UB24" s="28" t="s">
        <v>53</v>
      </c>
      <c r="UC24" s="11">
        <f t="shared" si="176"/>
        <v>1.55</v>
      </c>
      <c r="UD24" s="11">
        <f t="shared" si="177"/>
        <v>10.25</v>
      </c>
      <c r="UE24" s="11" t="str">
        <f t="shared" si="178"/>
        <v/>
      </c>
      <c r="UF24" s="11">
        <f t="shared" si="179"/>
        <v>1.55</v>
      </c>
      <c r="UG24" s="11">
        <f t="shared" si="180"/>
        <v>10.25</v>
      </c>
      <c r="UH24" s="11" t="str">
        <f t="shared" si="181"/>
        <v/>
      </c>
      <c r="UI24" s="11" t="str">
        <f t="shared" si="182"/>
        <v/>
      </c>
      <c r="UJ24" s="11">
        <f t="shared" si="183"/>
        <v>10.25</v>
      </c>
    </row>
    <row r="25" spans="1:556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155</v>
      </c>
      <c r="C25" s="4" t="s">
        <v>5</v>
      </c>
      <c r="D25" s="4">
        <v>1999</v>
      </c>
      <c r="E25" s="9">
        <f t="shared" si="0"/>
        <v>49.30000493000248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IF(COUNT(AO25,BR25,CU25)&gt;0,LARGE((AO25,BR25,CU25),1),0)</f>
        <v>24.8</v>
      </c>
      <c r="K25" s="8" t="str">
        <f t="shared" si="5"/>
        <v>2024 Nationals</v>
      </c>
      <c r="L25" s="8">
        <f>IF(COUNT(AO25,BR25,CU25)&gt;1,LARGE((AO25,BR25,CU25),2),0)</f>
        <v>24.5</v>
      </c>
      <c r="M25" s="8" t="str">
        <f t="shared" si="6"/>
        <v>2025 Elite Canada</v>
      </c>
      <c r="N25" s="8">
        <f t="shared" si="7"/>
        <v>0</v>
      </c>
      <c r="O25" s="8" t="str">
        <f t="shared" si="8"/>
        <v/>
      </c>
      <c r="P25" s="8" t="str">
        <f t="shared" si="9"/>
        <v/>
      </c>
      <c r="Q25" s="11" t="str">
        <f t="shared" si="184"/>
        <v/>
      </c>
      <c r="R25" s="8" t="str">
        <f t="shared" si="185"/>
        <v/>
      </c>
      <c r="S25" s="19">
        <v>19</v>
      </c>
      <c r="T25" s="19">
        <v>6</v>
      </c>
      <c r="U25" s="19">
        <v>0.2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16.8</v>
      </c>
      <c r="AB25" s="19">
        <v>5.6</v>
      </c>
      <c r="AC25" s="19">
        <v>1</v>
      </c>
      <c r="AD25" s="19">
        <v>0.3</v>
      </c>
      <c r="AE25" s="19"/>
      <c r="AF25" s="19"/>
      <c r="AG25" s="19"/>
      <c r="AH25" s="19"/>
      <c r="AI25" s="19"/>
      <c r="AJ25" s="19"/>
      <c r="AK25" s="19"/>
      <c r="AL25" s="19"/>
      <c r="AM25" s="27"/>
      <c r="AN25" s="40">
        <f t="shared" si="10"/>
        <v>6</v>
      </c>
      <c r="AO25" s="40">
        <f t="shared" si="11"/>
        <v>24.8</v>
      </c>
      <c r="AP25" s="40">
        <f t="shared" si="12"/>
        <v>21.7</v>
      </c>
      <c r="AQ25" s="40">
        <f t="shared" si="13"/>
        <v>11.6</v>
      </c>
      <c r="AR25" s="40">
        <f t="shared" si="14"/>
        <v>46.5</v>
      </c>
      <c r="AS25" s="40" t="str">
        <f t="shared" si="15"/>
        <v/>
      </c>
      <c r="AT25" s="40" t="str">
        <f t="shared" si="16"/>
        <v/>
      </c>
      <c r="AU25" s="40">
        <f t="shared" si="17"/>
        <v>46.5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 t="shared" si="18"/>
        <v/>
      </c>
      <c r="BR25" s="11" t="str">
        <f t="shared" si="19"/>
        <v/>
      </c>
      <c r="BS25" s="11" t="str">
        <f t="shared" si="20"/>
        <v/>
      </c>
      <c r="BT25" s="11" t="str">
        <f t="shared" si="21"/>
        <v/>
      </c>
      <c r="BU25" s="11" t="str">
        <f t="shared" si="22"/>
        <v/>
      </c>
      <c r="BV25" s="11" t="str">
        <f t="shared" si="23"/>
        <v/>
      </c>
      <c r="BW25" s="11" t="str">
        <f t="shared" si="24"/>
        <v/>
      </c>
      <c r="BX25" s="11" t="str">
        <f t="shared" si="25"/>
        <v/>
      </c>
      <c r="BY25" s="19">
        <v>0</v>
      </c>
      <c r="BZ25" s="19">
        <v>0</v>
      </c>
      <c r="CA25" s="19">
        <v>0</v>
      </c>
      <c r="CB25" s="19">
        <v>0</v>
      </c>
      <c r="CC25" s="19">
        <v>18.7</v>
      </c>
      <c r="CD25" s="19">
        <v>6</v>
      </c>
      <c r="CE25" s="19">
        <v>0.2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 t="shared" si="26"/>
        <v>6</v>
      </c>
      <c r="CU25" s="40">
        <f t="shared" si="27"/>
        <v>24.5</v>
      </c>
      <c r="CV25" s="40" t="str">
        <f t="shared" si="28"/>
        <v/>
      </c>
      <c r="CW25" s="40">
        <f t="shared" si="29"/>
        <v>6</v>
      </c>
      <c r="CX25" s="40">
        <f t="shared" si="30"/>
        <v>24.5</v>
      </c>
      <c r="CY25" s="40" t="str">
        <f t="shared" si="31"/>
        <v/>
      </c>
      <c r="CZ25" s="40" t="str">
        <f t="shared" si="32"/>
        <v/>
      </c>
      <c r="DA25" s="40">
        <f t="shared" si="33"/>
        <v>24.5</v>
      </c>
      <c r="DB25" s="51" t="str">
        <f t="shared" si="34"/>
        <v/>
      </c>
      <c r="DC25" s="51" t="str">
        <f t="shared" si="35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 t="shared" si="36"/>
        <v/>
      </c>
      <c r="DY25" s="40" t="str">
        <f t="shared" si="37"/>
        <v/>
      </c>
      <c r="DZ25" s="40" t="str">
        <f t="shared" si="38"/>
        <v/>
      </c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 t="shared" si="44"/>
        <v/>
      </c>
      <c r="FA25" s="11" t="str">
        <f t="shared" si="45"/>
        <v/>
      </c>
      <c r="FB25" s="11" t="str">
        <f t="shared" si="46"/>
        <v/>
      </c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 t="shared" si="52"/>
        <v/>
      </c>
      <c r="GC25" s="40" t="str">
        <f t="shared" si="53"/>
        <v/>
      </c>
      <c r="GD25" s="40" t="str">
        <f t="shared" si="54"/>
        <v/>
      </c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 t="shared" si="60"/>
        <v/>
      </c>
      <c r="HE25" s="11" t="str">
        <f t="shared" si="61"/>
        <v/>
      </c>
      <c r="HF25" s="11" t="str">
        <f t="shared" si="62"/>
        <v/>
      </c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 t="shared" si="68"/>
        <v/>
      </c>
      <c r="IG25" s="40" t="str">
        <f t="shared" si="69"/>
        <v/>
      </c>
      <c r="IH25" s="40" t="str">
        <f t="shared" si="70"/>
        <v/>
      </c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 t="shared" si="76"/>
        <v/>
      </c>
      <c r="JI25" s="11" t="str">
        <f t="shared" si="77"/>
        <v/>
      </c>
      <c r="JJ25" s="11" t="str">
        <f t="shared" si="78"/>
        <v/>
      </c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 t="shared" si="84"/>
        <v/>
      </c>
      <c r="KK25" s="40" t="str">
        <f t="shared" si="85"/>
        <v/>
      </c>
      <c r="KL25" s="40" t="str">
        <f t="shared" si="86"/>
        <v/>
      </c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 t="shared" si="92"/>
        <v/>
      </c>
      <c r="LM25" s="11" t="str">
        <f t="shared" si="93"/>
        <v/>
      </c>
      <c r="LN25" s="11" t="str">
        <f t="shared" si="94"/>
        <v/>
      </c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 t="shared" si="100"/>
        <v/>
      </c>
      <c r="MO25" s="40" t="str">
        <f t="shared" si="101"/>
        <v/>
      </c>
      <c r="MP25" s="40" t="str">
        <f t="shared" si="102"/>
        <v/>
      </c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 t="shared" si="108"/>
        <v/>
      </c>
      <c r="NQ25" s="11" t="str">
        <f t="shared" si="109"/>
        <v/>
      </c>
      <c r="NR25" s="11" t="str">
        <f t="shared" si="110"/>
        <v/>
      </c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 t="shared" si="116"/>
        <v/>
      </c>
      <c r="OS25" s="40" t="str">
        <f t="shared" si="117"/>
        <v/>
      </c>
      <c r="OT25" s="40" t="str">
        <f t="shared" si="118"/>
        <v/>
      </c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 t="shared" si="124"/>
        <v/>
      </c>
      <c r="PU25" s="11" t="str">
        <f t="shared" si="125"/>
        <v/>
      </c>
      <c r="PV25" s="11" t="str">
        <f t="shared" si="126"/>
        <v/>
      </c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 t="shared" si="132"/>
        <v/>
      </c>
      <c r="QW25" s="40" t="str">
        <f t="shared" si="133"/>
        <v/>
      </c>
      <c r="QX25" s="40" t="str">
        <f t="shared" si="134"/>
        <v/>
      </c>
      <c r="QY25" s="40" t="str">
        <f t="shared" si="135"/>
        <v/>
      </c>
      <c r="QZ25" s="40" t="str">
        <f t="shared" si="136"/>
        <v/>
      </c>
      <c r="RA25" s="40" t="str">
        <f t="shared" si="137"/>
        <v/>
      </c>
      <c r="RB25" s="40" t="str">
        <f t="shared" si="138"/>
        <v/>
      </c>
      <c r="RC25" s="40" t="str">
        <f t="shared" si="139"/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 t="shared" si="140"/>
        <v/>
      </c>
      <c r="RY25" s="11" t="str">
        <f t="shared" si="141"/>
        <v/>
      </c>
      <c r="RZ25" s="11" t="str">
        <f t="shared" si="142"/>
        <v/>
      </c>
      <c r="SA25" s="11" t="str">
        <f t="shared" si="143"/>
        <v/>
      </c>
      <c r="SB25" s="11" t="str">
        <f t="shared" si="144"/>
        <v/>
      </c>
      <c r="SC25" s="11" t="str">
        <f t="shared" si="145"/>
        <v/>
      </c>
      <c r="SD25" s="11" t="str">
        <f t="shared" si="146"/>
        <v/>
      </c>
      <c r="SE25" s="11" t="str">
        <f t="shared" si="147"/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 t="shared" si="148"/>
        <v/>
      </c>
      <c r="TA25" s="40" t="str">
        <f t="shared" si="149"/>
        <v/>
      </c>
      <c r="TB25" s="40" t="str">
        <f t="shared" si="150"/>
        <v/>
      </c>
      <c r="TC25" s="40" t="str">
        <f t="shared" si="151"/>
        <v/>
      </c>
      <c r="TD25" s="40" t="str">
        <f t="shared" si="152"/>
        <v/>
      </c>
      <c r="TE25" s="40" t="str">
        <f t="shared" si="153"/>
        <v/>
      </c>
      <c r="TF25" s="40" t="str">
        <f t="shared" si="154"/>
        <v/>
      </c>
      <c r="TG25" s="40" t="str">
        <f t="shared" si="155"/>
        <v/>
      </c>
      <c r="TH25" s="26">
        <f t="shared" si="156"/>
        <v>0</v>
      </c>
      <c r="TI25" s="26">
        <f t="shared" si="157"/>
        <v>0</v>
      </c>
      <c r="TJ25" s="26">
        <f t="shared" si="158"/>
        <v>0</v>
      </c>
      <c r="TK25" s="26">
        <f t="shared" si="159"/>
        <v>0</v>
      </c>
      <c r="TL25" s="26">
        <f t="shared" si="160"/>
        <v>9.35</v>
      </c>
      <c r="TM25" s="26">
        <f t="shared" si="161"/>
        <v>3</v>
      </c>
      <c r="TN25" s="26">
        <f t="shared" si="162"/>
        <v>0.1</v>
      </c>
      <c r="TO25" s="26">
        <f t="shared" si="163"/>
        <v>0</v>
      </c>
      <c r="TP25" s="26">
        <f t="shared" si="164"/>
        <v>0</v>
      </c>
      <c r="TQ25" s="26">
        <f t="shared" si="165"/>
        <v>0</v>
      </c>
      <c r="TR25" s="26">
        <f t="shared" si="166"/>
        <v>0</v>
      </c>
      <c r="TS25" s="26">
        <f t="shared" si="167"/>
        <v>0</v>
      </c>
      <c r="TT25" s="26">
        <f t="shared" si="168"/>
        <v>0</v>
      </c>
      <c r="TU25" s="26">
        <f t="shared" si="169"/>
        <v>0</v>
      </c>
      <c r="TV25" s="26">
        <f t="shared" si="170"/>
        <v>0</v>
      </c>
      <c r="TW25" s="26">
        <f t="shared" si="171"/>
        <v>0</v>
      </c>
      <c r="TX25" s="26">
        <f t="shared" si="172"/>
        <v>0</v>
      </c>
      <c r="TY25" s="26">
        <f t="shared" si="173"/>
        <v>0</v>
      </c>
      <c r="TZ25" s="26">
        <f t="shared" si="174"/>
        <v>0</v>
      </c>
      <c r="UA25" s="26">
        <f t="shared" si="175"/>
        <v>0</v>
      </c>
      <c r="UB25" s="28" t="s">
        <v>53</v>
      </c>
      <c r="UC25" s="11">
        <f t="shared" si="176"/>
        <v>3</v>
      </c>
      <c r="UD25" s="11">
        <f t="shared" si="177"/>
        <v>12.25</v>
      </c>
      <c r="UE25" s="11" t="str">
        <f t="shared" si="178"/>
        <v/>
      </c>
      <c r="UF25" s="11">
        <f t="shared" si="179"/>
        <v>3</v>
      </c>
      <c r="UG25" s="11">
        <f t="shared" si="180"/>
        <v>12.25</v>
      </c>
      <c r="UH25" s="11" t="str">
        <f t="shared" si="181"/>
        <v/>
      </c>
      <c r="UI25" s="11" t="str">
        <f t="shared" si="182"/>
        <v/>
      </c>
      <c r="UJ25" s="11">
        <f t="shared" si="183"/>
        <v>12.25</v>
      </c>
    </row>
    <row r="26" spans="1:556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122</v>
      </c>
      <c r="C26" s="4" t="s">
        <v>36</v>
      </c>
      <c r="D26" s="4">
        <v>2000</v>
      </c>
      <c r="E26" s="9">
        <f t="shared" si="0"/>
        <v>43.000003077503074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IF(COUNT(AO26,BR26,CU26)&gt;0,LARGE((AO26,BR26,CU26),1),0)</f>
        <v>30.775000000000002</v>
      </c>
      <c r="K26" s="8" t="str">
        <f t="shared" si="5"/>
        <v>2024 Nationals</v>
      </c>
      <c r="L26" s="8">
        <f>IF(COUNT(AO26,BR26,CU26)&gt;1,LARGE((AO26,BR26,CU26),2),0)</f>
        <v>0</v>
      </c>
      <c r="M26" s="8" t="str">
        <f t="shared" si="6"/>
        <v/>
      </c>
      <c r="N26" s="8">
        <f t="shared" si="7"/>
        <v>12.225</v>
      </c>
      <c r="O26" s="8" t="str">
        <f t="shared" si="8"/>
        <v>2024 Nationals</v>
      </c>
      <c r="P26" s="8" t="str">
        <f t="shared" si="9"/>
        <v/>
      </c>
      <c r="Q26" s="11" t="str">
        <f t="shared" si="184"/>
        <v/>
      </c>
      <c r="R26" s="8" t="str">
        <f t="shared" si="185"/>
        <v/>
      </c>
      <c r="S26" s="19">
        <v>18.725000000000001</v>
      </c>
      <c r="T26" s="19">
        <v>6.2</v>
      </c>
      <c r="U26" s="19">
        <v>0</v>
      </c>
      <c r="V26" s="19">
        <v>0</v>
      </c>
      <c r="W26" s="19">
        <v>4.25</v>
      </c>
      <c r="X26" s="19">
        <v>1.6</v>
      </c>
      <c r="Y26" s="19">
        <v>0</v>
      </c>
      <c r="Z26" s="19">
        <v>0</v>
      </c>
      <c r="AA26" s="19">
        <v>18.75</v>
      </c>
      <c r="AB26" s="19">
        <v>5.4</v>
      </c>
      <c r="AC26" s="19">
        <v>0.15000000000000002</v>
      </c>
      <c r="AD26" s="19">
        <v>7.4999999999999997E-2</v>
      </c>
      <c r="AE26" s="19">
        <v>4.5999999999999996</v>
      </c>
      <c r="AF26" s="19">
        <v>1.5</v>
      </c>
      <c r="AG26" s="19">
        <v>0.05</v>
      </c>
      <c r="AH26" s="19">
        <v>7.4999999999999997E-2</v>
      </c>
      <c r="AI26" s="19">
        <v>4.6500000000000004</v>
      </c>
      <c r="AJ26" s="19">
        <v>1.5</v>
      </c>
      <c r="AK26" s="19">
        <v>0.05</v>
      </c>
      <c r="AL26" s="19">
        <v>0</v>
      </c>
      <c r="AM26" s="27" t="s">
        <v>53</v>
      </c>
      <c r="AN26" s="40">
        <f t="shared" si="10"/>
        <v>7.8000000000000007</v>
      </c>
      <c r="AO26" s="40">
        <f t="shared" si="11"/>
        <v>30.775000000000002</v>
      </c>
      <c r="AP26" s="40">
        <f t="shared" si="12"/>
        <v>24.074999999999999</v>
      </c>
      <c r="AQ26" s="40">
        <f t="shared" si="13"/>
        <v>13.200000000000001</v>
      </c>
      <c r="AR26" s="40">
        <f t="shared" si="14"/>
        <v>54.85</v>
      </c>
      <c r="AS26" s="40">
        <f t="shared" si="15"/>
        <v>3</v>
      </c>
      <c r="AT26" s="40">
        <f t="shared" si="16"/>
        <v>12.225</v>
      </c>
      <c r="AU26" s="40">
        <f t="shared" si="17"/>
        <v>67.075000000000003</v>
      </c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 t="str">
        <f t="shared" si="18"/>
        <v/>
      </c>
      <c r="BR26" s="11" t="str">
        <f t="shared" si="19"/>
        <v/>
      </c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 t="str">
        <f t="shared" si="26"/>
        <v/>
      </c>
      <c r="CU26" s="40" t="str">
        <f t="shared" si="27"/>
        <v/>
      </c>
      <c r="CV26" s="40" t="str">
        <f t="shared" si="28"/>
        <v/>
      </c>
      <c r="CW26" s="40" t="str">
        <f t="shared" si="29"/>
        <v/>
      </c>
      <c r="CX26" s="40" t="str">
        <f t="shared" si="30"/>
        <v/>
      </c>
      <c r="CY26" s="40" t="str">
        <f t="shared" si="31"/>
        <v/>
      </c>
      <c r="CZ26" s="40" t="str">
        <f t="shared" si="32"/>
        <v/>
      </c>
      <c r="DA26" s="40" t="str">
        <f t="shared" si="33"/>
        <v/>
      </c>
      <c r="DB26" s="51" t="str">
        <f t="shared" si="34"/>
        <v/>
      </c>
      <c r="DC26" s="51" t="str">
        <f t="shared" si="35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 t="shared" si="36"/>
        <v/>
      </c>
      <c r="DY26" s="40" t="str">
        <f t="shared" si="37"/>
        <v/>
      </c>
      <c r="DZ26" s="40" t="str">
        <f t="shared" si="38"/>
        <v/>
      </c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 t="shared" si="44"/>
        <v/>
      </c>
      <c r="FA26" s="11" t="str">
        <f t="shared" si="45"/>
        <v/>
      </c>
      <c r="FB26" s="11" t="str">
        <f t="shared" si="46"/>
        <v/>
      </c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 t="shared" si="52"/>
        <v/>
      </c>
      <c r="GC26" s="40" t="str">
        <f t="shared" si="53"/>
        <v/>
      </c>
      <c r="GD26" s="40" t="str">
        <f t="shared" si="54"/>
        <v/>
      </c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 t="shared" si="60"/>
        <v/>
      </c>
      <c r="HE26" s="11" t="str">
        <f t="shared" si="61"/>
        <v/>
      </c>
      <c r="HF26" s="11" t="str">
        <f t="shared" si="62"/>
        <v/>
      </c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 t="shared" si="68"/>
        <v/>
      </c>
      <c r="IG26" s="40" t="str">
        <f t="shared" si="69"/>
        <v/>
      </c>
      <c r="IH26" s="40" t="str">
        <f t="shared" si="70"/>
        <v/>
      </c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 t="shared" si="76"/>
        <v/>
      </c>
      <c r="JI26" s="11" t="str">
        <f t="shared" si="77"/>
        <v/>
      </c>
      <c r="JJ26" s="11" t="str">
        <f t="shared" si="78"/>
        <v/>
      </c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 t="shared" si="84"/>
        <v/>
      </c>
      <c r="KK26" s="40" t="str">
        <f t="shared" si="85"/>
        <v/>
      </c>
      <c r="KL26" s="40" t="str">
        <f t="shared" si="86"/>
        <v/>
      </c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 t="shared" si="92"/>
        <v/>
      </c>
      <c r="LM26" s="11" t="str">
        <f t="shared" si="93"/>
        <v/>
      </c>
      <c r="LN26" s="11" t="str">
        <f t="shared" si="94"/>
        <v/>
      </c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 t="shared" si="100"/>
        <v/>
      </c>
      <c r="MO26" s="40" t="str">
        <f t="shared" si="101"/>
        <v/>
      </c>
      <c r="MP26" s="40" t="str">
        <f t="shared" si="102"/>
        <v/>
      </c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 t="shared" si="108"/>
        <v/>
      </c>
      <c r="NQ26" s="11" t="str">
        <f t="shared" si="109"/>
        <v/>
      </c>
      <c r="NR26" s="11" t="str">
        <f t="shared" si="110"/>
        <v/>
      </c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 t="shared" si="116"/>
        <v/>
      </c>
      <c r="OS26" s="40" t="str">
        <f t="shared" si="117"/>
        <v/>
      </c>
      <c r="OT26" s="40" t="str">
        <f t="shared" si="118"/>
        <v/>
      </c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 t="shared" si="124"/>
        <v/>
      </c>
      <c r="PU26" s="11" t="str">
        <f t="shared" si="125"/>
        <v/>
      </c>
      <c r="PV26" s="11" t="str">
        <f t="shared" si="126"/>
        <v/>
      </c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 t="shared" si="132"/>
        <v/>
      </c>
      <c r="QW26" s="40" t="str">
        <f t="shared" si="133"/>
        <v/>
      </c>
      <c r="QX26" s="40" t="str">
        <f t="shared" si="134"/>
        <v/>
      </c>
      <c r="QY26" s="40" t="str">
        <f t="shared" si="135"/>
        <v/>
      </c>
      <c r="QZ26" s="40" t="str">
        <f t="shared" si="136"/>
        <v/>
      </c>
      <c r="RA26" s="40" t="str">
        <f t="shared" si="137"/>
        <v/>
      </c>
      <c r="RB26" s="40" t="str">
        <f t="shared" si="138"/>
        <v/>
      </c>
      <c r="RC26" s="40" t="str">
        <f t="shared" si="139"/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 t="shared" si="140"/>
        <v/>
      </c>
      <c r="RY26" s="11" t="str">
        <f t="shared" si="141"/>
        <v/>
      </c>
      <c r="RZ26" s="11" t="str">
        <f t="shared" si="142"/>
        <v/>
      </c>
      <c r="SA26" s="11" t="str">
        <f t="shared" si="143"/>
        <v/>
      </c>
      <c r="SB26" s="11" t="str">
        <f t="shared" si="144"/>
        <v/>
      </c>
      <c r="SC26" s="11" t="str">
        <f t="shared" si="145"/>
        <v/>
      </c>
      <c r="SD26" s="11" t="str">
        <f t="shared" si="146"/>
        <v/>
      </c>
      <c r="SE26" s="11" t="str">
        <f t="shared" si="147"/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 t="shared" si="148"/>
        <v/>
      </c>
      <c r="TA26" s="40" t="str">
        <f t="shared" si="149"/>
        <v/>
      </c>
      <c r="TB26" s="40" t="str">
        <f t="shared" si="150"/>
        <v/>
      </c>
      <c r="TC26" s="40" t="str">
        <f t="shared" si="151"/>
        <v/>
      </c>
      <c r="TD26" s="40" t="str">
        <f t="shared" si="152"/>
        <v/>
      </c>
      <c r="TE26" s="40" t="str">
        <f t="shared" si="153"/>
        <v/>
      </c>
      <c r="TF26" s="40" t="str">
        <f t="shared" si="154"/>
        <v/>
      </c>
      <c r="TG26" s="40" t="str">
        <f t="shared" si="155"/>
        <v/>
      </c>
      <c r="TH26" s="26">
        <f t="shared" si="156"/>
        <v>0</v>
      </c>
      <c r="TI26" s="26">
        <f t="shared" si="157"/>
        <v>0</v>
      </c>
      <c r="TJ26" s="26">
        <f t="shared" si="158"/>
        <v>0</v>
      </c>
      <c r="TK26" s="26">
        <f t="shared" si="159"/>
        <v>0</v>
      </c>
      <c r="TL26" s="26">
        <f t="shared" si="160"/>
        <v>0</v>
      </c>
      <c r="TM26" s="26">
        <f t="shared" si="161"/>
        <v>0</v>
      </c>
      <c r="TN26" s="26">
        <f t="shared" si="162"/>
        <v>0</v>
      </c>
      <c r="TO26" s="26">
        <f t="shared" si="163"/>
        <v>0</v>
      </c>
      <c r="TP26" s="26">
        <f t="shared" si="164"/>
        <v>0</v>
      </c>
      <c r="TQ26" s="26">
        <f t="shared" si="165"/>
        <v>0</v>
      </c>
      <c r="TR26" s="26">
        <f t="shared" si="166"/>
        <v>0</v>
      </c>
      <c r="TS26" s="26">
        <f t="shared" si="167"/>
        <v>0</v>
      </c>
      <c r="TT26" s="26">
        <f t="shared" si="168"/>
        <v>0</v>
      </c>
      <c r="TU26" s="26">
        <f t="shared" si="169"/>
        <v>0</v>
      </c>
      <c r="TV26" s="26">
        <f t="shared" si="170"/>
        <v>0</v>
      </c>
      <c r="TW26" s="26">
        <f t="shared" si="171"/>
        <v>0</v>
      </c>
      <c r="TX26" s="26">
        <f t="shared" si="172"/>
        <v>0</v>
      </c>
      <c r="TY26" s="26">
        <f t="shared" si="173"/>
        <v>0</v>
      </c>
      <c r="TZ26" s="26">
        <f t="shared" si="174"/>
        <v>0</v>
      </c>
      <c r="UA26" s="26">
        <f t="shared" si="175"/>
        <v>0</v>
      </c>
      <c r="UB26" s="28" t="s">
        <v>53</v>
      </c>
      <c r="UC26" s="11" t="str">
        <f t="shared" si="176"/>
        <v/>
      </c>
      <c r="UD26" s="11" t="str">
        <f t="shared" si="177"/>
        <v/>
      </c>
      <c r="UE26" s="11" t="str">
        <f t="shared" si="178"/>
        <v/>
      </c>
      <c r="UF26" s="11" t="str">
        <f t="shared" si="179"/>
        <v/>
      </c>
      <c r="UG26" s="11" t="str">
        <f t="shared" si="180"/>
        <v/>
      </c>
      <c r="UH26" s="11" t="str">
        <f t="shared" si="181"/>
        <v/>
      </c>
      <c r="UI26" s="11" t="str">
        <f t="shared" si="182"/>
        <v/>
      </c>
      <c r="UJ26" s="11" t="str">
        <f t="shared" si="183"/>
        <v/>
      </c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P28" s="10"/>
      <c r="Q28" s="10"/>
      <c r="R28" s="10"/>
      <c r="QV28" s="36"/>
      <c r="RD28"/>
      <c r="RX28" s="36"/>
      <c r="RY28" s="36"/>
      <c r="RZ28" s="36"/>
      <c r="SA28" s="36"/>
      <c r="SB28" s="36"/>
      <c r="SC28" s="36"/>
      <c r="SD28" s="36"/>
      <c r="SE28" s="36"/>
      <c r="SZ28" s="36"/>
      <c r="TA28" s="36"/>
      <c r="TB28" s="36"/>
      <c r="TC28" s="36"/>
      <c r="TD28" s="36"/>
      <c r="TE28" s="36"/>
      <c r="TF28" s="36"/>
      <c r="TG28" s="36"/>
    </row>
    <row r="29" spans="1:556" ht="17" x14ac:dyDescent="0.2">
      <c r="B29" s="23" t="s">
        <v>51</v>
      </c>
      <c r="P29" s="10"/>
      <c r="Q29" s="10"/>
      <c r="R29" s="10"/>
      <c r="AN29" s="4"/>
      <c r="AU29" s="42">
        <v>10.8</v>
      </c>
      <c r="BQ29" s="4"/>
      <c r="BX29" s="42">
        <v>10.8</v>
      </c>
      <c r="CT29" s="4"/>
      <c r="DA29" s="42">
        <v>11.2</v>
      </c>
      <c r="DX29" s="4"/>
      <c r="EE29" s="42">
        <v>10.8</v>
      </c>
      <c r="EZ29" s="4"/>
      <c r="FG29" s="42">
        <v>10.8</v>
      </c>
      <c r="GB29" s="4"/>
      <c r="GI29" s="42">
        <v>10.8</v>
      </c>
      <c r="HD29" s="4"/>
      <c r="HK29" s="42">
        <v>11.2</v>
      </c>
      <c r="IF29" s="4"/>
      <c r="IM29" s="42">
        <v>11.2</v>
      </c>
      <c r="JH29" s="4"/>
      <c r="JO29" s="42">
        <v>11.2</v>
      </c>
      <c r="KJ29" s="4"/>
      <c r="KQ29" s="42">
        <v>11.2</v>
      </c>
      <c r="LL29" s="4"/>
      <c r="LS29" s="42">
        <v>11.2</v>
      </c>
      <c r="MN29" s="4"/>
      <c r="MU29" s="42">
        <v>11.2</v>
      </c>
      <c r="NP29" s="4"/>
      <c r="NW29" s="42">
        <v>11.2</v>
      </c>
      <c r="OR29" s="4"/>
      <c r="OY29" s="42">
        <v>11.2</v>
      </c>
      <c r="PT29" s="4"/>
      <c r="QA29" s="42">
        <v>11.2</v>
      </c>
      <c r="QV29" s="4"/>
      <c r="RC29" s="42">
        <v>11.2</v>
      </c>
      <c r="RD29"/>
      <c r="RX29" s="4"/>
      <c r="RY29" s="36"/>
      <c r="RZ29" s="36"/>
      <c r="SA29" s="36"/>
      <c r="SB29" s="36"/>
      <c r="SC29" s="36"/>
      <c r="SD29" s="36"/>
      <c r="SE29" s="42">
        <v>11.2</v>
      </c>
      <c r="SZ29" s="4"/>
      <c r="TA29" s="36"/>
      <c r="TB29" s="36"/>
      <c r="TC29" s="36"/>
      <c r="TD29" s="36"/>
      <c r="TE29" s="36"/>
      <c r="TF29" s="36"/>
      <c r="TG29" s="42">
        <v>11.2</v>
      </c>
    </row>
    <row r="30" spans="1:556" ht="17" x14ac:dyDescent="0.2">
      <c r="B30" s="30" t="s">
        <v>50</v>
      </c>
      <c r="P30" s="10"/>
      <c r="Q30" s="10"/>
      <c r="R30" s="10"/>
      <c r="AN30" s="4"/>
      <c r="AU30" s="52">
        <v>16</v>
      </c>
      <c r="BQ30" s="4"/>
      <c r="BX30" s="52">
        <v>16</v>
      </c>
      <c r="CT30" s="4"/>
      <c r="DA30" s="52">
        <v>11.6</v>
      </c>
      <c r="DX30" s="4"/>
      <c r="EE30" s="52">
        <v>16</v>
      </c>
      <c r="EZ30" s="4"/>
      <c r="FG30" s="52">
        <v>16</v>
      </c>
      <c r="GB30" s="4"/>
      <c r="GI30" s="52">
        <v>16</v>
      </c>
      <c r="HD30" s="4"/>
      <c r="HK30" s="52">
        <v>11.6</v>
      </c>
      <c r="IF30" s="4"/>
      <c r="IM30" s="52">
        <v>11.6</v>
      </c>
      <c r="JH30" s="4"/>
      <c r="JO30" s="52">
        <v>11.6</v>
      </c>
      <c r="KJ30" s="4"/>
      <c r="KQ30" s="52">
        <v>11.6</v>
      </c>
      <c r="LL30" s="4"/>
      <c r="LS30" s="52">
        <v>11.6</v>
      </c>
      <c r="MN30" s="4"/>
      <c r="MU30" s="52">
        <v>11.6</v>
      </c>
      <c r="NP30" s="4"/>
      <c r="NW30" s="52">
        <v>11.6</v>
      </c>
      <c r="OR30" s="4"/>
      <c r="OY30" s="52">
        <v>11.6</v>
      </c>
      <c r="PT30" s="4"/>
      <c r="QA30" s="52">
        <v>11.6</v>
      </c>
      <c r="QV30" s="4"/>
      <c r="RC30" s="52">
        <v>11.6</v>
      </c>
      <c r="RD30"/>
      <c r="RX30" s="4"/>
      <c r="RY30" s="36"/>
      <c r="RZ30" s="36"/>
      <c r="SA30" s="36"/>
      <c r="SB30" s="36"/>
      <c r="SC30" s="36"/>
      <c r="SD30" s="36"/>
      <c r="SE30" s="52">
        <v>11.6</v>
      </c>
      <c r="SZ30" s="4"/>
      <c r="TA30" s="36"/>
      <c r="TB30" s="36"/>
      <c r="TC30" s="36"/>
      <c r="TD30" s="36"/>
      <c r="TE30" s="36"/>
      <c r="TF30" s="36"/>
      <c r="TG30" s="52">
        <v>11.6</v>
      </c>
    </row>
    <row r="31" spans="1:556" ht="17" x14ac:dyDescent="0.2">
      <c r="A31" s="5"/>
      <c r="B31" s="31" t="s">
        <v>63</v>
      </c>
      <c r="C31" s="20"/>
      <c r="P31" s="10"/>
      <c r="Q31" s="10"/>
      <c r="R31" s="10"/>
      <c r="AN31" s="4"/>
      <c r="AU31" s="44">
        <v>16.8</v>
      </c>
      <c r="BQ31" s="4"/>
      <c r="BX31" s="44">
        <v>16.8</v>
      </c>
      <c r="CT31" s="4"/>
      <c r="DA31" s="44">
        <v>12.4</v>
      </c>
      <c r="DX31" s="4"/>
      <c r="EE31" s="44">
        <v>16.8</v>
      </c>
      <c r="EZ31" s="4"/>
      <c r="FG31" s="44">
        <v>16.8</v>
      </c>
      <c r="GB31" s="4"/>
      <c r="GI31" s="44">
        <v>16.8</v>
      </c>
      <c r="HD31" s="4"/>
      <c r="HK31" s="44">
        <v>12.4</v>
      </c>
      <c r="IF31" s="4"/>
      <c r="IM31" s="44">
        <v>12.4</v>
      </c>
      <c r="JH31" s="4"/>
      <c r="JO31" s="44">
        <v>12.4</v>
      </c>
      <c r="KJ31" s="4"/>
      <c r="KQ31" s="44">
        <v>12.4</v>
      </c>
      <c r="LL31" s="4"/>
      <c r="LS31" s="44">
        <v>12.4</v>
      </c>
      <c r="MN31" s="4"/>
      <c r="MU31" s="44">
        <v>12.4</v>
      </c>
      <c r="NP31" s="4"/>
      <c r="NW31" s="44">
        <v>12.4</v>
      </c>
      <c r="OR31" s="4"/>
      <c r="OY31" s="44">
        <v>12.4</v>
      </c>
      <c r="PT31" s="4"/>
      <c r="QA31" s="44">
        <v>12.4</v>
      </c>
      <c r="QV31" s="4"/>
      <c r="RC31" s="44">
        <v>12.4</v>
      </c>
      <c r="RD31"/>
      <c r="RX31" s="4"/>
      <c r="RY31" s="36"/>
      <c r="RZ31" s="36"/>
      <c r="SA31" s="36"/>
      <c r="SB31" s="36"/>
      <c r="SC31" s="36"/>
      <c r="SD31" s="36"/>
      <c r="SE31" s="44">
        <v>12.4</v>
      </c>
      <c r="SZ31" s="4"/>
      <c r="TA31" s="36"/>
      <c r="TB31" s="36"/>
      <c r="TC31" s="36"/>
      <c r="TD31" s="36"/>
      <c r="TE31" s="36"/>
      <c r="TF31" s="36"/>
      <c r="TG31" s="44">
        <v>12.4</v>
      </c>
    </row>
    <row r="32" spans="1:556" ht="17" x14ac:dyDescent="0.2">
      <c r="A32" s="5"/>
      <c r="B32" s="35" t="s">
        <v>76</v>
      </c>
      <c r="C32" s="20"/>
      <c r="P32" s="10"/>
      <c r="Q32" s="10"/>
      <c r="R32" s="10"/>
      <c r="AN32" s="4"/>
      <c r="AU32" s="45">
        <v>17.600000000000001</v>
      </c>
      <c r="BQ32" s="4"/>
      <c r="BX32" s="45">
        <v>17.600000000000001</v>
      </c>
      <c r="CT32" s="4"/>
      <c r="DA32" s="45">
        <v>13.2</v>
      </c>
      <c r="DX32" s="4"/>
      <c r="EE32" s="45">
        <v>17.600000000000001</v>
      </c>
      <c r="EZ32" s="4"/>
      <c r="FG32" s="45">
        <v>17.600000000000001</v>
      </c>
      <c r="GB32" s="4"/>
      <c r="GI32" s="45">
        <v>17.600000000000001</v>
      </c>
      <c r="HD32" s="4"/>
      <c r="HK32" s="45">
        <v>13.2</v>
      </c>
      <c r="IF32" s="4"/>
      <c r="IM32" s="45">
        <v>13.2</v>
      </c>
      <c r="JH32" s="4"/>
      <c r="JO32" s="45">
        <v>13.2</v>
      </c>
      <c r="KJ32" s="4"/>
      <c r="KQ32" s="45">
        <v>13.2</v>
      </c>
      <c r="LL32" s="4"/>
      <c r="LS32" s="45">
        <v>13.2</v>
      </c>
      <c r="MN32" s="4"/>
      <c r="MU32" s="45">
        <v>13.2</v>
      </c>
      <c r="NP32" s="4"/>
      <c r="NW32" s="45">
        <v>13.2</v>
      </c>
      <c r="OR32" s="4"/>
      <c r="OY32" s="45">
        <v>13.2</v>
      </c>
      <c r="PT32" s="4"/>
      <c r="QA32" s="45">
        <v>13.2</v>
      </c>
      <c r="QV32" s="4"/>
      <c r="RC32" s="45">
        <v>13.2</v>
      </c>
      <c r="RD32"/>
      <c r="RX32" s="4"/>
      <c r="RY32" s="36"/>
      <c r="RZ32" s="36"/>
      <c r="SA32" s="36"/>
      <c r="SB32" s="36"/>
      <c r="SC32" s="36"/>
      <c r="SD32" s="36"/>
      <c r="SE32" s="45">
        <v>13.2</v>
      </c>
      <c r="SZ32" s="4"/>
      <c r="TA32" s="36"/>
      <c r="TB32" s="36"/>
      <c r="TC32" s="36"/>
      <c r="TD32" s="36"/>
      <c r="TE32" s="36"/>
      <c r="TF32" s="36"/>
      <c r="TG32" s="45">
        <v>13.2</v>
      </c>
    </row>
    <row r="33" spans="1:527" ht="17" x14ac:dyDescent="0.2">
      <c r="A33" s="5"/>
      <c r="B33" s="34" t="s">
        <v>48</v>
      </c>
      <c r="C33" s="20"/>
      <c r="P33" s="10"/>
      <c r="Q33" s="10"/>
      <c r="R33" s="10"/>
      <c r="AN33" s="4"/>
      <c r="AU33" s="46">
        <v>48</v>
      </c>
      <c r="BQ33" s="4"/>
      <c r="BX33" s="46">
        <v>48</v>
      </c>
      <c r="CT33" s="4"/>
      <c r="DA33" s="46">
        <v>48.2</v>
      </c>
      <c r="DX33" s="4"/>
      <c r="EE33" s="46">
        <v>48</v>
      </c>
      <c r="EZ33" s="4"/>
      <c r="FG33" s="46">
        <v>48</v>
      </c>
      <c r="GB33" s="4"/>
      <c r="GI33" s="46">
        <v>48</v>
      </c>
      <c r="HD33" s="4"/>
      <c r="HK33" s="46">
        <v>48.2</v>
      </c>
      <c r="IF33" s="4"/>
      <c r="IM33" s="46">
        <v>48.2</v>
      </c>
      <c r="JH33" s="4"/>
      <c r="JO33" s="46">
        <v>48.2</v>
      </c>
      <c r="KJ33" s="4"/>
      <c r="KQ33" s="46">
        <v>48.2</v>
      </c>
      <c r="LL33" s="4"/>
      <c r="LS33" s="46">
        <v>48.2</v>
      </c>
      <c r="MN33" s="4"/>
      <c r="MU33" s="46">
        <v>48.2</v>
      </c>
      <c r="NP33" s="4"/>
      <c r="NW33" s="46">
        <v>48.2</v>
      </c>
      <c r="OR33" s="4"/>
      <c r="OY33" s="46">
        <v>48.2</v>
      </c>
      <c r="PT33" s="4"/>
      <c r="QA33" s="46">
        <v>48.2</v>
      </c>
      <c r="QV33" s="4"/>
      <c r="RC33" s="46">
        <v>48.2</v>
      </c>
      <c r="RD33"/>
      <c r="RX33" s="4"/>
      <c r="RY33" s="36"/>
      <c r="RZ33" s="36"/>
      <c r="SA33" s="36"/>
      <c r="SB33" s="36"/>
      <c r="SC33" s="36"/>
      <c r="SD33" s="36"/>
      <c r="SE33" s="46">
        <v>48.2</v>
      </c>
      <c r="SZ33" s="4"/>
      <c r="TA33" s="36"/>
      <c r="TB33" s="36"/>
      <c r="TC33" s="36"/>
      <c r="TD33" s="36"/>
      <c r="TE33" s="36"/>
      <c r="TF33" s="36"/>
      <c r="TG33" s="46">
        <v>48.2</v>
      </c>
    </row>
    <row r="34" spans="1:527" ht="17" x14ac:dyDescent="0.2">
      <c r="A34" s="5"/>
      <c r="B34" s="24" t="s">
        <v>49</v>
      </c>
      <c r="C34" s="20"/>
      <c r="P34" s="10"/>
      <c r="Q34" s="10"/>
      <c r="R34" s="10"/>
      <c r="AN34" s="4"/>
      <c r="AU34" s="47">
        <v>72</v>
      </c>
      <c r="BQ34" s="4"/>
      <c r="BX34" s="47">
        <v>72</v>
      </c>
      <c r="CT34" s="4"/>
      <c r="DA34" s="47">
        <v>48.6</v>
      </c>
      <c r="DX34" s="4"/>
      <c r="EE34" s="47">
        <v>72</v>
      </c>
      <c r="EZ34" s="4"/>
      <c r="FG34" s="47">
        <v>72</v>
      </c>
      <c r="GB34" s="4"/>
      <c r="GI34" s="47">
        <v>72</v>
      </c>
      <c r="HD34" s="4"/>
      <c r="HK34" s="47">
        <v>48.6</v>
      </c>
      <c r="IF34" s="4"/>
      <c r="IM34" s="47">
        <v>48.6</v>
      </c>
      <c r="JH34" s="4"/>
      <c r="JO34" s="47">
        <v>48.6</v>
      </c>
      <c r="KJ34" s="4"/>
      <c r="KQ34" s="47">
        <v>48.6</v>
      </c>
      <c r="LL34" s="4"/>
      <c r="LS34" s="47">
        <v>48.6</v>
      </c>
      <c r="MN34" s="4"/>
      <c r="MU34" s="47">
        <v>48.6</v>
      </c>
      <c r="NP34" s="4"/>
      <c r="NW34" s="47">
        <v>48.6</v>
      </c>
      <c r="OR34" s="4"/>
      <c r="OY34" s="47">
        <v>48.6</v>
      </c>
      <c r="PT34" s="4"/>
      <c r="QA34" s="47">
        <v>48.6</v>
      </c>
      <c r="QV34" s="4"/>
      <c r="RC34" s="47">
        <v>48.6</v>
      </c>
      <c r="RD34"/>
      <c r="RX34" s="4"/>
      <c r="RY34" s="36"/>
      <c r="RZ34" s="36"/>
      <c r="SA34" s="36"/>
      <c r="SB34" s="36"/>
      <c r="SC34" s="36"/>
      <c r="SD34" s="36"/>
      <c r="SE34" s="47">
        <v>48.6</v>
      </c>
      <c r="SZ34" s="4"/>
      <c r="TA34" s="36"/>
      <c r="TB34" s="36"/>
      <c r="TC34" s="36"/>
      <c r="TD34" s="36"/>
      <c r="TE34" s="36"/>
      <c r="TF34" s="36"/>
      <c r="TG34" s="47">
        <v>48.6</v>
      </c>
    </row>
    <row r="35" spans="1:527" ht="17" x14ac:dyDescent="0.2">
      <c r="A35" s="5"/>
      <c r="B35" s="33" t="s">
        <v>62</v>
      </c>
      <c r="C35" s="20"/>
      <c r="P35" s="10"/>
      <c r="Q35" s="10"/>
      <c r="R35" s="10"/>
      <c r="AN35" s="4"/>
      <c r="AU35" s="48">
        <v>73.400000000000006</v>
      </c>
      <c r="BQ35" s="4"/>
      <c r="BX35" s="48">
        <v>73.400000000000006</v>
      </c>
      <c r="CT35" s="4"/>
      <c r="DA35" s="48">
        <v>49.4</v>
      </c>
      <c r="DX35" s="4"/>
      <c r="EE35" s="48">
        <v>73.400000000000006</v>
      </c>
      <c r="EZ35" s="4"/>
      <c r="FG35" s="48">
        <v>73.400000000000006</v>
      </c>
      <c r="GB35" s="4"/>
      <c r="GI35" s="48">
        <v>73.400000000000006</v>
      </c>
      <c r="HD35" s="4"/>
      <c r="HK35" s="48">
        <v>49.4</v>
      </c>
      <c r="IF35" s="4"/>
      <c r="IM35" s="48">
        <v>49.4</v>
      </c>
      <c r="JH35" s="4"/>
      <c r="JO35" s="48">
        <v>49.4</v>
      </c>
      <c r="KJ35" s="4"/>
      <c r="KQ35" s="48">
        <v>49.4</v>
      </c>
      <c r="LL35" s="4"/>
      <c r="LS35" s="48">
        <v>49.4</v>
      </c>
      <c r="MN35" s="4"/>
      <c r="MU35" s="48">
        <v>49.4</v>
      </c>
      <c r="NP35" s="4"/>
      <c r="NW35" s="48">
        <v>49.4</v>
      </c>
      <c r="OR35" s="4"/>
      <c r="OY35" s="48">
        <v>49.4</v>
      </c>
      <c r="PT35" s="4"/>
      <c r="QA35" s="48">
        <v>49.4</v>
      </c>
      <c r="QV35" s="4"/>
      <c r="RC35" s="48">
        <v>49.4</v>
      </c>
      <c r="RD35"/>
      <c r="RX35" s="4"/>
      <c r="RY35" s="36"/>
      <c r="RZ35" s="36"/>
      <c r="SA35" s="36"/>
      <c r="SB35" s="36"/>
      <c r="SC35" s="36"/>
      <c r="SD35" s="36"/>
      <c r="SE35" s="48">
        <v>49.4</v>
      </c>
      <c r="SZ35" s="4"/>
      <c r="TA35" s="36"/>
      <c r="TB35" s="36"/>
      <c r="TC35" s="36"/>
      <c r="TD35" s="36"/>
      <c r="TE35" s="36"/>
      <c r="TF35" s="36"/>
      <c r="TG35" s="48">
        <v>49.4</v>
      </c>
    </row>
    <row r="36" spans="1:527" ht="17" x14ac:dyDescent="0.2">
      <c r="A36" s="5"/>
      <c r="B36" s="25" t="s">
        <v>32</v>
      </c>
      <c r="C36" s="20"/>
      <c r="P36" s="10"/>
      <c r="Q36" s="10"/>
      <c r="R36" s="10"/>
      <c r="AN36" s="4"/>
      <c r="AU36" s="49">
        <v>74.8</v>
      </c>
      <c r="BQ36" s="4"/>
      <c r="BX36" s="49">
        <v>74.8</v>
      </c>
      <c r="CT36" s="4"/>
      <c r="DA36" s="49">
        <v>50.2</v>
      </c>
      <c r="DX36" s="4"/>
      <c r="EE36" s="49">
        <v>74.8</v>
      </c>
      <c r="EZ36" s="4"/>
      <c r="FG36" s="49">
        <v>74.8</v>
      </c>
      <c r="GB36" s="4"/>
      <c r="GI36" s="49">
        <v>74.8</v>
      </c>
      <c r="HD36" s="4"/>
      <c r="HK36" s="49">
        <v>50.2</v>
      </c>
      <c r="IF36" s="4"/>
      <c r="IM36" s="49">
        <v>50.2</v>
      </c>
      <c r="JH36" s="4"/>
      <c r="JO36" s="49">
        <v>50.2</v>
      </c>
      <c r="KJ36" s="4"/>
      <c r="KQ36" s="49">
        <v>50.2</v>
      </c>
      <c r="LL36" s="4"/>
      <c r="LS36" s="49">
        <v>50.2</v>
      </c>
      <c r="MN36" s="4"/>
      <c r="MU36" s="49">
        <v>50.2</v>
      </c>
      <c r="NP36" s="4"/>
      <c r="NW36" s="49">
        <v>50.2</v>
      </c>
      <c r="OR36" s="4"/>
      <c r="OY36" s="49">
        <v>50.2</v>
      </c>
      <c r="PT36" s="4"/>
      <c r="QA36" s="49">
        <v>50.2</v>
      </c>
      <c r="QV36" s="4"/>
      <c r="RC36" s="49">
        <v>50.2</v>
      </c>
      <c r="RD36"/>
      <c r="RX36" s="4"/>
      <c r="RY36" s="36"/>
      <c r="RZ36" s="36"/>
      <c r="SA36" s="36"/>
      <c r="SB36" s="36"/>
      <c r="SC36" s="36"/>
      <c r="SD36" s="36"/>
      <c r="SE36" s="49">
        <v>50.2</v>
      </c>
      <c r="SZ36" s="4"/>
      <c r="TA36" s="36"/>
      <c r="TB36" s="36"/>
      <c r="TC36" s="36"/>
      <c r="TD36" s="36"/>
      <c r="TE36" s="36"/>
      <c r="TF36" s="36"/>
      <c r="TG36" s="49">
        <v>50.2</v>
      </c>
    </row>
    <row r="37" spans="1:527" x14ac:dyDescent="0.2">
      <c r="B37" s="29" t="s">
        <v>54</v>
      </c>
      <c r="C37" s="2"/>
    </row>
    <row r="38" spans="1:527" x14ac:dyDescent="0.2">
      <c r="A38" s="5"/>
      <c r="B38" s="5"/>
      <c r="C38" s="20"/>
      <c r="QC38" s="2"/>
      <c r="QD38" s="2"/>
      <c r="QE38" s="2"/>
      <c r="QF38" s="2"/>
      <c r="QG38" s="2"/>
      <c r="QH38" s="2"/>
      <c r="QI38" s="2"/>
      <c r="QJ38" s="2"/>
      <c r="QK38" s="2"/>
    </row>
    <row r="39" spans="1:527" x14ac:dyDescent="0.2">
      <c r="A39" s="5"/>
      <c r="B39" s="5"/>
      <c r="C39" s="20"/>
    </row>
    <row r="40" spans="1:527" x14ac:dyDescent="0.2">
      <c r="A40" s="5"/>
      <c r="B40" s="5"/>
      <c r="C40" s="20"/>
    </row>
    <row r="41" spans="1:527" x14ac:dyDescent="0.2">
      <c r="A41" s="5"/>
      <c r="B41" s="5"/>
      <c r="C41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6:UJ26">
      <sortCondition descending="1" ref="F1:F27"/>
    </sortState>
  </autoFilter>
  <mergeCells count="133"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</mergeCells>
  <conditionalFormatting sqref="S4:AU26">
    <cfRule type="expression" dxfId="32" priority="39" stopIfTrue="1">
      <formula>IF($AM4&lt;&gt;"",1,0)</formula>
    </cfRule>
  </conditionalFormatting>
  <conditionalFormatting sqref="AV4:BX26">
    <cfRule type="expression" dxfId="31" priority="44" stopIfTrue="1">
      <formula>IF($BP4&lt;&gt;"",1,0)</formula>
    </cfRule>
  </conditionalFormatting>
  <conditionalFormatting sqref="K1:K1048576 O1:O1048576 M1:M1048576">
    <cfRule type="expression" dxfId="30" priority="51">
      <formula>IF(K1=$BY$1,1,0)</formula>
    </cfRule>
    <cfRule type="expression" dxfId="29" priority="52">
      <formula>IF(K1=$AV$1,1,0)</formula>
    </cfRule>
    <cfRule type="expression" dxfId="28" priority="53">
      <formula>IF(K1=$S$1,1,0)</formula>
    </cfRule>
  </conditionalFormatting>
  <conditionalFormatting sqref="BY4:DA26">
    <cfRule type="expression" dxfId="27" priority="45" stopIfTrue="1">
      <formula>IF($CS4&lt;&gt;"",1,0)</formula>
    </cfRule>
  </conditionalFormatting>
  <conditionalFormatting sqref="A4:A1048576">
    <cfRule type="expression" dxfId="26" priority="34">
      <formula>AND(G4="P",F4="")</formula>
    </cfRule>
    <cfRule type="expression" dxfId="25" priority="54">
      <formula>IF(A4&gt;8,1,0)</formula>
    </cfRule>
  </conditionalFormatting>
  <conditionalFormatting sqref="H1:H1048576">
    <cfRule type="containsText" dxfId="24" priority="46" operator="containsText" text="No DD">
      <formula>NOT(ISERROR(SEARCH("No DD",H1)))</formula>
    </cfRule>
    <cfRule type="containsText" dxfId="23" priority="47" operator="containsText" text="Merit">
      <formula>NOT(ISERROR(SEARCH("Merit",H1)))</formula>
    </cfRule>
    <cfRule type="containsText" dxfId="22" priority="48" operator="containsText" text="Excellence">
      <formula>NOT(ISERROR(SEARCH("Excellence",H1)))</formula>
    </cfRule>
    <cfRule type="containsText" dxfId="21" priority="49" operator="containsText" text="Worlds Team">
      <formula>NOT(ISERROR(SEARCH("Worlds Team",H1)))</formula>
    </cfRule>
    <cfRule type="containsText" dxfId="20" priority="50" operator="containsText" text="National Team">
      <formula>NOT(ISERROR(SEARCH("National Team",H1)))</formula>
    </cfRule>
  </conditionalFormatting>
  <conditionalFormatting sqref="AR37:AR1048576 BU37:BU1048576 EB37:EB1048576 BU1:BU35 CX1:CX1048576 EB1:EB35 FD1:FD1048576 GF1:GF1048576 HH1:HH1048576 IJ1:IJ1048576 JL1:JL1048576 KN1:KN1048576 LP1:LP1048576 MR1:MR1048576 NT1:NT1048576 OV1:OV1048576 PX1:PX1048576 AR1:AR35 SB1:SB36 QZ1:QZ36 TD1:TD36">
    <cfRule type="cellIs" dxfId="19" priority="60386" operator="between">
      <formula>AU$36</formula>
      <formula>1000</formula>
    </cfRule>
    <cfRule type="cellIs" dxfId="18" priority="60387" operator="between">
      <formula>AU$35</formula>
      <formula>AU$36</formula>
    </cfRule>
    <cfRule type="cellIs" dxfId="17" priority="60388" operator="between">
      <formula>AU$34</formula>
      <formula>AU$35</formula>
    </cfRule>
  </conditionalFormatting>
  <conditionalFormatting sqref="PZ62:PZ1048576 AT1:AT1048576 BW1:BW1048576 CZ1:CZ1048576 ED1:ED1048576 FF1:FF1048576 GH1:GH1048576 HJ1:HJ1048576 IL1:IL1048576 JN1:JN1048576 KP1:KP1048576 LR1:LR1048576 MT1:MT1048576 NV1:NV1048576 OX1:OX1048576 PZ1:PZ40 SD1:SD36 RB1:RB36 TF1:TF36">
    <cfRule type="cellIs" dxfId="16" priority="90371" operator="between">
      <formula>AU$33</formula>
      <formula>AU$34</formula>
    </cfRule>
    <cfRule type="cellIs" dxfId="15" priority="90372" operator="between">
      <formula>AU$34</formula>
      <formula>AU$35</formula>
    </cfRule>
    <cfRule type="cellIs" dxfId="14" priority="90373" operator="between">
      <formula>AU$35</formula>
      <formula>AU$36</formula>
    </cfRule>
    <cfRule type="cellIs" dxfId="13" priority="90374" operator="between">
      <formula>AU$36</formula>
      <formula>1000</formula>
    </cfRule>
  </conditionalFormatting>
  <conditionalFormatting sqref="TH1:TH26">
    <cfRule type="cellIs" dxfId="12" priority="102481" operator="between">
      <formula>QA$33</formula>
      <formula>QA$34</formula>
    </cfRule>
    <cfRule type="cellIs" dxfId="11" priority="102482" operator="between">
      <formula>QA$34</formula>
      <formula>QA$35</formula>
    </cfRule>
    <cfRule type="cellIs" dxfId="10" priority="102483" operator="between">
      <formula>QA$35</formula>
      <formula>QA$36</formula>
    </cfRule>
    <cfRule type="cellIs" dxfId="9" priority="102484" operator="between">
      <formula>QA$36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6 RX1:RX36 SZ1:SZ36">
    <cfRule type="cellIs" dxfId="8" priority="136559" operator="between">
      <formula>AU$29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6 RY1:RY36 TA1:TA36">
    <cfRule type="cellIs" dxfId="7" priority="136606" operator="between">
      <formula>AU$33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6 RA1:RA36 TE1:TE36">
    <cfRule type="cellIs" dxfId="6" priority="136653" operator="between">
      <formula>AU$29</formula>
      <formula>AU$30</formula>
    </cfRule>
    <cfRule type="cellIs" dxfId="5" priority="136654" operator="between">
      <formula>AU$30</formula>
      <formula>AU$31</formula>
    </cfRule>
    <cfRule type="cellIs" dxfId="4" priority="136655" operator="between">
      <formula>AU$31</formula>
      <formula>AU$32</formula>
    </cfRule>
    <cfRule type="cellIs" dxfId="3" priority="136656" operator="between">
      <formula>AU$32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36 QY1:QY36 TC1:TC36">
    <cfRule type="cellIs" dxfId="2" priority="137025" operator="between">
      <formula>AU$32</formula>
      <formula>1000</formula>
    </cfRule>
    <cfRule type="cellIs" dxfId="1" priority="137026" operator="between">
      <formula>AU$31</formula>
      <formula>AU$32</formula>
    </cfRule>
    <cfRule type="cellIs" dxfId="0" priority="137027" operator="between">
      <formula>AU$30</formula>
      <formula>AU$31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2025-03-20T02:57:35Z</dcterms:modified>
</cp:coreProperties>
</file>