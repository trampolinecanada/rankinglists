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2415A153-8570-D804-BEE2-DBEC5437C898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GymCan Excel Sheets/Ranking Lists/"/>
    </mc:Choice>
  </mc:AlternateContent>
  <xr:revisionPtr revIDLastSave="0" documentId="13_ncr:1_{E0D72357-6409-1F42-8CE3-A31F61DA7286}" xr6:coauthVersionLast="45" xr6:coauthVersionMax="45" xr10:uidLastSave="{00000000-0000-0000-0000-000000000000}"/>
  <bookViews>
    <workbookView xWindow="0" yWindow="460" windowWidth="33600" windowHeight="20540" tabRatio="500" xr2:uid="{00000000-000D-0000-FFFF-FFFF00000000}"/>
  </bookViews>
  <sheets>
    <sheet name="Info" sheetId="11" r:id="rId1"/>
    <sheet name="TRA-M" sheetId="4" r:id="rId2"/>
    <sheet name="TRA-W" sheetId="2" r:id="rId3"/>
    <sheet name="SYN-M" sheetId="9" r:id="rId4"/>
    <sheet name="SYN-W" sheetId="10" r:id="rId5"/>
    <sheet name="TUM-M" sheetId="7" r:id="rId6"/>
    <sheet name="TUM-W" sheetId="8" r:id="rId7"/>
    <sheet name="DMT-M" sheetId="6" r:id="rId8"/>
    <sheet name="DMT-W" sheetId="12" r:id="rId9"/>
  </sheets>
  <definedNames>
    <definedName name="_xlnm._FilterDatabase" localSheetId="7" hidden="1">'DMT-M'!$A$1:$LB$1</definedName>
    <definedName name="_xlnm._FilterDatabase" localSheetId="8" hidden="1">'DMT-W'!$A$1:$LB$1</definedName>
    <definedName name="_xlnm._FilterDatabase" localSheetId="3" hidden="1">'SYN-M'!$A$1:$LV$3</definedName>
    <definedName name="_xlnm._FilterDatabase" localSheetId="4" hidden="1">'SYN-W'!$A$1:$LV$3</definedName>
    <definedName name="_xlnm._FilterDatabase" localSheetId="1" hidden="1">'TRA-M'!$A$1:$LV$3</definedName>
    <definedName name="_xlnm._FilterDatabase" localSheetId="2" hidden="1">'TRA-W'!$A$1:$LV$3</definedName>
    <definedName name="_xlnm._FilterDatabase" localSheetId="5" hidden="1">'TUM-M'!$A$1:$KN$3</definedName>
    <definedName name="_xlnm._FilterDatabase" localSheetId="6" hidden="1">'TUM-W'!$A$1:$KN$3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K7" i="9" l="1"/>
  <c r="KF11" i="12"/>
  <c r="KE11" i="12"/>
  <c r="KD11" i="12"/>
  <c r="KC11" i="12"/>
  <c r="KF10" i="12"/>
  <c r="KE10" i="12"/>
  <c r="KG10" i="12" s="1"/>
  <c r="KD10" i="12"/>
  <c r="KC10" i="12"/>
  <c r="KF9" i="12"/>
  <c r="KE9" i="12"/>
  <c r="KD9" i="12"/>
  <c r="KC9" i="12"/>
  <c r="KF8" i="12"/>
  <c r="KE8" i="12"/>
  <c r="KG8" i="12" s="1"/>
  <c r="KD8" i="12"/>
  <c r="KC8" i="12"/>
  <c r="KF6" i="12"/>
  <c r="KE6" i="12"/>
  <c r="KD6" i="12"/>
  <c r="KC6" i="12"/>
  <c r="KF7" i="12"/>
  <c r="KE7" i="12"/>
  <c r="KG7" i="12" s="1"/>
  <c r="KD7" i="12"/>
  <c r="KC7" i="12"/>
  <c r="KF5" i="12"/>
  <c r="KE5" i="12"/>
  <c r="KD5" i="12"/>
  <c r="KC5" i="12"/>
  <c r="KF4" i="12"/>
  <c r="KE4" i="12"/>
  <c r="KG4" i="12" s="1"/>
  <c r="KD4" i="12"/>
  <c r="KC4" i="12"/>
  <c r="JK11" i="12"/>
  <c r="JJ11" i="12"/>
  <c r="JI11" i="12"/>
  <c r="JH11" i="12"/>
  <c r="JK10" i="12"/>
  <c r="JJ10" i="12"/>
  <c r="JI10" i="12"/>
  <c r="JH10" i="12"/>
  <c r="JK9" i="12"/>
  <c r="JJ9" i="12"/>
  <c r="JI9" i="12"/>
  <c r="JH9" i="12"/>
  <c r="JK8" i="12"/>
  <c r="JJ8" i="12"/>
  <c r="JI8" i="12"/>
  <c r="JH8" i="12"/>
  <c r="JK6" i="12"/>
  <c r="JJ6" i="12"/>
  <c r="JI6" i="12"/>
  <c r="JH6" i="12"/>
  <c r="JK7" i="12"/>
  <c r="JJ7" i="12"/>
  <c r="JI7" i="12"/>
  <c r="JH7" i="12"/>
  <c r="JK5" i="12"/>
  <c r="JJ5" i="12"/>
  <c r="JI5" i="12"/>
  <c r="JH5" i="12"/>
  <c r="JK4" i="12"/>
  <c r="JJ4" i="12"/>
  <c r="JI4" i="12"/>
  <c r="JH4" i="12"/>
  <c r="IP11" i="12"/>
  <c r="IO11" i="12"/>
  <c r="IN11" i="12"/>
  <c r="IM11" i="12"/>
  <c r="IP9" i="12"/>
  <c r="IO9" i="12"/>
  <c r="IN9" i="12"/>
  <c r="IM9" i="12"/>
  <c r="IP8" i="12"/>
  <c r="IO8" i="12"/>
  <c r="IN8" i="12"/>
  <c r="IM8" i="12"/>
  <c r="IP6" i="12"/>
  <c r="IO6" i="12"/>
  <c r="IQ6" i="12" s="1"/>
  <c r="IN6" i="12"/>
  <c r="IM6" i="12"/>
  <c r="IP7" i="12"/>
  <c r="IO7" i="12"/>
  <c r="IN7" i="12"/>
  <c r="IM7" i="12"/>
  <c r="IP5" i="12"/>
  <c r="IO5" i="12"/>
  <c r="IQ5" i="12" s="1"/>
  <c r="IN5" i="12"/>
  <c r="IM5" i="12"/>
  <c r="IP4" i="12"/>
  <c r="IO4" i="12"/>
  <c r="IN4" i="12"/>
  <c r="IM4" i="12"/>
  <c r="HU11" i="12"/>
  <c r="HT11" i="12"/>
  <c r="HV11" i="12" s="1"/>
  <c r="HS11" i="12"/>
  <c r="HR11" i="12"/>
  <c r="HU9" i="12"/>
  <c r="HT9" i="12"/>
  <c r="HS9" i="12"/>
  <c r="HR9" i="12"/>
  <c r="HU8" i="12"/>
  <c r="HT8" i="12"/>
  <c r="HV8" i="12" s="1"/>
  <c r="HS8" i="12"/>
  <c r="HR8" i="12"/>
  <c r="HU6" i="12"/>
  <c r="HT6" i="12"/>
  <c r="HS6" i="12"/>
  <c r="HR6" i="12"/>
  <c r="HU7" i="12"/>
  <c r="HT7" i="12"/>
  <c r="HV7" i="12" s="1"/>
  <c r="HS7" i="12"/>
  <c r="HR7" i="12"/>
  <c r="HU5" i="12"/>
  <c r="HT5" i="12"/>
  <c r="HS5" i="12"/>
  <c r="HR5" i="12"/>
  <c r="HU4" i="12"/>
  <c r="HT4" i="12"/>
  <c r="HS4" i="12"/>
  <c r="HR4" i="12"/>
  <c r="GZ11" i="12"/>
  <c r="GY11" i="12"/>
  <c r="GX11" i="12"/>
  <c r="GW11" i="12"/>
  <c r="GZ9" i="12"/>
  <c r="GY9" i="12"/>
  <c r="HA9" i="12" s="1"/>
  <c r="GX9" i="12"/>
  <c r="GW9" i="12"/>
  <c r="GZ8" i="12"/>
  <c r="GY8" i="12"/>
  <c r="GX8" i="12"/>
  <c r="GW8" i="12"/>
  <c r="GZ6" i="12"/>
  <c r="GY6" i="12"/>
  <c r="GX6" i="12"/>
  <c r="GW6" i="12"/>
  <c r="GZ7" i="12"/>
  <c r="GY7" i="12"/>
  <c r="GX7" i="12"/>
  <c r="GW7" i="12"/>
  <c r="GZ5" i="12"/>
  <c r="GY5" i="12"/>
  <c r="GX5" i="12"/>
  <c r="GW5" i="12"/>
  <c r="GZ4" i="12"/>
  <c r="GY4" i="12"/>
  <c r="GX4" i="12"/>
  <c r="GW4" i="12"/>
  <c r="GE11" i="12"/>
  <c r="GD11" i="12"/>
  <c r="GF11" i="12" s="1"/>
  <c r="GC11" i="12"/>
  <c r="GB11" i="12"/>
  <c r="GE9" i="12"/>
  <c r="GD9" i="12"/>
  <c r="GC9" i="12"/>
  <c r="GB9" i="12"/>
  <c r="GE8" i="12"/>
  <c r="GD8" i="12"/>
  <c r="GF8" i="12" s="1"/>
  <c r="GC8" i="12"/>
  <c r="GB8" i="12"/>
  <c r="GE6" i="12"/>
  <c r="GD6" i="12"/>
  <c r="GC6" i="12"/>
  <c r="GB6" i="12"/>
  <c r="GE7" i="12"/>
  <c r="GD7" i="12"/>
  <c r="GF7" i="12" s="1"/>
  <c r="GC7" i="12"/>
  <c r="GB7" i="12"/>
  <c r="GE5" i="12"/>
  <c r="GD5" i="12"/>
  <c r="GC5" i="12"/>
  <c r="GB5" i="12"/>
  <c r="GE4" i="12"/>
  <c r="GD4" i="12"/>
  <c r="GC4" i="12"/>
  <c r="GB4" i="12"/>
  <c r="FJ11" i="12"/>
  <c r="FI11" i="12"/>
  <c r="FH11" i="12"/>
  <c r="FG11" i="12"/>
  <c r="FJ9" i="12"/>
  <c r="FI9" i="12"/>
  <c r="FK9" i="12" s="1"/>
  <c r="FH9" i="12"/>
  <c r="FG9" i="12"/>
  <c r="FJ8" i="12"/>
  <c r="FI8" i="12"/>
  <c r="FH8" i="12"/>
  <c r="FG8" i="12"/>
  <c r="FJ6" i="12"/>
  <c r="FI6" i="12"/>
  <c r="FK6" i="12" s="1"/>
  <c r="FH6" i="12"/>
  <c r="FG6" i="12"/>
  <c r="FJ7" i="12"/>
  <c r="FI7" i="12"/>
  <c r="FH7" i="12"/>
  <c r="FG7" i="12"/>
  <c r="FJ5" i="12"/>
  <c r="FI5" i="12"/>
  <c r="FK5" i="12" s="1"/>
  <c r="FH5" i="12"/>
  <c r="FG5" i="12"/>
  <c r="FJ4" i="12"/>
  <c r="FI4" i="12"/>
  <c r="FH4" i="12"/>
  <c r="FG4" i="12"/>
  <c r="EO11" i="12"/>
  <c r="EN11" i="12"/>
  <c r="EP11" i="12" s="1"/>
  <c r="EM11" i="12"/>
  <c r="EL11" i="12"/>
  <c r="EO9" i="12"/>
  <c r="EN9" i="12"/>
  <c r="EM9" i="12"/>
  <c r="EL9" i="12"/>
  <c r="EO8" i="12"/>
  <c r="EN8" i="12"/>
  <c r="EM8" i="12"/>
  <c r="EL8" i="12"/>
  <c r="EO6" i="12"/>
  <c r="EN6" i="12"/>
  <c r="EM6" i="12"/>
  <c r="EL6" i="12"/>
  <c r="EO7" i="12"/>
  <c r="EN7" i="12"/>
  <c r="EM7" i="12"/>
  <c r="EL7" i="12"/>
  <c r="EO5" i="12"/>
  <c r="EN5" i="12"/>
  <c r="EM5" i="12"/>
  <c r="EL5" i="12"/>
  <c r="EO4" i="12"/>
  <c r="EN4" i="12"/>
  <c r="EM4" i="12"/>
  <c r="EL4" i="12"/>
  <c r="DT11" i="12"/>
  <c r="DS11" i="12"/>
  <c r="DR11" i="12"/>
  <c r="DQ11" i="12"/>
  <c r="DT9" i="12"/>
  <c r="DS9" i="12"/>
  <c r="DR9" i="12"/>
  <c r="DQ9" i="12"/>
  <c r="DT8" i="12"/>
  <c r="DS8" i="12"/>
  <c r="DR8" i="12"/>
  <c r="DQ8" i="12"/>
  <c r="DT6" i="12"/>
  <c r="DS6" i="12"/>
  <c r="DR6" i="12"/>
  <c r="DQ6" i="12"/>
  <c r="DT7" i="12"/>
  <c r="DS7" i="12"/>
  <c r="DR7" i="12"/>
  <c r="DQ7" i="12"/>
  <c r="DT5" i="12"/>
  <c r="DS5" i="12"/>
  <c r="DR5" i="12"/>
  <c r="DQ5" i="12"/>
  <c r="DT4" i="12"/>
  <c r="DS4" i="12"/>
  <c r="DR4" i="12"/>
  <c r="DQ4" i="12"/>
  <c r="CY11" i="12"/>
  <c r="CX11" i="12"/>
  <c r="CW11" i="12"/>
  <c r="CV11" i="12"/>
  <c r="CY9" i="12"/>
  <c r="CX9" i="12"/>
  <c r="CW9" i="12"/>
  <c r="CV9" i="12"/>
  <c r="CY8" i="12"/>
  <c r="CX8" i="12"/>
  <c r="CW8" i="12"/>
  <c r="CV8" i="12"/>
  <c r="CY6" i="12"/>
  <c r="CX6" i="12"/>
  <c r="CW6" i="12"/>
  <c r="CV6" i="12"/>
  <c r="CY7" i="12"/>
  <c r="CX7" i="12"/>
  <c r="CW7" i="12"/>
  <c r="CV7" i="12"/>
  <c r="CY5" i="12"/>
  <c r="CX5" i="12"/>
  <c r="CW5" i="12"/>
  <c r="CV5" i="12"/>
  <c r="CY4" i="12"/>
  <c r="CX4" i="12"/>
  <c r="CW4" i="12"/>
  <c r="CV4" i="12"/>
  <c r="CD11" i="12"/>
  <c r="CC11" i="12"/>
  <c r="CB11" i="12"/>
  <c r="CA11" i="12"/>
  <c r="CD9" i="12"/>
  <c r="CC9" i="12"/>
  <c r="CB9" i="12"/>
  <c r="CA9" i="12"/>
  <c r="CD8" i="12"/>
  <c r="CC8" i="12"/>
  <c r="CB8" i="12"/>
  <c r="CA8" i="12"/>
  <c r="CD6" i="12"/>
  <c r="CC6" i="12"/>
  <c r="CB6" i="12"/>
  <c r="CA6" i="12"/>
  <c r="CD7" i="12"/>
  <c r="CC7" i="12"/>
  <c r="CB7" i="12"/>
  <c r="CA7" i="12"/>
  <c r="CD5" i="12"/>
  <c r="CC5" i="12"/>
  <c r="CE5" i="12" s="1"/>
  <c r="CB5" i="12"/>
  <c r="CA5" i="12"/>
  <c r="CD4" i="12"/>
  <c r="CC4" i="12"/>
  <c r="CB4" i="12"/>
  <c r="CA4" i="12"/>
  <c r="KF15" i="6"/>
  <c r="KE15" i="6"/>
  <c r="KG15" i="6" s="1"/>
  <c r="KD15" i="6"/>
  <c r="KC15" i="6"/>
  <c r="KF14" i="6"/>
  <c r="KE14" i="6"/>
  <c r="KD14" i="6"/>
  <c r="KC14" i="6"/>
  <c r="KF13" i="6"/>
  <c r="KE13" i="6"/>
  <c r="KG13" i="6" s="1"/>
  <c r="KD13" i="6"/>
  <c r="KC13" i="6"/>
  <c r="KF11" i="6"/>
  <c r="KE11" i="6"/>
  <c r="KD11" i="6"/>
  <c r="KC11" i="6"/>
  <c r="KF10" i="6"/>
  <c r="KE10" i="6"/>
  <c r="KD10" i="6"/>
  <c r="KC10" i="6"/>
  <c r="KF9" i="6"/>
  <c r="KE9" i="6"/>
  <c r="KD9" i="6"/>
  <c r="KC9" i="6"/>
  <c r="KF8" i="6"/>
  <c r="KE8" i="6"/>
  <c r="KD8" i="6"/>
  <c r="KC8" i="6"/>
  <c r="KF7" i="6"/>
  <c r="KE7" i="6"/>
  <c r="KD7" i="6"/>
  <c r="KC7" i="6"/>
  <c r="KF6" i="6"/>
  <c r="KE6" i="6"/>
  <c r="KD6" i="6"/>
  <c r="KC6" i="6"/>
  <c r="KF12" i="6"/>
  <c r="KE12" i="6"/>
  <c r="KD12" i="6"/>
  <c r="KC12" i="6"/>
  <c r="KF4" i="6"/>
  <c r="KE4" i="6"/>
  <c r="KD4" i="6"/>
  <c r="KC4" i="6"/>
  <c r="KF5" i="6"/>
  <c r="KE5" i="6"/>
  <c r="KD5" i="6"/>
  <c r="KC5" i="6"/>
  <c r="JK15" i="6"/>
  <c r="JJ15" i="6"/>
  <c r="JL15" i="6" s="1"/>
  <c r="JI15" i="6"/>
  <c r="JH15" i="6"/>
  <c r="JK14" i="6"/>
  <c r="JJ14" i="6"/>
  <c r="JI14" i="6"/>
  <c r="JH14" i="6"/>
  <c r="JK13" i="6"/>
  <c r="JJ13" i="6"/>
  <c r="JL13" i="6" s="1"/>
  <c r="JI13" i="6"/>
  <c r="JH13" i="6"/>
  <c r="JK11" i="6"/>
  <c r="JJ11" i="6"/>
  <c r="JI11" i="6"/>
  <c r="JH11" i="6"/>
  <c r="JK10" i="6"/>
  <c r="JJ10" i="6"/>
  <c r="JI10" i="6"/>
  <c r="JH10" i="6"/>
  <c r="JK9" i="6"/>
  <c r="JJ9" i="6"/>
  <c r="JI9" i="6"/>
  <c r="JH9" i="6"/>
  <c r="JK8" i="6"/>
  <c r="JJ8" i="6"/>
  <c r="JI8" i="6"/>
  <c r="JH8" i="6"/>
  <c r="JK7" i="6"/>
  <c r="JJ7" i="6"/>
  <c r="JI7" i="6"/>
  <c r="JH7" i="6"/>
  <c r="JK6" i="6"/>
  <c r="JJ6" i="6"/>
  <c r="JL6" i="6" s="1"/>
  <c r="JI6" i="6"/>
  <c r="JH6" i="6"/>
  <c r="JK12" i="6"/>
  <c r="JJ12" i="6"/>
  <c r="JI12" i="6"/>
  <c r="JH12" i="6"/>
  <c r="JK4" i="6"/>
  <c r="JJ4" i="6"/>
  <c r="JL4" i="6" s="1"/>
  <c r="JI4" i="6"/>
  <c r="JH4" i="6"/>
  <c r="JK5" i="6"/>
  <c r="JJ5" i="6"/>
  <c r="JI5" i="6"/>
  <c r="JH5" i="6"/>
  <c r="IP15" i="6"/>
  <c r="IO15" i="6"/>
  <c r="IN15" i="6"/>
  <c r="IM15" i="6"/>
  <c r="IP14" i="6"/>
  <c r="IO14" i="6"/>
  <c r="IN14" i="6"/>
  <c r="IM14" i="6"/>
  <c r="IP13" i="6"/>
  <c r="IO13" i="6"/>
  <c r="IN13" i="6"/>
  <c r="IM13" i="6"/>
  <c r="IP11" i="6"/>
  <c r="IO11" i="6"/>
  <c r="IN11" i="6"/>
  <c r="IM11" i="6"/>
  <c r="IP10" i="6"/>
  <c r="IO10" i="6"/>
  <c r="IQ10" i="6" s="1"/>
  <c r="IN10" i="6"/>
  <c r="IM10" i="6"/>
  <c r="IP9" i="6"/>
  <c r="IO9" i="6"/>
  <c r="IN9" i="6"/>
  <c r="IM9" i="6"/>
  <c r="IP8" i="6"/>
  <c r="IO8" i="6"/>
  <c r="IN8" i="6"/>
  <c r="IM8" i="6"/>
  <c r="IP7" i="6"/>
  <c r="IO7" i="6"/>
  <c r="IN7" i="6"/>
  <c r="IM7" i="6"/>
  <c r="IP6" i="6"/>
  <c r="IO6" i="6"/>
  <c r="IN6" i="6"/>
  <c r="IM6" i="6"/>
  <c r="IP12" i="6"/>
  <c r="IO12" i="6"/>
  <c r="IN12" i="6"/>
  <c r="IM12" i="6"/>
  <c r="IP4" i="6"/>
  <c r="IO4" i="6"/>
  <c r="IN4" i="6"/>
  <c r="IM4" i="6"/>
  <c r="IP5" i="6"/>
  <c r="IO5" i="6"/>
  <c r="IN5" i="6"/>
  <c r="IM5" i="6"/>
  <c r="HU15" i="6"/>
  <c r="HT15" i="6"/>
  <c r="HS15" i="6"/>
  <c r="HR15" i="6"/>
  <c r="HU14" i="6"/>
  <c r="HT14" i="6"/>
  <c r="HS14" i="6"/>
  <c r="HR14" i="6"/>
  <c r="HU13" i="6"/>
  <c r="HT13" i="6"/>
  <c r="HS13" i="6"/>
  <c r="HR13" i="6"/>
  <c r="HU11" i="6"/>
  <c r="HT11" i="6"/>
  <c r="HS11" i="6"/>
  <c r="HR11" i="6"/>
  <c r="HU10" i="6"/>
  <c r="HT10" i="6"/>
  <c r="HS10" i="6"/>
  <c r="HR10" i="6"/>
  <c r="HU9" i="6"/>
  <c r="HT9" i="6"/>
  <c r="HS9" i="6"/>
  <c r="HR9" i="6"/>
  <c r="HU8" i="6"/>
  <c r="HT8" i="6"/>
  <c r="HS8" i="6"/>
  <c r="HR8" i="6"/>
  <c r="HU7" i="6"/>
  <c r="HT7" i="6"/>
  <c r="HS7" i="6"/>
  <c r="HR7" i="6"/>
  <c r="HU6" i="6"/>
  <c r="HT6" i="6"/>
  <c r="HS6" i="6"/>
  <c r="HR6" i="6"/>
  <c r="HU12" i="6"/>
  <c r="HT12" i="6"/>
  <c r="HS12" i="6"/>
  <c r="HR12" i="6"/>
  <c r="HU4" i="6"/>
  <c r="HT4" i="6"/>
  <c r="HS4" i="6"/>
  <c r="HR4" i="6"/>
  <c r="HU5" i="6"/>
  <c r="HT5" i="6"/>
  <c r="HS5" i="6"/>
  <c r="HR5" i="6"/>
  <c r="GZ15" i="6"/>
  <c r="GY15" i="6"/>
  <c r="GX15" i="6"/>
  <c r="GW15" i="6"/>
  <c r="GZ14" i="6"/>
  <c r="GY14" i="6"/>
  <c r="GX14" i="6"/>
  <c r="GW14" i="6"/>
  <c r="GZ13" i="6"/>
  <c r="GY13" i="6"/>
  <c r="GX13" i="6"/>
  <c r="GW13" i="6"/>
  <c r="GZ11" i="6"/>
  <c r="GY11" i="6"/>
  <c r="GX11" i="6"/>
  <c r="GW11" i="6"/>
  <c r="GZ10" i="6"/>
  <c r="GY10" i="6"/>
  <c r="GX10" i="6"/>
  <c r="GW10" i="6"/>
  <c r="GZ9" i="6"/>
  <c r="GY9" i="6"/>
  <c r="GX9" i="6"/>
  <c r="GW9" i="6"/>
  <c r="GZ8" i="6"/>
  <c r="GY8" i="6"/>
  <c r="GX8" i="6"/>
  <c r="GW8" i="6"/>
  <c r="GZ7" i="6"/>
  <c r="GY7" i="6"/>
  <c r="GX7" i="6"/>
  <c r="GW7" i="6"/>
  <c r="GZ6" i="6"/>
  <c r="GY6" i="6"/>
  <c r="GX6" i="6"/>
  <c r="GW6" i="6"/>
  <c r="GZ12" i="6"/>
  <c r="GY12" i="6"/>
  <c r="GX12" i="6"/>
  <c r="GW12" i="6"/>
  <c r="GZ4" i="6"/>
  <c r="GY4" i="6"/>
  <c r="GX4" i="6"/>
  <c r="GW4" i="6"/>
  <c r="GZ5" i="6"/>
  <c r="GY5" i="6"/>
  <c r="GX5" i="6"/>
  <c r="GW5" i="6"/>
  <c r="GE15" i="6"/>
  <c r="GD15" i="6"/>
  <c r="GC15" i="6"/>
  <c r="GB15" i="6"/>
  <c r="GE14" i="6"/>
  <c r="GD14" i="6"/>
  <c r="GC14" i="6"/>
  <c r="GB14" i="6"/>
  <c r="GE13" i="6"/>
  <c r="GD13" i="6"/>
  <c r="GC13" i="6"/>
  <c r="GB13" i="6"/>
  <c r="GE11" i="6"/>
  <c r="GD11" i="6"/>
  <c r="GC11" i="6"/>
  <c r="GB11" i="6"/>
  <c r="GE10" i="6"/>
  <c r="GD10" i="6"/>
  <c r="GC10" i="6"/>
  <c r="GB10" i="6"/>
  <c r="GE9" i="6"/>
  <c r="GD9" i="6"/>
  <c r="GC9" i="6"/>
  <c r="GB9" i="6"/>
  <c r="GE8" i="6"/>
  <c r="GD8" i="6"/>
  <c r="GC8" i="6"/>
  <c r="GB8" i="6"/>
  <c r="GE7" i="6"/>
  <c r="GD7" i="6"/>
  <c r="GC7" i="6"/>
  <c r="GB7" i="6"/>
  <c r="GE6" i="6"/>
  <c r="GD6" i="6"/>
  <c r="GC6" i="6"/>
  <c r="GB6" i="6"/>
  <c r="GE12" i="6"/>
  <c r="GD12" i="6"/>
  <c r="GC12" i="6"/>
  <c r="GB12" i="6"/>
  <c r="GE4" i="6"/>
  <c r="GD4" i="6"/>
  <c r="GC4" i="6"/>
  <c r="GB4" i="6"/>
  <c r="GE5" i="6"/>
  <c r="GD5" i="6"/>
  <c r="GC5" i="6"/>
  <c r="GB5" i="6"/>
  <c r="FJ15" i="6"/>
  <c r="FI15" i="6"/>
  <c r="FH15" i="6"/>
  <c r="FG15" i="6"/>
  <c r="FJ14" i="6"/>
  <c r="FI14" i="6"/>
  <c r="FH14" i="6"/>
  <c r="FG14" i="6"/>
  <c r="FJ13" i="6"/>
  <c r="FI13" i="6"/>
  <c r="FH13" i="6"/>
  <c r="FG13" i="6"/>
  <c r="FJ11" i="6"/>
  <c r="FI11" i="6"/>
  <c r="FH11" i="6"/>
  <c r="FG11" i="6"/>
  <c r="FJ10" i="6"/>
  <c r="FI10" i="6"/>
  <c r="FH10" i="6"/>
  <c r="FG10" i="6"/>
  <c r="FJ9" i="6"/>
  <c r="FI9" i="6"/>
  <c r="FH9" i="6"/>
  <c r="FG9" i="6"/>
  <c r="FJ8" i="6"/>
  <c r="FI8" i="6"/>
  <c r="FH8" i="6"/>
  <c r="FG8" i="6"/>
  <c r="FJ7" i="6"/>
  <c r="FI7" i="6"/>
  <c r="FH7" i="6"/>
  <c r="FG7" i="6"/>
  <c r="FJ6" i="6"/>
  <c r="FI6" i="6"/>
  <c r="FH6" i="6"/>
  <c r="FG6" i="6"/>
  <c r="FJ12" i="6"/>
  <c r="FI12" i="6"/>
  <c r="FH12" i="6"/>
  <c r="FG12" i="6"/>
  <c r="FJ4" i="6"/>
  <c r="FI4" i="6"/>
  <c r="FH4" i="6"/>
  <c r="FG4" i="6"/>
  <c r="FJ5" i="6"/>
  <c r="FI5" i="6"/>
  <c r="FH5" i="6"/>
  <c r="FG5" i="6"/>
  <c r="EO15" i="6"/>
  <c r="EN15" i="6"/>
  <c r="EM15" i="6"/>
  <c r="EL15" i="6"/>
  <c r="EO14" i="6"/>
  <c r="EN14" i="6"/>
  <c r="EM14" i="6"/>
  <c r="EL14" i="6"/>
  <c r="EO13" i="6"/>
  <c r="EN13" i="6"/>
  <c r="EM13" i="6"/>
  <c r="EL13" i="6"/>
  <c r="EO11" i="6"/>
  <c r="EN11" i="6"/>
  <c r="EM11" i="6"/>
  <c r="EL11" i="6"/>
  <c r="EO10" i="6"/>
  <c r="EN10" i="6"/>
  <c r="EM10" i="6"/>
  <c r="EL10" i="6"/>
  <c r="EO9" i="6"/>
  <c r="EN9" i="6"/>
  <c r="EM9" i="6"/>
  <c r="EL9" i="6"/>
  <c r="EO8" i="6"/>
  <c r="EN8" i="6"/>
  <c r="EM8" i="6"/>
  <c r="EL8" i="6"/>
  <c r="EO7" i="6"/>
  <c r="EN7" i="6"/>
  <c r="EM7" i="6"/>
  <c r="EL7" i="6"/>
  <c r="EO6" i="6"/>
  <c r="EN6" i="6"/>
  <c r="EM6" i="6"/>
  <c r="EL6" i="6"/>
  <c r="EO12" i="6"/>
  <c r="EN12" i="6"/>
  <c r="EM12" i="6"/>
  <c r="EL12" i="6"/>
  <c r="EO4" i="6"/>
  <c r="EN4" i="6"/>
  <c r="EM4" i="6"/>
  <c r="EL4" i="6"/>
  <c r="EO5" i="6"/>
  <c r="EN5" i="6"/>
  <c r="EM5" i="6"/>
  <c r="EL5" i="6"/>
  <c r="DT15" i="6"/>
  <c r="DS15" i="6"/>
  <c r="DR15" i="6"/>
  <c r="DQ15" i="6"/>
  <c r="DT14" i="6"/>
  <c r="DS14" i="6"/>
  <c r="DR14" i="6"/>
  <c r="DQ14" i="6"/>
  <c r="DT13" i="6"/>
  <c r="DS13" i="6"/>
  <c r="DR13" i="6"/>
  <c r="DQ13" i="6"/>
  <c r="DT11" i="6"/>
  <c r="DS11" i="6"/>
  <c r="DR11" i="6"/>
  <c r="DQ11" i="6"/>
  <c r="DT10" i="6"/>
  <c r="DS10" i="6"/>
  <c r="DR10" i="6"/>
  <c r="DQ10" i="6"/>
  <c r="DT9" i="6"/>
  <c r="DS9" i="6"/>
  <c r="DR9" i="6"/>
  <c r="DQ9" i="6"/>
  <c r="DT8" i="6"/>
  <c r="DS8" i="6"/>
  <c r="DR8" i="6"/>
  <c r="DQ8" i="6"/>
  <c r="DT7" i="6"/>
  <c r="DS7" i="6"/>
  <c r="DR7" i="6"/>
  <c r="DQ7" i="6"/>
  <c r="DT6" i="6"/>
  <c r="DS6" i="6"/>
  <c r="DR6" i="6"/>
  <c r="DQ6" i="6"/>
  <c r="DT12" i="6"/>
  <c r="DS12" i="6"/>
  <c r="DR12" i="6"/>
  <c r="DQ12" i="6"/>
  <c r="DT4" i="6"/>
  <c r="DS4" i="6"/>
  <c r="DR4" i="6"/>
  <c r="DQ4" i="6"/>
  <c r="DT5" i="6"/>
  <c r="DS5" i="6"/>
  <c r="DR5" i="6"/>
  <c r="DQ5" i="6"/>
  <c r="CY15" i="6"/>
  <c r="CX15" i="6"/>
  <c r="CW15" i="6"/>
  <c r="CV15" i="6"/>
  <c r="CY14" i="6"/>
  <c r="CX14" i="6"/>
  <c r="CW14" i="6"/>
  <c r="CV14" i="6"/>
  <c r="CY13" i="6"/>
  <c r="CX13" i="6"/>
  <c r="CW13" i="6"/>
  <c r="CV13" i="6"/>
  <c r="CY11" i="6"/>
  <c r="CX11" i="6"/>
  <c r="CW11" i="6"/>
  <c r="CV11" i="6"/>
  <c r="CY10" i="6"/>
  <c r="CX10" i="6"/>
  <c r="CW10" i="6"/>
  <c r="CV10" i="6"/>
  <c r="CY9" i="6"/>
  <c r="CX9" i="6"/>
  <c r="CW9" i="6"/>
  <c r="CV9" i="6"/>
  <c r="CY8" i="6"/>
  <c r="CX8" i="6"/>
  <c r="CW8" i="6"/>
  <c r="CV8" i="6"/>
  <c r="CY7" i="6"/>
  <c r="CX7" i="6"/>
  <c r="CW7" i="6"/>
  <c r="CV7" i="6"/>
  <c r="CY6" i="6"/>
  <c r="CX6" i="6"/>
  <c r="CW6" i="6"/>
  <c r="CV6" i="6"/>
  <c r="CY12" i="6"/>
  <c r="CX12" i="6"/>
  <c r="CW12" i="6"/>
  <c r="CV12" i="6"/>
  <c r="CY4" i="6"/>
  <c r="CX4" i="6"/>
  <c r="CW4" i="6"/>
  <c r="CV4" i="6"/>
  <c r="CY5" i="6"/>
  <c r="CX5" i="6"/>
  <c r="CW5" i="6"/>
  <c r="CV5" i="6"/>
  <c r="CD15" i="6"/>
  <c r="CC15" i="6"/>
  <c r="CB15" i="6"/>
  <c r="CA15" i="6"/>
  <c r="CD14" i="6"/>
  <c r="CC14" i="6"/>
  <c r="CB14" i="6"/>
  <c r="CA14" i="6"/>
  <c r="CD13" i="6"/>
  <c r="CC13" i="6"/>
  <c r="CB13" i="6"/>
  <c r="CA13" i="6"/>
  <c r="CD11" i="6"/>
  <c r="CC11" i="6"/>
  <c r="CB11" i="6"/>
  <c r="CA11" i="6"/>
  <c r="CD10" i="6"/>
  <c r="CC10" i="6"/>
  <c r="CB10" i="6"/>
  <c r="CA10" i="6"/>
  <c r="CD9" i="6"/>
  <c r="CC9" i="6"/>
  <c r="CB9" i="6"/>
  <c r="CA9" i="6"/>
  <c r="CD8" i="6"/>
  <c r="CC8" i="6"/>
  <c r="CB8" i="6"/>
  <c r="CA8" i="6"/>
  <c r="CD7" i="6"/>
  <c r="CC7" i="6"/>
  <c r="CB7" i="6"/>
  <c r="CA7" i="6"/>
  <c r="CD6" i="6"/>
  <c r="CC6" i="6"/>
  <c r="CB6" i="6"/>
  <c r="CA6" i="6"/>
  <c r="CD12" i="6"/>
  <c r="CC12" i="6"/>
  <c r="CB12" i="6"/>
  <c r="CA12" i="6"/>
  <c r="CD4" i="6"/>
  <c r="CC4" i="6"/>
  <c r="CB4" i="6"/>
  <c r="CA4" i="6"/>
  <c r="CD5" i="6"/>
  <c r="CC5" i="6"/>
  <c r="CB5" i="6"/>
  <c r="CA5" i="6"/>
  <c r="JS6" i="8"/>
  <c r="JR6" i="8"/>
  <c r="JT6" i="8" s="1"/>
  <c r="JQ6" i="8"/>
  <c r="JS5" i="8"/>
  <c r="JR5" i="8"/>
  <c r="JQ5" i="8"/>
  <c r="JS4" i="8"/>
  <c r="JR4" i="8"/>
  <c r="JQ4" i="8"/>
  <c r="IY6" i="8"/>
  <c r="IX6" i="8"/>
  <c r="IW6" i="8"/>
  <c r="IY5" i="8"/>
  <c r="IX5" i="8"/>
  <c r="IW5" i="8"/>
  <c r="IY4" i="8"/>
  <c r="IX4" i="8"/>
  <c r="IW4" i="8"/>
  <c r="IE6" i="8"/>
  <c r="ID6" i="8"/>
  <c r="IC6" i="8"/>
  <c r="IE5" i="8"/>
  <c r="ID5" i="8"/>
  <c r="IC5" i="8"/>
  <c r="IE4" i="8"/>
  <c r="ID4" i="8"/>
  <c r="IF4" i="8" s="1"/>
  <c r="IC4" i="8"/>
  <c r="HK6" i="8"/>
  <c r="HJ6" i="8"/>
  <c r="HI6" i="8"/>
  <c r="HK5" i="8"/>
  <c r="HJ5" i="8"/>
  <c r="HI5" i="8"/>
  <c r="HK4" i="8"/>
  <c r="HJ4" i="8"/>
  <c r="HI4" i="8"/>
  <c r="GQ6" i="8"/>
  <c r="GP6" i="8"/>
  <c r="GO6" i="8"/>
  <c r="GQ5" i="8"/>
  <c r="GP5" i="8"/>
  <c r="GO5" i="8"/>
  <c r="GQ4" i="8"/>
  <c r="GP4" i="8"/>
  <c r="GO4" i="8"/>
  <c r="FW6" i="8"/>
  <c r="FV6" i="8"/>
  <c r="FU6" i="8"/>
  <c r="FW5" i="8"/>
  <c r="FV5" i="8"/>
  <c r="FX5" i="8" s="1"/>
  <c r="FU5" i="8"/>
  <c r="FW4" i="8"/>
  <c r="FV4" i="8"/>
  <c r="FU4" i="8"/>
  <c r="FC6" i="8"/>
  <c r="FB6" i="8"/>
  <c r="FA6" i="8"/>
  <c r="FC5" i="8"/>
  <c r="FB5" i="8"/>
  <c r="FA5" i="8"/>
  <c r="FC4" i="8"/>
  <c r="FB4" i="8"/>
  <c r="FA4" i="8"/>
  <c r="EI6" i="8"/>
  <c r="EH6" i="8"/>
  <c r="EG6" i="8"/>
  <c r="EI5" i="8"/>
  <c r="EH5" i="8"/>
  <c r="EG5" i="8"/>
  <c r="EI4" i="8"/>
  <c r="EH4" i="8"/>
  <c r="EG4" i="8"/>
  <c r="DO6" i="8"/>
  <c r="DN6" i="8"/>
  <c r="DM6" i="8"/>
  <c r="DO5" i="8"/>
  <c r="DN5" i="8"/>
  <c r="DM5" i="8"/>
  <c r="DO4" i="8"/>
  <c r="DN4" i="8"/>
  <c r="DM4" i="8"/>
  <c r="CU6" i="8"/>
  <c r="CT6" i="8"/>
  <c r="CS6" i="8"/>
  <c r="CU5" i="8"/>
  <c r="CT5" i="8"/>
  <c r="CS5" i="8"/>
  <c r="CU4" i="8"/>
  <c r="CT4" i="8"/>
  <c r="CS4" i="8"/>
  <c r="CA6" i="8"/>
  <c r="BZ6" i="8"/>
  <c r="BY6" i="8"/>
  <c r="CA5" i="8"/>
  <c r="BZ5" i="8"/>
  <c r="BY5" i="8"/>
  <c r="CA4" i="8"/>
  <c r="BZ4" i="8"/>
  <c r="BY4" i="8"/>
  <c r="JS9" i="7"/>
  <c r="JR9" i="7"/>
  <c r="JQ9" i="7"/>
  <c r="JS8" i="7"/>
  <c r="JR8" i="7"/>
  <c r="JQ8" i="7"/>
  <c r="JS7" i="7"/>
  <c r="JR7" i="7"/>
  <c r="JT7" i="7" s="1"/>
  <c r="JQ7" i="7"/>
  <c r="JS6" i="7"/>
  <c r="JR6" i="7"/>
  <c r="JQ6" i="7"/>
  <c r="JS5" i="7"/>
  <c r="JR5" i="7"/>
  <c r="JQ5" i="7"/>
  <c r="JS4" i="7"/>
  <c r="JR4" i="7"/>
  <c r="JQ4" i="7"/>
  <c r="IY9" i="7"/>
  <c r="IX9" i="7"/>
  <c r="IW9" i="7"/>
  <c r="IY8" i="7"/>
  <c r="IX8" i="7"/>
  <c r="IW8" i="7"/>
  <c r="IY7" i="7"/>
  <c r="IX7" i="7"/>
  <c r="IW7" i="7"/>
  <c r="IY6" i="7"/>
  <c r="IX6" i="7"/>
  <c r="IW6" i="7"/>
  <c r="IY5" i="7"/>
  <c r="IX5" i="7"/>
  <c r="IZ5" i="7" s="1"/>
  <c r="IW5" i="7"/>
  <c r="IY4" i="7"/>
  <c r="IX4" i="7"/>
  <c r="IW4" i="7"/>
  <c r="IE9" i="7"/>
  <c r="ID9" i="7"/>
  <c r="IC9" i="7"/>
  <c r="IE8" i="7"/>
  <c r="ID8" i="7"/>
  <c r="IC8" i="7"/>
  <c r="IE7" i="7"/>
  <c r="ID7" i="7"/>
  <c r="IC7" i="7"/>
  <c r="IE6" i="7"/>
  <c r="ID6" i="7"/>
  <c r="IC6" i="7"/>
  <c r="IE5" i="7"/>
  <c r="ID5" i="7"/>
  <c r="IC5" i="7"/>
  <c r="IE4" i="7"/>
  <c r="ID4" i="7"/>
  <c r="IC4" i="7"/>
  <c r="HK9" i="7"/>
  <c r="HJ9" i="7"/>
  <c r="HL9" i="7" s="1"/>
  <c r="HI9" i="7"/>
  <c r="HK8" i="7"/>
  <c r="HJ8" i="7"/>
  <c r="HI8" i="7"/>
  <c r="HK7" i="7"/>
  <c r="HJ7" i="7"/>
  <c r="HI7" i="7"/>
  <c r="HK6" i="7"/>
  <c r="HJ6" i="7"/>
  <c r="HI6" i="7"/>
  <c r="HK5" i="7"/>
  <c r="HJ5" i="7"/>
  <c r="HI5" i="7"/>
  <c r="HK4" i="7"/>
  <c r="HJ4" i="7"/>
  <c r="HL4" i="7" s="1"/>
  <c r="HI4" i="7"/>
  <c r="GQ9" i="7"/>
  <c r="GP9" i="7"/>
  <c r="GO9" i="7"/>
  <c r="GQ8" i="7"/>
  <c r="GP8" i="7"/>
  <c r="GO8" i="7"/>
  <c r="GQ7" i="7"/>
  <c r="GP7" i="7"/>
  <c r="GO7" i="7"/>
  <c r="GQ6" i="7"/>
  <c r="GP6" i="7"/>
  <c r="GO6" i="7"/>
  <c r="GQ5" i="7"/>
  <c r="GP5" i="7"/>
  <c r="GO5" i="7"/>
  <c r="GQ4" i="7"/>
  <c r="GP4" i="7"/>
  <c r="GO4" i="7"/>
  <c r="FW9" i="7"/>
  <c r="FV9" i="7"/>
  <c r="FU9" i="7"/>
  <c r="FW8" i="7"/>
  <c r="FV8" i="7"/>
  <c r="FU8" i="7"/>
  <c r="FW7" i="7"/>
  <c r="FV7" i="7"/>
  <c r="FU7" i="7"/>
  <c r="FW6" i="7"/>
  <c r="FV6" i="7"/>
  <c r="FU6" i="7"/>
  <c r="FW5" i="7"/>
  <c r="FV5" i="7"/>
  <c r="FU5" i="7"/>
  <c r="FW4" i="7"/>
  <c r="FV4" i="7"/>
  <c r="FU4" i="7"/>
  <c r="FC9" i="7"/>
  <c r="FB9" i="7"/>
  <c r="FA9" i="7"/>
  <c r="FC8" i="7"/>
  <c r="FB8" i="7"/>
  <c r="FA8" i="7"/>
  <c r="FC7" i="7"/>
  <c r="FB7" i="7"/>
  <c r="FA7" i="7"/>
  <c r="FC6" i="7"/>
  <c r="FB6" i="7"/>
  <c r="FD6" i="7" s="1"/>
  <c r="FA6" i="7"/>
  <c r="FC5" i="7"/>
  <c r="FB5" i="7"/>
  <c r="FA5" i="7"/>
  <c r="FC4" i="7"/>
  <c r="FB4" i="7"/>
  <c r="FA4" i="7"/>
  <c r="EI9" i="7"/>
  <c r="EH9" i="7"/>
  <c r="EG9" i="7"/>
  <c r="EI8" i="7"/>
  <c r="EH8" i="7"/>
  <c r="EG8" i="7"/>
  <c r="EI7" i="7"/>
  <c r="EH7" i="7"/>
  <c r="EG7" i="7"/>
  <c r="EI6" i="7"/>
  <c r="EH6" i="7"/>
  <c r="EG6" i="7"/>
  <c r="EI5" i="7"/>
  <c r="EH5" i="7"/>
  <c r="EG5" i="7"/>
  <c r="EI4" i="7"/>
  <c r="EH4" i="7"/>
  <c r="EJ4" i="7" s="1"/>
  <c r="EG4" i="7"/>
  <c r="DO9" i="7"/>
  <c r="DN9" i="7"/>
  <c r="DM9" i="7"/>
  <c r="DO8" i="7"/>
  <c r="DN8" i="7"/>
  <c r="DM8" i="7"/>
  <c r="DO7" i="7"/>
  <c r="DN7" i="7"/>
  <c r="DM7" i="7"/>
  <c r="DO6" i="7"/>
  <c r="DN6" i="7"/>
  <c r="DM6" i="7"/>
  <c r="DO5" i="7"/>
  <c r="DN5" i="7"/>
  <c r="DM5" i="7"/>
  <c r="DO4" i="7"/>
  <c r="DN4" i="7"/>
  <c r="DM4" i="7"/>
  <c r="CU9" i="7"/>
  <c r="CT9" i="7"/>
  <c r="CS9" i="7"/>
  <c r="CU8" i="7"/>
  <c r="CT8" i="7"/>
  <c r="CV8" i="7" s="1"/>
  <c r="CS8" i="7"/>
  <c r="CU7" i="7"/>
  <c r="CT7" i="7"/>
  <c r="CS7" i="7"/>
  <c r="CU6" i="7"/>
  <c r="CT6" i="7"/>
  <c r="CS6" i="7"/>
  <c r="CU5" i="7"/>
  <c r="CT5" i="7"/>
  <c r="CS5" i="7"/>
  <c r="CU4" i="7"/>
  <c r="CT4" i="7"/>
  <c r="CS4" i="7"/>
  <c r="CA9" i="7"/>
  <c r="BZ9" i="7"/>
  <c r="BY9" i="7"/>
  <c r="CA8" i="7"/>
  <c r="BZ8" i="7"/>
  <c r="BY8" i="7"/>
  <c r="CA7" i="7"/>
  <c r="BZ7" i="7"/>
  <c r="BY7" i="7"/>
  <c r="CA6" i="7"/>
  <c r="BZ6" i="7"/>
  <c r="CB6" i="7" s="1"/>
  <c r="BY6" i="7"/>
  <c r="CA5" i="7"/>
  <c r="BZ5" i="7"/>
  <c r="BY5" i="7"/>
  <c r="CA4" i="7"/>
  <c r="BZ4" i="7"/>
  <c r="BY4" i="7"/>
  <c r="KY16" i="10"/>
  <c r="KX16" i="10"/>
  <c r="KV16" i="10"/>
  <c r="KU16" i="10"/>
  <c r="KW16" i="10" s="1"/>
  <c r="KT16" i="10"/>
  <c r="KY15" i="10"/>
  <c r="KX15" i="10"/>
  <c r="KV15" i="10"/>
  <c r="KU15" i="10"/>
  <c r="KT15" i="10"/>
  <c r="KY14" i="10"/>
  <c r="KX14" i="10"/>
  <c r="KV14" i="10"/>
  <c r="KU14" i="10"/>
  <c r="KT14" i="10"/>
  <c r="KY18" i="10"/>
  <c r="KX18" i="10"/>
  <c r="KV18" i="10"/>
  <c r="KU18" i="10"/>
  <c r="KT18" i="10"/>
  <c r="KY17" i="10"/>
  <c r="KX17" i="10"/>
  <c r="KV17" i="10"/>
  <c r="KU17" i="10"/>
  <c r="KT17" i="10"/>
  <c r="KY13" i="10"/>
  <c r="KX13" i="10"/>
  <c r="KV13" i="10"/>
  <c r="KU13" i="10"/>
  <c r="KT13" i="10"/>
  <c r="KY12" i="10"/>
  <c r="KX12" i="10"/>
  <c r="KV12" i="10"/>
  <c r="KU12" i="10"/>
  <c r="KT12" i="10"/>
  <c r="KY11" i="10"/>
  <c r="KX11" i="10"/>
  <c r="KV11" i="10"/>
  <c r="KU11" i="10"/>
  <c r="KT11" i="10"/>
  <c r="KY10" i="10"/>
  <c r="KX10" i="10"/>
  <c r="KV10" i="10"/>
  <c r="KU10" i="10"/>
  <c r="KT10" i="10"/>
  <c r="KY8" i="10"/>
  <c r="KX8" i="10"/>
  <c r="KV8" i="10"/>
  <c r="KU8" i="10"/>
  <c r="KT8" i="10"/>
  <c r="KY7" i="10"/>
  <c r="KX7" i="10"/>
  <c r="KV7" i="10"/>
  <c r="KU7" i="10"/>
  <c r="KT7" i="10"/>
  <c r="KY6" i="10"/>
  <c r="KX6" i="10"/>
  <c r="KV6" i="10"/>
  <c r="KU6" i="10"/>
  <c r="KT6" i="10"/>
  <c r="KY5" i="10"/>
  <c r="KX5" i="10"/>
  <c r="KV5" i="10"/>
  <c r="KU5" i="10"/>
  <c r="KT5" i="10"/>
  <c r="KY4" i="10"/>
  <c r="KX4" i="10"/>
  <c r="KV4" i="10"/>
  <c r="KU4" i="10"/>
  <c r="KT4" i="10"/>
  <c r="KY9" i="10"/>
  <c r="KX9" i="10"/>
  <c r="KV9" i="10"/>
  <c r="KU9" i="10"/>
  <c r="KW9" i="10" s="1"/>
  <c r="KT9" i="10"/>
  <c r="KC16" i="10"/>
  <c r="KB16" i="10"/>
  <c r="JZ16" i="10"/>
  <c r="JY16" i="10"/>
  <c r="JX16" i="10"/>
  <c r="KC15" i="10"/>
  <c r="KB15" i="10"/>
  <c r="JZ15" i="10"/>
  <c r="JY15" i="10"/>
  <c r="KA15" i="10" s="1"/>
  <c r="JX15" i="10"/>
  <c r="KC14" i="10"/>
  <c r="KB14" i="10"/>
  <c r="JZ14" i="10"/>
  <c r="JY14" i="10"/>
  <c r="JX14" i="10"/>
  <c r="KC18" i="10"/>
  <c r="KB18" i="10"/>
  <c r="JZ18" i="10"/>
  <c r="JY18" i="10"/>
  <c r="JX18" i="10"/>
  <c r="KC17" i="10"/>
  <c r="KB17" i="10"/>
  <c r="JZ17" i="10"/>
  <c r="JY17" i="10"/>
  <c r="JX17" i="10"/>
  <c r="KC13" i="10"/>
  <c r="KB13" i="10"/>
  <c r="JZ13" i="10"/>
  <c r="JY13" i="10"/>
  <c r="JX13" i="10"/>
  <c r="KC12" i="10"/>
  <c r="KB12" i="10"/>
  <c r="JZ12" i="10"/>
  <c r="JY12" i="10"/>
  <c r="JX12" i="10"/>
  <c r="KC11" i="10"/>
  <c r="KB11" i="10"/>
  <c r="JZ11" i="10"/>
  <c r="JY11" i="10"/>
  <c r="JX11" i="10"/>
  <c r="KC10" i="10"/>
  <c r="KB10" i="10"/>
  <c r="JZ10" i="10"/>
  <c r="JY10" i="10"/>
  <c r="JX10" i="10"/>
  <c r="KC8" i="10"/>
  <c r="KB8" i="10"/>
  <c r="JZ8" i="10"/>
  <c r="JY8" i="10"/>
  <c r="JX8" i="10"/>
  <c r="KC7" i="10"/>
  <c r="KB7" i="10"/>
  <c r="JZ7" i="10"/>
  <c r="JY7" i="10"/>
  <c r="JX7" i="10"/>
  <c r="KC6" i="10"/>
  <c r="KB6" i="10"/>
  <c r="JZ6" i="10"/>
  <c r="JY6" i="10"/>
  <c r="JX6" i="10"/>
  <c r="KC5" i="10"/>
  <c r="KB5" i="10"/>
  <c r="JZ5" i="10"/>
  <c r="JY5" i="10"/>
  <c r="JX5" i="10"/>
  <c r="KC4" i="10"/>
  <c r="KB4" i="10"/>
  <c r="JZ4" i="10"/>
  <c r="JY4" i="10"/>
  <c r="JX4" i="10"/>
  <c r="KC9" i="10"/>
  <c r="KB9" i="10"/>
  <c r="JZ9" i="10"/>
  <c r="JY9" i="10"/>
  <c r="JX9" i="10"/>
  <c r="JG16" i="10"/>
  <c r="JF16" i="10"/>
  <c r="JD16" i="10"/>
  <c r="JC16" i="10"/>
  <c r="JB16" i="10"/>
  <c r="JG15" i="10"/>
  <c r="JF15" i="10"/>
  <c r="JD15" i="10"/>
  <c r="JC15" i="10"/>
  <c r="JB15" i="10"/>
  <c r="JG14" i="10"/>
  <c r="JF14" i="10"/>
  <c r="JD14" i="10"/>
  <c r="JC14" i="10"/>
  <c r="JB14" i="10"/>
  <c r="JG18" i="10"/>
  <c r="JF18" i="10"/>
  <c r="JD18" i="10"/>
  <c r="JC18" i="10"/>
  <c r="JB18" i="10"/>
  <c r="JG17" i="10"/>
  <c r="JF17" i="10"/>
  <c r="JD17" i="10"/>
  <c r="JC17" i="10"/>
  <c r="JB17" i="10"/>
  <c r="JG13" i="10"/>
  <c r="JF13" i="10"/>
  <c r="JD13" i="10"/>
  <c r="JC13" i="10"/>
  <c r="JB13" i="10"/>
  <c r="JG12" i="10"/>
  <c r="JF12" i="10"/>
  <c r="JD12" i="10"/>
  <c r="JC12" i="10"/>
  <c r="JB12" i="10"/>
  <c r="JG11" i="10"/>
  <c r="JF11" i="10"/>
  <c r="JD11" i="10"/>
  <c r="JC11" i="10"/>
  <c r="JB11" i="10"/>
  <c r="JG10" i="10"/>
  <c r="JF10" i="10"/>
  <c r="JD10" i="10"/>
  <c r="JC10" i="10"/>
  <c r="JB10" i="10"/>
  <c r="JG8" i="10"/>
  <c r="JF8" i="10"/>
  <c r="JD8" i="10"/>
  <c r="JC8" i="10"/>
  <c r="JB8" i="10"/>
  <c r="JG7" i="10"/>
  <c r="JF7" i="10"/>
  <c r="JD7" i="10"/>
  <c r="JC7" i="10"/>
  <c r="JE7" i="10" s="1"/>
  <c r="JB7" i="10"/>
  <c r="JG6" i="10"/>
  <c r="JF6" i="10"/>
  <c r="JD6" i="10"/>
  <c r="JC6" i="10"/>
  <c r="JB6" i="10"/>
  <c r="JG5" i="10"/>
  <c r="JF5" i="10"/>
  <c r="JD5" i="10"/>
  <c r="JC5" i="10"/>
  <c r="JB5" i="10"/>
  <c r="JG4" i="10"/>
  <c r="JF4" i="10"/>
  <c r="JD4" i="10"/>
  <c r="JC4" i="10"/>
  <c r="JB4" i="10"/>
  <c r="JG9" i="10"/>
  <c r="JF9" i="10"/>
  <c r="JD9" i="10"/>
  <c r="JC9" i="10"/>
  <c r="JB9" i="10"/>
  <c r="IK16" i="10"/>
  <c r="IJ16" i="10"/>
  <c r="IH16" i="10"/>
  <c r="IG16" i="10"/>
  <c r="IF16" i="10"/>
  <c r="IK15" i="10"/>
  <c r="IJ15" i="10"/>
  <c r="IH15" i="10"/>
  <c r="IG15" i="10"/>
  <c r="IF15" i="10"/>
  <c r="IK14" i="10"/>
  <c r="IJ14" i="10"/>
  <c r="IH14" i="10"/>
  <c r="IG14" i="10"/>
  <c r="IF14" i="10"/>
  <c r="IK18" i="10"/>
  <c r="IJ18" i="10"/>
  <c r="IH18" i="10"/>
  <c r="IG18" i="10"/>
  <c r="II18" i="10" s="1"/>
  <c r="IF18" i="10"/>
  <c r="IK17" i="10"/>
  <c r="IJ17" i="10"/>
  <c r="IH17" i="10"/>
  <c r="IG17" i="10"/>
  <c r="IF17" i="10"/>
  <c r="IK13" i="10"/>
  <c r="IJ13" i="10"/>
  <c r="IH13" i="10"/>
  <c r="IG13" i="10"/>
  <c r="IF13" i="10"/>
  <c r="IK12" i="10"/>
  <c r="IJ12" i="10"/>
  <c r="IH12" i="10"/>
  <c r="IG12" i="10"/>
  <c r="IF12" i="10"/>
  <c r="IK11" i="10"/>
  <c r="IJ11" i="10"/>
  <c r="IH11" i="10"/>
  <c r="IG11" i="10"/>
  <c r="IF11" i="10"/>
  <c r="IK10" i="10"/>
  <c r="IJ10" i="10"/>
  <c r="IH10" i="10"/>
  <c r="IG10" i="10"/>
  <c r="IF10" i="10"/>
  <c r="IK8" i="10"/>
  <c r="IJ8" i="10"/>
  <c r="IH8" i="10"/>
  <c r="IG8" i="10"/>
  <c r="IF8" i="10"/>
  <c r="IK7" i="10"/>
  <c r="IJ7" i="10"/>
  <c r="IH7" i="10"/>
  <c r="IG7" i="10"/>
  <c r="IF7" i="10"/>
  <c r="IK6" i="10"/>
  <c r="IJ6" i="10"/>
  <c r="IH6" i="10"/>
  <c r="IG6" i="10"/>
  <c r="IF6" i="10"/>
  <c r="IK5" i="10"/>
  <c r="IJ5" i="10"/>
  <c r="IH5" i="10"/>
  <c r="IG5" i="10"/>
  <c r="IF5" i="10"/>
  <c r="IK4" i="10"/>
  <c r="IJ4" i="10"/>
  <c r="IH4" i="10"/>
  <c r="IG4" i="10"/>
  <c r="IF4" i="10"/>
  <c r="IK9" i="10"/>
  <c r="IJ9" i="10"/>
  <c r="IH9" i="10"/>
  <c r="IG9" i="10"/>
  <c r="IF9" i="10"/>
  <c r="HO16" i="10"/>
  <c r="HN16" i="10"/>
  <c r="HL16" i="10"/>
  <c r="HK16" i="10"/>
  <c r="HJ16" i="10"/>
  <c r="HO15" i="10"/>
  <c r="HN15" i="10"/>
  <c r="HL15" i="10"/>
  <c r="HK15" i="10"/>
  <c r="HJ15" i="10"/>
  <c r="HO14" i="10"/>
  <c r="HN14" i="10"/>
  <c r="HL14" i="10"/>
  <c r="HK14" i="10"/>
  <c r="HJ14" i="10"/>
  <c r="HO18" i="10"/>
  <c r="HN18" i="10"/>
  <c r="HL18" i="10"/>
  <c r="HK18" i="10"/>
  <c r="HJ18" i="10"/>
  <c r="HO17" i="10"/>
  <c r="HN17" i="10"/>
  <c r="HL17" i="10"/>
  <c r="HK17" i="10"/>
  <c r="HJ17" i="10"/>
  <c r="HO13" i="10"/>
  <c r="HN13" i="10"/>
  <c r="HL13" i="10"/>
  <c r="HK13" i="10"/>
  <c r="HJ13" i="10"/>
  <c r="HO12" i="10"/>
  <c r="HN12" i="10"/>
  <c r="HL12" i="10"/>
  <c r="HK12" i="10"/>
  <c r="HJ12" i="10"/>
  <c r="HO11" i="10"/>
  <c r="HN11" i="10"/>
  <c r="HL11" i="10"/>
  <c r="HK11" i="10"/>
  <c r="HJ11" i="10"/>
  <c r="HO10" i="10"/>
  <c r="HN10" i="10"/>
  <c r="HL10" i="10"/>
  <c r="HK10" i="10"/>
  <c r="HJ10" i="10"/>
  <c r="HO8" i="10"/>
  <c r="HN8" i="10"/>
  <c r="HL8" i="10"/>
  <c r="HK8" i="10"/>
  <c r="HJ8" i="10"/>
  <c r="HO7" i="10"/>
  <c r="HN7" i="10"/>
  <c r="HL7" i="10"/>
  <c r="HK7" i="10"/>
  <c r="HJ7" i="10"/>
  <c r="HO6" i="10"/>
  <c r="HN6" i="10"/>
  <c r="HL6" i="10"/>
  <c r="HK6" i="10"/>
  <c r="HJ6" i="10"/>
  <c r="HO5" i="10"/>
  <c r="HN5" i="10"/>
  <c r="HL5" i="10"/>
  <c r="HK5" i="10"/>
  <c r="HJ5" i="10"/>
  <c r="HO4" i="10"/>
  <c r="HN4" i="10"/>
  <c r="HL4" i="10"/>
  <c r="HK4" i="10"/>
  <c r="HJ4" i="10"/>
  <c r="HO9" i="10"/>
  <c r="HN9" i="10"/>
  <c r="HL9" i="10"/>
  <c r="HK9" i="10"/>
  <c r="HJ9" i="10"/>
  <c r="GS16" i="10"/>
  <c r="GR16" i="10"/>
  <c r="GP16" i="10"/>
  <c r="GO16" i="10"/>
  <c r="GN16" i="10"/>
  <c r="GS15" i="10"/>
  <c r="GR15" i="10"/>
  <c r="GP15" i="10"/>
  <c r="GO15" i="10"/>
  <c r="GN15" i="10"/>
  <c r="GS14" i="10"/>
  <c r="GR14" i="10"/>
  <c r="GP14" i="10"/>
  <c r="GO14" i="10"/>
  <c r="GN14" i="10"/>
  <c r="GS18" i="10"/>
  <c r="GR18" i="10"/>
  <c r="GP18" i="10"/>
  <c r="GO18" i="10"/>
  <c r="GQ18" i="10" s="1"/>
  <c r="GN18" i="10"/>
  <c r="GS17" i="10"/>
  <c r="GR17" i="10"/>
  <c r="GP17" i="10"/>
  <c r="GO17" i="10"/>
  <c r="GN17" i="10"/>
  <c r="GS13" i="10"/>
  <c r="GR13" i="10"/>
  <c r="GP13" i="10"/>
  <c r="GO13" i="10"/>
  <c r="GN13" i="10"/>
  <c r="GS12" i="10"/>
  <c r="GR12" i="10"/>
  <c r="GP12" i="10"/>
  <c r="GO12" i="10"/>
  <c r="GN12" i="10"/>
  <c r="GS11" i="10"/>
  <c r="GR11" i="10"/>
  <c r="GP11" i="10"/>
  <c r="GO11" i="10"/>
  <c r="GN11" i="10"/>
  <c r="GS10" i="10"/>
  <c r="GR10" i="10"/>
  <c r="GP10" i="10"/>
  <c r="GO10" i="10"/>
  <c r="GN10" i="10"/>
  <c r="GS8" i="10"/>
  <c r="GR8" i="10"/>
  <c r="GP8" i="10"/>
  <c r="GO8" i="10"/>
  <c r="GN8" i="10"/>
  <c r="GS7" i="10"/>
  <c r="GR7" i="10"/>
  <c r="GP7" i="10"/>
  <c r="GO7" i="10"/>
  <c r="GN7" i="10"/>
  <c r="GS6" i="10"/>
  <c r="GR6" i="10"/>
  <c r="GP6" i="10"/>
  <c r="GO6" i="10"/>
  <c r="GN6" i="10"/>
  <c r="GS5" i="10"/>
  <c r="GR5" i="10"/>
  <c r="GP5" i="10"/>
  <c r="GO5" i="10"/>
  <c r="GN5" i="10"/>
  <c r="GS4" i="10"/>
  <c r="GR4" i="10"/>
  <c r="GP4" i="10"/>
  <c r="GO4" i="10"/>
  <c r="GN4" i="10"/>
  <c r="GS9" i="10"/>
  <c r="GR9" i="10"/>
  <c r="GP9" i="10"/>
  <c r="GO9" i="10"/>
  <c r="GN9" i="10"/>
  <c r="FW16" i="10"/>
  <c r="FV16" i="10"/>
  <c r="FT16" i="10"/>
  <c r="FS16" i="10"/>
  <c r="FR16" i="10"/>
  <c r="FW15" i="10"/>
  <c r="FV15" i="10"/>
  <c r="FT15" i="10"/>
  <c r="FS15" i="10"/>
  <c r="FR15" i="10"/>
  <c r="FW14" i="10"/>
  <c r="FV14" i="10"/>
  <c r="FT14" i="10"/>
  <c r="FS14" i="10"/>
  <c r="FR14" i="10"/>
  <c r="FW18" i="10"/>
  <c r="FV18" i="10"/>
  <c r="FT18" i="10"/>
  <c r="FS18" i="10"/>
  <c r="FR18" i="10"/>
  <c r="FW17" i="10"/>
  <c r="FV17" i="10"/>
  <c r="FT17" i="10"/>
  <c r="FS17" i="10"/>
  <c r="FU17" i="10" s="1"/>
  <c r="FX17" i="10" s="1"/>
  <c r="FR17" i="10"/>
  <c r="FW13" i="10"/>
  <c r="FV13" i="10"/>
  <c r="FT13" i="10"/>
  <c r="FS13" i="10"/>
  <c r="FR13" i="10"/>
  <c r="FW12" i="10"/>
  <c r="FV12" i="10"/>
  <c r="FT12" i="10"/>
  <c r="FS12" i="10"/>
  <c r="FR12" i="10"/>
  <c r="FW11" i="10"/>
  <c r="FV11" i="10"/>
  <c r="FT11" i="10"/>
  <c r="FS11" i="10"/>
  <c r="FR11" i="10"/>
  <c r="FW10" i="10"/>
  <c r="FV10" i="10"/>
  <c r="FT10" i="10"/>
  <c r="FS10" i="10"/>
  <c r="FR10" i="10"/>
  <c r="FW8" i="10"/>
  <c r="FV8" i="10"/>
  <c r="FT8" i="10"/>
  <c r="FS8" i="10"/>
  <c r="FR8" i="10"/>
  <c r="FW7" i="10"/>
  <c r="FV7" i="10"/>
  <c r="FT7" i="10"/>
  <c r="FS7" i="10"/>
  <c r="FR7" i="10"/>
  <c r="FW6" i="10"/>
  <c r="FV6" i="10"/>
  <c r="FT6" i="10"/>
  <c r="FS6" i="10"/>
  <c r="FR6" i="10"/>
  <c r="FW5" i="10"/>
  <c r="FV5" i="10"/>
  <c r="FT5" i="10"/>
  <c r="FS5" i="10"/>
  <c r="FU5" i="10" s="1"/>
  <c r="FR5" i="10"/>
  <c r="FW4" i="10"/>
  <c r="FV4" i="10"/>
  <c r="FT4" i="10"/>
  <c r="FS4" i="10"/>
  <c r="FR4" i="10"/>
  <c r="FW9" i="10"/>
  <c r="FV9" i="10"/>
  <c r="FT9" i="10"/>
  <c r="FS9" i="10"/>
  <c r="FR9" i="10"/>
  <c r="FA16" i="10"/>
  <c r="EZ16" i="10"/>
  <c r="EX16" i="10"/>
  <c r="EW16" i="10"/>
  <c r="EV16" i="10"/>
  <c r="FA15" i="10"/>
  <c r="EZ15" i="10"/>
  <c r="EX15" i="10"/>
  <c r="EW15" i="10"/>
  <c r="EV15" i="10"/>
  <c r="FA14" i="10"/>
  <c r="EZ14" i="10"/>
  <c r="EX14" i="10"/>
  <c r="EW14" i="10"/>
  <c r="EV14" i="10"/>
  <c r="FA18" i="10"/>
  <c r="EZ18" i="10"/>
  <c r="EX18" i="10"/>
  <c r="EW18" i="10"/>
  <c r="EV18" i="10"/>
  <c r="FA17" i="10"/>
  <c r="EZ17" i="10"/>
  <c r="EX17" i="10"/>
  <c r="EW17" i="10"/>
  <c r="EV17" i="10"/>
  <c r="FA13" i="10"/>
  <c r="EZ13" i="10"/>
  <c r="EX13" i="10"/>
  <c r="EW13" i="10"/>
  <c r="EV13" i="10"/>
  <c r="FA12" i="10"/>
  <c r="EZ12" i="10"/>
  <c r="EX12" i="10"/>
  <c r="EW12" i="10"/>
  <c r="EV12" i="10"/>
  <c r="FA11" i="10"/>
  <c r="EZ11" i="10"/>
  <c r="EX11" i="10"/>
  <c r="EW11" i="10"/>
  <c r="EV11" i="10"/>
  <c r="FA10" i="10"/>
  <c r="EZ10" i="10"/>
  <c r="EX10" i="10"/>
  <c r="EW10" i="10"/>
  <c r="EV10" i="10"/>
  <c r="FA8" i="10"/>
  <c r="EZ8" i="10"/>
  <c r="EX8" i="10"/>
  <c r="EW8" i="10"/>
  <c r="EV8" i="10"/>
  <c r="FA7" i="10"/>
  <c r="EZ7" i="10"/>
  <c r="EX7" i="10"/>
  <c r="EW7" i="10"/>
  <c r="EV7" i="10"/>
  <c r="FA6" i="10"/>
  <c r="EZ6" i="10"/>
  <c r="EX6" i="10"/>
  <c r="EW6" i="10"/>
  <c r="EV6" i="10"/>
  <c r="FA5" i="10"/>
  <c r="EZ5" i="10"/>
  <c r="EX5" i="10"/>
  <c r="EW5" i="10"/>
  <c r="EV5" i="10"/>
  <c r="FA4" i="10"/>
  <c r="EZ4" i="10"/>
  <c r="EX4" i="10"/>
  <c r="EW4" i="10"/>
  <c r="EV4" i="10"/>
  <c r="FA9" i="10"/>
  <c r="EZ9" i="10"/>
  <c r="EX9" i="10"/>
  <c r="EW9" i="10"/>
  <c r="EV9" i="10"/>
  <c r="EE16" i="10"/>
  <c r="ED16" i="10"/>
  <c r="EB16" i="10"/>
  <c r="EA16" i="10"/>
  <c r="DZ16" i="10"/>
  <c r="EE15" i="10"/>
  <c r="ED15" i="10"/>
  <c r="EB15" i="10"/>
  <c r="EA15" i="10"/>
  <c r="DZ15" i="10"/>
  <c r="EE14" i="10"/>
  <c r="ED14" i="10"/>
  <c r="EB14" i="10"/>
  <c r="EA14" i="10"/>
  <c r="DZ14" i="10"/>
  <c r="EE18" i="10"/>
  <c r="ED18" i="10"/>
  <c r="EB18" i="10"/>
  <c r="EA18" i="10"/>
  <c r="DZ18" i="10"/>
  <c r="EE17" i="10"/>
  <c r="ED17" i="10"/>
  <c r="EB17" i="10"/>
  <c r="EA17" i="10"/>
  <c r="DZ17" i="10"/>
  <c r="EE13" i="10"/>
  <c r="ED13" i="10"/>
  <c r="EB13" i="10"/>
  <c r="EA13" i="10"/>
  <c r="DZ13" i="10"/>
  <c r="EE12" i="10"/>
  <c r="ED12" i="10"/>
  <c r="EB12" i="10"/>
  <c r="EA12" i="10"/>
  <c r="DZ12" i="10"/>
  <c r="EE11" i="10"/>
  <c r="ED11" i="10"/>
  <c r="EB11" i="10"/>
  <c r="EA11" i="10"/>
  <c r="DZ11" i="10"/>
  <c r="EE10" i="10"/>
  <c r="ED10" i="10"/>
  <c r="EB10" i="10"/>
  <c r="EA10" i="10"/>
  <c r="DZ10" i="10"/>
  <c r="EE8" i="10"/>
  <c r="ED8" i="10"/>
  <c r="EB8" i="10"/>
  <c r="EA8" i="10"/>
  <c r="DZ8" i="10"/>
  <c r="EE7" i="10"/>
  <c r="ED7" i="10"/>
  <c r="EB7" i="10"/>
  <c r="EA7" i="10"/>
  <c r="DZ7" i="10"/>
  <c r="EE6" i="10"/>
  <c r="ED6" i="10"/>
  <c r="EB6" i="10"/>
  <c r="EA6" i="10"/>
  <c r="DZ6" i="10"/>
  <c r="EE5" i="10"/>
  <c r="ED5" i="10"/>
  <c r="EB5" i="10"/>
  <c r="EA5" i="10"/>
  <c r="DZ5" i="10"/>
  <c r="EE4" i="10"/>
  <c r="ED4" i="10"/>
  <c r="EB4" i="10"/>
  <c r="EA4" i="10"/>
  <c r="DZ4" i="10"/>
  <c r="EE9" i="10"/>
  <c r="ED9" i="10"/>
  <c r="EB9" i="10"/>
  <c r="EA9" i="10"/>
  <c r="EC9" i="10" s="1"/>
  <c r="DZ9" i="10"/>
  <c r="DI16" i="10"/>
  <c r="DH16" i="10"/>
  <c r="DF16" i="10"/>
  <c r="DE16" i="10"/>
  <c r="DD16" i="10"/>
  <c r="DI15" i="10"/>
  <c r="DH15" i="10"/>
  <c r="DF15" i="10"/>
  <c r="DE15" i="10"/>
  <c r="DD15" i="10"/>
  <c r="DI14" i="10"/>
  <c r="DH14" i="10"/>
  <c r="DF14" i="10"/>
  <c r="DE14" i="10"/>
  <c r="DD14" i="10"/>
  <c r="DI18" i="10"/>
  <c r="DH18" i="10"/>
  <c r="DF18" i="10"/>
  <c r="DE18" i="10"/>
  <c r="DD18" i="10"/>
  <c r="DI17" i="10"/>
  <c r="DH17" i="10"/>
  <c r="DF17" i="10"/>
  <c r="DE17" i="10"/>
  <c r="DD17" i="10"/>
  <c r="DI13" i="10"/>
  <c r="DH13" i="10"/>
  <c r="DF13" i="10"/>
  <c r="DE13" i="10"/>
  <c r="DD13" i="10"/>
  <c r="DI12" i="10"/>
  <c r="DH12" i="10"/>
  <c r="DF12" i="10"/>
  <c r="DE12" i="10"/>
  <c r="DD12" i="10"/>
  <c r="DI11" i="10"/>
  <c r="DH11" i="10"/>
  <c r="DF11" i="10"/>
  <c r="DE11" i="10"/>
  <c r="DG11" i="10" s="1"/>
  <c r="DD11" i="10"/>
  <c r="DI10" i="10"/>
  <c r="DH10" i="10"/>
  <c r="DF10" i="10"/>
  <c r="DE10" i="10"/>
  <c r="DD10" i="10"/>
  <c r="DI8" i="10"/>
  <c r="DH8" i="10"/>
  <c r="DF8" i="10"/>
  <c r="DE8" i="10"/>
  <c r="DD8" i="10"/>
  <c r="DI7" i="10"/>
  <c r="DH7" i="10"/>
  <c r="DF7" i="10"/>
  <c r="DE7" i="10"/>
  <c r="DD7" i="10"/>
  <c r="DI6" i="10"/>
  <c r="DH6" i="10"/>
  <c r="DF6" i="10"/>
  <c r="DE6" i="10"/>
  <c r="DD6" i="10"/>
  <c r="DI5" i="10"/>
  <c r="DH5" i="10"/>
  <c r="DF5" i="10"/>
  <c r="DE5" i="10"/>
  <c r="DD5" i="10"/>
  <c r="DI4" i="10"/>
  <c r="DH4" i="10"/>
  <c r="DF4" i="10"/>
  <c r="DE4" i="10"/>
  <c r="DD4" i="10"/>
  <c r="DI9" i="10"/>
  <c r="DH9" i="10"/>
  <c r="DF9" i="10"/>
  <c r="DE9" i="10"/>
  <c r="DD9" i="10"/>
  <c r="CM16" i="10"/>
  <c r="CL16" i="10"/>
  <c r="CJ16" i="10"/>
  <c r="CI16" i="10"/>
  <c r="CK16" i="10" s="1"/>
  <c r="CH16" i="10"/>
  <c r="CM15" i="10"/>
  <c r="CL15" i="10"/>
  <c r="CJ15" i="10"/>
  <c r="CI15" i="10"/>
  <c r="CH15" i="10"/>
  <c r="CM14" i="10"/>
  <c r="CL14" i="10"/>
  <c r="CJ14" i="10"/>
  <c r="CI14" i="10"/>
  <c r="CH14" i="10"/>
  <c r="CM18" i="10"/>
  <c r="CL18" i="10"/>
  <c r="CJ18" i="10"/>
  <c r="CI18" i="10"/>
  <c r="CK18" i="10" s="1"/>
  <c r="CH18" i="10"/>
  <c r="CM17" i="10"/>
  <c r="CL17" i="10"/>
  <c r="CJ17" i="10"/>
  <c r="CI17" i="10"/>
  <c r="CH17" i="10"/>
  <c r="CM13" i="10"/>
  <c r="CL13" i="10"/>
  <c r="CJ13" i="10"/>
  <c r="CI13" i="10"/>
  <c r="CH13" i="10"/>
  <c r="CM12" i="10"/>
  <c r="CL12" i="10"/>
  <c r="CJ12" i="10"/>
  <c r="CI12" i="10"/>
  <c r="CH12" i="10"/>
  <c r="CM11" i="10"/>
  <c r="CL11" i="10"/>
  <c r="CJ11" i="10"/>
  <c r="CI11" i="10"/>
  <c r="CH11" i="10"/>
  <c r="CM10" i="10"/>
  <c r="CL10" i="10"/>
  <c r="CJ10" i="10"/>
  <c r="CI10" i="10"/>
  <c r="CK10" i="10" s="1"/>
  <c r="CH10" i="10"/>
  <c r="CM8" i="10"/>
  <c r="CL8" i="10"/>
  <c r="CJ8" i="10"/>
  <c r="CI8" i="10"/>
  <c r="CH8" i="10"/>
  <c r="CM7" i="10"/>
  <c r="CL7" i="10"/>
  <c r="CJ7" i="10"/>
  <c r="CI7" i="10"/>
  <c r="CH7" i="10"/>
  <c r="CM6" i="10"/>
  <c r="CL6" i="10"/>
  <c r="CJ6" i="10"/>
  <c r="CI6" i="10"/>
  <c r="CK6" i="10" s="1"/>
  <c r="CN6" i="10" s="1"/>
  <c r="CH6" i="10"/>
  <c r="CM5" i="10"/>
  <c r="CL5" i="10"/>
  <c r="CJ5" i="10"/>
  <c r="CI5" i="10"/>
  <c r="CH5" i="10"/>
  <c r="CM4" i="10"/>
  <c r="CL4" i="10"/>
  <c r="CJ4" i="10"/>
  <c r="CI4" i="10"/>
  <c r="CH4" i="10"/>
  <c r="CM9" i="10"/>
  <c r="CL9" i="10"/>
  <c r="CJ9" i="10"/>
  <c r="CI9" i="10"/>
  <c r="CH9" i="10"/>
  <c r="KY16" i="9"/>
  <c r="KX16" i="9"/>
  <c r="KV16" i="9"/>
  <c r="KU16" i="9"/>
  <c r="KT16" i="9"/>
  <c r="KY15" i="9"/>
  <c r="KX15" i="9"/>
  <c r="KV15" i="9"/>
  <c r="KU15" i="9"/>
  <c r="KT15" i="9"/>
  <c r="KY14" i="9"/>
  <c r="KX14" i="9"/>
  <c r="KV14" i="9"/>
  <c r="KU14" i="9"/>
  <c r="KW14" i="9" s="1"/>
  <c r="KT14" i="9"/>
  <c r="KY13" i="9"/>
  <c r="KX13" i="9"/>
  <c r="KV13" i="9"/>
  <c r="KU13" i="9"/>
  <c r="KT13" i="9"/>
  <c r="KY12" i="9"/>
  <c r="KX12" i="9"/>
  <c r="KV12" i="9"/>
  <c r="KU12" i="9"/>
  <c r="KT12" i="9"/>
  <c r="KY11" i="9"/>
  <c r="KX11" i="9"/>
  <c r="KV11" i="9"/>
  <c r="KU11" i="9"/>
  <c r="KT11" i="9"/>
  <c r="KY10" i="9"/>
  <c r="KX10" i="9"/>
  <c r="KV10" i="9"/>
  <c r="KU10" i="9"/>
  <c r="KT10" i="9"/>
  <c r="KY9" i="9"/>
  <c r="KX9" i="9"/>
  <c r="KV9" i="9"/>
  <c r="KU9" i="9"/>
  <c r="KT9" i="9"/>
  <c r="KY8" i="9"/>
  <c r="KX8" i="9"/>
  <c r="KV8" i="9"/>
  <c r="KU8" i="9"/>
  <c r="KT8" i="9"/>
  <c r="KY6" i="9"/>
  <c r="KX6" i="9"/>
  <c r="KV6" i="9"/>
  <c r="KU6" i="9"/>
  <c r="KT6" i="9"/>
  <c r="KY7" i="9"/>
  <c r="KX7" i="9"/>
  <c r="KV7" i="9"/>
  <c r="KU7" i="9"/>
  <c r="KT7" i="9"/>
  <c r="KY17" i="9"/>
  <c r="KX17" i="9"/>
  <c r="KV17" i="9"/>
  <c r="KU17" i="9"/>
  <c r="KT17" i="9"/>
  <c r="KY5" i="9"/>
  <c r="KX5" i="9"/>
  <c r="KV5" i="9"/>
  <c r="KU5" i="9"/>
  <c r="KW5" i="9" s="1"/>
  <c r="KT5" i="9"/>
  <c r="KY4" i="9"/>
  <c r="KX4" i="9"/>
  <c r="KV4" i="9"/>
  <c r="KU4" i="9"/>
  <c r="KT4" i="9"/>
  <c r="KC16" i="9"/>
  <c r="KB16" i="9"/>
  <c r="JZ16" i="9"/>
  <c r="JY16" i="9"/>
  <c r="JX16" i="9"/>
  <c r="KC15" i="9"/>
  <c r="KB15" i="9"/>
  <c r="JZ15" i="9"/>
  <c r="JY15" i="9"/>
  <c r="JX15" i="9"/>
  <c r="KC14" i="9"/>
  <c r="KB14" i="9"/>
  <c r="JZ14" i="9"/>
  <c r="JY14" i="9"/>
  <c r="JX14" i="9"/>
  <c r="KC13" i="9"/>
  <c r="KB13" i="9"/>
  <c r="JZ13" i="9"/>
  <c r="JY13" i="9"/>
  <c r="JX13" i="9"/>
  <c r="KC12" i="9"/>
  <c r="KB12" i="9"/>
  <c r="JZ12" i="9"/>
  <c r="JY12" i="9"/>
  <c r="JX12" i="9"/>
  <c r="KC11" i="9"/>
  <c r="KB11" i="9"/>
  <c r="JZ11" i="9"/>
  <c r="JY11" i="9"/>
  <c r="JX11" i="9"/>
  <c r="KC10" i="9"/>
  <c r="KB10" i="9"/>
  <c r="JZ10" i="9"/>
  <c r="JY10" i="9"/>
  <c r="JX10" i="9"/>
  <c r="KC9" i="9"/>
  <c r="KB9" i="9"/>
  <c r="JZ9" i="9"/>
  <c r="JY9" i="9"/>
  <c r="JX9" i="9"/>
  <c r="KC8" i="9"/>
  <c r="KB8" i="9"/>
  <c r="JZ8" i="9"/>
  <c r="JY8" i="9"/>
  <c r="JX8" i="9"/>
  <c r="KC6" i="9"/>
  <c r="KB6" i="9"/>
  <c r="JZ6" i="9"/>
  <c r="JY6" i="9"/>
  <c r="JX6" i="9"/>
  <c r="KC7" i="9"/>
  <c r="KB7" i="9"/>
  <c r="JZ7" i="9"/>
  <c r="JY7" i="9"/>
  <c r="JX7" i="9"/>
  <c r="KC17" i="9"/>
  <c r="KB17" i="9"/>
  <c r="JZ17" i="9"/>
  <c r="JY17" i="9"/>
  <c r="JX17" i="9"/>
  <c r="KC5" i="9"/>
  <c r="KB5" i="9"/>
  <c r="JZ5" i="9"/>
  <c r="JY5" i="9"/>
  <c r="JX5" i="9"/>
  <c r="KC4" i="9"/>
  <c r="KB4" i="9"/>
  <c r="JZ4" i="9"/>
  <c r="JY4" i="9"/>
  <c r="JX4" i="9"/>
  <c r="JG16" i="9"/>
  <c r="JF16" i="9"/>
  <c r="JD16" i="9"/>
  <c r="JC16" i="9"/>
  <c r="JB16" i="9"/>
  <c r="JG15" i="9"/>
  <c r="JF15" i="9"/>
  <c r="JD15" i="9"/>
  <c r="JC15" i="9"/>
  <c r="JB15" i="9"/>
  <c r="JG14" i="9"/>
  <c r="JF14" i="9"/>
  <c r="JD14" i="9"/>
  <c r="JC14" i="9"/>
  <c r="JB14" i="9"/>
  <c r="JG13" i="9"/>
  <c r="JF13" i="9"/>
  <c r="JD13" i="9"/>
  <c r="JC13" i="9"/>
  <c r="JB13" i="9"/>
  <c r="JG12" i="9"/>
  <c r="JF12" i="9"/>
  <c r="JD12" i="9"/>
  <c r="JC12" i="9"/>
  <c r="JB12" i="9"/>
  <c r="JG11" i="9"/>
  <c r="JF11" i="9"/>
  <c r="JD11" i="9"/>
  <c r="JC11" i="9"/>
  <c r="JB11" i="9"/>
  <c r="JG10" i="9"/>
  <c r="JF10" i="9"/>
  <c r="JD10" i="9"/>
  <c r="JC10" i="9"/>
  <c r="JB10" i="9"/>
  <c r="JG9" i="9"/>
  <c r="JF9" i="9"/>
  <c r="JD9" i="9"/>
  <c r="JC9" i="9"/>
  <c r="JB9" i="9"/>
  <c r="JG8" i="9"/>
  <c r="JF8" i="9"/>
  <c r="JD8" i="9"/>
  <c r="JC8" i="9"/>
  <c r="JB8" i="9"/>
  <c r="JG6" i="9"/>
  <c r="JF6" i="9"/>
  <c r="JD6" i="9"/>
  <c r="JC6" i="9"/>
  <c r="JB6" i="9"/>
  <c r="JG7" i="9"/>
  <c r="JF7" i="9"/>
  <c r="JD7" i="9"/>
  <c r="JC7" i="9"/>
  <c r="JB7" i="9"/>
  <c r="JG17" i="9"/>
  <c r="JF17" i="9"/>
  <c r="JD17" i="9"/>
  <c r="JC17" i="9"/>
  <c r="JB17" i="9"/>
  <c r="JG5" i="9"/>
  <c r="JF5" i="9"/>
  <c r="JD5" i="9"/>
  <c r="JC5" i="9"/>
  <c r="JB5" i="9"/>
  <c r="JG4" i="9"/>
  <c r="JF4" i="9"/>
  <c r="JD4" i="9"/>
  <c r="JC4" i="9"/>
  <c r="JB4" i="9"/>
  <c r="IK16" i="9"/>
  <c r="IJ16" i="9"/>
  <c r="IH16" i="9"/>
  <c r="IG16" i="9"/>
  <c r="IF16" i="9"/>
  <c r="IK15" i="9"/>
  <c r="IJ15" i="9"/>
  <c r="IH15" i="9"/>
  <c r="IG15" i="9"/>
  <c r="IF15" i="9"/>
  <c r="IK14" i="9"/>
  <c r="IJ14" i="9"/>
  <c r="IH14" i="9"/>
  <c r="IG14" i="9"/>
  <c r="IF14" i="9"/>
  <c r="IK13" i="9"/>
  <c r="IJ13" i="9"/>
  <c r="IH13" i="9"/>
  <c r="IG13" i="9"/>
  <c r="IF13" i="9"/>
  <c r="IK12" i="9"/>
  <c r="IJ12" i="9"/>
  <c r="IH12" i="9"/>
  <c r="IG12" i="9"/>
  <c r="IF12" i="9"/>
  <c r="IK11" i="9"/>
  <c r="IJ11" i="9"/>
  <c r="IH11" i="9"/>
  <c r="IG11" i="9"/>
  <c r="IF11" i="9"/>
  <c r="IK10" i="9"/>
  <c r="IJ10" i="9"/>
  <c r="IH10" i="9"/>
  <c r="IG10" i="9"/>
  <c r="IF10" i="9"/>
  <c r="IK9" i="9"/>
  <c r="IJ9" i="9"/>
  <c r="IH9" i="9"/>
  <c r="IG9" i="9"/>
  <c r="IF9" i="9"/>
  <c r="IK8" i="9"/>
  <c r="IJ8" i="9"/>
  <c r="IH8" i="9"/>
  <c r="IG8" i="9"/>
  <c r="IF8" i="9"/>
  <c r="IK6" i="9"/>
  <c r="IJ6" i="9"/>
  <c r="IH6" i="9"/>
  <c r="IG6" i="9"/>
  <c r="IF6" i="9"/>
  <c r="IK7" i="9"/>
  <c r="IJ7" i="9"/>
  <c r="IH7" i="9"/>
  <c r="IG7" i="9"/>
  <c r="IF7" i="9"/>
  <c r="IK17" i="9"/>
  <c r="IJ17" i="9"/>
  <c r="IH17" i="9"/>
  <c r="IG17" i="9"/>
  <c r="IF17" i="9"/>
  <c r="IK5" i="9"/>
  <c r="IJ5" i="9"/>
  <c r="IH5" i="9"/>
  <c r="IG5" i="9"/>
  <c r="IF5" i="9"/>
  <c r="IK4" i="9"/>
  <c r="IJ4" i="9"/>
  <c r="IH4" i="9"/>
  <c r="IG4" i="9"/>
  <c r="IF4" i="9"/>
  <c r="HO16" i="9"/>
  <c r="HN16" i="9"/>
  <c r="HL16" i="9"/>
  <c r="HK16" i="9"/>
  <c r="HJ16" i="9"/>
  <c r="HO15" i="9"/>
  <c r="HN15" i="9"/>
  <c r="HL15" i="9"/>
  <c r="HK15" i="9"/>
  <c r="HJ15" i="9"/>
  <c r="HO14" i="9"/>
  <c r="HN14" i="9"/>
  <c r="HL14" i="9"/>
  <c r="HK14" i="9"/>
  <c r="HJ14" i="9"/>
  <c r="HO13" i="9"/>
  <c r="HN13" i="9"/>
  <c r="HL13" i="9"/>
  <c r="HK13" i="9"/>
  <c r="HJ13" i="9"/>
  <c r="HO12" i="9"/>
  <c r="HN12" i="9"/>
  <c r="HL12" i="9"/>
  <c r="HK12" i="9"/>
  <c r="HJ12" i="9"/>
  <c r="HO11" i="9"/>
  <c r="HN11" i="9"/>
  <c r="HL11" i="9"/>
  <c r="HK11" i="9"/>
  <c r="HJ11" i="9"/>
  <c r="HO10" i="9"/>
  <c r="HN10" i="9"/>
  <c r="HL10" i="9"/>
  <c r="HK10" i="9"/>
  <c r="HJ10" i="9"/>
  <c r="HO9" i="9"/>
  <c r="HN9" i="9"/>
  <c r="HL9" i="9"/>
  <c r="HK9" i="9"/>
  <c r="HJ9" i="9"/>
  <c r="HO8" i="9"/>
  <c r="HN8" i="9"/>
  <c r="HL8" i="9"/>
  <c r="HK8" i="9"/>
  <c r="HJ8" i="9"/>
  <c r="HO6" i="9"/>
  <c r="HN6" i="9"/>
  <c r="HL6" i="9"/>
  <c r="HK6" i="9"/>
  <c r="HJ6" i="9"/>
  <c r="HO7" i="9"/>
  <c r="HN7" i="9"/>
  <c r="HL7" i="9"/>
  <c r="HJ7" i="9"/>
  <c r="HO17" i="9"/>
  <c r="HN17" i="9"/>
  <c r="HL17" i="9"/>
  <c r="HK17" i="9"/>
  <c r="HJ17" i="9"/>
  <c r="HO5" i="9"/>
  <c r="HN5" i="9"/>
  <c r="HL5" i="9"/>
  <c r="HK5" i="9"/>
  <c r="HJ5" i="9"/>
  <c r="HO4" i="9"/>
  <c r="HN4" i="9"/>
  <c r="HL4" i="9"/>
  <c r="HK4" i="9"/>
  <c r="HJ4" i="9"/>
  <c r="GS16" i="9"/>
  <c r="GR16" i="9"/>
  <c r="GP16" i="9"/>
  <c r="GO16" i="9"/>
  <c r="GN16" i="9"/>
  <c r="GS15" i="9"/>
  <c r="GR15" i="9"/>
  <c r="GP15" i="9"/>
  <c r="GO15" i="9"/>
  <c r="GN15" i="9"/>
  <c r="GS14" i="9"/>
  <c r="GR14" i="9"/>
  <c r="GP14" i="9"/>
  <c r="GO14" i="9"/>
  <c r="GN14" i="9"/>
  <c r="GS13" i="9"/>
  <c r="GR13" i="9"/>
  <c r="GP13" i="9"/>
  <c r="GO13" i="9"/>
  <c r="GN13" i="9"/>
  <c r="GS12" i="9"/>
  <c r="GR12" i="9"/>
  <c r="GP12" i="9"/>
  <c r="GO12" i="9"/>
  <c r="GN12" i="9"/>
  <c r="GS11" i="9"/>
  <c r="GR11" i="9"/>
  <c r="GP11" i="9"/>
  <c r="GO11" i="9"/>
  <c r="GN11" i="9"/>
  <c r="GS10" i="9"/>
  <c r="GR10" i="9"/>
  <c r="GP10" i="9"/>
  <c r="GO10" i="9"/>
  <c r="GN10" i="9"/>
  <c r="GS9" i="9"/>
  <c r="GR9" i="9"/>
  <c r="GP9" i="9"/>
  <c r="GO9" i="9"/>
  <c r="GN9" i="9"/>
  <c r="GS8" i="9"/>
  <c r="GR8" i="9"/>
  <c r="GP8" i="9"/>
  <c r="GO8" i="9"/>
  <c r="GQ8" i="9" s="1"/>
  <c r="GN8" i="9"/>
  <c r="GS6" i="9"/>
  <c r="GR6" i="9"/>
  <c r="GP6" i="9"/>
  <c r="GO6" i="9"/>
  <c r="GN6" i="9"/>
  <c r="GS7" i="9"/>
  <c r="GR7" i="9"/>
  <c r="GP7" i="9"/>
  <c r="GO7" i="9"/>
  <c r="GN7" i="9"/>
  <c r="GS17" i="9"/>
  <c r="GR17" i="9"/>
  <c r="GP17" i="9"/>
  <c r="GO17" i="9"/>
  <c r="GN17" i="9"/>
  <c r="GS5" i="9"/>
  <c r="GR5" i="9"/>
  <c r="GP5" i="9"/>
  <c r="GO5" i="9"/>
  <c r="GN5" i="9"/>
  <c r="GS4" i="9"/>
  <c r="GR4" i="9"/>
  <c r="GP4" i="9"/>
  <c r="GO4" i="9"/>
  <c r="GN4" i="9"/>
  <c r="FW16" i="9"/>
  <c r="FV16" i="9"/>
  <c r="FT16" i="9"/>
  <c r="FS16" i="9"/>
  <c r="FR16" i="9"/>
  <c r="FW15" i="9"/>
  <c r="FV15" i="9"/>
  <c r="FT15" i="9"/>
  <c r="FS15" i="9"/>
  <c r="FR15" i="9"/>
  <c r="FW14" i="9"/>
  <c r="FV14" i="9"/>
  <c r="FT14" i="9"/>
  <c r="FS14" i="9"/>
  <c r="FU14" i="9" s="1"/>
  <c r="FR14" i="9"/>
  <c r="FW13" i="9"/>
  <c r="FV13" i="9"/>
  <c r="FT13" i="9"/>
  <c r="FS13" i="9"/>
  <c r="FR13" i="9"/>
  <c r="FW12" i="9"/>
  <c r="FV12" i="9"/>
  <c r="FT12" i="9"/>
  <c r="FS12" i="9"/>
  <c r="FR12" i="9"/>
  <c r="FW11" i="9"/>
  <c r="FV11" i="9"/>
  <c r="FT11" i="9"/>
  <c r="FS11" i="9"/>
  <c r="FR11" i="9"/>
  <c r="FW10" i="9"/>
  <c r="FV10" i="9"/>
  <c r="FT10" i="9"/>
  <c r="FS10" i="9"/>
  <c r="FR10" i="9"/>
  <c r="FW9" i="9"/>
  <c r="FV9" i="9"/>
  <c r="FT9" i="9"/>
  <c r="FS9" i="9"/>
  <c r="FR9" i="9"/>
  <c r="FW8" i="9"/>
  <c r="FV8" i="9"/>
  <c r="FT8" i="9"/>
  <c r="FS8" i="9"/>
  <c r="FR8" i="9"/>
  <c r="FW6" i="9"/>
  <c r="FV6" i="9"/>
  <c r="FT6" i="9"/>
  <c r="FS6" i="9"/>
  <c r="FR6" i="9"/>
  <c r="FW7" i="9"/>
  <c r="FV7" i="9"/>
  <c r="FT7" i="9"/>
  <c r="FS7" i="9"/>
  <c r="FR7" i="9"/>
  <c r="FW17" i="9"/>
  <c r="FV17" i="9"/>
  <c r="FT17" i="9"/>
  <c r="FS17" i="9"/>
  <c r="FR17" i="9"/>
  <c r="FW5" i="9"/>
  <c r="FV5" i="9"/>
  <c r="FT5" i="9"/>
  <c r="FS5" i="9"/>
  <c r="FR5" i="9"/>
  <c r="FW4" i="9"/>
  <c r="FV4" i="9"/>
  <c r="FT4" i="9"/>
  <c r="FS4" i="9"/>
  <c r="FR4" i="9"/>
  <c r="FA16" i="9"/>
  <c r="EZ16" i="9"/>
  <c r="EX16" i="9"/>
  <c r="EW16" i="9"/>
  <c r="EV16" i="9"/>
  <c r="FA15" i="9"/>
  <c r="EZ15" i="9"/>
  <c r="EX15" i="9"/>
  <c r="EW15" i="9"/>
  <c r="EV15" i="9"/>
  <c r="FA14" i="9"/>
  <c r="EZ14" i="9"/>
  <c r="EX14" i="9"/>
  <c r="EW14" i="9"/>
  <c r="EV14" i="9"/>
  <c r="FA13" i="9"/>
  <c r="EZ13" i="9"/>
  <c r="EX13" i="9"/>
  <c r="EW13" i="9"/>
  <c r="EV13" i="9"/>
  <c r="FA12" i="9"/>
  <c r="EZ12" i="9"/>
  <c r="EX12" i="9"/>
  <c r="EW12" i="9"/>
  <c r="EV12" i="9"/>
  <c r="FA11" i="9"/>
  <c r="EZ11" i="9"/>
  <c r="EX11" i="9"/>
  <c r="EW11" i="9"/>
  <c r="EV11" i="9"/>
  <c r="FA10" i="9"/>
  <c r="EZ10" i="9"/>
  <c r="EX10" i="9"/>
  <c r="EW10" i="9"/>
  <c r="EV10" i="9"/>
  <c r="FA9" i="9"/>
  <c r="EZ9" i="9"/>
  <c r="EX9" i="9"/>
  <c r="EW9" i="9"/>
  <c r="EV9" i="9"/>
  <c r="FA8" i="9"/>
  <c r="EZ8" i="9"/>
  <c r="EX8" i="9"/>
  <c r="EW8" i="9"/>
  <c r="EV8" i="9"/>
  <c r="FA6" i="9"/>
  <c r="EZ6" i="9"/>
  <c r="EX6" i="9"/>
  <c r="EW6" i="9"/>
  <c r="EV6" i="9"/>
  <c r="FA7" i="9"/>
  <c r="EZ7" i="9"/>
  <c r="EX7" i="9"/>
  <c r="EW7" i="9"/>
  <c r="EV7" i="9"/>
  <c r="FA17" i="9"/>
  <c r="EZ17" i="9"/>
  <c r="EX17" i="9"/>
  <c r="EW17" i="9"/>
  <c r="EV17" i="9"/>
  <c r="FA5" i="9"/>
  <c r="EZ5" i="9"/>
  <c r="EX5" i="9"/>
  <c r="EW5" i="9"/>
  <c r="EV5" i="9"/>
  <c r="FA4" i="9"/>
  <c r="EZ4" i="9"/>
  <c r="EX4" i="9"/>
  <c r="EW4" i="9"/>
  <c r="EV4" i="9"/>
  <c r="EE16" i="9"/>
  <c r="ED16" i="9"/>
  <c r="EB16" i="9"/>
  <c r="EA16" i="9"/>
  <c r="DZ16" i="9"/>
  <c r="EE15" i="9"/>
  <c r="ED15" i="9"/>
  <c r="EB15" i="9"/>
  <c r="EA15" i="9"/>
  <c r="DZ15" i="9"/>
  <c r="EE14" i="9"/>
  <c r="ED14" i="9"/>
  <c r="EB14" i="9"/>
  <c r="EA14" i="9"/>
  <c r="DZ14" i="9"/>
  <c r="EE13" i="9"/>
  <c r="ED13" i="9"/>
  <c r="EB13" i="9"/>
  <c r="EA13" i="9"/>
  <c r="DZ13" i="9"/>
  <c r="EE12" i="9"/>
  <c r="ED12" i="9"/>
  <c r="EB12" i="9"/>
  <c r="EA12" i="9"/>
  <c r="DZ12" i="9"/>
  <c r="EE11" i="9"/>
  <c r="ED11" i="9"/>
  <c r="EB11" i="9"/>
  <c r="EA11" i="9"/>
  <c r="DZ11" i="9"/>
  <c r="EE10" i="9"/>
  <c r="ED10" i="9"/>
  <c r="EB10" i="9"/>
  <c r="EA10" i="9"/>
  <c r="DZ10" i="9"/>
  <c r="EE9" i="9"/>
  <c r="ED9" i="9"/>
  <c r="EB9" i="9"/>
  <c r="EA9" i="9"/>
  <c r="EC9" i="9" s="1"/>
  <c r="DZ9" i="9"/>
  <c r="EE8" i="9"/>
  <c r="ED8" i="9"/>
  <c r="EB8" i="9"/>
  <c r="EA8" i="9"/>
  <c r="DZ8" i="9"/>
  <c r="EE6" i="9"/>
  <c r="ED6" i="9"/>
  <c r="EB6" i="9"/>
  <c r="EA6" i="9"/>
  <c r="DZ6" i="9"/>
  <c r="EE7" i="9"/>
  <c r="ED7" i="9"/>
  <c r="EB7" i="9"/>
  <c r="EA7" i="9"/>
  <c r="DZ7" i="9"/>
  <c r="EE17" i="9"/>
  <c r="ED17" i="9"/>
  <c r="EB17" i="9"/>
  <c r="EA17" i="9"/>
  <c r="DZ17" i="9"/>
  <c r="EE5" i="9"/>
  <c r="ED5" i="9"/>
  <c r="EB5" i="9"/>
  <c r="EA5" i="9"/>
  <c r="DZ5" i="9"/>
  <c r="EE4" i="9"/>
  <c r="ED4" i="9"/>
  <c r="EB4" i="9"/>
  <c r="EA4" i="9"/>
  <c r="DZ4" i="9"/>
  <c r="DI16" i="9"/>
  <c r="DH16" i="9"/>
  <c r="DF16" i="9"/>
  <c r="DE16" i="9"/>
  <c r="DD16" i="9"/>
  <c r="DI15" i="9"/>
  <c r="DH15" i="9"/>
  <c r="DF15" i="9"/>
  <c r="DE15" i="9"/>
  <c r="DD15" i="9"/>
  <c r="DI14" i="9"/>
  <c r="DH14" i="9"/>
  <c r="DF14" i="9"/>
  <c r="DE14" i="9"/>
  <c r="DD14" i="9"/>
  <c r="DI13" i="9"/>
  <c r="DH13" i="9"/>
  <c r="DF13" i="9"/>
  <c r="DE13" i="9"/>
  <c r="DD13" i="9"/>
  <c r="DI12" i="9"/>
  <c r="DH12" i="9"/>
  <c r="DF12" i="9"/>
  <c r="DE12" i="9"/>
  <c r="DD12" i="9"/>
  <c r="DI11" i="9"/>
  <c r="DH11" i="9"/>
  <c r="DF11" i="9"/>
  <c r="DE11" i="9"/>
  <c r="DD11" i="9"/>
  <c r="DI10" i="9"/>
  <c r="DH10" i="9"/>
  <c r="DF10" i="9"/>
  <c r="DE10" i="9"/>
  <c r="DD10" i="9"/>
  <c r="DI9" i="9"/>
  <c r="DH9" i="9"/>
  <c r="DF9" i="9"/>
  <c r="DE9" i="9"/>
  <c r="DD9" i="9"/>
  <c r="DI8" i="9"/>
  <c r="DH8" i="9"/>
  <c r="DF8" i="9"/>
  <c r="DE8" i="9"/>
  <c r="DG8" i="9" s="1"/>
  <c r="DD8" i="9"/>
  <c r="DI6" i="9"/>
  <c r="DH6" i="9"/>
  <c r="DF6" i="9"/>
  <c r="DE6" i="9"/>
  <c r="DD6" i="9"/>
  <c r="DI7" i="9"/>
  <c r="DH7" i="9"/>
  <c r="DF7" i="9"/>
  <c r="DE7" i="9"/>
  <c r="DD7" i="9"/>
  <c r="DI17" i="9"/>
  <c r="DH17" i="9"/>
  <c r="DF17" i="9"/>
  <c r="DE17" i="9"/>
  <c r="DD17" i="9"/>
  <c r="DI5" i="9"/>
  <c r="DH5" i="9"/>
  <c r="DF5" i="9"/>
  <c r="DE5" i="9"/>
  <c r="DD5" i="9"/>
  <c r="DI4" i="9"/>
  <c r="DH4" i="9"/>
  <c r="DF4" i="9"/>
  <c r="DE4" i="9"/>
  <c r="DD4" i="9"/>
  <c r="CM16" i="9"/>
  <c r="CL16" i="9"/>
  <c r="CJ16" i="9"/>
  <c r="CI16" i="9"/>
  <c r="CH16" i="9"/>
  <c r="CM15" i="9"/>
  <c r="CL15" i="9"/>
  <c r="CJ15" i="9"/>
  <c r="CI15" i="9"/>
  <c r="CH15" i="9"/>
  <c r="CM14" i="9"/>
  <c r="CL14" i="9"/>
  <c r="CJ14" i="9"/>
  <c r="CI14" i="9"/>
  <c r="CH14" i="9"/>
  <c r="CM13" i="9"/>
  <c r="CL13" i="9"/>
  <c r="CJ13" i="9"/>
  <c r="CI13" i="9"/>
  <c r="CH13" i="9"/>
  <c r="CM12" i="9"/>
  <c r="CL12" i="9"/>
  <c r="CJ12" i="9"/>
  <c r="CI12" i="9"/>
  <c r="CH12" i="9"/>
  <c r="CM11" i="9"/>
  <c r="CL11" i="9"/>
  <c r="CJ11" i="9"/>
  <c r="CI11" i="9"/>
  <c r="CH11" i="9"/>
  <c r="CM10" i="9"/>
  <c r="CL10" i="9"/>
  <c r="CJ10" i="9"/>
  <c r="CI10" i="9"/>
  <c r="CH10" i="9"/>
  <c r="CM9" i="9"/>
  <c r="CL9" i="9"/>
  <c r="CJ9" i="9"/>
  <c r="CI9" i="9"/>
  <c r="CH9" i="9"/>
  <c r="CM8" i="9"/>
  <c r="CL8" i="9"/>
  <c r="CJ8" i="9"/>
  <c r="CI8" i="9"/>
  <c r="CH8" i="9"/>
  <c r="CM6" i="9"/>
  <c r="CL6" i="9"/>
  <c r="CJ6" i="9"/>
  <c r="CI6" i="9"/>
  <c r="CH6" i="9"/>
  <c r="CM7" i="9"/>
  <c r="CL7" i="9"/>
  <c r="CJ7" i="9"/>
  <c r="CI7" i="9"/>
  <c r="CH7" i="9"/>
  <c r="CM17" i="9"/>
  <c r="CL17" i="9"/>
  <c r="CJ17" i="9"/>
  <c r="CI17" i="9"/>
  <c r="CH17" i="9"/>
  <c r="CM5" i="9"/>
  <c r="CL5" i="9"/>
  <c r="CJ5" i="9"/>
  <c r="CI5" i="9"/>
  <c r="CH5" i="9"/>
  <c r="CM4" i="9"/>
  <c r="CL4" i="9"/>
  <c r="CJ4" i="9"/>
  <c r="CI4" i="9"/>
  <c r="CH4" i="9"/>
  <c r="KY15" i="2"/>
  <c r="KX15" i="2"/>
  <c r="KV15" i="2"/>
  <c r="KU15" i="2"/>
  <c r="KW15" i="2" s="1"/>
  <c r="KT15" i="2"/>
  <c r="KY14" i="2"/>
  <c r="KX14" i="2"/>
  <c r="KV14" i="2"/>
  <c r="KU14" i="2"/>
  <c r="KT14" i="2"/>
  <c r="KY13" i="2"/>
  <c r="KX13" i="2"/>
  <c r="KV13" i="2"/>
  <c r="KU13" i="2"/>
  <c r="KT13" i="2"/>
  <c r="KY11" i="2"/>
  <c r="KX11" i="2"/>
  <c r="KV11" i="2"/>
  <c r="KU11" i="2"/>
  <c r="KT11" i="2"/>
  <c r="KY10" i="2"/>
  <c r="KX10" i="2"/>
  <c r="KV10" i="2"/>
  <c r="KU10" i="2"/>
  <c r="KT10" i="2"/>
  <c r="KY12" i="2"/>
  <c r="KX12" i="2"/>
  <c r="KV12" i="2"/>
  <c r="KU12" i="2"/>
  <c r="KT12" i="2"/>
  <c r="KY9" i="2"/>
  <c r="KX9" i="2"/>
  <c r="KV9" i="2"/>
  <c r="KU9" i="2"/>
  <c r="KT9" i="2"/>
  <c r="KY8" i="2"/>
  <c r="KX8" i="2"/>
  <c r="KV8" i="2"/>
  <c r="KU8" i="2"/>
  <c r="KW8" i="2" s="1"/>
  <c r="KT8" i="2"/>
  <c r="KY7" i="2"/>
  <c r="KX7" i="2"/>
  <c r="KV7" i="2"/>
  <c r="KU7" i="2"/>
  <c r="KT7" i="2"/>
  <c r="KY6" i="2"/>
  <c r="KX6" i="2"/>
  <c r="KV6" i="2"/>
  <c r="KU6" i="2"/>
  <c r="KT6" i="2"/>
  <c r="KY5" i="2"/>
  <c r="KX5" i="2"/>
  <c r="KV5" i="2"/>
  <c r="KU5" i="2"/>
  <c r="KT5" i="2"/>
  <c r="KY4" i="2"/>
  <c r="KX4" i="2"/>
  <c r="KV4" i="2"/>
  <c r="KU4" i="2"/>
  <c r="KT4" i="2"/>
  <c r="KC15" i="2"/>
  <c r="KB15" i="2"/>
  <c r="JZ15" i="2"/>
  <c r="JY15" i="2"/>
  <c r="JX15" i="2"/>
  <c r="KC14" i="2"/>
  <c r="KB14" i="2"/>
  <c r="JZ14" i="2"/>
  <c r="JY14" i="2"/>
  <c r="JX14" i="2"/>
  <c r="KC13" i="2"/>
  <c r="KB13" i="2"/>
  <c r="JZ13" i="2"/>
  <c r="JY13" i="2"/>
  <c r="JX13" i="2"/>
  <c r="KC11" i="2"/>
  <c r="KB11" i="2"/>
  <c r="JZ11" i="2"/>
  <c r="JY11" i="2"/>
  <c r="JX11" i="2"/>
  <c r="KC10" i="2"/>
  <c r="KB10" i="2"/>
  <c r="JZ10" i="2"/>
  <c r="JY10" i="2"/>
  <c r="KA10" i="2" s="1"/>
  <c r="JX10" i="2"/>
  <c r="KC12" i="2"/>
  <c r="KB12" i="2"/>
  <c r="JZ12" i="2"/>
  <c r="JY12" i="2"/>
  <c r="JX12" i="2"/>
  <c r="KC9" i="2"/>
  <c r="KB9" i="2"/>
  <c r="JZ9" i="2"/>
  <c r="JY9" i="2"/>
  <c r="JX9" i="2"/>
  <c r="KC8" i="2"/>
  <c r="KB8" i="2"/>
  <c r="JZ8" i="2"/>
  <c r="JY8" i="2"/>
  <c r="JX8" i="2"/>
  <c r="KC7" i="2"/>
  <c r="KB7" i="2"/>
  <c r="JZ7" i="2"/>
  <c r="JY7" i="2"/>
  <c r="JX7" i="2"/>
  <c r="KC6" i="2"/>
  <c r="KB6" i="2"/>
  <c r="JZ6" i="2"/>
  <c r="JY6" i="2"/>
  <c r="JX6" i="2"/>
  <c r="KC5" i="2"/>
  <c r="KB5" i="2"/>
  <c r="JZ5" i="2"/>
  <c r="JY5" i="2"/>
  <c r="JX5" i="2"/>
  <c r="KC4" i="2"/>
  <c r="KB4" i="2"/>
  <c r="JZ4" i="2"/>
  <c r="JY4" i="2"/>
  <c r="JX4" i="2"/>
  <c r="JG15" i="2"/>
  <c r="JF15" i="2"/>
  <c r="JD15" i="2"/>
  <c r="JC15" i="2"/>
  <c r="JE15" i="2" s="1"/>
  <c r="JB15" i="2"/>
  <c r="JG14" i="2"/>
  <c r="JF14" i="2"/>
  <c r="JD14" i="2"/>
  <c r="JC14" i="2"/>
  <c r="JB14" i="2"/>
  <c r="JG13" i="2"/>
  <c r="JF13" i="2"/>
  <c r="JD13" i="2"/>
  <c r="JC13" i="2"/>
  <c r="JB13" i="2"/>
  <c r="JG11" i="2"/>
  <c r="JF11" i="2"/>
  <c r="JD11" i="2"/>
  <c r="JC11" i="2"/>
  <c r="JB11" i="2"/>
  <c r="JG10" i="2"/>
  <c r="JF10" i="2"/>
  <c r="JD10" i="2"/>
  <c r="JC10" i="2"/>
  <c r="JE10" i="2" s="1"/>
  <c r="JH10" i="2" s="1"/>
  <c r="JB10" i="2"/>
  <c r="JG12" i="2"/>
  <c r="JF12" i="2"/>
  <c r="JD12" i="2"/>
  <c r="JC12" i="2"/>
  <c r="JB12" i="2"/>
  <c r="JG9" i="2"/>
  <c r="JF9" i="2"/>
  <c r="JD9" i="2"/>
  <c r="JC9" i="2"/>
  <c r="JB9" i="2"/>
  <c r="JG8" i="2"/>
  <c r="JF8" i="2"/>
  <c r="JD8" i="2"/>
  <c r="JC8" i="2"/>
  <c r="JB8" i="2"/>
  <c r="JG7" i="2"/>
  <c r="JF7" i="2"/>
  <c r="JD7" i="2"/>
  <c r="JC7" i="2"/>
  <c r="JB7" i="2"/>
  <c r="JG6" i="2"/>
  <c r="JF6" i="2"/>
  <c r="JD6" i="2"/>
  <c r="JC6" i="2"/>
  <c r="JB6" i="2"/>
  <c r="JG5" i="2"/>
  <c r="JF5" i="2"/>
  <c r="JD5" i="2"/>
  <c r="JC5" i="2"/>
  <c r="JB5" i="2"/>
  <c r="JG4" i="2"/>
  <c r="JF4" i="2"/>
  <c r="JD4" i="2"/>
  <c r="JC4" i="2"/>
  <c r="JB4" i="2"/>
  <c r="IK15" i="2"/>
  <c r="IJ15" i="2"/>
  <c r="IH15" i="2"/>
  <c r="IG15" i="2"/>
  <c r="II15" i="2" s="1"/>
  <c r="IF15" i="2"/>
  <c r="IK14" i="2"/>
  <c r="IJ14" i="2"/>
  <c r="IH14" i="2"/>
  <c r="IG14" i="2"/>
  <c r="IF14" i="2"/>
  <c r="IK13" i="2"/>
  <c r="IJ13" i="2"/>
  <c r="IH13" i="2"/>
  <c r="IG13" i="2"/>
  <c r="IF13" i="2"/>
  <c r="IK11" i="2"/>
  <c r="IJ11" i="2"/>
  <c r="IH11" i="2"/>
  <c r="IG11" i="2"/>
  <c r="IF11" i="2"/>
  <c r="IK10" i="2"/>
  <c r="IJ10" i="2"/>
  <c r="IH10" i="2"/>
  <c r="IG10" i="2"/>
  <c r="IF10" i="2"/>
  <c r="IK12" i="2"/>
  <c r="IJ12" i="2"/>
  <c r="IH12" i="2"/>
  <c r="IG12" i="2"/>
  <c r="IF12" i="2"/>
  <c r="IK9" i="2"/>
  <c r="IJ9" i="2"/>
  <c r="IH9" i="2"/>
  <c r="IG9" i="2"/>
  <c r="IF9" i="2"/>
  <c r="IK8" i="2"/>
  <c r="IJ8" i="2"/>
  <c r="IH8" i="2"/>
  <c r="IG8" i="2"/>
  <c r="IF8" i="2"/>
  <c r="IK7" i="2"/>
  <c r="IJ7" i="2"/>
  <c r="IH7" i="2"/>
  <c r="IG7" i="2"/>
  <c r="IF7" i="2"/>
  <c r="IK6" i="2"/>
  <c r="IJ6" i="2"/>
  <c r="IH6" i="2"/>
  <c r="IG6" i="2"/>
  <c r="IF6" i="2"/>
  <c r="IK5" i="2"/>
  <c r="IJ5" i="2"/>
  <c r="IH5" i="2"/>
  <c r="IG5" i="2"/>
  <c r="IF5" i="2"/>
  <c r="IK4" i="2"/>
  <c r="IJ4" i="2"/>
  <c r="IH4" i="2"/>
  <c r="IG4" i="2"/>
  <c r="IF4" i="2"/>
  <c r="HO15" i="2"/>
  <c r="HN15" i="2"/>
  <c r="HL15" i="2"/>
  <c r="HK15" i="2"/>
  <c r="HJ15" i="2"/>
  <c r="HO14" i="2"/>
  <c r="HN14" i="2"/>
  <c r="HL14" i="2"/>
  <c r="HK14" i="2"/>
  <c r="HJ14" i="2"/>
  <c r="HO13" i="2"/>
  <c r="HN13" i="2"/>
  <c r="HL13" i="2"/>
  <c r="HK13" i="2"/>
  <c r="HJ13" i="2"/>
  <c r="HO11" i="2"/>
  <c r="HN11" i="2"/>
  <c r="HL11" i="2"/>
  <c r="HK11" i="2"/>
  <c r="HJ11" i="2"/>
  <c r="HO10" i="2"/>
  <c r="HN10" i="2"/>
  <c r="HL10" i="2"/>
  <c r="HK10" i="2"/>
  <c r="HM10" i="2" s="1"/>
  <c r="HP10" i="2" s="1"/>
  <c r="HJ10" i="2"/>
  <c r="HO12" i="2"/>
  <c r="HN12" i="2"/>
  <c r="HL12" i="2"/>
  <c r="HK12" i="2"/>
  <c r="HJ12" i="2"/>
  <c r="HO9" i="2"/>
  <c r="HN9" i="2"/>
  <c r="HL9" i="2"/>
  <c r="HK9" i="2"/>
  <c r="HJ9" i="2"/>
  <c r="HO8" i="2"/>
  <c r="HN8" i="2"/>
  <c r="HL8" i="2"/>
  <c r="HK8" i="2"/>
  <c r="HJ8" i="2"/>
  <c r="HO7" i="2"/>
  <c r="HN7" i="2"/>
  <c r="HL7" i="2"/>
  <c r="HK7" i="2"/>
  <c r="HJ7" i="2"/>
  <c r="HO6" i="2"/>
  <c r="HN6" i="2"/>
  <c r="HL6" i="2"/>
  <c r="HK6" i="2"/>
  <c r="HJ6" i="2"/>
  <c r="HO5" i="2"/>
  <c r="HN5" i="2"/>
  <c r="HL5" i="2"/>
  <c r="HK5" i="2"/>
  <c r="HJ5" i="2"/>
  <c r="HO4" i="2"/>
  <c r="HN4" i="2"/>
  <c r="HL4" i="2"/>
  <c r="HK4" i="2"/>
  <c r="HJ4" i="2"/>
  <c r="GS15" i="2"/>
  <c r="GR15" i="2"/>
  <c r="GP15" i="2"/>
  <c r="GO15" i="2"/>
  <c r="GN15" i="2"/>
  <c r="GS14" i="2"/>
  <c r="GR14" i="2"/>
  <c r="GP14" i="2"/>
  <c r="GO14" i="2"/>
  <c r="GN14" i="2"/>
  <c r="GS13" i="2"/>
  <c r="GR13" i="2"/>
  <c r="GP13" i="2"/>
  <c r="GO13" i="2"/>
  <c r="GN13" i="2"/>
  <c r="GS11" i="2"/>
  <c r="GR11" i="2"/>
  <c r="GP11" i="2"/>
  <c r="GO11" i="2"/>
  <c r="GN11" i="2"/>
  <c r="GS10" i="2"/>
  <c r="GR10" i="2"/>
  <c r="GP10" i="2"/>
  <c r="GO10" i="2"/>
  <c r="GN10" i="2"/>
  <c r="GS12" i="2"/>
  <c r="GR12" i="2"/>
  <c r="GP12" i="2"/>
  <c r="GO12" i="2"/>
  <c r="GN12" i="2"/>
  <c r="GS9" i="2"/>
  <c r="GR9" i="2"/>
  <c r="GP9" i="2"/>
  <c r="GO9" i="2"/>
  <c r="GN9" i="2"/>
  <c r="GS8" i="2"/>
  <c r="GR8" i="2"/>
  <c r="GP8" i="2"/>
  <c r="GO8" i="2"/>
  <c r="GN8" i="2"/>
  <c r="GS7" i="2"/>
  <c r="GR7" i="2"/>
  <c r="GP7" i="2"/>
  <c r="GO7" i="2"/>
  <c r="GQ7" i="2" s="1"/>
  <c r="GN7" i="2"/>
  <c r="GS6" i="2"/>
  <c r="GR6" i="2"/>
  <c r="GP6" i="2"/>
  <c r="GO6" i="2"/>
  <c r="GN6" i="2"/>
  <c r="GS5" i="2"/>
  <c r="GR5" i="2"/>
  <c r="GP5" i="2"/>
  <c r="GO5" i="2"/>
  <c r="GN5" i="2"/>
  <c r="GS4" i="2"/>
  <c r="GR4" i="2"/>
  <c r="GP4" i="2"/>
  <c r="GO4" i="2"/>
  <c r="GQ4" i="2" s="1"/>
  <c r="GN4" i="2"/>
  <c r="FW15" i="2"/>
  <c r="FV15" i="2"/>
  <c r="FT15" i="2"/>
  <c r="FS15" i="2"/>
  <c r="FR15" i="2"/>
  <c r="FW14" i="2"/>
  <c r="FV14" i="2"/>
  <c r="FT14" i="2"/>
  <c r="FS14" i="2"/>
  <c r="FR14" i="2"/>
  <c r="FW13" i="2"/>
  <c r="FV13" i="2"/>
  <c r="FT13" i="2"/>
  <c r="FS13" i="2"/>
  <c r="FR13" i="2"/>
  <c r="FW11" i="2"/>
  <c r="FV11" i="2"/>
  <c r="FT11" i="2"/>
  <c r="FS11" i="2"/>
  <c r="FR11" i="2"/>
  <c r="FW10" i="2"/>
  <c r="FV10" i="2"/>
  <c r="FT10" i="2"/>
  <c r="FS10" i="2"/>
  <c r="FR10" i="2"/>
  <c r="FW12" i="2"/>
  <c r="FV12" i="2"/>
  <c r="FT12" i="2"/>
  <c r="FS12" i="2"/>
  <c r="FR12" i="2"/>
  <c r="FW9" i="2"/>
  <c r="FV9" i="2"/>
  <c r="FT9" i="2"/>
  <c r="FS9" i="2"/>
  <c r="FR9" i="2"/>
  <c r="FW8" i="2"/>
  <c r="FV8" i="2"/>
  <c r="FT8" i="2"/>
  <c r="FS8" i="2"/>
  <c r="FU8" i="2" s="1"/>
  <c r="FR8" i="2"/>
  <c r="FW7" i="2"/>
  <c r="FV7" i="2"/>
  <c r="FT7" i="2"/>
  <c r="FS7" i="2"/>
  <c r="FR7" i="2"/>
  <c r="FW6" i="2"/>
  <c r="FV6" i="2"/>
  <c r="FT6" i="2"/>
  <c r="FS6" i="2"/>
  <c r="FR6" i="2"/>
  <c r="FW5" i="2"/>
  <c r="FV5" i="2"/>
  <c r="FT5" i="2"/>
  <c r="FS5" i="2"/>
  <c r="FR5" i="2"/>
  <c r="FW4" i="2"/>
  <c r="FV4" i="2"/>
  <c r="FT4" i="2"/>
  <c r="FS4" i="2"/>
  <c r="FR4" i="2"/>
  <c r="FA15" i="2"/>
  <c r="EZ15" i="2"/>
  <c r="EX15" i="2"/>
  <c r="EW15" i="2"/>
  <c r="EV15" i="2"/>
  <c r="FA14" i="2"/>
  <c r="EZ14" i="2"/>
  <c r="EX14" i="2"/>
  <c r="EW14" i="2"/>
  <c r="EV14" i="2"/>
  <c r="FA13" i="2"/>
  <c r="EZ13" i="2"/>
  <c r="EX13" i="2"/>
  <c r="EW13" i="2"/>
  <c r="EV13" i="2"/>
  <c r="FA11" i="2"/>
  <c r="EZ11" i="2"/>
  <c r="EX11" i="2"/>
  <c r="EW11" i="2"/>
  <c r="EV11" i="2"/>
  <c r="FA10" i="2"/>
  <c r="EZ10" i="2"/>
  <c r="EX10" i="2"/>
  <c r="EW10" i="2"/>
  <c r="EV10" i="2"/>
  <c r="FA12" i="2"/>
  <c r="EZ12" i="2"/>
  <c r="EX12" i="2"/>
  <c r="EW12" i="2"/>
  <c r="EV12" i="2"/>
  <c r="FA9" i="2"/>
  <c r="EZ9" i="2"/>
  <c r="EX9" i="2"/>
  <c r="EW9" i="2"/>
  <c r="EV9" i="2"/>
  <c r="FA8" i="2"/>
  <c r="EZ8" i="2"/>
  <c r="EX8" i="2"/>
  <c r="EW8" i="2"/>
  <c r="EV8" i="2"/>
  <c r="FA7" i="2"/>
  <c r="EZ7" i="2"/>
  <c r="EX7" i="2"/>
  <c r="EW7" i="2"/>
  <c r="EY7" i="2" s="1"/>
  <c r="EV7" i="2"/>
  <c r="FA6" i="2"/>
  <c r="EZ6" i="2"/>
  <c r="EX6" i="2"/>
  <c r="EW6" i="2"/>
  <c r="EV6" i="2"/>
  <c r="FA5" i="2"/>
  <c r="EZ5" i="2"/>
  <c r="EX5" i="2"/>
  <c r="EW5" i="2"/>
  <c r="EV5" i="2"/>
  <c r="FA4" i="2"/>
  <c r="EZ4" i="2"/>
  <c r="EX4" i="2"/>
  <c r="EW4" i="2"/>
  <c r="EV4" i="2"/>
  <c r="EE15" i="2"/>
  <c r="ED15" i="2"/>
  <c r="EB15" i="2"/>
  <c r="EA15" i="2"/>
  <c r="DZ15" i="2"/>
  <c r="EE14" i="2"/>
  <c r="ED14" i="2"/>
  <c r="EB14" i="2"/>
  <c r="EA14" i="2"/>
  <c r="DZ14" i="2"/>
  <c r="EE13" i="2"/>
  <c r="ED13" i="2"/>
  <c r="EB13" i="2"/>
  <c r="EA13" i="2"/>
  <c r="DZ13" i="2"/>
  <c r="EE11" i="2"/>
  <c r="ED11" i="2"/>
  <c r="EB11" i="2"/>
  <c r="EA11" i="2"/>
  <c r="DZ11" i="2"/>
  <c r="EE10" i="2"/>
  <c r="ED10" i="2"/>
  <c r="EB10" i="2"/>
  <c r="EA10" i="2"/>
  <c r="EC10" i="2" s="1"/>
  <c r="EF10" i="2" s="1"/>
  <c r="DZ10" i="2"/>
  <c r="EE12" i="2"/>
  <c r="ED12" i="2"/>
  <c r="EB12" i="2"/>
  <c r="EA12" i="2"/>
  <c r="DZ12" i="2"/>
  <c r="EE9" i="2"/>
  <c r="ED9" i="2"/>
  <c r="EB9" i="2"/>
  <c r="EA9" i="2"/>
  <c r="DZ9" i="2"/>
  <c r="EE8" i="2"/>
  <c r="ED8" i="2"/>
  <c r="EB8" i="2"/>
  <c r="EA8" i="2"/>
  <c r="DZ8" i="2"/>
  <c r="EE7" i="2"/>
  <c r="ED7" i="2"/>
  <c r="EB7" i="2"/>
  <c r="EA7" i="2"/>
  <c r="DZ7" i="2"/>
  <c r="EE6" i="2"/>
  <c r="ED6" i="2"/>
  <c r="EB6" i="2"/>
  <c r="EA6" i="2"/>
  <c r="DZ6" i="2"/>
  <c r="EE5" i="2"/>
  <c r="ED5" i="2"/>
  <c r="EB5" i="2"/>
  <c r="EA5" i="2"/>
  <c r="DZ5" i="2"/>
  <c r="EE4" i="2"/>
  <c r="ED4" i="2"/>
  <c r="EB4" i="2"/>
  <c r="EA4" i="2"/>
  <c r="DZ4" i="2"/>
  <c r="DI15" i="2"/>
  <c r="DH15" i="2"/>
  <c r="DF15" i="2"/>
  <c r="DE15" i="2"/>
  <c r="DD15" i="2"/>
  <c r="DI14" i="2"/>
  <c r="DH14" i="2"/>
  <c r="DF14" i="2"/>
  <c r="DE14" i="2"/>
  <c r="DD14" i="2"/>
  <c r="DI13" i="2"/>
  <c r="DH13" i="2"/>
  <c r="DF13" i="2"/>
  <c r="DE13" i="2"/>
  <c r="DD13" i="2"/>
  <c r="DI11" i="2"/>
  <c r="DH11" i="2"/>
  <c r="DF11" i="2"/>
  <c r="DE11" i="2"/>
  <c r="DD11" i="2"/>
  <c r="DI10" i="2"/>
  <c r="DH10" i="2"/>
  <c r="DF10" i="2"/>
  <c r="DE10" i="2"/>
  <c r="DD10" i="2"/>
  <c r="DI12" i="2"/>
  <c r="DH12" i="2"/>
  <c r="DF12" i="2"/>
  <c r="DE12" i="2"/>
  <c r="DD12" i="2"/>
  <c r="DI9" i="2"/>
  <c r="DH9" i="2"/>
  <c r="DF9" i="2"/>
  <c r="DE9" i="2"/>
  <c r="DD9" i="2"/>
  <c r="DI8" i="2"/>
  <c r="DH8" i="2"/>
  <c r="DF8" i="2"/>
  <c r="DE8" i="2"/>
  <c r="DD8" i="2"/>
  <c r="DI7" i="2"/>
  <c r="DH7" i="2"/>
  <c r="DF7" i="2"/>
  <c r="DE7" i="2"/>
  <c r="DD7" i="2"/>
  <c r="DI6" i="2"/>
  <c r="DH6" i="2"/>
  <c r="DF6" i="2"/>
  <c r="DE6" i="2"/>
  <c r="DD6" i="2"/>
  <c r="DI5" i="2"/>
  <c r="DH5" i="2"/>
  <c r="DF5" i="2"/>
  <c r="DE5" i="2"/>
  <c r="DD5" i="2"/>
  <c r="DI4" i="2"/>
  <c r="DH4" i="2"/>
  <c r="DF4" i="2"/>
  <c r="DE4" i="2"/>
  <c r="DD4" i="2"/>
  <c r="CM15" i="2"/>
  <c r="CL15" i="2"/>
  <c r="CJ15" i="2"/>
  <c r="CI15" i="2"/>
  <c r="CH15" i="2"/>
  <c r="CM14" i="2"/>
  <c r="CL14" i="2"/>
  <c r="CJ14" i="2"/>
  <c r="CI14" i="2"/>
  <c r="CH14" i="2"/>
  <c r="CM13" i="2"/>
  <c r="CL13" i="2"/>
  <c r="CJ13" i="2"/>
  <c r="CI13" i="2"/>
  <c r="CH13" i="2"/>
  <c r="CM11" i="2"/>
  <c r="CL11" i="2"/>
  <c r="CJ11" i="2"/>
  <c r="CI11" i="2"/>
  <c r="CH11" i="2"/>
  <c r="CM10" i="2"/>
  <c r="CL10" i="2"/>
  <c r="CJ10" i="2"/>
  <c r="CI10" i="2"/>
  <c r="CH10" i="2"/>
  <c r="CM12" i="2"/>
  <c r="CL12" i="2"/>
  <c r="CJ12" i="2"/>
  <c r="CI12" i="2"/>
  <c r="CH12" i="2"/>
  <c r="CM9" i="2"/>
  <c r="CL9" i="2"/>
  <c r="CJ9" i="2"/>
  <c r="CI9" i="2"/>
  <c r="CH9" i="2"/>
  <c r="CM8" i="2"/>
  <c r="CL8" i="2"/>
  <c r="CJ8" i="2"/>
  <c r="CI8" i="2"/>
  <c r="CH8" i="2"/>
  <c r="CM7" i="2"/>
  <c r="CL7" i="2"/>
  <c r="CJ7" i="2"/>
  <c r="CI7" i="2"/>
  <c r="CH7" i="2"/>
  <c r="CM6" i="2"/>
  <c r="CL6" i="2"/>
  <c r="CJ6" i="2"/>
  <c r="CI6" i="2"/>
  <c r="CH6" i="2"/>
  <c r="CM5" i="2"/>
  <c r="CL5" i="2"/>
  <c r="CJ5" i="2"/>
  <c r="CI5" i="2"/>
  <c r="CH5" i="2"/>
  <c r="CM4" i="2"/>
  <c r="CL4" i="2"/>
  <c r="CJ4" i="2"/>
  <c r="CI4" i="2"/>
  <c r="CH4" i="2"/>
  <c r="KY20" i="4"/>
  <c r="KX20" i="4"/>
  <c r="KV20" i="4"/>
  <c r="KU20" i="4"/>
  <c r="KW20" i="4" s="1"/>
  <c r="KT20" i="4"/>
  <c r="KY19" i="4"/>
  <c r="KX19" i="4"/>
  <c r="KV19" i="4"/>
  <c r="KU19" i="4"/>
  <c r="KT19" i="4"/>
  <c r="KY18" i="4"/>
  <c r="KX18" i="4"/>
  <c r="KV18" i="4"/>
  <c r="KU18" i="4"/>
  <c r="KT18" i="4"/>
  <c r="KY17" i="4"/>
  <c r="KX17" i="4"/>
  <c r="KV17" i="4"/>
  <c r="KU17" i="4"/>
  <c r="KW17" i="4" s="1"/>
  <c r="KT17" i="4"/>
  <c r="KY16" i="4"/>
  <c r="KX16" i="4"/>
  <c r="KV16" i="4"/>
  <c r="KU16" i="4"/>
  <c r="KT16" i="4"/>
  <c r="KY15" i="4"/>
  <c r="KX15" i="4"/>
  <c r="KV15" i="4"/>
  <c r="KU15" i="4"/>
  <c r="KT15" i="4"/>
  <c r="KY14" i="4"/>
  <c r="KX14" i="4"/>
  <c r="KV14" i="4"/>
  <c r="KU14" i="4"/>
  <c r="KT14" i="4"/>
  <c r="KY12" i="4"/>
  <c r="KX12" i="4"/>
  <c r="KV12" i="4"/>
  <c r="KU12" i="4"/>
  <c r="KT12" i="4"/>
  <c r="KY11" i="4"/>
  <c r="KX11" i="4"/>
  <c r="KV11" i="4"/>
  <c r="KU11" i="4"/>
  <c r="KW11" i="4" s="1"/>
  <c r="KT11" i="4"/>
  <c r="KY13" i="4"/>
  <c r="KX13" i="4"/>
  <c r="KV13" i="4"/>
  <c r="KU13" i="4"/>
  <c r="KT13" i="4"/>
  <c r="KY10" i="4"/>
  <c r="KX10" i="4"/>
  <c r="KV10" i="4"/>
  <c r="KU10" i="4"/>
  <c r="KT10" i="4"/>
  <c r="KY9" i="4"/>
  <c r="KX9" i="4"/>
  <c r="KV9" i="4"/>
  <c r="KU9" i="4"/>
  <c r="KW9" i="4" s="1"/>
  <c r="KT9" i="4"/>
  <c r="KY8" i="4"/>
  <c r="KX8" i="4"/>
  <c r="KV8" i="4"/>
  <c r="KU8" i="4"/>
  <c r="KT8" i="4"/>
  <c r="KY7" i="4"/>
  <c r="KX7" i="4"/>
  <c r="KV7" i="4"/>
  <c r="KU7" i="4"/>
  <c r="KT7" i="4"/>
  <c r="KY6" i="4"/>
  <c r="KX6" i="4"/>
  <c r="KV6" i="4"/>
  <c r="KU6" i="4"/>
  <c r="KT6" i="4"/>
  <c r="KY5" i="4"/>
  <c r="KX5" i="4"/>
  <c r="KV5" i="4"/>
  <c r="KU5" i="4"/>
  <c r="KT5" i="4"/>
  <c r="KY4" i="4"/>
  <c r="KX4" i="4"/>
  <c r="KV4" i="4"/>
  <c r="KU4" i="4"/>
  <c r="KW4" i="4" s="1"/>
  <c r="KT4" i="4"/>
  <c r="KC20" i="4"/>
  <c r="KB20" i="4"/>
  <c r="JZ20" i="4"/>
  <c r="JY20" i="4"/>
  <c r="JX20" i="4"/>
  <c r="KC19" i="4"/>
  <c r="KB19" i="4"/>
  <c r="JZ19" i="4"/>
  <c r="JY19" i="4"/>
  <c r="JX19" i="4"/>
  <c r="KC18" i="4"/>
  <c r="KB18" i="4"/>
  <c r="JZ18" i="4"/>
  <c r="JY18" i="4"/>
  <c r="JX18" i="4"/>
  <c r="KC17" i="4"/>
  <c r="KB17" i="4"/>
  <c r="JZ17" i="4"/>
  <c r="JY17" i="4"/>
  <c r="JX17" i="4"/>
  <c r="KC16" i="4"/>
  <c r="KB16" i="4"/>
  <c r="JZ16" i="4"/>
  <c r="JY16" i="4"/>
  <c r="JX16" i="4"/>
  <c r="KC15" i="4"/>
  <c r="KB15" i="4"/>
  <c r="JZ15" i="4"/>
  <c r="JY15" i="4"/>
  <c r="JX15" i="4"/>
  <c r="KC14" i="4"/>
  <c r="KB14" i="4"/>
  <c r="JZ14" i="4"/>
  <c r="JY14" i="4"/>
  <c r="JX14" i="4"/>
  <c r="KC12" i="4"/>
  <c r="KB12" i="4"/>
  <c r="JZ12" i="4"/>
  <c r="JY12" i="4"/>
  <c r="KA12" i="4" s="1"/>
  <c r="JX12" i="4"/>
  <c r="KC11" i="4"/>
  <c r="KB11" i="4"/>
  <c r="JZ11" i="4"/>
  <c r="JY11" i="4"/>
  <c r="JX11" i="4"/>
  <c r="KC13" i="4"/>
  <c r="KB13" i="4"/>
  <c r="JZ13" i="4"/>
  <c r="JY13" i="4"/>
  <c r="JX13" i="4"/>
  <c r="KC10" i="4"/>
  <c r="KB10" i="4"/>
  <c r="JZ10" i="4"/>
  <c r="JY10" i="4"/>
  <c r="KA10" i="4" s="1"/>
  <c r="JX10" i="4"/>
  <c r="KC9" i="4"/>
  <c r="KB9" i="4"/>
  <c r="JZ9" i="4"/>
  <c r="JY9" i="4"/>
  <c r="JX9" i="4"/>
  <c r="KC8" i="4"/>
  <c r="KB8" i="4"/>
  <c r="JZ8" i="4"/>
  <c r="JY8" i="4"/>
  <c r="JX8" i="4"/>
  <c r="KC7" i="4"/>
  <c r="KB7" i="4"/>
  <c r="JZ7" i="4"/>
  <c r="JY7" i="4"/>
  <c r="JX7" i="4"/>
  <c r="KC6" i="4"/>
  <c r="KB6" i="4"/>
  <c r="JZ6" i="4"/>
  <c r="JY6" i="4"/>
  <c r="JX6" i="4"/>
  <c r="KC5" i="4"/>
  <c r="KB5" i="4"/>
  <c r="JZ5" i="4"/>
  <c r="JY5" i="4"/>
  <c r="JX5" i="4"/>
  <c r="KC4" i="4"/>
  <c r="KB4" i="4"/>
  <c r="JZ4" i="4"/>
  <c r="JY4" i="4"/>
  <c r="JX4" i="4"/>
  <c r="JG20" i="4"/>
  <c r="JF20" i="4"/>
  <c r="JD20" i="4"/>
  <c r="JC20" i="4"/>
  <c r="JB20" i="4"/>
  <c r="JG19" i="4"/>
  <c r="JF19" i="4"/>
  <c r="JD19" i="4"/>
  <c r="JC19" i="4"/>
  <c r="JE19" i="4" s="1"/>
  <c r="JH19" i="4" s="1"/>
  <c r="JB19" i="4"/>
  <c r="JG18" i="4"/>
  <c r="JF18" i="4"/>
  <c r="JD18" i="4"/>
  <c r="JC18" i="4"/>
  <c r="JB18" i="4"/>
  <c r="JG17" i="4"/>
  <c r="JF17" i="4"/>
  <c r="JD17" i="4"/>
  <c r="JC17" i="4"/>
  <c r="JB17" i="4"/>
  <c r="JG16" i="4"/>
  <c r="JF16" i="4"/>
  <c r="JD16" i="4"/>
  <c r="JC16" i="4"/>
  <c r="JE16" i="4" s="1"/>
  <c r="JB16" i="4"/>
  <c r="JG15" i="4"/>
  <c r="JF15" i="4"/>
  <c r="JD15" i="4"/>
  <c r="JC15" i="4"/>
  <c r="JB15" i="4"/>
  <c r="JG14" i="4"/>
  <c r="JF14" i="4"/>
  <c r="JD14" i="4"/>
  <c r="JC14" i="4"/>
  <c r="JB14" i="4"/>
  <c r="JG12" i="4"/>
  <c r="JF12" i="4"/>
  <c r="JD12" i="4"/>
  <c r="JC12" i="4"/>
  <c r="JB12" i="4"/>
  <c r="JG11" i="4"/>
  <c r="JF11" i="4"/>
  <c r="JD11" i="4"/>
  <c r="JC11" i="4"/>
  <c r="JB11" i="4"/>
  <c r="JG13" i="4"/>
  <c r="JF13" i="4"/>
  <c r="JD13" i="4"/>
  <c r="JC13" i="4"/>
  <c r="JB13" i="4"/>
  <c r="JG10" i="4"/>
  <c r="JF10" i="4"/>
  <c r="JD10" i="4"/>
  <c r="JC10" i="4"/>
  <c r="JB10" i="4"/>
  <c r="JG9" i="4"/>
  <c r="JF9" i="4"/>
  <c r="JD9" i="4"/>
  <c r="JC9" i="4"/>
  <c r="JB9" i="4"/>
  <c r="JG8" i="4"/>
  <c r="JF8" i="4"/>
  <c r="JD8" i="4"/>
  <c r="JC8" i="4"/>
  <c r="JB8" i="4"/>
  <c r="JG7" i="4"/>
  <c r="JF7" i="4"/>
  <c r="JD7" i="4"/>
  <c r="JC7" i="4"/>
  <c r="JB7" i="4"/>
  <c r="JG6" i="4"/>
  <c r="JF6" i="4"/>
  <c r="JD6" i="4"/>
  <c r="JC6" i="4"/>
  <c r="JB6" i="4"/>
  <c r="JG5" i="4"/>
  <c r="JF5" i="4"/>
  <c r="JD5" i="4"/>
  <c r="JC5" i="4"/>
  <c r="JB5" i="4"/>
  <c r="JG4" i="4"/>
  <c r="JF4" i="4"/>
  <c r="JD4" i="4"/>
  <c r="JC4" i="4"/>
  <c r="JB4" i="4"/>
  <c r="IK20" i="4"/>
  <c r="IJ20" i="4"/>
  <c r="IH20" i="4"/>
  <c r="IG20" i="4"/>
  <c r="IF20" i="4"/>
  <c r="IK19" i="4"/>
  <c r="IJ19" i="4"/>
  <c r="IH19" i="4"/>
  <c r="IG19" i="4"/>
  <c r="IF19" i="4"/>
  <c r="IK18" i="4"/>
  <c r="IJ18" i="4"/>
  <c r="IH18" i="4"/>
  <c r="IG18" i="4"/>
  <c r="IF18" i="4"/>
  <c r="IK17" i="4"/>
  <c r="IJ17" i="4"/>
  <c r="IH17" i="4"/>
  <c r="IG17" i="4"/>
  <c r="IF17" i="4"/>
  <c r="IK16" i="4"/>
  <c r="IJ16" i="4"/>
  <c r="IH16" i="4"/>
  <c r="IG16" i="4"/>
  <c r="IF16" i="4"/>
  <c r="IK15" i="4"/>
  <c r="IJ15" i="4"/>
  <c r="IH15" i="4"/>
  <c r="IG15" i="4"/>
  <c r="IF15" i="4"/>
  <c r="IK14" i="4"/>
  <c r="IJ14" i="4"/>
  <c r="IH14" i="4"/>
  <c r="IG14" i="4"/>
  <c r="IF14" i="4"/>
  <c r="IK12" i="4"/>
  <c r="IJ12" i="4"/>
  <c r="IH12" i="4"/>
  <c r="IG12" i="4"/>
  <c r="IF12" i="4"/>
  <c r="IK11" i="4"/>
  <c r="IJ11" i="4"/>
  <c r="IH11" i="4"/>
  <c r="IG11" i="4"/>
  <c r="IF11" i="4"/>
  <c r="IK13" i="4"/>
  <c r="IJ13" i="4"/>
  <c r="IH13" i="4"/>
  <c r="IG13" i="4"/>
  <c r="IF13" i="4"/>
  <c r="IK10" i="4"/>
  <c r="IJ10" i="4"/>
  <c r="IH10" i="4"/>
  <c r="IG10" i="4"/>
  <c r="IF10" i="4"/>
  <c r="IK9" i="4"/>
  <c r="IJ9" i="4"/>
  <c r="IH9" i="4"/>
  <c r="IG9" i="4"/>
  <c r="IF9" i="4"/>
  <c r="IK8" i="4"/>
  <c r="IJ8" i="4"/>
  <c r="IH8" i="4"/>
  <c r="IG8" i="4"/>
  <c r="IF8" i="4"/>
  <c r="IK7" i="4"/>
  <c r="IJ7" i="4"/>
  <c r="IH7" i="4"/>
  <c r="IG7" i="4"/>
  <c r="IF7" i="4"/>
  <c r="IK6" i="4"/>
  <c r="IJ6" i="4"/>
  <c r="IH6" i="4"/>
  <c r="IG6" i="4"/>
  <c r="IF6" i="4"/>
  <c r="IK5" i="4"/>
  <c r="IJ5" i="4"/>
  <c r="IH5" i="4"/>
  <c r="IG5" i="4"/>
  <c r="IF5" i="4"/>
  <c r="IK4" i="4"/>
  <c r="IJ4" i="4"/>
  <c r="IH4" i="4"/>
  <c r="IG4" i="4"/>
  <c r="IF4" i="4"/>
  <c r="HO20" i="4"/>
  <c r="HN20" i="4"/>
  <c r="HL20" i="4"/>
  <c r="HK20" i="4"/>
  <c r="HJ20" i="4"/>
  <c r="HO19" i="4"/>
  <c r="HN19" i="4"/>
  <c r="HL19" i="4"/>
  <c r="HK19" i="4"/>
  <c r="HJ19" i="4"/>
  <c r="HO18" i="4"/>
  <c r="HN18" i="4"/>
  <c r="HL18" i="4"/>
  <c r="HK18" i="4"/>
  <c r="HJ18" i="4"/>
  <c r="HO17" i="4"/>
  <c r="HN17" i="4"/>
  <c r="HL17" i="4"/>
  <c r="HK17" i="4"/>
  <c r="HJ17" i="4"/>
  <c r="HO16" i="4"/>
  <c r="HN16" i="4"/>
  <c r="HL16" i="4"/>
  <c r="HK16" i="4"/>
  <c r="HJ16" i="4"/>
  <c r="HO15" i="4"/>
  <c r="HN15" i="4"/>
  <c r="HL15" i="4"/>
  <c r="HK15" i="4"/>
  <c r="HJ15" i="4"/>
  <c r="HO14" i="4"/>
  <c r="HN14" i="4"/>
  <c r="HL14" i="4"/>
  <c r="HK14" i="4"/>
  <c r="HJ14" i="4"/>
  <c r="HO12" i="4"/>
  <c r="HN12" i="4"/>
  <c r="HL12" i="4"/>
  <c r="HK12" i="4"/>
  <c r="HJ12" i="4"/>
  <c r="HO11" i="4"/>
  <c r="HN11" i="4"/>
  <c r="HL11" i="4"/>
  <c r="HK11" i="4"/>
  <c r="HJ11" i="4"/>
  <c r="HO13" i="4"/>
  <c r="HN13" i="4"/>
  <c r="HL13" i="4"/>
  <c r="HK13" i="4"/>
  <c r="HJ13" i="4"/>
  <c r="HO10" i="4"/>
  <c r="HN10" i="4"/>
  <c r="HL10" i="4"/>
  <c r="HK10" i="4"/>
  <c r="HJ10" i="4"/>
  <c r="HO9" i="4"/>
  <c r="HN9" i="4"/>
  <c r="HL9" i="4"/>
  <c r="HK9" i="4"/>
  <c r="HJ9" i="4"/>
  <c r="HO8" i="4"/>
  <c r="HN8" i="4"/>
  <c r="HL8" i="4"/>
  <c r="HK8" i="4"/>
  <c r="HJ8" i="4"/>
  <c r="HO7" i="4"/>
  <c r="HN7" i="4"/>
  <c r="HL7" i="4"/>
  <c r="HK7" i="4"/>
  <c r="HJ7" i="4"/>
  <c r="HO6" i="4"/>
  <c r="HN6" i="4"/>
  <c r="HL6" i="4"/>
  <c r="HK6" i="4"/>
  <c r="HJ6" i="4"/>
  <c r="HO5" i="4"/>
  <c r="HN5" i="4"/>
  <c r="HL5" i="4"/>
  <c r="HK5" i="4"/>
  <c r="HJ5" i="4"/>
  <c r="HO4" i="4"/>
  <c r="HN4" i="4"/>
  <c r="HL4" i="4"/>
  <c r="HK4" i="4"/>
  <c r="HJ4" i="4"/>
  <c r="GS20" i="4"/>
  <c r="GR20" i="4"/>
  <c r="GP20" i="4"/>
  <c r="GO20" i="4"/>
  <c r="GN20" i="4"/>
  <c r="GS19" i="4"/>
  <c r="GR19" i="4"/>
  <c r="GP19" i="4"/>
  <c r="GO19" i="4"/>
  <c r="GN19" i="4"/>
  <c r="GS18" i="4"/>
  <c r="GR18" i="4"/>
  <c r="GP18" i="4"/>
  <c r="GO18" i="4"/>
  <c r="GN18" i="4"/>
  <c r="GS17" i="4"/>
  <c r="GR17" i="4"/>
  <c r="GP17" i="4"/>
  <c r="GO17" i="4"/>
  <c r="GN17" i="4"/>
  <c r="GS16" i="4"/>
  <c r="GR16" i="4"/>
  <c r="GP16" i="4"/>
  <c r="GO16" i="4"/>
  <c r="GN16" i="4"/>
  <c r="GS15" i="4"/>
  <c r="GR15" i="4"/>
  <c r="GP15" i="4"/>
  <c r="GO15" i="4"/>
  <c r="GN15" i="4"/>
  <c r="GS14" i="4"/>
  <c r="GR14" i="4"/>
  <c r="GP14" i="4"/>
  <c r="GO14" i="4"/>
  <c r="GN14" i="4"/>
  <c r="GS12" i="4"/>
  <c r="GR12" i="4"/>
  <c r="GP12" i="4"/>
  <c r="GO12" i="4"/>
  <c r="GN12" i="4"/>
  <c r="GS11" i="4"/>
  <c r="GR11" i="4"/>
  <c r="GP11" i="4"/>
  <c r="GO11" i="4"/>
  <c r="GN11" i="4"/>
  <c r="GS13" i="4"/>
  <c r="GR13" i="4"/>
  <c r="GP13" i="4"/>
  <c r="GO13" i="4"/>
  <c r="GN13" i="4"/>
  <c r="GS10" i="4"/>
  <c r="GR10" i="4"/>
  <c r="GP10" i="4"/>
  <c r="GO10" i="4"/>
  <c r="GN10" i="4"/>
  <c r="GS9" i="4"/>
  <c r="GR9" i="4"/>
  <c r="GP9" i="4"/>
  <c r="GO9" i="4"/>
  <c r="GN9" i="4"/>
  <c r="GS8" i="4"/>
  <c r="GR8" i="4"/>
  <c r="GP8" i="4"/>
  <c r="GO8" i="4"/>
  <c r="GN8" i="4"/>
  <c r="GS7" i="4"/>
  <c r="GR7" i="4"/>
  <c r="GP7" i="4"/>
  <c r="GO7" i="4"/>
  <c r="GN7" i="4"/>
  <c r="GS6" i="4"/>
  <c r="GR6" i="4"/>
  <c r="GP6" i="4"/>
  <c r="GO6" i="4"/>
  <c r="GN6" i="4"/>
  <c r="GS5" i="4"/>
  <c r="GR5" i="4"/>
  <c r="GP5" i="4"/>
  <c r="GO5" i="4"/>
  <c r="GN5" i="4"/>
  <c r="GS4" i="4"/>
  <c r="GR4" i="4"/>
  <c r="GP4" i="4"/>
  <c r="GO4" i="4"/>
  <c r="GN4" i="4"/>
  <c r="FW20" i="4"/>
  <c r="FV20" i="4"/>
  <c r="FT20" i="4"/>
  <c r="FS20" i="4"/>
  <c r="FR20" i="4"/>
  <c r="FW19" i="4"/>
  <c r="FV19" i="4"/>
  <c r="FT19" i="4"/>
  <c r="FS19" i="4"/>
  <c r="FR19" i="4"/>
  <c r="FW18" i="4"/>
  <c r="FV18" i="4"/>
  <c r="FT18" i="4"/>
  <c r="FS18" i="4"/>
  <c r="FR18" i="4"/>
  <c r="FW17" i="4"/>
  <c r="FV17" i="4"/>
  <c r="FT17" i="4"/>
  <c r="FS17" i="4"/>
  <c r="FR17" i="4"/>
  <c r="FW16" i="4"/>
  <c r="FV16" i="4"/>
  <c r="FT16" i="4"/>
  <c r="FS16" i="4"/>
  <c r="FR16" i="4"/>
  <c r="FW15" i="4"/>
  <c r="FV15" i="4"/>
  <c r="FT15" i="4"/>
  <c r="FS15" i="4"/>
  <c r="FR15" i="4"/>
  <c r="FW14" i="4"/>
  <c r="FV14" i="4"/>
  <c r="FT14" i="4"/>
  <c r="FS14" i="4"/>
  <c r="FR14" i="4"/>
  <c r="FW12" i="4"/>
  <c r="FV12" i="4"/>
  <c r="FT12" i="4"/>
  <c r="FS12" i="4"/>
  <c r="FR12" i="4"/>
  <c r="FW11" i="4"/>
  <c r="FV11" i="4"/>
  <c r="FT11" i="4"/>
  <c r="FS11" i="4"/>
  <c r="FR11" i="4"/>
  <c r="FW13" i="4"/>
  <c r="FV13" i="4"/>
  <c r="FT13" i="4"/>
  <c r="FS13" i="4"/>
  <c r="FR13" i="4"/>
  <c r="FW10" i="4"/>
  <c r="FV10" i="4"/>
  <c r="FT10" i="4"/>
  <c r="FS10" i="4"/>
  <c r="FU10" i="4" s="1"/>
  <c r="FR10" i="4"/>
  <c r="FW9" i="4"/>
  <c r="FV9" i="4"/>
  <c r="FT9" i="4"/>
  <c r="FS9" i="4"/>
  <c r="FR9" i="4"/>
  <c r="FW8" i="4"/>
  <c r="FV8" i="4"/>
  <c r="FT8" i="4"/>
  <c r="FS8" i="4"/>
  <c r="FR8" i="4"/>
  <c r="FW7" i="4"/>
  <c r="FV7" i="4"/>
  <c r="FT7" i="4"/>
  <c r="FS7" i="4"/>
  <c r="FR7" i="4"/>
  <c r="FW6" i="4"/>
  <c r="FV6" i="4"/>
  <c r="FT6" i="4"/>
  <c r="FS6" i="4"/>
  <c r="FR6" i="4"/>
  <c r="FW5" i="4"/>
  <c r="FV5" i="4"/>
  <c r="FT5" i="4"/>
  <c r="FS5" i="4"/>
  <c r="FR5" i="4"/>
  <c r="FW4" i="4"/>
  <c r="FV4" i="4"/>
  <c r="FT4" i="4"/>
  <c r="FS4" i="4"/>
  <c r="FR4" i="4"/>
  <c r="FA20" i="4"/>
  <c r="EZ20" i="4"/>
  <c r="EX20" i="4"/>
  <c r="EW20" i="4"/>
  <c r="EV20" i="4"/>
  <c r="FA19" i="4"/>
  <c r="EZ19" i="4"/>
  <c r="EX19" i="4"/>
  <c r="EW19" i="4"/>
  <c r="EY19" i="4" s="1"/>
  <c r="EV19" i="4"/>
  <c r="FA18" i="4"/>
  <c r="EZ18" i="4"/>
  <c r="EX18" i="4"/>
  <c r="EW18" i="4"/>
  <c r="EV18" i="4"/>
  <c r="FA17" i="4"/>
  <c r="EZ17" i="4"/>
  <c r="EX17" i="4"/>
  <c r="EW17" i="4"/>
  <c r="EV17" i="4"/>
  <c r="FA16" i="4"/>
  <c r="EZ16" i="4"/>
  <c r="EX16" i="4"/>
  <c r="EW16" i="4"/>
  <c r="EV16" i="4"/>
  <c r="FA15" i="4"/>
  <c r="EZ15" i="4"/>
  <c r="EX15" i="4"/>
  <c r="EW15" i="4"/>
  <c r="EV15" i="4"/>
  <c r="FA14" i="4"/>
  <c r="EZ14" i="4"/>
  <c r="EX14" i="4"/>
  <c r="EW14" i="4"/>
  <c r="EV14" i="4"/>
  <c r="FA12" i="4"/>
  <c r="EZ12" i="4"/>
  <c r="EX12" i="4"/>
  <c r="EW12" i="4"/>
  <c r="EV12" i="4"/>
  <c r="FA11" i="4"/>
  <c r="EZ11" i="4"/>
  <c r="EX11" i="4"/>
  <c r="EW11" i="4"/>
  <c r="EV11" i="4"/>
  <c r="FA13" i="4"/>
  <c r="EZ13" i="4"/>
  <c r="EX13" i="4"/>
  <c r="EW13" i="4"/>
  <c r="EV13" i="4"/>
  <c r="FA10" i="4"/>
  <c r="EZ10" i="4"/>
  <c r="EX10" i="4"/>
  <c r="EW10" i="4"/>
  <c r="EV10" i="4"/>
  <c r="FA9" i="4"/>
  <c r="EZ9" i="4"/>
  <c r="EX9" i="4"/>
  <c r="EW9" i="4"/>
  <c r="EV9" i="4"/>
  <c r="FA8" i="4"/>
  <c r="EZ8" i="4"/>
  <c r="EX8" i="4"/>
  <c r="EW8" i="4"/>
  <c r="EV8" i="4"/>
  <c r="FA7" i="4"/>
  <c r="EZ7" i="4"/>
  <c r="EX7" i="4"/>
  <c r="EW7" i="4"/>
  <c r="EV7" i="4"/>
  <c r="FA6" i="4"/>
  <c r="EZ6" i="4"/>
  <c r="EX6" i="4"/>
  <c r="EW6" i="4"/>
  <c r="EV6" i="4"/>
  <c r="FA5" i="4"/>
  <c r="EZ5" i="4"/>
  <c r="EX5" i="4"/>
  <c r="EW5" i="4"/>
  <c r="EV5" i="4"/>
  <c r="FA4" i="4"/>
  <c r="EZ4" i="4"/>
  <c r="EX4" i="4"/>
  <c r="EW4" i="4"/>
  <c r="EV4" i="4"/>
  <c r="EE20" i="4"/>
  <c r="ED20" i="4"/>
  <c r="EB20" i="4"/>
  <c r="EA20" i="4"/>
  <c r="DZ20" i="4"/>
  <c r="EE19" i="4"/>
  <c r="ED19" i="4"/>
  <c r="EB19" i="4"/>
  <c r="EA19" i="4"/>
  <c r="DZ19" i="4"/>
  <c r="EE18" i="4"/>
  <c r="ED18" i="4"/>
  <c r="EB18" i="4"/>
  <c r="EA18" i="4"/>
  <c r="DZ18" i="4"/>
  <c r="EE17" i="4"/>
  <c r="ED17" i="4"/>
  <c r="EB17" i="4"/>
  <c r="EA17" i="4"/>
  <c r="DZ17" i="4"/>
  <c r="EE16" i="4"/>
  <c r="ED16" i="4"/>
  <c r="EB16" i="4"/>
  <c r="EA16" i="4"/>
  <c r="DZ16" i="4"/>
  <c r="EE15" i="4"/>
  <c r="ED15" i="4"/>
  <c r="EB15" i="4"/>
  <c r="EA15" i="4"/>
  <c r="DZ15" i="4"/>
  <c r="EE14" i="4"/>
  <c r="ED14" i="4"/>
  <c r="EB14" i="4"/>
  <c r="EA14" i="4"/>
  <c r="DZ14" i="4"/>
  <c r="EE12" i="4"/>
  <c r="ED12" i="4"/>
  <c r="EB12" i="4"/>
  <c r="EA12" i="4"/>
  <c r="DZ12" i="4"/>
  <c r="EE11" i="4"/>
  <c r="ED11" i="4"/>
  <c r="EB11" i="4"/>
  <c r="EA11" i="4"/>
  <c r="DZ11" i="4"/>
  <c r="EE13" i="4"/>
  <c r="ED13" i="4"/>
  <c r="EB13" i="4"/>
  <c r="EA13" i="4"/>
  <c r="DZ13" i="4"/>
  <c r="EE10" i="4"/>
  <c r="ED10" i="4"/>
  <c r="EB10" i="4"/>
  <c r="EA10" i="4"/>
  <c r="DZ10" i="4"/>
  <c r="EE9" i="4"/>
  <c r="ED9" i="4"/>
  <c r="EB9" i="4"/>
  <c r="EA9" i="4"/>
  <c r="DZ9" i="4"/>
  <c r="EE8" i="4"/>
  <c r="ED8" i="4"/>
  <c r="EB8" i="4"/>
  <c r="EA8" i="4"/>
  <c r="DZ8" i="4"/>
  <c r="EE7" i="4"/>
  <c r="ED7" i="4"/>
  <c r="EB7" i="4"/>
  <c r="EA7" i="4"/>
  <c r="DZ7" i="4"/>
  <c r="EE6" i="4"/>
  <c r="ED6" i="4"/>
  <c r="EB6" i="4"/>
  <c r="EA6" i="4"/>
  <c r="DZ6" i="4"/>
  <c r="EE5" i="4"/>
  <c r="ED5" i="4"/>
  <c r="EB5" i="4"/>
  <c r="EA5" i="4"/>
  <c r="DZ5" i="4"/>
  <c r="EE4" i="4"/>
  <c r="ED4" i="4"/>
  <c r="EB4" i="4"/>
  <c r="EA4" i="4"/>
  <c r="DZ4" i="4"/>
  <c r="DI20" i="4"/>
  <c r="DH20" i="4"/>
  <c r="DF20" i="4"/>
  <c r="DE20" i="4"/>
  <c r="DD20" i="4"/>
  <c r="DI19" i="4"/>
  <c r="DH19" i="4"/>
  <c r="DF19" i="4"/>
  <c r="DE19" i="4"/>
  <c r="DD19" i="4"/>
  <c r="DI18" i="4"/>
  <c r="DH18" i="4"/>
  <c r="DF18" i="4"/>
  <c r="DE18" i="4"/>
  <c r="DD18" i="4"/>
  <c r="DI17" i="4"/>
  <c r="DH17" i="4"/>
  <c r="DF17" i="4"/>
  <c r="DE17" i="4"/>
  <c r="DD17" i="4"/>
  <c r="DI16" i="4"/>
  <c r="DH16" i="4"/>
  <c r="DF16" i="4"/>
  <c r="DE16" i="4"/>
  <c r="DD16" i="4"/>
  <c r="DI15" i="4"/>
  <c r="DH15" i="4"/>
  <c r="DF15" i="4"/>
  <c r="DE15" i="4"/>
  <c r="DD15" i="4"/>
  <c r="DI14" i="4"/>
  <c r="DH14" i="4"/>
  <c r="DF14" i="4"/>
  <c r="DE14" i="4"/>
  <c r="DD14" i="4"/>
  <c r="DI12" i="4"/>
  <c r="DH12" i="4"/>
  <c r="DF12" i="4"/>
  <c r="DE12" i="4"/>
  <c r="DD12" i="4"/>
  <c r="DI11" i="4"/>
  <c r="DH11" i="4"/>
  <c r="DF11" i="4"/>
  <c r="DE11" i="4"/>
  <c r="DD11" i="4"/>
  <c r="DI13" i="4"/>
  <c r="DH13" i="4"/>
  <c r="DF13" i="4"/>
  <c r="DE13" i="4"/>
  <c r="DD13" i="4"/>
  <c r="DI10" i="4"/>
  <c r="DH10" i="4"/>
  <c r="DF10" i="4"/>
  <c r="DE10" i="4"/>
  <c r="DD10" i="4"/>
  <c r="DI9" i="4"/>
  <c r="DH9" i="4"/>
  <c r="DF9" i="4"/>
  <c r="DE9" i="4"/>
  <c r="DD9" i="4"/>
  <c r="DI8" i="4"/>
  <c r="DH8" i="4"/>
  <c r="DF8" i="4"/>
  <c r="DE8" i="4"/>
  <c r="DD8" i="4"/>
  <c r="DI7" i="4"/>
  <c r="DH7" i="4"/>
  <c r="DF7" i="4"/>
  <c r="DE7" i="4"/>
  <c r="DD7" i="4"/>
  <c r="DI6" i="4"/>
  <c r="DH6" i="4"/>
  <c r="DF6" i="4"/>
  <c r="DE6" i="4"/>
  <c r="DD6" i="4"/>
  <c r="DI5" i="4"/>
  <c r="DH5" i="4"/>
  <c r="DF5" i="4"/>
  <c r="DE5" i="4"/>
  <c r="DD5" i="4"/>
  <c r="DI4" i="4"/>
  <c r="DH4" i="4"/>
  <c r="DF4" i="4"/>
  <c r="DE4" i="4"/>
  <c r="DD4" i="4"/>
  <c r="CM20" i="4"/>
  <c r="CL20" i="4"/>
  <c r="CJ20" i="4"/>
  <c r="CI20" i="4"/>
  <c r="CH20" i="4"/>
  <c r="CM19" i="4"/>
  <c r="CL19" i="4"/>
  <c r="CJ19" i="4"/>
  <c r="CI19" i="4"/>
  <c r="CH19" i="4"/>
  <c r="CM18" i="4"/>
  <c r="CL18" i="4"/>
  <c r="CJ18" i="4"/>
  <c r="CI18" i="4"/>
  <c r="CH18" i="4"/>
  <c r="CM17" i="4"/>
  <c r="CL17" i="4"/>
  <c r="CJ17" i="4"/>
  <c r="CI17" i="4"/>
  <c r="CH17" i="4"/>
  <c r="CM16" i="4"/>
  <c r="CL16" i="4"/>
  <c r="CJ16" i="4"/>
  <c r="CI16" i="4"/>
  <c r="CH16" i="4"/>
  <c r="CM15" i="4"/>
  <c r="CL15" i="4"/>
  <c r="CJ15" i="4"/>
  <c r="CI15" i="4"/>
  <c r="CH15" i="4"/>
  <c r="CM14" i="4"/>
  <c r="CL14" i="4"/>
  <c r="CJ14" i="4"/>
  <c r="CI14" i="4"/>
  <c r="CH14" i="4"/>
  <c r="CM12" i="4"/>
  <c r="CL12" i="4"/>
  <c r="CJ12" i="4"/>
  <c r="CI12" i="4"/>
  <c r="CH12" i="4"/>
  <c r="CM11" i="4"/>
  <c r="CL11" i="4"/>
  <c r="CJ11" i="4"/>
  <c r="CI11" i="4"/>
  <c r="CH11" i="4"/>
  <c r="CM13" i="4"/>
  <c r="CL13" i="4"/>
  <c r="CJ13" i="4"/>
  <c r="CI13" i="4"/>
  <c r="CH13" i="4"/>
  <c r="CM10" i="4"/>
  <c r="CL10" i="4"/>
  <c r="CJ10" i="4"/>
  <c r="CI10" i="4"/>
  <c r="CH10" i="4"/>
  <c r="CM9" i="4"/>
  <c r="CL9" i="4"/>
  <c r="CJ9" i="4"/>
  <c r="CI9" i="4"/>
  <c r="CH9" i="4"/>
  <c r="CM8" i="4"/>
  <c r="CL8" i="4"/>
  <c r="CJ8" i="4"/>
  <c r="CI8" i="4"/>
  <c r="CH8" i="4"/>
  <c r="CM7" i="4"/>
  <c r="CL7" i="4"/>
  <c r="CJ7" i="4"/>
  <c r="CI7" i="4"/>
  <c r="CH7" i="4"/>
  <c r="CM6" i="4"/>
  <c r="CL6" i="4"/>
  <c r="CJ6" i="4"/>
  <c r="CI6" i="4"/>
  <c r="CH6" i="4"/>
  <c r="CM5" i="4"/>
  <c r="CL5" i="4"/>
  <c r="CJ5" i="4"/>
  <c r="CI5" i="4"/>
  <c r="CH5" i="4"/>
  <c r="CM4" i="4"/>
  <c r="CL4" i="4"/>
  <c r="CJ4" i="4"/>
  <c r="CI4" i="4"/>
  <c r="CH4" i="4"/>
  <c r="JT4" i="8" l="1"/>
  <c r="JT5" i="8"/>
  <c r="JE5" i="9"/>
  <c r="CK8" i="4"/>
  <c r="CN8" i="4"/>
  <c r="KW8" i="4"/>
  <c r="KZ8" i="4" s="1"/>
  <c r="CK14" i="10"/>
  <c r="HM14" i="9"/>
  <c r="II10" i="9"/>
  <c r="IL10" i="9" s="1"/>
  <c r="JE13" i="2"/>
  <c r="DG10" i="4"/>
  <c r="DJ10" i="4" s="1"/>
  <c r="DG18" i="4"/>
  <c r="DJ18" i="4" s="1"/>
  <c r="GR6" i="8"/>
  <c r="KA4" i="10"/>
  <c r="KD4" i="10" s="1"/>
  <c r="KA13" i="10"/>
  <c r="KW17" i="10"/>
  <c r="KZ17" i="10" s="1"/>
  <c r="KA6" i="10"/>
  <c r="KD6" i="10" s="1"/>
  <c r="FU17" i="9"/>
  <c r="JE12" i="9"/>
  <c r="KW16" i="9"/>
  <c r="DG6" i="2"/>
  <c r="HM4" i="2"/>
  <c r="HP4" i="2" s="1"/>
  <c r="GQ6" i="2"/>
  <c r="GT6" i="2" s="1"/>
  <c r="GQ13" i="4"/>
  <c r="GT13" i="4" s="1"/>
  <c r="JL11" i="6"/>
  <c r="KG5" i="6"/>
  <c r="KG12" i="6"/>
  <c r="KG7" i="6"/>
  <c r="KG9" i="6"/>
  <c r="KG11" i="6"/>
  <c r="KG14" i="6"/>
  <c r="DP4" i="8"/>
  <c r="FX4" i="8"/>
  <c r="CB7" i="7"/>
  <c r="CV9" i="7"/>
  <c r="HL5" i="7"/>
  <c r="GR9" i="7"/>
  <c r="IF5" i="7"/>
  <c r="IZ7" i="7"/>
  <c r="JT9" i="7"/>
  <c r="EY18" i="10"/>
  <c r="FB18" i="10" s="1"/>
  <c r="CK17" i="10"/>
  <c r="CN17" i="10" s="1"/>
  <c r="HM10" i="10"/>
  <c r="HP10" i="10" s="1"/>
  <c r="HM16" i="10"/>
  <c r="HP16" i="10" s="1"/>
  <c r="JE12" i="10"/>
  <c r="KA16" i="10"/>
  <c r="KW11" i="10"/>
  <c r="KZ11" i="10" s="1"/>
  <c r="FU4" i="10"/>
  <c r="FX4" i="10" s="1"/>
  <c r="GQ7" i="10"/>
  <c r="GT7" i="10" s="1"/>
  <c r="GQ14" i="10"/>
  <c r="GT14" i="10" s="1"/>
  <c r="HM8" i="10"/>
  <c r="HP8" i="10" s="1"/>
  <c r="KW10" i="10"/>
  <c r="KZ10" i="10" s="1"/>
  <c r="FU12" i="9"/>
  <c r="FX12" i="9" s="1"/>
  <c r="GQ7" i="9"/>
  <c r="GT7" i="9" s="1"/>
  <c r="EY14" i="2"/>
  <c r="FB14" i="2" s="1"/>
  <c r="EC7" i="2"/>
  <c r="EF7" i="2" s="1"/>
  <c r="HM11" i="2"/>
  <c r="HP11" i="2" s="1"/>
  <c r="GQ13" i="2"/>
  <c r="GT13" i="2" s="1"/>
  <c r="II16" i="4"/>
  <c r="IL16" i="4" s="1"/>
  <c r="GQ8" i="4"/>
  <c r="GT8" i="4" s="1"/>
  <c r="FK6" i="6"/>
  <c r="GF8" i="6"/>
  <c r="CE8" i="6"/>
  <c r="CE11" i="6"/>
  <c r="HV5" i="6"/>
  <c r="HV12" i="6"/>
  <c r="IQ11" i="6"/>
  <c r="EJ5" i="7"/>
  <c r="KA14" i="10"/>
  <c r="KD14" i="10" s="1"/>
  <c r="KD16" i="10"/>
  <c r="JE15" i="10"/>
  <c r="JH15" i="10" s="1"/>
  <c r="II13" i="10"/>
  <c r="IL13" i="10" s="1"/>
  <c r="JE5" i="10"/>
  <c r="JH5" i="10" s="1"/>
  <c r="JE17" i="10"/>
  <c r="JH17" i="10" s="1"/>
  <c r="EY17" i="10"/>
  <c r="FB17" i="10" s="1"/>
  <c r="JH7" i="10"/>
  <c r="KD15" i="10"/>
  <c r="KZ16" i="10"/>
  <c r="CN14" i="10"/>
  <c r="DG5" i="10"/>
  <c r="DJ5" i="10" s="1"/>
  <c r="DG17" i="10"/>
  <c r="DJ17" i="10" s="1"/>
  <c r="EC6" i="10"/>
  <c r="EF6" i="10" s="1"/>
  <c r="EC18" i="10"/>
  <c r="EF18" i="10" s="1"/>
  <c r="EY7" i="10"/>
  <c r="FB7" i="10" s="1"/>
  <c r="EY14" i="10"/>
  <c r="FB14" i="10" s="1"/>
  <c r="FU8" i="10"/>
  <c r="FX8" i="10" s="1"/>
  <c r="JE11" i="9"/>
  <c r="JH11" i="9" s="1"/>
  <c r="CK10" i="9"/>
  <c r="CN10" i="9" s="1"/>
  <c r="DG5" i="9"/>
  <c r="DJ5" i="9" s="1"/>
  <c r="DG12" i="9"/>
  <c r="DJ12" i="9" s="1"/>
  <c r="GQ5" i="9"/>
  <c r="GT5" i="9" s="1"/>
  <c r="GQ12" i="9"/>
  <c r="JH5" i="9"/>
  <c r="KZ16" i="9"/>
  <c r="EC13" i="9"/>
  <c r="EF13" i="9" s="1"/>
  <c r="EY6" i="9"/>
  <c r="FB6" i="9" s="1"/>
  <c r="EY15" i="9"/>
  <c r="FB15" i="9" s="1"/>
  <c r="II12" i="9"/>
  <c r="IL12" i="9" s="1"/>
  <c r="JE7" i="9"/>
  <c r="KA8" i="9"/>
  <c r="KD8" i="9" s="1"/>
  <c r="FU14" i="2"/>
  <c r="HM14" i="2"/>
  <c r="HP14" i="2" s="1"/>
  <c r="JE14" i="2"/>
  <c r="JH14" i="2" s="1"/>
  <c r="KW14" i="2"/>
  <c r="KZ14" i="2" s="1"/>
  <c r="FU15" i="4"/>
  <c r="FX15" i="4" s="1"/>
  <c r="FU7" i="4"/>
  <c r="FX7" i="4" s="1"/>
  <c r="CK10" i="4"/>
  <c r="CN10" i="4" s="1"/>
  <c r="EC8" i="4"/>
  <c r="EF8" i="4" s="1"/>
  <c r="EC15" i="4"/>
  <c r="EF15" i="4" s="1"/>
  <c r="II18" i="4"/>
  <c r="IL18" i="4" s="1"/>
  <c r="KA8" i="4"/>
  <c r="KD8" i="4" s="1"/>
  <c r="CE6" i="12"/>
  <c r="DU6" i="12"/>
  <c r="CE8" i="12"/>
  <c r="CE11" i="12"/>
  <c r="CZ5" i="12"/>
  <c r="CZ6" i="12"/>
  <c r="CZ9" i="12"/>
  <c r="DU7" i="12"/>
  <c r="HA8" i="12"/>
  <c r="HA11" i="12"/>
  <c r="HV5" i="12"/>
  <c r="HV6" i="12"/>
  <c r="HV9" i="12"/>
  <c r="IQ11" i="12"/>
  <c r="JL6" i="12"/>
  <c r="JL9" i="12"/>
  <c r="JL11" i="12"/>
  <c r="KG6" i="12"/>
  <c r="KG9" i="12"/>
  <c r="KG11" i="12"/>
  <c r="HA15" i="6"/>
  <c r="CZ7" i="6"/>
  <c r="DU5" i="6"/>
  <c r="EP11" i="6"/>
  <c r="HV8" i="6"/>
  <c r="FK12" i="6"/>
  <c r="FK9" i="6"/>
  <c r="FK11" i="6"/>
  <c r="GF5" i="6"/>
  <c r="GF12" i="6"/>
  <c r="HA5" i="6"/>
  <c r="HA7" i="6"/>
  <c r="HA11" i="6"/>
  <c r="HV11" i="6"/>
  <c r="IQ5" i="6"/>
  <c r="CZ4" i="6"/>
  <c r="CZ6" i="6"/>
  <c r="CZ8" i="6"/>
  <c r="CZ10" i="6"/>
  <c r="DU4" i="6"/>
  <c r="DU6" i="6"/>
  <c r="DU13" i="6"/>
  <c r="DU15" i="6"/>
  <c r="EP4" i="6"/>
  <c r="EP6" i="6"/>
  <c r="FK10" i="6"/>
  <c r="FD4" i="8"/>
  <c r="HL5" i="8"/>
  <c r="CV6" i="8"/>
  <c r="IF7" i="7"/>
  <c r="GR6" i="7"/>
  <c r="IZ4" i="7"/>
  <c r="CB8" i="7"/>
  <c r="DP4" i="7"/>
  <c r="EJ6" i="7"/>
  <c r="FD8" i="7"/>
  <c r="GR4" i="7"/>
  <c r="GR7" i="7"/>
  <c r="IF6" i="7"/>
  <c r="EC15" i="10"/>
  <c r="EF15" i="10" s="1"/>
  <c r="EY10" i="10"/>
  <c r="FB10" i="10" s="1"/>
  <c r="II6" i="10"/>
  <c r="IL6" i="10" s="1"/>
  <c r="II12" i="10"/>
  <c r="IL12" i="10" s="1"/>
  <c r="KA9" i="10"/>
  <c r="KD9" i="10" s="1"/>
  <c r="CK15" i="10"/>
  <c r="CN15" i="10" s="1"/>
  <c r="DG4" i="10"/>
  <c r="DJ4" i="10" s="1"/>
  <c r="EC11" i="10"/>
  <c r="EF11" i="10" s="1"/>
  <c r="EY12" i="10"/>
  <c r="FB12" i="10" s="1"/>
  <c r="II17" i="10"/>
  <c r="IL17" i="10" s="1"/>
  <c r="KA5" i="10"/>
  <c r="KD5" i="10" s="1"/>
  <c r="KA17" i="10"/>
  <c r="KD17" i="10" s="1"/>
  <c r="KW18" i="10"/>
  <c r="KZ18" i="10" s="1"/>
  <c r="DG18" i="10"/>
  <c r="DJ18" i="10" s="1"/>
  <c r="EC14" i="10"/>
  <c r="EF14" i="10" s="1"/>
  <c r="GQ17" i="10"/>
  <c r="GT17" i="10" s="1"/>
  <c r="II7" i="10"/>
  <c r="KA7" i="10"/>
  <c r="KD7" i="10" s="1"/>
  <c r="FU9" i="10"/>
  <c r="FX9" i="10" s="1"/>
  <c r="HM12" i="10"/>
  <c r="HP12" i="10" s="1"/>
  <c r="DG9" i="10"/>
  <c r="DJ9" i="10" s="1"/>
  <c r="EC4" i="10"/>
  <c r="EF4" i="10" s="1"/>
  <c r="EY5" i="10"/>
  <c r="FB5" i="10" s="1"/>
  <c r="EY15" i="10"/>
  <c r="FB15" i="10" s="1"/>
  <c r="FU14" i="10"/>
  <c r="FX14" i="10" s="1"/>
  <c r="II5" i="10"/>
  <c r="IL5" i="10" s="1"/>
  <c r="II8" i="10"/>
  <c r="IL8" i="10" s="1"/>
  <c r="JE10" i="10"/>
  <c r="JH10" i="10" s="1"/>
  <c r="KA8" i="10"/>
  <c r="KD8" i="10" s="1"/>
  <c r="FU6" i="10"/>
  <c r="FX6" i="10" s="1"/>
  <c r="FU10" i="10"/>
  <c r="FX10" i="10" s="1"/>
  <c r="GQ5" i="10"/>
  <c r="GT5" i="10" s="1"/>
  <c r="JE18" i="10"/>
  <c r="JH18" i="10" s="1"/>
  <c r="JE16" i="10"/>
  <c r="KW6" i="10"/>
  <c r="KZ6" i="10" s="1"/>
  <c r="CN10" i="10"/>
  <c r="CK13" i="10"/>
  <c r="CN13" i="10" s="1"/>
  <c r="CN16" i="10"/>
  <c r="DJ11" i="10"/>
  <c r="EF9" i="10"/>
  <c r="EC12" i="10"/>
  <c r="EF12" i="10" s="1"/>
  <c r="JE8" i="10"/>
  <c r="JH8" i="10" s="1"/>
  <c r="CK9" i="10"/>
  <c r="CN9" i="10" s="1"/>
  <c r="CK12" i="10"/>
  <c r="CN12" i="10" s="1"/>
  <c r="GQ10" i="10"/>
  <c r="GT10" i="10" s="1"/>
  <c r="GQ13" i="10"/>
  <c r="GT13" i="10" s="1"/>
  <c r="II17" i="9"/>
  <c r="IL17" i="9" s="1"/>
  <c r="HM16" i="9"/>
  <c r="HP16" i="9" s="1"/>
  <c r="DJ8" i="9"/>
  <c r="GT8" i="9"/>
  <c r="EC15" i="9"/>
  <c r="EF15" i="9" s="1"/>
  <c r="EY9" i="9"/>
  <c r="FB9" i="9" s="1"/>
  <c r="GQ13" i="9"/>
  <c r="GT13" i="9" s="1"/>
  <c r="HM12" i="9"/>
  <c r="HP12" i="9" s="1"/>
  <c r="KZ5" i="9"/>
  <c r="KW12" i="9"/>
  <c r="KZ12" i="9" s="1"/>
  <c r="DG10" i="9"/>
  <c r="DJ10" i="9" s="1"/>
  <c r="EC5" i="9"/>
  <c r="EF5" i="9" s="1"/>
  <c r="JE13" i="9"/>
  <c r="JH13" i="9" s="1"/>
  <c r="FU5" i="9"/>
  <c r="FX5" i="9" s="1"/>
  <c r="KW4" i="9"/>
  <c r="KZ4" i="9" s="1"/>
  <c r="CK7" i="9"/>
  <c r="CN7" i="9" s="1"/>
  <c r="CK14" i="9"/>
  <c r="CN14" i="9" s="1"/>
  <c r="GQ4" i="9"/>
  <c r="GT4" i="9" s="1"/>
  <c r="GQ11" i="9"/>
  <c r="GT11" i="9" s="1"/>
  <c r="EY12" i="9"/>
  <c r="FB12" i="9" s="1"/>
  <c r="KA11" i="9"/>
  <c r="KD11" i="9" s="1"/>
  <c r="FU16" i="9"/>
  <c r="FX16" i="9" s="1"/>
  <c r="GQ10" i="9"/>
  <c r="GT10" i="9" s="1"/>
  <c r="HM5" i="9"/>
  <c r="HP5" i="9" s="1"/>
  <c r="EF9" i="9"/>
  <c r="HP14" i="9"/>
  <c r="KA10" i="9"/>
  <c r="KD10" i="9" s="1"/>
  <c r="KW6" i="9"/>
  <c r="KZ6" i="9" s="1"/>
  <c r="FU13" i="9"/>
  <c r="FX13" i="9" s="1"/>
  <c r="GT12" i="9"/>
  <c r="CK12" i="9"/>
  <c r="CN12" i="9" s="1"/>
  <c r="DG14" i="9"/>
  <c r="DJ14" i="9" s="1"/>
  <c r="EC4" i="9"/>
  <c r="EF4" i="9" s="1"/>
  <c r="EY17" i="9"/>
  <c r="FB17" i="9" s="1"/>
  <c r="EY13" i="9"/>
  <c r="FB13" i="9" s="1"/>
  <c r="FU6" i="9"/>
  <c r="FX6" i="9" s="1"/>
  <c r="HM8" i="9"/>
  <c r="HP8" i="9" s="1"/>
  <c r="II16" i="9"/>
  <c r="IL16" i="9" s="1"/>
  <c r="KA5" i="9"/>
  <c r="KD5" i="9" s="1"/>
  <c r="KA12" i="9"/>
  <c r="KD12" i="9" s="1"/>
  <c r="EC5" i="2"/>
  <c r="EF5" i="2" s="1"/>
  <c r="HM5" i="2"/>
  <c r="HP5" i="2" s="1"/>
  <c r="JE7" i="2"/>
  <c r="JH7" i="2" s="1"/>
  <c r="DG10" i="2"/>
  <c r="DJ10" i="2" s="1"/>
  <c r="II10" i="2"/>
  <c r="IL10" i="2" s="1"/>
  <c r="CK8" i="2"/>
  <c r="CN8" i="2" s="1"/>
  <c r="II4" i="2"/>
  <c r="IL4" i="2" s="1"/>
  <c r="EY9" i="2"/>
  <c r="FB9" i="2" s="1"/>
  <c r="FU13" i="2"/>
  <c r="FX13" i="2" s="1"/>
  <c r="DJ6" i="2"/>
  <c r="HM13" i="2"/>
  <c r="HP13" i="2" s="1"/>
  <c r="KA14" i="2"/>
  <c r="KD14" i="2" s="1"/>
  <c r="EY10" i="2"/>
  <c r="FB10" i="2" s="1"/>
  <c r="KD10" i="2"/>
  <c r="KZ15" i="2"/>
  <c r="CK11" i="2"/>
  <c r="CN11" i="2" s="1"/>
  <c r="FU4" i="2"/>
  <c r="FX4" i="2" s="1"/>
  <c r="FU11" i="2"/>
  <c r="FX11" i="2" s="1"/>
  <c r="GQ8" i="2"/>
  <c r="GT8" i="2" s="1"/>
  <c r="JE4" i="2"/>
  <c r="JH4" i="2" s="1"/>
  <c r="KW11" i="2"/>
  <c r="KZ11" i="2" s="1"/>
  <c r="EY12" i="2"/>
  <c r="FB12" i="2" s="1"/>
  <c r="CK9" i="2"/>
  <c r="CN9" i="2" s="1"/>
  <c r="EC9" i="2"/>
  <c r="EF9" i="2" s="1"/>
  <c r="HM9" i="2"/>
  <c r="HP9" i="2" s="1"/>
  <c r="II5" i="2"/>
  <c r="IL5" i="2" s="1"/>
  <c r="II13" i="2"/>
  <c r="IL13" i="2" s="1"/>
  <c r="JE9" i="2"/>
  <c r="JH9" i="2" s="1"/>
  <c r="DG8" i="4"/>
  <c r="DJ8" i="4" s="1"/>
  <c r="II10" i="4"/>
  <c r="IL10" i="4" s="1"/>
  <c r="EY8" i="4"/>
  <c r="FB8" i="4" s="1"/>
  <c r="EY16" i="4"/>
  <c r="FB16" i="4" s="1"/>
  <c r="EC13" i="4"/>
  <c r="EF13" i="4" s="1"/>
  <c r="KA15" i="4"/>
  <c r="KD15" i="4" s="1"/>
  <c r="DG14" i="4"/>
  <c r="EY11" i="4"/>
  <c r="FB11" i="4" s="1"/>
  <c r="CK4" i="4"/>
  <c r="CN4" i="4" s="1"/>
  <c r="CK11" i="4"/>
  <c r="CN11" i="4" s="1"/>
  <c r="FU16" i="4"/>
  <c r="FX16" i="4" s="1"/>
  <c r="HM6" i="4"/>
  <c r="HP6" i="4" s="1"/>
  <c r="CK5" i="4"/>
  <c r="CN5" i="4" s="1"/>
  <c r="CK12" i="4"/>
  <c r="CN12" i="4" s="1"/>
  <c r="EC14" i="4"/>
  <c r="EF14" i="4" s="1"/>
  <c r="FU18" i="4"/>
  <c r="FX18" i="4" s="1"/>
  <c r="GQ17" i="4"/>
  <c r="GT17" i="4" s="1"/>
  <c r="HM5" i="4"/>
  <c r="HP5" i="4" s="1"/>
  <c r="HM8" i="4"/>
  <c r="HP8" i="4" s="1"/>
  <c r="II4" i="4"/>
  <c r="II7" i="4"/>
  <c r="IL7" i="4" s="1"/>
  <c r="JE14" i="4"/>
  <c r="JH14" i="4" s="1"/>
  <c r="KA16" i="4"/>
  <c r="KD16" i="4" s="1"/>
  <c r="KW15" i="4"/>
  <c r="KZ15" i="4" s="1"/>
  <c r="CK18" i="4"/>
  <c r="CN18" i="4" s="1"/>
  <c r="JE13" i="4"/>
  <c r="JH13" i="4" s="1"/>
  <c r="CK15" i="4"/>
  <c r="CN15" i="4" s="1"/>
  <c r="FU6" i="4"/>
  <c r="FX6" i="4" s="1"/>
  <c r="GQ16" i="4"/>
  <c r="GT16" i="4" s="1"/>
  <c r="JE12" i="4"/>
  <c r="JH12" i="4" s="1"/>
  <c r="CK9" i="4"/>
  <c r="CN9" i="4" s="1"/>
  <c r="CK17" i="4"/>
  <c r="CN17" i="4" s="1"/>
  <c r="EC18" i="4"/>
  <c r="EF18" i="4" s="1"/>
  <c r="EY20" i="4"/>
  <c r="FB20" i="4" s="1"/>
  <c r="FU13" i="4"/>
  <c r="FX13" i="4" s="1"/>
  <c r="HM9" i="4"/>
  <c r="HP9" i="4" s="1"/>
  <c r="HM17" i="4"/>
  <c r="HP17" i="4" s="1"/>
  <c r="II8" i="4"/>
  <c r="IL8" i="4" s="1"/>
  <c r="CK13" i="4"/>
  <c r="CN13" i="4" s="1"/>
  <c r="CK19" i="4"/>
  <c r="DG5" i="4"/>
  <c r="DJ5" i="4" s="1"/>
  <c r="EC4" i="4"/>
  <c r="EF4" i="4" s="1"/>
  <c r="EC11" i="4"/>
  <c r="EF11" i="4" s="1"/>
  <c r="EC20" i="4"/>
  <c r="EF20" i="4" s="1"/>
  <c r="EY13" i="4"/>
  <c r="FB13" i="4" s="1"/>
  <c r="FU5" i="4"/>
  <c r="FX5" i="4" s="1"/>
  <c r="FU8" i="4"/>
  <c r="FX8" i="4" s="1"/>
  <c r="GQ11" i="4"/>
  <c r="GT11" i="4" s="1"/>
  <c r="JE11" i="4"/>
  <c r="JH11" i="4" s="1"/>
  <c r="KA13" i="4"/>
  <c r="KD13" i="4" s="1"/>
  <c r="KW10" i="4"/>
  <c r="KZ10" i="4" s="1"/>
  <c r="KW18" i="4"/>
  <c r="KZ18" i="4" s="1"/>
  <c r="CV4" i="8"/>
  <c r="EP6" i="12"/>
  <c r="KA4" i="2"/>
  <c r="KD4" i="2" s="1"/>
  <c r="JE5" i="4"/>
  <c r="JH5" i="4" s="1"/>
  <c r="JE6" i="4"/>
  <c r="JH6" i="4" s="1"/>
  <c r="JE4" i="4"/>
  <c r="JH4" i="4" s="1"/>
  <c r="EP4" i="12"/>
  <c r="HA6" i="12"/>
  <c r="IQ9" i="12"/>
  <c r="JL4" i="12"/>
  <c r="JL7" i="12"/>
  <c r="JL8" i="12"/>
  <c r="JL10" i="12"/>
  <c r="EP9" i="12"/>
  <c r="FK7" i="12"/>
  <c r="FK8" i="12"/>
  <c r="FK11" i="12"/>
  <c r="GF5" i="12"/>
  <c r="GF6" i="12"/>
  <c r="GF9" i="12"/>
  <c r="IQ7" i="12"/>
  <c r="HA4" i="12"/>
  <c r="CE9" i="12"/>
  <c r="CZ7" i="12"/>
  <c r="CZ8" i="12"/>
  <c r="CZ11" i="12"/>
  <c r="DU5" i="12"/>
  <c r="IQ8" i="12"/>
  <c r="EP8" i="12"/>
  <c r="GF4" i="12"/>
  <c r="DU4" i="12"/>
  <c r="DU8" i="12"/>
  <c r="DU11" i="12"/>
  <c r="EP5" i="12"/>
  <c r="HA5" i="12"/>
  <c r="IQ4" i="12"/>
  <c r="FK4" i="12"/>
  <c r="HV4" i="12"/>
  <c r="JL5" i="12"/>
  <c r="CZ4" i="12"/>
  <c r="KG5" i="12"/>
  <c r="CE4" i="12"/>
  <c r="CE7" i="12"/>
  <c r="DU9" i="12"/>
  <c r="EP7" i="12"/>
  <c r="HA7" i="12"/>
  <c r="CE4" i="6"/>
  <c r="CE6" i="6"/>
  <c r="CE10" i="6"/>
  <c r="FK5" i="6"/>
  <c r="GF11" i="6"/>
  <c r="GF14" i="6"/>
  <c r="IQ6" i="6"/>
  <c r="IQ8" i="6"/>
  <c r="IQ15" i="6"/>
  <c r="JL8" i="6"/>
  <c r="EP10" i="6"/>
  <c r="HA12" i="6"/>
  <c r="HV14" i="6"/>
  <c r="KG8" i="6"/>
  <c r="DU8" i="6"/>
  <c r="EP13" i="6"/>
  <c r="FK4" i="6"/>
  <c r="JL5" i="6"/>
  <c r="JL12" i="6"/>
  <c r="CE5" i="6"/>
  <c r="CE12" i="6"/>
  <c r="CE7" i="6"/>
  <c r="CE9" i="6"/>
  <c r="GF4" i="6"/>
  <c r="GF6" i="6"/>
  <c r="GF13" i="6"/>
  <c r="GF15" i="6"/>
  <c r="IQ9" i="6"/>
  <c r="JL7" i="6"/>
  <c r="JL9" i="6"/>
  <c r="CZ5" i="6"/>
  <c r="CZ12" i="6"/>
  <c r="CZ9" i="6"/>
  <c r="CZ11" i="6"/>
  <c r="DU12" i="6"/>
  <c r="FK8" i="6"/>
  <c r="HA4" i="6"/>
  <c r="HA6" i="6"/>
  <c r="HA8" i="6"/>
  <c r="HA13" i="6"/>
  <c r="DU7" i="6"/>
  <c r="DU9" i="6"/>
  <c r="DU11" i="6"/>
  <c r="DU14" i="6"/>
  <c r="EP5" i="6"/>
  <c r="EP12" i="6"/>
  <c r="EP7" i="6"/>
  <c r="EP9" i="6"/>
  <c r="HV4" i="6"/>
  <c r="HV6" i="6"/>
  <c r="HV13" i="6"/>
  <c r="HV15" i="6"/>
  <c r="CE13" i="6"/>
  <c r="CE15" i="6"/>
  <c r="CZ14" i="6"/>
  <c r="FK7" i="6"/>
  <c r="GF10" i="6"/>
  <c r="HA9" i="6"/>
  <c r="HV10" i="6"/>
  <c r="IQ14" i="6"/>
  <c r="KG4" i="6"/>
  <c r="KG6" i="6"/>
  <c r="KG10" i="6"/>
  <c r="EP8" i="6"/>
  <c r="EP15" i="6"/>
  <c r="FK14" i="6"/>
  <c r="HA14" i="6"/>
  <c r="IQ4" i="6"/>
  <c r="JL14" i="6"/>
  <c r="CE14" i="6"/>
  <c r="CZ13" i="6"/>
  <c r="CZ15" i="6"/>
  <c r="GF7" i="6"/>
  <c r="GF9" i="6"/>
  <c r="HA10" i="6"/>
  <c r="HV7" i="6"/>
  <c r="HV9" i="6"/>
  <c r="IQ13" i="6"/>
  <c r="DU10" i="6"/>
  <c r="EP14" i="6"/>
  <c r="FK13" i="6"/>
  <c r="FK15" i="6"/>
  <c r="IQ12" i="6"/>
  <c r="IQ7" i="6"/>
  <c r="JL10" i="6"/>
  <c r="CV5" i="8"/>
  <c r="EJ4" i="8"/>
  <c r="FD6" i="8"/>
  <c r="IZ5" i="8"/>
  <c r="HL4" i="8"/>
  <c r="DP6" i="8"/>
  <c r="EJ6" i="8"/>
  <c r="CB4" i="8"/>
  <c r="EJ5" i="8"/>
  <c r="FX6" i="8"/>
  <c r="IF5" i="8"/>
  <c r="HL6" i="8"/>
  <c r="CB5" i="8"/>
  <c r="FD5" i="8"/>
  <c r="GR4" i="8"/>
  <c r="IF6" i="8"/>
  <c r="IZ6" i="8"/>
  <c r="CB6" i="8"/>
  <c r="DP5" i="8"/>
  <c r="GR5" i="8"/>
  <c r="IZ4" i="8"/>
  <c r="IZ8" i="7"/>
  <c r="CB4" i="7"/>
  <c r="CV6" i="7"/>
  <c r="DP8" i="7"/>
  <c r="FD4" i="7"/>
  <c r="FX6" i="7"/>
  <c r="GR5" i="7"/>
  <c r="FD7" i="7"/>
  <c r="FX9" i="7"/>
  <c r="IF4" i="7"/>
  <c r="IZ6" i="7"/>
  <c r="JT8" i="7"/>
  <c r="CB5" i="7"/>
  <c r="CV7" i="7"/>
  <c r="DP9" i="7"/>
  <c r="FD5" i="7"/>
  <c r="FX7" i="7"/>
  <c r="HL8" i="7"/>
  <c r="JT6" i="7"/>
  <c r="CV5" i="7"/>
  <c r="EJ9" i="7"/>
  <c r="FX5" i="7"/>
  <c r="CV4" i="7"/>
  <c r="DP6" i="7"/>
  <c r="EJ8" i="7"/>
  <c r="FX4" i="7"/>
  <c r="GR8" i="7"/>
  <c r="HL7" i="7"/>
  <c r="IF9" i="7"/>
  <c r="JT5" i="7"/>
  <c r="IZ9" i="7"/>
  <c r="DP7" i="7"/>
  <c r="FX8" i="7"/>
  <c r="CB9" i="7"/>
  <c r="DP5" i="7"/>
  <c r="EJ7" i="7"/>
  <c r="FD9" i="7"/>
  <c r="HL6" i="7"/>
  <c r="IF8" i="7"/>
  <c r="JT4" i="7"/>
  <c r="GT18" i="10"/>
  <c r="JE13" i="10"/>
  <c r="JH13" i="10" s="1"/>
  <c r="EC5" i="10"/>
  <c r="EF5" i="10" s="1"/>
  <c r="EC17" i="10"/>
  <c r="EF17" i="10" s="1"/>
  <c r="FU15" i="10"/>
  <c r="FX15" i="10" s="1"/>
  <c r="GQ4" i="10"/>
  <c r="GT4" i="10" s="1"/>
  <c r="HM18" i="10"/>
  <c r="HP18" i="10" s="1"/>
  <c r="IL7" i="10"/>
  <c r="JH12" i="10"/>
  <c r="JH16" i="10"/>
  <c r="CK5" i="10"/>
  <c r="CN5" i="10" s="1"/>
  <c r="EC7" i="10"/>
  <c r="EF7" i="10" s="1"/>
  <c r="FU11" i="10"/>
  <c r="FX11" i="10" s="1"/>
  <c r="GQ9" i="10"/>
  <c r="GT9" i="10" s="1"/>
  <c r="GQ6" i="10"/>
  <c r="GT6" i="10" s="1"/>
  <c r="HM5" i="10"/>
  <c r="HP5" i="10" s="1"/>
  <c r="HM15" i="10"/>
  <c r="HP15" i="10" s="1"/>
  <c r="II4" i="10"/>
  <c r="IL4" i="10" s="1"/>
  <c r="II14" i="10"/>
  <c r="IL14" i="10" s="1"/>
  <c r="KZ9" i="10"/>
  <c r="KW12" i="10"/>
  <c r="KZ12" i="10" s="1"/>
  <c r="GQ12" i="10"/>
  <c r="GT12" i="10" s="1"/>
  <c r="GQ16" i="10"/>
  <c r="GT16" i="10" s="1"/>
  <c r="HM17" i="10"/>
  <c r="HP17" i="10" s="1"/>
  <c r="II10" i="10"/>
  <c r="IL10" i="10" s="1"/>
  <c r="KW8" i="10"/>
  <c r="KZ8" i="10" s="1"/>
  <c r="KW15" i="10"/>
  <c r="KZ15" i="10" s="1"/>
  <c r="DG8" i="10"/>
  <c r="DJ8" i="10" s="1"/>
  <c r="DG15" i="10"/>
  <c r="DJ15" i="10" s="1"/>
  <c r="EC10" i="10"/>
  <c r="EF10" i="10" s="1"/>
  <c r="EC13" i="10"/>
  <c r="EF13" i="10" s="1"/>
  <c r="EC16" i="10"/>
  <c r="EF16" i="10" s="1"/>
  <c r="HM7" i="10"/>
  <c r="HP7" i="10" s="1"/>
  <c r="HM11" i="10"/>
  <c r="HP11" i="10" s="1"/>
  <c r="II9" i="10"/>
  <c r="IL9" i="10" s="1"/>
  <c r="II16" i="10"/>
  <c r="IL16" i="10" s="1"/>
  <c r="KA10" i="10"/>
  <c r="KD10" i="10" s="1"/>
  <c r="KD13" i="10"/>
  <c r="KW5" i="10"/>
  <c r="KZ5" i="10" s="1"/>
  <c r="EY4" i="10"/>
  <c r="FB4" i="10" s="1"/>
  <c r="FU13" i="10"/>
  <c r="FX13" i="10" s="1"/>
  <c r="KW13" i="10"/>
  <c r="KZ13" i="10" s="1"/>
  <c r="CN18" i="10"/>
  <c r="EY13" i="10"/>
  <c r="FB13" i="10" s="1"/>
  <c r="KA12" i="10"/>
  <c r="KD12" i="10" s="1"/>
  <c r="KA18" i="10"/>
  <c r="KD18" i="10" s="1"/>
  <c r="KW14" i="10"/>
  <c r="KZ14" i="10" s="1"/>
  <c r="CK8" i="10"/>
  <c r="CN8" i="10" s="1"/>
  <c r="DG7" i="10"/>
  <c r="DJ7" i="10" s="1"/>
  <c r="EY9" i="10"/>
  <c r="FB9" i="10" s="1"/>
  <c r="EY6" i="10"/>
  <c r="FB6" i="10" s="1"/>
  <c r="EY16" i="10"/>
  <c r="FB16" i="10" s="1"/>
  <c r="FU12" i="10"/>
  <c r="FX12" i="10" s="1"/>
  <c r="FU18" i="10"/>
  <c r="FX18" i="10" s="1"/>
  <c r="FU16" i="10"/>
  <c r="FX16" i="10" s="1"/>
  <c r="GQ8" i="10"/>
  <c r="GT8" i="10" s="1"/>
  <c r="II11" i="10"/>
  <c r="IL11" i="10" s="1"/>
  <c r="II15" i="10"/>
  <c r="IL15" i="10" s="1"/>
  <c r="JE4" i="10"/>
  <c r="JH4" i="10" s="1"/>
  <c r="JE11" i="10"/>
  <c r="JH11" i="10" s="1"/>
  <c r="FX5" i="10"/>
  <c r="IL18" i="10"/>
  <c r="CK11" i="10"/>
  <c r="CN11" i="10" s="1"/>
  <c r="DG10" i="10"/>
  <c r="DJ10" i="10" s="1"/>
  <c r="DG13" i="10"/>
  <c r="DJ13" i="10" s="1"/>
  <c r="DG14" i="10"/>
  <c r="DJ14" i="10" s="1"/>
  <c r="EY8" i="10"/>
  <c r="FB8" i="10" s="1"/>
  <c r="FU7" i="10"/>
  <c r="FX7" i="10" s="1"/>
  <c r="GQ11" i="10"/>
  <c r="GT11" i="10" s="1"/>
  <c r="GQ15" i="10"/>
  <c r="GT15" i="10" s="1"/>
  <c r="HM4" i="10"/>
  <c r="HP4" i="10" s="1"/>
  <c r="JE9" i="10"/>
  <c r="JH9" i="10" s="1"/>
  <c r="JE6" i="10"/>
  <c r="JH6" i="10" s="1"/>
  <c r="JE14" i="10"/>
  <c r="JH14" i="10" s="1"/>
  <c r="KA11" i="10"/>
  <c r="KD11" i="10" s="1"/>
  <c r="CK4" i="10"/>
  <c r="CN4" i="10" s="1"/>
  <c r="CK7" i="10"/>
  <c r="CN7" i="10" s="1"/>
  <c r="DG6" i="10"/>
  <c r="DJ6" i="10" s="1"/>
  <c r="DG12" i="10"/>
  <c r="DJ12" i="10" s="1"/>
  <c r="DG16" i="10"/>
  <c r="DJ16" i="10" s="1"/>
  <c r="EC8" i="10"/>
  <c r="EF8" i="10" s="1"/>
  <c r="EY11" i="10"/>
  <c r="FB11" i="10" s="1"/>
  <c r="HM9" i="10"/>
  <c r="HP9" i="10" s="1"/>
  <c r="HM6" i="10"/>
  <c r="HP6" i="10" s="1"/>
  <c r="HM13" i="10"/>
  <c r="HP13" i="10" s="1"/>
  <c r="HM14" i="10"/>
  <c r="HP14" i="10" s="1"/>
  <c r="KW4" i="10"/>
  <c r="KZ4" i="10" s="1"/>
  <c r="KW7" i="10"/>
  <c r="KZ7" i="10" s="1"/>
  <c r="DG9" i="9"/>
  <c r="DJ9" i="9" s="1"/>
  <c r="EC14" i="9"/>
  <c r="EF14" i="9" s="1"/>
  <c r="EY8" i="9"/>
  <c r="FB8" i="9" s="1"/>
  <c r="EY11" i="9"/>
  <c r="FB11" i="9" s="1"/>
  <c r="GQ6" i="9"/>
  <c r="GT6" i="9" s="1"/>
  <c r="HM15" i="9"/>
  <c r="HP15" i="9" s="1"/>
  <c r="II5" i="9"/>
  <c r="IL5" i="9" s="1"/>
  <c r="II15" i="9"/>
  <c r="IL15" i="9" s="1"/>
  <c r="KA9" i="9"/>
  <c r="KD9" i="9" s="1"/>
  <c r="KW7" i="9"/>
  <c r="KZ7" i="9" s="1"/>
  <c r="CK4" i="9"/>
  <c r="CN4" i="9" s="1"/>
  <c r="CK11" i="9"/>
  <c r="CN11" i="9" s="1"/>
  <c r="DG4" i="9"/>
  <c r="DJ4" i="9" s="1"/>
  <c r="EC8" i="9"/>
  <c r="EF8" i="9" s="1"/>
  <c r="EC16" i="9"/>
  <c r="EF16" i="9" s="1"/>
  <c r="FU15" i="9"/>
  <c r="FX15" i="9" s="1"/>
  <c r="II9" i="9"/>
  <c r="IL9" i="9" s="1"/>
  <c r="KA4" i="9"/>
  <c r="KD4" i="9" s="1"/>
  <c r="KA7" i="9"/>
  <c r="KD7" i="9" s="1"/>
  <c r="KA14" i="9"/>
  <c r="KD14" i="9" s="1"/>
  <c r="KW8" i="9"/>
  <c r="KZ8" i="9" s="1"/>
  <c r="KW11" i="9"/>
  <c r="KZ11" i="9" s="1"/>
  <c r="DG13" i="9"/>
  <c r="DJ13" i="9" s="1"/>
  <c r="EC10" i="9"/>
  <c r="EF10" i="9" s="1"/>
  <c r="EY5" i="9"/>
  <c r="FB5" i="9" s="1"/>
  <c r="FU7" i="9"/>
  <c r="FX7" i="9" s="1"/>
  <c r="GQ14" i="9"/>
  <c r="GT14" i="9" s="1"/>
  <c r="HM4" i="9"/>
  <c r="HP4" i="9" s="1"/>
  <c r="JE17" i="9"/>
  <c r="JH17" i="9" s="1"/>
  <c r="KA13" i="9"/>
  <c r="KD13" i="9" s="1"/>
  <c r="KW17" i="9"/>
  <c r="KZ17" i="9" s="1"/>
  <c r="CK5" i="9"/>
  <c r="CN5" i="9" s="1"/>
  <c r="EC12" i="9"/>
  <c r="EF12" i="9" s="1"/>
  <c r="EY7" i="9"/>
  <c r="FB7" i="9" s="1"/>
  <c r="EY14" i="9"/>
  <c r="FB14" i="9" s="1"/>
  <c r="FU4" i="9"/>
  <c r="FX4" i="9" s="1"/>
  <c r="FU11" i="9"/>
  <c r="FX11" i="9" s="1"/>
  <c r="GQ17" i="9"/>
  <c r="GT17" i="9" s="1"/>
  <c r="II13" i="9"/>
  <c r="JE6" i="9"/>
  <c r="JH6" i="9" s="1"/>
  <c r="CK17" i="9"/>
  <c r="CN17" i="9" s="1"/>
  <c r="CK8" i="9"/>
  <c r="CN8" i="9" s="1"/>
  <c r="DG7" i="9"/>
  <c r="DJ7" i="9" s="1"/>
  <c r="EC7" i="9"/>
  <c r="EF7" i="9" s="1"/>
  <c r="FU10" i="9"/>
  <c r="FX10" i="9" s="1"/>
  <c r="HM7" i="9"/>
  <c r="HP7" i="9" s="1"/>
  <c r="HM9" i="9"/>
  <c r="HP9" i="9" s="1"/>
  <c r="II6" i="9"/>
  <c r="IL6" i="9" s="1"/>
  <c r="JE10" i="9"/>
  <c r="JH10" i="9" s="1"/>
  <c r="JE16" i="9"/>
  <c r="JH16" i="9" s="1"/>
  <c r="KA17" i="9"/>
  <c r="KD17" i="9" s="1"/>
  <c r="KA16" i="9"/>
  <c r="KD16" i="9" s="1"/>
  <c r="DG11" i="9"/>
  <c r="DJ11" i="9" s="1"/>
  <c r="EC11" i="9"/>
  <c r="EF11" i="9" s="1"/>
  <c r="EY4" i="9"/>
  <c r="FB4" i="9" s="1"/>
  <c r="FX17" i="9"/>
  <c r="FX14" i="9"/>
  <c r="KA6" i="9"/>
  <c r="KD6" i="9" s="1"/>
  <c r="CK6" i="9"/>
  <c r="CN6" i="9" s="1"/>
  <c r="CK13" i="9"/>
  <c r="CN13" i="9" s="1"/>
  <c r="CK16" i="9"/>
  <c r="CN16" i="9" s="1"/>
  <c r="DG17" i="9"/>
  <c r="DJ17" i="9" s="1"/>
  <c r="DG16" i="9"/>
  <c r="DJ16" i="9" s="1"/>
  <c r="EC17" i="9"/>
  <c r="EF17" i="9" s="1"/>
  <c r="FU9" i="9"/>
  <c r="FX9" i="9" s="1"/>
  <c r="GQ16" i="9"/>
  <c r="GT16" i="9" s="1"/>
  <c r="HM17" i="9"/>
  <c r="HP17" i="9" s="1"/>
  <c r="HM11" i="9"/>
  <c r="HP11" i="9" s="1"/>
  <c r="II4" i="9"/>
  <c r="IL4" i="9" s="1"/>
  <c r="II7" i="9"/>
  <c r="IL7" i="9" s="1"/>
  <c r="IL13" i="9"/>
  <c r="JE9" i="9"/>
  <c r="JH9" i="9" s="1"/>
  <c r="JE15" i="9"/>
  <c r="JH15" i="9" s="1"/>
  <c r="KA15" i="9"/>
  <c r="KD15" i="9" s="1"/>
  <c r="KW10" i="9"/>
  <c r="KZ10" i="9" s="1"/>
  <c r="JH7" i="9"/>
  <c r="JH12" i="9"/>
  <c r="KW13" i="9"/>
  <c r="KZ13" i="9" s="1"/>
  <c r="KZ14" i="9"/>
  <c r="CK9" i="9"/>
  <c r="CN9" i="9" s="1"/>
  <c r="DG6" i="9"/>
  <c r="DJ6" i="9" s="1"/>
  <c r="EC6" i="9"/>
  <c r="EF6" i="9" s="1"/>
  <c r="HM6" i="9"/>
  <c r="HP6" i="9" s="1"/>
  <c r="HM10" i="9"/>
  <c r="HP10" i="9" s="1"/>
  <c r="HM13" i="9"/>
  <c r="HP13" i="9" s="1"/>
  <c r="II8" i="9"/>
  <c r="IL8" i="9" s="1"/>
  <c r="II11" i="9"/>
  <c r="IL11" i="9" s="1"/>
  <c r="II14" i="9"/>
  <c r="IL14" i="9" s="1"/>
  <c r="JE4" i="9"/>
  <c r="JH4" i="9" s="1"/>
  <c r="CK15" i="9"/>
  <c r="CN15" i="9" s="1"/>
  <c r="DG15" i="9"/>
  <c r="DJ15" i="9" s="1"/>
  <c r="EY10" i="9"/>
  <c r="FB10" i="9" s="1"/>
  <c r="EY16" i="9"/>
  <c r="FB16" i="9" s="1"/>
  <c r="FU8" i="9"/>
  <c r="FX8" i="9" s="1"/>
  <c r="GQ9" i="9"/>
  <c r="GT9" i="9" s="1"/>
  <c r="GQ15" i="9"/>
  <c r="GT15" i="9" s="1"/>
  <c r="JE8" i="9"/>
  <c r="JH8" i="9" s="1"/>
  <c r="JE14" i="9"/>
  <c r="JH14" i="9" s="1"/>
  <c r="KW9" i="9"/>
  <c r="KZ9" i="9" s="1"/>
  <c r="KW15" i="9"/>
  <c r="KZ15" i="9" s="1"/>
  <c r="CK13" i="2"/>
  <c r="CN13" i="2" s="1"/>
  <c r="DG4" i="2"/>
  <c r="DJ4" i="2" s="1"/>
  <c r="DG11" i="2"/>
  <c r="DJ11" i="2" s="1"/>
  <c r="EC8" i="2"/>
  <c r="EF8" i="2" s="1"/>
  <c r="EY11" i="2"/>
  <c r="FB11" i="2" s="1"/>
  <c r="FU10" i="2"/>
  <c r="FX10" i="2" s="1"/>
  <c r="GQ12" i="2"/>
  <c r="GT12" i="2" s="1"/>
  <c r="KW12" i="2"/>
  <c r="KZ12" i="2" s="1"/>
  <c r="CK15" i="2"/>
  <c r="CN15" i="2" s="1"/>
  <c r="HM8" i="2"/>
  <c r="HP8" i="2" s="1"/>
  <c r="JE6" i="2"/>
  <c r="JH6" i="2" s="1"/>
  <c r="KA13" i="2"/>
  <c r="KD13" i="2" s="1"/>
  <c r="KW4" i="2"/>
  <c r="KZ4" i="2" s="1"/>
  <c r="KW9" i="2"/>
  <c r="KZ9" i="2" s="1"/>
  <c r="CK4" i="2"/>
  <c r="CN4" i="2" s="1"/>
  <c r="EC12" i="2"/>
  <c r="EF12" i="2" s="1"/>
  <c r="EY6" i="2"/>
  <c r="FB6" i="2" s="1"/>
  <c r="EC4" i="2"/>
  <c r="EF4" i="2" s="1"/>
  <c r="EC11" i="2"/>
  <c r="EF11" i="2" s="1"/>
  <c r="EC15" i="2"/>
  <c r="EF15" i="2" s="1"/>
  <c r="EY8" i="2"/>
  <c r="FB8" i="2" s="1"/>
  <c r="FU7" i="2"/>
  <c r="FX7" i="2" s="1"/>
  <c r="FU12" i="2"/>
  <c r="FX12" i="2" s="1"/>
  <c r="FU15" i="2"/>
  <c r="FX15" i="2" s="1"/>
  <c r="GQ10" i="2"/>
  <c r="GT10" i="2" s="1"/>
  <c r="GQ14" i="2"/>
  <c r="GT14" i="2" s="1"/>
  <c r="JE8" i="2"/>
  <c r="JH8" i="2" s="1"/>
  <c r="KA7" i="2"/>
  <c r="KD7" i="2" s="1"/>
  <c r="KA15" i="2"/>
  <c r="KD15" i="2" s="1"/>
  <c r="KW10" i="2"/>
  <c r="KZ10" i="2" s="1"/>
  <c r="KZ8" i="2"/>
  <c r="CK10" i="2"/>
  <c r="CN10" i="2" s="1"/>
  <c r="EY13" i="2"/>
  <c r="FB13" i="2" s="1"/>
  <c r="FU9" i="2"/>
  <c r="FX9" i="2" s="1"/>
  <c r="GQ5" i="2"/>
  <c r="GT5" i="2" s="1"/>
  <c r="HM15" i="2"/>
  <c r="HP15" i="2" s="1"/>
  <c r="II14" i="2"/>
  <c r="IL14" i="2" s="1"/>
  <c r="JE5" i="2"/>
  <c r="JH5" i="2" s="1"/>
  <c r="KW5" i="2"/>
  <c r="KZ5" i="2" s="1"/>
  <c r="CK7" i="2"/>
  <c r="CN7" i="2" s="1"/>
  <c r="CK12" i="2"/>
  <c r="CN12" i="2" s="1"/>
  <c r="DG9" i="2"/>
  <c r="DJ9" i="2" s="1"/>
  <c r="DG15" i="2"/>
  <c r="DJ15" i="2" s="1"/>
  <c r="EC6" i="2"/>
  <c r="EF6" i="2" s="1"/>
  <c r="EY15" i="2"/>
  <c r="FB15" i="2" s="1"/>
  <c r="FU6" i="2"/>
  <c r="FX6" i="2" s="1"/>
  <c r="JE12" i="2"/>
  <c r="JH12" i="2" s="1"/>
  <c r="KA12" i="2"/>
  <c r="KD12" i="2" s="1"/>
  <c r="II7" i="2"/>
  <c r="IL7" i="2" s="1"/>
  <c r="II12" i="2"/>
  <c r="IL12" i="2" s="1"/>
  <c r="KW6" i="2"/>
  <c r="KZ6" i="2" s="1"/>
  <c r="EC14" i="2"/>
  <c r="EF14" i="2" s="1"/>
  <c r="EY5" i="2"/>
  <c r="FB5" i="2" s="1"/>
  <c r="FX8" i="2"/>
  <c r="FX14" i="2"/>
  <c r="IL15" i="2"/>
  <c r="JE11" i="2"/>
  <c r="JH11" i="2" s="1"/>
  <c r="KA9" i="2"/>
  <c r="KD9" i="2" s="1"/>
  <c r="KA11" i="2"/>
  <c r="KD11" i="2" s="1"/>
  <c r="CK6" i="2"/>
  <c r="CN6" i="2" s="1"/>
  <c r="DG8" i="2"/>
  <c r="DJ8" i="2" s="1"/>
  <c r="DG14" i="2"/>
  <c r="DJ14" i="2" s="1"/>
  <c r="FU5" i="2"/>
  <c r="FX5" i="2" s="1"/>
  <c r="HM7" i="2"/>
  <c r="HP7" i="2" s="1"/>
  <c r="HM12" i="2"/>
  <c r="HP12" i="2" s="1"/>
  <c r="II9" i="2"/>
  <c r="IL9" i="2" s="1"/>
  <c r="II11" i="2"/>
  <c r="IL11" i="2" s="1"/>
  <c r="JH13" i="2"/>
  <c r="KA6" i="2"/>
  <c r="KD6" i="2" s="1"/>
  <c r="CK14" i="2"/>
  <c r="CN14" i="2" s="1"/>
  <c r="DG5" i="2"/>
  <c r="DJ5" i="2" s="1"/>
  <c r="EC13" i="2"/>
  <c r="EF13" i="2" s="1"/>
  <c r="EY4" i="2"/>
  <c r="FB4" i="2" s="1"/>
  <c r="GT4" i="2"/>
  <c r="GT7" i="2"/>
  <c r="II6" i="2"/>
  <c r="IL6" i="2" s="1"/>
  <c r="JH15" i="2"/>
  <c r="FB7" i="2"/>
  <c r="KA8" i="2"/>
  <c r="KD8" i="2" s="1"/>
  <c r="CK5" i="2"/>
  <c r="CN5" i="2" s="1"/>
  <c r="DG7" i="2"/>
  <c r="DJ7" i="2" s="1"/>
  <c r="DG12" i="2"/>
  <c r="DJ12" i="2" s="1"/>
  <c r="DG13" i="2"/>
  <c r="DJ13" i="2" s="1"/>
  <c r="GQ9" i="2"/>
  <c r="GT9" i="2" s="1"/>
  <c r="GQ11" i="2"/>
  <c r="GT11" i="2" s="1"/>
  <c r="GQ15" i="2"/>
  <c r="GT15" i="2" s="1"/>
  <c r="HM6" i="2"/>
  <c r="HP6" i="2" s="1"/>
  <c r="II8" i="2"/>
  <c r="IL8" i="2" s="1"/>
  <c r="KA5" i="2"/>
  <c r="KD5" i="2" s="1"/>
  <c r="KW7" i="2"/>
  <c r="KZ7" i="2" s="1"/>
  <c r="KW13" i="2"/>
  <c r="KZ13" i="2" s="1"/>
  <c r="DG16" i="4"/>
  <c r="DJ16" i="4" s="1"/>
  <c r="EC7" i="4"/>
  <c r="EF7" i="4" s="1"/>
  <c r="EC10" i="4"/>
  <c r="EF10" i="4" s="1"/>
  <c r="FU4" i="4"/>
  <c r="FX4" i="4" s="1"/>
  <c r="FU11" i="4"/>
  <c r="FX11" i="4" s="1"/>
  <c r="GQ6" i="4"/>
  <c r="GT6" i="4" s="1"/>
  <c r="HM16" i="4"/>
  <c r="HP16" i="4" s="1"/>
  <c r="KA11" i="4"/>
  <c r="KD11" i="4" s="1"/>
  <c r="KW13" i="4"/>
  <c r="KZ13" i="4" s="1"/>
  <c r="KW19" i="4"/>
  <c r="KZ19" i="4" s="1"/>
  <c r="CK16" i="4"/>
  <c r="CN16" i="4" s="1"/>
  <c r="EY15" i="4"/>
  <c r="FB15" i="4" s="1"/>
  <c r="GQ19" i="4"/>
  <c r="GT19" i="4" s="1"/>
  <c r="HM10" i="4"/>
  <c r="HP10" i="4" s="1"/>
  <c r="HM18" i="4"/>
  <c r="HP18" i="4" s="1"/>
  <c r="JE9" i="4"/>
  <c r="JH9" i="4" s="1"/>
  <c r="JE17" i="4"/>
  <c r="JH17" i="4" s="1"/>
  <c r="JE20" i="4"/>
  <c r="JH20" i="4" s="1"/>
  <c r="KA14" i="4"/>
  <c r="KD14" i="4" s="1"/>
  <c r="KW5" i="4"/>
  <c r="KZ5" i="4" s="1"/>
  <c r="KW12" i="4"/>
  <c r="KZ12" i="4" s="1"/>
  <c r="KW16" i="4"/>
  <c r="KZ16" i="4" s="1"/>
  <c r="FU17" i="4"/>
  <c r="FX17" i="4" s="1"/>
  <c r="GQ5" i="4"/>
  <c r="GT5" i="4" s="1"/>
  <c r="DG6" i="4"/>
  <c r="DJ6" i="4" s="1"/>
  <c r="DG11" i="4"/>
  <c r="DJ11" i="4" s="1"/>
  <c r="DG20" i="4"/>
  <c r="EC17" i="4"/>
  <c r="EF17" i="4" s="1"/>
  <c r="GQ10" i="4"/>
  <c r="GT10" i="4" s="1"/>
  <c r="HM4" i="4"/>
  <c r="HP4" i="4" s="1"/>
  <c r="HM7" i="4"/>
  <c r="HP7" i="4" s="1"/>
  <c r="HM11" i="4"/>
  <c r="HP11" i="4" s="1"/>
  <c r="HM15" i="4"/>
  <c r="HP15" i="4" s="1"/>
  <c r="HM20" i="4"/>
  <c r="HP20" i="4" s="1"/>
  <c r="II14" i="4"/>
  <c r="IL14" i="4" s="1"/>
  <c r="II20" i="4"/>
  <c r="IL20" i="4" s="1"/>
  <c r="JH16" i="4"/>
  <c r="KD12" i="4"/>
  <c r="KZ4" i="4"/>
  <c r="KZ11" i="4"/>
  <c r="FB19" i="4"/>
  <c r="GQ15" i="4"/>
  <c r="GT15" i="4" s="1"/>
  <c r="JE8" i="4"/>
  <c r="JH8" i="4" s="1"/>
  <c r="KD10" i="4"/>
  <c r="KZ9" i="4"/>
  <c r="CK6" i="4"/>
  <c r="CN6" i="4" s="1"/>
  <c r="DG19" i="4"/>
  <c r="DJ19" i="4" s="1"/>
  <c r="EC5" i="4"/>
  <c r="EF5" i="4" s="1"/>
  <c r="EC16" i="4"/>
  <c r="EF16" i="4" s="1"/>
  <c r="EY10" i="4"/>
  <c r="FB10" i="4" s="1"/>
  <c r="GQ9" i="4"/>
  <c r="GT9" i="4" s="1"/>
  <c r="GQ20" i="4"/>
  <c r="GT20" i="4" s="1"/>
  <c r="HM13" i="4"/>
  <c r="HP13" i="4" s="1"/>
  <c r="HM19" i="4"/>
  <c r="HP19" i="4" s="1"/>
  <c r="JE18" i="4"/>
  <c r="JH18" i="4" s="1"/>
  <c r="KW6" i="4"/>
  <c r="KZ6" i="4" s="1"/>
  <c r="KW14" i="4"/>
  <c r="KZ14" i="4" s="1"/>
  <c r="DG15" i="4"/>
  <c r="DJ15" i="4" s="1"/>
  <c r="EC19" i="4"/>
  <c r="EF19" i="4" s="1"/>
  <c r="JE15" i="4"/>
  <c r="JH15" i="4" s="1"/>
  <c r="KW7" i="4"/>
  <c r="KZ7" i="4" s="1"/>
  <c r="CK14" i="4"/>
  <c r="CN14" i="4" s="1"/>
  <c r="CK20" i="4"/>
  <c r="CN20" i="4" s="1"/>
  <c r="DG9" i="4"/>
  <c r="DJ9" i="4" s="1"/>
  <c r="EC12" i="4"/>
  <c r="EF12" i="4" s="1"/>
  <c r="EY4" i="4"/>
  <c r="FB4" i="4" s="1"/>
  <c r="EY7" i="4"/>
  <c r="FB7" i="4" s="1"/>
  <c r="EY12" i="4"/>
  <c r="FB12" i="4" s="1"/>
  <c r="FU12" i="4"/>
  <c r="FX12" i="4" s="1"/>
  <c r="FU19" i="4"/>
  <c r="FX19" i="4" s="1"/>
  <c r="GQ12" i="4"/>
  <c r="GT12" i="4" s="1"/>
  <c r="HM12" i="4"/>
  <c r="HP12" i="4" s="1"/>
  <c r="II5" i="4"/>
  <c r="IL5" i="4" s="1"/>
  <c r="II13" i="4"/>
  <c r="IL13" i="4" s="1"/>
  <c r="II17" i="4"/>
  <c r="IL17" i="4" s="1"/>
  <c r="KA4" i="4"/>
  <c r="KD4" i="4" s="1"/>
  <c r="KA7" i="4"/>
  <c r="KD7" i="4" s="1"/>
  <c r="KA18" i="4"/>
  <c r="KD18" i="4" s="1"/>
  <c r="DJ14" i="4"/>
  <c r="DJ20" i="4"/>
  <c r="DG13" i="4"/>
  <c r="DJ13" i="4" s="1"/>
  <c r="DG17" i="4"/>
  <c r="DJ17" i="4" s="1"/>
  <c r="EC6" i="4"/>
  <c r="EF6" i="4" s="1"/>
  <c r="EC9" i="4"/>
  <c r="EF9" i="4" s="1"/>
  <c r="EY6" i="4"/>
  <c r="FB6" i="4" s="1"/>
  <c r="EY9" i="4"/>
  <c r="FB9" i="4" s="1"/>
  <c r="EY18" i="4"/>
  <c r="FB18" i="4" s="1"/>
  <c r="GQ4" i="4"/>
  <c r="GT4" i="4" s="1"/>
  <c r="GQ7" i="4"/>
  <c r="GT7" i="4" s="1"/>
  <c r="GQ18" i="4"/>
  <c r="GT18" i="4" s="1"/>
  <c r="II12" i="4"/>
  <c r="IL12" i="4" s="1"/>
  <c r="II19" i="4"/>
  <c r="IL19" i="4" s="1"/>
  <c r="KA6" i="4"/>
  <c r="KD6" i="4" s="1"/>
  <c r="KA9" i="4"/>
  <c r="KD9" i="4" s="1"/>
  <c r="KA20" i="4"/>
  <c r="KD20" i="4" s="1"/>
  <c r="IL4" i="4"/>
  <c r="KZ17" i="4"/>
  <c r="KZ20" i="4"/>
  <c r="CN19" i="4"/>
  <c r="CK7" i="4"/>
  <c r="CN7" i="4" s="1"/>
  <c r="FU9" i="4"/>
  <c r="FX9" i="4" s="1"/>
  <c r="FX10" i="4"/>
  <c r="JE7" i="4"/>
  <c r="JH7" i="4" s="1"/>
  <c r="JE10" i="4"/>
  <c r="JH10" i="4" s="1"/>
  <c r="KA17" i="4"/>
  <c r="KD17" i="4" s="1"/>
  <c r="DG4" i="4"/>
  <c r="DJ4" i="4" s="1"/>
  <c r="DG7" i="4"/>
  <c r="DJ7" i="4" s="1"/>
  <c r="DG12" i="4"/>
  <c r="DJ12" i="4" s="1"/>
  <c r="EY5" i="4"/>
  <c r="FB5" i="4" s="1"/>
  <c r="EY14" i="4"/>
  <c r="FB14" i="4" s="1"/>
  <c r="EY17" i="4"/>
  <c r="FB17" i="4" s="1"/>
  <c r="FU14" i="4"/>
  <c r="FX14" i="4" s="1"/>
  <c r="FU20" i="4"/>
  <c r="FX20" i="4" s="1"/>
  <c r="GQ14" i="4"/>
  <c r="GT14" i="4" s="1"/>
  <c r="HM14" i="4"/>
  <c r="HP14" i="4" s="1"/>
  <c r="II6" i="4"/>
  <c r="IL6" i="4" s="1"/>
  <c r="II9" i="4"/>
  <c r="IL9" i="4" s="1"/>
  <c r="II11" i="4"/>
  <c r="IL11" i="4" s="1"/>
  <c r="II15" i="4"/>
  <c r="IL15" i="4" s="1"/>
  <c r="KA5" i="4"/>
  <c r="KD5" i="4" s="1"/>
  <c r="KA19" i="4"/>
  <c r="KD19" i="4" s="1"/>
  <c r="AK6" i="9"/>
  <c r="AL6" i="9"/>
  <c r="AM6" i="9"/>
  <c r="AO6" i="9"/>
  <c r="AP6" i="9"/>
  <c r="BH6" i="9"/>
  <c r="BI6" i="9"/>
  <c r="BJ6" i="9"/>
  <c r="BL6" i="9"/>
  <c r="BM6" i="9"/>
  <c r="LP6" i="9"/>
  <c r="LQ6" i="9"/>
  <c r="LR6" i="9"/>
  <c r="LT6" i="9"/>
  <c r="LU6" i="9"/>
  <c r="LW17" i="9"/>
  <c r="LX17" i="9"/>
  <c r="LY17" i="9"/>
  <c r="LZ17" i="9"/>
  <c r="MA17" i="9"/>
  <c r="MB17" i="9"/>
  <c r="MC17" i="9"/>
  <c r="MD17" i="9"/>
  <c r="MM17" i="9" s="1"/>
  <c r="ME17" i="9"/>
  <c r="MF17" i="9"/>
  <c r="MG17" i="9"/>
  <c r="MH17" i="9"/>
  <c r="MI17" i="9"/>
  <c r="MQ17" i="9" s="1"/>
  <c r="MJ17" i="9"/>
  <c r="MK17" i="9"/>
  <c r="AK7" i="9"/>
  <c r="AL7" i="9"/>
  <c r="AM7" i="9"/>
  <c r="AO7" i="9"/>
  <c r="AP7" i="9"/>
  <c r="BH7" i="9"/>
  <c r="BI7" i="9"/>
  <c r="BJ7" i="9"/>
  <c r="BL7" i="9"/>
  <c r="BM7" i="9"/>
  <c r="LP7" i="9"/>
  <c r="LQ7" i="9"/>
  <c r="LR7" i="9"/>
  <c r="LT7" i="9"/>
  <c r="LU7" i="9"/>
  <c r="LW16" i="9"/>
  <c r="LX16" i="9"/>
  <c r="LY16" i="9"/>
  <c r="LZ16" i="9"/>
  <c r="MA16" i="9"/>
  <c r="MB16" i="9"/>
  <c r="MC16" i="9"/>
  <c r="MD16" i="9"/>
  <c r="MM16" i="9" s="1"/>
  <c r="ME16" i="9"/>
  <c r="MF16" i="9"/>
  <c r="MG16" i="9"/>
  <c r="MH16" i="9"/>
  <c r="MI16" i="9"/>
  <c r="MQ16" i="9" s="1"/>
  <c r="MJ16" i="9"/>
  <c r="MK16" i="9"/>
  <c r="P6" i="9" l="1"/>
  <c r="BR6" i="9" s="1"/>
  <c r="AN7" i="9"/>
  <c r="AQ7" i="9" s="1"/>
  <c r="MR16" i="9"/>
  <c r="AN6" i="9"/>
  <c r="LS7" i="9"/>
  <c r="LV7" i="9" s="1"/>
  <c r="P7" i="9"/>
  <c r="Q7" i="9" s="1"/>
  <c r="AQ6" i="9"/>
  <c r="MN17" i="9"/>
  <c r="LS6" i="9"/>
  <c r="LV6" i="9" s="1"/>
  <c r="MR17" i="9"/>
  <c r="BK6" i="9"/>
  <c r="BN6" i="9" s="1"/>
  <c r="F6" i="9"/>
  <c r="MO17" i="9"/>
  <c r="Q6" i="9"/>
  <c r="J6" i="9"/>
  <c r="G6" i="9"/>
  <c r="BK7" i="9"/>
  <c r="MO16" i="9"/>
  <c r="MN16" i="9"/>
  <c r="F7" i="9"/>
  <c r="G7" i="9"/>
  <c r="MP16" i="9" l="1"/>
  <c r="MS16" i="9"/>
  <c r="BR7" i="9"/>
  <c r="MP17" i="9"/>
  <c r="MS17" i="9" s="1"/>
  <c r="H7" i="9"/>
  <c r="BN7" i="9"/>
  <c r="J7" i="9"/>
  <c r="BQ7" i="9" s="1"/>
  <c r="H6" i="9"/>
  <c r="I6" i="9" s="1"/>
  <c r="L6" i="9"/>
  <c r="BQ6" i="9"/>
  <c r="K6" i="9"/>
  <c r="N6" i="9"/>
  <c r="K7" i="9" l="1"/>
  <c r="L7" i="9"/>
  <c r="M7" i="9" s="1"/>
  <c r="I7" i="9"/>
  <c r="N7" i="9"/>
  <c r="BP7" i="9" s="1"/>
  <c r="BP6" i="9"/>
  <c r="O6" i="9"/>
  <c r="BO6" i="9"/>
  <c r="M6" i="9"/>
  <c r="AH5" i="7"/>
  <c r="AI5" i="7"/>
  <c r="AJ5" i="7"/>
  <c r="BC5" i="7"/>
  <c r="BD5" i="7"/>
  <c r="BE5" i="7"/>
  <c r="KK5" i="7"/>
  <c r="KL5" i="7"/>
  <c r="KM5" i="7"/>
  <c r="KO9" i="7"/>
  <c r="KP9" i="7"/>
  <c r="KQ9" i="7"/>
  <c r="KR9" i="7"/>
  <c r="KS9" i="7"/>
  <c r="KT9" i="7"/>
  <c r="KU9" i="7"/>
  <c r="KV9" i="7"/>
  <c r="KW9" i="7"/>
  <c r="KX9" i="7"/>
  <c r="KY9" i="7"/>
  <c r="KZ9" i="7"/>
  <c r="LA9" i="7"/>
  <c r="LB9" i="7"/>
  <c r="LC9" i="7"/>
  <c r="LD9" i="7"/>
  <c r="O7" i="9" l="1"/>
  <c r="BO7" i="9"/>
  <c r="R7" i="9" s="1"/>
  <c r="R6" i="9"/>
  <c r="E6" i="9" s="1"/>
  <c r="KN5" i="7"/>
  <c r="BF5" i="7"/>
  <c r="LF9" i="7"/>
  <c r="L5" i="7"/>
  <c r="BH5" i="7" s="1"/>
  <c r="LH9" i="7"/>
  <c r="AK5" i="7"/>
  <c r="LG9" i="7"/>
  <c r="F5" i="7"/>
  <c r="J5" i="7"/>
  <c r="BG5" i="7" s="1"/>
  <c r="H5" i="7"/>
  <c r="G5" i="7"/>
  <c r="E7" i="9" l="1"/>
  <c r="S6" i="9"/>
  <c r="T6" i="9"/>
  <c r="T7" i="9"/>
  <c r="S7" i="9"/>
  <c r="M5" i="7"/>
  <c r="LI9" i="7"/>
  <c r="I5" i="7"/>
  <c r="K5" i="7"/>
  <c r="N5" i="7"/>
  <c r="P5" i="7" s="1"/>
  <c r="E5" i="7" l="1"/>
  <c r="O5" i="7"/>
  <c r="AK13" i="10" l="1"/>
  <c r="AL13" i="10"/>
  <c r="AM13" i="10"/>
  <c r="AO13" i="10"/>
  <c r="AP13" i="10"/>
  <c r="BH13" i="10"/>
  <c r="BI13" i="10"/>
  <c r="BJ13" i="10"/>
  <c r="BL13" i="10"/>
  <c r="BM13" i="10"/>
  <c r="LP13" i="10"/>
  <c r="LQ13" i="10"/>
  <c r="LR13" i="10"/>
  <c r="LT13" i="10"/>
  <c r="LU13" i="10"/>
  <c r="LW18" i="10"/>
  <c r="LX18" i="10"/>
  <c r="LY18" i="10"/>
  <c r="LZ18" i="10"/>
  <c r="MA18" i="10"/>
  <c r="MB18" i="10"/>
  <c r="MC18" i="10"/>
  <c r="MD18" i="10"/>
  <c r="MM18" i="10" s="1"/>
  <c r="ME18" i="10"/>
  <c r="MF18" i="10"/>
  <c r="MG18" i="10"/>
  <c r="MH18" i="10"/>
  <c r="MI18" i="10"/>
  <c r="MQ18" i="10" s="1"/>
  <c r="MJ18" i="10"/>
  <c r="MK18" i="10"/>
  <c r="AK10" i="10"/>
  <c r="AL10" i="10"/>
  <c r="AM10" i="10"/>
  <c r="AO10" i="10"/>
  <c r="AP10" i="10"/>
  <c r="BH10" i="10"/>
  <c r="BI10" i="10"/>
  <c r="BJ10" i="10"/>
  <c r="BL10" i="10"/>
  <c r="BM10" i="10"/>
  <c r="LP10" i="10"/>
  <c r="LQ10" i="10"/>
  <c r="LR10" i="10"/>
  <c r="LT10" i="10"/>
  <c r="LU10" i="10"/>
  <c r="LW17" i="10"/>
  <c r="LX17" i="10"/>
  <c r="LY17" i="10"/>
  <c r="LZ17" i="10"/>
  <c r="MA17" i="10"/>
  <c r="MB17" i="10"/>
  <c r="MC17" i="10"/>
  <c r="MD17" i="10"/>
  <c r="MM17" i="10" s="1"/>
  <c r="ME17" i="10"/>
  <c r="MF17" i="10"/>
  <c r="MG17" i="10"/>
  <c r="MH17" i="10"/>
  <c r="MI17" i="10"/>
  <c r="MQ17" i="10" s="1"/>
  <c r="MJ17" i="10"/>
  <c r="MK17" i="10"/>
  <c r="AK12" i="10"/>
  <c r="AL12" i="10"/>
  <c r="AM12" i="10"/>
  <c r="AO12" i="10"/>
  <c r="AP12" i="10"/>
  <c r="BH12" i="10"/>
  <c r="BI12" i="10"/>
  <c r="BJ12" i="10"/>
  <c r="BL12" i="10"/>
  <c r="BM12" i="10"/>
  <c r="LP12" i="10"/>
  <c r="LQ12" i="10"/>
  <c r="LR12" i="10"/>
  <c r="LT12" i="10"/>
  <c r="LU12" i="10"/>
  <c r="LW16" i="10"/>
  <c r="LX16" i="10"/>
  <c r="LY16" i="10"/>
  <c r="LZ16" i="10"/>
  <c r="MA16" i="10"/>
  <c r="MB16" i="10"/>
  <c r="MC16" i="10"/>
  <c r="MD16" i="10"/>
  <c r="MM16" i="10" s="1"/>
  <c r="ME16" i="10"/>
  <c r="MF16" i="10"/>
  <c r="MG16" i="10"/>
  <c r="MH16" i="10"/>
  <c r="MI16" i="10"/>
  <c r="MQ16" i="10" s="1"/>
  <c r="MJ16" i="10"/>
  <c r="MK16" i="10"/>
  <c r="P10" i="10" l="1"/>
  <c r="BR10" i="10" s="1"/>
  <c r="P13" i="10"/>
  <c r="BR13" i="10" s="1"/>
  <c r="AN13" i="10"/>
  <c r="AQ13" i="10" s="1"/>
  <c r="AN12" i="10"/>
  <c r="LS13" i="10"/>
  <c r="LV13" i="10" s="1"/>
  <c r="P12" i="10"/>
  <c r="BR12" i="10" s="1"/>
  <c r="LS10" i="10"/>
  <c r="LV10" i="10" s="1"/>
  <c r="LS12" i="10"/>
  <c r="LV12" i="10" s="1"/>
  <c r="AN10" i="10"/>
  <c r="AQ10" i="10" s="1"/>
  <c r="MR16" i="10"/>
  <c r="BK13" i="10"/>
  <c r="MN18" i="10"/>
  <c r="BK12" i="10"/>
  <c r="BN12" i="10" s="1"/>
  <c r="F13" i="10"/>
  <c r="MR18" i="10"/>
  <c r="MO18" i="10"/>
  <c r="G13" i="10"/>
  <c r="BK10" i="10"/>
  <c r="BN10" i="10" s="1"/>
  <c r="MN17" i="10"/>
  <c r="F10" i="10"/>
  <c r="MO17" i="10"/>
  <c r="MR17" i="10"/>
  <c r="Q10" i="10"/>
  <c r="G10" i="10"/>
  <c r="F12" i="10"/>
  <c r="MO16" i="10"/>
  <c r="MN16" i="10"/>
  <c r="G12" i="10"/>
  <c r="AK14" i="4"/>
  <c r="AL14" i="4"/>
  <c r="AM14" i="4"/>
  <c r="AO14" i="4"/>
  <c r="AP14" i="4"/>
  <c r="BH14" i="4"/>
  <c r="BI14" i="4"/>
  <c r="BJ14" i="4"/>
  <c r="BL14" i="4"/>
  <c r="BM14" i="4"/>
  <c r="LP14" i="4"/>
  <c r="LQ14" i="4"/>
  <c r="LR14" i="4"/>
  <c r="LT14" i="4"/>
  <c r="LU14" i="4"/>
  <c r="Q13" i="10" l="1"/>
  <c r="Q12" i="10"/>
  <c r="J13" i="10"/>
  <c r="L13" i="10" s="1"/>
  <c r="J12" i="10"/>
  <c r="L12" i="10" s="1"/>
  <c r="M12" i="10" s="1"/>
  <c r="AQ12" i="10"/>
  <c r="H12" i="10"/>
  <c r="I12" i="10" s="1"/>
  <c r="BN13" i="10"/>
  <c r="H13" i="10"/>
  <c r="I13" i="10" s="1"/>
  <c r="P14" i="4"/>
  <c r="BR14" i="4" s="1"/>
  <c r="MP18" i="10"/>
  <c r="MS18" i="10" s="1"/>
  <c r="MP17" i="10"/>
  <c r="MS17" i="10" s="1"/>
  <c r="H10" i="10"/>
  <c r="I10" i="10" s="1"/>
  <c r="J10" i="10"/>
  <c r="K10" i="10" s="1"/>
  <c r="MP16" i="10"/>
  <c r="MS16" i="10" s="1"/>
  <c r="AN14" i="4"/>
  <c r="AQ14" i="4" s="1"/>
  <c r="LS14" i="4"/>
  <c r="LV14" i="4" s="1"/>
  <c r="BK14" i="4"/>
  <c r="BN14" i="4" s="1"/>
  <c r="F14" i="4"/>
  <c r="G14" i="4"/>
  <c r="AK10" i="12"/>
  <c r="AJ10" i="12"/>
  <c r="AI10" i="12"/>
  <c r="AH10" i="12"/>
  <c r="AK11" i="12"/>
  <c r="AJ11" i="12"/>
  <c r="AI11" i="12"/>
  <c r="AH11" i="12"/>
  <c r="AK9" i="12"/>
  <c r="AJ9" i="12"/>
  <c r="AI9" i="12"/>
  <c r="AH9" i="12"/>
  <c r="AK4" i="12"/>
  <c r="AJ4" i="12"/>
  <c r="AI4" i="12"/>
  <c r="AH4" i="12"/>
  <c r="AK8" i="12"/>
  <c r="AJ8" i="12"/>
  <c r="AI8" i="12"/>
  <c r="AH8" i="12"/>
  <c r="AK6" i="12"/>
  <c r="AJ6" i="12"/>
  <c r="AI6" i="12"/>
  <c r="AH6" i="12"/>
  <c r="AK7" i="12"/>
  <c r="AJ7" i="12"/>
  <c r="AI7" i="12"/>
  <c r="AH7" i="12"/>
  <c r="AK5" i="12"/>
  <c r="AJ5" i="12"/>
  <c r="AI5" i="12"/>
  <c r="AH5" i="12"/>
  <c r="AK7" i="6"/>
  <c r="AJ7" i="6"/>
  <c r="AI7" i="6"/>
  <c r="AH7" i="6"/>
  <c r="AK8" i="6"/>
  <c r="AJ8" i="6"/>
  <c r="AI8" i="6"/>
  <c r="AH8" i="6"/>
  <c r="AK13" i="6"/>
  <c r="AJ13" i="6"/>
  <c r="AI13" i="6"/>
  <c r="AH13" i="6"/>
  <c r="AK4" i="6"/>
  <c r="AJ4" i="6"/>
  <c r="AI4" i="6"/>
  <c r="AH4" i="6"/>
  <c r="AK15" i="6"/>
  <c r="AJ15" i="6"/>
  <c r="AI15" i="6"/>
  <c r="AH15" i="6"/>
  <c r="AK14" i="6"/>
  <c r="AJ14" i="6"/>
  <c r="AI14" i="6"/>
  <c r="AH14" i="6"/>
  <c r="AK10" i="6"/>
  <c r="AJ10" i="6"/>
  <c r="AI10" i="6"/>
  <c r="AH10" i="6"/>
  <c r="AK6" i="6"/>
  <c r="AJ6" i="6"/>
  <c r="AI6" i="6"/>
  <c r="AH6" i="6"/>
  <c r="AK11" i="6"/>
  <c r="AJ11" i="6"/>
  <c r="AI11" i="6"/>
  <c r="AH11" i="6"/>
  <c r="AK9" i="6"/>
  <c r="AJ9" i="6"/>
  <c r="AI9" i="6"/>
  <c r="AH9" i="6"/>
  <c r="AK5" i="6"/>
  <c r="AJ5" i="6"/>
  <c r="AI5" i="6"/>
  <c r="AH5" i="6"/>
  <c r="AK12" i="6"/>
  <c r="AJ12" i="6"/>
  <c r="AI12" i="6"/>
  <c r="AH12" i="6"/>
  <c r="AJ6" i="8"/>
  <c r="AI6" i="8"/>
  <c r="AH6" i="8"/>
  <c r="AJ5" i="8"/>
  <c r="AI5" i="8"/>
  <c r="AH5" i="8"/>
  <c r="AJ4" i="8"/>
  <c r="AI4" i="8"/>
  <c r="AH4" i="8"/>
  <c r="AJ9" i="7"/>
  <c r="AI9" i="7"/>
  <c r="AH9" i="7"/>
  <c r="AJ8" i="7"/>
  <c r="AI8" i="7"/>
  <c r="AH8" i="7"/>
  <c r="AJ6" i="7"/>
  <c r="AI6" i="7"/>
  <c r="AH6" i="7"/>
  <c r="AJ7" i="7"/>
  <c r="AI7" i="7"/>
  <c r="AH7" i="7"/>
  <c r="AJ4" i="7"/>
  <c r="AI4" i="7"/>
  <c r="AH4" i="7"/>
  <c r="AP15" i="10"/>
  <c r="AO15" i="10"/>
  <c r="AM15" i="10"/>
  <c r="AL15" i="10"/>
  <c r="AK15" i="10"/>
  <c r="AP18" i="10"/>
  <c r="AO18" i="10"/>
  <c r="AM18" i="10"/>
  <c r="AL18" i="10"/>
  <c r="AK18" i="10"/>
  <c r="AP17" i="10"/>
  <c r="AO17" i="10"/>
  <c r="AM17" i="10"/>
  <c r="AL17" i="10"/>
  <c r="AK17" i="10"/>
  <c r="AP8" i="10"/>
  <c r="AO8" i="10"/>
  <c r="AM8" i="10"/>
  <c r="AL8" i="10"/>
  <c r="AK8" i="10"/>
  <c r="AP4" i="10"/>
  <c r="AO4" i="10"/>
  <c r="AM4" i="10"/>
  <c r="AL4" i="10"/>
  <c r="AK4" i="10"/>
  <c r="AP14" i="10"/>
  <c r="AO14" i="10"/>
  <c r="AM14" i="10"/>
  <c r="AL14" i="10"/>
  <c r="AK14" i="10"/>
  <c r="AP16" i="10"/>
  <c r="AO16" i="10"/>
  <c r="AM16" i="10"/>
  <c r="AL16" i="10"/>
  <c r="AK16" i="10"/>
  <c r="AP7" i="10"/>
  <c r="AO7" i="10"/>
  <c r="AM7" i="10"/>
  <c r="AL7" i="10"/>
  <c r="AK7" i="10"/>
  <c r="AP6" i="10"/>
  <c r="AO6" i="10"/>
  <c r="AM6" i="10"/>
  <c r="AL6" i="10"/>
  <c r="AK6" i="10"/>
  <c r="AP5" i="10"/>
  <c r="AO5" i="10"/>
  <c r="AM5" i="10"/>
  <c r="AL5" i="10"/>
  <c r="AK5" i="10"/>
  <c r="AP9" i="10"/>
  <c r="AO9" i="10"/>
  <c r="AM9" i="10"/>
  <c r="AL9" i="10"/>
  <c r="AK9" i="10"/>
  <c r="AP11" i="10"/>
  <c r="AO11" i="10"/>
  <c r="AM11" i="10"/>
  <c r="AL11" i="10"/>
  <c r="AK11" i="10"/>
  <c r="AP16" i="9"/>
  <c r="AO16" i="9"/>
  <c r="AM16" i="9"/>
  <c r="AL16" i="9"/>
  <c r="AK16" i="9"/>
  <c r="AP15" i="9"/>
  <c r="AO15" i="9"/>
  <c r="AM15" i="9"/>
  <c r="AL15" i="9"/>
  <c r="AK15" i="9"/>
  <c r="AP14" i="9"/>
  <c r="AO14" i="9"/>
  <c r="AM14" i="9"/>
  <c r="AL14" i="9"/>
  <c r="AK14" i="9"/>
  <c r="AP12" i="9"/>
  <c r="AO12" i="9"/>
  <c r="AM12" i="9"/>
  <c r="AL12" i="9"/>
  <c r="AK12" i="9"/>
  <c r="AP13" i="9"/>
  <c r="AO13" i="9"/>
  <c r="AM13" i="9"/>
  <c r="AL13" i="9"/>
  <c r="AK13" i="9"/>
  <c r="AP10" i="9"/>
  <c r="AO10" i="9"/>
  <c r="AM10" i="9"/>
  <c r="AL10" i="9"/>
  <c r="AK10" i="9"/>
  <c r="AP9" i="9"/>
  <c r="AO9" i="9"/>
  <c r="AM9" i="9"/>
  <c r="AL9" i="9"/>
  <c r="AK9" i="9"/>
  <c r="AP8" i="9"/>
  <c r="AO8" i="9"/>
  <c r="AM8" i="9"/>
  <c r="AL8" i="9"/>
  <c r="AK8" i="9"/>
  <c r="AP11" i="9"/>
  <c r="AO11" i="9"/>
  <c r="AM11" i="9"/>
  <c r="AL11" i="9"/>
  <c r="AK11" i="9"/>
  <c r="AP17" i="9"/>
  <c r="AO17" i="9"/>
  <c r="AM17" i="9"/>
  <c r="AL17" i="9"/>
  <c r="AK17" i="9"/>
  <c r="AP4" i="9"/>
  <c r="AO4" i="9"/>
  <c r="AM4" i="9"/>
  <c r="AL4" i="9"/>
  <c r="AK4" i="9"/>
  <c r="AP5" i="9"/>
  <c r="AO5" i="9"/>
  <c r="AM5" i="9"/>
  <c r="AL5" i="9"/>
  <c r="AK5" i="9"/>
  <c r="AP14" i="2"/>
  <c r="AO14" i="2"/>
  <c r="AM14" i="2"/>
  <c r="AL14" i="2"/>
  <c r="AK14" i="2"/>
  <c r="AP15" i="2"/>
  <c r="AO15" i="2"/>
  <c r="AM15" i="2"/>
  <c r="AL15" i="2"/>
  <c r="AK15" i="2"/>
  <c r="AP13" i="2"/>
  <c r="AO13" i="2"/>
  <c r="AM13" i="2"/>
  <c r="AL13" i="2"/>
  <c r="AK13" i="2"/>
  <c r="AP11" i="2"/>
  <c r="AO11" i="2"/>
  <c r="AM11" i="2"/>
  <c r="AL11" i="2"/>
  <c r="AK11" i="2"/>
  <c r="AP10" i="2"/>
  <c r="AO10" i="2"/>
  <c r="AM10" i="2"/>
  <c r="AL10" i="2"/>
  <c r="AK10" i="2"/>
  <c r="AP9" i="2"/>
  <c r="AO9" i="2"/>
  <c r="AM9" i="2"/>
  <c r="AL9" i="2"/>
  <c r="AK9" i="2"/>
  <c r="AP12" i="2"/>
  <c r="AO12" i="2"/>
  <c r="AM12" i="2"/>
  <c r="AL12" i="2"/>
  <c r="AK12" i="2"/>
  <c r="AP8" i="2"/>
  <c r="AO8" i="2"/>
  <c r="AM8" i="2"/>
  <c r="AL8" i="2"/>
  <c r="AK8" i="2"/>
  <c r="AP7" i="2"/>
  <c r="AO7" i="2"/>
  <c r="AM7" i="2"/>
  <c r="AL7" i="2"/>
  <c r="AK7" i="2"/>
  <c r="AP6" i="2"/>
  <c r="AO6" i="2"/>
  <c r="AM6" i="2"/>
  <c r="AL6" i="2"/>
  <c r="AK6" i="2"/>
  <c r="AP5" i="2"/>
  <c r="AO5" i="2"/>
  <c r="AM5" i="2"/>
  <c r="AL5" i="2"/>
  <c r="AK5" i="2"/>
  <c r="AP4" i="2"/>
  <c r="AO4" i="2"/>
  <c r="AM4" i="2"/>
  <c r="AL4" i="2"/>
  <c r="AK4" i="2"/>
  <c r="AP15" i="4"/>
  <c r="AO15" i="4"/>
  <c r="AM15" i="4"/>
  <c r="AL15" i="4"/>
  <c r="AK15" i="4"/>
  <c r="AP20" i="4"/>
  <c r="AO20" i="4"/>
  <c r="AM20" i="4"/>
  <c r="AL20" i="4"/>
  <c r="AK20" i="4"/>
  <c r="AP19" i="4"/>
  <c r="AO19" i="4"/>
  <c r="AM19" i="4"/>
  <c r="AL19" i="4"/>
  <c r="AK19" i="4"/>
  <c r="AP18" i="4"/>
  <c r="AO18" i="4"/>
  <c r="AM18" i="4"/>
  <c r="AL18" i="4"/>
  <c r="AK18" i="4"/>
  <c r="AP12" i="4"/>
  <c r="AO12" i="4"/>
  <c r="AM12" i="4"/>
  <c r="AL12" i="4"/>
  <c r="AK12" i="4"/>
  <c r="AP16" i="4"/>
  <c r="AO16" i="4"/>
  <c r="AM16" i="4"/>
  <c r="AL16" i="4"/>
  <c r="AK16" i="4"/>
  <c r="AP17" i="4"/>
  <c r="AO17" i="4"/>
  <c r="AM17" i="4"/>
  <c r="AL17" i="4"/>
  <c r="AK17" i="4"/>
  <c r="AP9" i="4"/>
  <c r="AO9" i="4"/>
  <c r="AM9" i="4"/>
  <c r="AL9" i="4"/>
  <c r="AK9" i="4"/>
  <c r="AP11" i="4"/>
  <c r="AO11" i="4"/>
  <c r="AM11" i="4"/>
  <c r="AL11" i="4"/>
  <c r="AK11" i="4"/>
  <c r="AP8" i="4"/>
  <c r="AO8" i="4"/>
  <c r="AM8" i="4"/>
  <c r="AL8" i="4"/>
  <c r="AK8" i="4"/>
  <c r="AP13" i="4"/>
  <c r="AO13" i="4"/>
  <c r="AM13" i="4"/>
  <c r="AL13" i="4"/>
  <c r="AK13" i="4"/>
  <c r="AP10" i="4"/>
  <c r="AO10" i="4"/>
  <c r="AM10" i="4"/>
  <c r="AL10" i="4"/>
  <c r="AK10" i="4"/>
  <c r="AP7" i="4"/>
  <c r="AO7" i="4"/>
  <c r="AM7" i="4"/>
  <c r="AL7" i="4"/>
  <c r="AK7" i="4"/>
  <c r="AP6" i="4"/>
  <c r="AO6" i="4"/>
  <c r="AM6" i="4"/>
  <c r="AL6" i="4"/>
  <c r="AK6" i="4"/>
  <c r="AP4" i="4"/>
  <c r="AO4" i="4"/>
  <c r="AM4" i="4"/>
  <c r="AL4" i="4"/>
  <c r="AK4" i="4"/>
  <c r="AP5" i="4"/>
  <c r="AO5" i="4"/>
  <c r="AM5" i="4"/>
  <c r="AL5" i="4"/>
  <c r="AK5" i="4"/>
  <c r="AN11" i="9" l="1"/>
  <c r="AQ11" i="9" s="1"/>
  <c r="AN16" i="9"/>
  <c r="AQ16" i="9" s="1"/>
  <c r="AK6" i="7"/>
  <c r="AK7" i="7"/>
  <c r="N13" i="10"/>
  <c r="O13" i="10" s="1"/>
  <c r="BQ13" i="10"/>
  <c r="AN13" i="2"/>
  <c r="AQ13" i="2" s="1"/>
  <c r="AK4" i="8"/>
  <c r="AK8" i="7"/>
  <c r="BO12" i="10"/>
  <c r="K13" i="10"/>
  <c r="K12" i="10"/>
  <c r="N12" i="10"/>
  <c r="O12" i="10" s="1"/>
  <c r="BQ12" i="10"/>
  <c r="AN10" i="2"/>
  <c r="AQ10" i="2" s="1"/>
  <c r="AN17" i="4"/>
  <c r="AQ17" i="4" s="1"/>
  <c r="Q14" i="4"/>
  <c r="AN15" i="4"/>
  <c r="AQ15" i="4" s="1"/>
  <c r="AL5" i="6"/>
  <c r="AL11" i="6"/>
  <c r="A13" i="10"/>
  <c r="AN6" i="10"/>
  <c r="AQ6" i="10" s="1"/>
  <c r="AN15" i="9"/>
  <c r="AQ15" i="9" s="1"/>
  <c r="AL9" i="6"/>
  <c r="AL6" i="6"/>
  <c r="AL14" i="6"/>
  <c r="AL4" i="6"/>
  <c r="AL15" i="6"/>
  <c r="BQ10" i="10"/>
  <c r="AN9" i="10"/>
  <c r="AQ9" i="10" s="1"/>
  <c r="AN14" i="2"/>
  <c r="AQ14" i="2" s="1"/>
  <c r="AN11" i="4"/>
  <c r="AQ11" i="4" s="1"/>
  <c r="AN5" i="4"/>
  <c r="AQ5" i="4" s="1"/>
  <c r="AN9" i="4"/>
  <c r="AQ9" i="4" s="1"/>
  <c r="N10" i="10"/>
  <c r="O10" i="10" s="1"/>
  <c r="L10" i="10"/>
  <c r="M10" i="10" s="1"/>
  <c r="A10" i="10"/>
  <c r="BP13" i="10"/>
  <c r="M13" i="10"/>
  <c r="BO13" i="10"/>
  <c r="AN4" i="9"/>
  <c r="AQ4" i="9" s="1"/>
  <c r="AL7" i="12"/>
  <c r="AL6" i="12"/>
  <c r="AL4" i="12"/>
  <c r="AL11" i="12"/>
  <c r="AL10" i="12"/>
  <c r="AK5" i="8"/>
  <c r="AN15" i="10"/>
  <c r="AQ15" i="10" s="1"/>
  <c r="AN12" i="9"/>
  <c r="AQ12" i="9" s="1"/>
  <c r="AN12" i="2"/>
  <c r="AQ12" i="2" s="1"/>
  <c r="AN15" i="2"/>
  <c r="AQ15" i="2" s="1"/>
  <c r="AN5" i="2"/>
  <c r="AQ5" i="2" s="1"/>
  <c r="AN13" i="4"/>
  <c r="AQ13" i="4" s="1"/>
  <c r="AN16" i="4"/>
  <c r="AQ16" i="4" s="1"/>
  <c r="J14" i="4"/>
  <c r="L14" i="4" s="1"/>
  <c r="H14" i="4"/>
  <c r="I14" i="4" s="1"/>
  <c r="AL8" i="12"/>
  <c r="AL9" i="12"/>
  <c r="AL5" i="12"/>
  <c r="AL12" i="6"/>
  <c r="AL10" i="6"/>
  <c r="AL13" i="6"/>
  <c r="AL7" i="6"/>
  <c r="AL8" i="6"/>
  <c r="AK6" i="8"/>
  <c r="AK9" i="7"/>
  <c r="AK4" i="7"/>
  <c r="AN17" i="10"/>
  <c r="AQ17" i="10" s="1"/>
  <c r="AN14" i="10"/>
  <c r="AQ14" i="10" s="1"/>
  <c r="AN8" i="10"/>
  <c r="AQ8" i="10" s="1"/>
  <c r="AN18" i="10"/>
  <c r="AQ18" i="10" s="1"/>
  <c r="AN4" i="10"/>
  <c r="AQ4" i="10" s="1"/>
  <c r="AN7" i="10"/>
  <c r="AQ7" i="10" s="1"/>
  <c r="AN5" i="10"/>
  <c r="AQ5" i="10" s="1"/>
  <c r="AN16" i="10"/>
  <c r="AQ16" i="10" s="1"/>
  <c r="AN11" i="10"/>
  <c r="AQ11" i="10" s="1"/>
  <c r="AN10" i="9"/>
  <c r="AQ10" i="9" s="1"/>
  <c r="AN14" i="9"/>
  <c r="AQ14" i="9" s="1"/>
  <c r="AN5" i="9"/>
  <c r="AQ5" i="9" s="1"/>
  <c r="AN17" i="9"/>
  <c r="AQ17" i="9" s="1"/>
  <c r="AN9" i="9"/>
  <c r="AQ9" i="9" s="1"/>
  <c r="AN8" i="9"/>
  <c r="AQ8" i="9" s="1"/>
  <c r="AN13" i="9"/>
  <c r="AQ13" i="9" s="1"/>
  <c r="AN7" i="2"/>
  <c r="AQ7" i="2" s="1"/>
  <c r="AN4" i="2"/>
  <c r="AQ4" i="2" s="1"/>
  <c r="AN11" i="2"/>
  <c r="AQ11" i="2" s="1"/>
  <c r="AN9" i="2"/>
  <c r="AQ9" i="2" s="1"/>
  <c r="AN6" i="2"/>
  <c r="AQ6" i="2" s="1"/>
  <c r="AN8" i="2"/>
  <c r="AQ8" i="2" s="1"/>
  <c r="AN7" i="4"/>
  <c r="AQ7" i="4" s="1"/>
  <c r="AN20" i="4"/>
  <c r="AQ20" i="4" s="1"/>
  <c r="AN12" i="4"/>
  <c r="AQ12" i="4" s="1"/>
  <c r="AN19" i="4"/>
  <c r="AQ19" i="4" s="1"/>
  <c r="AN8" i="4"/>
  <c r="AQ8" i="4" s="1"/>
  <c r="AN6" i="4"/>
  <c r="AQ6" i="4" s="1"/>
  <c r="AN18" i="4"/>
  <c r="AQ18" i="4" s="1"/>
  <c r="AN4" i="4"/>
  <c r="AQ4" i="4" s="1"/>
  <c r="AN10" i="4"/>
  <c r="AQ10" i="4" s="1"/>
  <c r="BP12" i="10" l="1"/>
  <c r="R12" i="10" s="1"/>
  <c r="BP10" i="10"/>
  <c r="R13" i="10"/>
  <c r="T13" i="10" s="1"/>
  <c r="BO10" i="10"/>
  <c r="N14" i="4"/>
  <c r="K14" i="4"/>
  <c r="M14" i="4" s="1"/>
  <c r="BQ14" i="4"/>
  <c r="A14" i="4"/>
  <c r="BO14" i="4"/>
  <c r="LX4" i="9"/>
  <c r="LY4" i="9"/>
  <c r="LZ4" i="9"/>
  <c r="MA4" i="9"/>
  <c r="MB4" i="9"/>
  <c r="MC4" i="9"/>
  <c r="MD4" i="9"/>
  <c r="ME4" i="9"/>
  <c r="MF4" i="9"/>
  <c r="MG4" i="9"/>
  <c r="MH4" i="9"/>
  <c r="MI4" i="9"/>
  <c r="MQ4" i="9" s="1"/>
  <c r="MJ4" i="9"/>
  <c r="MK4" i="9"/>
  <c r="LX5" i="9"/>
  <c r="LY5" i="9"/>
  <c r="LZ5" i="9"/>
  <c r="MA5" i="9"/>
  <c r="MB5" i="9"/>
  <c r="MC5" i="9"/>
  <c r="MD5" i="9"/>
  <c r="ME5" i="9"/>
  <c r="MF5" i="9"/>
  <c r="MG5" i="9"/>
  <c r="MH5" i="9"/>
  <c r="MI5" i="9"/>
  <c r="MQ5" i="9" s="1"/>
  <c r="MJ5" i="9"/>
  <c r="MK5" i="9"/>
  <c r="LX6" i="9"/>
  <c r="LY6" i="9"/>
  <c r="LZ6" i="9"/>
  <c r="MA6" i="9"/>
  <c r="MB6" i="9"/>
  <c r="MC6" i="9"/>
  <c r="MD6" i="9"/>
  <c r="ME6" i="9"/>
  <c r="MF6" i="9"/>
  <c r="MG6" i="9"/>
  <c r="MH6" i="9"/>
  <c r="MI6" i="9"/>
  <c r="MQ6" i="9" s="1"/>
  <c r="MJ6" i="9"/>
  <c r="MK6" i="9"/>
  <c r="LX7" i="9"/>
  <c r="LY7" i="9"/>
  <c r="LZ7" i="9"/>
  <c r="MA7" i="9"/>
  <c r="MB7" i="9"/>
  <c r="MC7" i="9"/>
  <c r="MD7" i="9"/>
  <c r="ME7" i="9"/>
  <c r="MF7" i="9"/>
  <c r="MG7" i="9"/>
  <c r="MH7" i="9"/>
  <c r="MI7" i="9"/>
  <c r="MQ7" i="9" s="1"/>
  <c r="MJ7" i="9"/>
  <c r="MK7" i="9"/>
  <c r="LX8" i="9"/>
  <c r="LY8" i="9"/>
  <c r="LZ8" i="9"/>
  <c r="MA8" i="9"/>
  <c r="MB8" i="9"/>
  <c r="MC8" i="9"/>
  <c r="MD8" i="9"/>
  <c r="ME8" i="9"/>
  <c r="MF8" i="9"/>
  <c r="MG8" i="9"/>
  <c r="MH8" i="9"/>
  <c r="MI8" i="9"/>
  <c r="MQ8" i="9" s="1"/>
  <c r="MJ8" i="9"/>
  <c r="MK8" i="9"/>
  <c r="LX9" i="9"/>
  <c r="LY9" i="9"/>
  <c r="LZ9" i="9"/>
  <c r="MA9" i="9"/>
  <c r="MB9" i="9"/>
  <c r="MC9" i="9"/>
  <c r="MD9" i="9"/>
  <c r="ME9" i="9"/>
  <c r="MF9" i="9"/>
  <c r="MG9" i="9"/>
  <c r="MH9" i="9"/>
  <c r="MI9" i="9"/>
  <c r="MQ9" i="9" s="1"/>
  <c r="MJ9" i="9"/>
  <c r="MK9" i="9"/>
  <c r="LX10" i="9"/>
  <c r="LY10" i="9"/>
  <c r="LZ10" i="9"/>
  <c r="MA10" i="9"/>
  <c r="MB10" i="9"/>
  <c r="MC10" i="9"/>
  <c r="MD10" i="9"/>
  <c r="ME10" i="9"/>
  <c r="MF10" i="9"/>
  <c r="MG10" i="9"/>
  <c r="MH10" i="9"/>
  <c r="MI10" i="9"/>
  <c r="MQ10" i="9" s="1"/>
  <c r="MJ10" i="9"/>
  <c r="MK10" i="9"/>
  <c r="LX11" i="9"/>
  <c r="LY11" i="9"/>
  <c r="LZ11" i="9"/>
  <c r="MA11" i="9"/>
  <c r="MB11" i="9"/>
  <c r="MC11" i="9"/>
  <c r="MD11" i="9"/>
  <c r="ME11" i="9"/>
  <c r="MF11" i="9"/>
  <c r="MG11" i="9"/>
  <c r="MH11" i="9"/>
  <c r="MI11" i="9"/>
  <c r="MQ11" i="9" s="1"/>
  <c r="MJ11" i="9"/>
  <c r="MK11" i="9"/>
  <c r="LX12" i="9"/>
  <c r="LY12" i="9"/>
  <c r="LZ12" i="9"/>
  <c r="MA12" i="9"/>
  <c r="MB12" i="9"/>
  <c r="MC12" i="9"/>
  <c r="MD12" i="9"/>
  <c r="ME12" i="9"/>
  <c r="MF12" i="9"/>
  <c r="MG12" i="9"/>
  <c r="MH12" i="9"/>
  <c r="MI12" i="9"/>
  <c r="MQ12" i="9" s="1"/>
  <c r="MJ12" i="9"/>
  <c r="MK12" i="9"/>
  <c r="LX13" i="9"/>
  <c r="LY13" i="9"/>
  <c r="LZ13" i="9"/>
  <c r="MA13" i="9"/>
  <c r="MB13" i="9"/>
  <c r="MC13" i="9"/>
  <c r="MD13" i="9"/>
  <c r="ME13" i="9"/>
  <c r="MF13" i="9"/>
  <c r="MG13" i="9"/>
  <c r="MH13" i="9"/>
  <c r="MI13" i="9"/>
  <c r="MQ13" i="9" s="1"/>
  <c r="MJ13" i="9"/>
  <c r="MK13" i="9"/>
  <c r="LX14" i="9"/>
  <c r="LY14" i="9"/>
  <c r="LZ14" i="9"/>
  <c r="MA14" i="9"/>
  <c r="MB14" i="9"/>
  <c r="MC14" i="9"/>
  <c r="MD14" i="9"/>
  <c r="ME14" i="9"/>
  <c r="MF14" i="9"/>
  <c r="MG14" i="9"/>
  <c r="MH14" i="9"/>
  <c r="MI14" i="9"/>
  <c r="MQ14" i="9" s="1"/>
  <c r="MJ14" i="9"/>
  <c r="MK14" i="9"/>
  <c r="LX15" i="9"/>
  <c r="LY15" i="9"/>
  <c r="LZ15" i="9"/>
  <c r="MA15" i="9"/>
  <c r="MB15" i="9"/>
  <c r="MC15" i="9"/>
  <c r="MD15" i="9"/>
  <c r="ME15" i="9"/>
  <c r="MF15" i="9"/>
  <c r="MG15" i="9"/>
  <c r="MH15" i="9"/>
  <c r="MI15" i="9"/>
  <c r="MQ15" i="9" s="1"/>
  <c r="MJ15" i="9"/>
  <c r="MK15" i="9"/>
  <c r="LW5" i="9"/>
  <c r="LW6" i="9"/>
  <c r="LW7" i="9"/>
  <c r="LW8" i="9"/>
  <c r="LW9" i="9"/>
  <c r="LW10" i="9"/>
  <c r="LW11" i="9"/>
  <c r="LW12" i="9"/>
  <c r="LW13" i="9"/>
  <c r="LW14" i="9"/>
  <c r="LW15" i="9"/>
  <c r="LW4" i="9"/>
  <c r="E12" i="10" l="1"/>
  <c r="S12" i="10"/>
  <c r="T12" i="10"/>
  <c r="R10" i="10"/>
  <c r="T10" i="10" s="1"/>
  <c r="O14" i="4"/>
  <c r="BP14" i="4"/>
  <c r="R14" i="4" s="1"/>
  <c r="S13" i="10"/>
  <c r="E13" i="10"/>
  <c r="LT15" i="10"/>
  <c r="LT18" i="10"/>
  <c r="LT17" i="10"/>
  <c r="LT8" i="10"/>
  <c r="LT4" i="10"/>
  <c r="LT14" i="10"/>
  <c r="LT16" i="10"/>
  <c r="LT7" i="10"/>
  <c r="LT6" i="10"/>
  <c r="LT5" i="10"/>
  <c r="LT9" i="10"/>
  <c r="LT11" i="10"/>
  <c r="BL15" i="10"/>
  <c r="BL18" i="10"/>
  <c r="BL17" i="10"/>
  <c r="BL8" i="10"/>
  <c r="BL4" i="10"/>
  <c r="BL14" i="10"/>
  <c r="BL16" i="10"/>
  <c r="BL7" i="10"/>
  <c r="BL6" i="10"/>
  <c r="BL5" i="10"/>
  <c r="BL9" i="10"/>
  <c r="BL11" i="10"/>
  <c r="LT16" i="9"/>
  <c r="LT15" i="9"/>
  <c r="LT14" i="9"/>
  <c r="LT12" i="9"/>
  <c r="LT13" i="9"/>
  <c r="LT10" i="9"/>
  <c r="LT9" i="9"/>
  <c r="LT8" i="9"/>
  <c r="LT11" i="9"/>
  <c r="LT17" i="9"/>
  <c r="LT4" i="9"/>
  <c r="LT5" i="9"/>
  <c r="BL16" i="9"/>
  <c r="BL15" i="9"/>
  <c r="BL14" i="9"/>
  <c r="BL12" i="9"/>
  <c r="BL13" i="9"/>
  <c r="BL10" i="9"/>
  <c r="BL9" i="9"/>
  <c r="BL8" i="9"/>
  <c r="BL11" i="9"/>
  <c r="BL17" i="9"/>
  <c r="BL4" i="9"/>
  <c r="BL5" i="9"/>
  <c r="F16" i="2"/>
  <c r="G16" i="2"/>
  <c r="H16" i="2"/>
  <c r="LT14" i="2"/>
  <c r="LT15" i="2"/>
  <c r="LT13" i="2"/>
  <c r="LT11" i="2"/>
  <c r="LT10" i="2"/>
  <c r="LT9" i="2"/>
  <c r="LT12" i="2"/>
  <c r="LT8" i="2"/>
  <c r="LT7" i="2"/>
  <c r="LT6" i="2"/>
  <c r="LT5" i="2"/>
  <c r="LT4" i="2"/>
  <c r="BL14" i="2"/>
  <c r="BL15" i="2"/>
  <c r="BL13" i="2"/>
  <c r="BL11" i="2"/>
  <c r="BL10" i="2"/>
  <c r="BL9" i="2"/>
  <c r="BL12" i="2"/>
  <c r="BL8" i="2"/>
  <c r="BL7" i="2"/>
  <c r="BL6" i="2"/>
  <c r="BL5" i="2"/>
  <c r="BL4" i="2"/>
  <c r="LT15" i="4"/>
  <c r="LT20" i="4"/>
  <c r="LT19" i="4"/>
  <c r="LT18" i="4"/>
  <c r="LT12" i="4"/>
  <c r="LT16" i="4"/>
  <c r="LT17" i="4"/>
  <c r="LT9" i="4"/>
  <c r="LT13" i="4"/>
  <c r="LT11" i="4"/>
  <c r="LT8" i="4"/>
  <c r="LT10" i="4"/>
  <c r="LT7" i="4"/>
  <c r="LT6" i="4"/>
  <c r="LT4" i="4"/>
  <c r="LT5" i="4"/>
  <c r="BL15" i="4"/>
  <c r="BL20" i="4"/>
  <c r="BL19" i="4"/>
  <c r="BL18" i="4"/>
  <c r="BL12" i="4"/>
  <c r="BL16" i="4"/>
  <c r="BL17" i="4"/>
  <c r="BL9" i="4"/>
  <c r="BL13" i="4"/>
  <c r="BL11" i="4"/>
  <c r="BL8" i="4"/>
  <c r="BL10" i="4"/>
  <c r="BL7" i="4"/>
  <c r="BL6" i="4"/>
  <c r="BL4" i="4"/>
  <c r="BL5" i="4"/>
  <c r="E10" i="10" l="1"/>
  <c r="S10" i="10"/>
  <c r="E14" i="4"/>
  <c r="S14" i="4"/>
  <c r="T14" i="4"/>
  <c r="BH8" i="10"/>
  <c r="BI8" i="10"/>
  <c r="BJ8" i="10"/>
  <c r="BM8" i="10"/>
  <c r="P8" i="10" s="1"/>
  <c r="LP8" i="10"/>
  <c r="LQ8" i="10"/>
  <c r="LR8" i="10"/>
  <c r="LU8" i="10"/>
  <c r="BH9" i="9"/>
  <c r="BI9" i="9"/>
  <c r="BJ9" i="9"/>
  <c r="BM9" i="9"/>
  <c r="LP9" i="9"/>
  <c r="LQ9" i="9"/>
  <c r="LR9" i="9"/>
  <c r="LU9" i="9"/>
  <c r="BH8" i="9"/>
  <c r="BI8" i="9"/>
  <c r="BJ8" i="9"/>
  <c r="BM8" i="9"/>
  <c r="LP8" i="9"/>
  <c r="LQ8" i="9"/>
  <c r="LR8" i="9"/>
  <c r="LU8" i="9"/>
  <c r="MM15" i="9"/>
  <c r="F8" i="10" l="1"/>
  <c r="G8" i="10"/>
  <c r="G8" i="9"/>
  <c r="F8" i="9"/>
  <c r="F9" i="9"/>
  <c r="G9" i="9"/>
  <c r="LS9" i="9"/>
  <c r="LV9" i="9" s="1"/>
  <c r="LS8" i="10"/>
  <c r="LV8" i="10" s="1"/>
  <c r="BK8" i="10"/>
  <c r="BN8" i="10" s="1"/>
  <c r="BR8" i="10"/>
  <c r="Q8" i="10"/>
  <c r="LS8" i="9"/>
  <c r="LV8" i="9" s="1"/>
  <c r="BK9" i="9"/>
  <c r="P9" i="9"/>
  <c r="BR9" i="9" s="1"/>
  <c r="P8" i="9"/>
  <c r="BR8" i="9" s="1"/>
  <c r="MN15" i="9"/>
  <c r="BK8" i="9"/>
  <c r="MR15" i="9"/>
  <c r="MO15" i="9"/>
  <c r="LD4" i="12"/>
  <c r="LE4" i="12"/>
  <c r="LF4" i="12"/>
  <c r="LG4" i="12"/>
  <c r="LH4" i="12"/>
  <c r="LI4" i="12"/>
  <c r="LJ4" i="12"/>
  <c r="LK4" i="12"/>
  <c r="LL4" i="12"/>
  <c r="LM4" i="12"/>
  <c r="LN4" i="12"/>
  <c r="LO4" i="12"/>
  <c r="LP4" i="12"/>
  <c r="LQ4" i="12"/>
  <c r="LR4" i="12"/>
  <c r="LD5" i="12"/>
  <c r="LE5" i="12"/>
  <c r="LF5" i="12"/>
  <c r="LG5" i="12"/>
  <c r="LH5" i="12"/>
  <c r="LI5" i="12"/>
  <c r="LJ5" i="12"/>
  <c r="LK5" i="12"/>
  <c r="LL5" i="12"/>
  <c r="LM5" i="12"/>
  <c r="LN5" i="12"/>
  <c r="LO5" i="12"/>
  <c r="LP5" i="12"/>
  <c r="LQ5" i="12"/>
  <c r="LR5" i="12"/>
  <c r="LD6" i="12"/>
  <c r="LE6" i="12"/>
  <c r="LF6" i="12"/>
  <c r="LG6" i="12"/>
  <c r="LH6" i="12"/>
  <c r="LI6" i="12"/>
  <c r="LJ6" i="12"/>
  <c r="LK6" i="12"/>
  <c r="LL6" i="12"/>
  <c r="LM6" i="12"/>
  <c r="LN6" i="12"/>
  <c r="LO6" i="12"/>
  <c r="LP6" i="12"/>
  <c r="LQ6" i="12"/>
  <c r="LR6" i="12"/>
  <c r="LD7" i="12"/>
  <c r="LE7" i="12"/>
  <c r="LF7" i="12"/>
  <c r="LG7" i="12"/>
  <c r="LH7" i="12"/>
  <c r="LI7" i="12"/>
  <c r="LJ7" i="12"/>
  <c r="LK7" i="12"/>
  <c r="LL7" i="12"/>
  <c r="LM7" i="12"/>
  <c r="LN7" i="12"/>
  <c r="LO7" i="12"/>
  <c r="LP7" i="12"/>
  <c r="LQ7" i="12"/>
  <c r="LR7" i="12"/>
  <c r="LD8" i="12"/>
  <c r="LE8" i="12"/>
  <c r="LF8" i="12"/>
  <c r="LG8" i="12"/>
  <c r="LH8" i="12"/>
  <c r="LI8" i="12"/>
  <c r="LJ8" i="12"/>
  <c r="LK8" i="12"/>
  <c r="LL8" i="12"/>
  <c r="LM8" i="12"/>
  <c r="LN8" i="12"/>
  <c r="LO8" i="12"/>
  <c r="LP8" i="12"/>
  <c r="LQ8" i="12"/>
  <c r="LR8" i="12"/>
  <c r="LD9" i="12"/>
  <c r="LE9" i="12"/>
  <c r="LF9" i="12"/>
  <c r="LG9" i="12"/>
  <c r="LH9" i="12"/>
  <c r="LI9" i="12"/>
  <c r="LJ9" i="12"/>
  <c r="LK9" i="12"/>
  <c r="LL9" i="12"/>
  <c r="LM9" i="12"/>
  <c r="LN9" i="12"/>
  <c r="LO9" i="12"/>
  <c r="LP9" i="12"/>
  <c r="LQ9" i="12"/>
  <c r="LR9" i="12"/>
  <c r="LD10" i="12"/>
  <c r="LE10" i="12"/>
  <c r="LF10" i="12"/>
  <c r="LG10" i="12"/>
  <c r="LH10" i="12"/>
  <c r="LI10" i="12"/>
  <c r="LJ10" i="12"/>
  <c r="LK10" i="12"/>
  <c r="LL10" i="12"/>
  <c r="LM10" i="12"/>
  <c r="LN10" i="12"/>
  <c r="LO10" i="12"/>
  <c r="LP10" i="12"/>
  <c r="LQ10" i="12"/>
  <c r="LR10" i="12"/>
  <c r="LD11" i="12"/>
  <c r="LE11" i="12"/>
  <c r="LF11" i="12"/>
  <c r="LG11" i="12"/>
  <c r="LH11" i="12"/>
  <c r="LI11" i="12"/>
  <c r="LJ11" i="12"/>
  <c r="LK11" i="12"/>
  <c r="LL11" i="12"/>
  <c r="LM11" i="12"/>
  <c r="LN11" i="12"/>
  <c r="LO11" i="12"/>
  <c r="LP11" i="12"/>
  <c r="LQ11" i="12"/>
  <c r="LR11" i="12"/>
  <c r="LC5" i="12"/>
  <c r="LC6" i="12"/>
  <c r="LC7" i="12"/>
  <c r="LC8" i="12"/>
  <c r="LC9" i="12"/>
  <c r="LC10" i="12"/>
  <c r="LC11" i="12"/>
  <c r="LC4" i="12"/>
  <c r="LD4" i="6"/>
  <c r="LE4" i="6"/>
  <c r="LF4" i="6"/>
  <c r="LG4" i="6"/>
  <c r="LH4" i="6"/>
  <c r="LI4" i="6"/>
  <c r="LJ4" i="6"/>
  <c r="LK4" i="6"/>
  <c r="LL4" i="6"/>
  <c r="LM4" i="6"/>
  <c r="LN4" i="6"/>
  <c r="LO4" i="6"/>
  <c r="LP4" i="6"/>
  <c r="LQ4" i="6"/>
  <c r="LR4" i="6"/>
  <c r="LD5" i="6"/>
  <c r="LE5" i="6"/>
  <c r="LF5" i="6"/>
  <c r="LG5" i="6"/>
  <c r="LH5" i="6"/>
  <c r="LI5" i="6"/>
  <c r="LJ5" i="6"/>
  <c r="LK5" i="6"/>
  <c r="LL5" i="6"/>
  <c r="LM5" i="6"/>
  <c r="LN5" i="6"/>
  <c r="LO5" i="6"/>
  <c r="LP5" i="6"/>
  <c r="LQ5" i="6"/>
  <c r="LR5" i="6"/>
  <c r="LD6" i="6"/>
  <c r="LE6" i="6"/>
  <c r="LF6" i="6"/>
  <c r="LG6" i="6"/>
  <c r="LH6" i="6"/>
  <c r="LI6" i="6"/>
  <c r="LJ6" i="6"/>
  <c r="LK6" i="6"/>
  <c r="LL6" i="6"/>
  <c r="LM6" i="6"/>
  <c r="LN6" i="6"/>
  <c r="LO6" i="6"/>
  <c r="LP6" i="6"/>
  <c r="LQ6" i="6"/>
  <c r="LR6" i="6"/>
  <c r="LD7" i="6"/>
  <c r="LE7" i="6"/>
  <c r="LF7" i="6"/>
  <c r="LG7" i="6"/>
  <c r="LH7" i="6"/>
  <c r="LI7" i="6"/>
  <c r="LJ7" i="6"/>
  <c r="LK7" i="6"/>
  <c r="LL7" i="6"/>
  <c r="LM7" i="6"/>
  <c r="LN7" i="6"/>
  <c r="LO7" i="6"/>
  <c r="LP7" i="6"/>
  <c r="LQ7" i="6"/>
  <c r="LR7" i="6"/>
  <c r="LD8" i="6"/>
  <c r="LE8" i="6"/>
  <c r="LF8" i="6"/>
  <c r="LG8" i="6"/>
  <c r="LH8" i="6"/>
  <c r="LI8" i="6"/>
  <c r="LJ8" i="6"/>
  <c r="LK8" i="6"/>
  <c r="LL8" i="6"/>
  <c r="LM8" i="6"/>
  <c r="LN8" i="6"/>
  <c r="LO8" i="6"/>
  <c r="LP8" i="6"/>
  <c r="LQ8" i="6"/>
  <c r="LR8" i="6"/>
  <c r="LD9" i="6"/>
  <c r="LE9" i="6"/>
  <c r="LF9" i="6"/>
  <c r="LG9" i="6"/>
  <c r="LH9" i="6"/>
  <c r="LI9" i="6"/>
  <c r="LJ9" i="6"/>
  <c r="LK9" i="6"/>
  <c r="LL9" i="6"/>
  <c r="LM9" i="6"/>
  <c r="LN9" i="6"/>
  <c r="LO9" i="6"/>
  <c r="LP9" i="6"/>
  <c r="LQ9" i="6"/>
  <c r="LR9" i="6"/>
  <c r="LD10" i="6"/>
  <c r="LE10" i="6"/>
  <c r="LF10" i="6"/>
  <c r="LG10" i="6"/>
  <c r="LH10" i="6"/>
  <c r="LI10" i="6"/>
  <c r="LJ10" i="6"/>
  <c r="LK10" i="6"/>
  <c r="LL10" i="6"/>
  <c r="LM10" i="6"/>
  <c r="LN10" i="6"/>
  <c r="LO10" i="6"/>
  <c r="LP10" i="6"/>
  <c r="LQ10" i="6"/>
  <c r="LR10" i="6"/>
  <c r="LD11" i="6"/>
  <c r="LE11" i="6"/>
  <c r="LF11" i="6"/>
  <c r="LG11" i="6"/>
  <c r="LH11" i="6"/>
  <c r="LI11" i="6"/>
  <c r="LJ11" i="6"/>
  <c r="LK11" i="6"/>
  <c r="LL11" i="6"/>
  <c r="LM11" i="6"/>
  <c r="LN11" i="6"/>
  <c r="LO11" i="6"/>
  <c r="LP11" i="6"/>
  <c r="LQ11" i="6"/>
  <c r="LR11" i="6"/>
  <c r="LD12" i="6"/>
  <c r="LE12" i="6"/>
  <c r="LF12" i="6"/>
  <c r="LG12" i="6"/>
  <c r="LH12" i="6"/>
  <c r="LI12" i="6"/>
  <c r="LJ12" i="6"/>
  <c r="LK12" i="6"/>
  <c r="LL12" i="6"/>
  <c r="LM12" i="6"/>
  <c r="LN12" i="6"/>
  <c r="LO12" i="6"/>
  <c r="LP12" i="6"/>
  <c r="LQ12" i="6"/>
  <c r="LR12" i="6"/>
  <c r="LD13" i="6"/>
  <c r="LE13" i="6"/>
  <c r="LF13" i="6"/>
  <c r="LG13" i="6"/>
  <c r="LH13" i="6"/>
  <c r="LI13" i="6"/>
  <c r="LJ13" i="6"/>
  <c r="LK13" i="6"/>
  <c r="LL13" i="6"/>
  <c r="LM13" i="6"/>
  <c r="LN13" i="6"/>
  <c r="LO13" i="6"/>
  <c r="LP13" i="6"/>
  <c r="LQ13" i="6"/>
  <c r="LR13" i="6"/>
  <c r="LD14" i="6"/>
  <c r="LE14" i="6"/>
  <c r="LF14" i="6"/>
  <c r="LG14" i="6"/>
  <c r="LH14" i="6"/>
  <c r="LI14" i="6"/>
  <c r="LJ14" i="6"/>
  <c r="LK14" i="6"/>
  <c r="LL14" i="6"/>
  <c r="LM14" i="6"/>
  <c r="LN14" i="6"/>
  <c r="LO14" i="6"/>
  <c r="LP14" i="6"/>
  <c r="LQ14" i="6"/>
  <c r="LR14" i="6"/>
  <c r="LD15" i="6"/>
  <c r="LE15" i="6"/>
  <c r="LF15" i="6"/>
  <c r="LG15" i="6"/>
  <c r="LH15" i="6"/>
  <c r="LI15" i="6"/>
  <c r="LJ15" i="6"/>
  <c r="LK15" i="6"/>
  <c r="LL15" i="6"/>
  <c r="LM15" i="6"/>
  <c r="LN15" i="6"/>
  <c r="LO15" i="6"/>
  <c r="LP15" i="6"/>
  <c r="LQ15" i="6"/>
  <c r="LR15" i="6"/>
  <c r="LC5" i="6"/>
  <c r="LC6" i="6"/>
  <c r="LC7" i="6"/>
  <c r="LC8" i="6"/>
  <c r="LC9" i="6"/>
  <c r="LC10" i="6"/>
  <c r="LC11" i="6"/>
  <c r="LC12" i="6"/>
  <c r="LC13" i="6"/>
  <c r="LC14" i="6"/>
  <c r="LC15" i="6"/>
  <c r="LC4" i="6"/>
  <c r="KP4" i="8"/>
  <c r="KQ4" i="8"/>
  <c r="KR4" i="8"/>
  <c r="KS4" i="8"/>
  <c r="KT4" i="8"/>
  <c r="KU4" i="8"/>
  <c r="KV4" i="8"/>
  <c r="KW4" i="8"/>
  <c r="KX4" i="8"/>
  <c r="KY4" i="8"/>
  <c r="KZ4" i="8"/>
  <c r="LA4" i="8"/>
  <c r="LB4" i="8"/>
  <c r="LC4" i="8"/>
  <c r="LD4" i="8"/>
  <c r="KP5" i="8"/>
  <c r="KQ5" i="8"/>
  <c r="KR5" i="8"/>
  <c r="KS5" i="8"/>
  <c r="KT5" i="8"/>
  <c r="KU5" i="8"/>
  <c r="KV5" i="8"/>
  <c r="KW5" i="8"/>
  <c r="KX5" i="8"/>
  <c r="KY5" i="8"/>
  <c r="KZ5" i="8"/>
  <c r="LA5" i="8"/>
  <c r="LB5" i="8"/>
  <c r="LC5" i="8"/>
  <c r="LD5" i="8"/>
  <c r="KP6" i="8"/>
  <c r="KQ6" i="8"/>
  <c r="KR6" i="8"/>
  <c r="KS6" i="8"/>
  <c r="KT6" i="8"/>
  <c r="KU6" i="8"/>
  <c r="KV6" i="8"/>
  <c r="KW6" i="8"/>
  <c r="KX6" i="8"/>
  <c r="KY6" i="8"/>
  <c r="KZ6" i="8"/>
  <c r="LA6" i="8"/>
  <c r="LB6" i="8"/>
  <c r="LC6" i="8"/>
  <c r="LD6" i="8"/>
  <c r="KO5" i="8"/>
  <c r="KO6" i="8"/>
  <c r="KO4" i="8"/>
  <c r="KP4" i="7"/>
  <c r="KQ4" i="7"/>
  <c r="KR4" i="7"/>
  <c r="KS4" i="7"/>
  <c r="KT4" i="7"/>
  <c r="KU4" i="7"/>
  <c r="KV4" i="7"/>
  <c r="KW4" i="7"/>
  <c r="KX4" i="7"/>
  <c r="KY4" i="7"/>
  <c r="KZ4" i="7"/>
  <c r="LA4" i="7"/>
  <c r="LB4" i="7"/>
  <c r="LC4" i="7"/>
  <c r="LD4" i="7"/>
  <c r="KP5" i="7"/>
  <c r="KQ5" i="7"/>
  <c r="KR5" i="7"/>
  <c r="KS5" i="7"/>
  <c r="KT5" i="7"/>
  <c r="KU5" i="7"/>
  <c r="KV5" i="7"/>
  <c r="KW5" i="7"/>
  <c r="KX5" i="7"/>
  <c r="KY5" i="7"/>
  <c r="KZ5" i="7"/>
  <c r="LA5" i="7"/>
  <c r="LB5" i="7"/>
  <c r="LC5" i="7"/>
  <c r="LD5" i="7"/>
  <c r="KP6" i="7"/>
  <c r="KQ6" i="7"/>
  <c r="KR6" i="7"/>
  <c r="KS6" i="7"/>
  <c r="KT6" i="7"/>
  <c r="KU6" i="7"/>
  <c r="KV6" i="7"/>
  <c r="KW6" i="7"/>
  <c r="KX6" i="7"/>
  <c r="KY6" i="7"/>
  <c r="KZ6" i="7"/>
  <c r="LA6" i="7"/>
  <c r="LB6" i="7"/>
  <c r="LC6" i="7"/>
  <c r="LD6" i="7"/>
  <c r="KP7" i="7"/>
  <c r="KQ7" i="7"/>
  <c r="KR7" i="7"/>
  <c r="KS7" i="7"/>
  <c r="KT7" i="7"/>
  <c r="KU7" i="7"/>
  <c r="KV7" i="7"/>
  <c r="KW7" i="7"/>
  <c r="KX7" i="7"/>
  <c r="KY7" i="7"/>
  <c r="KZ7" i="7"/>
  <c r="LA7" i="7"/>
  <c r="LB7" i="7"/>
  <c r="LC7" i="7"/>
  <c r="LD7" i="7"/>
  <c r="KP8" i="7"/>
  <c r="KQ8" i="7"/>
  <c r="KR8" i="7"/>
  <c r="KS8" i="7"/>
  <c r="KT8" i="7"/>
  <c r="KU8" i="7"/>
  <c r="KV8" i="7"/>
  <c r="KW8" i="7"/>
  <c r="KX8" i="7"/>
  <c r="KY8" i="7"/>
  <c r="KZ8" i="7"/>
  <c r="LA8" i="7"/>
  <c r="LB8" i="7"/>
  <c r="LC8" i="7"/>
  <c r="LD8" i="7"/>
  <c r="KO5" i="7"/>
  <c r="KO6" i="7"/>
  <c r="KO7" i="7"/>
  <c r="KO8" i="7"/>
  <c r="KO4" i="7"/>
  <c r="LX4" i="10"/>
  <c r="LY4" i="10"/>
  <c r="LZ4" i="10"/>
  <c r="MA4" i="10"/>
  <c r="MB4" i="10"/>
  <c r="MC4" i="10"/>
  <c r="MD4" i="10"/>
  <c r="ME4" i="10"/>
  <c r="MF4" i="10"/>
  <c r="MG4" i="10"/>
  <c r="MH4" i="10"/>
  <c r="MI4" i="10"/>
  <c r="MQ4" i="10" s="1"/>
  <c r="MJ4" i="10"/>
  <c r="MK4" i="10"/>
  <c r="LX5" i="10"/>
  <c r="LY5" i="10"/>
  <c r="LZ5" i="10"/>
  <c r="MA5" i="10"/>
  <c r="MB5" i="10"/>
  <c r="MC5" i="10"/>
  <c r="MD5" i="10"/>
  <c r="ME5" i="10"/>
  <c r="MF5" i="10"/>
  <c r="MG5" i="10"/>
  <c r="MH5" i="10"/>
  <c r="MI5" i="10"/>
  <c r="MQ5" i="10" s="1"/>
  <c r="MJ5" i="10"/>
  <c r="MK5" i="10"/>
  <c r="LX6" i="10"/>
  <c r="LY6" i="10"/>
  <c r="LZ6" i="10"/>
  <c r="MA6" i="10"/>
  <c r="MB6" i="10"/>
  <c r="MC6" i="10"/>
  <c r="MD6" i="10"/>
  <c r="ME6" i="10"/>
  <c r="MF6" i="10"/>
  <c r="MG6" i="10"/>
  <c r="MH6" i="10"/>
  <c r="MI6" i="10"/>
  <c r="MQ6" i="10" s="1"/>
  <c r="MJ6" i="10"/>
  <c r="MK6" i="10"/>
  <c r="LX7" i="10"/>
  <c r="LY7" i="10"/>
  <c r="LZ7" i="10"/>
  <c r="MA7" i="10"/>
  <c r="MB7" i="10"/>
  <c r="MC7" i="10"/>
  <c r="MD7" i="10"/>
  <c r="ME7" i="10"/>
  <c r="MF7" i="10"/>
  <c r="MG7" i="10"/>
  <c r="MH7" i="10"/>
  <c r="MI7" i="10"/>
  <c r="MQ7" i="10" s="1"/>
  <c r="MJ7" i="10"/>
  <c r="MK7" i="10"/>
  <c r="LX8" i="10"/>
  <c r="LY8" i="10"/>
  <c r="LZ8" i="10"/>
  <c r="MA8" i="10"/>
  <c r="MB8" i="10"/>
  <c r="MC8" i="10"/>
  <c r="MD8" i="10"/>
  <c r="ME8" i="10"/>
  <c r="MF8" i="10"/>
  <c r="MG8" i="10"/>
  <c r="MH8" i="10"/>
  <c r="MI8" i="10"/>
  <c r="MQ8" i="10" s="1"/>
  <c r="MJ8" i="10"/>
  <c r="MK8" i="10"/>
  <c r="LX9" i="10"/>
  <c r="LY9" i="10"/>
  <c r="LZ9" i="10"/>
  <c r="MA9" i="10"/>
  <c r="MB9" i="10"/>
  <c r="MC9" i="10"/>
  <c r="MD9" i="10"/>
  <c r="ME9" i="10"/>
  <c r="MF9" i="10"/>
  <c r="MG9" i="10"/>
  <c r="MH9" i="10"/>
  <c r="MI9" i="10"/>
  <c r="MQ9" i="10" s="1"/>
  <c r="MJ9" i="10"/>
  <c r="MK9" i="10"/>
  <c r="LX10" i="10"/>
  <c r="LY10" i="10"/>
  <c r="LZ10" i="10"/>
  <c r="MA10" i="10"/>
  <c r="MB10" i="10"/>
  <c r="MC10" i="10"/>
  <c r="MD10" i="10"/>
  <c r="ME10" i="10"/>
  <c r="MF10" i="10"/>
  <c r="MG10" i="10"/>
  <c r="MH10" i="10"/>
  <c r="MI10" i="10"/>
  <c r="MQ10" i="10" s="1"/>
  <c r="MJ10" i="10"/>
  <c r="MK10" i="10"/>
  <c r="LX11" i="10"/>
  <c r="LY11" i="10"/>
  <c r="LZ11" i="10"/>
  <c r="MA11" i="10"/>
  <c r="MB11" i="10"/>
  <c r="MC11" i="10"/>
  <c r="MD11" i="10"/>
  <c r="ME11" i="10"/>
  <c r="MF11" i="10"/>
  <c r="MG11" i="10"/>
  <c r="MH11" i="10"/>
  <c r="MI11" i="10"/>
  <c r="MQ11" i="10" s="1"/>
  <c r="MJ11" i="10"/>
  <c r="MK11" i="10"/>
  <c r="LX12" i="10"/>
  <c r="LY12" i="10"/>
  <c r="LZ12" i="10"/>
  <c r="MA12" i="10"/>
  <c r="MB12" i="10"/>
  <c r="MC12" i="10"/>
  <c r="MD12" i="10"/>
  <c r="ME12" i="10"/>
  <c r="MF12" i="10"/>
  <c r="MG12" i="10"/>
  <c r="MH12" i="10"/>
  <c r="MI12" i="10"/>
  <c r="MQ12" i="10" s="1"/>
  <c r="MJ12" i="10"/>
  <c r="MK12" i="10"/>
  <c r="LX13" i="10"/>
  <c r="LY13" i="10"/>
  <c r="LZ13" i="10"/>
  <c r="MA13" i="10"/>
  <c r="MB13" i="10"/>
  <c r="MC13" i="10"/>
  <c r="MD13" i="10"/>
  <c r="ME13" i="10"/>
  <c r="MF13" i="10"/>
  <c r="MG13" i="10"/>
  <c r="MH13" i="10"/>
  <c r="MI13" i="10"/>
  <c r="MQ13" i="10" s="1"/>
  <c r="MJ13" i="10"/>
  <c r="MK13" i="10"/>
  <c r="LX14" i="10"/>
  <c r="LY14" i="10"/>
  <c r="LZ14" i="10"/>
  <c r="MA14" i="10"/>
  <c r="MB14" i="10"/>
  <c r="MC14" i="10"/>
  <c r="MD14" i="10"/>
  <c r="ME14" i="10"/>
  <c r="MF14" i="10"/>
  <c r="MG14" i="10"/>
  <c r="MH14" i="10"/>
  <c r="MI14" i="10"/>
  <c r="MQ14" i="10" s="1"/>
  <c r="MJ14" i="10"/>
  <c r="MK14" i="10"/>
  <c r="LX15" i="10"/>
  <c r="LY15" i="10"/>
  <c r="LZ15" i="10"/>
  <c r="MA15" i="10"/>
  <c r="MB15" i="10"/>
  <c r="MC15" i="10"/>
  <c r="MD15" i="10"/>
  <c r="ME15" i="10"/>
  <c r="MF15" i="10"/>
  <c r="MG15" i="10"/>
  <c r="MH15" i="10"/>
  <c r="MI15" i="10"/>
  <c r="MQ15" i="10" s="1"/>
  <c r="MJ15" i="10"/>
  <c r="MK15" i="10"/>
  <c r="LW5" i="10"/>
  <c r="LW6" i="10"/>
  <c r="LW7" i="10"/>
  <c r="LW8" i="10"/>
  <c r="LW9" i="10"/>
  <c r="LW10" i="10"/>
  <c r="LW11" i="10"/>
  <c r="LW12" i="10"/>
  <c r="LW13" i="10"/>
  <c r="LW14" i="10"/>
  <c r="LW15" i="10"/>
  <c r="LW4" i="10"/>
  <c r="LX4" i="2"/>
  <c r="LY4" i="2"/>
  <c r="LZ4" i="2"/>
  <c r="MA4" i="2"/>
  <c r="MB4" i="2"/>
  <c r="MC4" i="2"/>
  <c r="MD4" i="2"/>
  <c r="ME4" i="2"/>
  <c r="MF4" i="2"/>
  <c r="MG4" i="2"/>
  <c r="MH4" i="2"/>
  <c r="MI4" i="2"/>
  <c r="MQ4" i="2" s="1"/>
  <c r="MJ4" i="2"/>
  <c r="MK4" i="2"/>
  <c r="LX5" i="2"/>
  <c r="LY5" i="2"/>
  <c r="LZ5" i="2"/>
  <c r="MA5" i="2"/>
  <c r="MB5" i="2"/>
  <c r="MC5" i="2"/>
  <c r="MD5" i="2"/>
  <c r="ME5" i="2"/>
  <c r="MF5" i="2"/>
  <c r="MG5" i="2"/>
  <c r="MH5" i="2"/>
  <c r="MI5" i="2"/>
  <c r="MQ5" i="2" s="1"/>
  <c r="MJ5" i="2"/>
  <c r="MK5" i="2"/>
  <c r="LX6" i="2"/>
  <c r="LY6" i="2"/>
  <c r="LZ6" i="2"/>
  <c r="MA6" i="2"/>
  <c r="MB6" i="2"/>
  <c r="MC6" i="2"/>
  <c r="MD6" i="2"/>
  <c r="ME6" i="2"/>
  <c r="MF6" i="2"/>
  <c r="MG6" i="2"/>
  <c r="MH6" i="2"/>
  <c r="MI6" i="2"/>
  <c r="MQ6" i="2" s="1"/>
  <c r="MJ6" i="2"/>
  <c r="MK6" i="2"/>
  <c r="LX7" i="2"/>
  <c r="LY7" i="2"/>
  <c r="LZ7" i="2"/>
  <c r="MA7" i="2"/>
  <c r="MB7" i="2"/>
  <c r="MC7" i="2"/>
  <c r="MD7" i="2"/>
  <c r="ME7" i="2"/>
  <c r="MF7" i="2"/>
  <c r="MG7" i="2"/>
  <c r="MH7" i="2"/>
  <c r="MI7" i="2"/>
  <c r="MQ7" i="2" s="1"/>
  <c r="MJ7" i="2"/>
  <c r="MK7" i="2"/>
  <c r="LX8" i="2"/>
  <c r="LY8" i="2"/>
  <c r="LZ8" i="2"/>
  <c r="MA8" i="2"/>
  <c r="MB8" i="2"/>
  <c r="MC8" i="2"/>
  <c r="MD8" i="2"/>
  <c r="ME8" i="2"/>
  <c r="MF8" i="2"/>
  <c r="MG8" i="2"/>
  <c r="MH8" i="2"/>
  <c r="MI8" i="2"/>
  <c r="MQ8" i="2" s="1"/>
  <c r="MJ8" i="2"/>
  <c r="MK8" i="2"/>
  <c r="LX9" i="2"/>
  <c r="LY9" i="2"/>
  <c r="LZ9" i="2"/>
  <c r="MA9" i="2"/>
  <c r="MB9" i="2"/>
  <c r="MC9" i="2"/>
  <c r="MD9" i="2"/>
  <c r="ME9" i="2"/>
  <c r="MF9" i="2"/>
  <c r="MG9" i="2"/>
  <c r="MH9" i="2"/>
  <c r="MI9" i="2"/>
  <c r="MQ9" i="2" s="1"/>
  <c r="MJ9" i="2"/>
  <c r="MK9" i="2"/>
  <c r="LX10" i="2"/>
  <c r="LY10" i="2"/>
  <c r="LZ10" i="2"/>
  <c r="MA10" i="2"/>
  <c r="MB10" i="2"/>
  <c r="MC10" i="2"/>
  <c r="MD10" i="2"/>
  <c r="ME10" i="2"/>
  <c r="MF10" i="2"/>
  <c r="MG10" i="2"/>
  <c r="MH10" i="2"/>
  <c r="MI10" i="2"/>
  <c r="MQ10" i="2" s="1"/>
  <c r="MJ10" i="2"/>
  <c r="MK10" i="2"/>
  <c r="LX11" i="2"/>
  <c r="LY11" i="2"/>
  <c r="LZ11" i="2"/>
  <c r="MA11" i="2"/>
  <c r="MB11" i="2"/>
  <c r="MC11" i="2"/>
  <c r="MD11" i="2"/>
  <c r="ME11" i="2"/>
  <c r="MF11" i="2"/>
  <c r="MG11" i="2"/>
  <c r="MH11" i="2"/>
  <c r="MI11" i="2"/>
  <c r="MQ11" i="2" s="1"/>
  <c r="MJ11" i="2"/>
  <c r="MK11" i="2"/>
  <c r="LX12" i="2"/>
  <c r="LY12" i="2"/>
  <c r="LZ12" i="2"/>
  <c r="MA12" i="2"/>
  <c r="MB12" i="2"/>
  <c r="MC12" i="2"/>
  <c r="MD12" i="2"/>
  <c r="ME12" i="2"/>
  <c r="MF12" i="2"/>
  <c r="MG12" i="2"/>
  <c r="MH12" i="2"/>
  <c r="MI12" i="2"/>
  <c r="MQ12" i="2" s="1"/>
  <c r="MJ12" i="2"/>
  <c r="MK12" i="2"/>
  <c r="LX13" i="2"/>
  <c r="LY13" i="2"/>
  <c r="LZ13" i="2"/>
  <c r="MA13" i="2"/>
  <c r="MB13" i="2"/>
  <c r="MC13" i="2"/>
  <c r="MD13" i="2"/>
  <c r="ME13" i="2"/>
  <c r="MF13" i="2"/>
  <c r="MG13" i="2"/>
  <c r="MH13" i="2"/>
  <c r="MI13" i="2"/>
  <c r="MQ13" i="2" s="1"/>
  <c r="MJ13" i="2"/>
  <c r="MK13" i="2"/>
  <c r="LX14" i="2"/>
  <c r="LY14" i="2"/>
  <c r="LZ14" i="2"/>
  <c r="MA14" i="2"/>
  <c r="MB14" i="2"/>
  <c r="MC14" i="2"/>
  <c r="MD14" i="2"/>
  <c r="ME14" i="2"/>
  <c r="MF14" i="2"/>
  <c r="MG14" i="2"/>
  <c r="MH14" i="2"/>
  <c r="MI14" i="2"/>
  <c r="MQ14" i="2" s="1"/>
  <c r="MJ14" i="2"/>
  <c r="MK14" i="2"/>
  <c r="LX15" i="2"/>
  <c r="LY15" i="2"/>
  <c r="LZ15" i="2"/>
  <c r="MA15" i="2"/>
  <c r="MB15" i="2"/>
  <c r="MC15" i="2"/>
  <c r="MD15" i="2"/>
  <c r="ME15" i="2"/>
  <c r="MF15" i="2"/>
  <c r="MG15" i="2"/>
  <c r="MH15" i="2"/>
  <c r="MI15" i="2"/>
  <c r="MQ15" i="2" s="1"/>
  <c r="MJ15" i="2"/>
  <c r="MK15" i="2"/>
  <c r="LW5" i="2"/>
  <c r="LW6" i="2"/>
  <c r="LW7" i="2"/>
  <c r="LW8" i="2"/>
  <c r="LW9" i="2"/>
  <c r="LW10" i="2"/>
  <c r="LW11" i="2"/>
  <c r="LW12" i="2"/>
  <c r="LW13" i="2"/>
  <c r="LW14" i="2"/>
  <c r="LW15" i="2"/>
  <c r="LW4" i="2"/>
  <c r="LX4" i="4"/>
  <c r="LY4" i="4"/>
  <c r="LZ4" i="4"/>
  <c r="MA4" i="4"/>
  <c r="MB4" i="4"/>
  <c r="MC4" i="4"/>
  <c r="MD4" i="4"/>
  <c r="ME4" i="4"/>
  <c r="MF4" i="4"/>
  <c r="MG4" i="4"/>
  <c r="MH4" i="4"/>
  <c r="MI4" i="4"/>
  <c r="MQ4" i="4" s="1"/>
  <c r="MJ4" i="4"/>
  <c r="MK4" i="4"/>
  <c r="LX5" i="4"/>
  <c r="LY5" i="4"/>
  <c r="LZ5" i="4"/>
  <c r="MA5" i="4"/>
  <c r="MB5" i="4"/>
  <c r="MC5" i="4"/>
  <c r="ME5" i="4"/>
  <c r="MF5" i="4"/>
  <c r="MG5" i="4"/>
  <c r="MH5" i="4"/>
  <c r="MJ5" i="4"/>
  <c r="MK5" i="4"/>
  <c r="LX6" i="4"/>
  <c r="LY6" i="4"/>
  <c r="LZ6" i="4"/>
  <c r="MA6" i="4"/>
  <c r="MB6" i="4"/>
  <c r="MC6" i="4"/>
  <c r="MD6" i="4"/>
  <c r="ME6" i="4"/>
  <c r="MF6" i="4"/>
  <c r="MG6" i="4"/>
  <c r="MH6" i="4"/>
  <c r="MI6" i="4"/>
  <c r="MQ6" i="4" s="1"/>
  <c r="MJ6" i="4"/>
  <c r="MK6" i="4"/>
  <c r="LX7" i="4"/>
  <c r="LY7" i="4"/>
  <c r="LZ7" i="4"/>
  <c r="MA7" i="4"/>
  <c r="MC7" i="4"/>
  <c r="ME7" i="4"/>
  <c r="MF7" i="4"/>
  <c r="MG7" i="4"/>
  <c r="MH7" i="4"/>
  <c r="MI7" i="4"/>
  <c r="MQ7" i="4" s="1"/>
  <c r="MJ7" i="4"/>
  <c r="MK7" i="4"/>
  <c r="LX8" i="4"/>
  <c r="LY8" i="4"/>
  <c r="LZ8" i="4"/>
  <c r="MA8" i="4"/>
  <c r="MB8" i="4"/>
  <c r="MC8" i="4"/>
  <c r="MD8" i="4"/>
  <c r="ME8" i="4"/>
  <c r="MF8" i="4"/>
  <c r="MG8" i="4"/>
  <c r="MH8" i="4"/>
  <c r="MI8" i="4"/>
  <c r="MQ8" i="4" s="1"/>
  <c r="MJ8" i="4"/>
  <c r="MK8" i="4"/>
  <c r="LX9" i="4"/>
  <c r="LY9" i="4"/>
  <c r="LZ9" i="4"/>
  <c r="MA9" i="4"/>
  <c r="MB9" i="4"/>
  <c r="MC9" i="4"/>
  <c r="MD9" i="4"/>
  <c r="ME9" i="4"/>
  <c r="MF9" i="4"/>
  <c r="MG9" i="4"/>
  <c r="MH9" i="4"/>
  <c r="MI9" i="4"/>
  <c r="MQ9" i="4" s="1"/>
  <c r="MJ9" i="4"/>
  <c r="MK9" i="4"/>
  <c r="LX10" i="4"/>
  <c r="LY10" i="4"/>
  <c r="LZ10" i="4"/>
  <c r="MA10" i="4"/>
  <c r="MB10" i="4"/>
  <c r="MC10" i="4"/>
  <c r="MD10" i="4"/>
  <c r="ME10" i="4"/>
  <c r="MF10" i="4"/>
  <c r="MG10" i="4"/>
  <c r="MH10" i="4"/>
  <c r="MI10" i="4"/>
  <c r="MQ10" i="4" s="1"/>
  <c r="MJ10" i="4"/>
  <c r="MK10" i="4"/>
  <c r="LX11" i="4"/>
  <c r="LY11" i="4"/>
  <c r="LZ11" i="4"/>
  <c r="MA11" i="4"/>
  <c r="MB11" i="4"/>
  <c r="MC11" i="4"/>
  <c r="MD11" i="4"/>
  <c r="ME11" i="4"/>
  <c r="MF11" i="4"/>
  <c r="MG11" i="4"/>
  <c r="MH11" i="4"/>
  <c r="MI11" i="4"/>
  <c r="MQ11" i="4" s="1"/>
  <c r="MJ11" i="4"/>
  <c r="MK11" i="4"/>
  <c r="LX12" i="4"/>
  <c r="LY12" i="4"/>
  <c r="LZ12" i="4"/>
  <c r="MA12" i="4"/>
  <c r="MB12" i="4"/>
  <c r="MC12" i="4"/>
  <c r="MD12" i="4"/>
  <c r="ME12" i="4"/>
  <c r="MF12" i="4"/>
  <c r="MG12" i="4"/>
  <c r="MH12" i="4"/>
  <c r="MI12" i="4"/>
  <c r="MQ12" i="4" s="1"/>
  <c r="MJ12" i="4"/>
  <c r="MK12" i="4"/>
  <c r="LX13" i="4"/>
  <c r="LY13" i="4"/>
  <c r="LZ13" i="4"/>
  <c r="MA13" i="4"/>
  <c r="MB13" i="4"/>
  <c r="MC13" i="4"/>
  <c r="MD13" i="4"/>
  <c r="ME13" i="4"/>
  <c r="MF13" i="4"/>
  <c r="MG13" i="4"/>
  <c r="MH13" i="4"/>
  <c r="MI13" i="4"/>
  <c r="MQ13" i="4" s="1"/>
  <c r="MJ13" i="4"/>
  <c r="MK13" i="4"/>
  <c r="LX14" i="4"/>
  <c r="LY14" i="4"/>
  <c r="LZ14" i="4"/>
  <c r="MA14" i="4"/>
  <c r="MB14" i="4"/>
  <c r="MC14" i="4"/>
  <c r="MD14" i="4"/>
  <c r="ME14" i="4"/>
  <c r="MF14" i="4"/>
  <c r="MG14" i="4"/>
  <c r="MH14" i="4"/>
  <c r="MI14" i="4"/>
  <c r="MQ14" i="4" s="1"/>
  <c r="MJ14" i="4"/>
  <c r="MK14" i="4"/>
  <c r="LX15" i="4"/>
  <c r="LY15" i="4"/>
  <c r="LZ15" i="4"/>
  <c r="MA15" i="4"/>
  <c r="MB15" i="4"/>
  <c r="MC15" i="4"/>
  <c r="MD15" i="4"/>
  <c r="ME15" i="4"/>
  <c r="MF15" i="4"/>
  <c r="MG15" i="4"/>
  <c r="MH15" i="4"/>
  <c r="MI15" i="4"/>
  <c r="MQ15" i="4" s="1"/>
  <c r="MJ15" i="4"/>
  <c r="MK15" i="4"/>
  <c r="LX16" i="4"/>
  <c r="LY16" i="4"/>
  <c r="LZ16" i="4"/>
  <c r="MA16" i="4"/>
  <c r="MB16" i="4"/>
  <c r="MC16" i="4"/>
  <c r="MD16" i="4"/>
  <c r="ME16" i="4"/>
  <c r="MF16" i="4"/>
  <c r="MG16" i="4"/>
  <c r="MH16" i="4"/>
  <c r="MI16" i="4"/>
  <c r="MQ16" i="4" s="1"/>
  <c r="MJ16" i="4"/>
  <c r="MK16" i="4"/>
  <c r="LX17" i="4"/>
  <c r="LY17" i="4"/>
  <c r="LZ17" i="4"/>
  <c r="MA17" i="4"/>
  <c r="MB17" i="4"/>
  <c r="MC17" i="4"/>
  <c r="MD17" i="4"/>
  <c r="ME17" i="4"/>
  <c r="MF17" i="4"/>
  <c r="MG17" i="4"/>
  <c r="MH17" i="4"/>
  <c r="MI17" i="4"/>
  <c r="MQ17" i="4" s="1"/>
  <c r="MJ17" i="4"/>
  <c r="MK17" i="4"/>
  <c r="LX18" i="4"/>
  <c r="LY18" i="4"/>
  <c r="LZ18" i="4"/>
  <c r="MA18" i="4"/>
  <c r="MB18" i="4"/>
  <c r="MC18" i="4"/>
  <c r="MD18" i="4"/>
  <c r="ME18" i="4"/>
  <c r="MF18" i="4"/>
  <c r="MG18" i="4"/>
  <c r="MH18" i="4"/>
  <c r="MI18" i="4"/>
  <c r="MQ18" i="4" s="1"/>
  <c r="MJ18" i="4"/>
  <c r="MK18" i="4"/>
  <c r="LX19" i="4"/>
  <c r="LY19" i="4"/>
  <c r="LZ19" i="4"/>
  <c r="MA19" i="4"/>
  <c r="MB19" i="4"/>
  <c r="MC19" i="4"/>
  <c r="MD19" i="4"/>
  <c r="ME19" i="4"/>
  <c r="MF19" i="4"/>
  <c r="MG19" i="4"/>
  <c r="MH19" i="4"/>
  <c r="MI19" i="4"/>
  <c r="MQ19" i="4" s="1"/>
  <c r="MJ19" i="4"/>
  <c r="MK19" i="4"/>
  <c r="LX20" i="4"/>
  <c r="LY20" i="4"/>
  <c r="LZ20" i="4"/>
  <c r="MA20" i="4"/>
  <c r="MB20" i="4"/>
  <c r="MC20" i="4"/>
  <c r="MD20" i="4"/>
  <c r="ME20" i="4"/>
  <c r="MF20" i="4"/>
  <c r="MG20" i="4"/>
  <c r="MH20" i="4"/>
  <c r="MI20" i="4"/>
  <c r="MQ20" i="4" s="1"/>
  <c r="MJ20" i="4"/>
  <c r="MK20" i="4"/>
  <c r="LW5" i="4"/>
  <c r="LW6" i="4"/>
  <c r="LW7" i="4"/>
  <c r="LW8" i="4"/>
  <c r="LW9" i="4"/>
  <c r="LW10" i="4"/>
  <c r="LW11" i="4"/>
  <c r="LW12" i="4"/>
  <c r="LW13" i="4"/>
  <c r="LW14" i="4"/>
  <c r="LW15" i="4"/>
  <c r="LW16" i="4"/>
  <c r="LW17" i="4"/>
  <c r="LW18" i="4"/>
  <c r="LW19" i="4"/>
  <c r="LW20" i="4"/>
  <c r="LW4" i="4"/>
  <c r="MN12" i="10" l="1"/>
  <c r="MN8" i="10"/>
  <c r="MN13" i="10"/>
  <c r="MN9" i="10"/>
  <c r="MN5" i="10"/>
  <c r="MN14" i="10"/>
  <c r="MN10" i="10"/>
  <c r="MN6" i="10"/>
  <c r="MN15" i="10"/>
  <c r="MN11" i="10"/>
  <c r="MN7" i="10"/>
  <c r="H8" i="10"/>
  <c r="H8" i="9"/>
  <c r="A8" i="9" s="1"/>
  <c r="H9" i="9"/>
  <c r="I9" i="9" s="1"/>
  <c r="Q8" i="9"/>
  <c r="J9" i="9"/>
  <c r="N9" i="9" s="1"/>
  <c r="J8" i="10"/>
  <c r="L8" i="10" s="1"/>
  <c r="BN9" i="9"/>
  <c r="Q9" i="9"/>
  <c r="MP15" i="9"/>
  <c r="MS15" i="9" s="1"/>
  <c r="J8" i="9"/>
  <c r="L8" i="9" s="1"/>
  <c r="BN8" i="9"/>
  <c r="BD10" i="12"/>
  <c r="BE10" i="12"/>
  <c r="BF10" i="12"/>
  <c r="BG10" i="12"/>
  <c r="KX10" i="12"/>
  <c r="KY10" i="12"/>
  <c r="KZ10" i="12"/>
  <c r="LA10" i="12"/>
  <c r="BH13" i="2"/>
  <c r="BI13" i="2"/>
  <c r="BJ13" i="2"/>
  <c r="BM13" i="2"/>
  <c r="LP13" i="2"/>
  <c r="LQ13" i="2"/>
  <c r="LR13" i="2"/>
  <c r="LU13" i="2"/>
  <c r="MM15" i="2"/>
  <c r="BH10" i="2"/>
  <c r="BI10" i="2"/>
  <c r="BJ10" i="2"/>
  <c r="BM10" i="2"/>
  <c r="LP10" i="2"/>
  <c r="LQ10" i="2"/>
  <c r="LR10" i="2"/>
  <c r="LU10" i="2"/>
  <c r="MM14" i="2"/>
  <c r="K8" i="10" l="1"/>
  <c r="M8" i="10" s="1"/>
  <c r="BQ9" i="9"/>
  <c r="K9" i="9"/>
  <c r="O9" i="9" s="1"/>
  <c r="F10" i="2"/>
  <c r="G10" i="2"/>
  <c r="F13" i="2"/>
  <c r="G13" i="2"/>
  <c r="L9" i="9"/>
  <c r="BO9" i="9" s="1"/>
  <c r="LB10" i="12"/>
  <c r="N8" i="10"/>
  <c r="BQ8" i="9"/>
  <c r="A9" i="9"/>
  <c r="I8" i="9"/>
  <c r="BQ8" i="10"/>
  <c r="I8" i="10"/>
  <c r="BO8" i="10"/>
  <c r="BP9" i="9"/>
  <c r="N8" i="9"/>
  <c r="K8" i="9"/>
  <c r="M8" i="9" s="1"/>
  <c r="BO8" i="9"/>
  <c r="BH10" i="12"/>
  <c r="J10" i="12" s="1"/>
  <c r="L10" i="12" s="1"/>
  <c r="P13" i="2"/>
  <c r="BR13" i="2" s="1"/>
  <c r="LS10" i="2"/>
  <c r="LV10" i="2" s="1"/>
  <c r="F10" i="12"/>
  <c r="H10" i="12"/>
  <c r="G10" i="12"/>
  <c r="LS13" i="2"/>
  <c r="LV13" i="2" s="1"/>
  <c r="BK13" i="2"/>
  <c r="BN13" i="2" s="1"/>
  <c r="MO15" i="2"/>
  <c r="MR15" i="2"/>
  <c r="MN15" i="2"/>
  <c r="BK10" i="2"/>
  <c r="P10" i="2"/>
  <c r="Q10" i="2" s="1"/>
  <c r="MR14" i="2"/>
  <c r="MO14" i="2"/>
  <c r="MN14" i="2"/>
  <c r="BH15" i="4"/>
  <c r="BI15" i="4"/>
  <c r="BJ15" i="4"/>
  <c r="BM15" i="4"/>
  <c r="LP15" i="4"/>
  <c r="LQ15" i="4"/>
  <c r="LR15" i="4"/>
  <c r="LU15" i="4"/>
  <c r="O8" i="10" l="1"/>
  <c r="O8" i="9"/>
  <c r="R9" i="9"/>
  <c r="T9" i="9" s="1"/>
  <c r="G15" i="4"/>
  <c r="F15" i="4"/>
  <c r="M9" i="9"/>
  <c r="H10" i="2"/>
  <c r="H13" i="2"/>
  <c r="I13" i="2" s="1"/>
  <c r="MI5" i="4"/>
  <c r="MQ5" i="4" s="1"/>
  <c r="MB7" i="4"/>
  <c r="MD7" i="4"/>
  <c r="MD5" i="4"/>
  <c r="BP8" i="10"/>
  <c r="R8" i="10" s="1"/>
  <c r="E8" i="10" s="1"/>
  <c r="BP8" i="9"/>
  <c r="R8" i="9" s="1"/>
  <c r="Q13" i="2"/>
  <c r="K10" i="12"/>
  <c r="MP15" i="2"/>
  <c r="MS15" i="2" s="1"/>
  <c r="LS15" i="4"/>
  <c r="LV15" i="4" s="1"/>
  <c r="P15" i="4"/>
  <c r="Q15" i="4" s="1"/>
  <c r="I10" i="12"/>
  <c r="N10" i="12"/>
  <c r="M10" i="12"/>
  <c r="BR10" i="2"/>
  <c r="J10" i="2"/>
  <c r="N10" i="2" s="1"/>
  <c r="J13" i="2"/>
  <c r="BQ13" i="2" s="1"/>
  <c r="MP14" i="2"/>
  <c r="MS14" i="2" s="1"/>
  <c r="BN10" i="2"/>
  <c r="BK15" i="4"/>
  <c r="BH6" i="10"/>
  <c r="BI6" i="10"/>
  <c r="BJ6" i="10"/>
  <c r="BM6" i="10"/>
  <c r="LP6" i="10"/>
  <c r="LQ6" i="10"/>
  <c r="LR6" i="10"/>
  <c r="LU6" i="10"/>
  <c r="S9" i="9" l="1"/>
  <c r="E9" i="9"/>
  <c r="G6" i="10"/>
  <c r="F6" i="10"/>
  <c r="J15" i="4"/>
  <c r="L15" i="4" s="1"/>
  <c r="T8" i="9"/>
  <c r="E8" i="9"/>
  <c r="S8" i="9"/>
  <c r="S8" i="10"/>
  <c r="T8" i="10"/>
  <c r="N13" i="2"/>
  <c r="L10" i="2"/>
  <c r="M10" i="2" s="1"/>
  <c r="BQ10" i="2"/>
  <c r="K10" i="2"/>
  <c r="O10" i="2" s="1"/>
  <c r="BR15" i="4"/>
  <c r="BK6" i="10"/>
  <c r="J6" i="10" s="1"/>
  <c r="LS6" i="10"/>
  <c r="LV6" i="10" s="1"/>
  <c r="E10" i="12"/>
  <c r="A10" i="12" s="1"/>
  <c r="O10" i="12"/>
  <c r="P10" i="12"/>
  <c r="A13" i="2"/>
  <c r="L13" i="2"/>
  <c r="K13" i="2"/>
  <c r="I10" i="2"/>
  <c r="BP10" i="2"/>
  <c r="BN15" i="4"/>
  <c r="H15" i="4"/>
  <c r="A15" i="4" s="1"/>
  <c r="P6" i="10"/>
  <c r="BR6" i="10" s="1"/>
  <c r="MM5" i="10"/>
  <c r="MM6" i="10"/>
  <c r="MM7" i="10"/>
  <c r="MM8" i="10"/>
  <c r="MM9" i="10"/>
  <c r="MM10" i="10"/>
  <c r="MM11" i="10"/>
  <c r="MM12" i="10"/>
  <c r="MM13" i="10"/>
  <c r="MM14" i="10"/>
  <c r="MM15" i="10"/>
  <c r="MM4" i="10"/>
  <c r="MM5" i="9"/>
  <c r="MM6" i="9"/>
  <c r="MM7" i="9"/>
  <c r="MM8" i="9"/>
  <c r="MM9" i="9"/>
  <c r="MM10" i="9"/>
  <c r="MM11" i="9"/>
  <c r="MM12" i="9"/>
  <c r="MM13" i="9"/>
  <c r="MM14" i="9"/>
  <c r="MM4" i="9"/>
  <c r="MM5" i="2"/>
  <c r="MM6" i="2"/>
  <c r="MM7" i="2"/>
  <c r="MM8" i="2"/>
  <c r="MM9" i="2"/>
  <c r="MM10" i="2"/>
  <c r="MM11" i="2"/>
  <c r="MM12" i="2"/>
  <c r="MM13" i="2"/>
  <c r="MM4" i="2"/>
  <c r="MM5" i="4"/>
  <c r="MM6" i="4"/>
  <c r="MM7" i="4"/>
  <c r="MM9" i="4"/>
  <c r="MM10" i="4"/>
  <c r="MM11" i="4"/>
  <c r="MM12" i="4"/>
  <c r="MM13" i="4"/>
  <c r="MM14" i="4"/>
  <c r="MM15" i="4"/>
  <c r="MM17" i="4"/>
  <c r="MM18" i="4"/>
  <c r="MM19" i="4"/>
  <c r="MM4" i="4"/>
  <c r="O13" i="2" l="1"/>
  <c r="H6" i="10"/>
  <c r="I6" i="10" s="1"/>
  <c r="K15" i="4"/>
  <c r="M15" i="4" s="1"/>
  <c r="N15" i="4"/>
  <c r="BP15" i="4" s="1"/>
  <c r="BN6" i="10"/>
  <c r="BQ15" i="4"/>
  <c r="BO10" i="2"/>
  <c r="R10" i="2" s="1"/>
  <c r="E10" i="2" s="1"/>
  <c r="BP13" i="2"/>
  <c r="I15" i="4"/>
  <c r="LF4" i="7"/>
  <c r="Q6" i="10"/>
  <c r="M13" i="2"/>
  <c r="BO13" i="2"/>
  <c r="BO15" i="4"/>
  <c r="LT14" i="6"/>
  <c r="MR9" i="2"/>
  <c r="MO8" i="4"/>
  <c r="MR20" i="4"/>
  <c r="LU11" i="12"/>
  <c r="LT10" i="12"/>
  <c r="LT7" i="6"/>
  <c r="LU6" i="6"/>
  <c r="LT5" i="6"/>
  <c r="LF5" i="8"/>
  <c r="LF7" i="7"/>
  <c r="LF5" i="7"/>
  <c r="MO13" i="10"/>
  <c r="MO10" i="10"/>
  <c r="MO6" i="10"/>
  <c r="MR8" i="9"/>
  <c r="MN5" i="9"/>
  <c r="MN5" i="2"/>
  <c r="MR8" i="2"/>
  <c r="MN7" i="2"/>
  <c r="MR10" i="2"/>
  <c r="MR11" i="2"/>
  <c r="MR13" i="4"/>
  <c r="MR4" i="4"/>
  <c r="MN20" i="4"/>
  <c r="MR15" i="4"/>
  <c r="MO10" i="4"/>
  <c r="MN5" i="4"/>
  <c r="MO18" i="4"/>
  <c r="LV6" i="12"/>
  <c r="LW9" i="12"/>
  <c r="LT9" i="12"/>
  <c r="LT8" i="12"/>
  <c r="LT7" i="12"/>
  <c r="LW11" i="12"/>
  <c r="LV11" i="12"/>
  <c r="LU4" i="12"/>
  <c r="LW10" i="12"/>
  <c r="LW8" i="12"/>
  <c r="LV8" i="12"/>
  <c r="LW5" i="12"/>
  <c r="LV4" i="12"/>
  <c r="LT6" i="12"/>
  <c r="LW7" i="12"/>
  <c r="LV10" i="12"/>
  <c r="LU9" i="12"/>
  <c r="LU6" i="12"/>
  <c r="LW6" i="12"/>
  <c r="LT5" i="12"/>
  <c r="LU8" i="12"/>
  <c r="LU7" i="12"/>
  <c r="LU5" i="12"/>
  <c r="LV5" i="12"/>
  <c r="LW4" i="12"/>
  <c r="LT11" i="12"/>
  <c r="LV9" i="12"/>
  <c r="LV7" i="12"/>
  <c r="LU8" i="6"/>
  <c r="LW9" i="6"/>
  <c r="LT11" i="6"/>
  <c r="LT10" i="6"/>
  <c r="LT9" i="6"/>
  <c r="LV14" i="6"/>
  <c r="LU11" i="6"/>
  <c r="LW11" i="6"/>
  <c r="LV11" i="6"/>
  <c r="LT8" i="6"/>
  <c r="LW7" i="6"/>
  <c r="LT15" i="6"/>
  <c r="LW5" i="6"/>
  <c r="LT4" i="6"/>
  <c r="LW15" i="6"/>
  <c r="LT13" i="6"/>
  <c r="LT12" i="6"/>
  <c r="LU9" i="6"/>
  <c r="LW12" i="6"/>
  <c r="LU10" i="6"/>
  <c r="LV12" i="6"/>
  <c r="LW8" i="6"/>
  <c r="LV8" i="6"/>
  <c r="LV7" i="6"/>
  <c r="LV6" i="6"/>
  <c r="LT6" i="6"/>
  <c r="LV4" i="6"/>
  <c r="LV15" i="6"/>
  <c r="LW6" i="6"/>
  <c r="LV5" i="6"/>
  <c r="LW4" i="6"/>
  <c r="LW14" i="6"/>
  <c r="LW13" i="6"/>
  <c r="LW10" i="6"/>
  <c r="LV9" i="6"/>
  <c r="LG4" i="8"/>
  <c r="LH6" i="8"/>
  <c r="LF4" i="8"/>
  <c r="LG6" i="8"/>
  <c r="LG5" i="8"/>
  <c r="LF6" i="8"/>
  <c r="LH5" i="8"/>
  <c r="LH4" i="8"/>
  <c r="LH8" i="7"/>
  <c r="LG8" i="7"/>
  <c r="LG7" i="7"/>
  <c r="LG6" i="7"/>
  <c r="LG5" i="7"/>
  <c r="LF6" i="7"/>
  <c r="LH6" i="7"/>
  <c r="LF8" i="7"/>
  <c r="LH7" i="7"/>
  <c r="LH5" i="7"/>
  <c r="LG4" i="7"/>
  <c r="LH4" i="7"/>
  <c r="MR6" i="10"/>
  <c r="MO5" i="10"/>
  <c r="MO8" i="10"/>
  <c r="MO7" i="10"/>
  <c r="MN4" i="10"/>
  <c r="MR14" i="10"/>
  <c r="MR15" i="10"/>
  <c r="MR9" i="10"/>
  <c r="MR12" i="10"/>
  <c r="MR7" i="10"/>
  <c r="MO11" i="10"/>
  <c r="MO15" i="10"/>
  <c r="MP15" i="10" s="1"/>
  <c r="MO14" i="10"/>
  <c r="MO12" i="10"/>
  <c r="MR4" i="10"/>
  <c r="MO9" i="10"/>
  <c r="MO4" i="10"/>
  <c r="MR13" i="10"/>
  <c r="MR11" i="10"/>
  <c r="MR10" i="10"/>
  <c r="MR8" i="10"/>
  <c r="MR5" i="10"/>
  <c r="MO10" i="9"/>
  <c r="MO5" i="9"/>
  <c r="MR14" i="9"/>
  <c r="MO13" i="9"/>
  <c r="MO12" i="9"/>
  <c r="MN10" i="9"/>
  <c r="MN8" i="9"/>
  <c r="MN7" i="9"/>
  <c r="MN12" i="9"/>
  <c r="MN13" i="9"/>
  <c r="MO4" i="9"/>
  <c r="MO8" i="9"/>
  <c r="MO9" i="9"/>
  <c r="MR4" i="9"/>
  <c r="MO14" i="9"/>
  <c r="MN14" i="9"/>
  <c r="MO6" i="9"/>
  <c r="MR9" i="9"/>
  <c r="MR7" i="9"/>
  <c r="MN11" i="9"/>
  <c r="MN9" i="9"/>
  <c r="MN6" i="9"/>
  <c r="MO7" i="9"/>
  <c r="MR12" i="9"/>
  <c r="MO11" i="9"/>
  <c r="MR6" i="9"/>
  <c r="MN4" i="9"/>
  <c r="MR13" i="9"/>
  <c r="MR11" i="9"/>
  <c r="MR10" i="9"/>
  <c r="MR5" i="9"/>
  <c r="MR4" i="2"/>
  <c r="MR13" i="2"/>
  <c r="MN12" i="2"/>
  <c r="MN10" i="2"/>
  <c r="MN13" i="2"/>
  <c r="MO5" i="2"/>
  <c r="MO8" i="2"/>
  <c r="MO4" i="2"/>
  <c r="MR7" i="2"/>
  <c r="MO7" i="2"/>
  <c r="MR6" i="2"/>
  <c r="MO10" i="2"/>
  <c r="MO13" i="2"/>
  <c r="MO12" i="2"/>
  <c r="MO11" i="2"/>
  <c r="MN11" i="2"/>
  <c r="MO6" i="2"/>
  <c r="MN6" i="2"/>
  <c r="MR12" i="2"/>
  <c r="MN4" i="2"/>
  <c r="MO9" i="2"/>
  <c r="MN9" i="2"/>
  <c r="MN8" i="2"/>
  <c r="MR5" i="2"/>
  <c r="MO7" i="4"/>
  <c r="MR5" i="4"/>
  <c r="MN13" i="4"/>
  <c r="MR7" i="4"/>
  <c r="MO15" i="4"/>
  <c r="MO17" i="4"/>
  <c r="MO13" i="4"/>
  <c r="MR9" i="4"/>
  <c r="MO5" i="4"/>
  <c r="MO20" i="4"/>
  <c r="MR17" i="4"/>
  <c r="MO11" i="4"/>
  <c r="MN10" i="4"/>
  <c r="MN4" i="4"/>
  <c r="MR16" i="4"/>
  <c r="MO19" i="4"/>
  <c r="MR14" i="4"/>
  <c r="MN12" i="4"/>
  <c r="MR10" i="4"/>
  <c r="MO9" i="4"/>
  <c r="MN9" i="4"/>
  <c r="MN8" i="4"/>
  <c r="MR6" i="4"/>
  <c r="MO6" i="4"/>
  <c r="MR11" i="4"/>
  <c r="MR8" i="4"/>
  <c r="MN15" i="4"/>
  <c r="MN7" i="4"/>
  <c r="MN19" i="4"/>
  <c r="MO16" i="4"/>
  <c r="MR12" i="4"/>
  <c r="MR18" i="4"/>
  <c r="MN14" i="4"/>
  <c r="MN6" i="4"/>
  <c r="MO12" i="4"/>
  <c r="MO4" i="4"/>
  <c r="MN16" i="4"/>
  <c r="MO14" i="4"/>
  <c r="MN11" i="4"/>
  <c r="MR19" i="4"/>
  <c r="MN18" i="4"/>
  <c r="MN17" i="4"/>
  <c r="L6" i="10"/>
  <c r="N6" i="10"/>
  <c r="BQ6" i="10"/>
  <c r="K6" i="10"/>
  <c r="LU10" i="12"/>
  <c r="LT4" i="12"/>
  <c r="LU12" i="6"/>
  <c r="LU14" i="6"/>
  <c r="LU15" i="6"/>
  <c r="LV10" i="6"/>
  <c r="LU7" i="6"/>
  <c r="LV13" i="6"/>
  <c r="LU13" i="6"/>
  <c r="LU5" i="6"/>
  <c r="LU4" i="6"/>
  <c r="MM20" i="4"/>
  <c r="MM16" i="4"/>
  <c r="MM8" i="4"/>
  <c r="O15" i="4" l="1"/>
  <c r="R13" i="2"/>
  <c r="E13" i="2" s="1"/>
  <c r="MP8" i="2"/>
  <c r="MS8" i="2" s="1"/>
  <c r="MP12" i="10"/>
  <c r="MS12" i="10" s="1"/>
  <c r="MP8" i="4"/>
  <c r="MS8" i="4" s="1"/>
  <c r="MP13" i="10"/>
  <c r="MS13" i="10" s="1"/>
  <c r="LI8" i="7"/>
  <c r="MP14" i="9"/>
  <c r="MS14" i="9" s="1"/>
  <c r="LX8" i="6"/>
  <c r="MP7" i="9"/>
  <c r="MS7" i="9" s="1"/>
  <c r="MP5" i="9"/>
  <c r="MS5" i="9" s="1"/>
  <c r="MP9" i="9"/>
  <c r="MS9" i="9" s="1"/>
  <c r="MP5" i="2"/>
  <c r="MS5" i="2" s="1"/>
  <c r="LX14" i="6"/>
  <c r="MP13" i="2"/>
  <c r="MS13" i="2" s="1"/>
  <c r="T10" i="2"/>
  <c r="S10" i="2"/>
  <c r="R15" i="4"/>
  <c r="MP18" i="4"/>
  <c r="MS18" i="4" s="1"/>
  <c r="MP10" i="4"/>
  <c r="MS10" i="4" s="1"/>
  <c r="MP4" i="4"/>
  <c r="MS4" i="4" s="1"/>
  <c r="MP9" i="4"/>
  <c r="MS9" i="4" s="1"/>
  <c r="LX8" i="12"/>
  <c r="LX5" i="6"/>
  <c r="MP10" i="2"/>
  <c r="MS10" i="2" s="1"/>
  <c r="MP6" i="2"/>
  <c r="MS6" i="2" s="1"/>
  <c r="MP7" i="2"/>
  <c r="MS7" i="2" s="1"/>
  <c r="MP16" i="4"/>
  <c r="MS16" i="4" s="1"/>
  <c r="LX4" i="12"/>
  <c r="LX7" i="12"/>
  <c r="LX9" i="12"/>
  <c r="LX5" i="12"/>
  <c r="LX6" i="12"/>
  <c r="LX7" i="6"/>
  <c r="LX12" i="6"/>
  <c r="LI5" i="7"/>
  <c r="LI6" i="7"/>
  <c r="LI7" i="7"/>
  <c r="MP9" i="10"/>
  <c r="MS9" i="10" s="1"/>
  <c r="MP10" i="10"/>
  <c r="MS10" i="10" s="1"/>
  <c r="MP5" i="10"/>
  <c r="MS5" i="10" s="1"/>
  <c r="MP7" i="10"/>
  <c r="MS7" i="10" s="1"/>
  <c r="MP10" i="9"/>
  <c r="MS10" i="9" s="1"/>
  <c r="MP9" i="2"/>
  <c r="MS9" i="2" s="1"/>
  <c r="MP20" i="4"/>
  <c r="MS20" i="4" s="1"/>
  <c r="MP5" i="4"/>
  <c r="MS5" i="4" s="1"/>
  <c r="MP19" i="4"/>
  <c r="MS19" i="4" s="1"/>
  <c r="MP12" i="4"/>
  <c r="MS12" i="4" s="1"/>
  <c r="MP7" i="4"/>
  <c r="MS7" i="4" s="1"/>
  <c r="LX10" i="12"/>
  <c r="LX11" i="12"/>
  <c r="LX11" i="6"/>
  <c r="LX9" i="6"/>
  <c r="LI5" i="8"/>
  <c r="LI6" i="8"/>
  <c r="LI4" i="8"/>
  <c r="MS15" i="10"/>
  <c r="MP4" i="10"/>
  <c r="MS4" i="10" s="1"/>
  <c r="MP6" i="10"/>
  <c r="MS6" i="10" s="1"/>
  <c r="MP4" i="9"/>
  <c r="MS4" i="9" s="1"/>
  <c r="MP12" i="9"/>
  <c r="MS12" i="9" s="1"/>
  <c r="MP11" i="9"/>
  <c r="MS11" i="9" s="1"/>
  <c r="MP13" i="9"/>
  <c r="MS13" i="9" s="1"/>
  <c r="MP11" i="2"/>
  <c r="MS11" i="2" s="1"/>
  <c r="MP12" i="2"/>
  <c r="MS12" i="2" s="1"/>
  <c r="MP13" i="4"/>
  <c r="MS13" i="4" s="1"/>
  <c r="LX15" i="6"/>
  <c r="LX4" i="6"/>
  <c r="LX6" i="6"/>
  <c r="LX13" i="6"/>
  <c r="LX10" i="6"/>
  <c r="LI4" i="7"/>
  <c r="MP11" i="10"/>
  <c r="MS11" i="10" s="1"/>
  <c r="MP8" i="10"/>
  <c r="MS8" i="10" s="1"/>
  <c r="MP14" i="10"/>
  <c r="MS14" i="10" s="1"/>
  <c r="MP8" i="9"/>
  <c r="MS8" i="9" s="1"/>
  <c r="MP6" i="9"/>
  <c r="MS6" i="9" s="1"/>
  <c r="MP4" i="2"/>
  <c r="MS4" i="2" s="1"/>
  <c r="MP17" i="4"/>
  <c r="MS17" i="4" s="1"/>
  <c r="MP11" i="4"/>
  <c r="MS11" i="4" s="1"/>
  <c r="MP15" i="4"/>
  <c r="MS15" i="4" s="1"/>
  <c r="MP6" i="4"/>
  <c r="MS6" i="4" s="1"/>
  <c r="MP14" i="4"/>
  <c r="MS14" i="4" s="1"/>
  <c r="O6" i="10"/>
  <c r="BP6" i="10"/>
  <c r="M6" i="10"/>
  <c r="BO6" i="10"/>
  <c r="KY13" i="6"/>
  <c r="KX13" i="6"/>
  <c r="KY7" i="6"/>
  <c r="KX7" i="6"/>
  <c r="KY8" i="6"/>
  <c r="KX8" i="6"/>
  <c r="KY10" i="6"/>
  <c r="KX10" i="6"/>
  <c r="KY6" i="6"/>
  <c r="KX6" i="6"/>
  <c r="KY15" i="6"/>
  <c r="KX15" i="6"/>
  <c r="KY9" i="6"/>
  <c r="KX9" i="6"/>
  <c r="KY14" i="6"/>
  <c r="KX14" i="6"/>
  <c r="KY11" i="6"/>
  <c r="KX11" i="6"/>
  <c r="KY5" i="6"/>
  <c r="KX5" i="6"/>
  <c r="KY12" i="6"/>
  <c r="KX12" i="6"/>
  <c r="KY4" i="6"/>
  <c r="KX4" i="6"/>
  <c r="E15" i="4" l="1"/>
  <c r="T13" i="2"/>
  <c r="S13" i="2"/>
  <c r="S15" i="4"/>
  <c r="T15" i="4"/>
  <c r="R6" i="10"/>
  <c r="E6" i="10" s="1"/>
  <c r="KY11" i="12"/>
  <c r="KX11" i="12"/>
  <c r="KY7" i="12"/>
  <c r="KX7" i="12"/>
  <c r="KY8" i="12"/>
  <c r="KX8" i="12"/>
  <c r="KY5" i="12"/>
  <c r="KX5" i="12"/>
  <c r="KY9" i="12"/>
  <c r="KX9" i="12"/>
  <c r="KY4" i="12"/>
  <c r="KX4" i="12"/>
  <c r="KY6" i="12"/>
  <c r="KX6" i="12"/>
  <c r="BE11" i="12"/>
  <c r="BD11" i="12"/>
  <c r="BE7" i="12"/>
  <c r="BD7" i="12"/>
  <c r="BE8" i="12"/>
  <c r="BD8" i="12"/>
  <c r="BE5" i="12"/>
  <c r="BD5" i="12"/>
  <c r="BE9" i="12"/>
  <c r="BD9" i="12"/>
  <c r="BE4" i="12"/>
  <c r="BD4" i="12"/>
  <c r="BE6" i="12"/>
  <c r="BD6" i="12"/>
  <c r="BE13" i="6"/>
  <c r="BD13" i="6"/>
  <c r="BE7" i="6"/>
  <c r="BD7" i="6"/>
  <c r="BE8" i="6"/>
  <c r="BD8" i="6"/>
  <c r="BE10" i="6"/>
  <c r="BD10" i="6"/>
  <c r="BE6" i="6"/>
  <c r="BD6" i="6"/>
  <c r="BE15" i="6"/>
  <c r="BD15" i="6"/>
  <c r="BE9" i="6"/>
  <c r="BD9" i="6"/>
  <c r="BE14" i="6"/>
  <c r="BD14" i="6"/>
  <c r="BE11" i="6"/>
  <c r="BD11" i="6"/>
  <c r="BE5" i="6"/>
  <c r="BD5" i="6"/>
  <c r="BE12" i="6"/>
  <c r="BD12" i="6"/>
  <c r="BE4" i="6"/>
  <c r="BD4" i="6"/>
  <c r="S6" i="10" l="1"/>
  <c r="T6" i="10"/>
  <c r="KM4" i="8"/>
  <c r="KL4" i="8"/>
  <c r="KL6" i="8"/>
  <c r="KL5" i="8"/>
  <c r="BD4" i="8"/>
  <c r="BD6" i="8"/>
  <c r="BD5" i="8"/>
  <c r="KL9" i="7"/>
  <c r="KL8" i="7"/>
  <c r="KL7" i="7"/>
  <c r="KL6" i="7"/>
  <c r="KL4" i="7"/>
  <c r="BD6" i="7"/>
  <c r="BD7" i="7"/>
  <c r="BD8" i="7"/>
  <c r="BD9" i="7"/>
  <c r="BD4" i="7"/>
  <c r="LA11" i="12"/>
  <c r="KZ11" i="12"/>
  <c r="BG11" i="12"/>
  <c r="BF11" i="12"/>
  <c r="LA7" i="12"/>
  <c r="KZ7" i="12"/>
  <c r="BG7" i="12"/>
  <c r="BF7" i="12"/>
  <c r="LA5" i="12"/>
  <c r="KZ5" i="12"/>
  <c r="BG5" i="12"/>
  <c r="BF5" i="12"/>
  <c r="LA4" i="12"/>
  <c r="KZ4" i="12"/>
  <c r="BG4" i="12"/>
  <c r="BF4" i="12"/>
  <c r="LA9" i="12"/>
  <c r="KZ9" i="12"/>
  <c r="BG9" i="12"/>
  <c r="BF9" i="12"/>
  <c r="LA8" i="12"/>
  <c r="KZ8" i="12"/>
  <c r="BG8" i="12"/>
  <c r="BF8" i="12"/>
  <c r="LA6" i="12"/>
  <c r="KZ6" i="12"/>
  <c r="BG6" i="12"/>
  <c r="BF6" i="12"/>
  <c r="BH6" i="12" l="1"/>
  <c r="J6" i="12" s="1"/>
  <c r="G11" i="12"/>
  <c r="H8" i="7"/>
  <c r="H7" i="7"/>
  <c r="G5" i="12"/>
  <c r="H5" i="8"/>
  <c r="H4" i="7"/>
  <c r="H6" i="7"/>
  <c r="H9" i="7"/>
  <c r="F6" i="12"/>
  <c r="G6" i="12"/>
  <c r="H8" i="12"/>
  <c r="H6" i="12"/>
  <c r="G8" i="12"/>
  <c r="F11" i="12"/>
  <c r="F8" i="12"/>
  <c r="H4" i="12"/>
  <c r="G4" i="12"/>
  <c r="H11" i="12"/>
  <c r="F4" i="12"/>
  <c r="H9" i="12"/>
  <c r="G9" i="12"/>
  <c r="H5" i="12"/>
  <c r="F9" i="12"/>
  <c r="F5" i="12"/>
  <c r="H4" i="8"/>
  <c r="H6" i="8"/>
  <c r="H7" i="12"/>
  <c r="LB5" i="12"/>
  <c r="LB4" i="12"/>
  <c r="LB11" i="12"/>
  <c r="LB9" i="12"/>
  <c r="BH5" i="12"/>
  <c r="BH11" i="12"/>
  <c r="BH9" i="12"/>
  <c r="LB8" i="12"/>
  <c r="BH8" i="12"/>
  <c r="J8" i="12" s="1"/>
  <c r="LB6" i="12"/>
  <c r="BH4" i="12"/>
  <c r="LB7" i="12"/>
  <c r="BH7" i="12"/>
  <c r="A11" i="12" l="1"/>
  <c r="J5" i="12"/>
  <c r="L5" i="12" s="1"/>
  <c r="G7" i="12"/>
  <c r="F7" i="12"/>
  <c r="I6" i="12"/>
  <c r="I11" i="12"/>
  <c r="J4" i="12"/>
  <c r="BI4" i="12" s="1"/>
  <c r="I5" i="12"/>
  <c r="I8" i="12"/>
  <c r="I4" i="12"/>
  <c r="L6" i="12"/>
  <c r="M6" i="12" s="1"/>
  <c r="K6" i="12"/>
  <c r="I9" i="12"/>
  <c r="J11" i="12"/>
  <c r="K11" i="12" s="1"/>
  <c r="J9" i="12"/>
  <c r="BI9" i="12" s="1"/>
  <c r="J7" i="12"/>
  <c r="K7" i="12" s="1"/>
  <c r="BI6" i="12"/>
  <c r="K8" i="12"/>
  <c r="BI8" i="12"/>
  <c r="L8" i="12"/>
  <c r="M8" i="12" s="1"/>
  <c r="K5" i="12" l="1"/>
  <c r="BI5" i="12"/>
  <c r="I7" i="12"/>
  <c r="L11" i="12"/>
  <c r="M11" i="12" s="1"/>
  <c r="BJ6" i="12"/>
  <c r="N6" i="12" s="1"/>
  <c r="E6" i="12" s="1"/>
  <c r="BI11" i="12"/>
  <c r="K4" i="12"/>
  <c r="L4" i="12"/>
  <c r="M4" i="12" s="1"/>
  <c r="BJ5" i="12"/>
  <c r="M5" i="12"/>
  <c r="L7" i="12"/>
  <c r="M7" i="12" s="1"/>
  <c r="K9" i="12"/>
  <c r="L9" i="12"/>
  <c r="BI7" i="12"/>
  <c r="BJ8" i="12"/>
  <c r="N8" i="12" s="1"/>
  <c r="N5" i="12" l="1"/>
  <c r="O5" i="12" s="1"/>
  <c r="BJ11" i="12"/>
  <c r="N11" i="12" s="1"/>
  <c r="P11" i="12" s="1"/>
  <c r="BJ7" i="12"/>
  <c r="N7" i="12" s="1"/>
  <c r="E7" i="12" s="1"/>
  <c r="BJ4" i="12"/>
  <c r="N4" i="12" s="1"/>
  <c r="P4" i="12" s="1"/>
  <c r="BJ9" i="12"/>
  <c r="N9" i="12" s="1"/>
  <c r="O9" i="12" s="1"/>
  <c r="M9" i="12"/>
  <c r="O6" i="12"/>
  <c r="P6" i="12"/>
  <c r="E8" i="12"/>
  <c r="P8" i="12"/>
  <c r="O8" i="12"/>
  <c r="P5" i="12" l="1"/>
  <c r="E5" i="12"/>
  <c r="E11" i="12"/>
  <c r="O11" i="12"/>
  <c r="E9" i="12"/>
  <c r="E4" i="12"/>
  <c r="P9" i="12"/>
  <c r="O4" i="12"/>
  <c r="O7" i="12"/>
  <c r="P7" i="12"/>
  <c r="A4" i="12" l="1"/>
  <c r="A6" i="12"/>
  <c r="A5" i="12"/>
  <c r="A8" i="12"/>
  <c r="A7" i="12"/>
  <c r="A9" i="12"/>
  <c r="BF11" i="6"/>
  <c r="BG11" i="6"/>
  <c r="BF14" i="6"/>
  <c r="BG14" i="6"/>
  <c r="BF12" i="6"/>
  <c r="BG12" i="6"/>
  <c r="BF4" i="6"/>
  <c r="BG4" i="6"/>
  <c r="BF15" i="6"/>
  <c r="BG15" i="6"/>
  <c r="BF10" i="6"/>
  <c r="BG10" i="6"/>
  <c r="BF6" i="6"/>
  <c r="BG6" i="6"/>
  <c r="BF9" i="6"/>
  <c r="BG9" i="6"/>
  <c r="BF7" i="6"/>
  <c r="BG7" i="6"/>
  <c r="BF8" i="6"/>
  <c r="BG8" i="6"/>
  <c r="BF13" i="6"/>
  <c r="BG13" i="6"/>
  <c r="BG5" i="6"/>
  <c r="BF5" i="6"/>
  <c r="LA13" i="6"/>
  <c r="KZ13" i="6"/>
  <c r="LA8" i="6"/>
  <c r="KZ8" i="6"/>
  <c r="LA7" i="6"/>
  <c r="KZ7" i="6"/>
  <c r="LA9" i="6"/>
  <c r="KZ9" i="6"/>
  <c r="LA6" i="6"/>
  <c r="KZ6" i="6"/>
  <c r="LA10" i="6"/>
  <c r="KZ10" i="6"/>
  <c r="LA15" i="6"/>
  <c r="KZ15" i="6"/>
  <c r="LA4" i="6"/>
  <c r="KZ4" i="6"/>
  <c r="LA12" i="6"/>
  <c r="KZ12" i="6"/>
  <c r="LA14" i="6"/>
  <c r="KZ14" i="6"/>
  <c r="LA11" i="6"/>
  <c r="KZ11" i="6"/>
  <c r="LA5" i="6"/>
  <c r="KZ5" i="6"/>
  <c r="D51" i="11" l="1"/>
  <c r="C51" i="11"/>
  <c r="C52" i="11"/>
  <c r="D56" i="11"/>
  <c r="D57" i="11"/>
  <c r="D50" i="11"/>
  <c r="D52" i="11"/>
  <c r="D53" i="11"/>
  <c r="C53" i="11"/>
  <c r="C54" i="11"/>
  <c r="C55" i="11"/>
  <c r="C56" i="11"/>
  <c r="C57" i="11"/>
  <c r="C50" i="11"/>
  <c r="D54" i="11"/>
  <c r="D55" i="11"/>
  <c r="LB15" i="6"/>
  <c r="BH4" i="6"/>
  <c r="BH14" i="6"/>
  <c r="LB5" i="6"/>
  <c r="LB9" i="6"/>
  <c r="LB12" i="6"/>
  <c r="BH5" i="6"/>
  <c r="BH8" i="6"/>
  <c r="BH9" i="6"/>
  <c r="BH10" i="6"/>
  <c r="LB13" i="6"/>
  <c r="LB10" i="6"/>
  <c r="BH15" i="6"/>
  <c r="BH6" i="6"/>
  <c r="BH7" i="6"/>
  <c r="BH13" i="6"/>
  <c r="BH11" i="6"/>
  <c r="BH12" i="6"/>
  <c r="LB11" i="6"/>
  <c r="LB7" i="6"/>
  <c r="LB4" i="6"/>
  <c r="LB6" i="6"/>
  <c r="LB14" i="6"/>
  <c r="LB8" i="6"/>
  <c r="G10" i="6"/>
  <c r="F4" i="6" l="1"/>
  <c r="G7" i="6"/>
  <c r="H12" i="6"/>
  <c r="F13" i="6"/>
  <c r="J14" i="6"/>
  <c r="K14" i="6" s="1"/>
  <c r="H15" i="6"/>
  <c r="G8" i="6"/>
  <c r="F10" i="6"/>
  <c r="H10" i="6"/>
  <c r="J13" i="6"/>
  <c r="L13" i="6" s="1"/>
  <c r="M13" i="6" s="1"/>
  <c r="H14" i="6"/>
  <c r="H11" i="6"/>
  <c r="H5" i="6"/>
  <c r="G12" i="6"/>
  <c r="H6" i="6"/>
  <c r="H13" i="6"/>
  <c r="H7" i="6"/>
  <c r="H9" i="6"/>
  <c r="F15" i="6"/>
  <c r="F12" i="6"/>
  <c r="J4" i="6"/>
  <c r="K4" i="6" s="1"/>
  <c r="G11" i="6"/>
  <c r="F8" i="6"/>
  <c r="G6" i="6"/>
  <c r="G4" i="6"/>
  <c r="F7" i="6"/>
  <c r="F11" i="6"/>
  <c r="G14" i="6"/>
  <c r="H8" i="6"/>
  <c r="F6" i="6"/>
  <c r="H4" i="6"/>
  <c r="F14" i="6"/>
  <c r="G5" i="6"/>
  <c r="G9" i="6"/>
  <c r="G15" i="6"/>
  <c r="F5" i="6"/>
  <c r="G13" i="6"/>
  <c r="F9" i="6"/>
  <c r="J11" i="6"/>
  <c r="K11" i="6" s="1"/>
  <c r="J8" i="6"/>
  <c r="K8" i="6" s="1"/>
  <c r="J5" i="6"/>
  <c r="L5" i="6" s="1"/>
  <c r="M5" i="6" s="1"/>
  <c r="J10" i="6"/>
  <c r="L10" i="6" s="1"/>
  <c r="M10" i="6" s="1"/>
  <c r="J12" i="6"/>
  <c r="K12" i="6" s="1"/>
  <c r="J7" i="6"/>
  <c r="L7" i="6" s="1"/>
  <c r="M7" i="6" s="1"/>
  <c r="J9" i="6"/>
  <c r="J15" i="6"/>
  <c r="K15" i="6" s="1"/>
  <c r="J6" i="6"/>
  <c r="K6" i="6" s="1"/>
  <c r="L14" i="6" l="1"/>
  <c r="M14" i="6" s="1"/>
  <c r="A15" i="6"/>
  <c r="K13" i="6"/>
  <c r="L11" i="6"/>
  <c r="M11" i="6" s="1"/>
  <c r="L4" i="6"/>
  <c r="M4" i="6" s="1"/>
  <c r="K5" i="6"/>
  <c r="L15" i="6"/>
  <c r="M15" i="6" s="1"/>
  <c r="L8" i="6"/>
  <c r="M8" i="6" s="1"/>
  <c r="L12" i="6"/>
  <c r="M12" i="6" s="1"/>
  <c r="K10" i="6"/>
  <c r="K7" i="6"/>
  <c r="K9" i="6"/>
  <c r="L9" i="6"/>
  <c r="M9" i="6" s="1"/>
  <c r="L6" i="6"/>
  <c r="M6" i="6" s="1"/>
  <c r="LP9" i="10"/>
  <c r="LP5" i="10"/>
  <c r="LP7" i="10"/>
  <c r="LP16" i="10"/>
  <c r="LP14" i="10"/>
  <c r="LP4" i="10"/>
  <c r="LP17" i="10"/>
  <c r="LP18" i="10"/>
  <c r="LP15" i="10"/>
  <c r="LP11" i="10"/>
  <c r="BH9" i="10"/>
  <c r="BH5" i="10"/>
  <c r="BH7" i="10"/>
  <c r="BH16" i="10"/>
  <c r="BH14" i="10"/>
  <c r="BH4" i="10"/>
  <c r="BH17" i="10"/>
  <c r="BH18" i="10"/>
  <c r="BH15" i="10"/>
  <c r="BH11" i="10"/>
  <c r="BH11" i="9"/>
  <c r="BH17" i="9"/>
  <c r="BH13" i="9"/>
  <c r="BH12" i="9"/>
  <c r="BH10" i="9"/>
  <c r="BH4" i="9"/>
  <c r="BH14" i="9"/>
  <c r="BH15" i="9"/>
  <c r="BH16" i="9"/>
  <c r="BH5" i="9"/>
  <c r="LP5" i="9"/>
  <c r="LP11" i="9"/>
  <c r="LP17" i="9"/>
  <c r="LP13" i="9"/>
  <c r="LP12" i="9"/>
  <c r="LP10" i="9"/>
  <c r="LP4" i="9"/>
  <c r="LP14" i="9"/>
  <c r="LP15" i="9"/>
  <c r="LP16" i="9"/>
  <c r="LP6" i="2"/>
  <c r="LP7" i="2"/>
  <c r="LP5" i="2"/>
  <c r="LP12" i="2"/>
  <c r="LP8" i="2"/>
  <c r="LP11" i="2"/>
  <c r="LP9" i="2"/>
  <c r="LP15" i="2"/>
  <c r="LP14" i="2"/>
  <c r="LP4" i="2"/>
  <c r="BH6" i="2"/>
  <c r="BH7" i="2"/>
  <c r="BH5" i="2"/>
  <c r="BH12" i="2"/>
  <c r="BH8" i="2"/>
  <c r="BH11" i="2"/>
  <c r="BH9" i="2"/>
  <c r="BH15" i="2"/>
  <c r="BH14" i="2"/>
  <c r="BH4" i="2"/>
  <c r="LP4" i="4"/>
  <c r="LP6" i="4"/>
  <c r="LP7" i="4"/>
  <c r="LP11" i="4"/>
  <c r="LP10" i="4"/>
  <c r="LP13" i="4"/>
  <c r="LP17" i="4"/>
  <c r="LP9" i="4"/>
  <c r="LP16" i="4"/>
  <c r="LP8" i="4"/>
  <c r="LP12" i="4"/>
  <c r="LP18" i="4"/>
  <c r="LP19" i="4"/>
  <c r="LP20" i="4"/>
  <c r="LP5" i="4"/>
  <c r="BH4" i="4"/>
  <c r="BH6" i="4"/>
  <c r="BH7" i="4"/>
  <c r="BH11" i="4"/>
  <c r="BH10" i="4"/>
  <c r="BH13" i="4"/>
  <c r="BH17" i="4"/>
  <c r="BH9" i="4"/>
  <c r="BH16" i="4"/>
  <c r="BH8" i="4"/>
  <c r="BH12" i="4"/>
  <c r="BH18" i="4"/>
  <c r="BH19" i="4"/>
  <c r="BH20" i="4"/>
  <c r="BH5" i="4"/>
  <c r="F18" i="10" l="1"/>
  <c r="G18" i="10"/>
  <c r="F17" i="10"/>
  <c r="G17" i="10"/>
  <c r="F4" i="10"/>
  <c r="G4" i="10"/>
  <c r="F14" i="10"/>
  <c r="G14" i="10"/>
  <c r="F15" i="10"/>
  <c r="G15" i="10"/>
  <c r="F9" i="10"/>
  <c r="G9" i="10"/>
  <c r="G16" i="10"/>
  <c r="F16" i="10"/>
  <c r="F5" i="10"/>
  <c r="G5" i="10"/>
  <c r="G11" i="10"/>
  <c r="F11" i="10"/>
  <c r="F7" i="10"/>
  <c r="G7" i="10"/>
  <c r="G4" i="4"/>
  <c r="F4" i="4"/>
  <c r="G5" i="4"/>
  <c r="F5" i="4"/>
  <c r="G6" i="4"/>
  <c r="F6" i="4"/>
  <c r="F20" i="4"/>
  <c r="G20" i="4"/>
  <c r="F8" i="4"/>
  <c r="G8" i="4"/>
  <c r="G7" i="4"/>
  <c r="F7" i="4"/>
  <c r="F9" i="4"/>
  <c r="G9" i="4"/>
  <c r="G17" i="4"/>
  <c r="F17" i="4"/>
  <c r="F19" i="4"/>
  <c r="G19" i="4"/>
  <c r="F18" i="4"/>
  <c r="G18" i="4"/>
  <c r="G13" i="4"/>
  <c r="F13" i="4"/>
  <c r="F12" i="4"/>
  <c r="G12" i="4"/>
  <c r="F10" i="4"/>
  <c r="G10" i="4"/>
  <c r="G11" i="4"/>
  <c r="F11" i="4"/>
  <c r="G16" i="4"/>
  <c r="F16" i="4"/>
  <c r="F5" i="9"/>
  <c r="G5" i="9"/>
  <c r="F13" i="9"/>
  <c r="G13" i="9"/>
  <c r="F4" i="9"/>
  <c r="G4" i="9"/>
  <c r="G17" i="9"/>
  <c r="F17" i="9"/>
  <c r="G10" i="9"/>
  <c r="F10" i="9"/>
  <c r="G16" i="9"/>
  <c r="F16" i="9"/>
  <c r="G15" i="9"/>
  <c r="F15" i="9"/>
  <c r="F11" i="9"/>
  <c r="G11" i="9"/>
  <c r="F12" i="9"/>
  <c r="G12" i="9"/>
  <c r="F14" i="9"/>
  <c r="G14" i="9"/>
  <c r="F9" i="2"/>
  <c r="G9" i="2"/>
  <c r="F8" i="2"/>
  <c r="G8" i="2"/>
  <c r="G4" i="2"/>
  <c r="F4" i="2"/>
  <c r="G6" i="2"/>
  <c r="F6" i="2"/>
  <c r="F11" i="2"/>
  <c r="G11" i="2"/>
  <c r="F12" i="2"/>
  <c r="G12" i="2"/>
  <c r="G5" i="2"/>
  <c r="F5" i="2"/>
  <c r="G7" i="2"/>
  <c r="F7" i="2"/>
  <c r="F14" i="2"/>
  <c r="G14" i="2"/>
  <c r="F15" i="2"/>
  <c r="G15" i="2"/>
  <c r="BJ11" i="6"/>
  <c r="BE4" i="8"/>
  <c r="BC4" i="8"/>
  <c r="BE6" i="8"/>
  <c r="BC6" i="8"/>
  <c r="BE5" i="8"/>
  <c r="BC5" i="8"/>
  <c r="BE9" i="7"/>
  <c r="BC9" i="7"/>
  <c r="BE8" i="7"/>
  <c r="BC8" i="7"/>
  <c r="BE6" i="7"/>
  <c r="BC6" i="7"/>
  <c r="BE7" i="7"/>
  <c r="BC7" i="7"/>
  <c r="BE4" i="7"/>
  <c r="BC4" i="7"/>
  <c r="BM15" i="10"/>
  <c r="BJ15" i="10"/>
  <c r="BI15" i="10"/>
  <c r="BM18" i="10"/>
  <c r="P18" i="10" s="1"/>
  <c r="BJ18" i="10"/>
  <c r="BI18" i="10"/>
  <c r="BM17" i="10"/>
  <c r="P17" i="10" s="1"/>
  <c r="BJ17" i="10"/>
  <c r="BI17" i="10"/>
  <c r="BM4" i="10"/>
  <c r="BJ4" i="10"/>
  <c r="BI4" i="10"/>
  <c r="BM14" i="10"/>
  <c r="BJ14" i="10"/>
  <c r="BI14" i="10"/>
  <c r="BM16" i="10"/>
  <c r="BJ16" i="10"/>
  <c r="BI16" i="10"/>
  <c r="BM7" i="10"/>
  <c r="P7" i="10" s="1"/>
  <c r="BJ7" i="10"/>
  <c r="BI7" i="10"/>
  <c r="BM5" i="10"/>
  <c r="P5" i="10" s="1"/>
  <c r="BJ5" i="10"/>
  <c r="BI5" i="10"/>
  <c r="BM9" i="10"/>
  <c r="P9" i="10" s="1"/>
  <c r="BJ9" i="10"/>
  <c r="BI9" i="10"/>
  <c r="BM11" i="10"/>
  <c r="BJ11" i="10"/>
  <c r="BI11" i="10"/>
  <c r="BM16" i="9"/>
  <c r="BJ16" i="9"/>
  <c r="BI16" i="9"/>
  <c r="BM15" i="9"/>
  <c r="P15" i="9" s="1"/>
  <c r="BJ15" i="9"/>
  <c r="BI15" i="9"/>
  <c r="BM14" i="9"/>
  <c r="BJ14" i="9"/>
  <c r="BI14" i="9"/>
  <c r="BM4" i="9"/>
  <c r="P4" i="9" s="1"/>
  <c r="BJ4" i="9"/>
  <c r="BI4" i="9"/>
  <c r="BM10" i="9"/>
  <c r="P10" i="9" s="1"/>
  <c r="BJ10" i="9"/>
  <c r="BI10" i="9"/>
  <c r="BM12" i="9"/>
  <c r="P12" i="9" s="1"/>
  <c r="BJ12" i="9"/>
  <c r="BI12" i="9"/>
  <c r="BM13" i="9"/>
  <c r="P13" i="9" s="1"/>
  <c r="BJ13" i="9"/>
  <c r="BI13" i="9"/>
  <c r="BM17" i="9"/>
  <c r="BJ17" i="9"/>
  <c r="BI17" i="9"/>
  <c r="BM11" i="9"/>
  <c r="P11" i="9" s="1"/>
  <c r="BJ11" i="9"/>
  <c r="BI11" i="9"/>
  <c r="BM5" i="9"/>
  <c r="P5" i="9" s="1"/>
  <c r="BJ5" i="9"/>
  <c r="BI5" i="9"/>
  <c r="BM14" i="2"/>
  <c r="BJ14" i="2"/>
  <c r="BI14" i="2"/>
  <c r="BM15" i="2"/>
  <c r="P15" i="2" s="1"/>
  <c r="BJ15" i="2"/>
  <c r="BI15" i="2"/>
  <c r="BM11" i="2"/>
  <c r="BJ11" i="2"/>
  <c r="BI11" i="2"/>
  <c r="BM9" i="2"/>
  <c r="BJ9" i="2"/>
  <c r="BI9" i="2"/>
  <c r="BM12" i="2"/>
  <c r="P12" i="2" s="1"/>
  <c r="BJ12" i="2"/>
  <c r="BI12" i="2"/>
  <c r="BM8" i="2"/>
  <c r="BJ8" i="2"/>
  <c r="BI8" i="2"/>
  <c r="BM7" i="2"/>
  <c r="BJ7" i="2"/>
  <c r="BI7" i="2"/>
  <c r="BM6" i="2"/>
  <c r="BJ6" i="2"/>
  <c r="BI6" i="2"/>
  <c r="BM5" i="2"/>
  <c r="BJ5" i="2"/>
  <c r="BI5" i="2"/>
  <c r="BM4" i="2"/>
  <c r="P4" i="2" s="1"/>
  <c r="BJ4" i="2"/>
  <c r="BI4" i="2"/>
  <c r="BM12" i="4"/>
  <c r="P12" i="4" s="1"/>
  <c r="BJ12" i="4"/>
  <c r="BI12" i="4"/>
  <c r="BM16" i="4"/>
  <c r="BJ16" i="4"/>
  <c r="BI16" i="4"/>
  <c r="BM19" i="4"/>
  <c r="BJ19" i="4"/>
  <c r="BI19" i="4"/>
  <c r="BM18" i="4"/>
  <c r="BJ18" i="4"/>
  <c r="BI18" i="4"/>
  <c r="BM20" i="4"/>
  <c r="BJ20" i="4"/>
  <c r="BI20" i="4"/>
  <c r="BM8" i="4"/>
  <c r="P8" i="4" s="1"/>
  <c r="BJ8" i="4"/>
  <c r="BI8" i="4"/>
  <c r="BM9" i="4"/>
  <c r="BJ9" i="4"/>
  <c r="BI9" i="4"/>
  <c r="BM17" i="4"/>
  <c r="BJ17" i="4"/>
  <c r="BI17" i="4"/>
  <c r="BM10" i="4"/>
  <c r="BJ10" i="4"/>
  <c r="BI10" i="4"/>
  <c r="BM11" i="4"/>
  <c r="BJ11" i="4"/>
  <c r="BI11" i="4"/>
  <c r="BM13" i="4"/>
  <c r="P13" i="4" s="1"/>
  <c r="BJ13" i="4"/>
  <c r="BI13" i="4"/>
  <c r="BM7" i="4"/>
  <c r="BJ7" i="4"/>
  <c r="BI7" i="4"/>
  <c r="BM6" i="4"/>
  <c r="BJ6" i="4"/>
  <c r="BI6" i="4"/>
  <c r="BJ4" i="4"/>
  <c r="BI4" i="4"/>
  <c r="BM4" i="4"/>
  <c r="P4" i="4" s="1"/>
  <c r="BM5" i="4"/>
  <c r="BJ5" i="4"/>
  <c r="BI5" i="4"/>
  <c r="BK5" i="4" l="1"/>
  <c r="BN5" i="4" s="1"/>
  <c r="BK8" i="2"/>
  <c r="J8" i="2" s="1"/>
  <c r="N8" i="2" s="1"/>
  <c r="BK16" i="4"/>
  <c r="BN16" i="4" s="1"/>
  <c r="BK17" i="4"/>
  <c r="BN17" i="4" s="1"/>
  <c r="P16" i="9"/>
  <c r="Q16" i="9" s="1"/>
  <c r="BK11" i="4"/>
  <c r="BN11" i="4" s="1"/>
  <c r="J5" i="4"/>
  <c r="BK6" i="2"/>
  <c r="P7" i="4"/>
  <c r="Q7" i="4" s="1"/>
  <c r="P9" i="4"/>
  <c r="Q9" i="4" s="1"/>
  <c r="P11" i="4"/>
  <c r="Q11" i="4" s="1"/>
  <c r="P18" i="4"/>
  <c r="Q18" i="4" s="1"/>
  <c r="P17" i="9"/>
  <c r="Q17" i="9" s="1"/>
  <c r="P6" i="2"/>
  <c r="Q6" i="2" s="1"/>
  <c r="BK13" i="4"/>
  <c r="BN13" i="4" s="1"/>
  <c r="P15" i="10"/>
  <c r="Q15" i="10" s="1"/>
  <c r="P16" i="10"/>
  <c r="Q16" i="10" s="1"/>
  <c r="P14" i="10"/>
  <c r="Q14" i="10" s="1"/>
  <c r="P11" i="10"/>
  <c r="Q11" i="10" s="1"/>
  <c r="P4" i="10"/>
  <c r="Q4" i="10" s="1"/>
  <c r="P14" i="9"/>
  <c r="Q14" i="9" s="1"/>
  <c r="BK4" i="2"/>
  <c r="BK15" i="2"/>
  <c r="P14" i="2"/>
  <c r="Q14" i="2" s="1"/>
  <c r="P9" i="2"/>
  <c r="Q9" i="2" s="1"/>
  <c r="P8" i="2"/>
  <c r="Q8" i="2" s="1"/>
  <c r="P7" i="2"/>
  <c r="Q7" i="2" s="1"/>
  <c r="P11" i="2"/>
  <c r="Q11" i="2" s="1"/>
  <c r="P5" i="2"/>
  <c r="Q5" i="2" s="1"/>
  <c r="BK9" i="2"/>
  <c r="BK8" i="4"/>
  <c r="BN8" i="4" s="1"/>
  <c r="BK18" i="4"/>
  <c r="BN18" i="4" s="1"/>
  <c r="L4" i="8"/>
  <c r="M4" i="8" s="1"/>
  <c r="L6" i="8"/>
  <c r="M6" i="8" s="1"/>
  <c r="L7" i="7"/>
  <c r="M7" i="7" s="1"/>
  <c r="L8" i="7"/>
  <c r="M8" i="7" s="1"/>
  <c r="L4" i="7"/>
  <c r="M4" i="7" s="1"/>
  <c r="BF8" i="7"/>
  <c r="P6" i="4"/>
  <c r="Q6" i="4" s="1"/>
  <c r="P20" i="4"/>
  <c r="Q20" i="4" s="1"/>
  <c r="P10" i="4"/>
  <c r="Q10" i="4" s="1"/>
  <c r="P16" i="4"/>
  <c r="Q16" i="4" s="1"/>
  <c r="P19" i="4"/>
  <c r="Q19" i="4" s="1"/>
  <c r="P5" i="4"/>
  <c r="Q5" i="4" s="1"/>
  <c r="BK6" i="4"/>
  <c r="BN6" i="4" s="1"/>
  <c r="BK4" i="4"/>
  <c r="BN4" i="4" s="1"/>
  <c r="L9" i="7"/>
  <c r="M9" i="7" s="1"/>
  <c r="L6" i="7"/>
  <c r="M6" i="7" s="1"/>
  <c r="J8" i="7"/>
  <c r="BG8" i="7" s="1"/>
  <c r="BF9" i="7"/>
  <c r="BK14" i="10"/>
  <c r="BK15" i="10"/>
  <c r="BK10" i="9"/>
  <c r="BK16" i="9"/>
  <c r="BK20" i="4"/>
  <c r="BN20" i="4" s="1"/>
  <c r="BK12" i="4"/>
  <c r="BN12" i="4" s="1"/>
  <c r="L5" i="8"/>
  <c r="M5" i="8" s="1"/>
  <c r="BF6" i="8"/>
  <c r="BF4" i="8"/>
  <c r="BF4" i="7"/>
  <c r="Q18" i="10"/>
  <c r="Q7" i="10"/>
  <c r="Q5" i="10"/>
  <c r="Q9" i="10"/>
  <c r="Q17" i="10"/>
  <c r="BK11" i="10"/>
  <c r="BK5" i="10"/>
  <c r="BK7" i="10"/>
  <c r="BK16" i="10"/>
  <c r="BK4" i="10"/>
  <c r="BK18" i="10"/>
  <c r="BK5" i="9"/>
  <c r="BK17" i="9"/>
  <c r="BK13" i="9"/>
  <c r="BK4" i="9"/>
  <c r="BK15" i="9"/>
  <c r="Q13" i="9"/>
  <c r="Q15" i="9"/>
  <c r="Q11" i="9"/>
  <c r="Q4" i="9"/>
  <c r="Q12" i="9"/>
  <c r="Q10" i="9"/>
  <c r="Q5" i="9"/>
  <c r="BK7" i="2"/>
  <c r="BK11" i="2"/>
  <c r="Q12" i="2"/>
  <c r="Q4" i="2"/>
  <c r="P17" i="4"/>
  <c r="Q17" i="4" s="1"/>
  <c r="Q8" i="4"/>
  <c r="Q13" i="4"/>
  <c r="Q4" i="4"/>
  <c r="Q12" i="4"/>
  <c r="Q15" i="2"/>
  <c r="BF5" i="8"/>
  <c r="BF7" i="7"/>
  <c r="BK9" i="10"/>
  <c r="BK17" i="10"/>
  <c r="BK14" i="9"/>
  <c r="BK12" i="9"/>
  <c r="BK11" i="9"/>
  <c r="BK5" i="2"/>
  <c r="BK12" i="2"/>
  <c r="BK14" i="2"/>
  <c r="BK7" i="4"/>
  <c r="BN7" i="4" s="1"/>
  <c r="BK10" i="4"/>
  <c r="BN10" i="4" s="1"/>
  <c r="BK9" i="4"/>
  <c r="BN9" i="4" s="1"/>
  <c r="BK19" i="4"/>
  <c r="BN19" i="4" s="1"/>
  <c r="LQ15" i="10"/>
  <c r="LR15" i="10"/>
  <c r="LU15" i="10"/>
  <c r="BN16" i="10" l="1"/>
  <c r="BN9" i="10"/>
  <c r="BN5" i="10"/>
  <c r="BN11" i="10"/>
  <c r="BN15" i="10"/>
  <c r="BN7" i="10"/>
  <c r="BN14" i="10"/>
  <c r="BN18" i="10"/>
  <c r="BN17" i="10"/>
  <c r="BN4" i="10"/>
  <c r="BN15" i="9"/>
  <c r="BN10" i="9"/>
  <c r="BN16" i="9"/>
  <c r="BN11" i="9"/>
  <c r="BN17" i="9"/>
  <c r="BN12" i="9"/>
  <c r="BN4" i="9"/>
  <c r="BN13" i="9"/>
  <c r="BN14" i="9"/>
  <c r="BN12" i="2"/>
  <c r="BN5" i="2"/>
  <c r="BN11" i="2"/>
  <c r="BN15" i="2"/>
  <c r="BN8" i="2"/>
  <c r="BN14" i="2"/>
  <c r="BN7" i="2"/>
  <c r="BN9" i="2"/>
  <c r="BN4" i="2"/>
  <c r="BN6" i="2"/>
  <c r="J17" i="4"/>
  <c r="L17" i="4" s="1"/>
  <c r="J16" i="4"/>
  <c r="N16" i="4" s="1"/>
  <c r="J6" i="2"/>
  <c r="L6" i="2" s="1"/>
  <c r="J11" i="4"/>
  <c r="K11" i="4" s="1"/>
  <c r="J5" i="9"/>
  <c r="N5" i="9" s="1"/>
  <c r="BN5" i="9"/>
  <c r="J4" i="2"/>
  <c r="N4" i="2" s="1"/>
  <c r="J15" i="10"/>
  <c r="N15" i="10" s="1"/>
  <c r="J9" i="2"/>
  <c r="N9" i="2" s="1"/>
  <c r="J15" i="2"/>
  <c r="N15" i="2" s="1"/>
  <c r="J13" i="4"/>
  <c r="N13" i="4" s="1"/>
  <c r="J18" i="4"/>
  <c r="L18" i="4" s="1"/>
  <c r="J8" i="4"/>
  <c r="L8" i="4" s="1"/>
  <c r="J6" i="4"/>
  <c r="K6" i="4" s="1"/>
  <c r="J4" i="4"/>
  <c r="K4" i="4" s="1"/>
  <c r="J12" i="4"/>
  <c r="L12" i="4" s="1"/>
  <c r="K8" i="7"/>
  <c r="BJ4" i="6"/>
  <c r="BJ12" i="6"/>
  <c r="BJ10" i="6"/>
  <c r="BJ9" i="6"/>
  <c r="BJ7" i="6"/>
  <c r="BJ8" i="6"/>
  <c r="BJ14" i="6"/>
  <c r="BJ6" i="6"/>
  <c r="BJ15" i="6"/>
  <c r="BJ13" i="6"/>
  <c r="BJ5" i="6"/>
  <c r="J4" i="8"/>
  <c r="J6" i="7"/>
  <c r="BG6" i="7" s="1"/>
  <c r="BF6" i="7"/>
  <c r="J9" i="7"/>
  <c r="BG9" i="7" s="1"/>
  <c r="J14" i="10"/>
  <c r="J16" i="9"/>
  <c r="N16" i="9" s="1"/>
  <c r="O16" i="9" s="1"/>
  <c r="J17" i="9"/>
  <c r="N17" i="9" s="1"/>
  <c r="J15" i="9"/>
  <c r="K15" i="9" s="1"/>
  <c r="J10" i="9"/>
  <c r="N10" i="9" s="1"/>
  <c r="J13" i="9"/>
  <c r="N13" i="9" s="1"/>
  <c r="J11" i="2"/>
  <c r="L11" i="2" s="1"/>
  <c r="M11" i="2" s="1"/>
  <c r="J20" i="4"/>
  <c r="N20" i="4" s="1"/>
  <c r="J5" i="8"/>
  <c r="BG5" i="8" s="1"/>
  <c r="J6" i="8"/>
  <c r="BG6" i="8" s="1"/>
  <c r="J4" i="7"/>
  <c r="BG4" i="7" s="1"/>
  <c r="J7" i="7"/>
  <c r="BG7" i="7" s="1"/>
  <c r="BR15" i="10"/>
  <c r="J16" i="10"/>
  <c r="J9" i="10"/>
  <c r="J7" i="10"/>
  <c r="J18" i="10"/>
  <c r="J5" i="10"/>
  <c r="J4" i="10"/>
  <c r="J17" i="10"/>
  <c r="J11" i="10"/>
  <c r="J4" i="9"/>
  <c r="K4" i="9" s="1"/>
  <c r="J11" i="9"/>
  <c r="J12" i="9"/>
  <c r="J14" i="9"/>
  <c r="J7" i="2"/>
  <c r="J5" i="2"/>
  <c r="L8" i="2"/>
  <c r="K8" i="2"/>
  <c r="O8" i="2" s="1"/>
  <c r="J14" i="2"/>
  <c r="J12" i="2"/>
  <c r="J9" i="4"/>
  <c r="J19" i="4"/>
  <c r="J10" i="4"/>
  <c r="N5" i="4"/>
  <c r="K5" i="4"/>
  <c r="L5" i="4"/>
  <c r="J7" i="4"/>
  <c r="LS15" i="10"/>
  <c r="LV15" i="10" s="1"/>
  <c r="LQ14" i="10"/>
  <c r="LR14" i="10"/>
  <c r="LU14" i="10"/>
  <c r="K4" i="8" l="1"/>
  <c r="BG4" i="8"/>
  <c r="H15" i="10"/>
  <c r="A15" i="10" s="1"/>
  <c r="L16" i="4"/>
  <c r="N17" i="4"/>
  <c r="K17" i="4"/>
  <c r="M17" i="4" s="1"/>
  <c r="N6" i="2"/>
  <c r="K6" i="2"/>
  <c r="L16" i="9"/>
  <c r="M16" i="9" s="1"/>
  <c r="K12" i="4"/>
  <c r="M12" i="4" s="1"/>
  <c r="K16" i="4"/>
  <c r="O16" i="4" s="1"/>
  <c r="K15" i="2"/>
  <c r="L15" i="2"/>
  <c r="M15" i="2" s="1"/>
  <c r="N11" i="4"/>
  <c r="O11" i="4" s="1"/>
  <c r="L11" i="4"/>
  <c r="M11" i="4" s="1"/>
  <c r="K5" i="9"/>
  <c r="O5" i="9" s="1"/>
  <c r="L5" i="9"/>
  <c r="K4" i="2"/>
  <c r="O4" i="2" s="1"/>
  <c r="L4" i="2"/>
  <c r="M4" i="2" s="1"/>
  <c r="N12" i="4"/>
  <c r="K13" i="4"/>
  <c r="O13" i="4" s="1"/>
  <c r="K15" i="10"/>
  <c r="L15" i="10"/>
  <c r="BO15" i="10" s="1"/>
  <c r="K9" i="2"/>
  <c r="O9" i="2" s="1"/>
  <c r="L9" i="2"/>
  <c r="M9" i="2" s="1"/>
  <c r="K18" i="4"/>
  <c r="M18" i="4" s="1"/>
  <c r="L13" i="4"/>
  <c r="N18" i="4"/>
  <c r="K16" i="9"/>
  <c r="L17" i="9"/>
  <c r="M17" i="9" s="1"/>
  <c r="N6" i="4"/>
  <c r="O6" i="4" s="1"/>
  <c r="K8" i="4"/>
  <c r="M8" i="4" s="1"/>
  <c r="N4" i="4"/>
  <c r="O4" i="4" s="1"/>
  <c r="L6" i="4"/>
  <c r="M6" i="4" s="1"/>
  <c r="N8" i="4"/>
  <c r="L4" i="4"/>
  <c r="M4" i="4" s="1"/>
  <c r="K9" i="7"/>
  <c r="K6" i="7"/>
  <c r="L20" i="4"/>
  <c r="K20" i="4"/>
  <c r="O20" i="4" s="1"/>
  <c r="K14" i="10"/>
  <c r="N14" i="10"/>
  <c r="O14" i="10" s="1"/>
  <c r="L14" i="10"/>
  <c r="M14" i="10" s="1"/>
  <c r="K17" i="9"/>
  <c r="L10" i="9"/>
  <c r="L13" i="9"/>
  <c r="M13" i="9" s="1"/>
  <c r="K10" i="9"/>
  <c r="O10" i="9" s="1"/>
  <c r="N15" i="9"/>
  <c r="O15" i="9" s="1"/>
  <c r="L15" i="9"/>
  <c r="M15" i="9" s="1"/>
  <c r="K13" i="9"/>
  <c r="N4" i="9"/>
  <c r="O4" i="9" s="1"/>
  <c r="L4" i="9"/>
  <c r="M4" i="9" s="1"/>
  <c r="K11" i="2"/>
  <c r="N11" i="2"/>
  <c r="K6" i="8"/>
  <c r="K5" i="8"/>
  <c r="K4" i="7"/>
  <c r="K7" i="7"/>
  <c r="BQ15" i="10"/>
  <c r="K5" i="10"/>
  <c r="L5" i="10"/>
  <c r="N5" i="10"/>
  <c r="K9" i="10"/>
  <c r="L9" i="10"/>
  <c r="N9" i="10"/>
  <c r="N11" i="10"/>
  <c r="L11" i="10"/>
  <c r="K11" i="10"/>
  <c r="BP15" i="10"/>
  <c r="O15" i="10"/>
  <c r="L18" i="10"/>
  <c r="K18" i="10"/>
  <c r="N18" i="10"/>
  <c r="K4" i="10"/>
  <c r="N4" i="10"/>
  <c r="L4" i="10"/>
  <c r="N7" i="10"/>
  <c r="K7" i="10"/>
  <c r="L7" i="10"/>
  <c r="N16" i="10"/>
  <c r="L16" i="10"/>
  <c r="K16" i="10"/>
  <c r="K17" i="10"/>
  <c r="N17" i="10"/>
  <c r="L17" i="10"/>
  <c r="BR14" i="10"/>
  <c r="K14" i="9"/>
  <c r="N14" i="9"/>
  <c r="L14" i="9"/>
  <c r="O17" i="9"/>
  <c r="L11" i="9"/>
  <c r="N11" i="9"/>
  <c r="K11" i="9"/>
  <c r="N12" i="9"/>
  <c r="L12" i="9"/>
  <c r="K12" i="9"/>
  <c r="O13" i="9"/>
  <c r="K7" i="2"/>
  <c r="N7" i="2"/>
  <c r="L7" i="2"/>
  <c r="M7" i="2" s="1"/>
  <c r="K12" i="2"/>
  <c r="L12" i="2"/>
  <c r="N12" i="2"/>
  <c r="M8" i="2"/>
  <c r="L5" i="2"/>
  <c r="K5" i="2"/>
  <c r="N5" i="2"/>
  <c r="L14" i="2"/>
  <c r="K14" i="2"/>
  <c r="N14" i="2"/>
  <c r="M6" i="2"/>
  <c r="O15" i="2"/>
  <c r="M5" i="4"/>
  <c r="L19" i="4"/>
  <c r="K19" i="4"/>
  <c r="N19" i="4"/>
  <c r="K9" i="4"/>
  <c r="L9" i="4"/>
  <c r="N9" i="4"/>
  <c r="O5" i="4"/>
  <c r="L7" i="4"/>
  <c r="N7" i="4"/>
  <c r="K7" i="4"/>
  <c r="L10" i="4"/>
  <c r="K10" i="4"/>
  <c r="N10" i="4"/>
  <c r="LS14" i="10"/>
  <c r="LQ16" i="9"/>
  <c r="LR16" i="9"/>
  <c r="LU16" i="9"/>
  <c r="O6" i="2" l="1"/>
  <c r="O18" i="4"/>
  <c r="M16" i="4"/>
  <c r="O12" i="4"/>
  <c r="M20" i="4"/>
  <c r="O17" i="4"/>
  <c r="LV14" i="10"/>
  <c r="H14" i="10"/>
  <c r="A14" i="10" s="1"/>
  <c r="M5" i="9"/>
  <c r="M10" i="9"/>
  <c r="M13" i="4"/>
  <c r="M15" i="10"/>
  <c r="O8" i="4"/>
  <c r="BO14" i="10"/>
  <c r="BP14" i="10"/>
  <c r="O11" i="2"/>
  <c r="I15" i="10"/>
  <c r="O7" i="2"/>
  <c r="M10" i="4"/>
  <c r="M9" i="10"/>
  <c r="M7" i="10"/>
  <c r="M11" i="10"/>
  <c r="M18" i="10"/>
  <c r="O18" i="10"/>
  <c r="O9" i="10"/>
  <c r="O5" i="10"/>
  <c r="O11" i="10"/>
  <c r="M17" i="10"/>
  <c r="O4" i="10"/>
  <c r="M4" i="10"/>
  <c r="O17" i="10"/>
  <c r="M16" i="10"/>
  <c r="M5" i="10"/>
  <c r="O7" i="10"/>
  <c r="BQ14" i="10"/>
  <c r="O16" i="10"/>
  <c r="BR16" i="9"/>
  <c r="O11" i="9"/>
  <c r="M11" i="9"/>
  <c r="O12" i="9"/>
  <c r="O14" i="9"/>
  <c r="BP16" i="9"/>
  <c r="BO16" i="9"/>
  <c r="M12" i="9"/>
  <c r="M14" i="9"/>
  <c r="O5" i="2"/>
  <c r="O12" i="2"/>
  <c r="M12" i="2"/>
  <c r="M14" i="2"/>
  <c r="O14" i="2"/>
  <c r="M5" i="2"/>
  <c r="M7" i="4"/>
  <c r="M9" i="4"/>
  <c r="O10" i="4"/>
  <c r="M19" i="4"/>
  <c r="O7" i="4"/>
  <c r="O9" i="4"/>
  <c r="O19" i="4"/>
  <c r="LS16" i="9"/>
  <c r="LQ14" i="9"/>
  <c r="LR14" i="9"/>
  <c r="LU14" i="9"/>
  <c r="LV16" i="9" l="1"/>
  <c r="H16" i="9"/>
  <c r="A16" i="9" s="1"/>
  <c r="I14" i="10"/>
  <c r="BP14" i="9"/>
  <c r="BO14" i="9"/>
  <c r="BR14" i="9"/>
  <c r="BQ16" i="9"/>
  <c r="LS14" i="9"/>
  <c r="R15" i="10"/>
  <c r="T15" i="10" s="1"/>
  <c r="LQ15" i="9"/>
  <c r="LR15" i="9"/>
  <c r="LU15" i="9"/>
  <c r="LV14" i="9" l="1"/>
  <c r="H14" i="9"/>
  <c r="A14" i="9" s="1"/>
  <c r="LS15" i="9"/>
  <c r="H15" i="9" s="1"/>
  <c r="I16" i="9"/>
  <c r="BO15" i="9"/>
  <c r="BQ14" i="9"/>
  <c r="BR15" i="9"/>
  <c r="BP15" i="9"/>
  <c r="R14" i="10"/>
  <c r="S15" i="10"/>
  <c r="E15" i="10"/>
  <c r="LQ4" i="9"/>
  <c r="LR4" i="9"/>
  <c r="LU4" i="9"/>
  <c r="LV15" i="9" l="1"/>
  <c r="I14" i="9"/>
  <c r="E14" i="10"/>
  <c r="T14" i="10"/>
  <c r="A15" i="9"/>
  <c r="BQ15" i="9"/>
  <c r="BR4" i="9"/>
  <c r="BP4" i="9"/>
  <c r="BO4" i="9"/>
  <c r="LS4" i="9"/>
  <c r="S14" i="10"/>
  <c r="R16" i="9"/>
  <c r="LV4" i="9" l="1"/>
  <c r="H4" i="9"/>
  <c r="I15" i="9"/>
  <c r="E16" i="9"/>
  <c r="T16" i="9"/>
  <c r="BQ4" i="9"/>
  <c r="S16" i="9"/>
  <c r="R14" i="9"/>
  <c r="I4" i="9" l="1"/>
  <c r="E14" i="9"/>
  <c r="T14" i="9"/>
  <c r="S14" i="9"/>
  <c r="R15" i="9"/>
  <c r="E15" i="9" l="1"/>
  <c r="T15" i="9"/>
  <c r="S15" i="9"/>
  <c r="R4" i="9"/>
  <c r="T4" i="9" s="1"/>
  <c r="LQ18" i="10"/>
  <c r="LR18" i="10"/>
  <c r="LU18" i="10"/>
  <c r="LQ5" i="10"/>
  <c r="LR5" i="10"/>
  <c r="LU5" i="10"/>
  <c r="BR5" i="10" l="1"/>
  <c r="BP5" i="10"/>
  <c r="BO18" i="10"/>
  <c r="BO5" i="10"/>
  <c r="BR18" i="10"/>
  <c r="BP18" i="10"/>
  <c r="E4" i="9"/>
  <c r="S4" i="9"/>
  <c r="LS18" i="10"/>
  <c r="LS5" i="10"/>
  <c r="LQ17" i="10"/>
  <c r="LR17" i="10"/>
  <c r="LU17" i="10"/>
  <c r="LV5" i="10" l="1"/>
  <c r="H5" i="10"/>
  <c r="I5" i="10" s="1"/>
  <c r="LV18" i="10"/>
  <c r="H18" i="10"/>
  <c r="I18" i="10" s="1"/>
  <c r="BQ5" i="10"/>
  <c r="BR17" i="10"/>
  <c r="BP17" i="10"/>
  <c r="BQ18" i="10"/>
  <c r="BO17" i="10"/>
  <c r="LS17" i="10"/>
  <c r="LQ17" i="9"/>
  <c r="LR17" i="9"/>
  <c r="LU17" i="9"/>
  <c r="LV17" i="10" l="1"/>
  <c r="H17" i="10"/>
  <c r="A17" i="10" s="1"/>
  <c r="A18" i="10"/>
  <c r="BO17" i="9"/>
  <c r="BQ17" i="10"/>
  <c r="BP17" i="9"/>
  <c r="BR17" i="9"/>
  <c r="LS17" i="9"/>
  <c r="LV17" i="9" l="1"/>
  <c r="H17" i="9"/>
  <c r="I17" i="9" s="1"/>
  <c r="I17" i="10"/>
  <c r="BQ17" i="9"/>
  <c r="R18" i="10"/>
  <c r="T18" i="10" s="1"/>
  <c r="R5" i="10"/>
  <c r="E5" i="10" l="1"/>
  <c r="T5" i="10"/>
  <c r="S18" i="10"/>
  <c r="S5" i="10"/>
  <c r="R17" i="10"/>
  <c r="T17" i="10" s="1"/>
  <c r="E18" i="10"/>
  <c r="I14" i="6"/>
  <c r="BI14" i="6" l="1"/>
  <c r="S17" i="10"/>
  <c r="E17" i="10"/>
  <c r="R17" i="9"/>
  <c r="T17" i="9" s="1"/>
  <c r="I9" i="6"/>
  <c r="LQ10" i="9"/>
  <c r="LR10" i="9"/>
  <c r="LU10" i="9"/>
  <c r="BI9" i="6" l="1"/>
  <c r="BR10" i="9"/>
  <c r="BP10" i="9"/>
  <c r="BO10" i="9"/>
  <c r="S17" i="9"/>
  <c r="E17" i="9"/>
  <c r="LS10" i="9"/>
  <c r="LQ16" i="10"/>
  <c r="LR16" i="10"/>
  <c r="LU16" i="10"/>
  <c r="LV10" i="9" l="1"/>
  <c r="H10" i="9"/>
  <c r="A10" i="9" s="1"/>
  <c r="BR16" i="10"/>
  <c r="BP16" i="10"/>
  <c r="BO16" i="10"/>
  <c r="BQ10" i="9"/>
  <c r="N14" i="6"/>
  <c r="P14" i="6" s="1"/>
  <c r="N9" i="6"/>
  <c r="P9" i="6" s="1"/>
  <c r="LS16" i="10"/>
  <c r="LV16" i="10" l="1"/>
  <c r="H16" i="10"/>
  <c r="A16" i="10" s="1"/>
  <c r="I10" i="9"/>
  <c r="O9" i="6"/>
  <c r="O14" i="6"/>
  <c r="BQ16" i="10"/>
  <c r="E14" i="6"/>
  <c r="E9" i="6"/>
  <c r="LQ4" i="4"/>
  <c r="LR4" i="4"/>
  <c r="LU4" i="4"/>
  <c r="I16" i="10" l="1"/>
  <c r="BO4" i="4"/>
  <c r="BR4" i="4"/>
  <c r="BP4" i="4"/>
  <c r="R10" i="9"/>
  <c r="LS4" i="4"/>
  <c r="LV4" i="4" s="1"/>
  <c r="S10" i="9" l="1"/>
  <c r="T10" i="9"/>
  <c r="H4" i="4"/>
  <c r="I4" i="4" s="1"/>
  <c r="BQ4" i="4"/>
  <c r="R16" i="10"/>
  <c r="T16" i="10" s="1"/>
  <c r="E10" i="9"/>
  <c r="LQ4" i="10"/>
  <c r="LR4" i="10"/>
  <c r="LU4" i="10"/>
  <c r="LQ12" i="9"/>
  <c r="LR12" i="9"/>
  <c r="LU12" i="9"/>
  <c r="BR4" i="10" l="1"/>
  <c r="BP4" i="10"/>
  <c r="BO4" i="10"/>
  <c r="BR12" i="9"/>
  <c r="BP12" i="9"/>
  <c r="BO12" i="9"/>
  <c r="S16" i="10"/>
  <c r="R4" i="4"/>
  <c r="T4" i="4" s="1"/>
  <c r="E16" i="10"/>
  <c r="LS4" i="10"/>
  <c r="LS12" i="9"/>
  <c r="LV4" i="10" l="1"/>
  <c r="H4" i="10"/>
  <c r="LV12" i="9"/>
  <c r="H12" i="9"/>
  <c r="A12" i="9" s="1"/>
  <c r="BQ4" i="10"/>
  <c r="BQ12" i="9"/>
  <c r="S4" i="4"/>
  <c r="E4" i="4"/>
  <c r="I4" i="10" l="1"/>
  <c r="I12" i="9"/>
  <c r="R4" i="10" l="1"/>
  <c r="T4" i="10" s="1"/>
  <c r="R12" i="9"/>
  <c r="T12" i="9" s="1"/>
  <c r="S4" i="10" l="1"/>
  <c r="S12" i="9"/>
  <c r="E4" i="10"/>
  <c r="E12" i="9"/>
  <c r="LR4" i="2" l="1"/>
  <c r="KM6" i="7" l="1"/>
  <c r="KK6" i="7"/>
  <c r="KM8" i="7"/>
  <c r="KK8" i="7"/>
  <c r="KM5" i="8"/>
  <c r="KK5" i="8"/>
  <c r="G5" i="8" l="1"/>
  <c r="F8" i="7"/>
  <c r="G8" i="7"/>
  <c r="G6" i="7"/>
  <c r="F6" i="7"/>
  <c r="F5" i="8"/>
  <c r="BH5" i="8"/>
  <c r="BH8" i="7"/>
  <c r="BH6" i="7"/>
  <c r="KN8" i="7"/>
  <c r="KN6" i="7"/>
  <c r="KN5" i="8"/>
  <c r="LU10" i="4"/>
  <c r="LR10" i="4"/>
  <c r="LQ10" i="4"/>
  <c r="LU9" i="4"/>
  <c r="LR9" i="4"/>
  <c r="LQ9" i="4"/>
  <c r="LU18" i="4"/>
  <c r="LR18" i="4"/>
  <c r="LQ18" i="4"/>
  <c r="LU20" i="4"/>
  <c r="LR20" i="4"/>
  <c r="LQ20" i="4"/>
  <c r="LU19" i="4"/>
  <c r="LR19" i="4"/>
  <c r="LQ19" i="4"/>
  <c r="LU9" i="2"/>
  <c r="LR9" i="2"/>
  <c r="LQ9" i="2"/>
  <c r="I5" i="8" l="1"/>
  <c r="I6" i="7"/>
  <c r="I8" i="7"/>
  <c r="A8" i="7"/>
  <c r="N8" i="7"/>
  <c r="P8" i="7" s="1"/>
  <c r="BO20" i="4"/>
  <c r="BO9" i="4"/>
  <c r="BP9" i="4"/>
  <c r="BO18" i="4"/>
  <c r="BP19" i="4"/>
  <c r="BP18" i="4"/>
  <c r="BP10" i="4"/>
  <c r="BP20" i="4"/>
  <c r="BP9" i="2"/>
  <c r="BR9" i="2"/>
  <c r="BO9" i="2"/>
  <c r="BR20" i="4"/>
  <c r="BR18" i="4"/>
  <c r="BR9" i="4"/>
  <c r="BO19" i="4"/>
  <c r="BR19" i="4"/>
  <c r="N6" i="7"/>
  <c r="P6" i="7" s="1"/>
  <c r="BO10" i="4"/>
  <c r="BR10" i="4"/>
  <c r="LS19" i="4"/>
  <c r="LV19" i="4" s="1"/>
  <c r="LS10" i="4"/>
  <c r="LV10" i="4" s="1"/>
  <c r="LS18" i="4"/>
  <c r="LV18" i="4" s="1"/>
  <c r="I10" i="6"/>
  <c r="I7" i="6"/>
  <c r="LS9" i="2"/>
  <c r="LS20" i="4"/>
  <c r="LV20" i="4" s="1"/>
  <c r="LS9" i="4"/>
  <c r="LV9" i="4" s="1"/>
  <c r="LV9" i="2" l="1"/>
  <c r="H9" i="2"/>
  <c r="O8" i="7"/>
  <c r="E8" i="7"/>
  <c r="BI10" i="6"/>
  <c r="O6" i="7"/>
  <c r="BI7" i="6"/>
  <c r="E6" i="7"/>
  <c r="BQ9" i="2"/>
  <c r="H10" i="4"/>
  <c r="I10" i="4" s="1"/>
  <c r="BQ10" i="4"/>
  <c r="H19" i="4"/>
  <c r="I19" i="4" s="1"/>
  <c r="BQ19" i="4"/>
  <c r="H20" i="4"/>
  <c r="A20" i="4" s="1"/>
  <c r="BQ20" i="4"/>
  <c r="H18" i="4"/>
  <c r="I18" i="4" s="1"/>
  <c r="BQ18" i="4"/>
  <c r="H9" i="4"/>
  <c r="BQ9" i="4"/>
  <c r="I9" i="2" l="1"/>
  <c r="A18" i="4"/>
  <c r="A19" i="4"/>
  <c r="I20" i="4"/>
  <c r="I9" i="4"/>
  <c r="R20" i="4"/>
  <c r="T20" i="4" s="1"/>
  <c r="R18" i="4"/>
  <c r="T18" i="4" s="1"/>
  <c r="R19" i="4"/>
  <c r="T19" i="4" s="1"/>
  <c r="N10" i="6"/>
  <c r="P10" i="6" s="1"/>
  <c r="O10" i="6" l="1"/>
  <c r="R9" i="2"/>
  <c r="T9" i="2" s="1"/>
  <c r="S19" i="4"/>
  <c r="E19" i="4"/>
  <c r="S20" i="4"/>
  <c r="E20" i="4"/>
  <c r="S18" i="4"/>
  <c r="E18" i="4"/>
  <c r="N5" i="8"/>
  <c r="P5" i="8" s="1"/>
  <c r="R9" i="4"/>
  <c r="T9" i="4" s="1"/>
  <c r="E10" i="6"/>
  <c r="N7" i="6"/>
  <c r="P7" i="6" s="1"/>
  <c r="LQ13" i="4"/>
  <c r="LR13" i="4"/>
  <c r="LU13" i="4"/>
  <c r="LQ6" i="4"/>
  <c r="LR6" i="4"/>
  <c r="LU6" i="4"/>
  <c r="LQ11" i="4"/>
  <c r="LR11" i="4"/>
  <c r="LU11" i="4"/>
  <c r="LQ7" i="4"/>
  <c r="LR7" i="4"/>
  <c r="LU7" i="4"/>
  <c r="LQ17" i="4"/>
  <c r="LR17" i="4"/>
  <c r="LU17" i="4"/>
  <c r="LQ8" i="4"/>
  <c r="LR8" i="4"/>
  <c r="LU8" i="4"/>
  <c r="LQ16" i="4"/>
  <c r="LR16" i="4"/>
  <c r="LU16" i="4"/>
  <c r="LQ5" i="4"/>
  <c r="LR5" i="4"/>
  <c r="LU5" i="4"/>
  <c r="LQ12" i="4"/>
  <c r="LR12" i="4"/>
  <c r="LU12" i="4"/>
  <c r="LU7" i="10"/>
  <c r="LU11" i="10"/>
  <c r="LU9" i="10"/>
  <c r="LU11" i="9"/>
  <c r="LQ13" i="9"/>
  <c r="LR13" i="9"/>
  <c r="LU13" i="9"/>
  <c r="LQ5" i="9"/>
  <c r="LR5" i="9"/>
  <c r="LU5" i="9"/>
  <c r="LR11" i="9"/>
  <c r="LQ11" i="9"/>
  <c r="LQ5" i="2"/>
  <c r="LR5" i="2"/>
  <c r="LU5" i="2"/>
  <c r="LQ7" i="2"/>
  <c r="LR7" i="2"/>
  <c r="LU7" i="2"/>
  <c r="LQ12" i="2"/>
  <c r="LR12" i="2"/>
  <c r="LU12" i="2"/>
  <c r="LQ8" i="2"/>
  <c r="LR8" i="2"/>
  <c r="LU8" i="2"/>
  <c r="LQ4" i="2"/>
  <c r="LS4" i="2" s="1"/>
  <c r="H4" i="2" s="1"/>
  <c r="LU4" i="2"/>
  <c r="LQ14" i="2"/>
  <c r="LR14" i="2"/>
  <c r="LU14" i="2"/>
  <c r="LQ11" i="2"/>
  <c r="LR11" i="2"/>
  <c r="LU11" i="2"/>
  <c r="LQ15" i="2"/>
  <c r="LR15" i="2"/>
  <c r="LU15" i="2"/>
  <c r="LU6" i="2"/>
  <c r="LR6" i="2"/>
  <c r="LQ6" i="2"/>
  <c r="LQ7" i="10"/>
  <c r="LR7" i="10"/>
  <c r="LQ11" i="10"/>
  <c r="LR11" i="10"/>
  <c r="LR9" i="10"/>
  <c r="LQ9" i="10"/>
  <c r="KM7" i="7"/>
  <c r="KM9" i="7"/>
  <c r="KM4" i="7"/>
  <c r="KM6" i="8"/>
  <c r="KK6" i="8"/>
  <c r="KK4" i="8"/>
  <c r="KK7" i="7"/>
  <c r="KK9" i="7"/>
  <c r="KK4" i="7"/>
  <c r="G4" i="7" l="1"/>
  <c r="F4" i="7"/>
  <c r="F7" i="7"/>
  <c r="G7" i="7"/>
  <c r="F9" i="7"/>
  <c r="G9" i="7"/>
  <c r="G4" i="8"/>
  <c r="F4" i="8"/>
  <c r="G6" i="8"/>
  <c r="F6" i="8"/>
  <c r="O5" i="8"/>
  <c r="O7" i="6"/>
  <c r="BH4" i="7"/>
  <c r="BP5" i="4"/>
  <c r="BR16" i="4"/>
  <c r="BP8" i="4"/>
  <c r="BR17" i="4"/>
  <c r="BR7" i="4"/>
  <c r="BO7" i="4"/>
  <c r="BP11" i="4"/>
  <c r="BH4" i="8"/>
  <c r="BH6" i="8"/>
  <c r="BH7" i="7"/>
  <c r="BH9" i="7"/>
  <c r="BP9" i="10"/>
  <c r="BO11" i="10"/>
  <c r="BO7" i="10"/>
  <c r="BR9" i="10"/>
  <c r="BR7" i="10"/>
  <c r="BO9" i="10"/>
  <c r="BP11" i="10"/>
  <c r="BP7" i="10"/>
  <c r="BR11" i="10"/>
  <c r="BP11" i="9"/>
  <c r="BR5" i="9"/>
  <c r="BO5" i="9"/>
  <c r="BO13" i="9"/>
  <c r="BO11" i="9"/>
  <c r="BP5" i="9"/>
  <c r="BR13" i="9"/>
  <c r="BP13" i="9"/>
  <c r="BR11" i="9"/>
  <c r="BO8" i="2"/>
  <c r="BP12" i="2"/>
  <c r="BR7" i="2"/>
  <c r="BP4" i="2"/>
  <c r="BR8" i="2"/>
  <c r="BO5" i="2"/>
  <c r="BP6" i="2"/>
  <c r="BR15" i="2"/>
  <c r="BO15" i="2"/>
  <c r="BP11" i="2"/>
  <c r="BR14" i="2"/>
  <c r="BO14" i="2"/>
  <c r="BP7" i="2"/>
  <c r="BR5" i="2"/>
  <c r="BP8" i="2"/>
  <c r="BR12" i="2"/>
  <c r="BO12" i="2"/>
  <c r="BO4" i="2"/>
  <c r="BO6" i="2"/>
  <c r="BR6" i="2"/>
  <c r="BP15" i="2"/>
  <c r="BR11" i="2"/>
  <c r="BO11" i="2"/>
  <c r="BP14" i="2"/>
  <c r="BR4" i="2"/>
  <c r="BP5" i="2"/>
  <c r="BO7" i="2"/>
  <c r="BO17" i="4"/>
  <c r="BO16" i="4"/>
  <c r="BR6" i="4"/>
  <c r="BO6" i="4"/>
  <c r="BO11" i="4"/>
  <c r="BO13" i="4"/>
  <c r="BR12" i="4"/>
  <c r="BO12" i="4"/>
  <c r="BO5" i="4"/>
  <c r="BP16" i="4"/>
  <c r="BR8" i="4"/>
  <c r="BO8" i="4"/>
  <c r="BP17" i="4"/>
  <c r="BP7" i="4"/>
  <c r="BR11" i="4"/>
  <c r="BP6" i="4"/>
  <c r="BR13" i="4"/>
  <c r="BR5" i="4"/>
  <c r="BP12" i="4"/>
  <c r="BP13" i="4"/>
  <c r="S9" i="2"/>
  <c r="E9" i="2"/>
  <c r="R10" i="4"/>
  <c r="T10" i="4" s="1"/>
  <c r="S9" i="4"/>
  <c r="E9" i="4"/>
  <c r="E5" i="8"/>
  <c r="I11" i="6"/>
  <c r="I15" i="6"/>
  <c r="LV4" i="2"/>
  <c r="LS5" i="2"/>
  <c r="I8" i="6"/>
  <c r="I6" i="6"/>
  <c r="E7" i="6"/>
  <c r="I4" i="6"/>
  <c r="I5" i="6"/>
  <c r="KN7" i="7"/>
  <c r="LS5" i="9"/>
  <c r="I13" i="6"/>
  <c r="I12" i="6"/>
  <c r="LS11" i="9"/>
  <c r="LS13" i="9"/>
  <c r="LS14" i="2"/>
  <c r="LS7" i="2"/>
  <c r="LS11" i="2"/>
  <c r="KN4" i="8"/>
  <c r="LS9" i="10"/>
  <c r="LS11" i="10"/>
  <c r="LS15" i="2"/>
  <c r="LS8" i="2"/>
  <c r="LS12" i="2"/>
  <c r="LS5" i="4"/>
  <c r="LV5" i="4" s="1"/>
  <c r="LS13" i="4"/>
  <c r="LV13" i="4" s="1"/>
  <c r="LS12" i="4"/>
  <c r="LV12" i="4" s="1"/>
  <c r="LS7" i="4"/>
  <c r="LV7" i="4" s="1"/>
  <c r="KN6" i="8"/>
  <c r="KN9" i="7"/>
  <c r="KN4" i="7"/>
  <c r="LS7" i="10"/>
  <c r="LS6" i="2"/>
  <c r="LS17" i="4"/>
  <c r="LV17" i="4" s="1"/>
  <c r="LS8" i="4"/>
  <c r="LV8" i="4" s="1"/>
  <c r="LS11" i="4"/>
  <c r="LV11" i="4" s="1"/>
  <c r="LS6" i="4"/>
  <c r="LV6" i="4" s="1"/>
  <c r="LS16" i="4"/>
  <c r="LV16" i="4" s="1"/>
  <c r="N4" i="7" l="1"/>
  <c r="LV7" i="10"/>
  <c r="H7" i="10"/>
  <c r="I7" i="10" s="1"/>
  <c r="LV11" i="10"/>
  <c r="H11" i="10"/>
  <c r="I11" i="10" s="1"/>
  <c r="LV9" i="10"/>
  <c r="H9" i="10"/>
  <c r="LV5" i="9"/>
  <c r="H5" i="9"/>
  <c r="LV13" i="9"/>
  <c r="H13" i="9"/>
  <c r="I13" i="9" s="1"/>
  <c r="LV11" i="9"/>
  <c r="H11" i="9"/>
  <c r="I11" i="9" s="1"/>
  <c r="LV8" i="2"/>
  <c r="H8" i="2"/>
  <c r="I8" i="2" s="1"/>
  <c r="LV6" i="2"/>
  <c r="H6" i="2"/>
  <c r="I6" i="2" s="1"/>
  <c r="LV15" i="2"/>
  <c r="H15" i="2"/>
  <c r="I15" i="2" s="1"/>
  <c r="LV5" i="2"/>
  <c r="H5" i="2"/>
  <c r="I5" i="2" s="1"/>
  <c r="LV14" i="2"/>
  <c r="H14" i="2"/>
  <c r="I14" i="2" s="1"/>
  <c r="LV11" i="2"/>
  <c r="H11" i="2"/>
  <c r="I11" i="2" s="1"/>
  <c r="LV7" i="2"/>
  <c r="H7" i="2"/>
  <c r="I7" i="2" s="1"/>
  <c r="LV12" i="2"/>
  <c r="H12" i="2"/>
  <c r="I12" i="2" s="1"/>
  <c r="I6" i="8"/>
  <c r="I4" i="8"/>
  <c r="I9" i="7"/>
  <c r="A9" i="7"/>
  <c r="I7" i="7"/>
  <c r="I4" i="7"/>
  <c r="BI15" i="6"/>
  <c r="BI11" i="6"/>
  <c r="BI8" i="6"/>
  <c r="BI6" i="6"/>
  <c r="BI13" i="6"/>
  <c r="BI4" i="6"/>
  <c r="BI12" i="6"/>
  <c r="BI5" i="6"/>
  <c r="N9" i="7"/>
  <c r="P9" i="7" s="1"/>
  <c r="N7" i="7"/>
  <c r="P7" i="7" s="1"/>
  <c r="BQ7" i="10"/>
  <c r="BQ11" i="10"/>
  <c r="BQ9" i="10"/>
  <c r="BQ13" i="9"/>
  <c r="BQ5" i="9"/>
  <c r="BQ11" i="9"/>
  <c r="BQ15" i="2"/>
  <c r="BQ6" i="2"/>
  <c r="BQ7" i="2"/>
  <c r="BQ5" i="2"/>
  <c r="I4" i="2"/>
  <c r="BQ4" i="2"/>
  <c r="BQ12" i="2"/>
  <c r="BQ14" i="2"/>
  <c r="BQ8" i="2"/>
  <c r="BQ11" i="2"/>
  <c r="H7" i="4"/>
  <c r="I7" i="4" s="1"/>
  <c r="BQ7" i="4"/>
  <c r="H11" i="4"/>
  <c r="A11" i="4" s="1"/>
  <c r="BQ11" i="4"/>
  <c r="H16" i="4"/>
  <c r="A16" i="4" s="1"/>
  <c r="BQ16" i="4"/>
  <c r="H13" i="4"/>
  <c r="A13" i="4" s="1"/>
  <c r="BQ13" i="4"/>
  <c r="H12" i="4"/>
  <c r="A12" i="4" s="1"/>
  <c r="BQ12" i="4"/>
  <c r="H5" i="4"/>
  <c r="I5" i="4" s="1"/>
  <c r="BQ5" i="4"/>
  <c r="H6" i="4"/>
  <c r="I6" i="4" s="1"/>
  <c r="BQ6" i="4"/>
  <c r="H17" i="4"/>
  <c r="A17" i="4" s="1"/>
  <c r="BQ17" i="4"/>
  <c r="H8" i="4"/>
  <c r="BQ8" i="4"/>
  <c r="S10" i="4"/>
  <c r="E10" i="4"/>
  <c r="I5" i="9" l="1"/>
  <c r="O4" i="7"/>
  <c r="P4" i="7"/>
  <c r="I9" i="10"/>
  <c r="A13" i="9"/>
  <c r="A14" i="2"/>
  <c r="A15" i="2"/>
  <c r="O9" i="7"/>
  <c r="O7" i="7"/>
  <c r="I11" i="4"/>
  <c r="I13" i="4"/>
  <c r="I17" i="4"/>
  <c r="I8" i="4"/>
  <c r="I12" i="4"/>
  <c r="I16" i="4"/>
  <c r="E9" i="7"/>
  <c r="E7" i="7"/>
  <c r="N5" i="6"/>
  <c r="N4" i="6"/>
  <c r="P4" i="6" s="1"/>
  <c r="N6" i="6"/>
  <c r="P6" i="6" s="1"/>
  <c r="N12" i="6"/>
  <c r="P12" i="6" s="1"/>
  <c r="R14" i="2"/>
  <c r="T14" i="2" s="1"/>
  <c r="P5" i="6" l="1"/>
  <c r="E5" i="6"/>
  <c r="O12" i="6"/>
  <c r="O6" i="6"/>
  <c r="O4" i="6"/>
  <c r="O5" i="6"/>
  <c r="S14" i="2"/>
  <c r="E14" i="2"/>
  <c r="R8" i="2"/>
  <c r="T8" i="2" s="1"/>
  <c r="R5" i="2"/>
  <c r="T5" i="2" s="1"/>
  <c r="R12" i="2"/>
  <c r="T12" i="2" s="1"/>
  <c r="E12" i="6"/>
  <c r="N8" i="6"/>
  <c r="P8" i="6" s="1"/>
  <c r="N13" i="6"/>
  <c r="P13" i="6" s="1"/>
  <c r="N11" i="6"/>
  <c r="P11" i="6" s="1"/>
  <c r="N4" i="8"/>
  <c r="P4" i="8" s="1"/>
  <c r="R11" i="9"/>
  <c r="T11" i="9" s="1"/>
  <c r="R4" i="2"/>
  <c r="T4" i="2" s="1"/>
  <c r="R7" i="4"/>
  <c r="T7" i="4" s="1"/>
  <c r="E4" i="6"/>
  <c r="N15" i="6"/>
  <c r="P15" i="6" s="1"/>
  <c r="R7" i="10"/>
  <c r="T7" i="10" s="1"/>
  <c r="R7" i="2"/>
  <c r="T7" i="2" s="1"/>
  <c r="E6" i="6"/>
  <c r="R11" i="2"/>
  <c r="T11" i="2" s="1"/>
  <c r="R12" i="4"/>
  <c r="T12" i="4" s="1"/>
  <c r="R16" i="4"/>
  <c r="T16" i="4" s="1"/>
  <c r="R8" i="4"/>
  <c r="T8" i="4" s="1"/>
  <c r="O4" i="8" l="1"/>
  <c r="O13" i="6"/>
  <c r="O8" i="6"/>
  <c r="O15" i="6"/>
  <c r="O11" i="6"/>
  <c r="E15" i="6"/>
  <c r="S7" i="2"/>
  <c r="E7" i="2"/>
  <c r="S12" i="2"/>
  <c r="E12" i="2"/>
  <c r="S5" i="2"/>
  <c r="E5" i="2"/>
  <c r="S11" i="2"/>
  <c r="E11" i="2"/>
  <c r="S8" i="2"/>
  <c r="E8" i="2"/>
  <c r="R15" i="2"/>
  <c r="T15" i="2" s="1"/>
  <c r="R6" i="2"/>
  <c r="T6" i="2" s="1"/>
  <c r="S7" i="4"/>
  <c r="E7" i="4"/>
  <c r="R6" i="4"/>
  <c r="T6" i="4" s="1"/>
  <c r="R13" i="4"/>
  <c r="T13" i="4" s="1"/>
  <c r="S8" i="4"/>
  <c r="E8" i="4"/>
  <c r="S12" i="4"/>
  <c r="E12" i="4"/>
  <c r="S16" i="4"/>
  <c r="E16" i="4"/>
  <c r="R17" i="4"/>
  <c r="T17" i="4" s="1"/>
  <c r="R11" i="4"/>
  <c r="T11" i="4" s="1"/>
  <c r="R13" i="9"/>
  <c r="R5" i="4"/>
  <c r="S7" i="10"/>
  <c r="R9" i="10"/>
  <c r="T9" i="10" s="1"/>
  <c r="R11" i="10"/>
  <c r="T11" i="10" s="1"/>
  <c r="S11" i="9"/>
  <c r="R5" i="9"/>
  <c r="T5" i="9" s="1"/>
  <c r="S4" i="2"/>
  <c r="E11" i="6"/>
  <c r="A11" i="6" s="1"/>
  <c r="E13" i="6"/>
  <c r="E8" i="6"/>
  <c r="N6" i="8"/>
  <c r="P6" i="8" s="1"/>
  <c r="E4" i="8"/>
  <c r="E4" i="2"/>
  <c r="E11" i="9"/>
  <c r="A7" i="6" l="1"/>
  <c r="A8" i="6"/>
  <c r="A10" i="2"/>
  <c r="A13" i="6"/>
  <c r="A6" i="6"/>
  <c r="A10" i="6"/>
  <c r="A4" i="6"/>
  <c r="A5" i="6"/>
  <c r="A12" i="6"/>
  <c r="A14" i="6"/>
  <c r="A9" i="6"/>
  <c r="O6" i="8"/>
  <c r="E4" i="7"/>
  <c r="A5" i="7" s="1"/>
  <c r="S13" i="9"/>
  <c r="T13" i="9"/>
  <c r="S5" i="4"/>
  <c r="T5" i="4"/>
  <c r="S15" i="2"/>
  <c r="E15" i="2"/>
  <c r="S6" i="2"/>
  <c r="E6" i="2"/>
  <c r="A6" i="2" s="1"/>
  <c r="S13" i="4"/>
  <c r="E13" i="4"/>
  <c r="S11" i="4"/>
  <c r="E11" i="4"/>
  <c r="S6" i="4"/>
  <c r="E6" i="4"/>
  <c r="S17" i="4"/>
  <c r="E17" i="4"/>
  <c r="A10" i="4" s="1"/>
  <c r="E5" i="4"/>
  <c r="S9" i="10"/>
  <c r="S11" i="10"/>
  <c r="E11" i="10"/>
  <c r="S5" i="9"/>
  <c r="E5" i="9"/>
  <c r="E7" i="10"/>
  <c r="E6" i="8"/>
  <c r="A4" i="8" s="1"/>
  <c r="E9" i="10"/>
  <c r="E13" i="9"/>
  <c r="A4" i="9" l="1"/>
  <c r="A7" i="9"/>
  <c r="A6" i="9"/>
  <c r="A9" i="4"/>
  <c r="A12" i="10"/>
  <c r="A8" i="10"/>
  <c r="A4" i="10"/>
  <c r="D43" i="11"/>
  <c r="D44" i="11"/>
  <c r="D45" i="11"/>
  <c r="C45" i="11"/>
  <c r="C46" i="11"/>
  <c r="D49" i="11"/>
  <c r="D42" i="11"/>
  <c r="C44" i="11"/>
  <c r="D46" i="11"/>
  <c r="C42" i="11"/>
  <c r="D47" i="11"/>
  <c r="C47" i="11"/>
  <c r="D48" i="11"/>
  <c r="C48" i="11"/>
  <c r="C49" i="11"/>
  <c r="C43" i="11"/>
  <c r="A7" i="2"/>
  <c r="A6" i="4"/>
  <c r="A8" i="4"/>
  <c r="A7" i="4"/>
  <c r="A7" i="10"/>
  <c r="A6" i="8"/>
  <c r="A5" i="8"/>
  <c r="D35" i="11" s="1"/>
  <c r="A6" i="7"/>
  <c r="A4" i="7"/>
  <c r="A7" i="7"/>
  <c r="A5" i="10"/>
  <c r="A6" i="10"/>
  <c r="A11" i="10"/>
  <c r="A9" i="10"/>
  <c r="A17" i="9"/>
  <c r="A5" i="9"/>
  <c r="A11" i="9"/>
  <c r="A9" i="2"/>
  <c r="A12" i="2"/>
  <c r="A4" i="2"/>
  <c r="A11" i="2"/>
  <c r="A5" i="2"/>
  <c r="A8" i="2"/>
  <c r="A5" i="4"/>
  <c r="A4" i="4"/>
  <c r="C34" i="11" l="1"/>
  <c r="D34" i="11"/>
  <c r="C41" i="11"/>
  <c r="D37" i="11"/>
  <c r="D36" i="11"/>
  <c r="C36" i="11"/>
  <c r="D39" i="11"/>
  <c r="D41" i="11"/>
  <c r="D40" i="11"/>
  <c r="C38" i="11"/>
  <c r="D38" i="11"/>
  <c r="C35" i="11"/>
  <c r="C40" i="11"/>
  <c r="C39" i="11"/>
  <c r="C37" i="11"/>
  <c r="D27" i="11"/>
  <c r="C27" i="11"/>
  <c r="C29" i="11"/>
  <c r="C30" i="11"/>
  <c r="D28" i="11"/>
  <c r="C28" i="11"/>
  <c r="D29" i="11"/>
  <c r="D26" i="11"/>
  <c r="D30" i="11"/>
  <c r="D31" i="11"/>
  <c r="C31" i="11"/>
  <c r="D32" i="11"/>
  <c r="C32" i="11"/>
  <c r="D33" i="11"/>
  <c r="C33" i="11"/>
  <c r="C26" i="11"/>
  <c r="D23" i="11"/>
  <c r="C23" i="11"/>
  <c r="C25" i="11"/>
  <c r="D24" i="11"/>
  <c r="C22" i="11"/>
  <c r="D25" i="11"/>
  <c r="D22" i="11"/>
  <c r="C24" i="11"/>
  <c r="D19" i="11"/>
  <c r="C21" i="11"/>
  <c r="C20" i="11"/>
  <c r="D18" i="11"/>
  <c r="C19" i="11"/>
  <c r="D21" i="11"/>
  <c r="C18" i="11"/>
  <c r="D20" i="11"/>
  <c r="D11" i="11"/>
  <c r="D12" i="11"/>
  <c r="C12" i="11"/>
  <c r="D13" i="11"/>
  <c r="C13" i="11"/>
  <c r="C17" i="11"/>
  <c r="C11" i="11"/>
  <c r="D14" i="11"/>
  <c r="C14" i="11"/>
  <c r="C10" i="11"/>
  <c r="D15" i="11"/>
  <c r="C15" i="11"/>
  <c r="C16" i="11"/>
  <c r="D17" i="11"/>
  <c r="D10" i="11"/>
  <c r="D16" i="11"/>
  <c r="D3" i="11"/>
  <c r="D4" i="11"/>
  <c r="C4" i="11"/>
  <c r="D5" i="11"/>
  <c r="C5" i="11"/>
  <c r="C7" i="11"/>
  <c r="C8" i="11"/>
  <c r="C9" i="11"/>
  <c r="D6" i="11"/>
  <c r="C6" i="11"/>
  <c r="C3" i="11"/>
  <c r="D7" i="11"/>
  <c r="D8" i="11"/>
  <c r="D9" i="11"/>
  <c r="D2" i="11"/>
  <c r="C2" i="11"/>
</calcChain>
</file>

<file path=xl/sharedStrings.xml><?xml version="1.0" encoding="utf-8"?>
<sst xmlns="http://schemas.openxmlformats.org/spreadsheetml/2006/main" count="3631" uniqueCount="214">
  <si>
    <t>Province</t>
  </si>
  <si>
    <t>Rank</t>
  </si>
  <si>
    <t>Total Points</t>
  </si>
  <si>
    <t>ON</t>
  </si>
  <si>
    <t>SOEHN, Keegan</t>
  </si>
  <si>
    <t>AB</t>
  </si>
  <si>
    <t>BC</t>
  </si>
  <si>
    <t>GEREIN, Curtis</t>
  </si>
  <si>
    <t>CRANHAM, Jacob</t>
  </si>
  <si>
    <t>SHUH, Nathan</t>
  </si>
  <si>
    <t>QC</t>
  </si>
  <si>
    <t>ARMSTRONG, Mark</t>
  </si>
  <si>
    <t>BRUNO, Mario</t>
  </si>
  <si>
    <t>MARTIN, Andrew</t>
  </si>
  <si>
    <t>DD</t>
  </si>
  <si>
    <t>Team Score</t>
  </si>
  <si>
    <t>Standing</t>
  </si>
  <si>
    <t>Best Prelim</t>
  </si>
  <si>
    <t>Best Vol 1</t>
  </si>
  <si>
    <t>Best Vol 2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</si>
  <si>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</si>
  <si>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</si>
  <si>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</si>
  <si>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</si>
  <si>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</si>
  <si>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</si>
  <si>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</si>
  <si>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</si>
  <si>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</si>
  <si>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</si>
  <si>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</si>
  <si>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</si>
  <si>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Prelim DD</t>
  </si>
  <si>
    <t>MÉTHOT, Sophiane</t>
  </si>
  <si>
    <t>MILETTE, Sarah</t>
  </si>
  <si>
    <t>SMITH, Samantha</t>
  </si>
  <si>
    <t>DUNDAS, Bronte</t>
  </si>
  <si>
    <t>TAM, Rachel</t>
  </si>
  <si>
    <t>MacLENNAN, Rosannagh</t>
  </si>
  <si>
    <t>ROUX, Laurence</t>
  </si>
  <si>
    <t>THOMPSON, Taysia</t>
  </si>
  <si>
    <t>Athlete</t>
  </si>
  <si>
    <t>BURNETT, Jason</t>
  </si>
  <si>
    <t>STIRLING, Trevor</t>
  </si>
  <si>
    <t>Pass 1</t>
  </si>
  <si>
    <t>Penalty</t>
  </si>
  <si>
    <t>Bonus</t>
  </si>
  <si>
    <t>Pass 2</t>
  </si>
  <si>
    <t>Pass 3</t>
  </si>
  <si>
    <t>Pass 4</t>
  </si>
  <si>
    <t>MILLER-BURKO, Jordyn</t>
  </si>
  <si>
    <t>SCHWAIGER, Jonathon</t>
  </si>
  <si>
    <t>SUNDQUIST, Callum</t>
  </si>
  <si>
    <t>LEFAIVRE, Justin</t>
  </si>
  <si>
    <t>TOMALTY, Connar</t>
  </si>
  <si>
    <t>SHEEHAN, Ryan</t>
  </si>
  <si>
    <t>CHAVES, Michael</t>
  </si>
  <si>
    <t>RYANE, Casey</t>
  </si>
  <si>
    <t>SUGRIM, Jordan</t>
  </si>
  <si>
    <t>McNUTT, Catherine</t>
  </si>
  <si>
    <t>Synchro</t>
  </si>
  <si>
    <t>MÉTHOT &amp; MILETTE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</si>
  <si>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</si>
  <si>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</si>
  <si>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</si>
  <si>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</si>
  <si>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</si>
  <si>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</si>
  <si>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GRIEVE, Danielle</t>
  </si>
  <si>
    <t>SK</t>
  </si>
  <si>
    <t>NAKONECHNI, Haley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</si>
  <si>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</si>
  <si>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</si>
  <si>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</si>
  <si>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</si>
  <si>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</si>
  <si>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</si>
  <si>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</si>
  <si>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</si>
  <si>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</si>
  <si>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</si>
  <si>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</si>
  <si>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</si>
  <si>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</si>
  <si>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</si>
  <si>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</si>
  <si>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CIRONE, Domenica</t>
  </si>
  <si>
    <t>SOEHN, Kalena</t>
  </si>
  <si>
    <t>CHAMPAGNE, Tyler</t>
  </si>
  <si>
    <t>LAGACÉ, Benjamin</t>
  </si>
  <si>
    <t>BLAKELY, Zachary</t>
  </si>
  <si>
    <t>FOREST, Alexandra</t>
  </si>
  <si>
    <t>HESMERT, Tiana</t>
  </si>
  <si>
    <t>HIPEL, Zoe</t>
  </si>
  <si>
    <t>ZEUNER, Michael</t>
  </si>
  <si>
    <t>BURNETT &amp; CRANHAM</t>
  </si>
  <si>
    <t>MACLENNAN &amp; TAM</t>
  </si>
  <si>
    <t>ON/BC</t>
  </si>
  <si>
    <t>QC/BC</t>
  </si>
  <si>
    <t>Injury</t>
  </si>
  <si>
    <t>P</t>
  </si>
  <si>
    <t>Injury Score</t>
  </si>
  <si>
    <t>Year of Birth</t>
  </si>
  <si>
    <t>1986/1994</t>
  </si>
  <si>
    <t>2001/1999</t>
  </si>
  <si>
    <t>2001/2000</t>
  </si>
  <si>
    <t>1998/1997</t>
  </si>
  <si>
    <t>1988/1998</t>
  </si>
  <si>
    <t>Select</t>
  </si>
  <si>
    <t>Delete oldest domestic trial</t>
  </si>
  <si>
    <t>Add a new athlete to:</t>
  </si>
  <si>
    <t>CHARTIER, Jérémy</t>
  </si>
  <si>
    <t>1992/1995</t>
  </si>
  <si>
    <t>MOULD, Blake</t>
  </si>
  <si>
    <t>1995/1992</t>
  </si>
  <si>
    <t>1988/1997</t>
  </si>
  <si>
    <t>ON/QC</t>
  </si>
  <si>
    <t>MACLENNAN &amp; MILETTE</t>
  </si>
  <si>
    <t>1998/1992</t>
  </si>
  <si>
    <t>MÉTHOT &amp; SMITH</t>
  </si>
  <si>
    <t>2018 World Championships (Nov 7)</t>
  </si>
  <si>
    <t>2018 World Championships (Nov 8)</t>
  </si>
  <si>
    <t>DUNDAS &amp; SMITH</t>
  </si>
  <si>
    <t>DUNDAS &amp; TAM</t>
  </si>
  <si>
    <t>1995/1998</t>
  </si>
  <si>
    <t>QC/ON</t>
  </si>
  <si>
    <t>MÉTHOT &amp; TAM</t>
  </si>
  <si>
    <t>AB/ON</t>
  </si>
  <si>
    <t>GEREIN &amp; STIRLING</t>
  </si>
  <si>
    <t>1993/1995</t>
  </si>
  <si>
    <t>2001/1992</t>
  </si>
  <si>
    <t>QC/AB</t>
  </si>
  <si>
    <t>2018 World Championships Team Finals (Nov 8)</t>
  </si>
  <si>
    <t>2018 World Championships Semi-Finals (Nov 10)</t>
  </si>
  <si>
    <t>2018 World Championships (Nov 9)</t>
  </si>
  <si>
    <t>2018 World Championships (Nov 10)</t>
  </si>
  <si>
    <t>CARLSON &amp; DODD</t>
  </si>
  <si>
    <t>AB/BC</t>
  </si>
  <si>
    <t>2002/2003</t>
  </si>
  <si>
    <t>DWYER &amp; JOHNSTON</t>
  </si>
  <si>
    <t>NS/ON</t>
  </si>
  <si>
    <t>LAVALÉE &amp; LEGACÉ</t>
  </si>
  <si>
    <t>2000/1999</t>
  </si>
  <si>
    <t>BOUCHER &amp; YENDLEY</t>
  </si>
  <si>
    <t>BERTHIAUME S. &amp; SOEHN</t>
  </si>
  <si>
    <t>2018 World Age Groups (Nov 18)</t>
  </si>
  <si>
    <t>Optional DD</t>
  </si>
  <si>
    <t>***Team DD contrived for 2019 rules</t>
  </si>
  <si>
    <t>Best International Diff</t>
  </si>
  <si>
    <t>National Team DD and Score</t>
  </si>
  <si>
    <t>Worlds Team DD and Score</t>
  </si>
  <si>
    <t>Excellence Score</t>
  </si>
  <si>
    <t>Best Two Pass</t>
  </si>
  <si>
    <t>Best Full Competition</t>
  </si>
  <si>
    <t>2 Pass</t>
  </si>
  <si>
    <t>4 Pass</t>
  </si>
  <si>
    <t>***DD and score contrived for 2019 rules</t>
  </si>
  <si>
    <t>2019 World Cup AZE (Feb 17)</t>
  </si>
  <si>
    <t>2019 World Cup AZE (Feb 16)</t>
  </si>
  <si>
    <t>Excellence DD</t>
  </si>
  <si>
    <t>4 Pass DD</t>
  </si>
  <si>
    <t>Potential Injury Score</t>
  </si>
  <si>
    <t>2019 World Cup BLR (Apr 20)</t>
  </si>
  <si>
    <t>2019 World Cup BLR (Apr 21)</t>
  </si>
  <si>
    <t>BC/ON</t>
  </si>
  <si>
    <t>SMITH &amp; TAM</t>
  </si>
  <si>
    <t>2019 Elite Canada</t>
  </si>
  <si>
    <t>FRIGON, Charles</t>
  </si>
  <si>
    <t>SEROUART, Guillaume</t>
  </si>
  <si>
    <t>CHATEAUVERT, Émile</t>
  </si>
  <si>
    <t>THEODORE, Craig</t>
  </si>
  <si>
    <t>MADIGAN, Mariah</t>
  </si>
  <si>
    <t>BERTHIAUME, Sara-Jade</t>
  </si>
  <si>
    <t>DAWSON, David</t>
  </si>
  <si>
    <t>KYFIUK, MacKenzie</t>
  </si>
  <si>
    <t>ARRUDA &amp; LOVE</t>
  </si>
  <si>
    <t>2000/1998</t>
  </si>
  <si>
    <t>FRIGON &amp; LEFAIVRE</t>
  </si>
  <si>
    <t>2002/2001</t>
  </si>
  <si>
    <t>BONHAM &amp; FLYNN</t>
  </si>
  <si>
    <t>Finals DD</t>
  </si>
  <si>
    <t>Remove athlete:</t>
  </si>
  <si>
    <t>1992/1998</t>
  </si>
  <si>
    <t>2019 Scalabis Cup (July 6)</t>
  </si>
  <si>
    <t>2019 Nationals</t>
  </si>
  <si>
    <t>DODD &amp; MOULD</t>
  </si>
  <si>
    <t>2003/2001</t>
  </si>
  <si>
    <t>AUBIN &amp; LEGACÉ</t>
  </si>
  <si>
    <t>CARLSON &amp; CHAMPAGNE</t>
  </si>
  <si>
    <t>2002/1999</t>
  </si>
  <si>
    <t>MILETTE &amp; TAM</t>
  </si>
  <si>
    <t>1997/1998</t>
  </si>
  <si>
    <t>1993/2002</t>
  </si>
  <si>
    <t>MADIGAN &amp; NAGANO</t>
  </si>
  <si>
    <t>2003/1998</t>
  </si>
  <si>
    <t>1998/1999</t>
  </si>
  <si>
    <t>CIRONE &amp; SOEHN</t>
  </si>
  <si>
    <t>BRIAND-BRIÈRE &amp; ROUX</t>
  </si>
  <si>
    <t>FERNANDES, Antonio</t>
  </si>
  <si>
    <t>2019 Pan Am Games (Aug 5)</t>
  </si>
  <si>
    <t>2019 World Cup RUS (Sept 21)</t>
  </si>
  <si>
    <t>2019 World Cup RUS (Sept 22)</t>
  </si>
  <si>
    <t>BURNETT &amp; CHARTIER</t>
  </si>
  <si>
    <t>CHARTIER &amp; SOEHN</t>
  </si>
  <si>
    <t>SOEHN &amp; STIRLING</t>
  </si>
  <si>
    <t>SHUH &amp; SOEHN</t>
  </si>
  <si>
    <t>ON/AB</t>
  </si>
  <si>
    <t>1997/1992</t>
  </si>
  <si>
    <t>1986/2001</t>
  </si>
  <si>
    <t>2019 World Cup ESP</t>
  </si>
  <si>
    <t>2019 World Cup ESP (Oct 5)</t>
  </si>
  <si>
    <t>2019 World Cup ESP (Oct 6)</t>
  </si>
  <si>
    <t>Delete oldest international competitions</t>
  </si>
  <si>
    <t>Macro Update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</si>
</sst>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8"/>
      <name val="Calibri"/>
      <family val="2"/>
      <scheme val="minor"/>
    </font>
    <font>
      <u/>
      <sz val="12"/>
      <color theme="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FFF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E5C6FA"/>
        <bgColor rgb="FF000000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rgb="FFFFB6B7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37">
    <xf numFmtId="0" fontId="0" fillId="0" borderId="0" xfId="0"/>
    <xf numFmtId="0" fontId="4" fillId="0" borderId="0" xfId="0" applyFont="1" applyBorder="1" applyAlignment="1">
      <alignment horizontal="center"/>
    </xf>
    <xf numFmtId="14" fontId="0" fillId="0" borderId="0" xfId="0" applyNumberFormat="1"/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10" borderId="0" xfId="0" applyFont="1" applyFill="1"/>
    <xf numFmtId="0" fontId="12" fillId="11" borderId="0" xfId="0" applyFont="1" applyFill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4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12" borderId="0" xfId="0" applyFill="1" applyAlignment="1"/>
    <xf numFmtId="0" fontId="0" fillId="12" borderId="0" xfId="0" applyFill="1"/>
    <xf numFmtId="164" fontId="0" fillId="12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ont="1" applyFill="1" applyBorder="1" applyProtection="1">
      <protection locked="0"/>
    </xf>
    <xf numFmtId="164" fontId="0" fillId="4" borderId="1" xfId="0" applyNumberFormat="1" applyFon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164" fontId="12" fillId="10" borderId="1" xfId="0" applyNumberFormat="1" applyFont="1" applyFill="1" applyBorder="1" applyProtection="1">
      <protection locked="0"/>
    </xf>
    <xf numFmtId="164" fontId="12" fillId="11" borderId="1" xfId="0" applyNumberFormat="1" applyFont="1" applyFill="1" applyBorder="1" applyProtection="1">
      <protection locked="0"/>
    </xf>
    <xf numFmtId="164" fontId="6" fillId="3" borderId="1" xfId="1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13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18" fillId="6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9" fillId="5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8" fillId="6" borderId="0" xfId="0" applyFont="1" applyFill="1" applyAlignment="1"/>
    <xf numFmtId="0" fontId="19" fillId="14" borderId="0" xfId="0" applyFont="1" applyFill="1" applyAlignment="1"/>
    <xf numFmtId="0" fontId="10" fillId="7" borderId="0" xfId="0" applyFont="1" applyFill="1" applyAlignment="1"/>
    <xf numFmtId="0" fontId="9" fillId="5" borderId="0" xfId="0" applyFont="1" applyFill="1" applyAlignment="1"/>
    <xf numFmtId="0" fontId="11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20" fillId="3" borderId="1" xfId="0" applyNumberFormat="1" applyFont="1" applyFill="1" applyBorder="1" applyAlignment="1" applyProtection="1">
      <alignment horizontal="center"/>
      <protection locked="0"/>
    </xf>
    <xf numFmtId="164" fontId="20" fillId="4" borderId="1" xfId="0" applyNumberFormat="1" applyFont="1" applyFill="1" applyBorder="1" applyAlignment="1" applyProtection="1">
      <alignment horizontal="center"/>
      <protection locked="0"/>
    </xf>
    <xf numFmtId="0" fontId="17" fillId="0" borderId="0" xfId="0" applyFont="1"/>
    <xf numFmtId="164" fontId="18" fillId="15" borderId="0" xfId="0" applyNumberFormat="1" applyFont="1" applyFill="1" applyProtection="1">
      <protection locked="0"/>
    </xf>
    <xf numFmtId="164" fontId="19" fillId="16" borderId="0" xfId="0" applyNumberFormat="1" applyFont="1" applyFill="1" applyProtection="1">
      <protection locked="0"/>
    </xf>
    <xf numFmtId="164" fontId="10" fillId="17" borderId="0" xfId="0" applyNumberFormat="1" applyFont="1" applyFill="1" applyProtection="1">
      <protection locked="0"/>
    </xf>
    <xf numFmtId="164" fontId="9" fillId="18" borderId="0" xfId="0" applyNumberFormat="1" applyFont="1" applyFill="1" applyProtection="1">
      <protection locked="0"/>
    </xf>
    <xf numFmtId="164" fontId="11" fillId="19" borderId="0" xfId="0" applyNumberFormat="1" applyFont="1" applyFill="1" applyProtection="1">
      <protection locked="0"/>
    </xf>
    <xf numFmtId="0" fontId="12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1" fillId="20" borderId="0" xfId="0" applyFont="1" applyFill="1" applyAlignment="1"/>
    <xf numFmtId="0" fontId="2" fillId="21" borderId="0" xfId="0" applyFont="1" applyFill="1" applyAlignment="1"/>
    <xf numFmtId="164" fontId="21" fillId="20" borderId="0" xfId="0" applyNumberFormat="1" applyFont="1" applyFill="1" applyProtection="1">
      <protection locked="0"/>
    </xf>
    <xf numFmtId="164" fontId="2" fillId="21" borderId="0" xfId="0" applyNumberFormat="1" applyFont="1" applyFill="1" applyProtection="1">
      <protection locked="0"/>
    </xf>
    <xf numFmtId="164" fontId="2" fillId="23" borderId="0" xfId="0" applyNumberFormat="1" applyFont="1" applyFill="1" applyProtection="1">
      <protection locked="0"/>
    </xf>
    <xf numFmtId="164" fontId="3" fillId="0" borderId="0" xfId="0" applyNumberFormat="1" applyFont="1" applyFill="1"/>
    <xf numFmtId="0" fontId="5" fillId="0" borderId="0" xfId="0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6" fillId="0" borderId="0" xfId="0" applyNumberFormat="1" applyFont="1" applyFill="1" applyBorder="1" applyProtection="1">
      <protection locked="0"/>
    </xf>
    <xf numFmtId="164" fontId="20" fillId="0" borderId="0" xfId="0" applyNumberFormat="1" applyFont="1" applyFill="1" applyBorder="1" applyAlignment="1" applyProtection="1">
      <alignment horizontal="center"/>
      <protection locked="0"/>
    </xf>
    <xf numFmtId="164" fontId="0" fillId="0" borderId="0" xfId="0" applyNumberFormat="1" applyFill="1" applyBorder="1" applyProtection="1">
      <protection locked="0"/>
    </xf>
    <xf numFmtId="164" fontId="12" fillId="0" borderId="0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164" fontId="21" fillId="20" borderId="0" xfId="0" applyNumberFormat="1" applyFont="1" applyFill="1" applyAlignment="1" applyProtection="1">
      <protection locked="0"/>
    </xf>
    <xf numFmtId="164" fontId="2" fillId="21" borderId="0" xfId="0" applyNumberFormat="1" applyFont="1" applyFill="1" applyAlignment="1" applyProtection="1">
      <protection locked="0"/>
    </xf>
    <xf numFmtId="164" fontId="21" fillId="22" borderId="0" xfId="0" applyNumberFormat="1" applyFont="1" applyFill="1" applyProtection="1">
      <protection locked="0"/>
    </xf>
    <xf numFmtId="0" fontId="0" fillId="0" borderId="0" xfId="0" applyFill="1" applyBorder="1" applyAlignment="1"/>
    <xf numFmtId="0" fontId="5" fillId="0" borderId="0" xfId="0" applyFont="1"/>
    <xf numFmtId="164" fontId="23" fillId="3" borderId="1" xfId="0" applyNumberFormat="1" applyFont="1" applyFill="1" applyBorder="1" applyProtection="1">
      <protection locked="0"/>
    </xf>
    <xf numFmtId="165" fontId="0" fillId="0" borderId="0" xfId="0" applyNumberFormat="1" applyAlignment="1">
      <alignment horizontal="left"/>
    </xf>
    <xf numFmtId="0" fontId="3" fillId="3" borderId="0" xfId="0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12" borderId="0" xfId="0" applyFont="1" applyFill="1" applyAlignment="1" applyProtection="1">
      <alignment horizontal="center"/>
      <protection locked="0"/>
    </xf>
    <xf numFmtId="0" fontId="12" fillId="11" borderId="0" xfId="0" applyFont="1" applyFill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3" fillId="11" borderId="0" xfId="0" applyFont="1" applyFill="1" applyAlignment="1" applyProtection="1">
      <alignment horizontal="center"/>
      <protection locked="0"/>
    </xf>
    <xf numFmtId="0" fontId="13" fillId="10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 wrapText="1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210"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00"/>
      </font>
      <fill>
        <patternFill>
          <bgColor rgb="FFFFD3D3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u val="none"/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solid">
          <bgColor rgb="FFFFB6B7"/>
        </patternFill>
      </fill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color rgb="FFFF0000"/>
      </font>
      <fill>
        <patternFill patternType="solid">
          <bgColor rgb="FFFFB6B7"/>
        </patternFill>
      </fill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solid"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u val="none"/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B6B7"/>
      <color rgb="FFFFD1AD"/>
      <color rgb="FFFF7000"/>
      <color rgb="FFFFA8AA"/>
      <color rgb="FFDDB5B6"/>
      <color rgb="FFFFD3D3"/>
      <color rgb="FFFFE7CC"/>
      <color rgb="FFFECD97"/>
      <color rgb="FFFFC477"/>
      <color rgb="FFFF7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71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71</v>
      </c>
      <c r="B1" t="s">
        <v>1</v>
      </c>
      <c r="C1" t="s">
        <v>73</v>
      </c>
      <c r="D1" t="s">
        <v>16</v>
      </c>
      <c r="E1" s="54"/>
      <c r="F1" s="54"/>
      <c r="J1" s="54"/>
      <c r="K1" s="54"/>
      <c r="L1" s="54"/>
    </row>
    <row r="2" spans="1:12" x14ac:dyDescent="0.2">
      <c r="A2" s="11" t="s">
        <v>72</v>
      </c>
      <c r="B2" s="11">
        <v>1</v>
      </c>
      <c r="C2" s="11" t="str">
        <f>IF(B2&gt;MAX('TRA-M'!A:A),"",INDEX('TRA-M'!B:B,MATCH(B2,'TRA-M'!A:A,0)))</f>
        <v>CHARTIER, Jérémy</v>
      </c>
      <c r="D2" s="11" t="str">
        <f>IF(B2&gt;MAX('TRA-M'!A:A),"",INDEX('TRA-M'!I:I,MATCH(B2,'TRA-M'!A:A,0)))</f>
        <v>Merit</v>
      </c>
      <c r="E2" s="28"/>
      <c r="F2" s="28"/>
    </row>
    <row r="3" spans="1:12" x14ac:dyDescent="0.2">
      <c r="A3" s="11"/>
      <c r="B3" s="11">
        <v>2</v>
      </c>
      <c r="C3" s="11" t="str">
        <f>IF(B3&gt;MAX('TRA-M'!A:A),"",INDEX('TRA-M'!B:B,MATCH(B3,'TRA-M'!A:A,0)))</f>
        <v>BURNETT, Jason</v>
      </c>
      <c r="D3" s="11" t="str">
        <f>IF(B3&gt;MAX('TRA-M'!A:A),"",INDEX('TRA-M'!I:I,MATCH(B3,'TRA-M'!A:A,0)))</f>
        <v>Excellence</v>
      </c>
      <c r="E3" s="28"/>
      <c r="F3" s="28"/>
    </row>
    <row r="4" spans="1:12" x14ac:dyDescent="0.2">
      <c r="A4" s="11"/>
      <c r="B4" s="11">
        <v>3</v>
      </c>
      <c r="C4" s="11" t="str">
        <f>IF(B4&gt;MAX('TRA-M'!A:A),"",INDEX('TRA-M'!B:B,MATCH(B4,'TRA-M'!A:A,0)))</f>
        <v>SOEHN, Keegan</v>
      </c>
      <c r="D4" s="11" t="str">
        <f>IF(B4&gt;MAX('TRA-M'!A:A),"",INDEX('TRA-M'!I:I,MATCH(B4,'TRA-M'!A:A,0)))</f>
        <v>Excellence</v>
      </c>
      <c r="E4" s="28"/>
      <c r="F4" s="28"/>
    </row>
    <row r="5" spans="1:12" x14ac:dyDescent="0.2">
      <c r="A5" s="11"/>
      <c r="B5" s="11">
        <v>4</v>
      </c>
      <c r="C5" s="11" t="str">
        <f>IF(B5&gt;MAX('TRA-M'!A:A),"",INDEX('TRA-M'!B:B,MATCH(B5,'TRA-M'!A:A,0)))</f>
        <v>CRANHAM, Jacob</v>
      </c>
      <c r="D5" s="11" t="str">
        <f>IF(B5&gt;MAX('TRA-M'!A:A),"",INDEX('TRA-M'!I:I,MATCH(B5,'TRA-M'!A:A,0)))</f>
        <v>Worlds Team</v>
      </c>
    </row>
    <row r="6" spans="1:12" x14ac:dyDescent="0.2">
      <c r="A6" s="11"/>
      <c r="B6" s="11">
        <v>5</v>
      </c>
      <c r="C6" s="11" t="str">
        <f>IF(B6&gt;MAX('TRA-M'!A:A),"",INDEX('TRA-M'!B:B,MATCH(B6,'TRA-M'!A:A,0)))</f>
        <v>SHUH, Nathan</v>
      </c>
      <c r="D6" s="11" t="str">
        <f>IF(B6&gt;MAX('TRA-M'!A:A),"",INDEX('TRA-M'!I:I,MATCH(B6,'TRA-M'!A:A,0)))</f>
        <v>Worlds Team</v>
      </c>
    </row>
    <row r="7" spans="1:12" x14ac:dyDescent="0.2">
      <c r="A7" s="11"/>
      <c r="B7" s="11">
        <v>6</v>
      </c>
      <c r="C7" s="11" t="str">
        <f>IF(B7&gt;MAX('TRA-M'!A:A),"",INDEX('TRA-M'!B:B,MATCH(B7,'TRA-M'!A:A,0)))</f>
        <v>LAGACÉ, Benjamin</v>
      </c>
      <c r="D7" s="11" t="str">
        <f>IF(B7&gt;MAX('TRA-M'!A:A),"",INDEX('TRA-M'!I:I,MATCH(B7,'TRA-M'!A:A,0)))</f>
        <v>National Team</v>
      </c>
      <c r="G7" s="55"/>
    </row>
    <row r="8" spans="1:12" x14ac:dyDescent="0.2">
      <c r="A8" s="11"/>
      <c r="B8" s="11">
        <v>7</v>
      </c>
      <c r="C8" s="11" t="str">
        <f>IF(B8&gt;MAX('TRA-M'!A:A),"",INDEX('TRA-M'!B:B,MATCH(B8,'TRA-M'!A:A,0)))</f>
        <v>BLAKELY, Zachary</v>
      </c>
      <c r="D8" s="11" t="str">
        <f>IF(B8&gt;MAX('TRA-M'!A:A),"",INDEX('TRA-M'!I:I,MATCH(B8,'TRA-M'!A:A,0)))</f>
        <v>National Team</v>
      </c>
      <c r="G8" s="55"/>
    </row>
    <row r="9" spans="1:12" hidden="1" x14ac:dyDescent="0.2">
      <c r="A9" s="11"/>
      <c r="B9" s="11">
        <v>8</v>
      </c>
      <c r="C9" s="11" t="str">
        <f>IF(B9&gt;MAX('TRA-M'!A:A),"",INDEX('TRA-M'!B:B,MATCH(B9,'TRA-M'!A:A,0)))</f>
        <v/>
      </c>
      <c r="D9" s="11" t="str">
        <f>IF(B9&gt;MAX('TRA-M'!A:A),"",INDEX('TRA-M'!I:I,MATCH(B9,'TRA-M'!A:A,0)))</f>
        <v/>
      </c>
    </row>
    <row r="10" spans="1:12" x14ac:dyDescent="0.2">
      <c r="A10" s="14" t="s">
        <v>75</v>
      </c>
      <c r="B10" s="14">
        <v>1</v>
      </c>
      <c r="C10" s="14" t="str">
        <f>IF(B2&gt;MAX('TRA-W'!A:A),"",INDEX('TRA-W'!B:B,MATCH(B2,'TRA-W'!A:A,0)))</f>
        <v>MacLENNAN, Rosannagh</v>
      </c>
      <c r="D10" s="14" t="str">
        <f>IF(B2&gt;MAX('TRA-W'!A:A),"",INDEX('TRA-W'!I:I,MATCH(B2,'TRA-W'!A:A,0)))</f>
        <v>Merit</v>
      </c>
    </row>
    <row r="11" spans="1:12" x14ac:dyDescent="0.2">
      <c r="A11" s="14"/>
      <c r="B11" s="14">
        <v>2</v>
      </c>
      <c r="C11" s="14" t="str">
        <f>IF(B3&gt;MAX('TRA-W'!A:A),"",INDEX('TRA-W'!B:B,MATCH(B3,'TRA-W'!A:A,0)))</f>
        <v>MILETTE, Sarah</v>
      </c>
      <c r="D11" s="14" t="str">
        <f>IF(B3&gt;MAX('TRA-W'!A:A),"",INDEX('TRA-W'!I:I,MATCH(B3,'TRA-W'!A:A,0)))</f>
        <v>Merit</v>
      </c>
    </row>
    <row r="12" spans="1:12" x14ac:dyDescent="0.2">
      <c r="A12" s="14"/>
      <c r="B12" s="14">
        <v>3</v>
      </c>
      <c r="C12" s="14" t="str">
        <f>IF(B4&gt;MAX('TRA-W'!A:A),"",INDEX('TRA-W'!B:B,MATCH(B4,'TRA-W'!A:A,0)))</f>
        <v>MÉTHOT, Sophiane</v>
      </c>
      <c r="D12" s="14" t="str">
        <f>IF(B4&gt;MAX('TRA-W'!A:A),"",INDEX('TRA-W'!I:I,MATCH(B4,'TRA-W'!A:A,0)))</f>
        <v>Worlds Team</v>
      </c>
    </row>
    <row r="13" spans="1:12" x14ac:dyDescent="0.2">
      <c r="A13" s="14"/>
      <c r="B13" s="14">
        <v>4</v>
      </c>
      <c r="C13" s="14" t="str">
        <f>IF(B5&gt;MAX('TRA-W'!A:A),"",INDEX('TRA-W'!B:B,MATCH(B5,'TRA-W'!A:A,0)))</f>
        <v>SMITH, Samantha</v>
      </c>
      <c r="D13" s="14" t="str">
        <f>IF(B5&gt;MAX('TRA-W'!A:A),"",INDEX('TRA-W'!I:I,MATCH(B5,'TRA-W'!A:A,0)))</f>
        <v>Merit</v>
      </c>
    </row>
    <row r="14" spans="1:12" x14ac:dyDescent="0.2">
      <c r="A14" s="14"/>
      <c r="B14" s="14">
        <v>5</v>
      </c>
      <c r="C14" s="14" t="str">
        <f>IF(B6&gt;MAX('TRA-W'!A:A),"",INDEX('TRA-W'!B:B,MATCH(B6,'TRA-W'!A:A,0)))</f>
        <v>TAM, Rachel</v>
      </c>
      <c r="D14" s="14" t="str">
        <f>IF(B6&gt;MAX('TRA-W'!A:A),"",INDEX('TRA-W'!I:I,MATCH(B6,'TRA-W'!A:A,0)))</f>
        <v>Excellence</v>
      </c>
    </row>
    <row r="15" spans="1:12" x14ac:dyDescent="0.2">
      <c r="A15" s="14"/>
      <c r="B15" s="14">
        <v>6</v>
      </c>
      <c r="C15" s="14" t="str">
        <f>IF(B7&gt;MAX('TRA-W'!A:A),"",INDEX('TRA-W'!B:B,MATCH(B7,'TRA-W'!A:A,0)))</f>
        <v>CIRONE, Domenica</v>
      </c>
      <c r="D15" s="14" t="str">
        <f>IF(B7&gt;MAX('TRA-W'!A:A),"",INDEX('TRA-W'!I:I,MATCH(B7,'TRA-W'!A:A,0)))</f>
        <v>Worlds Team</v>
      </c>
    </row>
    <row r="16" spans="1:12" x14ac:dyDescent="0.2">
      <c r="A16" s="14"/>
      <c r="B16" s="14">
        <v>7</v>
      </c>
      <c r="C16" s="14" t="str">
        <f>IF(B8&gt;MAX('TRA-W'!A:A),"",INDEX('TRA-W'!B:B,MATCH(B8,'TRA-W'!A:A,0)))</f>
        <v>MADIGAN, Mariah</v>
      </c>
      <c r="D16" s="14" t="str">
        <f>IF(B8&gt;MAX('TRA-W'!A:A),"",INDEX('TRA-W'!I:I,MATCH(B8,'TRA-W'!A:A,0)))</f>
        <v>Worlds Team</v>
      </c>
      <c r="J16" s="54"/>
    </row>
    <row r="17" spans="1:10" hidden="1" x14ac:dyDescent="0.2">
      <c r="A17" s="14"/>
      <c r="B17" s="14">
        <v>8</v>
      </c>
      <c r="C17" s="14" t="str">
        <f>IF(B9&gt;MAX('TRA-W'!A:A),"",INDEX('TRA-W'!B:B,MATCH(B9,'TRA-W'!A:A,0)))</f>
        <v/>
      </c>
      <c r="D17" s="14" t="str">
        <f>IF(B9&gt;MAX('TRA-W'!A:A),"",INDEX('TRA-W'!I:I,MATCH(B9,'TRA-W'!A:A,0)))</f>
        <v/>
      </c>
      <c r="J17" s="54"/>
    </row>
    <row r="18" spans="1:10" x14ac:dyDescent="0.2">
      <c r="A18" s="11" t="s">
        <v>76</v>
      </c>
      <c r="B18" s="11">
        <v>1</v>
      </c>
      <c r="C18" s="11" t="str">
        <f>IF(B2&gt;MAX('SYN-M'!A:A),"",INDEX('SYN-M'!B:B,MATCH(B2,'SYN-M'!A:A,0)))</f>
        <v>CHARTIER &amp; SOEHN</v>
      </c>
      <c r="D18" s="11" t="str">
        <f>IF(B2&gt;MAX('SYN-M'!A:A),"",INDEX('SYN-M'!I:I,MATCH(B2,'SYN-M'!A:A,0)))</f>
        <v>National Team</v>
      </c>
      <c r="J18" s="54"/>
    </row>
    <row r="19" spans="1:10" x14ac:dyDescent="0.2">
      <c r="A19" s="11"/>
      <c r="B19" s="11">
        <v>2</v>
      </c>
      <c r="C19" s="11" t="str">
        <f>IF(B3&gt;MAX('SYN-M'!A:A),"",INDEX('SYN-M'!B:B,MATCH(B3,'SYN-M'!A:A,0)))</f>
        <v>BURNETT &amp; CRANHAM</v>
      </c>
      <c r="D19" s="11" t="str">
        <f>IF(B3&gt;MAX('SYN-M'!A:A),"",INDEX('SYN-M'!I:I,MATCH(B3,'SYN-M'!A:A,0)))</f>
        <v>Excellence</v>
      </c>
      <c r="J19" s="54"/>
    </row>
    <row r="20" spans="1:10" x14ac:dyDescent="0.2">
      <c r="A20" s="11"/>
      <c r="B20" s="11">
        <v>3</v>
      </c>
      <c r="C20" s="11" t="str">
        <f>IF(B4&gt;MAX('SYN-M'!A:A),"",INDEX('SYN-M'!B:B,MATCH(B4,'SYN-M'!A:A,0)))</f>
        <v>BURNETT &amp; CHARTIER</v>
      </c>
      <c r="D20" s="11" t="str">
        <f>IF(B4&gt;MAX('SYN-M'!A:A),"",INDEX('SYN-M'!I:I,MATCH(B4,'SYN-M'!A:A,0)))</f>
        <v>National Team</v>
      </c>
    </row>
    <row r="21" spans="1:10" x14ac:dyDescent="0.2">
      <c r="A21" s="11"/>
      <c r="B21" s="11">
        <v>4</v>
      </c>
      <c r="C21" s="11" t="str">
        <f>IF(B5&gt;MAX('SYN-M'!A:A),"",INDEX('SYN-M'!B:B,MATCH(B5,'SYN-M'!A:A,0)))</f>
        <v>SHUH &amp; SOEHN</v>
      </c>
      <c r="D21" s="11" t="str">
        <f>IF(B5&gt;MAX('SYN-M'!A:A),"",INDEX('SYN-M'!I:I,MATCH(B5,'SYN-M'!A:A,0)))</f>
        <v>National Team</v>
      </c>
    </row>
    <row r="22" spans="1:10" x14ac:dyDescent="0.2">
      <c r="A22" s="14" t="s">
        <v>77</v>
      </c>
      <c r="B22" s="14">
        <v>1</v>
      </c>
      <c r="C22" s="14" t="str">
        <f>IF(B2&gt;MAX('SYN-W'!A:A),"",INDEX('SYN-W'!B:B,MATCH(B2,'SYN-W'!A:A,0)))</f>
        <v>MILETTE &amp; TAM</v>
      </c>
      <c r="D22" s="14" t="str">
        <f>IF(B2&gt;MAX('SYN-W'!A:A),"",INDEX('SYN-W'!I:I,MATCH(B2,'SYN-W'!A:A,0)))</f>
        <v>National Team</v>
      </c>
    </row>
    <row r="23" spans="1:10" x14ac:dyDescent="0.2">
      <c r="A23" s="14"/>
      <c r="B23" s="14">
        <v>2</v>
      </c>
      <c r="C23" s="14" t="str">
        <f>IF(B3&gt;MAX('SYN-W'!A:A),"",INDEX('SYN-W'!B:B,MATCH(B3,'SYN-W'!A:A,0)))</f>
        <v>MACLENNAN &amp; MILETTE</v>
      </c>
      <c r="D23" s="14" t="str">
        <f>IF(B3&gt;MAX('SYN-W'!A:A),"",INDEX('SYN-W'!I:I,MATCH(B3,'SYN-W'!A:A,0)))</f>
        <v>Merit</v>
      </c>
    </row>
    <row r="24" spans="1:10" x14ac:dyDescent="0.2">
      <c r="A24" s="14"/>
      <c r="B24" s="14">
        <v>3</v>
      </c>
      <c r="C24" s="14" t="str">
        <f>IF(B4&gt;MAX('SYN-W'!A:A),"",INDEX('SYN-W'!B:B,MATCH(B4,'SYN-W'!A:A,0)))</f>
        <v>SMITH &amp; TAM</v>
      </c>
      <c r="D24" s="14" t="str">
        <f>IF(B4&gt;MAX('SYN-W'!A:A),"",INDEX('SYN-W'!I:I,MATCH(B4,'SYN-W'!A:A,0)))</f>
        <v>Excellence</v>
      </c>
    </row>
    <row r="25" spans="1:10" x14ac:dyDescent="0.2">
      <c r="A25" s="14"/>
      <c r="B25" s="14">
        <v>4</v>
      </c>
      <c r="C25" s="14" t="str">
        <f>IF(B5&gt;MAX('SYN-W'!A:A),"",INDEX('SYN-W'!B:B,MATCH(B5,'SYN-W'!A:A,0)))</f>
        <v>MÉTHOT &amp; TAM</v>
      </c>
      <c r="D25" s="14" t="str">
        <f>IF(B5&gt;MAX('SYN-W'!A:A),"",INDEX('SYN-W'!I:I,MATCH(B5,'SYN-W'!A:A,0)))</f>
        <v>National Team</v>
      </c>
    </row>
    <row r="26" spans="1:10" x14ac:dyDescent="0.2">
      <c r="A26" s="11" t="s">
        <v>78</v>
      </c>
      <c r="B26" s="11">
        <v>1</v>
      </c>
      <c r="C26" s="11" t="str">
        <f>IF(B2&gt;MAX('TUM-M'!A:A),"",INDEX('TUM-M'!B:B,MATCH(B2,'TUM-M'!A:A,0)))</f>
        <v>SCHWAIGER, Jonathon</v>
      </c>
      <c r="D26" s="11" t="str">
        <f>IF(B2&gt;MAX('TUM-M'!A:A),"",INDEX('TUM-M'!I:I,MATCH(B2,'TUM-M'!A:A,0)))</f>
        <v>Merit</v>
      </c>
    </row>
    <row r="27" spans="1:10" x14ac:dyDescent="0.2">
      <c r="A27" s="11"/>
      <c r="B27" s="11">
        <v>2</v>
      </c>
      <c r="C27" s="11" t="str">
        <f>IF(B3&gt;MAX('TUM-M'!A:A),"",INDEX('TUM-M'!B:B,MATCH(B3,'TUM-M'!A:A,0)))</f>
        <v>FERNANDES, Antonio</v>
      </c>
      <c r="D27" s="11" t="str">
        <f>IF(B3&gt;MAX('TUM-M'!A:A),"",INDEX('TUM-M'!I:I,MATCH(B3,'TUM-M'!A:A,0)))</f>
        <v>Worlds Team</v>
      </c>
    </row>
    <row r="28" spans="1:10" x14ac:dyDescent="0.2">
      <c r="A28" s="11"/>
      <c r="B28" s="11">
        <v>3</v>
      </c>
      <c r="C28" s="11" t="str">
        <f>IF(B4&gt;MAX('TUM-M'!A:A),"",INDEX('TUM-M'!B:B,MATCH(B4,'TUM-M'!A:A,0)))</f>
        <v>SUNDQUIST, Callum</v>
      </c>
      <c r="D28" s="11" t="str">
        <f>IF(B4&gt;MAX('TUM-M'!A:A),"",INDEX('TUM-M'!I:I,MATCH(B4,'TUM-M'!A:A,0)))</f>
        <v>Worlds Team</v>
      </c>
    </row>
    <row r="29" spans="1:10" x14ac:dyDescent="0.2">
      <c r="A29" s="11"/>
      <c r="B29" s="11">
        <v>4</v>
      </c>
      <c r="C29" s="11" t="str">
        <f>IF(B5&gt;MAX('TUM-M'!A:A),"",INDEX('TUM-M'!B:B,MATCH(B5,'TUM-M'!A:A,0)))</f>
        <v>CHAVES, Michael</v>
      </c>
      <c r="D29" s="11" t="str">
        <f>IF(B5&gt;MAX('TUM-M'!A:A),"",INDEX('TUM-M'!I:I,MATCH(B5,'TUM-M'!A:A,0)))</f>
        <v>Worlds Team</v>
      </c>
    </row>
    <row r="30" spans="1:10" hidden="1" x14ac:dyDescent="0.2">
      <c r="A30" s="11"/>
      <c r="B30" s="11">
        <v>5</v>
      </c>
      <c r="C30" s="11" t="str">
        <f>IF(B6&gt;MAX('TUM-M'!A:A),"",INDEX('TUM-M'!B:B,MATCH(B6,'TUM-M'!A:A,0)))</f>
        <v/>
      </c>
      <c r="D30" s="11" t="str">
        <f>IF(B6&gt;MAX('TUM-M'!A:A),"",INDEX('TUM-M'!I:I,MATCH(B6,'TUM-M'!A:A,0)))</f>
        <v/>
      </c>
    </row>
    <row r="31" spans="1:10" hidden="1" x14ac:dyDescent="0.2">
      <c r="A31" s="11"/>
      <c r="B31" s="11">
        <v>6</v>
      </c>
      <c r="C31" s="11" t="str">
        <f>IF(B7&gt;MAX('TUM-M'!A:A),"",INDEX('TUM-M'!B:B,MATCH(B7,'TUM-M'!A:A,0)))</f>
        <v/>
      </c>
      <c r="D31" s="11" t="str">
        <f>IF(B7&gt;MAX('TUM-M'!A:A),"",INDEX('TUM-M'!I:I,MATCH(B7,'TUM-M'!A:A,0)))</f>
        <v/>
      </c>
    </row>
    <row r="32" spans="1:10" hidden="1" x14ac:dyDescent="0.2">
      <c r="A32" s="11"/>
      <c r="B32" s="11">
        <v>7</v>
      </c>
      <c r="C32" s="11" t="str">
        <f>IF(B8&gt;MAX('TUM-M'!A:A),"",INDEX('TUM-M'!B:B,MATCH(B8,'TUM-M'!A:A,0)))</f>
        <v/>
      </c>
      <c r="D32" s="11" t="str">
        <f>IF(B8&gt;MAX('TUM-M'!A:A),"",INDEX('TUM-M'!I:I,MATCH(B8,'TUM-M'!A:A,0)))</f>
        <v/>
      </c>
    </row>
    <row r="33" spans="1:4" hidden="1" x14ac:dyDescent="0.2">
      <c r="A33" s="11"/>
      <c r="B33" s="11">
        <v>8</v>
      </c>
      <c r="C33" s="11" t="str">
        <f>IF(B9&gt;MAX('TUM-M'!A:A),"",INDEX('TUM-M'!B:B,MATCH(B9,'TUM-M'!A:A,0)))</f>
        <v/>
      </c>
      <c r="D33" s="11" t="str">
        <f>IF(B9&gt;MAX('TUM-M'!A:A),"",INDEX('TUM-M'!I:I,MATCH(B9,'TUM-M'!A:A,0)))</f>
        <v/>
      </c>
    </row>
    <row r="34" spans="1:4" x14ac:dyDescent="0.2">
      <c r="A34" s="14" t="s">
        <v>79</v>
      </c>
      <c r="B34" s="14">
        <v>1</v>
      </c>
      <c r="C34" s="14" t="str">
        <f>IF(B2&gt;MAX('TUM-W'!A:A),"",INDEX('TUM-W'!B:B,MATCH(B2,'TUM-W'!A:A,0)))</f>
        <v>SUGRIM, Jordan</v>
      </c>
      <c r="D34" s="14" t="str">
        <f>IF(B2&gt;MAX('TUM-W'!A:A),"",INDEX('TUM-W'!I:I,MATCH(B2,'TUM-W'!A:A,0)))</f>
        <v>Merit</v>
      </c>
    </row>
    <row r="35" spans="1:4" x14ac:dyDescent="0.2">
      <c r="A35" s="14"/>
      <c r="B35" s="14">
        <v>2</v>
      </c>
      <c r="C35" s="14" t="str">
        <f>IF(B3&gt;MAX('TUM-W'!A:A),"",INDEX('TUM-W'!B:B,MATCH(B3,'TUM-W'!A:A,0)))</f>
        <v>HIPEL, Zoe</v>
      </c>
      <c r="D35" s="14" t="str">
        <f>IF(B3&gt;MAX('TUM-W'!A:A),"",INDEX('TUM-W'!I:I,MATCH(B3,'TUM-W'!A:A,0)))</f>
        <v>Excellence</v>
      </c>
    </row>
    <row r="36" spans="1:4" hidden="1" x14ac:dyDescent="0.2">
      <c r="A36" s="14"/>
      <c r="B36" s="14">
        <v>3</v>
      </c>
      <c r="C36" s="14" t="str">
        <f>IF(B4&gt;MAX('TUM-W'!A:A),"",INDEX('TUM-W'!B:B,MATCH(B4,'TUM-W'!A:A,0)))</f>
        <v/>
      </c>
      <c r="D36" s="14" t="str">
        <f>IF(B4&gt;MAX('TUM-W'!A:A),"",INDEX('TUM-W'!I:I,MATCH(B4,'TUM-W'!A:A,0)))</f>
        <v/>
      </c>
    </row>
    <row r="37" spans="1:4" hidden="1" x14ac:dyDescent="0.2">
      <c r="A37" s="14"/>
      <c r="B37" s="14">
        <v>4</v>
      </c>
      <c r="C37" s="14" t="str">
        <f>IF(B5&gt;MAX('TUM-W'!A:A),"",INDEX('TUM-W'!B:B,MATCH(B5,'TUM-W'!A:A,0)))</f>
        <v/>
      </c>
      <c r="D37" s="14" t="str">
        <f>IF(B5&gt;MAX('TUM-W'!A:A),"",INDEX('TUM-W'!I:I,MATCH(B5,'TUM-W'!A:A,0)))</f>
        <v/>
      </c>
    </row>
    <row r="38" spans="1:4" hidden="1" x14ac:dyDescent="0.2">
      <c r="A38" s="14"/>
      <c r="B38" s="14">
        <v>5</v>
      </c>
      <c r="C38" s="14" t="str">
        <f>IF(B6&gt;MAX('TUM-W'!A:A),"",INDEX('TUM-W'!B:B,MATCH(B6,'TUM-W'!A:A,0)))</f>
        <v/>
      </c>
      <c r="D38" s="14" t="str">
        <f>IF(B6&gt;MAX('TUM-W'!A:A),"",INDEX('TUM-W'!I:I,MATCH(B6,'TUM-W'!A:A,0)))</f>
        <v/>
      </c>
    </row>
    <row r="39" spans="1:4" hidden="1" x14ac:dyDescent="0.2">
      <c r="A39" s="14"/>
      <c r="B39" s="14">
        <v>6</v>
      </c>
      <c r="C39" s="14" t="str">
        <f>IF(B7&gt;MAX('TUM-W'!A:A),"",INDEX('TUM-W'!B:B,MATCH(B7,'TUM-W'!A:A,0)))</f>
        <v/>
      </c>
      <c r="D39" s="14" t="str">
        <f>IF(B7&gt;MAX('TUM-W'!A:A),"",INDEX('TUM-W'!I:I,MATCH(B7,'TUM-W'!A:A,0)))</f>
        <v/>
      </c>
    </row>
    <row r="40" spans="1:4" hidden="1" x14ac:dyDescent="0.2">
      <c r="A40" s="14"/>
      <c r="B40" s="14">
        <v>7</v>
      </c>
      <c r="C40" s="14" t="str">
        <f>IF(B8&gt;MAX('TUM-W'!A:A),"",INDEX('TUM-W'!B:B,MATCH(B8,'TUM-W'!A:A,0)))</f>
        <v/>
      </c>
      <c r="D40" s="14" t="str">
        <f>IF(B8&gt;MAX('TUM-W'!A:A),"",INDEX('TUM-W'!I:I,MATCH(B8,'TUM-W'!A:A,0)))</f>
        <v/>
      </c>
    </row>
    <row r="41" spans="1:4" hidden="1" x14ac:dyDescent="0.2">
      <c r="A41" s="14"/>
      <c r="B41" s="14">
        <v>8</v>
      </c>
      <c r="C41" s="14" t="str">
        <f>IF(B9&gt;MAX('TUM-W'!A:A),"",INDEX('TUM-W'!B:B,MATCH(B9,'TUM-W'!A:A,0)))</f>
        <v/>
      </c>
      <c r="D41" s="14" t="str">
        <f>IF(B9&gt;MAX('TUM-W'!A:A),"",INDEX('TUM-W'!I:I,MATCH(B9,'TUM-W'!A:A,0)))</f>
        <v/>
      </c>
    </row>
    <row r="42" spans="1:4" x14ac:dyDescent="0.2">
      <c r="A42" s="11" t="s">
        <v>80</v>
      </c>
      <c r="B42" s="11">
        <v>1</v>
      </c>
      <c r="C42" s="11" t="str">
        <f>IF(B2&gt;MAX('DMT-M'!A:A),"",INDEX('DMT-M'!B:B,MATCH(B2,'DMT-M'!A:A,0)))</f>
        <v>SCHWAIGER, Jonathon</v>
      </c>
      <c r="D42" s="11" t="str">
        <f>IF(B2&gt;MAX('DMT-M'!A:A),"",INDEX('DMT-M'!I:I,MATCH(B2,'DMT-M'!A:A,0)))</f>
        <v>Excellence</v>
      </c>
    </row>
    <row r="43" spans="1:4" x14ac:dyDescent="0.2">
      <c r="A43" s="11"/>
      <c r="B43" s="11">
        <v>2</v>
      </c>
      <c r="C43" s="11" t="str">
        <f>IF(B3&gt;MAX('DMT-M'!A:A),"",INDEX('DMT-M'!B:B,MATCH(B3,'DMT-M'!A:A,0)))</f>
        <v>BRUNO, Mario</v>
      </c>
      <c r="D43" s="11" t="str">
        <f>IF(B3&gt;MAX('DMT-M'!A:A),"",INDEX('DMT-M'!I:I,MATCH(B3,'DMT-M'!A:A,0)))</f>
        <v>Excellence</v>
      </c>
    </row>
    <row r="44" spans="1:4" x14ac:dyDescent="0.2">
      <c r="A44" s="11"/>
      <c r="B44" s="11">
        <v>3</v>
      </c>
      <c r="C44" s="11" t="str">
        <f>IF(B4&gt;MAX('DMT-M'!A:A),"",INDEX('DMT-M'!B:B,MATCH(B4,'DMT-M'!A:A,0)))</f>
        <v>ARMSTRONG, Mark</v>
      </c>
      <c r="D44" s="11" t="str">
        <f>IF(B4&gt;MAX('DMT-M'!A:A),"",INDEX('DMT-M'!I:I,MATCH(B4,'DMT-M'!A:A,0)))</f>
        <v>National Team</v>
      </c>
    </row>
    <row r="45" spans="1:4" x14ac:dyDescent="0.2">
      <c r="A45" s="11"/>
      <c r="B45" s="11">
        <v>4</v>
      </c>
      <c r="C45" s="11" t="str">
        <f>IF(B5&gt;MAX('DMT-M'!A:A),"",INDEX('DMT-M'!B:B,MATCH(B5,'DMT-M'!A:A,0)))</f>
        <v>CHATEAUVERT, Émile</v>
      </c>
      <c r="D45" s="11" t="str">
        <f>IF(B5&gt;MAX('DMT-M'!A:A),"",INDEX('DMT-M'!I:I,MATCH(B5,'DMT-M'!A:A,0)))</f>
        <v>National Team</v>
      </c>
    </row>
    <row r="46" spans="1:4" x14ac:dyDescent="0.2">
      <c r="A46" s="11"/>
      <c r="B46" s="11">
        <v>5</v>
      </c>
      <c r="C46" s="11" t="str">
        <f>IF(B6&gt;MAX('DMT-M'!A:A),"",INDEX('DMT-M'!B:B,MATCH(B6,'DMT-M'!A:A,0)))</f>
        <v>DAWSON, David</v>
      </c>
      <c r="D46" s="11" t="str">
        <f>IF(B6&gt;MAX('DMT-M'!A:A),"",INDEX('DMT-M'!I:I,MATCH(B6,'DMT-M'!A:A,0)))</f>
        <v>No DD</v>
      </c>
    </row>
    <row r="47" spans="1:4" x14ac:dyDescent="0.2">
      <c r="A47" s="11"/>
      <c r="B47" s="11">
        <v>6</v>
      </c>
      <c r="C47" s="11" t="str">
        <f>IF(B7&gt;MAX('DMT-M'!A:A),"",INDEX('DMT-M'!B:B,MATCH(B7,'DMT-M'!A:A,0)))</f>
        <v>CHAMPAGNE, Tyler</v>
      </c>
      <c r="D47" s="11" t="str">
        <f>IF(B7&gt;MAX('DMT-M'!A:A),"",INDEX('DMT-M'!I:I,MATCH(B7,'DMT-M'!A:A,0)))</f>
        <v>No DD</v>
      </c>
    </row>
    <row r="48" spans="1:4" x14ac:dyDescent="0.2">
      <c r="A48" s="11"/>
      <c r="B48" s="11">
        <v>7</v>
      </c>
      <c r="C48" s="11" t="str">
        <f>IF(B8&gt;MAX('DMT-M'!A:A),"",INDEX('DMT-M'!B:B,MATCH(B8,'DMT-M'!A:A,0)))</f>
        <v>LEFAIVRE, Justin</v>
      </c>
      <c r="D48" s="11" t="str">
        <f>IF(B8&gt;MAX('DMT-M'!A:A),"",INDEX('DMT-M'!I:I,MATCH(B8,'DMT-M'!A:A,0)))</f>
        <v>No DD</v>
      </c>
    </row>
    <row r="49" spans="1:5" hidden="1" x14ac:dyDescent="0.2">
      <c r="A49" s="11"/>
      <c r="B49" s="11">
        <v>8</v>
      </c>
      <c r="C49" s="11" t="str">
        <f>IF(B9&gt;MAX('DMT-M'!A:A),"",INDEX('DMT-M'!B:B,MATCH(B9,'DMT-M'!A:A,0)))</f>
        <v/>
      </c>
      <c r="D49" s="11" t="str">
        <f>IF(B9&gt;MAX('DMT-M'!A:A),"",INDEX('DMT-M'!I:I,MATCH(B9,'DMT-M'!A:A,0)))</f>
        <v/>
      </c>
    </row>
    <row r="50" spans="1:5" x14ac:dyDescent="0.2">
      <c r="A50" s="14" t="s">
        <v>81</v>
      </c>
      <c r="B50" s="14">
        <v>1</v>
      </c>
      <c r="C50" s="14" t="str">
        <f>IF(B2&gt;MAX('DMT-W'!A:A),"",INDEX('DMT-W'!B:B,MATCH(B2,'DMT-W'!A:A,0)))</f>
        <v>MILLER-BURKO, Jordyn</v>
      </c>
      <c r="D50" s="14" t="str">
        <f>IF(B2&gt;MAX('DMT-W'!A:A),"",INDEX('DMT-W'!I:I,MATCH(B2,'DMT-W'!A:A,0)))</f>
        <v>Merit</v>
      </c>
    </row>
    <row r="51" spans="1:5" x14ac:dyDescent="0.2">
      <c r="A51" s="14"/>
      <c r="B51" s="14">
        <v>2</v>
      </c>
      <c r="C51" s="14" t="str">
        <f>IF(B3&gt;MAX('DMT-W'!A:A),"",INDEX('DMT-W'!B:B,MATCH(B3,'DMT-W'!A:A,0)))</f>
        <v>ROUX, Laurence</v>
      </c>
      <c r="D51" s="14" t="str">
        <f>IF(B3&gt;MAX('DMT-W'!A:A),"",INDEX('DMT-W'!I:I,MATCH(B3,'DMT-W'!A:A,0)))</f>
        <v>Merit</v>
      </c>
    </row>
    <row r="52" spans="1:5" x14ac:dyDescent="0.2">
      <c r="A52" s="14"/>
      <c r="B52" s="14">
        <v>3</v>
      </c>
      <c r="C52" s="14" t="str">
        <f>IF(B4&gt;MAX('DMT-W'!A:A),"",INDEX('DMT-W'!B:B,MATCH(B4,'DMT-W'!A:A,0)))</f>
        <v>SOEHN, Kalena</v>
      </c>
      <c r="D52" s="14" t="str">
        <f>IF(B4&gt;MAX('DMT-W'!A:A),"",INDEX('DMT-W'!I:I,MATCH(B4,'DMT-W'!A:A,0)))</f>
        <v>Excellence</v>
      </c>
    </row>
    <row r="53" spans="1:5" x14ac:dyDescent="0.2">
      <c r="A53" s="14"/>
      <c r="B53" s="14">
        <v>4</v>
      </c>
      <c r="C53" s="14" t="str">
        <f>IF(B5&gt;MAX('DMT-W'!A:A),"",INDEX('DMT-W'!B:B,MATCH(B5,'DMT-W'!A:A,0)))</f>
        <v>GRIEVE, Danielle</v>
      </c>
      <c r="D53" s="14" t="str">
        <f>IF(B5&gt;MAX('DMT-W'!A:A),"",INDEX('DMT-W'!I:I,MATCH(B5,'DMT-W'!A:A,0)))</f>
        <v>Merit</v>
      </c>
    </row>
    <row r="54" spans="1:5" x14ac:dyDescent="0.2">
      <c r="A54" s="14"/>
      <c r="B54" s="14">
        <v>5</v>
      </c>
      <c r="C54" s="14" t="str">
        <f>IF(B6&gt;MAX('DMT-W'!A:A),"",INDEX('DMT-W'!B:B,MATCH(B6,'DMT-W'!A:A,0)))</f>
        <v>NAKONECHNI, Haley</v>
      </c>
      <c r="D54" s="14" t="str">
        <f>IF(B6&gt;MAX('DMT-W'!A:A),"",INDEX('DMT-W'!I:I,MATCH(B6,'DMT-W'!A:A,0)))</f>
        <v>National Team</v>
      </c>
    </row>
    <row r="55" spans="1:5" hidden="1" x14ac:dyDescent="0.2">
      <c r="A55" s="14"/>
      <c r="B55" s="14">
        <v>6</v>
      </c>
      <c r="C55" s="14" t="str">
        <f>IF(B7&gt;MAX('DMT-W'!A:A),"",INDEX('DMT-W'!B:B,MATCH(B7,'DMT-W'!A:A,0)))</f>
        <v/>
      </c>
      <c r="D55" s="14" t="str">
        <f>IF(B7&gt;MAX('DMT-W'!A:A),"",INDEX('DMT-W'!I:I,MATCH(B7,'DMT-W'!A:A,0)))</f>
        <v/>
      </c>
    </row>
    <row r="56" spans="1:5" hidden="1" x14ac:dyDescent="0.2">
      <c r="A56" s="14"/>
      <c r="B56" s="14">
        <v>7</v>
      </c>
      <c r="C56" s="14" t="str">
        <f>IF(B8&gt;MAX('DMT-W'!A:A),"",INDEX('DMT-W'!B:B,MATCH(B8,'DMT-W'!A:A,0)))</f>
        <v/>
      </c>
      <c r="D56" s="14" t="str">
        <f>IF(B8&gt;MAX('DMT-W'!A:A),"",INDEX('DMT-W'!I:I,MATCH(B8,'DMT-W'!A:A,0)))</f>
        <v/>
      </c>
    </row>
    <row r="57" spans="1:5" hidden="1" x14ac:dyDescent="0.2">
      <c r="A57" s="14"/>
      <c r="B57" s="14">
        <v>8</v>
      </c>
      <c r="C57" s="14" t="str">
        <f>IF(B9&gt;MAX('DMT-W'!A:A),"",INDEX('DMT-W'!B:B,MATCH(B9,'DMT-W'!A:A,0)))</f>
        <v/>
      </c>
      <c r="D57" s="14" t="str">
        <f>IF(B9&gt;MAX('DMT-W'!A:A),"",INDEX('DMT-W'!I:I,MATCH(B9,'DMT-W'!A:A,0)))</f>
        <v/>
      </c>
    </row>
    <row r="59" spans="1:5" x14ac:dyDescent="0.2">
      <c r="B59" s="54" t="s">
        <v>67</v>
      </c>
    </row>
    <row r="60" spans="1:5" x14ac:dyDescent="0.2">
      <c r="B60" s="54" t="s">
        <v>65</v>
      </c>
    </row>
    <row r="61" spans="1:5" x14ac:dyDescent="0.2">
      <c r="B61" s="54" t="s">
        <v>66</v>
      </c>
    </row>
    <row r="62" spans="1:5" x14ac:dyDescent="0.2">
      <c r="B62" s="28" t="s">
        <v>110</v>
      </c>
      <c r="D62" s="54" t="s">
        <v>108</v>
      </c>
    </row>
    <row r="63" spans="1:5" x14ac:dyDescent="0.2">
      <c r="B63" s="28" t="s">
        <v>181</v>
      </c>
      <c r="D63" s="54" t="s">
        <v>108</v>
      </c>
      <c r="E63" t="s">
        <v>108</v>
      </c>
    </row>
    <row r="64" spans="1:5" x14ac:dyDescent="0.2">
      <c r="B64" s="54" t="s">
        <v>109</v>
      </c>
      <c r="D64" s="54"/>
    </row>
    <row r="65" spans="1:4" x14ac:dyDescent="0.2">
      <c r="B65" s="54" t="s">
        <v>212</v>
      </c>
      <c r="D65" s="54"/>
    </row>
    <row r="66" spans="1:4" x14ac:dyDescent="0.2">
      <c r="A66" t="s">
        <v>74</v>
      </c>
      <c r="B66" s="119">
        <v>43762</v>
      </c>
      <c r="C66" s="119"/>
    </row>
    <row r="67" spans="1:4" x14ac:dyDescent="0.2">
      <c r="B67" s="116" t="s">
        <v>209</v>
      </c>
    </row>
    <row r="68" spans="1:4" x14ac:dyDescent="0.2">
      <c r="B68" s="116" t="s">
        <v>213</v>
      </c>
    </row>
    <row r="69" spans="1:4" x14ac:dyDescent="0.2">
      <c r="B69" s="54"/>
    </row>
    <row r="70" spans="1:4" x14ac:dyDescent="0.2">
      <c r="B70" s="54"/>
    </row>
    <row r="71" spans="1:4" x14ac:dyDescent="0.2">
      <c r="B71" s="54"/>
    </row>
  </sheetData>
  <sheetProtection formatCells="0" formatColumns="0" formatRows="0"/>
  <mergeCells count="1">
    <mergeCell ref="B66:C66"/>
  </mergeCells>
  <conditionalFormatting sqref="D2:D57">
    <cfRule type="containsText" dxfId="209" priority="1" operator="containsText" text="No DD">
      <formula>NOT(ISERROR(SEARCH("No DD",D2)))</formula>
    </cfRule>
    <cfRule type="containsText" dxfId="208" priority="4" operator="containsText" text="Merit">
      <formula>NOT(ISERROR(SEARCH("Merit",D2)))</formula>
    </cfRule>
    <cfRule type="containsText" dxfId="207" priority="5" operator="containsText" text="Excellence">
      <formula>NOT(ISERROR(SEARCH("Excellence",D2)))</formula>
    </cfRule>
    <cfRule type="containsText" dxfId="206" priority="6" operator="containsText" text="Worlds Team">
      <formula>NOT(ISERROR(SEARCH("Worlds Team",D2)))</formula>
    </cfRule>
    <cfRule type="containsText" dxfId="205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S5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" customWidth="1"/>
    <col min="7" max="7" width="14.6640625" customWidth="1"/>
    <col min="9" max="9" width="13.33203125" bestFit="1" customWidth="1"/>
    <col min="10" max="10" width="10.83203125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43.5" bestFit="1" customWidth="1"/>
    <col min="21" max="36" width="10.83203125" hidden="1" customWidth="1"/>
    <col min="37" max="43" width="10.83203125" customWidth="1"/>
    <col min="44" max="59" width="10.83203125" hidden="1" customWidth="1"/>
    <col min="60" max="66" width="10.83203125" customWidth="1"/>
    <col min="70" max="70" width="10.83203125" customWidth="1"/>
    <col min="71" max="85" width="10.83203125" hidden="1" customWidth="1"/>
    <col min="86" max="92" width="10.83203125" customWidth="1"/>
    <col min="93" max="107" width="10.83203125" hidden="1" customWidth="1"/>
    <col min="108" max="114" width="10.83203125" customWidth="1"/>
    <col min="115" max="129" width="10.83203125" hidden="1" customWidth="1"/>
    <col min="130" max="136" width="10.83203125" customWidth="1"/>
    <col min="137" max="151" width="10.83203125" hidden="1" customWidth="1"/>
    <col min="152" max="158" width="10.83203125" customWidth="1"/>
    <col min="159" max="173" width="10.83203125" hidden="1" customWidth="1"/>
    <col min="174" max="180" width="10.83203125" customWidth="1"/>
    <col min="181" max="195" width="10.83203125" hidden="1" customWidth="1"/>
    <col min="196" max="202" width="10.83203125" customWidth="1"/>
    <col min="203" max="217" width="10.83203125" hidden="1" customWidth="1"/>
    <col min="218" max="224" width="10.83203125" customWidth="1"/>
    <col min="225" max="239" width="10.83203125" hidden="1" customWidth="1"/>
    <col min="240" max="246" width="10.83203125" customWidth="1"/>
    <col min="247" max="261" width="10.83203125" hidden="1" customWidth="1"/>
    <col min="262" max="357" width="10.83203125" customWidth="1"/>
  </cols>
  <sheetData>
    <row r="1" spans="1:357" x14ac:dyDescent="0.2">
      <c r="A1" s="124" t="s">
        <v>1</v>
      </c>
      <c r="B1" s="124" t="s">
        <v>41</v>
      </c>
      <c r="C1" s="124" t="s">
        <v>0</v>
      </c>
      <c r="D1" s="124" t="s">
        <v>102</v>
      </c>
      <c r="E1" s="124" t="s">
        <v>2</v>
      </c>
      <c r="F1" s="125" t="s">
        <v>85</v>
      </c>
      <c r="G1" s="125" t="s">
        <v>84</v>
      </c>
      <c r="H1" s="124" t="s">
        <v>15</v>
      </c>
      <c r="I1" s="124" t="s">
        <v>16</v>
      </c>
      <c r="J1" s="126" t="s">
        <v>17</v>
      </c>
      <c r="K1" s="126" t="s">
        <v>62</v>
      </c>
      <c r="L1" s="126" t="s">
        <v>18</v>
      </c>
      <c r="M1" s="126" t="s">
        <v>62</v>
      </c>
      <c r="N1" s="126" t="s">
        <v>19</v>
      </c>
      <c r="O1" s="126" t="s">
        <v>62</v>
      </c>
      <c r="P1" s="126" t="s">
        <v>20</v>
      </c>
      <c r="Q1" s="126" t="s">
        <v>62</v>
      </c>
      <c r="R1" s="127" t="s">
        <v>21</v>
      </c>
      <c r="S1" s="126" t="s">
        <v>63</v>
      </c>
      <c r="T1" s="126" t="s">
        <v>62</v>
      </c>
      <c r="U1" s="120" t="s">
        <v>166</v>
      </c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  <c r="AK1" s="120"/>
      <c r="AL1" s="120"/>
      <c r="AM1" s="120"/>
      <c r="AN1" s="120"/>
      <c r="AO1" s="120"/>
      <c r="AP1" s="120"/>
      <c r="AQ1" s="120"/>
      <c r="AR1" s="123" t="s">
        <v>184</v>
      </c>
      <c r="AS1" s="123"/>
      <c r="AT1" s="123"/>
      <c r="AU1" s="123"/>
      <c r="AV1" s="123"/>
      <c r="AW1" s="123"/>
      <c r="AX1" s="123"/>
      <c r="AY1" s="123"/>
      <c r="AZ1" s="123"/>
      <c r="BA1" s="123"/>
      <c r="BB1" s="123"/>
      <c r="BC1" s="123"/>
      <c r="BD1" s="123"/>
      <c r="BE1" s="123"/>
      <c r="BF1" s="123"/>
      <c r="BG1" s="123"/>
      <c r="BH1" s="123"/>
      <c r="BI1" s="123"/>
      <c r="BJ1" s="123"/>
      <c r="BK1" s="123"/>
      <c r="BL1" s="123"/>
      <c r="BM1" s="123"/>
      <c r="BN1" s="123"/>
      <c r="BO1" s="128" t="s">
        <v>21</v>
      </c>
      <c r="BP1" s="128"/>
      <c r="BQ1" s="128"/>
      <c r="BR1" s="128"/>
      <c r="BS1" s="120" t="s">
        <v>120</v>
      </c>
      <c r="BT1" s="120"/>
      <c r="BU1" s="120"/>
      <c r="BV1" s="120"/>
      <c r="BW1" s="120"/>
      <c r="BX1" s="120"/>
      <c r="BY1" s="120"/>
      <c r="BZ1" s="120"/>
      <c r="CA1" s="120"/>
      <c r="CB1" s="120"/>
      <c r="CC1" s="120"/>
      <c r="CD1" s="120"/>
      <c r="CE1" s="120"/>
      <c r="CF1" s="120"/>
      <c r="CG1" s="120"/>
      <c r="CH1" s="120"/>
      <c r="CI1" s="120"/>
      <c r="CJ1" s="120"/>
      <c r="CK1" s="120"/>
      <c r="CL1" s="120"/>
      <c r="CM1" s="120"/>
      <c r="CN1" s="120"/>
      <c r="CO1" s="123" t="s">
        <v>132</v>
      </c>
      <c r="CP1" s="123"/>
      <c r="CQ1" s="123"/>
      <c r="CR1" s="123"/>
      <c r="CS1" s="123"/>
      <c r="CT1" s="123"/>
      <c r="CU1" s="123"/>
      <c r="CV1" s="123"/>
      <c r="CW1" s="123"/>
      <c r="CX1" s="123"/>
      <c r="CY1" s="123"/>
      <c r="CZ1" s="123"/>
      <c r="DA1" s="123"/>
      <c r="DB1" s="123"/>
      <c r="DC1" s="123"/>
      <c r="DD1" s="123"/>
      <c r="DE1" s="123"/>
      <c r="DF1" s="123"/>
      <c r="DG1" s="123"/>
      <c r="DH1" s="123"/>
      <c r="DI1" s="123"/>
      <c r="DJ1" s="123"/>
      <c r="DK1" s="120" t="s">
        <v>145</v>
      </c>
      <c r="DL1" s="120"/>
      <c r="DM1" s="120"/>
      <c r="DN1" s="120"/>
      <c r="DO1" s="120"/>
      <c r="DP1" s="120"/>
      <c r="DQ1" s="120"/>
      <c r="DR1" s="120"/>
      <c r="DS1" s="120"/>
      <c r="DT1" s="120"/>
      <c r="DU1" s="120"/>
      <c r="DV1" s="120"/>
      <c r="DW1" s="120"/>
      <c r="DX1" s="120"/>
      <c r="DY1" s="120"/>
      <c r="DZ1" s="120"/>
      <c r="EA1" s="120"/>
      <c r="EB1" s="120"/>
      <c r="EC1" s="120"/>
      <c r="ED1" s="120"/>
      <c r="EE1" s="120"/>
      <c r="EF1" s="120"/>
      <c r="EG1" s="123" t="s">
        <v>158</v>
      </c>
      <c r="EH1" s="123"/>
      <c r="EI1" s="123"/>
      <c r="EJ1" s="123"/>
      <c r="EK1" s="123"/>
      <c r="EL1" s="123"/>
      <c r="EM1" s="123"/>
      <c r="EN1" s="123"/>
      <c r="EO1" s="123"/>
      <c r="EP1" s="123"/>
      <c r="EQ1" s="123"/>
      <c r="ER1" s="123"/>
      <c r="ES1" s="123"/>
      <c r="ET1" s="123"/>
      <c r="EU1" s="123"/>
      <c r="EV1" s="123"/>
      <c r="EW1" s="123"/>
      <c r="EX1" s="123"/>
      <c r="EY1" s="123"/>
      <c r="EZ1" s="123"/>
      <c r="FA1" s="123"/>
      <c r="FB1" s="123"/>
      <c r="FC1" s="120" t="s">
        <v>162</v>
      </c>
      <c r="FD1" s="120"/>
      <c r="FE1" s="120"/>
      <c r="FF1" s="120"/>
      <c r="FG1" s="120"/>
      <c r="FH1" s="120"/>
      <c r="FI1" s="120"/>
      <c r="FJ1" s="120"/>
      <c r="FK1" s="120"/>
      <c r="FL1" s="120"/>
      <c r="FM1" s="120"/>
      <c r="FN1" s="120"/>
      <c r="FO1" s="120"/>
      <c r="FP1" s="120"/>
      <c r="FQ1" s="120"/>
      <c r="FR1" s="120"/>
      <c r="FS1" s="120"/>
      <c r="FT1" s="120"/>
      <c r="FU1" s="120"/>
      <c r="FV1" s="120"/>
      <c r="FW1" s="120"/>
      <c r="FX1" s="120"/>
      <c r="FY1" s="123" t="s">
        <v>183</v>
      </c>
      <c r="FZ1" s="123"/>
      <c r="GA1" s="123"/>
      <c r="GB1" s="123"/>
      <c r="GC1" s="123"/>
      <c r="GD1" s="123"/>
      <c r="GE1" s="123"/>
      <c r="GF1" s="123"/>
      <c r="GG1" s="123"/>
      <c r="GH1" s="123"/>
      <c r="GI1" s="123"/>
      <c r="GJ1" s="123"/>
      <c r="GK1" s="123"/>
      <c r="GL1" s="123"/>
      <c r="GM1" s="123"/>
      <c r="GN1" s="123"/>
      <c r="GO1" s="123"/>
      <c r="GP1" s="123"/>
      <c r="GQ1" s="123"/>
      <c r="GR1" s="123"/>
      <c r="GS1" s="123"/>
      <c r="GT1" s="123"/>
      <c r="GU1" s="120" t="s">
        <v>199</v>
      </c>
      <c r="GV1" s="120"/>
      <c r="GW1" s="120"/>
      <c r="GX1" s="120"/>
      <c r="GY1" s="120"/>
      <c r="GZ1" s="120"/>
      <c r="HA1" s="120"/>
      <c r="HB1" s="120"/>
      <c r="HC1" s="120"/>
      <c r="HD1" s="120"/>
      <c r="HE1" s="120"/>
      <c r="HF1" s="120"/>
      <c r="HG1" s="120"/>
      <c r="HH1" s="120"/>
      <c r="HI1" s="120"/>
      <c r="HJ1" s="120"/>
      <c r="HK1" s="120"/>
      <c r="HL1" s="120"/>
      <c r="HM1" s="120"/>
      <c r="HN1" s="120"/>
      <c r="HO1" s="120"/>
      <c r="HP1" s="120"/>
      <c r="HQ1" s="123" t="s">
        <v>200</v>
      </c>
      <c r="HR1" s="123"/>
      <c r="HS1" s="123"/>
      <c r="HT1" s="123"/>
      <c r="HU1" s="123"/>
      <c r="HV1" s="123"/>
      <c r="HW1" s="123"/>
      <c r="HX1" s="123"/>
      <c r="HY1" s="123"/>
      <c r="HZ1" s="123"/>
      <c r="IA1" s="123"/>
      <c r="IB1" s="123"/>
      <c r="IC1" s="123"/>
      <c r="ID1" s="123"/>
      <c r="IE1" s="123"/>
      <c r="IF1" s="123"/>
      <c r="IG1" s="123"/>
      <c r="IH1" s="123"/>
      <c r="II1" s="123"/>
      <c r="IJ1" s="123"/>
      <c r="IK1" s="123"/>
      <c r="IL1" s="123"/>
      <c r="IM1" s="120" t="s">
        <v>210</v>
      </c>
      <c r="IN1" s="120"/>
      <c r="IO1" s="120"/>
      <c r="IP1" s="120"/>
      <c r="IQ1" s="120"/>
      <c r="IR1" s="120"/>
      <c r="IS1" s="120"/>
      <c r="IT1" s="120"/>
      <c r="IU1" s="120"/>
      <c r="IV1" s="120"/>
      <c r="IW1" s="120"/>
      <c r="IX1" s="120"/>
      <c r="IY1" s="120"/>
      <c r="IZ1" s="120"/>
      <c r="JA1" s="120"/>
      <c r="JB1" s="120"/>
      <c r="JC1" s="120"/>
      <c r="JD1" s="120"/>
      <c r="JE1" s="120"/>
      <c r="JF1" s="120"/>
      <c r="JG1" s="120"/>
      <c r="JH1" s="120"/>
      <c r="JI1" s="123"/>
      <c r="JJ1" s="123"/>
      <c r="JK1" s="123"/>
      <c r="JL1" s="123"/>
      <c r="JM1" s="123"/>
      <c r="JN1" s="123"/>
      <c r="JO1" s="123"/>
      <c r="JP1" s="123"/>
      <c r="JQ1" s="123"/>
      <c r="JR1" s="123"/>
      <c r="JS1" s="123"/>
      <c r="JT1" s="123"/>
      <c r="JU1" s="123"/>
      <c r="JV1" s="123"/>
      <c r="JW1" s="123"/>
      <c r="JX1" s="123"/>
      <c r="JY1" s="123"/>
      <c r="JZ1" s="123"/>
      <c r="KA1" s="123"/>
      <c r="KB1" s="123"/>
      <c r="KC1" s="123"/>
      <c r="KD1" s="123"/>
      <c r="KE1" s="120"/>
      <c r="KF1" s="120"/>
      <c r="KG1" s="120"/>
      <c r="KH1" s="120"/>
      <c r="KI1" s="120"/>
      <c r="KJ1" s="120"/>
      <c r="KK1" s="120"/>
      <c r="KL1" s="120"/>
      <c r="KM1" s="120"/>
      <c r="KN1" s="120"/>
      <c r="KO1" s="120"/>
      <c r="KP1" s="120"/>
      <c r="KQ1" s="120"/>
      <c r="KR1" s="120"/>
      <c r="KS1" s="120"/>
      <c r="KT1" s="120"/>
      <c r="KU1" s="120"/>
      <c r="KV1" s="120"/>
      <c r="KW1" s="120"/>
      <c r="KX1" s="120"/>
      <c r="KY1" s="120"/>
      <c r="KZ1" s="120"/>
      <c r="LA1" s="123"/>
      <c r="LB1" s="123"/>
      <c r="LC1" s="123"/>
      <c r="LD1" s="123"/>
      <c r="LE1" s="123"/>
      <c r="LF1" s="123"/>
      <c r="LG1" s="123"/>
      <c r="LH1" s="123"/>
      <c r="LI1" s="123"/>
      <c r="LJ1" s="123"/>
      <c r="LK1" s="123"/>
      <c r="LL1" s="123"/>
      <c r="LM1" s="123"/>
      <c r="LN1" s="123"/>
      <c r="LO1" s="123"/>
      <c r="LP1" s="123"/>
      <c r="LQ1" s="123"/>
      <c r="LR1" s="123"/>
      <c r="LS1" s="123"/>
      <c r="LT1" s="123"/>
      <c r="LU1" s="123"/>
      <c r="LV1" s="123"/>
      <c r="LW1" s="120" t="s">
        <v>161</v>
      </c>
      <c r="LX1" s="120"/>
      <c r="LY1" s="120"/>
      <c r="LZ1" s="120"/>
      <c r="MA1" s="120"/>
      <c r="MB1" s="120"/>
      <c r="MC1" s="120"/>
      <c r="MD1" s="120"/>
      <c r="ME1" s="120"/>
      <c r="MF1" s="120"/>
      <c r="MG1" s="120"/>
      <c r="MH1" s="120"/>
      <c r="MI1" s="120"/>
      <c r="MJ1" s="120"/>
      <c r="MK1" s="120"/>
      <c r="ML1" s="120"/>
      <c r="MM1" s="120"/>
      <c r="MN1" s="120"/>
      <c r="MO1" s="120"/>
      <c r="MP1" s="120"/>
      <c r="MQ1" s="120"/>
      <c r="MR1" s="120"/>
      <c r="MS1" s="120"/>
    </row>
    <row r="2" spans="1:357" x14ac:dyDescent="0.2">
      <c r="A2" s="124"/>
      <c r="B2" s="124"/>
      <c r="C2" s="124"/>
      <c r="D2" s="124"/>
      <c r="E2" s="124"/>
      <c r="F2" s="125"/>
      <c r="G2" s="125"/>
      <c r="H2" s="124"/>
      <c r="I2" s="124"/>
      <c r="J2" s="126"/>
      <c r="K2" s="126"/>
      <c r="L2" s="126"/>
      <c r="M2" s="126"/>
      <c r="N2" s="126"/>
      <c r="O2" s="126"/>
      <c r="P2" s="126"/>
      <c r="Q2" s="126"/>
      <c r="R2" s="127"/>
      <c r="S2" s="126"/>
      <c r="T2" s="126"/>
      <c r="U2" s="121" t="s">
        <v>26</v>
      </c>
      <c r="V2" s="121"/>
      <c r="W2" s="121"/>
      <c r="X2" s="121"/>
      <c r="Y2" s="121"/>
      <c r="Z2" s="121" t="s">
        <v>27</v>
      </c>
      <c r="AA2" s="121"/>
      <c r="AB2" s="121"/>
      <c r="AC2" s="121"/>
      <c r="AD2" s="121"/>
      <c r="AE2" s="121" t="s">
        <v>30</v>
      </c>
      <c r="AF2" s="121"/>
      <c r="AG2" s="121"/>
      <c r="AH2" s="121"/>
      <c r="AI2" s="121"/>
      <c r="AJ2" s="79"/>
      <c r="AK2" s="37" t="s">
        <v>146</v>
      </c>
      <c r="AL2" s="10" t="s">
        <v>28</v>
      </c>
      <c r="AM2" s="10" t="s">
        <v>29</v>
      </c>
      <c r="AN2" s="10" t="s">
        <v>31</v>
      </c>
      <c r="AO2" s="10" t="s">
        <v>180</v>
      </c>
      <c r="AP2" s="10" t="s">
        <v>30</v>
      </c>
      <c r="AQ2" s="10" t="s">
        <v>25</v>
      </c>
      <c r="AR2" s="122" t="s">
        <v>26</v>
      </c>
      <c r="AS2" s="122"/>
      <c r="AT2" s="122"/>
      <c r="AU2" s="122"/>
      <c r="AV2" s="122"/>
      <c r="AW2" s="122" t="s">
        <v>27</v>
      </c>
      <c r="AX2" s="122"/>
      <c r="AY2" s="122"/>
      <c r="AZ2" s="122"/>
      <c r="BA2" s="122"/>
      <c r="BB2" s="122" t="s">
        <v>30</v>
      </c>
      <c r="BC2" s="122"/>
      <c r="BD2" s="122"/>
      <c r="BE2" s="122"/>
      <c r="BF2" s="122"/>
      <c r="BG2" s="78"/>
      <c r="BH2" s="38" t="s">
        <v>146</v>
      </c>
      <c r="BI2" s="13" t="s">
        <v>28</v>
      </c>
      <c r="BJ2" s="13" t="s">
        <v>29</v>
      </c>
      <c r="BK2" s="13" t="s">
        <v>31</v>
      </c>
      <c r="BL2" s="13" t="s">
        <v>180</v>
      </c>
      <c r="BM2" s="13" t="s">
        <v>30</v>
      </c>
      <c r="BN2" s="13" t="s">
        <v>25</v>
      </c>
      <c r="BO2" s="24" t="s">
        <v>28</v>
      </c>
      <c r="BP2" s="24" t="s">
        <v>29</v>
      </c>
      <c r="BQ2" s="24" t="s">
        <v>31</v>
      </c>
      <c r="BR2" s="24" t="s">
        <v>30</v>
      </c>
      <c r="BS2" s="121" t="s">
        <v>26</v>
      </c>
      <c r="BT2" s="121"/>
      <c r="BU2" s="121"/>
      <c r="BV2" s="121"/>
      <c r="BW2" s="121"/>
      <c r="BX2" s="121" t="s">
        <v>27</v>
      </c>
      <c r="BY2" s="121"/>
      <c r="BZ2" s="121"/>
      <c r="CA2" s="121"/>
      <c r="CB2" s="121"/>
      <c r="CC2" s="121" t="s">
        <v>30</v>
      </c>
      <c r="CD2" s="121"/>
      <c r="CE2" s="121"/>
      <c r="CF2" s="121"/>
      <c r="CG2" s="121"/>
      <c r="CH2" s="37" t="s">
        <v>146</v>
      </c>
      <c r="CI2" s="10" t="s">
        <v>28</v>
      </c>
      <c r="CJ2" s="10" t="s">
        <v>29</v>
      </c>
      <c r="CK2" s="10" t="s">
        <v>31</v>
      </c>
      <c r="CL2" s="10" t="s">
        <v>180</v>
      </c>
      <c r="CM2" s="10" t="s">
        <v>30</v>
      </c>
      <c r="CN2" s="10" t="s">
        <v>25</v>
      </c>
      <c r="CO2" s="122" t="s">
        <v>26</v>
      </c>
      <c r="CP2" s="122"/>
      <c r="CQ2" s="122"/>
      <c r="CR2" s="122"/>
      <c r="CS2" s="122"/>
      <c r="CT2" s="122" t="s">
        <v>27</v>
      </c>
      <c r="CU2" s="122"/>
      <c r="CV2" s="122"/>
      <c r="CW2" s="122"/>
      <c r="CX2" s="122"/>
      <c r="CY2" s="122" t="s">
        <v>30</v>
      </c>
      <c r="CZ2" s="122"/>
      <c r="DA2" s="122"/>
      <c r="DB2" s="122"/>
      <c r="DC2" s="122"/>
      <c r="DD2" s="38" t="s">
        <v>146</v>
      </c>
      <c r="DE2" s="13" t="s">
        <v>28</v>
      </c>
      <c r="DF2" s="13" t="s">
        <v>29</v>
      </c>
      <c r="DG2" s="13" t="s">
        <v>31</v>
      </c>
      <c r="DH2" s="13" t="s">
        <v>180</v>
      </c>
      <c r="DI2" s="13" t="s">
        <v>30</v>
      </c>
      <c r="DJ2" s="13" t="s">
        <v>25</v>
      </c>
      <c r="DK2" s="121" t="s">
        <v>26</v>
      </c>
      <c r="DL2" s="121"/>
      <c r="DM2" s="121"/>
      <c r="DN2" s="121"/>
      <c r="DO2" s="121"/>
      <c r="DP2" s="121" t="s">
        <v>27</v>
      </c>
      <c r="DQ2" s="121"/>
      <c r="DR2" s="121"/>
      <c r="DS2" s="121"/>
      <c r="DT2" s="121"/>
      <c r="DU2" s="121" t="s">
        <v>30</v>
      </c>
      <c r="DV2" s="121"/>
      <c r="DW2" s="121"/>
      <c r="DX2" s="121"/>
      <c r="DY2" s="121"/>
      <c r="DZ2" s="37" t="s">
        <v>146</v>
      </c>
      <c r="EA2" s="10" t="s">
        <v>28</v>
      </c>
      <c r="EB2" s="10" t="s">
        <v>29</v>
      </c>
      <c r="EC2" s="10" t="s">
        <v>31</v>
      </c>
      <c r="ED2" s="10" t="s">
        <v>180</v>
      </c>
      <c r="EE2" s="10" t="s">
        <v>30</v>
      </c>
      <c r="EF2" s="10" t="s">
        <v>25</v>
      </c>
      <c r="EG2" s="122" t="s">
        <v>26</v>
      </c>
      <c r="EH2" s="122"/>
      <c r="EI2" s="122"/>
      <c r="EJ2" s="122"/>
      <c r="EK2" s="122"/>
      <c r="EL2" s="122" t="s">
        <v>27</v>
      </c>
      <c r="EM2" s="122"/>
      <c r="EN2" s="122"/>
      <c r="EO2" s="122"/>
      <c r="EP2" s="122"/>
      <c r="EQ2" s="122" t="s">
        <v>30</v>
      </c>
      <c r="ER2" s="122"/>
      <c r="ES2" s="122"/>
      <c r="ET2" s="122"/>
      <c r="EU2" s="122"/>
      <c r="EV2" s="38" t="s">
        <v>146</v>
      </c>
      <c r="EW2" s="13" t="s">
        <v>28</v>
      </c>
      <c r="EX2" s="13" t="s">
        <v>29</v>
      </c>
      <c r="EY2" s="13" t="s">
        <v>31</v>
      </c>
      <c r="EZ2" s="13" t="s">
        <v>180</v>
      </c>
      <c r="FA2" s="13" t="s">
        <v>30</v>
      </c>
      <c r="FB2" s="13" t="s">
        <v>25</v>
      </c>
      <c r="FC2" s="121" t="s">
        <v>26</v>
      </c>
      <c r="FD2" s="121"/>
      <c r="FE2" s="121"/>
      <c r="FF2" s="121"/>
      <c r="FG2" s="121"/>
      <c r="FH2" s="121" t="s">
        <v>27</v>
      </c>
      <c r="FI2" s="121"/>
      <c r="FJ2" s="121"/>
      <c r="FK2" s="121"/>
      <c r="FL2" s="121"/>
      <c r="FM2" s="121" t="s">
        <v>30</v>
      </c>
      <c r="FN2" s="121"/>
      <c r="FO2" s="121"/>
      <c r="FP2" s="121"/>
      <c r="FQ2" s="121"/>
      <c r="FR2" s="37" t="s">
        <v>146</v>
      </c>
      <c r="FS2" s="10" t="s">
        <v>28</v>
      </c>
      <c r="FT2" s="10" t="s">
        <v>29</v>
      </c>
      <c r="FU2" s="10" t="s">
        <v>31</v>
      </c>
      <c r="FV2" s="10" t="s">
        <v>180</v>
      </c>
      <c r="FW2" s="10" t="s">
        <v>30</v>
      </c>
      <c r="FX2" s="10" t="s">
        <v>25</v>
      </c>
      <c r="FY2" s="122" t="s">
        <v>26</v>
      </c>
      <c r="FZ2" s="122"/>
      <c r="GA2" s="122"/>
      <c r="GB2" s="122"/>
      <c r="GC2" s="122"/>
      <c r="GD2" s="122" t="s">
        <v>27</v>
      </c>
      <c r="GE2" s="122"/>
      <c r="GF2" s="122"/>
      <c r="GG2" s="122"/>
      <c r="GH2" s="122"/>
      <c r="GI2" s="122" t="s">
        <v>30</v>
      </c>
      <c r="GJ2" s="122"/>
      <c r="GK2" s="122"/>
      <c r="GL2" s="122"/>
      <c r="GM2" s="122"/>
      <c r="GN2" s="38" t="s">
        <v>146</v>
      </c>
      <c r="GO2" s="13" t="s">
        <v>28</v>
      </c>
      <c r="GP2" s="13" t="s">
        <v>29</v>
      </c>
      <c r="GQ2" s="13" t="s">
        <v>31</v>
      </c>
      <c r="GR2" s="13" t="s">
        <v>180</v>
      </c>
      <c r="GS2" s="13" t="s">
        <v>30</v>
      </c>
      <c r="GT2" s="13" t="s">
        <v>25</v>
      </c>
      <c r="GU2" s="121" t="s">
        <v>26</v>
      </c>
      <c r="GV2" s="121"/>
      <c r="GW2" s="121"/>
      <c r="GX2" s="121"/>
      <c r="GY2" s="121"/>
      <c r="GZ2" s="121" t="s">
        <v>27</v>
      </c>
      <c r="HA2" s="121"/>
      <c r="HB2" s="121"/>
      <c r="HC2" s="121"/>
      <c r="HD2" s="121"/>
      <c r="HE2" s="121" t="s">
        <v>30</v>
      </c>
      <c r="HF2" s="121"/>
      <c r="HG2" s="121"/>
      <c r="HH2" s="121"/>
      <c r="HI2" s="121"/>
      <c r="HJ2" s="37" t="s">
        <v>146</v>
      </c>
      <c r="HK2" s="10" t="s">
        <v>28</v>
      </c>
      <c r="HL2" s="10" t="s">
        <v>29</v>
      </c>
      <c r="HM2" s="10" t="s">
        <v>31</v>
      </c>
      <c r="HN2" s="10" t="s">
        <v>180</v>
      </c>
      <c r="HO2" s="10" t="s">
        <v>30</v>
      </c>
      <c r="HP2" s="10" t="s">
        <v>25</v>
      </c>
      <c r="HQ2" s="122" t="s">
        <v>26</v>
      </c>
      <c r="HR2" s="122"/>
      <c r="HS2" s="122"/>
      <c r="HT2" s="122"/>
      <c r="HU2" s="122"/>
      <c r="HV2" s="122" t="s">
        <v>27</v>
      </c>
      <c r="HW2" s="122"/>
      <c r="HX2" s="122"/>
      <c r="HY2" s="122"/>
      <c r="HZ2" s="122"/>
      <c r="IA2" s="122" t="s">
        <v>30</v>
      </c>
      <c r="IB2" s="122"/>
      <c r="IC2" s="122"/>
      <c r="ID2" s="122"/>
      <c r="IE2" s="122"/>
      <c r="IF2" s="38" t="s">
        <v>146</v>
      </c>
      <c r="IG2" s="13" t="s">
        <v>28</v>
      </c>
      <c r="IH2" s="13" t="s">
        <v>29</v>
      </c>
      <c r="II2" s="13" t="s">
        <v>31</v>
      </c>
      <c r="IJ2" s="13" t="s">
        <v>180</v>
      </c>
      <c r="IK2" s="13" t="s">
        <v>30</v>
      </c>
      <c r="IL2" s="13" t="s">
        <v>25</v>
      </c>
      <c r="IM2" s="121" t="s">
        <v>26</v>
      </c>
      <c r="IN2" s="121"/>
      <c r="IO2" s="121"/>
      <c r="IP2" s="121"/>
      <c r="IQ2" s="121"/>
      <c r="IR2" s="121" t="s">
        <v>27</v>
      </c>
      <c r="IS2" s="121"/>
      <c r="IT2" s="121"/>
      <c r="IU2" s="121"/>
      <c r="IV2" s="121"/>
      <c r="IW2" s="121" t="s">
        <v>30</v>
      </c>
      <c r="IX2" s="121"/>
      <c r="IY2" s="121"/>
      <c r="IZ2" s="121"/>
      <c r="JA2" s="121"/>
      <c r="JB2" s="37" t="s">
        <v>146</v>
      </c>
      <c r="JC2" s="10" t="s">
        <v>28</v>
      </c>
      <c r="JD2" s="10" t="s">
        <v>29</v>
      </c>
      <c r="JE2" s="10" t="s">
        <v>31</v>
      </c>
      <c r="JF2" s="10" t="s">
        <v>180</v>
      </c>
      <c r="JG2" s="10" t="s">
        <v>30</v>
      </c>
      <c r="JH2" s="10" t="s">
        <v>25</v>
      </c>
      <c r="JI2" s="122" t="s">
        <v>26</v>
      </c>
      <c r="JJ2" s="122"/>
      <c r="JK2" s="122"/>
      <c r="JL2" s="122"/>
      <c r="JM2" s="122"/>
      <c r="JN2" s="122" t="s">
        <v>27</v>
      </c>
      <c r="JO2" s="122"/>
      <c r="JP2" s="122"/>
      <c r="JQ2" s="122"/>
      <c r="JR2" s="122"/>
      <c r="JS2" s="122" t="s">
        <v>30</v>
      </c>
      <c r="JT2" s="122"/>
      <c r="JU2" s="122"/>
      <c r="JV2" s="122"/>
      <c r="JW2" s="122"/>
      <c r="JX2" s="38" t="s">
        <v>146</v>
      </c>
      <c r="JY2" s="13" t="s">
        <v>28</v>
      </c>
      <c r="JZ2" s="13" t="s">
        <v>29</v>
      </c>
      <c r="KA2" s="13" t="s">
        <v>31</v>
      </c>
      <c r="KB2" s="13" t="s">
        <v>180</v>
      </c>
      <c r="KC2" s="13" t="s">
        <v>30</v>
      </c>
      <c r="KD2" s="13" t="s">
        <v>25</v>
      </c>
      <c r="KE2" s="121" t="s">
        <v>26</v>
      </c>
      <c r="KF2" s="121"/>
      <c r="KG2" s="121"/>
      <c r="KH2" s="121"/>
      <c r="KI2" s="121"/>
      <c r="KJ2" s="121" t="s">
        <v>27</v>
      </c>
      <c r="KK2" s="121"/>
      <c r="KL2" s="121"/>
      <c r="KM2" s="121"/>
      <c r="KN2" s="121"/>
      <c r="KO2" s="121" t="s">
        <v>30</v>
      </c>
      <c r="KP2" s="121"/>
      <c r="KQ2" s="121"/>
      <c r="KR2" s="121"/>
      <c r="KS2" s="121"/>
      <c r="KT2" s="37" t="s">
        <v>146</v>
      </c>
      <c r="KU2" s="10" t="s">
        <v>28</v>
      </c>
      <c r="KV2" s="10" t="s">
        <v>29</v>
      </c>
      <c r="KW2" s="10" t="s">
        <v>31</v>
      </c>
      <c r="KX2" s="10" t="s">
        <v>180</v>
      </c>
      <c r="KY2" s="10" t="s">
        <v>30</v>
      </c>
      <c r="KZ2" s="10" t="s">
        <v>25</v>
      </c>
      <c r="LA2" s="122" t="s">
        <v>26</v>
      </c>
      <c r="LB2" s="122"/>
      <c r="LC2" s="122"/>
      <c r="LD2" s="122"/>
      <c r="LE2" s="122"/>
      <c r="LF2" s="122" t="s">
        <v>27</v>
      </c>
      <c r="LG2" s="122"/>
      <c r="LH2" s="122"/>
      <c r="LI2" s="122"/>
      <c r="LJ2" s="122"/>
      <c r="LK2" s="122" t="s">
        <v>30</v>
      </c>
      <c r="LL2" s="122"/>
      <c r="LM2" s="122"/>
      <c r="LN2" s="122"/>
      <c r="LO2" s="122"/>
      <c r="LP2" s="38" t="s">
        <v>146</v>
      </c>
      <c r="LQ2" s="13" t="s">
        <v>28</v>
      </c>
      <c r="LR2" s="13" t="s">
        <v>29</v>
      </c>
      <c r="LS2" s="13" t="s">
        <v>31</v>
      </c>
      <c r="LT2" s="13" t="s">
        <v>180</v>
      </c>
      <c r="LU2" s="13" t="s">
        <v>30</v>
      </c>
      <c r="LV2" s="13" t="s">
        <v>25</v>
      </c>
      <c r="LW2" s="121" t="s">
        <v>26</v>
      </c>
      <c r="LX2" s="121"/>
      <c r="LY2" s="121"/>
      <c r="LZ2" s="121"/>
      <c r="MA2" s="121"/>
      <c r="MB2" s="121" t="s">
        <v>27</v>
      </c>
      <c r="MC2" s="121"/>
      <c r="MD2" s="121"/>
      <c r="ME2" s="121"/>
      <c r="MF2" s="121"/>
      <c r="MG2" s="121" t="s">
        <v>30</v>
      </c>
      <c r="MH2" s="121"/>
      <c r="MI2" s="121"/>
      <c r="MJ2" s="121"/>
      <c r="MK2" s="121"/>
      <c r="ML2" s="111"/>
      <c r="MM2" s="111" t="s">
        <v>146</v>
      </c>
      <c r="MN2" s="10" t="s">
        <v>28</v>
      </c>
      <c r="MO2" s="10" t="s">
        <v>29</v>
      </c>
      <c r="MP2" s="10" t="s">
        <v>31</v>
      </c>
      <c r="MQ2" s="10" t="s">
        <v>180</v>
      </c>
      <c r="MR2" s="10" t="s">
        <v>30</v>
      </c>
      <c r="MS2" s="10" t="s">
        <v>25</v>
      </c>
    </row>
    <row r="3" spans="1:357" x14ac:dyDescent="0.2">
      <c r="A3" s="124"/>
      <c r="B3" s="124"/>
      <c r="C3" s="124"/>
      <c r="D3" s="124"/>
      <c r="E3" s="124"/>
      <c r="F3" s="125"/>
      <c r="G3" s="125"/>
      <c r="H3" s="124"/>
      <c r="I3" s="124"/>
      <c r="J3" s="126"/>
      <c r="K3" s="126"/>
      <c r="L3" s="126"/>
      <c r="M3" s="126"/>
      <c r="N3" s="126"/>
      <c r="O3" s="126"/>
      <c r="P3" s="126"/>
      <c r="Q3" s="126"/>
      <c r="R3" s="127"/>
      <c r="S3" s="126"/>
      <c r="T3" s="126"/>
      <c r="U3" s="37" t="s">
        <v>22</v>
      </c>
      <c r="V3" s="37" t="s">
        <v>23</v>
      </c>
      <c r="W3" s="37" t="s">
        <v>14</v>
      </c>
      <c r="X3" s="37" t="s">
        <v>24</v>
      </c>
      <c r="Y3" s="48" t="s">
        <v>45</v>
      </c>
      <c r="Z3" s="37" t="s">
        <v>22</v>
      </c>
      <c r="AA3" s="37" t="s">
        <v>23</v>
      </c>
      <c r="AB3" s="37" t="s">
        <v>14</v>
      </c>
      <c r="AC3" s="37" t="s">
        <v>24</v>
      </c>
      <c r="AD3" s="48" t="s">
        <v>45</v>
      </c>
      <c r="AE3" s="37" t="s">
        <v>22</v>
      </c>
      <c r="AF3" s="37" t="s">
        <v>23</v>
      </c>
      <c r="AG3" s="37" t="s">
        <v>14</v>
      </c>
      <c r="AH3" s="37" t="s">
        <v>24</v>
      </c>
      <c r="AI3" s="48" t="s">
        <v>45</v>
      </c>
      <c r="AJ3" s="79" t="s">
        <v>99</v>
      </c>
      <c r="AK3" s="11"/>
      <c r="AL3" s="10"/>
      <c r="AM3" s="10"/>
      <c r="AN3" s="10"/>
      <c r="AO3" s="10"/>
      <c r="AP3" s="11"/>
      <c r="AQ3" s="11"/>
      <c r="AR3" s="38" t="s">
        <v>22</v>
      </c>
      <c r="AS3" s="38" t="s">
        <v>23</v>
      </c>
      <c r="AT3" s="38" t="s">
        <v>14</v>
      </c>
      <c r="AU3" s="38" t="s">
        <v>24</v>
      </c>
      <c r="AV3" s="49" t="s">
        <v>45</v>
      </c>
      <c r="AW3" s="38" t="s">
        <v>22</v>
      </c>
      <c r="AX3" s="38" t="s">
        <v>23</v>
      </c>
      <c r="AY3" s="38" t="s">
        <v>14</v>
      </c>
      <c r="AZ3" s="38" t="s">
        <v>24</v>
      </c>
      <c r="BA3" s="49" t="s">
        <v>45</v>
      </c>
      <c r="BB3" s="38" t="s">
        <v>22</v>
      </c>
      <c r="BC3" s="38" t="s">
        <v>23</v>
      </c>
      <c r="BD3" s="38" t="s">
        <v>14</v>
      </c>
      <c r="BE3" s="49" t="s">
        <v>24</v>
      </c>
      <c r="BF3" s="38" t="s">
        <v>45</v>
      </c>
      <c r="BG3" s="78" t="s">
        <v>99</v>
      </c>
      <c r="BH3" s="14"/>
      <c r="BI3" s="13"/>
      <c r="BJ3" s="13"/>
      <c r="BK3" s="13"/>
      <c r="BL3" s="13"/>
      <c r="BM3" s="14"/>
      <c r="BN3" s="14"/>
      <c r="BO3" s="25"/>
      <c r="BP3" s="25"/>
      <c r="BQ3" s="25"/>
      <c r="BR3" s="25"/>
      <c r="BS3" s="37" t="s">
        <v>22</v>
      </c>
      <c r="BT3" s="37" t="s">
        <v>23</v>
      </c>
      <c r="BU3" s="37" t="s">
        <v>14</v>
      </c>
      <c r="BV3" s="37" t="s">
        <v>24</v>
      </c>
      <c r="BW3" s="48" t="s">
        <v>45</v>
      </c>
      <c r="BX3" s="37" t="s">
        <v>22</v>
      </c>
      <c r="BY3" s="37" t="s">
        <v>23</v>
      </c>
      <c r="BZ3" s="37" t="s">
        <v>14</v>
      </c>
      <c r="CA3" s="37" t="s">
        <v>24</v>
      </c>
      <c r="CB3" s="48" t="s">
        <v>45</v>
      </c>
      <c r="CC3" s="37" t="s">
        <v>22</v>
      </c>
      <c r="CD3" s="37" t="s">
        <v>23</v>
      </c>
      <c r="CE3" s="37" t="s">
        <v>14</v>
      </c>
      <c r="CF3" s="37" t="s">
        <v>24</v>
      </c>
      <c r="CG3" s="48" t="s">
        <v>45</v>
      </c>
      <c r="CH3" s="11"/>
      <c r="CI3" s="10"/>
      <c r="CJ3" s="10"/>
      <c r="CK3" s="10"/>
      <c r="CL3" s="10"/>
      <c r="CM3" s="11"/>
      <c r="CN3" s="11"/>
      <c r="CO3" s="38" t="s">
        <v>22</v>
      </c>
      <c r="CP3" s="38" t="s">
        <v>23</v>
      </c>
      <c r="CQ3" s="38" t="s">
        <v>14</v>
      </c>
      <c r="CR3" s="38" t="s">
        <v>24</v>
      </c>
      <c r="CS3" s="49" t="s">
        <v>45</v>
      </c>
      <c r="CT3" s="38" t="s">
        <v>22</v>
      </c>
      <c r="CU3" s="38" t="s">
        <v>23</v>
      </c>
      <c r="CV3" s="38" t="s">
        <v>14</v>
      </c>
      <c r="CW3" s="38" t="s">
        <v>24</v>
      </c>
      <c r="CX3" s="49" t="s">
        <v>45</v>
      </c>
      <c r="CY3" s="38" t="s">
        <v>22</v>
      </c>
      <c r="CZ3" s="38" t="s">
        <v>23</v>
      </c>
      <c r="DA3" s="38" t="s">
        <v>14</v>
      </c>
      <c r="DB3" s="38" t="s">
        <v>24</v>
      </c>
      <c r="DC3" s="53" t="s">
        <v>45</v>
      </c>
      <c r="DD3" s="14"/>
      <c r="DE3" s="13"/>
      <c r="DF3" s="13"/>
      <c r="DG3" s="13"/>
      <c r="DH3" s="13"/>
      <c r="DI3" s="14"/>
      <c r="DJ3" s="14"/>
      <c r="DK3" s="37" t="s">
        <v>22</v>
      </c>
      <c r="DL3" s="37" t="s">
        <v>23</v>
      </c>
      <c r="DM3" s="37" t="s">
        <v>14</v>
      </c>
      <c r="DN3" s="37" t="s">
        <v>24</v>
      </c>
      <c r="DO3" s="48" t="s">
        <v>45</v>
      </c>
      <c r="DP3" s="37" t="s">
        <v>22</v>
      </c>
      <c r="DQ3" s="37" t="s">
        <v>23</v>
      </c>
      <c r="DR3" s="37" t="s">
        <v>14</v>
      </c>
      <c r="DS3" s="37" t="s">
        <v>24</v>
      </c>
      <c r="DT3" s="48" t="s">
        <v>45</v>
      </c>
      <c r="DU3" s="37" t="s">
        <v>22</v>
      </c>
      <c r="DV3" s="37" t="s">
        <v>23</v>
      </c>
      <c r="DW3" s="37" t="s">
        <v>14</v>
      </c>
      <c r="DX3" s="37" t="s">
        <v>24</v>
      </c>
      <c r="DY3" s="48" t="s">
        <v>45</v>
      </c>
      <c r="DZ3" s="11"/>
      <c r="EA3" s="10"/>
      <c r="EB3" s="10"/>
      <c r="EC3" s="10"/>
      <c r="ED3" s="10"/>
      <c r="EE3" s="11"/>
      <c r="EF3" s="11"/>
      <c r="EG3" s="38" t="s">
        <v>22</v>
      </c>
      <c r="EH3" s="38" t="s">
        <v>23</v>
      </c>
      <c r="EI3" s="38" t="s">
        <v>14</v>
      </c>
      <c r="EJ3" s="38" t="s">
        <v>24</v>
      </c>
      <c r="EK3" s="49" t="s">
        <v>45</v>
      </c>
      <c r="EL3" s="38" t="s">
        <v>22</v>
      </c>
      <c r="EM3" s="38" t="s">
        <v>23</v>
      </c>
      <c r="EN3" s="38" t="s">
        <v>14</v>
      </c>
      <c r="EO3" s="38" t="s">
        <v>24</v>
      </c>
      <c r="EP3" s="49" t="s">
        <v>45</v>
      </c>
      <c r="EQ3" s="38" t="s">
        <v>22</v>
      </c>
      <c r="ER3" s="38" t="s">
        <v>23</v>
      </c>
      <c r="ES3" s="38" t="s">
        <v>14</v>
      </c>
      <c r="ET3" s="38" t="s">
        <v>24</v>
      </c>
      <c r="EU3" s="49" t="s">
        <v>45</v>
      </c>
      <c r="EV3" s="14"/>
      <c r="EW3" s="13"/>
      <c r="EX3" s="13"/>
      <c r="EY3" s="13"/>
      <c r="EZ3" s="13"/>
      <c r="FA3" s="14"/>
      <c r="FB3" s="14"/>
      <c r="FC3" s="37" t="s">
        <v>22</v>
      </c>
      <c r="FD3" s="37" t="s">
        <v>23</v>
      </c>
      <c r="FE3" s="37" t="s">
        <v>14</v>
      </c>
      <c r="FF3" s="37" t="s">
        <v>24</v>
      </c>
      <c r="FG3" s="48" t="s">
        <v>45</v>
      </c>
      <c r="FH3" s="37" t="s">
        <v>22</v>
      </c>
      <c r="FI3" s="37" t="s">
        <v>23</v>
      </c>
      <c r="FJ3" s="37" t="s">
        <v>14</v>
      </c>
      <c r="FK3" s="37" t="s">
        <v>24</v>
      </c>
      <c r="FL3" s="48" t="s">
        <v>45</v>
      </c>
      <c r="FM3" s="37" t="s">
        <v>22</v>
      </c>
      <c r="FN3" s="37" t="s">
        <v>23</v>
      </c>
      <c r="FO3" s="37" t="s">
        <v>14</v>
      </c>
      <c r="FP3" s="37" t="s">
        <v>24</v>
      </c>
      <c r="FQ3" s="48" t="s">
        <v>45</v>
      </c>
      <c r="FR3" s="11"/>
      <c r="FS3" s="10"/>
      <c r="FT3" s="10"/>
      <c r="FU3" s="10"/>
      <c r="FV3" s="10"/>
      <c r="FW3" s="11"/>
      <c r="FX3" s="11"/>
      <c r="FY3" s="38" t="s">
        <v>22</v>
      </c>
      <c r="FZ3" s="38" t="s">
        <v>23</v>
      </c>
      <c r="GA3" s="38" t="s">
        <v>14</v>
      </c>
      <c r="GB3" s="38" t="s">
        <v>24</v>
      </c>
      <c r="GC3" s="49" t="s">
        <v>45</v>
      </c>
      <c r="GD3" s="38" t="s">
        <v>22</v>
      </c>
      <c r="GE3" s="38" t="s">
        <v>23</v>
      </c>
      <c r="GF3" s="38" t="s">
        <v>14</v>
      </c>
      <c r="GG3" s="38" t="s">
        <v>24</v>
      </c>
      <c r="GH3" s="49" t="s">
        <v>45</v>
      </c>
      <c r="GI3" s="38" t="s">
        <v>22</v>
      </c>
      <c r="GJ3" s="38" t="s">
        <v>23</v>
      </c>
      <c r="GK3" s="38" t="s">
        <v>14</v>
      </c>
      <c r="GL3" s="38" t="s">
        <v>24</v>
      </c>
      <c r="GM3" s="49" t="s">
        <v>45</v>
      </c>
      <c r="GN3" s="14"/>
      <c r="GO3" s="13"/>
      <c r="GP3" s="13"/>
      <c r="GQ3" s="13"/>
      <c r="GR3" s="13"/>
      <c r="GS3" s="14"/>
      <c r="GT3" s="14"/>
      <c r="GU3" s="37" t="s">
        <v>22</v>
      </c>
      <c r="GV3" s="37" t="s">
        <v>23</v>
      </c>
      <c r="GW3" s="37" t="s">
        <v>14</v>
      </c>
      <c r="GX3" s="37" t="s">
        <v>24</v>
      </c>
      <c r="GY3" s="48" t="s">
        <v>45</v>
      </c>
      <c r="GZ3" s="37" t="s">
        <v>22</v>
      </c>
      <c r="HA3" s="37" t="s">
        <v>23</v>
      </c>
      <c r="HB3" s="37" t="s">
        <v>14</v>
      </c>
      <c r="HC3" s="37" t="s">
        <v>24</v>
      </c>
      <c r="HD3" s="48" t="s">
        <v>45</v>
      </c>
      <c r="HE3" s="37" t="s">
        <v>22</v>
      </c>
      <c r="HF3" s="37" t="s">
        <v>23</v>
      </c>
      <c r="HG3" s="37" t="s">
        <v>14</v>
      </c>
      <c r="HH3" s="37" t="s">
        <v>24</v>
      </c>
      <c r="HI3" s="48" t="s">
        <v>45</v>
      </c>
      <c r="HJ3" s="11"/>
      <c r="HK3" s="10"/>
      <c r="HL3" s="10"/>
      <c r="HM3" s="10"/>
      <c r="HN3" s="10"/>
      <c r="HO3" s="11"/>
      <c r="HP3" s="11"/>
      <c r="HQ3" s="38" t="s">
        <v>22</v>
      </c>
      <c r="HR3" s="38" t="s">
        <v>23</v>
      </c>
      <c r="HS3" s="38" t="s">
        <v>14</v>
      </c>
      <c r="HT3" s="38" t="s">
        <v>24</v>
      </c>
      <c r="HU3" s="49" t="s">
        <v>45</v>
      </c>
      <c r="HV3" s="38" t="s">
        <v>22</v>
      </c>
      <c r="HW3" s="38" t="s">
        <v>23</v>
      </c>
      <c r="HX3" s="38" t="s">
        <v>14</v>
      </c>
      <c r="HY3" s="38" t="s">
        <v>24</v>
      </c>
      <c r="HZ3" s="49" t="s">
        <v>45</v>
      </c>
      <c r="IA3" s="38" t="s">
        <v>22</v>
      </c>
      <c r="IB3" s="38" t="s">
        <v>23</v>
      </c>
      <c r="IC3" s="38" t="s">
        <v>14</v>
      </c>
      <c r="ID3" s="38" t="s">
        <v>24</v>
      </c>
      <c r="IE3" s="49" t="s">
        <v>45</v>
      </c>
      <c r="IF3" s="14"/>
      <c r="IG3" s="13"/>
      <c r="IH3" s="13"/>
      <c r="II3" s="13"/>
      <c r="IJ3" s="13"/>
      <c r="IK3" s="14"/>
      <c r="IL3" s="14"/>
      <c r="IM3" s="37" t="s">
        <v>22</v>
      </c>
      <c r="IN3" s="37" t="s">
        <v>23</v>
      </c>
      <c r="IO3" s="37" t="s">
        <v>14</v>
      </c>
      <c r="IP3" s="37" t="s">
        <v>24</v>
      </c>
      <c r="IQ3" s="48" t="s">
        <v>45</v>
      </c>
      <c r="IR3" s="37" t="s">
        <v>22</v>
      </c>
      <c r="IS3" s="37" t="s">
        <v>23</v>
      </c>
      <c r="IT3" s="37" t="s">
        <v>14</v>
      </c>
      <c r="IU3" s="37" t="s">
        <v>24</v>
      </c>
      <c r="IV3" s="48" t="s">
        <v>45</v>
      </c>
      <c r="IW3" s="37" t="s">
        <v>22</v>
      </c>
      <c r="IX3" s="37" t="s">
        <v>23</v>
      </c>
      <c r="IY3" s="37" t="s">
        <v>14</v>
      </c>
      <c r="IZ3" s="37" t="s">
        <v>24</v>
      </c>
      <c r="JA3" s="48" t="s">
        <v>45</v>
      </c>
      <c r="JB3" s="11"/>
      <c r="JC3" s="10"/>
      <c r="JD3" s="10"/>
      <c r="JE3" s="10"/>
      <c r="JF3" s="10"/>
      <c r="JG3" s="11"/>
      <c r="JH3" s="11"/>
      <c r="JI3" s="38" t="s">
        <v>22</v>
      </c>
      <c r="JJ3" s="38" t="s">
        <v>23</v>
      </c>
      <c r="JK3" s="38" t="s">
        <v>14</v>
      </c>
      <c r="JL3" s="38" t="s">
        <v>24</v>
      </c>
      <c r="JM3" s="49" t="s">
        <v>45</v>
      </c>
      <c r="JN3" s="38" t="s">
        <v>22</v>
      </c>
      <c r="JO3" s="38" t="s">
        <v>23</v>
      </c>
      <c r="JP3" s="38" t="s">
        <v>14</v>
      </c>
      <c r="JQ3" s="38" t="s">
        <v>24</v>
      </c>
      <c r="JR3" s="49" t="s">
        <v>45</v>
      </c>
      <c r="JS3" s="38" t="s">
        <v>22</v>
      </c>
      <c r="JT3" s="38" t="s">
        <v>23</v>
      </c>
      <c r="JU3" s="38" t="s">
        <v>14</v>
      </c>
      <c r="JV3" s="38" t="s">
        <v>24</v>
      </c>
      <c r="JW3" s="49" t="s">
        <v>45</v>
      </c>
      <c r="JX3" s="14"/>
      <c r="JY3" s="13"/>
      <c r="JZ3" s="13"/>
      <c r="KA3" s="13"/>
      <c r="KB3" s="13"/>
      <c r="KC3" s="14"/>
      <c r="KD3" s="14"/>
      <c r="KE3" s="37" t="s">
        <v>22</v>
      </c>
      <c r="KF3" s="37" t="s">
        <v>23</v>
      </c>
      <c r="KG3" s="37" t="s">
        <v>14</v>
      </c>
      <c r="KH3" s="37" t="s">
        <v>24</v>
      </c>
      <c r="KI3" s="48" t="s">
        <v>45</v>
      </c>
      <c r="KJ3" s="37" t="s">
        <v>22</v>
      </c>
      <c r="KK3" s="37" t="s">
        <v>23</v>
      </c>
      <c r="KL3" s="37" t="s">
        <v>14</v>
      </c>
      <c r="KM3" s="37" t="s">
        <v>24</v>
      </c>
      <c r="KN3" s="48" t="s">
        <v>45</v>
      </c>
      <c r="KO3" s="37" t="s">
        <v>22</v>
      </c>
      <c r="KP3" s="37" t="s">
        <v>23</v>
      </c>
      <c r="KQ3" s="37" t="s">
        <v>14</v>
      </c>
      <c r="KR3" s="37" t="s">
        <v>24</v>
      </c>
      <c r="KS3" s="48" t="s">
        <v>45</v>
      </c>
      <c r="KT3" s="11"/>
      <c r="KU3" s="10"/>
      <c r="KV3" s="10"/>
      <c r="KW3" s="10"/>
      <c r="KX3" s="10"/>
      <c r="KY3" s="11"/>
      <c r="KZ3" s="11"/>
      <c r="LA3" s="38" t="s">
        <v>22</v>
      </c>
      <c r="LB3" s="38" t="s">
        <v>23</v>
      </c>
      <c r="LC3" s="38" t="s">
        <v>14</v>
      </c>
      <c r="LD3" s="38" t="s">
        <v>24</v>
      </c>
      <c r="LE3" s="49" t="s">
        <v>45</v>
      </c>
      <c r="LF3" s="38" t="s">
        <v>22</v>
      </c>
      <c r="LG3" s="38" t="s">
        <v>23</v>
      </c>
      <c r="LH3" s="38" t="s">
        <v>14</v>
      </c>
      <c r="LI3" s="38" t="s">
        <v>24</v>
      </c>
      <c r="LJ3" s="49" t="s">
        <v>45</v>
      </c>
      <c r="LK3" s="38" t="s">
        <v>22</v>
      </c>
      <c r="LL3" s="38" t="s">
        <v>23</v>
      </c>
      <c r="LM3" s="38" t="s">
        <v>14</v>
      </c>
      <c r="LN3" s="38" t="s">
        <v>24</v>
      </c>
      <c r="LO3" s="49" t="s">
        <v>45</v>
      </c>
      <c r="LP3" s="14"/>
      <c r="LQ3" s="13"/>
      <c r="LR3" s="13"/>
      <c r="LS3" s="13"/>
      <c r="LT3" s="13"/>
      <c r="LU3" s="14"/>
      <c r="LV3" s="14"/>
      <c r="LW3" s="111" t="s">
        <v>22</v>
      </c>
      <c r="LX3" s="111" t="s">
        <v>23</v>
      </c>
      <c r="LY3" s="111" t="s">
        <v>14</v>
      </c>
      <c r="LZ3" s="111" t="s">
        <v>24</v>
      </c>
      <c r="MA3" s="111" t="s">
        <v>45</v>
      </c>
      <c r="MB3" s="111" t="s">
        <v>22</v>
      </c>
      <c r="MC3" s="111" t="s">
        <v>23</v>
      </c>
      <c r="MD3" s="111" t="s">
        <v>14</v>
      </c>
      <c r="ME3" s="111" t="s">
        <v>24</v>
      </c>
      <c r="MF3" s="111" t="s">
        <v>45</v>
      </c>
      <c r="MG3" s="111" t="s">
        <v>22</v>
      </c>
      <c r="MH3" s="111" t="s">
        <v>23</v>
      </c>
      <c r="MI3" s="111" t="s">
        <v>14</v>
      </c>
      <c r="MJ3" s="111" t="s">
        <v>24</v>
      </c>
      <c r="MK3" s="111" t="s">
        <v>45</v>
      </c>
      <c r="ML3" s="111" t="s">
        <v>99</v>
      </c>
      <c r="MM3" s="11"/>
      <c r="MN3" s="10"/>
      <c r="MO3" s="10"/>
      <c r="MP3" s="10"/>
      <c r="MQ3" s="10"/>
      <c r="MR3" s="11"/>
      <c r="MS3" s="11"/>
    </row>
    <row r="4" spans="1:357" x14ac:dyDescent="0.2">
      <c r="A4" s="6">
        <f t="shared" ref="A4:A20" si="0">IF(AND(F4="P",H4="P"),SUMPRODUCT((F$4:F$21="P")*(H$4:H$21="P")*(E$4:E$21&gt;E4))+1,IF(H4="P",SUMPRODUCT((F$4:F$21="")*(H$4:H$21="P")*(E$4:E$21&gt;E4))+1+SUMPRODUCT((F$4:F$21="P")*(H$4:H$21="P")),""))</f>
        <v>1</v>
      </c>
      <c r="B4" s="7" t="s">
        <v>111</v>
      </c>
      <c r="C4" s="8" t="s">
        <v>10</v>
      </c>
      <c r="D4" s="8">
        <v>2001</v>
      </c>
      <c r="E4" s="16">
        <f t="shared" ref="E4:E20" si="1">SUM(J4:R4)</f>
        <v>277.54000000000002</v>
      </c>
      <c r="F4" s="4" t="str">
        <f t="shared" ref="F4:F20" si="2">IF(OR(AND($AK4&gt;=$AL$23,NOT($AK4=""),$AJ4=""),AND($BH4&gt;=$BI$23,NOT($BH4=""),$BG4=""),AND($CH4&gt;=$CI$23,NOT($CH4="")),AND($DD4&gt;=$DE$23,NOT($DD4="")),AND($DZ4&gt;=$EA$23,NOT($DZ4="")),AND($EV4&gt;=$EW$23,NOT($EV4="")),AND($FR4&gt;=$FS$23,NOT($FR4="")),AND($GN4&gt;=$GO$23,NOT($GN4="")),AND($HJ4&gt;=$HK$23,NOT($HJ4="")),AND($IF4&gt;=$IG$23,NOT($IF4="")),AND($JB4&gt;=$JC$23,NOT($JB4="")),AND($JX4&gt;=$JY$23,NOT($JX4="")),AND($KT4&gt;=$KU$23,NOT($KT4="")),AND($LP4&gt;=$LQ$23,NOT($LP4="")),AND($AO4&gt;=$AL$23,NOT($AO4=""),$AJ4=""),AND($BL4&gt;=$BI$23,NOT($BL4=""),$BG4=""),AND($CL4&gt;=$CI$23,NOT($CL4="")),AND($DH4&gt;=$DE$23,NOT($DH4="")),AND($ED4&gt;=$EA$23,NOT($ED4="")),AND($EZ4&gt;=$EW$23,NOT($EZ4="")),AND($FV4&gt;=$FS$23,NOT($FV4="")),AND($GR4&gt;=$GO$23,NOT($GR4="")),AND($HN4&gt;=$HK$23,NOT($HN4="")),AND($IJ4&gt;=$IG$23,NOT($IJ4="")),AND($JF4&gt;=$JC$23,NOT($JF4="")),AND($KB4&gt;=$JY$23,NOT($KB4="")),AND($KX4&gt;=$KU$23,NOT($KX4="")),AND($LT4&gt;=$LQ$23,NOT($LT4=""))),"P","")</f>
        <v>P</v>
      </c>
      <c r="G4" s="4" t="str">
        <f t="shared" ref="G4:G20" si="3">IF(OR(AND($AK4&gt;=$AL$24,NOT($AK4=""),$AJ4=""),AND($BH4&gt;=$BI$24,NOT($BH4=""),$BG4=""),AND($CH4&gt;=$CI$24,NOT($CH4="")),AND($DD4&gt;=$DE$24,NOT($DD4="")),AND($DZ4&gt;=$EA$24,NOT($DZ4="")),AND($EV4&gt;=$EW$24,NOT($EV4="")),AND($FR4&gt;=$FS$24,NOT($FR4="")),AND($GN4&gt;=$GO$24,NOT($GN4="")),AND($HJ4&gt;=$HK$24,NOT($HJ4="")),AND($IF4&gt;=$IG$24,NOT($IF4="")),AND($JB4&gt;=$JC$24,NOT($JB4="")),AND($JX4&gt;=$JY$24,NOT($JX4="")),AND($KT4&gt;=$KU$24,NOT($KT4="")),AND($LP4&gt;=$LQ$24,NOT($LP4="")),AND($AO4&gt;=$AL$24,NOT($AO4=""),$AJ4=""),AND($BL4&gt;=$BI$24,NOT($BL4=""),$BG4=""),AND($CL4&gt;=$CI$24,NOT($CL4="")),AND($DH4&gt;=$DE$24,NOT($DH4="")),AND($ED4&gt;=$EA$24,NOT($ED4="")),AND($EZ4&gt;=$EW$24,NOT($EZ4="")),AND($FV4&gt;=$FS$24,NOT($FV4="")),AND($GR4&gt;=$GO$24,NOT($GR4="")),AND($HN4&gt;=$HK$24,NOT($HN4="")),AND($IJ4&gt;=$IG$24,NOT($IJ4="")),AND($JF4&gt;=$JC$24,NOT($JF4="")),AND($KB4&gt;=$JY$24,NOT($KB4="")),AND($KX4&gt;=$KU$24,NOT($KX4="")),AND($LT4&gt;=$LQ$24,NOT($LT4=""))),"P","")</f>
        <v>P</v>
      </c>
      <c r="H4" s="4" t="str">
        <f t="shared" ref="H4:H20" si="4">IF(OR(AND($AN4&gt;=$AL$25,NOT($AN4=""),$AJ4=""),AND($BK4&gt;=$BI$25,NOT($BK4=""),$BG4=""),AND($CK4&gt;=$CI$25,NOT($CK4="")),AND($DG4&gt;=$DE$25,NOT($DG4="")),AND($EC4&gt;=$EA$25,NOT($EC4="")),AND($EY4&gt;=$EW$25,NOT($EY4="")),AND($FU4&gt;=$FS$25,NOT($FU4="")),AND($GQ4&gt;=$GO$25,NOT($GQ4="")),AND($HM4&gt;=$HK$25,NOT($HM4="")),AND($II4&gt;=$IG$25,NOT($II4="")),AND($JE4&gt;=$JC$25,NOT($JE4="")),AND($KA4&gt;=$JY$25,NOT($KA4="")),AND($KW4&gt;=$KU$25,NOT($KW4="")),AND($LS4&gt;=$LQ$25,NOT($LS4=""))),"P","")</f>
        <v>P</v>
      </c>
      <c r="I4" t="str">
        <f t="shared" ref="I4:I20" si="5">IF(AND(H4="P",F4=""),"No DD",IF(AND(G4="P",OR(AND($AM4&gt;$AL$28,NOT($AM4=""),$AJ4=""),AND($AP4&gt;$AL$28,NOT($AP4=""),$AJ4=""),AND($BJ4&gt;$BI$28,NOT($BJ4=""),$BG4=""),AND($BM4&gt;$BI$28,NOT($BM4=""),$BG4=""),AND($CJ4&gt;$CI$28,NOT($CJ4="")),AND($CM4&gt;$CI$28,NOT($CM4="")),AND($DF4&gt;$DE$28,NOT($DF4="")),AND($DI4&gt;$DE$28,NOT($DI4="")),AND($EB4&gt;$EA$28,NOT($EB4="")),AND($EE4&gt;$EA$28,NOT($EE4="")),AND($EX4&gt;$EW$28,NOT($EX4="")),AND($FA4&gt;$EW$28,NOT($FA4="")),AND($FT4&gt;$FS$28,NOT($FT4="")),AND($FW4&gt;$FS$28,NOT($FW4="")),AND($GP4&gt;$GO$28,NOT($GP4="")),AND($GS4&gt;$GO$28,NOT($GS4="")),AND($HL4&gt;$HK$28,NOT($HL4="")),AND($HO4&gt;$HK$28,NOT($HO4="")),AND($IH4&gt;$IG$28,NOT($IH4="")),AND($IK4&gt;$IG$28,NOT($IK4="")),AND($JD4&gt;$JC$28,NOT($JD4="")),AND($JG4&gt;$JC$28,NOT($JG4="")),AND($JZ4&gt;$JY$28,NOT($JZ4="")),AND($KC4&gt;$JY$28,NOT($KC4="")),AND($KV4&gt;$KU$28,NOT($KV4="")),AND($KY4&gt;$KU$28,NOT($KY4="")),AND($LR4&gt;$LQ$28,NOT($LR4="")),AND($LU4&gt;$LQ$28,NOT($LU4="")))),"Merit",IF(AND(G4="P",OR(AND($AN4&gt;$AL$27,NOT($AN4=""),$AJ4=""),AND($BK4&gt;$BI$27,NOT($BK4=""),$BG4=""),AND($CK4&gt;$CI$27,NOT($CK4="")),AND($DG4&gt;$DE$27,NOT($DG4="")),AND($EC4&gt;$EA$27,NOT($EC4="")),AND($EY4&gt;$EW$27,NOT($EY4="")),AND($FU4&gt;$FS$27,NOT($FU4="")),AND($GQ4&gt;$GO$27,NOT($GQ4="")),AND($HM4&gt;$HK$27,NOT($HM4="")),AND($II4&gt;$IG$27,NOT($II4="")),AND($JE4&gt;$JC$27,NOT($JE4="")),AND($KA4&gt;$JY$27,NOT($KA4="")),AND($KW4&gt;$KU$27,NOT($KW4="")),AND($LS4&gt;$LQ$27,NOT($LS4="")))),"Excellence",IF(AND(G4="P",OR(AND($AN4&gt;$AL$26,NOT($AN4=""),$AJ4=""),AND($BK4&gt;$BI$26,NOT($BK4=""),$BG4=""),AND($CK4&gt;$CI$26,NOT($CK4="")),AND($DG4&gt;$DE$26,NOT($DG4="")),AND($EC4&gt;$EA$26,NOT($EC4="")),AND($EY4&gt;$EW$26,NOT($EY4="")),AND($FU4&gt;$FS$26,NOT($FU4="")),AND($GQ4&gt;$GO$26,NOT($GQ4="")),AND($HM4&gt;$HK$26,NOT($HM4="")),AND($II4&gt;$IG$26,NOT($II4="")),AND($JE4&gt;$JC$26,NOT($JE4="")),AND($KA4&gt;$JY$26,NOT($KA4="")),AND($KW4&gt;$KU$26,NOT($KW4="")),AND($LS4&gt;$LQ$26,NOT($LS4="")))),"Worlds Team",IF(AND(F4="P",OR(AND($AN4&gt;$AL$25,NOT($AN4=""),$AJ4=""),AND($BK4&gt;$BI$25,NOT($BK4=""),$BG4=""),AND($CK4&gt;$CI$25,NOT($CK4="")),AND($DG4&gt;$DE$25,NOT($DG4="")),AND($EC4&gt;$EA$25,NOT($EC4="")),AND($EY4&gt;$EW$25,NOT($EY4="")),AND($FU4&gt;$FS$25,NOT($FU4="")),AND($GQ4&gt;$GO$25,NOT($GQ4="")),AND($HM4&gt;$HK$25,NOT($HM4="")),AND($II4&gt;$IG$25,NOT($II4="")),AND($JE4&gt;$JC$25,NOT($JE4="")),AND($KA4&gt;$JY$25,NOT($KA4="")),AND($KW4&gt;$KU$25,NOT($KW4="")),AND($LS4&gt;$LQ$25,NOT($LS4="")))),"National Team","")))))</f>
        <v>Merit</v>
      </c>
      <c r="J4" s="15">
        <f t="shared" ref="J4:J20" si="6">IF(MAX(AN4,BK4)&gt;0,MAX(AN4,BK4),"")</f>
        <v>112.51</v>
      </c>
      <c r="K4" s="15" t="str">
        <f t="shared" ref="K4:K20" si="7">IF(J4="","",IF(J4=BK4,$AR$1,IF(J4=AN4,$U$1,"")))</f>
        <v>2019 Nationals</v>
      </c>
      <c r="L4" s="15">
        <f t="shared" ref="L4:L20" si="8">IF($J4=$AN4,BI4,IF($J4=$BK4,AL4,MAX(AL4,BI4)))</f>
        <v>28.165000000000003</v>
      </c>
      <c r="M4" s="15" t="str">
        <f t="shared" ref="M4:M20" si="9">IF(L4="","",IF(AND(L4=BI4,$K4&lt;&gt;$AR$1),$AR$1,IF(AND(L4=AL4,$K4&lt;&gt;$U$1),$U$1,"")))</f>
        <v>2019 Elite Canada</v>
      </c>
      <c r="N4" s="15">
        <f t="shared" ref="N4:N20" si="10">IF($J4=$AN4,BJ4,IF($J4=$BK4,AM4,MAX(AM4,BJ4)))</f>
        <v>59.63</v>
      </c>
      <c r="O4" s="15" t="str">
        <f t="shared" ref="O4:O20" si="11">IF(N4="","",IF(AND(N4=BJ4,$K4&lt;&gt;$AR$1),$AR$1,IF(AND(N4=AM4,$K4&lt;&gt;$U$1),$U$1,"")))</f>
        <v>2019 Elite Canada</v>
      </c>
      <c r="P4" s="15">
        <f t="shared" ref="P4:P20" si="12">IF(MAX(AP4,BM4)&gt;0,MAX(AP4,BM4),"")</f>
        <v>53.854999999999997</v>
      </c>
      <c r="Q4" s="15" t="str">
        <f t="shared" ref="Q4:Q20" si="13">IF(P4="","",IF(P4=BM4,$AR$1,IF(P4=AP4,$U$1,"")))</f>
        <v>2019 Nationals</v>
      </c>
      <c r="R4" s="15">
        <f t="shared" ref="R4:R20" si="14">IF(MAX(BO4,BP4,BQ4,BR4)&gt;0,MAX(BO4,BP4,BQ4,BR4),"")</f>
        <v>23.38</v>
      </c>
      <c r="S4" s="27" t="str">
        <f t="shared" ref="S4:S20" si="15">IF(R4="","",IF(R4=BO4,"(Vol 1)",IF(R4=BP4,"(Vol 2)",IF(R4=BQ4,"(Prelim)",IF(R4=BR4,"(Final)")))))</f>
        <v>(Vol 1)</v>
      </c>
      <c r="T4" s="15" t="str">
        <f t="shared" ref="T4:T20" si="16">IF(R4="","",IF(R4=BO4,IF(R4+IF(L4="",0,L4)=LQ4,$LA$1,IF(R4+IF(L4="",0,L4)=KU4,$KE$1,IF(R4+IF(L4="",0,L4)=JY4,$JI$1,IF(R4+IF(L4="",0,L4)=JC4,$IM$1,IF(R4+IF(L4="",0,L4)=IG4,$HQ$1,IF(R4+IF(L4="",0,L4)=HK4,$GU$1,IF(R4+IF(L4="",0,L4)=GO4,$FY$1,IF(R4+IF(L4="",0,L4)=FS4,$FC$1,IF(R4+IF(L4="",0,L4)=EW4,$EG$1,IF(R4+IF(L4="",0,L4)=EA4,$DK$1,IF(R4+IF(L4="",0,L4)=DE4,$CO$1,IF(R4+IF(L4="",0,L4)=CI4,$BS$1)))))))))))),IF(R4=BP4,IF(R4+IF(N4="",0,N4)=LR4,$LA$1,IF(R4+IF(N4="",0,N4)=KV4,$KE$1,IF(R4+IF(N4="",0,N4)=JZ4,$JI$1,IF(R4+IF(N4="",0,N4)=JD4,$IM$1,IF(R4+IF(N4="",0,N4)=IH4,$HQ$1,IF(R4+IF(N4="",0,N4)=HL4,$GU$1,IF(R4+IF(N4="",0,N4)=GP4,$FY$1,IF(R4+IF(N4="",0,N4)=FT4,$FC$1,IF(R4+IF(N4="",0,N4)=EX4,$EG$1,IF(R4+IF(N4="",0,N4)=EB4,$DK$1,IF(R4+IF(N4="",0,N4)=DF4,$CO$1,IF(R4+IF(N4="",0,N4)=CJ4,$BS$1)))))))))))),IF(R4=BQ4,IF(R4+IF(J4="",0,J4)=LS4,$LA$1,IF(R4+IF(J4="",0,J4)=KW4,$KE$1,IF(R4+IF(J4="",0,J4)=KA4,$JI$1,IF(R4+IF(J4="",0,J4)=JE4,$IM$1,IF(R4+IF(J4="",0,J4)=II4,$HQ$1,IF(R4+IF(J4="",0,J4)=HM4,$GU$1,IF(R4+IF(J4="",0,J4)=GQ4,$FY$1,IF(R4+IF(J4="",0,J4)=FU4,$FC$1,IF(R4+IF(J4="",0,J4)=EY4,$EG$1,IF(R4+IF(J4="",0,J4)=EC4,$DK$1,IF(R4+IF(J4="",0,J4)=DG4,$CO$1,IF(R4+IF(J4="",0,J4)=CK4,$BS$1)))))))))))),IF(R4=BR4,IF(R4+IF(P4="",0,P4)=LU4,$LA$1,IF(R4+IF(P4="",0,P4)=KY4,$KE$1,IF(R4+IF(P4="",0,P4)=KC4,$JI$1,IF(R4+IF(P4="",0,P4)=JG4,$IM$1,IF(R4+IF(P4="",0,P4)=IK4,$HQ$1,IF(R4+IF(P4="",0,P4)=HO4,$GU$1,IF(R4+IF(P4="",0,P4)=GS4,$FY$1,IF(R4+IF(P4="",0,P4)=FW4,$FC$1,IF(R4+IF(P4="",0,P4)=FA4,$EG$1,IF(R4+IF(P4="",0,P4)=EE4,$DK$1,IF(R4+IF(P4="",0,P4)=DI4,$CO$1,IF(R4+IF(P4="",0,P4)=CM4,$BS$1)))))))))))))))))</f>
        <v>2019 World Cup RUS (Sept 21)</v>
      </c>
      <c r="U4" s="71">
        <v>11.3</v>
      </c>
      <c r="V4" s="71">
        <v>5.65</v>
      </c>
      <c r="W4" s="71">
        <v>0</v>
      </c>
      <c r="X4" s="71">
        <v>11.215</v>
      </c>
      <c r="Y4" s="71">
        <v>0</v>
      </c>
      <c r="Z4" s="71">
        <v>17</v>
      </c>
      <c r="AA4" s="71">
        <v>9</v>
      </c>
      <c r="AB4" s="71">
        <v>16.2</v>
      </c>
      <c r="AC4" s="71">
        <v>17.43</v>
      </c>
      <c r="AD4" s="71">
        <v>0</v>
      </c>
      <c r="AE4" s="71">
        <v>6.4</v>
      </c>
      <c r="AF4" s="71">
        <v>3.35</v>
      </c>
      <c r="AG4" s="71">
        <v>7.1</v>
      </c>
      <c r="AH4" s="71">
        <v>7.11</v>
      </c>
      <c r="AI4" s="71">
        <v>0</v>
      </c>
      <c r="AJ4" s="82"/>
      <c r="AK4" s="12">
        <f t="shared" ref="AK4:AK20" si="17">IF(AB4&gt;0,AB4,"")</f>
        <v>16.2</v>
      </c>
      <c r="AL4" s="12">
        <f t="shared" ref="AL4:AL20" si="18">IF(SUM(U4:X4)-Y4&gt;0,SUM(U4:X4)-Y4,"")</f>
        <v>28.165000000000003</v>
      </c>
      <c r="AM4" s="12">
        <f t="shared" ref="AM4:AM20" si="19">IF(SUM(Z4:AC4)-AD4&gt;0,SUM(Z4:AC4)-AD4,"")</f>
        <v>59.63</v>
      </c>
      <c r="AN4" s="12">
        <f t="shared" ref="AN4:AN20" si="20">IF(SUM(AL4:AM4)&gt;0,SUM(AL4:AM4),"")</f>
        <v>87.795000000000002</v>
      </c>
      <c r="AO4" s="12">
        <f t="shared" ref="AO4:AO20" si="21">IF(AG4&gt;0,AG4,"")</f>
        <v>7.1</v>
      </c>
      <c r="AP4" s="12">
        <f t="shared" ref="AP4:AP20" si="22">IF(SUM(AE4:AH4)-AI4&gt;0,SUM(AE4:AH4)-AI4,"")</f>
        <v>23.96</v>
      </c>
      <c r="AQ4" s="12">
        <f t="shared" ref="AQ4:AQ20" si="23">IF(SUM(AN4,AP4)&gt;0,SUM(AN4,AP4),"")</f>
        <v>111.755</v>
      </c>
      <c r="AR4" s="77">
        <v>18.8</v>
      </c>
      <c r="AS4" s="77">
        <v>9.3000000000000007</v>
      </c>
      <c r="AT4" s="77">
        <v>5.7</v>
      </c>
      <c r="AU4" s="77">
        <v>18.62</v>
      </c>
      <c r="AV4" s="77">
        <v>0</v>
      </c>
      <c r="AW4" s="77">
        <v>17.600000000000001</v>
      </c>
      <c r="AX4" s="77">
        <v>9.1999999999999993</v>
      </c>
      <c r="AY4" s="77">
        <v>16.2</v>
      </c>
      <c r="AZ4" s="77">
        <v>17.09</v>
      </c>
      <c r="BA4" s="77">
        <v>0</v>
      </c>
      <c r="BB4" s="77">
        <v>15.14</v>
      </c>
      <c r="BC4" s="77">
        <v>8.5</v>
      </c>
      <c r="BD4" s="77">
        <v>14.8</v>
      </c>
      <c r="BE4" s="77">
        <v>15.414999999999999</v>
      </c>
      <c r="BF4" s="77">
        <v>0</v>
      </c>
      <c r="BG4" s="83"/>
      <c r="BH4" s="15">
        <f t="shared" ref="BH4:BH20" si="24">IF(AY4&gt;0,AY4,"")</f>
        <v>16.2</v>
      </c>
      <c r="BI4" s="15">
        <f t="shared" ref="BI4:BI20" si="25">IF(SUM(AR4:AU4)-AV4&gt;0,SUM(AR4:AU4)-AV4,"")</f>
        <v>52.42</v>
      </c>
      <c r="BJ4" s="15">
        <f t="shared" ref="BJ4:BJ20" si="26">IF(SUM(AW4:AZ4)-BA4&gt;0,SUM(AW4:AZ4)-BA4,"")</f>
        <v>60.09</v>
      </c>
      <c r="BK4" s="15">
        <f t="shared" ref="BK4:BK20" si="27">IF(SUM(BI4:BJ4)&gt;0,SUM(BI4:BJ4),"")</f>
        <v>112.51</v>
      </c>
      <c r="BL4" s="15">
        <f t="shared" ref="BL4:BL20" si="28">IF(BD4&gt;0,BD4,"")</f>
        <v>14.8</v>
      </c>
      <c r="BM4" s="15">
        <f t="shared" ref="BM4:BM20" si="29">IF(SUM(BB4:BE4)-BF4&gt;0,SUM(BB4:BE4)-BF4,"")</f>
        <v>53.854999999999997</v>
      </c>
      <c r="BN4" s="15">
        <f t="shared" ref="BN4:BN20" si="30">IF(SUM(BK4,BM4)&gt;0,SUM(BK4,BM4),"")</f>
        <v>166.36500000000001</v>
      </c>
      <c r="BO4" s="26">
        <f t="shared" ref="BO4:BO20" si="31">IF(MAX(CI4,DE4,EA4,EW4,FS4,GO4,HK4,IG4,JC4,JY4,KU4,LQ4)-IF(L4="",0,L4)&gt;0.001,MAX(CI4,DE4,EA4,EW4,FS4,GO4,HK4,IG4,JC4,JY4,KU4,LQ4)-IF(L4="",0,L4),"")</f>
        <v>23.38</v>
      </c>
      <c r="BP4" s="26" t="str">
        <f t="shared" ref="BP4:BP20" si="32">IF(MAX(CJ4,DF4,EB4,EX4,FT4,GP4,HL4,IH4,JD4,JZ4,KV4,LR4)-IF(N4="",0,N4)&gt;0.001,MAX(CJ4,DF4,EB4,EX4,FT4,GP4,HL4,IH4,JD4,JZ4,KV4,LR4)-IF(N4="",0,N4),"")</f>
        <v/>
      </c>
      <c r="BQ4" s="26" t="str">
        <f t="shared" ref="BQ4:BQ20" si="33">IF(MAX(CK4,DG4,EC4,EY4,FU4,GQ4,HM4,II4,JE4,KA4,KW4,LS4)-IF(J4="",0,J4)&gt;0.001,MAX(CK4,DG4,EC4,EY4,FU4,GQ4,HM4,II4,JE4,KA4,KW4,LS4)-IF(J4="",0,J4),"")</f>
        <v/>
      </c>
      <c r="BR4" s="26">
        <f t="shared" ref="BR4:BR20" si="34">IF(MAX(CM4,DI4,EE4,FA4,FW4,GS4,HO4,IK4,JG4,KC4,KY4,LU4)-IF(P4="",0,P4)&gt;0.001,MAX(CM4,DI4,EE4,FA4,FW4,GS4,HO4,IK4,JG4,KC4,KY4,LU4)-IF(P4="",0,P4),"")</f>
        <v>3.5850000000000009</v>
      </c>
      <c r="BS4" s="39">
        <v>17.399999999999999</v>
      </c>
      <c r="BT4" s="39">
        <v>9.4</v>
      </c>
      <c r="BU4" s="39">
        <v>5.5</v>
      </c>
      <c r="BV4" s="39">
        <v>17.545000000000002</v>
      </c>
      <c r="BW4" s="39">
        <v>0</v>
      </c>
      <c r="BX4" s="39">
        <v>16.3</v>
      </c>
      <c r="BY4" s="39">
        <v>9</v>
      </c>
      <c r="BZ4" s="39">
        <v>15.2</v>
      </c>
      <c r="CA4" s="39">
        <v>16.524999999999999</v>
      </c>
      <c r="CB4" s="39">
        <v>0</v>
      </c>
      <c r="CC4" s="39"/>
      <c r="CD4" s="39"/>
      <c r="CE4" s="39"/>
      <c r="CF4" s="39"/>
      <c r="CG4" s="39"/>
      <c r="CH4" s="12">
        <f t="shared" ref="CH4:CH20" si="35">IF(BZ4&gt;0,BZ4,"")</f>
        <v>15.2</v>
      </c>
      <c r="CI4" s="12">
        <f t="shared" ref="CI4:CI20" si="36">IF(SUM(BS4:BV4)-BW4&gt;0,SUM(BS4:BV4)-BW4,"")</f>
        <v>49.844999999999999</v>
      </c>
      <c r="CJ4" s="12">
        <f t="shared" ref="CJ4:CJ20" si="37">IF(SUM(BX4:CA4)-CB4&gt;0,SUM(BX4:CA4)-CB4,"")</f>
        <v>57.024999999999999</v>
      </c>
      <c r="CK4" s="12">
        <f t="shared" ref="CK4:CK20" si="38">IF(SUM(CI4:CJ4)&gt;0,SUM(CI4:CJ4),"")</f>
        <v>106.87</v>
      </c>
      <c r="CL4" s="12" t="str">
        <f t="shared" ref="CL4:CL20" si="39">IF(CE4&gt;0,CE4,"")</f>
        <v/>
      </c>
      <c r="CM4" s="12" t="str">
        <f t="shared" ref="CM4:CM20" si="40">IF(SUM(CC4:CF4)-CG4&gt;0,SUM(CC4:CF4)-CG4,"")</f>
        <v/>
      </c>
      <c r="CN4" s="12">
        <f t="shared" ref="CN4:CN20" si="41">IF(SUM(CK4,CM4)&gt;0,SUM(CK4,CM4),"")</f>
        <v>106.87</v>
      </c>
      <c r="CO4" s="40"/>
      <c r="CP4" s="40"/>
      <c r="CQ4" s="40"/>
      <c r="CR4" s="40"/>
      <c r="CS4" s="40"/>
      <c r="CT4" s="40"/>
      <c r="CU4" s="40"/>
      <c r="CV4" s="40"/>
      <c r="CW4" s="40"/>
      <c r="CX4" s="40"/>
      <c r="CY4" s="40">
        <v>16.2</v>
      </c>
      <c r="CZ4" s="40">
        <v>9</v>
      </c>
      <c r="DA4" s="40">
        <v>15.2</v>
      </c>
      <c r="DB4" s="40">
        <v>16.670000000000002</v>
      </c>
      <c r="DC4" s="40">
        <v>0</v>
      </c>
      <c r="DD4" s="15" t="str">
        <f t="shared" ref="DD4:DD20" si="42">IF(CV4&gt;0,CV4,"")</f>
        <v/>
      </c>
      <c r="DE4" s="15" t="str">
        <f t="shared" ref="DE4:DE20" si="43">IF(SUM(CO4:CR4)-CS4&gt;0,SUM(CO4:CR4)-CS4,"")</f>
        <v/>
      </c>
      <c r="DF4" s="15" t="str">
        <f t="shared" ref="DF4:DF20" si="44">IF(SUM(CT4:CW4)-CX4&gt;0,SUM(CT4:CW4)-CX4,"")</f>
        <v/>
      </c>
      <c r="DG4" s="15" t="str">
        <f t="shared" ref="DG4:DG20" si="45">IF(SUM(DE4:DF4)&gt;0,SUM(DE4:DF4),"")</f>
        <v/>
      </c>
      <c r="DH4" s="15">
        <f t="shared" ref="DH4:DH20" si="46">IF(DA4&gt;0,DA4,"")</f>
        <v>15.2</v>
      </c>
      <c r="DI4" s="15">
        <f t="shared" ref="DI4:DI20" si="47">IF(SUM(CY4:DB4)-DC4&gt;0,SUM(CY4:DB4)-DC4,"")</f>
        <v>57.07</v>
      </c>
      <c r="DJ4" s="15">
        <f t="shared" ref="DJ4:DJ20" si="48">IF(SUM(DG4,DI4)&gt;0,SUM(DG4,DI4),"")</f>
        <v>57.07</v>
      </c>
      <c r="DK4" s="39"/>
      <c r="DL4" s="39"/>
      <c r="DM4" s="39"/>
      <c r="DN4" s="39"/>
      <c r="DO4" s="39"/>
      <c r="DP4" s="39"/>
      <c r="DQ4" s="39"/>
      <c r="DR4" s="39"/>
      <c r="DS4" s="39"/>
      <c r="DT4" s="39"/>
      <c r="DU4" s="39"/>
      <c r="DV4" s="39"/>
      <c r="DW4" s="39"/>
      <c r="DX4" s="39"/>
      <c r="DY4" s="39"/>
      <c r="DZ4" s="12" t="str">
        <f t="shared" ref="DZ4:DZ20" si="49">IF(DR4&gt;0,DR4,"")</f>
        <v/>
      </c>
      <c r="EA4" s="12" t="str">
        <f t="shared" ref="EA4:EA20" si="50">IF(SUM(DK4:DN4)-DO4&gt;0,SUM(DK4:DN4)-DO4,"")</f>
        <v/>
      </c>
      <c r="EB4" s="12" t="str">
        <f t="shared" ref="EB4:EB20" si="51">IF(SUM(DP4:DS4)-DT4&gt;0,SUM(DP4:DS4)-DT4,"")</f>
        <v/>
      </c>
      <c r="EC4" s="12" t="str">
        <f t="shared" ref="EC4:EC20" si="52">IF(SUM(EA4:EB4)&gt;0,SUM(EA4:EB4),"")</f>
        <v/>
      </c>
      <c r="ED4" s="12" t="str">
        <f t="shared" ref="ED4:ED20" si="53">IF(DW4&gt;0,DW4,"")</f>
        <v/>
      </c>
      <c r="EE4" s="12" t="str">
        <f t="shared" ref="EE4:EE20" si="54">IF(SUM(DU4:DX4)-DY4&gt;0,SUM(DU4:DX4)-DY4,"")</f>
        <v/>
      </c>
      <c r="EF4" s="12" t="str">
        <f t="shared" ref="EF4:EF20" si="55">IF(SUM(EC4,EE4)&gt;0,SUM(EC4,EE4),"")</f>
        <v/>
      </c>
      <c r="EG4" s="40">
        <v>18.399999999999999</v>
      </c>
      <c r="EH4" s="40">
        <v>9.1999999999999993</v>
      </c>
      <c r="EI4" s="40">
        <v>5.7</v>
      </c>
      <c r="EJ4" s="40">
        <v>17.905000000000001</v>
      </c>
      <c r="EK4" s="40">
        <v>0</v>
      </c>
      <c r="EL4" s="40">
        <v>16.5</v>
      </c>
      <c r="EM4" s="40">
        <v>8.9</v>
      </c>
      <c r="EN4" s="40">
        <v>14.9</v>
      </c>
      <c r="EO4" s="40">
        <v>16.305</v>
      </c>
      <c r="EP4" s="40">
        <v>0</v>
      </c>
      <c r="EQ4" s="40"/>
      <c r="ER4" s="40"/>
      <c r="ES4" s="40"/>
      <c r="ET4" s="40"/>
      <c r="EU4" s="40"/>
      <c r="EV4" s="15">
        <f t="shared" ref="EV4:EV20" si="56">IF(EN4&gt;0,EN4,"")</f>
        <v>14.9</v>
      </c>
      <c r="EW4" s="15">
        <f t="shared" ref="EW4:EW20" si="57">IF(SUM(EG4:EJ4)-EK4&gt;0,SUM(EG4:EJ4)-EK4,"")</f>
        <v>51.204999999999998</v>
      </c>
      <c r="EX4" s="15">
        <f t="shared" ref="EX4:EX20" si="58">IF(SUM(EL4:EO4)-EP4&gt;0,SUM(EL4:EO4)-EP4,"")</f>
        <v>56.604999999999997</v>
      </c>
      <c r="EY4" s="15">
        <f t="shared" ref="EY4:EY20" si="59">IF(SUM(EW4:EX4)&gt;0,SUM(EW4:EX4),"")</f>
        <v>107.81</v>
      </c>
      <c r="EZ4" s="15" t="str">
        <f t="shared" ref="EZ4:EZ20" si="60">IF(ES4&gt;0,ES4,"")</f>
        <v/>
      </c>
      <c r="FA4" s="15" t="str">
        <f t="shared" ref="FA4:FA20" si="61">IF(SUM(EQ4:ET4)-EU4&gt;0,SUM(EQ4:ET4)-EU4,"")</f>
        <v/>
      </c>
      <c r="FB4" s="15">
        <f t="shared" ref="FB4:FB20" si="62">IF(SUM(EY4,FA4)&gt;0,SUM(EY4,FA4),"")</f>
        <v>107.81</v>
      </c>
      <c r="FC4" s="39">
        <v>18.100000000000001</v>
      </c>
      <c r="FD4" s="39">
        <v>9.1999999999999993</v>
      </c>
      <c r="FE4" s="39">
        <v>5.7</v>
      </c>
      <c r="FF4" s="39">
        <v>17.95</v>
      </c>
      <c r="FG4" s="39">
        <v>0</v>
      </c>
      <c r="FH4" s="39">
        <v>16.3</v>
      </c>
      <c r="FI4" s="39">
        <v>9.3000000000000007</v>
      </c>
      <c r="FJ4" s="39">
        <v>16.2</v>
      </c>
      <c r="FK4" s="39">
        <v>17.015000000000001</v>
      </c>
      <c r="FL4" s="39">
        <v>0</v>
      </c>
      <c r="FM4" s="39"/>
      <c r="FN4" s="39"/>
      <c r="FO4" s="39"/>
      <c r="FP4" s="39"/>
      <c r="FQ4" s="39"/>
      <c r="FR4" s="12">
        <f t="shared" ref="FR4:FR20" si="63">IF(FJ4&gt;0,FJ4,"")</f>
        <v>16.2</v>
      </c>
      <c r="FS4" s="12">
        <f t="shared" ref="FS4:FS20" si="64">IF(SUM(FC4:FF4)-FG4&gt;0,SUM(FC4:FF4)-FG4,"")</f>
        <v>50.95</v>
      </c>
      <c r="FT4" s="12">
        <f t="shared" ref="FT4:FT20" si="65">IF(SUM(FH4:FK4)-FL4&gt;0,SUM(FH4:FK4)-FL4,"")</f>
        <v>58.814999999999998</v>
      </c>
      <c r="FU4" s="12">
        <f t="shared" ref="FU4:FU20" si="66">IF(SUM(FS4:FT4)&gt;0,SUM(FS4:FT4),"")</f>
        <v>109.765</v>
      </c>
      <c r="FV4" s="12" t="str">
        <f t="shared" ref="FV4:FV20" si="67">IF(FO4&gt;0,FO4,"")</f>
        <v/>
      </c>
      <c r="FW4" s="12" t="str">
        <f t="shared" ref="FW4:FW20" si="68">IF(SUM(FM4:FP4)-FQ4&gt;0,SUM(FM4:FP4)-FQ4,"")</f>
        <v/>
      </c>
      <c r="FX4" s="12">
        <f t="shared" ref="FX4:FX20" si="69">IF(SUM(FU4,FW4)&gt;0,SUM(FU4,FW4),"")</f>
        <v>109.765</v>
      </c>
      <c r="FY4" s="40"/>
      <c r="FZ4" s="40"/>
      <c r="GA4" s="40"/>
      <c r="GB4" s="40"/>
      <c r="GC4" s="40"/>
      <c r="GD4" s="40"/>
      <c r="GE4" s="40"/>
      <c r="GF4" s="40"/>
      <c r="GG4" s="40"/>
      <c r="GH4" s="40"/>
      <c r="GI4" s="40"/>
      <c r="GJ4" s="40"/>
      <c r="GK4" s="40"/>
      <c r="GL4" s="40"/>
      <c r="GM4" s="40"/>
      <c r="GN4" s="15" t="str">
        <f t="shared" ref="GN4:GN20" si="70">IF(GF4&gt;0,GF4,"")</f>
        <v/>
      </c>
      <c r="GO4" s="15" t="str">
        <f t="shared" ref="GO4:GO20" si="71">IF(SUM(FY4:GB4)-GC4&gt;0,SUM(FY4:GB4)-GC4,"")</f>
        <v/>
      </c>
      <c r="GP4" s="15" t="str">
        <f t="shared" ref="GP4:GP20" si="72">IF(SUM(GD4:GG4)-GH4&gt;0,SUM(GD4:GG4)-GH4,"")</f>
        <v/>
      </c>
      <c r="GQ4" s="15" t="str">
        <f t="shared" ref="GQ4:GQ20" si="73">IF(SUM(GO4:GP4)&gt;0,SUM(GO4:GP4),"")</f>
        <v/>
      </c>
      <c r="GR4" s="15" t="str">
        <f t="shared" ref="GR4:GR20" si="74">IF(GK4&gt;0,GK4,"")</f>
        <v/>
      </c>
      <c r="GS4" s="15" t="str">
        <f t="shared" ref="GS4:GS20" si="75">IF(SUM(GI4:GL4)-GM4&gt;0,SUM(GI4:GL4)-GM4,"")</f>
        <v/>
      </c>
      <c r="GT4" s="15" t="str">
        <f t="shared" ref="GT4:GT20" si="76">IF(SUM(GQ4,GS4)&gt;0,SUM(GQ4,GS4),"")</f>
        <v/>
      </c>
      <c r="GU4" s="39">
        <v>15.8</v>
      </c>
      <c r="GV4" s="39">
        <v>8</v>
      </c>
      <c r="GW4" s="39">
        <v>3.4</v>
      </c>
      <c r="GX4" s="39">
        <v>15.615</v>
      </c>
      <c r="GY4" s="39">
        <v>0</v>
      </c>
      <c r="GZ4" s="39">
        <v>15.9</v>
      </c>
      <c r="HA4" s="39">
        <v>9.1999999999999993</v>
      </c>
      <c r="HB4" s="39">
        <v>13.6</v>
      </c>
      <c r="HC4" s="39">
        <v>16.585000000000001</v>
      </c>
      <c r="HD4" s="39">
        <v>0</v>
      </c>
      <c r="HE4" s="39">
        <v>15.8</v>
      </c>
      <c r="HF4" s="39">
        <v>9.6999999999999993</v>
      </c>
      <c r="HG4" s="39">
        <v>15.6</v>
      </c>
      <c r="HH4" s="39">
        <v>16.34</v>
      </c>
      <c r="HI4" s="39">
        <v>0</v>
      </c>
      <c r="HJ4" s="12">
        <f t="shared" ref="HJ4:HJ20" si="77">IF(HB4&gt;0,HB4,"")</f>
        <v>13.6</v>
      </c>
      <c r="HK4" s="12">
        <f t="shared" ref="HK4:HK20" si="78">IF(SUM(GU4:GX4)-GY4&gt;0,SUM(GU4:GX4)-GY4,"")</f>
        <v>42.814999999999998</v>
      </c>
      <c r="HL4" s="12">
        <f t="shared" ref="HL4:HL20" si="79">IF(SUM(GZ4:HC4)-HD4&gt;0,SUM(GZ4:HC4)-HD4,"")</f>
        <v>55.285000000000004</v>
      </c>
      <c r="HM4" s="12">
        <f t="shared" ref="HM4:HM20" si="80">IF(SUM(HK4:HL4)&gt;0,SUM(HK4:HL4),"")</f>
        <v>98.1</v>
      </c>
      <c r="HN4" s="12">
        <f t="shared" ref="HN4:HN20" si="81">IF(HG4&gt;0,HG4,"")</f>
        <v>15.6</v>
      </c>
      <c r="HO4" s="12">
        <f t="shared" ref="HO4:HO20" si="82">IF(SUM(HE4:HH4)-HI4&gt;0,SUM(HE4:HH4)-HI4,"")</f>
        <v>57.44</v>
      </c>
      <c r="HP4" s="12">
        <f t="shared" ref="HP4:HP20" si="83">IF(SUM(HM4,HO4)&gt;0,SUM(HM4,HO4),"")</f>
        <v>155.54</v>
      </c>
      <c r="HQ4" s="40">
        <v>18.5</v>
      </c>
      <c r="HR4" s="40">
        <v>9.3000000000000007</v>
      </c>
      <c r="HS4" s="40">
        <v>5.7</v>
      </c>
      <c r="HT4" s="40">
        <v>18.045000000000002</v>
      </c>
      <c r="HU4" s="40">
        <v>0</v>
      </c>
      <c r="HV4" s="40">
        <v>16.399999999999999</v>
      </c>
      <c r="HW4" s="40">
        <v>9.1999999999999993</v>
      </c>
      <c r="HX4" s="40">
        <v>16.2</v>
      </c>
      <c r="HY4" s="40">
        <v>16.984999999999999</v>
      </c>
      <c r="HZ4" s="40">
        <v>0</v>
      </c>
      <c r="IA4" s="40"/>
      <c r="IB4" s="40"/>
      <c r="IC4" s="40"/>
      <c r="ID4" s="40"/>
      <c r="IE4" s="40"/>
      <c r="IF4" s="15">
        <f t="shared" ref="IF4:IF20" si="84">IF(HX4&gt;0,HX4,"")</f>
        <v>16.2</v>
      </c>
      <c r="IG4" s="15">
        <f t="shared" ref="IG4:IG20" si="85">IF(SUM(HQ4:HT4)-HU4&gt;0,SUM(HQ4:HT4)-HU4,"")</f>
        <v>51.545000000000002</v>
      </c>
      <c r="IH4" s="15">
        <f t="shared" ref="IH4:IH20" si="86">IF(SUM(HV4:HY4)-HZ4&gt;0,SUM(HV4:HY4)-HZ4,"")</f>
        <v>58.784999999999997</v>
      </c>
      <c r="II4" s="15">
        <f t="shared" ref="II4:II20" si="87">IF(SUM(IG4:IH4)&gt;0,SUM(IG4:IH4),"")</f>
        <v>110.33</v>
      </c>
      <c r="IJ4" s="15" t="str">
        <f t="shared" ref="IJ4:IJ20" si="88">IF(IC4&gt;0,IC4,"")</f>
        <v/>
      </c>
      <c r="IK4" s="15" t="str">
        <f t="shared" ref="IK4:IK20" si="89">IF(SUM(IA4:ID4)-IE4&gt;0,SUM(IA4:ID4)-IE4,"")</f>
        <v/>
      </c>
      <c r="IL4" s="15">
        <f t="shared" ref="IL4:IL20" si="90">IF(SUM(II4,IK4)&gt;0,SUM(II4,IK4),"")</f>
        <v>110.33</v>
      </c>
      <c r="IM4" s="39">
        <v>17.8</v>
      </c>
      <c r="IN4" s="39">
        <v>9</v>
      </c>
      <c r="IO4" s="39">
        <v>5.7</v>
      </c>
      <c r="IP4" s="39">
        <v>18.215</v>
      </c>
      <c r="IQ4" s="39">
        <v>0</v>
      </c>
      <c r="IR4" s="39">
        <v>16</v>
      </c>
      <c r="IS4" s="39">
        <v>9</v>
      </c>
      <c r="IT4" s="39">
        <v>15.6</v>
      </c>
      <c r="IU4" s="39">
        <v>16.855</v>
      </c>
      <c r="IV4" s="39">
        <v>0</v>
      </c>
      <c r="IW4" s="39"/>
      <c r="IX4" s="39"/>
      <c r="IY4" s="39"/>
      <c r="IZ4" s="39"/>
      <c r="JA4" s="39"/>
      <c r="JB4" s="12">
        <f t="shared" ref="JB4:JB20" si="91">IF(IT4&gt;0,IT4,"")</f>
        <v>15.6</v>
      </c>
      <c r="JC4" s="12">
        <f t="shared" ref="JC4:JC20" si="92">IF(SUM(IM4:IP4)-IQ4&gt;0,SUM(IM4:IP4)-IQ4,"")</f>
        <v>50.715000000000003</v>
      </c>
      <c r="JD4" s="12">
        <f t="shared" ref="JD4:JD20" si="93">IF(SUM(IR4:IU4)-IV4&gt;0,SUM(IR4:IU4)-IV4,"")</f>
        <v>57.454999999999998</v>
      </c>
      <c r="JE4" s="12">
        <f t="shared" ref="JE4:JE20" si="94">IF(SUM(JC4:JD4)&gt;0,SUM(JC4:JD4),"")</f>
        <v>108.17</v>
      </c>
      <c r="JF4" s="12" t="str">
        <f t="shared" ref="JF4:JF20" si="95">IF(IY4&gt;0,IY4,"")</f>
        <v/>
      </c>
      <c r="JG4" s="12" t="str">
        <f t="shared" ref="JG4:JG20" si="96">IF(SUM(IW4:IZ4)-JA4&gt;0,SUM(IW4:IZ4)-JA4,"")</f>
        <v/>
      </c>
      <c r="JH4" s="12">
        <f t="shared" ref="JH4:JH20" si="97">IF(SUM(JE4,JG4)&gt;0,SUM(JE4,JG4),"")</f>
        <v>108.17</v>
      </c>
      <c r="JI4" s="40"/>
      <c r="JJ4" s="40"/>
      <c r="JK4" s="40"/>
      <c r="JL4" s="40"/>
      <c r="JM4" s="40"/>
      <c r="JN4" s="40"/>
      <c r="JO4" s="40"/>
      <c r="JP4" s="40"/>
      <c r="JQ4" s="40"/>
      <c r="JR4" s="40"/>
      <c r="JS4" s="40"/>
      <c r="JT4" s="40"/>
      <c r="JU4" s="40"/>
      <c r="JV4" s="40"/>
      <c r="JW4" s="40"/>
      <c r="JX4" s="15" t="str">
        <f t="shared" ref="JX4:JX20" si="98">IF(JP4&gt;0,JP4,"")</f>
        <v/>
      </c>
      <c r="JY4" s="15" t="str">
        <f t="shared" ref="JY4:JY20" si="99">IF(SUM(JI4:JL4)-JM4&gt;0,SUM(JI4:JL4)-JM4,"")</f>
        <v/>
      </c>
      <c r="JZ4" s="15" t="str">
        <f t="shared" ref="JZ4:JZ20" si="100">IF(SUM(JN4:JQ4)-JR4&gt;0,SUM(JN4:JQ4)-JR4,"")</f>
        <v/>
      </c>
      <c r="KA4" s="15" t="str">
        <f t="shared" ref="KA4:KA20" si="101">IF(SUM(JY4:JZ4)&gt;0,SUM(JY4:JZ4),"")</f>
        <v/>
      </c>
      <c r="KB4" s="15" t="str">
        <f t="shared" ref="KB4:KB20" si="102">IF(JU4&gt;0,JU4,"")</f>
        <v/>
      </c>
      <c r="KC4" s="15" t="str">
        <f t="shared" ref="KC4:KC20" si="103">IF(SUM(JS4:JV4)-JW4&gt;0,SUM(JS4:JV4)-JW4,"")</f>
        <v/>
      </c>
      <c r="KD4" s="15" t="str">
        <f t="shared" ref="KD4:KD20" si="104">IF(SUM(KA4,KC4)&gt;0,SUM(KA4,KC4),"")</f>
        <v/>
      </c>
      <c r="KE4" s="39"/>
      <c r="KF4" s="39"/>
      <c r="KG4" s="39"/>
      <c r="KH4" s="39"/>
      <c r="KI4" s="39"/>
      <c r="KJ4" s="39"/>
      <c r="KK4" s="39"/>
      <c r="KL4" s="39"/>
      <c r="KM4" s="39"/>
      <c r="KN4" s="39"/>
      <c r="KO4" s="39"/>
      <c r="KP4" s="39"/>
      <c r="KQ4" s="39"/>
      <c r="KR4" s="39"/>
      <c r="KS4" s="39"/>
      <c r="KT4" s="12" t="str">
        <f t="shared" ref="KT4:KT20" si="105">IF(KL4&gt;0,KL4,"")</f>
        <v/>
      </c>
      <c r="KU4" s="12" t="str">
        <f t="shared" ref="KU4:KU20" si="106">IF(SUM(KE4:KH4)-KI4&gt;0,SUM(KE4:KH4)-KI4,"")</f>
        <v/>
      </c>
      <c r="KV4" s="12" t="str">
        <f t="shared" ref="KV4:KV20" si="107">IF(SUM(KJ4:KM4)-KN4&gt;0,SUM(KJ4:KM4)-KN4,"")</f>
        <v/>
      </c>
      <c r="KW4" s="12" t="str">
        <f t="shared" ref="KW4:KW20" si="108">IF(SUM(KU4:KV4)&gt;0,SUM(KU4:KV4),"")</f>
        <v/>
      </c>
      <c r="KX4" s="12" t="str">
        <f t="shared" ref="KX4:KX20" si="109">IF(KQ4&gt;0,KQ4,"")</f>
        <v/>
      </c>
      <c r="KY4" s="12" t="str">
        <f t="shared" ref="KY4:KY20" si="110">IF(SUM(KO4:KR4)-KS4&gt;0,SUM(KO4:KR4)-KS4,"")</f>
        <v/>
      </c>
      <c r="KZ4" s="12" t="str">
        <f t="shared" ref="KZ4:KZ20" si="111">IF(SUM(KW4,KY4)&gt;0,SUM(KW4,KY4),"")</f>
        <v/>
      </c>
      <c r="LA4" s="40"/>
      <c r="LB4" s="40"/>
      <c r="LC4" s="40"/>
      <c r="LD4" s="40"/>
      <c r="LE4" s="40"/>
      <c r="LF4" s="40"/>
      <c r="LG4" s="40"/>
      <c r="LH4" s="40"/>
      <c r="LI4" s="40"/>
      <c r="LJ4" s="40"/>
      <c r="LK4" s="40"/>
      <c r="LL4" s="40"/>
      <c r="LM4" s="40"/>
      <c r="LN4" s="40"/>
      <c r="LO4" s="40"/>
      <c r="LP4" s="15" t="str">
        <f t="shared" ref="LP4:LP20" si="112">IF(LH4&gt;0,LH4,"")</f>
        <v/>
      </c>
      <c r="LQ4" s="15" t="str">
        <f t="shared" ref="LQ4:LQ20" si="113">IF(SUM(LA4:LD4)-LE4&gt;0,SUM(LA4:LD4)-LE4,"")</f>
        <v/>
      </c>
      <c r="LR4" s="15" t="str">
        <f t="shared" ref="LR4:LR20" si="114">IF(SUM(LF4:LI4)-LJ4&gt;0,SUM(LF4:LI4)-LJ4,"")</f>
        <v/>
      </c>
      <c r="LS4" s="15" t="str">
        <f t="shared" ref="LS4:LS20" si="115">IF(SUM(LQ4:LR4)&gt;0,SUM(LQ4:LR4),"")</f>
        <v/>
      </c>
      <c r="LT4" s="15" t="str">
        <f t="shared" ref="LT4:LT20" si="116">IF(LM4&gt;0,LM4,"")</f>
        <v/>
      </c>
      <c r="LU4" s="15" t="str">
        <f t="shared" ref="LU4:LU20" si="117">IF(SUM(LK4:LN4)-LO4&gt;0,SUM(LK4:LN4)-LO4,"")</f>
        <v/>
      </c>
      <c r="LV4" s="15" t="str">
        <f t="shared" ref="LV4:LV20" si="118">IF(SUM(LS4,LU4)&gt;0,SUM(LS4,LU4),"")</f>
        <v/>
      </c>
      <c r="LW4" s="71">
        <f t="shared" ref="LW4:LW20" si="119">IF($BG4="P",AR4,(U4+AR4)/2)</f>
        <v>15.05</v>
      </c>
      <c r="LX4" s="71">
        <f t="shared" ref="LX4:LX20" si="120">IF($BG4="P",AS4,(V4+AS4)/2)</f>
        <v>7.4750000000000005</v>
      </c>
      <c r="LY4" s="71">
        <f t="shared" ref="LY4:LY20" si="121">IF($BG4="P",AT4,(W4+AT4)/2)</f>
        <v>2.85</v>
      </c>
      <c r="LZ4" s="71">
        <f t="shared" ref="LZ4:LZ20" si="122">IF($BG4="P",AU4,(X4+AU4)/2)</f>
        <v>14.9175</v>
      </c>
      <c r="MA4" s="71">
        <f t="shared" ref="MA4:MA20" si="123">IF($BG4="P",AV4,(Y4+AV4)/2)</f>
        <v>0</v>
      </c>
      <c r="MB4" s="71">
        <f t="shared" ref="MB4:MB20" si="124">IF($BG4="P",AW4,(Z4+AW4)/2)</f>
        <v>17.3</v>
      </c>
      <c r="MC4" s="71">
        <f t="shared" ref="MC4:MC20" si="125">IF($BG4="P",AX4,(AA4+AX4)/2)</f>
        <v>9.1</v>
      </c>
      <c r="MD4" s="71">
        <f t="shared" ref="MD4:MD20" si="126">IF($BG4="P",AY4,(AB4+AY4)/2)</f>
        <v>16.2</v>
      </c>
      <c r="ME4" s="71">
        <f t="shared" ref="ME4:ME20" si="127">IF($BG4="P",AZ4,(AC4+AZ4)/2)</f>
        <v>17.259999999999998</v>
      </c>
      <c r="MF4" s="71">
        <f t="shared" ref="MF4:MF20" si="128">IF($BG4="P",BA4,(AD4+BA4)/2)</f>
        <v>0</v>
      </c>
      <c r="MG4" s="71">
        <f t="shared" ref="MG4:MG20" si="129">IF($BG4="P",BB4,(AE4+BB4)/2)</f>
        <v>10.77</v>
      </c>
      <c r="MH4" s="71">
        <f t="shared" ref="MH4:MH20" si="130">IF($BG4="P",BC4,(AF4+BC4)/2)</f>
        <v>5.9249999999999998</v>
      </c>
      <c r="MI4" s="71">
        <f t="shared" ref="MI4:MI20" si="131">IF($BG4="P",BD4,(AG4+BD4)/2)</f>
        <v>10.95</v>
      </c>
      <c r="MJ4" s="71">
        <f t="shared" ref="MJ4:MJ20" si="132">IF($BG4="P",BE4,(AH4+BE4)/2)</f>
        <v>11.262499999999999</v>
      </c>
      <c r="MK4" s="71">
        <f t="shared" ref="MK4:MK20" si="133">IF($BG4="P",BF4,(AI4+BF4)/2)</f>
        <v>0</v>
      </c>
      <c r="ML4" s="82" t="s">
        <v>100</v>
      </c>
      <c r="MM4" s="12">
        <f t="shared" ref="MM4:MM20" si="134">IF(MD4&gt;0,MD4,"")</f>
        <v>16.2</v>
      </c>
      <c r="MN4" s="12">
        <f t="shared" ref="MN4:MN20" si="135">IF(SUM(LW4:LZ4)-MA4&gt;0,SUM(LW4:LZ4)-MA4,"")</f>
        <v>40.292500000000004</v>
      </c>
      <c r="MO4" s="12">
        <f t="shared" ref="MO4:MO20" si="136">IF(SUM(MB4:ME4)-MF4&gt;0,SUM(MB4:ME4)-MF4,"")</f>
        <v>59.859999999999992</v>
      </c>
      <c r="MP4" s="12">
        <f t="shared" ref="MP4:MP20" si="137">IF(SUM(MN4:MO4)&gt;0,SUM(MN4:MO4),"")</f>
        <v>100.1525</v>
      </c>
      <c r="MQ4" s="12">
        <f>IF(MI4&gt;0,MI4,"")</f>
        <v>10.95</v>
      </c>
      <c r="MR4" s="12">
        <f t="shared" ref="MR4:MR20" si="138">IF(SUM(MG4:MJ4)-MK4&gt;0,SUM(MG4:MJ4)-MK4,"")</f>
        <v>38.907499999999999</v>
      </c>
      <c r="MS4" s="12">
        <f t="shared" ref="MS4:MS20" si="139">IF(SUM(MP4,MR4)&gt;0,SUM(MP4,MR4),"")</f>
        <v>139.06</v>
      </c>
    </row>
    <row r="5" spans="1:357" x14ac:dyDescent="0.2">
      <c r="A5" s="6">
        <f t="shared" si="0"/>
        <v>2</v>
      </c>
      <c r="B5" s="9" t="s">
        <v>42</v>
      </c>
      <c r="C5" s="5" t="s">
        <v>3</v>
      </c>
      <c r="D5" s="6">
        <v>1986</v>
      </c>
      <c r="E5" s="16">
        <f t="shared" si="1"/>
        <v>276.69499999999999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Excellence</v>
      </c>
      <c r="J5" s="15">
        <f t="shared" si="6"/>
        <v>109.58500000000001</v>
      </c>
      <c r="K5" s="15" t="str">
        <f t="shared" si="7"/>
        <v>2019 Nationals</v>
      </c>
      <c r="L5" s="15">
        <f t="shared" si="8"/>
        <v>51.424999999999997</v>
      </c>
      <c r="M5" s="15" t="str">
        <f t="shared" si="9"/>
        <v>2019 Elite Canada</v>
      </c>
      <c r="N5" s="15">
        <f t="shared" si="10"/>
        <v>57.162500000000001</v>
      </c>
      <c r="O5" s="15" t="str">
        <f t="shared" si="11"/>
        <v>2019 Elite Canada</v>
      </c>
      <c r="P5" s="15">
        <f t="shared" si="12"/>
        <v>58.302500000000002</v>
      </c>
      <c r="Q5" s="15" t="str">
        <f t="shared" si="13"/>
        <v>2019 Elite Canada</v>
      </c>
      <c r="R5" s="15">
        <f t="shared" si="14"/>
        <v>0.22000000000000597</v>
      </c>
      <c r="S5" s="27" t="str">
        <f t="shared" si="15"/>
        <v>(Vol 1)</v>
      </c>
      <c r="T5" s="15" t="str">
        <f t="shared" si="16"/>
        <v>2019 World Cup ESP (Oct 5)</v>
      </c>
      <c r="U5" s="71">
        <v>18.799999999999997</v>
      </c>
      <c r="V5" s="71">
        <v>9.4250000000000007</v>
      </c>
      <c r="W5" s="71">
        <v>5.8</v>
      </c>
      <c r="X5" s="71">
        <v>17.399999999999999</v>
      </c>
      <c r="Y5" s="71">
        <v>0</v>
      </c>
      <c r="Z5" s="71">
        <v>16.850000000000001</v>
      </c>
      <c r="AA5" s="71">
        <v>8.8249999999999993</v>
      </c>
      <c r="AB5" s="71">
        <v>15.2</v>
      </c>
      <c r="AC5" s="71">
        <v>16.287500000000001</v>
      </c>
      <c r="AD5" s="71">
        <v>0</v>
      </c>
      <c r="AE5" s="71">
        <v>17.7</v>
      </c>
      <c r="AF5" s="71">
        <v>9.125</v>
      </c>
      <c r="AG5" s="71">
        <v>15</v>
      </c>
      <c r="AH5" s="71">
        <v>16.477499999999999</v>
      </c>
      <c r="AI5" s="71">
        <v>0</v>
      </c>
      <c r="AJ5" s="82" t="s">
        <v>100</v>
      </c>
      <c r="AK5" s="12">
        <f t="shared" si="17"/>
        <v>15.2</v>
      </c>
      <c r="AL5" s="12">
        <f t="shared" si="18"/>
        <v>51.424999999999997</v>
      </c>
      <c r="AM5" s="12">
        <f t="shared" si="19"/>
        <v>57.162500000000001</v>
      </c>
      <c r="AN5" s="12">
        <f t="shared" si="20"/>
        <v>108.58750000000001</v>
      </c>
      <c r="AO5" s="12">
        <f t="shared" si="21"/>
        <v>15</v>
      </c>
      <c r="AP5" s="12">
        <f t="shared" si="22"/>
        <v>58.302500000000002</v>
      </c>
      <c r="AQ5" s="12">
        <f t="shared" si="23"/>
        <v>166.89000000000001</v>
      </c>
      <c r="AR5" s="65">
        <v>18.8</v>
      </c>
      <c r="AS5" s="65">
        <v>9.4</v>
      </c>
      <c r="AT5" s="65">
        <v>5.8</v>
      </c>
      <c r="AU5" s="65">
        <v>17.305</v>
      </c>
      <c r="AV5" s="65">
        <v>0</v>
      </c>
      <c r="AW5" s="65">
        <v>17.3</v>
      </c>
      <c r="AX5" s="65">
        <v>9.1</v>
      </c>
      <c r="AY5" s="65">
        <v>15.6</v>
      </c>
      <c r="AZ5" s="65">
        <v>16.28</v>
      </c>
      <c r="BA5" s="65">
        <v>0</v>
      </c>
      <c r="BB5" s="65">
        <v>1.8</v>
      </c>
      <c r="BC5" s="65">
        <v>0.9</v>
      </c>
      <c r="BD5" s="65">
        <v>2</v>
      </c>
      <c r="BE5" s="65">
        <v>1.85</v>
      </c>
      <c r="BF5" s="65">
        <v>0</v>
      </c>
      <c r="BG5" s="83"/>
      <c r="BH5" s="15">
        <f t="shared" si="24"/>
        <v>15.6</v>
      </c>
      <c r="BI5" s="15">
        <f t="shared" si="25"/>
        <v>51.305</v>
      </c>
      <c r="BJ5" s="15">
        <f t="shared" si="26"/>
        <v>58.28</v>
      </c>
      <c r="BK5" s="15">
        <f t="shared" si="27"/>
        <v>109.58500000000001</v>
      </c>
      <c r="BL5" s="15">
        <f t="shared" si="28"/>
        <v>2</v>
      </c>
      <c r="BM5" s="15">
        <f t="shared" si="29"/>
        <v>6.5500000000000007</v>
      </c>
      <c r="BN5" s="15">
        <f t="shared" si="30"/>
        <v>116.13500000000001</v>
      </c>
      <c r="BO5" s="26">
        <f t="shared" si="31"/>
        <v>0.22000000000000597</v>
      </c>
      <c r="BP5" s="26">
        <f t="shared" si="32"/>
        <v>3.2499999999998863E-2</v>
      </c>
      <c r="BQ5" s="26" t="str">
        <f t="shared" si="33"/>
        <v/>
      </c>
      <c r="BR5" s="26" t="str">
        <f t="shared" si="34"/>
        <v/>
      </c>
      <c r="BS5" s="39">
        <v>18.5</v>
      </c>
      <c r="BT5" s="39">
        <v>9.6</v>
      </c>
      <c r="BU5" s="39">
        <v>5.6</v>
      </c>
      <c r="BV5" s="39">
        <v>17.805</v>
      </c>
      <c r="BW5" s="39">
        <v>0</v>
      </c>
      <c r="BX5" s="39">
        <v>1.6</v>
      </c>
      <c r="BY5" s="39">
        <v>0.8</v>
      </c>
      <c r="BZ5" s="39">
        <v>2</v>
      </c>
      <c r="CA5" s="39">
        <v>1.7949999999999999</v>
      </c>
      <c r="CB5" s="39">
        <v>0</v>
      </c>
      <c r="CC5" s="39"/>
      <c r="CD5" s="39"/>
      <c r="CE5" s="39"/>
      <c r="CF5" s="39"/>
      <c r="CG5" s="39"/>
      <c r="CH5" s="12">
        <f t="shared" si="35"/>
        <v>2</v>
      </c>
      <c r="CI5" s="12">
        <f t="shared" si="36"/>
        <v>51.505000000000003</v>
      </c>
      <c r="CJ5" s="12">
        <f t="shared" si="37"/>
        <v>6.1950000000000003</v>
      </c>
      <c r="CK5" s="12">
        <f t="shared" si="38"/>
        <v>57.7</v>
      </c>
      <c r="CL5" s="12" t="str">
        <f t="shared" si="39"/>
        <v/>
      </c>
      <c r="CM5" s="12" t="str">
        <f t="shared" si="40"/>
        <v/>
      </c>
      <c r="CN5" s="12">
        <f t="shared" si="41"/>
        <v>57.7</v>
      </c>
      <c r="CO5" s="40"/>
      <c r="CP5" s="40"/>
      <c r="CQ5" s="40"/>
      <c r="CR5" s="40"/>
      <c r="CS5" s="40"/>
      <c r="CT5" s="40"/>
      <c r="CU5" s="40"/>
      <c r="CV5" s="40"/>
      <c r="CW5" s="40"/>
      <c r="CX5" s="40"/>
      <c r="CY5" s="40"/>
      <c r="CZ5" s="40"/>
      <c r="DA5" s="40"/>
      <c r="DB5" s="40"/>
      <c r="DC5" s="40"/>
      <c r="DD5" s="15" t="str">
        <f t="shared" si="42"/>
        <v/>
      </c>
      <c r="DE5" s="15" t="str">
        <f t="shared" si="43"/>
        <v/>
      </c>
      <c r="DF5" s="15" t="str">
        <f t="shared" si="44"/>
        <v/>
      </c>
      <c r="DG5" s="15" t="str">
        <f t="shared" si="45"/>
        <v/>
      </c>
      <c r="DH5" s="15" t="str">
        <f t="shared" si="46"/>
        <v/>
      </c>
      <c r="DI5" s="15" t="str">
        <f t="shared" si="47"/>
        <v/>
      </c>
      <c r="DJ5" s="15" t="str">
        <f t="shared" si="48"/>
        <v/>
      </c>
      <c r="DK5" s="39"/>
      <c r="DL5" s="39"/>
      <c r="DM5" s="39"/>
      <c r="DN5" s="39"/>
      <c r="DO5" s="39"/>
      <c r="DP5" s="39"/>
      <c r="DQ5" s="39"/>
      <c r="DR5" s="39"/>
      <c r="DS5" s="39"/>
      <c r="DT5" s="39"/>
      <c r="DU5" s="39"/>
      <c r="DV5" s="39"/>
      <c r="DW5" s="39"/>
      <c r="DX5" s="39"/>
      <c r="DY5" s="39"/>
      <c r="DZ5" s="12" t="str">
        <f t="shared" si="49"/>
        <v/>
      </c>
      <c r="EA5" s="12" t="str">
        <f t="shared" si="50"/>
        <v/>
      </c>
      <c r="EB5" s="12" t="str">
        <f t="shared" si="51"/>
        <v/>
      </c>
      <c r="EC5" s="12" t="str">
        <f t="shared" si="52"/>
        <v/>
      </c>
      <c r="ED5" s="12" t="str">
        <f t="shared" si="53"/>
        <v/>
      </c>
      <c r="EE5" s="12" t="str">
        <f t="shared" si="54"/>
        <v/>
      </c>
      <c r="EF5" s="12" t="str">
        <f t="shared" si="55"/>
        <v/>
      </c>
      <c r="EG5" s="40">
        <v>18.2</v>
      </c>
      <c r="EH5" s="40">
        <v>9.1999999999999993</v>
      </c>
      <c r="EI5" s="40">
        <v>5.4</v>
      </c>
      <c r="EJ5" s="40">
        <v>17.155000000000001</v>
      </c>
      <c r="EK5" s="40">
        <v>0</v>
      </c>
      <c r="EL5" s="40">
        <v>15.5</v>
      </c>
      <c r="EM5" s="40">
        <v>9</v>
      </c>
      <c r="EN5" s="40">
        <v>16.5</v>
      </c>
      <c r="EO5" s="40">
        <v>16.195</v>
      </c>
      <c r="EP5" s="40">
        <v>0</v>
      </c>
      <c r="EQ5" s="40"/>
      <c r="ER5" s="40"/>
      <c r="ES5" s="40"/>
      <c r="ET5" s="40"/>
      <c r="EU5" s="40"/>
      <c r="EV5" s="15">
        <f t="shared" si="56"/>
        <v>16.5</v>
      </c>
      <c r="EW5" s="15">
        <f t="shared" si="57"/>
        <v>49.954999999999998</v>
      </c>
      <c r="EX5" s="15">
        <f t="shared" si="58"/>
        <v>57.195</v>
      </c>
      <c r="EY5" s="15">
        <f t="shared" si="59"/>
        <v>107.15</v>
      </c>
      <c r="EZ5" s="15" t="str">
        <f t="shared" si="60"/>
        <v/>
      </c>
      <c r="FA5" s="15" t="str">
        <f t="shared" si="61"/>
        <v/>
      </c>
      <c r="FB5" s="15">
        <f t="shared" si="62"/>
        <v>107.15</v>
      </c>
      <c r="FC5" s="39"/>
      <c r="FD5" s="39"/>
      <c r="FE5" s="39"/>
      <c r="FF5" s="39"/>
      <c r="FG5" s="39"/>
      <c r="FH5" s="39"/>
      <c r="FI5" s="39"/>
      <c r="FJ5" s="39"/>
      <c r="FK5" s="39"/>
      <c r="FL5" s="39"/>
      <c r="FM5" s="39"/>
      <c r="FN5" s="39"/>
      <c r="FO5" s="39"/>
      <c r="FP5" s="39"/>
      <c r="FQ5" s="39"/>
      <c r="FR5" s="12" t="str">
        <f t="shared" si="63"/>
        <v/>
      </c>
      <c r="FS5" s="12" t="str">
        <f t="shared" si="64"/>
        <v/>
      </c>
      <c r="FT5" s="12" t="str">
        <f t="shared" si="65"/>
        <v/>
      </c>
      <c r="FU5" s="12" t="str">
        <f t="shared" si="66"/>
        <v/>
      </c>
      <c r="FV5" s="12" t="str">
        <f t="shared" si="67"/>
        <v/>
      </c>
      <c r="FW5" s="12" t="str">
        <f t="shared" si="68"/>
        <v/>
      </c>
      <c r="FX5" s="12" t="str">
        <f t="shared" si="69"/>
        <v/>
      </c>
      <c r="FY5" s="40"/>
      <c r="FZ5" s="40"/>
      <c r="GA5" s="40"/>
      <c r="GB5" s="40"/>
      <c r="GC5" s="40"/>
      <c r="GD5" s="40"/>
      <c r="GE5" s="40"/>
      <c r="GF5" s="40"/>
      <c r="GG5" s="40"/>
      <c r="GH5" s="40"/>
      <c r="GI5" s="40"/>
      <c r="GJ5" s="40"/>
      <c r="GK5" s="40"/>
      <c r="GL5" s="40"/>
      <c r="GM5" s="40"/>
      <c r="GN5" s="15" t="str">
        <f t="shared" si="70"/>
        <v/>
      </c>
      <c r="GO5" s="15" t="str">
        <f t="shared" si="71"/>
        <v/>
      </c>
      <c r="GP5" s="15" t="str">
        <f t="shared" si="72"/>
        <v/>
      </c>
      <c r="GQ5" s="15" t="str">
        <f t="shared" si="73"/>
        <v/>
      </c>
      <c r="GR5" s="15" t="str">
        <f t="shared" si="74"/>
        <v/>
      </c>
      <c r="GS5" s="15" t="str">
        <f t="shared" si="75"/>
        <v/>
      </c>
      <c r="GT5" s="15" t="str">
        <f t="shared" si="76"/>
        <v/>
      </c>
      <c r="GU5" s="39">
        <v>11.7</v>
      </c>
      <c r="GV5" s="39">
        <v>5.2</v>
      </c>
      <c r="GW5" s="39">
        <v>0</v>
      </c>
      <c r="GX5" s="39">
        <v>10.395</v>
      </c>
      <c r="GY5" s="39">
        <v>0</v>
      </c>
      <c r="GZ5" s="39">
        <v>15.7</v>
      </c>
      <c r="HA5" s="39">
        <v>9.9</v>
      </c>
      <c r="HB5" s="39">
        <v>15</v>
      </c>
      <c r="HC5" s="39">
        <v>15.875</v>
      </c>
      <c r="HD5" s="39">
        <v>0</v>
      </c>
      <c r="HE5" s="39"/>
      <c r="HF5" s="39"/>
      <c r="HG5" s="39"/>
      <c r="HH5" s="39"/>
      <c r="HI5" s="39"/>
      <c r="HJ5" s="12">
        <f t="shared" si="77"/>
        <v>15</v>
      </c>
      <c r="HK5" s="12">
        <f t="shared" si="78"/>
        <v>27.294999999999998</v>
      </c>
      <c r="HL5" s="12">
        <f t="shared" si="79"/>
        <v>56.475000000000001</v>
      </c>
      <c r="HM5" s="12">
        <f t="shared" si="80"/>
        <v>83.77</v>
      </c>
      <c r="HN5" s="12" t="str">
        <f t="shared" si="81"/>
        <v/>
      </c>
      <c r="HO5" s="12" t="str">
        <f t="shared" si="82"/>
        <v/>
      </c>
      <c r="HP5" s="12">
        <f t="shared" si="83"/>
        <v>83.77</v>
      </c>
      <c r="HQ5" s="40">
        <v>17.899999999999999</v>
      </c>
      <c r="HR5" s="40">
        <v>9</v>
      </c>
      <c r="HS5" s="40">
        <v>6.2</v>
      </c>
      <c r="HT5" s="40">
        <v>17.18</v>
      </c>
      <c r="HU5" s="40">
        <v>0</v>
      </c>
      <c r="HV5" s="40">
        <v>15.9</v>
      </c>
      <c r="HW5" s="40">
        <v>8.9</v>
      </c>
      <c r="HX5" s="40">
        <v>14</v>
      </c>
      <c r="HY5" s="40">
        <v>16.335000000000001</v>
      </c>
      <c r="HZ5" s="40">
        <v>0</v>
      </c>
      <c r="IA5" s="40"/>
      <c r="IB5" s="40"/>
      <c r="IC5" s="40"/>
      <c r="ID5" s="40"/>
      <c r="IE5" s="40"/>
      <c r="IF5" s="15">
        <f t="shared" si="84"/>
        <v>14</v>
      </c>
      <c r="IG5" s="15">
        <f t="shared" si="85"/>
        <v>50.28</v>
      </c>
      <c r="IH5" s="15">
        <f t="shared" si="86"/>
        <v>55.134999999999998</v>
      </c>
      <c r="II5" s="15">
        <f t="shared" si="87"/>
        <v>105.41499999999999</v>
      </c>
      <c r="IJ5" s="15" t="str">
        <f t="shared" si="88"/>
        <v/>
      </c>
      <c r="IK5" s="15" t="str">
        <f t="shared" si="89"/>
        <v/>
      </c>
      <c r="IL5" s="15">
        <f t="shared" si="90"/>
        <v>105.41499999999999</v>
      </c>
      <c r="IM5" s="39">
        <v>18.5</v>
      </c>
      <c r="IN5" s="39">
        <v>9.8000000000000007</v>
      </c>
      <c r="IO5" s="39">
        <v>5.8</v>
      </c>
      <c r="IP5" s="39">
        <v>17.545000000000002</v>
      </c>
      <c r="IQ5" s="39">
        <v>0</v>
      </c>
      <c r="IR5" s="39">
        <v>3.4</v>
      </c>
      <c r="IS5" s="39">
        <v>1.7</v>
      </c>
      <c r="IT5" s="39">
        <v>3.6</v>
      </c>
      <c r="IU5" s="39">
        <v>3.48</v>
      </c>
      <c r="IV5" s="39">
        <v>0</v>
      </c>
      <c r="IW5" s="39"/>
      <c r="IX5" s="39"/>
      <c r="IY5" s="39"/>
      <c r="IZ5" s="39"/>
      <c r="JA5" s="39"/>
      <c r="JB5" s="12">
        <f t="shared" si="91"/>
        <v>3.6</v>
      </c>
      <c r="JC5" s="12">
        <f t="shared" si="92"/>
        <v>51.645000000000003</v>
      </c>
      <c r="JD5" s="12">
        <f t="shared" si="93"/>
        <v>12.18</v>
      </c>
      <c r="JE5" s="12">
        <f t="shared" si="94"/>
        <v>63.825000000000003</v>
      </c>
      <c r="JF5" s="12" t="str">
        <f t="shared" si="95"/>
        <v/>
      </c>
      <c r="JG5" s="12" t="str">
        <f t="shared" si="96"/>
        <v/>
      </c>
      <c r="JH5" s="12">
        <f t="shared" si="97"/>
        <v>63.825000000000003</v>
      </c>
      <c r="JI5" s="40"/>
      <c r="JJ5" s="40"/>
      <c r="JK5" s="40"/>
      <c r="JL5" s="40"/>
      <c r="JM5" s="40"/>
      <c r="JN5" s="40"/>
      <c r="JO5" s="40"/>
      <c r="JP5" s="40"/>
      <c r="JQ5" s="40"/>
      <c r="JR5" s="40"/>
      <c r="JS5" s="40"/>
      <c r="JT5" s="40"/>
      <c r="JU5" s="40"/>
      <c r="JV5" s="40"/>
      <c r="JW5" s="40"/>
      <c r="JX5" s="15" t="str">
        <f t="shared" si="98"/>
        <v/>
      </c>
      <c r="JY5" s="15" t="str">
        <f t="shared" si="99"/>
        <v/>
      </c>
      <c r="JZ5" s="15" t="str">
        <f t="shared" si="100"/>
        <v/>
      </c>
      <c r="KA5" s="15" t="str">
        <f t="shared" si="101"/>
        <v/>
      </c>
      <c r="KB5" s="15" t="str">
        <f t="shared" si="102"/>
        <v/>
      </c>
      <c r="KC5" s="15" t="str">
        <f t="shared" si="103"/>
        <v/>
      </c>
      <c r="KD5" s="15" t="str">
        <f t="shared" si="104"/>
        <v/>
      </c>
      <c r="KE5" s="39"/>
      <c r="KF5" s="39"/>
      <c r="KG5" s="39"/>
      <c r="KH5" s="39"/>
      <c r="KI5" s="39"/>
      <c r="KJ5" s="39"/>
      <c r="KK5" s="39"/>
      <c r="KL5" s="39"/>
      <c r="KM5" s="39"/>
      <c r="KN5" s="39"/>
      <c r="KO5" s="39"/>
      <c r="KP5" s="39"/>
      <c r="KQ5" s="39"/>
      <c r="KR5" s="39"/>
      <c r="KS5" s="39"/>
      <c r="KT5" s="12" t="str">
        <f t="shared" si="105"/>
        <v/>
      </c>
      <c r="KU5" s="12" t="str">
        <f t="shared" si="106"/>
        <v/>
      </c>
      <c r="KV5" s="12" t="str">
        <f t="shared" si="107"/>
        <v/>
      </c>
      <c r="KW5" s="12" t="str">
        <f t="shared" si="108"/>
        <v/>
      </c>
      <c r="KX5" s="12" t="str">
        <f t="shared" si="109"/>
        <v/>
      </c>
      <c r="KY5" s="12" t="str">
        <f t="shared" si="110"/>
        <v/>
      </c>
      <c r="KZ5" s="12" t="str">
        <f t="shared" si="111"/>
        <v/>
      </c>
      <c r="LA5" s="40"/>
      <c r="LB5" s="40"/>
      <c r="LC5" s="40"/>
      <c r="LD5" s="40"/>
      <c r="LE5" s="40"/>
      <c r="LF5" s="40"/>
      <c r="LG5" s="40"/>
      <c r="LH5" s="40"/>
      <c r="LI5" s="40"/>
      <c r="LJ5" s="40"/>
      <c r="LK5" s="40"/>
      <c r="LL5" s="40"/>
      <c r="LM5" s="40"/>
      <c r="LN5" s="40"/>
      <c r="LO5" s="40"/>
      <c r="LP5" s="15" t="str">
        <f t="shared" si="112"/>
        <v/>
      </c>
      <c r="LQ5" s="15" t="str">
        <f t="shared" si="113"/>
        <v/>
      </c>
      <c r="LR5" s="15" t="str">
        <f t="shared" si="114"/>
        <v/>
      </c>
      <c r="LS5" s="15" t="str">
        <f t="shared" si="115"/>
        <v/>
      </c>
      <c r="LT5" s="15" t="str">
        <f t="shared" si="116"/>
        <v/>
      </c>
      <c r="LU5" s="15" t="str">
        <f t="shared" si="117"/>
        <v/>
      </c>
      <c r="LV5" s="15" t="str">
        <f t="shared" si="118"/>
        <v/>
      </c>
      <c r="LW5" s="71">
        <f t="shared" si="119"/>
        <v>18.799999999999997</v>
      </c>
      <c r="LX5" s="71">
        <f t="shared" si="120"/>
        <v>9.4125000000000014</v>
      </c>
      <c r="LY5" s="71">
        <f t="shared" si="121"/>
        <v>5.8</v>
      </c>
      <c r="LZ5" s="71">
        <f t="shared" si="122"/>
        <v>17.352499999999999</v>
      </c>
      <c r="MA5" s="71">
        <f t="shared" si="123"/>
        <v>0</v>
      </c>
      <c r="MB5" s="71">
        <f t="shared" si="124"/>
        <v>17.075000000000003</v>
      </c>
      <c r="MC5" s="71">
        <f t="shared" si="125"/>
        <v>8.9624999999999986</v>
      </c>
      <c r="MD5" s="71">
        <f t="shared" si="126"/>
        <v>15.399999999999999</v>
      </c>
      <c r="ME5" s="71">
        <f t="shared" si="127"/>
        <v>16.283750000000001</v>
      </c>
      <c r="MF5" s="71">
        <f t="shared" si="128"/>
        <v>0</v>
      </c>
      <c r="MG5" s="71">
        <f t="shared" si="129"/>
        <v>9.75</v>
      </c>
      <c r="MH5" s="71">
        <f t="shared" si="130"/>
        <v>5.0125000000000002</v>
      </c>
      <c r="MI5" s="71">
        <f t="shared" si="131"/>
        <v>8.5</v>
      </c>
      <c r="MJ5" s="71">
        <f t="shared" si="132"/>
        <v>9.1637500000000003</v>
      </c>
      <c r="MK5" s="71">
        <f t="shared" si="133"/>
        <v>0</v>
      </c>
      <c r="ML5" s="82" t="s">
        <v>100</v>
      </c>
      <c r="MM5" s="12">
        <f t="shared" si="134"/>
        <v>15.399999999999999</v>
      </c>
      <c r="MN5" s="12">
        <f t="shared" si="135"/>
        <v>51.364999999999995</v>
      </c>
      <c r="MO5" s="12">
        <f t="shared" si="136"/>
        <v>57.721249999999998</v>
      </c>
      <c r="MP5" s="12">
        <f t="shared" si="137"/>
        <v>109.08624999999999</v>
      </c>
      <c r="MQ5" s="12">
        <f t="shared" ref="MQ5:MQ20" si="140">IF(MI5&gt;0,MI5,"")</f>
        <v>8.5</v>
      </c>
      <c r="MR5" s="12">
        <f t="shared" si="138"/>
        <v>32.426249999999996</v>
      </c>
      <c r="MS5" s="12">
        <f t="shared" si="139"/>
        <v>141.51249999999999</v>
      </c>
    </row>
    <row r="6" spans="1:357" x14ac:dyDescent="0.2">
      <c r="A6" s="6">
        <f t="shared" si="0"/>
        <v>3</v>
      </c>
      <c r="B6" s="9" t="s">
        <v>4</v>
      </c>
      <c r="C6" s="5" t="s">
        <v>5</v>
      </c>
      <c r="D6" s="6">
        <v>1992</v>
      </c>
      <c r="E6" s="16">
        <f t="shared" si="1"/>
        <v>272.43500000000006</v>
      </c>
      <c r="F6" s="4" t="str">
        <f t="shared" si="2"/>
        <v>P</v>
      </c>
      <c r="G6" s="4" t="str">
        <f t="shared" si="3"/>
        <v>P</v>
      </c>
      <c r="H6" s="4" t="str">
        <f t="shared" si="4"/>
        <v>P</v>
      </c>
      <c r="I6" t="str">
        <f t="shared" si="5"/>
        <v>Excellence</v>
      </c>
      <c r="J6" s="15">
        <f t="shared" si="6"/>
        <v>108.08500000000001</v>
      </c>
      <c r="K6" s="15" t="str">
        <f t="shared" si="7"/>
        <v>2019 Nationals</v>
      </c>
      <c r="L6" s="15">
        <f t="shared" si="8"/>
        <v>49.885000000000005</v>
      </c>
      <c r="M6" s="15" t="str">
        <f t="shared" si="9"/>
        <v>2019 Elite Canada</v>
      </c>
      <c r="N6" s="15">
        <f t="shared" si="10"/>
        <v>57.400000000000006</v>
      </c>
      <c r="O6" s="15" t="str">
        <f t="shared" si="11"/>
        <v>2019 Elite Canada</v>
      </c>
      <c r="P6" s="15">
        <f t="shared" si="12"/>
        <v>57.005000000000003</v>
      </c>
      <c r="Q6" s="15" t="str">
        <f t="shared" si="13"/>
        <v>2019 Elite Canada</v>
      </c>
      <c r="R6" s="15">
        <f t="shared" si="14"/>
        <v>6.0000000000002274E-2</v>
      </c>
      <c r="S6" s="27" t="str">
        <f t="shared" si="15"/>
        <v>(Vol 1)</v>
      </c>
      <c r="T6" s="15" t="str">
        <f t="shared" si="16"/>
        <v>2019 World Cup RUS (Sept 21)</v>
      </c>
      <c r="U6" s="71">
        <v>18.100000000000001</v>
      </c>
      <c r="V6" s="71">
        <v>9.25</v>
      </c>
      <c r="W6" s="71">
        <v>5.0999999999999996</v>
      </c>
      <c r="X6" s="71">
        <v>17.434999999999999</v>
      </c>
      <c r="Y6" s="71">
        <v>0</v>
      </c>
      <c r="Z6" s="71">
        <v>15.9</v>
      </c>
      <c r="AA6" s="71">
        <v>9.3000000000000007</v>
      </c>
      <c r="AB6" s="71">
        <v>16</v>
      </c>
      <c r="AC6" s="71">
        <v>16.2</v>
      </c>
      <c r="AD6" s="71">
        <v>0</v>
      </c>
      <c r="AE6" s="71">
        <v>16.100000000000001</v>
      </c>
      <c r="AF6" s="71">
        <v>8.85</v>
      </c>
      <c r="AG6" s="71">
        <v>15.4</v>
      </c>
      <c r="AH6" s="71">
        <v>16.655000000000001</v>
      </c>
      <c r="AI6" s="71">
        <v>0</v>
      </c>
      <c r="AJ6" s="82"/>
      <c r="AK6" s="12">
        <f t="shared" si="17"/>
        <v>16</v>
      </c>
      <c r="AL6" s="12">
        <f t="shared" si="18"/>
        <v>49.885000000000005</v>
      </c>
      <c r="AM6" s="12">
        <f t="shared" si="19"/>
        <v>57.400000000000006</v>
      </c>
      <c r="AN6" s="12">
        <f t="shared" si="20"/>
        <v>107.28500000000001</v>
      </c>
      <c r="AO6" s="12">
        <f t="shared" si="21"/>
        <v>15.4</v>
      </c>
      <c r="AP6" s="12">
        <f t="shared" si="22"/>
        <v>57.005000000000003</v>
      </c>
      <c r="AQ6" s="12">
        <f t="shared" si="23"/>
        <v>164.29000000000002</v>
      </c>
      <c r="AR6" s="77">
        <v>17.8</v>
      </c>
      <c r="AS6" s="77">
        <v>9</v>
      </c>
      <c r="AT6" s="77">
        <v>6.8</v>
      </c>
      <c r="AU6" s="77">
        <v>16.734999999999999</v>
      </c>
      <c r="AV6" s="77">
        <v>0</v>
      </c>
      <c r="AW6" s="77">
        <v>15.7</v>
      </c>
      <c r="AX6" s="77">
        <v>9.6</v>
      </c>
      <c r="AY6" s="77">
        <v>16</v>
      </c>
      <c r="AZ6" s="77">
        <v>16.45</v>
      </c>
      <c r="BA6" s="77">
        <v>0</v>
      </c>
      <c r="BB6" s="77">
        <v>16.8</v>
      </c>
      <c r="BC6" s="77">
        <v>9.1999999999999993</v>
      </c>
      <c r="BD6" s="77">
        <v>14.6</v>
      </c>
      <c r="BE6" s="77">
        <v>16.295000000000002</v>
      </c>
      <c r="BF6" s="77">
        <v>0</v>
      </c>
      <c r="BG6" s="83"/>
      <c r="BH6" s="15">
        <f t="shared" si="24"/>
        <v>16</v>
      </c>
      <c r="BI6" s="15">
        <f t="shared" si="25"/>
        <v>50.335000000000001</v>
      </c>
      <c r="BJ6" s="15">
        <f t="shared" si="26"/>
        <v>57.75</v>
      </c>
      <c r="BK6" s="15">
        <f t="shared" si="27"/>
        <v>108.08500000000001</v>
      </c>
      <c r="BL6" s="15">
        <f t="shared" si="28"/>
        <v>14.6</v>
      </c>
      <c r="BM6" s="15">
        <f t="shared" si="29"/>
        <v>56.895000000000003</v>
      </c>
      <c r="BN6" s="15">
        <f t="shared" si="30"/>
        <v>164.98000000000002</v>
      </c>
      <c r="BO6" s="26">
        <f t="shared" si="31"/>
        <v>6.0000000000002274E-2</v>
      </c>
      <c r="BP6" s="26" t="str">
        <f t="shared" si="32"/>
        <v/>
      </c>
      <c r="BQ6" s="26" t="str">
        <f t="shared" si="33"/>
        <v/>
      </c>
      <c r="BR6" s="26" t="str">
        <f t="shared" si="34"/>
        <v/>
      </c>
      <c r="BS6" s="39">
        <v>17.8</v>
      </c>
      <c r="BT6" s="39">
        <v>9.1999999999999993</v>
      </c>
      <c r="BU6" s="39">
        <v>5.7</v>
      </c>
      <c r="BV6" s="39">
        <v>17.22</v>
      </c>
      <c r="BW6" s="39">
        <v>0</v>
      </c>
      <c r="BX6" s="39">
        <v>14.7</v>
      </c>
      <c r="BY6" s="39">
        <v>8.6999999999999993</v>
      </c>
      <c r="BZ6" s="39">
        <v>16.2</v>
      </c>
      <c r="CA6" s="39">
        <v>15.94</v>
      </c>
      <c r="CB6" s="39">
        <v>0</v>
      </c>
      <c r="CC6" s="39"/>
      <c r="CD6" s="39"/>
      <c r="CE6" s="39"/>
      <c r="CF6" s="39"/>
      <c r="CG6" s="39"/>
      <c r="CH6" s="12">
        <f t="shared" si="35"/>
        <v>16.2</v>
      </c>
      <c r="CI6" s="12">
        <f t="shared" si="36"/>
        <v>49.92</v>
      </c>
      <c r="CJ6" s="12">
        <f t="shared" si="37"/>
        <v>55.539999999999992</v>
      </c>
      <c r="CK6" s="12">
        <f t="shared" si="38"/>
        <v>105.46</v>
      </c>
      <c r="CL6" s="12" t="str">
        <f t="shared" si="39"/>
        <v/>
      </c>
      <c r="CM6" s="12" t="str">
        <f t="shared" si="40"/>
        <v/>
      </c>
      <c r="CN6" s="12">
        <f t="shared" si="41"/>
        <v>105.46</v>
      </c>
      <c r="CO6" s="40"/>
      <c r="CP6" s="40"/>
      <c r="CQ6" s="40"/>
      <c r="CR6" s="40"/>
      <c r="CS6" s="40"/>
      <c r="CT6" s="40"/>
      <c r="CU6" s="40"/>
      <c r="CV6" s="40"/>
      <c r="CW6" s="40"/>
      <c r="CX6" s="40"/>
      <c r="CY6" s="40"/>
      <c r="CZ6" s="40"/>
      <c r="DA6" s="40"/>
      <c r="DB6" s="40"/>
      <c r="DC6" s="40"/>
      <c r="DD6" s="15" t="str">
        <f t="shared" si="42"/>
        <v/>
      </c>
      <c r="DE6" s="15" t="str">
        <f t="shared" si="43"/>
        <v/>
      </c>
      <c r="DF6" s="15" t="str">
        <f t="shared" si="44"/>
        <v/>
      </c>
      <c r="DG6" s="15" t="str">
        <f t="shared" si="45"/>
        <v/>
      </c>
      <c r="DH6" s="15" t="str">
        <f t="shared" si="46"/>
        <v/>
      </c>
      <c r="DI6" s="15" t="str">
        <f t="shared" si="47"/>
        <v/>
      </c>
      <c r="DJ6" s="15" t="str">
        <f t="shared" si="48"/>
        <v/>
      </c>
      <c r="DK6" s="39"/>
      <c r="DL6" s="39"/>
      <c r="DM6" s="39"/>
      <c r="DN6" s="39"/>
      <c r="DO6" s="39"/>
      <c r="DP6" s="39"/>
      <c r="DQ6" s="39"/>
      <c r="DR6" s="39"/>
      <c r="DS6" s="39"/>
      <c r="DT6" s="39"/>
      <c r="DU6" s="39"/>
      <c r="DV6" s="39"/>
      <c r="DW6" s="39"/>
      <c r="DX6" s="39"/>
      <c r="DY6" s="39"/>
      <c r="DZ6" s="12" t="str">
        <f t="shared" si="49"/>
        <v/>
      </c>
      <c r="EA6" s="12" t="str">
        <f t="shared" si="50"/>
        <v/>
      </c>
      <c r="EB6" s="12" t="str">
        <f t="shared" si="51"/>
        <v/>
      </c>
      <c r="EC6" s="12" t="str">
        <f t="shared" si="52"/>
        <v/>
      </c>
      <c r="ED6" s="12" t="str">
        <f t="shared" si="53"/>
        <v/>
      </c>
      <c r="EE6" s="12" t="str">
        <f t="shared" si="54"/>
        <v/>
      </c>
      <c r="EF6" s="12" t="str">
        <f t="shared" si="55"/>
        <v/>
      </c>
      <c r="EG6" s="40">
        <v>17.7</v>
      </c>
      <c r="EH6" s="40">
        <v>9.3000000000000007</v>
      </c>
      <c r="EI6" s="40">
        <v>5.6</v>
      </c>
      <c r="EJ6" s="40">
        <v>16.965</v>
      </c>
      <c r="EK6" s="40">
        <v>0</v>
      </c>
      <c r="EL6" s="40">
        <v>1.6</v>
      </c>
      <c r="EM6" s="40">
        <v>1</v>
      </c>
      <c r="EN6" s="40">
        <v>2.2000000000000002</v>
      </c>
      <c r="EO6" s="40">
        <v>1.8049999999999999</v>
      </c>
      <c r="EP6" s="40">
        <v>0</v>
      </c>
      <c r="EQ6" s="40"/>
      <c r="ER6" s="40"/>
      <c r="ES6" s="40"/>
      <c r="ET6" s="40"/>
      <c r="EU6" s="40"/>
      <c r="EV6" s="15">
        <f t="shared" si="56"/>
        <v>2.2000000000000002</v>
      </c>
      <c r="EW6" s="15">
        <f t="shared" si="57"/>
        <v>49.564999999999998</v>
      </c>
      <c r="EX6" s="15">
        <f t="shared" si="58"/>
        <v>6.6050000000000004</v>
      </c>
      <c r="EY6" s="15">
        <f t="shared" si="59"/>
        <v>56.17</v>
      </c>
      <c r="EZ6" s="15" t="str">
        <f t="shared" si="60"/>
        <v/>
      </c>
      <c r="FA6" s="15" t="str">
        <f t="shared" si="61"/>
        <v/>
      </c>
      <c r="FB6" s="15">
        <f t="shared" si="62"/>
        <v>56.17</v>
      </c>
      <c r="FC6" s="39">
        <v>18.100000000000001</v>
      </c>
      <c r="FD6" s="39">
        <v>9.1999999999999993</v>
      </c>
      <c r="FE6" s="39">
        <v>5.2</v>
      </c>
      <c r="FF6" s="39">
        <v>17.22</v>
      </c>
      <c r="FG6" s="39">
        <v>0</v>
      </c>
      <c r="FH6" s="39">
        <v>15.4</v>
      </c>
      <c r="FI6" s="39">
        <v>8.9</v>
      </c>
      <c r="FJ6" s="39">
        <v>12.9</v>
      </c>
      <c r="FK6" s="39">
        <v>16.079999999999998</v>
      </c>
      <c r="FL6" s="39">
        <v>0</v>
      </c>
      <c r="FM6" s="39"/>
      <c r="FN6" s="39"/>
      <c r="FO6" s="39"/>
      <c r="FP6" s="39"/>
      <c r="FQ6" s="39"/>
      <c r="FR6" s="12">
        <f t="shared" si="63"/>
        <v>12.9</v>
      </c>
      <c r="FS6" s="12">
        <f t="shared" si="64"/>
        <v>49.72</v>
      </c>
      <c r="FT6" s="12">
        <f t="shared" si="65"/>
        <v>53.28</v>
      </c>
      <c r="FU6" s="12">
        <f t="shared" si="66"/>
        <v>103</v>
      </c>
      <c r="FV6" s="12" t="str">
        <f t="shared" si="67"/>
        <v/>
      </c>
      <c r="FW6" s="12" t="str">
        <f t="shared" si="68"/>
        <v/>
      </c>
      <c r="FX6" s="12">
        <f t="shared" si="69"/>
        <v>103</v>
      </c>
      <c r="FY6" s="40"/>
      <c r="FZ6" s="40"/>
      <c r="GA6" s="40"/>
      <c r="GB6" s="40"/>
      <c r="GC6" s="40"/>
      <c r="GD6" s="40"/>
      <c r="GE6" s="40"/>
      <c r="GF6" s="40"/>
      <c r="GG6" s="40"/>
      <c r="GH6" s="40"/>
      <c r="GI6" s="40"/>
      <c r="GJ6" s="40"/>
      <c r="GK6" s="40"/>
      <c r="GL6" s="40"/>
      <c r="GM6" s="40"/>
      <c r="GN6" s="15" t="str">
        <f t="shared" si="70"/>
        <v/>
      </c>
      <c r="GO6" s="15" t="str">
        <f t="shared" si="71"/>
        <v/>
      </c>
      <c r="GP6" s="15" t="str">
        <f t="shared" si="72"/>
        <v/>
      </c>
      <c r="GQ6" s="15" t="str">
        <f t="shared" si="73"/>
        <v/>
      </c>
      <c r="GR6" s="15" t="str">
        <f t="shared" si="74"/>
        <v/>
      </c>
      <c r="GS6" s="15" t="str">
        <f t="shared" si="75"/>
        <v/>
      </c>
      <c r="GT6" s="15" t="str">
        <f t="shared" si="76"/>
        <v/>
      </c>
      <c r="GU6" s="39"/>
      <c r="GV6" s="39"/>
      <c r="GW6" s="39"/>
      <c r="GX6" s="39"/>
      <c r="GY6" s="39"/>
      <c r="GZ6" s="39"/>
      <c r="HA6" s="39"/>
      <c r="HB6" s="39"/>
      <c r="HC6" s="39"/>
      <c r="HD6" s="39"/>
      <c r="HE6" s="39"/>
      <c r="HF6" s="39"/>
      <c r="HG6" s="39"/>
      <c r="HH6" s="39"/>
      <c r="HI6" s="39"/>
      <c r="HJ6" s="12" t="str">
        <f t="shared" si="77"/>
        <v/>
      </c>
      <c r="HK6" s="12" t="str">
        <f t="shared" si="78"/>
        <v/>
      </c>
      <c r="HL6" s="12" t="str">
        <f t="shared" si="79"/>
        <v/>
      </c>
      <c r="HM6" s="12" t="str">
        <f t="shared" si="80"/>
        <v/>
      </c>
      <c r="HN6" s="12" t="str">
        <f t="shared" si="81"/>
        <v/>
      </c>
      <c r="HO6" s="12" t="str">
        <f t="shared" si="82"/>
        <v/>
      </c>
      <c r="HP6" s="12" t="str">
        <f t="shared" si="83"/>
        <v/>
      </c>
      <c r="HQ6" s="40">
        <v>17.2</v>
      </c>
      <c r="HR6" s="40">
        <v>8.9</v>
      </c>
      <c r="HS6" s="40">
        <v>6.7</v>
      </c>
      <c r="HT6" s="40">
        <v>17.145</v>
      </c>
      <c r="HU6" s="40">
        <v>0</v>
      </c>
      <c r="HV6" s="40">
        <v>12.8</v>
      </c>
      <c r="HW6" s="40">
        <v>7</v>
      </c>
      <c r="HX6" s="40">
        <v>13.1</v>
      </c>
      <c r="HY6" s="40">
        <v>13.12</v>
      </c>
      <c r="HZ6" s="40">
        <v>0</v>
      </c>
      <c r="IA6" s="40"/>
      <c r="IB6" s="40"/>
      <c r="IC6" s="40"/>
      <c r="ID6" s="40"/>
      <c r="IE6" s="40"/>
      <c r="IF6" s="15">
        <f t="shared" si="84"/>
        <v>13.1</v>
      </c>
      <c r="IG6" s="15">
        <f t="shared" si="85"/>
        <v>49.945000000000007</v>
      </c>
      <c r="IH6" s="15">
        <f t="shared" si="86"/>
        <v>46.019999999999996</v>
      </c>
      <c r="II6" s="15">
        <f t="shared" si="87"/>
        <v>95.965000000000003</v>
      </c>
      <c r="IJ6" s="15" t="str">
        <f t="shared" si="88"/>
        <v/>
      </c>
      <c r="IK6" s="15" t="str">
        <f t="shared" si="89"/>
        <v/>
      </c>
      <c r="IL6" s="15">
        <f t="shared" si="90"/>
        <v>95.965000000000003</v>
      </c>
      <c r="IM6" s="39">
        <v>16.399999999999999</v>
      </c>
      <c r="IN6" s="39">
        <v>8</v>
      </c>
      <c r="IO6" s="39">
        <v>4.5</v>
      </c>
      <c r="IP6" s="39">
        <v>15.77</v>
      </c>
      <c r="IQ6" s="39">
        <v>0</v>
      </c>
      <c r="IR6" s="39">
        <v>14.8</v>
      </c>
      <c r="IS6" s="39">
        <v>9.3000000000000007</v>
      </c>
      <c r="IT6" s="39">
        <v>15.6</v>
      </c>
      <c r="IU6" s="39">
        <v>15.83</v>
      </c>
      <c r="IV6" s="39">
        <v>0</v>
      </c>
      <c r="IW6" s="39"/>
      <c r="IX6" s="39"/>
      <c r="IY6" s="39"/>
      <c r="IZ6" s="39"/>
      <c r="JA6" s="39"/>
      <c r="JB6" s="12">
        <f t="shared" si="91"/>
        <v>15.6</v>
      </c>
      <c r="JC6" s="12">
        <f t="shared" si="92"/>
        <v>44.67</v>
      </c>
      <c r="JD6" s="12">
        <f t="shared" si="93"/>
        <v>55.53</v>
      </c>
      <c r="JE6" s="12">
        <f t="shared" si="94"/>
        <v>100.2</v>
      </c>
      <c r="JF6" s="12" t="str">
        <f t="shared" si="95"/>
        <v/>
      </c>
      <c r="JG6" s="12" t="str">
        <f t="shared" si="96"/>
        <v/>
      </c>
      <c r="JH6" s="12">
        <f t="shared" si="97"/>
        <v>100.2</v>
      </c>
      <c r="JI6" s="40"/>
      <c r="JJ6" s="40"/>
      <c r="JK6" s="40"/>
      <c r="JL6" s="40"/>
      <c r="JM6" s="40"/>
      <c r="JN6" s="40"/>
      <c r="JO6" s="40"/>
      <c r="JP6" s="40"/>
      <c r="JQ6" s="40"/>
      <c r="JR6" s="40"/>
      <c r="JS6" s="40"/>
      <c r="JT6" s="40"/>
      <c r="JU6" s="40"/>
      <c r="JV6" s="40"/>
      <c r="JW6" s="40"/>
      <c r="JX6" s="15" t="str">
        <f t="shared" si="98"/>
        <v/>
      </c>
      <c r="JY6" s="15" t="str">
        <f t="shared" si="99"/>
        <v/>
      </c>
      <c r="JZ6" s="15" t="str">
        <f t="shared" si="100"/>
        <v/>
      </c>
      <c r="KA6" s="15" t="str">
        <f t="shared" si="101"/>
        <v/>
      </c>
      <c r="KB6" s="15" t="str">
        <f t="shared" si="102"/>
        <v/>
      </c>
      <c r="KC6" s="15" t="str">
        <f t="shared" si="103"/>
        <v/>
      </c>
      <c r="KD6" s="15" t="str">
        <f t="shared" si="104"/>
        <v/>
      </c>
      <c r="KE6" s="39"/>
      <c r="KF6" s="39"/>
      <c r="KG6" s="39"/>
      <c r="KH6" s="39"/>
      <c r="KI6" s="39"/>
      <c r="KJ6" s="39"/>
      <c r="KK6" s="39"/>
      <c r="KL6" s="39"/>
      <c r="KM6" s="39"/>
      <c r="KN6" s="39"/>
      <c r="KO6" s="118"/>
      <c r="KP6" s="39"/>
      <c r="KQ6" s="39"/>
      <c r="KR6" s="39"/>
      <c r="KS6" s="39"/>
      <c r="KT6" s="12" t="str">
        <f t="shared" si="105"/>
        <v/>
      </c>
      <c r="KU6" s="12" t="str">
        <f t="shared" si="106"/>
        <v/>
      </c>
      <c r="KV6" s="12" t="str">
        <f t="shared" si="107"/>
        <v/>
      </c>
      <c r="KW6" s="12" t="str">
        <f t="shared" si="108"/>
        <v/>
      </c>
      <c r="KX6" s="12" t="str">
        <f t="shared" si="109"/>
        <v/>
      </c>
      <c r="KY6" s="12" t="str">
        <f t="shared" si="110"/>
        <v/>
      </c>
      <c r="KZ6" s="12" t="str">
        <f t="shared" si="111"/>
        <v/>
      </c>
      <c r="LA6" s="40"/>
      <c r="LB6" s="40"/>
      <c r="LC6" s="40"/>
      <c r="LD6" s="40"/>
      <c r="LE6" s="40"/>
      <c r="LF6" s="40"/>
      <c r="LG6" s="40"/>
      <c r="LH6" s="40"/>
      <c r="LI6" s="40"/>
      <c r="LJ6" s="40"/>
      <c r="LK6" s="40"/>
      <c r="LL6" s="40"/>
      <c r="LM6" s="40"/>
      <c r="LN6" s="40"/>
      <c r="LO6" s="40"/>
      <c r="LP6" s="15" t="str">
        <f t="shared" si="112"/>
        <v/>
      </c>
      <c r="LQ6" s="15" t="str">
        <f t="shared" si="113"/>
        <v/>
      </c>
      <c r="LR6" s="15" t="str">
        <f t="shared" si="114"/>
        <v/>
      </c>
      <c r="LS6" s="15" t="str">
        <f t="shared" si="115"/>
        <v/>
      </c>
      <c r="LT6" s="15" t="str">
        <f t="shared" si="116"/>
        <v/>
      </c>
      <c r="LU6" s="15" t="str">
        <f t="shared" si="117"/>
        <v/>
      </c>
      <c r="LV6" s="15" t="str">
        <f t="shared" si="118"/>
        <v/>
      </c>
      <c r="LW6" s="71">
        <f t="shared" si="119"/>
        <v>17.950000000000003</v>
      </c>
      <c r="LX6" s="71">
        <f t="shared" si="120"/>
        <v>9.125</v>
      </c>
      <c r="LY6" s="71">
        <f t="shared" si="121"/>
        <v>5.9499999999999993</v>
      </c>
      <c r="LZ6" s="71">
        <f t="shared" si="122"/>
        <v>17.085000000000001</v>
      </c>
      <c r="MA6" s="71">
        <f t="shared" si="123"/>
        <v>0</v>
      </c>
      <c r="MB6" s="71">
        <f t="shared" si="124"/>
        <v>15.8</v>
      </c>
      <c r="MC6" s="71">
        <f t="shared" si="125"/>
        <v>9.4499999999999993</v>
      </c>
      <c r="MD6" s="71">
        <f t="shared" si="126"/>
        <v>16</v>
      </c>
      <c r="ME6" s="71">
        <f t="shared" si="127"/>
        <v>16.324999999999999</v>
      </c>
      <c r="MF6" s="71">
        <f t="shared" si="128"/>
        <v>0</v>
      </c>
      <c r="MG6" s="71">
        <f t="shared" si="129"/>
        <v>16.450000000000003</v>
      </c>
      <c r="MH6" s="71">
        <f t="shared" si="130"/>
        <v>9.0249999999999986</v>
      </c>
      <c r="MI6" s="71">
        <f t="shared" si="131"/>
        <v>15</v>
      </c>
      <c r="MJ6" s="71">
        <f t="shared" si="132"/>
        <v>16.475000000000001</v>
      </c>
      <c r="MK6" s="71">
        <f t="shared" si="133"/>
        <v>0</v>
      </c>
      <c r="ML6" s="82" t="s">
        <v>100</v>
      </c>
      <c r="MM6" s="12">
        <f t="shared" si="134"/>
        <v>16</v>
      </c>
      <c r="MN6" s="12">
        <f t="shared" si="135"/>
        <v>50.110000000000007</v>
      </c>
      <c r="MO6" s="12">
        <f t="shared" si="136"/>
        <v>57.575000000000003</v>
      </c>
      <c r="MP6" s="12">
        <f t="shared" si="137"/>
        <v>107.685</v>
      </c>
      <c r="MQ6" s="12">
        <f t="shared" si="140"/>
        <v>15</v>
      </c>
      <c r="MR6" s="12">
        <f t="shared" si="138"/>
        <v>56.95</v>
      </c>
      <c r="MS6" s="12">
        <f t="shared" si="139"/>
        <v>164.63499999999999</v>
      </c>
    </row>
    <row r="7" spans="1:357" x14ac:dyDescent="0.2">
      <c r="A7" s="6">
        <f t="shared" si="0"/>
        <v>4</v>
      </c>
      <c r="B7" s="7" t="s">
        <v>8</v>
      </c>
      <c r="C7" s="8" t="s">
        <v>3</v>
      </c>
      <c r="D7" s="6">
        <v>1994</v>
      </c>
      <c r="E7" s="16">
        <f t="shared" si="1"/>
        <v>269.70999999999998</v>
      </c>
      <c r="F7" s="4" t="str">
        <f t="shared" si="2"/>
        <v>P</v>
      </c>
      <c r="G7" s="4" t="str">
        <f t="shared" si="3"/>
        <v>P</v>
      </c>
      <c r="H7" s="4" t="str">
        <f t="shared" si="4"/>
        <v>P</v>
      </c>
      <c r="I7" t="str">
        <f t="shared" si="5"/>
        <v>Worlds Team</v>
      </c>
      <c r="J7" s="15">
        <f t="shared" si="6"/>
        <v>107.19499999999999</v>
      </c>
      <c r="K7" s="15" t="str">
        <f t="shared" si="7"/>
        <v>2019 Nationals</v>
      </c>
      <c r="L7" s="15">
        <f t="shared" si="8"/>
        <v>49.879999999999995</v>
      </c>
      <c r="M7" s="15" t="str">
        <f t="shared" si="9"/>
        <v>2019 Elite Canada</v>
      </c>
      <c r="N7" s="15">
        <f t="shared" si="10"/>
        <v>56.22</v>
      </c>
      <c r="O7" s="15" t="str">
        <f t="shared" si="11"/>
        <v>2019 Elite Canada</v>
      </c>
      <c r="P7" s="15">
        <f t="shared" si="12"/>
        <v>56.415000000000006</v>
      </c>
      <c r="Q7" s="15" t="str">
        <f t="shared" si="13"/>
        <v>2019 Elite Canada</v>
      </c>
      <c r="R7" s="15" t="str">
        <f t="shared" si="14"/>
        <v/>
      </c>
      <c r="S7" s="27" t="str">
        <f t="shared" si="15"/>
        <v/>
      </c>
      <c r="T7" s="15" t="str">
        <f t="shared" si="16"/>
        <v/>
      </c>
      <c r="U7" s="71">
        <v>17.899999999999999</v>
      </c>
      <c r="V7" s="71">
        <v>8.9499999999999993</v>
      </c>
      <c r="W7" s="71">
        <v>6</v>
      </c>
      <c r="X7" s="71">
        <v>17.03</v>
      </c>
      <c r="Y7" s="71">
        <v>0</v>
      </c>
      <c r="Z7" s="71">
        <v>16.3</v>
      </c>
      <c r="AA7" s="71">
        <v>9.1</v>
      </c>
      <c r="AB7" s="71">
        <v>15</v>
      </c>
      <c r="AC7" s="71">
        <v>15.82</v>
      </c>
      <c r="AD7" s="71">
        <v>0</v>
      </c>
      <c r="AE7" s="71">
        <v>16.3</v>
      </c>
      <c r="AF7" s="71">
        <v>9.3000000000000007</v>
      </c>
      <c r="AG7" s="71">
        <v>14.8</v>
      </c>
      <c r="AH7" s="71">
        <v>16.015000000000001</v>
      </c>
      <c r="AI7" s="71">
        <v>0</v>
      </c>
      <c r="AJ7" s="82"/>
      <c r="AK7" s="12">
        <f t="shared" si="17"/>
        <v>15</v>
      </c>
      <c r="AL7" s="12">
        <f t="shared" si="18"/>
        <v>49.879999999999995</v>
      </c>
      <c r="AM7" s="12">
        <f t="shared" si="19"/>
        <v>56.22</v>
      </c>
      <c r="AN7" s="12">
        <f t="shared" si="20"/>
        <v>106.1</v>
      </c>
      <c r="AO7" s="12">
        <f t="shared" si="21"/>
        <v>14.8</v>
      </c>
      <c r="AP7" s="12">
        <f t="shared" si="22"/>
        <v>56.415000000000006</v>
      </c>
      <c r="AQ7" s="12">
        <f t="shared" si="23"/>
        <v>162.51499999999999</v>
      </c>
      <c r="AR7" s="77">
        <v>18.899999999999999</v>
      </c>
      <c r="AS7" s="77">
        <v>9.3000000000000007</v>
      </c>
      <c r="AT7" s="77">
        <v>5.4</v>
      </c>
      <c r="AU7" s="77">
        <v>17.48</v>
      </c>
      <c r="AV7" s="77">
        <v>0</v>
      </c>
      <c r="AW7" s="77">
        <v>15.1</v>
      </c>
      <c r="AX7" s="77">
        <v>9.4</v>
      </c>
      <c r="AY7" s="77">
        <v>16</v>
      </c>
      <c r="AZ7" s="77">
        <v>15.615</v>
      </c>
      <c r="BA7" s="77">
        <v>0</v>
      </c>
      <c r="BB7" s="77">
        <v>15.08</v>
      </c>
      <c r="BC7" s="77">
        <v>9.1</v>
      </c>
      <c r="BD7" s="77">
        <v>16</v>
      </c>
      <c r="BE7" s="77">
        <v>15.91</v>
      </c>
      <c r="BF7" s="77">
        <v>0</v>
      </c>
      <c r="BG7" s="83"/>
      <c r="BH7" s="15">
        <f t="shared" si="24"/>
        <v>16</v>
      </c>
      <c r="BI7" s="15">
        <f t="shared" si="25"/>
        <v>51.08</v>
      </c>
      <c r="BJ7" s="15">
        <f t="shared" si="26"/>
        <v>56.115000000000002</v>
      </c>
      <c r="BK7" s="15">
        <f t="shared" si="27"/>
        <v>107.19499999999999</v>
      </c>
      <c r="BL7" s="15">
        <f t="shared" si="28"/>
        <v>16</v>
      </c>
      <c r="BM7" s="15">
        <f t="shared" si="29"/>
        <v>56.09</v>
      </c>
      <c r="BN7" s="15">
        <f t="shared" si="30"/>
        <v>163.285</v>
      </c>
      <c r="BO7" s="26" t="str">
        <f t="shared" si="31"/>
        <v/>
      </c>
      <c r="BP7" s="26" t="str">
        <f t="shared" si="32"/>
        <v/>
      </c>
      <c r="BQ7" s="26" t="str">
        <f t="shared" si="33"/>
        <v/>
      </c>
      <c r="BR7" s="26" t="str">
        <f t="shared" si="34"/>
        <v/>
      </c>
      <c r="BS7" s="39">
        <v>17.3</v>
      </c>
      <c r="BT7" s="39">
        <v>8.9</v>
      </c>
      <c r="BU7" s="39">
        <v>6.2</v>
      </c>
      <c r="BV7" s="39">
        <v>17.2</v>
      </c>
      <c r="BW7" s="39">
        <v>0</v>
      </c>
      <c r="BX7" s="39">
        <v>15.1</v>
      </c>
      <c r="BY7" s="39">
        <v>9</v>
      </c>
      <c r="BZ7" s="39">
        <v>14.8</v>
      </c>
      <c r="CA7" s="39">
        <v>15.84</v>
      </c>
      <c r="CB7" s="39">
        <v>0</v>
      </c>
      <c r="CC7" s="39"/>
      <c r="CD7" s="39"/>
      <c r="CE7" s="39"/>
      <c r="CF7" s="39"/>
      <c r="CG7" s="39"/>
      <c r="CH7" s="12">
        <f t="shared" si="35"/>
        <v>14.8</v>
      </c>
      <c r="CI7" s="12">
        <f t="shared" si="36"/>
        <v>49.600000000000009</v>
      </c>
      <c r="CJ7" s="12">
        <f t="shared" si="37"/>
        <v>54.740000000000009</v>
      </c>
      <c r="CK7" s="12">
        <f t="shared" si="38"/>
        <v>104.34000000000002</v>
      </c>
      <c r="CL7" s="12" t="str">
        <f t="shared" si="39"/>
        <v/>
      </c>
      <c r="CM7" s="12" t="str">
        <f t="shared" si="40"/>
        <v/>
      </c>
      <c r="CN7" s="12">
        <f t="shared" si="41"/>
        <v>104.34000000000002</v>
      </c>
      <c r="CO7" s="40"/>
      <c r="CP7" s="40"/>
      <c r="CQ7" s="40"/>
      <c r="CR7" s="40"/>
      <c r="CS7" s="40"/>
      <c r="CT7" s="40"/>
      <c r="CU7" s="40"/>
      <c r="CV7" s="40"/>
      <c r="CW7" s="40"/>
      <c r="CX7" s="40"/>
      <c r="CY7" s="40"/>
      <c r="CZ7" s="40"/>
      <c r="DA7" s="40"/>
      <c r="DB7" s="40"/>
      <c r="DC7" s="40"/>
      <c r="DD7" s="15" t="str">
        <f t="shared" si="42"/>
        <v/>
      </c>
      <c r="DE7" s="15" t="str">
        <f t="shared" si="43"/>
        <v/>
      </c>
      <c r="DF7" s="15" t="str">
        <f t="shared" si="44"/>
        <v/>
      </c>
      <c r="DG7" s="15" t="str">
        <f t="shared" si="45"/>
        <v/>
      </c>
      <c r="DH7" s="15" t="str">
        <f t="shared" si="46"/>
        <v/>
      </c>
      <c r="DI7" s="15" t="str">
        <f t="shared" si="47"/>
        <v/>
      </c>
      <c r="DJ7" s="15" t="str">
        <f t="shared" si="48"/>
        <v/>
      </c>
      <c r="DK7" s="39"/>
      <c r="DL7" s="39"/>
      <c r="DM7" s="39"/>
      <c r="DN7" s="39"/>
      <c r="DO7" s="39"/>
      <c r="DP7" s="39"/>
      <c r="DQ7" s="39"/>
      <c r="DR7" s="39"/>
      <c r="DS7" s="39"/>
      <c r="DT7" s="39"/>
      <c r="DU7" s="39"/>
      <c r="DV7" s="39"/>
      <c r="DW7" s="39"/>
      <c r="DX7" s="39"/>
      <c r="DY7" s="39"/>
      <c r="DZ7" s="12" t="str">
        <f t="shared" si="49"/>
        <v/>
      </c>
      <c r="EA7" s="12" t="str">
        <f t="shared" si="50"/>
        <v/>
      </c>
      <c r="EB7" s="12" t="str">
        <f t="shared" si="51"/>
        <v/>
      </c>
      <c r="EC7" s="12" t="str">
        <f t="shared" si="52"/>
        <v/>
      </c>
      <c r="ED7" s="12" t="str">
        <f t="shared" si="53"/>
        <v/>
      </c>
      <c r="EE7" s="12" t="str">
        <f t="shared" si="54"/>
        <v/>
      </c>
      <c r="EF7" s="12" t="str">
        <f t="shared" si="55"/>
        <v/>
      </c>
      <c r="EG7" s="40"/>
      <c r="EH7" s="40"/>
      <c r="EI7" s="40"/>
      <c r="EJ7" s="40"/>
      <c r="EK7" s="40"/>
      <c r="EL7" s="40"/>
      <c r="EM7" s="40"/>
      <c r="EN7" s="40"/>
      <c r="EO7" s="40"/>
      <c r="EP7" s="40"/>
      <c r="EQ7" s="40"/>
      <c r="ER7" s="40"/>
      <c r="ES7" s="40"/>
      <c r="ET7" s="40"/>
      <c r="EU7" s="40"/>
      <c r="EV7" s="15" t="str">
        <f t="shared" si="56"/>
        <v/>
      </c>
      <c r="EW7" s="15" t="str">
        <f t="shared" si="57"/>
        <v/>
      </c>
      <c r="EX7" s="15" t="str">
        <f t="shared" si="58"/>
        <v/>
      </c>
      <c r="EY7" s="15" t="str">
        <f t="shared" si="59"/>
        <v/>
      </c>
      <c r="EZ7" s="15" t="str">
        <f t="shared" si="60"/>
        <v/>
      </c>
      <c r="FA7" s="15" t="str">
        <f t="shared" si="61"/>
        <v/>
      </c>
      <c r="FB7" s="15" t="str">
        <f t="shared" si="62"/>
        <v/>
      </c>
      <c r="FC7" s="39">
        <v>17.399999999999999</v>
      </c>
      <c r="FD7" s="39">
        <v>9.1999999999999993</v>
      </c>
      <c r="FE7" s="39">
        <v>6.2</v>
      </c>
      <c r="FF7" s="39">
        <v>16.484999999999999</v>
      </c>
      <c r="FG7" s="39">
        <v>0</v>
      </c>
      <c r="FH7" s="39">
        <v>12.1</v>
      </c>
      <c r="FI7" s="39">
        <v>9</v>
      </c>
      <c r="FJ7" s="39">
        <v>13.2</v>
      </c>
      <c r="FK7" s="39">
        <v>14.845000000000001</v>
      </c>
      <c r="FL7" s="39">
        <v>0</v>
      </c>
      <c r="FM7" s="39"/>
      <c r="FN7" s="39"/>
      <c r="FO7" s="39"/>
      <c r="FP7" s="39"/>
      <c r="FQ7" s="39"/>
      <c r="FR7" s="12">
        <f t="shared" si="63"/>
        <v>13.2</v>
      </c>
      <c r="FS7" s="12">
        <f t="shared" si="64"/>
        <v>49.284999999999997</v>
      </c>
      <c r="FT7" s="12">
        <f t="shared" si="65"/>
        <v>49.144999999999996</v>
      </c>
      <c r="FU7" s="12">
        <f t="shared" si="66"/>
        <v>98.429999999999993</v>
      </c>
      <c r="FV7" s="12" t="str">
        <f t="shared" si="67"/>
        <v/>
      </c>
      <c r="FW7" s="12" t="str">
        <f t="shared" si="68"/>
        <v/>
      </c>
      <c r="FX7" s="12">
        <f t="shared" si="69"/>
        <v>98.429999999999993</v>
      </c>
      <c r="FY7" s="40"/>
      <c r="FZ7" s="40"/>
      <c r="GA7" s="40"/>
      <c r="GB7" s="40"/>
      <c r="GC7" s="40"/>
      <c r="GD7" s="40"/>
      <c r="GE7" s="40"/>
      <c r="GF7" s="40"/>
      <c r="GG7" s="40"/>
      <c r="GH7" s="40"/>
      <c r="GI7" s="40"/>
      <c r="GJ7" s="40"/>
      <c r="GK7" s="40"/>
      <c r="GL7" s="40"/>
      <c r="GM7" s="40"/>
      <c r="GN7" s="15" t="str">
        <f t="shared" si="70"/>
        <v/>
      </c>
      <c r="GO7" s="15" t="str">
        <f t="shared" si="71"/>
        <v/>
      </c>
      <c r="GP7" s="15" t="str">
        <f t="shared" si="72"/>
        <v/>
      </c>
      <c r="GQ7" s="15" t="str">
        <f t="shared" si="73"/>
        <v/>
      </c>
      <c r="GR7" s="15" t="str">
        <f t="shared" si="74"/>
        <v/>
      </c>
      <c r="GS7" s="15" t="str">
        <f t="shared" si="75"/>
        <v/>
      </c>
      <c r="GT7" s="15" t="str">
        <f t="shared" si="76"/>
        <v/>
      </c>
      <c r="GU7" s="39"/>
      <c r="GV7" s="39"/>
      <c r="GW7" s="39"/>
      <c r="GX7" s="39"/>
      <c r="GY7" s="39"/>
      <c r="GZ7" s="39"/>
      <c r="HA7" s="39"/>
      <c r="HB7" s="39"/>
      <c r="HC7" s="39"/>
      <c r="HD7" s="39"/>
      <c r="HE7" s="39"/>
      <c r="HF7" s="39"/>
      <c r="HG7" s="39"/>
      <c r="HH7" s="39"/>
      <c r="HI7" s="39"/>
      <c r="HJ7" s="12" t="str">
        <f t="shared" si="77"/>
        <v/>
      </c>
      <c r="HK7" s="12" t="str">
        <f t="shared" si="78"/>
        <v/>
      </c>
      <c r="HL7" s="12" t="str">
        <f t="shared" si="79"/>
        <v/>
      </c>
      <c r="HM7" s="12" t="str">
        <f t="shared" si="80"/>
        <v/>
      </c>
      <c r="HN7" s="12" t="str">
        <f t="shared" si="81"/>
        <v/>
      </c>
      <c r="HO7" s="12" t="str">
        <f t="shared" si="82"/>
        <v/>
      </c>
      <c r="HP7" s="12" t="str">
        <f t="shared" si="83"/>
        <v/>
      </c>
      <c r="HQ7" s="40"/>
      <c r="HR7" s="40"/>
      <c r="HS7" s="40"/>
      <c r="HT7" s="40"/>
      <c r="HU7" s="40"/>
      <c r="HV7" s="40"/>
      <c r="HW7" s="40"/>
      <c r="HX7" s="40"/>
      <c r="HY7" s="40"/>
      <c r="HZ7" s="40"/>
      <c r="IA7" s="40"/>
      <c r="IB7" s="40"/>
      <c r="IC7" s="40"/>
      <c r="ID7" s="40"/>
      <c r="IE7" s="40"/>
      <c r="IF7" s="15" t="str">
        <f t="shared" si="84"/>
        <v/>
      </c>
      <c r="IG7" s="15" t="str">
        <f t="shared" si="85"/>
        <v/>
      </c>
      <c r="IH7" s="15" t="str">
        <f t="shared" si="86"/>
        <v/>
      </c>
      <c r="II7" s="15" t="str">
        <f t="shared" si="87"/>
        <v/>
      </c>
      <c r="IJ7" s="15" t="str">
        <f t="shared" si="88"/>
        <v/>
      </c>
      <c r="IK7" s="15" t="str">
        <f t="shared" si="89"/>
        <v/>
      </c>
      <c r="IL7" s="15" t="str">
        <f t="shared" si="90"/>
        <v/>
      </c>
      <c r="IM7" s="39"/>
      <c r="IN7" s="39"/>
      <c r="IO7" s="39"/>
      <c r="IP7" s="39"/>
      <c r="IQ7" s="39"/>
      <c r="IR7" s="39"/>
      <c r="IS7" s="39"/>
      <c r="IT7" s="39"/>
      <c r="IU7" s="39"/>
      <c r="IV7" s="39"/>
      <c r="IW7" s="39"/>
      <c r="IX7" s="39"/>
      <c r="IY7" s="39"/>
      <c r="IZ7" s="39"/>
      <c r="JA7" s="39"/>
      <c r="JB7" s="12" t="str">
        <f t="shared" si="91"/>
        <v/>
      </c>
      <c r="JC7" s="12" t="str">
        <f t="shared" si="92"/>
        <v/>
      </c>
      <c r="JD7" s="12" t="str">
        <f t="shared" si="93"/>
        <v/>
      </c>
      <c r="JE7" s="12" t="str">
        <f t="shared" si="94"/>
        <v/>
      </c>
      <c r="JF7" s="12" t="str">
        <f t="shared" si="95"/>
        <v/>
      </c>
      <c r="JG7" s="12" t="str">
        <f t="shared" si="96"/>
        <v/>
      </c>
      <c r="JH7" s="12" t="str">
        <f t="shared" si="97"/>
        <v/>
      </c>
      <c r="JI7" s="40"/>
      <c r="JJ7" s="40"/>
      <c r="JK7" s="40"/>
      <c r="JL7" s="40"/>
      <c r="JM7" s="40"/>
      <c r="JN7" s="40"/>
      <c r="JO7" s="40"/>
      <c r="JP7" s="40"/>
      <c r="JQ7" s="40"/>
      <c r="JR7" s="40"/>
      <c r="JS7" s="40"/>
      <c r="JT7" s="40"/>
      <c r="JU7" s="40"/>
      <c r="JV7" s="40"/>
      <c r="JW7" s="40"/>
      <c r="JX7" s="15" t="str">
        <f t="shared" si="98"/>
        <v/>
      </c>
      <c r="JY7" s="15" t="str">
        <f t="shared" si="99"/>
        <v/>
      </c>
      <c r="JZ7" s="15" t="str">
        <f t="shared" si="100"/>
        <v/>
      </c>
      <c r="KA7" s="15" t="str">
        <f t="shared" si="101"/>
        <v/>
      </c>
      <c r="KB7" s="15" t="str">
        <f t="shared" si="102"/>
        <v/>
      </c>
      <c r="KC7" s="15" t="str">
        <f t="shared" si="103"/>
        <v/>
      </c>
      <c r="KD7" s="15" t="str">
        <f t="shared" si="104"/>
        <v/>
      </c>
      <c r="KE7" s="39"/>
      <c r="KF7" s="39"/>
      <c r="KG7" s="39"/>
      <c r="KH7" s="39"/>
      <c r="KI7" s="39"/>
      <c r="KJ7" s="39"/>
      <c r="KK7" s="39"/>
      <c r="KL7" s="39"/>
      <c r="KM7" s="39"/>
      <c r="KN7" s="39"/>
      <c r="KO7" s="39"/>
      <c r="KP7" s="39"/>
      <c r="KQ7" s="39"/>
      <c r="KR7" s="39"/>
      <c r="KS7" s="39"/>
      <c r="KT7" s="12" t="str">
        <f t="shared" si="105"/>
        <v/>
      </c>
      <c r="KU7" s="12" t="str">
        <f t="shared" si="106"/>
        <v/>
      </c>
      <c r="KV7" s="12" t="str">
        <f t="shared" si="107"/>
        <v/>
      </c>
      <c r="KW7" s="12" t="str">
        <f t="shared" si="108"/>
        <v/>
      </c>
      <c r="KX7" s="12" t="str">
        <f t="shared" si="109"/>
        <v/>
      </c>
      <c r="KY7" s="12" t="str">
        <f t="shared" si="110"/>
        <v/>
      </c>
      <c r="KZ7" s="12" t="str">
        <f t="shared" si="111"/>
        <v/>
      </c>
      <c r="LA7" s="40"/>
      <c r="LB7" s="40"/>
      <c r="LC7" s="40"/>
      <c r="LD7" s="40"/>
      <c r="LE7" s="40"/>
      <c r="LF7" s="40"/>
      <c r="LG7" s="40"/>
      <c r="LH7" s="40"/>
      <c r="LI7" s="40"/>
      <c r="LJ7" s="40"/>
      <c r="LK7" s="40"/>
      <c r="LL7" s="40"/>
      <c r="LM7" s="40"/>
      <c r="LN7" s="40"/>
      <c r="LO7" s="40"/>
      <c r="LP7" s="15" t="str">
        <f t="shared" si="112"/>
        <v/>
      </c>
      <c r="LQ7" s="15" t="str">
        <f t="shared" si="113"/>
        <v/>
      </c>
      <c r="LR7" s="15" t="str">
        <f t="shared" si="114"/>
        <v/>
      </c>
      <c r="LS7" s="15" t="str">
        <f t="shared" si="115"/>
        <v/>
      </c>
      <c r="LT7" s="15" t="str">
        <f t="shared" si="116"/>
        <v/>
      </c>
      <c r="LU7" s="15" t="str">
        <f t="shared" si="117"/>
        <v/>
      </c>
      <c r="LV7" s="15" t="str">
        <f t="shared" si="118"/>
        <v/>
      </c>
      <c r="LW7" s="71">
        <f t="shared" si="119"/>
        <v>18.399999999999999</v>
      </c>
      <c r="LX7" s="71">
        <f t="shared" si="120"/>
        <v>9.125</v>
      </c>
      <c r="LY7" s="71">
        <f t="shared" si="121"/>
        <v>5.7</v>
      </c>
      <c r="LZ7" s="71">
        <f t="shared" si="122"/>
        <v>17.255000000000003</v>
      </c>
      <c r="MA7" s="71">
        <f t="shared" si="123"/>
        <v>0</v>
      </c>
      <c r="MB7" s="71">
        <f t="shared" si="124"/>
        <v>15.7</v>
      </c>
      <c r="MC7" s="71">
        <f t="shared" si="125"/>
        <v>9.25</v>
      </c>
      <c r="MD7" s="71">
        <f t="shared" si="126"/>
        <v>15.5</v>
      </c>
      <c r="ME7" s="71">
        <f t="shared" si="127"/>
        <v>15.717500000000001</v>
      </c>
      <c r="MF7" s="71">
        <f t="shared" si="128"/>
        <v>0</v>
      </c>
      <c r="MG7" s="71">
        <f t="shared" si="129"/>
        <v>15.690000000000001</v>
      </c>
      <c r="MH7" s="71">
        <f t="shared" si="130"/>
        <v>9.1999999999999993</v>
      </c>
      <c r="MI7" s="71">
        <f t="shared" si="131"/>
        <v>15.4</v>
      </c>
      <c r="MJ7" s="71">
        <f t="shared" si="132"/>
        <v>15.9625</v>
      </c>
      <c r="MK7" s="71">
        <f t="shared" si="133"/>
        <v>0</v>
      </c>
      <c r="ML7" s="82" t="s">
        <v>100</v>
      </c>
      <c r="MM7" s="12">
        <f t="shared" si="134"/>
        <v>15.5</v>
      </c>
      <c r="MN7" s="12">
        <f t="shared" si="135"/>
        <v>50.480000000000004</v>
      </c>
      <c r="MO7" s="12">
        <f t="shared" si="136"/>
        <v>56.167500000000004</v>
      </c>
      <c r="MP7" s="12">
        <f t="shared" si="137"/>
        <v>106.64750000000001</v>
      </c>
      <c r="MQ7" s="12">
        <f t="shared" si="140"/>
        <v>15.4</v>
      </c>
      <c r="MR7" s="12">
        <f t="shared" si="138"/>
        <v>56.252499999999998</v>
      </c>
      <c r="MS7" s="12">
        <f t="shared" si="139"/>
        <v>162.9</v>
      </c>
    </row>
    <row r="8" spans="1:357" x14ac:dyDescent="0.2">
      <c r="A8" s="6">
        <f t="shared" si="0"/>
        <v>5</v>
      </c>
      <c r="B8" s="7" t="s">
        <v>9</v>
      </c>
      <c r="C8" s="8" t="s">
        <v>3</v>
      </c>
      <c r="D8" s="29">
        <v>1997</v>
      </c>
      <c r="E8" s="16">
        <f t="shared" si="1"/>
        <v>266.89999999999998</v>
      </c>
      <c r="F8" s="4" t="str">
        <f t="shared" si="2"/>
        <v>P</v>
      </c>
      <c r="G8" s="4" t="str">
        <f t="shared" si="3"/>
        <v>P</v>
      </c>
      <c r="H8" s="4" t="str">
        <f t="shared" si="4"/>
        <v>P</v>
      </c>
      <c r="I8" t="str">
        <f t="shared" si="5"/>
        <v>Worlds Team</v>
      </c>
      <c r="J8" s="15">
        <f t="shared" si="6"/>
        <v>105.60999999999999</v>
      </c>
      <c r="K8" s="15" t="str">
        <f t="shared" si="7"/>
        <v>2019 Elite Canada</v>
      </c>
      <c r="L8" s="15">
        <f t="shared" si="8"/>
        <v>50.120000000000005</v>
      </c>
      <c r="M8" s="15" t="str">
        <f t="shared" si="9"/>
        <v>2019 Nationals</v>
      </c>
      <c r="N8" s="15">
        <f t="shared" si="10"/>
        <v>54.484999999999999</v>
      </c>
      <c r="O8" s="15" t="str">
        <f t="shared" si="11"/>
        <v>2019 Nationals</v>
      </c>
      <c r="P8" s="15">
        <f t="shared" si="12"/>
        <v>56.505000000000003</v>
      </c>
      <c r="Q8" s="15" t="str">
        <f t="shared" si="13"/>
        <v>2019 Elite Canada</v>
      </c>
      <c r="R8" s="15">
        <f t="shared" si="14"/>
        <v>0.18000000000000682</v>
      </c>
      <c r="S8" s="27" t="str">
        <f t="shared" si="15"/>
        <v>(Vol 2)</v>
      </c>
      <c r="T8" s="15" t="str">
        <f t="shared" si="16"/>
        <v>2019 World Cup RUS (Sept 21)</v>
      </c>
      <c r="U8" s="71">
        <v>17.600000000000001</v>
      </c>
      <c r="V8" s="71">
        <v>9.5</v>
      </c>
      <c r="W8" s="71">
        <v>5.2</v>
      </c>
      <c r="X8" s="71">
        <v>16.954999999999998</v>
      </c>
      <c r="Y8" s="71">
        <v>0</v>
      </c>
      <c r="Z8" s="71">
        <v>14.7</v>
      </c>
      <c r="AA8" s="71">
        <v>9.4499999999999993</v>
      </c>
      <c r="AB8" s="71">
        <v>16.2</v>
      </c>
      <c r="AC8" s="71">
        <v>16.004999999999999</v>
      </c>
      <c r="AD8" s="71">
        <v>0</v>
      </c>
      <c r="AE8" s="71">
        <v>15</v>
      </c>
      <c r="AF8" s="71">
        <v>9.1999999999999993</v>
      </c>
      <c r="AG8" s="71">
        <v>16</v>
      </c>
      <c r="AH8" s="71">
        <v>16.305</v>
      </c>
      <c r="AI8" s="71">
        <v>0</v>
      </c>
      <c r="AJ8" s="82"/>
      <c r="AK8" s="12">
        <f t="shared" si="17"/>
        <v>16.2</v>
      </c>
      <c r="AL8" s="12">
        <f t="shared" si="18"/>
        <v>49.255000000000003</v>
      </c>
      <c r="AM8" s="12">
        <f t="shared" si="19"/>
        <v>56.35499999999999</v>
      </c>
      <c r="AN8" s="12">
        <f t="shared" si="20"/>
        <v>105.60999999999999</v>
      </c>
      <c r="AO8" s="12">
        <f t="shared" si="21"/>
        <v>16</v>
      </c>
      <c r="AP8" s="12">
        <f t="shared" si="22"/>
        <v>56.505000000000003</v>
      </c>
      <c r="AQ8" s="12">
        <f t="shared" si="23"/>
        <v>162.11499999999998</v>
      </c>
      <c r="AR8" s="77">
        <v>18.2</v>
      </c>
      <c r="AS8" s="77">
        <v>9.3000000000000007</v>
      </c>
      <c r="AT8" s="77">
        <v>5.7</v>
      </c>
      <c r="AU8" s="77">
        <v>16.920000000000002</v>
      </c>
      <c r="AV8" s="77">
        <v>0</v>
      </c>
      <c r="AW8" s="77">
        <v>14.7</v>
      </c>
      <c r="AX8" s="77">
        <v>9.5</v>
      </c>
      <c r="AY8" s="77">
        <v>14.9</v>
      </c>
      <c r="AZ8" s="77">
        <v>15.385</v>
      </c>
      <c r="BA8" s="77">
        <v>0</v>
      </c>
      <c r="BB8" s="77">
        <v>14.68</v>
      </c>
      <c r="BC8" s="77">
        <v>9.3000000000000007</v>
      </c>
      <c r="BD8" s="77">
        <v>15.2</v>
      </c>
      <c r="BE8" s="77">
        <v>15.645</v>
      </c>
      <c r="BF8" s="77">
        <v>0</v>
      </c>
      <c r="BG8" s="83"/>
      <c r="BH8" s="15">
        <f t="shared" si="24"/>
        <v>14.9</v>
      </c>
      <c r="BI8" s="15">
        <f t="shared" si="25"/>
        <v>50.120000000000005</v>
      </c>
      <c r="BJ8" s="15">
        <f t="shared" si="26"/>
        <v>54.484999999999999</v>
      </c>
      <c r="BK8" s="15">
        <f t="shared" si="27"/>
        <v>104.605</v>
      </c>
      <c r="BL8" s="15">
        <f t="shared" si="28"/>
        <v>15.2</v>
      </c>
      <c r="BM8" s="15">
        <f t="shared" si="29"/>
        <v>54.825000000000003</v>
      </c>
      <c r="BN8" s="15">
        <f t="shared" si="30"/>
        <v>159.43</v>
      </c>
      <c r="BO8" s="26" t="str">
        <f t="shared" si="31"/>
        <v/>
      </c>
      <c r="BP8" s="26">
        <f t="shared" si="32"/>
        <v>0.18000000000000682</v>
      </c>
      <c r="BQ8" s="26" t="str">
        <f t="shared" si="33"/>
        <v/>
      </c>
      <c r="BR8" s="26" t="str">
        <f t="shared" si="34"/>
        <v/>
      </c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12" t="str">
        <f t="shared" si="35"/>
        <v/>
      </c>
      <c r="CI8" s="12" t="str">
        <f t="shared" si="36"/>
        <v/>
      </c>
      <c r="CJ8" s="12" t="str">
        <f t="shared" si="37"/>
        <v/>
      </c>
      <c r="CK8" s="12" t="str">
        <f t="shared" si="38"/>
        <v/>
      </c>
      <c r="CL8" s="12" t="str">
        <f t="shared" si="39"/>
        <v/>
      </c>
      <c r="CM8" s="12" t="str">
        <f t="shared" si="40"/>
        <v/>
      </c>
      <c r="CN8" s="12" t="str">
        <f t="shared" si="41"/>
        <v/>
      </c>
      <c r="CO8" s="40"/>
      <c r="CP8" s="40"/>
      <c r="CQ8" s="40"/>
      <c r="CR8" s="40"/>
      <c r="CS8" s="40"/>
      <c r="CT8" s="40"/>
      <c r="CU8" s="40"/>
      <c r="CV8" s="40"/>
      <c r="CW8" s="40"/>
      <c r="CX8" s="40"/>
      <c r="CY8" s="40"/>
      <c r="CZ8" s="40"/>
      <c r="DA8" s="40"/>
      <c r="DB8" s="40"/>
      <c r="DC8" s="40"/>
      <c r="DD8" s="15" t="str">
        <f t="shared" si="42"/>
        <v/>
      </c>
      <c r="DE8" s="15" t="str">
        <f t="shared" si="43"/>
        <v/>
      </c>
      <c r="DF8" s="15" t="str">
        <f t="shared" si="44"/>
        <v/>
      </c>
      <c r="DG8" s="15" t="str">
        <f t="shared" si="45"/>
        <v/>
      </c>
      <c r="DH8" s="15" t="str">
        <f t="shared" si="46"/>
        <v/>
      </c>
      <c r="DI8" s="15" t="str">
        <f t="shared" si="47"/>
        <v/>
      </c>
      <c r="DJ8" s="15" t="str">
        <f t="shared" si="48"/>
        <v/>
      </c>
      <c r="DK8" s="39"/>
      <c r="DL8" s="39"/>
      <c r="DM8" s="39"/>
      <c r="DN8" s="39"/>
      <c r="DO8" s="39"/>
      <c r="DP8" s="39"/>
      <c r="DQ8" s="39"/>
      <c r="DR8" s="39"/>
      <c r="DS8" s="39"/>
      <c r="DT8" s="39"/>
      <c r="DU8" s="39"/>
      <c r="DV8" s="39"/>
      <c r="DW8" s="39"/>
      <c r="DX8" s="39"/>
      <c r="DY8" s="39"/>
      <c r="DZ8" s="12" t="str">
        <f t="shared" si="49"/>
        <v/>
      </c>
      <c r="EA8" s="12" t="str">
        <f t="shared" si="50"/>
        <v/>
      </c>
      <c r="EB8" s="12" t="str">
        <f t="shared" si="51"/>
        <v/>
      </c>
      <c r="EC8" s="12" t="str">
        <f t="shared" si="52"/>
        <v/>
      </c>
      <c r="ED8" s="12" t="str">
        <f t="shared" si="53"/>
        <v/>
      </c>
      <c r="EE8" s="12" t="str">
        <f t="shared" si="54"/>
        <v/>
      </c>
      <c r="EF8" s="12" t="str">
        <f t="shared" si="55"/>
        <v/>
      </c>
      <c r="EG8" s="40"/>
      <c r="EH8" s="40"/>
      <c r="EI8" s="40"/>
      <c r="EJ8" s="40"/>
      <c r="EK8" s="40"/>
      <c r="EL8" s="40"/>
      <c r="EM8" s="40"/>
      <c r="EN8" s="40"/>
      <c r="EO8" s="40"/>
      <c r="EP8" s="40"/>
      <c r="EQ8" s="40"/>
      <c r="ER8" s="40"/>
      <c r="ES8" s="40"/>
      <c r="ET8" s="40"/>
      <c r="EU8" s="40"/>
      <c r="EV8" s="15" t="str">
        <f t="shared" si="56"/>
        <v/>
      </c>
      <c r="EW8" s="15" t="str">
        <f t="shared" si="57"/>
        <v/>
      </c>
      <c r="EX8" s="15" t="str">
        <f t="shared" si="58"/>
        <v/>
      </c>
      <c r="EY8" s="15" t="str">
        <f t="shared" si="59"/>
        <v/>
      </c>
      <c r="EZ8" s="15" t="str">
        <f t="shared" si="60"/>
        <v/>
      </c>
      <c r="FA8" s="15" t="str">
        <f t="shared" si="61"/>
        <v/>
      </c>
      <c r="FB8" s="15" t="str">
        <f t="shared" si="62"/>
        <v/>
      </c>
      <c r="FC8" s="39"/>
      <c r="FD8" s="39"/>
      <c r="FE8" s="39"/>
      <c r="FF8" s="39"/>
      <c r="FG8" s="39"/>
      <c r="FH8" s="39"/>
      <c r="FI8" s="39"/>
      <c r="FJ8" s="39"/>
      <c r="FK8" s="39"/>
      <c r="FL8" s="39"/>
      <c r="FM8" s="39"/>
      <c r="FN8" s="39"/>
      <c r="FO8" s="39"/>
      <c r="FP8" s="39"/>
      <c r="FQ8" s="39"/>
      <c r="FR8" s="12" t="str">
        <f t="shared" si="63"/>
        <v/>
      </c>
      <c r="FS8" s="12" t="str">
        <f t="shared" si="64"/>
        <v/>
      </c>
      <c r="FT8" s="12" t="str">
        <f t="shared" si="65"/>
        <v/>
      </c>
      <c r="FU8" s="12" t="str">
        <f t="shared" si="66"/>
        <v/>
      </c>
      <c r="FV8" s="12" t="str">
        <f t="shared" si="67"/>
        <v/>
      </c>
      <c r="FW8" s="12" t="str">
        <f t="shared" si="68"/>
        <v/>
      </c>
      <c r="FX8" s="12" t="str">
        <f t="shared" si="69"/>
        <v/>
      </c>
      <c r="FY8" s="40"/>
      <c r="FZ8" s="40"/>
      <c r="GA8" s="40"/>
      <c r="GB8" s="40"/>
      <c r="GC8" s="40"/>
      <c r="GD8" s="40"/>
      <c r="GE8" s="40"/>
      <c r="GF8" s="40"/>
      <c r="GG8" s="40"/>
      <c r="GH8" s="40"/>
      <c r="GI8" s="40"/>
      <c r="GJ8" s="40"/>
      <c r="GK8" s="40"/>
      <c r="GL8" s="40"/>
      <c r="GM8" s="40"/>
      <c r="GN8" s="15" t="str">
        <f t="shared" si="70"/>
        <v/>
      </c>
      <c r="GO8" s="15" t="str">
        <f t="shared" si="71"/>
        <v/>
      </c>
      <c r="GP8" s="15" t="str">
        <f t="shared" si="72"/>
        <v/>
      </c>
      <c r="GQ8" s="15" t="str">
        <f t="shared" si="73"/>
        <v/>
      </c>
      <c r="GR8" s="15" t="str">
        <f t="shared" si="74"/>
        <v/>
      </c>
      <c r="GS8" s="15" t="str">
        <f t="shared" si="75"/>
        <v/>
      </c>
      <c r="GT8" s="15" t="str">
        <f t="shared" si="76"/>
        <v/>
      </c>
      <c r="GU8" s="39"/>
      <c r="GV8" s="39"/>
      <c r="GW8" s="39"/>
      <c r="GX8" s="39"/>
      <c r="GY8" s="39"/>
      <c r="GZ8" s="39"/>
      <c r="HA8" s="39"/>
      <c r="HB8" s="39"/>
      <c r="HC8" s="39"/>
      <c r="HD8" s="39"/>
      <c r="HE8" s="39"/>
      <c r="HF8" s="39"/>
      <c r="HG8" s="39"/>
      <c r="HH8" s="39"/>
      <c r="HI8" s="39"/>
      <c r="HJ8" s="12" t="str">
        <f t="shared" si="77"/>
        <v/>
      </c>
      <c r="HK8" s="12" t="str">
        <f t="shared" si="78"/>
        <v/>
      </c>
      <c r="HL8" s="12" t="str">
        <f t="shared" si="79"/>
        <v/>
      </c>
      <c r="HM8" s="12" t="str">
        <f t="shared" si="80"/>
        <v/>
      </c>
      <c r="HN8" s="12" t="str">
        <f t="shared" si="81"/>
        <v/>
      </c>
      <c r="HO8" s="12" t="str">
        <f t="shared" si="82"/>
        <v/>
      </c>
      <c r="HP8" s="12" t="str">
        <f t="shared" si="83"/>
        <v/>
      </c>
      <c r="HQ8" s="40">
        <v>15.7</v>
      </c>
      <c r="HR8" s="40">
        <v>9.6</v>
      </c>
      <c r="HS8" s="40">
        <v>5.7</v>
      </c>
      <c r="HT8" s="40">
        <v>17.12</v>
      </c>
      <c r="HU8" s="40">
        <v>0</v>
      </c>
      <c r="HV8" s="40">
        <v>14.2</v>
      </c>
      <c r="HW8" s="40">
        <v>8.8000000000000007</v>
      </c>
      <c r="HX8" s="40">
        <v>16.2</v>
      </c>
      <c r="HY8" s="40">
        <v>15.465</v>
      </c>
      <c r="HZ8" s="40">
        <v>0</v>
      </c>
      <c r="IA8" s="40"/>
      <c r="IB8" s="40"/>
      <c r="IC8" s="40"/>
      <c r="ID8" s="40"/>
      <c r="IE8" s="40"/>
      <c r="IF8" s="15">
        <f t="shared" si="84"/>
        <v>16.2</v>
      </c>
      <c r="IG8" s="15">
        <f t="shared" si="85"/>
        <v>48.12</v>
      </c>
      <c r="IH8" s="15">
        <f t="shared" si="86"/>
        <v>54.665000000000006</v>
      </c>
      <c r="II8" s="15">
        <f t="shared" si="87"/>
        <v>102.785</v>
      </c>
      <c r="IJ8" s="15" t="str">
        <f t="shared" si="88"/>
        <v/>
      </c>
      <c r="IK8" s="15" t="str">
        <f t="shared" si="89"/>
        <v/>
      </c>
      <c r="IL8" s="15">
        <f t="shared" si="90"/>
        <v>102.785</v>
      </c>
      <c r="IM8" s="39">
        <v>17.899999999999999</v>
      </c>
      <c r="IN8" s="39">
        <v>9.5</v>
      </c>
      <c r="IO8" s="39">
        <v>5.2</v>
      </c>
      <c r="IP8" s="39">
        <v>17.175000000000001</v>
      </c>
      <c r="IQ8" s="39">
        <v>0</v>
      </c>
      <c r="IR8" s="39">
        <v>13.8</v>
      </c>
      <c r="IS8" s="39">
        <v>8.9</v>
      </c>
      <c r="IT8" s="39">
        <v>15.8</v>
      </c>
      <c r="IU8" s="39">
        <v>15.595000000000001</v>
      </c>
      <c r="IV8" s="39">
        <v>0</v>
      </c>
      <c r="IW8" s="39"/>
      <c r="IX8" s="39"/>
      <c r="IY8" s="39"/>
      <c r="IZ8" s="39"/>
      <c r="JA8" s="39"/>
      <c r="JB8" s="12">
        <f t="shared" si="91"/>
        <v>15.8</v>
      </c>
      <c r="JC8" s="12">
        <f t="shared" si="92"/>
        <v>49.775000000000006</v>
      </c>
      <c r="JD8" s="12">
        <f t="shared" si="93"/>
        <v>54.094999999999999</v>
      </c>
      <c r="JE8" s="12">
        <f t="shared" si="94"/>
        <v>103.87</v>
      </c>
      <c r="JF8" s="12" t="str">
        <f t="shared" si="95"/>
        <v/>
      </c>
      <c r="JG8" s="12" t="str">
        <f t="shared" si="96"/>
        <v/>
      </c>
      <c r="JH8" s="12">
        <f t="shared" si="97"/>
        <v>103.87</v>
      </c>
      <c r="JI8" s="40"/>
      <c r="JJ8" s="40"/>
      <c r="JK8" s="40"/>
      <c r="JL8" s="40"/>
      <c r="JM8" s="40"/>
      <c r="JN8" s="40"/>
      <c r="JO8" s="40"/>
      <c r="JP8" s="40"/>
      <c r="JQ8" s="40"/>
      <c r="JR8" s="40"/>
      <c r="JS8" s="40"/>
      <c r="JT8" s="40"/>
      <c r="JU8" s="40"/>
      <c r="JV8" s="40"/>
      <c r="JW8" s="40"/>
      <c r="JX8" s="15" t="str">
        <f t="shared" si="98"/>
        <v/>
      </c>
      <c r="JY8" s="15" t="str">
        <f t="shared" si="99"/>
        <v/>
      </c>
      <c r="JZ8" s="15" t="str">
        <f t="shared" si="100"/>
        <v/>
      </c>
      <c r="KA8" s="15" t="str">
        <f t="shared" si="101"/>
        <v/>
      </c>
      <c r="KB8" s="15" t="str">
        <f t="shared" si="102"/>
        <v/>
      </c>
      <c r="KC8" s="15" t="str">
        <f t="shared" si="103"/>
        <v/>
      </c>
      <c r="KD8" s="15" t="str">
        <f t="shared" si="104"/>
        <v/>
      </c>
      <c r="KE8" s="39"/>
      <c r="KF8" s="39"/>
      <c r="KG8" s="39"/>
      <c r="KH8" s="39"/>
      <c r="KI8" s="39"/>
      <c r="KJ8" s="39"/>
      <c r="KK8" s="39"/>
      <c r="KL8" s="39"/>
      <c r="KM8" s="39"/>
      <c r="KN8" s="39"/>
      <c r="KO8" s="39"/>
      <c r="KP8" s="39"/>
      <c r="KQ8" s="39"/>
      <c r="KR8" s="39"/>
      <c r="KS8" s="39"/>
      <c r="KT8" s="12" t="str">
        <f t="shared" si="105"/>
        <v/>
      </c>
      <c r="KU8" s="12" t="str">
        <f t="shared" si="106"/>
        <v/>
      </c>
      <c r="KV8" s="12" t="str">
        <f t="shared" si="107"/>
        <v/>
      </c>
      <c r="KW8" s="12" t="str">
        <f t="shared" si="108"/>
        <v/>
      </c>
      <c r="KX8" s="12" t="str">
        <f t="shared" si="109"/>
        <v/>
      </c>
      <c r="KY8" s="12" t="str">
        <f t="shared" si="110"/>
        <v/>
      </c>
      <c r="KZ8" s="12" t="str">
        <f t="shared" si="111"/>
        <v/>
      </c>
      <c r="LA8" s="40"/>
      <c r="LB8" s="40"/>
      <c r="LC8" s="40"/>
      <c r="LD8" s="40"/>
      <c r="LE8" s="40"/>
      <c r="LF8" s="40"/>
      <c r="LG8" s="40"/>
      <c r="LH8" s="40"/>
      <c r="LI8" s="40"/>
      <c r="LJ8" s="40"/>
      <c r="LK8" s="40"/>
      <c r="LL8" s="40"/>
      <c r="LM8" s="40"/>
      <c r="LN8" s="40"/>
      <c r="LO8" s="40"/>
      <c r="LP8" s="15" t="str">
        <f t="shared" si="112"/>
        <v/>
      </c>
      <c r="LQ8" s="15" t="str">
        <f t="shared" si="113"/>
        <v/>
      </c>
      <c r="LR8" s="15" t="str">
        <f t="shared" si="114"/>
        <v/>
      </c>
      <c r="LS8" s="15" t="str">
        <f t="shared" si="115"/>
        <v/>
      </c>
      <c r="LT8" s="15" t="str">
        <f t="shared" si="116"/>
        <v/>
      </c>
      <c r="LU8" s="15" t="str">
        <f t="shared" si="117"/>
        <v/>
      </c>
      <c r="LV8" s="15" t="str">
        <f t="shared" si="118"/>
        <v/>
      </c>
      <c r="LW8" s="71">
        <f t="shared" si="119"/>
        <v>17.899999999999999</v>
      </c>
      <c r="LX8" s="71">
        <f t="shared" si="120"/>
        <v>9.4</v>
      </c>
      <c r="LY8" s="71">
        <f t="shared" si="121"/>
        <v>5.45</v>
      </c>
      <c r="LZ8" s="71">
        <f t="shared" si="122"/>
        <v>16.9375</v>
      </c>
      <c r="MA8" s="71">
        <f t="shared" si="123"/>
        <v>0</v>
      </c>
      <c r="MB8" s="71">
        <f t="shared" si="124"/>
        <v>14.7</v>
      </c>
      <c r="MC8" s="71">
        <f t="shared" si="125"/>
        <v>9.4749999999999996</v>
      </c>
      <c r="MD8" s="71">
        <f t="shared" si="126"/>
        <v>15.55</v>
      </c>
      <c r="ME8" s="71">
        <f t="shared" si="127"/>
        <v>15.695</v>
      </c>
      <c r="MF8" s="71">
        <f t="shared" si="128"/>
        <v>0</v>
      </c>
      <c r="MG8" s="71">
        <f t="shared" si="129"/>
        <v>14.84</v>
      </c>
      <c r="MH8" s="71">
        <f t="shared" si="130"/>
        <v>9.25</v>
      </c>
      <c r="MI8" s="71">
        <f t="shared" si="131"/>
        <v>15.6</v>
      </c>
      <c r="MJ8" s="71">
        <f t="shared" si="132"/>
        <v>15.975</v>
      </c>
      <c r="MK8" s="71">
        <f t="shared" si="133"/>
        <v>0</v>
      </c>
      <c r="ML8" s="82" t="s">
        <v>100</v>
      </c>
      <c r="MM8" s="12">
        <f t="shared" si="134"/>
        <v>15.55</v>
      </c>
      <c r="MN8" s="12">
        <f t="shared" si="135"/>
        <v>49.6875</v>
      </c>
      <c r="MO8" s="12">
        <f t="shared" si="136"/>
        <v>55.419999999999995</v>
      </c>
      <c r="MP8" s="12">
        <f t="shared" si="137"/>
        <v>105.10749999999999</v>
      </c>
      <c r="MQ8" s="12">
        <f t="shared" si="140"/>
        <v>15.6</v>
      </c>
      <c r="MR8" s="12">
        <f t="shared" si="138"/>
        <v>55.664999999999999</v>
      </c>
      <c r="MS8" s="12">
        <f t="shared" si="139"/>
        <v>160.77249999999998</v>
      </c>
    </row>
    <row r="9" spans="1:357" x14ac:dyDescent="0.2">
      <c r="A9" s="6">
        <f t="shared" si="0"/>
        <v>6</v>
      </c>
      <c r="B9" s="7" t="s">
        <v>89</v>
      </c>
      <c r="C9" s="8" t="s">
        <v>10</v>
      </c>
      <c r="D9" s="29">
        <v>1999</v>
      </c>
      <c r="E9" s="16">
        <f t="shared" si="1"/>
        <v>260.29500000000002</v>
      </c>
      <c r="F9" s="4" t="str">
        <f t="shared" si="2"/>
        <v>P</v>
      </c>
      <c r="G9" s="4" t="str">
        <f t="shared" si="3"/>
        <v/>
      </c>
      <c r="H9" s="4" t="str">
        <f t="shared" si="4"/>
        <v>P</v>
      </c>
      <c r="I9" t="str">
        <f t="shared" si="5"/>
        <v>National Team</v>
      </c>
      <c r="J9" s="15">
        <f t="shared" si="6"/>
        <v>104.905</v>
      </c>
      <c r="K9" s="15" t="str">
        <f t="shared" si="7"/>
        <v>2019 Nationals</v>
      </c>
      <c r="L9" s="15">
        <f t="shared" si="8"/>
        <v>47.854999999999997</v>
      </c>
      <c r="M9" s="15" t="str">
        <f t="shared" si="9"/>
        <v>2019 Elite Canada</v>
      </c>
      <c r="N9" s="15">
        <f t="shared" si="10"/>
        <v>10.75</v>
      </c>
      <c r="O9" s="15" t="str">
        <f t="shared" si="11"/>
        <v>2019 Elite Canada</v>
      </c>
      <c r="P9" s="15">
        <f t="shared" si="12"/>
        <v>56.43</v>
      </c>
      <c r="Q9" s="15" t="str">
        <f t="shared" si="13"/>
        <v>2019 Nationals</v>
      </c>
      <c r="R9" s="15">
        <f t="shared" si="14"/>
        <v>40.354999999999997</v>
      </c>
      <c r="S9" s="27" t="str">
        <f t="shared" si="15"/>
        <v>(Vol 2)</v>
      </c>
      <c r="T9" s="15" t="str">
        <f t="shared" si="16"/>
        <v>2018 World Age Groups (Nov 18)</v>
      </c>
      <c r="U9" s="71">
        <v>16.7</v>
      </c>
      <c r="V9" s="71">
        <v>8.85</v>
      </c>
      <c r="W9" s="71">
        <v>5.2</v>
      </c>
      <c r="X9" s="71">
        <v>17.105</v>
      </c>
      <c r="Y9" s="71">
        <v>0</v>
      </c>
      <c r="Z9" s="71">
        <v>3.2</v>
      </c>
      <c r="AA9" s="71">
        <v>1.6</v>
      </c>
      <c r="AB9" s="71">
        <v>2.6</v>
      </c>
      <c r="AC9" s="71">
        <v>3.35</v>
      </c>
      <c r="AD9" s="71">
        <v>0</v>
      </c>
      <c r="AE9" s="71"/>
      <c r="AF9" s="71"/>
      <c r="AG9" s="71"/>
      <c r="AH9" s="71"/>
      <c r="AI9" s="71"/>
      <c r="AJ9" s="82"/>
      <c r="AK9" s="12">
        <f t="shared" si="17"/>
        <v>2.6</v>
      </c>
      <c r="AL9" s="12">
        <f t="shared" si="18"/>
        <v>47.854999999999997</v>
      </c>
      <c r="AM9" s="12">
        <f t="shared" si="19"/>
        <v>10.75</v>
      </c>
      <c r="AN9" s="12">
        <f t="shared" si="20"/>
        <v>58.604999999999997</v>
      </c>
      <c r="AO9" s="12" t="str">
        <f t="shared" si="21"/>
        <v/>
      </c>
      <c r="AP9" s="12" t="str">
        <f t="shared" si="22"/>
        <v/>
      </c>
      <c r="AQ9" s="12">
        <f t="shared" si="23"/>
        <v>58.604999999999997</v>
      </c>
      <c r="AR9" s="77">
        <v>17.7</v>
      </c>
      <c r="AS9" s="77">
        <v>9.5</v>
      </c>
      <c r="AT9" s="77">
        <v>4.8</v>
      </c>
      <c r="AU9" s="77">
        <v>17.375</v>
      </c>
      <c r="AV9" s="77">
        <v>0</v>
      </c>
      <c r="AW9" s="77">
        <v>16.100000000000001</v>
      </c>
      <c r="AX9" s="77">
        <v>8.9</v>
      </c>
      <c r="AY9" s="77">
        <v>14.4</v>
      </c>
      <c r="AZ9" s="77">
        <v>16.13</v>
      </c>
      <c r="BA9" s="77">
        <v>0</v>
      </c>
      <c r="BB9" s="77">
        <v>16.32</v>
      </c>
      <c r="BC9" s="77">
        <v>9.5</v>
      </c>
      <c r="BD9" s="77">
        <v>14.4</v>
      </c>
      <c r="BE9" s="77">
        <v>16.21</v>
      </c>
      <c r="BF9" s="77">
        <v>0</v>
      </c>
      <c r="BG9" s="83"/>
      <c r="BH9" s="15">
        <f t="shared" si="24"/>
        <v>14.4</v>
      </c>
      <c r="BI9" s="15">
        <f t="shared" si="25"/>
        <v>49.375</v>
      </c>
      <c r="BJ9" s="15">
        <f t="shared" si="26"/>
        <v>55.53</v>
      </c>
      <c r="BK9" s="15">
        <f t="shared" si="27"/>
        <v>104.905</v>
      </c>
      <c r="BL9" s="15">
        <f t="shared" si="28"/>
        <v>14.4</v>
      </c>
      <c r="BM9" s="15">
        <f t="shared" si="29"/>
        <v>56.43</v>
      </c>
      <c r="BN9" s="15">
        <f t="shared" si="30"/>
        <v>161.33500000000001</v>
      </c>
      <c r="BO9" s="26" t="str">
        <f t="shared" si="31"/>
        <v/>
      </c>
      <c r="BP9" s="26">
        <f t="shared" si="32"/>
        <v>40.354999999999997</v>
      </c>
      <c r="BQ9" s="26" t="str">
        <f t="shared" si="33"/>
        <v/>
      </c>
      <c r="BR9" s="26" t="str">
        <f t="shared" si="34"/>
        <v/>
      </c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12" t="str">
        <f t="shared" si="35"/>
        <v/>
      </c>
      <c r="CI9" s="12" t="str">
        <f t="shared" si="36"/>
        <v/>
      </c>
      <c r="CJ9" s="12" t="str">
        <f t="shared" si="37"/>
        <v/>
      </c>
      <c r="CK9" s="12" t="str">
        <f t="shared" si="38"/>
        <v/>
      </c>
      <c r="CL9" s="12" t="str">
        <f t="shared" si="39"/>
        <v/>
      </c>
      <c r="CM9" s="12" t="str">
        <f t="shared" si="40"/>
        <v/>
      </c>
      <c r="CN9" s="12" t="str">
        <f t="shared" si="41"/>
        <v/>
      </c>
      <c r="CO9" s="40"/>
      <c r="CP9" s="40"/>
      <c r="CQ9" s="40"/>
      <c r="CR9" s="40"/>
      <c r="CS9" s="40"/>
      <c r="CT9" s="40"/>
      <c r="CU9" s="40"/>
      <c r="CV9" s="40"/>
      <c r="CW9" s="40"/>
      <c r="CX9" s="40"/>
      <c r="CY9" s="40"/>
      <c r="CZ9" s="40"/>
      <c r="DA9" s="40"/>
      <c r="DB9" s="40"/>
      <c r="DC9" s="40"/>
      <c r="DD9" s="15" t="str">
        <f t="shared" si="42"/>
        <v/>
      </c>
      <c r="DE9" s="15" t="str">
        <f t="shared" si="43"/>
        <v/>
      </c>
      <c r="DF9" s="15" t="str">
        <f t="shared" si="44"/>
        <v/>
      </c>
      <c r="DG9" s="15" t="str">
        <f t="shared" si="45"/>
        <v/>
      </c>
      <c r="DH9" s="15" t="str">
        <f t="shared" si="46"/>
        <v/>
      </c>
      <c r="DI9" s="15" t="str">
        <f t="shared" si="47"/>
        <v/>
      </c>
      <c r="DJ9" s="15" t="str">
        <f t="shared" si="48"/>
        <v/>
      </c>
      <c r="DK9" s="39">
        <v>17.2</v>
      </c>
      <c r="DL9" s="39">
        <v>9.5</v>
      </c>
      <c r="DM9" s="39">
        <v>0</v>
      </c>
      <c r="DN9" s="39">
        <v>17.585000000000001</v>
      </c>
      <c r="DO9" s="39">
        <v>0</v>
      </c>
      <c r="DP9" s="39">
        <v>16.399999999999999</v>
      </c>
      <c r="DQ9" s="39">
        <v>9.4</v>
      </c>
      <c r="DR9" s="39">
        <v>8.4</v>
      </c>
      <c r="DS9" s="39">
        <v>16.905000000000001</v>
      </c>
      <c r="DT9" s="39">
        <v>0</v>
      </c>
      <c r="DU9" s="39"/>
      <c r="DV9" s="39"/>
      <c r="DW9" s="39"/>
      <c r="DX9" s="39"/>
      <c r="DY9" s="39"/>
      <c r="DZ9" s="12">
        <f t="shared" si="49"/>
        <v>8.4</v>
      </c>
      <c r="EA9" s="12">
        <f t="shared" si="50"/>
        <v>44.284999999999997</v>
      </c>
      <c r="EB9" s="12">
        <f t="shared" si="51"/>
        <v>51.104999999999997</v>
      </c>
      <c r="EC9" s="12">
        <f t="shared" si="52"/>
        <v>95.389999999999986</v>
      </c>
      <c r="ED9" s="12" t="str">
        <f t="shared" si="53"/>
        <v/>
      </c>
      <c r="EE9" s="12" t="str">
        <f t="shared" si="54"/>
        <v/>
      </c>
      <c r="EF9" s="12">
        <f t="shared" si="55"/>
        <v>95.389999999999986</v>
      </c>
      <c r="EG9" s="40"/>
      <c r="EH9" s="40"/>
      <c r="EI9" s="40"/>
      <c r="EJ9" s="40"/>
      <c r="EK9" s="40"/>
      <c r="EL9" s="40"/>
      <c r="EM9" s="40"/>
      <c r="EN9" s="40"/>
      <c r="EO9" s="40"/>
      <c r="EP9" s="40"/>
      <c r="EQ9" s="40"/>
      <c r="ER9" s="40"/>
      <c r="ES9" s="40"/>
      <c r="ET9" s="40"/>
      <c r="EU9" s="40"/>
      <c r="EV9" s="15" t="str">
        <f t="shared" si="56"/>
        <v/>
      </c>
      <c r="EW9" s="15" t="str">
        <f t="shared" si="57"/>
        <v/>
      </c>
      <c r="EX9" s="15" t="str">
        <f t="shared" si="58"/>
        <v/>
      </c>
      <c r="EY9" s="15" t="str">
        <f t="shared" si="59"/>
        <v/>
      </c>
      <c r="EZ9" s="15" t="str">
        <f t="shared" si="60"/>
        <v/>
      </c>
      <c r="FA9" s="15" t="str">
        <f t="shared" si="61"/>
        <v/>
      </c>
      <c r="FB9" s="15" t="str">
        <f t="shared" si="62"/>
        <v/>
      </c>
      <c r="FC9" s="39"/>
      <c r="FD9" s="39"/>
      <c r="FE9" s="39"/>
      <c r="FF9" s="39"/>
      <c r="FG9" s="39"/>
      <c r="FH9" s="39"/>
      <c r="FI9" s="39"/>
      <c r="FJ9" s="39"/>
      <c r="FK9" s="39"/>
      <c r="FL9" s="39"/>
      <c r="FM9" s="39"/>
      <c r="FN9" s="39"/>
      <c r="FO9" s="39"/>
      <c r="FP9" s="39"/>
      <c r="FQ9" s="39"/>
      <c r="FR9" s="12" t="str">
        <f t="shared" si="63"/>
        <v/>
      </c>
      <c r="FS9" s="12" t="str">
        <f t="shared" si="64"/>
        <v/>
      </c>
      <c r="FT9" s="12" t="str">
        <f t="shared" si="65"/>
        <v/>
      </c>
      <c r="FU9" s="12" t="str">
        <f t="shared" si="66"/>
        <v/>
      </c>
      <c r="FV9" s="12" t="str">
        <f t="shared" si="67"/>
        <v/>
      </c>
      <c r="FW9" s="12" t="str">
        <f t="shared" si="68"/>
        <v/>
      </c>
      <c r="FX9" s="12" t="str">
        <f t="shared" si="69"/>
        <v/>
      </c>
      <c r="FY9" s="40"/>
      <c r="FZ9" s="40"/>
      <c r="GA9" s="40"/>
      <c r="GB9" s="40"/>
      <c r="GC9" s="40"/>
      <c r="GD9" s="40"/>
      <c r="GE9" s="40"/>
      <c r="GF9" s="40"/>
      <c r="GG9" s="40"/>
      <c r="GH9" s="40"/>
      <c r="GI9" s="40"/>
      <c r="GJ9" s="40"/>
      <c r="GK9" s="40"/>
      <c r="GL9" s="40"/>
      <c r="GM9" s="40"/>
      <c r="GN9" s="15" t="str">
        <f t="shared" si="70"/>
        <v/>
      </c>
      <c r="GO9" s="15" t="str">
        <f t="shared" si="71"/>
        <v/>
      </c>
      <c r="GP9" s="15" t="str">
        <f t="shared" si="72"/>
        <v/>
      </c>
      <c r="GQ9" s="15" t="str">
        <f t="shared" si="73"/>
        <v/>
      </c>
      <c r="GR9" s="15" t="str">
        <f t="shared" si="74"/>
        <v/>
      </c>
      <c r="GS9" s="15" t="str">
        <f t="shared" si="75"/>
        <v/>
      </c>
      <c r="GT9" s="15" t="str">
        <f t="shared" si="76"/>
        <v/>
      </c>
      <c r="GU9" s="39"/>
      <c r="GV9" s="39"/>
      <c r="GW9" s="39"/>
      <c r="GX9" s="39"/>
      <c r="GY9" s="39"/>
      <c r="GZ9" s="39"/>
      <c r="HA9" s="39"/>
      <c r="HB9" s="39"/>
      <c r="HC9" s="39"/>
      <c r="HD9" s="39"/>
      <c r="HE9" s="39"/>
      <c r="HF9" s="39"/>
      <c r="HG9" s="39"/>
      <c r="HH9" s="39"/>
      <c r="HI9" s="39"/>
      <c r="HJ9" s="12" t="str">
        <f t="shared" si="77"/>
        <v/>
      </c>
      <c r="HK9" s="12" t="str">
        <f t="shared" si="78"/>
        <v/>
      </c>
      <c r="HL9" s="12" t="str">
        <f t="shared" si="79"/>
        <v/>
      </c>
      <c r="HM9" s="12" t="str">
        <f t="shared" si="80"/>
        <v/>
      </c>
      <c r="HN9" s="12" t="str">
        <f t="shared" si="81"/>
        <v/>
      </c>
      <c r="HO9" s="12" t="str">
        <f t="shared" si="82"/>
        <v/>
      </c>
      <c r="HP9" s="12" t="str">
        <f t="shared" si="83"/>
        <v/>
      </c>
      <c r="HQ9" s="40"/>
      <c r="HR9" s="40"/>
      <c r="HS9" s="40"/>
      <c r="HT9" s="40"/>
      <c r="HU9" s="40"/>
      <c r="HV9" s="40"/>
      <c r="HW9" s="40"/>
      <c r="HX9" s="40"/>
      <c r="HY9" s="40"/>
      <c r="HZ9" s="40"/>
      <c r="IA9" s="40"/>
      <c r="IB9" s="40"/>
      <c r="IC9" s="40"/>
      <c r="ID9" s="40"/>
      <c r="IE9" s="40"/>
      <c r="IF9" s="15" t="str">
        <f t="shared" si="84"/>
        <v/>
      </c>
      <c r="IG9" s="15" t="str">
        <f t="shared" si="85"/>
        <v/>
      </c>
      <c r="IH9" s="15" t="str">
        <f t="shared" si="86"/>
        <v/>
      </c>
      <c r="II9" s="15" t="str">
        <f t="shared" si="87"/>
        <v/>
      </c>
      <c r="IJ9" s="15" t="str">
        <f t="shared" si="88"/>
        <v/>
      </c>
      <c r="IK9" s="15" t="str">
        <f t="shared" si="89"/>
        <v/>
      </c>
      <c r="IL9" s="15" t="str">
        <f t="shared" si="90"/>
        <v/>
      </c>
      <c r="IM9" s="39"/>
      <c r="IN9" s="39"/>
      <c r="IO9" s="39"/>
      <c r="IP9" s="39"/>
      <c r="IQ9" s="39"/>
      <c r="IR9" s="39"/>
      <c r="IS9" s="39"/>
      <c r="IT9" s="39"/>
      <c r="IU9" s="39"/>
      <c r="IV9" s="39"/>
      <c r="IW9" s="39"/>
      <c r="IX9" s="39"/>
      <c r="IY9" s="39"/>
      <c r="IZ9" s="39"/>
      <c r="JA9" s="39"/>
      <c r="JB9" s="12" t="str">
        <f t="shared" si="91"/>
        <v/>
      </c>
      <c r="JC9" s="12" t="str">
        <f t="shared" si="92"/>
        <v/>
      </c>
      <c r="JD9" s="12" t="str">
        <f t="shared" si="93"/>
        <v/>
      </c>
      <c r="JE9" s="12" t="str">
        <f t="shared" si="94"/>
        <v/>
      </c>
      <c r="JF9" s="12" t="str">
        <f t="shared" si="95"/>
        <v/>
      </c>
      <c r="JG9" s="12" t="str">
        <f t="shared" si="96"/>
        <v/>
      </c>
      <c r="JH9" s="12" t="str">
        <f t="shared" si="97"/>
        <v/>
      </c>
      <c r="JI9" s="40"/>
      <c r="JJ9" s="40"/>
      <c r="JK9" s="40"/>
      <c r="JL9" s="40"/>
      <c r="JM9" s="40"/>
      <c r="JN9" s="40"/>
      <c r="JO9" s="40"/>
      <c r="JP9" s="40"/>
      <c r="JQ9" s="40"/>
      <c r="JR9" s="40"/>
      <c r="JS9" s="40"/>
      <c r="JT9" s="40"/>
      <c r="JU9" s="40"/>
      <c r="JV9" s="40"/>
      <c r="JW9" s="40"/>
      <c r="JX9" s="15" t="str">
        <f t="shared" si="98"/>
        <v/>
      </c>
      <c r="JY9" s="15" t="str">
        <f t="shared" si="99"/>
        <v/>
      </c>
      <c r="JZ9" s="15" t="str">
        <f t="shared" si="100"/>
        <v/>
      </c>
      <c r="KA9" s="15" t="str">
        <f t="shared" si="101"/>
        <v/>
      </c>
      <c r="KB9" s="15" t="str">
        <f t="shared" si="102"/>
        <v/>
      </c>
      <c r="KC9" s="15" t="str">
        <f t="shared" si="103"/>
        <v/>
      </c>
      <c r="KD9" s="15" t="str">
        <f t="shared" si="104"/>
        <v/>
      </c>
      <c r="KE9" s="39"/>
      <c r="KF9" s="39"/>
      <c r="KG9" s="39"/>
      <c r="KH9" s="39"/>
      <c r="KI9" s="39"/>
      <c r="KJ9" s="39"/>
      <c r="KK9" s="39"/>
      <c r="KL9" s="39"/>
      <c r="KM9" s="39"/>
      <c r="KN9" s="39"/>
      <c r="KO9" s="39"/>
      <c r="KP9" s="39"/>
      <c r="KQ9" s="39"/>
      <c r="KR9" s="39"/>
      <c r="KS9" s="39"/>
      <c r="KT9" s="12" t="str">
        <f t="shared" si="105"/>
        <v/>
      </c>
      <c r="KU9" s="12" t="str">
        <f t="shared" si="106"/>
        <v/>
      </c>
      <c r="KV9" s="12" t="str">
        <f t="shared" si="107"/>
        <v/>
      </c>
      <c r="KW9" s="12" t="str">
        <f t="shared" si="108"/>
        <v/>
      </c>
      <c r="KX9" s="12" t="str">
        <f t="shared" si="109"/>
        <v/>
      </c>
      <c r="KY9" s="12" t="str">
        <f t="shared" si="110"/>
        <v/>
      </c>
      <c r="KZ9" s="12" t="str">
        <f t="shared" si="111"/>
        <v/>
      </c>
      <c r="LA9" s="40"/>
      <c r="LB9" s="40"/>
      <c r="LC9" s="40"/>
      <c r="LD9" s="40"/>
      <c r="LE9" s="40"/>
      <c r="LF9" s="40"/>
      <c r="LG9" s="40"/>
      <c r="LH9" s="40"/>
      <c r="LI9" s="40"/>
      <c r="LJ9" s="40"/>
      <c r="LK9" s="40"/>
      <c r="LL9" s="40"/>
      <c r="LM9" s="40"/>
      <c r="LN9" s="40"/>
      <c r="LO9" s="40"/>
      <c r="LP9" s="15" t="str">
        <f t="shared" si="112"/>
        <v/>
      </c>
      <c r="LQ9" s="15" t="str">
        <f t="shared" si="113"/>
        <v/>
      </c>
      <c r="LR9" s="15" t="str">
        <f t="shared" si="114"/>
        <v/>
      </c>
      <c r="LS9" s="15" t="str">
        <f t="shared" si="115"/>
        <v/>
      </c>
      <c r="LT9" s="15" t="str">
        <f t="shared" si="116"/>
        <v/>
      </c>
      <c r="LU9" s="15" t="str">
        <f t="shared" si="117"/>
        <v/>
      </c>
      <c r="LV9" s="15" t="str">
        <f t="shared" si="118"/>
        <v/>
      </c>
      <c r="LW9" s="71">
        <f t="shared" si="119"/>
        <v>17.2</v>
      </c>
      <c r="LX9" s="71">
        <f t="shared" si="120"/>
        <v>9.1750000000000007</v>
      </c>
      <c r="LY9" s="71">
        <f t="shared" si="121"/>
        <v>5</v>
      </c>
      <c r="LZ9" s="71">
        <f t="shared" si="122"/>
        <v>17.240000000000002</v>
      </c>
      <c r="MA9" s="71">
        <f t="shared" si="123"/>
        <v>0</v>
      </c>
      <c r="MB9" s="71">
        <f t="shared" si="124"/>
        <v>9.65</v>
      </c>
      <c r="MC9" s="71">
        <f t="shared" si="125"/>
        <v>5.25</v>
      </c>
      <c r="MD9" s="71">
        <f t="shared" si="126"/>
        <v>8.5</v>
      </c>
      <c r="ME9" s="71">
        <f t="shared" si="127"/>
        <v>9.74</v>
      </c>
      <c r="MF9" s="71">
        <f t="shared" si="128"/>
        <v>0</v>
      </c>
      <c r="MG9" s="71">
        <f t="shared" si="129"/>
        <v>8.16</v>
      </c>
      <c r="MH9" s="71">
        <f t="shared" si="130"/>
        <v>4.75</v>
      </c>
      <c r="MI9" s="71">
        <f t="shared" si="131"/>
        <v>7.2</v>
      </c>
      <c r="MJ9" s="71">
        <f t="shared" si="132"/>
        <v>8.1050000000000004</v>
      </c>
      <c r="MK9" s="71">
        <f t="shared" si="133"/>
        <v>0</v>
      </c>
      <c r="ML9" s="82" t="s">
        <v>100</v>
      </c>
      <c r="MM9" s="12">
        <f t="shared" si="134"/>
        <v>8.5</v>
      </c>
      <c r="MN9" s="12">
        <f t="shared" si="135"/>
        <v>48.615000000000002</v>
      </c>
      <c r="MO9" s="12">
        <f t="shared" si="136"/>
        <v>33.14</v>
      </c>
      <c r="MP9" s="12">
        <f t="shared" si="137"/>
        <v>81.754999999999995</v>
      </c>
      <c r="MQ9" s="12">
        <f t="shared" si="140"/>
        <v>7.2</v>
      </c>
      <c r="MR9" s="12">
        <f t="shared" si="138"/>
        <v>28.215</v>
      </c>
      <c r="MS9" s="12">
        <f t="shared" si="139"/>
        <v>109.97</v>
      </c>
    </row>
    <row r="10" spans="1:357" x14ac:dyDescent="0.2">
      <c r="A10" s="6">
        <f t="shared" si="0"/>
        <v>7</v>
      </c>
      <c r="B10" s="7" t="s">
        <v>90</v>
      </c>
      <c r="C10" s="8" t="s">
        <v>5</v>
      </c>
      <c r="D10" s="29">
        <v>1999</v>
      </c>
      <c r="E10" s="16">
        <f t="shared" si="1"/>
        <v>259.935</v>
      </c>
      <c r="F10" s="4" t="str">
        <f t="shared" si="2"/>
        <v>P</v>
      </c>
      <c r="G10" s="4" t="str">
        <f t="shared" si="3"/>
        <v/>
      </c>
      <c r="H10" s="4" t="str">
        <f t="shared" si="4"/>
        <v>P</v>
      </c>
      <c r="I10" t="str">
        <f t="shared" si="5"/>
        <v>National Team</v>
      </c>
      <c r="J10" s="15">
        <f t="shared" si="6"/>
        <v>103.31500000000001</v>
      </c>
      <c r="K10" s="15" t="str">
        <f t="shared" si="7"/>
        <v>2019 Nationals</v>
      </c>
      <c r="L10" s="15">
        <f t="shared" si="8"/>
        <v>48.33</v>
      </c>
      <c r="M10" s="15" t="str">
        <f t="shared" si="9"/>
        <v>2019 Elite Canada</v>
      </c>
      <c r="N10" s="15">
        <f t="shared" si="10"/>
        <v>53.855000000000004</v>
      </c>
      <c r="O10" s="15" t="str">
        <f t="shared" si="11"/>
        <v>2019 Elite Canada</v>
      </c>
      <c r="P10" s="15">
        <f t="shared" si="12"/>
        <v>54.434999999999995</v>
      </c>
      <c r="Q10" s="15" t="str">
        <f t="shared" si="13"/>
        <v>2019 Nationals</v>
      </c>
      <c r="R10" s="15" t="str">
        <f t="shared" si="14"/>
        <v/>
      </c>
      <c r="S10" s="27" t="str">
        <f t="shared" si="15"/>
        <v/>
      </c>
      <c r="T10" s="15" t="str">
        <f t="shared" si="16"/>
        <v/>
      </c>
      <c r="U10" s="71">
        <v>17</v>
      </c>
      <c r="V10" s="71">
        <v>9.5500000000000007</v>
      </c>
      <c r="W10" s="71">
        <v>5.4</v>
      </c>
      <c r="X10" s="71">
        <v>16.38</v>
      </c>
      <c r="Y10" s="71">
        <v>0</v>
      </c>
      <c r="Z10" s="71">
        <v>14.6</v>
      </c>
      <c r="AA10" s="71">
        <v>8.9</v>
      </c>
      <c r="AB10" s="71">
        <v>14.6</v>
      </c>
      <c r="AC10" s="71">
        <v>15.755000000000001</v>
      </c>
      <c r="AD10" s="71">
        <v>0</v>
      </c>
      <c r="AE10" s="71">
        <v>14.7</v>
      </c>
      <c r="AF10" s="71">
        <v>9.15</v>
      </c>
      <c r="AG10" s="71">
        <v>14.8</v>
      </c>
      <c r="AH10" s="71">
        <v>15.685</v>
      </c>
      <c r="AI10" s="71">
        <v>0</v>
      </c>
      <c r="AJ10" s="82"/>
      <c r="AK10" s="12">
        <f t="shared" si="17"/>
        <v>14.6</v>
      </c>
      <c r="AL10" s="12">
        <f t="shared" si="18"/>
        <v>48.33</v>
      </c>
      <c r="AM10" s="12">
        <f t="shared" si="19"/>
        <v>53.855000000000004</v>
      </c>
      <c r="AN10" s="12">
        <f t="shared" si="20"/>
        <v>102.185</v>
      </c>
      <c r="AO10" s="12">
        <f t="shared" si="21"/>
        <v>14.8</v>
      </c>
      <c r="AP10" s="12">
        <f t="shared" si="22"/>
        <v>54.335000000000008</v>
      </c>
      <c r="AQ10" s="12">
        <f t="shared" si="23"/>
        <v>156.52000000000001</v>
      </c>
      <c r="AR10" s="77">
        <v>16.399999999999999</v>
      </c>
      <c r="AS10" s="77">
        <v>9.1</v>
      </c>
      <c r="AT10" s="77">
        <v>5.4</v>
      </c>
      <c r="AU10" s="77">
        <v>16.675000000000001</v>
      </c>
      <c r="AV10" s="77">
        <v>0</v>
      </c>
      <c r="AW10" s="77">
        <v>15.4</v>
      </c>
      <c r="AX10" s="77">
        <v>9.3000000000000007</v>
      </c>
      <c r="AY10" s="77">
        <v>15.2</v>
      </c>
      <c r="AZ10" s="77">
        <v>15.84</v>
      </c>
      <c r="BA10" s="77">
        <v>0</v>
      </c>
      <c r="BB10" s="77">
        <v>14.68</v>
      </c>
      <c r="BC10" s="77">
        <v>9.4</v>
      </c>
      <c r="BD10" s="77">
        <v>14.8</v>
      </c>
      <c r="BE10" s="77">
        <v>15.555</v>
      </c>
      <c r="BF10" s="77">
        <v>0</v>
      </c>
      <c r="BG10" s="83"/>
      <c r="BH10" s="15">
        <f t="shared" si="24"/>
        <v>15.2</v>
      </c>
      <c r="BI10" s="15">
        <f t="shared" si="25"/>
        <v>47.575000000000003</v>
      </c>
      <c r="BJ10" s="15">
        <f t="shared" si="26"/>
        <v>55.740000000000009</v>
      </c>
      <c r="BK10" s="15">
        <f t="shared" si="27"/>
        <v>103.31500000000001</v>
      </c>
      <c r="BL10" s="15">
        <f t="shared" si="28"/>
        <v>14.8</v>
      </c>
      <c r="BM10" s="15">
        <f t="shared" si="29"/>
        <v>54.434999999999995</v>
      </c>
      <c r="BN10" s="15">
        <f t="shared" si="30"/>
        <v>157.75</v>
      </c>
      <c r="BO10" s="26" t="str">
        <f t="shared" si="31"/>
        <v/>
      </c>
      <c r="BP10" s="26" t="str">
        <f t="shared" si="32"/>
        <v/>
      </c>
      <c r="BQ10" s="26" t="str">
        <f t="shared" si="33"/>
        <v/>
      </c>
      <c r="BR10" s="26" t="str">
        <f t="shared" si="34"/>
        <v/>
      </c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12" t="str">
        <f t="shared" si="35"/>
        <v/>
      </c>
      <c r="CI10" s="12" t="str">
        <f t="shared" si="36"/>
        <v/>
      </c>
      <c r="CJ10" s="12" t="str">
        <f t="shared" si="37"/>
        <v/>
      </c>
      <c r="CK10" s="12" t="str">
        <f t="shared" si="38"/>
        <v/>
      </c>
      <c r="CL10" s="12" t="str">
        <f t="shared" si="39"/>
        <v/>
      </c>
      <c r="CM10" s="12" t="str">
        <f t="shared" si="40"/>
        <v/>
      </c>
      <c r="CN10" s="12" t="str">
        <f t="shared" si="41"/>
        <v/>
      </c>
      <c r="CO10" s="40"/>
      <c r="CP10" s="40"/>
      <c r="CQ10" s="40"/>
      <c r="CR10" s="40"/>
      <c r="CS10" s="40"/>
      <c r="CT10" s="40"/>
      <c r="CU10" s="40"/>
      <c r="CV10" s="40"/>
      <c r="CW10" s="40"/>
      <c r="CX10" s="40"/>
      <c r="CY10" s="40"/>
      <c r="CZ10" s="40"/>
      <c r="DA10" s="40"/>
      <c r="DB10" s="40"/>
      <c r="DC10" s="40"/>
      <c r="DD10" s="15" t="str">
        <f t="shared" si="42"/>
        <v/>
      </c>
      <c r="DE10" s="15" t="str">
        <f t="shared" si="43"/>
        <v/>
      </c>
      <c r="DF10" s="15" t="str">
        <f t="shared" si="44"/>
        <v/>
      </c>
      <c r="DG10" s="15" t="str">
        <f t="shared" si="45"/>
        <v/>
      </c>
      <c r="DH10" s="15" t="str">
        <f t="shared" si="46"/>
        <v/>
      </c>
      <c r="DI10" s="15" t="str">
        <f t="shared" si="47"/>
        <v/>
      </c>
      <c r="DJ10" s="15" t="str">
        <f t="shared" si="48"/>
        <v/>
      </c>
      <c r="DK10" s="39"/>
      <c r="DL10" s="39"/>
      <c r="DM10" s="39"/>
      <c r="DN10" s="39"/>
      <c r="DO10" s="39"/>
      <c r="DP10" s="39"/>
      <c r="DQ10" s="39"/>
      <c r="DR10" s="39"/>
      <c r="DS10" s="39"/>
      <c r="DT10" s="39"/>
      <c r="DU10" s="39"/>
      <c r="DV10" s="39"/>
      <c r="DW10" s="39"/>
      <c r="DX10" s="39"/>
      <c r="DY10" s="39"/>
      <c r="DZ10" s="12" t="str">
        <f t="shared" si="49"/>
        <v/>
      </c>
      <c r="EA10" s="12" t="str">
        <f t="shared" si="50"/>
        <v/>
      </c>
      <c r="EB10" s="12" t="str">
        <f t="shared" si="51"/>
        <v/>
      </c>
      <c r="EC10" s="12" t="str">
        <f t="shared" si="52"/>
        <v/>
      </c>
      <c r="ED10" s="12" t="str">
        <f t="shared" si="53"/>
        <v/>
      </c>
      <c r="EE10" s="12" t="str">
        <f t="shared" si="54"/>
        <v/>
      </c>
      <c r="EF10" s="12" t="str">
        <f t="shared" si="55"/>
        <v/>
      </c>
      <c r="EG10" s="40"/>
      <c r="EH10" s="40"/>
      <c r="EI10" s="40"/>
      <c r="EJ10" s="40"/>
      <c r="EK10" s="40"/>
      <c r="EL10" s="40"/>
      <c r="EM10" s="40"/>
      <c r="EN10" s="40"/>
      <c r="EO10" s="40"/>
      <c r="EP10" s="40"/>
      <c r="EQ10" s="40"/>
      <c r="ER10" s="40"/>
      <c r="ES10" s="40"/>
      <c r="ET10" s="40"/>
      <c r="EU10" s="40"/>
      <c r="EV10" s="15" t="str">
        <f t="shared" si="56"/>
        <v/>
      </c>
      <c r="EW10" s="15" t="str">
        <f t="shared" si="57"/>
        <v/>
      </c>
      <c r="EX10" s="15" t="str">
        <f t="shared" si="58"/>
        <v/>
      </c>
      <c r="EY10" s="15" t="str">
        <f t="shared" si="59"/>
        <v/>
      </c>
      <c r="EZ10" s="15" t="str">
        <f t="shared" si="60"/>
        <v/>
      </c>
      <c r="FA10" s="15" t="str">
        <f t="shared" si="61"/>
        <v/>
      </c>
      <c r="FB10" s="15" t="str">
        <f t="shared" si="62"/>
        <v/>
      </c>
      <c r="FC10" s="39"/>
      <c r="FD10" s="39"/>
      <c r="FE10" s="39"/>
      <c r="FF10" s="39"/>
      <c r="FG10" s="39"/>
      <c r="FH10" s="39"/>
      <c r="FI10" s="39"/>
      <c r="FJ10" s="39"/>
      <c r="FK10" s="39"/>
      <c r="FL10" s="39"/>
      <c r="FM10" s="39"/>
      <c r="FN10" s="39"/>
      <c r="FO10" s="39"/>
      <c r="FP10" s="39"/>
      <c r="FQ10" s="39"/>
      <c r="FR10" s="12" t="str">
        <f t="shared" si="63"/>
        <v/>
      </c>
      <c r="FS10" s="12" t="str">
        <f t="shared" si="64"/>
        <v/>
      </c>
      <c r="FT10" s="12" t="str">
        <f t="shared" si="65"/>
        <v/>
      </c>
      <c r="FU10" s="12" t="str">
        <f t="shared" si="66"/>
        <v/>
      </c>
      <c r="FV10" s="12" t="str">
        <f t="shared" si="67"/>
        <v/>
      </c>
      <c r="FW10" s="12" t="str">
        <f t="shared" si="68"/>
        <v/>
      </c>
      <c r="FX10" s="12" t="str">
        <f t="shared" si="69"/>
        <v/>
      </c>
      <c r="FY10" s="40"/>
      <c r="FZ10" s="40"/>
      <c r="GA10" s="40"/>
      <c r="GB10" s="40"/>
      <c r="GC10" s="40"/>
      <c r="GD10" s="40"/>
      <c r="GE10" s="40"/>
      <c r="GF10" s="40"/>
      <c r="GG10" s="40"/>
      <c r="GH10" s="40"/>
      <c r="GI10" s="40"/>
      <c r="GJ10" s="40"/>
      <c r="GK10" s="40"/>
      <c r="GL10" s="40"/>
      <c r="GM10" s="40"/>
      <c r="GN10" s="15" t="str">
        <f t="shared" si="70"/>
        <v/>
      </c>
      <c r="GO10" s="15" t="str">
        <f t="shared" si="71"/>
        <v/>
      </c>
      <c r="GP10" s="15" t="str">
        <f t="shared" si="72"/>
        <v/>
      </c>
      <c r="GQ10" s="15" t="str">
        <f t="shared" si="73"/>
        <v/>
      </c>
      <c r="GR10" s="15" t="str">
        <f t="shared" si="74"/>
        <v/>
      </c>
      <c r="GS10" s="15" t="str">
        <f t="shared" si="75"/>
        <v/>
      </c>
      <c r="GT10" s="15" t="str">
        <f t="shared" si="76"/>
        <v/>
      </c>
      <c r="GU10" s="39"/>
      <c r="GV10" s="39"/>
      <c r="GW10" s="39"/>
      <c r="GX10" s="39"/>
      <c r="GY10" s="39"/>
      <c r="GZ10" s="39"/>
      <c r="HA10" s="39"/>
      <c r="HB10" s="39"/>
      <c r="HC10" s="39"/>
      <c r="HD10" s="39"/>
      <c r="HE10" s="39"/>
      <c r="HF10" s="39"/>
      <c r="HG10" s="39"/>
      <c r="HH10" s="39"/>
      <c r="HI10" s="39"/>
      <c r="HJ10" s="12" t="str">
        <f t="shared" si="77"/>
        <v/>
      </c>
      <c r="HK10" s="12" t="str">
        <f t="shared" si="78"/>
        <v/>
      </c>
      <c r="HL10" s="12" t="str">
        <f t="shared" si="79"/>
        <v/>
      </c>
      <c r="HM10" s="12" t="str">
        <f t="shared" si="80"/>
        <v/>
      </c>
      <c r="HN10" s="12" t="str">
        <f t="shared" si="81"/>
        <v/>
      </c>
      <c r="HO10" s="12" t="str">
        <f t="shared" si="82"/>
        <v/>
      </c>
      <c r="HP10" s="12" t="str">
        <f t="shared" si="83"/>
        <v/>
      </c>
      <c r="HQ10" s="40"/>
      <c r="HR10" s="40"/>
      <c r="HS10" s="40"/>
      <c r="HT10" s="40"/>
      <c r="HU10" s="40"/>
      <c r="HV10" s="40"/>
      <c r="HW10" s="40"/>
      <c r="HX10" s="40"/>
      <c r="HY10" s="40"/>
      <c r="HZ10" s="40"/>
      <c r="IA10" s="40"/>
      <c r="IB10" s="40"/>
      <c r="IC10" s="40"/>
      <c r="ID10" s="40"/>
      <c r="IE10" s="40"/>
      <c r="IF10" s="15" t="str">
        <f t="shared" si="84"/>
        <v/>
      </c>
      <c r="IG10" s="15" t="str">
        <f t="shared" si="85"/>
        <v/>
      </c>
      <c r="IH10" s="15" t="str">
        <f t="shared" si="86"/>
        <v/>
      </c>
      <c r="II10" s="15" t="str">
        <f t="shared" si="87"/>
        <v/>
      </c>
      <c r="IJ10" s="15" t="str">
        <f t="shared" si="88"/>
        <v/>
      </c>
      <c r="IK10" s="15" t="str">
        <f t="shared" si="89"/>
        <v/>
      </c>
      <c r="IL10" s="15" t="str">
        <f t="shared" si="90"/>
        <v/>
      </c>
      <c r="IM10" s="39"/>
      <c r="IN10" s="39"/>
      <c r="IO10" s="39"/>
      <c r="IP10" s="39"/>
      <c r="IQ10" s="39"/>
      <c r="IR10" s="39"/>
      <c r="IS10" s="39"/>
      <c r="IT10" s="39"/>
      <c r="IU10" s="39"/>
      <c r="IV10" s="39"/>
      <c r="IW10" s="39"/>
      <c r="IX10" s="39"/>
      <c r="IY10" s="39"/>
      <c r="IZ10" s="39"/>
      <c r="JA10" s="39"/>
      <c r="JB10" s="12" t="str">
        <f t="shared" si="91"/>
        <v/>
      </c>
      <c r="JC10" s="12" t="str">
        <f t="shared" si="92"/>
        <v/>
      </c>
      <c r="JD10" s="12" t="str">
        <f t="shared" si="93"/>
        <v/>
      </c>
      <c r="JE10" s="12" t="str">
        <f t="shared" si="94"/>
        <v/>
      </c>
      <c r="JF10" s="12" t="str">
        <f t="shared" si="95"/>
        <v/>
      </c>
      <c r="JG10" s="12" t="str">
        <f t="shared" si="96"/>
        <v/>
      </c>
      <c r="JH10" s="12" t="str">
        <f t="shared" si="97"/>
        <v/>
      </c>
      <c r="JI10" s="40"/>
      <c r="JJ10" s="40"/>
      <c r="JK10" s="40"/>
      <c r="JL10" s="40"/>
      <c r="JM10" s="40"/>
      <c r="JN10" s="40"/>
      <c r="JO10" s="40"/>
      <c r="JP10" s="40"/>
      <c r="JQ10" s="40"/>
      <c r="JR10" s="40"/>
      <c r="JS10" s="40"/>
      <c r="JT10" s="40"/>
      <c r="JU10" s="40"/>
      <c r="JV10" s="40"/>
      <c r="JW10" s="40"/>
      <c r="JX10" s="15" t="str">
        <f t="shared" si="98"/>
        <v/>
      </c>
      <c r="JY10" s="15" t="str">
        <f t="shared" si="99"/>
        <v/>
      </c>
      <c r="JZ10" s="15" t="str">
        <f t="shared" si="100"/>
        <v/>
      </c>
      <c r="KA10" s="15" t="str">
        <f t="shared" si="101"/>
        <v/>
      </c>
      <c r="KB10" s="15" t="str">
        <f t="shared" si="102"/>
        <v/>
      </c>
      <c r="KC10" s="15" t="str">
        <f t="shared" si="103"/>
        <v/>
      </c>
      <c r="KD10" s="15" t="str">
        <f t="shared" si="104"/>
        <v/>
      </c>
      <c r="KE10" s="39"/>
      <c r="KF10" s="39"/>
      <c r="KG10" s="39"/>
      <c r="KH10" s="39"/>
      <c r="KI10" s="39"/>
      <c r="KJ10" s="39"/>
      <c r="KK10" s="39"/>
      <c r="KL10" s="39"/>
      <c r="KM10" s="39"/>
      <c r="KN10" s="39"/>
      <c r="KO10" s="39"/>
      <c r="KP10" s="39"/>
      <c r="KQ10" s="39"/>
      <c r="KR10" s="39"/>
      <c r="KS10" s="39"/>
      <c r="KT10" s="12" t="str">
        <f t="shared" si="105"/>
        <v/>
      </c>
      <c r="KU10" s="12" t="str">
        <f t="shared" si="106"/>
        <v/>
      </c>
      <c r="KV10" s="12" t="str">
        <f t="shared" si="107"/>
        <v/>
      </c>
      <c r="KW10" s="12" t="str">
        <f t="shared" si="108"/>
        <v/>
      </c>
      <c r="KX10" s="12" t="str">
        <f t="shared" si="109"/>
        <v/>
      </c>
      <c r="KY10" s="12" t="str">
        <f t="shared" si="110"/>
        <v/>
      </c>
      <c r="KZ10" s="12" t="str">
        <f t="shared" si="111"/>
        <v/>
      </c>
      <c r="LA10" s="40"/>
      <c r="LB10" s="40"/>
      <c r="LC10" s="40"/>
      <c r="LD10" s="40"/>
      <c r="LE10" s="40"/>
      <c r="LF10" s="40"/>
      <c r="LG10" s="40"/>
      <c r="LH10" s="40"/>
      <c r="LI10" s="40"/>
      <c r="LJ10" s="40"/>
      <c r="LK10" s="40"/>
      <c r="LL10" s="40"/>
      <c r="LM10" s="40"/>
      <c r="LN10" s="40"/>
      <c r="LO10" s="40"/>
      <c r="LP10" s="15" t="str">
        <f t="shared" si="112"/>
        <v/>
      </c>
      <c r="LQ10" s="15" t="str">
        <f t="shared" si="113"/>
        <v/>
      </c>
      <c r="LR10" s="15" t="str">
        <f t="shared" si="114"/>
        <v/>
      </c>
      <c r="LS10" s="15" t="str">
        <f t="shared" si="115"/>
        <v/>
      </c>
      <c r="LT10" s="15" t="str">
        <f t="shared" si="116"/>
        <v/>
      </c>
      <c r="LU10" s="15" t="str">
        <f t="shared" si="117"/>
        <v/>
      </c>
      <c r="LV10" s="15" t="str">
        <f t="shared" si="118"/>
        <v/>
      </c>
      <c r="LW10" s="71">
        <f t="shared" si="119"/>
        <v>16.7</v>
      </c>
      <c r="LX10" s="71">
        <f t="shared" si="120"/>
        <v>9.3249999999999993</v>
      </c>
      <c r="LY10" s="71">
        <f t="shared" si="121"/>
        <v>5.4</v>
      </c>
      <c r="LZ10" s="71">
        <f t="shared" si="122"/>
        <v>16.5275</v>
      </c>
      <c r="MA10" s="71">
        <f t="shared" si="123"/>
        <v>0</v>
      </c>
      <c r="MB10" s="71">
        <f t="shared" si="124"/>
        <v>15</v>
      </c>
      <c r="MC10" s="71">
        <f t="shared" si="125"/>
        <v>9.1000000000000014</v>
      </c>
      <c r="MD10" s="71">
        <f t="shared" si="126"/>
        <v>14.899999999999999</v>
      </c>
      <c r="ME10" s="71">
        <f t="shared" si="127"/>
        <v>15.797499999999999</v>
      </c>
      <c r="MF10" s="71">
        <f t="shared" si="128"/>
        <v>0</v>
      </c>
      <c r="MG10" s="71">
        <f t="shared" si="129"/>
        <v>14.69</v>
      </c>
      <c r="MH10" s="71">
        <f t="shared" si="130"/>
        <v>9.2750000000000004</v>
      </c>
      <c r="MI10" s="71">
        <f t="shared" si="131"/>
        <v>14.8</v>
      </c>
      <c r="MJ10" s="71">
        <f t="shared" si="132"/>
        <v>15.620000000000001</v>
      </c>
      <c r="MK10" s="71">
        <f t="shared" si="133"/>
        <v>0</v>
      </c>
      <c r="ML10" s="82" t="s">
        <v>100</v>
      </c>
      <c r="MM10" s="12">
        <f t="shared" si="134"/>
        <v>14.899999999999999</v>
      </c>
      <c r="MN10" s="12">
        <f t="shared" si="135"/>
        <v>47.952500000000001</v>
      </c>
      <c r="MO10" s="12">
        <f t="shared" si="136"/>
        <v>54.797499999999999</v>
      </c>
      <c r="MP10" s="12">
        <f t="shared" si="137"/>
        <v>102.75</v>
      </c>
      <c r="MQ10" s="12">
        <f t="shared" si="140"/>
        <v>14.8</v>
      </c>
      <c r="MR10" s="12">
        <f t="shared" si="138"/>
        <v>54.385000000000005</v>
      </c>
      <c r="MS10" s="12">
        <f t="shared" si="139"/>
        <v>157.13499999999999</v>
      </c>
    </row>
    <row r="11" spans="1:357" x14ac:dyDescent="0.2">
      <c r="A11" s="6" t="str">
        <f t="shared" si="0"/>
        <v/>
      </c>
      <c r="B11" s="9" t="s">
        <v>13</v>
      </c>
      <c r="C11" s="5" t="s">
        <v>6</v>
      </c>
      <c r="D11" s="29">
        <v>1995</v>
      </c>
      <c r="E11" s="16">
        <f t="shared" si="1"/>
        <v>251.23500000000001</v>
      </c>
      <c r="F11" s="4" t="str">
        <f t="shared" si="2"/>
        <v>P</v>
      </c>
      <c r="G11" s="4" t="str">
        <f t="shared" si="3"/>
        <v>P</v>
      </c>
      <c r="H11" s="4" t="str">
        <f t="shared" si="4"/>
        <v/>
      </c>
      <c r="I11" t="str">
        <f t="shared" si="5"/>
        <v/>
      </c>
      <c r="J11" s="15">
        <f t="shared" si="6"/>
        <v>99.175000000000011</v>
      </c>
      <c r="K11" s="15" t="str">
        <f t="shared" si="7"/>
        <v>2019 Nationals</v>
      </c>
      <c r="L11" s="15">
        <f t="shared" si="8"/>
        <v>47.29</v>
      </c>
      <c r="M11" s="15" t="str">
        <f t="shared" si="9"/>
        <v>2019 Elite Canada</v>
      </c>
      <c r="N11" s="15">
        <f t="shared" si="10"/>
        <v>51.205000000000005</v>
      </c>
      <c r="O11" s="15" t="str">
        <f t="shared" si="11"/>
        <v>2019 Elite Canada</v>
      </c>
      <c r="P11" s="15">
        <f t="shared" si="12"/>
        <v>53.565000000000005</v>
      </c>
      <c r="Q11" s="15" t="str">
        <f t="shared" si="13"/>
        <v>2019 Elite Canada</v>
      </c>
      <c r="R11" s="15" t="str">
        <f t="shared" si="14"/>
        <v/>
      </c>
      <c r="S11" s="27" t="str">
        <f t="shared" si="15"/>
        <v/>
      </c>
      <c r="T11" s="15" t="str">
        <f t="shared" si="16"/>
        <v/>
      </c>
      <c r="U11" s="71">
        <v>15.7</v>
      </c>
      <c r="V11" s="71">
        <v>9.25</v>
      </c>
      <c r="W11" s="71">
        <v>6</v>
      </c>
      <c r="X11" s="71">
        <v>16.34</v>
      </c>
      <c r="Y11" s="71">
        <v>0</v>
      </c>
      <c r="Z11" s="71">
        <v>11.8</v>
      </c>
      <c r="AA11" s="71">
        <v>8.9499999999999993</v>
      </c>
      <c r="AB11" s="71">
        <v>15.7</v>
      </c>
      <c r="AC11" s="71">
        <v>14.755000000000001</v>
      </c>
      <c r="AD11" s="71">
        <v>0</v>
      </c>
      <c r="AE11" s="71">
        <v>13.3</v>
      </c>
      <c r="AF11" s="71">
        <v>9.25</v>
      </c>
      <c r="AG11" s="71">
        <v>15.9</v>
      </c>
      <c r="AH11" s="71">
        <v>15.115</v>
      </c>
      <c r="AI11" s="71">
        <v>0</v>
      </c>
      <c r="AJ11" s="82"/>
      <c r="AK11" s="12">
        <f t="shared" si="17"/>
        <v>15.7</v>
      </c>
      <c r="AL11" s="12">
        <f t="shared" si="18"/>
        <v>47.29</v>
      </c>
      <c r="AM11" s="12">
        <f t="shared" si="19"/>
        <v>51.205000000000005</v>
      </c>
      <c r="AN11" s="12">
        <f t="shared" si="20"/>
        <v>98.495000000000005</v>
      </c>
      <c r="AO11" s="12">
        <f t="shared" si="21"/>
        <v>15.9</v>
      </c>
      <c r="AP11" s="12">
        <f t="shared" si="22"/>
        <v>53.565000000000005</v>
      </c>
      <c r="AQ11" s="12">
        <f t="shared" si="23"/>
        <v>152.06</v>
      </c>
      <c r="AR11" s="77">
        <v>17.600000000000001</v>
      </c>
      <c r="AS11" s="77">
        <v>9.5</v>
      </c>
      <c r="AT11" s="77">
        <v>5.8</v>
      </c>
      <c r="AU11" s="77">
        <v>16.164999999999999</v>
      </c>
      <c r="AV11" s="77">
        <v>0</v>
      </c>
      <c r="AW11" s="77">
        <v>12.8</v>
      </c>
      <c r="AX11" s="77">
        <v>9.3000000000000007</v>
      </c>
      <c r="AY11" s="77">
        <v>13.8</v>
      </c>
      <c r="AZ11" s="77">
        <v>14.21</v>
      </c>
      <c r="BA11" s="77">
        <v>0</v>
      </c>
      <c r="BB11" s="77"/>
      <c r="BC11" s="77"/>
      <c r="BD11" s="77"/>
      <c r="BE11" s="77"/>
      <c r="BF11" s="77"/>
      <c r="BG11" s="83"/>
      <c r="BH11" s="15">
        <f t="shared" si="24"/>
        <v>13.8</v>
      </c>
      <c r="BI11" s="15">
        <f t="shared" si="25"/>
        <v>49.064999999999998</v>
      </c>
      <c r="BJ11" s="15">
        <f t="shared" si="26"/>
        <v>50.110000000000007</v>
      </c>
      <c r="BK11" s="15">
        <f t="shared" si="27"/>
        <v>99.175000000000011</v>
      </c>
      <c r="BL11" s="15" t="str">
        <f t="shared" si="28"/>
        <v/>
      </c>
      <c r="BM11" s="15" t="str">
        <f t="shared" si="29"/>
        <v/>
      </c>
      <c r="BN11" s="15">
        <f t="shared" si="30"/>
        <v>99.175000000000011</v>
      </c>
      <c r="BO11" s="26" t="str">
        <f t="shared" si="31"/>
        <v/>
      </c>
      <c r="BP11" s="26" t="str">
        <f t="shared" si="32"/>
        <v/>
      </c>
      <c r="BQ11" s="26" t="str">
        <f t="shared" si="33"/>
        <v/>
      </c>
      <c r="BR11" s="26" t="str">
        <f t="shared" si="34"/>
        <v/>
      </c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12" t="str">
        <f t="shared" si="35"/>
        <v/>
      </c>
      <c r="CI11" s="12" t="str">
        <f t="shared" si="36"/>
        <v/>
      </c>
      <c r="CJ11" s="12" t="str">
        <f t="shared" si="37"/>
        <v/>
      </c>
      <c r="CK11" s="12" t="str">
        <f t="shared" si="38"/>
        <v/>
      </c>
      <c r="CL11" s="12" t="str">
        <f t="shared" si="39"/>
        <v/>
      </c>
      <c r="CM11" s="12" t="str">
        <f t="shared" si="40"/>
        <v/>
      </c>
      <c r="CN11" s="12" t="str">
        <f t="shared" si="41"/>
        <v/>
      </c>
      <c r="CO11" s="40"/>
      <c r="CP11" s="40"/>
      <c r="CQ11" s="40"/>
      <c r="CR11" s="40"/>
      <c r="CS11" s="40"/>
      <c r="CT11" s="40"/>
      <c r="CU11" s="40"/>
      <c r="CV11" s="40"/>
      <c r="CW11" s="40"/>
      <c r="CX11" s="40"/>
      <c r="CY11" s="40"/>
      <c r="CZ11" s="40"/>
      <c r="DA11" s="40"/>
      <c r="DB11" s="40"/>
      <c r="DC11" s="40"/>
      <c r="DD11" s="15" t="str">
        <f t="shared" si="42"/>
        <v/>
      </c>
      <c r="DE11" s="15" t="str">
        <f t="shared" si="43"/>
        <v/>
      </c>
      <c r="DF11" s="15" t="str">
        <f t="shared" si="44"/>
        <v/>
      </c>
      <c r="DG11" s="15" t="str">
        <f t="shared" si="45"/>
        <v/>
      </c>
      <c r="DH11" s="15" t="str">
        <f t="shared" si="46"/>
        <v/>
      </c>
      <c r="DI11" s="15" t="str">
        <f t="shared" si="47"/>
        <v/>
      </c>
      <c r="DJ11" s="15" t="str">
        <f t="shared" si="48"/>
        <v/>
      </c>
      <c r="DK11" s="39"/>
      <c r="DL11" s="39"/>
      <c r="DM11" s="39"/>
      <c r="DN11" s="39"/>
      <c r="DO11" s="39"/>
      <c r="DP11" s="39"/>
      <c r="DQ11" s="39"/>
      <c r="DR11" s="39"/>
      <c r="DS11" s="39"/>
      <c r="DT11" s="39"/>
      <c r="DU11" s="39"/>
      <c r="DV11" s="39"/>
      <c r="DW11" s="39"/>
      <c r="DX11" s="39"/>
      <c r="DY11" s="39"/>
      <c r="DZ11" s="12" t="str">
        <f t="shared" si="49"/>
        <v/>
      </c>
      <c r="EA11" s="12" t="str">
        <f t="shared" si="50"/>
        <v/>
      </c>
      <c r="EB11" s="12" t="str">
        <f t="shared" si="51"/>
        <v/>
      </c>
      <c r="EC11" s="12" t="str">
        <f t="shared" si="52"/>
        <v/>
      </c>
      <c r="ED11" s="12" t="str">
        <f t="shared" si="53"/>
        <v/>
      </c>
      <c r="EE11" s="12" t="str">
        <f t="shared" si="54"/>
        <v/>
      </c>
      <c r="EF11" s="12" t="str">
        <f t="shared" si="55"/>
        <v/>
      </c>
      <c r="EG11" s="40"/>
      <c r="EH11" s="40"/>
      <c r="EI11" s="40"/>
      <c r="EJ11" s="40"/>
      <c r="EK11" s="40"/>
      <c r="EL11" s="40"/>
      <c r="EM11" s="40"/>
      <c r="EN11" s="40"/>
      <c r="EO11" s="40"/>
      <c r="EP11" s="40"/>
      <c r="EQ11" s="40"/>
      <c r="ER11" s="40"/>
      <c r="ES11" s="40"/>
      <c r="ET11" s="40"/>
      <c r="EU11" s="40"/>
      <c r="EV11" s="15" t="str">
        <f t="shared" si="56"/>
        <v/>
      </c>
      <c r="EW11" s="15" t="str">
        <f t="shared" si="57"/>
        <v/>
      </c>
      <c r="EX11" s="15" t="str">
        <f t="shared" si="58"/>
        <v/>
      </c>
      <c r="EY11" s="15" t="str">
        <f t="shared" si="59"/>
        <v/>
      </c>
      <c r="EZ11" s="15" t="str">
        <f t="shared" si="60"/>
        <v/>
      </c>
      <c r="FA11" s="15" t="str">
        <f t="shared" si="61"/>
        <v/>
      </c>
      <c r="FB11" s="15" t="str">
        <f t="shared" si="62"/>
        <v/>
      </c>
      <c r="FC11" s="39"/>
      <c r="FD11" s="39"/>
      <c r="FE11" s="39"/>
      <c r="FF11" s="39"/>
      <c r="FG11" s="39"/>
      <c r="FH11" s="39"/>
      <c r="FI11" s="39"/>
      <c r="FJ11" s="39"/>
      <c r="FK11" s="39"/>
      <c r="FL11" s="39"/>
      <c r="FM11" s="39"/>
      <c r="FN11" s="39"/>
      <c r="FO11" s="39"/>
      <c r="FP11" s="39"/>
      <c r="FQ11" s="39"/>
      <c r="FR11" s="12" t="str">
        <f t="shared" si="63"/>
        <v/>
      </c>
      <c r="FS11" s="12" t="str">
        <f t="shared" si="64"/>
        <v/>
      </c>
      <c r="FT11" s="12" t="str">
        <f t="shared" si="65"/>
        <v/>
      </c>
      <c r="FU11" s="12" t="str">
        <f t="shared" si="66"/>
        <v/>
      </c>
      <c r="FV11" s="12" t="str">
        <f t="shared" si="67"/>
        <v/>
      </c>
      <c r="FW11" s="12" t="str">
        <f t="shared" si="68"/>
        <v/>
      </c>
      <c r="FX11" s="12" t="str">
        <f t="shared" si="69"/>
        <v/>
      </c>
      <c r="FY11" s="40"/>
      <c r="FZ11" s="40"/>
      <c r="GA11" s="40"/>
      <c r="GB11" s="40"/>
      <c r="GC11" s="40"/>
      <c r="GD11" s="40"/>
      <c r="GE11" s="40"/>
      <c r="GF11" s="40"/>
      <c r="GG11" s="40"/>
      <c r="GH11" s="40"/>
      <c r="GI11" s="40"/>
      <c r="GJ11" s="40"/>
      <c r="GK11" s="40"/>
      <c r="GL11" s="40"/>
      <c r="GM11" s="40"/>
      <c r="GN11" s="15" t="str">
        <f t="shared" si="70"/>
        <v/>
      </c>
      <c r="GO11" s="15" t="str">
        <f t="shared" si="71"/>
        <v/>
      </c>
      <c r="GP11" s="15" t="str">
        <f t="shared" si="72"/>
        <v/>
      </c>
      <c r="GQ11" s="15" t="str">
        <f t="shared" si="73"/>
        <v/>
      </c>
      <c r="GR11" s="15" t="str">
        <f t="shared" si="74"/>
        <v/>
      </c>
      <c r="GS11" s="15" t="str">
        <f t="shared" si="75"/>
        <v/>
      </c>
      <c r="GT11" s="15" t="str">
        <f t="shared" si="76"/>
        <v/>
      </c>
      <c r="GU11" s="39"/>
      <c r="GV11" s="39"/>
      <c r="GW11" s="39"/>
      <c r="GX11" s="39"/>
      <c r="GY11" s="39"/>
      <c r="GZ11" s="39"/>
      <c r="HA11" s="39"/>
      <c r="HB11" s="39"/>
      <c r="HC11" s="39"/>
      <c r="HD11" s="39"/>
      <c r="HE11" s="39"/>
      <c r="HF11" s="39"/>
      <c r="HG11" s="39"/>
      <c r="HH11" s="39"/>
      <c r="HI11" s="39"/>
      <c r="HJ11" s="12" t="str">
        <f t="shared" si="77"/>
        <v/>
      </c>
      <c r="HK11" s="12" t="str">
        <f t="shared" si="78"/>
        <v/>
      </c>
      <c r="HL11" s="12" t="str">
        <f t="shared" si="79"/>
        <v/>
      </c>
      <c r="HM11" s="12" t="str">
        <f t="shared" si="80"/>
        <v/>
      </c>
      <c r="HN11" s="12" t="str">
        <f t="shared" si="81"/>
        <v/>
      </c>
      <c r="HO11" s="12" t="str">
        <f t="shared" si="82"/>
        <v/>
      </c>
      <c r="HP11" s="12" t="str">
        <f t="shared" si="83"/>
        <v/>
      </c>
      <c r="HQ11" s="40"/>
      <c r="HR11" s="40"/>
      <c r="HS11" s="40"/>
      <c r="HT11" s="40"/>
      <c r="HU11" s="40"/>
      <c r="HV11" s="40"/>
      <c r="HW11" s="40"/>
      <c r="HX11" s="40"/>
      <c r="HY11" s="40"/>
      <c r="HZ11" s="40"/>
      <c r="IA11" s="40"/>
      <c r="IB11" s="40"/>
      <c r="IC11" s="40"/>
      <c r="ID11" s="40"/>
      <c r="IE11" s="40"/>
      <c r="IF11" s="15" t="str">
        <f t="shared" si="84"/>
        <v/>
      </c>
      <c r="IG11" s="15" t="str">
        <f t="shared" si="85"/>
        <v/>
      </c>
      <c r="IH11" s="15" t="str">
        <f t="shared" si="86"/>
        <v/>
      </c>
      <c r="II11" s="15" t="str">
        <f t="shared" si="87"/>
        <v/>
      </c>
      <c r="IJ11" s="15" t="str">
        <f t="shared" si="88"/>
        <v/>
      </c>
      <c r="IK11" s="15" t="str">
        <f t="shared" si="89"/>
        <v/>
      </c>
      <c r="IL11" s="15" t="str">
        <f t="shared" si="90"/>
        <v/>
      </c>
      <c r="IM11" s="39"/>
      <c r="IN11" s="39"/>
      <c r="IO11" s="39"/>
      <c r="IP11" s="39"/>
      <c r="IQ11" s="39"/>
      <c r="IR11" s="39"/>
      <c r="IS11" s="39"/>
      <c r="IT11" s="39"/>
      <c r="IU11" s="39"/>
      <c r="IV11" s="39"/>
      <c r="IW11" s="39"/>
      <c r="IX11" s="39"/>
      <c r="IY11" s="39"/>
      <c r="IZ11" s="39"/>
      <c r="JA11" s="39"/>
      <c r="JB11" s="12" t="str">
        <f t="shared" si="91"/>
        <v/>
      </c>
      <c r="JC11" s="12" t="str">
        <f t="shared" si="92"/>
        <v/>
      </c>
      <c r="JD11" s="12" t="str">
        <f t="shared" si="93"/>
        <v/>
      </c>
      <c r="JE11" s="12" t="str">
        <f t="shared" si="94"/>
        <v/>
      </c>
      <c r="JF11" s="12" t="str">
        <f t="shared" si="95"/>
        <v/>
      </c>
      <c r="JG11" s="12" t="str">
        <f t="shared" si="96"/>
        <v/>
      </c>
      <c r="JH11" s="12" t="str">
        <f t="shared" si="97"/>
        <v/>
      </c>
      <c r="JI11" s="40"/>
      <c r="JJ11" s="40"/>
      <c r="JK11" s="40"/>
      <c r="JL11" s="40"/>
      <c r="JM11" s="40"/>
      <c r="JN11" s="40"/>
      <c r="JO11" s="40"/>
      <c r="JP11" s="40"/>
      <c r="JQ11" s="40"/>
      <c r="JR11" s="40"/>
      <c r="JS11" s="40"/>
      <c r="JT11" s="40"/>
      <c r="JU11" s="40"/>
      <c r="JV11" s="40"/>
      <c r="JW11" s="40"/>
      <c r="JX11" s="15" t="str">
        <f t="shared" si="98"/>
        <v/>
      </c>
      <c r="JY11" s="15" t="str">
        <f t="shared" si="99"/>
        <v/>
      </c>
      <c r="JZ11" s="15" t="str">
        <f t="shared" si="100"/>
        <v/>
      </c>
      <c r="KA11" s="15" t="str">
        <f t="shared" si="101"/>
        <v/>
      </c>
      <c r="KB11" s="15" t="str">
        <f t="shared" si="102"/>
        <v/>
      </c>
      <c r="KC11" s="15" t="str">
        <f t="shared" si="103"/>
        <v/>
      </c>
      <c r="KD11" s="15" t="str">
        <f t="shared" si="104"/>
        <v/>
      </c>
      <c r="KE11" s="39"/>
      <c r="KF11" s="39"/>
      <c r="KG11" s="39"/>
      <c r="KH11" s="39"/>
      <c r="KI11" s="39"/>
      <c r="KJ11" s="39"/>
      <c r="KK11" s="39"/>
      <c r="KL11" s="39"/>
      <c r="KM11" s="39"/>
      <c r="KN11" s="39"/>
      <c r="KO11" s="39"/>
      <c r="KP11" s="39"/>
      <c r="KQ11" s="39"/>
      <c r="KR11" s="39"/>
      <c r="KS11" s="39"/>
      <c r="KT11" s="12" t="str">
        <f t="shared" si="105"/>
        <v/>
      </c>
      <c r="KU11" s="12" t="str">
        <f t="shared" si="106"/>
        <v/>
      </c>
      <c r="KV11" s="12" t="str">
        <f t="shared" si="107"/>
        <v/>
      </c>
      <c r="KW11" s="12" t="str">
        <f t="shared" si="108"/>
        <v/>
      </c>
      <c r="KX11" s="12" t="str">
        <f t="shared" si="109"/>
        <v/>
      </c>
      <c r="KY11" s="12" t="str">
        <f t="shared" si="110"/>
        <v/>
      </c>
      <c r="KZ11" s="12" t="str">
        <f t="shared" si="111"/>
        <v/>
      </c>
      <c r="LA11" s="40"/>
      <c r="LB11" s="40"/>
      <c r="LC11" s="40"/>
      <c r="LD11" s="40"/>
      <c r="LE11" s="40"/>
      <c r="LF11" s="40"/>
      <c r="LG11" s="40"/>
      <c r="LH11" s="40"/>
      <c r="LI11" s="40"/>
      <c r="LJ11" s="40"/>
      <c r="LK11" s="40"/>
      <c r="LL11" s="40"/>
      <c r="LM11" s="40"/>
      <c r="LN11" s="40"/>
      <c r="LO11" s="40"/>
      <c r="LP11" s="15" t="str">
        <f t="shared" si="112"/>
        <v/>
      </c>
      <c r="LQ11" s="15" t="str">
        <f t="shared" si="113"/>
        <v/>
      </c>
      <c r="LR11" s="15" t="str">
        <f t="shared" si="114"/>
        <v/>
      </c>
      <c r="LS11" s="15" t="str">
        <f t="shared" si="115"/>
        <v/>
      </c>
      <c r="LT11" s="15" t="str">
        <f t="shared" si="116"/>
        <v/>
      </c>
      <c r="LU11" s="15" t="str">
        <f t="shared" si="117"/>
        <v/>
      </c>
      <c r="LV11" s="15" t="str">
        <f t="shared" si="118"/>
        <v/>
      </c>
      <c r="LW11" s="71">
        <f t="shared" si="119"/>
        <v>16.649999999999999</v>
      </c>
      <c r="LX11" s="71">
        <f t="shared" si="120"/>
        <v>9.375</v>
      </c>
      <c r="LY11" s="71">
        <f t="shared" si="121"/>
        <v>5.9</v>
      </c>
      <c r="LZ11" s="71">
        <f t="shared" si="122"/>
        <v>16.252499999999998</v>
      </c>
      <c r="MA11" s="71">
        <f t="shared" si="123"/>
        <v>0</v>
      </c>
      <c r="MB11" s="71">
        <f t="shared" si="124"/>
        <v>12.3</v>
      </c>
      <c r="MC11" s="71">
        <f t="shared" si="125"/>
        <v>9.125</v>
      </c>
      <c r="MD11" s="71">
        <f t="shared" si="126"/>
        <v>14.75</v>
      </c>
      <c r="ME11" s="71">
        <f t="shared" si="127"/>
        <v>14.482500000000002</v>
      </c>
      <c r="MF11" s="71">
        <f t="shared" si="128"/>
        <v>0</v>
      </c>
      <c r="MG11" s="71">
        <f t="shared" si="129"/>
        <v>6.65</v>
      </c>
      <c r="MH11" s="71">
        <f t="shared" si="130"/>
        <v>4.625</v>
      </c>
      <c r="MI11" s="71">
        <f t="shared" si="131"/>
        <v>7.95</v>
      </c>
      <c r="MJ11" s="71">
        <f t="shared" si="132"/>
        <v>7.5575000000000001</v>
      </c>
      <c r="MK11" s="71">
        <f t="shared" si="133"/>
        <v>0</v>
      </c>
      <c r="ML11" s="82" t="s">
        <v>100</v>
      </c>
      <c r="MM11" s="12">
        <f t="shared" si="134"/>
        <v>14.75</v>
      </c>
      <c r="MN11" s="12">
        <f t="shared" si="135"/>
        <v>48.177499999999995</v>
      </c>
      <c r="MO11" s="12">
        <f t="shared" si="136"/>
        <v>50.657499999999999</v>
      </c>
      <c r="MP11" s="12">
        <f t="shared" si="137"/>
        <v>98.834999999999994</v>
      </c>
      <c r="MQ11" s="12">
        <f t="shared" si="140"/>
        <v>7.95</v>
      </c>
      <c r="MR11" s="12">
        <f t="shared" si="138"/>
        <v>26.782500000000002</v>
      </c>
      <c r="MS11" s="12">
        <f t="shared" si="139"/>
        <v>125.61749999999999</v>
      </c>
    </row>
    <row r="12" spans="1:357" x14ac:dyDescent="0.2">
      <c r="A12" s="6" t="str">
        <f t="shared" si="0"/>
        <v/>
      </c>
      <c r="B12" s="7" t="s">
        <v>168</v>
      </c>
      <c r="C12" s="8" t="s">
        <v>10</v>
      </c>
      <c r="D12" s="6">
        <v>2000</v>
      </c>
      <c r="E12" s="16">
        <f t="shared" si="1"/>
        <v>246.62</v>
      </c>
      <c r="F12" s="4" t="str">
        <f t="shared" si="2"/>
        <v>P</v>
      </c>
      <c r="G12" s="4" t="str">
        <f t="shared" si="3"/>
        <v/>
      </c>
      <c r="H12" s="4" t="str">
        <f t="shared" si="4"/>
        <v/>
      </c>
      <c r="I12" t="str">
        <f t="shared" si="5"/>
        <v/>
      </c>
      <c r="J12" s="15">
        <f t="shared" si="6"/>
        <v>100.17999999999999</v>
      </c>
      <c r="K12" s="15" t="str">
        <f t="shared" si="7"/>
        <v>2019 Nationals</v>
      </c>
      <c r="L12" s="15">
        <f t="shared" si="8"/>
        <v>46.46</v>
      </c>
      <c r="M12" s="15" t="str">
        <f t="shared" si="9"/>
        <v>2019 Elite Canada</v>
      </c>
      <c r="N12" s="15">
        <f t="shared" si="10"/>
        <v>47.05</v>
      </c>
      <c r="O12" s="15" t="str">
        <f t="shared" si="11"/>
        <v>2019 Elite Canada</v>
      </c>
      <c r="P12" s="15">
        <f t="shared" si="12"/>
        <v>52.930000000000007</v>
      </c>
      <c r="Q12" s="15" t="str">
        <f t="shared" si="13"/>
        <v>2019 Nationals</v>
      </c>
      <c r="R12" s="15" t="str">
        <f t="shared" si="14"/>
        <v/>
      </c>
      <c r="S12" s="27" t="str">
        <f t="shared" si="15"/>
        <v/>
      </c>
      <c r="T12" s="15" t="str">
        <f t="shared" si="16"/>
        <v/>
      </c>
      <c r="U12" s="71">
        <v>16.600000000000001</v>
      </c>
      <c r="V12" s="71">
        <v>8.8000000000000007</v>
      </c>
      <c r="W12" s="71">
        <v>3.2</v>
      </c>
      <c r="X12" s="71">
        <v>17.86</v>
      </c>
      <c r="Y12" s="71">
        <v>0</v>
      </c>
      <c r="Z12" s="71">
        <v>14.5</v>
      </c>
      <c r="AA12" s="71">
        <v>8.6</v>
      </c>
      <c r="AB12" s="71">
        <v>10.4</v>
      </c>
      <c r="AC12" s="71">
        <v>16.649999999999999</v>
      </c>
      <c r="AD12" s="71">
        <v>3.1</v>
      </c>
      <c r="AE12" s="71">
        <v>9.3000000000000007</v>
      </c>
      <c r="AF12" s="71">
        <v>5.5</v>
      </c>
      <c r="AG12" s="71">
        <v>8.5</v>
      </c>
      <c r="AH12" s="71">
        <v>10.27</v>
      </c>
      <c r="AI12" s="71">
        <v>0</v>
      </c>
      <c r="AJ12" s="82"/>
      <c r="AK12" s="12">
        <f t="shared" si="17"/>
        <v>10.4</v>
      </c>
      <c r="AL12" s="12">
        <f t="shared" si="18"/>
        <v>46.46</v>
      </c>
      <c r="AM12" s="12">
        <f t="shared" si="19"/>
        <v>47.05</v>
      </c>
      <c r="AN12" s="12">
        <f t="shared" si="20"/>
        <v>93.509999999999991</v>
      </c>
      <c r="AO12" s="12">
        <f t="shared" si="21"/>
        <v>8.5</v>
      </c>
      <c r="AP12" s="12">
        <f t="shared" si="22"/>
        <v>33.57</v>
      </c>
      <c r="AQ12" s="12">
        <f t="shared" si="23"/>
        <v>127.07999999999998</v>
      </c>
      <c r="AR12" s="77">
        <v>17.600000000000001</v>
      </c>
      <c r="AS12" s="77">
        <v>9.1</v>
      </c>
      <c r="AT12" s="77">
        <v>5.4</v>
      </c>
      <c r="AU12" s="77">
        <v>17.309999999999999</v>
      </c>
      <c r="AV12" s="77">
        <v>0</v>
      </c>
      <c r="AW12" s="77">
        <v>16</v>
      </c>
      <c r="AX12" s="77">
        <v>9.1</v>
      </c>
      <c r="AY12" s="77">
        <v>11.7</v>
      </c>
      <c r="AZ12" s="77">
        <v>15.77</v>
      </c>
      <c r="BA12" s="77">
        <v>1.8</v>
      </c>
      <c r="BB12" s="77">
        <v>13.58</v>
      </c>
      <c r="BC12" s="77">
        <v>9.4</v>
      </c>
      <c r="BD12" s="77">
        <v>14.4</v>
      </c>
      <c r="BE12" s="77">
        <v>15.55</v>
      </c>
      <c r="BF12" s="77">
        <v>0</v>
      </c>
      <c r="BG12" s="83"/>
      <c r="BH12" s="15">
        <f t="shared" si="24"/>
        <v>11.7</v>
      </c>
      <c r="BI12" s="15">
        <f t="shared" si="25"/>
        <v>49.41</v>
      </c>
      <c r="BJ12" s="15">
        <f t="shared" si="26"/>
        <v>50.769999999999996</v>
      </c>
      <c r="BK12" s="15">
        <f t="shared" si="27"/>
        <v>100.17999999999999</v>
      </c>
      <c r="BL12" s="15">
        <f t="shared" si="28"/>
        <v>14.4</v>
      </c>
      <c r="BM12" s="15">
        <f t="shared" si="29"/>
        <v>52.930000000000007</v>
      </c>
      <c r="BN12" s="15">
        <f t="shared" si="30"/>
        <v>153.11000000000001</v>
      </c>
      <c r="BO12" s="26" t="str">
        <f t="shared" si="31"/>
        <v/>
      </c>
      <c r="BP12" s="26" t="str">
        <f t="shared" si="32"/>
        <v/>
      </c>
      <c r="BQ12" s="26" t="str">
        <f t="shared" si="33"/>
        <v/>
      </c>
      <c r="BR12" s="26" t="str">
        <f t="shared" si="34"/>
        <v/>
      </c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12" t="str">
        <f t="shared" si="35"/>
        <v/>
      </c>
      <c r="CI12" s="12" t="str">
        <f t="shared" si="36"/>
        <v/>
      </c>
      <c r="CJ12" s="12" t="str">
        <f t="shared" si="37"/>
        <v/>
      </c>
      <c r="CK12" s="12" t="str">
        <f t="shared" si="38"/>
        <v/>
      </c>
      <c r="CL12" s="12" t="str">
        <f t="shared" si="39"/>
        <v/>
      </c>
      <c r="CM12" s="12" t="str">
        <f t="shared" si="40"/>
        <v/>
      </c>
      <c r="CN12" s="12" t="str">
        <f t="shared" si="41"/>
        <v/>
      </c>
      <c r="CO12" s="40"/>
      <c r="CP12" s="40"/>
      <c r="CQ12" s="40"/>
      <c r="CR12" s="40"/>
      <c r="CS12" s="40"/>
      <c r="CT12" s="40"/>
      <c r="CU12" s="40"/>
      <c r="CV12" s="40"/>
      <c r="CW12" s="40"/>
      <c r="CX12" s="40"/>
      <c r="CY12" s="40"/>
      <c r="CZ12" s="40"/>
      <c r="DA12" s="40"/>
      <c r="DB12" s="40"/>
      <c r="DC12" s="40"/>
      <c r="DD12" s="15" t="str">
        <f t="shared" si="42"/>
        <v/>
      </c>
      <c r="DE12" s="15" t="str">
        <f t="shared" si="43"/>
        <v/>
      </c>
      <c r="DF12" s="15" t="str">
        <f t="shared" si="44"/>
        <v/>
      </c>
      <c r="DG12" s="15" t="str">
        <f t="shared" si="45"/>
        <v/>
      </c>
      <c r="DH12" s="15" t="str">
        <f t="shared" si="46"/>
        <v/>
      </c>
      <c r="DI12" s="15" t="str">
        <f t="shared" si="47"/>
        <v/>
      </c>
      <c r="DJ12" s="15" t="str">
        <f t="shared" si="48"/>
        <v/>
      </c>
      <c r="DK12" s="39"/>
      <c r="DL12" s="39"/>
      <c r="DM12" s="39"/>
      <c r="DN12" s="39"/>
      <c r="DO12" s="39"/>
      <c r="DP12" s="39"/>
      <c r="DQ12" s="39"/>
      <c r="DR12" s="39"/>
      <c r="DS12" s="39"/>
      <c r="DT12" s="39"/>
      <c r="DU12" s="39"/>
      <c r="DV12" s="39"/>
      <c r="DW12" s="39"/>
      <c r="DX12" s="39"/>
      <c r="DY12" s="39"/>
      <c r="DZ12" s="12" t="str">
        <f t="shared" si="49"/>
        <v/>
      </c>
      <c r="EA12" s="12" t="str">
        <f t="shared" si="50"/>
        <v/>
      </c>
      <c r="EB12" s="12" t="str">
        <f t="shared" si="51"/>
        <v/>
      </c>
      <c r="EC12" s="12" t="str">
        <f t="shared" si="52"/>
        <v/>
      </c>
      <c r="ED12" s="12" t="str">
        <f t="shared" si="53"/>
        <v/>
      </c>
      <c r="EE12" s="12" t="str">
        <f t="shared" si="54"/>
        <v/>
      </c>
      <c r="EF12" s="12" t="str">
        <f t="shared" si="55"/>
        <v/>
      </c>
      <c r="EG12" s="40"/>
      <c r="EH12" s="40"/>
      <c r="EI12" s="40"/>
      <c r="EJ12" s="40"/>
      <c r="EK12" s="40"/>
      <c r="EL12" s="40"/>
      <c r="EM12" s="40"/>
      <c r="EN12" s="40"/>
      <c r="EO12" s="40"/>
      <c r="EP12" s="40"/>
      <c r="EQ12" s="40"/>
      <c r="ER12" s="40"/>
      <c r="ES12" s="40"/>
      <c r="ET12" s="40"/>
      <c r="EU12" s="40"/>
      <c r="EV12" s="15" t="str">
        <f t="shared" si="56"/>
        <v/>
      </c>
      <c r="EW12" s="15" t="str">
        <f t="shared" si="57"/>
        <v/>
      </c>
      <c r="EX12" s="15" t="str">
        <f t="shared" si="58"/>
        <v/>
      </c>
      <c r="EY12" s="15" t="str">
        <f t="shared" si="59"/>
        <v/>
      </c>
      <c r="EZ12" s="15" t="str">
        <f t="shared" si="60"/>
        <v/>
      </c>
      <c r="FA12" s="15" t="str">
        <f t="shared" si="61"/>
        <v/>
      </c>
      <c r="FB12" s="15" t="str">
        <f t="shared" si="62"/>
        <v/>
      </c>
      <c r="FC12" s="39"/>
      <c r="FD12" s="39"/>
      <c r="FE12" s="39"/>
      <c r="FF12" s="39"/>
      <c r="FG12" s="39"/>
      <c r="FH12" s="39"/>
      <c r="FI12" s="39"/>
      <c r="FJ12" s="39"/>
      <c r="FK12" s="39"/>
      <c r="FL12" s="39"/>
      <c r="FM12" s="39"/>
      <c r="FN12" s="39"/>
      <c r="FO12" s="39"/>
      <c r="FP12" s="39"/>
      <c r="FQ12" s="39"/>
      <c r="FR12" s="12" t="str">
        <f t="shared" si="63"/>
        <v/>
      </c>
      <c r="FS12" s="12" t="str">
        <f t="shared" si="64"/>
        <v/>
      </c>
      <c r="FT12" s="12" t="str">
        <f t="shared" si="65"/>
        <v/>
      </c>
      <c r="FU12" s="12" t="str">
        <f t="shared" si="66"/>
        <v/>
      </c>
      <c r="FV12" s="12" t="str">
        <f t="shared" si="67"/>
        <v/>
      </c>
      <c r="FW12" s="12" t="str">
        <f t="shared" si="68"/>
        <v/>
      </c>
      <c r="FX12" s="12" t="str">
        <f t="shared" si="69"/>
        <v/>
      </c>
      <c r="FY12" s="40"/>
      <c r="FZ12" s="40"/>
      <c r="GA12" s="40"/>
      <c r="GB12" s="40"/>
      <c r="GC12" s="40"/>
      <c r="GD12" s="40"/>
      <c r="GE12" s="40"/>
      <c r="GF12" s="40"/>
      <c r="GG12" s="40"/>
      <c r="GH12" s="40"/>
      <c r="GI12" s="40"/>
      <c r="GJ12" s="40"/>
      <c r="GK12" s="40"/>
      <c r="GL12" s="40"/>
      <c r="GM12" s="40"/>
      <c r="GN12" s="15" t="str">
        <f t="shared" si="70"/>
        <v/>
      </c>
      <c r="GO12" s="15" t="str">
        <f t="shared" si="71"/>
        <v/>
      </c>
      <c r="GP12" s="15" t="str">
        <f t="shared" si="72"/>
        <v/>
      </c>
      <c r="GQ12" s="15" t="str">
        <f t="shared" si="73"/>
        <v/>
      </c>
      <c r="GR12" s="15" t="str">
        <f t="shared" si="74"/>
        <v/>
      </c>
      <c r="GS12" s="15" t="str">
        <f t="shared" si="75"/>
        <v/>
      </c>
      <c r="GT12" s="15" t="str">
        <f t="shared" si="76"/>
        <v/>
      </c>
      <c r="GU12" s="39"/>
      <c r="GV12" s="39"/>
      <c r="GW12" s="39"/>
      <c r="GX12" s="39"/>
      <c r="GY12" s="39"/>
      <c r="GZ12" s="39"/>
      <c r="HA12" s="39"/>
      <c r="HB12" s="39"/>
      <c r="HC12" s="39"/>
      <c r="HD12" s="39"/>
      <c r="HE12" s="39"/>
      <c r="HF12" s="39"/>
      <c r="HG12" s="39"/>
      <c r="HH12" s="39"/>
      <c r="HI12" s="39"/>
      <c r="HJ12" s="12" t="str">
        <f t="shared" si="77"/>
        <v/>
      </c>
      <c r="HK12" s="12" t="str">
        <f t="shared" si="78"/>
        <v/>
      </c>
      <c r="HL12" s="12" t="str">
        <f t="shared" si="79"/>
        <v/>
      </c>
      <c r="HM12" s="12" t="str">
        <f t="shared" si="80"/>
        <v/>
      </c>
      <c r="HN12" s="12" t="str">
        <f t="shared" si="81"/>
        <v/>
      </c>
      <c r="HO12" s="12" t="str">
        <f t="shared" si="82"/>
        <v/>
      </c>
      <c r="HP12" s="12" t="str">
        <f t="shared" si="83"/>
        <v/>
      </c>
      <c r="HQ12" s="40"/>
      <c r="HR12" s="40"/>
      <c r="HS12" s="40"/>
      <c r="HT12" s="40"/>
      <c r="HU12" s="40"/>
      <c r="HV12" s="40"/>
      <c r="HW12" s="40"/>
      <c r="HX12" s="40"/>
      <c r="HY12" s="40"/>
      <c r="HZ12" s="40"/>
      <c r="IA12" s="40"/>
      <c r="IB12" s="40"/>
      <c r="IC12" s="40"/>
      <c r="ID12" s="40"/>
      <c r="IE12" s="40"/>
      <c r="IF12" s="15" t="str">
        <f t="shared" si="84"/>
        <v/>
      </c>
      <c r="IG12" s="15" t="str">
        <f t="shared" si="85"/>
        <v/>
      </c>
      <c r="IH12" s="15" t="str">
        <f t="shared" si="86"/>
        <v/>
      </c>
      <c r="II12" s="15" t="str">
        <f t="shared" si="87"/>
        <v/>
      </c>
      <c r="IJ12" s="15" t="str">
        <f t="shared" si="88"/>
        <v/>
      </c>
      <c r="IK12" s="15" t="str">
        <f t="shared" si="89"/>
        <v/>
      </c>
      <c r="IL12" s="15" t="str">
        <f t="shared" si="90"/>
        <v/>
      </c>
      <c r="IM12" s="39"/>
      <c r="IN12" s="39"/>
      <c r="IO12" s="39"/>
      <c r="IP12" s="39"/>
      <c r="IQ12" s="39"/>
      <c r="IR12" s="39"/>
      <c r="IS12" s="39"/>
      <c r="IT12" s="39"/>
      <c r="IU12" s="39"/>
      <c r="IV12" s="39"/>
      <c r="IW12" s="39"/>
      <c r="IX12" s="39"/>
      <c r="IY12" s="39"/>
      <c r="IZ12" s="39"/>
      <c r="JA12" s="39"/>
      <c r="JB12" s="12" t="str">
        <f t="shared" si="91"/>
        <v/>
      </c>
      <c r="JC12" s="12" t="str">
        <f t="shared" si="92"/>
        <v/>
      </c>
      <c r="JD12" s="12" t="str">
        <f t="shared" si="93"/>
        <v/>
      </c>
      <c r="JE12" s="12" t="str">
        <f t="shared" si="94"/>
        <v/>
      </c>
      <c r="JF12" s="12" t="str">
        <f t="shared" si="95"/>
        <v/>
      </c>
      <c r="JG12" s="12" t="str">
        <f t="shared" si="96"/>
        <v/>
      </c>
      <c r="JH12" s="12" t="str">
        <f t="shared" si="97"/>
        <v/>
      </c>
      <c r="JI12" s="40"/>
      <c r="JJ12" s="40"/>
      <c r="JK12" s="40"/>
      <c r="JL12" s="40"/>
      <c r="JM12" s="40"/>
      <c r="JN12" s="40"/>
      <c r="JO12" s="40"/>
      <c r="JP12" s="40"/>
      <c r="JQ12" s="40"/>
      <c r="JR12" s="40"/>
      <c r="JS12" s="40"/>
      <c r="JT12" s="40"/>
      <c r="JU12" s="40"/>
      <c r="JV12" s="40"/>
      <c r="JW12" s="40"/>
      <c r="JX12" s="15" t="str">
        <f t="shared" si="98"/>
        <v/>
      </c>
      <c r="JY12" s="15" t="str">
        <f t="shared" si="99"/>
        <v/>
      </c>
      <c r="JZ12" s="15" t="str">
        <f t="shared" si="100"/>
        <v/>
      </c>
      <c r="KA12" s="15" t="str">
        <f t="shared" si="101"/>
        <v/>
      </c>
      <c r="KB12" s="15" t="str">
        <f t="shared" si="102"/>
        <v/>
      </c>
      <c r="KC12" s="15" t="str">
        <f t="shared" si="103"/>
        <v/>
      </c>
      <c r="KD12" s="15" t="str">
        <f t="shared" si="104"/>
        <v/>
      </c>
      <c r="KE12" s="39"/>
      <c r="KF12" s="39"/>
      <c r="KG12" s="39"/>
      <c r="KH12" s="39"/>
      <c r="KI12" s="39"/>
      <c r="KJ12" s="39"/>
      <c r="KK12" s="39"/>
      <c r="KL12" s="39"/>
      <c r="KM12" s="39"/>
      <c r="KN12" s="39"/>
      <c r="KO12" s="39"/>
      <c r="KP12" s="39"/>
      <c r="KQ12" s="39"/>
      <c r="KR12" s="39"/>
      <c r="KS12" s="39"/>
      <c r="KT12" s="12" t="str">
        <f t="shared" si="105"/>
        <v/>
      </c>
      <c r="KU12" s="12" t="str">
        <f t="shared" si="106"/>
        <v/>
      </c>
      <c r="KV12" s="12" t="str">
        <f t="shared" si="107"/>
        <v/>
      </c>
      <c r="KW12" s="12" t="str">
        <f t="shared" si="108"/>
        <v/>
      </c>
      <c r="KX12" s="12" t="str">
        <f t="shared" si="109"/>
        <v/>
      </c>
      <c r="KY12" s="12" t="str">
        <f t="shared" si="110"/>
        <v/>
      </c>
      <c r="KZ12" s="12" t="str">
        <f t="shared" si="111"/>
        <v/>
      </c>
      <c r="LA12" s="40"/>
      <c r="LB12" s="40"/>
      <c r="LC12" s="40"/>
      <c r="LD12" s="40"/>
      <c r="LE12" s="40"/>
      <c r="LF12" s="40"/>
      <c r="LG12" s="40"/>
      <c r="LH12" s="40"/>
      <c r="LI12" s="40"/>
      <c r="LJ12" s="40"/>
      <c r="LK12" s="40"/>
      <c r="LL12" s="40"/>
      <c r="LM12" s="40"/>
      <c r="LN12" s="40"/>
      <c r="LO12" s="40"/>
      <c r="LP12" s="15" t="str">
        <f t="shared" si="112"/>
        <v/>
      </c>
      <c r="LQ12" s="15" t="str">
        <f t="shared" si="113"/>
        <v/>
      </c>
      <c r="LR12" s="15" t="str">
        <f t="shared" si="114"/>
        <v/>
      </c>
      <c r="LS12" s="15" t="str">
        <f t="shared" si="115"/>
        <v/>
      </c>
      <c r="LT12" s="15" t="str">
        <f t="shared" si="116"/>
        <v/>
      </c>
      <c r="LU12" s="15" t="str">
        <f t="shared" si="117"/>
        <v/>
      </c>
      <c r="LV12" s="15" t="str">
        <f t="shared" si="118"/>
        <v/>
      </c>
      <c r="LW12" s="71">
        <f t="shared" si="119"/>
        <v>17.100000000000001</v>
      </c>
      <c r="LX12" s="71">
        <f t="shared" si="120"/>
        <v>8.9499999999999993</v>
      </c>
      <c r="LY12" s="71">
        <f t="shared" si="121"/>
        <v>4.3000000000000007</v>
      </c>
      <c r="LZ12" s="71">
        <f t="shared" si="122"/>
        <v>17.585000000000001</v>
      </c>
      <c r="MA12" s="71">
        <f t="shared" si="123"/>
        <v>0</v>
      </c>
      <c r="MB12" s="71">
        <f t="shared" si="124"/>
        <v>15.25</v>
      </c>
      <c r="MC12" s="71">
        <f t="shared" si="125"/>
        <v>8.85</v>
      </c>
      <c r="MD12" s="71">
        <f t="shared" si="126"/>
        <v>11.05</v>
      </c>
      <c r="ME12" s="71">
        <f t="shared" si="127"/>
        <v>16.21</v>
      </c>
      <c r="MF12" s="71">
        <f t="shared" si="128"/>
        <v>2.4500000000000002</v>
      </c>
      <c r="MG12" s="71">
        <f t="shared" si="129"/>
        <v>11.440000000000001</v>
      </c>
      <c r="MH12" s="71">
        <f t="shared" si="130"/>
        <v>7.45</v>
      </c>
      <c r="MI12" s="71">
        <f t="shared" si="131"/>
        <v>11.45</v>
      </c>
      <c r="MJ12" s="71">
        <f t="shared" si="132"/>
        <v>12.91</v>
      </c>
      <c r="MK12" s="71">
        <f t="shared" si="133"/>
        <v>0</v>
      </c>
      <c r="ML12" s="82" t="s">
        <v>100</v>
      </c>
      <c r="MM12" s="12">
        <f t="shared" si="134"/>
        <v>11.05</v>
      </c>
      <c r="MN12" s="12">
        <f t="shared" si="135"/>
        <v>47.935000000000002</v>
      </c>
      <c r="MO12" s="12">
        <f t="shared" si="136"/>
        <v>48.910000000000004</v>
      </c>
      <c r="MP12" s="12">
        <f t="shared" si="137"/>
        <v>96.844999999999999</v>
      </c>
      <c r="MQ12" s="12">
        <f t="shared" si="140"/>
        <v>11.45</v>
      </c>
      <c r="MR12" s="12">
        <f t="shared" si="138"/>
        <v>43.25</v>
      </c>
      <c r="MS12" s="12">
        <f t="shared" si="139"/>
        <v>140.095</v>
      </c>
    </row>
    <row r="13" spans="1:357" x14ac:dyDescent="0.2">
      <c r="A13" s="6" t="str">
        <f t="shared" si="0"/>
        <v/>
      </c>
      <c r="B13" s="9" t="s">
        <v>43</v>
      </c>
      <c r="C13" s="5" t="s">
        <v>6</v>
      </c>
      <c r="D13" s="8">
        <v>1995</v>
      </c>
      <c r="E13" s="16">
        <f t="shared" si="1"/>
        <v>236.935</v>
      </c>
      <c r="F13" s="4" t="str">
        <f t="shared" si="2"/>
        <v>P</v>
      </c>
      <c r="G13" s="4" t="str">
        <f t="shared" si="3"/>
        <v>P</v>
      </c>
      <c r="H13" s="4" t="str">
        <f t="shared" si="4"/>
        <v/>
      </c>
      <c r="I13" t="str">
        <f t="shared" si="5"/>
        <v/>
      </c>
      <c r="J13" s="15">
        <f t="shared" si="6"/>
        <v>100.57</v>
      </c>
      <c r="K13" s="15" t="str">
        <f t="shared" si="7"/>
        <v>2019 Nationals</v>
      </c>
      <c r="L13" s="15">
        <f t="shared" si="8"/>
        <v>48.9</v>
      </c>
      <c r="M13" s="15" t="str">
        <f t="shared" si="9"/>
        <v>2019 Elite Canada</v>
      </c>
      <c r="N13" s="15">
        <f t="shared" si="10"/>
        <v>32.655000000000001</v>
      </c>
      <c r="O13" s="15" t="str">
        <f t="shared" si="11"/>
        <v>2019 Elite Canada</v>
      </c>
      <c r="P13" s="15">
        <f t="shared" si="12"/>
        <v>54.81</v>
      </c>
      <c r="Q13" s="15" t="str">
        <f t="shared" si="13"/>
        <v>2019 Nationals</v>
      </c>
      <c r="R13" s="15" t="str">
        <f t="shared" si="14"/>
        <v/>
      </c>
      <c r="S13" s="27" t="str">
        <f t="shared" si="15"/>
        <v/>
      </c>
      <c r="T13" s="15" t="str">
        <f t="shared" si="16"/>
        <v/>
      </c>
      <c r="U13" s="71">
        <v>17.600000000000001</v>
      </c>
      <c r="V13" s="71">
        <v>9.4</v>
      </c>
      <c r="W13" s="71">
        <v>5.6</v>
      </c>
      <c r="X13" s="71">
        <v>16.5</v>
      </c>
      <c r="Y13" s="71">
        <v>0.2</v>
      </c>
      <c r="Z13" s="71">
        <v>8.4</v>
      </c>
      <c r="AA13" s="71">
        <v>5.25</v>
      </c>
      <c r="AB13" s="71">
        <v>9.6</v>
      </c>
      <c r="AC13" s="71">
        <v>9.6050000000000004</v>
      </c>
      <c r="AD13" s="71">
        <v>0.2</v>
      </c>
      <c r="AE13" s="71">
        <v>15</v>
      </c>
      <c r="AF13" s="71">
        <v>8.9</v>
      </c>
      <c r="AG13" s="71">
        <v>14.6</v>
      </c>
      <c r="AH13" s="71">
        <v>15.63</v>
      </c>
      <c r="AI13" s="71">
        <v>0</v>
      </c>
      <c r="AJ13" s="82"/>
      <c r="AK13" s="12">
        <f t="shared" si="17"/>
        <v>9.6</v>
      </c>
      <c r="AL13" s="12">
        <f t="shared" si="18"/>
        <v>48.9</v>
      </c>
      <c r="AM13" s="12">
        <f t="shared" si="19"/>
        <v>32.655000000000001</v>
      </c>
      <c r="AN13" s="12">
        <f t="shared" si="20"/>
        <v>81.555000000000007</v>
      </c>
      <c r="AO13" s="12">
        <f t="shared" si="21"/>
        <v>14.6</v>
      </c>
      <c r="AP13" s="12">
        <f t="shared" si="22"/>
        <v>54.13</v>
      </c>
      <c r="AQ13" s="12">
        <f t="shared" si="23"/>
        <v>135.685</v>
      </c>
      <c r="AR13" s="65">
        <v>18.3</v>
      </c>
      <c r="AS13" s="65">
        <v>9.1999999999999993</v>
      </c>
      <c r="AT13" s="65">
        <v>5</v>
      </c>
      <c r="AU13" s="65">
        <v>16.8</v>
      </c>
      <c r="AV13" s="65">
        <v>0</v>
      </c>
      <c r="AW13" s="65">
        <v>14.1</v>
      </c>
      <c r="AX13" s="65">
        <v>8.8000000000000007</v>
      </c>
      <c r="AY13" s="65">
        <v>13.4</v>
      </c>
      <c r="AZ13" s="65">
        <v>15.07</v>
      </c>
      <c r="BA13" s="65">
        <v>0.1</v>
      </c>
      <c r="BB13" s="65">
        <v>14.6</v>
      </c>
      <c r="BC13" s="65">
        <v>9.1999999999999993</v>
      </c>
      <c r="BD13" s="65">
        <v>15.6</v>
      </c>
      <c r="BE13" s="65">
        <v>15.41</v>
      </c>
      <c r="BF13" s="65">
        <v>0</v>
      </c>
      <c r="BG13" s="83"/>
      <c r="BH13" s="15">
        <f t="shared" si="24"/>
        <v>13.4</v>
      </c>
      <c r="BI13" s="15">
        <f t="shared" si="25"/>
        <v>49.3</v>
      </c>
      <c r="BJ13" s="15">
        <f t="shared" si="26"/>
        <v>51.269999999999996</v>
      </c>
      <c r="BK13" s="15">
        <f t="shared" si="27"/>
        <v>100.57</v>
      </c>
      <c r="BL13" s="15">
        <f t="shared" si="28"/>
        <v>15.6</v>
      </c>
      <c r="BM13" s="15">
        <f t="shared" si="29"/>
        <v>54.81</v>
      </c>
      <c r="BN13" s="15">
        <f t="shared" si="30"/>
        <v>155.38</v>
      </c>
      <c r="BO13" s="26" t="str">
        <f t="shared" si="31"/>
        <v/>
      </c>
      <c r="BP13" s="26" t="str">
        <f t="shared" si="32"/>
        <v/>
      </c>
      <c r="BQ13" s="26" t="str">
        <f t="shared" si="33"/>
        <v/>
      </c>
      <c r="BR13" s="26" t="str">
        <f t="shared" si="34"/>
        <v/>
      </c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12" t="str">
        <f t="shared" si="35"/>
        <v/>
      </c>
      <c r="CI13" s="12" t="str">
        <f t="shared" si="36"/>
        <v/>
      </c>
      <c r="CJ13" s="12" t="str">
        <f t="shared" si="37"/>
        <v/>
      </c>
      <c r="CK13" s="12" t="str">
        <f t="shared" si="38"/>
        <v/>
      </c>
      <c r="CL13" s="12" t="str">
        <f t="shared" si="39"/>
        <v/>
      </c>
      <c r="CM13" s="12" t="str">
        <f t="shared" si="40"/>
        <v/>
      </c>
      <c r="CN13" s="12" t="str">
        <f t="shared" si="41"/>
        <v/>
      </c>
      <c r="CO13" s="40"/>
      <c r="CP13" s="40"/>
      <c r="CQ13" s="40"/>
      <c r="CR13" s="40"/>
      <c r="CS13" s="40"/>
      <c r="CT13" s="40"/>
      <c r="CU13" s="40"/>
      <c r="CV13" s="40"/>
      <c r="CW13" s="40"/>
      <c r="CX13" s="40"/>
      <c r="CY13" s="40"/>
      <c r="CZ13" s="40"/>
      <c r="DA13" s="40"/>
      <c r="DB13" s="40"/>
      <c r="DC13" s="40"/>
      <c r="DD13" s="15" t="str">
        <f t="shared" si="42"/>
        <v/>
      </c>
      <c r="DE13" s="15" t="str">
        <f t="shared" si="43"/>
        <v/>
      </c>
      <c r="DF13" s="15" t="str">
        <f t="shared" si="44"/>
        <v/>
      </c>
      <c r="DG13" s="15" t="str">
        <f t="shared" si="45"/>
        <v/>
      </c>
      <c r="DH13" s="15" t="str">
        <f t="shared" si="46"/>
        <v/>
      </c>
      <c r="DI13" s="15" t="str">
        <f t="shared" si="47"/>
        <v/>
      </c>
      <c r="DJ13" s="15" t="str">
        <f t="shared" si="48"/>
        <v/>
      </c>
      <c r="DK13" s="39"/>
      <c r="DL13" s="39"/>
      <c r="DM13" s="39"/>
      <c r="DN13" s="39"/>
      <c r="DO13" s="39"/>
      <c r="DP13" s="39"/>
      <c r="DQ13" s="39"/>
      <c r="DR13" s="39"/>
      <c r="DS13" s="39"/>
      <c r="DT13" s="39"/>
      <c r="DU13" s="39"/>
      <c r="DV13" s="39"/>
      <c r="DW13" s="39"/>
      <c r="DX13" s="39"/>
      <c r="DY13" s="39"/>
      <c r="DZ13" s="12" t="str">
        <f t="shared" si="49"/>
        <v/>
      </c>
      <c r="EA13" s="12" t="str">
        <f t="shared" si="50"/>
        <v/>
      </c>
      <c r="EB13" s="12" t="str">
        <f t="shared" si="51"/>
        <v/>
      </c>
      <c r="EC13" s="12" t="str">
        <f t="shared" si="52"/>
        <v/>
      </c>
      <c r="ED13" s="12" t="str">
        <f t="shared" si="53"/>
        <v/>
      </c>
      <c r="EE13" s="12" t="str">
        <f t="shared" si="54"/>
        <v/>
      </c>
      <c r="EF13" s="12" t="str">
        <f t="shared" si="55"/>
        <v/>
      </c>
      <c r="EG13" s="40"/>
      <c r="EH13" s="40"/>
      <c r="EI13" s="40"/>
      <c r="EJ13" s="40"/>
      <c r="EK13" s="40"/>
      <c r="EL13" s="40"/>
      <c r="EM13" s="40"/>
      <c r="EN13" s="40"/>
      <c r="EO13" s="40"/>
      <c r="EP13" s="40"/>
      <c r="EQ13" s="40"/>
      <c r="ER13" s="40"/>
      <c r="ES13" s="40"/>
      <c r="ET13" s="40"/>
      <c r="EU13" s="40"/>
      <c r="EV13" s="15" t="str">
        <f t="shared" si="56"/>
        <v/>
      </c>
      <c r="EW13" s="15" t="str">
        <f t="shared" si="57"/>
        <v/>
      </c>
      <c r="EX13" s="15" t="str">
        <f t="shared" si="58"/>
        <v/>
      </c>
      <c r="EY13" s="15" t="str">
        <f t="shared" si="59"/>
        <v/>
      </c>
      <c r="EZ13" s="15" t="str">
        <f t="shared" si="60"/>
        <v/>
      </c>
      <c r="FA13" s="15" t="str">
        <f t="shared" si="61"/>
        <v/>
      </c>
      <c r="FB13" s="15" t="str">
        <f t="shared" si="62"/>
        <v/>
      </c>
      <c r="FC13" s="39"/>
      <c r="FD13" s="39"/>
      <c r="FE13" s="39"/>
      <c r="FF13" s="39"/>
      <c r="FG13" s="39"/>
      <c r="FH13" s="39"/>
      <c r="FI13" s="39"/>
      <c r="FJ13" s="39"/>
      <c r="FK13" s="39"/>
      <c r="FL13" s="39"/>
      <c r="FM13" s="39"/>
      <c r="FN13" s="39"/>
      <c r="FO13" s="39"/>
      <c r="FP13" s="39"/>
      <c r="FQ13" s="39"/>
      <c r="FR13" s="12" t="str">
        <f t="shared" si="63"/>
        <v/>
      </c>
      <c r="FS13" s="12" t="str">
        <f t="shared" si="64"/>
        <v/>
      </c>
      <c r="FT13" s="12" t="str">
        <f t="shared" si="65"/>
        <v/>
      </c>
      <c r="FU13" s="12" t="str">
        <f t="shared" si="66"/>
        <v/>
      </c>
      <c r="FV13" s="12" t="str">
        <f t="shared" si="67"/>
        <v/>
      </c>
      <c r="FW13" s="12" t="str">
        <f t="shared" si="68"/>
        <v/>
      </c>
      <c r="FX13" s="12" t="str">
        <f t="shared" si="69"/>
        <v/>
      </c>
      <c r="FY13" s="40">
        <v>17.399999999999999</v>
      </c>
      <c r="FZ13" s="40">
        <v>8.9</v>
      </c>
      <c r="GA13" s="40">
        <v>5</v>
      </c>
      <c r="GB13" s="40">
        <v>16.079999999999998</v>
      </c>
      <c r="GC13" s="40">
        <v>0</v>
      </c>
      <c r="GD13" s="40">
        <v>4.0999999999999996</v>
      </c>
      <c r="GE13" s="40">
        <v>2.5</v>
      </c>
      <c r="GF13" s="40">
        <v>4.9000000000000004</v>
      </c>
      <c r="GG13" s="40">
        <v>4.97</v>
      </c>
      <c r="GH13" s="40">
        <v>0</v>
      </c>
      <c r="GI13" s="40"/>
      <c r="GJ13" s="40"/>
      <c r="GK13" s="40"/>
      <c r="GL13" s="40"/>
      <c r="GM13" s="40"/>
      <c r="GN13" s="15">
        <f t="shared" si="70"/>
        <v>4.9000000000000004</v>
      </c>
      <c r="GO13" s="15">
        <f t="shared" si="71"/>
        <v>47.379999999999995</v>
      </c>
      <c r="GP13" s="15">
        <f t="shared" si="72"/>
        <v>16.47</v>
      </c>
      <c r="GQ13" s="15">
        <f t="shared" si="73"/>
        <v>63.849999999999994</v>
      </c>
      <c r="GR13" s="15" t="str">
        <f t="shared" si="74"/>
        <v/>
      </c>
      <c r="GS13" s="15" t="str">
        <f t="shared" si="75"/>
        <v/>
      </c>
      <c r="GT13" s="15">
        <f t="shared" si="76"/>
        <v>63.849999999999994</v>
      </c>
      <c r="GU13" s="39"/>
      <c r="GV13" s="39"/>
      <c r="GW13" s="39"/>
      <c r="GX13" s="39"/>
      <c r="GY13" s="39"/>
      <c r="GZ13" s="39"/>
      <c r="HA13" s="39"/>
      <c r="HB13" s="39"/>
      <c r="HC13" s="39"/>
      <c r="HD13" s="39"/>
      <c r="HE13" s="39"/>
      <c r="HF13" s="39"/>
      <c r="HG13" s="39"/>
      <c r="HH13" s="39"/>
      <c r="HI13" s="39"/>
      <c r="HJ13" s="12" t="str">
        <f t="shared" si="77"/>
        <v/>
      </c>
      <c r="HK13" s="12" t="str">
        <f t="shared" si="78"/>
        <v/>
      </c>
      <c r="HL13" s="12" t="str">
        <f t="shared" si="79"/>
        <v/>
      </c>
      <c r="HM13" s="12" t="str">
        <f t="shared" si="80"/>
        <v/>
      </c>
      <c r="HN13" s="12" t="str">
        <f t="shared" si="81"/>
        <v/>
      </c>
      <c r="HO13" s="12" t="str">
        <f t="shared" si="82"/>
        <v/>
      </c>
      <c r="HP13" s="12" t="str">
        <f t="shared" si="83"/>
        <v/>
      </c>
      <c r="HQ13" s="40"/>
      <c r="HR13" s="40"/>
      <c r="HS13" s="40"/>
      <c r="HT13" s="40"/>
      <c r="HU13" s="40"/>
      <c r="HV13" s="40"/>
      <c r="HW13" s="40"/>
      <c r="HX13" s="40"/>
      <c r="HY13" s="40"/>
      <c r="HZ13" s="40"/>
      <c r="IA13" s="40"/>
      <c r="IB13" s="40"/>
      <c r="IC13" s="40"/>
      <c r="ID13" s="40"/>
      <c r="IE13" s="40"/>
      <c r="IF13" s="15" t="str">
        <f t="shared" si="84"/>
        <v/>
      </c>
      <c r="IG13" s="15" t="str">
        <f t="shared" si="85"/>
        <v/>
      </c>
      <c r="IH13" s="15" t="str">
        <f t="shared" si="86"/>
        <v/>
      </c>
      <c r="II13" s="15" t="str">
        <f t="shared" si="87"/>
        <v/>
      </c>
      <c r="IJ13" s="15" t="str">
        <f t="shared" si="88"/>
        <v/>
      </c>
      <c r="IK13" s="15" t="str">
        <f t="shared" si="89"/>
        <v/>
      </c>
      <c r="IL13" s="15" t="str">
        <f t="shared" si="90"/>
        <v/>
      </c>
      <c r="IM13" s="39"/>
      <c r="IN13" s="39"/>
      <c r="IO13" s="39"/>
      <c r="IP13" s="39"/>
      <c r="IQ13" s="39"/>
      <c r="IR13" s="39"/>
      <c r="IS13" s="39"/>
      <c r="IT13" s="39"/>
      <c r="IU13" s="39"/>
      <c r="IV13" s="39"/>
      <c r="IW13" s="39"/>
      <c r="IX13" s="39"/>
      <c r="IY13" s="39"/>
      <c r="IZ13" s="39"/>
      <c r="JA13" s="39"/>
      <c r="JB13" s="12" t="str">
        <f t="shared" si="91"/>
        <v/>
      </c>
      <c r="JC13" s="12" t="str">
        <f t="shared" si="92"/>
        <v/>
      </c>
      <c r="JD13" s="12" t="str">
        <f t="shared" si="93"/>
        <v/>
      </c>
      <c r="JE13" s="12" t="str">
        <f t="shared" si="94"/>
        <v/>
      </c>
      <c r="JF13" s="12" t="str">
        <f t="shared" si="95"/>
        <v/>
      </c>
      <c r="JG13" s="12" t="str">
        <f t="shared" si="96"/>
        <v/>
      </c>
      <c r="JH13" s="12" t="str">
        <f t="shared" si="97"/>
        <v/>
      </c>
      <c r="JI13" s="40"/>
      <c r="JJ13" s="40"/>
      <c r="JK13" s="40"/>
      <c r="JL13" s="40"/>
      <c r="JM13" s="40"/>
      <c r="JN13" s="40"/>
      <c r="JO13" s="40"/>
      <c r="JP13" s="40"/>
      <c r="JQ13" s="40"/>
      <c r="JR13" s="40"/>
      <c r="JS13" s="40"/>
      <c r="JT13" s="40"/>
      <c r="JU13" s="40"/>
      <c r="JV13" s="40"/>
      <c r="JW13" s="40"/>
      <c r="JX13" s="15" t="str">
        <f t="shared" si="98"/>
        <v/>
      </c>
      <c r="JY13" s="15" t="str">
        <f t="shared" si="99"/>
        <v/>
      </c>
      <c r="JZ13" s="15" t="str">
        <f t="shared" si="100"/>
        <v/>
      </c>
      <c r="KA13" s="15" t="str">
        <f t="shared" si="101"/>
        <v/>
      </c>
      <c r="KB13" s="15" t="str">
        <f t="shared" si="102"/>
        <v/>
      </c>
      <c r="KC13" s="15" t="str">
        <f t="shared" si="103"/>
        <v/>
      </c>
      <c r="KD13" s="15" t="str">
        <f t="shared" si="104"/>
        <v/>
      </c>
      <c r="KE13" s="39"/>
      <c r="KF13" s="39"/>
      <c r="KG13" s="39"/>
      <c r="KH13" s="39"/>
      <c r="KI13" s="39"/>
      <c r="KJ13" s="39"/>
      <c r="KK13" s="39"/>
      <c r="KL13" s="39"/>
      <c r="KM13" s="39"/>
      <c r="KN13" s="39"/>
      <c r="KO13" s="39"/>
      <c r="KP13" s="39"/>
      <c r="KQ13" s="39"/>
      <c r="KR13" s="39"/>
      <c r="KS13" s="39"/>
      <c r="KT13" s="12" t="str">
        <f t="shared" si="105"/>
        <v/>
      </c>
      <c r="KU13" s="12" t="str">
        <f t="shared" si="106"/>
        <v/>
      </c>
      <c r="KV13" s="12" t="str">
        <f t="shared" si="107"/>
        <v/>
      </c>
      <c r="KW13" s="12" t="str">
        <f t="shared" si="108"/>
        <v/>
      </c>
      <c r="KX13" s="12" t="str">
        <f t="shared" si="109"/>
        <v/>
      </c>
      <c r="KY13" s="12" t="str">
        <f t="shared" si="110"/>
        <v/>
      </c>
      <c r="KZ13" s="12" t="str">
        <f t="shared" si="111"/>
        <v/>
      </c>
      <c r="LA13" s="40"/>
      <c r="LB13" s="40"/>
      <c r="LC13" s="40"/>
      <c r="LD13" s="40"/>
      <c r="LE13" s="40"/>
      <c r="LF13" s="40"/>
      <c r="LG13" s="40"/>
      <c r="LH13" s="40"/>
      <c r="LI13" s="40"/>
      <c r="LJ13" s="40"/>
      <c r="LK13" s="40"/>
      <c r="LL13" s="40"/>
      <c r="LM13" s="40"/>
      <c r="LN13" s="40"/>
      <c r="LO13" s="40"/>
      <c r="LP13" s="15" t="str">
        <f t="shared" si="112"/>
        <v/>
      </c>
      <c r="LQ13" s="15" t="str">
        <f t="shared" si="113"/>
        <v/>
      </c>
      <c r="LR13" s="15" t="str">
        <f t="shared" si="114"/>
        <v/>
      </c>
      <c r="LS13" s="15" t="str">
        <f t="shared" si="115"/>
        <v/>
      </c>
      <c r="LT13" s="15" t="str">
        <f t="shared" si="116"/>
        <v/>
      </c>
      <c r="LU13" s="15" t="str">
        <f t="shared" si="117"/>
        <v/>
      </c>
      <c r="LV13" s="15" t="str">
        <f t="shared" si="118"/>
        <v/>
      </c>
      <c r="LW13" s="71">
        <f t="shared" si="119"/>
        <v>17.950000000000003</v>
      </c>
      <c r="LX13" s="71">
        <f t="shared" si="120"/>
        <v>9.3000000000000007</v>
      </c>
      <c r="LY13" s="71">
        <f t="shared" si="121"/>
        <v>5.3</v>
      </c>
      <c r="LZ13" s="71">
        <f t="shared" si="122"/>
        <v>16.649999999999999</v>
      </c>
      <c r="MA13" s="71">
        <f t="shared" si="123"/>
        <v>0.1</v>
      </c>
      <c r="MB13" s="71">
        <f t="shared" si="124"/>
        <v>11.25</v>
      </c>
      <c r="MC13" s="71">
        <f t="shared" si="125"/>
        <v>7.0250000000000004</v>
      </c>
      <c r="MD13" s="71">
        <f t="shared" si="126"/>
        <v>11.5</v>
      </c>
      <c r="ME13" s="71">
        <f t="shared" si="127"/>
        <v>12.3375</v>
      </c>
      <c r="MF13" s="71">
        <f t="shared" si="128"/>
        <v>0.15000000000000002</v>
      </c>
      <c r="MG13" s="71">
        <f t="shared" si="129"/>
        <v>14.8</v>
      </c>
      <c r="MH13" s="71">
        <f t="shared" si="130"/>
        <v>9.0500000000000007</v>
      </c>
      <c r="MI13" s="71">
        <f t="shared" si="131"/>
        <v>15.1</v>
      </c>
      <c r="MJ13" s="71">
        <f t="shared" si="132"/>
        <v>15.52</v>
      </c>
      <c r="MK13" s="71">
        <f t="shared" si="133"/>
        <v>0</v>
      </c>
      <c r="ML13" s="82" t="s">
        <v>100</v>
      </c>
      <c r="MM13" s="12">
        <f t="shared" si="134"/>
        <v>11.5</v>
      </c>
      <c r="MN13" s="12">
        <f t="shared" si="135"/>
        <v>49.1</v>
      </c>
      <c r="MO13" s="12">
        <f t="shared" si="136"/>
        <v>41.962499999999999</v>
      </c>
      <c r="MP13" s="12">
        <f t="shared" si="137"/>
        <v>91.0625</v>
      </c>
      <c r="MQ13" s="12">
        <f t="shared" si="140"/>
        <v>15.1</v>
      </c>
      <c r="MR13" s="12">
        <f t="shared" si="138"/>
        <v>54.47</v>
      </c>
      <c r="MS13" s="12">
        <f t="shared" si="139"/>
        <v>145.5325</v>
      </c>
    </row>
    <row r="14" spans="1:357" x14ac:dyDescent="0.2">
      <c r="A14" s="6" t="str">
        <f t="shared" si="0"/>
        <v/>
      </c>
      <c r="B14" s="7" t="s">
        <v>12</v>
      </c>
      <c r="C14" s="8" t="s">
        <v>6</v>
      </c>
      <c r="D14" s="6">
        <v>1996</v>
      </c>
      <c r="E14" s="16">
        <f t="shared" si="1"/>
        <v>165.15</v>
      </c>
      <c r="F14" s="4" t="str">
        <f t="shared" si="2"/>
        <v>P</v>
      </c>
      <c r="G14" s="4" t="str">
        <f t="shared" si="3"/>
        <v/>
      </c>
      <c r="H14" s="4" t="str">
        <f t="shared" si="4"/>
        <v/>
      </c>
      <c r="I14" t="str">
        <f t="shared" si="5"/>
        <v/>
      </c>
      <c r="J14" s="15">
        <f t="shared" si="6"/>
        <v>63.315000000000005</v>
      </c>
      <c r="K14" s="15" t="str">
        <f t="shared" si="7"/>
        <v>2019 Nationals</v>
      </c>
      <c r="L14" s="15">
        <f t="shared" si="8"/>
        <v>48.84</v>
      </c>
      <c r="M14" s="15" t="str">
        <f t="shared" si="9"/>
        <v>2019 Elite Canada</v>
      </c>
      <c r="N14" s="15">
        <f t="shared" si="10"/>
        <v>11.639999999999999</v>
      </c>
      <c r="O14" s="15" t="str">
        <f t="shared" si="11"/>
        <v>2019 Elite Canada</v>
      </c>
      <c r="P14" s="15" t="str">
        <f t="shared" si="12"/>
        <v/>
      </c>
      <c r="Q14" s="15" t="str">
        <f t="shared" si="13"/>
        <v/>
      </c>
      <c r="R14" s="15">
        <f t="shared" si="14"/>
        <v>41.354999999999997</v>
      </c>
      <c r="S14" s="27" t="str">
        <f t="shared" si="15"/>
        <v>(Vol 2)</v>
      </c>
      <c r="T14" s="15" t="str">
        <f t="shared" si="16"/>
        <v>2019 Scalabis Cup (July 6)</v>
      </c>
      <c r="U14" s="71">
        <v>17.5</v>
      </c>
      <c r="V14" s="71">
        <v>9.15</v>
      </c>
      <c r="W14" s="71">
        <v>5.6</v>
      </c>
      <c r="X14" s="71">
        <v>16.59</v>
      </c>
      <c r="Y14" s="71">
        <v>0</v>
      </c>
      <c r="Z14" s="71">
        <v>2.8</v>
      </c>
      <c r="AA14" s="71">
        <v>1.6</v>
      </c>
      <c r="AB14" s="71">
        <v>3.8</v>
      </c>
      <c r="AC14" s="71">
        <v>3.44</v>
      </c>
      <c r="AD14" s="71">
        <v>0</v>
      </c>
      <c r="AE14" s="71"/>
      <c r="AF14" s="71"/>
      <c r="AG14" s="71"/>
      <c r="AH14" s="71"/>
      <c r="AI14" s="71"/>
      <c r="AJ14" s="82"/>
      <c r="AK14" s="12">
        <f t="shared" si="17"/>
        <v>3.8</v>
      </c>
      <c r="AL14" s="12">
        <f t="shared" si="18"/>
        <v>48.84</v>
      </c>
      <c r="AM14" s="12">
        <f t="shared" si="19"/>
        <v>11.639999999999999</v>
      </c>
      <c r="AN14" s="12">
        <f t="shared" si="20"/>
        <v>60.480000000000004</v>
      </c>
      <c r="AO14" s="12" t="str">
        <f t="shared" si="21"/>
        <v/>
      </c>
      <c r="AP14" s="12" t="str">
        <f t="shared" si="22"/>
        <v/>
      </c>
      <c r="AQ14" s="12">
        <f t="shared" si="23"/>
        <v>60.480000000000004</v>
      </c>
      <c r="AR14" s="77">
        <v>5.9</v>
      </c>
      <c r="AS14" s="77">
        <v>2.8</v>
      </c>
      <c r="AT14" s="77">
        <v>0</v>
      </c>
      <c r="AU14" s="77">
        <v>4.8550000000000004</v>
      </c>
      <c r="AV14" s="77">
        <v>0</v>
      </c>
      <c r="AW14" s="77">
        <v>13.9</v>
      </c>
      <c r="AX14" s="77">
        <v>8.9</v>
      </c>
      <c r="AY14" s="77">
        <v>12.7</v>
      </c>
      <c r="AZ14" s="77">
        <v>15.06</v>
      </c>
      <c r="BA14" s="77">
        <v>0.8</v>
      </c>
      <c r="BB14" s="77"/>
      <c r="BC14" s="77"/>
      <c r="BD14" s="77"/>
      <c r="BE14" s="77"/>
      <c r="BF14" s="77"/>
      <c r="BG14" s="83"/>
      <c r="BH14" s="15">
        <f t="shared" si="24"/>
        <v>12.7</v>
      </c>
      <c r="BI14" s="15">
        <f t="shared" si="25"/>
        <v>13.555</v>
      </c>
      <c r="BJ14" s="15">
        <f t="shared" si="26"/>
        <v>49.760000000000005</v>
      </c>
      <c r="BK14" s="15">
        <f t="shared" si="27"/>
        <v>63.315000000000005</v>
      </c>
      <c r="BL14" s="15" t="str">
        <f t="shared" si="28"/>
        <v/>
      </c>
      <c r="BM14" s="15" t="str">
        <f t="shared" si="29"/>
        <v/>
      </c>
      <c r="BN14" s="15">
        <f t="shared" si="30"/>
        <v>63.315000000000005</v>
      </c>
      <c r="BO14" s="26" t="str">
        <f t="shared" si="31"/>
        <v/>
      </c>
      <c r="BP14" s="26">
        <f t="shared" si="32"/>
        <v>41.354999999999997</v>
      </c>
      <c r="BQ14" s="26">
        <f t="shared" si="33"/>
        <v>37.244999999999997</v>
      </c>
      <c r="BR14" s="26" t="str">
        <f t="shared" si="34"/>
        <v/>
      </c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12" t="str">
        <f t="shared" si="35"/>
        <v/>
      </c>
      <c r="CI14" s="12" t="str">
        <f t="shared" si="36"/>
        <v/>
      </c>
      <c r="CJ14" s="12" t="str">
        <f t="shared" si="37"/>
        <v/>
      </c>
      <c r="CK14" s="12" t="str">
        <f t="shared" si="38"/>
        <v/>
      </c>
      <c r="CL14" s="12" t="str">
        <f t="shared" si="39"/>
        <v/>
      </c>
      <c r="CM14" s="12" t="str">
        <f t="shared" si="40"/>
        <v/>
      </c>
      <c r="CN14" s="12" t="str">
        <f t="shared" si="41"/>
        <v/>
      </c>
      <c r="CO14" s="40"/>
      <c r="CP14" s="40"/>
      <c r="CQ14" s="40"/>
      <c r="CR14" s="40"/>
      <c r="CS14" s="40"/>
      <c r="CT14" s="40"/>
      <c r="CU14" s="40"/>
      <c r="CV14" s="40"/>
      <c r="CW14" s="40"/>
      <c r="CX14" s="40"/>
      <c r="CY14" s="40"/>
      <c r="CZ14" s="40"/>
      <c r="DA14" s="40"/>
      <c r="DB14" s="40"/>
      <c r="DC14" s="40"/>
      <c r="DD14" s="15" t="str">
        <f t="shared" si="42"/>
        <v/>
      </c>
      <c r="DE14" s="15" t="str">
        <f t="shared" si="43"/>
        <v/>
      </c>
      <c r="DF14" s="15" t="str">
        <f t="shared" si="44"/>
        <v/>
      </c>
      <c r="DG14" s="15" t="str">
        <f t="shared" si="45"/>
        <v/>
      </c>
      <c r="DH14" s="15" t="str">
        <f t="shared" si="46"/>
        <v/>
      </c>
      <c r="DI14" s="15" t="str">
        <f t="shared" si="47"/>
        <v/>
      </c>
      <c r="DJ14" s="15" t="str">
        <f t="shared" si="48"/>
        <v/>
      </c>
      <c r="DK14" s="39"/>
      <c r="DL14" s="39"/>
      <c r="DM14" s="39"/>
      <c r="DN14" s="39"/>
      <c r="DO14" s="39"/>
      <c r="DP14" s="39"/>
      <c r="DQ14" s="39"/>
      <c r="DR14" s="39"/>
      <c r="DS14" s="39"/>
      <c r="DT14" s="39"/>
      <c r="DU14" s="39"/>
      <c r="DV14" s="39"/>
      <c r="DW14" s="39"/>
      <c r="DX14" s="39"/>
      <c r="DY14" s="39"/>
      <c r="DZ14" s="12" t="str">
        <f t="shared" si="49"/>
        <v/>
      </c>
      <c r="EA14" s="12" t="str">
        <f t="shared" si="50"/>
        <v/>
      </c>
      <c r="EB14" s="12" t="str">
        <f t="shared" si="51"/>
        <v/>
      </c>
      <c r="EC14" s="12" t="str">
        <f t="shared" si="52"/>
        <v/>
      </c>
      <c r="ED14" s="12" t="str">
        <f t="shared" si="53"/>
        <v/>
      </c>
      <c r="EE14" s="12" t="str">
        <f t="shared" si="54"/>
        <v/>
      </c>
      <c r="EF14" s="12" t="str">
        <f t="shared" si="55"/>
        <v/>
      </c>
      <c r="EG14" s="40"/>
      <c r="EH14" s="40"/>
      <c r="EI14" s="40"/>
      <c r="EJ14" s="40"/>
      <c r="EK14" s="40"/>
      <c r="EL14" s="40"/>
      <c r="EM14" s="40"/>
      <c r="EN14" s="40"/>
      <c r="EO14" s="40"/>
      <c r="EP14" s="40"/>
      <c r="EQ14" s="40"/>
      <c r="ER14" s="40"/>
      <c r="ES14" s="40"/>
      <c r="ET14" s="40"/>
      <c r="EU14" s="40"/>
      <c r="EV14" s="15" t="str">
        <f t="shared" si="56"/>
        <v/>
      </c>
      <c r="EW14" s="15" t="str">
        <f t="shared" si="57"/>
        <v/>
      </c>
      <c r="EX14" s="15" t="str">
        <f t="shared" si="58"/>
        <v/>
      </c>
      <c r="EY14" s="15" t="str">
        <f t="shared" si="59"/>
        <v/>
      </c>
      <c r="EZ14" s="15" t="str">
        <f t="shared" si="60"/>
        <v/>
      </c>
      <c r="FA14" s="15" t="str">
        <f t="shared" si="61"/>
        <v/>
      </c>
      <c r="FB14" s="15" t="str">
        <f t="shared" si="62"/>
        <v/>
      </c>
      <c r="FC14" s="39"/>
      <c r="FD14" s="39"/>
      <c r="FE14" s="39"/>
      <c r="FF14" s="39"/>
      <c r="FG14" s="39"/>
      <c r="FH14" s="39"/>
      <c r="FI14" s="39"/>
      <c r="FJ14" s="39"/>
      <c r="FK14" s="39"/>
      <c r="FL14" s="39"/>
      <c r="FM14" s="39"/>
      <c r="FN14" s="39"/>
      <c r="FO14" s="39"/>
      <c r="FP14" s="39"/>
      <c r="FQ14" s="39"/>
      <c r="FR14" s="12" t="str">
        <f t="shared" si="63"/>
        <v/>
      </c>
      <c r="FS14" s="12" t="str">
        <f t="shared" si="64"/>
        <v/>
      </c>
      <c r="FT14" s="12" t="str">
        <f t="shared" si="65"/>
        <v/>
      </c>
      <c r="FU14" s="12" t="str">
        <f t="shared" si="66"/>
        <v/>
      </c>
      <c r="FV14" s="12" t="str">
        <f t="shared" si="67"/>
        <v/>
      </c>
      <c r="FW14" s="12" t="str">
        <f t="shared" si="68"/>
        <v/>
      </c>
      <c r="FX14" s="12" t="str">
        <f t="shared" si="69"/>
        <v/>
      </c>
      <c r="FY14" s="40">
        <v>16</v>
      </c>
      <c r="FZ14" s="40">
        <v>9.3000000000000007</v>
      </c>
      <c r="GA14" s="40">
        <v>5.8</v>
      </c>
      <c r="GB14" s="40">
        <v>16.465</v>
      </c>
      <c r="GC14" s="40">
        <v>0</v>
      </c>
      <c r="GD14" s="40">
        <v>13.5</v>
      </c>
      <c r="GE14" s="40">
        <v>9</v>
      </c>
      <c r="GF14" s="40">
        <v>14.8</v>
      </c>
      <c r="GG14" s="40">
        <v>15.695</v>
      </c>
      <c r="GH14" s="40">
        <v>0</v>
      </c>
      <c r="GI14" s="40"/>
      <c r="GJ14" s="40"/>
      <c r="GK14" s="40"/>
      <c r="GL14" s="40"/>
      <c r="GM14" s="40"/>
      <c r="GN14" s="15">
        <f t="shared" si="70"/>
        <v>14.8</v>
      </c>
      <c r="GO14" s="15">
        <f t="shared" si="71"/>
        <v>47.564999999999998</v>
      </c>
      <c r="GP14" s="15">
        <f t="shared" si="72"/>
        <v>52.994999999999997</v>
      </c>
      <c r="GQ14" s="15">
        <f t="shared" si="73"/>
        <v>100.56</v>
      </c>
      <c r="GR14" s="15" t="str">
        <f t="shared" si="74"/>
        <v/>
      </c>
      <c r="GS14" s="15" t="str">
        <f t="shared" si="75"/>
        <v/>
      </c>
      <c r="GT14" s="15">
        <f t="shared" si="76"/>
        <v>100.56</v>
      </c>
      <c r="GU14" s="39"/>
      <c r="GV14" s="39"/>
      <c r="GW14" s="39"/>
      <c r="GX14" s="39"/>
      <c r="GY14" s="39"/>
      <c r="GZ14" s="39"/>
      <c r="HA14" s="39"/>
      <c r="HB14" s="39"/>
      <c r="HC14" s="39"/>
      <c r="HD14" s="39"/>
      <c r="HE14" s="39"/>
      <c r="HF14" s="39"/>
      <c r="HG14" s="39"/>
      <c r="HH14" s="39"/>
      <c r="HI14" s="39"/>
      <c r="HJ14" s="12" t="str">
        <f t="shared" si="77"/>
        <v/>
      </c>
      <c r="HK14" s="12" t="str">
        <f t="shared" si="78"/>
        <v/>
      </c>
      <c r="HL14" s="12" t="str">
        <f t="shared" si="79"/>
        <v/>
      </c>
      <c r="HM14" s="12" t="str">
        <f t="shared" si="80"/>
        <v/>
      </c>
      <c r="HN14" s="12" t="str">
        <f t="shared" si="81"/>
        <v/>
      </c>
      <c r="HO14" s="12" t="str">
        <f t="shared" si="82"/>
        <v/>
      </c>
      <c r="HP14" s="12" t="str">
        <f t="shared" si="83"/>
        <v/>
      </c>
      <c r="HQ14" s="40"/>
      <c r="HR14" s="40"/>
      <c r="HS14" s="40"/>
      <c r="HT14" s="40"/>
      <c r="HU14" s="40"/>
      <c r="HV14" s="40"/>
      <c r="HW14" s="40"/>
      <c r="HX14" s="40"/>
      <c r="HY14" s="40"/>
      <c r="HZ14" s="40"/>
      <c r="IA14" s="40"/>
      <c r="IB14" s="40"/>
      <c r="IC14" s="40"/>
      <c r="ID14" s="40"/>
      <c r="IE14" s="40"/>
      <c r="IF14" s="15" t="str">
        <f t="shared" si="84"/>
        <v/>
      </c>
      <c r="IG14" s="15" t="str">
        <f t="shared" si="85"/>
        <v/>
      </c>
      <c r="IH14" s="15" t="str">
        <f t="shared" si="86"/>
        <v/>
      </c>
      <c r="II14" s="15" t="str">
        <f t="shared" si="87"/>
        <v/>
      </c>
      <c r="IJ14" s="15" t="str">
        <f t="shared" si="88"/>
        <v/>
      </c>
      <c r="IK14" s="15" t="str">
        <f t="shared" si="89"/>
        <v/>
      </c>
      <c r="IL14" s="15" t="str">
        <f t="shared" si="90"/>
        <v/>
      </c>
      <c r="IM14" s="39"/>
      <c r="IN14" s="39"/>
      <c r="IO14" s="39"/>
      <c r="IP14" s="39"/>
      <c r="IQ14" s="39"/>
      <c r="IR14" s="39"/>
      <c r="IS14" s="39"/>
      <c r="IT14" s="39"/>
      <c r="IU14" s="39"/>
      <c r="IV14" s="39"/>
      <c r="IW14" s="39"/>
      <c r="IX14" s="39"/>
      <c r="IY14" s="39"/>
      <c r="IZ14" s="39"/>
      <c r="JA14" s="39"/>
      <c r="JB14" s="12" t="str">
        <f t="shared" si="91"/>
        <v/>
      </c>
      <c r="JC14" s="12" t="str">
        <f t="shared" si="92"/>
        <v/>
      </c>
      <c r="JD14" s="12" t="str">
        <f t="shared" si="93"/>
        <v/>
      </c>
      <c r="JE14" s="12" t="str">
        <f t="shared" si="94"/>
        <v/>
      </c>
      <c r="JF14" s="12" t="str">
        <f t="shared" si="95"/>
        <v/>
      </c>
      <c r="JG14" s="12" t="str">
        <f t="shared" si="96"/>
        <v/>
      </c>
      <c r="JH14" s="12" t="str">
        <f t="shared" si="97"/>
        <v/>
      </c>
      <c r="JI14" s="40"/>
      <c r="JJ14" s="40"/>
      <c r="JK14" s="40"/>
      <c r="JL14" s="40"/>
      <c r="JM14" s="40"/>
      <c r="JN14" s="40"/>
      <c r="JO14" s="40"/>
      <c r="JP14" s="40"/>
      <c r="JQ14" s="40"/>
      <c r="JR14" s="40"/>
      <c r="JS14" s="40"/>
      <c r="JT14" s="40"/>
      <c r="JU14" s="40"/>
      <c r="JV14" s="40"/>
      <c r="JW14" s="40"/>
      <c r="JX14" s="15" t="str">
        <f t="shared" si="98"/>
        <v/>
      </c>
      <c r="JY14" s="15" t="str">
        <f t="shared" si="99"/>
        <v/>
      </c>
      <c r="JZ14" s="15" t="str">
        <f t="shared" si="100"/>
        <v/>
      </c>
      <c r="KA14" s="15" t="str">
        <f t="shared" si="101"/>
        <v/>
      </c>
      <c r="KB14" s="15" t="str">
        <f t="shared" si="102"/>
        <v/>
      </c>
      <c r="KC14" s="15" t="str">
        <f t="shared" si="103"/>
        <v/>
      </c>
      <c r="KD14" s="15" t="str">
        <f t="shared" si="104"/>
        <v/>
      </c>
      <c r="KE14" s="39"/>
      <c r="KF14" s="39"/>
      <c r="KG14" s="39"/>
      <c r="KH14" s="39"/>
      <c r="KI14" s="39"/>
      <c r="KJ14" s="39"/>
      <c r="KK14" s="39"/>
      <c r="KL14" s="39"/>
      <c r="KM14" s="39"/>
      <c r="KN14" s="39"/>
      <c r="KO14" s="39"/>
      <c r="KP14" s="39"/>
      <c r="KQ14" s="39"/>
      <c r="KR14" s="39"/>
      <c r="KS14" s="39"/>
      <c r="KT14" s="12" t="str">
        <f t="shared" si="105"/>
        <v/>
      </c>
      <c r="KU14" s="12" t="str">
        <f t="shared" si="106"/>
        <v/>
      </c>
      <c r="KV14" s="12" t="str">
        <f t="shared" si="107"/>
        <v/>
      </c>
      <c r="KW14" s="12" t="str">
        <f t="shared" si="108"/>
        <v/>
      </c>
      <c r="KX14" s="12" t="str">
        <f t="shared" si="109"/>
        <v/>
      </c>
      <c r="KY14" s="12" t="str">
        <f t="shared" si="110"/>
        <v/>
      </c>
      <c r="KZ14" s="12" t="str">
        <f t="shared" si="111"/>
        <v/>
      </c>
      <c r="LA14" s="40"/>
      <c r="LB14" s="40"/>
      <c r="LC14" s="40"/>
      <c r="LD14" s="40"/>
      <c r="LE14" s="40"/>
      <c r="LF14" s="40"/>
      <c r="LG14" s="40"/>
      <c r="LH14" s="40"/>
      <c r="LI14" s="40"/>
      <c r="LJ14" s="40"/>
      <c r="LK14" s="40"/>
      <c r="LL14" s="40"/>
      <c r="LM14" s="40"/>
      <c r="LN14" s="40"/>
      <c r="LO14" s="40"/>
      <c r="LP14" s="15" t="str">
        <f t="shared" si="112"/>
        <v/>
      </c>
      <c r="LQ14" s="15" t="str">
        <f t="shared" si="113"/>
        <v/>
      </c>
      <c r="LR14" s="15" t="str">
        <f t="shared" si="114"/>
        <v/>
      </c>
      <c r="LS14" s="15" t="str">
        <f t="shared" si="115"/>
        <v/>
      </c>
      <c r="LT14" s="15" t="str">
        <f t="shared" si="116"/>
        <v/>
      </c>
      <c r="LU14" s="15" t="str">
        <f t="shared" si="117"/>
        <v/>
      </c>
      <c r="LV14" s="15" t="str">
        <f t="shared" si="118"/>
        <v/>
      </c>
      <c r="LW14" s="71">
        <f t="shared" si="119"/>
        <v>11.7</v>
      </c>
      <c r="LX14" s="71">
        <f t="shared" si="120"/>
        <v>5.9749999999999996</v>
      </c>
      <c r="LY14" s="71">
        <f t="shared" si="121"/>
        <v>2.8</v>
      </c>
      <c r="LZ14" s="71">
        <f t="shared" si="122"/>
        <v>10.7225</v>
      </c>
      <c r="MA14" s="71">
        <f t="shared" si="123"/>
        <v>0</v>
      </c>
      <c r="MB14" s="71">
        <f t="shared" si="124"/>
        <v>8.35</v>
      </c>
      <c r="MC14" s="71">
        <f t="shared" si="125"/>
        <v>5.25</v>
      </c>
      <c r="MD14" s="71">
        <f t="shared" si="126"/>
        <v>8.25</v>
      </c>
      <c r="ME14" s="71">
        <f t="shared" si="127"/>
        <v>9.25</v>
      </c>
      <c r="MF14" s="71">
        <f t="shared" si="128"/>
        <v>0.4</v>
      </c>
      <c r="MG14" s="71">
        <f t="shared" si="129"/>
        <v>0</v>
      </c>
      <c r="MH14" s="71">
        <f t="shared" si="130"/>
        <v>0</v>
      </c>
      <c r="MI14" s="71">
        <f t="shared" si="131"/>
        <v>0</v>
      </c>
      <c r="MJ14" s="71">
        <f t="shared" si="132"/>
        <v>0</v>
      </c>
      <c r="MK14" s="71">
        <f t="shared" si="133"/>
        <v>0</v>
      </c>
      <c r="ML14" s="82" t="s">
        <v>100</v>
      </c>
      <c r="MM14" s="12">
        <f t="shared" si="134"/>
        <v>8.25</v>
      </c>
      <c r="MN14" s="12">
        <f t="shared" si="135"/>
        <v>31.197499999999998</v>
      </c>
      <c r="MO14" s="12">
        <f t="shared" si="136"/>
        <v>30.700000000000003</v>
      </c>
      <c r="MP14" s="12">
        <f t="shared" si="137"/>
        <v>61.897500000000001</v>
      </c>
      <c r="MQ14" s="12" t="str">
        <f t="shared" si="140"/>
        <v/>
      </c>
      <c r="MR14" s="12" t="str">
        <f t="shared" si="138"/>
        <v/>
      </c>
      <c r="MS14" s="12">
        <f t="shared" si="139"/>
        <v>61.897500000000001</v>
      </c>
    </row>
    <row r="15" spans="1:357" x14ac:dyDescent="0.2">
      <c r="A15" s="6" t="str">
        <f t="shared" si="0"/>
        <v/>
      </c>
      <c r="B15" s="7" t="s">
        <v>170</v>
      </c>
      <c r="C15" s="8" t="s">
        <v>5</v>
      </c>
      <c r="D15" s="29">
        <v>1991</v>
      </c>
      <c r="E15" s="16">
        <f t="shared" si="1"/>
        <v>141.59</v>
      </c>
      <c r="F15" s="4" t="str">
        <f t="shared" si="2"/>
        <v>P</v>
      </c>
      <c r="G15" s="4" t="str">
        <f t="shared" si="3"/>
        <v/>
      </c>
      <c r="H15" s="4" t="str">
        <f t="shared" si="4"/>
        <v/>
      </c>
      <c r="I15" t="str">
        <f t="shared" si="5"/>
        <v/>
      </c>
      <c r="J15" s="15">
        <f t="shared" si="6"/>
        <v>98.83</v>
      </c>
      <c r="K15" s="15" t="str">
        <f t="shared" si="7"/>
        <v>2019 Nationals</v>
      </c>
      <c r="L15" s="15">
        <f t="shared" si="8"/>
        <v>8.125</v>
      </c>
      <c r="M15" s="15" t="str">
        <f t="shared" si="9"/>
        <v>2019 Elite Canada</v>
      </c>
      <c r="N15" s="15">
        <f t="shared" si="10"/>
        <v>34.634999999999998</v>
      </c>
      <c r="O15" s="15" t="str">
        <f t="shared" si="11"/>
        <v>2019 Elite Canada</v>
      </c>
      <c r="P15" s="15" t="str">
        <f t="shared" si="12"/>
        <v/>
      </c>
      <c r="Q15" s="15" t="str">
        <f t="shared" si="13"/>
        <v/>
      </c>
      <c r="R15" s="15" t="str">
        <f t="shared" si="14"/>
        <v/>
      </c>
      <c r="S15" s="27" t="str">
        <f t="shared" si="15"/>
        <v/>
      </c>
      <c r="T15" s="15" t="str">
        <f t="shared" si="16"/>
        <v/>
      </c>
      <c r="U15" s="71">
        <v>2.9</v>
      </c>
      <c r="V15" s="71">
        <v>1.7</v>
      </c>
      <c r="W15" s="71">
        <v>0</v>
      </c>
      <c r="X15" s="71">
        <v>3.5249999999999999</v>
      </c>
      <c r="Y15" s="71">
        <v>0</v>
      </c>
      <c r="Z15" s="71">
        <v>8.1999999999999993</v>
      </c>
      <c r="AA15" s="71">
        <v>5.95</v>
      </c>
      <c r="AB15" s="71">
        <v>9.3000000000000007</v>
      </c>
      <c r="AC15" s="71">
        <v>11.185</v>
      </c>
      <c r="AD15" s="71">
        <v>0</v>
      </c>
      <c r="AE15" s="71"/>
      <c r="AF15" s="71"/>
      <c r="AG15" s="71"/>
      <c r="AH15" s="71"/>
      <c r="AI15" s="71"/>
      <c r="AJ15" s="82"/>
      <c r="AK15" s="12">
        <f t="shared" si="17"/>
        <v>9.3000000000000007</v>
      </c>
      <c r="AL15" s="12">
        <f t="shared" si="18"/>
        <v>8.125</v>
      </c>
      <c r="AM15" s="12">
        <f t="shared" si="19"/>
        <v>34.634999999999998</v>
      </c>
      <c r="AN15" s="12">
        <f t="shared" si="20"/>
        <v>42.76</v>
      </c>
      <c r="AO15" s="12" t="str">
        <f t="shared" si="21"/>
        <v/>
      </c>
      <c r="AP15" s="12" t="str">
        <f t="shared" si="22"/>
        <v/>
      </c>
      <c r="AQ15" s="12">
        <f t="shared" si="23"/>
        <v>42.76</v>
      </c>
      <c r="AR15" s="77">
        <v>15.5</v>
      </c>
      <c r="AS15" s="77">
        <v>8.6999999999999993</v>
      </c>
      <c r="AT15" s="77">
        <v>5.2</v>
      </c>
      <c r="AU15" s="77">
        <v>16.704999999999998</v>
      </c>
      <c r="AV15" s="77">
        <v>0</v>
      </c>
      <c r="AW15" s="77">
        <v>13.8</v>
      </c>
      <c r="AX15" s="77">
        <v>8.5</v>
      </c>
      <c r="AY15" s="77">
        <v>14.4</v>
      </c>
      <c r="AZ15" s="77">
        <v>16.024999999999999</v>
      </c>
      <c r="BA15" s="77">
        <v>0</v>
      </c>
      <c r="BB15" s="77"/>
      <c r="BC15" s="77"/>
      <c r="BD15" s="77"/>
      <c r="BE15" s="77"/>
      <c r="BF15" s="77"/>
      <c r="BG15" s="83"/>
      <c r="BH15" s="15">
        <f t="shared" si="24"/>
        <v>14.4</v>
      </c>
      <c r="BI15" s="15">
        <f t="shared" si="25"/>
        <v>46.104999999999997</v>
      </c>
      <c r="BJ15" s="15">
        <f t="shared" si="26"/>
        <v>52.725000000000001</v>
      </c>
      <c r="BK15" s="15">
        <f t="shared" si="27"/>
        <v>98.83</v>
      </c>
      <c r="BL15" s="15" t="str">
        <f t="shared" si="28"/>
        <v/>
      </c>
      <c r="BM15" s="15" t="str">
        <f t="shared" si="29"/>
        <v/>
      </c>
      <c r="BN15" s="15">
        <f t="shared" si="30"/>
        <v>98.83</v>
      </c>
      <c r="BO15" s="26" t="str">
        <f t="shared" si="31"/>
        <v/>
      </c>
      <c r="BP15" s="26" t="str">
        <f t="shared" si="32"/>
        <v/>
      </c>
      <c r="BQ15" s="26" t="str">
        <f t="shared" si="33"/>
        <v/>
      </c>
      <c r="BR15" s="26" t="str">
        <f t="shared" si="34"/>
        <v/>
      </c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12" t="str">
        <f t="shared" si="35"/>
        <v/>
      </c>
      <c r="CI15" s="12" t="str">
        <f t="shared" si="36"/>
        <v/>
      </c>
      <c r="CJ15" s="12" t="str">
        <f t="shared" si="37"/>
        <v/>
      </c>
      <c r="CK15" s="12" t="str">
        <f t="shared" si="38"/>
        <v/>
      </c>
      <c r="CL15" s="12" t="str">
        <f t="shared" si="39"/>
        <v/>
      </c>
      <c r="CM15" s="12" t="str">
        <f t="shared" si="40"/>
        <v/>
      </c>
      <c r="CN15" s="12" t="str">
        <f t="shared" si="41"/>
        <v/>
      </c>
      <c r="CO15" s="40"/>
      <c r="CP15" s="40"/>
      <c r="CQ15" s="40"/>
      <c r="CR15" s="40"/>
      <c r="CS15" s="40"/>
      <c r="CT15" s="40"/>
      <c r="CU15" s="40"/>
      <c r="CV15" s="40"/>
      <c r="CW15" s="40"/>
      <c r="CX15" s="40"/>
      <c r="CY15" s="40"/>
      <c r="CZ15" s="40"/>
      <c r="DA15" s="40"/>
      <c r="DB15" s="40"/>
      <c r="DC15" s="40"/>
      <c r="DD15" s="15" t="str">
        <f t="shared" si="42"/>
        <v/>
      </c>
      <c r="DE15" s="15" t="str">
        <f t="shared" si="43"/>
        <v/>
      </c>
      <c r="DF15" s="15" t="str">
        <f t="shared" si="44"/>
        <v/>
      </c>
      <c r="DG15" s="15" t="str">
        <f t="shared" si="45"/>
        <v/>
      </c>
      <c r="DH15" s="15" t="str">
        <f t="shared" si="46"/>
        <v/>
      </c>
      <c r="DI15" s="15" t="str">
        <f t="shared" si="47"/>
        <v/>
      </c>
      <c r="DJ15" s="15" t="str">
        <f t="shared" si="48"/>
        <v/>
      </c>
      <c r="DK15" s="39"/>
      <c r="DL15" s="39"/>
      <c r="DM15" s="39"/>
      <c r="DN15" s="39"/>
      <c r="DO15" s="39"/>
      <c r="DP15" s="39"/>
      <c r="DQ15" s="39"/>
      <c r="DR15" s="39"/>
      <c r="DS15" s="39"/>
      <c r="DT15" s="39"/>
      <c r="DU15" s="39"/>
      <c r="DV15" s="39"/>
      <c r="DW15" s="39"/>
      <c r="DX15" s="39"/>
      <c r="DY15" s="39"/>
      <c r="DZ15" s="12" t="str">
        <f t="shared" si="49"/>
        <v/>
      </c>
      <c r="EA15" s="12" t="str">
        <f t="shared" si="50"/>
        <v/>
      </c>
      <c r="EB15" s="12" t="str">
        <f t="shared" si="51"/>
        <v/>
      </c>
      <c r="EC15" s="12" t="str">
        <f t="shared" si="52"/>
        <v/>
      </c>
      <c r="ED15" s="12" t="str">
        <f t="shared" si="53"/>
        <v/>
      </c>
      <c r="EE15" s="12" t="str">
        <f t="shared" si="54"/>
        <v/>
      </c>
      <c r="EF15" s="12" t="str">
        <f t="shared" si="55"/>
        <v/>
      </c>
      <c r="EG15" s="40"/>
      <c r="EH15" s="40"/>
      <c r="EI15" s="40"/>
      <c r="EJ15" s="40"/>
      <c r="EK15" s="40"/>
      <c r="EL15" s="40"/>
      <c r="EM15" s="40"/>
      <c r="EN15" s="40"/>
      <c r="EO15" s="40"/>
      <c r="EP15" s="40"/>
      <c r="EQ15" s="40"/>
      <c r="ER15" s="40"/>
      <c r="ES15" s="40"/>
      <c r="ET15" s="40"/>
      <c r="EU15" s="40"/>
      <c r="EV15" s="15" t="str">
        <f t="shared" si="56"/>
        <v/>
      </c>
      <c r="EW15" s="15" t="str">
        <f t="shared" si="57"/>
        <v/>
      </c>
      <c r="EX15" s="15" t="str">
        <f t="shared" si="58"/>
        <v/>
      </c>
      <c r="EY15" s="15" t="str">
        <f t="shared" si="59"/>
        <v/>
      </c>
      <c r="EZ15" s="15" t="str">
        <f t="shared" si="60"/>
        <v/>
      </c>
      <c r="FA15" s="15" t="str">
        <f t="shared" si="61"/>
        <v/>
      </c>
      <c r="FB15" s="15" t="str">
        <f t="shared" si="62"/>
        <v/>
      </c>
      <c r="FC15" s="39"/>
      <c r="FD15" s="39"/>
      <c r="FE15" s="39"/>
      <c r="FF15" s="39"/>
      <c r="FG15" s="39"/>
      <c r="FH15" s="39"/>
      <c r="FI15" s="39"/>
      <c r="FJ15" s="39"/>
      <c r="FK15" s="39"/>
      <c r="FL15" s="39"/>
      <c r="FM15" s="39"/>
      <c r="FN15" s="39"/>
      <c r="FO15" s="39"/>
      <c r="FP15" s="39"/>
      <c r="FQ15" s="39"/>
      <c r="FR15" s="12" t="str">
        <f t="shared" si="63"/>
        <v/>
      </c>
      <c r="FS15" s="12" t="str">
        <f t="shared" si="64"/>
        <v/>
      </c>
      <c r="FT15" s="12" t="str">
        <f t="shared" si="65"/>
        <v/>
      </c>
      <c r="FU15" s="12" t="str">
        <f t="shared" si="66"/>
        <v/>
      </c>
      <c r="FV15" s="12" t="str">
        <f t="shared" si="67"/>
        <v/>
      </c>
      <c r="FW15" s="12" t="str">
        <f t="shared" si="68"/>
        <v/>
      </c>
      <c r="FX15" s="12" t="str">
        <f t="shared" si="69"/>
        <v/>
      </c>
      <c r="FY15" s="40"/>
      <c r="FZ15" s="40"/>
      <c r="GA15" s="40"/>
      <c r="GB15" s="40"/>
      <c r="GC15" s="40"/>
      <c r="GD15" s="40"/>
      <c r="GE15" s="40"/>
      <c r="GF15" s="40"/>
      <c r="GG15" s="40"/>
      <c r="GH15" s="40"/>
      <c r="GI15" s="40"/>
      <c r="GJ15" s="40"/>
      <c r="GK15" s="40"/>
      <c r="GL15" s="40"/>
      <c r="GM15" s="40"/>
      <c r="GN15" s="15" t="str">
        <f t="shared" si="70"/>
        <v/>
      </c>
      <c r="GO15" s="15" t="str">
        <f t="shared" si="71"/>
        <v/>
      </c>
      <c r="GP15" s="15" t="str">
        <f t="shared" si="72"/>
        <v/>
      </c>
      <c r="GQ15" s="15" t="str">
        <f t="shared" si="73"/>
        <v/>
      </c>
      <c r="GR15" s="15" t="str">
        <f t="shared" si="74"/>
        <v/>
      </c>
      <c r="GS15" s="15" t="str">
        <f t="shared" si="75"/>
        <v/>
      </c>
      <c r="GT15" s="15" t="str">
        <f t="shared" si="76"/>
        <v/>
      </c>
      <c r="GU15" s="39"/>
      <c r="GV15" s="39"/>
      <c r="GW15" s="39"/>
      <c r="GX15" s="39"/>
      <c r="GY15" s="39"/>
      <c r="GZ15" s="39"/>
      <c r="HA15" s="39"/>
      <c r="HB15" s="39"/>
      <c r="HC15" s="39"/>
      <c r="HD15" s="39"/>
      <c r="HE15" s="39"/>
      <c r="HF15" s="39"/>
      <c r="HG15" s="39"/>
      <c r="HH15" s="39"/>
      <c r="HI15" s="39"/>
      <c r="HJ15" s="12" t="str">
        <f t="shared" si="77"/>
        <v/>
      </c>
      <c r="HK15" s="12" t="str">
        <f t="shared" si="78"/>
        <v/>
      </c>
      <c r="HL15" s="12" t="str">
        <f t="shared" si="79"/>
        <v/>
      </c>
      <c r="HM15" s="12" t="str">
        <f t="shared" si="80"/>
        <v/>
      </c>
      <c r="HN15" s="12" t="str">
        <f t="shared" si="81"/>
        <v/>
      </c>
      <c r="HO15" s="12" t="str">
        <f t="shared" si="82"/>
        <v/>
      </c>
      <c r="HP15" s="12" t="str">
        <f t="shared" si="83"/>
        <v/>
      </c>
      <c r="HQ15" s="40"/>
      <c r="HR15" s="40"/>
      <c r="HS15" s="40"/>
      <c r="HT15" s="40"/>
      <c r="HU15" s="40"/>
      <c r="HV15" s="40"/>
      <c r="HW15" s="40"/>
      <c r="HX15" s="40"/>
      <c r="HY15" s="40"/>
      <c r="HZ15" s="40"/>
      <c r="IA15" s="40"/>
      <c r="IB15" s="40"/>
      <c r="IC15" s="40"/>
      <c r="ID15" s="40"/>
      <c r="IE15" s="40"/>
      <c r="IF15" s="15" t="str">
        <f t="shared" si="84"/>
        <v/>
      </c>
      <c r="IG15" s="15" t="str">
        <f t="shared" si="85"/>
        <v/>
      </c>
      <c r="IH15" s="15" t="str">
        <f t="shared" si="86"/>
        <v/>
      </c>
      <c r="II15" s="15" t="str">
        <f t="shared" si="87"/>
        <v/>
      </c>
      <c r="IJ15" s="15" t="str">
        <f t="shared" si="88"/>
        <v/>
      </c>
      <c r="IK15" s="15" t="str">
        <f t="shared" si="89"/>
        <v/>
      </c>
      <c r="IL15" s="15" t="str">
        <f t="shared" si="90"/>
        <v/>
      </c>
      <c r="IM15" s="39"/>
      <c r="IN15" s="39"/>
      <c r="IO15" s="39"/>
      <c r="IP15" s="39"/>
      <c r="IQ15" s="39"/>
      <c r="IR15" s="39"/>
      <c r="IS15" s="39"/>
      <c r="IT15" s="39"/>
      <c r="IU15" s="39"/>
      <c r="IV15" s="39"/>
      <c r="IW15" s="39"/>
      <c r="IX15" s="39"/>
      <c r="IY15" s="39"/>
      <c r="IZ15" s="39"/>
      <c r="JA15" s="39"/>
      <c r="JB15" s="12" t="str">
        <f t="shared" si="91"/>
        <v/>
      </c>
      <c r="JC15" s="12" t="str">
        <f t="shared" si="92"/>
        <v/>
      </c>
      <c r="JD15" s="12" t="str">
        <f t="shared" si="93"/>
        <v/>
      </c>
      <c r="JE15" s="12" t="str">
        <f t="shared" si="94"/>
        <v/>
      </c>
      <c r="JF15" s="12" t="str">
        <f t="shared" si="95"/>
        <v/>
      </c>
      <c r="JG15" s="12" t="str">
        <f t="shared" si="96"/>
        <v/>
      </c>
      <c r="JH15" s="12" t="str">
        <f t="shared" si="97"/>
        <v/>
      </c>
      <c r="JI15" s="40"/>
      <c r="JJ15" s="40"/>
      <c r="JK15" s="40"/>
      <c r="JL15" s="40"/>
      <c r="JM15" s="40"/>
      <c r="JN15" s="40"/>
      <c r="JO15" s="40"/>
      <c r="JP15" s="40"/>
      <c r="JQ15" s="40"/>
      <c r="JR15" s="40"/>
      <c r="JS15" s="40"/>
      <c r="JT15" s="40"/>
      <c r="JU15" s="40"/>
      <c r="JV15" s="40"/>
      <c r="JW15" s="40"/>
      <c r="JX15" s="15" t="str">
        <f t="shared" si="98"/>
        <v/>
      </c>
      <c r="JY15" s="15" t="str">
        <f t="shared" si="99"/>
        <v/>
      </c>
      <c r="JZ15" s="15" t="str">
        <f t="shared" si="100"/>
        <v/>
      </c>
      <c r="KA15" s="15" t="str">
        <f t="shared" si="101"/>
        <v/>
      </c>
      <c r="KB15" s="15" t="str">
        <f t="shared" si="102"/>
        <v/>
      </c>
      <c r="KC15" s="15" t="str">
        <f t="shared" si="103"/>
        <v/>
      </c>
      <c r="KD15" s="15" t="str">
        <f t="shared" si="104"/>
        <v/>
      </c>
      <c r="KE15" s="39"/>
      <c r="KF15" s="39"/>
      <c r="KG15" s="39"/>
      <c r="KH15" s="39"/>
      <c r="KI15" s="39"/>
      <c r="KJ15" s="39"/>
      <c r="KK15" s="39"/>
      <c r="KL15" s="39"/>
      <c r="KM15" s="39"/>
      <c r="KN15" s="39"/>
      <c r="KO15" s="39"/>
      <c r="KP15" s="39"/>
      <c r="KQ15" s="39"/>
      <c r="KR15" s="39"/>
      <c r="KS15" s="39"/>
      <c r="KT15" s="12" t="str">
        <f t="shared" si="105"/>
        <v/>
      </c>
      <c r="KU15" s="12" t="str">
        <f t="shared" si="106"/>
        <v/>
      </c>
      <c r="KV15" s="12" t="str">
        <f t="shared" si="107"/>
        <v/>
      </c>
      <c r="KW15" s="12" t="str">
        <f t="shared" si="108"/>
        <v/>
      </c>
      <c r="KX15" s="12" t="str">
        <f t="shared" si="109"/>
        <v/>
      </c>
      <c r="KY15" s="12" t="str">
        <f t="shared" si="110"/>
        <v/>
      </c>
      <c r="KZ15" s="12" t="str">
        <f t="shared" si="111"/>
        <v/>
      </c>
      <c r="LA15" s="40"/>
      <c r="LB15" s="40"/>
      <c r="LC15" s="40"/>
      <c r="LD15" s="40"/>
      <c r="LE15" s="40"/>
      <c r="LF15" s="40"/>
      <c r="LG15" s="40"/>
      <c r="LH15" s="40"/>
      <c r="LI15" s="40"/>
      <c r="LJ15" s="40"/>
      <c r="LK15" s="40"/>
      <c r="LL15" s="40"/>
      <c r="LM15" s="40"/>
      <c r="LN15" s="40"/>
      <c r="LO15" s="40"/>
      <c r="LP15" s="15" t="str">
        <f t="shared" si="112"/>
        <v/>
      </c>
      <c r="LQ15" s="15" t="str">
        <f t="shared" si="113"/>
        <v/>
      </c>
      <c r="LR15" s="15" t="str">
        <f t="shared" si="114"/>
        <v/>
      </c>
      <c r="LS15" s="15" t="str">
        <f t="shared" si="115"/>
        <v/>
      </c>
      <c r="LT15" s="15" t="str">
        <f t="shared" si="116"/>
        <v/>
      </c>
      <c r="LU15" s="15" t="str">
        <f t="shared" si="117"/>
        <v/>
      </c>
      <c r="LV15" s="15" t="str">
        <f t="shared" si="118"/>
        <v/>
      </c>
      <c r="LW15" s="71">
        <f t="shared" si="119"/>
        <v>9.1999999999999993</v>
      </c>
      <c r="LX15" s="71">
        <f t="shared" si="120"/>
        <v>5.1999999999999993</v>
      </c>
      <c r="LY15" s="71">
        <f t="shared" si="121"/>
        <v>2.6</v>
      </c>
      <c r="LZ15" s="71">
        <f t="shared" si="122"/>
        <v>10.114999999999998</v>
      </c>
      <c r="MA15" s="71">
        <f t="shared" si="123"/>
        <v>0</v>
      </c>
      <c r="MB15" s="71">
        <f t="shared" si="124"/>
        <v>11</v>
      </c>
      <c r="MC15" s="71">
        <f t="shared" si="125"/>
        <v>7.2249999999999996</v>
      </c>
      <c r="MD15" s="71">
        <f t="shared" si="126"/>
        <v>11.850000000000001</v>
      </c>
      <c r="ME15" s="71">
        <f t="shared" si="127"/>
        <v>13.605</v>
      </c>
      <c r="MF15" s="71">
        <f t="shared" si="128"/>
        <v>0</v>
      </c>
      <c r="MG15" s="71">
        <f t="shared" si="129"/>
        <v>0</v>
      </c>
      <c r="MH15" s="71">
        <f t="shared" si="130"/>
        <v>0</v>
      </c>
      <c r="MI15" s="71">
        <f t="shared" si="131"/>
        <v>0</v>
      </c>
      <c r="MJ15" s="71">
        <f t="shared" si="132"/>
        <v>0</v>
      </c>
      <c r="MK15" s="71">
        <f t="shared" si="133"/>
        <v>0</v>
      </c>
      <c r="ML15" s="82" t="s">
        <v>100</v>
      </c>
      <c r="MM15" s="12">
        <f t="shared" si="134"/>
        <v>11.850000000000001</v>
      </c>
      <c r="MN15" s="12">
        <f t="shared" si="135"/>
        <v>27.114999999999998</v>
      </c>
      <c r="MO15" s="12">
        <f t="shared" si="136"/>
        <v>43.680000000000007</v>
      </c>
      <c r="MP15" s="12">
        <f t="shared" si="137"/>
        <v>70.795000000000002</v>
      </c>
      <c r="MQ15" s="12" t="str">
        <f t="shared" si="140"/>
        <v/>
      </c>
      <c r="MR15" s="12" t="str">
        <f t="shared" si="138"/>
        <v/>
      </c>
      <c r="MS15" s="12">
        <f t="shared" si="139"/>
        <v>70.795000000000002</v>
      </c>
    </row>
    <row r="16" spans="1:357" x14ac:dyDescent="0.2">
      <c r="A16" s="6" t="str">
        <f t="shared" si="0"/>
        <v/>
      </c>
      <c r="B16" s="7" t="s">
        <v>167</v>
      </c>
      <c r="C16" s="8" t="s">
        <v>10</v>
      </c>
      <c r="D16" s="29">
        <v>2000</v>
      </c>
      <c r="E16" s="16">
        <f t="shared" si="1"/>
        <v>224.46999999999997</v>
      </c>
      <c r="F16" s="4" t="str">
        <f t="shared" si="2"/>
        <v/>
      </c>
      <c r="G16" s="4" t="str">
        <f t="shared" si="3"/>
        <v/>
      </c>
      <c r="H16" s="4" t="str">
        <f t="shared" si="4"/>
        <v/>
      </c>
      <c r="I16" t="str">
        <f t="shared" si="5"/>
        <v/>
      </c>
      <c r="J16" s="15">
        <f t="shared" si="6"/>
        <v>94.614999999999995</v>
      </c>
      <c r="K16" s="15" t="str">
        <f t="shared" si="7"/>
        <v>2019 Elite Canada</v>
      </c>
      <c r="L16" s="15">
        <f t="shared" si="8"/>
        <v>45.234999999999999</v>
      </c>
      <c r="M16" s="15" t="str">
        <f t="shared" si="9"/>
        <v>2019 Nationals</v>
      </c>
      <c r="N16" s="15">
        <f t="shared" si="10"/>
        <v>35.414999999999999</v>
      </c>
      <c r="O16" s="15" t="str">
        <f t="shared" si="11"/>
        <v>2019 Nationals</v>
      </c>
      <c r="P16" s="15">
        <f t="shared" si="12"/>
        <v>49.204999999999998</v>
      </c>
      <c r="Q16" s="15" t="str">
        <f t="shared" si="13"/>
        <v>2019 Elite Canada</v>
      </c>
      <c r="R16" s="15" t="str">
        <f t="shared" si="14"/>
        <v/>
      </c>
      <c r="S16" s="27" t="str">
        <f t="shared" si="15"/>
        <v/>
      </c>
      <c r="T16" s="15" t="str">
        <f t="shared" si="16"/>
        <v/>
      </c>
      <c r="U16" s="71">
        <v>16.899999999999999</v>
      </c>
      <c r="V16" s="71">
        <v>9.5</v>
      </c>
      <c r="W16" s="71">
        <v>3.4</v>
      </c>
      <c r="X16" s="71">
        <v>15.994999999999999</v>
      </c>
      <c r="Y16" s="71">
        <v>0</v>
      </c>
      <c r="Z16" s="71">
        <v>14</v>
      </c>
      <c r="AA16" s="71">
        <v>9.4499999999999993</v>
      </c>
      <c r="AB16" s="71">
        <v>12</v>
      </c>
      <c r="AC16" s="71">
        <v>14.87</v>
      </c>
      <c r="AD16" s="71">
        <v>1.5</v>
      </c>
      <c r="AE16" s="71">
        <v>14.8</v>
      </c>
      <c r="AF16" s="71">
        <v>8.9499999999999993</v>
      </c>
      <c r="AG16" s="71">
        <v>12</v>
      </c>
      <c r="AH16" s="71">
        <v>14.955</v>
      </c>
      <c r="AI16" s="71">
        <v>1.5</v>
      </c>
      <c r="AJ16" s="82"/>
      <c r="AK16" s="12">
        <f t="shared" si="17"/>
        <v>12</v>
      </c>
      <c r="AL16" s="12">
        <f t="shared" si="18"/>
        <v>45.794999999999995</v>
      </c>
      <c r="AM16" s="12">
        <f t="shared" si="19"/>
        <v>48.82</v>
      </c>
      <c r="AN16" s="12">
        <f t="shared" si="20"/>
        <v>94.614999999999995</v>
      </c>
      <c r="AO16" s="12">
        <f t="shared" si="21"/>
        <v>12</v>
      </c>
      <c r="AP16" s="12">
        <f t="shared" si="22"/>
        <v>49.204999999999998</v>
      </c>
      <c r="AQ16" s="12">
        <f t="shared" si="23"/>
        <v>143.82</v>
      </c>
      <c r="AR16" s="77">
        <v>15.335000000000001</v>
      </c>
      <c r="AS16" s="77">
        <v>17.399999999999999</v>
      </c>
      <c r="AT16" s="77">
        <v>9.3000000000000007</v>
      </c>
      <c r="AU16" s="77">
        <v>3.2</v>
      </c>
      <c r="AV16" s="77">
        <v>0</v>
      </c>
      <c r="AW16" s="77">
        <v>10.7</v>
      </c>
      <c r="AX16" s="77">
        <v>6.2</v>
      </c>
      <c r="AY16" s="77">
        <v>8.3000000000000007</v>
      </c>
      <c r="AZ16" s="77">
        <v>10.215</v>
      </c>
      <c r="BA16" s="77">
        <v>0</v>
      </c>
      <c r="BB16" s="77"/>
      <c r="BC16" s="77"/>
      <c r="BD16" s="77"/>
      <c r="BE16" s="77"/>
      <c r="BF16" s="77"/>
      <c r="BG16" s="83"/>
      <c r="BH16" s="15">
        <f t="shared" si="24"/>
        <v>8.3000000000000007</v>
      </c>
      <c r="BI16" s="15">
        <f t="shared" si="25"/>
        <v>45.234999999999999</v>
      </c>
      <c r="BJ16" s="15">
        <f t="shared" si="26"/>
        <v>35.414999999999999</v>
      </c>
      <c r="BK16" s="15">
        <f t="shared" si="27"/>
        <v>80.650000000000006</v>
      </c>
      <c r="BL16" s="15" t="str">
        <f t="shared" si="28"/>
        <v/>
      </c>
      <c r="BM16" s="15" t="str">
        <f t="shared" si="29"/>
        <v/>
      </c>
      <c r="BN16" s="15">
        <f t="shared" si="30"/>
        <v>80.650000000000006</v>
      </c>
      <c r="BO16" s="26" t="str">
        <f t="shared" si="31"/>
        <v/>
      </c>
      <c r="BP16" s="26" t="str">
        <f t="shared" si="32"/>
        <v/>
      </c>
      <c r="BQ16" s="26" t="str">
        <f t="shared" si="33"/>
        <v/>
      </c>
      <c r="BR16" s="26" t="str">
        <f t="shared" si="34"/>
        <v/>
      </c>
      <c r="BS16" s="39"/>
      <c r="BT16" s="39"/>
      <c r="BU16" s="39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39"/>
      <c r="CG16" s="39"/>
      <c r="CH16" s="12" t="str">
        <f t="shared" si="35"/>
        <v/>
      </c>
      <c r="CI16" s="12" t="str">
        <f t="shared" si="36"/>
        <v/>
      </c>
      <c r="CJ16" s="12" t="str">
        <f t="shared" si="37"/>
        <v/>
      </c>
      <c r="CK16" s="12" t="str">
        <f t="shared" si="38"/>
        <v/>
      </c>
      <c r="CL16" s="12" t="str">
        <f t="shared" si="39"/>
        <v/>
      </c>
      <c r="CM16" s="12" t="str">
        <f t="shared" si="40"/>
        <v/>
      </c>
      <c r="CN16" s="12" t="str">
        <f t="shared" si="41"/>
        <v/>
      </c>
      <c r="CO16" s="40"/>
      <c r="CP16" s="40"/>
      <c r="CQ16" s="40"/>
      <c r="CR16" s="40"/>
      <c r="CS16" s="40"/>
      <c r="CT16" s="40"/>
      <c r="CU16" s="40"/>
      <c r="CV16" s="40"/>
      <c r="CW16" s="40"/>
      <c r="CX16" s="40"/>
      <c r="CY16" s="40"/>
      <c r="CZ16" s="40"/>
      <c r="DA16" s="40"/>
      <c r="DB16" s="40"/>
      <c r="DC16" s="40"/>
      <c r="DD16" s="15" t="str">
        <f t="shared" si="42"/>
        <v/>
      </c>
      <c r="DE16" s="15" t="str">
        <f t="shared" si="43"/>
        <v/>
      </c>
      <c r="DF16" s="15" t="str">
        <f t="shared" si="44"/>
        <v/>
      </c>
      <c r="DG16" s="15" t="str">
        <f t="shared" si="45"/>
        <v/>
      </c>
      <c r="DH16" s="15" t="str">
        <f t="shared" si="46"/>
        <v/>
      </c>
      <c r="DI16" s="15" t="str">
        <f t="shared" si="47"/>
        <v/>
      </c>
      <c r="DJ16" s="15" t="str">
        <f t="shared" si="48"/>
        <v/>
      </c>
      <c r="DK16" s="39"/>
      <c r="DL16" s="39"/>
      <c r="DM16" s="39"/>
      <c r="DN16" s="39"/>
      <c r="DO16" s="39"/>
      <c r="DP16" s="39"/>
      <c r="DQ16" s="39"/>
      <c r="DR16" s="39"/>
      <c r="DS16" s="39"/>
      <c r="DT16" s="39"/>
      <c r="DU16" s="39"/>
      <c r="DV16" s="39"/>
      <c r="DW16" s="39"/>
      <c r="DX16" s="39"/>
      <c r="DY16" s="39"/>
      <c r="DZ16" s="12" t="str">
        <f t="shared" si="49"/>
        <v/>
      </c>
      <c r="EA16" s="12" t="str">
        <f t="shared" si="50"/>
        <v/>
      </c>
      <c r="EB16" s="12" t="str">
        <f t="shared" si="51"/>
        <v/>
      </c>
      <c r="EC16" s="12" t="str">
        <f t="shared" si="52"/>
        <v/>
      </c>
      <c r="ED16" s="12" t="str">
        <f t="shared" si="53"/>
        <v/>
      </c>
      <c r="EE16" s="12" t="str">
        <f t="shared" si="54"/>
        <v/>
      </c>
      <c r="EF16" s="12" t="str">
        <f t="shared" si="55"/>
        <v/>
      </c>
      <c r="EG16" s="40"/>
      <c r="EH16" s="40"/>
      <c r="EI16" s="40"/>
      <c r="EJ16" s="40"/>
      <c r="EK16" s="40"/>
      <c r="EL16" s="40"/>
      <c r="EM16" s="40"/>
      <c r="EN16" s="40"/>
      <c r="EO16" s="40"/>
      <c r="EP16" s="40"/>
      <c r="EQ16" s="40"/>
      <c r="ER16" s="40"/>
      <c r="ES16" s="40"/>
      <c r="ET16" s="40"/>
      <c r="EU16" s="40"/>
      <c r="EV16" s="15" t="str">
        <f t="shared" si="56"/>
        <v/>
      </c>
      <c r="EW16" s="15" t="str">
        <f t="shared" si="57"/>
        <v/>
      </c>
      <c r="EX16" s="15" t="str">
        <f t="shared" si="58"/>
        <v/>
      </c>
      <c r="EY16" s="15" t="str">
        <f t="shared" si="59"/>
        <v/>
      </c>
      <c r="EZ16" s="15" t="str">
        <f t="shared" si="60"/>
        <v/>
      </c>
      <c r="FA16" s="15" t="str">
        <f t="shared" si="61"/>
        <v/>
      </c>
      <c r="FB16" s="15" t="str">
        <f t="shared" si="62"/>
        <v/>
      </c>
      <c r="FC16" s="39"/>
      <c r="FD16" s="39"/>
      <c r="FE16" s="39"/>
      <c r="FF16" s="39"/>
      <c r="FG16" s="39"/>
      <c r="FH16" s="39"/>
      <c r="FI16" s="39"/>
      <c r="FJ16" s="39"/>
      <c r="FK16" s="39"/>
      <c r="FL16" s="39"/>
      <c r="FM16" s="39"/>
      <c r="FN16" s="39"/>
      <c r="FO16" s="39"/>
      <c r="FP16" s="39"/>
      <c r="FQ16" s="39"/>
      <c r="FR16" s="12" t="str">
        <f t="shared" si="63"/>
        <v/>
      </c>
      <c r="FS16" s="12" t="str">
        <f t="shared" si="64"/>
        <v/>
      </c>
      <c r="FT16" s="12" t="str">
        <f t="shared" si="65"/>
        <v/>
      </c>
      <c r="FU16" s="12" t="str">
        <f t="shared" si="66"/>
        <v/>
      </c>
      <c r="FV16" s="12" t="str">
        <f t="shared" si="67"/>
        <v/>
      </c>
      <c r="FW16" s="12" t="str">
        <f t="shared" si="68"/>
        <v/>
      </c>
      <c r="FX16" s="12" t="str">
        <f t="shared" si="69"/>
        <v/>
      </c>
      <c r="FY16" s="40"/>
      <c r="FZ16" s="40"/>
      <c r="GA16" s="40"/>
      <c r="GB16" s="40"/>
      <c r="GC16" s="40"/>
      <c r="GD16" s="40"/>
      <c r="GE16" s="40"/>
      <c r="GF16" s="40"/>
      <c r="GG16" s="40"/>
      <c r="GH16" s="40"/>
      <c r="GI16" s="40"/>
      <c r="GJ16" s="40"/>
      <c r="GK16" s="40"/>
      <c r="GL16" s="40"/>
      <c r="GM16" s="40"/>
      <c r="GN16" s="15" t="str">
        <f t="shared" si="70"/>
        <v/>
      </c>
      <c r="GO16" s="15" t="str">
        <f t="shared" si="71"/>
        <v/>
      </c>
      <c r="GP16" s="15" t="str">
        <f t="shared" si="72"/>
        <v/>
      </c>
      <c r="GQ16" s="15" t="str">
        <f t="shared" si="73"/>
        <v/>
      </c>
      <c r="GR16" s="15" t="str">
        <f t="shared" si="74"/>
        <v/>
      </c>
      <c r="GS16" s="15" t="str">
        <f t="shared" si="75"/>
        <v/>
      </c>
      <c r="GT16" s="15" t="str">
        <f t="shared" si="76"/>
        <v/>
      </c>
      <c r="GU16" s="39"/>
      <c r="GV16" s="39"/>
      <c r="GW16" s="39"/>
      <c r="GX16" s="39"/>
      <c r="GY16" s="39"/>
      <c r="GZ16" s="39"/>
      <c r="HA16" s="39"/>
      <c r="HB16" s="39"/>
      <c r="HC16" s="39"/>
      <c r="HD16" s="39"/>
      <c r="HE16" s="39"/>
      <c r="HF16" s="39"/>
      <c r="HG16" s="39"/>
      <c r="HH16" s="39"/>
      <c r="HI16" s="39"/>
      <c r="HJ16" s="12" t="str">
        <f t="shared" si="77"/>
        <v/>
      </c>
      <c r="HK16" s="12" t="str">
        <f t="shared" si="78"/>
        <v/>
      </c>
      <c r="HL16" s="12" t="str">
        <f t="shared" si="79"/>
        <v/>
      </c>
      <c r="HM16" s="12" t="str">
        <f t="shared" si="80"/>
        <v/>
      </c>
      <c r="HN16" s="12" t="str">
        <f t="shared" si="81"/>
        <v/>
      </c>
      <c r="HO16" s="12" t="str">
        <f t="shared" si="82"/>
        <v/>
      </c>
      <c r="HP16" s="12" t="str">
        <f t="shared" si="83"/>
        <v/>
      </c>
      <c r="HQ16" s="40"/>
      <c r="HR16" s="40"/>
      <c r="HS16" s="40"/>
      <c r="HT16" s="40"/>
      <c r="HU16" s="40"/>
      <c r="HV16" s="40"/>
      <c r="HW16" s="40"/>
      <c r="HX16" s="40"/>
      <c r="HY16" s="40"/>
      <c r="HZ16" s="40"/>
      <c r="IA16" s="40"/>
      <c r="IB16" s="40"/>
      <c r="IC16" s="40"/>
      <c r="ID16" s="40"/>
      <c r="IE16" s="40"/>
      <c r="IF16" s="15" t="str">
        <f t="shared" si="84"/>
        <v/>
      </c>
      <c r="IG16" s="15" t="str">
        <f t="shared" si="85"/>
        <v/>
      </c>
      <c r="IH16" s="15" t="str">
        <f t="shared" si="86"/>
        <v/>
      </c>
      <c r="II16" s="15" t="str">
        <f t="shared" si="87"/>
        <v/>
      </c>
      <c r="IJ16" s="15" t="str">
        <f t="shared" si="88"/>
        <v/>
      </c>
      <c r="IK16" s="15" t="str">
        <f t="shared" si="89"/>
        <v/>
      </c>
      <c r="IL16" s="15" t="str">
        <f t="shared" si="90"/>
        <v/>
      </c>
      <c r="IM16" s="39"/>
      <c r="IN16" s="39"/>
      <c r="IO16" s="39"/>
      <c r="IP16" s="39"/>
      <c r="IQ16" s="39"/>
      <c r="IR16" s="39"/>
      <c r="IS16" s="39"/>
      <c r="IT16" s="39"/>
      <c r="IU16" s="39"/>
      <c r="IV16" s="39"/>
      <c r="IW16" s="39"/>
      <c r="IX16" s="39"/>
      <c r="IY16" s="39"/>
      <c r="IZ16" s="39"/>
      <c r="JA16" s="39"/>
      <c r="JB16" s="12" t="str">
        <f t="shared" si="91"/>
        <v/>
      </c>
      <c r="JC16" s="12" t="str">
        <f t="shared" si="92"/>
        <v/>
      </c>
      <c r="JD16" s="12" t="str">
        <f t="shared" si="93"/>
        <v/>
      </c>
      <c r="JE16" s="12" t="str">
        <f t="shared" si="94"/>
        <v/>
      </c>
      <c r="JF16" s="12" t="str">
        <f t="shared" si="95"/>
        <v/>
      </c>
      <c r="JG16" s="12" t="str">
        <f t="shared" si="96"/>
        <v/>
      </c>
      <c r="JH16" s="12" t="str">
        <f t="shared" si="97"/>
        <v/>
      </c>
      <c r="JI16" s="40"/>
      <c r="JJ16" s="40"/>
      <c r="JK16" s="40"/>
      <c r="JL16" s="40"/>
      <c r="JM16" s="40"/>
      <c r="JN16" s="40"/>
      <c r="JO16" s="40"/>
      <c r="JP16" s="40"/>
      <c r="JQ16" s="40"/>
      <c r="JR16" s="40"/>
      <c r="JS16" s="40"/>
      <c r="JT16" s="40"/>
      <c r="JU16" s="40"/>
      <c r="JV16" s="40"/>
      <c r="JW16" s="40"/>
      <c r="JX16" s="15" t="str">
        <f t="shared" si="98"/>
        <v/>
      </c>
      <c r="JY16" s="15" t="str">
        <f t="shared" si="99"/>
        <v/>
      </c>
      <c r="JZ16" s="15" t="str">
        <f t="shared" si="100"/>
        <v/>
      </c>
      <c r="KA16" s="15" t="str">
        <f t="shared" si="101"/>
        <v/>
      </c>
      <c r="KB16" s="15" t="str">
        <f t="shared" si="102"/>
        <v/>
      </c>
      <c r="KC16" s="15" t="str">
        <f t="shared" si="103"/>
        <v/>
      </c>
      <c r="KD16" s="15" t="str">
        <f t="shared" si="104"/>
        <v/>
      </c>
      <c r="KE16" s="39"/>
      <c r="KF16" s="39"/>
      <c r="KG16" s="39"/>
      <c r="KH16" s="39"/>
      <c r="KI16" s="39"/>
      <c r="KJ16" s="39"/>
      <c r="KK16" s="39"/>
      <c r="KL16" s="39"/>
      <c r="KM16" s="39"/>
      <c r="KN16" s="39"/>
      <c r="KO16" s="39"/>
      <c r="KP16" s="39"/>
      <c r="KQ16" s="39"/>
      <c r="KR16" s="39"/>
      <c r="KS16" s="39"/>
      <c r="KT16" s="12" t="str">
        <f t="shared" si="105"/>
        <v/>
      </c>
      <c r="KU16" s="12" t="str">
        <f t="shared" si="106"/>
        <v/>
      </c>
      <c r="KV16" s="12" t="str">
        <f t="shared" si="107"/>
        <v/>
      </c>
      <c r="KW16" s="12" t="str">
        <f t="shared" si="108"/>
        <v/>
      </c>
      <c r="KX16" s="12" t="str">
        <f t="shared" si="109"/>
        <v/>
      </c>
      <c r="KY16" s="12" t="str">
        <f t="shared" si="110"/>
        <v/>
      </c>
      <c r="KZ16" s="12" t="str">
        <f t="shared" si="111"/>
        <v/>
      </c>
      <c r="LA16" s="40"/>
      <c r="LB16" s="40"/>
      <c r="LC16" s="40"/>
      <c r="LD16" s="40"/>
      <c r="LE16" s="40"/>
      <c r="LF16" s="40"/>
      <c r="LG16" s="40"/>
      <c r="LH16" s="40"/>
      <c r="LI16" s="40"/>
      <c r="LJ16" s="40"/>
      <c r="LK16" s="40"/>
      <c r="LL16" s="40"/>
      <c r="LM16" s="40"/>
      <c r="LN16" s="40"/>
      <c r="LO16" s="40"/>
      <c r="LP16" s="15" t="str">
        <f t="shared" si="112"/>
        <v/>
      </c>
      <c r="LQ16" s="15" t="str">
        <f t="shared" si="113"/>
        <v/>
      </c>
      <c r="LR16" s="15" t="str">
        <f t="shared" si="114"/>
        <v/>
      </c>
      <c r="LS16" s="15" t="str">
        <f t="shared" si="115"/>
        <v/>
      </c>
      <c r="LT16" s="15" t="str">
        <f t="shared" si="116"/>
        <v/>
      </c>
      <c r="LU16" s="15" t="str">
        <f t="shared" si="117"/>
        <v/>
      </c>
      <c r="LV16" s="15" t="str">
        <f t="shared" si="118"/>
        <v/>
      </c>
      <c r="LW16" s="71">
        <f t="shared" si="119"/>
        <v>16.1175</v>
      </c>
      <c r="LX16" s="71">
        <f t="shared" si="120"/>
        <v>13.45</v>
      </c>
      <c r="LY16" s="71">
        <f t="shared" si="121"/>
        <v>6.3500000000000005</v>
      </c>
      <c r="LZ16" s="71">
        <f t="shared" si="122"/>
        <v>9.5975000000000001</v>
      </c>
      <c r="MA16" s="71">
        <f t="shared" si="123"/>
        <v>0</v>
      </c>
      <c r="MB16" s="71">
        <f t="shared" si="124"/>
        <v>12.35</v>
      </c>
      <c r="MC16" s="71">
        <f t="shared" si="125"/>
        <v>7.8249999999999993</v>
      </c>
      <c r="MD16" s="71">
        <f t="shared" si="126"/>
        <v>10.15</v>
      </c>
      <c r="ME16" s="71">
        <f t="shared" si="127"/>
        <v>12.5425</v>
      </c>
      <c r="MF16" s="71">
        <f t="shared" si="128"/>
        <v>0.75</v>
      </c>
      <c r="MG16" s="71">
        <f t="shared" si="129"/>
        <v>7.4</v>
      </c>
      <c r="MH16" s="71">
        <f t="shared" si="130"/>
        <v>4.4749999999999996</v>
      </c>
      <c r="MI16" s="71">
        <f t="shared" si="131"/>
        <v>6</v>
      </c>
      <c r="MJ16" s="71">
        <f t="shared" si="132"/>
        <v>7.4775</v>
      </c>
      <c r="MK16" s="71">
        <f t="shared" si="133"/>
        <v>0.75</v>
      </c>
      <c r="ML16" s="82" t="s">
        <v>100</v>
      </c>
      <c r="MM16" s="12">
        <f t="shared" si="134"/>
        <v>10.15</v>
      </c>
      <c r="MN16" s="12">
        <f t="shared" si="135"/>
        <v>45.515000000000001</v>
      </c>
      <c r="MO16" s="12">
        <f t="shared" si="136"/>
        <v>42.117499999999993</v>
      </c>
      <c r="MP16" s="12">
        <f t="shared" si="137"/>
        <v>87.632499999999993</v>
      </c>
      <c r="MQ16" s="12">
        <f t="shared" si="140"/>
        <v>6</v>
      </c>
      <c r="MR16" s="12">
        <f t="shared" si="138"/>
        <v>24.602499999999999</v>
      </c>
      <c r="MS16" s="12">
        <f t="shared" si="139"/>
        <v>112.23499999999999</v>
      </c>
    </row>
    <row r="17" spans="1:357" x14ac:dyDescent="0.2">
      <c r="A17" s="6" t="str">
        <f t="shared" si="0"/>
        <v/>
      </c>
      <c r="B17" s="9" t="s">
        <v>7</v>
      </c>
      <c r="C17" s="5" t="s">
        <v>5</v>
      </c>
      <c r="D17" s="29">
        <v>1993</v>
      </c>
      <c r="E17" s="16">
        <f t="shared" si="1"/>
        <v>217.84000000000003</v>
      </c>
      <c r="F17" s="4" t="str">
        <f t="shared" si="2"/>
        <v/>
      </c>
      <c r="G17" s="4" t="str">
        <f t="shared" si="3"/>
        <v/>
      </c>
      <c r="H17" s="4" t="str">
        <f t="shared" si="4"/>
        <v/>
      </c>
      <c r="I17" t="str">
        <f t="shared" si="5"/>
        <v/>
      </c>
      <c r="J17" s="15">
        <f t="shared" si="6"/>
        <v>102.05000000000001</v>
      </c>
      <c r="K17" s="15" t="str">
        <f t="shared" si="7"/>
        <v>2019 Nationals</v>
      </c>
      <c r="L17" s="15">
        <f t="shared" si="8"/>
        <v>47.650000000000006</v>
      </c>
      <c r="M17" s="15" t="str">
        <f t="shared" si="9"/>
        <v>2019 Elite Canada</v>
      </c>
      <c r="N17" s="15">
        <f t="shared" si="10"/>
        <v>16.564999999999998</v>
      </c>
      <c r="O17" s="15" t="str">
        <f t="shared" si="11"/>
        <v>2019 Elite Canada</v>
      </c>
      <c r="P17" s="15">
        <f t="shared" si="12"/>
        <v>51.575000000000003</v>
      </c>
      <c r="Q17" s="15" t="str">
        <f t="shared" si="13"/>
        <v>2019 Nationals</v>
      </c>
      <c r="R17" s="15" t="str">
        <f t="shared" si="14"/>
        <v/>
      </c>
      <c r="S17" s="27" t="str">
        <f t="shared" si="15"/>
        <v/>
      </c>
      <c r="T17" s="15" t="str">
        <f t="shared" si="16"/>
        <v/>
      </c>
      <c r="U17" s="71">
        <v>16.600000000000001</v>
      </c>
      <c r="V17" s="71">
        <v>9.4499999999999993</v>
      </c>
      <c r="W17" s="71">
        <v>4.8</v>
      </c>
      <c r="X17" s="71">
        <v>16.8</v>
      </c>
      <c r="Y17" s="71">
        <v>0</v>
      </c>
      <c r="Z17" s="71">
        <v>3.9</v>
      </c>
      <c r="AA17" s="71">
        <v>2.5499999999999998</v>
      </c>
      <c r="AB17" s="71">
        <v>5.0999999999999996</v>
      </c>
      <c r="AC17" s="71">
        <v>5.0149999999999997</v>
      </c>
      <c r="AD17" s="71">
        <v>0</v>
      </c>
      <c r="AE17" s="71"/>
      <c r="AF17" s="71"/>
      <c r="AG17" s="71"/>
      <c r="AH17" s="71"/>
      <c r="AI17" s="71"/>
      <c r="AJ17" s="82"/>
      <c r="AK17" s="12">
        <f t="shared" si="17"/>
        <v>5.0999999999999996</v>
      </c>
      <c r="AL17" s="12">
        <f t="shared" si="18"/>
        <v>47.650000000000006</v>
      </c>
      <c r="AM17" s="12">
        <f t="shared" si="19"/>
        <v>16.564999999999998</v>
      </c>
      <c r="AN17" s="12">
        <f t="shared" si="20"/>
        <v>64.215000000000003</v>
      </c>
      <c r="AO17" s="12" t="str">
        <f t="shared" si="21"/>
        <v/>
      </c>
      <c r="AP17" s="12" t="str">
        <f t="shared" si="22"/>
        <v/>
      </c>
      <c r="AQ17" s="12">
        <f t="shared" si="23"/>
        <v>64.215000000000003</v>
      </c>
      <c r="AR17" s="77">
        <v>18.3</v>
      </c>
      <c r="AS17" s="77">
        <v>9.3000000000000007</v>
      </c>
      <c r="AT17" s="77">
        <v>5</v>
      </c>
      <c r="AU17" s="77">
        <v>16.295000000000002</v>
      </c>
      <c r="AV17" s="77">
        <v>0</v>
      </c>
      <c r="AW17" s="77">
        <v>14.6</v>
      </c>
      <c r="AX17" s="77">
        <v>9.3000000000000007</v>
      </c>
      <c r="AY17" s="77">
        <v>13.8</v>
      </c>
      <c r="AZ17" s="77">
        <v>15.455</v>
      </c>
      <c r="BA17" s="77">
        <v>0</v>
      </c>
      <c r="BB17" s="77">
        <v>14.84</v>
      </c>
      <c r="BC17" s="77">
        <v>8.8000000000000007</v>
      </c>
      <c r="BD17" s="77">
        <v>13.1</v>
      </c>
      <c r="BE17" s="77">
        <v>15.234999999999999</v>
      </c>
      <c r="BF17" s="77">
        <v>0.4</v>
      </c>
      <c r="BG17" s="83"/>
      <c r="BH17" s="15">
        <f t="shared" si="24"/>
        <v>13.8</v>
      </c>
      <c r="BI17" s="15">
        <f t="shared" si="25"/>
        <v>48.895000000000003</v>
      </c>
      <c r="BJ17" s="15">
        <f t="shared" si="26"/>
        <v>53.155000000000001</v>
      </c>
      <c r="BK17" s="15">
        <f t="shared" si="27"/>
        <v>102.05000000000001</v>
      </c>
      <c r="BL17" s="15">
        <f t="shared" si="28"/>
        <v>13.1</v>
      </c>
      <c r="BM17" s="15">
        <f t="shared" si="29"/>
        <v>51.575000000000003</v>
      </c>
      <c r="BN17" s="15">
        <f t="shared" si="30"/>
        <v>153.625</v>
      </c>
      <c r="BO17" s="26" t="str">
        <f t="shared" si="31"/>
        <v/>
      </c>
      <c r="BP17" s="26" t="str">
        <f t="shared" si="32"/>
        <v/>
      </c>
      <c r="BQ17" s="26" t="str">
        <f t="shared" si="33"/>
        <v/>
      </c>
      <c r="BR17" s="26" t="str">
        <f t="shared" si="34"/>
        <v/>
      </c>
      <c r="BS17" s="39"/>
      <c r="BT17" s="39"/>
      <c r="BU17" s="39"/>
      <c r="BV17" s="39"/>
      <c r="BW17" s="39"/>
      <c r="BX17" s="39"/>
      <c r="BY17" s="39"/>
      <c r="BZ17" s="39"/>
      <c r="CA17" s="39"/>
      <c r="CB17" s="39"/>
      <c r="CC17" s="39"/>
      <c r="CD17" s="39"/>
      <c r="CE17" s="39"/>
      <c r="CF17" s="39"/>
      <c r="CG17" s="39"/>
      <c r="CH17" s="12" t="str">
        <f t="shared" si="35"/>
        <v/>
      </c>
      <c r="CI17" s="12" t="str">
        <f t="shared" si="36"/>
        <v/>
      </c>
      <c r="CJ17" s="12" t="str">
        <f t="shared" si="37"/>
        <v/>
      </c>
      <c r="CK17" s="12" t="str">
        <f t="shared" si="38"/>
        <v/>
      </c>
      <c r="CL17" s="12" t="str">
        <f t="shared" si="39"/>
        <v/>
      </c>
      <c r="CM17" s="12" t="str">
        <f t="shared" si="40"/>
        <v/>
      </c>
      <c r="CN17" s="12" t="str">
        <f t="shared" si="41"/>
        <v/>
      </c>
      <c r="CO17" s="40"/>
      <c r="CP17" s="40"/>
      <c r="CQ17" s="40"/>
      <c r="CR17" s="40"/>
      <c r="CS17" s="40"/>
      <c r="CT17" s="40"/>
      <c r="CU17" s="40"/>
      <c r="CV17" s="40"/>
      <c r="CW17" s="40"/>
      <c r="CX17" s="40"/>
      <c r="CY17" s="40"/>
      <c r="CZ17" s="40"/>
      <c r="DA17" s="40"/>
      <c r="DB17" s="40"/>
      <c r="DC17" s="40"/>
      <c r="DD17" s="15" t="str">
        <f t="shared" si="42"/>
        <v/>
      </c>
      <c r="DE17" s="15" t="str">
        <f t="shared" si="43"/>
        <v/>
      </c>
      <c r="DF17" s="15" t="str">
        <f t="shared" si="44"/>
        <v/>
      </c>
      <c r="DG17" s="15" t="str">
        <f t="shared" si="45"/>
        <v/>
      </c>
      <c r="DH17" s="15" t="str">
        <f t="shared" si="46"/>
        <v/>
      </c>
      <c r="DI17" s="15" t="str">
        <f t="shared" si="47"/>
        <v/>
      </c>
      <c r="DJ17" s="15" t="str">
        <f t="shared" si="48"/>
        <v/>
      </c>
      <c r="DK17" s="39"/>
      <c r="DL17" s="39"/>
      <c r="DM17" s="39"/>
      <c r="DN17" s="39"/>
      <c r="DO17" s="39"/>
      <c r="DP17" s="39"/>
      <c r="DQ17" s="39"/>
      <c r="DR17" s="39"/>
      <c r="DS17" s="39"/>
      <c r="DT17" s="39"/>
      <c r="DU17" s="39"/>
      <c r="DV17" s="39"/>
      <c r="DW17" s="39"/>
      <c r="DX17" s="39"/>
      <c r="DY17" s="39"/>
      <c r="DZ17" s="12" t="str">
        <f t="shared" si="49"/>
        <v/>
      </c>
      <c r="EA17" s="12" t="str">
        <f t="shared" si="50"/>
        <v/>
      </c>
      <c r="EB17" s="12" t="str">
        <f t="shared" si="51"/>
        <v/>
      </c>
      <c r="EC17" s="12" t="str">
        <f t="shared" si="52"/>
        <v/>
      </c>
      <c r="ED17" s="12" t="str">
        <f t="shared" si="53"/>
        <v/>
      </c>
      <c r="EE17" s="12" t="str">
        <f t="shared" si="54"/>
        <v/>
      </c>
      <c r="EF17" s="12" t="str">
        <f t="shared" si="55"/>
        <v/>
      </c>
      <c r="EG17" s="40"/>
      <c r="EH17" s="40"/>
      <c r="EI17" s="40"/>
      <c r="EJ17" s="40"/>
      <c r="EK17" s="40"/>
      <c r="EL17" s="40"/>
      <c r="EM17" s="40"/>
      <c r="EN17" s="40"/>
      <c r="EO17" s="40"/>
      <c r="EP17" s="40"/>
      <c r="EQ17" s="40"/>
      <c r="ER17" s="40"/>
      <c r="ES17" s="40"/>
      <c r="ET17" s="40"/>
      <c r="EU17" s="40"/>
      <c r="EV17" s="15" t="str">
        <f t="shared" si="56"/>
        <v/>
      </c>
      <c r="EW17" s="15" t="str">
        <f t="shared" si="57"/>
        <v/>
      </c>
      <c r="EX17" s="15" t="str">
        <f t="shared" si="58"/>
        <v/>
      </c>
      <c r="EY17" s="15" t="str">
        <f t="shared" si="59"/>
        <v/>
      </c>
      <c r="EZ17" s="15" t="str">
        <f t="shared" si="60"/>
        <v/>
      </c>
      <c r="FA17" s="15" t="str">
        <f t="shared" si="61"/>
        <v/>
      </c>
      <c r="FB17" s="15" t="str">
        <f t="shared" si="62"/>
        <v/>
      </c>
      <c r="FC17" s="39"/>
      <c r="FD17" s="39"/>
      <c r="FE17" s="39"/>
      <c r="FF17" s="39"/>
      <c r="FG17" s="39"/>
      <c r="FH17" s="39"/>
      <c r="FI17" s="39"/>
      <c r="FJ17" s="39"/>
      <c r="FK17" s="39"/>
      <c r="FL17" s="39"/>
      <c r="FM17" s="39"/>
      <c r="FN17" s="39"/>
      <c r="FO17" s="39"/>
      <c r="FP17" s="39"/>
      <c r="FQ17" s="39"/>
      <c r="FR17" s="12" t="str">
        <f t="shared" si="63"/>
        <v/>
      </c>
      <c r="FS17" s="12" t="str">
        <f t="shared" si="64"/>
        <v/>
      </c>
      <c r="FT17" s="12" t="str">
        <f t="shared" si="65"/>
        <v/>
      </c>
      <c r="FU17" s="12" t="str">
        <f t="shared" si="66"/>
        <v/>
      </c>
      <c r="FV17" s="12" t="str">
        <f t="shared" si="67"/>
        <v/>
      </c>
      <c r="FW17" s="12" t="str">
        <f t="shared" si="68"/>
        <v/>
      </c>
      <c r="FX17" s="12" t="str">
        <f t="shared" si="69"/>
        <v/>
      </c>
      <c r="FY17" s="40"/>
      <c r="FZ17" s="40"/>
      <c r="GA17" s="40"/>
      <c r="GB17" s="40"/>
      <c r="GC17" s="40"/>
      <c r="GD17" s="40"/>
      <c r="GE17" s="40"/>
      <c r="GF17" s="40"/>
      <c r="GG17" s="40"/>
      <c r="GH17" s="40"/>
      <c r="GI17" s="40"/>
      <c r="GJ17" s="40"/>
      <c r="GK17" s="40"/>
      <c r="GL17" s="40"/>
      <c r="GM17" s="40"/>
      <c r="GN17" s="15" t="str">
        <f t="shared" si="70"/>
        <v/>
      </c>
      <c r="GO17" s="15" t="str">
        <f t="shared" si="71"/>
        <v/>
      </c>
      <c r="GP17" s="15" t="str">
        <f t="shared" si="72"/>
        <v/>
      </c>
      <c r="GQ17" s="15" t="str">
        <f t="shared" si="73"/>
        <v/>
      </c>
      <c r="GR17" s="15" t="str">
        <f t="shared" si="74"/>
        <v/>
      </c>
      <c r="GS17" s="15" t="str">
        <f t="shared" si="75"/>
        <v/>
      </c>
      <c r="GT17" s="15" t="str">
        <f t="shared" si="76"/>
        <v/>
      </c>
      <c r="GU17" s="39"/>
      <c r="GV17" s="39"/>
      <c r="GW17" s="39"/>
      <c r="GX17" s="39"/>
      <c r="GY17" s="39"/>
      <c r="GZ17" s="39"/>
      <c r="HA17" s="39"/>
      <c r="HB17" s="39"/>
      <c r="HC17" s="39"/>
      <c r="HD17" s="39"/>
      <c r="HE17" s="39"/>
      <c r="HF17" s="39"/>
      <c r="HG17" s="39"/>
      <c r="HH17" s="39"/>
      <c r="HI17" s="39"/>
      <c r="HJ17" s="12" t="str">
        <f t="shared" si="77"/>
        <v/>
      </c>
      <c r="HK17" s="12" t="str">
        <f t="shared" si="78"/>
        <v/>
      </c>
      <c r="HL17" s="12" t="str">
        <f t="shared" si="79"/>
        <v/>
      </c>
      <c r="HM17" s="12" t="str">
        <f t="shared" si="80"/>
        <v/>
      </c>
      <c r="HN17" s="12" t="str">
        <f t="shared" si="81"/>
        <v/>
      </c>
      <c r="HO17" s="12" t="str">
        <f t="shared" si="82"/>
        <v/>
      </c>
      <c r="HP17" s="12" t="str">
        <f t="shared" si="83"/>
        <v/>
      </c>
      <c r="HQ17" s="40"/>
      <c r="HR17" s="40"/>
      <c r="HS17" s="40"/>
      <c r="HT17" s="40"/>
      <c r="HU17" s="40"/>
      <c r="HV17" s="40"/>
      <c r="HW17" s="40"/>
      <c r="HX17" s="40"/>
      <c r="HY17" s="40"/>
      <c r="HZ17" s="40"/>
      <c r="IA17" s="40"/>
      <c r="IB17" s="40"/>
      <c r="IC17" s="40"/>
      <c r="ID17" s="40"/>
      <c r="IE17" s="40"/>
      <c r="IF17" s="15" t="str">
        <f t="shared" si="84"/>
        <v/>
      </c>
      <c r="IG17" s="15" t="str">
        <f t="shared" si="85"/>
        <v/>
      </c>
      <c r="IH17" s="15" t="str">
        <f t="shared" si="86"/>
        <v/>
      </c>
      <c r="II17" s="15" t="str">
        <f t="shared" si="87"/>
        <v/>
      </c>
      <c r="IJ17" s="15" t="str">
        <f t="shared" si="88"/>
        <v/>
      </c>
      <c r="IK17" s="15" t="str">
        <f t="shared" si="89"/>
        <v/>
      </c>
      <c r="IL17" s="15" t="str">
        <f t="shared" si="90"/>
        <v/>
      </c>
      <c r="IM17" s="39"/>
      <c r="IN17" s="39"/>
      <c r="IO17" s="39"/>
      <c r="IP17" s="39"/>
      <c r="IQ17" s="39"/>
      <c r="IR17" s="39"/>
      <c r="IS17" s="39"/>
      <c r="IT17" s="39"/>
      <c r="IU17" s="39"/>
      <c r="IV17" s="39"/>
      <c r="IW17" s="39"/>
      <c r="IX17" s="39"/>
      <c r="IY17" s="39"/>
      <c r="IZ17" s="39"/>
      <c r="JA17" s="39"/>
      <c r="JB17" s="12" t="str">
        <f t="shared" si="91"/>
        <v/>
      </c>
      <c r="JC17" s="12" t="str">
        <f t="shared" si="92"/>
        <v/>
      </c>
      <c r="JD17" s="12" t="str">
        <f t="shared" si="93"/>
        <v/>
      </c>
      <c r="JE17" s="12" t="str">
        <f t="shared" si="94"/>
        <v/>
      </c>
      <c r="JF17" s="12" t="str">
        <f t="shared" si="95"/>
        <v/>
      </c>
      <c r="JG17" s="12" t="str">
        <f t="shared" si="96"/>
        <v/>
      </c>
      <c r="JH17" s="12" t="str">
        <f t="shared" si="97"/>
        <v/>
      </c>
      <c r="JI17" s="40"/>
      <c r="JJ17" s="40"/>
      <c r="JK17" s="40"/>
      <c r="JL17" s="40"/>
      <c r="JM17" s="40"/>
      <c r="JN17" s="40"/>
      <c r="JO17" s="40"/>
      <c r="JP17" s="40"/>
      <c r="JQ17" s="40"/>
      <c r="JR17" s="40"/>
      <c r="JS17" s="40"/>
      <c r="JT17" s="40"/>
      <c r="JU17" s="40"/>
      <c r="JV17" s="40"/>
      <c r="JW17" s="40"/>
      <c r="JX17" s="15" t="str">
        <f t="shared" si="98"/>
        <v/>
      </c>
      <c r="JY17" s="15" t="str">
        <f t="shared" si="99"/>
        <v/>
      </c>
      <c r="JZ17" s="15" t="str">
        <f t="shared" si="100"/>
        <v/>
      </c>
      <c r="KA17" s="15" t="str">
        <f t="shared" si="101"/>
        <v/>
      </c>
      <c r="KB17" s="15" t="str">
        <f t="shared" si="102"/>
        <v/>
      </c>
      <c r="KC17" s="15" t="str">
        <f t="shared" si="103"/>
        <v/>
      </c>
      <c r="KD17" s="15" t="str">
        <f t="shared" si="104"/>
        <v/>
      </c>
      <c r="KE17" s="39"/>
      <c r="KF17" s="39"/>
      <c r="KG17" s="39"/>
      <c r="KH17" s="39"/>
      <c r="KI17" s="39"/>
      <c r="KJ17" s="39"/>
      <c r="KK17" s="39"/>
      <c r="KL17" s="39"/>
      <c r="KM17" s="39"/>
      <c r="KN17" s="39"/>
      <c r="KO17" s="39"/>
      <c r="KP17" s="39"/>
      <c r="KQ17" s="39"/>
      <c r="KR17" s="39"/>
      <c r="KS17" s="39"/>
      <c r="KT17" s="12" t="str">
        <f t="shared" si="105"/>
        <v/>
      </c>
      <c r="KU17" s="12" t="str">
        <f t="shared" si="106"/>
        <v/>
      </c>
      <c r="KV17" s="12" t="str">
        <f t="shared" si="107"/>
        <v/>
      </c>
      <c r="KW17" s="12" t="str">
        <f t="shared" si="108"/>
        <v/>
      </c>
      <c r="KX17" s="12" t="str">
        <f t="shared" si="109"/>
        <v/>
      </c>
      <c r="KY17" s="12" t="str">
        <f t="shared" si="110"/>
        <v/>
      </c>
      <c r="KZ17" s="12" t="str">
        <f t="shared" si="111"/>
        <v/>
      </c>
      <c r="LA17" s="40"/>
      <c r="LB17" s="40"/>
      <c r="LC17" s="40"/>
      <c r="LD17" s="40"/>
      <c r="LE17" s="40"/>
      <c r="LF17" s="40"/>
      <c r="LG17" s="40"/>
      <c r="LH17" s="40"/>
      <c r="LI17" s="40"/>
      <c r="LJ17" s="40"/>
      <c r="LK17" s="40"/>
      <c r="LL17" s="40"/>
      <c r="LM17" s="40"/>
      <c r="LN17" s="40"/>
      <c r="LO17" s="40"/>
      <c r="LP17" s="15" t="str">
        <f t="shared" si="112"/>
        <v/>
      </c>
      <c r="LQ17" s="15" t="str">
        <f t="shared" si="113"/>
        <v/>
      </c>
      <c r="LR17" s="15" t="str">
        <f t="shared" si="114"/>
        <v/>
      </c>
      <c r="LS17" s="15" t="str">
        <f t="shared" si="115"/>
        <v/>
      </c>
      <c r="LT17" s="15" t="str">
        <f t="shared" si="116"/>
        <v/>
      </c>
      <c r="LU17" s="15" t="str">
        <f t="shared" si="117"/>
        <v/>
      </c>
      <c r="LV17" s="15" t="str">
        <f t="shared" si="118"/>
        <v/>
      </c>
      <c r="LW17" s="71">
        <f t="shared" si="119"/>
        <v>17.450000000000003</v>
      </c>
      <c r="LX17" s="71">
        <f t="shared" si="120"/>
        <v>9.375</v>
      </c>
      <c r="LY17" s="71">
        <f t="shared" si="121"/>
        <v>4.9000000000000004</v>
      </c>
      <c r="LZ17" s="71">
        <f t="shared" si="122"/>
        <v>16.547499999999999</v>
      </c>
      <c r="MA17" s="71">
        <f t="shared" si="123"/>
        <v>0</v>
      </c>
      <c r="MB17" s="71">
        <f t="shared" si="124"/>
        <v>9.25</v>
      </c>
      <c r="MC17" s="71">
        <f t="shared" si="125"/>
        <v>5.9250000000000007</v>
      </c>
      <c r="MD17" s="71">
        <f t="shared" si="126"/>
        <v>9.4499999999999993</v>
      </c>
      <c r="ME17" s="71">
        <f t="shared" si="127"/>
        <v>10.234999999999999</v>
      </c>
      <c r="MF17" s="71">
        <f t="shared" si="128"/>
        <v>0</v>
      </c>
      <c r="MG17" s="71">
        <f t="shared" si="129"/>
        <v>7.42</v>
      </c>
      <c r="MH17" s="71">
        <f t="shared" si="130"/>
        <v>4.4000000000000004</v>
      </c>
      <c r="MI17" s="71">
        <f t="shared" si="131"/>
        <v>6.55</v>
      </c>
      <c r="MJ17" s="71">
        <f t="shared" si="132"/>
        <v>7.6174999999999997</v>
      </c>
      <c r="MK17" s="71">
        <f t="shared" si="133"/>
        <v>0.2</v>
      </c>
      <c r="ML17" s="82" t="s">
        <v>100</v>
      </c>
      <c r="MM17" s="12">
        <f t="shared" si="134"/>
        <v>9.4499999999999993</v>
      </c>
      <c r="MN17" s="12">
        <f t="shared" si="135"/>
        <v>48.272500000000001</v>
      </c>
      <c r="MO17" s="12">
        <f t="shared" si="136"/>
        <v>34.86</v>
      </c>
      <c r="MP17" s="12">
        <f t="shared" si="137"/>
        <v>83.132499999999993</v>
      </c>
      <c r="MQ17" s="12">
        <f t="shared" si="140"/>
        <v>6.55</v>
      </c>
      <c r="MR17" s="12">
        <f t="shared" si="138"/>
        <v>25.787500000000001</v>
      </c>
      <c r="MS17" s="12">
        <f t="shared" si="139"/>
        <v>108.91999999999999</v>
      </c>
    </row>
    <row r="18" spans="1:357" x14ac:dyDescent="0.2">
      <c r="A18" s="6" t="str">
        <f t="shared" si="0"/>
        <v/>
      </c>
      <c r="B18" s="7" t="s">
        <v>88</v>
      </c>
      <c r="C18" s="8" t="s">
        <v>5</v>
      </c>
      <c r="D18" s="29">
        <v>1999</v>
      </c>
      <c r="E18" s="16">
        <f t="shared" si="1"/>
        <v>198.16499999999999</v>
      </c>
      <c r="F18" s="4" t="str">
        <f t="shared" si="2"/>
        <v/>
      </c>
      <c r="G18" s="4" t="str">
        <f t="shared" si="3"/>
        <v/>
      </c>
      <c r="H18" s="4" t="str">
        <f t="shared" si="4"/>
        <v/>
      </c>
      <c r="I18" t="str">
        <f t="shared" si="5"/>
        <v/>
      </c>
      <c r="J18" s="15">
        <f t="shared" si="6"/>
        <v>77.585000000000008</v>
      </c>
      <c r="K18" s="15" t="str">
        <f t="shared" si="7"/>
        <v>2019 Nationals</v>
      </c>
      <c r="L18" s="15">
        <f t="shared" si="8"/>
        <v>47.35</v>
      </c>
      <c r="M18" s="15" t="str">
        <f t="shared" si="9"/>
        <v>2019 Elite Canada</v>
      </c>
      <c r="N18" s="15">
        <f t="shared" si="10"/>
        <v>21.164999999999999</v>
      </c>
      <c r="O18" s="15" t="str">
        <f t="shared" si="11"/>
        <v>2019 Elite Canada</v>
      </c>
      <c r="P18" s="15">
        <f t="shared" si="12"/>
        <v>52.064999999999998</v>
      </c>
      <c r="Q18" s="15" t="str">
        <f t="shared" si="13"/>
        <v>2019 Elite Canada</v>
      </c>
      <c r="R18" s="15" t="str">
        <f t="shared" si="14"/>
        <v/>
      </c>
      <c r="S18" s="27" t="str">
        <f t="shared" si="15"/>
        <v/>
      </c>
      <c r="T18" s="15" t="str">
        <f t="shared" si="16"/>
        <v/>
      </c>
      <c r="U18" s="71">
        <v>17.600000000000001</v>
      </c>
      <c r="V18" s="71">
        <v>9.4499999999999993</v>
      </c>
      <c r="W18" s="71">
        <v>4</v>
      </c>
      <c r="X18" s="71">
        <v>16.3</v>
      </c>
      <c r="Y18" s="71">
        <v>0</v>
      </c>
      <c r="Z18" s="71">
        <v>6.3</v>
      </c>
      <c r="AA18" s="71">
        <v>3.3</v>
      </c>
      <c r="AB18" s="71">
        <v>5.2</v>
      </c>
      <c r="AC18" s="71">
        <v>6.3650000000000002</v>
      </c>
      <c r="AD18" s="71">
        <v>0</v>
      </c>
      <c r="AE18" s="71">
        <v>15.9</v>
      </c>
      <c r="AF18" s="71">
        <v>8.75</v>
      </c>
      <c r="AG18" s="71">
        <v>12.9</v>
      </c>
      <c r="AH18" s="71">
        <v>15.115</v>
      </c>
      <c r="AI18" s="71">
        <v>0.6</v>
      </c>
      <c r="AJ18" s="82"/>
      <c r="AK18" s="12">
        <f t="shared" si="17"/>
        <v>5.2</v>
      </c>
      <c r="AL18" s="12">
        <f t="shared" si="18"/>
        <v>47.35</v>
      </c>
      <c r="AM18" s="12">
        <f t="shared" si="19"/>
        <v>21.164999999999999</v>
      </c>
      <c r="AN18" s="12">
        <f t="shared" si="20"/>
        <v>68.515000000000001</v>
      </c>
      <c r="AO18" s="12">
        <f t="shared" si="21"/>
        <v>12.9</v>
      </c>
      <c r="AP18" s="12">
        <f t="shared" si="22"/>
        <v>52.064999999999998</v>
      </c>
      <c r="AQ18" s="12">
        <f t="shared" si="23"/>
        <v>120.58</v>
      </c>
      <c r="AR18" s="77">
        <v>17.100000000000001</v>
      </c>
      <c r="AS18" s="77">
        <v>9.5</v>
      </c>
      <c r="AT18" s="77">
        <v>4</v>
      </c>
      <c r="AU18" s="77">
        <v>16.27</v>
      </c>
      <c r="AV18" s="77">
        <v>0</v>
      </c>
      <c r="AW18" s="77">
        <v>9</v>
      </c>
      <c r="AX18" s="77">
        <v>5.3</v>
      </c>
      <c r="AY18" s="77">
        <v>7.2</v>
      </c>
      <c r="AZ18" s="77">
        <v>9.2149999999999999</v>
      </c>
      <c r="BA18" s="77">
        <v>0</v>
      </c>
      <c r="BB18" s="77"/>
      <c r="BC18" s="77"/>
      <c r="BD18" s="77"/>
      <c r="BE18" s="77"/>
      <c r="BF18" s="77"/>
      <c r="BG18" s="83"/>
      <c r="BH18" s="15">
        <f t="shared" si="24"/>
        <v>7.2</v>
      </c>
      <c r="BI18" s="15">
        <f t="shared" si="25"/>
        <v>46.870000000000005</v>
      </c>
      <c r="BJ18" s="15">
        <f t="shared" si="26"/>
        <v>30.715</v>
      </c>
      <c r="BK18" s="15">
        <f t="shared" si="27"/>
        <v>77.585000000000008</v>
      </c>
      <c r="BL18" s="15" t="str">
        <f t="shared" si="28"/>
        <v/>
      </c>
      <c r="BM18" s="15" t="str">
        <f t="shared" si="29"/>
        <v/>
      </c>
      <c r="BN18" s="15">
        <f t="shared" si="30"/>
        <v>77.585000000000008</v>
      </c>
      <c r="BO18" s="26" t="str">
        <f t="shared" si="31"/>
        <v/>
      </c>
      <c r="BP18" s="26" t="str">
        <f t="shared" si="32"/>
        <v/>
      </c>
      <c r="BQ18" s="26" t="str">
        <f t="shared" si="33"/>
        <v/>
      </c>
      <c r="BR18" s="26" t="str">
        <f t="shared" si="34"/>
        <v/>
      </c>
      <c r="BS18" s="39"/>
      <c r="BT18" s="39"/>
      <c r="BU18" s="39"/>
      <c r="BV18" s="39"/>
      <c r="BW18" s="39"/>
      <c r="BX18" s="39"/>
      <c r="BY18" s="39"/>
      <c r="BZ18" s="39"/>
      <c r="CA18" s="39"/>
      <c r="CB18" s="39"/>
      <c r="CC18" s="39"/>
      <c r="CD18" s="39"/>
      <c r="CE18" s="39"/>
      <c r="CF18" s="39"/>
      <c r="CG18" s="39"/>
      <c r="CH18" s="12" t="str">
        <f t="shared" si="35"/>
        <v/>
      </c>
      <c r="CI18" s="12" t="str">
        <f t="shared" si="36"/>
        <v/>
      </c>
      <c r="CJ18" s="12" t="str">
        <f t="shared" si="37"/>
        <v/>
      </c>
      <c r="CK18" s="12" t="str">
        <f t="shared" si="38"/>
        <v/>
      </c>
      <c r="CL18" s="12" t="str">
        <f t="shared" si="39"/>
        <v/>
      </c>
      <c r="CM18" s="12" t="str">
        <f t="shared" si="40"/>
        <v/>
      </c>
      <c r="CN18" s="12" t="str">
        <f t="shared" si="41"/>
        <v/>
      </c>
      <c r="CO18" s="40"/>
      <c r="CP18" s="40"/>
      <c r="CQ18" s="40"/>
      <c r="CR18" s="40"/>
      <c r="CS18" s="40"/>
      <c r="CT18" s="40"/>
      <c r="CU18" s="40"/>
      <c r="CV18" s="40"/>
      <c r="CW18" s="40"/>
      <c r="CX18" s="40"/>
      <c r="CY18" s="40"/>
      <c r="CZ18" s="40"/>
      <c r="DA18" s="40"/>
      <c r="DB18" s="40"/>
      <c r="DC18" s="40"/>
      <c r="DD18" s="15" t="str">
        <f t="shared" si="42"/>
        <v/>
      </c>
      <c r="DE18" s="15" t="str">
        <f t="shared" si="43"/>
        <v/>
      </c>
      <c r="DF18" s="15" t="str">
        <f t="shared" si="44"/>
        <v/>
      </c>
      <c r="DG18" s="15" t="str">
        <f t="shared" si="45"/>
        <v/>
      </c>
      <c r="DH18" s="15" t="str">
        <f t="shared" si="46"/>
        <v/>
      </c>
      <c r="DI18" s="15" t="str">
        <f t="shared" si="47"/>
        <v/>
      </c>
      <c r="DJ18" s="15" t="str">
        <f t="shared" si="48"/>
        <v/>
      </c>
      <c r="DK18" s="39"/>
      <c r="DL18" s="39"/>
      <c r="DM18" s="39"/>
      <c r="DN18" s="39"/>
      <c r="DO18" s="39"/>
      <c r="DP18" s="39"/>
      <c r="DQ18" s="39"/>
      <c r="DR18" s="39"/>
      <c r="DS18" s="39"/>
      <c r="DT18" s="39"/>
      <c r="DU18" s="39"/>
      <c r="DV18" s="39"/>
      <c r="DW18" s="39"/>
      <c r="DX18" s="39"/>
      <c r="DY18" s="39"/>
      <c r="DZ18" s="12" t="str">
        <f t="shared" si="49"/>
        <v/>
      </c>
      <c r="EA18" s="12" t="str">
        <f t="shared" si="50"/>
        <v/>
      </c>
      <c r="EB18" s="12" t="str">
        <f t="shared" si="51"/>
        <v/>
      </c>
      <c r="EC18" s="12" t="str">
        <f t="shared" si="52"/>
        <v/>
      </c>
      <c r="ED18" s="12" t="str">
        <f t="shared" si="53"/>
        <v/>
      </c>
      <c r="EE18" s="12" t="str">
        <f t="shared" si="54"/>
        <v/>
      </c>
      <c r="EF18" s="12" t="str">
        <f t="shared" si="55"/>
        <v/>
      </c>
      <c r="EG18" s="40"/>
      <c r="EH18" s="40"/>
      <c r="EI18" s="40"/>
      <c r="EJ18" s="40"/>
      <c r="EK18" s="40"/>
      <c r="EL18" s="40"/>
      <c r="EM18" s="40"/>
      <c r="EN18" s="40"/>
      <c r="EO18" s="40"/>
      <c r="EP18" s="40"/>
      <c r="EQ18" s="40"/>
      <c r="ER18" s="40"/>
      <c r="ES18" s="40"/>
      <c r="ET18" s="40"/>
      <c r="EU18" s="40"/>
      <c r="EV18" s="15" t="str">
        <f t="shared" si="56"/>
        <v/>
      </c>
      <c r="EW18" s="15" t="str">
        <f t="shared" si="57"/>
        <v/>
      </c>
      <c r="EX18" s="15" t="str">
        <f t="shared" si="58"/>
        <v/>
      </c>
      <c r="EY18" s="15" t="str">
        <f t="shared" si="59"/>
        <v/>
      </c>
      <c r="EZ18" s="15" t="str">
        <f t="shared" si="60"/>
        <v/>
      </c>
      <c r="FA18" s="15" t="str">
        <f t="shared" si="61"/>
        <v/>
      </c>
      <c r="FB18" s="15" t="str">
        <f t="shared" si="62"/>
        <v/>
      </c>
      <c r="FC18" s="39"/>
      <c r="FD18" s="39"/>
      <c r="FE18" s="39"/>
      <c r="FF18" s="39"/>
      <c r="FG18" s="39"/>
      <c r="FH18" s="39"/>
      <c r="FI18" s="39"/>
      <c r="FJ18" s="39"/>
      <c r="FK18" s="39"/>
      <c r="FL18" s="39"/>
      <c r="FM18" s="39"/>
      <c r="FN18" s="39"/>
      <c r="FO18" s="39"/>
      <c r="FP18" s="39"/>
      <c r="FQ18" s="39"/>
      <c r="FR18" s="12" t="str">
        <f t="shared" si="63"/>
        <v/>
      </c>
      <c r="FS18" s="12" t="str">
        <f t="shared" si="64"/>
        <v/>
      </c>
      <c r="FT18" s="12" t="str">
        <f t="shared" si="65"/>
        <v/>
      </c>
      <c r="FU18" s="12" t="str">
        <f t="shared" si="66"/>
        <v/>
      </c>
      <c r="FV18" s="12" t="str">
        <f t="shared" si="67"/>
        <v/>
      </c>
      <c r="FW18" s="12" t="str">
        <f t="shared" si="68"/>
        <v/>
      </c>
      <c r="FX18" s="12" t="str">
        <f t="shared" si="69"/>
        <v/>
      </c>
      <c r="FY18" s="40"/>
      <c r="FZ18" s="40"/>
      <c r="GA18" s="40"/>
      <c r="GB18" s="40"/>
      <c r="GC18" s="40"/>
      <c r="GD18" s="40"/>
      <c r="GE18" s="40"/>
      <c r="GF18" s="40"/>
      <c r="GG18" s="40"/>
      <c r="GH18" s="40"/>
      <c r="GI18" s="40"/>
      <c r="GJ18" s="40"/>
      <c r="GK18" s="40"/>
      <c r="GL18" s="40"/>
      <c r="GM18" s="40"/>
      <c r="GN18" s="15" t="str">
        <f t="shared" si="70"/>
        <v/>
      </c>
      <c r="GO18" s="15" t="str">
        <f t="shared" si="71"/>
        <v/>
      </c>
      <c r="GP18" s="15" t="str">
        <f t="shared" si="72"/>
        <v/>
      </c>
      <c r="GQ18" s="15" t="str">
        <f t="shared" si="73"/>
        <v/>
      </c>
      <c r="GR18" s="15" t="str">
        <f t="shared" si="74"/>
        <v/>
      </c>
      <c r="GS18" s="15" t="str">
        <f t="shared" si="75"/>
        <v/>
      </c>
      <c r="GT18" s="15" t="str">
        <f t="shared" si="76"/>
        <v/>
      </c>
      <c r="GU18" s="39"/>
      <c r="GV18" s="39"/>
      <c r="GW18" s="39"/>
      <c r="GX18" s="39"/>
      <c r="GY18" s="39"/>
      <c r="GZ18" s="39"/>
      <c r="HA18" s="39"/>
      <c r="HB18" s="39"/>
      <c r="HC18" s="39"/>
      <c r="HD18" s="39"/>
      <c r="HE18" s="39"/>
      <c r="HF18" s="39"/>
      <c r="HG18" s="39"/>
      <c r="HH18" s="39"/>
      <c r="HI18" s="39"/>
      <c r="HJ18" s="12" t="str">
        <f t="shared" si="77"/>
        <v/>
      </c>
      <c r="HK18" s="12" t="str">
        <f t="shared" si="78"/>
        <v/>
      </c>
      <c r="HL18" s="12" t="str">
        <f t="shared" si="79"/>
        <v/>
      </c>
      <c r="HM18" s="12" t="str">
        <f t="shared" si="80"/>
        <v/>
      </c>
      <c r="HN18" s="12" t="str">
        <f t="shared" si="81"/>
        <v/>
      </c>
      <c r="HO18" s="12" t="str">
        <f t="shared" si="82"/>
        <v/>
      </c>
      <c r="HP18" s="12" t="str">
        <f t="shared" si="83"/>
        <v/>
      </c>
      <c r="HQ18" s="40"/>
      <c r="HR18" s="40"/>
      <c r="HS18" s="40"/>
      <c r="HT18" s="40"/>
      <c r="HU18" s="40"/>
      <c r="HV18" s="40"/>
      <c r="HW18" s="40"/>
      <c r="HX18" s="40"/>
      <c r="HY18" s="40"/>
      <c r="HZ18" s="40"/>
      <c r="IA18" s="40"/>
      <c r="IB18" s="40"/>
      <c r="IC18" s="40"/>
      <c r="ID18" s="40"/>
      <c r="IE18" s="40"/>
      <c r="IF18" s="15" t="str">
        <f t="shared" si="84"/>
        <v/>
      </c>
      <c r="IG18" s="15" t="str">
        <f t="shared" si="85"/>
        <v/>
      </c>
      <c r="IH18" s="15" t="str">
        <f t="shared" si="86"/>
        <v/>
      </c>
      <c r="II18" s="15" t="str">
        <f t="shared" si="87"/>
        <v/>
      </c>
      <c r="IJ18" s="15" t="str">
        <f t="shared" si="88"/>
        <v/>
      </c>
      <c r="IK18" s="15" t="str">
        <f t="shared" si="89"/>
        <v/>
      </c>
      <c r="IL18" s="15" t="str">
        <f t="shared" si="90"/>
        <v/>
      </c>
      <c r="IM18" s="39"/>
      <c r="IN18" s="39"/>
      <c r="IO18" s="39"/>
      <c r="IP18" s="39"/>
      <c r="IQ18" s="39"/>
      <c r="IR18" s="39"/>
      <c r="IS18" s="39"/>
      <c r="IT18" s="39"/>
      <c r="IU18" s="39"/>
      <c r="IV18" s="39"/>
      <c r="IW18" s="39"/>
      <c r="IX18" s="39"/>
      <c r="IY18" s="39"/>
      <c r="IZ18" s="39"/>
      <c r="JA18" s="39"/>
      <c r="JB18" s="12" t="str">
        <f t="shared" si="91"/>
        <v/>
      </c>
      <c r="JC18" s="12" t="str">
        <f t="shared" si="92"/>
        <v/>
      </c>
      <c r="JD18" s="12" t="str">
        <f t="shared" si="93"/>
        <v/>
      </c>
      <c r="JE18" s="12" t="str">
        <f t="shared" si="94"/>
        <v/>
      </c>
      <c r="JF18" s="12" t="str">
        <f t="shared" si="95"/>
        <v/>
      </c>
      <c r="JG18" s="12" t="str">
        <f t="shared" si="96"/>
        <v/>
      </c>
      <c r="JH18" s="12" t="str">
        <f t="shared" si="97"/>
        <v/>
      </c>
      <c r="JI18" s="40"/>
      <c r="JJ18" s="40"/>
      <c r="JK18" s="40"/>
      <c r="JL18" s="40"/>
      <c r="JM18" s="40"/>
      <c r="JN18" s="40"/>
      <c r="JO18" s="40"/>
      <c r="JP18" s="40"/>
      <c r="JQ18" s="40"/>
      <c r="JR18" s="40"/>
      <c r="JS18" s="40"/>
      <c r="JT18" s="40"/>
      <c r="JU18" s="40"/>
      <c r="JV18" s="40"/>
      <c r="JW18" s="40"/>
      <c r="JX18" s="15" t="str">
        <f t="shared" si="98"/>
        <v/>
      </c>
      <c r="JY18" s="15" t="str">
        <f t="shared" si="99"/>
        <v/>
      </c>
      <c r="JZ18" s="15" t="str">
        <f t="shared" si="100"/>
        <v/>
      </c>
      <c r="KA18" s="15" t="str">
        <f t="shared" si="101"/>
        <v/>
      </c>
      <c r="KB18" s="15" t="str">
        <f t="shared" si="102"/>
        <v/>
      </c>
      <c r="KC18" s="15" t="str">
        <f t="shared" si="103"/>
        <v/>
      </c>
      <c r="KD18" s="15" t="str">
        <f t="shared" si="104"/>
        <v/>
      </c>
      <c r="KE18" s="39"/>
      <c r="KF18" s="39"/>
      <c r="KG18" s="39"/>
      <c r="KH18" s="39"/>
      <c r="KI18" s="39"/>
      <c r="KJ18" s="39"/>
      <c r="KK18" s="39"/>
      <c r="KL18" s="39"/>
      <c r="KM18" s="39"/>
      <c r="KN18" s="39"/>
      <c r="KO18" s="39"/>
      <c r="KP18" s="39"/>
      <c r="KQ18" s="39"/>
      <c r="KR18" s="39"/>
      <c r="KS18" s="39"/>
      <c r="KT18" s="12" t="str">
        <f t="shared" si="105"/>
        <v/>
      </c>
      <c r="KU18" s="12" t="str">
        <f t="shared" si="106"/>
        <v/>
      </c>
      <c r="KV18" s="12" t="str">
        <f t="shared" si="107"/>
        <v/>
      </c>
      <c r="KW18" s="12" t="str">
        <f t="shared" si="108"/>
        <v/>
      </c>
      <c r="KX18" s="12" t="str">
        <f t="shared" si="109"/>
        <v/>
      </c>
      <c r="KY18" s="12" t="str">
        <f t="shared" si="110"/>
        <v/>
      </c>
      <c r="KZ18" s="12" t="str">
        <f t="shared" si="111"/>
        <v/>
      </c>
      <c r="LA18" s="40"/>
      <c r="LB18" s="40"/>
      <c r="LC18" s="40"/>
      <c r="LD18" s="40"/>
      <c r="LE18" s="40"/>
      <c r="LF18" s="40"/>
      <c r="LG18" s="40"/>
      <c r="LH18" s="40"/>
      <c r="LI18" s="40"/>
      <c r="LJ18" s="40"/>
      <c r="LK18" s="40"/>
      <c r="LL18" s="40"/>
      <c r="LM18" s="40"/>
      <c r="LN18" s="40"/>
      <c r="LO18" s="40"/>
      <c r="LP18" s="15" t="str">
        <f t="shared" si="112"/>
        <v/>
      </c>
      <c r="LQ18" s="15" t="str">
        <f t="shared" si="113"/>
        <v/>
      </c>
      <c r="LR18" s="15" t="str">
        <f t="shared" si="114"/>
        <v/>
      </c>
      <c r="LS18" s="15" t="str">
        <f t="shared" si="115"/>
        <v/>
      </c>
      <c r="LT18" s="15" t="str">
        <f t="shared" si="116"/>
        <v/>
      </c>
      <c r="LU18" s="15" t="str">
        <f t="shared" si="117"/>
        <v/>
      </c>
      <c r="LV18" s="15" t="str">
        <f t="shared" si="118"/>
        <v/>
      </c>
      <c r="LW18" s="71">
        <f t="shared" si="119"/>
        <v>17.350000000000001</v>
      </c>
      <c r="LX18" s="71">
        <f t="shared" si="120"/>
        <v>9.4749999999999996</v>
      </c>
      <c r="LY18" s="71">
        <f t="shared" si="121"/>
        <v>4</v>
      </c>
      <c r="LZ18" s="71">
        <f t="shared" si="122"/>
        <v>16.285</v>
      </c>
      <c r="MA18" s="71">
        <f t="shared" si="123"/>
        <v>0</v>
      </c>
      <c r="MB18" s="71">
        <f t="shared" si="124"/>
        <v>7.65</v>
      </c>
      <c r="MC18" s="71">
        <f t="shared" si="125"/>
        <v>4.3</v>
      </c>
      <c r="MD18" s="71">
        <f t="shared" si="126"/>
        <v>6.2</v>
      </c>
      <c r="ME18" s="71">
        <f t="shared" si="127"/>
        <v>7.79</v>
      </c>
      <c r="MF18" s="71">
        <f t="shared" si="128"/>
        <v>0</v>
      </c>
      <c r="MG18" s="71">
        <f t="shared" si="129"/>
        <v>7.95</v>
      </c>
      <c r="MH18" s="71">
        <f t="shared" si="130"/>
        <v>4.375</v>
      </c>
      <c r="MI18" s="71">
        <f t="shared" si="131"/>
        <v>6.45</v>
      </c>
      <c r="MJ18" s="71">
        <f t="shared" si="132"/>
        <v>7.5575000000000001</v>
      </c>
      <c r="MK18" s="71">
        <f t="shared" si="133"/>
        <v>0.3</v>
      </c>
      <c r="ML18" s="82" t="s">
        <v>100</v>
      </c>
      <c r="MM18" s="12">
        <f t="shared" si="134"/>
        <v>6.2</v>
      </c>
      <c r="MN18" s="12">
        <f t="shared" si="135"/>
        <v>47.11</v>
      </c>
      <c r="MO18" s="12">
        <f t="shared" si="136"/>
        <v>25.939999999999998</v>
      </c>
      <c r="MP18" s="12">
        <f t="shared" si="137"/>
        <v>73.05</v>
      </c>
      <c r="MQ18" s="12">
        <f t="shared" si="140"/>
        <v>6.45</v>
      </c>
      <c r="MR18" s="12">
        <f t="shared" si="138"/>
        <v>26.032499999999999</v>
      </c>
      <c r="MS18" s="12">
        <f t="shared" si="139"/>
        <v>99.082499999999996</v>
      </c>
    </row>
    <row r="19" spans="1:357" x14ac:dyDescent="0.2">
      <c r="A19" s="6" t="str">
        <f t="shared" si="0"/>
        <v/>
      </c>
      <c r="B19" s="7" t="s">
        <v>53</v>
      </c>
      <c r="C19" s="8" t="s">
        <v>10</v>
      </c>
      <c r="D19" s="29">
        <v>1998</v>
      </c>
      <c r="E19" s="16">
        <f t="shared" si="1"/>
        <v>165.10999999999999</v>
      </c>
      <c r="F19" s="4" t="str">
        <f t="shared" si="2"/>
        <v/>
      </c>
      <c r="G19" s="4" t="str">
        <f t="shared" si="3"/>
        <v/>
      </c>
      <c r="H19" s="4" t="str">
        <f t="shared" si="4"/>
        <v/>
      </c>
      <c r="I19" t="str">
        <f t="shared" si="5"/>
        <v/>
      </c>
      <c r="J19" s="15">
        <f t="shared" si="6"/>
        <v>98.35</v>
      </c>
      <c r="K19" s="15" t="str">
        <f t="shared" si="7"/>
        <v>2019 Nationals</v>
      </c>
      <c r="L19" s="15">
        <f t="shared" si="8"/>
        <v>40.85</v>
      </c>
      <c r="M19" s="15" t="str">
        <f t="shared" si="9"/>
        <v>2019 Elite Canada</v>
      </c>
      <c r="N19" s="15">
        <f t="shared" si="10"/>
        <v>25.910000000000004</v>
      </c>
      <c r="O19" s="15" t="str">
        <f t="shared" si="11"/>
        <v>2019 Elite Canada</v>
      </c>
      <c r="P19" s="15" t="str">
        <f t="shared" si="12"/>
        <v/>
      </c>
      <c r="Q19" s="15" t="str">
        <f t="shared" si="13"/>
        <v/>
      </c>
      <c r="R19" s="15" t="str">
        <f t="shared" si="14"/>
        <v/>
      </c>
      <c r="S19" s="27" t="str">
        <f t="shared" si="15"/>
        <v/>
      </c>
      <c r="T19" s="15" t="str">
        <f t="shared" si="16"/>
        <v/>
      </c>
      <c r="U19" s="71">
        <v>14.7</v>
      </c>
      <c r="V19" s="71">
        <v>8.4</v>
      </c>
      <c r="W19" s="71">
        <v>2.6</v>
      </c>
      <c r="X19" s="71">
        <v>15.35</v>
      </c>
      <c r="Y19" s="71">
        <v>0.2</v>
      </c>
      <c r="Z19" s="71">
        <v>6.9</v>
      </c>
      <c r="AA19" s="71">
        <v>4.2</v>
      </c>
      <c r="AB19" s="71">
        <v>7.1</v>
      </c>
      <c r="AC19" s="71">
        <v>7.71</v>
      </c>
      <c r="AD19" s="71">
        <v>0</v>
      </c>
      <c r="AE19" s="71"/>
      <c r="AF19" s="71"/>
      <c r="AG19" s="71"/>
      <c r="AH19" s="71"/>
      <c r="AI19" s="71"/>
      <c r="AJ19" s="82"/>
      <c r="AK19" s="12">
        <f t="shared" si="17"/>
        <v>7.1</v>
      </c>
      <c r="AL19" s="12">
        <f t="shared" si="18"/>
        <v>40.85</v>
      </c>
      <c r="AM19" s="12">
        <f t="shared" si="19"/>
        <v>25.910000000000004</v>
      </c>
      <c r="AN19" s="12">
        <f t="shared" si="20"/>
        <v>66.760000000000005</v>
      </c>
      <c r="AO19" s="12" t="str">
        <f t="shared" si="21"/>
        <v/>
      </c>
      <c r="AP19" s="12" t="str">
        <f t="shared" si="22"/>
        <v/>
      </c>
      <c r="AQ19" s="12">
        <f t="shared" si="23"/>
        <v>66.760000000000005</v>
      </c>
      <c r="AR19" s="77">
        <v>17.5</v>
      </c>
      <c r="AS19" s="77">
        <v>9.1</v>
      </c>
      <c r="AT19" s="77">
        <v>3.9</v>
      </c>
      <c r="AU19" s="77">
        <v>16.36</v>
      </c>
      <c r="AV19" s="77">
        <v>0</v>
      </c>
      <c r="AW19" s="77">
        <v>14.7</v>
      </c>
      <c r="AX19" s="77">
        <v>9.8000000000000007</v>
      </c>
      <c r="AY19" s="77">
        <v>12.8</v>
      </c>
      <c r="AZ19" s="77">
        <v>14.89</v>
      </c>
      <c r="BA19" s="77">
        <v>0.7</v>
      </c>
      <c r="BB19" s="77"/>
      <c r="BC19" s="77"/>
      <c r="BD19" s="77"/>
      <c r="BE19" s="77"/>
      <c r="BF19" s="77"/>
      <c r="BG19" s="83"/>
      <c r="BH19" s="15">
        <f t="shared" si="24"/>
        <v>12.8</v>
      </c>
      <c r="BI19" s="15">
        <f t="shared" si="25"/>
        <v>46.86</v>
      </c>
      <c r="BJ19" s="15">
        <f t="shared" si="26"/>
        <v>51.489999999999995</v>
      </c>
      <c r="BK19" s="15">
        <f t="shared" si="27"/>
        <v>98.35</v>
      </c>
      <c r="BL19" s="15" t="str">
        <f t="shared" si="28"/>
        <v/>
      </c>
      <c r="BM19" s="15" t="str">
        <f t="shared" si="29"/>
        <v/>
      </c>
      <c r="BN19" s="15">
        <f t="shared" si="30"/>
        <v>98.35</v>
      </c>
      <c r="BO19" s="26" t="str">
        <f t="shared" si="31"/>
        <v/>
      </c>
      <c r="BP19" s="26" t="str">
        <f t="shared" si="32"/>
        <v/>
      </c>
      <c r="BQ19" s="26" t="str">
        <f t="shared" si="33"/>
        <v/>
      </c>
      <c r="BR19" s="26" t="str">
        <f t="shared" si="34"/>
        <v/>
      </c>
      <c r="BS19" s="39"/>
      <c r="BT19" s="39"/>
      <c r="BU19" s="39"/>
      <c r="BV19" s="39"/>
      <c r="BW19" s="39"/>
      <c r="BX19" s="39"/>
      <c r="BY19" s="39"/>
      <c r="BZ19" s="39"/>
      <c r="CA19" s="39"/>
      <c r="CB19" s="39"/>
      <c r="CC19" s="39"/>
      <c r="CD19" s="39"/>
      <c r="CE19" s="39"/>
      <c r="CF19" s="39"/>
      <c r="CG19" s="39"/>
      <c r="CH19" s="12" t="str">
        <f t="shared" si="35"/>
        <v/>
      </c>
      <c r="CI19" s="12" t="str">
        <f t="shared" si="36"/>
        <v/>
      </c>
      <c r="CJ19" s="12" t="str">
        <f t="shared" si="37"/>
        <v/>
      </c>
      <c r="CK19" s="12" t="str">
        <f t="shared" si="38"/>
        <v/>
      </c>
      <c r="CL19" s="12" t="str">
        <f t="shared" si="39"/>
        <v/>
      </c>
      <c r="CM19" s="12" t="str">
        <f t="shared" si="40"/>
        <v/>
      </c>
      <c r="CN19" s="12" t="str">
        <f t="shared" si="41"/>
        <v/>
      </c>
      <c r="CO19" s="40"/>
      <c r="CP19" s="40"/>
      <c r="CQ19" s="40"/>
      <c r="CR19" s="40"/>
      <c r="CS19" s="40"/>
      <c r="CT19" s="40"/>
      <c r="CU19" s="40"/>
      <c r="CV19" s="40"/>
      <c r="CW19" s="40"/>
      <c r="CX19" s="40"/>
      <c r="CY19" s="40"/>
      <c r="CZ19" s="40"/>
      <c r="DA19" s="40"/>
      <c r="DB19" s="40"/>
      <c r="DC19" s="40"/>
      <c r="DD19" s="15" t="str">
        <f t="shared" si="42"/>
        <v/>
      </c>
      <c r="DE19" s="15" t="str">
        <f t="shared" si="43"/>
        <v/>
      </c>
      <c r="DF19" s="15" t="str">
        <f t="shared" si="44"/>
        <v/>
      </c>
      <c r="DG19" s="15" t="str">
        <f t="shared" si="45"/>
        <v/>
      </c>
      <c r="DH19" s="15" t="str">
        <f t="shared" si="46"/>
        <v/>
      </c>
      <c r="DI19" s="15" t="str">
        <f t="shared" si="47"/>
        <v/>
      </c>
      <c r="DJ19" s="15" t="str">
        <f t="shared" si="48"/>
        <v/>
      </c>
      <c r="DK19" s="39"/>
      <c r="DL19" s="39"/>
      <c r="DM19" s="39"/>
      <c r="DN19" s="39"/>
      <c r="DO19" s="39"/>
      <c r="DP19" s="39"/>
      <c r="DQ19" s="39"/>
      <c r="DR19" s="39"/>
      <c r="DS19" s="39"/>
      <c r="DT19" s="39"/>
      <c r="DU19" s="39"/>
      <c r="DV19" s="39"/>
      <c r="DW19" s="39"/>
      <c r="DX19" s="39"/>
      <c r="DY19" s="39"/>
      <c r="DZ19" s="12" t="str">
        <f t="shared" si="49"/>
        <v/>
      </c>
      <c r="EA19" s="12" t="str">
        <f t="shared" si="50"/>
        <v/>
      </c>
      <c r="EB19" s="12" t="str">
        <f t="shared" si="51"/>
        <v/>
      </c>
      <c r="EC19" s="12" t="str">
        <f t="shared" si="52"/>
        <v/>
      </c>
      <c r="ED19" s="12" t="str">
        <f t="shared" si="53"/>
        <v/>
      </c>
      <c r="EE19" s="12" t="str">
        <f t="shared" si="54"/>
        <v/>
      </c>
      <c r="EF19" s="12" t="str">
        <f t="shared" si="55"/>
        <v/>
      </c>
      <c r="EG19" s="40"/>
      <c r="EH19" s="40"/>
      <c r="EI19" s="40"/>
      <c r="EJ19" s="40"/>
      <c r="EK19" s="40"/>
      <c r="EL19" s="40"/>
      <c r="EM19" s="40"/>
      <c r="EN19" s="40"/>
      <c r="EO19" s="40"/>
      <c r="EP19" s="40"/>
      <c r="EQ19" s="40"/>
      <c r="ER19" s="40"/>
      <c r="ES19" s="40"/>
      <c r="ET19" s="40"/>
      <c r="EU19" s="40"/>
      <c r="EV19" s="15" t="str">
        <f t="shared" si="56"/>
        <v/>
      </c>
      <c r="EW19" s="15" t="str">
        <f t="shared" si="57"/>
        <v/>
      </c>
      <c r="EX19" s="15" t="str">
        <f t="shared" si="58"/>
        <v/>
      </c>
      <c r="EY19" s="15" t="str">
        <f t="shared" si="59"/>
        <v/>
      </c>
      <c r="EZ19" s="15" t="str">
        <f t="shared" si="60"/>
        <v/>
      </c>
      <c r="FA19" s="15" t="str">
        <f t="shared" si="61"/>
        <v/>
      </c>
      <c r="FB19" s="15" t="str">
        <f t="shared" si="62"/>
        <v/>
      </c>
      <c r="FC19" s="39"/>
      <c r="FD19" s="39"/>
      <c r="FE19" s="39"/>
      <c r="FF19" s="39"/>
      <c r="FG19" s="39"/>
      <c r="FH19" s="39"/>
      <c r="FI19" s="39"/>
      <c r="FJ19" s="39"/>
      <c r="FK19" s="39"/>
      <c r="FL19" s="39"/>
      <c r="FM19" s="39"/>
      <c r="FN19" s="39"/>
      <c r="FO19" s="39"/>
      <c r="FP19" s="39"/>
      <c r="FQ19" s="39"/>
      <c r="FR19" s="12" t="str">
        <f t="shared" si="63"/>
        <v/>
      </c>
      <c r="FS19" s="12" t="str">
        <f t="shared" si="64"/>
        <v/>
      </c>
      <c r="FT19" s="12" t="str">
        <f t="shared" si="65"/>
        <v/>
      </c>
      <c r="FU19" s="12" t="str">
        <f t="shared" si="66"/>
        <v/>
      </c>
      <c r="FV19" s="12" t="str">
        <f t="shared" si="67"/>
        <v/>
      </c>
      <c r="FW19" s="12" t="str">
        <f t="shared" si="68"/>
        <v/>
      </c>
      <c r="FX19" s="12" t="str">
        <f t="shared" si="69"/>
        <v/>
      </c>
      <c r="FY19" s="40"/>
      <c r="FZ19" s="40"/>
      <c r="GA19" s="40"/>
      <c r="GB19" s="40"/>
      <c r="GC19" s="40"/>
      <c r="GD19" s="40"/>
      <c r="GE19" s="40"/>
      <c r="GF19" s="40"/>
      <c r="GG19" s="40"/>
      <c r="GH19" s="40"/>
      <c r="GI19" s="40"/>
      <c r="GJ19" s="40"/>
      <c r="GK19" s="40"/>
      <c r="GL19" s="40"/>
      <c r="GM19" s="40"/>
      <c r="GN19" s="15" t="str">
        <f t="shared" si="70"/>
        <v/>
      </c>
      <c r="GO19" s="15" t="str">
        <f t="shared" si="71"/>
        <v/>
      </c>
      <c r="GP19" s="15" t="str">
        <f t="shared" si="72"/>
        <v/>
      </c>
      <c r="GQ19" s="15" t="str">
        <f t="shared" si="73"/>
        <v/>
      </c>
      <c r="GR19" s="15" t="str">
        <f t="shared" si="74"/>
        <v/>
      </c>
      <c r="GS19" s="15" t="str">
        <f t="shared" si="75"/>
        <v/>
      </c>
      <c r="GT19" s="15" t="str">
        <f t="shared" si="76"/>
        <v/>
      </c>
      <c r="GU19" s="39"/>
      <c r="GV19" s="39"/>
      <c r="GW19" s="39"/>
      <c r="GX19" s="39"/>
      <c r="GY19" s="39"/>
      <c r="GZ19" s="39"/>
      <c r="HA19" s="39"/>
      <c r="HB19" s="39"/>
      <c r="HC19" s="39"/>
      <c r="HD19" s="39"/>
      <c r="HE19" s="39"/>
      <c r="HF19" s="39"/>
      <c r="HG19" s="39"/>
      <c r="HH19" s="39"/>
      <c r="HI19" s="39"/>
      <c r="HJ19" s="12" t="str">
        <f t="shared" si="77"/>
        <v/>
      </c>
      <c r="HK19" s="12" t="str">
        <f t="shared" si="78"/>
        <v/>
      </c>
      <c r="HL19" s="12" t="str">
        <f t="shared" si="79"/>
        <v/>
      </c>
      <c r="HM19" s="12" t="str">
        <f t="shared" si="80"/>
        <v/>
      </c>
      <c r="HN19" s="12" t="str">
        <f t="shared" si="81"/>
        <v/>
      </c>
      <c r="HO19" s="12" t="str">
        <f t="shared" si="82"/>
        <v/>
      </c>
      <c r="HP19" s="12" t="str">
        <f t="shared" si="83"/>
        <v/>
      </c>
      <c r="HQ19" s="40"/>
      <c r="HR19" s="40"/>
      <c r="HS19" s="40"/>
      <c r="HT19" s="40"/>
      <c r="HU19" s="40"/>
      <c r="HV19" s="40"/>
      <c r="HW19" s="40"/>
      <c r="HX19" s="40"/>
      <c r="HY19" s="40"/>
      <c r="HZ19" s="40"/>
      <c r="IA19" s="40"/>
      <c r="IB19" s="40"/>
      <c r="IC19" s="40"/>
      <c r="ID19" s="40"/>
      <c r="IE19" s="40"/>
      <c r="IF19" s="15" t="str">
        <f t="shared" si="84"/>
        <v/>
      </c>
      <c r="IG19" s="15" t="str">
        <f t="shared" si="85"/>
        <v/>
      </c>
      <c r="IH19" s="15" t="str">
        <f t="shared" si="86"/>
        <v/>
      </c>
      <c r="II19" s="15" t="str">
        <f t="shared" si="87"/>
        <v/>
      </c>
      <c r="IJ19" s="15" t="str">
        <f t="shared" si="88"/>
        <v/>
      </c>
      <c r="IK19" s="15" t="str">
        <f t="shared" si="89"/>
        <v/>
      </c>
      <c r="IL19" s="15" t="str">
        <f t="shared" si="90"/>
        <v/>
      </c>
      <c r="IM19" s="39"/>
      <c r="IN19" s="39"/>
      <c r="IO19" s="39"/>
      <c r="IP19" s="39"/>
      <c r="IQ19" s="39"/>
      <c r="IR19" s="39"/>
      <c r="IS19" s="39"/>
      <c r="IT19" s="39"/>
      <c r="IU19" s="39"/>
      <c r="IV19" s="39"/>
      <c r="IW19" s="39"/>
      <c r="IX19" s="39"/>
      <c r="IY19" s="39"/>
      <c r="IZ19" s="39"/>
      <c r="JA19" s="39"/>
      <c r="JB19" s="12" t="str">
        <f t="shared" si="91"/>
        <v/>
      </c>
      <c r="JC19" s="12" t="str">
        <f t="shared" si="92"/>
        <v/>
      </c>
      <c r="JD19" s="12" t="str">
        <f t="shared" si="93"/>
        <v/>
      </c>
      <c r="JE19" s="12" t="str">
        <f t="shared" si="94"/>
        <v/>
      </c>
      <c r="JF19" s="12" t="str">
        <f t="shared" si="95"/>
        <v/>
      </c>
      <c r="JG19" s="12" t="str">
        <f t="shared" si="96"/>
        <v/>
      </c>
      <c r="JH19" s="12" t="str">
        <f t="shared" si="97"/>
        <v/>
      </c>
      <c r="JI19" s="40"/>
      <c r="JJ19" s="40"/>
      <c r="JK19" s="40"/>
      <c r="JL19" s="40"/>
      <c r="JM19" s="40"/>
      <c r="JN19" s="40"/>
      <c r="JO19" s="40"/>
      <c r="JP19" s="40"/>
      <c r="JQ19" s="40"/>
      <c r="JR19" s="40"/>
      <c r="JS19" s="40"/>
      <c r="JT19" s="40"/>
      <c r="JU19" s="40"/>
      <c r="JV19" s="40"/>
      <c r="JW19" s="40"/>
      <c r="JX19" s="15" t="str">
        <f t="shared" si="98"/>
        <v/>
      </c>
      <c r="JY19" s="15" t="str">
        <f t="shared" si="99"/>
        <v/>
      </c>
      <c r="JZ19" s="15" t="str">
        <f t="shared" si="100"/>
        <v/>
      </c>
      <c r="KA19" s="15" t="str">
        <f t="shared" si="101"/>
        <v/>
      </c>
      <c r="KB19" s="15" t="str">
        <f t="shared" si="102"/>
        <v/>
      </c>
      <c r="KC19" s="15" t="str">
        <f t="shared" si="103"/>
        <v/>
      </c>
      <c r="KD19" s="15" t="str">
        <f t="shared" si="104"/>
        <v/>
      </c>
      <c r="KE19" s="39"/>
      <c r="KF19" s="39"/>
      <c r="KG19" s="39"/>
      <c r="KH19" s="39"/>
      <c r="KI19" s="39"/>
      <c r="KJ19" s="39"/>
      <c r="KK19" s="39"/>
      <c r="KL19" s="39"/>
      <c r="KM19" s="39"/>
      <c r="KN19" s="39"/>
      <c r="KO19" s="39"/>
      <c r="KP19" s="39"/>
      <c r="KQ19" s="39"/>
      <c r="KR19" s="39"/>
      <c r="KS19" s="39"/>
      <c r="KT19" s="12" t="str">
        <f t="shared" si="105"/>
        <v/>
      </c>
      <c r="KU19" s="12" t="str">
        <f t="shared" si="106"/>
        <v/>
      </c>
      <c r="KV19" s="12" t="str">
        <f t="shared" si="107"/>
        <v/>
      </c>
      <c r="KW19" s="12" t="str">
        <f t="shared" si="108"/>
        <v/>
      </c>
      <c r="KX19" s="12" t="str">
        <f t="shared" si="109"/>
        <v/>
      </c>
      <c r="KY19" s="12" t="str">
        <f t="shared" si="110"/>
        <v/>
      </c>
      <c r="KZ19" s="12" t="str">
        <f t="shared" si="111"/>
        <v/>
      </c>
      <c r="LA19" s="40"/>
      <c r="LB19" s="40"/>
      <c r="LC19" s="40"/>
      <c r="LD19" s="40"/>
      <c r="LE19" s="40"/>
      <c r="LF19" s="40"/>
      <c r="LG19" s="40"/>
      <c r="LH19" s="40"/>
      <c r="LI19" s="40"/>
      <c r="LJ19" s="40"/>
      <c r="LK19" s="40"/>
      <c r="LL19" s="40"/>
      <c r="LM19" s="40"/>
      <c r="LN19" s="40"/>
      <c r="LO19" s="40"/>
      <c r="LP19" s="15" t="str">
        <f t="shared" si="112"/>
        <v/>
      </c>
      <c r="LQ19" s="15" t="str">
        <f t="shared" si="113"/>
        <v/>
      </c>
      <c r="LR19" s="15" t="str">
        <f t="shared" si="114"/>
        <v/>
      </c>
      <c r="LS19" s="15" t="str">
        <f t="shared" si="115"/>
        <v/>
      </c>
      <c r="LT19" s="15" t="str">
        <f t="shared" si="116"/>
        <v/>
      </c>
      <c r="LU19" s="15" t="str">
        <f t="shared" si="117"/>
        <v/>
      </c>
      <c r="LV19" s="15" t="str">
        <f t="shared" si="118"/>
        <v/>
      </c>
      <c r="LW19" s="71">
        <f t="shared" si="119"/>
        <v>16.100000000000001</v>
      </c>
      <c r="LX19" s="71">
        <f t="shared" si="120"/>
        <v>8.75</v>
      </c>
      <c r="LY19" s="71">
        <f t="shared" si="121"/>
        <v>3.25</v>
      </c>
      <c r="LZ19" s="71">
        <f t="shared" si="122"/>
        <v>15.855</v>
      </c>
      <c r="MA19" s="71">
        <f t="shared" si="123"/>
        <v>0.1</v>
      </c>
      <c r="MB19" s="71">
        <f t="shared" si="124"/>
        <v>10.8</v>
      </c>
      <c r="MC19" s="71">
        <f t="shared" si="125"/>
        <v>7</v>
      </c>
      <c r="MD19" s="71">
        <f t="shared" si="126"/>
        <v>9.9499999999999993</v>
      </c>
      <c r="ME19" s="71">
        <f t="shared" si="127"/>
        <v>11.3</v>
      </c>
      <c r="MF19" s="71">
        <f t="shared" si="128"/>
        <v>0.35</v>
      </c>
      <c r="MG19" s="71">
        <f t="shared" si="129"/>
        <v>0</v>
      </c>
      <c r="MH19" s="71">
        <f t="shared" si="130"/>
        <v>0</v>
      </c>
      <c r="MI19" s="71">
        <f t="shared" si="131"/>
        <v>0</v>
      </c>
      <c r="MJ19" s="71">
        <f t="shared" si="132"/>
        <v>0</v>
      </c>
      <c r="MK19" s="71">
        <f t="shared" si="133"/>
        <v>0</v>
      </c>
      <c r="ML19" s="82" t="s">
        <v>100</v>
      </c>
      <c r="MM19" s="12">
        <f t="shared" si="134"/>
        <v>9.9499999999999993</v>
      </c>
      <c r="MN19" s="12">
        <f t="shared" si="135"/>
        <v>43.854999999999997</v>
      </c>
      <c r="MO19" s="12">
        <f t="shared" si="136"/>
        <v>38.699999999999996</v>
      </c>
      <c r="MP19" s="12">
        <f t="shared" si="137"/>
        <v>82.554999999999993</v>
      </c>
      <c r="MQ19" s="12" t="str">
        <f t="shared" si="140"/>
        <v/>
      </c>
      <c r="MR19" s="12" t="str">
        <f t="shared" si="138"/>
        <v/>
      </c>
      <c r="MS19" s="12">
        <f t="shared" si="139"/>
        <v>82.554999999999993</v>
      </c>
    </row>
    <row r="20" spans="1:357" x14ac:dyDescent="0.2">
      <c r="A20" s="6" t="str">
        <f t="shared" si="0"/>
        <v/>
      </c>
      <c r="B20" s="7" t="s">
        <v>169</v>
      </c>
      <c r="C20" s="8" t="s">
        <v>10</v>
      </c>
      <c r="D20" s="29">
        <v>2000</v>
      </c>
      <c r="E20" s="16">
        <f t="shared" si="1"/>
        <v>145.22999999999999</v>
      </c>
      <c r="F20" s="4" t="str">
        <f t="shared" si="2"/>
        <v/>
      </c>
      <c r="G20" s="4" t="str">
        <f t="shared" si="3"/>
        <v/>
      </c>
      <c r="H20" s="4" t="str">
        <f t="shared" si="4"/>
        <v/>
      </c>
      <c r="I20" t="str">
        <f t="shared" si="5"/>
        <v/>
      </c>
      <c r="J20" s="15">
        <f t="shared" si="6"/>
        <v>87.97</v>
      </c>
      <c r="K20" s="15" t="str">
        <f t="shared" si="7"/>
        <v>2019 Nationals</v>
      </c>
      <c r="L20" s="15">
        <f t="shared" si="8"/>
        <v>35.375</v>
      </c>
      <c r="M20" s="15" t="str">
        <f t="shared" si="9"/>
        <v>2019 Elite Canada</v>
      </c>
      <c r="N20" s="15">
        <f t="shared" si="10"/>
        <v>11.389999999999999</v>
      </c>
      <c r="O20" s="15" t="str">
        <f t="shared" si="11"/>
        <v>2019 Elite Canada</v>
      </c>
      <c r="P20" s="15" t="str">
        <f t="shared" si="12"/>
        <v/>
      </c>
      <c r="Q20" s="15" t="str">
        <f t="shared" si="13"/>
        <v/>
      </c>
      <c r="R20" s="15">
        <f t="shared" si="14"/>
        <v>10.494999999999999</v>
      </c>
      <c r="S20" s="27" t="str">
        <f t="shared" si="15"/>
        <v>(Vol 2)</v>
      </c>
      <c r="T20" s="15" t="str">
        <f t="shared" si="16"/>
        <v>2019 Scalabis Cup (July 6)</v>
      </c>
      <c r="U20" s="71">
        <v>12.9</v>
      </c>
      <c r="V20" s="71">
        <v>7.25</v>
      </c>
      <c r="W20" s="71">
        <v>3.8</v>
      </c>
      <c r="X20" s="71">
        <v>13.425000000000001</v>
      </c>
      <c r="Y20" s="71">
        <v>2</v>
      </c>
      <c r="Z20" s="71">
        <v>2.9</v>
      </c>
      <c r="AA20" s="71">
        <v>1.65</v>
      </c>
      <c r="AB20" s="71">
        <v>3.4</v>
      </c>
      <c r="AC20" s="71">
        <v>3.44</v>
      </c>
      <c r="AD20" s="71">
        <v>0</v>
      </c>
      <c r="AE20" s="71"/>
      <c r="AF20" s="71"/>
      <c r="AG20" s="71"/>
      <c r="AH20" s="71"/>
      <c r="AI20" s="71"/>
      <c r="AJ20" s="82"/>
      <c r="AK20" s="12">
        <f t="shared" si="17"/>
        <v>3.4</v>
      </c>
      <c r="AL20" s="12">
        <f t="shared" si="18"/>
        <v>35.375</v>
      </c>
      <c r="AM20" s="12">
        <f t="shared" si="19"/>
        <v>11.389999999999999</v>
      </c>
      <c r="AN20" s="12">
        <f t="shared" si="20"/>
        <v>46.765000000000001</v>
      </c>
      <c r="AO20" s="12" t="str">
        <f t="shared" si="21"/>
        <v/>
      </c>
      <c r="AP20" s="12" t="str">
        <f t="shared" si="22"/>
        <v/>
      </c>
      <c r="AQ20" s="12">
        <f t="shared" si="23"/>
        <v>46.765000000000001</v>
      </c>
      <c r="AR20" s="77">
        <v>13.4</v>
      </c>
      <c r="AS20" s="77">
        <v>7.1</v>
      </c>
      <c r="AT20" s="77">
        <v>1.6</v>
      </c>
      <c r="AU20" s="77">
        <v>13.73</v>
      </c>
      <c r="AV20" s="77">
        <v>0</v>
      </c>
      <c r="AW20" s="77">
        <v>13.9</v>
      </c>
      <c r="AX20" s="77">
        <v>8.8000000000000007</v>
      </c>
      <c r="AY20" s="77">
        <v>13.2</v>
      </c>
      <c r="AZ20" s="77">
        <v>16.54</v>
      </c>
      <c r="BA20" s="77">
        <v>0.3</v>
      </c>
      <c r="BB20" s="77"/>
      <c r="BC20" s="77"/>
      <c r="BD20" s="77"/>
      <c r="BE20" s="77"/>
      <c r="BF20" s="77"/>
      <c r="BG20" s="83"/>
      <c r="BH20" s="15">
        <f t="shared" si="24"/>
        <v>13.2</v>
      </c>
      <c r="BI20" s="15">
        <f t="shared" si="25"/>
        <v>35.83</v>
      </c>
      <c r="BJ20" s="15">
        <f t="shared" si="26"/>
        <v>52.140000000000008</v>
      </c>
      <c r="BK20" s="15">
        <f t="shared" si="27"/>
        <v>87.97</v>
      </c>
      <c r="BL20" s="15" t="str">
        <f t="shared" si="28"/>
        <v/>
      </c>
      <c r="BM20" s="15" t="str">
        <f t="shared" si="29"/>
        <v/>
      </c>
      <c r="BN20" s="15">
        <f t="shared" si="30"/>
        <v>87.97</v>
      </c>
      <c r="BO20" s="26" t="str">
        <f t="shared" si="31"/>
        <v/>
      </c>
      <c r="BP20" s="26">
        <f t="shared" si="32"/>
        <v>10.494999999999999</v>
      </c>
      <c r="BQ20" s="26" t="str">
        <f t="shared" si="33"/>
        <v/>
      </c>
      <c r="BR20" s="26" t="str">
        <f t="shared" si="34"/>
        <v/>
      </c>
      <c r="BS20" s="39"/>
      <c r="BT20" s="39"/>
      <c r="BU20" s="39"/>
      <c r="BV20" s="39"/>
      <c r="BW20" s="39"/>
      <c r="BX20" s="39"/>
      <c r="BY20" s="39"/>
      <c r="BZ20" s="39"/>
      <c r="CA20" s="39"/>
      <c r="CB20" s="39"/>
      <c r="CC20" s="39"/>
      <c r="CD20" s="39"/>
      <c r="CE20" s="39"/>
      <c r="CF20" s="39"/>
      <c r="CG20" s="39"/>
      <c r="CH20" s="12" t="str">
        <f t="shared" si="35"/>
        <v/>
      </c>
      <c r="CI20" s="12" t="str">
        <f t="shared" si="36"/>
        <v/>
      </c>
      <c r="CJ20" s="12" t="str">
        <f t="shared" si="37"/>
        <v/>
      </c>
      <c r="CK20" s="12" t="str">
        <f t="shared" si="38"/>
        <v/>
      </c>
      <c r="CL20" s="12" t="str">
        <f t="shared" si="39"/>
        <v/>
      </c>
      <c r="CM20" s="12" t="str">
        <f t="shared" si="40"/>
        <v/>
      </c>
      <c r="CN20" s="12" t="str">
        <f t="shared" si="41"/>
        <v/>
      </c>
      <c r="CO20" s="40"/>
      <c r="CP20" s="40"/>
      <c r="CQ20" s="40"/>
      <c r="CR20" s="40"/>
      <c r="CS20" s="40"/>
      <c r="CT20" s="40"/>
      <c r="CU20" s="40"/>
      <c r="CV20" s="40"/>
      <c r="CW20" s="40"/>
      <c r="CX20" s="40"/>
      <c r="CY20" s="40"/>
      <c r="CZ20" s="40"/>
      <c r="DA20" s="40"/>
      <c r="DB20" s="40"/>
      <c r="DC20" s="40"/>
      <c r="DD20" s="15" t="str">
        <f t="shared" si="42"/>
        <v/>
      </c>
      <c r="DE20" s="15" t="str">
        <f t="shared" si="43"/>
        <v/>
      </c>
      <c r="DF20" s="15" t="str">
        <f t="shared" si="44"/>
        <v/>
      </c>
      <c r="DG20" s="15" t="str">
        <f t="shared" si="45"/>
        <v/>
      </c>
      <c r="DH20" s="15" t="str">
        <f t="shared" si="46"/>
        <v/>
      </c>
      <c r="DI20" s="15" t="str">
        <f t="shared" si="47"/>
        <v/>
      </c>
      <c r="DJ20" s="15" t="str">
        <f t="shared" si="48"/>
        <v/>
      </c>
      <c r="DK20" s="39"/>
      <c r="DL20" s="39"/>
      <c r="DM20" s="39"/>
      <c r="DN20" s="39"/>
      <c r="DO20" s="39"/>
      <c r="DP20" s="39"/>
      <c r="DQ20" s="39"/>
      <c r="DR20" s="39"/>
      <c r="DS20" s="39"/>
      <c r="DT20" s="39"/>
      <c r="DU20" s="39"/>
      <c r="DV20" s="39"/>
      <c r="DW20" s="39"/>
      <c r="DX20" s="39"/>
      <c r="DY20" s="39"/>
      <c r="DZ20" s="12" t="str">
        <f t="shared" si="49"/>
        <v/>
      </c>
      <c r="EA20" s="12" t="str">
        <f t="shared" si="50"/>
        <v/>
      </c>
      <c r="EB20" s="12" t="str">
        <f t="shared" si="51"/>
        <v/>
      </c>
      <c r="EC20" s="12" t="str">
        <f t="shared" si="52"/>
        <v/>
      </c>
      <c r="ED20" s="12" t="str">
        <f t="shared" si="53"/>
        <v/>
      </c>
      <c r="EE20" s="12" t="str">
        <f t="shared" si="54"/>
        <v/>
      </c>
      <c r="EF20" s="12" t="str">
        <f t="shared" si="55"/>
        <v/>
      </c>
      <c r="EG20" s="40"/>
      <c r="EH20" s="40"/>
      <c r="EI20" s="40"/>
      <c r="EJ20" s="40"/>
      <c r="EK20" s="40"/>
      <c r="EL20" s="40"/>
      <c r="EM20" s="40"/>
      <c r="EN20" s="40"/>
      <c r="EO20" s="40"/>
      <c r="EP20" s="40"/>
      <c r="EQ20" s="40"/>
      <c r="ER20" s="40"/>
      <c r="ES20" s="40"/>
      <c r="ET20" s="40"/>
      <c r="EU20" s="40"/>
      <c r="EV20" s="15" t="str">
        <f t="shared" si="56"/>
        <v/>
      </c>
      <c r="EW20" s="15" t="str">
        <f t="shared" si="57"/>
        <v/>
      </c>
      <c r="EX20" s="15" t="str">
        <f t="shared" si="58"/>
        <v/>
      </c>
      <c r="EY20" s="15" t="str">
        <f t="shared" si="59"/>
        <v/>
      </c>
      <c r="EZ20" s="15" t="str">
        <f t="shared" si="60"/>
        <v/>
      </c>
      <c r="FA20" s="15" t="str">
        <f t="shared" si="61"/>
        <v/>
      </c>
      <c r="FB20" s="15" t="str">
        <f t="shared" si="62"/>
        <v/>
      </c>
      <c r="FC20" s="39"/>
      <c r="FD20" s="39"/>
      <c r="FE20" s="39"/>
      <c r="FF20" s="39"/>
      <c r="FG20" s="39"/>
      <c r="FH20" s="39"/>
      <c r="FI20" s="39"/>
      <c r="FJ20" s="39"/>
      <c r="FK20" s="39"/>
      <c r="FL20" s="39"/>
      <c r="FM20" s="39"/>
      <c r="FN20" s="39"/>
      <c r="FO20" s="39"/>
      <c r="FP20" s="39"/>
      <c r="FQ20" s="39"/>
      <c r="FR20" s="12" t="str">
        <f t="shared" si="63"/>
        <v/>
      </c>
      <c r="FS20" s="12" t="str">
        <f t="shared" si="64"/>
        <v/>
      </c>
      <c r="FT20" s="12" t="str">
        <f t="shared" si="65"/>
        <v/>
      </c>
      <c r="FU20" s="12" t="str">
        <f t="shared" si="66"/>
        <v/>
      </c>
      <c r="FV20" s="12" t="str">
        <f t="shared" si="67"/>
        <v/>
      </c>
      <c r="FW20" s="12" t="str">
        <f t="shared" si="68"/>
        <v/>
      </c>
      <c r="FX20" s="12" t="str">
        <f t="shared" si="69"/>
        <v/>
      </c>
      <c r="FY20" s="40">
        <v>10.7</v>
      </c>
      <c r="FZ20" s="40">
        <v>6.7</v>
      </c>
      <c r="GA20" s="40">
        <v>1.6</v>
      </c>
      <c r="GB20" s="40">
        <v>11.65</v>
      </c>
      <c r="GC20" s="40">
        <v>0</v>
      </c>
      <c r="GD20" s="40">
        <v>5.4</v>
      </c>
      <c r="GE20" s="40">
        <v>3.5</v>
      </c>
      <c r="GF20" s="40">
        <v>6.3</v>
      </c>
      <c r="GG20" s="40">
        <v>6.6849999999999996</v>
      </c>
      <c r="GH20" s="40">
        <v>0</v>
      </c>
      <c r="GI20" s="40"/>
      <c r="GJ20" s="40"/>
      <c r="GK20" s="40"/>
      <c r="GL20" s="40"/>
      <c r="GM20" s="40"/>
      <c r="GN20" s="15">
        <f t="shared" si="70"/>
        <v>6.3</v>
      </c>
      <c r="GO20" s="15">
        <f t="shared" si="71"/>
        <v>30.65</v>
      </c>
      <c r="GP20" s="15">
        <f t="shared" si="72"/>
        <v>21.884999999999998</v>
      </c>
      <c r="GQ20" s="15">
        <f t="shared" si="73"/>
        <v>52.534999999999997</v>
      </c>
      <c r="GR20" s="15" t="str">
        <f t="shared" si="74"/>
        <v/>
      </c>
      <c r="GS20" s="15" t="str">
        <f t="shared" si="75"/>
        <v/>
      </c>
      <c r="GT20" s="15">
        <f t="shared" si="76"/>
        <v>52.534999999999997</v>
      </c>
      <c r="GU20" s="39"/>
      <c r="GV20" s="39"/>
      <c r="GW20" s="39"/>
      <c r="GX20" s="39"/>
      <c r="GY20" s="39"/>
      <c r="GZ20" s="39"/>
      <c r="HA20" s="39"/>
      <c r="HB20" s="39"/>
      <c r="HC20" s="39"/>
      <c r="HD20" s="39"/>
      <c r="HE20" s="39"/>
      <c r="HF20" s="39"/>
      <c r="HG20" s="39"/>
      <c r="HH20" s="39"/>
      <c r="HI20" s="39"/>
      <c r="HJ20" s="12" t="str">
        <f t="shared" si="77"/>
        <v/>
      </c>
      <c r="HK20" s="12" t="str">
        <f t="shared" si="78"/>
        <v/>
      </c>
      <c r="HL20" s="12" t="str">
        <f t="shared" si="79"/>
        <v/>
      </c>
      <c r="HM20" s="12" t="str">
        <f t="shared" si="80"/>
        <v/>
      </c>
      <c r="HN20" s="12" t="str">
        <f t="shared" si="81"/>
        <v/>
      </c>
      <c r="HO20" s="12" t="str">
        <f t="shared" si="82"/>
        <v/>
      </c>
      <c r="HP20" s="12" t="str">
        <f t="shared" si="83"/>
        <v/>
      </c>
      <c r="HQ20" s="40"/>
      <c r="HR20" s="40"/>
      <c r="HS20" s="40"/>
      <c r="HT20" s="40"/>
      <c r="HU20" s="40"/>
      <c r="HV20" s="40"/>
      <c r="HW20" s="40"/>
      <c r="HX20" s="40"/>
      <c r="HY20" s="40"/>
      <c r="HZ20" s="40"/>
      <c r="IA20" s="40"/>
      <c r="IB20" s="40"/>
      <c r="IC20" s="40"/>
      <c r="ID20" s="40"/>
      <c r="IE20" s="40"/>
      <c r="IF20" s="15" t="str">
        <f t="shared" si="84"/>
        <v/>
      </c>
      <c r="IG20" s="15" t="str">
        <f t="shared" si="85"/>
        <v/>
      </c>
      <c r="IH20" s="15" t="str">
        <f t="shared" si="86"/>
        <v/>
      </c>
      <c r="II20" s="15" t="str">
        <f t="shared" si="87"/>
        <v/>
      </c>
      <c r="IJ20" s="15" t="str">
        <f t="shared" si="88"/>
        <v/>
      </c>
      <c r="IK20" s="15" t="str">
        <f t="shared" si="89"/>
        <v/>
      </c>
      <c r="IL20" s="15" t="str">
        <f t="shared" si="90"/>
        <v/>
      </c>
      <c r="IM20" s="39"/>
      <c r="IN20" s="39"/>
      <c r="IO20" s="39"/>
      <c r="IP20" s="39"/>
      <c r="IQ20" s="39"/>
      <c r="IR20" s="39"/>
      <c r="IS20" s="39"/>
      <c r="IT20" s="39"/>
      <c r="IU20" s="39"/>
      <c r="IV20" s="39"/>
      <c r="IW20" s="39"/>
      <c r="IX20" s="39"/>
      <c r="IY20" s="39"/>
      <c r="IZ20" s="39"/>
      <c r="JA20" s="39"/>
      <c r="JB20" s="12" t="str">
        <f t="shared" si="91"/>
        <v/>
      </c>
      <c r="JC20" s="12" t="str">
        <f t="shared" si="92"/>
        <v/>
      </c>
      <c r="JD20" s="12" t="str">
        <f t="shared" si="93"/>
        <v/>
      </c>
      <c r="JE20" s="12" t="str">
        <f t="shared" si="94"/>
        <v/>
      </c>
      <c r="JF20" s="12" t="str">
        <f t="shared" si="95"/>
        <v/>
      </c>
      <c r="JG20" s="12" t="str">
        <f t="shared" si="96"/>
        <v/>
      </c>
      <c r="JH20" s="12" t="str">
        <f t="shared" si="97"/>
        <v/>
      </c>
      <c r="JI20" s="40"/>
      <c r="JJ20" s="40"/>
      <c r="JK20" s="40"/>
      <c r="JL20" s="40"/>
      <c r="JM20" s="40"/>
      <c r="JN20" s="40"/>
      <c r="JO20" s="40"/>
      <c r="JP20" s="40"/>
      <c r="JQ20" s="40"/>
      <c r="JR20" s="40"/>
      <c r="JS20" s="40"/>
      <c r="JT20" s="40"/>
      <c r="JU20" s="40"/>
      <c r="JV20" s="40"/>
      <c r="JW20" s="40"/>
      <c r="JX20" s="15" t="str">
        <f t="shared" si="98"/>
        <v/>
      </c>
      <c r="JY20" s="15" t="str">
        <f t="shared" si="99"/>
        <v/>
      </c>
      <c r="JZ20" s="15" t="str">
        <f t="shared" si="100"/>
        <v/>
      </c>
      <c r="KA20" s="15" t="str">
        <f t="shared" si="101"/>
        <v/>
      </c>
      <c r="KB20" s="15" t="str">
        <f t="shared" si="102"/>
        <v/>
      </c>
      <c r="KC20" s="15" t="str">
        <f t="shared" si="103"/>
        <v/>
      </c>
      <c r="KD20" s="15" t="str">
        <f t="shared" si="104"/>
        <v/>
      </c>
      <c r="KE20" s="39"/>
      <c r="KF20" s="39"/>
      <c r="KG20" s="39"/>
      <c r="KH20" s="39"/>
      <c r="KI20" s="39"/>
      <c r="KJ20" s="39"/>
      <c r="KK20" s="39"/>
      <c r="KL20" s="39"/>
      <c r="KM20" s="39"/>
      <c r="KN20" s="39"/>
      <c r="KO20" s="39"/>
      <c r="KP20" s="39"/>
      <c r="KQ20" s="39"/>
      <c r="KR20" s="39"/>
      <c r="KS20" s="39"/>
      <c r="KT20" s="12" t="str">
        <f t="shared" si="105"/>
        <v/>
      </c>
      <c r="KU20" s="12" t="str">
        <f t="shared" si="106"/>
        <v/>
      </c>
      <c r="KV20" s="12" t="str">
        <f t="shared" si="107"/>
        <v/>
      </c>
      <c r="KW20" s="12" t="str">
        <f t="shared" si="108"/>
        <v/>
      </c>
      <c r="KX20" s="12" t="str">
        <f t="shared" si="109"/>
        <v/>
      </c>
      <c r="KY20" s="12" t="str">
        <f t="shared" si="110"/>
        <v/>
      </c>
      <c r="KZ20" s="12" t="str">
        <f t="shared" si="111"/>
        <v/>
      </c>
      <c r="LA20" s="40"/>
      <c r="LB20" s="40"/>
      <c r="LC20" s="40"/>
      <c r="LD20" s="40"/>
      <c r="LE20" s="40"/>
      <c r="LF20" s="40"/>
      <c r="LG20" s="40"/>
      <c r="LH20" s="40"/>
      <c r="LI20" s="40"/>
      <c r="LJ20" s="40"/>
      <c r="LK20" s="40"/>
      <c r="LL20" s="40"/>
      <c r="LM20" s="40"/>
      <c r="LN20" s="40"/>
      <c r="LO20" s="40"/>
      <c r="LP20" s="15" t="str">
        <f t="shared" si="112"/>
        <v/>
      </c>
      <c r="LQ20" s="15" t="str">
        <f t="shared" si="113"/>
        <v/>
      </c>
      <c r="LR20" s="15" t="str">
        <f t="shared" si="114"/>
        <v/>
      </c>
      <c r="LS20" s="15" t="str">
        <f t="shared" si="115"/>
        <v/>
      </c>
      <c r="LT20" s="15" t="str">
        <f t="shared" si="116"/>
        <v/>
      </c>
      <c r="LU20" s="15" t="str">
        <f t="shared" si="117"/>
        <v/>
      </c>
      <c r="LV20" s="15" t="str">
        <f t="shared" si="118"/>
        <v/>
      </c>
      <c r="LW20" s="71">
        <f t="shared" si="119"/>
        <v>13.15</v>
      </c>
      <c r="LX20" s="71">
        <f t="shared" si="120"/>
        <v>7.1749999999999998</v>
      </c>
      <c r="LY20" s="71">
        <f t="shared" si="121"/>
        <v>2.7</v>
      </c>
      <c r="LZ20" s="71">
        <f t="shared" si="122"/>
        <v>13.577500000000001</v>
      </c>
      <c r="MA20" s="71">
        <f t="shared" si="123"/>
        <v>1</v>
      </c>
      <c r="MB20" s="71">
        <f t="shared" si="124"/>
        <v>8.4</v>
      </c>
      <c r="MC20" s="71">
        <f t="shared" si="125"/>
        <v>5.2250000000000005</v>
      </c>
      <c r="MD20" s="71">
        <f t="shared" si="126"/>
        <v>8.2999999999999989</v>
      </c>
      <c r="ME20" s="71">
        <f t="shared" si="127"/>
        <v>9.99</v>
      </c>
      <c r="MF20" s="71">
        <f t="shared" si="128"/>
        <v>0.15</v>
      </c>
      <c r="MG20" s="71">
        <f t="shared" si="129"/>
        <v>0</v>
      </c>
      <c r="MH20" s="71">
        <f t="shared" si="130"/>
        <v>0</v>
      </c>
      <c r="MI20" s="71">
        <f t="shared" si="131"/>
        <v>0</v>
      </c>
      <c r="MJ20" s="71">
        <f t="shared" si="132"/>
        <v>0</v>
      </c>
      <c r="MK20" s="71">
        <f t="shared" si="133"/>
        <v>0</v>
      </c>
      <c r="ML20" s="82" t="s">
        <v>100</v>
      </c>
      <c r="MM20" s="12">
        <f t="shared" si="134"/>
        <v>8.2999999999999989</v>
      </c>
      <c r="MN20" s="12">
        <f t="shared" si="135"/>
        <v>35.602499999999999</v>
      </c>
      <c r="MO20" s="12">
        <f t="shared" si="136"/>
        <v>31.765000000000001</v>
      </c>
      <c r="MP20" s="12">
        <f t="shared" si="137"/>
        <v>67.367500000000007</v>
      </c>
      <c r="MQ20" s="12" t="str">
        <f t="shared" si="140"/>
        <v/>
      </c>
      <c r="MR20" s="12" t="str">
        <f t="shared" si="138"/>
        <v/>
      </c>
      <c r="MS20" s="12">
        <f t="shared" si="139"/>
        <v>67.367500000000007</v>
      </c>
    </row>
    <row r="21" spans="1:357" x14ac:dyDescent="0.2">
      <c r="B21" s="7"/>
      <c r="D21" s="1"/>
    </row>
    <row r="23" spans="1:357" x14ac:dyDescent="0.2">
      <c r="B23" s="72" t="s">
        <v>85</v>
      </c>
      <c r="C23" s="58"/>
      <c r="AL23" s="66">
        <v>14.4</v>
      </c>
      <c r="AO23" s="56"/>
      <c r="BH23" s="58"/>
      <c r="BI23" s="66">
        <v>14.4</v>
      </c>
      <c r="BL23" s="56"/>
      <c r="CH23" s="58"/>
      <c r="CI23" s="66">
        <v>14.7</v>
      </c>
      <c r="CL23" s="56"/>
      <c r="DD23" s="58"/>
      <c r="DE23" s="66">
        <v>20.2</v>
      </c>
      <c r="DH23" s="56"/>
      <c r="DZ23" s="58"/>
      <c r="EA23" s="66">
        <v>20.2</v>
      </c>
      <c r="ED23" s="56"/>
      <c r="EV23" s="58"/>
      <c r="EW23" s="66">
        <v>14.4</v>
      </c>
      <c r="EZ23" s="56"/>
      <c r="FR23" s="58"/>
      <c r="FS23" s="66">
        <v>14.4</v>
      </c>
      <c r="FV23" s="56"/>
      <c r="GN23" s="58"/>
      <c r="GO23" s="66">
        <v>14.4</v>
      </c>
      <c r="GR23" s="56"/>
      <c r="HJ23" s="58"/>
      <c r="HK23" s="66">
        <v>14.4</v>
      </c>
      <c r="HN23" s="56"/>
      <c r="IF23" s="58"/>
      <c r="IG23" s="66">
        <v>14.4</v>
      </c>
      <c r="IJ23" s="56"/>
      <c r="JB23" s="58"/>
      <c r="JC23" s="66">
        <v>14.4</v>
      </c>
      <c r="JF23" s="56"/>
      <c r="JX23" s="58"/>
      <c r="JY23" s="66">
        <v>14.4</v>
      </c>
      <c r="KB23" s="56"/>
      <c r="KT23" s="58"/>
      <c r="KU23" s="66">
        <v>14.4</v>
      </c>
      <c r="KX23" s="56"/>
      <c r="LP23" s="58"/>
      <c r="LQ23" s="66">
        <v>14.4</v>
      </c>
      <c r="LT23" s="56"/>
    </row>
    <row r="24" spans="1:357" x14ac:dyDescent="0.2">
      <c r="A24" s="58"/>
      <c r="B24" s="100" t="s">
        <v>84</v>
      </c>
      <c r="C24" s="58"/>
      <c r="AL24" s="102">
        <v>15.4</v>
      </c>
      <c r="AN24" s="56"/>
      <c r="AO24" s="56"/>
      <c r="AP24" s="56"/>
      <c r="BH24" s="58"/>
      <c r="BI24" s="102">
        <v>15.4</v>
      </c>
      <c r="BL24" s="56"/>
      <c r="CH24" s="58"/>
      <c r="CI24" s="102">
        <v>14.8</v>
      </c>
      <c r="CL24" s="56"/>
      <c r="DD24" s="58"/>
      <c r="DE24" s="102">
        <v>20.6</v>
      </c>
      <c r="DH24" s="56"/>
      <c r="DZ24" s="58"/>
      <c r="EA24" s="102">
        <v>20.6</v>
      </c>
      <c r="ED24" s="56"/>
      <c r="EV24" s="58"/>
      <c r="EW24" s="102">
        <v>15.4</v>
      </c>
      <c r="EZ24" s="56"/>
      <c r="FR24" s="58"/>
      <c r="FS24" s="102">
        <v>15.4</v>
      </c>
      <c r="FV24" s="56"/>
      <c r="GN24" s="58"/>
      <c r="GO24" s="102">
        <v>15.4</v>
      </c>
      <c r="GR24" s="56"/>
      <c r="HJ24" s="58"/>
      <c r="HK24" s="102">
        <v>15.4</v>
      </c>
      <c r="HN24" s="56"/>
      <c r="IF24" s="58"/>
      <c r="IG24" s="102">
        <v>15.4</v>
      </c>
      <c r="IJ24" s="56"/>
      <c r="JB24" s="58"/>
      <c r="JC24" s="102">
        <v>15.4</v>
      </c>
      <c r="JF24" s="56"/>
      <c r="JX24" s="58"/>
      <c r="JY24" s="102">
        <v>15.4</v>
      </c>
      <c r="KB24" s="56"/>
      <c r="KT24" s="58"/>
      <c r="KU24" s="102">
        <v>15.4</v>
      </c>
      <c r="KX24" s="56"/>
      <c r="LP24" s="58"/>
      <c r="LQ24" s="102">
        <v>15.4</v>
      </c>
      <c r="LT24" s="56"/>
    </row>
    <row r="25" spans="1:357" x14ac:dyDescent="0.2">
      <c r="A25" s="58"/>
      <c r="B25" s="73" t="s">
        <v>82</v>
      </c>
      <c r="C25" s="58"/>
      <c r="AL25" s="67">
        <v>103</v>
      </c>
      <c r="AN25" s="56"/>
      <c r="AO25" s="56"/>
      <c r="AP25" s="56"/>
      <c r="BH25" s="58"/>
      <c r="BI25" s="67">
        <v>103</v>
      </c>
      <c r="BL25" s="56"/>
      <c r="CH25" s="58"/>
      <c r="CI25" s="67">
        <v>103</v>
      </c>
      <c r="CL25" s="56"/>
      <c r="DD25" s="58"/>
      <c r="DE25" s="67">
        <v>103</v>
      </c>
      <c r="DH25" s="56"/>
      <c r="DZ25" s="58"/>
      <c r="EA25" s="67">
        <v>103</v>
      </c>
      <c r="ED25" s="56"/>
      <c r="EV25" s="58"/>
      <c r="EW25" s="67">
        <v>103</v>
      </c>
      <c r="EZ25" s="56"/>
      <c r="FR25" s="58"/>
      <c r="FS25" s="67">
        <v>103</v>
      </c>
      <c r="FV25" s="56"/>
      <c r="GN25" s="58"/>
      <c r="GO25" s="67">
        <v>103</v>
      </c>
      <c r="GR25" s="56"/>
      <c r="HJ25" s="58"/>
      <c r="HK25" s="67">
        <v>103</v>
      </c>
      <c r="HN25" s="56"/>
      <c r="IF25" s="58"/>
      <c r="IG25" s="67">
        <v>103</v>
      </c>
      <c r="IJ25" s="56"/>
      <c r="JB25" s="58"/>
      <c r="JC25" s="67">
        <v>103</v>
      </c>
      <c r="JF25" s="56"/>
      <c r="JX25" s="58"/>
      <c r="JY25" s="67">
        <v>103</v>
      </c>
      <c r="KB25" s="56"/>
      <c r="KT25" s="58"/>
      <c r="KU25" s="67">
        <v>103</v>
      </c>
      <c r="KX25" s="56"/>
      <c r="LP25" s="58"/>
      <c r="LQ25" s="67">
        <v>103</v>
      </c>
      <c r="LT25" s="56"/>
    </row>
    <row r="26" spans="1:357" x14ac:dyDescent="0.2">
      <c r="A26" s="58"/>
      <c r="B26" s="74" t="s">
        <v>83</v>
      </c>
      <c r="C26" s="58"/>
      <c r="AL26" s="68">
        <v>105</v>
      </c>
      <c r="AN26" s="56"/>
      <c r="AO26" s="56"/>
      <c r="AP26" s="56"/>
      <c r="BH26" s="58"/>
      <c r="BI26" s="68">
        <v>105</v>
      </c>
      <c r="BL26" s="56"/>
      <c r="CH26" s="58"/>
      <c r="CI26" s="68">
        <v>105</v>
      </c>
      <c r="CL26" s="56"/>
      <c r="DD26" s="58"/>
      <c r="DE26" s="68">
        <v>105</v>
      </c>
      <c r="DH26" s="56"/>
      <c r="DZ26" s="58"/>
      <c r="EA26" s="68">
        <v>105</v>
      </c>
      <c r="ED26" s="56"/>
      <c r="EV26" s="58"/>
      <c r="EW26" s="68">
        <v>105</v>
      </c>
      <c r="EZ26" s="56"/>
      <c r="FR26" s="58"/>
      <c r="FS26" s="68">
        <v>105</v>
      </c>
      <c r="FV26" s="56"/>
      <c r="GN26" s="58"/>
      <c r="GO26" s="68">
        <v>105</v>
      </c>
      <c r="GR26" s="56"/>
      <c r="HJ26" s="58"/>
      <c r="HK26" s="68">
        <v>105</v>
      </c>
      <c r="HN26" s="56"/>
      <c r="IF26" s="58"/>
      <c r="IG26" s="68">
        <v>105</v>
      </c>
      <c r="IJ26" s="56"/>
      <c r="JB26" s="58"/>
      <c r="JC26" s="68">
        <v>105</v>
      </c>
      <c r="JF26" s="56"/>
      <c r="JX26" s="58"/>
      <c r="JY26" s="68">
        <v>105</v>
      </c>
      <c r="KB26" s="56"/>
      <c r="KT26" s="58"/>
      <c r="KU26" s="68">
        <v>105</v>
      </c>
      <c r="KX26" s="56"/>
      <c r="LP26" s="58"/>
      <c r="LQ26" s="68">
        <v>105</v>
      </c>
      <c r="LT26" s="56"/>
    </row>
    <row r="27" spans="1:357" x14ac:dyDescent="0.2">
      <c r="A27" s="58"/>
      <c r="B27" s="75" t="s">
        <v>151</v>
      </c>
      <c r="C27" s="58"/>
      <c r="AL27" s="69">
        <v>108</v>
      </c>
      <c r="AN27" s="56"/>
      <c r="AO27" s="56"/>
      <c r="AP27" s="56"/>
      <c r="BH27" s="58"/>
      <c r="BI27" s="69">
        <v>108</v>
      </c>
      <c r="BL27" s="56"/>
      <c r="CH27" s="58"/>
      <c r="CI27" s="69">
        <v>108.5</v>
      </c>
      <c r="CL27" s="56"/>
      <c r="DD27" s="58"/>
      <c r="DE27" s="69">
        <v>108.5</v>
      </c>
      <c r="DH27" s="56"/>
      <c r="DZ27" s="58"/>
      <c r="EA27" s="69">
        <v>108.5</v>
      </c>
      <c r="ED27" s="56"/>
      <c r="EV27" s="58"/>
      <c r="EW27" s="69">
        <v>108</v>
      </c>
      <c r="EZ27" s="56"/>
      <c r="FR27" s="58"/>
      <c r="FS27" s="69">
        <v>108</v>
      </c>
      <c r="FV27" s="56"/>
      <c r="GN27" s="58"/>
      <c r="GO27" s="69">
        <v>108</v>
      </c>
      <c r="GR27" s="56"/>
      <c r="HJ27" s="58"/>
      <c r="HK27" s="69">
        <v>108</v>
      </c>
      <c r="HN27" s="56"/>
      <c r="IF27" s="58"/>
      <c r="IG27" s="69">
        <v>108</v>
      </c>
      <c r="IJ27" s="56"/>
      <c r="JB27" s="58"/>
      <c r="JC27" s="69">
        <v>108</v>
      </c>
      <c r="JF27" s="56"/>
      <c r="JX27" s="58"/>
      <c r="JY27" s="69">
        <v>108</v>
      </c>
      <c r="KB27" s="56"/>
      <c r="KT27" s="58"/>
      <c r="KU27" s="69">
        <v>108</v>
      </c>
      <c r="KX27" s="56"/>
      <c r="LP27" s="58"/>
      <c r="LQ27" s="69">
        <v>108</v>
      </c>
      <c r="LT27" s="56"/>
    </row>
    <row r="28" spans="1:357" x14ac:dyDescent="0.2">
      <c r="A28" s="58"/>
      <c r="B28" s="76" t="s">
        <v>64</v>
      </c>
      <c r="C28" s="58"/>
      <c r="AL28" s="70">
        <v>59.8</v>
      </c>
      <c r="AN28" s="56"/>
      <c r="AO28" s="56"/>
      <c r="AP28" s="56"/>
      <c r="BH28" s="58"/>
      <c r="BI28" s="70">
        <v>59.8</v>
      </c>
      <c r="BL28" s="56"/>
      <c r="CH28" s="58"/>
      <c r="CI28" s="70">
        <v>60</v>
      </c>
      <c r="CL28" s="56"/>
      <c r="DD28" s="58"/>
      <c r="DE28" s="70">
        <v>60</v>
      </c>
      <c r="DH28" s="56"/>
      <c r="DZ28" s="58"/>
      <c r="EA28" s="70">
        <v>60</v>
      </c>
      <c r="ED28" s="56"/>
      <c r="EV28" s="58"/>
      <c r="EW28" s="70">
        <v>59.8</v>
      </c>
      <c r="EZ28" s="56"/>
      <c r="FR28" s="58"/>
      <c r="FS28" s="70">
        <v>59.8</v>
      </c>
      <c r="FV28" s="56"/>
      <c r="GN28" s="58"/>
      <c r="GO28" s="70">
        <v>59.8</v>
      </c>
      <c r="GR28" s="56"/>
      <c r="HJ28" s="58"/>
      <c r="HK28" s="70">
        <v>59.8</v>
      </c>
      <c r="HN28" s="56"/>
      <c r="IF28" s="58"/>
      <c r="IG28" s="70">
        <v>59.8</v>
      </c>
      <c r="IJ28" s="56"/>
      <c r="JB28" s="58"/>
      <c r="JC28" s="70">
        <v>59.8</v>
      </c>
      <c r="JF28" s="56"/>
      <c r="JX28" s="58"/>
      <c r="JY28" s="70">
        <v>59.8</v>
      </c>
      <c r="KB28" s="56"/>
      <c r="KT28" s="58"/>
      <c r="KU28" s="70">
        <v>59.8</v>
      </c>
      <c r="KX28" s="56"/>
      <c r="LP28" s="58"/>
      <c r="LQ28" s="70">
        <v>59.8</v>
      </c>
      <c r="LT28" s="56"/>
    </row>
    <row r="29" spans="1:357" x14ac:dyDescent="0.2">
      <c r="B29" s="84" t="s">
        <v>101</v>
      </c>
      <c r="C29" s="3"/>
      <c r="AM29" s="56"/>
      <c r="AN29" s="56"/>
      <c r="AP29" s="56"/>
      <c r="CI29" t="s">
        <v>147</v>
      </c>
      <c r="DE29" s="56"/>
    </row>
    <row r="30" spans="1:357" x14ac:dyDescent="0.2">
      <c r="A30" s="58"/>
      <c r="B30" s="58"/>
      <c r="C30" s="57"/>
      <c r="AL30" s="56"/>
      <c r="AM30" s="56"/>
      <c r="AN30" s="56"/>
      <c r="AP30" s="56"/>
    </row>
    <row r="31" spans="1:357" ht="17" x14ac:dyDescent="0.2">
      <c r="A31" s="58"/>
      <c r="B31" s="58"/>
      <c r="C31" s="57"/>
      <c r="R31" s="21"/>
      <c r="S31" s="21"/>
      <c r="AL31" s="56"/>
      <c r="AM31" s="56"/>
      <c r="AN31" s="56"/>
      <c r="AP31" s="56"/>
    </row>
    <row r="32" spans="1:357" ht="17" x14ac:dyDescent="0.2">
      <c r="A32" s="58"/>
      <c r="B32" s="58"/>
      <c r="C32" s="57"/>
      <c r="R32" s="21"/>
      <c r="AL32" s="56"/>
      <c r="AM32" s="56"/>
      <c r="AN32" s="56"/>
      <c r="AP32" s="56"/>
    </row>
    <row r="33" spans="18:42" ht="17" x14ac:dyDescent="0.2">
      <c r="R33" s="21"/>
      <c r="S33" s="21"/>
      <c r="AL33" s="56"/>
      <c r="AM33" s="56"/>
      <c r="AN33" s="56"/>
      <c r="AP33" s="56"/>
    </row>
    <row r="34" spans="18:42" ht="17" x14ac:dyDescent="0.2">
      <c r="R34" s="21"/>
      <c r="S34" s="21"/>
      <c r="AL34" s="56"/>
      <c r="AM34" s="56"/>
      <c r="AN34" s="56"/>
      <c r="AP34" s="56"/>
    </row>
    <row r="35" spans="18:42" ht="17" x14ac:dyDescent="0.2">
      <c r="R35" s="21"/>
      <c r="S35" s="21"/>
      <c r="AL35" s="56"/>
      <c r="AM35" s="56"/>
      <c r="AN35" s="56"/>
      <c r="AP35" s="56"/>
    </row>
    <row r="36" spans="18:42" ht="17" x14ac:dyDescent="0.2">
      <c r="R36" s="21"/>
      <c r="S36" s="21"/>
      <c r="T36" s="21"/>
    </row>
    <row r="37" spans="18:42" ht="17" x14ac:dyDescent="0.2">
      <c r="R37" s="21"/>
      <c r="S37" s="21"/>
      <c r="T37" s="21"/>
    </row>
    <row r="38" spans="18:42" ht="17" x14ac:dyDescent="0.2">
      <c r="R38" s="21"/>
      <c r="S38" s="21"/>
      <c r="T38" s="21"/>
    </row>
    <row r="39" spans="18:42" ht="17" x14ac:dyDescent="0.2">
      <c r="R39" s="21"/>
      <c r="S39" s="21"/>
      <c r="T39" s="21"/>
    </row>
    <row r="40" spans="18:42" ht="17" x14ac:dyDescent="0.2">
      <c r="R40" s="21"/>
      <c r="S40" s="21"/>
      <c r="T40" s="21"/>
    </row>
    <row r="41" spans="18:42" ht="17" x14ac:dyDescent="0.2">
      <c r="R41" s="21"/>
      <c r="S41" s="21"/>
      <c r="T41" s="21"/>
    </row>
    <row r="42" spans="18:42" ht="17" x14ac:dyDescent="0.2">
      <c r="R42" s="21"/>
      <c r="S42" s="21"/>
      <c r="T42" s="21"/>
    </row>
    <row r="43" spans="18:42" ht="17" x14ac:dyDescent="0.2">
      <c r="R43" s="21"/>
      <c r="S43" s="21"/>
      <c r="T43" s="21"/>
    </row>
    <row r="44" spans="18:42" ht="17" x14ac:dyDescent="0.2">
      <c r="R44" s="21"/>
      <c r="S44" s="21"/>
      <c r="T44" s="21"/>
    </row>
    <row r="45" spans="18:42" ht="17" x14ac:dyDescent="0.2">
      <c r="R45" s="21"/>
      <c r="S45" s="21"/>
      <c r="T45" s="21"/>
    </row>
    <row r="46" spans="18:42" ht="17" x14ac:dyDescent="0.2">
      <c r="R46" s="21"/>
      <c r="S46" s="21"/>
      <c r="T46" s="21"/>
    </row>
    <row r="47" spans="18:42" ht="17" x14ac:dyDescent="0.2">
      <c r="R47" s="21"/>
      <c r="S47" s="21"/>
      <c r="T47" s="21"/>
    </row>
    <row r="48" spans="18:42" ht="17" x14ac:dyDescent="0.2">
      <c r="R48" s="21"/>
      <c r="S48" s="21"/>
      <c r="T48" s="21"/>
    </row>
    <row r="49" spans="18:20" ht="17" x14ac:dyDescent="0.2">
      <c r="R49" s="21"/>
      <c r="S49" s="21"/>
      <c r="T49" s="21"/>
    </row>
    <row r="50" spans="18:20" ht="17" x14ac:dyDescent="0.2">
      <c r="R50" s="21"/>
      <c r="S50" s="21"/>
      <c r="T50" s="21"/>
    </row>
  </sheetData>
  <sheetProtection sheet="1" formatCells="0" formatColumns="0" formatRows="0"/>
  <autoFilter ref="A1:LV3" xr:uid="{00000000-0009-0000-0000-000001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sortState xmlns:xlrd2="http://schemas.microsoft.com/office/spreadsheetml/2017/richdata2" ref="A6:LV20">
      <sortCondition descending="1" ref="F1:F21"/>
    </sortState>
  </autoFilter>
  <sortState xmlns:xlrd2="http://schemas.microsoft.com/office/spreadsheetml/2017/richdata2" ref="A1:O3">
    <sortCondition ref="A1"/>
  </sortState>
  <mergeCells count="81">
    <mergeCell ref="IW2:JA2"/>
    <mergeCell ref="IR2:IV2"/>
    <mergeCell ref="JI1:KD1"/>
    <mergeCell ref="KE1:KZ1"/>
    <mergeCell ref="LK2:LO2"/>
    <mergeCell ref="LF2:LJ2"/>
    <mergeCell ref="LA2:LE2"/>
    <mergeCell ref="KO2:KS2"/>
    <mergeCell ref="KJ2:KN2"/>
    <mergeCell ref="JN2:JR2"/>
    <mergeCell ref="JI2:JM2"/>
    <mergeCell ref="DK1:EF1"/>
    <mergeCell ref="CO2:CS2"/>
    <mergeCell ref="AR1:BN1"/>
    <mergeCell ref="AR2:AV2"/>
    <mergeCell ref="AW2:BA2"/>
    <mergeCell ref="CC2:CG2"/>
    <mergeCell ref="BX2:CB2"/>
    <mergeCell ref="BS1:CN1"/>
    <mergeCell ref="BB2:BF2"/>
    <mergeCell ref="BS2:BW2"/>
    <mergeCell ref="BO1:BR1"/>
    <mergeCell ref="CO1:DJ1"/>
    <mergeCell ref="CY2:DC2"/>
    <mergeCell ref="DK2:DO2"/>
    <mergeCell ref="H1:H3"/>
    <mergeCell ref="I1:I3"/>
    <mergeCell ref="J1:J3"/>
    <mergeCell ref="L1:L3"/>
    <mergeCell ref="N1:N3"/>
    <mergeCell ref="K1:K3"/>
    <mergeCell ref="M1:M3"/>
    <mergeCell ref="O1:O3"/>
    <mergeCell ref="Q1:Q3"/>
    <mergeCell ref="U1:AQ1"/>
    <mergeCell ref="Z2:AD2"/>
    <mergeCell ref="AE2:AI2"/>
    <mergeCell ref="P1:P3"/>
    <mergeCell ref="R1:R3"/>
    <mergeCell ref="T1:T3"/>
    <mergeCell ref="S1:S3"/>
    <mergeCell ref="U2:Y2"/>
    <mergeCell ref="A1:A3"/>
    <mergeCell ref="B1:B3"/>
    <mergeCell ref="C1:C3"/>
    <mergeCell ref="E1:E3"/>
    <mergeCell ref="G1:G3"/>
    <mergeCell ref="D1:D3"/>
    <mergeCell ref="F1:F3"/>
    <mergeCell ref="EG2:EK2"/>
    <mergeCell ref="DU2:DY2"/>
    <mergeCell ref="DP2:DT2"/>
    <mergeCell ref="CT2:CX2"/>
    <mergeCell ref="IM2:IQ2"/>
    <mergeCell ref="IA2:IE2"/>
    <mergeCell ref="HV2:HZ2"/>
    <mergeCell ref="HQ2:HU2"/>
    <mergeCell ref="EQ2:EU2"/>
    <mergeCell ref="HE2:HI2"/>
    <mergeCell ref="GZ2:HD2"/>
    <mergeCell ref="GU2:GY2"/>
    <mergeCell ref="GD2:GH2"/>
    <mergeCell ref="FY2:GC2"/>
    <mergeCell ref="FM2:FQ2"/>
    <mergeCell ref="FH2:FL2"/>
    <mergeCell ref="LW1:MS1"/>
    <mergeCell ref="LW2:MA2"/>
    <mergeCell ref="MB2:MF2"/>
    <mergeCell ref="MG2:MK2"/>
    <mergeCell ref="EL2:EP2"/>
    <mergeCell ref="EG1:FB1"/>
    <mergeCell ref="GU1:HP1"/>
    <mergeCell ref="FC1:FX1"/>
    <mergeCell ref="FY1:GT1"/>
    <mergeCell ref="FC2:FG2"/>
    <mergeCell ref="GI2:GM2"/>
    <mergeCell ref="HQ1:IL1"/>
    <mergeCell ref="IM1:JH1"/>
    <mergeCell ref="KE2:KI2"/>
    <mergeCell ref="JS2:JW2"/>
    <mergeCell ref="LA1:LV1"/>
  </mergeCells>
  <conditionalFormatting sqref="A1:A1048576">
    <cfRule type="expression" dxfId="204" priority="292">
      <formula>AND(H1="P",F1="")</formula>
    </cfRule>
  </conditionalFormatting>
  <conditionalFormatting sqref="I1:I1048576">
    <cfRule type="containsText" dxfId="203" priority="33" operator="containsText" text="No DD">
      <formula>NOT(ISERROR(SEARCH("No DD",I1)))</formula>
    </cfRule>
    <cfRule type="containsText" dxfId="202" priority="293" operator="containsText" text="Merit">
      <formula>NOT(ISERROR(SEARCH("Merit",I1)))</formula>
    </cfRule>
    <cfRule type="containsText" dxfId="201" priority="294" operator="containsText" text="Excellence">
      <formula>NOT(ISERROR(SEARCH("Excellence",I1)))</formula>
    </cfRule>
    <cfRule type="containsText" dxfId="200" priority="295" operator="containsText" text="Worlds Team">
      <formula>NOT(ISERROR(SEARCH("Worlds Team",I1)))</formula>
    </cfRule>
    <cfRule type="containsText" dxfId="199" priority="843" operator="containsText" text="National Team">
      <formula>NOT(ISERROR(SEARCH("National Team",I1)))</formula>
    </cfRule>
  </conditionalFormatting>
  <conditionalFormatting sqref="U4:AQ20">
    <cfRule type="expression" dxfId="198" priority="55">
      <formula>IF($AJ4&lt;&gt;"",1,0)</formula>
    </cfRule>
  </conditionalFormatting>
  <conditionalFormatting sqref="AR4:BN20">
    <cfRule type="expression" dxfId="197" priority="54">
      <formula>IF($BG4&lt;&gt;"",1,0)</formula>
    </cfRule>
  </conditionalFormatting>
  <conditionalFormatting sqref="Q1:Q1048576 O1:O1048576 M1:M1048576 K1:K1048576">
    <cfRule type="expression" dxfId="196" priority="8418">
      <formula>IF(K1=$AR$1,1,0)</formula>
    </cfRule>
    <cfRule type="expression" dxfId="195" priority="8419">
      <formula>IF(K1=$U$1,1,0)</formula>
    </cfRule>
  </conditionalFormatting>
  <conditionalFormatting sqref="LR1:LR1048576 KV1:KV1048576 JZ1:JZ1048576 JD1:JD1048576 IH1:IH1048576 HL1:HL1048576 GP1:GP1048576 FT1:FT1048576 EX1:EX1048576 EB1:EB1048576 DF1:DF1048576 CJ1:CJ1048576">
    <cfRule type="cellIs" dxfId="194" priority="16811" operator="between">
      <formula>CI$28</formula>
      <formula>1000</formula>
    </cfRule>
  </conditionalFormatting>
  <conditionalFormatting sqref="LU1:LU1048576 CM1:CM1048576 EE1:EE1048576 FW1:FW1048576 HO1:HO1048576 JG1:JG1048576 KY1:KY1048576 DI1:DI1048576 FA1:FA1048576 GS1:GS1048576 IK1:IK1048576 KC1:KC1048576">
    <cfRule type="cellIs" dxfId="193" priority="16847" operator="between">
      <formula>CI$28</formula>
      <formula>1000</formula>
    </cfRule>
  </conditionalFormatting>
  <conditionalFormatting sqref="CK1:CK1048576 DG1:DG1048576 EC1:EC1048576 EY1:EY1048576 FU1:FU1048576 GQ1:GQ1048576 HM1:HM1048576 II1:II1048576 JE1:JE1048576 KA1:KA1048576 KW1:KW1048576 LS1:LS1048576">
    <cfRule type="cellIs" dxfId="192" priority="16883" operator="between">
      <formula>CI$27</formula>
      <formula>1000</formula>
    </cfRule>
    <cfRule type="cellIs" dxfId="191" priority="16884" operator="between">
      <formula>CI$26</formula>
      <formula>CI$27</formula>
    </cfRule>
    <cfRule type="cellIs" dxfId="190" priority="16885" operator="between">
      <formula>CI$25</formula>
      <formula>CI$26</formula>
    </cfRule>
  </conditionalFormatting>
  <conditionalFormatting sqref="CH1:CH1048576 DD1:DD1048576 DZ1:DZ1048576 EV1:EV1048576 FR1:FR1048576 GN1:GN1048576 HJ1:HJ1048576 IF1:IF1048576 JB1:JB1048576 JX1:JX1048576 KT1:KT1048576 LP1:LP1048576">
    <cfRule type="expression" dxfId="189" priority="16991">
      <formula>IF(AND(CH1&gt;=CI$23,CH1&lt;CI$24),1,0)</formula>
    </cfRule>
    <cfRule type="expression" dxfId="188" priority="16992">
      <formula>IF(AND(CH1&gt;=CI$24,CH1&lt;100),1,0)</formula>
    </cfRule>
  </conditionalFormatting>
  <conditionalFormatting sqref="CL1:CL1048576 DH1:DH1048576 ED1:ED1048576 EZ1:EZ1048576 FV1:FV1048576 GR1:GR1048576 HN1:HN1048576 IJ1:IJ1048576 JF1:JF1048576 KB1:KB1048576 KX1:KX1048576 LT1:LT1048576">
    <cfRule type="expression" dxfId="187" priority="17063">
      <formula>IF(AND(CL1&gt;=CI$24,CL1&lt;100),1,0)</formula>
    </cfRule>
    <cfRule type="expression" dxfId="186" priority="17064">
      <formula>IF(AND(CL1&gt;=CI$23,CL1&lt;CI$24),1,0)</formula>
    </cfRule>
  </conditionalFormatting>
  <conditionalFormatting sqref="AK1:AK1048576 BH1:BH1048576">
    <cfRule type="expression" dxfId="185" priority="17135">
      <formula>IF(AND(AK1&gt;=AL$24,AK1&lt;100,AJ1=""),1,0)</formula>
    </cfRule>
    <cfRule type="expression" dxfId="184" priority="17136">
      <formula>IF(AND(AK1&gt;=AL$23,AK1&lt;AL$24,AJ1=""),1,0)</formula>
    </cfRule>
  </conditionalFormatting>
  <conditionalFormatting sqref="AN1:AN1048576 BK1:BK1048576">
    <cfRule type="expression" dxfId="183" priority="17147">
      <formula>IF(AND(AN1&gt;=AL$27,AN1&lt;1000,AJ1=""),1,0)</formula>
    </cfRule>
    <cfRule type="expression" dxfId="182" priority="17148">
      <formula>IF(AND(AN1&gt;=AL$26,AN1&lt;AL$27,AJ1=""),1,0)</formula>
    </cfRule>
    <cfRule type="expression" dxfId="181" priority="17149">
      <formula>IF(AND(AN1&gt;=AL$25,AN1&lt;AL$26,AJ1=""),1,0)</formula>
    </cfRule>
  </conditionalFormatting>
  <conditionalFormatting sqref="BJ1:BJ1048576 AM1:AM1048576">
    <cfRule type="expression" dxfId="180" priority="17165">
      <formula>IF(AND(AM1&gt;=AL$28,AM1&lt;1000,AJ1=""),1,0)</formula>
    </cfRule>
  </conditionalFormatting>
  <conditionalFormatting sqref="BM1:BM1048576 AP1:AP1048576">
    <cfRule type="expression" dxfId="179" priority="17171">
      <formula>IF(AND(AP1&gt;=AL$28,AP1&lt;1000,AJ1=""),1,0)</formula>
    </cfRule>
  </conditionalFormatting>
  <conditionalFormatting sqref="BL1:BL1048576 AO1:AO1048576">
    <cfRule type="expression" dxfId="178" priority="17177">
      <formula>IF(AND(AO1&gt;=AL$24,AO1&lt;100,AJ1=""),1,0)</formula>
    </cfRule>
    <cfRule type="expression" dxfId="177" priority="17178">
      <formula>IF(AND(AO1&gt;=AL$23,AO1&lt;AL$24,AJ1=""),1,0)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S2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0.83203125" customWidth="1"/>
    <col min="6" max="6" width="16" customWidth="1"/>
    <col min="7" max="7" width="1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customWidth="1"/>
    <col min="18" max="18" width="24.6640625" customWidth="1"/>
    <col min="19" max="19" width="13" customWidth="1"/>
    <col min="20" max="20" width="43.5" customWidth="1"/>
    <col min="21" max="36" width="10.83203125" hidden="1" customWidth="1"/>
    <col min="37" max="43" width="10.83203125" customWidth="1"/>
    <col min="44" max="59" width="10.83203125" hidden="1" customWidth="1"/>
    <col min="60" max="70" width="10.83203125" customWidth="1"/>
    <col min="71" max="85" width="10.83203125" hidden="1" customWidth="1"/>
    <col min="86" max="92" width="10.83203125" customWidth="1"/>
    <col min="93" max="107" width="10.83203125" hidden="1" customWidth="1"/>
    <col min="108" max="114" width="10.83203125" customWidth="1"/>
    <col min="115" max="129" width="10.83203125" hidden="1" customWidth="1"/>
    <col min="130" max="136" width="10.83203125" customWidth="1"/>
    <col min="137" max="151" width="10.83203125" hidden="1" customWidth="1"/>
    <col min="152" max="158" width="10.83203125" customWidth="1"/>
    <col min="159" max="173" width="10.83203125" hidden="1" customWidth="1"/>
    <col min="174" max="180" width="10.83203125" customWidth="1"/>
    <col min="181" max="195" width="10.83203125" hidden="1" customWidth="1"/>
    <col min="196" max="202" width="10.83203125" customWidth="1"/>
    <col min="203" max="217" width="10.83203125" hidden="1" customWidth="1"/>
    <col min="218" max="224" width="10.83203125" customWidth="1"/>
    <col min="225" max="239" width="10.83203125" hidden="1" customWidth="1"/>
    <col min="240" max="246" width="10.83203125" customWidth="1"/>
    <col min="247" max="261" width="10.83203125" hidden="1" customWidth="1"/>
    <col min="262" max="268" width="10.83203125" customWidth="1"/>
    <col min="269" max="283" width="10.83203125" hidden="1" customWidth="1"/>
    <col min="284" max="290" width="10.83203125" customWidth="1"/>
    <col min="291" max="357" width="10.83203125" hidden="1" customWidth="1"/>
  </cols>
  <sheetData>
    <row r="1" spans="1:357" x14ac:dyDescent="0.2">
      <c r="A1" s="124" t="s">
        <v>1</v>
      </c>
      <c r="B1" s="124" t="s">
        <v>41</v>
      </c>
      <c r="C1" s="124" t="s">
        <v>0</v>
      </c>
      <c r="D1" s="124" t="s">
        <v>102</v>
      </c>
      <c r="E1" s="124" t="s">
        <v>2</v>
      </c>
      <c r="F1" s="125" t="s">
        <v>85</v>
      </c>
      <c r="G1" s="125" t="s">
        <v>84</v>
      </c>
      <c r="H1" s="124" t="s">
        <v>15</v>
      </c>
      <c r="I1" s="124" t="s">
        <v>16</v>
      </c>
      <c r="J1" s="126" t="s">
        <v>17</v>
      </c>
      <c r="K1" s="126" t="s">
        <v>62</v>
      </c>
      <c r="L1" s="126" t="s">
        <v>18</v>
      </c>
      <c r="M1" s="126" t="s">
        <v>62</v>
      </c>
      <c r="N1" s="126" t="s">
        <v>19</v>
      </c>
      <c r="O1" s="126" t="s">
        <v>62</v>
      </c>
      <c r="P1" s="126" t="s">
        <v>20</v>
      </c>
      <c r="Q1" s="126" t="s">
        <v>62</v>
      </c>
      <c r="R1" s="127" t="s">
        <v>21</v>
      </c>
      <c r="S1" s="126" t="s">
        <v>63</v>
      </c>
      <c r="T1" s="126" t="s">
        <v>62</v>
      </c>
      <c r="U1" s="120" t="s">
        <v>166</v>
      </c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  <c r="AK1" s="120"/>
      <c r="AL1" s="120"/>
      <c r="AM1" s="120"/>
      <c r="AN1" s="120"/>
      <c r="AO1" s="120"/>
      <c r="AP1" s="120"/>
      <c r="AQ1" s="120"/>
      <c r="AR1" s="123" t="s">
        <v>184</v>
      </c>
      <c r="AS1" s="123"/>
      <c r="AT1" s="123"/>
      <c r="AU1" s="123"/>
      <c r="AV1" s="123"/>
      <c r="AW1" s="123"/>
      <c r="AX1" s="123"/>
      <c r="AY1" s="123"/>
      <c r="AZ1" s="123"/>
      <c r="BA1" s="123"/>
      <c r="BB1" s="123"/>
      <c r="BC1" s="123"/>
      <c r="BD1" s="123"/>
      <c r="BE1" s="123"/>
      <c r="BF1" s="123"/>
      <c r="BG1" s="123"/>
      <c r="BH1" s="123"/>
      <c r="BI1" s="123"/>
      <c r="BJ1" s="123"/>
      <c r="BK1" s="123"/>
      <c r="BL1" s="123"/>
      <c r="BM1" s="123"/>
      <c r="BN1" s="123"/>
      <c r="BO1" s="128" t="s">
        <v>21</v>
      </c>
      <c r="BP1" s="128"/>
      <c r="BQ1" s="128"/>
      <c r="BR1" s="128"/>
      <c r="BS1" s="120" t="s">
        <v>132</v>
      </c>
      <c r="BT1" s="120"/>
      <c r="BU1" s="120"/>
      <c r="BV1" s="120"/>
      <c r="BW1" s="120"/>
      <c r="BX1" s="120"/>
      <c r="BY1" s="120"/>
      <c r="BZ1" s="120"/>
      <c r="CA1" s="120"/>
      <c r="CB1" s="120"/>
      <c r="CC1" s="120"/>
      <c r="CD1" s="120"/>
      <c r="CE1" s="120"/>
      <c r="CF1" s="120"/>
      <c r="CG1" s="120"/>
      <c r="CH1" s="120"/>
      <c r="CI1" s="120"/>
      <c r="CJ1" s="120"/>
      <c r="CK1" s="120"/>
      <c r="CL1" s="120"/>
      <c r="CM1" s="120"/>
      <c r="CN1" s="120"/>
      <c r="CO1" s="123" t="s">
        <v>133</v>
      </c>
      <c r="CP1" s="123"/>
      <c r="CQ1" s="123"/>
      <c r="CR1" s="123"/>
      <c r="CS1" s="123"/>
      <c r="CT1" s="123"/>
      <c r="CU1" s="123"/>
      <c r="CV1" s="123"/>
      <c r="CW1" s="123"/>
      <c r="CX1" s="123"/>
      <c r="CY1" s="123"/>
      <c r="CZ1" s="123"/>
      <c r="DA1" s="123"/>
      <c r="DB1" s="123"/>
      <c r="DC1" s="123"/>
      <c r="DD1" s="123"/>
      <c r="DE1" s="123"/>
      <c r="DF1" s="123"/>
      <c r="DG1" s="123"/>
      <c r="DH1" s="123"/>
      <c r="DI1" s="123"/>
      <c r="DJ1" s="123"/>
      <c r="DK1" s="120" t="s">
        <v>135</v>
      </c>
      <c r="DL1" s="120"/>
      <c r="DM1" s="120"/>
      <c r="DN1" s="120"/>
      <c r="DO1" s="120"/>
      <c r="DP1" s="120"/>
      <c r="DQ1" s="120"/>
      <c r="DR1" s="120"/>
      <c r="DS1" s="120"/>
      <c r="DT1" s="120"/>
      <c r="DU1" s="120"/>
      <c r="DV1" s="120"/>
      <c r="DW1" s="120"/>
      <c r="DX1" s="120"/>
      <c r="DY1" s="120"/>
      <c r="DZ1" s="120"/>
      <c r="EA1" s="120"/>
      <c r="EB1" s="120"/>
      <c r="EC1" s="120"/>
      <c r="ED1" s="120"/>
      <c r="EE1" s="120"/>
      <c r="EF1" s="120"/>
      <c r="EG1" s="123" t="s">
        <v>145</v>
      </c>
      <c r="EH1" s="123"/>
      <c r="EI1" s="123"/>
      <c r="EJ1" s="123"/>
      <c r="EK1" s="123"/>
      <c r="EL1" s="123"/>
      <c r="EM1" s="123"/>
      <c r="EN1" s="123"/>
      <c r="EO1" s="123"/>
      <c r="EP1" s="123"/>
      <c r="EQ1" s="123"/>
      <c r="ER1" s="123"/>
      <c r="ES1" s="123"/>
      <c r="ET1" s="123"/>
      <c r="EU1" s="123"/>
      <c r="EV1" s="123"/>
      <c r="EW1" s="123"/>
      <c r="EX1" s="123"/>
      <c r="EY1" s="123"/>
      <c r="EZ1" s="123"/>
      <c r="FA1" s="123"/>
      <c r="FB1" s="123"/>
      <c r="FC1" s="120" t="s">
        <v>157</v>
      </c>
      <c r="FD1" s="120"/>
      <c r="FE1" s="120"/>
      <c r="FF1" s="120"/>
      <c r="FG1" s="120"/>
      <c r="FH1" s="120"/>
      <c r="FI1" s="120"/>
      <c r="FJ1" s="120"/>
      <c r="FK1" s="120"/>
      <c r="FL1" s="120"/>
      <c r="FM1" s="120"/>
      <c r="FN1" s="120"/>
      <c r="FO1" s="120"/>
      <c r="FP1" s="120"/>
      <c r="FQ1" s="120"/>
      <c r="FR1" s="120"/>
      <c r="FS1" s="120"/>
      <c r="FT1" s="120"/>
      <c r="FU1" s="120"/>
      <c r="FV1" s="120"/>
      <c r="FW1" s="120"/>
      <c r="FX1" s="120"/>
      <c r="FY1" s="123" t="s">
        <v>162</v>
      </c>
      <c r="FZ1" s="123"/>
      <c r="GA1" s="123"/>
      <c r="GB1" s="123"/>
      <c r="GC1" s="123"/>
      <c r="GD1" s="123"/>
      <c r="GE1" s="123"/>
      <c r="GF1" s="123"/>
      <c r="GG1" s="123"/>
      <c r="GH1" s="123"/>
      <c r="GI1" s="123"/>
      <c r="GJ1" s="123"/>
      <c r="GK1" s="123"/>
      <c r="GL1" s="123"/>
      <c r="GM1" s="123"/>
      <c r="GN1" s="123"/>
      <c r="GO1" s="123"/>
      <c r="GP1" s="123"/>
      <c r="GQ1" s="123"/>
      <c r="GR1" s="123"/>
      <c r="GS1" s="123"/>
      <c r="GT1" s="123"/>
      <c r="GU1" s="120" t="s">
        <v>183</v>
      </c>
      <c r="GV1" s="120"/>
      <c r="GW1" s="120"/>
      <c r="GX1" s="120"/>
      <c r="GY1" s="120"/>
      <c r="GZ1" s="120"/>
      <c r="HA1" s="120"/>
      <c r="HB1" s="120"/>
      <c r="HC1" s="120"/>
      <c r="HD1" s="120"/>
      <c r="HE1" s="120"/>
      <c r="HF1" s="120"/>
      <c r="HG1" s="120"/>
      <c r="HH1" s="120"/>
      <c r="HI1" s="120"/>
      <c r="HJ1" s="120"/>
      <c r="HK1" s="120"/>
      <c r="HL1" s="120"/>
      <c r="HM1" s="120"/>
      <c r="HN1" s="120"/>
      <c r="HO1" s="120"/>
      <c r="HP1" s="120"/>
      <c r="HQ1" s="123" t="s">
        <v>199</v>
      </c>
      <c r="HR1" s="123"/>
      <c r="HS1" s="123"/>
      <c r="HT1" s="123"/>
      <c r="HU1" s="123"/>
      <c r="HV1" s="123"/>
      <c r="HW1" s="123"/>
      <c r="HX1" s="123"/>
      <c r="HY1" s="123"/>
      <c r="HZ1" s="123"/>
      <c r="IA1" s="123"/>
      <c r="IB1" s="123"/>
      <c r="IC1" s="123"/>
      <c r="ID1" s="123"/>
      <c r="IE1" s="123"/>
      <c r="IF1" s="123"/>
      <c r="IG1" s="123"/>
      <c r="IH1" s="123"/>
      <c r="II1" s="123"/>
      <c r="IJ1" s="123"/>
      <c r="IK1" s="123"/>
      <c r="IL1" s="123"/>
      <c r="IM1" s="120" t="s">
        <v>200</v>
      </c>
      <c r="IN1" s="120"/>
      <c r="IO1" s="120"/>
      <c r="IP1" s="120"/>
      <c r="IQ1" s="120"/>
      <c r="IR1" s="120"/>
      <c r="IS1" s="120"/>
      <c r="IT1" s="120"/>
      <c r="IU1" s="120"/>
      <c r="IV1" s="120"/>
      <c r="IW1" s="120"/>
      <c r="IX1" s="120"/>
      <c r="IY1" s="120"/>
      <c r="IZ1" s="120"/>
      <c r="JA1" s="120"/>
      <c r="JB1" s="120"/>
      <c r="JC1" s="120"/>
      <c r="JD1" s="120"/>
      <c r="JE1" s="120"/>
      <c r="JF1" s="120"/>
      <c r="JG1" s="120"/>
      <c r="JH1" s="120"/>
      <c r="JI1" s="123" t="s">
        <v>211</v>
      </c>
      <c r="JJ1" s="123"/>
      <c r="JK1" s="123"/>
      <c r="JL1" s="123"/>
      <c r="JM1" s="123"/>
      <c r="JN1" s="123"/>
      <c r="JO1" s="123"/>
      <c r="JP1" s="123"/>
      <c r="JQ1" s="123"/>
      <c r="JR1" s="123"/>
      <c r="JS1" s="123"/>
      <c r="JT1" s="123"/>
      <c r="JU1" s="123"/>
      <c r="JV1" s="123"/>
      <c r="JW1" s="123"/>
      <c r="JX1" s="123"/>
      <c r="JY1" s="123"/>
      <c r="JZ1" s="123"/>
      <c r="KA1" s="123"/>
      <c r="KB1" s="123"/>
      <c r="KC1" s="123"/>
      <c r="KD1" s="123"/>
      <c r="KE1" s="120"/>
      <c r="KF1" s="120"/>
      <c r="KG1" s="120"/>
      <c r="KH1" s="120"/>
      <c r="KI1" s="120"/>
      <c r="KJ1" s="120"/>
      <c r="KK1" s="120"/>
      <c r="KL1" s="120"/>
      <c r="KM1" s="120"/>
      <c r="KN1" s="120"/>
      <c r="KO1" s="120"/>
      <c r="KP1" s="120"/>
      <c r="KQ1" s="120"/>
      <c r="KR1" s="120"/>
      <c r="KS1" s="120"/>
      <c r="KT1" s="120"/>
      <c r="KU1" s="120"/>
      <c r="KV1" s="120"/>
      <c r="KW1" s="120"/>
      <c r="KX1" s="120"/>
      <c r="KY1" s="120"/>
      <c r="KZ1" s="120"/>
      <c r="LA1" s="123"/>
      <c r="LB1" s="123"/>
      <c r="LC1" s="123"/>
      <c r="LD1" s="123"/>
      <c r="LE1" s="123"/>
      <c r="LF1" s="123"/>
      <c r="LG1" s="123"/>
      <c r="LH1" s="123"/>
      <c r="LI1" s="123"/>
      <c r="LJ1" s="123"/>
      <c r="LK1" s="123"/>
      <c r="LL1" s="123"/>
      <c r="LM1" s="123"/>
      <c r="LN1" s="123"/>
      <c r="LO1" s="123"/>
      <c r="LP1" s="123"/>
      <c r="LQ1" s="123"/>
      <c r="LR1" s="123"/>
      <c r="LS1" s="123"/>
      <c r="LT1" s="123"/>
      <c r="LU1" s="123"/>
      <c r="LV1" s="123"/>
      <c r="LW1" s="120" t="s">
        <v>161</v>
      </c>
      <c r="LX1" s="120"/>
      <c r="LY1" s="120"/>
      <c r="LZ1" s="120"/>
      <c r="MA1" s="120"/>
      <c r="MB1" s="120"/>
      <c r="MC1" s="120"/>
      <c r="MD1" s="120"/>
      <c r="ME1" s="120"/>
      <c r="MF1" s="120"/>
      <c r="MG1" s="120"/>
      <c r="MH1" s="120"/>
      <c r="MI1" s="120"/>
      <c r="MJ1" s="120"/>
      <c r="MK1" s="120"/>
      <c r="ML1" s="120"/>
      <c r="MM1" s="120"/>
      <c r="MN1" s="120"/>
      <c r="MO1" s="120"/>
      <c r="MP1" s="120"/>
      <c r="MQ1" s="120"/>
      <c r="MR1" s="120"/>
      <c r="MS1" s="120"/>
    </row>
    <row r="2" spans="1:357" x14ac:dyDescent="0.2">
      <c r="A2" s="124"/>
      <c r="B2" s="124"/>
      <c r="C2" s="124"/>
      <c r="D2" s="124"/>
      <c r="E2" s="124"/>
      <c r="F2" s="125"/>
      <c r="G2" s="125"/>
      <c r="H2" s="124"/>
      <c r="I2" s="124"/>
      <c r="J2" s="126"/>
      <c r="K2" s="126"/>
      <c r="L2" s="126"/>
      <c r="M2" s="126"/>
      <c r="N2" s="126"/>
      <c r="O2" s="126"/>
      <c r="P2" s="126"/>
      <c r="Q2" s="126"/>
      <c r="R2" s="127"/>
      <c r="S2" s="126"/>
      <c r="T2" s="126"/>
      <c r="U2" s="121" t="s">
        <v>26</v>
      </c>
      <c r="V2" s="121"/>
      <c r="W2" s="121"/>
      <c r="X2" s="121"/>
      <c r="Y2" s="121"/>
      <c r="Z2" s="121" t="s">
        <v>27</v>
      </c>
      <c r="AA2" s="121"/>
      <c r="AB2" s="121"/>
      <c r="AC2" s="121"/>
      <c r="AD2" s="121"/>
      <c r="AE2" s="121" t="s">
        <v>30</v>
      </c>
      <c r="AF2" s="121"/>
      <c r="AG2" s="121"/>
      <c r="AH2" s="121"/>
      <c r="AI2" s="121"/>
      <c r="AJ2" s="80"/>
      <c r="AK2" s="60" t="s">
        <v>146</v>
      </c>
      <c r="AL2" s="10" t="s">
        <v>28</v>
      </c>
      <c r="AM2" s="10" t="s">
        <v>29</v>
      </c>
      <c r="AN2" s="10" t="s">
        <v>31</v>
      </c>
      <c r="AO2" s="10" t="s">
        <v>180</v>
      </c>
      <c r="AP2" s="10" t="s">
        <v>30</v>
      </c>
      <c r="AQ2" s="10" t="s">
        <v>25</v>
      </c>
      <c r="AR2" s="122" t="s">
        <v>26</v>
      </c>
      <c r="AS2" s="122"/>
      <c r="AT2" s="122"/>
      <c r="AU2" s="122"/>
      <c r="AV2" s="122"/>
      <c r="AW2" s="122" t="s">
        <v>27</v>
      </c>
      <c r="AX2" s="122"/>
      <c r="AY2" s="122"/>
      <c r="AZ2" s="122"/>
      <c r="BA2" s="122"/>
      <c r="BB2" s="122" t="s">
        <v>30</v>
      </c>
      <c r="BC2" s="122"/>
      <c r="BD2" s="122"/>
      <c r="BE2" s="122"/>
      <c r="BF2" s="122"/>
      <c r="BG2" s="81"/>
      <c r="BH2" s="59" t="s">
        <v>146</v>
      </c>
      <c r="BI2" s="13" t="s">
        <v>28</v>
      </c>
      <c r="BJ2" s="13" t="s">
        <v>29</v>
      </c>
      <c r="BK2" s="13" t="s">
        <v>31</v>
      </c>
      <c r="BL2" s="13" t="s">
        <v>180</v>
      </c>
      <c r="BM2" s="13" t="s">
        <v>30</v>
      </c>
      <c r="BN2" s="13" t="s">
        <v>25</v>
      </c>
      <c r="BO2" s="24" t="s">
        <v>28</v>
      </c>
      <c r="BP2" s="24" t="s">
        <v>29</v>
      </c>
      <c r="BQ2" s="24" t="s">
        <v>31</v>
      </c>
      <c r="BR2" s="24" t="s">
        <v>30</v>
      </c>
      <c r="BS2" s="121" t="s">
        <v>26</v>
      </c>
      <c r="BT2" s="121"/>
      <c r="BU2" s="121"/>
      <c r="BV2" s="121"/>
      <c r="BW2" s="121"/>
      <c r="BX2" s="121" t="s">
        <v>27</v>
      </c>
      <c r="BY2" s="121"/>
      <c r="BZ2" s="121"/>
      <c r="CA2" s="121"/>
      <c r="CB2" s="121"/>
      <c r="CC2" s="121" t="s">
        <v>30</v>
      </c>
      <c r="CD2" s="121"/>
      <c r="CE2" s="121"/>
      <c r="CF2" s="121"/>
      <c r="CG2" s="121"/>
      <c r="CH2" s="60" t="s">
        <v>146</v>
      </c>
      <c r="CI2" s="10" t="s">
        <v>28</v>
      </c>
      <c r="CJ2" s="10" t="s">
        <v>29</v>
      </c>
      <c r="CK2" s="10" t="s">
        <v>31</v>
      </c>
      <c r="CL2" s="10" t="s">
        <v>180</v>
      </c>
      <c r="CM2" s="10" t="s">
        <v>30</v>
      </c>
      <c r="CN2" s="10" t="s">
        <v>25</v>
      </c>
      <c r="CO2" s="122" t="s">
        <v>26</v>
      </c>
      <c r="CP2" s="122"/>
      <c r="CQ2" s="122"/>
      <c r="CR2" s="122"/>
      <c r="CS2" s="122"/>
      <c r="CT2" s="122" t="s">
        <v>27</v>
      </c>
      <c r="CU2" s="122"/>
      <c r="CV2" s="122"/>
      <c r="CW2" s="122"/>
      <c r="CX2" s="122"/>
      <c r="CY2" s="122" t="s">
        <v>30</v>
      </c>
      <c r="CZ2" s="122"/>
      <c r="DA2" s="122"/>
      <c r="DB2" s="122"/>
      <c r="DC2" s="122"/>
      <c r="DD2" s="59" t="s">
        <v>146</v>
      </c>
      <c r="DE2" s="13" t="s">
        <v>28</v>
      </c>
      <c r="DF2" s="13" t="s">
        <v>29</v>
      </c>
      <c r="DG2" s="13" t="s">
        <v>31</v>
      </c>
      <c r="DH2" s="13" t="s">
        <v>180</v>
      </c>
      <c r="DI2" s="13" t="s">
        <v>30</v>
      </c>
      <c r="DJ2" s="13" t="s">
        <v>25</v>
      </c>
      <c r="DK2" s="121" t="s">
        <v>26</v>
      </c>
      <c r="DL2" s="121"/>
      <c r="DM2" s="121"/>
      <c r="DN2" s="121"/>
      <c r="DO2" s="121"/>
      <c r="DP2" s="121" t="s">
        <v>27</v>
      </c>
      <c r="DQ2" s="121"/>
      <c r="DR2" s="121"/>
      <c r="DS2" s="121"/>
      <c r="DT2" s="121"/>
      <c r="DU2" s="121" t="s">
        <v>30</v>
      </c>
      <c r="DV2" s="121"/>
      <c r="DW2" s="121"/>
      <c r="DX2" s="121"/>
      <c r="DY2" s="121"/>
      <c r="DZ2" s="60" t="s">
        <v>146</v>
      </c>
      <c r="EA2" s="10" t="s">
        <v>28</v>
      </c>
      <c r="EB2" s="10" t="s">
        <v>29</v>
      </c>
      <c r="EC2" s="10" t="s">
        <v>31</v>
      </c>
      <c r="ED2" s="10" t="s">
        <v>180</v>
      </c>
      <c r="EE2" s="10" t="s">
        <v>30</v>
      </c>
      <c r="EF2" s="10" t="s">
        <v>25</v>
      </c>
      <c r="EG2" s="122" t="s">
        <v>26</v>
      </c>
      <c r="EH2" s="122"/>
      <c r="EI2" s="122"/>
      <c r="EJ2" s="122"/>
      <c r="EK2" s="122"/>
      <c r="EL2" s="122" t="s">
        <v>27</v>
      </c>
      <c r="EM2" s="122"/>
      <c r="EN2" s="122"/>
      <c r="EO2" s="122"/>
      <c r="EP2" s="122"/>
      <c r="EQ2" s="122" t="s">
        <v>30</v>
      </c>
      <c r="ER2" s="122"/>
      <c r="ES2" s="122"/>
      <c r="ET2" s="122"/>
      <c r="EU2" s="122"/>
      <c r="EV2" s="59" t="s">
        <v>146</v>
      </c>
      <c r="EW2" s="13" t="s">
        <v>28</v>
      </c>
      <c r="EX2" s="13" t="s">
        <v>29</v>
      </c>
      <c r="EY2" s="13" t="s">
        <v>31</v>
      </c>
      <c r="EZ2" s="13" t="s">
        <v>180</v>
      </c>
      <c r="FA2" s="13" t="s">
        <v>30</v>
      </c>
      <c r="FB2" s="13" t="s">
        <v>25</v>
      </c>
      <c r="FC2" s="121" t="s">
        <v>26</v>
      </c>
      <c r="FD2" s="121"/>
      <c r="FE2" s="121"/>
      <c r="FF2" s="121"/>
      <c r="FG2" s="121"/>
      <c r="FH2" s="121" t="s">
        <v>27</v>
      </c>
      <c r="FI2" s="121"/>
      <c r="FJ2" s="121"/>
      <c r="FK2" s="121"/>
      <c r="FL2" s="121"/>
      <c r="FM2" s="121" t="s">
        <v>30</v>
      </c>
      <c r="FN2" s="121"/>
      <c r="FO2" s="121"/>
      <c r="FP2" s="121"/>
      <c r="FQ2" s="121"/>
      <c r="FR2" s="60" t="s">
        <v>146</v>
      </c>
      <c r="FS2" s="10" t="s">
        <v>28</v>
      </c>
      <c r="FT2" s="10" t="s">
        <v>29</v>
      </c>
      <c r="FU2" s="10" t="s">
        <v>31</v>
      </c>
      <c r="FV2" s="10" t="s">
        <v>180</v>
      </c>
      <c r="FW2" s="10" t="s">
        <v>30</v>
      </c>
      <c r="FX2" s="10" t="s">
        <v>25</v>
      </c>
      <c r="FY2" s="122" t="s">
        <v>26</v>
      </c>
      <c r="FZ2" s="122"/>
      <c r="GA2" s="122"/>
      <c r="GB2" s="122"/>
      <c r="GC2" s="122"/>
      <c r="GD2" s="122" t="s">
        <v>27</v>
      </c>
      <c r="GE2" s="122"/>
      <c r="GF2" s="122"/>
      <c r="GG2" s="122"/>
      <c r="GH2" s="122"/>
      <c r="GI2" s="122" t="s">
        <v>30</v>
      </c>
      <c r="GJ2" s="122"/>
      <c r="GK2" s="122"/>
      <c r="GL2" s="122"/>
      <c r="GM2" s="122"/>
      <c r="GN2" s="59" t="s">
        <v>146</v>
      </c>
      <c r="GO2" s="13" t="s">
        <v>28</v>
      </c>
      <c r="GP2" s="13" t="s">
        <v>29</v>
      </c>
      <c r="GQ2" s="13" t="s">
        <v>31</v>
      </c>
      <c r="GR2" s="13" t="s">
        <v>180</v>
      </c>
      <c r="GS2" s="13" t="s">
        <v>30</v>
      </c>
      <c r="GT2" s="13" t="s">
        <v>25</v>
      </c>
      <c r="GU2" s="121" t="s">
        <v>26</v>
      </c>
      <c r="GV2" s="121"/>
      <c r="GW2" s="121"/>
      <c r="GX2" s="121"/>
      <c r="GY2" s="121"/>
      <c r="GZ2" s="121" t="s">
        <v>27</v>
      </c>
      <c r="HA2" s="121"/>
      <c r="HB2" s="121"/>
      <c r="HC2" s="121"/>
      <c r="HD2" s="121"/>
      <c r="HE2" s="121" t="s">
        <v>30</v>
      </c>
      <c r="HF2" s="121"/>
      <c r="HG2" s="121"/>
      <c r="HH2" s="121"/>
      <c r="HI2" s="121"/>
      <c r="HJ2" s="23" t="s">
        <v>146</v>
      </c>
      <c r="HK2" s="10" t="s">
        <v>28</v>
      </c>
      <c r="HL2" s="10" t="s">
        <v>29</v>
      </c>
      <c r="HM2" s="10" t="s">
        <v>31</v>
      </c>
      <c r="HN2" s="10" t="s">
        <v>180</v>
      </c>
      <c r="HO2" s="10" t="s">
        <v>30</v>
      </c>
      <c r="HP2" s="10" t="s">
        <v>25</v>
      </c>
      <c r="HQ2" s="122" t="s">
        <v>26</v>
      </c>
      <c r="HR2" s="122"/>
      <c r="HS2" s="122"/>
      <c r="HT2" s="122"/>
      <c r="HU2" s="122"/>
      <c r="HV2" s="122" t="s">
        <v>27</v>
      </c>
      <c r="HW2" s="122"/>
      <c r="HX2" s="122"/>
      <c r="HY2" s="122"/>
      <c r="HZ2" s="122"/>
      <c r="IA2" s="122" t="s">
        <v>30</v>
      </c>
      <c r="IB2" s="122"/>
      <c r="IC2" s="122"/>
      <c r="ID2" s="122"/>
      <c r="IE2" s="122"/>
      <c r="IF2" s="59" t="s">
        <v>146</v>
      </c>
      <c r="IG2" s="13" t="s">
        <v>28</v>
      </c>
      <c r="IH2" s="13" t="s">
        <v>29</v>
      </c>
      <c r="II2" s="13" t="s">
        <v>31</v>
      </c>
      <c r="IJ2" s="13" t="s">
        <v>180</v>
      </c>
      <c r="IK2" s="13" t="s">
        <v>30</v>
      </c>
      <c r="IL2" s="13" t="s">
        <v>25</v>
      </c>
      <c r="IM2" s="121" t="s">
        <v>26</v>
      </c>
      <c r="IN2" s="121"/>
      <c r="IO2" s="121"/>
      <c r="IP2" s="121"/>
      <c r="IQ2" s="121"/>
      <c r="IR2" s="121" t="s">
        <v>27</v>
      </c>
      <c r="IS2" s="121"/>
      <c r="IT2" s="121"/>
      <c r="IU2" s="121"/>
      <c r="IV2" s="121"/>
      <c r="IW2" s="121" t="s">
        <v>30</v>
      </c>
      <c r="IX2" s="121"/>
      <c r="IY2" s="121"/>
      <c r="IZ2" s="121"/>
      <c r="JA2" s="121"/>
      <c r="JB2" s="23" t="s">
        <v>146</v>
      </c>
      <c r="JC2" s="10" t="s">
        <v>28</v>
      </c>
      <c r="JD2" s="10" t="s">
        <v>29</v>
      </c>
      <c r="JE2" s="10" t="s">
        <v>31</v>
      </c>
      <c r="JF2" s="10" t="s">
        <v>180</v>
      </c>
      <c r="JG2" s="10" t="s">
        <v>30</v>
      </c>
      <c r="JH2" s="10" t="s">
        <v>25</v>
      </c>
      <c r="JI2" s="122" t="s">
        <v>26</v>
      </c>
      <c r="JJ2" s="122"/>
      <c r="JK2" s="122"/>
      <c r="JL2" s="122"/>
      <c r="JM2" s="122"/>
      <c r="JN2" s="122" t="s">
        <v>27</v>
      </c>
      <c r="JO2" s="122"/>
      <c r="JP2" s="122"/>
      <c r="JQ2" s="122"/>
      <c r="JR2" s="122"/>
      <c r="JS2" s="122" t="s">
        <v>30</v>
      </c>
      <c r="JT2" s="122"/>
      <c r="JU2" s="122"/>
      <c r="JV2" s="122"/>
      <c r="JW2" s="122"/>
      <c r="JX2" s="22" t="s">
        <v>146</v>
      </c>
      <c r="JY2" s="13" t="s">
        <v>28</v>
      </c>
      <c r="JZ2" s="13" t="s">
        <v>29</v>
      </c>
      <c r="KA2" s="13" t="s">
        <v>31</v>
      </c>
      <c r="KB2" s="13" t="s">
        <v>180</v>
      </c>
      <c r="KC2" s="13" t="s">
        <v>30</v>
      </c>
      <c r="KD2" s="13" t="s">
        <v>25</v>
      </c>
      <c r="KE2" s="121" t="s">
        <v>26</v>
      </c>
      <c r="KF2" s="121"/>
      <c r="KG2" s="121"/>
      <c r="KH2" s="121"/>
      <c r="KI2" s="121"/>
      <c r="KJ2" s="121" t="s">
        <v>27</v>
      </c>
      <c r="KK2" s="121"/>
      <c r="KL2" s="121"/>
      <c r="KM2" s="121"/>
      <c r="KN2" s="121"/>
      <c r="KO2" s="121" t="s">
        <v>30</v>
      </c>
      <c r="KP2" s="121"/>
      <c r="KQ2" s="121"/>
      <c r="KR2" s="121"/>
      <c r="KS2" s="121"/>
      <c r="KT2" s="23" t="s">
        <v>146</v>
      </c>
      <c r="KU2" s="10" t="s">
        <v>28</v>
      </c>
      <c r="KV2" s="10" t="s">
        <v>29</v>
      </c>
      <c r="KW2" s="10" t="s">
        <v>31</v>
      </c>
      <c r="KX2" s="10" t="s">
        <v>180</v>
      </c>
      <c r="KY2" s="10" t="s">
        <v>30</v>
      </c>
      <c r="KZ2" s="10" t="s">
        <v>25</v>
      </c>
      <c r="LA2" s="122" t="s">
        <v>26</v>
      </c>
      <c r="LB2" s="122"/>
      <c r="LC2" s="122"/>
      <c r="LD2" s="122"/>
      <c r="LE2" s="122"/>
      <c r="LF2" s="122" t="s">
        <v>27</v>
      </c>
      <c r="LG2" s="122"/>
      <c r="LH2" s="122"/>
      <c r="LI2" s="122"/>
      <c r="LJ2" s="122"/>
      <c r="LK2" s="122" t="s">
        <v>30</v>
      </c>
      <c r="LL2" s="122"/>
      <c r="LM2" s="122"/>
      <c r="LN2" s="122"/>
      <c r="LO2" s="122"/>
      <c r="LP2" s="22" t="s">
        <v>146</v>
      </c>
      <c r="LQ2" s="13" t="s">
        <v>28</v>
      </c>
      <c r="LR2" s="13" t="s">
        <v>29</v>
      </c>
      <c r="LS2" s="13" t="s">
        <v>31</v>
      </c>
      <c r="LT2" s="13" t="s">
        <v>180</v>
      </c>
      <c r="LU2" s="13" t="s">
        <v>30</v>
      </c>
      <c r="LV2" s="13" t="s">
        <v>25</v>
      </c>
      <c r="LW2" s="121" t="s">
        <v>26</v>
      </c>
      <c r="LX2" s="121"/>
      <c r="LY2" s="121"/>
      <c r="LZ2" s="121"/>
      <c r="MA2" s="121"/>
      <c r="MB2" s="121" t="s">
        <v>27</v>
      </c>
      <c r="MC2" s="121"/>
      <c r="MD2" s="121"/>
      <c r="ME2" s="121"/>
      <c r="MF2" s="121"/>
      <c r="MG2" s="121" t="s">
        <v>30</v>
      </c>
      <c r="MH2" s="121"/>
      <c r="MI2" s="121"/>
      <c r="MJ2" s="121"/>
      <c r="MK2" s="121"/>
      <c r="ML2" s="111"/>
      <c r="MM2" s="111" t="s">
        <v>146</v>
      </c>
      <c r="MN2" s="10" t="s">
        <v>28</v>
      </c>
      <c r="MO2" s="10" t="s">
        <v>29</v>
      </c>
      <c r="MP2" s="10" t="s">
        <v>31</v>
      </c>
      <c r="MQ2" s="10" t="s">
        <v>180</v>
      </c>
      <c r="MR2" s="10" t="s">
        <v>30</v>
      </c>
      <c r="MS2" s="10" t="s">
        <v>25</v>
      </c>
    </row>
    <row r="3" spans="1:357" x14ac:dyDescent="0.2">
      <c r="A3" s="124"/>
      <c r="B3" s="124"/>
      <c r="C3" s="124"/>
      <c r="D3" s="124"/>
      <c r="E3" s="124"/>
      <c r="F3" s="125"/>
      <c r="G3" s="125"/>
      <c r="H3" s="124"/>
      <c r="I3" s="124"/>
      <c r="J3" s="126"/>
      <c r="K3" s="126"/>
      <c r="L3" s="126"/>
      <c r="M3" s="126"/>
      <c r="N3" s="126"/>
      <c r="O3" s="126"/>
      <c r="P3" s="126"/>
      <c r="Q3" s="126"/>
      <c r="R3" s="127"/>
      <c r="S3" s="126"/>
      <c r="T3" s="126"/>
      <c r="U3" s="60" t="s">
        <v>22</v>
      </c>
      <c r="V3" s="60" t="s">
        <v>23</v>
      </c>
      <c r="W3" s="60" t="s">
        <v>14</v>
      </c>
      <c r="X3" s="60" t="s">
        <v>24</v>
      </c>
      <c r="Y3" s="60" t="s">
        <v>45</v>
      </c>
      <c r="Z3" s="60" t="s">
        <v>22</v>
      </c>
      <c r="AA3" s="60" t="s">
        <v>23</v>
      </c>
      <c r="AB3" s="60" t="s">
        <v>14</v>
      </c>
      <c r="AC3" s="60" t="s">
        <v>24</v>
      </c>
      <c r="AD3" s="60" t="s">
        <v>45</v>
      </c>
      <c r="AE3" s="60" t="s">
        <v>22</v>
      </c>
      <c r="AF3" s="60" t="s">
        <v>23</v>
      </c>
      <c r="AG3" s="60" t="s">
        <v>14</v>
      </c>
      <c r="AH3" s="60" t="s">
        <v>24</v>
      </c>
      <c r="AI3" s="60" t="s">
        <v>45</v>
      </c>
      <c r="AJ3" s="80" t="s">
        <v>99</v>
      </c>
      <c r="AK3" s="11"/>
      <c r="AL3" s="10"/>
      <c r="AM3" s="10"/>
      <c r="AN3" s="10"/>
      <c r="AO3" s="10"/>
      <c r="AP3" s="11"/>
      <c r="AQ3" s="11"/>
      <c r="AR3" s="59" t="s">
        <v>22</v>
      </c>
      <c r="AS3" s="59" t="s">
        <v>23</v>
      </c>
      <c r="AT3" s="59" t="s">
        <v>14</v>
      </c>
      <c r="AU3" s="59" t="s">
        <v>24</v>
      </c>
      <c r="AV3" s="59" t="s">
        <v>45</v>
      </c>
      <c r="AW3" s="59" t="s">
        <v>22</v>
      </c>
      <c r="AX3" s="59" t="s">
        <v>23</v>
      </c>
      <c r="AY3" s="59" t="s">
        <v>14</v>
      </c>
      <c r="AZ3" s="59" t="s">
        <v>24</v>
      </c>
      <c r="BA3" s="59" t="s">
        <v>45</v>
      </c>
      <c r="BB3" s="59" t="s">
        <v>22</v>
      </c>
      <c r="BC3" s="59" t="s">
        <v>23</v>
      </c>
      <c r="BD3" s="59" t="s">
        <v>14</v>
      </c>
      <c r="BE3" s="59" t="s">
        <v>24</v>
      </c>
      <c r="BF3" s="59" t="s">
        <v>45</v>
      </c>
      <c r="BG3" s="81" t="s">
        <v>99</v>
      </c>
      <c r="BH3" s="14"/>
      <c r="BI3" s="13"/>
      <c r="BJ3" s="13"/>
      <c r="BK3" s="13"/>
      <c r="BL3" s="13"/>
      <c r="BM3" s="14"/>
      <c r="BN3" s="14"/>
      <c r="BO3" s="25"/>
      <c r="BP3" s="25"/>
      <c r="BQ3" s="25"/>
      <c r="BR3" s="25"/>
      <c r="BS3" s="60" t="s">
        <v>22</v>
      </c>
      <c r="BT3" s="60" t="s">
        <v>23</v>
      </c>
      <c r="BU3" s="60" t="s">
        <v>14</v>
      </c>
      <c r="BV3" s="60" t="s">
        <v>24</v>
      </c>
      <c r="BW3" s="60" t="s">
        <v>45</v>
      </c>
      <c r="BX3" s="60" t="s">
        <v>22</v>
      </c>
      <c r="BY3" s="60" t="s">
        <v>23</v>
      </c>
      <c r="BZ3" s="60" t="s">
        <v>14</v>
      </c>
      <c r="CA3" s="60" t="s">
        <v>24</v>
      </c>
      <c r="CB3" s="60" t="s">
        <v>45</v>
      </c>
      <c r="CC3" s="60" t="s">
        <v>22</v>
      </c>
      <c r="CD3" s="60" t="s">
        <v>23</v>
      </c>
      <c r="CE3" s="60" t="s">
        <v>14</v>
      </c>
      <c r="CF3" s="60" t="s">
        <v>24</v>
      </c>
      <c r="CG3" s="60" t="s">
        <v>45</v>
      </c>
      <c r="CH3" s="11"/>
      <c r="CI3" s="10"/>
      <c r="CJ3" s="10"/>
      <c r="CK3" s="10"/>
      <c r="CL3" s="10"/>
      <c r="CM3" s="11"/>
      <c r="CN3" s="11"/>
      <c r="CO3" s="59" t="s">
        <v>22</v>
      </c>
      <c r="CP3" s="59" t="s">
        <v>23</v>
      </c>
      <c r="CQ3" s="59" t="s">
        <v>14</v>
      </c>
      <c r="CR3" s="59" t="s">
        <v>24</v>
      </c>
      <c r="CS3" s="59" t="s">
        <v>45</v>
      </c>
      <c r="CT3" s="59" t="s">
        <v>22</v>
      </c>
      <c r="CU3" s="59" t="s">
        <v>23</v>
      </c>
      <c r="CV3" s="59" t="s">
        <v>14</v>
      </c>
      <c r="CW3" s="59" t="s">
        <v>24</v>
      </c>
      <c r="CX3" s="59" t="s">
        <v>45</v>
      </c>
      <c r="CY3" s="59" t="s">
        <v>22</v>
      </c>
      <c r="CZ3" s="59" t="s">
        <v>23</v>
      </c>
      <c r="DA3" s="59" t="s">
        <v>14</v>
      </c>
      <c r="DB3" s="59" t="s">
        <v>24</v>
      </c>
      <c r="DC3" s="59" t="s">
        <v>45</v>
      </c>
      <c r="DD3" s="14"/>
      <c r="DE3" s="13"/>
      <c r="DF3" s="13"/>
      <c r="DG3" s="13"/>
      <c r="DH3" s="13"/>
      <c r="DI3" s="14"/>
      <c r="DJ3" s="14"/>
      <c r="DK3" s="60" t="s">
        <v>22</v>
      </c>
      <c r="DL3" s="60" t="s">
        <v>23</v>
      </c>
      <c r="DM3" s="60" t="s">
        <v>14</v>
      </c>
      <c r="DN3" s="60" t="s">
        <v>24</v>
      </c>
      <c r="DO3" s="60" t="s">
        <v>45</v>
      </c>
      <c r="DP3" s="60" t="s">
        <v>22</v>
      </c>
      <c r="DQ3" s="60" t="s">
        <v>23</v>
      </c>
      <c r="DR3" s="60" t="s">
        <v>14</v>
      </c>
      <c r="DS3" s="60" t="s">
        <v>24</v>
      </c>
      <c r="DT3" s="60" t="s">
        <v>45</v>
      </c>
      <c r="DU3" s="60" t="s">
        <v>22</v>
      </c>
      <c r="DV3" s="60" t="s">
        <v>23</v>
      </c>
      <c r="DW3" s="60" t="s">
        <v>14</v>
      </c>
      <c r="DX3" s="60" t="s">
        <v>24</v>
      </c>
      <c r="DY3" s="60" t="s">
        <v>45</v>
      </c>
      <c r="DZ3" s="11"/>
      <c r="EA3" s="10"/>
      <c r="EB3" s="10"/>
      <c r="EC3" s="10"/>
      <c r="ED3" s="10"/>
      <c r="EE3" s="11"/>
      <c r="EF3" s="11"/>
      <c r="EG3" s="59" t="s">
        <v>22</v>
      </c>
      <c r="EH3" s="59" t="s">
        <v>23</v>
      </c>
      <c r="EI3" s="59" t="s">
        <v>14</v>
      </c>
      <c r="EJ3" s="59" t="s">
        <v>24</v>
      </c>
      <c r="EK3" s="59" t="s">
        <v>45</v>
      </c>
      <c r="EL3" s="59" t="s">
        <v>22</v>
      </c>
      <c r="EM3" s="59" t="s">
        <v>23</v>
      </c>
      <c r="EN3" s="59" t="s">
        <v>14</v>
      </c>
      <c r="EO3" s="59" t="s">
        <v>24</v>
      </c>
      <c r="EP3" s="59" t="s">
        <v>45</v>
      </c>
      <c r="EQ3" s="59" t="s">
        <v>22</v>
      </c>
      <c r="ER3" s="59" t="s">
        <v>23</v>
      </c>
      <c r="ES3" s="59" t="s">
        <v>14</v>
      </c>
      <c r="ET3" s="59" t="s">
        <v>24</v>
      </c>
      <c r="EU3" s="59" t="s">
        <v>45</v>
      </c>
      <c r="EV3" s="14"/>
      <c r="EW3" s="13"/>
      <c r="EX3" s="13"/>
      <c r="EY3" s="13"/>
      <c r="EZ3" s="13"/>
      <c r="FA3" s="14"/>
      <c r="FB3" s="14"/>
      <c r="FC3" s="60" t="s">
        <v>22</v>
      </c>
      <c r="FD3" s="60" t="s">
        <v>23</v>
      </c>
      <c r="FE3" s="60" t="s">
        <v>14</v>
      </c>
      <c r="FF3" s="60" t="s">
        <v>24</v>
      </c>
      <c r="FG3" s="60" t="s">
        <v>45</v>
      </c>
      <c r="FH3" s="60" t="s">
        <v>22</v>
      </c>
      <c r="FI3" s="60" t="s">
        <v>23</v>
      </c>
      <c r="FJ3" s="60" t="s">
        <v>14</v>
      </c>
      <c r="FK3" s="60" t="s">
        <v>24</v>
      </c>
      <c r="FL3" s="60" t="s">
        <v>45</v>
      </c>
      <c r="FM3" s="60" t="s">
        <v>22</v>
      </c>
      <c r="FN3" s="60" t="s">
        <v>23</v>
      </c>
      <c r="FO3" s="60" t="s">
        <v>14</v>
      </c>
      <c r="FP3" s="60" t="s">
        <v>24</v>
      </c>
      <c r="FQ3" s="60" t="s">
        <v>45</v>
      </c>
      <c r="FR3" s="11"/>
      <c r="FS3" s="10"/>
      <c r="FT3" s="10"/>
      <c r="FU3" s="10"/>
      <c r="FV3" s="10"/>
      <c r="FW3" s="11"/>
      <c r="FX3" s="11"/>
      <c r="FY3" s="59" t="s">
        <v>22</v>
      </c>
      <c r="FZ3" s="59" t="s">
        <v>23</v>
      </c>
      <c r="GA3" s="59" t="s">
        <v>14</v>
      </c>
      <c r="GB3" s="59" t="s">
        <v>24</v>
      </c>
      <c r="GC3" s="59" t="s">
        <v>45</v>
      </c>
      <c r="GD3" s="59" t="s">
        <v>22</v>
      </c>
      <c r="GE3" s="59" t="s">
        <v>23</v>
      </c>
      <c r="GF3" s="59" t="s">
        <v>14</v>
      </c>
      <c r="GG3" s="59" t="s">
        <v>24</v>
      </c>
      <c r="GH3" s="59" t="s">
        <v>45</v>
      </c>
      <c r="GI3" s="59" t="s">
        <v>22</v>
      </c>
      <c r="GJ3" s="59" t="s">
        <v>23</v>
      </c>
      <c r="GK3" s="59" t="s">
        <v>14</v>
      </c>
      <c r="GL3" s="59" t="s">
        <v>24</v>
      </c>
      <c r="GM3" s="59" t="s">
        <v>45</v>
      </c>
      <c r="GN3" s="14"/>
      <c r="GO3" s="13"/>
      <c r="GP3" s="13"/>
      <c r="GQ3" s="13"/>
      <c r="GR3" s="13"/>
      <c r="GS3" s="14"/>
      <c r="GT3" s="14"/>
      <c r="GU3" s="31" t="s">
        <v>22</v>
      </c>
      <c r="GV3" s="31" t="s">
        <v>23</v>
      </c>
      <c r="GW3" s="31" t="s">
        <v>14</v>
      </c>
      <c r="GX3" s="31" t="s">
        <v>24</v>
      </c>
      <c r="GY3" s="48" t="s">
        <v>45</v>
      </c>
      <c r="GZ3" s="31" t="s">
        <v>22</v>
      </c>
      <c r="HA3" s="31" t="s">
        <v>23</v>
      </c>
      <c r="HB3" s="31" t="s">
        <v>14</v>
      </c>
      <c r="HC3" s="31" t="s">
        <v>24</v>
      </c>
      <c r="HD3" s="48" t="s">
        <v>45</v>
      </c>
      <c r="HE3" s="31" t="s">
        <v>22</v>
      </c>
      <c r="HF3" s="31" t="s">
        <v>23</v>
      </c>
      <c r="HG3" s="31" t="s">
        <v>14</v>
      </c>
      <c r="HH3" s="31" t="s">
        <v>24</v>
      </c>
      <c r="HI3" s="48" t="s">
        <v>45</v>
      </c>
      <c r="HJ3" s="11"/>
      <c r="HK3" s="10"/>
      <c r="HL3" s="10"/>
      <c r="HM3" s="10"/>
      <c r="HN3" s="10"/>
      <c r="HO3" s="11"/>
      <c r="HP3" s="11"/>
      <c r="HQ3" s="59" t="s">
        <v>22</v>
      </c>
      <c r="HR3" s="59" t="s">
        <v>23</v>
      </c>
      <c r="HS3" s="59" t="s">
        <v>14</v>
      </c>
      <c r="HT3" s="59" t="s">
        <v>24</v>
      </c>
      <c r="HU3" s="59" t="s">
        <v>45</v>
      </c>
      <c r="HV3" s="59" t="s">
        <v>22</v>
      </c>
      <c r="HW3" s="59" t="s">
        <v>23</v>
      </c>
      <c r="HX3" s="59" t="s">
        <v>14</v>
      </c>
      <c r="HY3" s="59" t="s">
        <v>24</v>
      </c>
      <c r="HZ3" s="59" t="s">
        <v>45</v>
      </c>
      <c r="IA3" s="59" t="s">
        <v>22</v>
      </c>
      <c r="IB3" s="59" t="s">
        <v>23</v>
      </c>
      <c r="IC3" s="59" t="s">
        <v>14</v>
      </c>
      <c r="ID3" s="59" t="s">
        <v>24</v>
      </c>
      <c r="IE3" s="59" t="s">
        <v>45</v>
      </c>
      <c r="IF3" s="14"/>
      <c r="IG3" s="13"/>
      <c r="IH3" s="13"/>
      <c r="II3" s="13"/>
      <c r="IJ3" s="13"/>
      <c r="IK3" s="14"/>
      <c r="IL3" s="14"/>
      <c r="IM3" s="31" t="s">
        <v>22</v>
      </c>
      <c r="IN3" s="31" t="s">
        <v>23</v>
      </c>
      <c r="IO3" s="31" t="s">
        <v>14</v>
      </c>
      <c r="IP3" s="31" t="s">
        <v>24</v>
      </c>
      <c r="IQ3" s="48" t="s">
        <v>45</v>
      </c>
      <c r="IR3" s="31" t="s">
        <v>22</v>
      </c>
      <c r="IS3" s="31" t="s">
        <v>23</v>
      </c>
      <c r="IT3" s="31" t="s">
        <v>14</v>
      </c>
      <c r="IU3" s="31" t="s">
        <v>24</v>
      </c>
      <c r="IV3" s="48" t="s">
        <v>45</v>
      </c>
      <c r="IW3" s="31" t="s">
        <v>22</v>
      </c>
      <c r="IX3" s="31" t="s">
        <v>23</v>
      </c>
      <c r="IY3" s="31" t="s">
        <v>14</v>
      </c>
      <c r="IZ3" s="31" t="s">
        <v>24</v>
      </c>
      <c r="JA3" s="48" t="s">
        <v>45</v>
      </c>
      <c r="JB3" s="11"/>
      <c r="JC3" s="10"/>
      <c r="JD3" s="10"/>
      <c r="JE3" s="10"/>
      <c r="JF3" s="10"/>
      <c r="JG3" s="11"/>
      <c r="JH3" s="11"/>
      <c r="JI3" s="30" t="s">
        <v>22</v>
      </c>
      <c r="JJ3" s="30" t="s">
        <v>23</v>
      </c>
      <c r="JK3" s="30" t="s">
        <v>14</v>
      </c>
      <c r="JL3" s="30" t="s">
        <v>24</v>
      </c>
      <c r="JM3" s="49" t="s">
        <v>45</v>
      </c>
      <c r="JN3" s="30" t="s">
        <v>22</v>
      </c>
      <c r="JO3" s="30" t="s">
        <v>23</v>
      </c>
      <c r="JP3" s="30" t="s">
        <v>14</v>
      </c>
      <c r="JQ3" s="30" t="s">
        <v>24</v>
      </c>
      <c r="JR3" s="49" t="s">
        <v>45</v>
      </c>
      <c r="JS3" s="30" t="s">
        <v>22</v>
      </c>
      <c r="JT3" s="30" t="s">
        <v>23</v>
      </c>
      <c r="JU3" s="30" t="s">
        <v>14</v>
      </c>
      <c r="JV3" s="30" t="s">
        <v>24</v>
      </c>
      <c r="JW3" s="49" t="s">
        <v>45</v>
      </c>
      <c r="JX3" s="14"/>
      <c r="JY3" s="13"/>
      <c r="JZ3" s="13"/>
      <c r="KA3" s="13"/>
      <c r="KB3" s="13"/>
      <c r="KC3" s="14"/>
      <c r="KD3" s="14"/>
      <c r="KE3" s="31" t="s">
        <v>22</v>
      </c>
      <c r="KF3" s="31" t="s">
        <v>23</v>
      </c>
      <c r="KG3" s="31" t="s">
        <v>14</v>
      </c>
      <c r="KH3" s="31" t="s">
        <v>24</v>
      </c>
      <c r="KI3" s="48" t="s">
        <v>45</v>
      </c>
      <c r="KJ3" s="31" t="s">
        <v>22</v>
      </c>
      <c r="KK3" s="31" t="s">
        <v>23</v>
      </c>
      <c r="KL3" s="31" t="s">
        <v>14</v>
      </c>
      <c r="KM3" s="31" t="s">
        <v>24</v>
      </c>
      <c r="KN3" s="48" t="s">
        <v>45</v>
      </c>
      <c r="KO3" s="31" t="s">
        <v>22</v>
      </c>
      <c r="KP3" s="31" t="s">
        <v>23</v>
      </c>
      <c r="KQ3" s="31" t="s">
        <v>14</v>
      </c>
      <c r="KR3" s="31" t="s">
        <v>24</v>
      </c>
      <c r="KS3" s="48" t="s">
        <v>45</v>
      </c>
      <c r="KT3" s="11"/>
      <c r="KU3" s="10"/>
      <c r="KV3" s="10"/>
      <c r="KW3" s="10"/>
      <c r="KX3" s="10"/>
      <c r="KY3" s="11"/>
      <c r="KZ3" s="11"/>
      <c r="LA3" s="30" t="s">
        <v>22</v>
      </c>
      <c r="LB3" s="30" t="s">
        <v>23</v>
      </c>
      <c r="LC3" s="30" t="s">
        <v>14</v>
      </c>
      <c r="LD3" s="30" t="s">
        <v>24</v>
      </c>
      <c r="LE3" s="49" t="s">
        <v>45</v>
      </c>
      <c r="LF3" s="49" t="s">
        <v>22</v>
      </c>
      <c r="LG3" s="30" t="s">
        <v>23</v>
      </c>
      <c r="LH3" s="30" t="s">
        <v>14</v>
      </c>
      <c r="LI3" s="30" t="s">
        <v>24</v>
      </c>
      <c r="LJ3" s="49" t="s">
        <v>45</v>
      </c>
      <c r="LK3" s="30" t="s">
        <v>22</v>
      </c>
      <c r="LL3" s="30" t="s">
        <v>23</v>
      </c>
      <c r="LM3" s="30" t="s">
        <v>14</v>
      </c>
      <c r="LN3" s="30" t="s">
        <v>24</v>
      </c>
      <c r="LO3" s="49" t="s">
        <v>45</v>
      </c>
      <c r="LP3" s="14"/>
      <c r="LQ3" s="13"/>
      <c r="LR3" s="13"/>
      <c r="LS3" s="13"/>
      <c r="LT3" s="13"/>
      <c r="LU3" s="14"/>
      <c r="LV3" s="14"/>
      <c r="LW3" s="111" t="s">
        <v>22</v>
      </c>
      <c r="LX3" s="111" t="s">
        <v>23</v>
      </c>
      <c r="LY3" s="111" t="s">
        <v>14</v>
      </c>
      <c r="LZ3" s="111" t="s">
        <v>24</v>
      </c>
      <c r="MA3" s="111" t="s">
        <v>45</v>
      </c>
      <c r="MB3" s="111" t="s">
        <v>22</v>
      </c>
      <c r="MC3" s="111" t="s">
        <v>23</v>
      </c>
      <c r="MD3" s="111" t="s">
        <v>14</v>
      </c>
      <c r="ME3" s="111" t="s">
        <v>24</v>
      </c>
      <c r="MF3" s="111" t="s">
        <v>45</v>
      </c>
      <c r="MG3" s="111" t="s">
        <v>22</v>
      </c>
      <c r="MH3" s="111" t="s">
        <v>23</v>
      </c>
      <c r="MI3" s="111" t="s">
        <v>14</v>
      </c>
      <c r="MJ3" s="111" t="s">
        <v>24</v>
      </c>
      <c r="MK3" s="111" t="s">
        <v>45</v>
      </c>
      <c r="ML3" s="111" t="s">
        <v>99</v>
      </c>
      <c r="MM3" s="11"/>
      <c r="MN3" s="10"/>
      <c r="MO3" s="10"/>
      <c r="MP3" s="10"/>
      <c r="MQ3" s="10"/>
      <c r="MR3" s="11"/>
      <c r="MS3" s="11"/>
    </row>
    <row r="4" spans="1:357" x14ac:dyDescent="0.2">
      <c r="A4" s="6">
        <f t="shared" ref="A4:A15" si="0">IF(AND(F4="P",H4="P"),SUMPRODUCT((F$4:F$16="P")*(H$4:H$16="P")*(E$4:E$16&gt;E4))+1,IF(H4="P",SUMPRODUCT((F$4:F$16="")*(H$4:H$16="P")*(E$4:E$16&gt;E4))+1+SUMPRODUCT((F$4:F$16="P")*(H$4:H$16="P")),""))</f>
        <v>1</v>
      </c>
      <c r="B4" s="7" t="s">
        <v>38</v>
      </c>
      <c r="C4" s="8" t="s">
        <v>3</v>
      </c>
      <c r="D4" s="6">
        <v>1988</v>
      </c>
      <c r="E4" s="16">
        <f t="shared" ref="E4:E15" si="1">SUM(J4:R4)</f>
        <v>267.65999999999997</v>
      </c>
      <c r="F4" s="4" t="str">
        <f t="shared" ref="F4:F16" si="2">IF(OR(AND($AK4&gt;=$AL$18,NOT($AK4=""),$AJ4=""),AND($BH4&gt;=$BI$18,NOT($BH4=""),$BG4=""),AND($CH4&gt;=$CI$18,NOT($CH4="")),AND($DD4&gt;=$DE$18,NOT($DD4="")),AND($DZ4&gt;=$EA$18,NOT($DZ4="")),AND($EV4&gt;=$EW$18,NOT($EV4="")),AND($FR4&gt;=$FS$18,NOT($FR4="")),AND($GN4&gt;=$GO$18,NOT($GN4="")),AND($HJ4&gt;=$HK$18,NOT($HJ4="")),AND($IF4&gt;=$IG$18,NOT($IF4="")),AND($JB4&gt;=$JC$18,NOT($JB4="")),AND($JX4&gt;=$JY$18,NOT($JX4="")),AND($KT4&gt;=$KU$18,NOT($KT4="")),AND($LP4&gt;=$LQ$18,NOT($LP4="")),AND($AO4&gt;=$AL$18,NOT($AO4=""),$AJ4=""),AND($BL4&gt;=$BI$18,NOT($BL4=""),$BG4=""),AND($CL4&gt;=$CI$18,NOT($CL4="")),AND($DH4&gt;=$DE$18,NOT($DH4="")),AND($ED4&gt;=$EA$18,NOT($ED4="")),AND($EZ4&gt;=$EW$18,NOT($EZ4="")),AND($FV4&gt;=$FS$18,NOT($FV4="")),AND($GR4&gt;=$GO$18,NOT($GR4="")),AND($HN4&gt;=$HK$18,NOT($HN4="")),AND($IJ4&gt;=$IG$18,NOT($IJ4="")),AND($JF4&gt;=$JC$18,NOT($JF4="")),AND($KB4&gt;=$JY$18,NOT($KB4="")),AND($KX4&gt;=$KU$18,NOT($KX4="")),AND($LT4&gt;=$LQ$18,NOT($LT4=""))),"P","")</f>
        <v>P</v>
      </c>
      <c r="G4" s="4" t="str">
        <f t="shared" ref="G4:G16" si="3">IF(OR(AND($AK4&gt;=$AL$19,NOT($AK4=""),$AJ4=""),AND($BH4&gt;=$BI$19,NOT($BH4=""),$BG4=""),AND($CH4&gt;=$CI$19,NOT($CH4="")),AND($DD4&gt;=$DE$19,NOT($DD4="")),AND($DZ4&gt;=$EA$19,NOT($DZ4="")),AND($EV4&gt;=$EW$19,NOT($EV4="")),AND($FR4&gt;=$FS$19,NOT($FR4="")),AND($GN4&gt;=$GO$19,NOT($GN4="")),AND($HJ4&gt;=$HK$19,NOT($HJ4="")),AND($IF4&gt;=$IG$19,NOT($IF4="")),AND($JB4&gt;=$JC$19,NOT($JB4="")),AND($JX4&gt;=$JY$19,NOT($JX4="")),AND($KT4&gt;=$KU$19,NOT($KT4="")),AND($LP4&gt;=$LQ$19,NOT($LP4="")),AND($AO4&gt;=$AL$19,NOT($AO4=""),$AJ4=""),AND($BL4&gt;=$BI$19,NOT($BL4=""),$BG4=""),AND($CL4&gt;=$CI$19,NOT($CL4="")),AND($DH4&gt;=$DE$19,NOT($DH4="")),AND($ED4&gt;=$EA$19,NOT($ED4="")),AND($EZ4&gt;=$EW$19,NOT($EZ4="")),AND($FV4&gt;=$FS$19,NOT($FV4="")),AND($GR4&gt;=$GO$19,NOT($GR4="")),AND($HN4&gt;=$HK$19,NOT($HN4="")),AND($IJ4&gt;=$IG$19,NOT($IJ4="")),AND($JF4&gt;=$JC$19,NOT($JF4="")),AND($KB4&gt;=$JY$19,NOT($KB4="")),AND($KX4&gt;=$KU$19,NOT($KX4="")),AND($LT4&gt;=$LQ$19,NOT($LT4=""))),"P","")</f>
        <v>P</v>
      </c>
      <c r="H4" s="4" t="str">
        <f t="shared" ref="H4:H16" si="4">IF(OR(AND($AN4&gt;=$AL$20,NOT($AN4=""),$AJ4=""),AND($BK4&gt;=$BI$20,NOT($BK4=""),$BG4=""),AND($CK4&gt;=$CI$20,NOT($CK4="")),AND($DG4&gt;=$DE$20,NOT($DG4="")),AND($EC4&gt;=$EA$20,NOT($EC4="")),AND($EY4&gt;=$EW$20,NOT($EY4="")),AND($FU4&gt;=$FS$20,NOT($FU4="")),AND($GQ4&gt;=$GO$20,NOT($GQ4="")),AND($HM4&gt;=$HK$20,NOT($HM4="")),AND($II4&gt;=$IG$20,NOT($II4="")),AND($JE4&gt;=$JC$20,NOT($JE4="")),AND($KA4&gt;=$JY$20,NOT($KA4="")),AND($KW4&gt;=$KU$20,NOT($KW4="")),AND($LS4&gt;=$LQ$20,NOT($LS4=""))),"P","")</f>
        <v>P</v>
      </c>
      <c r="I4" t="str">
        <f t="shared" ref="I4:I15" si="5">IF(AND(H4="P",F4=""),"No DD",IF(AND(G4="P",OR(AND($AM4&gt;$AL$23,NOT($AM4=""),$AJ4=""),AND($AP4&gt;$AL$23,NOT($AP4=""),$AJ4=""),AND($BJ4&gt;$BI$23,NOT($BJ4=""),$BG4=""),AND($BM4&gt;$BI$23,NOT($BM4=""),$BG4=""),AND($CJ4&gt;$CI$23,NOT($CJ4="")),AND($CM4&gt;$CI$23,NOT($CM4="")),AND($DF4&gt;$DE$23,NOT($DF4="")),AND($DI4&gt;$DE$23,NOT($DI4="")),AND($EB4&gt;$EA$23,NOT($EB4="")),AND($EE4&gt;$EA$23,NOT($EE4="")),AND($EX4&gt;$EW$23,NOT($EX4="")),AND($FA4&gt;$EW$23,NOT($FA4="")),AND($FT4&gt;$FS$23,NOT($FT4="")),AND($FW4&gt;$FS$23,NOT($FW4="")),AND($GP4&gt;$GO$23,NOT($GP4="")),AND($GS4&gt;$GO$23,NOT($GS4="")),AND($HL4&gt;$HK$23,NOT($HL4="")),AND($HO4&gt;$HK$23,NOT($HO4="")),AND($IH4&gt;$IG$23,NOT($IH4="")),AND($IK4&gt;$IG$23,NOT($IK4="")),AND($JD4&gt;$JC$23,NOT($JD4="")),AND($JG4&gt;$JC$23,NOT($JG4="")),AND($JZ4&gt;$JY$23,NOT($JZ4="")),AND($KC4&gt;$JY$23,NOT($KC4="")),AND($KV4&gt;$KU$23,NOT($KV4="")),AND($KY4&gt;$KU$23,NOT($KY4="")),AND($LR4&gt;$LQ$23,NOT($LR4="")),AND($LU4&gt;$LQ$23,NOT($LU4="")))),"Merit",IF(AND(G4="P",OR(AND($AN4&gt;$AL$22,NOT($AN4=""),$AJ4=""),AND($BK4&gt;$BI$22,NOT($BK4=""),$BG4=""),AND($CK4&gt;$CI$22,NOT($CK4="")),AND($DG4&gt;$DE$22,NOT($DG4="")),AND($EC4&gt;$EA$22,NOT($EC4="")),AND($EY4&gt;$EW$22,NOT($EY4="")),AND($FU4&gt;$FS$22,NOT($FU4="")),AND($GQ4&gt;$GO$22,NOT($GQ4="")),AND($HM4&gt;$HK$22,NOT($HM4="")),AND($II4&gt;$IG$22,NOT($II4="")),AND($JE4&gt;$JC$22,NOT($JE4="")),AND($KA4&gt;$JY$22,NOT($KA4="")),AND($KW4&gt;$KU$22,NOT($KW4="")),AND($LS4&gt;$LQ$22,NOT($LS4="")))),"Excellence",IF(AND(G4="P",OR(AND($AN4&gt;$AL$21,NOT($AN4=""),$AJ4=""),AND($BK4&gt;$BI$21,NOT($BK4=""),$BG4=""),AND($CK4&gt;$CI$21,NOT($CK4="")),AND($DG4&gt;$DE$21,NOT($DG4="")),AND($EC4&gt;$EA$21,NOT($EC4="")),AND($EY4&gt;$EW$21,NOT($EY4="")),AND($FU4&gt;$FS$21,NOT($FU4="")),AND($GQ4&gt;$GO$21,NOT($GQ4="")),AND($HM4&gt;$HK$21,NOT($HM4="")),AND($II4&gt;$IG$21,NOT($II4="")),AND($JE4&gt;$JC$21,NOT($JE4="")),AND($KA4&gt;$JY$21,NOT($KA4="")),AND($KW4&gt;$KU$21,NOT($KW4="")),AND($LS4&gt;$LQ$21,NOT($LS4="")))),"Worlds Team",IF(AND(F4="P",OR(AND($AN4&gt;$AL$20,NOT($AN4=""),$AJ4=""),AND($BK4&gt;$BI$20,NOT($BK4=""),$BG4=""),AND($CK4&gt;$CI$20,NOT($CK4="")),AND($DG4&gt;$DE$20,NOT($DG4="")),AND($EC4&gt;$EA$20,NOT($EC4="")),AND($EY4&gt;$EW$20,NOT($EY4="")),AND($FU4&gt;$FS$20,NOT($FU4="")),AND($GQ4&gt;$GO$20,NOT($GQ4="")),AND($HM4&gt;$HK$20,NOT($HM4="")),AND($II4&gt;$IG$20,NOT($II4="")),AND($JE4&gt;$JC$20,NOT($JE4="")),AND($KA4&gt;$JY$20,NOT($KA4="")),AND($KW4&gt;$KU$20,NOT($KW4="")),AND($LS4&gt;$LQ$20,NOT($LS4="")))),"National Team","")))))</f>
        <v>Merit</v>
      </c>
      <c r="J4" s="15">
        <f t="shared" ref="J4:J15" si="6">IF(MAX(AN4,BK4)&gt;0,MAX(AN4,BK4),"")</f>
        <v>105.24</v>
      </c>
      <c r="K4" s="15" t="str">
        <f t="shared" ref="K4:K15" si="7">IF(J4="","",IF(J4=BK4,$AR$1,IF(J4=AN4,$U$1,"")))</f>
        <v>2019 Nationals</v>
      </c>
      <c r="L4" s="15">
        <f t="shared" ref="L4:L15" si="8">IF($J4=$AN4,BI4,IF($J4=$BK4,AL4,MAX(AL4,BI4)))</f>
        <v>49.284999999999997</v>
      </c>
      <c r="M4" s="15" t="str">
        <f t="shared" ref="M4:M15" si="9">IF(L4="","",IF(L4=BI4,$AR$1,IF(L4=AL4,$U$1,"")))</f>
        <v>2019 Nationals</v>
      </c>
      <c r="N4" s="15">
        <f t="shared" ref="N4:N15" si="10">IF($J4=$AN4,BJ4,IF($J4=$BK4,AM4,MAX(AM4,BJ4)))</f>
        <v>55.954999999999998</v>
      </c>
      <c r="O4" s="15" t="str">
        <f t="shared" ref="O4:O15" si="11">IF(N4="","",IF(AND(N4=BJ4,$K4&lt;&gt;$AR$1),$AR$1,IF(AND(N4=AM4,$K4&lt;&gt;$U$1),$U$1,"")))</f>
        <v>2019 Elite Canada</v>
      </c>
      <c r="P4" s="15">
        <f t="shared" ref="P4:P15" si="12">IF(MAX(AP4,BM4)&gt;0,MAX(AP4,BM4),"")</f>
        <v>33.392499999999998</v>
      </c>
      <c r="Q4" s="15" t="str">
        <f t="shared" ref="Q4:Q15" si="13">IF(P4="","",IF(P4=BM4,$AR$1,IF(P4=AP4,$U$1,"")))</f>
        <v>2019 Nationals</v>
      </c>
      <c r="R4" s="15">
        <f t="shared" ref="R4:R15" si="14">IF(MAX(BO4,BP4,BQ4,BR4)&gt;0,MAX(BO4,BP4,BQ4,BR4),"")</f>
        <v>23.787500000000001</v>
      </c>
      <c r="S4" s="27" t="str">
        <f t="shared" ref="S4:S15" si="15">IF(R4="","",IF(R4=BO4,"(Vol 1)",IF(R4=BP4,"(Vol 2)",IF(R4=BQ4,"(Prelim)",IF(R4=BR4,"(Final)")))))</f>
        <v>(Final)</v>
      </c>
      <c r="T4" s="15" t="str">
        <f t="shared" ref="T4:T15" si="16">IF(R4="","",IF(R4=BO4,IF(R4+IF(L4="",0,L4)=LQ4,$LA$1,IF(R4+IF(L4="",0,L4)=KU4,$KE$1,IF(R4+IF(L4="",0,L4)=JY4,$JI$1,IF(R4+IF(L4="",0,L4)=JC4,$IM$1,IF(R4+IF(L4="",0,L4)=IG4,$HQ$1,IF(R4+IF(L4="",0,L4)=HK4,$GU$1,IF(R4+IF(L4="",0,L4)=GO4,$FY$1,IF(R4+IF(L4="",0,L4)=FS4,$FC$1,IF(R4+IF(L4="",0,L4)=EW4,$EG$1,IF(R4+IF(L4="",0,L4)=EA4,$DK$1,IF(R4+IF(L4="",0,L4)=DE4,$CO$1,IF(R4+IF(L4="",0,L4)=CI4,$BS$1)))))))))))),IF(R4=BP4,IF(R4+IF(N4="",0,N4)=LR4,$LA$1,IF(R4+IF(N4="",0,N4)=KV4,$KE$1,IF(R4+IF(N4="",0,N4)=JZ4,$JI$1,IF(R4+IF(N4="",0,N4)=JD4,$IM$1,IF(R4+IF(N4="",0,N4)=IH4,$HQ$1,IF(R4+IF(N4="",0,N4)=HL4,$GU$1,IF(R4+IF(N4="",0,N4)=GP4,$FY$1,IF(R4+IF(N4="",0,N4)=FT4,$FC$1,IF(R4+IF(N4="",0,N4)=EX4,$EG$1,IF(R4+IF(N4="",0,N4)=EB4,$DK$1,IF(R4+IF(N4="",0,N4)=DF4,$CO$1,IF(R4+IF(N4="",0,N4)=CJ4,$BS$1)))))))))))),IF(R4=BQ4,IF(R4+IF(J4="",0,J4)=LS4,$LA$1,IF(R4+IF(J4="",0,J4)=KW4,$KE$1,IF(R4+IF(J4="",0,J4)=KA4,$JI$1,IF(R4+IF(J4="",0,J4)=JE4,$IM$1,IF(R4+IF(J4="",0,J4)=II4,$HQ$1,IF(R4+IF(J4="",0,J4)=HM4,$GU$1,IF(R4+IF(J4="",0,J4)=GQ4,$FY$1,IF(R4+IF(J4="",0,J4)=FU4,$FC$1,IF(R4+IF(J4="",0,J4)=EY4,$EG$1,IF(R4+IF(J4="",0,J4)=EC4,$DK$1,IF(R4+IF(J4="",0,J4)=DG4,$CO$1,IF(R4+IF(J4="",0,J4)=CK4,$BS$1)))))))))))),IF(R4=BR4,IF(R4+IF(P4="",0,P4)=LU4,$LA$1,IF(R4+IF(P4="",0,P4)=KY4,$KE$1,IF(R4+IF(P4="",0,P4)=KC4,$JI$1,IF(R4+IF(P4="",0,P4)=JG4,$IM$1,IF(R4+IF(P4="",0,P4)=IK4,$HQ$1,IF(R4+IF(P4="",0,P4)=HO4,$GU$1,IF(R4+IF(P4="",0,P4)=GS4,$FY$1,IF(R4+IF(P4="",0,P4)=FW4,$FC$1,IF(R4+IF(P4="",0,P4)=FA4,$EG$1,IF(R4+IF(P4="",0,P4)=EE4,$DK$1,IF(R4+IF(P4="",0,P4)=DI4,$CO$1,IF(R4+IF(P4="",0,P4)=CM4,$BS$1)))))))))))))))))</f>
        <v>2018 World Championships (Nov 10)</v>
      </c>
      <c r="U4" s="71">
        <v>18.8</v>
      </c>
      <c r="V4" s="71">
        <v>9.4499999999999993</v>
      </c>
      <c r="W4" s="71">
        <v>4.4000000000000004</v>
      </c>
      <c r="X4" s="71">
        <v>16.634999999999998</v>
      </c>
      <c r="Y4" s="71">
        <v>0</v>
      </c>
      <c r="Z4" s="71">
        <v>16.8</v>
      </c>
      <c r="AA4" s="71">
        <v>9.2750000000000004</v>
      </c>
      <c r="AB4" s="71">
        <v>14.15</v>
      </c>
      <c r="AC4" s="71">
        <v>15.73</v>
      </c>
      <c r="AD4" s="71">
        <v>0</v>
      </c>
      <c r="AE4" s="71">
        <v>9.85</v>
      </c>
      <c r="AF4" s="71">
        <v>5.35</v>
      </c>
      <c r="AG4" s="71">
        <v>8.5500000000000007</v>
      </c>
      <c r="AH4" s="71">
        <v>9.6425000000000001</v>
      </c>
      <c r="AI4" s="71">
        <v>0</v>
      </c>
      <c r="AJ4" s="82" t="s">
        <v>100</v>
      </c>
      <c r="AK4" s="12">
        <f t="shared" ref="AK4:AK15" si="17">IF(AB4&gt;0,AB4,"")</f>
        <v>14.15</v>
      </c>
      <c r="AL4" s="12">
        <f t="shared" ref="AL4:AL15" si="18">IF(SUM(U4:X4)-Y4&gt;0,SUM(U4:X4)-Y4,"")</f>
        <v>49.284999999999997</v>
      </c>
      <c r="AM4" s="12">
        <f t="shared" ref="AM4:AM15" si="19">IF(SUM(Z4:AC4)-AD4&gt;0,SUM(Z4:AC4)-AD4,"")</f>
        <v>55.954999999999998</v>
      </c>
      <c r="AN4" s="12">
        <f t="shared" ref="AN4:AN15" si="20">IF(SUM(AL4:AM4)&gt;0,SUM(AL4:AM4),"")</f>
        <v>105.24</v>
      </c>
      <c r="AO4" s="12">
        <f t="shared" ref="AO4:AO15" si="21">IF(AG4&gt;0,AG4,"")</f>
        <v>8.5500000000000007</v>
      </c>
      <c r="AP4" s="12">
        <f t="shared" ref="AP4:AP15" si="22">IF(SUM(AE4:AH4)-AI4&gt;0,SUM(AE4:AH4)-AI4,"")</f>
        <v>33.392499999999998</v>
      </c>
      <c r="AQ4" s="12">
        <f t="shared" ref="AQ4:AQ15" si="23">IF(SUM(AN4,AP4)&gt;0,SUM(AN4,AP4),"")</f>
        <v>138.63249999999999</v>
      </c>
      <c r="AR4" s="77">
        <v>18.8</v>
      </c>
      <c r="AS4" s="77">
        <v>9.4499999999999993</v>
      </c>
      <c r="AT4" s="77">
        <v>4.4000000000000004</v>
      </c>
      <c r="AU4" s="77">
        <v>16.634999999999998</v>
      </c>
      <c r="AV4" s="77">
        <v>0</v>
      </c>
      <c r="AW4" s="77">
        <v>16.8</v>
      </c>
      <c r="AX4" s="77">
        <v>9.2750000000000004</v>
      </c>
      <c r="AY4" s="77">
        <v>14.15</v>
      </c>
      <c r="AZ4" s="77">
        <v>15.73</v>
      </c>
      <c r="BA4" s="77">
        <v>0</v>
      </c>
      <c r="BB4" s="77">
        <v>9.85</v>
      </c>
      <c r="BC4" s="77">
        <v>5.35</v>
      </c>
      <c r="BD4" s="77">
        <v>8.5500000000000007</v>
      </c>
      <c r="BE4" s="77">
        <v>9.6425000000000001</v>
      </c>
      <c r="BF4" s="77">
        <v>0</v>
      </c>
      <c r="BG4" s="83" t="s">
        <v>100</v>
      </c>
      <c r="BH4" s="15">
        <f t="shared" ref="BH4:BH15" si="24">IF(AY4&gt;0,AY4,"")</f>
        <v>14.15</v>
      </c>
      <c r="BI4" s="15">
        <f t="shared" ref="BI4:BI15" si="25">IF(SUM(AR4:AU4)-AV4&gt;0,SUM(AR4:AU4)-AV4,"")</f>
        <v>49.284999999999997</v>
      </c>
      <c r="BJ4" s="15">
        <f t="shared" ref="BJ4:BJ15" si="26">IF(SUM(AW4:AZ4)-BA4&gt;0,SUM(AW4:AZ4)-BA4,"")</f>
        <v>55.954999999999998</v>
      </c>
      <c r="BK4" s="15">
        <f t="shared" ref="BK4:BK15" si="27">IF(SUM(BI4:BJ4)&gt;0,SUM(BI4:BJ4),"")</f>
        <v>105.24</v>
      </c>
      <c r="BL4" s="15">
        <f t="shared" ref="BL4:BL15" si="28">IF(BD4&gt;0,BD4,"")</f>
        <v>8.5500000000000007</v>
      </c>
      <c r="BM4" s="15">
        <f t="shared" ref="BM4:BM15" si="29">IF(SUM(BB4:BE4)-BF4&gt;0,SUM(BB4:BE4)-BF4,"")</f>
        <v>33.392499999999998</v>
      </c>
      <c r="BN4" s="15">
        <f t="shared" ref="BN4:BN15" si="30">IF(SUM(BK4,BM4)&gt;0,SUM(BK4,BM4),"")</f>
        <v>138.63249999999999</v>
      </c>
      <c r="BO4" s="26">
        <f t="shared" ref="BO4:BO15" si="31">IF(MAX(CI4,DE4,EA4,EW4,FS4,GO4,HK4,IG4,JC4,JY4,KU4,LQ4)-IF(L4="",0,L4)&gt;0.001,MAX(CI4,DE4,EA4,EW4,FS4,GO4,HK4,IG4,JC4,JY4,KU4,LQ4)-IF(L4="",0,L4),"")</f>
        <v>0.25499999999999545</v>
      </c>
      <c r="BP4" s="26">
        <f t="shared" ref="BP4:BP15" si="32">IF(MAX(CJ4,DF4,EB4,EX4,FT4,GP4,HL4,IH4,JD4,JZ4,KV4,LR4)-IF(N4="",0,N4)&gt;0.001,MAX(CJ4,DF4,EB4,EX4,FT4,GP4,HL4,IH4,JD4,JZ4,KV4,LR4)-IF(N4="",0,N4),"")</f>
        <v>0.65000000000000568</v>
      </c>
      <c r="BQ4" s="26" t="str">
        <f t="shared" ref="BQ4:BQ15" si="33">IF(MAX(CK4,DG4,EC4,EY4,FU4,GQ4,HM4,II4,JE4,KA4,KW4,LS4)-IF(J4="",0,J4)&gt;0.001,MAX(CK4,DG4,EC4,EY4,FU4,GQ4,HM4,II4,JE4,KA4,KW4,LS4)-IF(J4="",0,J4),"")</f>
        <v/>
      </c>
      <c r="BR4" s="26">
        <f t="shared" ref="BR4:BR15" si="34">IF(MAX(CM4,DI4,EE4,FA4,FW4,GS4,HO4,IK4,JG4,KC4,KY4,LU4)-IF(P4="",0,P4)&gt;0.001,MAX(CM4,DI4,EE4,FA4,FW4,GS4,HO4,IK4,JG4,KC4,KY4,LU4)-IF(P4="",0,P4),"")</f>
        <v>23.787500000000001</v>
      </c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>
        <v>16.399999999999999</v>
      </c>
      <c r="CD4" s="39">
        <v>9.6</v>
      </c>
      <c r="CE4" s="39">
        <v>15</v>
      </c>
      <c r="CF4" s="39">
        <v>15.565</v>
      </c>
      <c r="CG4" s="39">
        <v>0</v>
      </c>
      <c r="CH4" s="12" t="str">
        <f t="shared" ref="CH4:CH15" si="35">IF(BZ4&gt;0,BZ4,"")</f>
        <v/>
      </c>
      <c r="CI4" s="12" t="str">
        <f t="shared" ref="CI4:CI15" si="36">IF(SUM(BS4:BV4)-BW4&gt;0,SUM(BS4:BV4)-BW4,"")</f>
        <v/>
      </c>
      <c r="CJ4" s="12" t="str">
        <f t="shared" ref="CJ4:CJ15" si="37">IF(SUM(BX4:CA4)-CB4&gt;0,SUM(BX4:CA4)-CB4,"")</f>
        <v/>
      </c>
      <c r="CK4" s="12" t="str">
        <f t="shared" ref="CK4:CK15" si="38">IF(SUM(CI4:CJ4)&gt;0,SUM(CI4:CJ4),"")</f>
        <v/>
      </c>
      <c r="CL4" s="12">
        <f t="shared" ref="CL4:CL15" si="39">IF(CE4&gt;0,CE4,"")</f>
        <v>15</v>
      </c>
      <c r="CM4" s="12">
        <f t="shared" ref="CM4:CM15" si="40">IF(SUM(CC4:CF4)-CG4&gt;0,SUM(CC4:CF4)-CG4,"")</f>
        <v>56.564999999999998</v>
      </c>
      <c r="CN4" s="12">
        <f t="shared" ref="CN4:CN15" si="41">IF(SUM(CK4,CM4)&gt;0,SUM(CK4,CM4),"")</f>
        <v>56.564999999999998</v>
      </c>
      <c r="CO4" s="40"/>
      <c r="CP4" s="40"/>
      <c r="CQ4" s="40"/>
      <c r="CR4" s="40"/>
      <c r="CS4" s="40"/>
      <c r="CT4" s="40"/>
      <c r="CU4" s="40"/>
      <c r="CV4" s="40"/>
      <c r="CW4" s="40"/>
      <c r="CX4" s="40"/>
      <c r="CY4" s="40">
        <v>16.5</v>
      </c>
      <c r="CZ4" s="40">
        <v>9.5</v>
      </c>
      <c r="DA4" s="40">
        <v>15</v>
      </c>
      <c r="DB4" s="40">
        <v>15.664999999999999</v>
      </c>
      <c r="DC4" s="40">
        <v>0</v>
      </c>
      <c r="DD4" s="15" t="str">
        <f t="shared" ref="DD4:DD15" si="42">IF(CV4&gt;0,CV4,"")</f>
        <v/>
      </c>
      <c r="DE4" s="15" t="str">
        <f t="shared" ref="DE4:DE15" si="43">IF(SUM(CO4:CR4)-CS4&gt;0,SUM(CO4:CR4)-CS4,"")</f>
        <v/>
      </c>
      <c r="DF4" s="15" t="str">
        <f t="shared" ref="DF4:DF15" si="44">IF(SUM(CT4:CW4)-CX4&gt;0,SUM(CT4:CW4)-CX4,"")</f>
        <v/>
      </c>
      <c r="DG4" s="15" t="str">
        <f t="shared" ref="DG4:DG15" si="45">IF(SUM(DE4:DF4)&gt;0,SUM(DE4:DF4),"")</f>
        <v/>
      </c>
      <c r="DH4" s="15">
        <f t="shared" ref="DH4:DH15" si="46">IF(DA4&gt;0,DA4,"")</f>
        <v>15</v>
      </c>
      <c r="DI4" s="15">
        <f t="shared" ref="DI4:DI15" si="47">IF(SUM(CY4:DB4)-DC4&gt;0,SUM(CY4:DB4)-DC4,"")</f>
        <v>56.664999999999999</v>
      </c>
      <c r="DJ4" s="15">
        <f t="shared" ref="DJ4:DJ15" si="48">IF(SUM(DG4,DI4)&gt;0,SUM(DG4,DI4),"")</f>
        <v>56.664999999999999</v>
      </c>
      <c r="DK4" s="39">
        <v>18.3</v>
      </c>
      <c r="DL4" s="39">
        <v>9.6999999999999993</v>
      </c>
      <c r="DM4" s="39">
        <v>4.8</v>
      </c>
      <c r="DN4" s="39">
        <v>16.555</v>
      </c>
      <c r="DO4" s="39">
        <v>0</v>
      </c>
      <c r="DP4" s="39">
        <v>15.5</v>
      </c>
      <c r="DQ4" s="39">
        <v>9</v>
      </c>
      <c r="DR4" s="39">
        <v>14.8</v>
      </c>
      <c r="DS4" s="39">
        <v>15.414999999999999</v>
      </c>
      <c r="DT4" s="39">
        <v>0</v>
      </c>
      <c r="DU4" s="39">
        <v>16.7</v>
      </c>
      <c r="DV4" s="39">
        <v>9.6</v>
      </c>
      <c r="DW4" s="39">
        <v>15</v>
      </c>
      <c r="DX4" s="39">
        <v>15.88</v>
      </c>
      <c r="DY4" s="39">
        <v>0</v>
      </c>
      <c r="DZ4" s="12">
        <f t="shared" ref="DZ4:DZ15" si="49">IF(DR4&gt;0,DR4,"")</f>
        <v>14.8</v>
      </c>
      <c r="EA4" s="12">
        <f t="shared" ref="EA4:EA15" si="50">IF(SUM(DK4:DN4)-DO4&gt;0,SUM(DK4:DN4)-DO4,"")</f>
        <v>49.354999999999997</v>
      </c>
      <c r="EB4" s="12">
        <f t="shared" ref="EB4:EB15" si="51">IF(SUM(DP4:DS4)-DT4&gt;0,SUM(DP4:DS4)-DT4,"")</f>
        <v>54.714999999999996</v>
      </c>
      <c r="EC4" s="12">
        <f t="shared" ref="EC4:EC15" si="52">IF(SUM(EA4:EB4)&gt;0,SUM(EA4:EB4),"")</f>
        <v>104.07</v>
      </c>
      <c r="ED4" s="12">
        <f t="shared" ref="ED4:ED15" si="53">IF(DW4&gt;0,DW4,"")</f>
        <v>15</v>
      </c>
      <c r="EE4" s="12">
        <f t="shared" ref="EE4:EE15" si="54">IF(SUM(DU4:DX4)-DY4&gt;0,SUM(DU4:DX4)-DY4,"")</f>
        <v>57.18</v>
      </c>
      <c r="EF4" s="12">
        <f t="shared" ref="EF4:EF15" si="55">IF(SUM(EC4,EE4)&gt;0,SUM(EC4,EE4),"")</f>
        <v>161.25</v>
      </c>
      <c r="EG4" s="40"/>
      <c r="EH4" s="40"/>
      <c r="EI4" s="40"/>
      <c r="EJ4" s="40"/>
      <c r="EK4" s="40"/>
      <c r="EL4" s="40"/>
      <c r="EM4" s="40"/>
      <c r="EN4" s="40"/>
      <c r="EO4" s="40"/>
      <c r="EP4" s="40"/>
      <c r="EQ4" s="40"/>
      <c r="ER4" s="40"/>
      <c r="ES4" s="40"/>
      <c r="ET4" s="40"/>
      <c r="EU4" s="40"/>
      <c r="EV4" s="15" t="str">
        <f t="shared" ref="EV4:EV15" si="56">IF(EN4&gt;0,EN4,"")</f>
        <v/>
      </c>
      <c r="EW4" s="15" t="str">
        <f t="shared" ref="EW4:EW15" si="57">IF(SUM(EG4:EJ4)-EK4&gt;0,SUM(EG4:EJ4)-EK4,"")</f>
        <v/>
      </c>
      <c r="EX4" s="15" t="str">
        <f t="shared" ref="EX4:EX15" si="58">IF(SUM(EL4:EO4)-EP4&gt;0,SUM(EL4:EO4)-EP4,"")</f>
        <v/>
      </c>
      <c r="EY4" s="15" t="str">
        <f t="shared" ref="EY4:EY15" si="59">IF(SUM(EW4:EX4)&gt;0,SUM(EW4:EX4),"")</f>
        <v/>
      </c>
      <c r="EZ4" s="15" t="str">
        <f t="shared" ref="EZ4:EZ15" si="60">IF(ES4&gt;0,ES4,"")</f>
        <v/>
      </c>
      <c r="FA4" s="15" t="str">
        <f t="shared" ref="FA4:FA15" si="61">IF(SUM(EQ4:ET4)-EU4&gt;0,SUM(EQ4:ET4)-EU4,"")</f>
        <v/>
      </c>
      <c r="FB4" s="15" t="str">
        <f t="shared" ref="FB4:FB15" si="62">IF(SUM(EY4,FA4)&gt;0,SUM(EY4,FA4),"")</f>
        <v/>
      </c>
      <c r="FC4" s="39">
        <v>18.2</v>
      </c>
      <c r="FD4" s="39">
        <v>9.4</v>
      </c>
      <c r="FE4" s="39">
        <v>4.8</v>
      </c>
      <c r="FF4" s="39">
        <v>16.16</v>
      </c>
      <c r="FG4" s="39">
        <v>0</v>
      </c>
      <c r="FH4" s="39">
        <v>16.7</v>
      </c>
      <c r="FI4" s="39">
        <v>9.5</v>
      </c>
      <c r="FJ4" s="39">
        <v>15</v>
      </c>
      <c r="FK4" s="39">
        <v>15.404999999999999</v>
      </c>
      <c r="FL4" s="39">
        <v>0</v>
      </c>
      <c r="FM4" s="39">
        <v>16.3</v>
      </c>
      <c r="FN4" s="39">
        <v>9.6999999999999993</v>
      </c>
      <c r="FO4" s="39">
        <v>15</v>
      </c>
      <c r="FP4" s="39">
        <v>15.244999999999999</v>
      </c>
      <c r="FQ4" s="39">
        <v>0</v>
      </c>
      <c r="FR4" s="12">
        <f t="shared" ref="FR4:FR15" si="63">IF(FJ4&gt;0,FJ4,"")</f>
        <v>15</v>
      </c>
      <c r="FS4" s="12">
        <f t="shared" ref="FS4:FS15" si="64">IF(SUM(FC4:FF4)-FG4&gt;0,SUM(FC4:FF4)-FG4,"")</f>
        <v>48.56</v>
      </c>
      <c r="FT4" s="12">
        <f t="shared" ref="FT4:FT15" si="65">IF(SUM(FH4:FK4)-FL4&gt;0,SUM(FH4:FK4)-FL4,"")</f>
        <v>56.605000000000004</v>
      </c>
      <c r="FU4" s="12">
        <f t="shared" ref="FU4:FU15" si="66">IF(SUM(FS4:FT4)&gt;0,SUM(FS4:FT4),"")</f>
        <v>105.16500000000001</v>
      </c>
      <c r="FV4" s="12">
        <f t="shared" ref="FV4:FV15" si="67">IF(FO4&gt;0,FO4,"")</f>
        <v>15</v>
      </c>
      <c r="FW4" s="12">
        <f t="shared" ref="FW4:FW15" si="68">IF(SUM(FM4:FP4)-FQ4&gt;0,SUM(FM4:FP4)-FQ4,"")</f>
        <v>56.244999999999997</v>
      </c>
      <c r="FX4" s="12">
        <f t="shared" ref="FX4:FX15" si="69">IF(SUM(FU4,FW4)&gt;0,SUM(FU4,FW4),"")</f>
        <v>161.41</v>
      </c>
      <c r="FY4" s="40">
        <v>18.8</v>
      </c>
      <c r="FZ4" s="40">
        <v>9.6</v>
      </c>
      <c r="GA4" s="40">
        <v>4.8</v>
      </c>
      <c r="GB4" s="40">
        <v>16.34</v>
      </c>
      <c r="GC4" s="40">
        <v>0</v>
      </c>
      <c r="GD4" s="40">
        <v>9.1999999999999993</v>
      </c>
      <c r="GE4" s="40">
        <v>5.2</v>
      </c>
      <c r="GF4" s="40">
        <v>7.6</v>
      </c>
      <c r="GG4" s="40">
        <v>9.2100000000000009</v>
      </c>
      <c r="GH4" s="40">
        <v>0</v>
      </c>
      <c r="GI4" s="40"/>
      <c r="GJ4" s="40"/>
      <c r="GK4" s="40"/>
      <c r="GL4" s="40"/>
      <c r="GM4" s="40"/>
      <c r="GN4" s="15">
        <f t="shared" ref="GN4:GN15" si="70">IF(GF4&gt;0,GF4,"")</f>
        <v>7.6</v>
      </c>
      <c r="GO4" s="15">
        <f t="shared" ref="GO4:GO15" si="71">IF(SUM(FY4:GB4)-GC4&gt;0,SUM(FY4:GB4)-GC4,"")</f>
        <v>49.539999999999992</v>
      </c>
      <c r="GP4" s="15">
        <f t="shared" ref="GP4:GP15" si="72">IF(SUM(GD4:GG4)-GH4&gt;0,SUM(GD4:GG4)-GH4,"")</f>
        <v>31.21</v>
      </c>
      <c r="GQ4" s="15">
        <f t="shared" ref="GQ4:GQ15" si="73">IF(SUM(GO4:GP4)&gt;0,SUM(GO4:GP4),"")</f>
        <v>80.75</v>
      </c>
      <c r="GR4" s="15" t="str">
        <f t="shared" ref="GR4:GR15" si="74">IF(GK4&gt;0,GK4,"")</f>
        <v/>
      </c>
      <c r="GS4" s="15" t="str">
        <f t="shared" ref="GS4:GS15" si="75">IF(SUM(GI4:GL4)-GM4&gt;0,SUM(GI4:GL4)-GM4,"")</f>
        <v/>
      </c>
      <c r="GT4" s="15">
        <f t="shared" ref="GT4:GT15" si="76">IF(SUM(GQ4,GS4)&gt;0,SUM(GQ4,GS4),"")</f>
        <v>80.75</v>
      </c>
      <c r="GU4" s="39"/>
      <c r="GV4" s="39"/>
      <c r="GW4" s="39"/>
      <c r="GX4" s="39"/>
      <c r="GY4" s="39"/>
      <c r="GZ4" s="39"/>
      <c r="HA4" s="39"/>
      <c r="HB4" s="39"/>
      <c r="HC4" s="39"/>
      <c r="HD4" s="39"/>
      <c r="HE4" s="39"/>
      <c r="HF4" s="39"/>
      <c r="HG4" s="39"/>
      <c r="HH4" s="39"/>
      <c r="HI4" s="39"/>
      <c r="HJ4" s="12" t="str">
        <f t="shared" ref="HJ4:HJ15" si="77">IF(HB4&gt;0,HB4,"")</f>
        <v/>
      </c>
      <c r="HK4" s="12" t="str">
        <f t="shared" ref="HK4:HK15" si="78">IF(SUM(GU4:GX4)-GY4&gt;0,SUM(GU4:GX4)-GY4,"")</f>
        <v/>
      </c>
      <c r="HL4" s="12" t="str">
        <f t="shared" ref="HL4:HL15" si="79">IF(SUM(GZ4:HC4)-HD4&gt;0,SUM(GZ4:HC4)-HD4,"")</f>
        <v/>
      </c>
      <c r="HM4" s="12" t="str">
        <f t="shared" ref="HM4:HM15" si="80">IF(SUM(HK4:HL4)&gt;0,SUM(HK4:HL4),"")</f>
        <v/>
      </c>
      <c r="HN4" s="12" t="str">
        <f t="shared" ref="HN4:HN15" si="81">IF(HG4&gt;0,HG4,"")</f>
        <v/>
      </c>
      <c r="HO4" s="12" t="str">
        <f t="shared" ref="HO4:HO15" si="82">IF(SUM(HE4:HH4)-HI4&gt;0,SUM(HE4:HH4)-HI4,"")</f>
        <v/>
      </c>
      <c r="HP4" s="12" t="str">
        <f t="shared" ref="HP4:HP15" si="83">IF(SUM(HM4,HO4)&gt;0,SUM(HM4,HO4),"")</f>
        <v/>
      </c>
      <c r="HQ4" s="40"/>
      <c r="HR4" s="40"/>
      <c r="HS4" s="40"/>
      <c r="HT4" s="40"/>
      <c r="HU4" s="40"/>
      <c r="HV4" s="40"/>
      <c r="HW4" s="40"/>
      <c r="HX4" s="40"/>
      <c r="HY4" s="40"/>
      <c r="HZ4" s="40"/>
      <c r="IA4" s="40"/>
      <c r="IB4" s="40"/>
      <c r="IC4" s="40"/>
      <c r="ID4" s="40"/>
      <c r="IE4" s="40"/>
      <c r="IF4" s="15" t="str">
        <f t="shared" ref="IF4:IF15" si="84">IF(HX4&gt;0,HX4,"")</f>
        <v/>
      </c>
      <c r="IG4" s="15" t="str">
        <f t="shared" ref="IG4:IG15" si="85">IF(SUM(HQ4:HT4)-HU4&gt;0,SUM(HQ4:HT4)-HU4,"")</f>
        <v/>
      </c>
      <c r="IH4" s="15" t="str">
        <f t="shared" ref="IH4:IH15" si="86">IF(SUM(HV4:HY4)-HZ4&gt;0,SUM(HV4:HY4)-HZ4,"")</f>
        <v/>
      </c>
      <c r="II4" s="15" t="str">
        <f t="shared" ref="II4:II15" si="87">IF(SUM(IG4:IH4)&gt;0,SUM(IG4:IH4),"")</f>
        <v/>
      </c>
      <c r="IJ4" s="15" t="str">
        <f t="shared" ref="IJ4:IJ15" si="88">IF(IC4&gt;0,IC4,"")</f>
        <v/>
      </c>
      <c r="IK4" s="15" t="str">
        <f t="shared" ref="IK4:IK15" si="89">IF(SUM(IA4:ID4)-IE4&gt;0,SUM(IA4:ID4)-IE4,"")</f>
        <v/>
      </c>
      <c r="IL4" s="15" t="str">
        <f t="shared" ref="IL4:IL15" si="90">IF(SUM(II4,IK4)&gt;0,SUM(II4,IK4),"")</f>
        <v/>
      </c>
      <c r="IM4" s="39">
        <v>18.100000000000001</v>
      </c>
      <c r="IN4" s="39">
        <v>9.5</v>
      </c>
      <c r="IO4" s="39">
        <v>4.4000000000000004</v>
      </c>
      <c r="IP4" s="39">
        <v>16.045000000000002</v>
      </c>
      <c r="IQ4" s="39">
        <v>0</v>
      </c>
      <c r="IR4" s="39">
        <v>15.6</v>
      </c>
      <c r="IS4" s="39">
        <v>8.8000000000000007</v>
      </c>
      <c r="IT4" s="39">
        <v>13.7</v>
      </c>
      <c r="IU4" s="39">
        <v>15.09</v>
      </c>
      <c r="IV4" s="39">
        <v>0</v>
      </c>
      <c r="IW4" s="39"/>
      <c r="IX4" s="39"/>
      <c r="IY4" s="39"/>
      <c r="IZ4" s="39"/>
      <c r="JA4" s="39"/>
      <c r="JB4" s="12">
        <f t="shared" ref="JB4:JB15" si="91">IF(IT4&gt;0,IT4,"")</f>
        <v>13.7</v>
      </c>
      <c r="JC4" s="12">
        <f t="shared" ref="JC4:JC15" si="92">IF(SUM(IM4:IP4)-IQ4&gt;0,SUM(IM4:IP4)-IQ4,"")</f>
        <v>48.045000000000002</v>
      </c>
      <c r="JD4" s="12">
        <f t="shared" ref="JD4:JD15" si="93">IF(SUM(IR4:IU4)-IV4&gt;0,SUM(IR4:IU4)-IV4,"")</f>
        <v>53.19</v>
      </c>
      <c r="JE4" s="12">
        <f t="shared" ref="JE4:JE15" si="94">IF(SUM(JC4:JD4)&gt;0,SUM(JC4:JD4),"")</f>
        <v>101.235</v>
      </c>
      <c r="JF4" s="12" t="str">
        <f t="shared" ref="JF4:JF15" si="95">IF(IY4&gt;0,IY4,"")</f>
        <v/>
      </c>
      <c r="JG4" s="12" t="str">
        <f t="shared" ref="JG4:JG15" si="96">IF(SUM(IW4:IZ4)-JA4&gt;0,SUM(IW4:IZ4)-JA4,"")</f>
        <v/>
      </c>
      <c r="JH4" s="12">
        <f t="shared" ref="JH4:JH15" si="97">IF(SUM(JE4,JG4)&gt;0,SUM(JE4,JG4),"")</f>
        <v>101.235</v>
      </c>
      <c r="JI4" s="40">
        <v>18</v>
      </c>
      <c r="JJ4" s="40">
        <v>9.4</v>
      </c>
      <c r="JK4" s="40">
        <v>4.4000000000000004</v>
      </c>
      <c r="JL4" s="40">
        <v>15.955</v>
      </c>
      <c r="JM4" s="40">
        <v>0</v>
      </c>
      <c r="JN4" s="40">
        <v>15.3</v>
      </c>
      <c r="JO4" s="40">
        <v>8.9</v>
      </c>
      <c r="JP4" s="40">
        <v>13</v>
      </c>
      <c r="JQ4" s="40">
        <v>14.87</v>
      </c>
      <c r="JR4" s="40">
        <v>0</v>
      </c>
      <c r="JS4" s="40"/>
      <c r="JT4" s="40"/>
      <c r="JU4" s="40"/>
      <c r="JV4" s="40"/>
      <c r="JW4" s="40"/>
      <c r="JX4" s="15">
        <f t="shared" ref="JX4:JX15" si="98">IF(JP4&gt;0,JP4,"")</f>
        <v>13</v>
      </c>
      <c r="JY4" s="15">
        <f t="shared" ref="JY4:JY15" si="99">IF(SUM(JI4:JL4)-JM4&gt;0,SUM(JI4:JL4)-JM4,"")</f>
        <v>47.754999999999995</v>
      </c>
      <c r="JZ4" s="15">
        <f t="shared" ref="JZ4:JZ15" si="100">IF(SUM(JN4:JQ4)-JR4&gt;0,SUM(JN4:JQ4)-JR4,"")</f>
        <v>52.07</v>
      </c>
      <c r="KA4" s="15">
        <f t="shared" ref="KA4:KA15" si="101">IF(SUM(JY4:JZ4)&gt;0,SUM(JY4:JZ4),"")</f>
        <v>99.824999999999989</v>
      </c>
      <c r="KB4" s="15" t="str">
        <f t="shared" ref="KB4:KB15" si="102">IF(JU4&gt;0,JU4,"")</f>
        <v/>
      </c>
      <c r="KC4" s="15" t="str">
        <f t="shared" ref="KC4:KC15" si="103">IF(SUM(JS4:JV4)-JW4&gt;0,SUM(JS4:JV4)-JW4,"")</f>
        <v/>
      </c>
      <c r="KD4" s="15">
        <f t="shared" ref="KD4:KD15" si="104">IF(SUM(KA4,KC4)&gt;0,SUM(KA4,KC4),"")</f>
        <v>99.824999999999989</v>
      </c>
      <c r="KE4" s="39"/>
      <c r="KF4" s="39"/>
      <c r="KG4" s="39"/>
      <c r="KH4" s="39"/>
      <c r="KI4" s="39"/>
      <c r="KJ4" s="39"/>
      <c r="KK4" s="39"/>
      <c r="KL4" s="39"/>
      <c r="KM4" s="39"/>
      <c r="KN4" s="39"/>
      <c r="KO4" s="39"/>
      <c r="KP4" s="39"/>
      <c r="KQ4" s="39"/>
      <c r="KR4" s="39"/>
      <c r="KS4" s="39"/>
      <c r="KT4" s="12" t="str">
        <f t="shared" ref="KT4:KT15" si="105">IF(KL4&gt;0,KL4,"")</f>
        <v/>
      </c>
      <c r="KU4" s="12" t="str">
        <f t="shared" ref="KU4:KU15" si="106">IF(SUM(KE4:KH4)-KI4&gt;0,SUM(KE4:KH4)-KI4,"")</f>
        <v/>
      </c>
      <c r="KV4" s="12" t="str">
        <f t="shared" ref="KV4:KV15" si="107">IF(SUM(KJ4:KM4)-KN4&gt;0,SUM(KJ4:KM4)-KN4,"")</f>
        <v/>
      </c>
      <c r="KW4" s="12" t="str">
        <f t="shared" ref="KW4:KW15" si="108">IF(SUM(KU4:KV4)&gt;0,SUM(KU4:KV4),"")</f>
        <v/>
      </c>
      <c r="KX4" s="12" t="str">
        <f t="shared" ref="KX4:KX15" si="109">IF(KQ4&gt;0,KQ4,"")</f>
        <v/>
      </c>
      <c r="KY4" s="12" t="str">
        <f t="shared" ref="KY4:KY15" si="110">IF(SUM(KO4:KR4)-KS4&gt;0,SUM(KO4:KR4)-KS4,"")</f>
        <v/>
      </c>
      <c r="KZ4" s="12" t="str">
        <f t="shared" ref="KZ4:KZ15" si="111">IF(SUM(KW4,KY4)&gt;0,SUM(KW4,KY4),"")</f>
        <v/>
      </c>
      <c r="LA4" s="40"/>
      <c r="LB4" s="40"/>
      <c r="LC4" s="40"/>
      <c r="LD4" s="40"/>
      <c r="LE4" s="40"/>
      <c r="LF4" s="40"/>
      <c r="LG4" s="40"/>
      <c r="LH4" s="40"/>
      <c r="LI4" s="40"/>
      <c r="LJ4" s="40"/>
      <c r="LK4" s="40"/>
      <c r="LL4" s="40"/>
      <c r="LM4" s="40"/>
      <c r="LN4" s="40"/>
      <c r="LO4" s="40"/>
      <c r="LP4" s="15" t="str">
        <f t="shared" ref="LP4:LP15" si="112">IF(LH4&gt;0,LH4,"")</f>
        <v/>
      </c>
      <c r="LQ4" s="15" t="str">
        <f t="shared" ref="LQ4:LQ15" si="113">IF(SUM(LA4:LD4)-LE4&gt;0,SUM(LA4:LD4)-LE4,"")</f>
        <v/>
      </c>
      <c r="LR4" s="15" t="str">
        <f t="shared" ref="LR4:LR15" si="114">IF(SUM(LF4:LI4)-LJ4&gt;0,SUM(LF4:LI4)-LJ4,"")</f>
        <v/>
      </c>
      <c r="LS4" s="15" t="str">
        <f t="shared" ref="LS4:LS15" si="115">IF(SUM(LQ4:LR4)&gt;0,SUM(LQ4:LR4),"")</f>
        <v/>
      </c>
      <c r="LT4" s="15" t="str">
        <f t="shared" ref="LT4:LT15" si="116">IF(LM4&gt;0,LM4,"")</f>
        <v/>
      </c>
      <c r="LU4" s="15" t="str">
        <f t="shared" ref="LU4:LU15" si="117">IF(SUM(LK4:LN4)-LO4&gt;0,SUM(LK4:LN4)-LO4,"")</f>
        <v/>
      </c>
      <c r="LV4" s="15" t="str">
        <f t="shared" ref="LV4:LV15" si="118">IF(SUM(LS4,LU4)&gt;0,SUM(LS4,LU4),"")</f>
        <v/>
      </c>
      <c r="LW4" s="71">
        <f t="shared" ref="LW4:LW15" si="119">IF($BG4="P",AR4,(U4+AR4)/2)</f>
        <v>18.8</v>
      </c>
      <c r="LX4" s="71">
        <f t="shared" ref="LX4:LX15" si="120">IF($BG4="P",AS4,(V4+AS4)/2)</f>
        <v>9.4499999999999993</v>
      </c>
      <c r="LY4" s="71">
        <f t="shared" ref="LY4:LY15" si="121">IF($BG4="P",AT4,(W4+AT4)/2)</f>
        <v>4.4000000000000004</v>
      </c>
      <c r="LZ4" s="71">
        <f t="shared" ref="LZ4:LZ15" si="122">IF($BG4="P",AU4,(X4+AU4)/2)</f>
        <v>16.634999999999998</v>
      </c>
      <c r="MA4" s="71">
        <f t="shared" ref="MA4:MA15" si="123">IF($BG4="P",AV4,(Y4+AV4)/2)</f>
        <v>0</v>
      </c>
      <c r="MB4" s="71">
        <f t="shared" ref="MB4:MB15" si="124">IF($BG4="P",AW4,(Z4+AW4)/2)</f>
        <v>16.8</v>
      </c>
      <c r="MC4" s="71">
        <f t="shared" ref="MC4:MC15" si="125">IF($BG4="P",AX4,(AA4+AX4)/2)</f>
        <v>9.2750000000000004</v>
      </c>
      <c r="MD4" s="71">
        <f t="shared" ref="MD4:MD15" si="126">IF($BG4="P",AY4,(AB4+AY4)/2)</f>
        <v>14.15</v>
      </c>
      <c r="ME4" s="71">
        <f t="shared" ref="ME4:ME15" si="127">IF($BG4="P",AZ4,(AC4+AZ4)/2)</f>
        <v>15.73</v>
      </c>
      <c r="MF4" s="71">
        <f t="shared" ref="MF4:MF15" si="128">IF($BG4="P",BA4,(AD4+BA4)/2)</f>
        <v>0</v>
      </c>
      <c r="MG4" s="71">
        <f t="shared" ref="MG4:MG15" si="129">IF($BG4="P",BB4,(AE4+BB4)/2)</f>
        <v>9.85</v>
      </c>
      <c r="MH4" s="71">
        <f t="shared" ref="MH4:MH15" si="130">IF($BG4="P",BC4,(AF4+BC4)/2)</f>
        <v>5.35</v>
      </c>
      <c r="MI4" s="71">
        <f t="shared" ref="MI4:MI15" si="131">IF($BG4="P",BD4,(AG4+BD4)/2)</f>
        <v>8.5500000000000007</v>
      </c>
      <c r="MJ4" s="71">
        <f t="shared" ref="MJ4:MJ15" si="132">IF($BG4="P",BE4,(AH4+BE4)/2)</f>
        <v>9.6425000000000001</v>
      </c>
      <c r="MK4" s="71">
        <f t="shared" ref="MK4:MK15" si="133">IF($BG4="P",BF4,(AI4+BF4)/2)</f>
        <v>0</v>
      </c>
      <c r="ML4" s="82" t="s">
        <v>100</v>
      </c>
      <c r="MM4" s="12">
        <f t="shared" ref="MM4" si="134">IF(MD4&gt;0,MD4,"")</f>
        <v>14.15</v>
      </c>
      <c r="MN4" s="12">
        <f t="shared" ref="MN4" si="135">IF(SUM(LW4:LZ4)-MA4&gt;0,SUM(LW4:LZ4)-MA4,"")</f>
        <v>49.284999999999997</v>
      </c>
      <c r="MO4" s="12">
        <f t="shared" ref="MO4" si="136">IF(SUM(MB4:ME4)-MF4&gt;0,SUM(MB4:ME4)-MF4,"")</f>
        <v>55.954999999999998</v>
      </c>
      <c r="MP4" s="12">
        <f t="shared" ref="MP4" si="137">IF(SUM(MN4:MO4)&gt;0,SUM(MN4:MO4),"")</f>
        <v>105.24</v>
      </c>
      <c r="MQ4" s="12">
        <f>IF(MI4&gt;0,MI4,"")</f>
        <v>8.5500000000000007</v>
      </c>
      <c r="MR4" s="12">
        <f t="shared" ref="MR4" si="138">IF(SUM(MG4:MJ4)-MK4&gt;0,SUM(MG4:MJ4)-MK4,"")</f>
        <v>33.392499999999998</v>
      </c>
      <c r="MS4" s="12">
        <f t="shared" ref="MS4" si="139">IF(SUM(MP4,MR4)&gt;0,SUM(MP4,MR4),"")</f>
        <v>138.63249999999999</v>
      </c>
    </row>
    <row r="5" spans="1:357" x14ac:dyDescent="0.2">
      <c r="A5" s="6">
        <f t="shared" si="0"/>
        <v>2</v>
      </c>
      <c r="B5" s="9" t="s">
        <v>34</v>
      </c>
      <c r="C5" s="5" t="s">
        <v>10</v>
      </c>
      <c r="D5" s="29">
        <v>1997</v>
      </c>
      <c r="E5" s="16">
        <f t="shared" si="1"/>
        <v>263.41999999999996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Merit</v>
      </c>
      <c r="J5" s="15">
        <f t="shared" si="6"/>
        <v>103.86000000000001</v>
      </c>
      <c r="K5" s="15" t="str">
        <f t="shared" si="7"/>
        <v>2019 Elite Canada</v>
      </c>
      <c r="L5" s="15">
        <f t="shared" si="8"/>
        <v>48.57</v>
      </c>
      <c r="M5" s="15" t="str">
        <f t="shared" si="9"/>
        <v>2019 Nationals</v>
      </c>
      <c r="N5" s="15">
        <f t="shared" si="10"/>
        <v>54.160000000000004</v>
      </c>
      <c r="O5" s="15" t="str">
        <f t="shared" si="11"/>
        <v>2019 Nationals</v>
      </c>
      <c r="P5" s="15">
        <f t="shared" si="12"/>
        <v>56.114999999999995</v>
      </c>
      <c r="Q5" s="15" t="str">
        <f t="shared" si="13"/>
        <v>2019 Elite Canada</v>
      </c>
      <c r="R5" s="15">
        <f t="shared" si="14"/>
        <v>0.7149999999999892</v>
      </c>
      <c r="S5" s="27" t="str">
        <f t="shared" si="15"/>
        <v>(Vol 2)</v>
      </c>
      <c r="T5" s="15" t="str">
        <f t="shared" si="16"/>
        <v>2019 World Cup ESP (Oct 6)</v>
      </c>
      <c r="U5" s="39">
        <v>18.2</v>
      </c>
      <c r="V5" s="39">
        <v>9.4</v>
      </c>
      <c r="W5" s="39">
        <v>4.5</v>
      </c>
      <c r="X5" s="39">
        <v>16.555</v>
      </c>
      <c r="Y5" s="39">
        <v>0</v>
      </c>
      <c r="Z5" s="39">
        <v>16.399999999999999</v>
      </c>
      <c r="AA5" s="39">
        <v>9.25</v>
      </c>
      <c r="AB5" s="39">
        <v>13.8</v>
      </c>
      <c r="AC5" s="39">
        <v>15.755000000000001</v>
      </c>
      <c r="AD5" s="39">
        <v>0</v>
      </c>
      <c r="AE5" s="39">
        <v>16.899999999999999</v>
      </c>
      <c r="AF5" s="39">
        <v>9.4499999999999993</v>
      </c>
      <c r="AG5" s="39">
        <v>13.8</v>
      </c>
      <c r="AH5" s="39">
        <v>15.965</v>
      </c>
      <c r="AI5" s="39">
        <v>0</v>
      </c>
      <c r="AJ5" s="82"/>
      <c r="AK5" s="12">
        <f t="shared" si="17"/>
        <v>13.8</v>
      </c>
      <c r="AL5" s="12">
        <f t="shared" si="18"/>
        <v>48.655000000000001</v>
      </c>
      <c r="AM5" s="12">
        <f t="shared" si="19"/>
        <v>55.205000000000005</v>
      </c>
      <c r="AN5" s="12">
        <f t="shared" si="20"/>
        <v>103.86000000000001</v>
      </c>
      <c r="AO5" s="12">
        <f t="shared" si="21"/>
        <v>13.8</v>
      </c>
      <c r="AP5" s="12">
        <f t="shared" si="22"/>
        <v>56.114999999999995</v>
      </c>
      <c r="AQ5" s="12">
        <f t="shared" si="23"/>
        <v>159.97500000000002</v>
      </c>
      <c r="AR5" s="77">
        <v>18</v>
      </c>
      <c r="AS5" s="77">
        <v>9.1999999999999993</v>
      </c>
      <c r="AT5" s="77">
        <v>4.8</v>
      </c>
      <c r="AU5" s="77">
        <v>16.57</v>
      </c>
      <c r="AV5" s="77">
        <v>0</v>
      </c>
      <c r="AW5" s="77">
        <v>16.5</v>
      </c>
      <c r="AX5" s="77">
        <v>9.1</v>
      </c>
      <c r="AY5" s="77">
        <v>13</v>
      </c>
      <c r="AZ5" s="77">
        <v>15.56</v>
      </c>
      <c r="BA5" s="77">
        <v>0</v>
      </c>
      <c r="BB5" s="77">
        <v>16.82</v>
      </c>
      <c r="BC5" s="77">
        <v>9.1</v>
      </c>
      <c r="BD5" s="77">
        <v>13.8</v>
      </c>
      <c r="BE5" s="77">
        <v>15.535</v>
      </c>
      <c r="BF5" s="77"/>
      <c r="BG5" s="83"/>
      <c r="BH5" s="15">
        <f t="shared" si="24"/>
        <v>13</v>
      </c>
      <c r="BI5" s="15">
        <f t="shared" si="25"/>
        <v>48.57</v>
      </c>
      <c r="BJ5" s="15">
        <f t="shared" si="26"/>
        <v>54.160000000000004</v>
      </c>
      <c r="BK5" s="15">
        <f t="shared" si="27"/>
        <v>102.73</v>
      </c>
      <c r="BL5" s="15">
        <f t="shared" si="28"/>
        <v>13.8</v>
      </c>
      <c r="BM5" s="15">
        <f t="shared" si="29"/>
        <v>55.254999999999995</v>
      </c>
      <c r="BN5" s="15">
        <f t="shared" si="30"/>
        <v>157.98500000000001</v>
      </c>
      <c r="BO5" s="26" t="str">
        <f t="shared" si="31"/>
        <v/>
      </c>
      <c r="BP5" s="26">
        <f t="shared" si="32"/>
        <v>0.7149999999999892</v>
      </c>
      <c r="BQ5" s="26" t="str">
        <f t="shared" si="33"/>
        <v/>
      </c>
      <c r="BR5" s="26" t="str">
        <f t="shared" si="34"/>
        <v/>
      </c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12" t="str">
        <f t="shared" si="35"/>
        <v/>
      </c>
      <c r="CI5" s="12" t="str">
        <f t="shared" si="36"/>
        <v/>
      </c>
      <c r="CJ5" s="12" t="str">
        <f t="shared" si="37"/>
        <v/>
      </c>
      <c r="CK5" s="12" t="str">
        <f t="shared" si="38"/>
        <v/>
      </c>
      <c r="CL5" s="12" t="str">
        <f t="shared" si="39"/>
        <v/>
      </c>
      <c r="CM5" s="12" t="str">
        <f t="shared" si="40"/>
        <v/>
      </c>
      <c r="CN5" s="12" t="str">
        <f t="shared" si="41"/>
        <v/>
      </c>
      <c r="CO5" s="40"/>
      <c r="CP5" s="40"/>
      <c r="CQ5" s="40"/>
      <c r="CR5" s="40"/>
      <c r="CS5" s="40"/>
      <c r="CT5" s="40"/>
      <c r="CU5" s="40"/>
      <c r="CV5" s="40"/>
      <c r="CW5" s="40"/>
      <c r="CX5" s="40"/>
      <c r="CY5" s="40"/>
      <c r="CZ5" s="40"/>
      <c r="DA5" s="40"/>
      <c r="DB5" s="40"/>
      <c r="DC5" s="40"/>
      <c r="DD5" s="15" t="str">
        <f t="shared" si="42"/>
        <v/>
      </c>
      <c r="DE5" s="15" t="str">
        <f t="shared" si="43"/>
        <v/>
      </c>
      <c r="DF5" s="15" t="str">
        <f t="shared" si="44"/>
        <v/>
      </c>
      <c r="DG5" s="15" t="str">
        <f t="shared" si="45"/>
        <v/>
      </c>
      <c r="DH5" s="15" t="str">
        <f t="shared" si="46"/>
        <v/>
      </c>
      <c r="DI5" s="15" t="str">
        <f t="shared" si="47"/>
        <v/>
      </c>
      <c r="DJ5" s="15" t="str">
        <f t="shared" si="48"/>
        <v/>
      </c>
      <c r="DK5" s="39">
        <v>16</v>
      </c>
      <c r="DL5" s="39">
        <v>8.6</v>
      </c>
      <c r="DM5" s="39">
        <v>3.2</v>
      </c>
      <c r="DN5" s="39">
        <v>14.865</v>
      </c>
      <c r="DO5" s="39">
        <v>0</v>
      </c>
      <c r="DP5" s="39">
        <v>3</v>
      </c>
      <c r="DQ5" s="39">
        <v>1.9</v>
      </c>
      <c r="DR5" s="39">
        <v>3.2</v>
      </c>
      <c r="DS5" s="39">
        <v>3.37</v>
      </c>
      <c r="DT5" s="39">
        <v>0</v>
      </c>
      <c r="DU5" s="39"/>
      <c r="DV5" s="39"/>
      <c r="DW5" s="39"/>
      <c r="DX5" s="39"/>
      <c r="DY5" s="39"/>
      <c r="DZ5" s="12">
        <f t="shared" si="49"/>
        <v>3.2</v>
      </c>
      <c r="EA5" s="12">
        <f t="shared" si="50"/>
        <v>42.664999999999999</v>
      </c>
      <c r="EB5" s="12">
        <f t="shared" si="51"/>
        <v>11.470000000000002</v>
      </c>
      <c r="EC5" s="12">
        <f t="shared" si="52"/>
        <v>54.135000000000005</v>
      </c>
      <c r="ED5" s="12" t="str">
        <f t="shared" si="53"/>
        <v/>
      </c>
      <c r="EE5" s="12" t="str">
        <f t="shared" si="54"/>
        <v/>
      </c>
      <c r="EF5" s="12">
        <f t="shared" si="55"/>
        <v>54.135000000000005</v>
      </c>
      <c r="EG5" s="40"/>
      <c r="EH5" s="40"/>
      <c r="EI5" s="40"/>
      <c r="EJ5" s="40"/>
      <c r="EK5" s="40"/>
      <c r="EL5" s="40"/>
      <c r="EM5" s="40"/>
      <c r="EN5" s="40"/>
      <c r="EO5" s="40"/>
      <c r="EP5" s="40"/>
      <c r="EQ5" s="40"/>
      <c r="ER5" s="40"/>
      <c r="ES5" s="40"/>
      <c r="ET5" s="40"/>
      <c r="EU5" s="40"/>
      <c r="EV5" s="15" t="str">
        <f t="shared" si="56"/>
        <v/>
      </c>
      <c r="EW5" s="15" t="str">
        <f t="shared" si="57"/>
        <v/>
      </c>
      <c r="EX5" s="15" t="str">
        <f t="shared" si="58"/>
        <v/>
      </c>
      <c r="EY5" s="15" t="str">
        <f t="shared" si="59"/>
        <v/>
      </c>
      <c r="EZ5" s="15" t="str">
        <f t="shared" si="60"/>
        <v/>
      </c>
      <c r="FA5" s="15" t="str">
        <f t="shared" si="61"/>
        <v/>
      </c>
      <c r="FB5" s="15" t="str">
        <f t="shared" si="62"/>
        <v/>
      </c>
      <c r="FC5" s="39">
        <v>15.4</v>
      </c>
      <c r="FD5" s="39">
        <v>9.3000000000000007</v>
      </c>
      <c r="FE5" s="39">
        <v>4.8</v>
      </c>
      <c r="FF5" s="39">
        <v>15.994999999999999</v>
      </c>
      <c r="FG5" s="39">
        <v>2</v>
      </c>
      <c r="FH5" s="39">
        <v>16.3</v>
      </c>
      <c r="FI5" s="39">
        <v>9.4</v>
      </c>
      <c r="FJ5" s="39">
        <v>13</v>
      </c>
      <c r="FK5" s="39">
        <v>15.335000000000001</v>
      </c>
      <c r="FL5" s="39">
        <v>0</v>
      </c>
      <c r="FM5" s="39"/>
      <c r="FN5" s="39"/>
      <c r="FO5" s="39"/>
      <c r="FP5" s="39"/>
      <c r="FQ5" s="39"/>
      <c r="FR5" s="12">
        <f t="shared" si="63"/>
        <v>13</v>
      </c>
      <c r="FS5" s="12">
        <f t="shared" si="64"/>
        <v>43.495000000000005</v>
      </c>
      <c r="FT5" s="12">
        <f t="shared" si="65"/>
        <v>54.035000000000004</v>
      </c>
      <c r="FU5" s="12">
        <f t="shared" si="66"/>
        <v>97.53</v>
      </c>
      <c r="FV5" s="12" t="str">
        <f t="shared" si="67"/>
        <v/>
      </c>
      <c r="FW5" s="12" t="str">
        <f t="shared" si="68"/>
        <v/>
      </c>
      <c r="FX5" s="12">
        <f t="shared" si="69"/>
        <v>97.53</v>
      </c>
      <c r="FY5" s="40">
        <v>17.3</v>
      </c>
      <c r="FZ5" s="40">
        <v>9.5</v>
      </c>
      <c r="GA5" s="40">
        <v>4.8</v>
      </c>
      <c r="GB5" s="40">
        <v>16.18</v>
      </c>
      <c r="GC5" s="40">
        <v>0</v>
      </c>
      <c r="GD5" s="40">
        <v>14</v>
      </c>
      <c r="GE5" s="40">
        <v>9.6999999999999993</v>
      </c>
      <c r="GF5" s="40">
        <v>13.6</v>
      </c>
      <c r="GG5" s="40">
        <v>15.28</v>
      </c>
      <c r="GH5" s="40">
        <v>0</v>
      </c>
      <c r="GI5" s="40"/>
      <c r="GJ5" s="40"/>
      <c r="GK5" s="40"/>
      <c r="GL5" s="40"/>
      <c r="GM5" s="40"/>
      <c r="GN5" s="15">
        <f t="shared" si="70"/>
        <v>13.6</v>
      </c>
      <c r="GO5" s="15">
        <f t="shared" si="71"/>
        <v>47.78</v>
      </c>
      <c r="GP5" s="15">
        <f t="shared" si="72"/>
        <v>52.58</v>
      </c>
      <c r="GQ5" s="15">
        <f t="shared" si="73"/>
        <v>100.36</v>
      </c>
      <c r="GR5" s="15" t="str">
        <f t="shared" si="74"/>
        <v/>
      </c>
      <c r="GS5" s="15" t="str">
        <f t="shared" si="75"/>
        <v/>
      </c>
      <c r="GT5" s="15">
        <f t="shared" si="76"/>
        <v>100.36</v>
      </c>
      <c r="GU5" s="39"/>
      <c r="GV5" s="39"/>
      <c r="GW5" s="39"/>
      <c r="GX5" s="39"/>
      <c r="GY5" s="39"/>
      <c r="GZ5" s="39"/>
      <c r="HA5" s="39"/>
      <c r="HB5" s="39"/>
      <c r="HC5" s="39"/>
      <c r="HD5" s="39"/>
      <c r="HE5" s="39"/>
      <c r="HF5" s="39"/>
      <c r="HG5" s="39"/>
      <c r="HH5" s="39"/>
      <c r="HI5" s="39"/>
      <c r="HJ5" s="12" t="str">
        <f t="shared" si="77"/>
        <v/>
      </c>
      <c r="HK5" s="12" t="str">
        <f t="shared" si="78"/>
        <v/>
      </c>
      <c r="HL5" s="12" t="str">
        <f t="shared" si="79"/>
        <v/>
      </c>
      <c r="HM5" s="12" t="str">
        <f t="shared" si="80"/>
        <v/>
      </c>
      <c r="HN5" s="12" t="str">
        <f t="shared" si="81"/>
        <v/>
      </c>
      <c r="HO5" s="12" t="str">
        <f t="shared" si="82"/>
        <v/>
      </c>
      <c r="HP5" s="12" t="str">
        <f t="shared" si="83"/>
        <v/>
      </c>
      <c r="HQ5" s="40">
        <v>17.7</v>
      </c>
      <c r="HR5" s="40">
        <v>9.6</v>
      </c>
      <c r="HS5" s="40">
        <v>4.8</v>
      </c>
      <c r="HT5" s="40">
        <v>15.765000000000001</v>
      </c>
      <c r="HU5" s="40">
        <v>0</v>
      </c>
      <c r="HV5" s="40">
        <v>16.7</v>
      </c>
      <c r="HW5" s="40">
        <v>9.3000000000000007</v>
      </c>
      <c r="HX5" s="40">
        <v>10.9</v>
      </c>
      <c r="HY5" s="40">
        <v>15.244999999999999</v>
      </c>
      <c r="HZ5" s="40">
        <v>0</v>
      </c>
      <c r="IA5" s="40">
        <v>14.7</v>
      </c>
      <c r="IB5" s="40">
        <v>8.6999999999999993</v>
      </c>
      <c r="IC5" s="40">
        <v>13.2</v>
      </c>
      <c r="ID5" s="40">
        <v>14.914999999999999</v>
      </c>
      <c r="IE5" s="40">
        <v>0</v>
      </c>
      <c r="IF5" s="15">
        <f t="shared" si="84"/>
        <v>10.9</v>
      </c>
      <c r="IG5" s="15">
        <f t="shared" si="85"/>
        <v>47.864999999999995</v>
      </c>
      <c r="IH5" s="15">
        <f t="shared" si="86"/>
        <v>52.144999999999996</v>
      </c>
      <c r="II5" s="15">
        <f t="shared" si="87"/>
        <v>100.00999999999999</v>
      </c>
      <c r="IJ5" s="15">
        <f t="shared" si="88"/>
        <v>13.2</v>
      </c>
      <c r="IK5" s="15">
        <f t="shared" si="89"/>
        <v>51.514999999999993</v>
      </c>
      <c r="IL5" s="15">
        <f t="shared" si="90"/>
        <v>151.52499999999998</v>
      </c>
      <c r="IM5" s="39">
        <v>17.2</v>
      </c>
      <c r="IN5" s="39">
        <v>9.1</v>
      </c>
      <c r="IO5" s="39">
        <v>4.8</v>
      </c>
      <c r="IP5" s="39">
        <v>16.260000000000002</v>
      </c>
      <c r="IQ5" s="39">
        <v>0</v>
      </c>
      <c r="IR5" s="39">
        <v>1.4</v>
      </c>
      <c r="IS5" s="39">
        <v>0.8</v>
      </c>
      <c r="IT5" s="39">
        <v>2</v>
      </c>
      <c r="IU5" s="39">
        <v>1.7250000000000001</v>
      </c>
      <c r="IV5" s="39">
        <v>0</v>
      </c>
      <c r="IW5" s="39"/>
      <c r="IX5" s="39"/>
      <c r="IY5" s="39"/>
      <c r="IZ5" s="39"/>
      <c r="JA5" s="39"/>
      <c r="JB5" s="12">
        <f t="shared" si="91"/>
        <v>2</v>
      </c>
      <c r="JC5" s="12">
        <f t="shared" si="92"/>
        <v>47.36</v>
      </c>
      <c r="JD5" s="12">
        <f t="shared" si="93"/>
        <v>5.9250000000000007</v>
      </c>
      <c r="JE5" s="12">
        <f t="shared" si="94"/>
        <v>53.284999999999997</v>
      </c>
      <c r="JF5" s="12" t="str">
        <f t="shared" si="95"/>
        <v/>
      </c>
      <c r="JG5" s="12" t="str">
        <f t="shared" si="96"/>
        <v/>
      </c>
      <c r="JH5" s="12">
        <f t="shared" si="97"/>
        <v>53.284999999999997</v>
      </c>
      <c r="JI5" s="40">
        <v>17.5</v>
      </c>
      <c r="JJ5" s="40">
        <v>9.5</v>
      </c>
      <c r="JK5" s="40">
        <v>4.8</v>
      </c>
      <c r="JL5" s="40">
        <v>16.149999999999999</v>
      </c>
      <c r="JM5" s="40">
        <v>0</v>
      </c>
      <c r="JN5" s="40">
        <v>16.399999999999999</v>
      </c>
      <c r="JO5" s="40">
        <v>9.4</v>
      </c>
      <c r="JP5" s="40">
        <v>13.8</v>
      </c>
      <c r="JQ5" s="40">
        <v>15.275</v>
      </c>
      <c r="JR5" s="40">
        <v>0</v>
      </c>
      <c r="JS5" s="40">
        <v>4.4000000000000004</v>
      </c>
      <c r="JT5" s="40">
        <v>2.5</v>
      </c>
      <c r="JU5" s="40">
        <v>4.7</v>
      </c>
      <c r="JV5" s="40">
        <v>4.83</v>
      </c>
      <c r="JW5" s="40">
        <v>0</v>
      </c>
      <c r="JX5" s="15">
        <f t="shared" si="98"/>
        <v>13.8</v>
      </c>
      <c r="JY5" s="15">
        <f t="shared" si="99"/>
        <v>47.95</v>
      </c>
      <c r="JZ5" s="15">
        <f t="shared" si="100"/>
        <v>54.874999999999993</v>
      </c>
      <c r="KA5" s="15">
        <f t="shared" si="101"/>
        <v>102.82499999999999</v>
      </c>
      <c r="KB5" s="15">
        <f t="shared" si="102"/>
        <v>4.7</v>
      </c>
      <c r="KC5" s="15">
        <f t="shared" si="103"/>
        <v>16.43</v>
      </c>
      <c r="KD5" s="15">
        <f t="shared" si="104"/>
        <v>119.255</v>
      </c>
      <c r="KE5" s="39"/>
      <c r="KF5" s="39"/>
      <c r="KG5" s="39"/>
      <c r="KH5" s="39"/>
      <c r="KI5" s="39"/>
      <c r="KJ5" s="39"/>
      <c r="KK5" s="39"/>
      <c r="KL5" s="39"/>
      <c r="KM5" s="39"/>
      <c r="KN5" s="39"/>
      <c r="KO5" s="39"/>
      <c r="KP5" s="39"/>
      <c r="KQ5" s="39"/>
      <c r="KR5" s="39"/>
      <c r="KS5" s="39"/>
      <c r="KT5" s="12" t="str">
        <f t="shared" si="105"/>
        <v/>
      </c>
      <c r="KU5" s="12" t="str">
        <f t="shared" si="106"/>
        <v/>
      </c>
      <c r="KV5" s="12" t="str">
        <f t="shared" si="107"/>
        <v/>
      </c>
      <c r="KW5" s="12" t="str">
        <f t="shared" si="108"/>
        <v/>
      </c>
      <c r="KX5" s="12" t="str">
        <f t="shared" si="109"/>
        <v/>
      </c>
      <c r="KY5" s="12" t="str">
        <f t="shared" si="110"/>
        <v/>
      </c>
      <c r="KZ5" s="12" t="str">
        <f t="shared" si="111"/>
        <v/>
      </c>
      <c r="LA5" s="40"/>
      <c r="LB5" s="40"/>
      <c r="LC5" s="40"/>
      <c r="LD5" s="40"/>
      <c r="LE5" s="40"/>
      <c r="LF5" s="40"/>
      <c r="LG5" s="40"/>
      <c r="LH5" s="40"/>
      <c r="LI5" s="40"/>
      <c r="LJ5" s="40"/>
      <c r="LK5" s="40"/>
      <c r="LL5" s="40"/>
      <c r="LM5" s="40"/>
      <c r="LN5" s="40"/>
      <c r="LO5" s="40"/>
      <c r="LP5" s="15" t="str">
        <f t="shared" si="112"/>
        <v/>
      </c>
      <c r="LQ5" s="15" t="str">
        <f t="shared" si="113"/>
        <v/>
      </c>
      <c r="LR5" s="15" t="str">
        <f t="shared" si="114"/>
        <v/>
      </c>
      <c r="LS5" s="15" t="str">
        <f t="shared" si="115"/>
        <v/>
      </c>
      <c r="LT5" s="15" t="str">
        <f t="shared" si="116"/>
        <v/>
      </c>
      <c r="LU5" s="15" t="str">
        <f t="shared" si="117"/>
        <v/>
      </c>
      <c r="LV5" s="15" t="str">
        <f t="shared" si="118"/>
        <v/>
      </c>
      <c r="LW5" s="71">
        <f t="shared" si="119"/>
        <v>18.100000000000001</v>
      </c>
      <c r="LX5" s="71">
        <f t="shared" si="120"/>
        <v>9.3000000000000007</v>
      </c>
      <c r="LY5" s="71">
        <f t="shared" si="121"/>
        <v>4.6500000000000004</v>
      </c>
      <c r="LZ5" s="71">
        <f t="shared" si="122"/>
        <v>16.5625</v>
      </c>
      <c r="MA5" s="71">
        <f t="shared" si="123"/>
        <v>0</v>
      </c>
      <c r="MB5" s="71">
        <f t="shared" si="124"/>
        <v>16.45</v>
      </c>
      <c r="MC5" s="71">
        <f t="shared" si="125"/>
        <v>9.1750000000000007</v>
      </c>
      <c r="MD5" s="71">
        <f t="shared" si="126"/>
        <v>13.4</v>
      </c>
      <c r="ME5" s="71">
        <f t="shared" si="127"/>
        <v>15.657500000000001</v>
      </c>
      <c r="MF5" s="71">
        <f t="shared" si="128"/>
        <v>0</v>
      </c>
      <c r="MG5" s="71">
        <f t="shared" si="129"/>
        <v>16.86</v>
      </c>
      <c r="MH5" s="71">
        <f t="shared" si="130"/>
        <v>9.2749999999999986</v>
      </c>
      <c r="MI5" s="71">
        <f t="shared" si="131"/>
        <v>13.8</v>
      </c>
      <c r="MJ5" s="71">
        <f t="shared" si="132"/>
        <v>15.75</v>
      </c>
      <c r="MK5" s="71">
        <f t="shared" si="133"/>
        <v>0</v>
      </c>
      <c r="ML5" s="82" t="s">
        <v>100</v>
      </c>
      <c r="MM5" s="12">
        <f t="shared" ref="MM5:MM13" si="140">IF(MD5&gt;0,MD5,"")</f>
        <v>13.4</v>
      </c>
      <c r="MN5" s="12">
        <f t="shared" ref="MN5:MN13" si="141">IF(SUM(LW5:LZ5)-MA5&gt;0,SUM(LW5:LZ5)-MA5,"")</f>
        <v>48.612500000000004</v>
      </c>
      <c r="MO5" s="12">
        <f t="shared" ref="MO5:MO13" si="142">IF(SUM(MB5:ME5)-MF5&gt;0,SUM(MB5:ME5)-MF5,"")</f>
        <v>54.682499999999997</v>
      </c>
      <c r="MP5" s="12">
        <f t="shared" ref="MP5:MP13" si="143">IF(SUM(MN5:MO5)&gt;0,SUM(MN5:MO5),"")</f>
        <v>103.295</v>
      </c>
      <c r="MQ5" s="12">
        <f t="shared" ref="MQ5:MQ15" si="144">IF(MI5&gt;0,MI5,"")</f>
        <v>13.8</v>
      </c>
      <c r="MR5" s="12">
        <f t="shared" ref="MR5:MR13" si="145">IF(SUM(MG5:MJ5)-MK5&gt;0,SUM(MG5:MJ5)-MK5,"")</f>
        <v>55.685000000000002</v>
      </c>
      <c r="MS5" s="12">
        <f t="shared" ref="MS5:MS13" si="146">IF(SUM(MP5,MR5)&gt;0,SUM(MP5,MR5),"")</f>
        <v>158.98000000000002</v>
      </c>
    </row>
    <row r="6" spans="1:357" x14ac:dyDescent="0.2">
      <c r="A6" s="6">
        <f t="shared" si="0"/>
        <v>3</v>
      </c>
      <c r="B6" s="9" t="s">
        <v>33</v>
      </c>
      <c r="C6" s="5" t="s">
        <v>10</v>
      </c>
      <c r="D6" s="29">
        <v>1998</v>
      </c>
      <c r="E6" s="16">
        <f t="shared" si="1"/>
        <v>260.60500000000002</v>
      </c>
      <c r="F6" s="4" t="str">
        <f t="shared" si="2"/>
        <v>P</v>
      </c>
      <c r="G6" s="4" t="str">
        <f t="shared" si="3"/>
        <v>P</v>
      </c>
      <c r="H6" s="4" t="str">
        <f t="shared" si="4"/>
        <v>P</v>
      </c>
      <c r="I6" t="str">
        <f t="shared" si="5"/>
        <v>Worlds Team</v>
      </c>
      <c r="J6" s="15">
        <f t="shared" si="6"/>
        <v>102.77500000000001</v>
      </c>
      <c r="K6" s="15" t="str">
        <f t="shared" si="7"/>
        <v>2019 Nationals</v>
      </c>
      <c r="L6" s="15">
        <f t="shared" si="8"/>
        <v>47.472499999999997</v>
      </c>
      <c r="M6" s="15" t="str">
        <f t="shared" si="9"/>
        <v>2019 Nationals</v>
      </c>
      <c r="N6" s="15">
        <f t="shared" si="10"/>
        <v>55.302500000000002</v>
      </c>
      <c r="O6" s="15" t="str">
        <f t="shared" si="11"/>
        <v>2019 Elite Canada</v>
      </c>
      <c r="P6" s="15">
        <f t="shared" si="12"/>
        <v>54.117499999999993</v>
      </c>
      <c r="Q6" s="15" t="str">
        <f t="shared" si="13"/>
        <v>2019 Nationals</v>
      </c>
      <c r="R6" s="15">
        <f t="shared" si="14"/>
        <v>0.93750000000000711</v>
      </c>
      <c r="S6" s="27" t="str">
        <f t="shared" si="15"/>
        <v>(Vol 1)</v>
      </c>
      <c r="T6" s="15" t="str">
        <f t="shared" si="16"/>
        <v>2018 World Championships (Nov 10)</v>
      </c>
      <c r="U6" s="39">
        <v>18</v>
      </c>
      <c r="V6" s="39">
        <v>9.0749999999999993</v>
      </c>
      <c r="W6" s="39">
        <v>4.75</v>
      </c>
      <c r="X6" s="39">
        <v>15.7475</v>
      </c>
      <c r="Y6" s="39">
        <v>0.1</v>
      </c>
      <c r="Z6" s="39">
        <v>17.100000000000001</v>
      </c>
      <c r="AA6" s="39">
        <v>9.65</v>
      </c>
      <c r="AB6" s="39">
        <v>13.45</v>
      </c>
      <c r="AC6" s="39">
        <v>15.102499999999999</v>
      </c>
      <c r="AD6" s="39">
        <v>0</v>
      </c>
      <c r="AE6" s="39">
        <v>16.799999999999997</v>
      </c>
      <c r="AF6" s="39">
        <v>8.8000000000000007</v>
      </c>
      <c r="AG6" s="39">
        <v>13.45</v>
      </c>
      <c r="AH6" s="39">
        <v>15.067499999999999</v>
      </c>
      <c r="AI6" s="39">
        <v>0</v>
      </c>
      <c r="AJ6" s="82" t="s">
        <v>100</v>
      </c>
      <c r="AK6" s="12">
        <f t="shared" si="17"/>
        <v>13.45</v>
      </c>
      <c r="AL6" s="12">
        <f t="shared" si="18"/>
        <v>47.472499999999997</v>
      </c>
      <c r="AM6" s="12">
        <f t="shared" si="19"/>
        <v>55.302500000000002</v>
      </c>
      <c r="AN6" s="12">
        <f t="shared" si="20"/>
        <v>102.77500000000001</v>
      </c>
      <c r="AO6" s="12">
        <f t="shared" si="21"/>
        <v>13.45</v>
      </c>
      <c r="AP6" s="12">
        <f t="shared" si="22"/>
        <v>54.117499999999993</v>
      </c>
      <c r="AQ6" s="12">
        <f t="shared" si="23"/>
        <v>156.89249999999998</v>
      </c>
      <c r="AR6" s="77">
        <v>18</v>
      </c>
      <c r="AS6" s="77">
        <v>9.0749999999999993</v>
      </c>
      <c r="AT6" s="77">
        <v>4.75</v>
      </c>
      <c r="AU6" s="77">
        <v>15.7475</v>
      </c>
      <c r="AV6" s="77">
        <v>0.1</v>
      </c>
      <c r="AW6" s="77">
        <v>17.100000000000001</v>
      </c>
      <c r="AX6" s="77">
        <v>9.65</v>
      </c>
      <c r="AY6" s="77">
        <v>13.45</v>
      </c>
      <c r="AZ6" s="77">
        <v>15.102499999999999</v>
      </c>
      <c r="BA6" s="77">
        <v>0</v>
      </c>
      <c r="BB6" s="77">
        <v>16.799999999999997</v>
      </c>
      <c r="BC6" s="77">
        <v>8.8000000000000007</v>
      </c>
      <c r="BD6" s="77">
        <v>13.45</v>
      </c>
      <c r="BE6" s="77">
        <v>15.067499999999999</v>
      </c>
      <c r="BF6" s="77">
        <v>0</v>
      </c>
      <c r="BG6" s="83" t="s">
        <v>100</v>
      </c>
      <c r="BH6" s="15">
        <f t="shared" si="24"/>
        <v>13.45</v>
      </c>
      <c r="BI6" s="15">
        <f t="shared" si="25"/>
        <v>47.472499999999997</v>
      </c>
      <c r="BJ6" s="15">
        <f t="shared" si="26"/>
        <v>55.302500000000002</v>
      </c>
      <c r="BK6" s="15">
        <f t="shared" si="27"/>
        <v>102.77500000000001</v>
      </c>
      <c r="BL6" s="15">
        <f t="shared" si="28"/>
        <v>13.45</v>
      </c>
      <c r="BM6" s="15">
        <f t="shared" si="29"/>
        <v>54.117499999999993</v>
      </c>
      <c r="BN6" s="15">
        <f t="shared" si="30"/>
        <v>156.89249999999998</v>
      </c>
      <c r="BO6" s="26">
        <f t="shared" si="31"/>
        <v>0.93750000000000711</v>
      </c>
      <c r="BP6" s="26" t="str">
        <f t="shared" si="32"/>
        <v/>
      </c>
      <c r="BQ6" s="26" t="str">
        <f t="shared" si="33"/>
        <v/>
      </c>
      <c r="BR6" s="26" t="str">
        <f t="shared" si="34"/>
        <v/>
      </c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G6" s="39"/>
      <c r="CH6" s="12" t="str">
        <f t="shared" si="35"/>
        <v/>
      </c>
      <c r="CI6" s="12" t="str">
        <f t="shared" si="36"/>
        <v/>
      </c>
      <c r="CJ6" s="12" t="str">
        <f t="shared" si="37"/>
        <v/>
      </c>
      <c r="CK6" s="12" t="str">
        <f t="shared" si="38"/>
        <v/>
      </c>
      <c r="CL6" s="12" t="str">
        <f t="shared" si="39"/>
        <v/>
      </c>
      <c r="CM6" s="12" t="str">
        <f t="shared" si="40"/>
        <v/>
      </c>
      <c r="CN6" s="12" t="str">
        <f t="shared" si="41"/>
        <v/>
      </c>
      <c r="CO6" s="40"/>
      <c r="CP6" s="40"/>
      <c r="CQ6" s="40"/>
      <c r="CR6" s="40"/>
      <c r="CS6" s="40"/>
      <c r="CT6" s="40"/>
      <c r="CU6" s="40"/>
      <c r="CV6" s="40"/>
      <c r="CW6" s="40"/>
      <c r="CX6" s="40"/>
      <c r="CY6" s="40"/>
      <c r="CZ6" s="40"/>
      <c r="DA6" s="40"/>
      <c r="DB6" s="40"/>
      <c r="DC6" s="40"/>
      <c r="DD6" s="15" t="str">
        <f t="shared" si="42"/>
        <v/>
      </c>
      <c r="DE6" s="15" t="str">
        <f t="shared" si="43"/>
        <v/>
      </c>
      <c r="DF6" s="15" t="str">
        <f t="shared" si="44"/>
        <v/>
      </c>
      <c r="DG6" s="15" t="str">
        <f t="shared" si="45"/>
        <v/>
      </c>
      <c r="DH6" s="15" t="str">
        <f t="shared" si="46"/>
        <v/>
      </c>
      <c r="DI6" s="15" t="str">
        <f t="shared" si="47"/>
        <v/>
      </c>
      <c r="DJ6" s="15" t="str">
        <f t="shared" si="48"/>
        <v/>
      </c>
      <c r="DK6" s="39">
        <v>17.600000000000001</v>
      </c>
      <c r="DL6" s="39">
        <v>9.6</v>
      </c>
      <c r="DM6" s="39">
        <v>5.5</v>
      </c>
      <c r="DN6" s="39">
        <v>15.71</v>
      </c>
      <c r="DO6" s="39">
        <v>0</v>
      </c>
      <c r="DP6" s="39">
        <v>1.2</v>
      </c>
      <c r="DQ6" s="39">
        <v>0.8</v>
      </c>
      <c r="DR6" s="39">
        <v>2</v>
      </c>
      <c r="DS6" s="39">
        <v>1.595</v>
      </c>
      <c r="DT6" s="39">
        <v>0</v>
      </c>
      <c r="DU6" s="39"/>
      <c r="DV6" s="39"/>
      <c r="DW6" s="39"/>
      <c r="DX6" s="39"/>
      <c r="DY6" s="39"/>
      <c r="DZ6" s="12">
        <f t="shared" si="49"/>
        <v>2</v>
      </c>
      <c r="EA6" s="12">
        <f t="shared" si="50"/>
        <v>48.410000000000004</v>
      </c>
      <c r="EB6" s="12">
        <f t="shared" si="51"/>
        <v>5.5949999999999998</v>
      </c>
      <c r="EC6" s="12">
        <f t="shared" si="52"/>
        <v>54.005000000000003</v>
      </c>
      <c r="ED6" s="12" t="str">
        <f t="shared" si="53"/>
        <v/>
      </c>
      <c r="EE6" s="12" t="str">
        <f t="shared" si="54"/>
        <v/>
      </c>
      <c r="EF6" s="12">
        <f t="shared" si="55"/>
        <v>54.005000000000003</v>
      </c>
      <c r="EG6" s="40"/>
      <c r="EH6" s="40"/>
      <c r="EI6" s="40"/>
      <c r="EJ6" s="40"/>
      <c r="EK6" s="40"/>
      <c r="EL6" s="40"/>
      <c r="EM6" s="40"/>
      <c r="EN6" s="40"/>
      <c r="EO6" s="40"/>
      <c r="EP6" s="40"/>
      <c r="EQ6" s="40"/>
      <c r="ER6" s="40"/>
      <c r="ES6" s="40"/>
      <c r="ET6" s="40"/>
      <c r="EU6" s="40"/>
      <c r="EV6" s="15" t="str">
        <f t="shared" si="56"/>
        <v/>
      </c>
      <c r="EW6" s="15" t="str">
        <f t="shared" si="57"/>
        <v/>
      </c>
      <c r="EX6" s="15" t="str">
        <f t="shared" si="58"/>
        <v/>
      </c>
      <c r="EY6" s="15" t="str">
        <f t="shared" si="59"/>
        <v/>
      </c>
      <c r="EZ6" s="15" t="str">
        <f t="shared" si="60"/>
        <v/>
      </c>
      <c r="FA6" s="15" t="str">
        <f t="shared" si="61"/>
        <v/>
      </c>
      <c r="FB6" s="15" t="str">
        <f t="shared" si="62"/>
        <v/>
      </c>
      <c r="FC6" s="39">
        <v>16.5</v>
      </c>
      <c r="FD6" s="39">
        <v>9.5</v>
      </c>
      <c r="FE6" s="39">
        <v>5.7</v>
      </c>
      <c r="FF6" s="39">
        <v>15.3</v>
      </c>
      <c r="FG6" s="39">
        <v>0</v>
      </c>
      <c r="FH6" s="39">
        <v>15.2</v>
      </c>
      <c r="FI6" s="39">
        <v>9</v>
      </c>
      <c r="FJ6" s="39">
        <v>13.3</v>
      </c>
      <c r="FK6" s="39">
        <v>14.585000000000001</v>
      </c>
      <c r="FL6" s="39">
        <v>0.2</v>
      </c>
      <c r="FM6" s="39"/>
      <c r="FN6" s="39"/>
      <c r="FO6" s="39"/>
      <c r="FP6" s="39"/>
      <c r="FQ6" s="39"/>
      <c r="FR6" s="12">
        <f t="shared" si="63"/>
        <v>13.3</v>
      </c>
      <c r="FS6" s="12">
        <f t="shared" si="64"/>
        <v>47</v>
      </c>
      <c r="FT6" s="12">
        <f t="shared" si="65"/>
        <v>51.884999999999998</v>
      </c>
      <c r="FU6" s="12">
        <f t="shared" si="66"/>
        <v>98.884999999999991</v>
      </c>
      <c r="FV6" s="12" t="str">
        <f t="shared" si="67"/>
        <v/>
      </c>
      <c r="FW6" s="12" t="str">
        <f t="shared" si="68"/>
        <v/>
      </c>
      <c r="FX6" s="12">
        <f t="shared" si="69"/>
        <v>98.884999999999991</v>
      </c>
      <c r="FY6" s="40"/>
      <c r="FZ6" s="40"/>
      <c r="GA6" s="40"/>
      <c r="GB6" s="40"/>
      <c r="GC6" s="40"/>
      <c r="GD6" s="40"/>
      <c r="GE6" s="40"/>
      <c r="GF6" s="40"/>
      <c r="GG6" s="40"/>
      <c r="GH6" s="40"/>
      <c r="GI6" s="40"/>
      <c r="GJ6" s="40"/>
      <c r="GK6" s="40"/>
      <c r="GL6" s="40"/>
      <c r="GM6" s="40"/>
      <c r="GN6" s="15" t="str">
        <f t="shared" si="70"/>
        <v/>
      </c>
      <c r="GO6" s="15" t="str">
        <f t="shared" si="71"/>
        <v/>
      </c>
      <c r="GP6" s="15" t="str">
        <f t="shared" si="72"/>
        <v/>
      </c>
      <c r="GQ6" s="15" t="str">
        <f t="shared" si="73"/>
        <v/>
      </c>
      <c r="GR6" s="15" t="str">
        <f t="shared" si="74"/>
        <v/>
      </c>
      <c r="GS6" s="15" t="str">
        <f t="shared" si="75"/>
        <v/>
      </c>
      <c r="GT6" s="15" t="str">
        <f t="shared" si="76"/>
        <v/>
      </c>
      <c r="GU6" s="39"/>
      <c r="GV6" s="39"/>
      <c r="GW6" s="39"/>
      <c r="GX6" s="39"/>
      <c r="GY6" s="39"/>
      <c r="GZ6" s="39"/>
      <c r="HA6" s="39"/>
      <c r="HB6" s="39"/>
      <c r="HC6" s="39"/>
      <c r="HD6" s="39"/>
      <c r="HE6" s="39"/>
      <c r="HF6" s="39"/>
      <c r="HG6" s="39"/>
      <c r="HH6" s="39"/>
      <c r="HI6" s="39"/>
      <c r="HJ6" s="12" t="str">
        <f t="shared" si="77"/>
        <v/>
      </c>
      <c r="HK6" s="12" t="str">
        <f t="shared" si="78"/>
        <v/>
      </c>
      <c r="HL6" s="12" t="str">
        <f t="shared" si="79"/>
        <v/>
      </c>
      <c r="HM6" s="12" t="str">
        <f t="shared" si="80"/>
        <v/>
      </c>
      <c r="HN6" s="12" t="str">
        <f t="shared" si="81"/>
        <v/>
      </c>
      <c r="HO6" s="12" t="str">
        <f t="shared" si="82"/>
        <v/>
      </c>
      <c r="HP6" s="12" t="str">
        <f t="shared" si="83"/>
        <v/>
      </c>
      <c r="HQ6" s="40"/>
      <c r="HR6" s="40"/>
      <c r="HS6" s="40"/>
      <c r="HT6" s="40"/>
      <c r="HU6" s="40"/>
      <c r="HV6" s="40"/>
      <c r="HW6" s="40"/>
      <c r="HX6" s="40"/>
      <c r="HY6" s="40"/>
      <c r="HZ6" s="40"/>
      <c r="IA6" s="40"/>
      <c r="IB6" s="40"/>
      <c r="IC6" s="40"/>
      <c r="ID6" s="40"/>
      <c r="IE6" s="40"/>
      <c r="IF6" s="15" t="str">
        <f t="shared" si="84"/>
        <v/>
      </c>
      <c r="IG6" s="15" t="str">
        <f t="shared" si="85"/>
        <v/>
      </c>
      <c r="IH6" s="15" t="str">
        <f t="shared" si="86"/>
        <v/>
      </c>
      <c r="II6" s="15" t="str">
        <f t="shared" si="87"/>
        <v/>
      </c>
      <c r="IJ6" s="15" t="str">
        <f t="shared" si="88"/>
        <v/>
      </c>
      <c r="IK6" s="15" t="str">
        <f t="shared" si="89"/>
        <v/>
      </c>
      <c r="IL6" s="15" t="str">
        <f t="shared" si="90"/>
        <v/>
      </c>
      <c r="IM6" s="39"/>
      <c r="IN6" s="39"/>
      <c r="IO6" s="39"/>
      <c r="IP6" s="39"/>
      <c r="IQ6" s="39"/>
      <c r="IR6" s="39"/>
      <c r="IS6" s="39"/>
      <c r="IT6" s="39"/>
      <c r="IU6" s="39"/>
      <c r="IV6" s="39"/>
      <c r="IW6" s="39"/>
      <c r="IX6" s="39"/>
      <c r="IY6" s="39"/>
      <c r="IZ6" s="39"/>
      <c r="JA6" s="39"/>
      <c r="JB6" s="12" t="str">
        <f t="shared" si="91"/>
        <v/>
      </c>
      <c r="JC6" s="12" t="str">
        <f t="shared" si="92"/>
        <v/>
      </c>
      <c r="JD6" s="12" t="str">
        <f t="shared" si="93"/>
        <v/>
      </c>
      <c r="JE6" s="12" t="str">
        <f t="shared" si="94"/>
        <v/>
      </c>
      <c r="JF6" s="12" t="str">
        <f t="shared" si="95"/>
        <v/>
      </c>
      <c r="JG6" s="12" t="str">
        <f t="shared" si="96"/>
        <v/>
      </c>
      <c r="JH6" s="12" t="str">
        <f t="shared" si="97"/>
        <v/>
      </c>
      <c r="JI6" s="40"/>
      <c r="JJ6" s="40"/>
      <c r="JK6" s="40"/>
      <c r="JL6" s="40"/>
      <c r="JM6" s="40"/>
      <c r="JN6" s="40"/>
      <c r="JO6" s="40"/>
      <c r="JP6" s="40"/>
      <c r="JQ6" s="40"/>
      <c r="JR6" s="40"/>
      <c r="JS6" s="40"/>
      <c r="JT6" s="40"/>
      <c r="JU6" s="40"/>
      <c r="JV6" s="40"/>
      <c r="JW6" s="40"/>
      <c r="JX6" s="15" t="str">
        <f t="shared" si="98"/>
        <v/>
      </c>
      <c r="JY6" s="15" t="str">
        <f t="shared" si="99"/>
        <v/>
      </c>
      <c r="JZ6" s="15" t="str">
        <f t="shared" si="100"/>
        <v/>
      </c>
      <c r="KA6" s="15" t="str">
        <f t="shared" si="101"/>
        <v/>
      </c>
      <c r="KB6" s="15" t="str">
        <f t="shared" si="102"/>
        <v/>
      </c>
      <c r="KC6" s="15" t="str">
        <f t="shared" si="103"/>
        <v/>
      </c>
      <c r="KD6" s="15" t="str">
        <f t="shared" si="104"/>
        <v/>
      </c>
      <c r="KE6" s="39"/>
      <c r="KF6" s="39"/>
      <c r="KG6" s="39"/>
      <c r="KH6" s="39"/>
      <c r="KI6" s="39"/>
      <c r="KJ6" s="39"/>
      <c r="KK6" s="39"/>
      <c r="KL6" s="39"/>
      <c r="KM6" s="39"/>
      <c r="KN6" s="39"/>
      <c r="KO6" s="39"/>
      <c r="KP6" s="39"/>
      <c r="KQ6" s="39"/>
      <c r="KR6" s="39"/>
      <c r="KS6" s="39"/>
      <c r="KT6" s="12" t="str">
        <f t="shared" si="105"/>
        <v/>
      </c>
      <c r="KU6" s="12" t="str">
        <f t="shared" si="106"/>
        <v/>
      </c>
      <c r="KV6" s="12" t="str">
        <f t="shared" si="107"/>
        <v/>
      </c>
      <c r="KW6" s="12" t="str">
        <f t="shared" si="108"/>
        <v/>
      </c>
      <c r="KX6" s="12" t="str">
        <f t="shared" si="109"/>
        <v/>
      </c>
      <c r="KY6" s="12" t="str">
        <f t="shared" si="110"/>
        <v/>
      </c>
      <c r="KZ6" s="12" t="str">
        <f t="shared" si="111"/>
        <v/>
      </c>
      <c r="LA6" s="40"/>
      <c r="LB6" s="40"/>
      <c r="LC6" s="40"/>
      <c r="LD6" s="40"/>
      <c r="LE6" s="40"/>
      <c r="LF6" s="40"/>
      <c r="LG6" s="40"/>
      <c r="LH6" s="40"/>
      <c r="LI6" s="40"/>
      <c r="LJ6" s="40"/>
      <c r="LK6" s="40"/>
      <c r="LL6" s="40"/>
      <c r="LM6" s="40"/>
      <c r="LN6" s="40"/>
      <c r="LO6" s="40"/>
      <c r="LP6" s="15" t="str">
        <f t="shared" si="112"/>
        <v/>
      </c>
      <c r="LQ6" s="15" t="str">
        <f t="shared" si="113"/>
        <v/>
      </c>
      <c r="LR6" s="15" t="str">
        <f t="shared" si="114"/>
        <v/>
      </c>
      <c r="LS6" s="15" t="str">
        <f t="shared" si="115"/>
        <v/>
      </c>
      <c r="LT6" s="15" t="str">
        <f t="shared" si="116"/>
        <v/>
      </c>
      <c r="LU6" s="15" t="str">
        <f t="shared" si="117"/>
        <v/>
      </c>
      <c r="LV6" s="15" t="str">
        <f t="shared" si="118"/>
        <v/>
      </c>
      <c r="LW6" s="71">
        <f t="shared" si="119"/>
        <v>18</v>
      </c>
      <c r="LX6" s="71">
        <f t="shared" si="120"/>
        <v>9.0749999999999993</v>
      </c>
      <c r="LY6" s="71">
        <f t="shared" si="121"/>
        <v>4.75</v>
      </c>
      <c r="LZ6" s="71">
        <f t="shared" si="122"/>
        <v>15.7475</v>
      </c>
      <c r="MA6" s="71">
        <f t="shared" si="123"/>
        <v>0.1</v>
      </c>
      <c r="MB6" s="71">
        <f t="shared" si="124"/>
        <v>17.100000000000001</v>
      </c>
      <c r="MC6" s="71">
        <f t="shared" si="125"/>
        <v>9.65</v>
      </c>
      <c r="MD6" s="71">
        <f t="shared" si="126"/>
        <v>13.45</v>
      </c>
      <c r="ME6" s="71">
        <f t="shared" si="127"/>
        <v>15.102499999999999</v>
      </c>
      <c r="MF6" s="71">
        <f t="shared" si="128"/>
        <v>0</v>
      </c>
      <c r="MG6" s="71">
        <f t="shared" si="129"/>
        <v>16.799999999999997</v>
      </c>
      <c r="MH6" s="71">
        <f t="shared" si="130"/>
        <v>8.8000000000000007</v>
      </c>
      <c r="MI6" s="71">
        <f t="shared" si="131"/>
        <v>13.45</v>
      </c>
      <c r="MJ6" s="71">
        <f t="shared" si="132"/>
        <v>15.067499999999999</v>
      </c>
      <c r="MK6" s="71">
        <f t="shared" si="133"/>
        <v>0</v>
      </c>
      <c r="ML6" s="82" t="s">
        <v>100</v>
      </c>
      <c r="MM6" s="12">
        <f t="shared" si="140"/>
        <v>13.45</v>
      </c>
      <c r="MN6" s="12">
        <f t="shared" si="141"/>
        <v>47.472499999999997</v>
      </c>
      <c r="MO6" s="12">
        <f t="shared" si="142"/>
        <v>55.302500000000002</v>
      </c>
      <c r="MP6" s="12">
        <f t="shared" si="143"/>
        <v>102.77500000000001</v>
      </c>
      <c r="MQ6" s="12">
        <f t="shared" si="144"/>
        <v>13.45</v>
      </c>
      <c r="MR6" s="12">
        <f t="shared" si="145"/>
        <v>54.117499999999993</v>
      </c>
      <c r="MS6" s="12">
        <f t="shared" si="146"/>
        <v>156.89249999999998</v>
      </c>
    </row>
    <row r="7" spans="1:357" x14ac:dyDescent="0.2">
      <c r="A7" s="6">
        <f t="shared" si="0"/>
        <v>4</v>
      </c>
      <c r="B7" s="9" t="s">
        <v>35</v>
      </c>
      <c r="C7" s="5" t="s">
        <v>6</v>
      </c>
      <c r="D7" s="29">
        <v>1992</v>
      </c>
      <c r="E7" s="16">
        <f t="shared" si="1"/>
        <v>260.13499999999993</v>
      </c>
      <c r="F7" s="4" t="str">
        <f t="shared" si="2"/>
        <v>P</v>
      </c>
      <c r="G7" s="4" t="str">
        <f t="shared" si="3"/>
        <v>P</v>
      </c>
      <c r="H7" s="4" t="str">
        <f t="shared" si="4"/>
        <v>P</v>
      </c>
      <c r="I7" t="str">
        <f t="shared" si="5"/>
        <v>Merit</v>
      </c>
      <c r="J7" s="15">
        <f t="shared" si="6"/>
        <v>103.6</v>
      </c>
      <c r="K7" s="15" t="str">
        <f t="shared" si="7"/>
        <v>2019 Nationals</v>
      </c>
      <c r="L7" s="15">
        <f t="shared" si="8"/>
        <v>47.185000000000002</v>
      </c>
      <c r="M7" s="15" t="str">
        <f t="shared" si="9"/>
        <v>2019 Elite Canada</v>
      </c>
      <c r="N7" s="15">
        <f t="shared" si="10"/>
        <v>53.665000000000006</v>
      </c>
      <c r="O7" s="15" t="str">
        <f t="shared" si="11"/>
        <v>2019 Elite Canada</v>
      </c>
      <c r="P7" s="15">
        <f t="shared" si="12"/>
        <v>54.594999999999999</v>
      </c>
      <c r="Q7" s="15" t="str">
        <f t="shared" si="13"/>
        <v>2019 Nationals</v>
      </c>
      <c r="R7" s="15">
        <f t="shared" si="14"/>
        <v>1.0899999999999963</v>
      </c>
      <c r="S7" s="27" t="str">
        <f t="shared" si="15"/>
        <v>(Vol 2)</v>
      </c>
      <c r="T7" s="15" t="str">
        <f t="shared" si="16"/>
        <v>2019 World Cup ESP (Oct 6)</v>
      </c>
      <c r="U7" s="39">
        <v>16.600000000000001</v>
      </c>
      <c r="V7" s="39">
        <v>9.1999999999999993</v>
      </c>
      <c r="W7" s="39">
        <v>5.4</v>
      </c>
      <c r="X7" s="39">
        <v>15.984999999999999</v>
      </c>
      <c r="Y7" s="39">
        <v>0</v>
      </c>
      <c r="Z7" s="39">
        <v>15</v>
      </c>
      <c r="AA7" s="39">
        <v>9.0500000000000007</v>
      </c>
      <c r="AB7" s="39">
        <v>14.4</v>
      </c>
      <c r="AC7" s="39">
        <v>15.215</v>
      </c>
      <c r="AD7" s="39">
        <v>0</v>
      </c>
      <c r="AE7" s="39">
        <v>14.6</v>
      </c>
      <c r="AF7" s="39">
        <v>8.9499999999999993</v>
      </c>
      <c r="AG7" s="39">
        <v>15.4</v>
      </c>
      <c r="AH7" s="39">
        <v>14.98</v>
      </c>
      <c r="AI7" s="39">
        <v>0</v>
      </c>
      <c r="AJ7" s="82"/>
      <c r="AK7" s="12">
        <f t="shared" si="17"/>
        <v>14.4</v>
      </c>
      <c r="AL7" s="12">
        <f t="shared" si="18"/>
        <v>47.185000000000002</v>
      </c>
      <c r="AM7" s="12">
        <f t="shared" si="19"/>
        <v>53.665000000000006</v>
      </c>
      <c r="AN7" s="12">
        <f t="shared" si="20"/>
        <v>100.85000000000001</v>
      </c>
      <c r="AO7" s="12">
        <f t="shared" si="21"/>
        <v>15.4</v>
      </c>
      <c r="AP7" s="12">
        <f t="shared" si="22"/>
        <v>53.929999999999993</v>
      </c>
      <c r="AQ7" s="12">
        <f t="shared" si="23"/>
        <v>154.78</v>
      </c>
      <c r="AR7" s="77">
        <v>17.600000000000001</v>
      </c>
      <c r="AS7" s="77">
        <v>9.4</v>
      </c>
      <c r="AT7" s="77">
        <v>5.6</v>
      </c>
      <c r="AU7" s="77">
        <v>15.815</v>
      </c>
      <c r="AV7" s="77">
        <v>0</v>
      </c>
      <c r="AW7" s="77">
        <v>16.5</v>
      </c>
      <c r="AX7" s="77">
        <v>9.1</v>
      </c>
      <c r="AY7" s="77">
        <v>14.4</v>
      </c>
      <c r="AZ7" s="77">
        <v>15.185</v>
      </c>
      <c r="BA7" s="77">
        <v>0</v>
      </c>
      <c r="BB7" s="77">
        <v>16.16</v>
      </c>
      <c r="BC7" s="77">
        <v>8.9</v>
      </c>
      <c r="BD7" s="77">
        <v>14.4</v>
      </c>
      <c r="BE7" s="77">
        <v>15.135</v>
      </c>
      <c r="BF7" s="77"/>
      <c r="BG7" s="83"/>
      <c r="BH7" s="15">
        <f t="shared" si="24"/>
        <v>14.4</v>
      </c>
      <c r="BI7" s="15">
        <f t="shared" si="25"/>
        <v>48.414999999999999</v>
      </c>
      <c r="BJ7" s="15">
        <f t="shared" si="26"/>
        <v>55.185000000000002</v>
      </c>
      <c r="BK7" s="15">
        <f t="shared" si="27"/>
        <v>103.6</v>
      </c>
      <c r="BL7" s="15">
        <f t="shared" si="28"/>
        <v>14.4</v>
      </c>
      <c r="BM7" s="15">
        <f t="shared" si="29"/>
        <v>54.594999999999999</v>
      </c>
      <c r="BN7" s="15">
        <f t="shared" si="30"/>
        <v>158.19499999999999</v>
      </c>
      <c r="BO7" s="26">
        <f t="shared" si="31"/>
        <v>1.0400000000000063</v>
      </c>
      <c r="BP7" s="26">
        <f t="shared" si="32"/>
        <v>1.0899999999999963</v>
      </c>
      <c r="BQ7" s="26" t="str">
        <f t="shared" si="33"/>
        <v/>
      </c>
      <c r="BR7" s="26" t="str">
        <f t="shared" si="34"/>
        <v/>
      </c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12" t="str">
        <f t="shared" si="35"/>
        <v/>
      </c>
      <c r="CI7" s="12" t="str">
        <f t="shared" si="36"/>
        <v/>
      </c>
      <c r="CJ7" s="12" t="str">
        <f t="shared" si="37"/>
        <v/>
      </c>
      <c r="CK7" s="12" t="str">
        <f t="shared" si="38"/>
        <v/>
      </c>
      <c r="CL7" s="12" t="str">
        <f t="shared" si="39"/>
        <v/>
      </c>
      <c r="CM7" s="12" t="str">
        <f t="shared" si="40"/>
        <v/>
      </c>
      <c r="CN7" s="12" t="str">
        <f t="shared" si="41"/>
        <v/>
      </c>
      <c r="CO7" s="40"/>
      <c r="CP7" s="40"/>
      <c r="CQ7" s="40"/>
      <c r="CR7" s="40"/>
      <c r="CS7" s="40"/>
      <c r="CT7" s="40"/>
      <c r="CU7" s="40"/>
      <c r="CV7" s="40"/>
      <c r="CW7" s="40"/>
      <c r="CX7" s="40"/>
      <c r="CY7" s="40">
        <v>15.1</v>
      </c>
      <c r="CZ7" s="40">
        <v>9.5</v>
      </c>
      <c r="DA7" s="40">
        <v>14.2</v>
      </c>
      <c r="DB7" s="40">
        <v>15.315</v>
      </c>
      <c r="DC7" s="40">
        <v>0</v>
      </c>
      <c r="DD7" s="15" t="str">
        <f t="shared" si="42"/>
        <v/>
      </c>
      <c r="DE7" s="15" t="str">
        <f t="shared" si="43"/>
        <v/>
      </c>
      <c r="DF7" s="15" t="str">
        <f t="shared" si="44"/>
        <v/>
      </c>
      <c r="DG7" s="15" t="str">
        <f t="shared" si="45"/>
        <v/>
      </c>
      <c r="DH7" s="15">
        <f t="shared" si="46"/>
        <v>14.2</v>
      </c>
      <c r="DI7" s="15">
        <f t="shared" si="47"/>
        <v>54.114999999999995</v>
      </c>
      <c r="DJ7" s="15">
        <f t="shared" si="48"/>
        <v>54.114999999999995</v>
      </c>
      <c r="DK7" s="39">
        <v>17.600000000000001</v>
      </c>
      <c r="DL7" s="39">
        <v>9.5</v>
      </c>
      <c r="DM7" s="39">
        <v>5.2</v>
      </c>
      <c r="DN7" s="39">
        <v>15.925000000000001</v>
      </c>
      <c r="DO7" s="39">
        <v>0</v>
      </c>
      <c r="DP7" s="39">
        <v>14.8</v>
      </c>
      <c r="DQ7" s="39">
        <v>9.1</v>
      </c>
      <c r="DR7" s="39">
        <v>14.6</v>
      </c>
      <c r="DS7" s="39">
        <v>15.36</v>
      </c>
      <c r="DT7" s="39">
        <v>0.4</v>
      </c>
      <c r="DU7" s="39"/>
      <c r="DV7" s="39"/>
      <c r="DW7" s="39"/>
      <c r="DX7" s="39"/>
      <c r="DY7" s="39"/>
      <c r="DZ7" s="12">
        <f t="shared" si="49"/>
        <v>14.6</v>
      </c>
      <c r="EA7" s="12">
        <f t="shared" si="50"/>
        <v>48.225000000000009</v>
      </c>
      <c r="EB7" s="12">
        <f t="shared" si="51"/>
        <v>53.46</v>
      </c>
      <c r="EC7" s="12">
        <f t="shared" si="52"/>
        <v>101.685</v>
      </c>
      <c r="ED7" s="12" t="str">
        <f t="shared" si="53"/>
        <v/>
      </c>
      <c r="EE7" s="12" t="str">
        <f t="shared" si="54"/>
        <v/>
      </c>
      <c r="EF7" s="12">
        <f t="shared" si="55"/>
        <v>101.685</v>
      </c>
      <c r="EG7" s="40"/>
      <c r="EH7" s="40"/>
      <c r="EI7" s="40"/>
      <c r="EJ7" s="40"/>
      <c r="EK7" s="40"/>
      <c r="EL7" s="40"/>
      <c r="EM7" s="40"/>
      <c r="EN7" s="40"/>
      <c r="EO7" s="40"/>
      <c r="EP7" s="40"/>
      <c r="EQ7" s="40"/>
      <c r="ER7" s="40"/>
      <c r="ES7" s="40"/>
      <c r="ET7" s="40"/>
      <c r="EU7" s="40"/>
      <c r="EV7" s="15" t="str">
        <f t="shared" si="56"/>
        <v/>
      </c>
      <c r="EW7" s="15" t="str">
        <f t="shared" si="57"/>
        <v/>
      </c>
      <c r="EX7" s="15" t="str">
        <f t="shared" si="58"/>
        <v/>
      </c>
      <c r="EY7" s="15" t="str">
        <f t="shared" si="59"/>
        <v/>
      </c>
      <c r="EZ7" s="15" t="str">
        <f t="shared" si="60"/>
        <v/>
      </c>
      <c r="FA7" s="15" t="str">
        <f t="shared" si="61"/>
        <v/>
      </c>
      <c r="FB7" s="15" t="str">
        <f t="shared" si="62"/>
        <v/>
      </c>
      <c r="FC7" s="39">
        <v>17.2</v>
      </c>
      <c r="FD7" s="39">
        <v>9.4</v>
      </c>
      <c r="FE7" s="39">
        <v>5.6</v>
      </c>
      <c r="FF7" s="39">
        <v>15.664999999999999</v>
      </c>
      <c r="FG7" s="39">
        <v>0</v>
      </c>
      <c r="FH7" s="39">
        <v>14.7</v>
      </c>
      <c r="FI7" s="39">
        <v>9.1999999999999993</v>
      </c>
      <c r="FJ7" s="39">
        <v>14.4</v>
      </c>
      <c r="FK7" s="39">
        <v>14.59</v>
      </c>
      <c r="FL7" s="39">
        <v>0</v>
      </c>
      <c r="FM7" s="39"/>
      <c r="FN7" s="39"/>
      <c r="FO7" s="39"/>
      <c r="FP7" s="39"/>
      <c r="FQ7" s="39"/>
      <c r="FR7" s="12">
        <f t="shared" si="63"/>
        <v>14.4</v>
      </c>
      <c r="FS7" s="12">
        <f t="shared" si="64"/>
        <v>47.865000000000002</v>
      </c>
      <c r="FT7" s="12">
        <f t="shared" si="65"/>
        <v>52.89</v>
      </c>
      <c r="FU7" s="12">
        <f t="shared" si="66"/>
        <v>100.755</v>
      </c>
      <c r="FV7" s="12" t="str">
        <f t="shared" si="67"/>
        <v/>
      </c>
      <c r="FW7" s="12" t="str">
        <f t="shared" si="68"/>
        <v/>
      </c>
      <c r="FX7" s="12">
        <f t="shared" si="69"/>
        <v>100.755</v>
      </c>
      <c r="FY7" s="40">
        <v>15.2</v>
      </c>
      <c r="FZ7" s="40">
        <v>9.4</v>
      </c>
      <c r="GA7" s="40">
        <v>5.8</v>
      </c>
      <c r="GB7" s="40">
        <v>15.535</v>
      </c>
      <c r="GC7" s="40">
        <v>0</v>
      </c>
      <c r="GD7" s="40">
        <v>15</v>
      </c>
      <c r="GE7" s="40">
        <v>9.5</v>
      </c>
      <c r="GF7" s="40">
        <v>14.4</v>
      </c>
      <c r="GG7" s="40">
        <v>14.824999999999999</v>
      </c>
      <c r="GH7" s="40">
        <v>0</v>
      </c>
      <c r="GI7" s="40"/>
      <c r="GJ7" s="40"/>
      <c r="GK7" s="40"/>
      <c r="GL7" s="40"/>
      <c r="GM7" s="40"/>
      <c r="GN7" s="15">
        <f t="shared" si="70"/>
        <v>14.4</v>
      </c>
      <c r="GO7" s="15">
        <f t="shared" si="71"/>
        <v>45.935000000000002</v>
      </c>
      <c r="GP7" s="15">
        <f t="shared" si="72"/>
        <v>53.724999999999994</v>
      </c>
      <c r="GQ7" s="15">
        <f t="shared" si="73"/>
        <v>99.66</v>
      </c>
      <c r="GR7" s="15" t="str">
        <f t="shared" si="74"/>
        <v/>
      </c>
      <c r="GS7" s="15" t="str">
        <f t="shared" si="75"/>
        <v/>
      </c>
      <c r="GT7" s="15">
        <f t="shared" si="76"/>
        <v>99.66</v>
      </c>
      <c r="GU7" s="39"/>
      <c r="GV7" s="39"/>
      <c r="GW7" s="39"/>
      <c r="GX7" s="39"/>
      <c r="GY7" s="39"/>
      <c r="GZ7" s="39"/>
      <c r="HA7" s="39"/>
      <c r="HB7" s="39"/>
      <c r="HC7" s="39"/>
      <c r="HD7" s="39"/>
      <c r="HE7" s="39"/>
      <c r="HF7" s="39"/>
      <c r="HG7" s="39"/>
      <c r="HH7" s="39"/>
      <c r="HI7" s="39"/>
      <c r="HJ7" s="12" t="str">
        <f t="shared" si="77"/>
        <v/>
      </c>
      <c r="HK7" s="12" t="str">
        <f t="shared" si="78"/>
        <v/>
      </c>
      <c r="HL7" s="12" t="str">
        <f t="shared" si="79"/>
        <v/>
      </c>
      <c r="HM7" s="12" t="str">
        <f t="shared" si="80"/>
        <v/>
      </c>
      <c r="HN7" s="12" t="str">
        <f t="shared" si="81"/>
        <v/>
      </c>
      <c r="HO7" s="12" t="str">
        <f t="shared" si="82"/>
        <v/>
      </c>
      <c r="HP7" s="12" t="str">
        <f t="shared" si="83"/>
        <v/>
      </c>
      <c r="HQ7" s="40">
        <v>17.3</v>
      </c>
      <c r="HR7" s="40">
        <v>8.4</v>
      </c>
      <c r="HS7" s="40">
        <v>5.6</v>
      </c>
      <c r="HT7" s="40">
        <v>15.81</v>
      </c>
      <c r="HU7" s="40">
        <v>0</v>
      </c>
      <c r="HV7" s="40">
        <v>14.8</v>
      </c>
      <c r="HW7" s="40">
        <v>8.3000000000000007</v>
      </c>
      <c r="HX7" s="40">
        <v>14</v>
      </c>
      <c r="HY7" s="40">
        <v>14.695</v>
      </c>
      <c r="HZ7" s="40">
        <v>0</v>
      </c>
      <c r="IA7" s="40">
        <v>15</v>
      </c>
      <c r="IB7" s="40">
        <v>9.6</v>
      </c>
      <c r="IC7" s="40">
        <v>14</v>
      </c>
      <c r="ID7" s="40">
        <v>15.135</v>
      </c>
      <c r="IE7" s="40">
        <v>0</v>
      </c>
      <c r="IF7" s="15">
        <f t="shared" si="84"/>
        <v>14</v>
      </c>
      <c r="IG7" s="15">
        <f t="shared" si="85"/>
        <v>47.110000000000007</v>
      </c>
      <c r="IH7" s="15">
        <f t="shared" si="86"/>
        <v>51.795000000000002</v>
      </c>
      <c r="II7" s="15">
        <f t="shared" si="87"/>
        <v>98.905000000000001</v>
      </c>
      <c r="IJ7" s="15">
        <f t="shared" si="88"/>
        <v>14</v>
      </c>
      <c r="IK7" s="15">
        <f t="shared" si="89"/>
        <v>53.734999999999999</v>
      </c>
      <c r="IL7" s="15">
        <f t="shared" si="90"/>
        <v>152.63999999999999</v>
      </c>
      <c r="IM7" s="39">
        <v>17.100000000000001</v>
      </c>
      <c r="IN7" s="39">
        <v>8.8000000000000007</v>
      </c>
      <c r="IO7" s="39">
        <v>5.4</v>
      </c>
      <c r="IP7" s="39">
        <v>15.68</v>
      </c>
      <c r="IQ7" s="39">
        <v>0</v>
      </c>
      <c r="IR7" s="39">
        <v>15</v>
      </c>
      <c r="IS7" s="39">
        <v>8.9</v>
      </c>
      <c r="IT7" s="39">
        <v>14.4</v>
      </c>
      <c r="IU7" s="39">
        <v>15.355</v>
      </c>
      <c r="IV7" s="39">
        <v>0</v>
      </c>
      <c r="IW7" s="39"/>
      <c r="IX7" s="39"/>
      <c r="IY7" s="39"/>
      <c r="IZ7" s="39"/>
      <c r="JA7" s="39"/>
      <c r="JB7" s="12">
        <f t="shared" si="91"/>
        <v>14.4</v>
      </c>
      <c r="JC7" s="12">
        <f t="shared" si="92"/>
        <v>46.980000000000004</v>
      </c>
      <c r="JD7" s="12">
        <f t="shared" si="93"/>
        <v>53.655000000000001</v>
      </c>
      <c r="JE7" s="12">
        <f t="shared" si="94"/>
        <v>100.63500000000001</v>
      </c>
      <c r="JF7" s="12" t="str">
        <f t="shared" si="95"/>
        <v/>
      </c>
      <c r="JG7" s="12" t="str">
        <f t="shared" si="96"/>
        <v/>
      </c>
      <c r="JH7" s="12">
        <f t="shared" si="97"/>
        <v>100.63500000000001</v>
      </c>
      <c r="JI7" s="40">
        <v>14.1</v>
      </c>
      <c r="JJ7" s="40">
        <v>7.2</v>
      </c>
      <c r="JK7" s="40">
        <v>2.7</v>
      </c>
      <c r="JL7" s="40">
        <v>12.74</v>
      </c>
      <c r="JM7" s="40">
        <v>0</v>
      </c>
      <c r="JN7" s="40">
        <v>15.5</v>
      </c>
      <c r="JO7" s="40">
        <v>9.6999999999999993</v>
      </c>
      <c r="JP7" s="40">
        <v>14.4</v>
      </c>
      <c r="JQ7" s="40">
        <v>15.154999999999999</v>
      </c>
      <c r="JR7" s="40">
        <v>0</v>
      </c>
      <c r="JS7" s="40"/>
      <c r="JT7" s="40"/>
      <c r="JU7" s="40"/>
      <c r="JV7" s="40"/>
      <c r="JW7" s="40"/>
      <c r="JX7" s="15">
        <f t="shared" si="98"/>
        <v>14.4</v>
      </c>
      <c r="JY7" s="15">
        <f t="shared" si="99"/>
        <v>36.74</v>
      </c>
      <c r="JZ7" s="15">
        <f t="shared" si="100"/>
        <v>54.755000000000003</v>
      </c>
      <c r="KA7" s="15">
        <f t="shared" si="101"/>
        <v>91.495000000000005</v>
      </c>
      <c r="KB7" s="15" t="str">
        <f t="shared" si="102"/>
        <v/>
      </c>
      <c r="KC7" s="15" t="str">
        <f t="shared" si="103"/>
        <v/>
      </c>
      <c r="KD7" s="15">
        <f t="shared" si="104"/>
        <v>91.495000000000005</v>
      </c>
      <c r="KE7" s="39"/>
      <c r="KF7" s="39"/>
      <c r="KG7" s="39"/>
      <c r="KH7" s="39"/>
      <c r="KI7" s="39"/>
      <c r="KJ7" s="39"/>
      <c r="KK7" s="39"/>
      <c r="KL7" s="39"/>
      <c r="KM7" s="39"/>
      <c r="KN7" s="39"/>
      <c r="KO7" s="39"/>
      <c r="KP7" s="39"/>
      <c r="KQ7" s="39"/>
      <c r="KR7" s="39"/>
      <c r="KS7" s="39"/>
      <c r="KT7" s="12" t="str">
        <f t="shared" si="105"/>
        <v/>
      </c>
      <c r="KU7" s="12" t="str">
        <f t="shared" si="106"/>
        <v/>
      </c>
      <c r="KV7" s="12" t="str">
        <f t="shared" si="107"/>
        <v/>
      </c>
      <c r="KW7" s="12" t="str">
        <f t="shared" si="108"/>
        <v/>
      </c>
      <c r="KX7" s="12" t="str">
        <f t="shared" si="109"/>
        <v/>
      </c>
      <c r="KY7" s="12" t="str">
        <f t="shared" si="110"/>
        <v/>
      </c>
      <c r="KZ7" s="12" t="str">
        <f t="shared" si="111"/>
        <v/>
      </c>
      <c r="LA7" s="40"/>
      <c r="LB7" s="40"/>
      <c r="LC7" s="40"/>
      <c r="LD7" s="40"/>
      <c r="LE7" s="40"/>
      <c r="LF7" s="40"/>
      <c r="LG7" s="40"/>
      <c r="LH7" s="40"/>
      <c r="LI7" s="40"/>
      <c r="LJ7" s="40"/>
      <c r="LK7" s="40"/>
      <c r="LL7" s="40"/>
      <c r="LM7" s="40"/>
      <c r="LN7" s="40"/>
      <c r="LO7" s="40"/>
      <c r="LP7" s="15" t="str">
        <f t="shared" si="112"/>
        <v/>
      </c>
      <c r="LQ7" s="15" t="str">
        <f t="shared" si="113"/>
        <v/>
      </c>
      <c r="LR7" s="15" t="str">
        <f t="shared" si="114"/>
        <v/>
      </c>
      <c r="LS7" s="15" t="str">
        <f t="shared" si="115"/>
        <v/>
      </c>
      <c r="LT7" s="15" t="str">
        <f t="shared" si="116"/>
        <v/>
      </c>
      <c r="LU7" s="15" t="str">
        <f t="shared" si="117"/>
        <v/>
      </c>
      <c r="LV7" s="15" t="str">
        <f t="shared" si="118"/>
        <v/>
      </c>
      <c r="LW7" s="71">
        <f t="shared" si="119"/>
        <v>17.100000000000001</v>
      </c>
      <c r="LX7" s="71">
        <f t="shared" si="120"/>
        <v>9.3000000000000007</v>
      </c>
      <c r="LY7" s="71">
        <f t="shared" si="121"/>
        <v>5.5</v>
      </c>
      <c r="LZ7" s="71">
        <f t="shared" si="122"/>
        <v>15.899999999999999</v>
      </c>
      <c r="MA7" s="71">
        <f t="shared" si="123"/>
        <v>0</v>
      </c>
      <c r="MB7" s="71">
        <f t="shared" si="124"/>
        <v>15.75</v>
      </c>
      <c r="MC7" s="71">
        <f t="shared" si="125"/>
        <v>9.0749999999999993</v>
      </c>
      <c r="MD7" s="71">
        <f t="shared" si="126"/>
        <v>14.4</v>
      </c>
      <c r="ME7" s="71">
        <f t="shared" si="127"/>
        <v>15.2</v>
      </c>
      <c r="MF7" s="71">
        <f t="shared" si="128"/>
        <v>0</v>
      </c>
      <c r="MG7" s="71">
        <f t="shared" si="129"/>
        <v>15.379999999999999</v>
      </c>
      <c r="MH7" s="71">
        <f t="shared" si="130"/>
        <v>8.9250000000000007</v>
      </c>
      <c r="MI7" s="71">
        <f t="shared" si="131"/>
        <v>14.9</v>
      </c>
      <c r="MJ7" s="71">
        <f t="shared" si="132"/>
        <v>15.057500000000001</v>
      </c>
      <c r="MK7" s="71">
        <f t="shared" si="133"/>
        <v>0</v>
      </c>
      <c r="ML7" s="82" t="s">
        <v>100</v>
      </c>
      <c r="MM7" s="12">
        <f t="shared" si="140"/>
        <v>14.4</v>
      </c>
      <c r="MN7" s="12">
        <f t="shared" si="141"/>
        <v>47.8</v>
      </c>
      <c r="MO7" s="12">
        <f t="shared" si="142"/>
        <v>54.424999999999997</v>
      </c>
      <c r="MP7" s="12">
        <f t="shared" si="143"/>
        <v>102.22499999999999</v>
      </c>
      <c r="MQ7" s="12">
        <f t="shared" si="144"/>
        <v>14.9</v>
      </c>
      <c r="MR7" s="12">
        <f t="shared" si="145"/>
        <v>54.262500000000003</v>
      </c>
      <c r="MS7" s="12">
        <f t="shared" si="146"/>
        <v>156.48750000000001</v>
      </c>
    </row>
    <row r="8" spans="1:357" x14ac:dyDescent="0.2">
      <c r="A8" s="6">
        <f t="shared" si="0"/>
        <v>5</v>
      </c>
      <c r="B8" s="9" t="s">
        <v>37</v>
      </c>
      <c r="C8" s="5" t="s">
        <v>3</v>
      </c>
      <c r="D8" s="29">
        <v>1998</v>
      </c>
      <c r="E8" s="16">
        <f t="shared" si="1"/>
        <v>256.88499999999999</v>
      </c>
      <c r="F8" s="4" t="str">
        <f t="shared" si="2"/>
        <v>P</v>
      </c>
      <c r="G8" s="4" t="str">
        <f t="shared" si="3"/>
        <v>P</v>
      </c>
      <c r="H8" s="4" t="str">
        <f t="shared" si="4"/>
        <v>P</v>
      </c>
      <c r="I8" t="str">
        <f t="shared" si="5"/>
        <v>Excellence</v>
      </c>
      <c r="J8" s="15">
        <f t="shared" si="6"/>
        <v>102.06</v>
      </c>
      <c r="K8" s="15" t="str">
        <f t="shared" si="7"/>
        <v>2019 Elite Canada</v>
      </c>
      <c r="L8" s="15">
        <f t="shared" si="8"/>
        <v>47.32</v>
      </c>
      <c r="M8" s="15" t="str">
        <f t="shared" si="9"/>
        <v>2019 Nationals</v>
      </c>
      <c r="N8" s="15">
        <f t="shared" si="10"/>
        <v>52.97</v>
      </c>
      <c r="O8" s="15" t="str">
        <f t="shared" si="11"/>
        <v>2019 Nationals</v>
      </c>
      <c r="P8" s="15">
        <f t="shared" si="12"/>
        <v>53.52</v>
      </c>
      <c r="Q8" s="15" t="str">
        <f t="shared" si="13"/>
        <v>2019 Elite Canada</v>
      </c>
      <c r="R8" s="15">
        <f t="shared" si="14"/>
        <v>1.0150000000000006</v>
      </c>
      <c r="S8" s="27" t="str">
        <f t="shared" si="15"/>
        <v>(Vol 1)</v>
      </c>
      <c r="T8" s="15" t="str">
        <f t="shared" si="16"/>
        <v>2019 World Cup BLR (Apr 20)</v>
      </c>
      <c r="U8" s="39">
        <v>16.8</v>
      </c>
      <c r="V8" s="39">
        <v>9.1</v>
      </c>
      <c r="W8" s="39">
        <v>6.2</v>
      </c>
      <c r="X8" s="39">
        <v>15.445</v>
      </c>
      <c r="Y8" s="39">
        <v>0</v>
      </c>
      <c r="Z8" s="39">
        <v>16.100000000000001</v>
      </c>
      <c r="AA8" s="39">
        <v>9.4499999999999993</v>
      </c>
      <c r="AB8" s="39">
        <v>13.8</v>
      </c>
      <c r="AC8" s="39">
        <v>15.164999999999999</v>
      </c>
      <c r="AD8" s="39">
        <v>0</v>
      </c>
      <c r="AE8" s="39">
        <v>16.100000000000001</v>
      </c>
      <c r="AF8" s="39">
        <v>8.6999999999999993</v>
      </c>
      <c r="AG8" s="39">
        <v>13.8</v>
      </c>
      <c r="AH8" s="39">
        <v>14.92</v>
      </c>
      <c r="AI8" s="39">
        <v>0</v>
      </c>
      <c r="AJ8" s="82"/>
      <c r="AK8" s="12">
        <f t="shared" si="17"/>
        <v>13.8</v>
      </c>
      <c r="AL8" s="12">
        <f t="shared" si="18"/>
        <v>47.545000000000002</v>
      </c>
      <c r="AM8" s="12">
        <f t="shared" si="19"/>
        <v>54.515000000000001</v>
      </c>
      <c r="AN8" s="12">
        <f t="shared" si="20"/>
        <v>102.06</v>
      </c>
      <c r="AO8" s="12">
        <f t="shared" si="21"/>
        <v>13.8</v>
      </c>
      <c r="AP8" s="12">
        <f t="shared" si="22"/>
        <v>53.52</v>
      </c>
      <c r="AQ8" s="12">
        <f t="shared" si="23"/>
        <v>155.58000000000001</v>
      </c>
      <c r="AR8" s="77">
        <v>18.100000000000001</v>
      </c>
      <c r="AS8" s="77">
        <v>9.3000000000000007</v>
      </c>
      <c r="AT8" s="77">
        <v>4.2</v>
      </c>
      <c r="AU8" s="77">
        <v>15.72</v>
      </c>
      <c r="AV8" s="77">
        <v>0</v>
      </c>
      <c r="AW8" s="77">
        <v>16.399999999999999</v>
      </c>
      <c r="AX8" s="77">
        <v>9</v>
      </c>
      <c r="AY8" s="77">
        <v>13.1</v>
      </c>
      <c r="AZ8" s="77">
        <v>14.67</v>
      </c>
      <c r="BA8" s="77">
        <v>0.2</v>
      </c>
      <c r="BB8" s="77">
        <v>15</v>
      </c>
      <c r="BC8" s="77">
        <v>8.9</v>
      </c>
      <c r="BD8" s="77">
        <v>14.805</v>
      </c>
      <c r="BE8" s="77">
        <v>13.8</v>
      </c>
      <c r="BF8" s="77"/>
      <c r="BG8" s="83"/>
      <c r="BH8" s="15">
        <f t="shared" si="24"/>
        <v>13.1</v>
      </c>
      <c r="BI8" s="15">
        <f t="shared" si="25"/>
        <v>47.32</v>
      </c>
      <c r="BJ8" s="15">
        <f t="shared" si="26"/>
        <v>52.97</v>
      </c>
      <c r="BK8" s="15">
        <f t="shared" si="27"/>
        <v>100.28999999999999</v>
      </c>
      <c r="BL8" s="15">
        <f t="shared" si="28"/>
        <v>14.805</v>
      </c>
      <c r="BM8" s="15">
        <f t="shared" si="29"/>
        <v>52.504999999999995</v>
      </c>
      <c r="BN8" s="15">
        <f t="shared" si="30"/>
        <v>152.79499999999999</v>
      </c>
      <c r="BO8" s="26">
        <f t="shared" si="31"/>
        <v>1.0150000000000006</v>
      </c>
      <c r="BP8" s="26" t="str">
        <f t="shared" si="32"/>
        <v/>
      </c>
      <c r="BQ8" s="26" t="str">
        <f t="shared" si="33"/>
        <v/>
      </c>
      <c r="BR8" s="26" t="str">
        <f t="shared" si="34"/>
        <v/>
      </c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12" t="str">
        <f t="shared" si="35"/>
        <v/>
      </c>
      <c r="CI8" s="12" t="str">
        <f t="shared" si="36"/>
        <v/>
      </c>
      <c r="CJ8" s="12" t="str">
        <f t="shared" si="37"/>
        <v/>
      </c>
      <c r="CK8" s="12" t="str">
        <f t="shared" si="38"/>
        <v/>
      </c>
      <c r="CL8" s="12" t="str">
        <f t="shared" si="39"/>
        <v/>
      </c>
      <c r="CM8" s="12" t="str">
        <f t="shared" si="40"/>
        <v/>
      </c>
      <c r="CN8" s="12" t="str">
        <f t="shared" si="41"/>
        <v/>
      </c>
      <c r="CO8" s="40"/>
      <c r="CP8" s="40"/>
      <c r="CQ8" s="40"/>
      <c r="CR8" s="40"/>
      <c r="CS8" s="40"/>
      <c r="CT8" s="40"/>
      <c r="CU8" s="40"/>
      <c r="CV8" s="40"/>
      <c r="CW8" s="40"/>
      <c r="CX8" s="40"/>
      <c r="CY8" s="40"/>
      <c r="CZ8" s="40"/>
      <c r="DA8" s="40"/>
      <c r="DB8" s="40"/>
      <c r="DC8" s="40"/>
      <c r="DD8" s="15" t="str">
        <f t="shared" si="42"/>
        <v/>
      </c>
      <c r="DE8" s="15" t="str">
        <f t="shared" si="43"/>
        <v/>
      </c>
      <c r="DF8" s="15" t="str">
        <f t="shared" si="44"/>
        <v/>
      </c>
      <c r="DG8" s="15" t="str">
        <f t="shared" si="45"/>
        <v/>
      </c>
      <c r="DH8" s="15" t="str">
        <f t="shared" si="46"/>
        <v/>
      </c>
      <c r="DI8" s="15" t="str">
        <f t="shared" si="47"/>
        <v/>
      </c>
      <c r="DJ8" s="15" t="str">
        <f t="shared" si="48"/>
        <v/>
      </c>
      <c r="DK8" s="39"/>
      <c r="DL8" s="39"/>
      <c r="DM8" s="39"/>
      <c r="DN8" s="39"/>
      <c r="DO8" s="39"/>
      <c r="DP8" s="39"/>
      <c r="DQ8" s="39"/>
      <c r="DR8" s="39"/>
      <c r="DS8" s="39"/>
      <c r="DT8" s="39"/>
      <c r="DU8" s="39"/>
      <c r="DV8" s="39"/>
      <c r="DW8" s="39"/>
      <c r="DX8" s="39"/>
      <c r="DY8" s="39"/>
      <c r="DZ8" s="12" t="str">
        <f t="shared" si="49"/>
        <v/>
      </c>
      <c r="EA8" s="12" t="str">
        <f t="shared" si="50"/>
        <v/>
      </c>
      <c r="EB8" s="12" t="str">
        <f t="shared" si="51"/>
        <v/>
      </c>
      <c r="EC8" s="12" t="str">
        <f t="shared" si="52"/>
        <v/>
      </c>
      <c r="ED8" s="12" t="str">
        <f t="shared" si="53"/>
        <v/>
      </c>
      <c r="EE8" s="12" t="str">
        <f t="shared" si="54"/>
        <v/>
      </c>
      <c r="EF8" s="12" t="str">
        <f t="shared" si="55"/>
        <v/>
      </c>
      <c r="EG8" s="40">
        <v>17.899999999999999</v>
      </c>
      <c r="EH8" s="40">
        <v>9.3000000000000007</v>
      </c>
      <c r="EI8" s="40">
        <v>0</v>
      </c>
      <c r="EJ8" s="40">
        <v>16.12</v>
      </c>
      <c r="EK8" s="40">
        <v>0</v>
      </c>
      <c r="EL8" s="40">
        <v>15.3</v>
      </c>
      <c r="EM8" s="40">
        <v>8.9</v>
      </c>
      <c r="EN8" s="40">
        <v>13.6</v>
      </c>
      <c r="EO8" s="40">
        <v>14.744999999999999</v>
      </c>
      <c r="EP8" s="40">
        <v>0</v>
      </c>
      <c r="EQ8" s="40">
        <v>14.6</v>
      </c>
      <c r="ER8" s="40">
        <v>9.1</v>
      </c>
      <c r="ES8" s="40">
        <v>13.6</v>
      </c>
      <c r="ET8" s="40">
        <v>14.97</v>
      </c>
      <c r="EU8" s="40">
        <v>0</v>
      </c>
      <c r="EV8" s="15">
        <f t="shared" si="56"/>
        <v>13.6</v>
      </c>
      <c r="EW8" s="15">
        <f t="shared" si="57"/>
        <v>43.32</v>
      </c>
      <c r="EX8" s="15">
        <f t="shared" si="58"/>
        <v>52.545000000000002</v>
      </c>
      <c r="EY8" s="15">
        <f t="shared" si="59"/>
        <v>95.865000000000009</v>
      </c>
      <c r="EZ8" s="15">
        <f t="shared" si="60"/>
        <v>13.6</v>
      </c>
      <c r="FA8" s="15">
        <f t="shared" si="61"/>
        <v>52.269999999999996</v>
      </c>
      <c r="FB8" s="15">
        <f t="shared" si="62"/>
        <v>148.13499999999999</v>
      </c>
      <c r="FC8" s="39"/>
      <c r="FD8" s="39"/>
      <c r="FE8" s="39"/>
      <c r="FF8" s="39"/>
      <c r="FG8" s="39"/>
      <c r="FH8" s="39"/>
      <c r="FI8" s="39"/>
      <c r="FJ8" s="39"/>
      <c r="FK8" s="39"/>
      <c r="FL8" s="39"/>
      <c r="FM8" s="39"/>
      <c r="FN8" s="39"/>
      <c r="FO8" s="39"/>
      <c r="FP8" s="39"/>
      <c r="FQ8" s="39"/>
      <c r="FR8" s="12" t="str">
        <f t="shared" si="63"/>
        <v/>
      </c>
      <c r="FS8" s="12" t="str">
        <f t="shared" si="64"/>
        <v/>
      </c>
      <c r="FT8" s="12" t="str">
        <f t="shared" si="65"/>
        <v/>
      </c>
      <c r="FU8" s="12" t="str">
        <f t="shared" si="66"/>
        <v/>
      </c>
      <c r="FV8" s="12" t="str">
        <f t="shared" si="67"/>
        <v/>
      </c>
      <c r="FW8" s="12" t="str">
        <f t="shared" si="68"/>
        <v/>
      </c>
      <c r="FX8" s="12" t="str">
        <f t="shared" si="69"/>
        <v/>
      </c>
      <c r="FY8" s="40">
        <v>17.399999999999999</v>
      </c>
      <c r="FZ8" s="40">
        <v>9.3000000000000007</v>
      </c>
      <c r="GA8" s="40">
        <v>6.2</v>
      </c>
      <c r="GB8" s="40">
        <v>15.435</v>
      </c>
      <c r="GC8" s="40">
        <v>0</v>
      </c>
      <c r="GD8" s="40">
        <v>2.8</v>
      </c>
      <c r="GE8" s="40">
        <v>1.8</v>
      </c>
      <c r="GF8" s="40">
        <v>3.4</v>
      </c>
      <c r="GG8" s="40">
        <v>3.13</v>
      </c>
      <c r="GH8" s="40">
        <v>0</v>
      </c>
      <c r="GI8" s="40"/>
      <c r="GJ8" s="40"/>
      <c r="GK8" s="40"/>
      <c r="GL8" s="40"/>
      <c r="GM8" s="40"/>
      <c r="GN8" s="15">
        <f t="shared" si="70"/>
        <v>3.4</v>
      </c>
      <c r="GO8" s="15">
        <f t="shared" si="71"/>
        <v>48.335000000000001</v>
      </c>
      <c r="GP8" s="15">
        <f t="shared" si="72"/>
        <v>11.129999999999999</v>
      </c>
      <c r="GQ8" s="15">
        <f t="shared" si="73"/>
        <v>59.465000000000003</v>
      </c>
      <c r="GR8" s="15" t="str">
        <f t="shared" si="74"/>
        <v/>
      </c>
      <c r="GS8" s="15" t="str">
        <f t="shared" si="75"/>
        <v/>
      </c>
      <c r="GT8" s="15">
        <f t="shared" si="76"/>
        <v>59.465000000000003</v>
      </c>
      <c r="GU8" s="39">
        <v>17.5</v>
      </c>
      <c r="GV8" s="39">
        <v>9.1999999999999993</v>
      </c>
      <c r="GW8" s="39">
        <v>4.7</v>
      </c>
      <c r="GX8" s="39">
        <v>15.38</v>
      </c>
      <c r="GY8" s="39">
        <v>0</v>
      </c>
      <c r="GZ8" s="39">
        <v>1.4</v>
      </c>
      <c r="HA8" s="39">
        <v>0.1</v>
      </c>
      <c r="HB8" s="39">
        <v>2</v>
      </c>
      <c r="HC8" s="39">
        <v>1.64</v>
      </c>
      <c r="HD8" s="39">
        <v>0</v>
      </c>
      <c r="HE8" s="39"/>
      <c r="HF8" s="39"/>
      <c r="HG8" s="39"/>
      <c r="HH8" s="39"/>
      <c r="HI8" s="39"/>
      <c r="HJ8" s="12">
        <f t="shared" si="77"/>
        <v>2</v>
      </c>
      <c r="HK8" s="12">
        <f t="shared" si="78"/>
        <v>46.78</v>
      </c>
      <c r="HL8" s="12">
        <f t="shared" si="79"/>
        <v>5.14</v>
      </c>
      <c r="HM8" s="12">
        <f t="shared" si="80"/>
        <v>51.92</v>
      </c>
      <c r="HN8" s="12" t="str">
        <f t="shared" si="81"/>
        <v/>
      </c>
      <c r="HO8" s="12" t="str">
        <f t="shared" si="82"/>
        <v/>
      </c>
      <c r="HP8" s="12">
        <f t="shared" si="83"/>
        <v>51.92</v>
      </c>
      <c r="HQ8" s="40"/>
      <c r="HR8" s="40"/>
      <c r="HS8" s="40"/>
      <c r="HT8" s="40"/>
      <c r="HU8" s="40"/>
      <c r="HV8" s="40"/>
      <c r="HW8" s="40"/>
      <c r="HX8" s="40"/>
      <c r="HY8" s="40"/>
      <c r="HZ8" s="40"/>
      <c r="IA8" s="40"/>
      <c r="IB8" s="40"/>
      <c r="IC8" s="40"/>
      <c r="ID8" s="40"/>
      <c r="IE8" s="40"/>
      <c r="IF8" s="15" t="str">
        <f t="shared" si="84"/>
        <v/>
      </c>
      <c r="IG8" s="15" t="str">
        <f t="shared" si="85"/>
        <v/>
      </c>
      <c r="IH8" s="15" t="str">
        <f t="shared" si="86"/>
        <v/>
      </c>
      <c r="II8" s="15" t="str">
        <f t="shared" si="87"/>
        <v/>
      </c>
      <c r="IJ8" s="15" t="str">
        <f t="shared" si="88"/>
        <v/>
      </c>
      <c r="IK8" s="15" t="str">
        <f t="shared" si="89"/>
        <v/>
      </c>
      <c r="IL8" s="15" t="str">
        <f t="shared" si="90"/>
        <v/>
      </c>
      <c r="IM8" s="39"/>
      <c r="IN8" s="39"/>
      <c r="IO8" s="39"/>
      <c r="IP8" s="39"/>
      <c r="IQ8" s="39"/>
      <c r="IR8" s="39"/>
      <c r="IS8" s="39"/>
      <c r="IT8" s="39"/>
      <c r="IU8" s="39"/>
      <c r="IV8" s="39"/>
      <c r="IW8" s="39"/>
      <c r="IX8" s="39"/>
      <c r="IY8" s="39"/>
      <c r="IZ8" s="39"/>
      <c r="JA8" s="39"/>
      <c r="JB8" s="12" t="str">
        <f t="shared" si="91"/>
        <v/>
      </c>
      <c r="JC8" s="12" t="str">
        <f t="shared" si="92"/>
        <v/>
      </c>
      <c r="JD8" s="12" t="str">
        <f t="shared" si="93"/>
        <v/>
      </c>
      <c r="JE8" s="12" t="str">
        <f t="shared" si="94"/>
        <v/>
      </c>
      <c r="JF8" s="12" t="str">
        <f t="shared" si="95"/>
        <v/>
      </c>
      <c r="JG8" s="12" t="str">
        <f t="shared" si="96"/>
        <v/>
      </c>
      <c r="JH8" s="12" t="str">
        <f t="shared" si="97"/>
        <v/>
      </c>
      <c r="JI8" s="40">
        <v>16.399999999999999</v>
      </c>
      <c r="JJ8" s="40">
        <v>9.6</v>
      </c>
      <c r="JK8" s="40">
        <v>5.0999999999999996</v>
      </c>
      <c r="JL8" s="40">
        <v>15.83</v>
      </c>
      <c r="JM8" s="40">
        <v>0</v>
      </c>
      <c r="JN8" s="40">
        <v>14.9</v>
      </c>
      <c r="JO8" s="40">
        <v>9.1</v>
      </c>
      <c r="JP8" s="40">
        <v>13.8</v>
      </c>
      <c r="JQ8" s="40">
        <v>14.41</v>
      </c>
      <c r="JR8" s="40">
        <v>0</v>
      </c>
      <c r="JS8" s="40"/>
      <c r="JT8" s="40"/>
      <c r="JU8" s="40"/>
      <c r="JV8" s="40"/>
      <c r="JW8" s="40"/>
      <c r="JX8" s="15">
        <f t="shared" si="98"/>
        <v>13.8</v>
      </c>
      <c r="JY8" s="15">
        <f t="shared" si="99"/>
        <v>46.93</v>
      </c>
      <c r="JZ8" s="15">
        <f t="shared" si="100"/>
        <v>52.209999999999994</v>
      </c>
      <c r="KA8" s="15">
        <f t="shared" si="101"/>
        <v>99.139999999999986</v>
      </c>
      <c r="KB8" s="15" t="str">
        <f t="shared" si="102"/>
        <v/>
      </c>
      <c r="KC8" s="15" t="str">
        <f t="shared" si="103"/>
        <v/>
      </c>
      <c r="KD8" s="15">
        <f t="shared" si="104"/>
        <v>99.139999999999986</v>
      </c>
      <c r="KE8" s="39"/>
      <c r="KF8" s="39"/>
      <c r="KG8" s="39"/>
      <c r="KH8" s="39"/>
      <c r="KI8" s="39"/>
      <c r="KJ8" s="39"/>
      <c r="KK8" s="39"/>
      <c r="KL8" s="39"/>
      <c r="KM8" s="39"/>
      <c r="KN8" s="39"/>
      <c r="KO8" s="39"/>
      <c r="KP8" s="39"/>
      <c r="KQ8" s="39"/>
      <c r="KR8" s="39"/>
      <c r="KS8" s="39"/>
      <c r="KT8" s="12" t="str">
        <f t="shared" si="105"/>
        <v/>
      </c>
      <c r="KU8" s="12" t="str">
        <f t="shared" si="106"/>
        <v/>
      </c>
      <c r="KV8" s="12" t="str">
        <f t="shared" si="107"/>
        <v/>
      </c>
      <c r="KW8" s="12" t="str">
        <f t="shared" si="108"/>
        <v/>
      </c>
      <c r="KX8" s="12" t="str">
        <f t="shared" si="109"/>
        <v/>
      </c>
      <c r="KY8" s="12" t="str">
        <f t="shared" si="110"/>
        <v/>
      </c>
      <c r="KZ8" s="12" t="str">
        <f t="shared" si="111"/>
        <v/>
      </c>
      <c r="LA8" s="40"/>
      <c r="LB8" s="40"/>
      <c r="LC8" s="40"/>
      <c r="LD8" s="40"/>
      <c r="LE8" s="40"/>
      <c r="LF8" s="40"/>
      <c r="LG8" s="40"/>
      <c r="LH8" s="40"/>
      <c r="LI8" s="40"/>
      <c r="LJ8" s="40"/>
      <c r="LK8" s="40"/>
      <c r="LL8" s="40"/>
      <c r="LM8" s="40"/>
      <c r="LN8" s="40"/>
      <c r="LO8" s="40"/>
      <c r="LP8" s="15" t="str">
        <f t="shared" si="112"/>
        <v/>
      </c>
      <c r="LQ8" s="15" t="str">
        <f t="shared" si="113"/>
        <v/>
      </c>
      <c r="LR8" s="15" t="str">
        <f t="shared" si="114"/>
        <v/>
      </c>
      <c r="LS8" s="15" t="str">
        <f t="shared" si="115"/>
        <v/>
      </c>
      <c r="LT8" s="15" t="str">
        <f t="shared" si="116"/>
        <v/>
      </c>
      <c r="LU8" s="15" t="str">
        <f t="shared" si="117"/>
        <v/>
      </c>
      <c r="LV8" s="15" t="str">
        <f t="shared" si="118"/>
        <v/>
      </c>
      <c r="LW8" s="71">
        <f t="shared" si="119"/>
        <v>17.450000000000003</v>
      </c>
      <c r="LX8" s="71">
        <f t="shared" si="120"/>
        <v>9.1999999999999993</v>
      </c>
      <c r="LY8" s="71">
        <f t="shared" si="121"/>
        <v>5.2</v>
      </c>
      <c r="LZ8" s="71">
        <f t="shared" si="122"/>
        <v>15.5825</v>
      </c>
      <c r="MA8" s="71">
        <f t="shared" si="123"/>
        <v>0</v>
      </c>
      <c r="MB8" s="71">
        <f t="shared" si="124"/>
        <v>16.25</v>
      </c>
      <c r="MC8" s="71">
        <f t="shared" si="125"/>
        <v>9.2249999999999996</v>
      </c>
      <c r="MD8" s="71">
        <f t="shared" si="126"/>
        <v>13.45</v>
      </c>
      <c r="ME8" s="71">
        <f t="shared" si="127"/>
        <v>14.9175</v>
      </c>
      <c r="MF8" s="71">
        <f t="shared" si="128"/>
        <v>0.1</v>
      </c>
      <c r="MG8" s="71">
        <f t="shared" si="129"/>
        <v>15.55</v>
      </c>
      <c r="MH8" s="71">
        <f t="shared" si="130"/>
        <v>8.8000000000000007</v>
      </c>
      <c r="MI8" s="71">
        <f t="shared" si="131"/>
        <v>14.3025</v>
      </c>
      <c r="MJ8" s="71">
        <f t="shared" si="132"/>
        <v>14.36</v>
      </c>
      <c r="MK8" s="71">
        <f t="shared" si="133"/>
        <v>0</v>
      </c>
      <c r="ML8" s="82" t="s">
        <v>100</v>
      </c>
      <c r="MM8" s="12">
        <f t="shared" si="140"/>
        <v>13.45</v>
      </c>
      <c r="MN8" s="12">
        <f t="shared" si="141"/>
        <v>47.432500000000005</v>
      </c>
      <c r="MO8" s="12">
        <f t="shared" si="142"/>
        <v>53.7425</v>
      </c>
      <c r="MP8" s="12">
        <f t="shared" si="143"/>
        <v>101.17500000000001</v>
      </c>
      <c r="MQ8" s="12">
        <f t="shared" si="144"/>
        <v>14.3025</v>
      </c>
      <c r="MR8" s="12">
        <f t="shared" si="145"/>
        <v>53.012500000000003</v>
      </c>
      <c r="MS8" s="12">
        <f t="shared" si="146"/>
        <v>154.1875</v>
      </c>
    </row>
    <row r="9" spans="1:357" x14ac:dyDescent="0.2">
      <c r="A9" s="6">
        <f t="shared" si="0"/>
        <v>6</v>
      </c>
      <c r="B9" s="9" t="s">
        <v>86</v>
      </c>
      <c r="C9" s="5" t="s">
        <v>3</v>
      </c>
      <c r="D9" s="29">
        <v>1998</v>
      </c>
      <c r="E9" s="16">
        <f t="shared" si="1"/>
        <v>247.81499999999997</v>
      </c>
      <c r="F9" s="4" t="str">
        <f t="shared" si="2"/>
        <v>P</v>
      </c>
      <c r="G9" s="4" t="str">
        <f t="shared" si="3"/>
        <v>P</v>
      </c>
      <c r="H9" s="4" t="str">
        <f t="shared" si="4"/>
        <v>P</v>
      </c>
      <c r="I9" t="str">
        <f t="shared" si="5"/>
        <v>Worlds Team</v>
      </c>
      <c r="J9" s="15">
        <f t="shared" si="6"/>
        <v>99.074999999999989</v>
      </c>
      <c r="K9" s="15" t="str">
        <f t="shared" si="7"/>
        <v>2019 Nationals</v>
      </c>
      <c r="L9" s="15">
        <f t="shared" si="8"/>
        <v>46.075000000000003</v>
      </c>
      <c r="M9" s="15" t="str">
        <f t="shared" si="9"/>
        <v>2019 Elite Canada</v>
      </c>
      <c r="N9" s="15">
        <f t="shared" si="10"/>
        <v>50.664999999999999</v>
      </c>
      <c r="O9" s="15" t="str">
        <f t="shared" si="11"/>
        <v>2019 Elite Canada</v>
      </c>
      <c r="P9" s="15">
        <f t="shared" si="12"/>
        <v>52</v>
      </c>
      <c r="Q9" s="15" t="str">
        <f t="shared" si="13"/>
        <v>2019 Nationals</v>
      </c>
      <c r="R9" s="15" t="str">
        <f t="shared" si="14"/>
        <v/>
      </c>
      <c r="S9" s="27" t="str">
        <f t="shared" si="15"/>
        <v/>
      </c>
      <c r="T9" s="15" t="str">
        <f t="shared" si="16"/>
        <v/>
      </c>
      <c r="U9" s="39">
        <v>16.8</v>
      </c>
      <c r="V9" s="39">
        <v>8.9</v>
      </c>
      <c r="W9" s="39">
        <v>4.8</v>
      </c>
      <c r="X9" s="39">
        <v>15.574999999999999</v>
      </c>
      <c r="Y9" s="39">
        <v>0</v>
      </c>
      <c r="Z9" s="39">
        <v>14</v>
      </c>
      <c r="AA9" s="39">
        <v>8.9499999999999993</v>
      </c>
      <c r="AB9" s="39">
        <v>13.6</v>
      </c>
      <c r="AC9" s="39">
        <v>14.715</v>
      </c>
      <c r="AD9" s="39">
        <v>0.6</v>
      </c>
      <c r="AE9" s="39">
        <v>14.7</v>
      </c>
      <c r="AF9" s="39">
        <v>9.3000000000000007</v>
      </c>
      <c r="AG9" s="39">
        <v>11.6</v>
      </c>
      <c r="AH9" s="39">
        <v>14.8</v>
      </c>
      <c r="AI9" s="39">
        <v>0</v>
      </c>
      <c r="AJ9" s="82"/>
      <c r="AK9" s="12">
        <f t="shared" si="17"/>
        <v>13.6</v>
      </c>
      <c r="AL9" s="12">
        <f t="shared" si="18"/>
        <v>46.075000000000003</v>
      </c>
      <c r="AM9" s="12">
        <f t="shared" si="19"/>
        <v>50.664999999999999</v>
      </c>
      <c r="AN9" s="12">
        <f t="shared" si="20"/>
        <v>96.740000000000009</v>
      </c>
      <c r="AO9" s="12">
        <f t="shared" si="21"/>
        <v>11.6</v>
      </c>
      <c r="AP9" s="12">
        <f t="shared" si="22"/>
        <v>50.400000000000006</v>
      </c>
      <c r="AQ9" s="12">
        <f t="shared" si="23"/>
        <v>147.14000000000001</v>
      </c>
      <c r="AR9" s="77">
        <v>17.600000000000001</v>
      </c>
      <c r="AS9" s="77">
        <v>9.1999999999999993</v>
      </c>
      <c r="AT9" s="77">
        <v>4.8</v>
      </c>
      <c r="AU9" s="77">
        <v>15.72</v>
      </c>
      <c r="AV9" s="77">
        <v>0.2</v>
      </c>
      <c r="AW9" s="77">
        <v>16.100000000000001</v>
      </c>
      <c r="AX9" s="77">
        <v>9.3000000000000007</v>
      </c>
      <c r="AY9" s="77">
        <v>12.1</v>
      </c>
      <c r="AZ9" s="77">
        <v>14.455</v>
      </c>
      <c r="BA9" s="77">
        <v>0</v>
      </c>
      <c r="BB9" s="77">
        <v>15.36</v>
      </c>
      <c r="BC9" s="77">
        <v>9.1999999999999993</v>
      </c>
      <c r="BD9" s="77">
        <v>12.6</v>
      </c>
      <c r="BE9" s="77">
        <v>14.84</v>
      </c>
      <c r="BF9" s="77"/>
      <c r="BG9" s="83"/>
      <c r="BH9" s="15">
        <f t="shared" si="24"/>
        <v>12.1</v>
      </c>
      <c r="BI9" s="15">
        <f t="shared" si="25"/>
        <v>47.12</v>
      </c>
      <c r="BJ9" s="15">
        <f t="shared" si="26"/>
        <v>51.954999999999998</v>
      </c>
      <c r="BK9" s="15">
        <f t="shared" si="27"/>
        <v>99.074999999999989</v>
      </c>
      <c r="BL9" s="15">
        <f t="shared" si="28"/>
        <v>12.6</v>
      </c>
      <c r="BM9" s="15">
        <f t="shared" si="29"/>
        <v>52</v>
      </c>
      <c r="BN9" s="15">
        <f t="shared" si="30"/>
        <v>151.07499999999999</v>
      </c>
      <c r="BO9" s="26" t="str">
        <f t="shared" si="31"/>
        <v/>
      </c>
      <c r="BP9" s="26" t="str">
        <f t="shared" si="32"/>
        <v/>
      </c>
      <c r="BQ9" s="26" t="str">
        <f t="shared" si="33"/>
        <v/>
      </c>
      <c r="BR9" s="26" t="str">
        <f t="shared" si="34"/>
        <v/>
      </c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12" t="str">
        <f t="shared" si="35"/>
        <v/>
      </c>
      <c r="CI9" s="12" t="str">
        <f t="shared" si="36"/>
        <v/>
      </c>
      <c r="CJ9" s="12" t="str">
        <f t="shared" si="37"/>
        <v/>
      </c>
      <c r="CK9" s="12" t="str">
        <f t="shared" si="38"/>
        <v/>
      </c>
      <c r="CL9" s="12" t="str">
        <f t="shared" si="39"/>
        <v/>
      </c>
      <c r="CM9" s="12" t="str">
        <f t="shared" si="40"/>
        <v/>
      </c>
      <c r="CN9" s="12" t="str">
        <f t="shared" si="41"/>
        <v/>
      </c>
      <c r="CO9" s="40"/>
      <c r="CP9" s="40"/>
      <c r="CQ9" s="40"/>
      <c r="CR9" s="40"/>
      <c r="CS9" s="40"/>
      <c r="CT9" s="40"/>
      <c r="CU9" s="40"/>
      <c r="CV9" s="40"/>
      <c r="CW9" s="40"/>
      <c r="CX9" s="40"/>
      <c r="CY9" s="40"/>
      <c r="CZ9" s="40"/>
      <c r="DA9" s="40"/>
      <c r="DB9" s="40"/>
      <c r="DC9" s="40"/>
      <c r="DD9" s="15" t="str">
        <f t="shared" si="42"/>
        <v/>
      </c>
      <c r="DE9" s="15" t="str">
        <f t="shared" si="43"/>
        <v/>
      </c>
      <c r="DF9" s="15" t="str">
        <f t="shared" si="44"/>
        <v/>
      </c>
      <c r="DG9" s="15" t="str">
        <f t="shared" si="45"/>
        <v/>
      </c>
      <c r="DH9" s="15" t="str">
        <f t="shared" si="46"/>
        <v/>
      </c>
      <c r="DI9" s="15" t="str">
        <f t="shared" si="47"/>
        <v/>
      </c>
      <c r="DJ9" s="15" t="str">
        <f t="shared" si="48"/>
        <v/>
      </c>
      <c r="DK9" s="39"/>
      <c r="DL9" s="39"/>
      <c r="DM9" s="39"/>
      <c r="DN9" s="39"/>
      <c r="DO9" s="39"/>
      <c r="DP9" s="39"/>
      <c r="DQ9" s="39"/>
      <c r="DR9" s="39"/>
      <c r="DS9" s="39"/>
      <c r="DT9" s="39"/>
      <c r="DU9" s="39"/>
      <c r="DV9" s="39"/>
      <c r="DW9" s="39"/>
      <c r="DX9" s="39"/>
      <c r="DY9" s="39"/>
      <c r="DZ9" s="12" t="str">
        <f t="shared" si="49"/>
        <v/>
      </c>
      <c r="EA9" s="12" t="str">
        <f t="shared" si="50"/>
        <v/>
      </c>
      <c r="EB9" s="12" t="str">
        <f t="shared" si="51"/>
        <v/>
      </c>
      <c r="EC9" s="12" t="str">
        <f t="shared" si="52"/>
        <v/>
      </c>
      <c r="ED9" s="12" t="str">
        <f t="shared" si="53"/>
        <v/>
      </c>
      <c r="EE9" s="12" t="str">
        <f t="shared" si="54"/>
        <v/>
      </c>
      <c r="EF9" s="12" t="str">
        <f t="shared" si="55"/>
        <v/>
      </c>
      <c r="EG9" s="40"/>
      <c r="EH9" s="40"/>
      <c r="EI9" s="40"/>
      <c r="EJ9" s="40"/>
      <c r="EK9" s="40"/>
      <c r="EL9" s="40"/>
      <c r="EM9" s="40"/>
      <c r="EN9" s="40"/>
      <c r="EO9" s="40"/>
      <c r="EP9" s="40"/>
      <c r="EQ9" s="40"/>
      <c r="ER9" s="40"/>
      <c r="ES9" s="40"/>
      <c r="ET9" s="40"/>
      <c r="EU9" s="40"/>
      <c r="EV9" s="15" t="str">
        <f t="shared" si="56"/>
        <v/>
      </c>
      <c r="EW9" s="15" t="str">
        <f t="shared" si="57"/>
        <v/>
      </c>
      <c r="EX9" s="15" t="str">
        <f t="shared" si="58"/>
        <v/>
      </c>
      <c r="EY9" s="15" t="str">
        <f t="shared" si="59"/>
        <v/>
      </c>
      <c r="EZ9" s="15" t="str">
        <f t="shared" si="60"/>
        <v/>
      </c>
      <c r="FA9" s="15" t="str">
        <f t="shared" si="61"/>
        <v/>
      </c>
      <c r="FB9" s="15" t="str">
        <f t="shared" si="62"/>
        <v/>
      </c>
      <c r="FC9" s="39"/>
      <c r="FD9" s="39"/>
      <c r="FE9" s="39"/>
      <c r="FF9" s="39"/>
      <c r="FG9" s="39"/>
      <c r="FH9" s="39"/>
      <c r="FI9" s="39"/>
      <c r="FJ9" s="39"/>
      <c r="FK9" s="39"/>
      <c r="FL9" s="39"/>
      <c r="FM9" s="39"/>
      <c r="FN9" s="39"/>
      <c r="FO9" s="39"/>
      <c r="FP9" s="39"/>
      <c r="FQ9" s="39"/>
      <c r="FR9" s="12" t="str">
        <f t="shared" si="63"/>
        <v/>
      </c>
      <c r="FS9" s="12" t="str">
        <f t="shared" si="64"/>
        <v/>
      </c>
      <c r="FT9" s="12" t="str">
        <f t="shared" si="65"/>
        <v/>
      </c>
      <c r="FU9" s="12" t="str">
        <f t="shared" si="66"/>
        <v/>
      </c>
      <c r="FV9" s="12" t="str">
        <f t="shared" si="67"/>
        <v/>
      </c>
      <c r="FW9" s="12" t="str">
        <f t="shared" si="68"/>
        <v/>
      </c>
      <c r="FX9" s="12" t="str">
        <f t="shared" si="69"/>
        <v/>
      </c>
      <c r="FY9" s="40"/>
      <c r="FZ9" s="40"/>
      <c r="GA9" s="40"/>
      <c r="GB9" s="40"/>
      <c r="GC9" s="40"/>
      <c r="GD9" s="40"/>
      <c r="GE9" s="40"/>
      <c r="GF9" s="40"/>
      <c r="GG9" s="40"/>
      <c r="GH9" s="40"/>
      <c r="GI9" s="40"/>
      <c r="GJ9" s="40"/>
      <c r="GK9" s="40"/>
      <c r="GL9" s="40"/>
      <c r="GM9" s="40"/>
      <c r="GN9" s="15" t="str">
        <f t="shared" si="70"/>
        <v/>
      </c>
      <c r="GO9" s="15" t="str">
        <f t="shared" si="71"/>
        <v/>
      </c>
      <c r="GP9" s="15" t="str">
        <f t="shared" si="72"/>
        <v/>
      </c>
      <c r="GQ9" s="15" t="str">
        <f t="shared" si="73"/>
        <v/>
      </c>
      <c r="GR9" s="15" t="str">
        <f t="shared" si="74"/>
        <v/>
      </c>
      <c r="GS9" s="15" t="str">
        <f t="shared" si="75"/>
        <v/>
      </c>
      <c r="GT9" s="15" t="str">
        <f t="shared" si="76"/>
        <v/>
      </c>
      <c r="GU9" s="39"/>
      <c r="GV9" s="39"/>
      <c r="GW9" s="39"/>
      <c r="GX9" s="39"/>
      <c r="GY9" s="39"/>
      <c r="GZ9" s="39"/>
      <c r="HA9" s="39"/>
      <c r="HB9" s="39"/>
      <c r="HC9" s="39"/>
      <c r="HD9" s="39"/>
      <c r="HE9" s="39"/>
      <c r="HF9" s="39"/>
      <c r="HG9" s="39"/>
      <c r="HH9" s="39"/>
      <c r="HI9" s="39"/>
      <c r="HJ9" s="12" t="str">
        <f t="shared" si="77"/>
        <v/>
      </c>
      <c r="HK9" s="12" t="str">
        <f t="shared" si="78"/>
        <v/>
      </c>
      <c r="HL9" s="12" t="str">
        <f t="shared" si="79"/>
        <v/>
      </c>
      <c r="HM9" s="12" t="str">
        <f t="shared" si="80"/>
        <v/>
      </c>
      <c r="HN9" s="12" t="str">
        <f t="shared" si="81"/>
        <v/>
      </c>
      <c r="HO9" s="12" t="str">
        <f t="shared" si="82"/>
        <v/>
      </c>
      <c r="HP9" s="12" t="str">
        <f t="shared" si="83"/>
        <v/>
      </c>
      <c r="HQ9" s="40"/>
      <c r="HR9" s="40"/>
      <c r="HS9" s="40"/>
      <c r="HT9" s="40"/>
      <c r="HU9" s="40"/>
      <c r="HV9" s="40"/>
      <c r="HW9" s="40"/>
      <c r="HX9" s="40"/>
      <c r="HY9" s="40"/>
      <c r="HZ9" s="40"/>
      <c r="IA9" s="40"/>
      <c r="IB9" s="40"/>
      <c r="IC9" s="40"/>
      <c r="ID9" s="40"/>
      <c r="IE9" s="40"/>
      <c r="IF9" s="15" t="str">
        <f t="shared" si="84"/>
        <v/>
      </c>
      <c r="IG9" s="15" t="str">
        <f t="shared" si="85"/>
        <v/>
      </c>
      <c r="IH9" s="15" t="str">
        <f t="shared" si="86"/>
        <v/>
      </c>
      <c r="II9" s="15" t="str">
        <f t="shared" si="87"/>
        <v/>
      </c>
      <c r="IJ9" s="15" t="str">
        <f t="shared" si="88"/>
        <v/>
      </c>
      <c r="IK9" s="15" t="str">
        <f t="shared" si="89"/>
        <v/>
      </c>
      <c r="IL9" s="15" t="str">
        <f t="shared" si="90"/>
        <v/>
      </c>
      <c r="IM9" s="39"/>
      <c r="IN9" s="39"/>
      <c r="IO9" s="39"/>
      <c r="IP9" s="39"/>
      <c r="IQ9" s="39"/>
      <c r="IR9" s="39"/>
      <c r="IS9" s="39"/>
      <c r="IT9" s="39"/>
      <c r="IU9" s="39"/>
      <c r="IV9" s="39"/>
      <c r="IW9" s="39"/>
      <c r="IX9" s="39"/>
      <c r="IY9" s="39"/>
      <c r="IZ9" s="39"/>
      <c r="JA9" s="39"/>
      <c r="JB9" s="12" t="str">
        <f t="shared" si="91"/>
        <v/>
      </c>
      <c r="JC9" s="12" t="str">
        <f t="shared" si="92"/>
        <v/>
      </c>
      <c r="JD9" s="12" t="str">
        <f t="shared" si="93"/>
        <v/>
      </c>
      <c r="JE9" s="12" t="str">
        <f t="shared" si="94"/>
        <v/>
      </c>
      <c r="JF9" s="12" t="str">
        <f t="shared" si="95"/>
        <v/>
      </c>
      <c r="JG9" s="12" t="str">
        <f t="shared" si="96"/>
        <v/>
      </c>
      <c r="JH9" s="12" t="str">
        <f t="shared" si="97"/>
        <v/>
      </c>
      <c r="JI9" s="40"/>
      <c r="JJ9" s="40"/>
      <c r="JK9" s="40"/>
      <c r="JL9" s="40"/>
      <c r="JM9" s="40"/>
      <c r="JN9" s="40"/>
      <c r="JO9" s="40"/>
      <c r="JP9" s="40"/>
      <c r="JQ9" s="40"/>
      <c r="JR9" s="40"/>
      <c r="JS9" s="40"/>
      <c r="JT9" s="40"/>
      <c r="JU9" s="40"/>
      <c r="JV9" s="40"/>
      <c r="JW9" s="40"/>
      <c r="JX9" s="15" t="str">
        <f t="shared" si="98"/>
        <v/>
      </c>
      <c r="JY9" s="15" t="str">
        <f t="shared" si="99"/>
        <v/>
      </c>
      <c r="JZ9" s="15" t="str">
        <f t="shared" si="100"/>
        <v/>
      </c>
      <c r="KA9" s="15" t="str">
        <f t="shared" si="101"/>
        <v/>
      </c>
      <c r="KB9" s="15" t="str">
        <f t="shared" si="102"/>
        <v/>
      </c>
      <c r="KC9" s="15" t="str">
        <f t="shared" si="103"/>
        <v/>
      </c>
      <c r="KD9" s="15" t="str">
        <f t="shared" si="104"/>
        <v/>
      </c>
      <c r="KE9" s="39"/>
      <c r="KF9" s="39"/>
      <c r="KG9" s="39"/>
      <c r="KH9" s="39"/>
      <c r="KI9" s="39"/>
      <c r="KJ9" s="39"/>
      <c r="KK9" s="39"/>
      <c r="KL9" s="39"/>
      <c r="KM9" s="39"/>
      <c r="KN9" s="39"/>
      <c r="KO9" s="39"/>
      <c r="KP9" s="39"/>
      <c r="KQ9" s="39"/>
      <c r="KR9" s="39"/>
      <c r="KS9" s="39"/>
      <c r="KT9" s="12" t="str">
        <f t="shared" si="105"/>
        <v/>
      </c>
      <c r="KU9" s="12" t="str">
        <f t="shared" si="106"/>
        <v/>
      </c>
      <c r="KV9" s="12" t="str">
        <f t="shared" si="107"/>
        <v/>
      </c>
      <c r="KW9" s="12" t="str">
        <f t="shared" si="108"/>
        <v/>
      </c>
      <c r="KX9" s="12" t="str">
        <f t="shared" si="109"/>
        <v/>
      </c>
      <c r="KY9" s="12" t="str">
        <f t="shared" si="110"/>
        <v/>
      </c>
      <c r="KZ9" s="12" t="str">
        <f t="shared" si="111"/>
        <v/>
      </c>
      <c r="LA9" s="40"/>
      <c r="LB9" s="40"/>
      <c r="LC9" s="40"/>
      <c r="LD9" s="40"/>
      <c r="LE9" s="40"/>
      <c r="LF9" s="40"/>
      <c r="LG9" s="40"/>
      <c r="LH9" s="40"/>
      <c r="LI9" s="40"/>
      <c r="LJ9" s="40"/>
      <c r="LK9" s="40"/>
      <c r="LL9" s="40"/>
      <c r="LM9" s="40"/>
      <c r="LN9" s="40"/>
      <c r="LO9" s="40"/>
      <c r="LP9" s="15" t="str">
        <f t="shared" si="112"/>
        <v/>
      </c>
      <c r="LQ9" s="15" t="str">
        <f t="shared" si="113"/>
        <v/>
      </c>
      <c r="LR9" s="15" t="str">
        <f t="shared" si="114"/>
        <v/>
      </c>
      <c r="LS9" s="15" t="str">
        <f t="shared" si="115"/>
        <v/>
      </c>
      <c r="LT9" s="15" t="str">
        <f t="shared" si="116"/>
        <v/>
      </c>
      <c r="LU9" s="15" t="str">
        <f t="shared" si="117"/>
        <v/>
      </c>
      <c r="LV9" s="15" t="str">
        <f t="shared" si="118"/>
        <v/>
      </c>
      <c r="LW9" s="71">
        <f t="shared" si="119"/>
        <v>17.200000000000003</v>
      </c>
      <c r="LX9" s="71">
        <f t="shared" si="120"/>
        <v>9.0500000000000007</v>
      </c>
      <c r="LY9" s="71">
        <f t="shared" si="121"/>
        <v>4.8</v>
      </c>
      <c r="LZ9" s="71">
        <f t="shared" si="122"/>
        <v>15.647500000000001</v>
      </c>
      <c r="MA9" s="71">
        <f t="shared" si="123"/>
        <v>0.1</v>
      </c>
      <c r="MB9" s="71">
        <f t="shared" si="124"/>
        <v>15.05</v>
      </c>
      <c r="MC9" s="71">
        <f t="shared" si="125"/>
        <v>9.125</v>
      </c>
      <c r="MD9" s="71">
        <f t="shared" si="126"/>
        <v>12.85</v>
      </c>
      <c r="ME9" s="71">
        <f t="shared" si="127"/>
        <v>14.585000000000001</v>
      </c>
      <c r="MF9" s="71">
        <f t="shared" si="128"/>
        <v>0.3</v>
      </c>
      <c r="MG9" s="71">
        <f t="shared" si="129"/>
        <v>15.03</v>
      </c>
      <c r="MH9" s="71">
        <f t="shared" si="130"/>
        <v>9.25</v>
      </c>
      <c r="MI9" s="71">
        <f t="shared" si="131"/>
        <v>12.1</v>
      </c>
      <c r="MJ9" s="71">
        <f t="shared" si="132"/>
        <v>14.82</v>
      </c>
      <c r="MK9" s="71">
        <f t="shared" si="133"/>
        <v>0</v>
      </c>
      <c r="ML9" s="82" t="s">
        <v>100</v>
      </c>
      <c r="MM9" s="12">
        <f t="shared" si="140"/>
        <v>12.85</v>
      </c>
      <c r="MN9" s="12">
        <f t="shared" si="141"/>
        <v>46.597500000000004</v>
      </c>
      <c r="MO9" s="12">
        <f t="shared" si="142"/>
        <v>51.31</v>
      </c>
      <c r="MP9" s="12">
        <f t="shared" si="143"/>
        <v>97.907499999999999</v>
      </c>
      <c r="MQ9" s="12">
        <f t="shared" si="144"/>
        <v>12.1</v>
      </c>
      <c r="MR9" s="12">
        <f t="shared" si="145"/>
        <v>51.2</v>
      </c>
      <c r="MS9" s="12">
        <f t="shared" si="146"/>
        <v>149.10750000000002</v>
      </c>
    </row>
    <row r="10" spans="1:357" x14ac:dyDescent="0.2">
      <c r="A10" s="6">
        <f t="shared" si="0"/>
        <v>7</v>
      </c>
      <c r="B10" s="9" t="s">
        <v>171</v>
      </c>
      <c r="C10" s="5" t="s">
        <v>3</v>
      </c>
      <c r="D10" s="29">
        <v>1993</v>
      </c>
      <c r="E10" s="16">
        <f t="shared" si="1"/>
        <v>246.94</v>
      </c>
      <c r="F10" s="4" t="str">
        <f t="shared" si="2"/>
        <v>P</v>
      </c>
      <c r="G10" s="4" t="str">
        <f t="shared" si="3"/>
        <v>P</v>
      </c>
      <c r="H10" s="4" t="str">
        <f t="shared" si="4"/>
        <v>P</v>
      </c>
      <c r="I10" t="str">
        <f t="shared" si="5"/>
        <v>Worlds Team</v>
      </c>
      <c r="J10" s="15">
        <f t="shared" si="6"/>
        <v>99.93</v>
      </c>
      <c r="K10" s="15" t="str">
        <f t="shared" si="7"/>
        <v>2019 Nationals</v>
      </c>
      <c r="L10" s="15">
        <f t="shared" si="8"/>
        <v>45.805</v>
      </c>
      <c r="M10" s="15" t="str">
        <f t="shared" si="9"/>
        <v>2019 Elite Canada</v>
      </c>
      <c r="N10" s="15">
        <f t="shared" si="10"/>
        <v>49.79</v>
      </c>
      <c r="O10" s="15" t="str">
        <f t="shared" si="11"/>
        <v>2019 Elite Canada</v>
      </c>
      <c r="P10" s="15">
        <f t="shared" si="12"/>
        <v>51.415000000000006</v>
      </c>
      <c r="Q10" s="15" t="str">
        <f t="shared" si="13"/>
        <v>2019 Nationals</v>
      </c>
      <c r="R10" s="15" t="str">
        <f t="shared" si="14"/>
        <v/>
      </c>
      <c r="S10" s="27" t="str">
        <f t="shared" si="15"/>
        <v/>
      </c>
      <c r="T10" s="15" t="str">
        <f t="shared" si="16"/>
        <v/>
      </c>
      <c r="U10" s="39">
        <v>17.600000000000001</v>
      </c>
      <c r="V10" s="39">
        <v>8.9499999999999993</v>
      </c>
      <c r="W10" s="39">
        <v>3.9</v>
      </c>
      <c r="X10" s="39">
        <v>15.355</v>
      </c>
      <c r="Y10" s="39">
        <v>0</v>
      </c>
      <c r="Z10" s="39">
        <v>14.1</v>
      </c>
      <c r="AA10" s="39">
        <v>9.1</v>
      </c>
      <c r="AB10" s="39">
        <v>12.3</v>
      </c>
      <c r="AC10" s="39">
        <v>14.29</v>
      </c>
      <c r="AD10" s="39">
        <v>0</v>
      </c>
      <c r="AE10" s="39">
        <v>14.5</v>
      </c>
      <c r="AF10" s="39">
        <v>8.35</v>
      </c>
      <c r="AG10" s="39">
        <v>12.3</v>
      </c>
      <c r="AH10" s="39">
        <v>14.185</v>
      </c>
      <c r="AI10" s="39">
        <v>0</v>
      </c>
      <c r="AJ10" s="82"/>
      <c r="AK10" s="12">
        <f t="shared" si="17"/>
        <v>12.3</v>
      </c>
      <c r="AL10" s="12">
        <f t="shared" si="18"/>
        <v>45.805</v>
      </c>
      <c r="AM10" s="12">
        <f t="shared" si="19"/>
        <v>49.79</v>
      </c>
      <c r="AN10" s="12">
        <f t="shared" si="20"/>
        <v>95.594999999999999</v>
      </c>
      <c r="AO10" s="12">
        <f t="shared" si="21"/>
        <v>12.3</v>
      </c>
      <c r="AP10" s="12">
        <f t="shared" si="22"/>
        <v>49.335000000000008</v>
      </c>
      <c r="AQ10" s="12">
        <f t="shared" si="23"/>
        <v>144.93</v>
      </c>
      <c r="AR10" s="77">
        <v>18.3</v>
      </c>
      <c r="AS10" s="77">
        <v>9.4</v>
      </c>
      <c r="AT10" s="77">
        <v>5.0999999999999996</v>
      </c>
      <c r="AU10" s="77">
        <v>15.494999999999999</v>
      </c>
      <c r="AV10" s="77">
        <v>0</v>
      </c>
      <c r="AW10" s="77">
        <v>14.9</v>
      </c>
      <c r="AX10" s="77">
        <v>9.5</v>
      </c>
      <c r="AY10" s="77">
        <v>13.1</v>
      </c>
      <c r="AZ10" s="77">
        <v>14.135</v>
      </c>
      <c r="BA10" s="77">
        <v>0</v>
      </c>
      <c r="BB10" s="77">
        <v>14.58</v>
      </c>
      <c r="BC10" s="77">
        <v>9.1</v>
      </c>
      <c r="BD10" s="77">
        <v>13.3</v>
      </c>
      <c r="BE10" s="77">
        <v>14.435</v>
      </c>
      <c r="BF10" s="77"/>
      <c r="BG10" s="83"/>
      <c r="BH10" s="15">
        <f t="shared" si="24"/>
        <v>13.1</v>
      </c>
      <c r="BI10" s="15">
        <f t="shared" si="25"/>
        <v>48.295000000000002</v>
      </c>
      <c r="BJ10" s="15">
        <f t="shared" si="26"/>
        <v>51.634999999999998</v>
      </c>
      <c r="BK10" s="15">
        <f t="shared" si="27"/>
        <v>99.93</v>
      </c>
      <c r="BL10" s="15">
        <f t="shared" si="28"/>
        <v>13.3</v>
      </c>
      <c r="BM10" s="15">
        <f t="shared" si="29"/>
        <v>51.415000000000006</v>
      </c>
      <c r="BN10" s="15">
        <f t="shared" si="30"/>
        <v>151.34500000000003</v>
      </c>
      <c r="BO10" s="26" t="str">
        <f t="shared" si="31"/>
        <v/>
      </c>
      <c r="BP10" s="26" t="str">
        <f t="shared" si="32"/>
        <v/>
      </c>
      <c r="BQ10" s="26" t="str">
        <f t="shared" si="33"/>
        <v/>
      </c>
      <c r="BR10" s="26" t="str">
        <f t="shared" si="34"/>
        <v/>
      </c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12" t="str">
        <f t="shared" si="35"/>
        <v/>
      </c>
      <c r="CI10" s="12" t="str">
        <f t="shared" si="36"/>
        <v/>
      </c>
      <c r="CJ10" s="12" t="str">
        <f t="shared" si="37"/>
        <v/>
      </c>
      <c r="CK10" s="12" t="str">
        <f t="shared" si="38"/>
        <v/>
      </c>
      <c r="CL10" s="12" t="str">
        <f t="shared" si="39"/>
        <v/>
      </c>
      <c r="CM10" s="12" t="str">
        <f t="shared" si="40"/>
        <v/>
      </c>
      <c r="CN10" s="12" t="str">
        <f t="shared" si="41"/>
        <v/>
      </c>
      <c r="CO10" s="40"/>
      <c r="CP10" s="40"/>
      <c r="CQ10" s="40"/>
      <c r="CR10" s="40"/>
      <c r="CS10" s="40"/>
      <c r="CT10" s="40"/>
      <c r="CU10" s="40"/>
      <c r="CV10" s="40"/>
      <c r="CW10" s="40"/>
      <c r="CX10" s="40"/>
      <c r="CY10" s="40"/>
      <c r="CZ10" s="40"/>
      <c r="DA10" s="40"/>
      <c r="DB10" s="40"/>
      <c r="DC10" s="40"/>
      <c r="DD10" s="15" t="str">
        <f t="shared" si="42"/>
        <v/>
      </c>
      <c r="DE10" s="15" t="str">
        <f t="shared" si="43"/>
        <v/>
      </c>
      <c r="DF10" s="15" t="str">
        <f t="shared" si="44"/>
        <v/>
      </c>
      <c r="DG10" s="15" t="str">
        <f t="shared" si="45"/>
        <v/>
      </c>
      <c r="DH10" s="15" t="str">
        <f t="shared" si="46"/>
        <v/>
      </c>
      <c r="DI10" s="15" t="str">
        <f t="shared" si="47"/>
        <v/>
      </c>
      <c r="DJ10" s="15" t="str">
        <f t="shared" si="48"/>
        <v/>
      </c>
      <c r="DK10" s="39"/>
      <c r="DL10" s="39"/>
      <c r="DM10" s="39"/>
      <c r="DN10" s="39"/>
      <c r="DO10" s="39"/>
      <c r="DP10" s="39"/>
      <c r="DQ10" s="39"/>
      <c r="DR10" s="39"/>
      <c r="DS10" s="39"/>
      <c r="DT10" s="39"/>
      <c r="DU10" s="39"/>
      <c r="DV10" s="39"/>
      <c r="DW10" s="39"/>
      <c r="DX10" s="39"/>
      <c r="DY10" s="39"/>
      <c r="DZ10" s="12" t="str">
        <f t="shared" si="49"/>
        <v/>
      </c>
      <c r="EA10" s="12" t="str">
        <f t="shared" si="50"/>
        <v/>
      </c>
      <c r="EB10" s="12" t="str">
        <f t="shared" si="51"/>
        <v/>
      </c>
      <c r="EC10" s="12" t="str">
        <f t="shared" si="52"/>
        <v/>
      </c>
      <c r="ED10" s="12" t="str">
        <f t="shared" si="53"/>
        <v/>
      </c>
      <c r="EE10" s="12" t="str">
        <f t="shared" si="54"/>
        <v/>
      </c>
      <c r="EF10" s="12" t="str">
        <f t="shared" si="55"/>
        <v/>
      </c>
      <c r="EG10" s="40"/>
      <c r="EH10" s="40"/>
      <c r="EI10" s="40"/>
      <c r="EJ10" s="40"/>
      <c r="EK10" s="40"/>
      <c r="EL10" s="40"/>
      <c r="EM10" s="40"/>
      <c r="EN10" s="40"/>
      <c r="EO10" s="40"/>
      <c r="EP10" s="40"/>
      <c r="EQ10" s="40"/>
      <c r="ER10" s="40"/>
      <c r="ES10" s="40"/>
      <c r="ET10" s="40"/>
      <c r="EU10" s="40"/>
      <c r="EV10" s="15" t="str">
        <f t="shared" si="56"/>
        <v/>
      </c>
      <c r="EW10" s="15" t="str">
        <f t="shared" si="57"/>
        <v/>
      </c>
      <c r="EX10" s="15" t="str">
        <f t="shared" si="58"/>
        <v/>
      </c>
      <c r="EY10" s="15" t="str">
        <f t="shared" si="59"/>
        <v/>
      </c>
      <c r="EZ10" s="15" t="str">
        <f t="shared" si="60"/>
        <v/>
      </c>
      <c r="FA10" s="15" t="str">
        <f t="shared" si="61"/>
        <v/>
      </c>
      <c r="FB10" s="15" t="str">
        <f t="shared" si="62"/>
        <v/>
      </c>
      <c r="FC10" s="39"/>
      <c r="FD10" s="39"/>
      <c r="FE10" s="39"/>
      <c r="FF10" s="39"/>
      <c r="FG10" s="39"/>
      <c r="FH10" s="39"/>
      <c r="FI10" s="39"/>
      <c r="FJ10" s="39"/>
      <c r="FK10" s="39"/>
      <c r="FL10" s="39"/>
      <c r="FM10" s="39"/>
      <c r="FN10" s="39"/>
      <c r="FO10" s="39"/>
      <c r="FP10" s="39"/>
      <c r="FQ10" s="39"/>
      <c r="FR10" s="12" t="str">
        <f t="shared" si="63"/>
        <v/>
      </c>
      <c r="FS10" s="12" t="str">
        <f t="shared" si="64"/>
        <v/>
      </c>
      <c r="FT10" s="12" t="str">
        <f t="shared" si="65"/>
        <v/>
      </c>
      <c r="FU10" s="12" t="str">
        <f t="shared" si="66"/>
        <v/>
      </c>
      <c r="FV10" s="12" t="str">
        <f t="shared" si="67"/>
        <v/>
      </c>
      <c r="FW10" s="12" t="str">
        <f t="shared" si="68"/>
        <v/>
      </c>
      <c r="FX10" s="12" t="str">
        <f t="shared" si="69"/>
        <v/>
      </c>
      <c r="FY10" s="40"/>
      <c r="FZ10" s="40"/>
      <c r="GA10" s="40"/>
      <c r="GB10" s="40"/>
      <c r="GC10" s="40"/>
      <c r="GD10" s="40"/>
      <c r="GE10" s="40"/>
      <c r="GF10" s="40"/>
      <c r="GG10" s="40"/>
      <c r="GH10" s="40"/>
      <c r="GI10" s="40"/>
      <c r="GJ10" s="40"/>
      <c r="GK10" s="40"/>
      <c r="GL10" s="40"/>
      <c r="GM10" s="40"/>
      <c r="GN10" s="15" t="str">
        <f t="shared" si="70"/>
        <v/>
      </c>
      <c r="GO10" s="15" t="str">
        <f t="shared" si="71"/>
        <v/>
      </c>
      <c r="GP10" s="15" t="str">
        <f t="shared" si="72"/>
        <v/>
      </c>
      <c r="GQ10" s="15" t="str">
        <f t="shared" si="73"/>
        <v/>
      </c>
      <c r="GR10" s="15" t="str">
        <f t="shared" si="74"/>
        <v/>
      </c>
      <c r="GS10" s="15" t="str">
        <f t="shared" si="75"/>
        <v/>
      </c>
      <c r="GT10" s="15" t="str">
        <f t="shared" si="76"/>
        <v/>
      </c>
      <c r="GU10" s="39"/>
      <c r="GV10" s="39"/>
      <c r="GW10" s="39"/>
      <c r="GX10" s="39"/>
      <c r="GY10" s="39"/>
      <c r="GZ10" s="39"/>
      <c r="HA10" s="39"/>
      <c r="HB10" s="39"/>
      <c r="HC10" s="39"/>
      <c r="HD10" s="39"/>
      <c r="HE10" s="39"/>
      <c r="HF10" s="39"/>
      <c r="HG10" s="39"/>
      <c r="HH10" s="39"/>
      <c r="HI10" s="39"/>
      <c r="HJ10" s="12" t="str">
        <f t="shared" si="77"/>
        <v/>
      </c>
      <c r="HK10" s="12" t="str">
        <f t="shared" si="78"/>
        <v/>
      </c>
      <c r="HL10" s="12" t="str">
        <f t="shared" si="79"/>
        <v/>
      </c>
      <c r="HM10" s="12" t="str">
        <f t="shared" si="80"/>
        <v/>
      </c>
      <c r="HN10" s="12" t="str">
        <f t="shared" si="81"/>
        <v/>
      </c>
      <c r="HO10" s="12" t="str">
        <f t="shared" si="82"/>
        <v/>
      </c>
      <c r="HP10" s="12" t="str">
        <f t="shared" si="83"/>
        <v/>
      </c>
      <c r="HQ10" s="40"/>
      <c r="HR10" s="40"/>
      <c r="HS10" s="40"/>
      <c r="HT10" s="40"/>
      <c r="HU10" s="40"/>
      <c r="HV10" s="40"/>
      <c r="HW10" s="40"/>
      <c r="HX10" s="40"/>
      <c r="HY10" s="40"/>
      <c r="HZ10" s="40"/>
      <c r="IA10" s="40"/>
      <c r="IB10" s="40"/>
      <c r="IC10" s="40"/>
      <c r="ID10" s="40"/>
      <c r="IE10" s="40"/>
      <c r="IF10" s="15" t="str">
        <f t="shared" si="84"/>
        <v/>
      </c>
      <c r="IG10" s="15" t="str">
        <f t="shared" si="85"/>
        <v/>
      </c>
      <c r="IH10" s="15" t="str">
        <f t="shared" si="86"/>
        <v/>
      </c>
      <c r="II10" s="15" t="str">
        <f t="shared" si="87"/>
        <v/>
      </c>
      <c r="IJ10" s="15" t="str">
        <f t="shared" si="88"/>
        <v/>
      </c>
      <c r="IK10" s="15" t="str">
        <f t="shared" si="89"/>
        <v/>
      </c>
      <c r="IL10" s="15" t="str">
        <f t="shared" si="90"/>
        <v/>
      </c>
      <c r="IM10" s="39"/>
      <c r="IN10" s="39"/>
      <c r="IO10" s="39"/>
      <c r="IP10" s="39"/>
      <c r="IQ10" s="39"/>
      <c r="IR10" s="39"/>
      <c r="IS10" s="39"/>
      <c r="IT10" s="39"/>
      <c r="IU10" s="39"/>
      <c r="IV10" s="39"/>
      <c r="IW10" s="39"/>
      <c r="IX10" s="39"/>
      <c r="IY10" s="39"/>
      <c r="IZ10" s="39"/>
      <c r="JA10" s="39"/>
      <c r="JB10" s="12" t="str">
        <f t="shared" si="91"/>
        <v/>
      </c>
      <c r="JC10" s="12" t="str">
        <f t="shared" si="92"/>
        <v/>
      </c>
      <c r="JD10" s="12" t="str">
        <f t="shared" si="93"/>
        <v/>
      </c>
      <c r="JE10" s="12" t="str">
        <f t="shared" si="94"/>
        <v/>
      </c>
      <c r="JF10" s="12" t="str">
        <f t="shared" si="95"/>
        <v/>
      </c>
      <c r="JG10" s="12" t="str">
        <f t="shared" si="96"/>
        <v/>
      </c>
      <c r="JH10" s="12" t="str">
        <f t="shared" si="97"/>
        <v/>
      </c>
      <c r="JI10" s="40"/>
      <c r="JJ10" s="40"/>
      <c r="JK10" s="40"/>
      <c r="JL10" s="40"/>
      <c r="JM10" s="40"/>
      <c r="JN10" s="40"/>
      <c r="JO10" s="40"/>
      <c r="JP10" s="40"/>
      <c r="JQ10" s="40"/>
      <c r="JR10" s="40"/>
      <c r="JS10" s="40"/>
      <c r="JT10" s="40"/>
      <c r="JU10" s="40"/>
      <c r="JV10" s="40"/>
      <c r="JW10" s="40"/>
      <c r="JX10" s="15" t="str">
        <f t="shared" si="98"/>
        <v/>
      </c>
      <c r="JY10" s="15" t="str">
        <f t="shared" si="99"/>
        <v/>
      </c>
      <c r="JZ10" s="15" t="str">
        <f t="shared" si="100"/>
        <v/>
      </c>
      <c r="KA10" s="15" t="str">
        <f t="shared" si="101"/>
        <v/>
      </c>
      <c r="KB10" s="15" t="str">
        <f t="shared" si="102"/>
        <v/>
      </c>
      <c r="KC10" s="15" t="str">
        <f t="shared" si="103"/>
        <v/>
      </c>
      <c r="KD10" s="15" t="str">
        <f t="shared" si="104"/>
        <v/>
      </c>
      <c r="KE10" s="39"/>
      <c r="KF10" s="39"/>
      <c r="KG10" s="39"/>
      <c r="KH10" s="39"/>
      <c r="KI10" s="39"/>
      <c r="KJ10" s="39"/>
      <c r="KK10" s="39"/>
      <c r="KL10" s="39"/>
      <c r="KM10" s="39"/>
      <c r="KN10" s="39"/>
      <c r="KO10" s="39"/>
      <c r="KP10" s="39"/>
      <c r="KQ10" s="39"/>
      <c r="KR10" s="39"/>
      <c r="KS10" s="39"/>
      <c r="KT10" s="12" t="str">
        <f t="shared" si="105"/>
        <v/>
      </c>
      <c r="KU10" s="12" t="str">
        <f t="shared" si="106"/>
        <v/>
      </c>
      <c r="KV10" s="12" t="str">
        <f t="shared" si="107"/>
        <v/>
      </c>
      <c r="KW10" s="12" t="str">
        <f t="shared" si="108"/>
        <v/>
      </c>
      <c r="KX10" s="12" t="str">
        <f t="shared" si="109"/>
        <v/>
      </c>
      <c r="KY10" s="12" t="str">
        <f t="shared" si="110"/>
        <v/>
      </c>
      <c r="KZ10" s="12" t="str">
        <f t="shared" si="111"/>
        <v/>
      </c>
      <c r="LA10" s="40"/>
      <c r="LB10" s="40"/>
      <c r="LC10" s="40"/>
      <c r="LD10" s="40"/>
      <c r="LE10" s="40"/>
      <c r="LF10" s="40"/>
      <c r="LG10" s="40"/>
      <c r="LH10" s="40"/>
      <c r="LI10" s="40"/>
      <c r="LJ10" s="40"/>
      <c r="LK10" s="40"/>
      <c r="LL10" s="40"/>
      <c r="LM10" s="40"/>
      <c r="LN10" s="40"/>
      <c r="LO10" s="40"/>
      <c r="LP10" s="15" t="str">
        <f t="shared" si="112"/>
        <v/>
      </c>
      <c r="LQ10" s="15" t="str">
        <f t="shared" si="113"/>
        <v/>
      </c>
      <c r="LR10" s="15" t="str">
        <f t="shared" si="114"/>
        <v/>
      </c>
      <c r="LS10" s="15" t="str">
        <f t="shared" si="115"/>
        <v/>
      </c>
      <c r="LT10" s="15" t="str">
        <f t="shared" si="116"/>
        <v/>
      </c>
      <c r="LU10" s="15" t="str">
        <f t="shared" si="117"/>
        <v/>
      </c>
      <c r="LV10" s="15" t="str">
        <f t="shared" si="118"/>
        <v/>
      </c>
      <c r="LW10" s="71">
        <f t="shared" si="119"/>
        <v>17.950000000000003</v>
      </c>
      <c r="LX10" s="71">
        <f t="shared" si="120"/>
        <v>9.1750000000000007</v>
      </c>
      <c r="LY10" s="71">
        <f t="shared" si="121"/>
        <v>4.5</v>
      </c>
      <c r="LZ10" s="71">
        <f t="shared" si="122"/>
        <v>15.425000000000001</v>
      </c>
      <c r="MA10" s="71">
        <f t="shared" si="123"/>
        <v>0</v>
      </c>
      <c r="MB10" s="71">
        <f t="shared" si="124"/>
        <v>14.5</v>
      </c>
      <c r="MC10" s="71">
        <f t="shared" si="125"/>
        <v>9.3000000000000007</v>
      </c>
      <c r="MD10" s="71">
        <f t="shared" si="126"/>
        <v>12.7</v>
      </c>
      <c r="ME10" s="71">
        <f t="shared" si="127"/>
        <v>14.212499999999999</v>
      </c>
      <c r="MF10" s="71">
        <f t="shared" si="128"/>
        <v>0</v>
      </c>
      <c r="MG10" s="71">
        <f t="shared" si="129"/>
        <v>14.54</v>
      </c>
      <c r="MH10" s="71">
        <f t="shared" si="130"/>
        <v>8.7249999999999996</v>
      </c>
      <c r="MI10" s="71">
        <f t="shared" si="131"/>
        <v>12.8</v>
      </c>
      <c r="MJ10" s="71">
        <f t="shared" si="132"/>
        <v>14.31</v>
      </c>
      <c r="MK10" s="71">
        <f t="shared" si="133"/>
        <v>0</v>
      </c>
      <c r="ML10" s="82" t="s">
        <v>100</v>
      </c>
      <c r="MM10" s="12">
        <f t="shared" si="140"/>
        <v>12.7</v>
      </c>
      <c r="MN10" s="12">
        <f t="shared" si="141"/>
        <v>47.050000000000004</v>
      </c>
      <c r="MO10" s="12">
        <f t="shared" si="142"/>
        <v>50.712499999999999</v>
      </c>
      <c r="MP10" s="12">
        <f t="shared" si="143"/>
        <v>97.762500000000003</v>
      </c>
      <c r="MQ10" s="12">
        <f t="shared" si="144"/>
        <v>12.8</v>
      </c>
      <c r="MR10" s="12">
        <f t="shared" si="145"/>
        <v>50.375</v>
      </c>
      <c r="MS10" s="12">
        <f t="shared" si="146"/>
        <v>148.13749999999999</v>
      </c>
    </row>
    <row r="11" spans="1:357" x14ac:dyDescent="0.2">
      <c r="A11" s="6" t="str">
        <f t="shared" si="0"/>
        <v/>
      </c>
      <c r="B11" s="9" t="s">
        <v>87</v>
      </c>
      <c r="C11" s="5" t="s">
        <v>5</v>
      </c>
      <c r="D11" s="29">
        <v>1999</v>
      </c>
      <c r="E11" s="16">
        <f t="shared" si="1"/>
        <v>244.52000000000004</v>
      </c>
      <c r="F11" s="4" t="str">
        <f t="shared" si="2"/>
        <v>P</v>
      </c>
      <c r="G11" s="4" t="str">
        <f t="shared" si="3"/>
        <v/>
      </c>
      <c r="H11" s="4" t="str">
        <f t="shared" si="4"/>
        <v/>
      </c>
      <c r="I11" t="str">
        <f t="shared" si="5"/>
        <v/>
      </c>
      <c r="J11" s="15">
        <f t="shared" si="6"/>
        <v>95.642499999999998</v>
      </c>
      <c r="K11" s="15" t="str">
        <f t="shared" si="7"/>
        <v>2019 Elite Canada</v>
      </c>
      <c r="L11" s="15">
        <f t="shared" si="8"/>
        <v>46.255000000000003</v>
      </c>
      <c r="M11" s="15" t="str">
        <f t="shared" si="9"/>
        <v>2019 Nationals</v>
      </c>
      <c r="N11" s="15">
        <f t="shared" si="10"/>
        <v>44.95</v>
      </c>
      <c r="O11" s="15" t="str">
        <f t="shared" si="11"/>
        <v>2019 Nationals</v>
      </c>
      <c r="P11" s="15">
        <f t="shared" si="12"/>
        <v>51.612499999999997</v>
      </c>
      <c r="Q11" s="15" t="str">
        <f t="shared" si="13"/>
        <v>2019 Elite Canada</v>
      </c>
      <c r="R11" s="15">
        <f t="shared" si="14"/>
        <v>6.0599999999999881</v>
      </c>
      <c r="S11" s="27" t="str">
        <f t="shared" si="15"/>
        <v>(Vol 2)</v>
      </c>
      <c r="T11" s="15" t="str">
        <f t="shared" si="16"/>
        <v>2018 World Age Groups (Nov 18)</v>
      </c>
      <c r="U11" s="39">
        <v>17.899999999999999</v>
      </c>
      <c r="V11" s="39">
        <v>8.875</v>
      </c>
      <c r="W11" s="39">
        <v>3.4000000000000004</v>
      </c>
      <c r="X11" s="39">
        <v>15.202500000000001</v>
      </c>
      <c r="Y11" s="39">
        <v>0</v>
      </c>
      <c r="Z11" s="39">
        <v>14.75</v>
      </c>
      <c r="AA11" s="39">
        <v>9.2250000000000014</v>
      </c>
      <c r="AB11" s="39">
        <v>11.85</v>
      </c>
      <c r="AC11" s="39">
        <v>14.440000000000001</v>
      </c>
      <c r="AD11" s="39">
        <v>0</v>
      </c>
      <c r="AE11" s="39">
        <v>15.35</v>
      </c>
      <c r="AF11" s="39">
        <v>9.1999999999999993</v>
      </c>
      <c r="AG11" s="39">
        <v>12.399999999999999</v>
      </c>
      <c r="AH11" s="39">
        <v>14.6625</v>
      </c>
      <c r="AI11" s="39">
        <v>0</v>
      </c>
      <c r="AJ11" s="82" t="s">
        <v>100</v>
      </c>
      <c r="AK11" s="12">
        <f t="shared" si="17"/>
        <v>11.85</v>
      </c>
      <c r="AL11" s="12">
        <f t="shared" si="18"/>
        <v>45.377499999999998</v>
      </c>
      <c r="AM11" s="12">
        <f t="shared" si="19"/>
        <v>50.265000000000001</v>
      </c>
      <c r="AN11" s="12">
        <f t="shared" si="20"/>
        <v>95.642499999999998</v>
      </c>
      <c r="AO11" s="12">
        <f t="shared" si="21"/>
        <v>12.399999999999999</v>
      </c>
      <c r="AP11" s="12">
        <f t="shared" si="22"/>
        <v>51.612499999999997</v>
      </c>
      <c r="AQ11" s="12">
        <f t="shared" si="23"/>
        <v>147.255</v>
      </c>
      <c r="AR11" s="77">
        <v>16.5</v>
      </c>
      <c r="AS11" s="77">
        <v>9.6</v>
      </c>
      <c r="AT11" s="77">
        <v>4.9000000000000004</v>
      </c>
      <c r="AU11" s="77">
        <v>15.255000000000001</v>
      </c>
      <c r="AV11" s="77">
        <v>0</v>
      </c>
      <c r="AW11" s="77">
        <v>12.1</v>
      </c>
      <c r="AX11" s="77">
        <v>7.9</v>
      </c>
      <c r="AY11" s="77">
        <v>11.7</v>
      </c>
      <c r="AZ11" s="77">
        <v>13.25</v>
      </c>
      <c r="BA11" s="77">
        <v>0</v>
      </c>
      <c r="BB11" s="77">
        <v>13.6</v>
      </c>
      <c r="BC11" s="77">
        <v>9.5</v>
      </c>
      <c r="BD11" s="77">
        <v>12.9</v>
      </c>
      <c r="BE11" s="77">
        <v>14.42</v>
      </c>
      <c r="BF11" s="77"/>
      <c r="BG11" s="83"/>
      <c r="BH11" s="15">
        <f t="shared" si="24"/>
        <v>11.7</v>
      </c>
      <c r="BI11" s="15">
        <f t="shared" si="25"/>
        <v>46.255000000000003</v>
      </c>
      <c r="BJ11" s="15">
        <f t="shared" si="26"/>
        <v>44.95</v>
      </c>
      <c r="BK11" s="15">
        <f t="shared" si="27"/>
        <v>91.205000000000013</v>
      </c>
      <c r="BL11" s="15">
        <f t="shared" si="28"/>
        <v>12.9</v>
      </c>
      <c r="BM11" s="15">
        <f t="shared" si="29"/>
        <v>50.42</v>
      </c>
      <c r="BN11" s="15">
        <f t="shared" si="30"/>
        <v>141.625</v>
      </c>
      <c r="BO11" s="26" t="str">
        <f t="shared" si="31"/>
        <v/>
      </c>
      <c r="BP11" s="26">
        <f t="shared" si="32"/>
        <v>6.0599999999999881</v>
      </c>
      <c r="BQ11" s="26" t="str">
        <f t="shared" si="33"/>
        <v/>
      </c>
      <c r="BR11" s="26" t="str">
        <f t="shared" si="34"/>
        <v/>
      </c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12" t="str">
        <f t="shared" si="35"/>
        <v/>
      </c>
      <c r="CI11" s="12" t="str">
        <f t="shared" si="36"/>
        <v/>
      </c>
      <c r="CJ11" s="12" t="str">
        <f t="shared" si="37"/>
        <v/>
      </c>
      <c r="CK11" s="12" t="str">
        <f t="shared" si="38"/>
        <v/>
      </c>
      <c r="CL11" s="12" t="str">
        <f t="shared" si="39"/>
        <v/>
      </c>
      <c r="CM11" s="12" t="str">
        <f t="shared" si="40"/>
        <v/>
      </c>
      <c r="CN11" s="12" t="str">
        <f t="shared" si="41"/>
        <v/>
      </c>
      <c r="CO11" s="40"/>
      <c r="CP11" s="40"/>
      <c r="CQ11" s="40"/>
      <c r="CR11" s="40"/>
      <c r="CS11" s="40"/>
      <c r="CT11" s="40"/>
      <c r="CU11" s="40"/>
      <c r="CV11" s="40"/>
      <c r="CW11" s="40"/>
      <c r="CX11" s="40"/>
      <c r="CY11" s="40"/>
      <c r="CZ11" s="40"/>
      <c r="DA11" s="40"/>
      <c r="DB11" s="40"/>
      <c r="DC11" s="40"/>
      <c r="DD11" s="15" t="str">
        <f t="shared" si="42"/>
        <v/>
      </c>
      <c r="DE11" s="15" t="str">
        <f t="shared" si="43"/>
        <v/>
      </c>
      <c r="DF11" s="15" t="str">
        <f t="shared" si="44"/>
        <v/>
      </c>
      <c r="DG11" s="15" t="str">
        <f t="shared" si="45"/>
        <v/>
      </c>
      <c r="DH11" s="15" t="str">
        <f t="shared" si="46"/>
        <v/>
      </c>
      <c r="DI11" s="15" t="str">
        <f t="shared" si="47"/>
        <v/>
      </c>
      <c r="DJ11" s="15" t="str">
        <f t="shared" si="48"/>
        <v/>
      </c>
      <c r="DK11" s="39"/>
      <c r="DL11" s="39"/>
      <c r="DM11" s="39"/>
      <c r="DN11" s="39"/>
      <c r="DO11" s="39"/>
      <c r="DP11" s="39"/>
      <c r="DQ11" s="39"/>
      <c r="DR11" s="39"/>
      <c r="DS11" s="39"/>
      <c r="DT11" s="39"/>
      <c r="DU11" s="39"/>
      <c r="DV11" s="39"/>
      <c r="DW11" s="39"/>
      <c r="DX11" s="39"/>
      <c r="DY11" s="39"/>
      <c r="DZ11" s="12" t="str">
        <f t="shared" si="49"/>
        <v/>
      </c>
      <c r="EA11" s="12" t="str">
        <f t="shared" si="50"/>
        <v/>
      </c>
      <c r="EB11" s="12" t="str">
        <f t="shared" si="51"/>
        <v/>
      </c>
      <c r="EC11" s="12" t="str">
        <f t="shared" si="52"/>
        <v/>
      </c>
      <c r="ED11" s="12" t="str">
        <f t="shared" si="53"/>
        <v/>
      </c>
      <c r="EE11" s="12" t="str">
        <f t="shared" si="54"/>
        <v/>
      </c>
      <c r="EF11" s="12" t="str">
        <f t="shared" si="55"/>
        <v/>
      </c>
      <c r="EG11" s="40">
        <v>1.6</v>
      </c>
      <c r="EH11" s="40">
        <v>0.8</v>
      </c>
      <c r="EI11" s="40">
        <v>0</v>
      </c>
      <c r="EJ11" s="40">
        <v>1.73</v>
      </c>
      <c r="EK11" s="40">
        <v>0</v>
      </c>
      <c r="EL11" s="40">
        <v>14.8</v>
      </c>
      <c r="EM11" s="40">
        <v>9.1</v>
      </c>
      <c r="EN11" s="40">
        <v>12.2</v>
      </c>
      <c r="EO11" s="40">
        <v>14.91</v>
      </c>
      <c r="EP11" s="40"/>
      <c r="EQ11" s="40"/>
      <c r="ER11" s="40"/>
      <c r="ES11" s="40"/>
      <c r="ET11" s="40"/>
      <c r="EU11" s="40"/>
      <c r="EV11" s="15">
        <f t="shared" si="56"/>
        <v>12.2</v>
      </c>
      <c r="EW11" s="15">
        <f t="shared" si="57"/>
        <v>4.1300000000000008</v>
      </c>
      <c r="EX11" s="15">
        <f t="shared" si="58"/>
        <v>51.009999999999991</v>
      </c>
      <c r="EY11" s="15">
        <f t="shared" si="59"/>
        <v>55.139999999999993</v>
      </c>
      <c r="EZ11" s="15" t="str">
        <f t="shared" si="60"/>
        <v/>
      </c>
      <c r="FA11" s="15" t="str">
        <f t="shared" si="61"/>
        <v/>
      </c>
      <c r="FB11" s="15">
        <f t="shared" si="62"/>
        <v>55.139999999999993</v>
      </c>
      <c r="FC11" s="39"/>
      <c r="FD11" s="39"/>
      <c r="FE11" s="39"/>
      <c r="FF11" s="39"/>
      <c r="FG11" s="39"/>
      <c r="FH11" s="39"/>
      <c r="FI11" s="39"/>
      <c r="FJ11" s="39"/>
      <c r="FK11" s="39"/>
      <c r="FL11" s="39"/>
      <c r="FM11" s="39"/>
      <c r="FN11" s="39"/>
      <c r="FO11" s="39"/>
      <c r="FP11" s="39"/>
      <c r="FQ11" s="39"/>
      <c r="FR11" s="12" t="str">
        <f t="shared" si="63"/>
        <v/>
      </c>
      <c r="FS11" s="12" t="str">
        <f t="shared" si="64"/>
        <v/>
      </c>
      <c r="FT11" s="12" t="str">
        <f t="shared" si="65"/>
        <v/>
      </c>
      <c r="FU11" s="12" t="str">
        <f t="shared" si="66"/>
        <v/>
      </c>
      <c r="FV11" s="12" t="str">
        <f t="shared" si="67"/>
        <v/>
      </c>
      <c r="FW11" s="12" t="str">
        <f t="shared" si="68"/>
        <v/>
      </c>
      <c r="FX11" s="12" t="str">
        <f t="shared" si="69"/>
        <v/>
      </c>
      <c r="FY11" s="40"/>
      <c r="FZ11" s="40"/>
      <c r="GA11" s="40"/>
      <c r="GB11" s="40"/>
      <c r="GC11" s="40"/>
      <c r="GD11" s="40"/>
      <c r="GE11" s="40"/>
      <c r="GF11" s="40"/>
      <c r="GG11" s="40"/>
      <c r="GH11" s="40"/>
      <c r="GI11" s="40"/>
      <c r="GJ11" s="40"/>
      <c r="GK11" s="40"/>
      <c r="GL11" s="40"/>
      <c r="GM11" s="40"/>
      <c r="GN11" s="15" t="str">
        <f t="shared" si="70"/>
        <v/>
      </c>
      <c r="GO11" s="15" t="str">
        <f t="shared" si="71"/>
        <v/>
      </c>
      <c r="GP11" s="15" t="str">
        <f t="shared" si="72"/>
        <v/>
      </c>
      <c r="GQ11" s="15" t="str">
        <f t="shared" si="73"/>
        <v/>
      </c>
      <c r="GR11" s="15" t="str">
        <f t="shared" si="74"/>
        <v/>
      </c>
      <c r="GS11" s="15" t="str">
        <f t="shared" si="75"/>
        <v/>
      </c>
      <c r="GT11" s="15" t="str">
        <f t="shared" si="76"/>
        <v/>
      </c>
      <c r="GU11" s="39"/>
      <c r="GV11" s="39"/>
      <c r="GW11" s="39"/>
      <c r="GX11" s="39"/>
      <c r="GY11" s="39"/>
      <c r="GZ11" s="39"/>
      <c r="HA11" s="39"/>
      <c r="HB11" s="39"/>
      <c r="HC11" s="39"/>
      <c r="HD11" s="39"/>
      <c r="HE11" s="39"/>
      <c r="HF11" s="39"/>
      <c r="HG11" s="39"/>
      <c r="HH11" s="39"/>
      <c r="HI11" s="39"/>
      <c r="HJ11" s="12" t="str">
        <f t="shared" si="77"/>
        <v/>
      </c>
      <c r="HK11" s="12" t="str">
        <f t="shared" si="78"/>
        <v/>
      </c>
      <c r="HL11" s="12" t="str">
        <f t="shared" si="79"/>
        <v/>
      </c>
      <c r="HM11" s="12" t="str">
        <f t="shared" si="80"/>
        <v/>
      </c>
      <c r="HN11" s="12" t="str">
        <f t="shared" si="81"/>
        <v/>
      </c>
      <c r="HO11" s="12" t="str">
        <f t="shared" si="82"/>
        <v/>
      </c>
      <c r="HP11" s="12" t="str">
        <f t="shared" si="83"/>
        <v/>
      </c>
      <c r="HQ11" s="40"/>
      <c r="HR11" s="40"/>
      <c r="HS11" s="40"/>
      <c r="HT11" s="40"/>
      <c r="HU11" s="40"/>
      <c r="HV11" s="40"/>
      <c r="HW11" s="40"/>
      <c r="HX11" s="40"/>
      <c r="HY11" s="40"/>
      <c r="HZ11" s="40"/>
      <c r="IA11" s="40"/>
      <c r="IB11" s="40"/>
      <c r="IC11" s="40"/>
      <c r="ID11" s="40"/>
      <c r="IE11" s="40"/>
      <c r="IF11" s="15" t="str">
        <f t="shared" si="84"/>
        <v/>
      </c>
      <c r="IG11" s="15" t="str">
        <f t="shared" si="85"/>
        <v/>
      </c>
      <c r="IH11" s="15" t="str">
        <f t="shared" si="86"/>
        <v/>
      </c>
      <c r="II11" s="15" t="str">
        <f t="shared" si="87"/>
        <v/>
      </c>
      <c r="IJ11" s="15" t="str">
        <f t="shared" si="88"/>
        <v/>
      </c>
      <c r="IK11" s="15" t="str">
        <f t="shared" si="89"/>
        <v/>
      </c>
      <c r="IL11" s="15" t="str">
        <f t="shared" si="90"/>
        <v/>
      </c>
      <c r="IM11" s="39"/>
      <c r="IN11" s="39"/>
      <c r="IO11" s="39"/>
      <c r="IP11" s="39"/>
      <c r="IQ11" s="39"/>
      <c r="IR11" s="39"/>
      <c r="IS11" s="39"/>
      <c r="IT11" s="39"/>
      <c r="IU11" s="39"/>
      <c r="IV11" s="39"/>
      <c r="IW11" s="39"/>
      <c r="IX11" s="39"/>
      <c r="IY11" s="39"/>
      <c r="IZ11" s="39"/>
      <c r="JA11" s="39"/>
      <c r="JB11" s="12" t="str">
        <f t="shared" si="91"/>
        <v/>
      </c>
      <c r="JC11" s="12" t="str">
        <f t="shared" si="92"/>
        <v/>
      </c>
      <c r="JD11" s="12" t="str">
        <f t="shared" si="93"/>
        <v/>
      </c>
      <c r="JE11" s="12" t="str">
        <f t="shared" si="94"/>
        <v/>
      </c>
      <c r="JF11" s="12" t="str">
        <f t="shared" si="95"/>
        <v/>
      </c>
      <c r="JG11" s="12" t="str">
        <f t="shared" si="96"/>
        <v/>
      </c>
      <c r="JH11" s="12" t="str">
        <f t="shared" si="97"/>
        <v/>
      </c>
      <c r="JI11" s="40"/>
      <c r="JJ11" s="40"/>
      <c r="JK11" s="40"/>
      <c r="JL11" s="40"/>
      <c r="JM11" s="40"/>
      <c r="JN11" s="40"/>
      <c r="JO11" s="40"/>
      <c r="JP11" s="40"/>
      <c r="JQ11" s="40"/>
      <c r="JR11" s="40"/>
      <c r="JS11" s="40"/>
      <c r="JT11" s="40"/>
      <c r="JU11" s="40"/>
      <c r="JV11" s="40"/>
      <c r="JW11" s="40"/>
      <c r="JX11" s="15" t="str">
        <f t="shared" si="98"/>
        <v/>
      </c>
      <c r="JY11" s="15" t="str">
        <f t="shared" si="99"/>
        <v/>
      </c>
      <c r="JZ11" s="15" t="str">
        <f t="shared" si="100"/>
        <v/>
      </c>
      <c r="KA11" s="15" t="str">
        <f t="shared" si="101"/>
        <v/>
      </c>
      <c r="KB11" s="15" t="str">
        <f t="shared" si="102"/>
        <v/>
      </c>
      <c r="KC11" s="15" t="str">
        <f t="shared" si="103"/>
        <v/>
      </c>
      <c r="KD11" s="15" t="str">
        <f t="shared" si="104"/>
        <v/>
      </c>
      <c r="KE11" s="39"/>
      <c r="KF11" s="39"/>
      <c r="KG11" s="39"/>
      <c r="KH11" s="39"/>
      <c r="KI11" s="39"/>
      <c r="KJ11" s="39"/>
      <c r="KK11" s="39"/>
      <c r="KL11" s="39"/>
      <c r="KM11" s="39"/>
      <c r="KN11" s="39"/>
      <c r="KO11" s="39"/>
      <c r="KP11" s="39"/>
      <c r="KQ11" s="39"/>
      <c r="KR11" s="39"/>
      <c r="KS11" s="39"/>
      <c r="KT11" s="12" t="str">
        <f t="shared" si="105"/>
        <v/>
      </c>
      <c r="KU11" s="12" t="str">
        <f t="shared" si="106"/>
        <v/>
      </c>
      <c r="KV11" s="12" t="str">
        <f t="shared" si="107"/>
        <v/>
      </c>
      <c r="KW11" s="12" t="str">
        <f t="shared" si="108"/>
        <v/>
      </c>
      <c r="KX11" s="12" t="str">
        <f t="shared" si="109"/>
        <v/>
      </c>
      <c r="KY11" s="12" t="str">
        <f t="shared" si="110"/>
        <v/>
      </c>
      <c r="KZ11" s="12" t="str">
        <f t="shared" si="111"/>
        <v/>
      </c>
      <c r="LA11" s="40"/>
      <c r="LB11" s="40"/>
      <c r="LC11" s="40"/>
      <c r="LD11" s="40"/>
      <c r="LE11" s="40"/>
      <c r="LF11" s="40"/>
      <c r="LG11" s="40"/>
      <c r="LH11" s="40"/>
      <c r="LI11" s="40"/>
      <c r="LJ11" s="40"/>
      <c r="LK11" s="40"/>
      <c r="LL11" s="40"/>
      <c r="LM11" s="40"/>
      <c r="LN11" s="40"/>
      <c r="LO11" s="40"/>
      <c r="LP11" s="15" t="str">
        <f t="shared" si="112"/>
        <v/>
      </c>
      <c r="LQ11" s="15" t="str">
        <f t="shared" si="113"/>
        <v/>
      </c>
      <c r="LR11" s="15" t="str">
        <f t="shared" si="114"/>
        <v/>
      </c>
      <c r="LS11" s="15" t="str">
        <f t="shared" si="115"/>
        <v/>
      </c>
      <c r="LT11" s="15" t="str">
        <f t="shared" si="116"/>
        <v/>
      </c>
      <c r="LU11" s="15" t="str">
        <f t="shared" si="117"/>
        <v/>
      </c>
      <c r="LV11" s="15" t="str">
        <f t="shared" si="118"/>
        <v/>
      </c>
      <c r="LW11" s="71">
        <f t="shared" si="119"/>
        <v>17.2</v>
      </c>
      <c r="LX11" s="71">
        <f t="shared" si="120"/>
        <v>9.2375000000000007</v>
      </c>
      <c r="LY11" s="71">
        <f t="shared" si="121"/>
        <v>4.1500000000000004</v>
      </c>
      <c r="LZ11" s="71">
        <f t="shared" si="122"/>
        <v>15.228750000000002</v>
      </c>
      <c r="MA11" s="71">
        <f t="shared" si="123"/>
        <v>0</v>
      </c>
      <c r="MB11" s="71">
        <f t="shared" si="124"/>
        <v>13.425000000000001</v>
      </c>
      <c r="MC11" s="71">
        <f t="shared" si="125"/>
        <v>8.5625</v>
      </c>
      <c r="MD11" s="71">
        <f t="shared" si="126"/>
        <v>11.774999999999999</v>
      </c>
      <c r="ME11" s="71">
        <f t="shared" si="127"/>
        <v>13.845000000000001</v>
      </c>
      <c r="MF11" s="71">
        <f t="shared" si="128"/>
        <v>0</v>
      </c>
      <c r="MG11" s="71">
        <f t="shared" si="129"/>
        <v>14.475</v>
      </c>
      <c r="MH11" s="71">
        <f t="shared" si="130"/>
        <v>9.35</v>
      </c>
      <c r="MI11" s="71">
        <f t="shared" si="131"/>
        <v>12.649999999999999</v>
      </c>
      <c r="MJ11" s="71">
        <f t="shared" si="132"/>
        <v>14.54125</v>
      </c>
      <c r="MK11" s="71">
        <f t="shared" si="133"/>
        <v>0</v>
      </c>
      <c r="ML11" s="82" t="s">
        <v>100</v>
      </c>
      <c r="MM11" s="12">
        <f t="shared" si="140"/>
        <v>11.774999999999999</v>
      </c>
      <c r="MN11" s="12">
        <f t="shared" si="141"/>
        <v>45.816249999999997</v>
      </c>
      <c r="MO11" s="12">
        <f t="shared" si="142"/>
        <v>47.607500000000002</v>
      </c>
      <c r="MP11" s="12">
        <f t="shared" si="143"/>
        <v>93.423749999999998</v>
      </c>
      <c r="MQ11" s="12">
        <f t="shared" si="144"/>
        <v>12.649999999999999</v>
      </c>
      <c r="MR11" s="12">
        <f t="shared" si="145"/>
        <v>51.016249999999992</v>
      </c>
      <c r="MS11" s="12">
        <f t="shared" si="146"/>
        <v>144.44</v>
      </c>
    </row>
    <row r="12" spans="1:357" x14ac:dyDescent="0.2">
      <c r="A12" s="6" t="str">
        <f t="shared" si="0"/>
        <v/>
      </c>
      <c r="B12" s="9" t="s">
        <v>36</v>
      </c>
      <c r="C12" s="5" t="s">
        <v>3</v>
      </c>
      <c r="D12" s="29">
        <v>1995</v>
      </c>
      <c r="E12" s="16">
        <f t="shared" si="1"/>
        <v>245.43000000000004</v>
      </c>
      <c r="F12" s="4" t="str">
        <f t="shared" si="2"/>
        <v/>
      </c>
      <c r="G12" s="4" t="str">
        <f t="shared" si="3"/>
        <v/>
      </c>
      <c r="H12" s="4" t="str">
        <f t="shared" si="4"/>
        <v/>
      </c>
      <c r="I12" t="str">
        <f t="shared" si="5"/>
        <v/>
      </c>
      <c r="J12" s="15">
        <f t="shared" si="6"/>
        <v>97.867500000000007</v>
      </c>
      <c r="K12" s="15" t="str">
        <f t="shared" si="7"/>
        <v>2019 Nationals</v>
      </c>
      <c r="L12" s="15">
        <f t="shared" si="8"/>
        <v>46.21</v>
      </c>
      <c r="M12" s="15" t="str">
        <f t="shared" si="9"/>
        <v>2019 Elite Canada</v>
      </c>
      <c r="N12" s="15">
        <f t="shared" si="10"/>
        <v>49.7</v>
      </c>
      <c r="O12" s="15" t="str">
        <f t="shared" si="11"/>
        <v>2019 Elite Canada</v>
      </c>
      <c r="P12" s="15">
        <f t="shared" si="12"/>
        <v>51.652500000000003</v>
      </c>
      <c r="Q12" s="15" t="str">
        <f t="shared" si="13"/>
        <v>2019 Nationals</v>
      </c>
      <c r="R12" s="15" t="str">
        <f t="shared" si="14"/>
        <v/>
      </c>
      <c r="S12" s="27" t="str">
        <f t="shared" si="15"/>
        <v/>
      </c>
      <c r="T12" s="15" t="str">
        <f t="shared" si="16"/>
        <v/>
      </c>
      <c r="U12" s="71">
        <v>15.6</v>
      </c>
      <c r="V12" s="71">
        <v>9.3000000000000007</v>
      </c>
      <c r="W12" s="71">
        <v>5.3</v>
      </c>
      <c r="X12" s="71">
        <v>16.010000000000002</v>
      </c>
      <c r="Y12" s="71">
        <v>0</v>
      </c>
      <c r="Z12" s="71">
        <v>13.9</v>
      </c>
      <c r="AA12" s="71">
        <v>9</v>
      </c>
      <c r="AB12" s="71">
        <v>11.5</v>
      </c>
      <c r="AC12" s="71">
        <v>15.3</v>
      </c>
      <c r="AD12" s="71">
        <v>0</v>
      </c>
      <c r="AE12" s="71">
        <v>15.3</v>
      </c>
      <c r="AF12" s="71">
        <v>9.1</v>
      </c>
      <c r="AG12" s="71">
        <v>11.6</v>
      </c>
      <c r="AH12" s="71">
        <v>15.645</v>
      </c>
      <c r="AI12" s="71">
        <v>0</v>
      </c>
      <c r="AJ12" s="82"/>
      <c r="AK12" s="12">
        <f t="shared" si="17"/>
        <v>11.5</v>
      </c>
      <c r="AL12" s="12">
        <f t="shared" si="18"/>
        <v>46.21</v>
      </c>
      <c r="AM12" s="12">
        <f t="shared" si="19"/>
        <v>49.7</v>
      </c>
      <c r="AN12" s="12">
        <f t="shared" si="20"/>
        <v>95.91</v>
      </c>
      <c r="AO12" s="12">
        <f t="shared" si="21"/>
        <v>11.6</v>
      </c>
      <c r="AP12" s="12">
        <f t="shared" si="22"/>
        <v>51.644999999999996</v>
      </c>
      <c r="AQ12" s="12">
        <f t="shared" si="23"/>
        <v>147.55500000000001</v>
      </c>
      <c r="AR12" s="77">
        <v>16.399999999999999</v>
      </c>
      <c r="AS12" s="77">
        <v>9.25</v>
      </c>
      <c r="AT12" s="77">
        <v>5.4499999999999993</v>
      </c>
      <c r="AU12" s="77">
        <v>16.1325</v>
      </c>
      <c r="AV12" s="77">
        <v>0</v>
      </c>
      <c r="AW12" s="77">
        <v>14.05</v>
      </c>
      <c r="AX12" s="77">
        <v>9.1</v>
      </c>
      <c r="AY12" s="77">
        <v>12.25</v>
      </c>
      <c r="AZ12" s="77">
        <v>15.335000000000001</v>
      </c>
      <c r="BA12" s="77">
        <v>0.1</v>
      </c>
      <c r="BB12" s="77">
        <v>14.75</v>
      </c>
      <c r="BC12" s="77">
        <v>9.1999999999999993</v>
      </c>
      <c r="BD12" s="77">
        <v>12</v>
      </c>
      <c r="BE12" s="77">
        <v>15.702500000000001</v>
      </c>
      <c r="BF12" s="77">
        <v>0</v>
      </c>
      <c r="BG12" s="83" t="s">
        <v>100</v>
      </c>
      <c r="BH12" s="15">
        <f t="shared" si="24"/>
        <v>12.25</v>
      </c>
      <c r="BI12" s="15">
        <f t="shared" si="25"/>
        <v>47.232500000000002</v>
      </c>
      <c r="BJ12" s="15">
        <f t="shared" si="26"/>
        <v>50.634999999999998</v>
      </c>
      <c r="BK12" s="15">
        <f t="shared" si="27"/>
        <v>97.867500000000007</v>
      </c>
      <c r="BL12" s="15">
        <f t="shared" si="28"/>
        <v>12</v>
      </c>
      <c r="BM12" s="15">
        <f t="shared" si="29"/>
        <v>51.652500000000003</v>
      </c>
      <c r="BN12" s="15">
        <f t="shared" si="30"/>
        <v>149.52000000000001</v>
      </c>
      <c r="BO12" s="26" t="str">
        <f t="shared" si="31"/>
        <v/>
      </c>
      <c r="BP12" s="26" t="str">
        <f t="shared" si="32"/>
        <v/>
      </c>
      <c r="BQ12" s="26" t="str">
        <f t="shared" si="33"/>
        <v/>
      </c>
      <c r="BR12" s="26" t="str">
        <f t="shared" si="34"/>
        <v/>
      </c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12" t="str">
        <f t="shared" si="35"/>
        <v/>
      </c>
      <c r="CI12" s="12" t="str">
        <f t="shared" si="36"/>
        <v/>
      </c>
      <c r="CJ12" s="12" t="str">
        <f t="shared" si="37"/>
        <v/>
      </c>
      <c r="CK12" s="12" t="str">
        <f t="shared" si="38"/>
        <v/>
      </c>
      <c r="CL12" s="12" t="str">
        <f t="shared" si="39"/>
        <v/>
      </c>
      <c r="CM12" s="12" t="str">
        <f t="shared" si="40"/>
        <v/>
      </c>
      <c r="CN12" s="12" t="str">
        <f t="shared" si="41"/>
        <v/>
      </c>
      <c r="CO12" s="40"/>
      <c r="CP12" s="40"/>
      <c r="CQ12" s="40"/>
      <c r="CR12" s="40"/>
      <c r="CS12" s="40"/>
      <c r="CT12" s="40"/>
      <c r="CU12" s="40"/>
      <c r="CV12" s="40"/>
      <c r="CW12" s="40"/>
      <c r="CX12" s="40"/>
      <c r="CY12" s="40"/>
      <c r="CZ12" s="40"/>
      <c r="DA12" s="40"/>
      <c r="DB12" s="40"/>
      <c r="DC12" s="40"/>
      <c r="DD12" s="15" t="str">
        <f t="shared" si="42"/>
        <v/>
      </c>
      <c r="DE12" s="15" t="str">
        <f t="shared" si="43"/>
        <v/>
      </c>
      <c r="DF12" s="15" t="str">
        <f t="shared" si="44"/>
        <v/>
      </c>
      <c r="DG12" s="15" t="str">
        <f t="shared" si="45"/>
        <v/>
      </c>
      <c r="DH12" s="15" t="str">
        <f t="shared" si="46"/>
        <v/>
      </c>
      <c r="DI12" s="15" t="str">
        <f t="shared" si="47"/>
        <v/>
      </c>
      <c r="DJ12" s="15" t="str">
        <f t="shared" si="48"/>
        <v/>
      </c>
      <c r="DK12" s="39"/>
      <c r="DL12" s="39"/>
      <c r="DM12" s="39"/>
      <c r="DN12" s="39"/>
      <c r="DO12" s="39"/>
      <c r="DP12" s="39"/>
      <c r="DQ12" s="39"/>
      <c r="DR12" s="39"/>
      <c r="DS12" s="39"/>
      <c r="DT12" s="39"/>
      <c r="DU12" s="39"/>
      <c r="DV12" s="39"/>
      <c r="DW12" s="39"/>
      <c r="DX12" s="39"/>
      <c r="DY12" s="39"/>
      <c r="DZ12" s="12" t="str">
        <f t="shared" si="49"/>
        <v/>
      </c>
      <c r="EA12" s="12" t="str">
        <f t="shared" si="50"/>
        <v/>
      </c>
      <c r="EB12" s="12" t="str">
        <f t="shared" si="51"/>
        <v/>
      </c>
      <c r="EC12" s="12" t="str">
        <f t="shared" si="52"/>
        <v/>
      </c>
      <c r="ED12" s="12" t="str">
        <f t="shared" si="53"/>
        <v/>
      </c>
      <c r="EE12" s="12" t="str">
        <f t="shared" si="54"/>
        <v/>
      </c>
      <c r="EF12" s="12" t="str">
        <f t="shared" si="55"/>
        <v/>
      </c>
      <c r="EG12" s="40"/>
      <c r="EH12" s="40"/>
      <c r="EI12" s="40"/>
      <c r="EJ12" s="40"/>
      <c r="EK12" s="40"/>
      <c r="EL12" s="40"/>
      <c r="EM12" s="40"/>
      <c r="EN12" s="40"/>
      <c r="EO12" s="40"/>
      <c r="EP12" s="40"/>
      <c r="EQ12" s="40"/>
      <c r="ER12" s="40"/>
      <c r="ES12" s="40"/>
      <c r="ET12" s="40"/>
      <c r="EU12" s="40"/>
      <c r="EV12" s="15" t="str">
        <f t="shared" si="56"/>
        <v/>
      </c>
      <c r="EW12" s="15" t="str">
        <f t="shared" si="57"/>
        <v/>
      </c>
      <c r="EX12" s="15" t="str">
        <f t="shared" si="58"/>
        <v/>
      </c>
      <c r="EY12" s="15" t="str">
        <f t="shared" si="59"/>
        <v/>
      </c>
      <c r="EZ12" s="15" t="str">
        <f t="shared" si="60"/>
        <v/>
      </c>
      <c r="FA12" s="15" t="str">
        <f t="shared" si="61"/>
        <v/>
      </c>
      <c r="FB12" s="15" t="str">
        <f t="shared" si="62"/>
        <v/>
      </c>
      <c r="FC12" s="39"/>
      <c r="FD12" s="39"/>
      <c r="FE12" s="39"/>
      <c r="FF12" s="39"/>
      <c r="FG12" s="39"/>
      <c r="FH12" s="39"/>
      <c r="FI12" s="39"/>
      <c r="FJ12" s="39"/>
      <c r="FK12" s="39"/>
      <c r="FL12" s="39"/>
      <c r="FM12" s="39"/>
      <c r="FN12" s="39"/>
      <c r="FO12" s="39"/>
      <c r="FP12" s="39"/>
      <c r="FQ12" s="39"/>
      <c r="FR12" s="12" t="str">
        <f t="shared" si="63"/>
        <v/>
      </c>
      <c r="FS12" s="12" t="str">
        <f t="shared" si="64"/>
        <v/>
      </c>
      <c r="FT12" s="12" t="str">
        <f t="shared" si="65"/>
        <v/>
      </c>
      <c r="FU12" s="12" t="str">
        <f t="shared" si="66"/>
        <v/>
      </c>
      <c r="FV12" s="12" t="str">
        <f t="shared" si="67"/>
        <v/>
      </c>
      <c r="FW12" s="12" t="str">
        <f t="shared" si="68"/>
        <v/>
      </c>
      <c r="FX12" s="12" t="str">
        <f t="shared" si="69"/>
        <v/>
      </c>
      <c r="FY12" s="40"/>
      <c r="FZ12" s="40"/>
      <c r="GA12" s="40"/>
      <c r="GB12" s="40"/>
      <c r="GC12" s="40"/>
      <c r="GD12" s="40"/>
      <c r="GE12" s="40"/>
      <c r="GF12" s="40"/>
      <c r="GG12" s="40"/>
      <c r="GH12" s="40"/>
      <c r="GI12" s="40"/>
      <c r="GJ12" s="40"/>
      <c r="GK12" s="40"/>
      <c r="GL12" s="40"/>
      <c r="GM12" s="40"/>
      <c r="GN12" s="15" t="str">
        <f t="shared" si="70"/>
        <v/>
      </c>
      <c r="GO12" s="15" t="str">
        <f t="shared" si="71"/>
        <v/>
      </c>
      <c r="GP12" s="15" t="str">
        <f t="shared" si="72"/>
        <v/>
      </c>
      <c r="GQ12" s="15" t="str">
        <f t="shared" si="73"/>
        <v/>
      </c>
      <c r="GR12" s="15" t="str">
        <f t="shared" si="74"/>
        <v/>
      </c>
      <c r="GS12" s="15" t="str">
        <f t="shared" si="75"/>
        <v/>
      </c>
      <c r="GT12" s="15" t="str">
        <f t="shared" si="76"/>
        <v/>
      </c>
      <c r="GU12" s="39"/>
      <c r="GV12" s="39"/>
      <c r="GW12" s="39"/>
      <c r="GX12" s="39"/>
      <c r="GY12" s="39"/>
      <c r="GZ12" s="39"/>
      <c r="HA12" s="39"/>
      <c r="HB12" s="39"/>
      <c r="HC12" s="39"/>
      <c r="HD12" s="39"/>
      <c r="HE12" s="39"/>
      <c r="HF12" s="39"/>
      <c r="HG12" s="39"/>
      <c r="HH12" s="39"/>
      <c r="HI12" s="39"/>
      <c r="HJ12" s="12" t="str">
        <f t="shared" si="77"/>
        <v/>
      </c>
      <c r="HK12" s="12" t="str">
        <f t="shared" si="78"/>
        <v/>
      </c>
      <c r="HL12" s="12" t="str">
        <f t="shared" si="79"/>
        <v/>
      </c>
      <c r="HM12" s="12" t="str">
        <f t="shared" si="80"/>
        <v/>
      </c>
      <c r="HN12" s="12" t="str">
        <f t="shared" si="81"/>
        <v/>
      </c>
      <c r="HO12" s="12" t="str">
        <f t="shared" si="82"/>
        <v/>
      </c>
      <c r="HP12" s="12" t="str">
        <f t="shared" si="83"/>
        <v/>
      </c>
      <c r="HQ12" s="40"/>
      <c r="HR12" s="40"/>
      <c r="HS12" s="40"/>
      <c r="HT12" s="40"/>
      <c r="HU12" s="40"/>
      <c r="HV12" s="40"/>
      <c r="HW12" s="40"/>
      <c r="HX12" s="40"/>
      <c r="HY12" s="40"/>
      <c r="HZ12" s="40"/>
      <c r="IA12" s="40"/>
      <c r="IB12" s="40"/>
      <c r="IC12" s="40"/>
      <c r="ID12" s="40"/>
      <c r="IE12" s="40"/>
      <c r="IF12" s="15" t="str">
        <f t="shared" si="84"/>
        <v/>
      </c>
      <c r="IG12" s="15" t="str">
        <f t="shared" si="85"/>
        <v/>
      </c>
      <c r="IH12" s="15" t="str">
        <f t="shared" si="86"/>
        <v/>
      </c>
      <c r="II12" s="15" t="str">
        <f t="shared" si="87"/>
        <v/>
      </c>
      <c r="IJ12" s="15" t="str">
        <f t="shared" si="88"/>
        <v/>
      </c>
      <c r="IK12" s="15" t="str">
        <f t="shared" si="89"/>
        <v/>
      </c>
      <c r="IL12" s="15" t="str">
        <f t="shared" si="90"/>
        <v/>
      </c>
      <c r="IM12" s="39"/>
      <c r="IN12" s="39"/>
      <c r="IO12" s="39"/>
      <c r="IP12" s="39"/>
      <c r="IQ12" s="39"/>
      <c r="IR12" s="39"/>
      <c r="IS12" s="39"/>
      <c r="IT12" s="39"/>
      <c r="IU12" s="39"/>
      <c r="IV12" s="39"/>
      <c r="IW12" s="39"/>
      <c r="IX12" s="39"/>
      <c r="IY12" s="39"/>
      <c r="IZ12" s="39"/>
      <c r="JA12" s="39"/>
      <c r="JB12" s="12" t="str">
        <f t="shared" si="91"/>
        <v/>
      </c>
      <c r="JC12" s="12" t="str">
        <f t="shared" si="92"/>
        <v/>
      </c>
      <c r="JD12" s="12" t="str">
        <f t="shared" si="93"/>
        <v/>
      </c>
      <c r="JE12" s="12" t="str">
        <f t="shared" si="94"/>
        <v/>
      </c>
      <c r="JF12" s="12" t="str">
        <f t="shared" si="95"/>
        <v/>
      </c>
      <c r="JG12" s="12" t="str">
        <f t="shared" si="96"/>
        <v/>
      </c>
      <c r="JH12" s="12" t="str">
        <f t="shared" si="97"/>
        <v/>
      </c>
      <c r="JI12" s="40"/>
      <c r="JJ12" s="40"/>
      <c r="JK12" s="40"/>
      <c r="JL12" s="40"/>
      <c r="JM12" s="40"/>
      <c r="JN12" s="40"/>
      <c r="JO12" s="40"/>
      <c r="JP12" s="40"/>
      <c r="JQ12" s="40"/>
      <c r="JR12" s="40"/>
      <c r="JS12" s="40"/>
      <c r="JT12" s="40"/>
      <c r="JU12" s="40"/>
      <c r="JV12" s="40"/>
      <c r="JW12" s="40"/>
      <c r="JX12" s="15" t="str">
        <f t="shared" si="98"/>
        <v/>
      </c>
      <c r="JY12" s="15" t="str">
        <f t="shared" si="99"/>
        <v/>
      </c>
      <c r="JZ12" s="15" t="str">
        <f t="shared" si="100"/>
        <v/>
      </c>
      <c r="KA12" s="15" t="str">
        <f t="shared" si="101"/>
        <v/>
      </c>
      <c r="KB12" s="15" t="str">
        <f t="shared" si="102"/>
        <v/>
      </c>
      <c r="KC12" s="15" t="str">
        <f t="shared" si="103"/>
        <v/>
      </c>
      <c r="KD12" s="15" t="str">
        <f t="shared" si="104"/>
        <v/>
      </c>
      <c r="KE12" s="39"/>
      <c r="KF12" s="39"/>
      <c r="KG12" s="39"/>
      <c r="KH12" s="39"/>
      <c r="KI12" s="39"/>
      <c r="KJ12" s="39"/>
      <c r="KK12" s="39"/>
      <c r="KL12" s="39"/>
      <c r="KM12" s="39"/>
      <c r="KN12" s="39"/>
      <c r="KO12" s="39"/>
      <c r="KP12" s="39"/>
      <c r="KQ12" s="39"/>
      <c r="KR12" s="39"/>
      <c r="KS12" s="39"/>
      <c r="KT12" s="12" t="str">
        <f t="shared" si="105"/>
        <v/>
      </c>
      <c r="KU12" s="12" t="str">
        <f t="shared" si="106"/>
        <v/>
      </c>
      <c r="KV12" s="12" t="str">
        <f t="shared" si="107"/>
        <v/>
      </c>
      <c r="KW12" s="12" t="str">
        <f t="shared" si="108"/>
        <v/>
      </c>
      <c r="KX12" s="12" t="str">
        <f t="shared" si="109"/>
        <v/>
      </c>
      <c r="KY12" s="12" t="str">
        <f t="shared" si="110"/>
        <v/>
      </c>
      <c r="KZ12" s="12" t="str">
        <f t="shared" si="111"/>
        <v/>
      </c>
      <c r="LA12" s="40"/>
      <c r="LB12" s="40"/>
      <c r="LC12" s="40"/>
      <c r="LD12" s="40"/>
      <c r="LE12" s="40"/>
      <c r="LF12" s="40"/>
      <c r="LG12" s="40"/>
      <c r="LH12" s="40"/>
      <c r="LI12" s="40"/>
      <c r="LJ12" s="40"/>
      <c r="LK12" s="40"/>
      <c r="LL12" s="40"/>
      <c r="LM12" s="40"/>
      <c r="LN12" s="40"/>
      <c r="LO12" s="40"/>
      <c r="LP12" s="15" t="str">
        <f t="shared" si="112"/>
        <v/>
      </c>
      <c r="LQ12" s="15" t="str">
        <f t="shared" si="113"/>
        <v/>
      </c>
      <c r="LR12" s="15" t="str">
        <f t="shared" si="114"/>
        <v/>
      </c>
      <c r="LS12" s="15" t="str">
        <f t="shared" si="115"/>
        <v/>
      </c>
      <c r="LT12" s="15" t="str">
        <f t="shared" si="116"/>
        <v/>
      </c>
      <c r="LU12" s="15" t="str">
        <f t="shared" si="117"/>
        <v/>
      </c>
      <c r="LV12" s="15" t="str">
        <f t="shared" si="118"/>
        <v/>
      </c>
      <c r="LW12" s="71">
        <f t="shared" si="119"/>
        <v>16.399999999999999</v>
      </c>
      <c r="LX12" s="71">
        <f t="shared" si="120"/>
        <v>9.25</v>
      </c>
      <c r="LY12" s="71">
        <f t="shared" si="121"/>
        <v>5.4499999999999993</v>
      </c>
      <c r="LZ12" s="71">
        <f t="shared" si="122"/>
        <v>16.1325</v>
      </c>
      <c r="MA12" s="71">
        <f t="shared" si="123"/>
        <v>0</v>
      </c>
      <c r="MB12" s="71">
        <f t="shared" si="124"/>
        <v>14.05</v>
      </c>
      <c r="MC12" s="71">
        <f t="shared" si="125"/>
        <v>9.1</v>
      </c>
      <c r="MD12" s="71">
        <f t="shared" si="126"/>
        <v>12.25</v>
      </c>
      <c r="ME12" s="71">
        <f t="shared" si="127"/>
        <v>15.335000000000001</v>
      </c>
      <c r="MF12" s="71">
        <f t="shared" si="128"/>
        <v>0.1</v>
      </c>
      <c r="MG12" s="71">
        <f t="shared" si="129"/>
        <v>14.75</v>
      </c>
      <c r="MH12" s="71">
        <f t="shared" si="130"/>
        <v>9.1999999999999993</v>
      </c>
      <c r="MI12" s="71">
        <f t="shared" si="131"/>
        <v>12</v>
      </c>
      <c r="MJ12" s="71">
        <f t="shared" si="132"/>
        <v>15.702500000000001</v>
      </c>
      <c r="MK12" s="71">
        <f t="shared" si="133"/>
        <v>0</v>
      </c>
      <c r="ML12" s="82" t="s">
        <v>100</v>
      </c>
      <c r="MM12" s="12">
        <f t="shared" si="140"/>
        <v>12.25</v>
      </c>
      <c r="MN12" s="12">
        <f t="shared" si="141"/>
        <v>47.232500000000002</v>
      </c>
      <c r="MO12" s="12">
        <f t="shared" si="142"/>
        <v>50.634999999999998</v>
      </c>
      <c r="MP12" s="12">
        <f t="shared" si="143"/>
        <v>97.867500000000007</v>
      </c>
      <c r="MQ12" s="12">
        <f t="shared" si="144"/>
        <v>12</v>
      </c>
      <c r="MR12" s="12">
        <f t="shared" si="145"/>
        <v>51.652500000000003</v>
      </c>
      <c r="MS12" s="12">
        <f t="shared" si="146"/>
        <v>149.52000000000001</v>
      </c>
    </row>
    <row r="13" spans="1:357" x14ac:dyDescent="0.2">
      <c r="A13" s="6" t="str">
        <f t="shared" si="0"/>
        <v/>
      </c>
      <c r="B13" s="9" t="s">
        <v>172</v>
      </c>
      <c r="C13" s="5" t="s">
        <v>10</v>
      </c>
      <c r="D13" s="29">
        <v>2000</v>
      </c>
      <c r="E13" s="16">
        <f t="shared" si="1"/>
        <v>227.65499999999997</v>
      </c>
      <c r="F13" s="4" t="str">
        <f t="shared" si="2"/>
        <v/>
      </c>
      <c r="G13" s="4" t="str">
        <f t="shared" si="3"/>
        <v/>
      </c>
      <c r="H13" s="4" t="str">
        <f t="shared" si="4"/>
        <v/>
      </c>
      <c r="I13" t="str">
        <f t="shared" si="5"/>
        <v/>
      </c>
      <c r="J13" s="15">
        <f t="shared" si="6"/>
        <v>91.669999999999987</v>
      </c>
      <c r="K13" s="15" t="str">
        <f t="shared" si="7"/>
        <v>2019 Elite Canada</v>
      </c>
      <c r="L13" s="15">
        <f t="shared" si="8"/>
        <v>41.324999999999996</v>
      </c>
      <c r="M13" s="15" t="str">
        <f t="shared" si="9"/>
        <v>2019 Nationals</v>
      </c>
      <c r="N13" s="15">
        <f t="shared" si="10"/>
        <v>46.074999999999996</v>
      </c>
      <c r="O13" s="15" t="str">
        <f t="shared" si="11"/>
        <v>2019 Nationals</v>
      </c>
      <c r="P13" s="15">
        <f t="shared" si="12"/>
        <v>48.585000000000001</v>
      </c>
      <c r="Q13" s="15" t="str">
        <f t="shared" si="13"/>
        <v>2019 Elite Canada</v>
      </c>
      <c r="R13" s="15" t="str">
        <f t="shared" si="14"/>
        <v/>
      </c>
      <c r="S13" s="27" t="str">
        <f t="shared" si="15"/>
        <v/>
      </c>
      <c r="T13" s="15" t="str">
        <f t="shared" si="16"/>
        <v/>
      </c>
      <c r="U13" s="39">
        <v>17.8</v>
      </c>
      <c r="V13" s="39">
        <v>9.75</v>
      </c>
      <c r="W13" s="39">
        <v>3.4</v>
      </c>
      <c r="X13" s="39">
        <v>15.295</v>
      </c>
      <c r="Y13" s="39">
        <v>0</v>
      </c>
      <c r="Z13" s="39">
        <v>13.4</v>
      </c>
      <c r="AA13" s="39">
        <v>8.9499999999999993</v>
      </c>
      <c r="AB13" s="39">
        <v>10</v>
      </c>
      <c r="AC13" s="39">
        <v>14.275</v>
      </c>
      <c r="AD13" s="39">
        <v>1.2</v>
      </c>
      <c r="AE13" s="39">
        <v>14.7</v>
      </c>
      <c r="AF13" s="39">
        <v>9.1</v>
      </c>
      <c r="AG13" s="39">
        <v>10.7</v>
      </c>
      <c r="AH13" s="39">
        <v>14.585000000000001</v>
      </c>
      <c r="AI13" s="39">
        <v>0.5</v>
      </c>
      <c r="AJ13" s="82"/>
      <c r="AK13" s="12">
        <f t="shared" si="17"/>
        <v>10</v>
      </c>
      <c r="AL13" s="12">
        <f t="shared" si="18"/>
        <v>46.244999999999997</v>
      </c>
      <c r="AM13" s="12">
        <f t="shared" si="19"/>
        <v>45.424999999999997</v>
      </c>
      <c r="AN13" s="12">
        <f t="shared" si="20"/>
        <v>91.669999999999987</v>
      </c>
      <c r="AO13" s="12">
        <f t="shared" si="21"/>
        <v>10.7</v>
      </c>
      <c r="AP13" s="12">
        <f t="shared" si="22"/>
        <v>48.585000000000001</v>
      </c>
      <c r="AQ13" s="12">
        <f t="shared" si="23"/>
        <v>140.255</v>
      </c>
      <c r="AR13" s="77">
        <v>16.399999999999999</v>
      </c>
      <c r="AS13" s="77">
        <v>8.9</v>
      </c>
      <c r="AT13" s="77">
        <v>1.9</v>
      </c>
      <c r="AU13" s="77">
        <v>14.125</v>
      </c>
      <c r="AV13" s="77">
        <v>0</v>
      </c>
      <c r="AW13" s="77">
        <v>14.2</v>
      </c>
      <c r="AX13" s="77">
        <v>9.3000000000000007</v>
      </c>
      <c r="AY13" s="77">
        <v>10</v>
      </c>
      <c r="AZ13" s="77">
        <v>13.775</v>
      </c>
      <c r="BA13" s="77">
        <v>1.2</v>
      </c>
      <c r="BB13" s="77">
        <v>6.36</v>
      </c>
      <c r="BC13" s="77">
        <v>3.8</v>
      </c>
      <c r="BD13" s="77">
        <v>5</v>
      </c>
      <c r="BE13" s="77">
        <v>6.08</v>
      </c>
      <c r="BF13" s="77"/>
      <c r="BG13" s="83"/>
      <c r="BH13" s="15">
        <f t="shared" si="24"/>
        <v>10</v>
      </c>
      <c r="BI13" s="15">
        <f t="shared" si="25"/>
        <v>41.324999999999996</v>
      </c>
      <c r="BJ13" s="15">
        <f t="shared" si="26"/>
        <v>46.074999999999996</v>
      </c>
      <c r="BK13" s="15">
        <f t="shared" si="27"/>
        <v>87.399999999999991</v>
      </c>
      <c r="BL13" s="15">
        <f t="shared" si="28"/>
        <v>5</v>
      </c>
      <c r="BM13" s="15">
        <f t="shared" si="29"/>
        <v>21.240000000000002</v>
      </c>
      <c r="BN13" s="15">
        <f t="shared" si="30"/>
        <v>108.63999999999999</v>
      </c>
      <c r="BO13" s="26" t="str">
        <f t="shared" si="31"/>
        <v/>
      </c>
      <c r="BP13" s="26" t="str">
        <f t="shared" si="32"/>
        <v/>
      </c>
      <c r="BQ13" s="26" t="str">
        <f t="shared" si="33"/>
        <v/>
      </c>
      <c r="BR13" s="26" t="str">
        <f t="shared" si="34"/>
        <v/>
      </c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12" t="str">
        <f t="shared" si="35"/>
        <v/>
      </c>
      <c r="CI13" s="12" t="str">
        <f t="shared" si="36"/>
        <v/>
      </c>
      <c r="CJ13" s="12" t="str">
        <f t="shared" si="37"/>
        <v/>
      </c>
      <c r="CK13" s="12" t="str">
        <f t="shared" si="38"/>
        <v/>
      </c>
      <c r="CL13" s="12" t="str">
        <f t="shared" si="39"/>
        <v/>
      </c>
      <c r="CM13" s="12" t="str">
        <f t="shared" si="40"/>
        <v/>
      </c>
      <c r="CN13" s="12" t="str">
        <f t="shared" si="41"/>
        <v/>
      </c>
      <c r="CO13" s="40"/>
      <c r="CP13" s="40"/>
      <c r="CQ13" s="40"/>
      <c r="CR13" s="40"/>
      <c r="CS13" s="40"/>
      <c r="CT13" s="40"/>
      <c r="CU13" s="40"/>
      <c r="CV13" s="40"/>
      <c r="CW13" s="40"/>
      <c r="CX13" s="40"/>
      <c r="CY13" s="40"/>
      <c r="CZ13" s="40"/>
      <c r="DA13" s="40"/>
      <c r="DB13" s="40"/>
      <c r="DC13" s="40"/>
      <c r="DD13" s="15" t="str">
        <f t="shared" si="42"/>
        <v/>
      </c>
      <c r="DE13" s="15" t="str">
        <f t="shared" si="43"/>
        <v/>
      </c>
      <c r="DF13" s="15" t="str">
        <f t="shared" si="44"/>
        <v/>
      </c>
      <c r="DG13" s="15" t="str">
        <f t="shared" si="45"/>
        <v/>
      </c>
      <c r="DH13" s="15" t="str">
        <f t="shared" si="46"/>
        <v/>
      </c>
      <c r="DI13" s="15" t="str">
        <f t="shared" si="47"/>
        <v/>
      </c>
      <c r="DJ13" s="15" t="str">
        <f t="shared" si="48"/>
        <v/>
      </c>
      <c r="DK13" s="39"/>
      <c r="DL13" s="39"/>
      <c r="DM13" s="39"/>
      <c r="DN13" s="39"/>
      <c r="DO13" s="39"/>
      <c r="DP13" s="39"/>
      <c r="DQ13" s="39"/>
      <c r="DR13" s="39"/>
      <c r="DS13" s="39"/>
      <c r="DT13" s="39"/>
      <c r="DU13" s="39"/>
      <c r="DV13" s="39"/>
      <c r="DW13" s="39"/>
      <c r="DX13" s="39"/>
      <c r="DY13" s="39"/>
      <c r="DZ13" s="12" t="str">
        <f t="shared" si="49"/>
        <v/>
      </c>
      <c r="EA13" s="12" t="str">
        <f t="shared" si="50"/>
        <v/>
      </c>
      <c r="EB13" s="12" t="str">
        <f t="shared" si="51"/>
        <v/>
      </c>
      <c r="EC13" s="12" t="str">
        <f t="shared" si="52"/>
        <v/>
      </c>
      <c r="ED13" s="12" t="str">
        <f t="shared" si="53"/>
        <v/>
      </c>
      <c r="EE13" s="12" t="str">
        <f t="shared" si="54"/>
        <v/>
      </c>
      <c r="EF13" s="12" t="str">
        <f t="shared" si="55"/>
        <v/>
      </c>
      <c r="EG13" s="40"/>
      <c r="EH13" s="40"/>
      <c r="EI13" s="40"/>
      <c r="EJ13" s="40"/>
      <c r="EK13" s="40"/>
      <c r="EL13" s="40"/>
      <c r="EM13" s="40"/>
      <c r="EN13" s="40"/>
      <c r="EO13" s="40"/>
      <c r="EP13" s="40"/>
      <c r="EQ13" s="40"/>
      <c r="ER13" s="40"/>
      <c r="ES13" s="40"/>
      <c r="ET13" s="40"/>
      <c r="EU13" s="40"/>
      <c r="EV13" s="15" t="str">
        <f t="shared" si="56"/>
        <v/>
      </c>
      <c r="EW13" s="15" t="str">
        <f t="shared" si="57"/>
        <v/>
      </c>
      <c r="EX13" s="15" t="str">
        <f t="shared" si="58"/>
        <v/>
      </c>
      <c r="EY13" s="15" t="str">
        <f t="shared" si="59"/>
        <v/>
      </c>
      <c r="EZ13" s="15" t="str">
        <f t="shared" si="60"/>
        <v/>
      </c>
      <c r="FA13" s="15" t="str">
        <f t="shared" si="61"/>
        <v/>
      </c>
      <c r="FB13" s="15" t="str">
        <f t="shared" si="62"/>
        <v/>
      </c>
      <c r="FC13" s="39"/>
      <c r="FD13" s="39"/>
      <c r="FE13" s="39"/>
      <c r="FF13" s="39"/>
      <c r="FG13" s="39"/>
      <c r="FH13" s="39"/>
      <c r="FI13" s="39"/>
      <c r="FJ13" s="39"/>
      <c r="FK13" s="39"/>
      <c r="FL13" s="39"/>
      <c r="FM13" s="39"/>
      <c r="FN13" s="39"/>
      <c r="FO13" s="39"/>
      <c r="FP13" s="39"/>
      <c r="FQ13" s="39"/>
      <c r="FR13" s="12" t="str">
        <f t="shared" si="63"/>
        <v/>
      </c>
      <c r="FS13" s="12" t="str">
        <f t="shared" si="64"/>
        <v/>
      </c>
      <c r="FT13" s="12" t="str">
        <f t="shared" si="65"/>
        <v/>
      </c>
      <c r="FU13" s="12" t="str">
        <f t="shared" si="66"/>
        <v/>
      </c>
      <c r="FV13" s="12" t="str">
        <f t="shared" si="67"/>
        <v/>
      </c>
      <c r="FW13" s="12" t="str">
        <f t="shared" si="68"/>
        <v/>
      </c>
      <c r="FX13" s="12" t="str">
        <f t="shared" si="69"/>
        <v/>
      </c>
      <c r="FY13" s="40"/>
      <c r="FZ13" s="40"/>
      <c r="GA13" s="40"/>
      <c r="GB13" s="40"/>
      <c r="GC13" s="40"/>
      <c r="GD13" s="40"/>
      <c r="GE13" s="40"/>
      <c r="GF13" s="40"/>
      <c r="GG13" s="40"/>
      <c r="GH13" s="40"/>
      <c r="GI13" s="40"/>
      <c r="GJ13" s="40"/>
      <c r="GK13" s="40"/>
      <c r="GL13" s="40"/>
      <c r="GM13" s="40"/>
      <c r="GN13" s="15" t="str">
        <f t="shared" si="70"/>
        <v/>
      </c>
      <c r="GO13" s="15" t="str">
        <f t="shared" si="71"/>
        <v/>
      </c>
      <c r="GP13" s="15" t="str">
        <f t="shared" si="72"/>
        <v/>
      </c>
      <c r="GQ13" s="15" t="str">
        <f t="shared" si="73"/>
        <v/>
      </c>
      <c r="GR13" s="15" t="str">
        <f t="shared" si="74"/>
        <v/>
      </c>
      <c r="GS13" s="15" t="str">
        <f t="shared" si="75"/>
        <v/>
      </c>
      <c r="GT13" s="15" t="str">
        <f t="shared" si="76"/>
        <v/>
      </c>
      <c r="GU13" s="39"/>
      <c r="GV13" s="39"/>
      <c r="GW13" s="39"/>
      <c r="GX13" s="39"/>
      <c r="GY13" s="39"/>
      <c r="GZ13" s="39"/>
      <c r="HA13" s="39"/>
      <c r="HB13" s="39"/>
      <c r="HC13" s="39"/>
      <c r="HD13" s="39"/>
      <c r="HE13" s="39"/>
      <c r="HF13" s="39"/>
      <c r="HG13" s="39"/>
      <c r="HH13" s="39"/>
      <c r="HI13" s="39"/>
      <c r="HJ13" s="12" t="str">
        <f t="shared" si="77"/>
        <v/>
      </c>
      <c r="HK13" s="12" t="str">
        <f t="shared" si="78"/>
        <v/>
      </c>
      <c r="HL13" s="12" t="str">
        <f t="shared" si="79"/>
        <v/>
      </c>
      <c r="HM13" s="12" t="str">
        <f t="shared" si="80"/>
        <v/>
      </c>
      <c r="HN13" s="12" t="str">
        <f t="shared" si="81"/>
        <v/>
      </c>
      <c r="HO13" s="12" t="str">
        <f t="shared" si="82"/>
        <v/>
      </c>
      <c r="HP13" s="12" t="str">
        <f t="shared" si="83"/>
        <v/>
      </c>
      <c r="HQ13" s="40"/>
      <c r="HR13" s="40"/>
      <c r="HS13" s="40"/>
      <c r="HT13" s="40"/>
      <c r="HU13" s="40"/>
      <c r="HV13" s="40"/>
      <c r="HW13" s="40"/>
      <c r="HX13" s="40"/>
      <c r="HY13" s="40"/>
      <c r="HZ13" s="40"/>
      <c r="IA13" s="40"/>
      <c r="IB13" s="40"/>
      <c r="IC13" s="40"/>
      <c r="ID13" s="40"/>
      <c r="IE13" s="40"/>
      <c r="IF13" s="15" t="str">
        <f t="shared" si="84"/>
        <v/>
      </c>
      <c r="IG13" s="15" t="str">
        <f t="shared" si="85"/>
        <v/>
      </c>
      <c r="IH13" s="15" t="str">
        <f t="shared" si="86"/>
        <v/>
      </c>
      <c r="II13" s="15" t="str">
        <f t="shared" si="87"/>
        <v/>
      </c>
      <c r="IJ13" s="15" t="str">
        <f t="shared" si="88"/>
        <v/>
      </c>
      <c r="IK13" s="15" t="str">
        <f t="shared" si="89"/>
        <v/>
      </c>
      <c r="IL13" s="15" t="str">
        <f t="shared" si="90"/>
        <v/>
      </c>
      <c r="IM13" s="39"/>
      <c r="IN13" s="39"/>
      <c r="IO13" s="39"/>
      <c r="IP13" s="39"/>
      <c r="IQ13" s="39"/>
      <c r="IR13" s="39"/>
      <c r="IS13" s="39"/>
      <c r="IT13" s="39"/>
      <c r="IU13" s="39"/>
      <c r="IV13" s="39"/>
      <c r="IW13" s="39"/>
      <c r="IX13" s="39"/>
      <c r="IY13" s="39"/>
      <c r="IZ13" s="39"/>
      <c r="JA13" s="39"/>
      <c r="JB13" s="12" t="str">
        <f t="shared" si="91"/>
        <v/>
      </c>
      <c r="JC13" s="12" t="str">
        <f t="shared" si="92"/>
        <v/>
      </c>
      <c r="JD13" s="12" t="str">
        <f t="shared" si="93"/>
        <v/>
      </c>
      <c r="JE13" s="12" t="str">
        <f t="shared" si="94"/>
        <v/>
      </c>
      <c r="JF13" s="12" t="str">
        <f t="shared" si="95"/>
        <v/>
      </c>
      <c r="JG13" s="12" t="str">
        <f t="shared" si="96"/>
        <v/>
      </c>
      <c r="JH13" s="12" t="str">
        <f t="shared" si="97"/>
        <v/>
      </c>
      <c r="JI13" s="40"/>
      <c r="JJ13" s="40"/>
      <c r="JK13" s="40"/>
      <c r="JL13" s="40"/>
      <c r="JM13" s="40"/>
      <c r="JN13" s="40"/>
      <c r="JO13" s="40"/>
      <c r="JP13" s="40"/>
      <c r="JQ13" s="40"/>
      <c r="JR13" s="40"/>
      <c r="JS13" s="40"/>
      <c r="JT13" s="40"/>
      <c r="JU13" s="40"/>
      <c r="JV13" s="40"/>
      <c r="JW13" s="40"/>
      <c r="JX13" s="15" t="str">
        <f t="shared" si="98"/>
        <v/>
      </c>
      <c r="JY13" s="15" t="str">
        <f t="shared" si="99"/>
        <v/>
      </c>
      <c r="JZ13" s="15" t="str">
        <f t="shared" si="100"/>
        <v/>
      </c>
      <c r="KA13" s="15" t="str">
        <f t="shared" si="101"/>
        <v/>
      </c>
      <c r="KB13" s="15" t="str">
        <f t="shared" si="102"/>
        <v/>
      </c>
      <c r="KC13" s="15" t="str">
        <f t="shared" si="103"/>
        <v/>
      </c>
      <c r="KD13" s="15" t="str">
        <f t="shared" si="104"/>
        <v/>
      </c>
      <c r="KE13" s="39"/>
      <c r="KF13" s="39"/>
      <c r="KG13" s="39"/>
      <c r="KH13" s="39"/>
      <c r="KI13" s="39"/>
      <c r="KJ13" s="39"/>
      <c r="KK13" s="39"/>
      <c r="KL13" s="39"/>
      <c r="KM13" s="39"/>
      <c r="KN13" s="39"/>
      <c r="KO13" s="39"/>
      <c r="KP13" s="39"/>
      <c r="KQ13" s="39"/>
      <c r="KR13" s="39"/>
      <c r="KS13" s="39"/>
      <c r="KT13" s="12" t="str">
        <f t="shared" si="105"/>
        <v/>
      </c>
      <c r="KU13" s="12" t="str">
        <f t="shared" si="106"/>
        <v/>
      </c>
      <c r="KV13" s="12" t="str">
        <f t="shared" si="107"/>
        <v/>
      </c>
      <c r="KW13" s="12" t="str">
        <f t="shared" si="108"/>
        <v/>
      </c>
      <c r="KX13" s="12" t="str">
        <f t="shared" si="109"/>
        <v/>
      </c>
      <c r="KY13" s="12" t="str">
        <f t="shared" si="110"/>
        <v/>
      </c>
      <c r="KZ13" s="12" t="str">
        <f t="shared" si="111"/>
        <v/>
      </c>
      <c r="LA13" s="40"/>
      <c r="LB13" s="40"/>
      <c r="LC13" s="40"/>
      <c r="LD13" s="40"/>
      <c r="LE13" s="40"/>
      <c r="LF13" s="40"/>
      <c r="LG13" s="40"/>
      <c r="LH13" s="40"/>
      <c r="LI13" s="40"/>
      <c r="LJ13" s="40"/>
      <c r="LK13" s="40"/>
      <c r="LL13" s="40"/>
      <c r="LM13" s="40"/>
      <c r="LN13" s="40"/>
      <c r="LO13" s="40"/>
      <c r="LP13" s="15" t="str">
        <f t="shared" si="112"/>
        <v/>
      </c>
      <c r="LQ13" s="15" t="str">
        <f t="shared" si="113"/>
        <v/>
      </c>
      <c r="LR13" s="15" t="str">
        <f t="shared" si="114"/>
        <v/>
      </c>
      <c r="LS13" s="15" t="str">
        <f t="shared" si="115"/>
        <v/>
      </c>
      <c r="LT13" s="15" t="str">
        <f t="shared" si="116"/>
        <v/>
      </c>
      <c r="LU13" s="15" t="str">
        <f t="shared" si="117"/>
        <v/>
      </c>
      <c r="LV13" s="15" t="str">
        <f t="shared" si="118"/>
        <v/>
      </c>
      <c r="LW13" s="71">
        <f t="shared" si="119"/>
        <v>17.100000000000001</v>
      </c>
      <c r="LX13" s="71">
        <f t="shared" si="120"/>
        <v>9.3249999999999993</v>
      </c>
      <c r="LY13" s="71">
        <f t="shared" si="121"/>
        <v>2.65</v>
      </c>
      <c r="LZ13" s="71">
        <f t="shared" si="122"/>
        <v>14.71</v>
      </c>
      <c r="MA13" s="71">
        <f t="shared" si="123"/>
        <v>0</v>
      </c>
      <c r="MB13" s="71">
        <f t="shared" si="124"/>
        <v>13.8</v>
      </c>
      <c r="MC13" s="71">
        <f t="shared" si="125"/>
        <v>9.125</v>
      </c>
      <c r="MD13" s="71">
        <f t="shared" si="126"/>
        <v>10</v>
      </c>
      <c r="ME13" s="71">
        <f t="shared" si="127"/>
        <v>14.025</v>
      </c>
      <c r="MF13" s="71">
        <f t="shared" si="128"/>
        <v>1.2</v>
      </c>
      <c r="MG13" s="71">
        <f t="shared" si="129"/>
        <v>10.53</v>
      </c>
      <c r="MH13" s="71">
        <f t="shared" si="130"/>
        <v>6.4499999999999993</v>
      </c>
      <c r="MI13" s="71">
        <f t="shared" si="131"/>
        <v>7.85</v>
      </c>
      <c r="MJ13" s="71">
        <f t="shared" si="132"/>
        <v>10.3325</v>
      </c>
      <c r="MK13" s="71">
        <f t="shared" si="133"/>
        <v>0.25</v>
      </c>
      <c r="ML13" s="82" t="s">
        <v>100</v>
      </c>
      <c r="MM13" s="12">
        <f t="shared" si="140"/>
        <v>10</v>
      </c>
      <c r="MN13" s="12">
        <f t="shared" si="141"/>
        <v>43.784999999999997</v>
      </c>
      <c r="MO13" s="12">
        <f t="shared" si="142"/>
        <v>45.749999999999993</v>
      </c>
      <c r="MP13" s="12">
        <f t="shared" si="143"/>
        <v>89.534999999999997</v>
      </c>
      <c r="MQ13" s="12">
        <f t="shared" si="144"/>
        <v>7.85</v>
      </c>
      <c r="MR13" s="12">
        <f t="shared" si="145"/>
        <v>34.912499999999994</v>
      </c>
      <c r="MS13" s="12">
        <f t="shared" si="146"/>
        <v>124.44749999999999</v>
      </c>
    </row>
    <row r="14" spans="1:357" x14ac:dyDescent="0.2">
      <c r="A14" s="6" t="str">
        <f t="shared" si="0"/>
        <v/>
      </c>
      <c r="B14" s="9" t="s">
        <v>40</v>
      </c>
      <c r="C14" s="5" t="s">
        <v>10</v>
      </c>
      <c r="D14" s="29">
        <v>1995</v>
      </c>
      <c r="E14" s="16">
        <f t="shared" si="1"/>
        <v>190.48500000000001</v>
      </c>
      <c r="F14" s="4" t="str">
        <f t="shared" si="2"/>
        <v/>
      </c>
      <c r="G14" s="4" t="str">
        <f t="shared" si="3"/>
        <v/>
      </c>
      <c r="H14" s="4" t="str">
        <f t="shared" si="4"/>
        <v/>
      </c>
      <c r="I14" t="str">
        <f t="shared" si="5"/>
        <v/>
      </c>
      <c r="J14" s="15">
        <f t="shared" si="6"/>
        <v>90.935000000000002</v>
      </c>
      <c r="K14" s="15" t="str">
        <f t="shared" si="7"/>
        <v>2019 Nationals</v>
      </c>
      <c r="L14" s="15">
        <f t="shared" si="8"/>
        <v>41.835000000000001</v>
      </c>
      <c r="M14" s="15" t="str">
        <f t="shared" si="9"/>
        <v>2019 Elite Canada</v>
      </c>
      <c r="N14" s="15">
        <f t="shared" si="10"/>
        <v>9.4700000000000006</v>
      </c>
      <c r="O14" s="15" t="str">
        <f t="shared" si="11"/>
        <v>2019 Elite Canada</v>
      </c>
      <c r="P14" s="15">
        <f t="shared" si="12"/>
        <v>48.245000000000005</v>
      </c>
      <c r="Q14" s="15" t="str">
        <f t="shared" si="13"/>
        <v>2019 Nationals</v>
      </c>
      <c r="R14" s="15" t="str">
        <f t="shared" si="14"/>
        <v/>
      </c>
      <c r="S14" s="27" t="str">
        <f t="shared" si="15"/>
        <v/>
      </c>
      <c r="T14" s="15" t="str">
        <f t="shared" si="16"/>
        <v/>
      </c>
      <c r="U14" s="39">
        <v>15.5</v>
      </c>
      <c r="V14" s="39">
        <v>8.8000000000000007</v>
      </c>
      <c r="W14" s="39">
        <v>3.4</v>
      </c>
      <c r="X14" s="39">
        <v>14.135</v>
      </c>
      <c r="Y14" s="39">
        <v>0</v>
      </c>
      <c r="Z14" s="39">
        <v>2.7</v>
      </c>
      <c r="AA14" s="39">
        <v>1.8</v>
      </c>
      <c r="AB14" s="39">
        <v>2</v>
      </c>
      <c r="AC14" s="39">
        <v>2.97</v>
      </c>
      <c r="AD14" s="39">
        <v>0</v>
      </c>
      <c r="AE14" s="39"/>
      <c r="AF14" s="39"/>
      <c r="AG14" s="39"/>
      <c r="AH14" s="39"/>
      <c r="AI14" s="39"/>
      <c r="AJ14" s="82"/>
      <c r="AK14" s="12">
        <f t="shared" si="17"/>
        <v>2</v>
      </c>
      <c r="AL14" s="12">
        <f t="shared" si="18"/>
        <v>41.835000000000001</v>
      </c>
      <c r="AM14" s="12">
        <f t="shared" si="19"/>
        <v>9.4700000000000006</v>
      </c>
      <c r="AN14" s="12">
        <f t="shared" si="20"/>
        <v>51.305</v>
      </c>
      <c r="AO14" s="12" t="str">
        <f t="shared" si="21"/>
        <v/>
      </c>
      <c r="AP14" s="12" t="str">
        <f t="shared" si="22"/>
        <v/>
      </c>
      <c r="AQ14" s="12">
        <f t="shared" si="23"/>
        <v>51.305</v>
      </c>
      <c r="AR14" s="77">
        <v>15.9</v>
      </c>
      <c r="AS14" s="77">
        <v>9.3000000000000007</v>
      </c>
      <c r="AT14" s="77">
        <v>4</v>
      </c>
      <c r="AU14" s="77">
        <v>14</v>
      </c>
      <c r="AV14" s="77">
        <v>0</v>
      </c>
      <c r="AW14" s="77">
        <v>13.1</v>
      </c>
      <c r="AX14" s="77">
        <v>9.5</v>
      </c>
      <c r="AY14" s="77">
        <v>11.4</v>
      </c>
      <c r="AZ14" s="77">
        <v>13.734999999999999</v>
      </c>
      <c r="BA14" s="77">
        <v>0</v>
      </c>
      <c r="BB14" s="77">
        <v>13.78</v>
      </c>
      <c r="BC14" s="77">
        <v>9.3000000000000007</v>
      </c>
      <c r="BD14" s="77">
        <v>11.2</v>
      </c>
      <c r="BE14" s="77">
        <v>13.965</v>
      </c>
      <c r="BF14" s="77"/>
      <c r="BG14" s="83"/>
      <c r="BH14" s="15">
        <f t="shared" si="24"/>
        <v>11.4</v>
      </c>
      <c r="BI14" s="15">
        <f t="shared" si="25"/>
        <v>43.2</v>
      </c>
      <c r="BJ14" s="15">
        <f t="shared" si="26"/>
        <v>47.734999999999999</v>
      </c>
      <c r="BK14" s="15">
        <f t="shared" si="27"/>
        <v>90.935000000000002</v>
      </c>
      <c r="BL14" s="15">
        <f t="shared" si="28"/>
        <v>11.2</v>
      </c>
      <c r="BM14" s="15">
        <f t="shared" si="29"/>
        <v>48.245000000000005</v>
      </c>
      <c r="BN14" s="15">
        <f t="shared" si="30"/>
        <v>139.18</v>
      </c>
      <c r="BO14" s="26" t="str">
        <f t="shared" si="31"/>
        <v/>
      </c>
      <c r="BP14" s="26" t="str">
        <f t="shared" si="32"/>
        <v/>
      </c>
      <c r="BQ14" s="26" t="str">
        <f t="shared" si="33"/>
        <v/>
      </c>
      <c r="BR14" s="26" t="str">
        <f t="shared" si="34"/>
        <v/>
      </c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12" t="str">
        <f t="shared" si="35"/>
        <v/>
      </c>
      <c r="CI14" s="12" t="str">
        <f t="shared" si="36"/>
        <v/>
      </c>
      <c r="CJ14" s="12" t="str">
        <f t="shared" si="37"/>
        <v/>
      </c>
      <c r="CK14" s="12" t="str">
        <f t="shared" si="38"/>
        <v/>
      </c>
      <c r="CL14" s="12" t="str">
        <f t="shared" si="39"/>
        <v/>
      </c>
      <c r="CM14" s="12" t="str">
        <f t="shared" si="40"/>
        <v/>
      </c>
      <c r="CN14" s="12" t="str">
        <f t="shared" si="41"/>
        <v/>
      </c>
      <c r="CO14" s="40"/>
      <c r="CP14" s="40"/>
      <c r="CQ14" s="40"/>
      <c r="CR14" s="40"/>
      <c r="CS14" s="40"/>
      <c r="CT14" s="40"/>
      <c r="CU14" s="40"/>
      <c r="CV14" s="40"/>
      <c r="CW14" s="40"/>
      <c r="CX14" s="40"/>
      <c r="CY14" s="40"/>
      <c r="CZ14" s="40"/>
      <c r="DA14" s="40"/>
      <c r="DB14" s="40"/>
      <c r="DC14" s="40"/>
      <c r="DD14" s="15" t="str">
        <f t="shared" si="42"/>
        <v/>
      </c>
      <c r="DE14" s="15" t="str">
        <f t="shared" si="43"/>
        <v/>
      </c>
      <c r="DF14" s="15" t="str">
        <f t="shared" si="44"/>
        <v/>
      </c>
      <c r="DG14" s="15" t="str">
        <f t="shared" si="45"/>
        <v/>
      </c>
      <c r="DH14" s="15" t="str">
        <f t="shared" si="46"/>
        <v/>
      </c>
      <c r="DI14" s="15" t="str">
        <f t="shared" si="47"/>
        <v/>
      </c>
      <c r="DJ14" s="15" t="str">
        <f t="shared" si="48"/>
        <v/>
      </c>
      <c r="DK14" s="39"/>
      <c r="DL14" s="39"/>
      <c r="DM14" s="39"/>
      <c r="DN14" s="39"/>
      <c r="DO14" s="39"/>
      <c r="DP14" s="39"/>
      <c r="DQ14" s="39"/>
      <c r="DR14" s="39"/>
      <c r="DS14" s="39"/>
      <c r="DT14" s="39"/>
      <c r="DU14" s="39"/>
      <c r="DV14" s="39"/>
      <c r="DW14" s="39"/>
      <c r="DX14" s="39"/>
      <c r="DY14" s="39"/>
      <c r="DZ14" s="12" t="str">
        <f t="shared" si="49"/>
        <v/>
      </c>
      <c r="EA14" s="12" t="str">
        <f t="shared" si="50"/>
        <v/>
      </c>
      <c r="EB14" s="12" t="str">
        <f t="shared" si="51"/>
        <v/>
      </c>
      <c r="EC14" s="12" t="str">
        <f t="shared" si="52"/>
        <v/>
      </c>
      <c r="ED14" s="12" t="str">
        <f t="shared" si="53"/>
        <v/>
      </c>
      <c r="EE14" s="12" t="str">
        <f t="shared" si="54"/>
        <v/>
      </c>
      <c r="EF14" s="12" t="str">
        <f t="shared" si="55"/>
        <v/>
      </c>
      <c r="EG14" s="40"/>
      <c r="EH14" s="40"/>
      <c r="EI14" s="40"/>
      <c r="EJ14" s="40"/>
      <c r="EK14" s="40"/>
      <c r="EL14" s="40"/>
      <c r="EM14" s="40"/>
      <c r="EN14" s="40"/>
      <c r="EO14" s="40"/>
      <c r="EP14" s="40"/>
      <c r="EQ14" s="40"/>
      <c r="ER14" s="40"/>
      <c r="ES14" s="40"/>
      <c r="ET14" s="40"/>
      <c r="EU14" s="40"/>
      <c r="EV14" s="15" t="str">
        <f t="shared" si="56"/>
        <v/>
      </c>
      <c r="EW14" s="15" t="str">
        <f t="shared" si="57"/>
        <v/>
      </c>
      <c r="EX14" s="15" t="str">
        <f t="shared" si="58"/>
        <v/>
      </c>
      <c r="EY14" s="15" t="str">
        <f t="shared" si="59"/>
        <v/>
      </c>
      <c r="EZ14" s="15" t="str">
        <f t="shared" si="60"/>
        <v/>
      </c>
      <c r="FA14" s="15" t="str">
        <f t="shared" si="61"/>
        <v/>
      </c>
      <c r="FB14" s="15" t="str">
        <f t="shared" si="62"/>
        <v/>
      </c>
      <c r="FC14" s="39"/>
      <c r="FD14" s="39"/>
      <c r="FE14" s="39"/>
      <c r="FF14" s="39"/>
      <c r="FG14" s="39"/>
      <c r="FH14" s="39"/>
      <c r="FI14" s="39"/>
      <c r="FJ14" s="39"/>
      <c r="FK14" s="39"/>
      <c r="FL14" s="39"/>
      <c r="FM14" s="39"/>
      <c r="FN14" s="39"/>
      <c r="FO14" s="39"/>
      <c r="FP14" s="39"/>
      <c r="FQ14" s="39"/>
      <c r="FR14" s="12" t="str">
        <f t="shared" si="63"/>
        <v/>
      </c>
      <c r="FS14" s="12" t="str">
        <f t="shared" si="64"/>
        <v/>
      </c>
      <c r="FT14" s="12" t="str">
        <f t="shared" si="65"/>
        <v/>
      </c>
      <c r="FU14" s="12" t="str">
        <f t="shared" si="66"/>
        <v/>
      </c>
      <c r="FV14" s="12" t="str">
        <f t="shared" si="67"/>
        <v/>
      </c>
      <c r="FW14" s="12" t="str">
        <f t="shared" si="68"/>
        <v/>
      </c>
      <c r="FX14" s="12" t="str">
        <f t="shared" si="69"/>
        <v/>
      </c>
      <c r="FY14" s="40"/>
      <c r="FZ14" s="40"/>
      <c r="GA14" s="40"/>
      <c r="GB14" s="40"/>
      <c r="GC14" s="40"/>
      <c r="GD14" s="40"/>
      <c r="GE14" s="40"/>
      <c r="GF14" s="40"/>
      <c r="GG14" s="40"/>
      <c r="GH14" s="40"/>
      <c r="GI14" s="40"/>
      <c r="GJ14" s="40"/>
      <c r="GK14" s="40"/>
      <c r="GL14" s="40"/>
      <c r="GM14" s="40"/>
      <c r="GN14" s="15" t="str">
        <f t="shared" si="70"/>
        <v/>
      </c>
      <c r="GO14" s="15" t="str">
        <f t="shared" si="71"/>
        <v/>
      </c>
      <c r="GP14" s="15" t="str">
        <f t="shared" si="72"/>
        <v/>
      </c>
      <c r="GQ14" s="15" t="str">
        <f t="shared" si="73"/>
        <v/>
      </c>
      <c r="GR14" s="15" t="str">
        <f t="shared" si="74"/>
        <v/>
      </c>
      <c r="GS14" s="15" t="str">
        <f t="shared" si="75"/>
        <v/>
      </c>
      <c r="GT14" s="15" t="str">
        <f t="shared" si="76"/>
        <v/>
      </c>
      <c r="GU14" s="39"/>
      <c r="GV14" s="39"/>
      <c r="GW14" s="39"/>
      <c r="GX14" s="39"/>
      <c r="GY14" s="39"/>
      <c r="GZ14" s="39"/>
      <c r="HA14" s="39"/>
      <c r="HB14" s="39"/>
      <c r="HC14" s="39"/>
      <c r="HD14" s="39"/>
      <c r="HE14" s="39"/>
      <c r="HF14" s="39"/>
      <c r="HG14" s="39"/>
      <c r="HH14" s="39"/>
      <c r="HI14" s="39"/>
      <c r="HJ14" s="12" t="str">
        <f t="shared" si="77"/>
        <v/>
      </c>
      <c r="HK14" s="12" t="str">
        <f t="shared" si="78"/>
        <v/>
      </c>
      <c r="HL14" s="12" t="str">
        <f t="shared" si="79"/>
        <v/>
      </c>
      <c r="HM14" s="12" t="str">
        <f t="shared" si="80"/>
        <v/>
      </c>
      <c r="HN14" s="12" t="str">
        <f t="shared" si="81"/>
        <v/>
      </c>
      <c r="HO14" s="12" t="str">
        <f t="shared" si="82"/>
        <v/>
      </c>
      <c r="HP14" s="12" t="str">
        <f t="shared" si="83"/>
        <v/>
      </c>
      <c r="HQ14" s="40"/>
      <c r="HR14" s="40"/>
      <c r="HS14" s="40"/>
      <c r="HT14" s="40"/>
      <c r="HU14" s="40"/>
      <c r="HV14" s="40"/>
      <c r="HW14" s="40"/>
      <c r="HX14" s="40"/>
      <c r="HY14" s="40"/>
      <c r="HZ14" s="40"/>
      <c r="IA14" s="40"/>
      <c r="IB14" s="40"/>
      <c r="IC14" s="40"/>
      <c r="ID14" s="40"/>
      <c r="IE14" s="40"/>
      <c r="IF14" s="15" t="str">
        <f t="shared" si="84"/>
        <v/>
      </c>
      <c r="IG14" s="15" t="str">
        <f t="shared" si="85"/>
        <v/>
      </c>
      <c r="IH14" s="15" t="str">
        <f t="shared" si="86"/>
        <v/>
      </c>
      <c r="II14" s="15" t="str">
        <f t="shared" si="87"/>
        <v/>
      </c>
      <c r="IJ14" s="15" t="str">
        <f t="shared" si="88"/>
        <v/>
      </c>
      <c r="IK14" s="15" t="str">
        <f t="shared" si="89"/>
        <v/>
      </c>
      <c r="IL14" s="15" t="str">
        <f t="shared" si="90"/>
        <v/>
      </c>
      <c r="IM14" s="39"/>
      <c r="IN14" s="39"/>
      <c r="IO14" s="39"/>
      <c r="IP14" s="39"/>
      <c r="IQ14" s="39"/>
      <c r="IR14" s="39"/>
      <c r="IS14" s="39"/>
      <c r="IT14" s="39"/>
      <c r="IU14" s="39"/>
      <c r="IV14" s="39"/>
      <c r="IW14" s="39"/>
      <c r="IX14" s="39"/>
      <c r="IY14" s="39"/>
      <c r="IZ14" s="39"/>
      <c r="JA14" s="39"/>
      <c r="JB14" s="12" t="str">
        <f t="shared" si="91"/>
        <v/>
      </c>
      <c r="JC14" s="12" t="str">
        <f t="shared" si="92"/>
        <v/>
      </c>
      <c r="JD14" s="12" t="str">
        <f t="shared" si="93"/>
        <v/>
      </c>
      <c r="JE14" s="12" t="str">
        <f t="shared" si="94"/>
        <v/>
      </c>
      <c r="JF14" s="12" t="str">
        <f t="shared" si="95"/>
        <v/>
      </c>
      <c r="JG14" s="12" t="str">
        <f t="shared" si="96"/>
        <v/>
      </c>
      <c r="JH14" s="12" t="str">
        <f t="shared" si="97"/>
        <v/>
      </c>
      <c r="JI14" s="40"/>
      <c r="JJ14" s="40"/>
      <c r="JK14" s="40"/>
      <c r="JL14" s="40"/>
      <c r="JM14" s="40"/>
      <c r="JN14" s="40"/>
      <c r="JO14" s="40"/>
      <c r="JP14" s="40"/>
      <c r="JQ14" s="40"/>
      <c r="JR14" s="40"/>
      <c r="JS14" s="40"/>
      <c r="JT14" s="40"/>
      <c r="JU14" s="40"/>
      <c r="JV14" s="40"/>
      <c r="JW14" s="40"/>
      <c r="JX14" s="15" t="str">
        <f t="shared" si="98"/>
        <v/>
      </c>
      <c r="JY14" s="15" t="str">
        <f t="shared" si="99"/>
        <v/>
      </c>
      <c r="JZ14" s="15" t="str">
        <f t="shared" si="100"/>
        <v/>
      </c>
      <c r="KA14" s="15" t="str">
        <f t="shared" si="101"/>
        <v/>
      </c>
      <c r="KB14" s="15" t="str">
        <f t="shared" si="102"/>
        <v/>
      </c>
      <c r="KC14" s="15" t="str">
        <f t="shared" si="103"/>
        <v/>
      </c>
      <c r="KD14" s="15" t="str">
        <f t="shared" si="104"/>
        <v/>
      </c>
      <c r="KE14" s="39"/>
      <c r="KF14" s="39"/>
      <c r="KG14" s="39"/>
      <c r="KH14" s="39"/>
      <c r="KI14" s="39"/>
      <c r="KJ14" s="39"/>
      <c r="KK14" s="39"/>
      <c r="KL14" s="39"/>
      <c r="KM14" s="39"/>
      <c r="KN14" s="39"/>
      <c r="KO14" s="39"/>
      <c r="KP14" s="39"/>
      <c r="KQ14" s="39"/>
      <c r="KR14" s="39"/>
      <c r="KS14" s="39"/>
      <c r="KT14" s="12" t="str">
        <f t="shared" si="105"/>
        <v/>
      </c>
      <c r="KU14" s="12" t="str">
        <f t="shared" si="106"/>
        <v/>
      </c>
      <c r="KV14" s="12" t="str">
        <f t="shared" si="107"/>
        <v/>
      </c>
      <c r="KW14" s="12" t="str">
        <f t="shared" si="108"/>
        <v/>
      </c>
      <c r="KX14" s="12" t="str">
        <f t="shared" si="109"/>
        <v/>
      </c>
      <c r="KY14" s="12" t="str">
        <f t="shared" si="110"/>
        <v/>
      </c>
      <c r="KZ14" s="12" t="str">
        <f t="shared" si="111"/>
        <v/>
      </c>
      <c r="LA14" s="40"/>
      <c r="LB14" s="40"/>
      <c r="LC14" s="40"/>
      <c r="LD14" s="40"/>
      <c r="LE14" s="40"/>
      <c r="LF14" s="40"/>
      <c r="LG14" s="40"/>
      <c r="LH14" s="40"/>
      <c r="LI14" s="40"/>
      <c r="LJ14" s="40"/>
      <c r="LK14" s="40"/>
      <c r="LL14" s="40"/>
      <c r="LM14" s="40"/>
      <c r="LN14" s="40"/>
      <c r="LO14" s="40"/>
      <c r="LP14" s="15" t="str">
        <f t="shared" si="112"/>
        <v/>
      </c>
      <c r="LQ14" s="15" t="str">
        <f t="shared" si="113"/>
        <v/>
      </c>
      <c r="LR14" s="15" t="str">
        <f t="shared" si="114"/>
        <v/>
      </c>
      <c r="LS14" s="15" t="str">
        <f t="shared" si="115"/>
        <v/>
      </c>
      <c r="LT14" s="15" t="str">
        <f t="shared" si="116"/>
        <v/>
      </c>
      <c r="LU14" s="15" t="str">
        <f t="shared" si="117"/>
        <v/>
      </c>
      <c r="LV14" s="15" t="str">
        <f t="shared" si="118"/>
        <v/>
      </c>
      <c r="LW14" s="71">
        <f t="shared" si="119"/>
        <v>15.7</v>
      </c>
      <c r="LX14" s="71">
        <f t="shared" si="120"/>
        <v>9.0500000000000007</v>
      </c>
      <c r="LY14" s="71">
        <f t="shared" si="121"/>
        <v>3.7</v>
      </c>
      <c r="LZ14" s="71">
        <f t="shared" si="122"/>
        <v>14.067499999999999</v>
      </c>
      <c r="MA14" s="71">
        <f t="shared" si="123"/>
        <v>0</v>
      </c>
      <c r="MB14" s="71">
        <f t="shared" si="124"/>
        <v>7.9</v>
      </c>
      <c r="MC14" s="71">
        <f t="shared" si="125"/>
        <v>5.65</v>
      </c>
      <c r="MD14" s="71">
        <f t="shared" si="126"/>
        <v>6.7</v>
      </c>
      <c r="ME14" s="71">
        <f t="shared" si="127"/>
        <v>8.3524999999999991</v>
      </c>
      <c r="MF14" s="71">
        <f t="shared" si="128"/>
        <v>0</v>
      </c>
      <c r="MG14" s="71">
        <f t="shared" si="129"/>
        <v>6.89</v>
      </c>
      <c r="MH14" s="71">
        <f t="shared" si="130"/>
        <v>4.6500000000000004</v>
      </c>
      <c r="MI14" s="71">
        <f t="shared" si="131"/>
        <v>5.6</v>
      </c>
      <c r="MJ14" s="71">
        <f t="shared" si="132"/>
        <v>6.9824999999999999</v>
      </c>
      <c r="MK14" s="71">
        <f t="shared" si="133"/>
        <v>0</v>
      </c>
      <c r="ML14" s="82" t="s">
        <v>100</v>
      </c>
      <c r="MM14" s="12">
        <f t="shared" ref="MM14" si="147">IF(MD14&gt;0,MD14,"")</f>
        <v>6.7</v>
      </c>
      <c r="MN14" s="12">
        <f t="shared" ref="MN14" si="148">IF(SUM(LW14:LZ14)-MA14&gt;0,SUM(LW14:LZ14)-MA14,"")</f>
        <v>42.517499999999998</v>
      </c>
      <c r="MO14" s="12">
        <f t="shared" ref="MO14" si="149">IF(SUM(MB14:ME14)-MF14&gt;0,SUM(MB14:ME14)-MF14,"")</f>
        <v>28.602499999999999</v>
      </c>
      <c r="MP14" s="12">
        <f t="shared" ref="MP14" si="150">IF(SUM(MN14:MO14)&gt;0,SUM(MN14:MO14),"")</f>
        <v>71.12</v>
      </c>
      <c r="MQ14" s="12">
        <f t="shared" si="144"/>
        <v>5.6</v>
      </c>
      <c r="MR14" s="12">
        <f t="shared" ref="MR14" si="151">IF(SUM(MG14:MJ14)-MK14&gt;0,SUM(MG14:MJ14)-MK14,"")</f>
        <v>24.122500000000002</v>
      </c>
      <c r="MS14" s="12">
        <f t="shared" ref="MS14" si="152">IF(SUM(MP14,MR14)&gt;0,SUM(MP14,MR14),"")</f>
        <v>95.242500000000007</v>
      </c>
    </row>
    <row r="15" spans="1:357" x14ac:dyDescent="0.2">
      <c r="A15" s="6" t="str">
        <f t="shared" si="0"/>
        <v/>
      </c>
      <c r="B15" s="9" t="s">
        <v>39</v>
      </c>
      <c r="C15" s="5" t="s">
        <v>10</v>
      </c>
      <c r="D15" s="29">
        <v>1998</v>
      </c>
      <c r="E15" s="16">
        <f t="shared" si="1"/>
        <v>54.815000000000005</v>
      </c>
      <c r="F15" s="4" t="str">
        <f t="shared" si="2"/>
        <v/>
      </c>
      <c r="G15" s="4" t="str">
        <f t="shared" si="3"/>
        <v/>
      </c>
      <c r="H15" s="4" t="str">
        <f t="shared" si="4"/>
        <v/>
      </c>
      <c r="I15" t="str">
        <f t="shared" si="5"/>
        <v/>
      </c>
      <c r="J15" s="15" t="str">
        <f t="shared" si="6"/>
        <v/>
      </c>
      <c r="K15" s="15" t="str">
        <f t="shared" si="7"/>
        <v/>
      </c>
      <c r="L15" s="15" t="str">
        <f t="shared" si="8"/>
        <v/>
      </c>
      <c r="M15" s="15" t="str">
        <f t="shared" si="9"/>
        <v/>
      </c>
      <c r="N15" s="15" t="str">
        <f t="shared" si="10"/>
        <v/>
      </c>
      <c r="O15" s="15" t="str">
        <f t="shared" si="11"/>
        <v/>
      </c>
      <c r="P15" s="15" t="str">
        <f t="shared" si="12"/>
        <v/>
      </c>
      <c r="Q15" s="15" t="str">
        <f t="shared" si="13"/>
        <v/>
      </c>
      <c r="R15" s="15">
        <f t="shared" si="14"/>
        <v>54.815000000000005</v>
      </c>
      <c r="S15" s="27" t="str">
        <f t="shared" si="15"/>
        <v>(Prelim)</v>
      </c>
      <c r="T15" s="15" t="str">
        <f t="shared" si="16"/>
        <v>2019 Scalabis Cup (July 6)</v>
      </c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82"/>
      <c r="AK15" s="12" t="str">
        <f t="shared" si="17"/>
        <v/>
      </c>
      <c r="AL15" s="12" t="str">
        <f t="shared" si="18"/>
        <v/>
      </c>
      <c r="AM15" s="12" t="str">
        <f t="shared" si="19"/>
        <v/>
      </c>
      <c r="AN15" s="12" t="str">
        <f t="shared" si="20"/>
        <v/>
      </c>
      <c r="AO15" s="12" t="str">
        <f t="shared" si="21"/>
        <v/>
      </c>
      <c r="AP15" s="12" t="str">
        <f t="shared" si="22"/>
        <v/>
      </c>
      <c r="AQ15" s="12" t="str">
        <f t="shared" si="23"/>
        <v/>
      </c>
      <c r="AR15" s="77"/>
      <c r="AS15" s="77"/>
      <c r="AT15" s="77"/>
      <c r="AU15" s="77"/>
      <c r="AV15" s="77"/>
      <c r="AW15" s="77"/>
      <c r="AX15" s="77"/>
      <c r="AY15" s="77"/>
      <c r="AZ15" s="77"/>
      <c r="BA15" s="77"/>
      <c r="BB15" s="77"/>
      <c r="BC15" s="77"/>
      <c r="BD15" s="77"/>
      <c r="BE15" s="77"/>
      <c r="BF15" s="77"/>
      <c r="BG15" s="83"/>
      <c r="BH15" s="15" t="str">
        <f t="shared" si="24"/>
        <v/>
      </c>
      <c r="BI15" s="15" t="str">
        <f t="shared" si="25"/>
        <v/>
      </c>
      <c r="BJ15" s="15" t="str">
        <f t="shared" si="26"/>
        <v/>
      </c>
      <c r="BK15" s="15" t="str">
        <f t="shared" si="27"/>
        <v/>
      </c>
      <c r="BL15" s="15" t="str">
        <f t="shared" si="28"/>
        <v/>
      </c>
      <c r="BM15" s="15" t="str">
        <f t="shared" si="29"/>
        <v/>
      </c>
      <c r="BN15" s="15" t="str">
        <f t="shared" si="30"/>
        <v/>
      </c>
      <c r="BO15" s="26">
        <f t="shared" si="31"/>
        <v>44.355000000000004</v>
      </c>
      <c r="BP15" s="26">
        <f t="shared" si="32"/>
        <v>10.46</v>
      </c>
      <c r="BQ15" s="26">
        <f t="shared" si="33"/>
        <v>54.815000000000005</v>
      </c>
      <c r="BR15" s="26" t="str">
        <f t="shared" si="34"/>
        <v/>
      </c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12" t="str">
        <f t="shared" si="35"/>
        <v/>
      </c>
      <c r="CI15" s="12" t="str">
        <f t="shared" si="36"/>
        <v/>
      </c>
      <c r="CJ15" s="12" t="str">
        <f t="shared" si="37"/>
        <v/>
      </c>
      <c r="CK15" s="12" t="str">
        <f t="shared" si="38"/>
        <v/>
      </c>
      <c r="CL15" s="12" t="str">
        <f t="shared" si="39"/>
        <v/>
      </c>
      <c r="CM15" s="12" t="str">
        <f t="shared" si="40"/>
        <v/>
      </c>
      <c r="CN15" s="12" t="str">
        <f t="shared" si="41"/>
        <v/>
      </c>
      <c r="CO15" s="40"/>
      <c r="CP15" s="40"/>
      <c r="CQ15" s="40"/>
      <c r="CR15" s="40"/>
      <c r="CS15" s="40"/>
      <c r="CT15" s="40"/>
      <c r="CU15" s="40"/>
      <c r="CV15" s="40"/>
      <c r="CW15" s="40"/>
      <c r="CX15" s="40"/>
      <c r="CY15" s="40"/>
      <c r="CZ15" s="40"/>
      <c r="DA15" s="40"/>
      <c r="DB15" s="40"/>
      <c r="DC15" s="40"/>
      <c r="DD15" s="15" t="str">
        <f t="shared" si="42"/>
        <v/>
      </c>
      <c r="DE15" s="15" t="str">
        <f t="shared" si="43"/>
        <v/>
      </c>
      <c r="DF15" s="15" t="str">
        <f t="shared" si="44"/>
        <v/>
      </c>
      <c r="DG15" s="15" t="str">
        <f t="shared" si="45"/>
        <v/>
      </c>
      <c r="DH15" s="15" t="str">
        <f t="shared" si="46"/>
        <v/>
      </c>
      <c r="DI15" s="15" t="str">
        <f t="shared" si="47"/>
        <v/>
      </c>
      <c r="DJ15" s="15" t="str">
        <f t="shared" si="48"/>
        <v/>
      </c>
      <c r="DK15" s="39"/>
      <c r="DL15" s="39"/>
      <c r="DM15" s="39"/>
      <c r="DN15" s="39"/>
      <c r="DO15" s="39"/>
      <c r="DP15" s="39"/>
      <c r="DQ15" s="39"/>
      <c r="DR15" s="39"/>
      <c r="DS15" s="39"/>
      <c r="DT15" s="39"/>
      <c r="DU15" s="39"/>
      <c r="DV15" s="39"/>
      <c r="DW15" s="39"/>
      <c r="DX15" s="39"/>
      <c r="DY15" s="39"/>
      <c r="DZ15" s="12" t="str">
        <f t="shared" si="49"/>
        <v/>
      </c>
      <c r="EA15" s="12" t="str">
        <f t="shared" si="50"/>
        <v/>
      </c>
      <c r="EB15" s="12" t="str">
        <f t="shared" si="51"/>
        <v/>
      </c>
      <c r="EC15" s="12" t="str">
        <f t="shared" si="52"/>
        <v/>
      </c>
      <c r="ED15" s="12" t="str">
        <f t="shared" si="53"/>
        <v/>
      </c>
      <c r="EE15" s="12" t="str">
        <f t="shared" si="54"/>
        <v/>
      </c>
      <c r="EF15" s="12" t="str">
        <f t="shared" si="55"/>
        <v/>
      </c>
      <c r="EG15" s="40"/>
      <c r="EH15" s="40"/>
      <c r="EI15" s="40"/>
      <c r="EJ15" s="40"/>
      <c r="EK15" s="40"/>
      <c r="EL15" s="40"/>
      <c r="EM15" s="40"/>
      <c r="EN15" s="40"/>
      <c r="EO15" s="40"/>
      <c r="EP15" s="40"/>
      <c r="EQ15" s="40"/>
      <c r="ER15" s="40"/>
      <c r="ES15" s="40"/>
      <c r="ET15" s="40"/>
      <c r="EU15" s="40"/>
      <c r="EV15" s="15" t="str">
        <f t="shared" si="56"/>
        <v/>
      </c>
      <c r="EW15" s="15" t="str">
        <f t="shared" si="57"/>
        <v/>
      </c>
      <c r="EX15" s="15" t="str">
        <f t="shared" si="58"/>
        <v/>
      </c>
      <c r="EY15" s="15" t="str">
        <f t="shared" si="59"/>
        <v/>
      </c>
      <c r="EZ15" s="15" t="str">
        <f t="shared" si="60"/>
        <v/>
      </c>
      <c r="FA15" s="15" t="str">
        <f t="shared" si="61"/>
        <v/>
      </c>
      <c r="FB15" s="15" t="str">
        <f t="shared" si="62"/>
        <v/>
      </c>
      <c r="FC15" s="39"/>
      <c r="FD15" s="39"/>
      <c r="FE15" s="39"/>
      <c r="FF15" s="39"/>
      <c r="FG15" s="39"/>
      <c r="FH15" s="39"/>
      <c r="FI15" s="39"/>
      <c r="FJ15" s="39"/>
      <c r="FK15" s="39"/>
      <c r="FL15" s="39"/>
      <c r="FM15" s="39"/>
      <c r="FN15" s="39"/>
      <c r="FO15" s="39"/>
      <c r="FP15" s="39"/>
      <c r="FQ15" s="39"/>
      <c r="FR15" s="12" t="str">
        <f t="shared" si="63"/>
        <v/>
      </c>
      <c r="FS15" s="12" t="str">
        <f t="shared" si="64"/>
        <v/>
      </c>
      <c r="FT15" s="12" t="str">
        <f t="shared" si="65"/>
        <v/>
      </c>
      <c r="FU15" s="12" t="str">
        <f t="shared" si="66"/>
        <v/>
      </c>
      <c r="FV15" s="12" t="str">
        <f t="shared" si="67"/>
        <v/>
      </c>
      <c r="FW15" s="12" t="str">
        <f t="shared" si="68"/>
        <v/>
      </c>
      <c r="FX15" s="12" t="str">
        <f t="shared" si="69"/>
        <v/>
      </c>
      <c r="FY15" s="40"/>
      <c r="FZ15" s="40"/>
      <c r="GA15" s="40"/>
      <c r="GB15" s="40"/>
      <c r="GC15" s="40"/>
      <c r="GD15" s="40"/>
      <c r="GE15" s="40"/>
      <c r="GF15" s="40"/>
      <c r="GG15" s="40"/>
      <c r="GH15" s="40"/>
      <c r="GI15" s="40"/>
      <c r="GJ15" s="40"/>
      <c r="GK15" s="40"/>
      <c r="GL15" s="40"/>
      <c r="GM15" s="40"/>
      <c r="GN15" s="15" t="str">
        <f t="shared" si="70"/>
        <v/>
      </c>
      <c r="GO15" s="15" t="str">
        <f t="shared" si="71"/>
        <v/>
      </c>
      <c r="GP15" s="15" t="str">
        <f t="shared" si="72"/>
        <v/>
      </c>
      <c r="GQ15" s="15" t="str">
        <f t="shared" si="73"/>
        <v/>
      </c>
      <c r="GR15" s="15" t="str">
        <f t="shared" si="74"/>
        <v/>
      </c>
      <c r="GS15" s="15" t="str">
        <f t="shared" si="75"/>
        <v/>
      </c>
      <c r="GT15" s="15" t="str">
        <f t="shared" si="76"/>
        <v/>
      </c>
      <c r="GU15" s="39">
        <v>15.7</v>
      </c>
      <c r="GV15" s="39">
        <v>9.5</v>
      </c>
      <c r="GW15" s="39">
        <v>4.4000000000000004</v>
      </c>
      <c r="GX15" s="39">
        <v>14.755000000000001</v>
      </c>
      <c r="GY15" s="39">
        <v>0</v>
      </c>
      <c r="GZ15" s="39">
        <v>2.8</v>
      </c>
      <c r="HA15" s="39">
        <v>1.7</v>
      </c>
      <c r="HB15" s="39">
        <v>2.9</v>
      </c>
      <c r="HC15" s="39">
        <v>3.06</v>
      </c>
      <c r="HD15" s="39">
        <v>0</v>
      </c>
      <c r="HE15" s="39"/>
      <c r="HF15" s="39"/>
      <c r="HG15" s="39"/>
      <c r="HH15" s="39"/>
      <c r="HI15" s="39"/>
      <c r="HJ15" s="12">
        <f t="shared" si="77"/>
        <v>2.9</v>
      </c>
      <c r="HK15" s="12">
        <f t="shared" si="78"/>
        <v>44.355000000000004</v>
      </c>
      <c r="HL15" s="12">
        <f t="shared" si="79"/>
        <v>10.46</v>
      </c>
      <c r="HM15" s="12">
        <f t="shared" si="80"/>
        <v>54.815000000000005</v>
      </c>
      <c r="HN15" s="12" t="str">
        <f t="shared" si="81"/>
        <v/>
      </c>
      <c r="HO15" s="12" t="str">
        <f t="shared" si="82"/>
        <v/>
      </c>
      <c r="HP15" s="12">
        <f t="shared" si="83"/>
        <v>54.815000000000005</v>
      </c>
      <c r="HQ15" s="40"/>
      <c r="HR15" s="40"/>
      <c r="HS15" s="40"/>
      <c r="HT15" s="40"/>
      <c r="HU15" s="40"/>
      <c r="HV15" s="40"/>
      <c r="HW15" s="40"/>
      <c r="HX15" s="40"/>
      <c r="HY15" s="40"/>
      <c r="HZ15" s="40"/>
      <c r="IA15" s="40"/>
      <c r="IB15" s="40"/>
      <c r="IC15" s="40"/>
      <c r="ID15" s="40"/>
      <c r="IE15" s="40"/>
      <c r="IF15" s="15" t="str">
        <f t="shared" si="84"/>
        <v/>
      </c>
      <c r="IG15" s="15" t="str">
        <f t="shared" si="85"/>
        <v/>
      </c>
      <c r="IH15" s="15" t="str">
        <f t="shared" si="86"/>
        <v/>
      </c>
      <c r="II15" s="15" t="str">
        <f t="shared" si="87"/>
        <v/>
      </c>
      <c r="IJ15" s="15" t="str">
        <f t="shared" si="88"/>
        <v/>
      </c>
      <c r="IK15" s="15" t="str">
        <f t="shared" si="89"/>
        <v/>
      </c>
      <c r="IL15" s="15" t="str">
        <f t="shared" si="90"/>
        <v/>
      </c>
      <c r="IM15" s="39"/>
      <c r="IN15" s="39"/>
      <c r="IO15" s="39"/>
      <c r="IP15" s="39"/>
      <c r="IQ15" s="39"/>
      <c r="IR15" s="39"/>
      <c r="IS15" s="39"/>
      <c r="IT15" s="39"/>
      <c r="IU15" s="39"/>
      <c r="IV15" s="39"/>
      <c r="IW15" s="39"/>
      <c r="IX15" s="39"/>
      <c r="IY15" s="39"/>
      <c r="IZ15" s="39"/>
      <c r="JA15" s="39"/>
      <c r="JB15" s="12" t="str">
        <f t="shared" si="91"/>
        <v/>
      </c>
      <c r="JC15" s="12" t="str">
        <f t="shared" si="92"/>
        <v/>
      </c>
      <c r="JD15" s="12" t="str">
        <f t="shared" si="93"/>
        <v/>
      </c>
      <c r="JE15" s="12" t="str">
        <f t="shared" si="94"/>
        <v/>
      </c>
      <c r="JF15" s="12" t="str">
        <f t="shared" si="95"/>
        <v/>
      </c>
      <c r="JG15" s="12" t="str">
        <f t="shared" si="96"/>
        <v/>
      </c>
      <c r="JH15" s="12" t="str">
        <f t="shared" si="97"/>
        <v/>
      </c>
      <c r="JI15" s="40"/>
      <c r="JJ15" s="40"/>
      <c r="JK15" s="40"/>
      <c r="JL15" s="40"/>
      <c r="JM15" s="40"/>
      <c r="JN15" s="40"/>
      <c r="JO15" s="40"/>
      <c r="JP15" s="40"/>
      <c r="JQ15" s="40"/>
      <c r="JR15" s="40"/>
      <c r="JS15" s="40"/>
      <c r="JT15" s="40"/>
      <c r="JU15" s="40"/>
      <c r="JV15" s="40"/>
      <c r="JW15" s="40"/>
      <c r="JX15" s="15" t="str">
        <f t="shared" si="98"/>
        <v/>
      </c>
      <c r="JY15" s="15" t="str">
        <f t="shared" si="99"/>
        <v/>
      </c>
      <c r="JZ15" s="15" t="str">
        <f t="shared" si="100"/>
        <v/>
      </c>
      <c r="KA15" s="15" t="str">
        <f t="shared" si="101"/>
        <v/>
      </c>
      <c r="KB15" s="15" t="str">
        <f t="shared" si="102"/>
        <v/>
      </c>
      <c r="KC15" s="15" t="str">
        <f t="shared" si="103"/>
        <v/>
      </c>
      <c r="KD15" s="15" t="str">
        <f t="shared" si="104"/>
        <v/>
      </c>
      <c r="KE15" s="39"/>
      <c r="KF15" s="39"/>
      <c r="KG15" s="39"/>
      <c r="KH15" s="39"/>
      <c r="KI15" s="39"/>
      <c r="KJ15" s="39"/>
      <c r="KK15" s="39"/>
      <c r="KL15" s="39"/>
      <c r="KM15" s="39"/>
      <c r="KN15" s="39"/>
      <c r="KO15" s="39"/>
      <c r="KP15" s="39"/>
      <c r="KQ15" s="39"/>
      <c r="KR15" s="39"/>
      <c r="KS15" s="39"/>
      <c r="KT15" s="12" t="str">
        <f t="shared" si="105"/>
        <v/>
      </c>
      <c r="KU15" s="12" t="str">
        <f t="shared" si="106"/>
        <v/>
      </c>
      <c r="KV15" s="12" t="str">
        <f t="shared" si="107"/>
        <v/>
      </c>
      <c r="KW15" s="12" t="str">
        <f t="shared" si="108"/>
        <v/>
      </c>
      <c r="KX15" s="12" t="str">
        <f t="shared" si="109"/>
        <v/>
      </c>
      <c r="KY15" s="12" t="str">
        <f t="shared" si="110"/>
        <v/>
      </c>
      <c r="KZ15" s="12" t="str">
        <f t="shared" si="111"/>
        <v/>
      </c>
      <c r="LA15" s="40"/>
      <c r="LB15" s="40"/>
      <c r="LC15" s="40"/>
      <c r="LD15" s="40"/>
      <c r="LE15" s="40"/>
      <c r="LF15" s="40"/>
      <c r="LG15" s="40"/>
      <c r="LH15" s="40"/>
      <c r="LI15" s="40"/>
      <c r="LJ15" s="40"/>
      <c r="LK15" s="40"/>
      <c r="LL15" s="40"/>
      <c r="LM15" s="40"/>
      <c r="LN15" s="40"/>
      <c r="LO15" s="40"/>
      <c r="LP15" s="15" t="str">
        <f t="shared" si="112"/>
        <v/>
      </c>
      <c r="LQ15" s="15" t="str">
        <f t="shared" si="113"/>
        <v/>
      </c>
      <c r="LR15" s="15" t="str">
        <f t="shared" si="114"/>
        <v/>
      </c>
      <c r="LS15" s="15" t="str">
        <f t="shared" si="115"/>
        <v/>
      </c>
      <c r="LT15" s="15" t="str">
        <f t="shared" si="116"/>
        <v/>
      </c>
      <c r="LU15" s="15" t="str">
        <f t="shared" si="117"/>
        <v/>
      </c>
      <c r="LV15" s="15" t="str">
        <f t="shared" si="118"/>
        <v/>
      </c>
      <c r="LW15" s="71">
        <f t="shared" si="119"/>
        <v>0</v>
      </c>
      <c r="LX15" s="71">
        <f t="shared" si="120"/>
        <v>0</v>
      </c>
      <c r="LY15" s="71">
        <f t="shared" si="121"/>
        <v>0</v>
      </c>
      <c r="LZ15" s="71">
        <f t="shared" si="122"/>
        <v>0</v>
      </c>
      <c r="MA15" s="71">
        <f t="shared" si="123"/>
        <v>0</v>
      </c>
      <c r="MB15" s="71">
        <f t="shared" si="124"/>
        <v>0</v>
      </c>
      <c r="MC15" s="71">
        <f t="shared" si="125"/>
        <v>0</v>
      </c>
      <c r="MD15" s="71">
        <f t="shared" si="126"/>
        <v>0</v>
      </c>
      <c r="ME15" s="71">
        <f t="shared" si="127"/>
        <v>0</v>
      </c>
      <c r="MF15" s="71">
        <f t="shared" si="128"/>
        <v>0</v>
      </c>
      <c r="MG15" s="71">
        <f t="shared" si="129"/>
        <v>0</v>
      </c>
      <c r="MH15" s="71">
        <f t="shared" si="130"/>
        <v>0</v>
      </c>
      <c r="MI15" s="71">
        <f t="shared" si="131"/>
        <v>0</v>
      </c>
      <c r="MJ15" s="71">
        <f t="shared" si="132"/>
        <v>0</v>
      </c>
      <c r="MK15" s="71">
        <f t="shared" si="133"/>
        <v>0</v>
      </c>
      <c r="ML15" s="82" t="s">
        <v>100</v>
      </c>
      <c r="MM15" s="12" t="str">
        <f t="shared" ref="MM15" si="153">IF(MD15&gt;0,MD15,"")</f>
        <v/>
      </c>
      <c r="MN15" s="12" t="str">
        <f t="shared" ref="MN15" si="154">IF(SUM(LW15:LZ15)-MA15&gt;0,SUM(LW15:LZ15)-MA15,"")</f>
        <v/>
      </c>
      <c r="MO15" s="12" t="str">
        <f t="shared" ref="MO15" si="155">IF(SUM(MB15:ME15)-MF15&gt;0,SUM(MB15:ME15)-MF15,"")</f>
        <v/>
      </c>
      <c r="MP15" s="12" t="str">
        <f t="shared" ref="MP15" si="156">IF(SUM(MN15:MO15)&gt;0,SUM(MN15:MO15),"")</f>
        <v/>
      </c>
      <c r="MQ15" s="12" t="str">
        <f t="shared" si="144"/>
        <v/>
      </c>
      <c r="MR15" s="12" t="str">
        <f t="shared" ref="MR15" si="157">IF(SUM(MG15:MJ15)-MK15&gt;0,SUM(MG15:MJ15)-MK15,"")</f>
        <v/>
      </c>
      <c r="MS15" s="12" t="str">
        <f t="shared" ref="MS15" si="158">IF(SUM(MP15,MR15)&gt;0,SUM(MP15,MR15),"")</f>
        <v/>
      </c>
    </row>
    <row r="16" spans="1:357" x14ac:dyDescent="0.2">
      <c r="F16" s="4" t="str">
        <f t="shared" si="2"/>
        <v/>
      </c>
      <c r="G16" s="4" t="str">
        <f t="shared" si="3"/>
        <v/>
      </c>
      <c r="H16" s="4" t="str">
        <f t="shared" si="4"/>
        <v/>
      </c>
    </row>
    <row r="18" spans="1:329" x14ac:dyDescent="0.2">
      <c r="B18" s="72" t="s">
        <v>85</v>
      </c>
      <c r="AK18" s="58"/>
      <c r="AL18" s="66">
        <v>12.2</v>
      </c>
      <c r="BH18" s="58"/>
      <c r="BI18" s="66">
        <v>12.2</v>
      </c>
      <c r="CH18" s="58"/>
      <c r="CI18" s="66">
        <v>16.7</v>
      </c>
      <c r="DD18" s="58"/>
      <c r="DE18" s="66">
        <v>16.7</v>
      </c>
      <c r="DZ18" s="58"/>
      <c r="EA18" s="66">
        <v>14</v>
      </c>
      <c r="EV18" s="58"/>
      <c r="EW18" s="66">
        <v>16.7</v>
      </c>
      <c r="FR18" s="58"/>
      <c r="FS18" s="66">
        <v>12.2</v>
      </c>
      <c r="GN18" s="58"/>
      <c r="GO18" s="66">
        <v>12.2</v>
      </c>
      <c r="HJ18" s="58"/>
      <c r="HK18" s="66">
        <v>12.2</v>
      </c>
      <c r="IF18" s="58"/>
      <c r="IG18" s="66">
        <v>12.2</v>
      </c>
      <c r="JB18" s="58"/>
      <c r="JC18" s="66">
        <v>12.2</v>
      </c>
      <c r="JX18" s="58"/>
      <c r="JY18" s="66">
        <v>12.2</v>
      </c>
      <c r="KT18" s="58"/>
      <c r="KU18" s="66">
        <v>12.2</v>
      </c>
      <c r="LP18" s="58"/>
      <c r="LQ18" s="66">
        <v>12.2</v>
      </c>
    </row>
    <row r="19" spans="1:329" x14ac:dyDescent="0.2">
      <c r="A19" s="58"/>
      <c r="B19" s="100" t="s">
        <v>84</v>
      </c>
      <c r="C19" s="57"/>
      <c r="AK19" s="58"/>
      <c r="AL19" s="102">
        <v>13.1</v>
      </c>
      <c r="BH19" s="58"/>
      <c r="BI19" s="102">
        <v>13.1</v>
      </c>
      <c r="CH19" s="58"/>
      <c r="CI19" s="102">
        <v>17</v>
      </c>
      <c r="DD19" s="58"/>
      <c r="DE19" s="102">
        <v>17</v>
      </c>
      <c r="DZ19" s="58"/>
      <c r="EA19" s="102">
        <v>14.6</v>
      </c>
      <c r="EV19" s="58"/>
      <c r="EW19" s="102">
        <v>17</v>
      </c>
      <c r="FR19" s="58"/>
      <c r="FS19" s="102">
        <v>13.1</v>
      </c>
      <c r="GN19" s="58"/>
      <c r="GO19" s="102">
        <v>13.1</v>
      </c>
      <c r="HJ19" s="58"/>
      <c r="HK19" s="102">
        <v>13.1</v>
      </c>
      <c r="IF19" s="58"/>
      <c r="IG19" s="102">
        <v>13.1</v>
      </c>
      <c r="JB19" s="58"/>
      <c r="JC19" s="102">
        <v>13.1</v>
      </c>
      <c r="JX19" s="58"/>
      <c r="JY19" s="102">
        <v>13.1</v>
      </c>
      <c r="KT19" s="58"/>
      <c r="KU19" s="102">
        <v>13.1</v>
      </c>
      <c r="LP19" s="58"/>
      <c r="LQ19" s="102">
        <v>13.1</v>
      </c>
    </row>
    <row r="20" spans="1:329" x14ac:dyDescent="0.2">
      <c r="A20" s="58"/>
      <c r="B20" s="73" t="s">
        <v>82</v>
      </c>
      <c r="C20" s="57"/>
      <c r="AK20" s="58"/>
      <c r="AL20" s="67">
        <v>96.8</v>
      </c>
      <c r="BH20" s="58"/>
      <c r="BI20" s="67">
        <v>96.8</v>
      </c>
      <c r="CH20" s="58"/>
      <c r="CI20" s="67">
        <v>96.3</v>
      </c>
      <c r="DD20" s="58"/>
      <c r="DE20" s="67">
        <v>96.3</v>
      </c>
      <c r="DZ20" s="58"/>
      <c r="EA20" s="67">
        <v>96.3</v>
      </c>
      <c r="EV20" s="58"/>
      <c r="EW20" s="67">
        <v>96.3</v>
      </c>
      <c r="FR20" s="58"/>
      <c r="FS20" s="67">
        <v>96.8</v>
      </c>
      <c r="GN20" s="58"/>
      <c r="GO20" s="67">
        <v>96.8</v>
      </c>
      <c r="HJ20" s="58"/>
      <c r="HK20" s="67">
        <v>96.8</v>
      </c>
      <c r="IF20" s="58"/>
      <c r="IG20" s="67">
        <v>96.8</v>
      </c>
      <c r="JB20" s="58"/>
      <c r="JC20" s="67">
        <v>96.8</v>
      </c>
      <c r="JX20" s="58"/>
      <c r="JY20" s="67">
        <v>96.8</v>
      </c>
      <c r="KT20" s="58"/>
      <c r="KU20" s="67">
        <v>96.8</v>
      </c>
      <c r="LP20" s="58"/>
      <c r="LQ20" s="67">
        <v>96.8</v>
      </c>
    </row>
    <row r="21" spans="1:329" x14ac:dyDescent="0.2">
      <c r="A21" s="58"/>
      <c r="B21" s="74" t="s">
        <v>83</v>
      </c>
      <c r="C21" s="57"/>
      <c r="AK21" s="58"/>
      <c r="AL21" s="68">
        <v>98.8</v>
      </c>
      <c r="BH21" s="58"/>
      <c r="BI21" s="68">
        <v>98.8</v>
      </c>
      <c r="CH21" s="58"/>
      <c r="CI21" s="68">
        <v>98.3</v>
      </c>
      <c r="DD21" s="58"/>
      <c r="DE21" s="68">
        <v>98.3</v>
      </c>
      <c r="DZ21" s="58"/>
      <c r="EA21" s="68">
        <v>98.3</v>
      </c>
      <c r="EV21" s="58"/>
      <c r="EW21" s="68">
        <v>98.3</v>
      </c>
      <c r="FR21" s="58"/>
      <c r="FS21" s="68">
        <v>98.8</v>
      </c>
      <c r="GN21" s="58"/>
      <c r="GO21" s="68">
        <v>98.8</v>
      </c>
      <c r="HJ21" s="58"/>
      <c r="HK21" s="68">
        <v>98.8</v>
      </c>
      <c r="IF21" s="58"/>
      <c r="IG21" s="68">
        <v>98.8</v>
      </c>
      <c r="JB21" s="58"/>
      <c r="JC21" s="68">
        <v>98.8</v>
      </c>
      <c r="JX21" s="58"/>
      <c r="JY21" s="68">
        <v>98.8</v>
      </c>
      <c r="KT21" s="58"/>
      <c r="KU21" s="68">
        <v>98.8</v>
      </c>
      <c r="LP21" s="58"/>
      <c r="LQ21" s="68">
        <v>98.8</v>
      </c>
    </row>
    <row r="22" spans="1:329" x14ac:dyDescent="0.2">
      <c r="A22" s="58"/>
      <c r="B22" s="75" t="s">
        <v>151</v>
      </c>
      <c r="C22" s="57"/>
      <c r="AK22" s="58"/>
      <c r="AL22" s="69">
        <v>101</v>
      </c>
      <c r="BH22" s="58"/>
      <c r="BI22" s="69">
        <v>101</v>
      </c>
      <c r="CH22" s="58"/>
      <c r="CI22" s="69">
        <v>101.2</v>
      </c>
      <c r="DD22" s="58"/>
      <c r="DE22" s="69">
        <v>101.2</v>
      </c>
      <c r="DZ22" s="58"/>
      <c r="EA22" s="69">
        <v>101.2</v>
      </c>
      <c r="EV22" s="58"/>
      <c r="EW22" s="69">
        <v>101.2</v>
      </c>
      <c r="FR22" s="58"/>
      <c r="FS22" s="69">
        <v>101</v>
      </c>
      <c r="GN22" s="58"/>
      <c r="GO22" s="69">
        <v>101</v>
      </c>
      <c r="HJ22" s="58"/>
      <c r="HK22" s="69">
        <v>101</v>
      </c>
      <c r="IF22" s="58"/>
      <c r="IG22" s="69">
        <v>101</v>
      </c>
      <c r="JB22" s="58"/>
      <c r="JC22" s="69">
        <v>101</v>
      </c>
      <c r="JX22" s="58"/>
      <c r="JY22" s="69">
        <v>101</v>
      </c>
      <c r="KT22" s="58"/>
      <c r="KU22" s="69">
        <v>101</v>
      </c>
      <c r="LP22" s="58"/>
      <c r="LQ22" s="69">
        <v>101</v>
      </c>
    </row>
    <row r="23" spans="1:329" x14ac:dyDescent="0.2">
      <c r="A23" s="58"/>
      <c r="B23" s="76" t="s">
        <v>64</v>
      </c>
      <c r="C23" s="57"/>
      <c r="L23" s="2"/>
      <c r="AK23" s="58"/>
      <c r="AL23" s="70">
        <v>55</v>
      </c>
      <c r="BH23" s="58"/>
      <c r="BI23" s="70">
        <v>55</v>
      </c>
      <c r="CH23" s="58"/>
      <c r="CI23" s="70">
        <v>55.1</v>
      </c>
      <c r="DD23" s="58"/>
      <c r="DE23" s="70">
        <v>55.1</v>
      </c>
      <c r="DZ23" s="58"/>
      <c r="EA23" s="70">
        <v>55.1</v>
      </c>
      <c r="EV23" s="58"/>
      <c r="EW23" s="70">
        <v>55.1</v>
      </c>
      <c r="FR23" s="58"/>
      <c r="FS23" s="70">
        <v>55</v>
      </c>
      <c r="GN23" s="58"/>
      <c r="GO23" s="70">
        <v>55</v>
      </c>
      <c r="HJ23" s="58"/>
      <c r="HK23" s="70">
        <v>55</v>
      </c>
      <c r="IF23" s="58"/>
      <c r="IG23" s="70">
        <v>55</v>
      </c>
      <c r="JB23" s="58"/>
      <c r="JC23" s="70">
        <v>55</v>
      </c>
      <c r="JX23" s="58"/>
      <c r="JY23" s="70">
        <v>55</v>
      </c>
      <c r="KT23" s="58"/>
      <c r="KU23" s="70">
        <v>55</v>
      </c>
      <c r="LP23" s="58"/>
      <c r="LQ23" s="70">
        <v>55</v>
      </c>
    </row>
    <row r="24" spans="1:329" x14ac:dyDescent="0.2">
      <c r="A24" s="7"/>
      <c r="B24" s="84" t="s">
        <v>101</v>
      </c>
      <c r="C24" s="57"/>
      <c r="AK24" s="56"/>
      <c r="CI24" s="56"/>
      <c r="DE24" s="56"/>
      <c r="EA24" t="s">
        <v>147</v>
      </c>
      <c r="GO24" s="56"/>
    </row>
    <row r="25" spans="1:329" x14ac:dyDescent="0.2">
      <c r="A25" s="58"/>
      <c r="B25" s="58"/>
      <c r="C25" s="57"/>
    </row>
    <row r="26" spans="1:329" x14ac:dyDescent="0.2">
      <c r="A26" s="58"/>
      <c r="B26" s="58"/>
      <c r="C26" s="57"/>
    </row>
    <row r="27" spans="1:329" x14ac:dyDescent="0.2">
      <c r="A27" s="58"/>
      <c r="B27" s="58"/>
      <c r="C27" s="57"/>
    </row>
  </sheetData>
  <sheetProtection sheet="1" formatCells="0" formatColumns="0" formatRows="0"/>
  <autoFilter ref="A1:LV3" xr:uid="{00000000-0009-0000-0000-000002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sortState xmlns:xlrd2="http://schemas.microsoft.com/office/spreadsheetml/2017/richdata2" ref="A6:LV16">
      <sortCondition descending="1" ref="F1:F21"/>
    </sortState>
  </autoFilter>
  <mergeCells count="81">
    <mergeCell ref="EG1:FB1"/>
    <mergeCell ref="LA2:LE2"/>
    <mergeCell ref="LF2:LJ2"/>
    <mergeCell ref="LK2:LO2"/>
    <mergeCell ref="JN2:JR2"/>
    <mergeCell ref="JS2:JW2"/>
    <mergeCell ref="KE2:KI2"/>
    <mergeCell ref="KJ2:KN2"/>
    <mergeCell ref="KO2:KS2"/>
    <mergeCell ref="GD2:GH2"/>
    <mergeCell ref="EQ2:EU2"/>
    <mergeCell ref="FC2:FG2"/>
    <mergeCell ref="FH2:FL2"/>
    <mergeCell ref="FM2:FQ2"/>
    <mergeCell ref="FY2:GC2"/>
    <mergeCell ref="KE1:KZ1"/>
    <mergeCell ref="LA1:LV1"/>
    <mergeCell ref="FC1:FX1"/>
    <mergeCell ref="FY1:GT1"/>
    <mergeCell ref="JI1:KD1"/>
    <mergeCell ref="GU1:HP1"/>
    <mergeCell ref="HQ1:IL1"/>
    <mergeCell ref="IM1:JH1"/>
    <mergeCell ref="CT2:CX2"/>
    <mergeCell ref="CY2:DC2"/>
    <mergeCell ref="DK2:DO2"/>
    <mergeCell ref="DP2:DT2"/>
    <mergeCell ref="Q1:Q3"/>
    <mergeCell ref="BO1:BR1"/>
    <mergeCell ref="AR2:AV2"/>
    <mergeCell ref="AW2:BA2"/>
    <mergeCell ref="BB2:BF2"/>
    <mergeCell ref="A1:A3"/>
    <mergeCell ref="B1:B3"/>
    <mergeCell ref="C1:C3"/>
    <mergeCell ref="E1:E3"/>
    <mergeCell ref="G1:G3"/>
    <mergeCell ref="F1:F3"/>
    <mergeCell ref="D1:D3"/>
    <mergeCell ref="IW2:JA2"/>
    <mergeCell ref="JI2:JM2"/>
    <mergeCell ref="GI2:GM2"/>
    <mergeCell ref="GU2:GY2"/>
    <mergeCell ref="GZ2:HD2"/>
    <mergeCell ref="HE2:HI2"/>
    <mergeCell ref="HQ2:HU2"/>
    <mergeCell ref="HV2:HZ2"/>
    <mergeCell ref="IA2:IE2"/>
    <mergeCell ref="IM2:IQ2"/>
    <mergeCell ref="P1:P3"/>
    <mergeCell ref="K1:K3"/>
    <mergeCell ref="M1:M3"/>
    <mergeCell ref="O1:O3"/>
    <mergeCell ref="IR2:IV2"/>
    <mergeCell ref="EG2:EK2"/>
    <mergeCell ref="EL2:EP2"/>
    <mergeCell ref="AR1:BN1"/>
    <mergeCell ref="DU2:DY2"/>
    <mergeCell ref="BS1:CN1"/>
    <mergeCell ref="BS2:BW2"/>
    <mergeCell ref="BX2:CB2"/>
    <mergeCell ref="CC2:CG2"/>
    <mergeCell ref="CO1:DJ1"/>
    <mergeCell ref="DK1:EF1"/>
    <mergeCell ref="CO2:CS2"/>
    <mergeCell ref="LW1:MS1"/>
    <mergeCell ref="LW2:MA2"/>
    <mergeCell ref="MB2:MF2"/>
    <mergeCell ref="MG2:MK2"/>
    <mergeCell ref="H1:H3"/>
    <mergeCell ref="I1:I3"/>
    <mergeCell ref="U2:Y2"/>
    <mergeCell ref="Z2:AD2"/>
    <mergeCell ref="U1:AQ1"/>
    <mergeCell ref="AE2:AI2"/>
    <mergeCell ref="S1:S3"/>
    <mergeCell ref="T1:T3"/>
    <mergeCell ref="R1:R3"/>
    <mergeCell ref="J1:J3"/>
    <mergeCell ref="L1:L3"/>
    <mergeCell ref="N1:N3"/>
  </mergeCells>
  <conditionalFormatting sqref="A1:A1048576">
    <cfRule type="expression" dxfId="176" priority="92">
      <formula>AND(H1="P",F1="")</formula>
    </cfRule>
  </conditionalFormatting>
  <conditionalFormatting sqref="U4:AQ15">
    <cfRule type="expression" dxfId="175" priority="25">
      <formula>IF($AJ4&lt;&gt;"",1,0)</formula>
    </cfRule>
  </conditionalFormatting>
  <conditionalFormatting sqref="AR4:BN15">
    <cfRule type="expression" dxfId="174" priority="22">
      <formula>IF($BG4&lt;&gt;"",1,0)</formula>
    </cfRule>
  </conditionalFormatting>
  <conditionalFormatting sqref="I1:I1048576">
    <cfRule type="containsText" dxfId="173" priority="9" operator="containsText" text="No DD">
      <formula>NOT(ISERROR(SEARCH("No DD",I1)))</formula>
    </cfRule>
    <cfRule type="containsText" dxfId="172" priority="17" operator="containsText" text="Merit">
      <formula>NOT(ISERROR(SEARCH("Merit",I1)))</formula>
    </cfRule>
    <cfRule type="containsText" dxfId="171" priority="18" operator="containsText" text="Excellence">
      <formula>NOT(ISERROR(SEARCH("Excellence",I1)))</formula>
    </cfRule>
    <cfRule type="containsText" dxfId="170" priority="19" operator="containsText" text="Worlds Team">
      <formula>NOT(ISERROR(SEARCH("Worlds Team",I1)))</formula>
    </cfRule>
    <cfRule type="containsText" dxfId="169" priority="20" operator="containsText" text="National Team">
      <formula>NOT(ISERROR(SEARCH("National Team",I1)))</formula>
    </cfRule>
  </conditionalFormatting>
  <conditionalFormatting sqref="K1:K1048576 M1:M1048576 O1:O1048576 Q1:Q1048576">
    <cfRule type="expression" dxfId="168" priority="384">
      <formula>IF(K1=$AR$1,1,0)</formula>
    </cfRule>
    <cfRule type="expression" dxfId="167" priority="386">
      <formula>IF(K1=$U$1,1,0)</formula>
    </cfRule>
  </conditionalFormatting>
  <conditionalFormatting sqref="CJ1:CJ1048576 DF1:DF1048576 EB1:EB1048576 EX1:EX1048576 FT1:FT1048576 GP1:GP1048576 HL1:HL1048576 IH1:IH1048576 JD1:JD1048576 JZ1:JZ1048576 KV1:KV1048576 LR1:LR1048576">
    <cfRule type="cellIs" dxfId="166" priority="13232" operator="between">
      <formula>CI$23</formula>
      <formula>1000</formula>
    </cfRule>
  </conditionalFormatting>
  <conditionalFormatting sqref="LU1:LU1048576 DI1:DI1048576 EE1:EE1048576 FW1:FW1048576 HO1:HO1048576 JG1:JG1048576 KY1:KY1048576 FA1:FA1048576 GS1:GS1048576 IK1:IK1048576 KC1:KC1048576 CM1:CM1048576">
    <cfRule type="cellIs" dxfId="165" priority="13268" operator="between">
      <formula>CI$23</formula>
      <formula>1000</formula>
    </cfRule>
  </conditionalFormatting>
  <conditionalFormatting sqref="CK1:CK1048576 DG1:DG1048576 EC1:EC1048576 EY1:EY1048576 FU1:FU1048576 GQ1:GQ1048576 HM1:HM1048576 II1:II1048576 JE1:JE1048576 KA1:KA1048576 KW1:KW1048576 LS1:LS1048576">
    <cfRule type="cellIs" dxfId="164" priority="13304" operator="between">
      <formula>CI$22</formula>
      <formula>1000</formula>
    </cfRule>
    <cfRule type="cellIs" dxfId="163" priority="13305" operator="between">
      <formula>CI$21</formula>
      <formula>CI$22</formula>
    </cfRule>
    <cfRule type="cellIs" dxfId="162" priority="13306" operator="between">
      <formula>CI$20</formula>
      <formula>CI$21</formula>
    </cfRule>
  </conditionalFormatting>
  <conditionalFormatting sqref="CH1:CH1048576 DD1:DD1048576 DZ1:DZ1048576 EV1:EV1048576 FR1:FR1048576 GN1:GN1048576 HJ1:HJ1048576 IF1:IF1048576 JB1:JB1048576 JX1:JX1048576 KT1:KT1048576 LP1:LP1048576">
    <cfRule type="cellIs" dxfId="161" priority="13412" operator="between">
      <formula>CI$19</formula>
      <formula>1000</formula>
    </cfRule>
    <cfRule type="cellIs" dxfId="160" priority="13413" operator="between">
      <formula>CI$18</formula>
      <formula>CI$19</formula>
    </cfRule>
  </conditionalFormatting>
  <conditionalFormatting sqref="CL1:CL1048576 DH1:DH1048576 ED1:ED1048576 EZ1:EZ1048576 FV1:FV1048576 GR1:GR1048576 HN1:HN1048576 IJ1:IJ1048576 JF1:JF1048576 KB1:KB1048576 KX1:KX1048576 LT1:LT1048576">
    <cfRule type="expression" dxfId="159" priority="13484">
      <formula>IF(AND(CL1&gt;=CI$19,CL1&lt;100),1,0)</formula>
    </cfRule>
    <cfRule type="expression" dxfId="158" priority="13485">
      <formula>IF(AND(CL1&gt;=CI$18,CL1&lt;CI$19),1,0)</formula>
    </cfRule>
  </conditionalFormatting>
  <conditionalFormatting sqref="AN1:AN1048576 BK1:BK1048576">
    <cfRule type="expression" dxfId="157" priority="13556">
      <formula>IF(AND(AN1&gt;=AL$22,AN1&lt;1000,AJ1=""),1,0)</formula>
    </cfRule>
    <cfRule type="expression" dxfId="156" priority="13557">
      <formula>IF(AND(AN1&gt;=AL$21,AN1&lt;AL$22,AJ1=""),1,0)</formula>
    </cfRule>
    <cfRule type="expression" dxfId="155" priority="13558">
      <formula>IF(AND(AN1&gt;=AL$20,AN1&lt;AL$21,AJ1=""),1,0)</formula>
    </cfRule>
  </conditionalFormatting>
  <conditionalFormatting sqref="AM1:AM1048576 BJ1:BJ1048576">
    <cfRule type="expression" dxfId="154" priority="13574">
      <formula>IF(AND(AM1&gt;=AL$23,AM1&lt;1000,AJ1=""),1,0)</formula>
    </cfRule>
  </conditionalFormatting>
  <conditionalFormatting sqref="BM1:BM1048576 AP1:AP1048576">
    <cfRule type="expression" dxfId="153" priority="13580">
      <formula>IF(AND(AP1&gt;=AL$23,AP1&lt;1000,AJ1=""),1,0)</formula>
    </cfRule>
  </conditionalFormatting>
  <conditionalFormatting sqref="AK1:AK1048576 BH1:BH1048576">
    <cfRule type="expression" dxfId="152" priority="13586">
      <formula>IF(AND(AK1&gt;=AL$19,AK1&lt;100,AJ1=""),1,0)</formula>
    </cfRule>
    <cfRule type="expression" dxfId="151" priority="13587">
      <formula>IF(AND(AK1&gt;=AL$18,AK1&lt;AL$19,AJ1=""),1,0)</formula>
    </cfRule>
  </conditionalFormatting>
  <conditionalFormatting sqref="AO1:AO1048576 BL1:BL1048576">
    <cfRule type="expression" dxfId="150" priority="13598">
      <formula>IF(AND(AO1&gt;=AL$19,AO1&lt;100,AJ1=""),1,0)</formula>
    </cfRule>
  </conditionalFormatting>
  <conditionalFormatting sqref="BL1:BL1048576 AO1:AO1048576">
    <cfRule type="expression" dxfId="149" priority="13604">
      <formula>IF(AND(AO1&gt;=AL$18,AO1&lt;AL$19,AJ1=""),1,0)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MS4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1.33203125" customWidth="1"/>
    <col min="6" max="6" width="16" customWidth="1"/>
    <col min="7" max="7" width="14.8320312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customWidth="1"/>
    <col min="19" max="19" width="13" bestFit="1" customWidth="1"/>
    <col min="20" max="20" width="51.1640625" bestFit="1" customWidth="1"/>
    <col min="21" max="36" width="10.83203125" hidden="1" customWidth="1"/>
    <col min="37" max="43" width="10.83203125" customWidth="1"/>
    <col min="44" max="59" width="10.83203125" hidden="1" customWidth="1"/>
    <col min="60" max="66" width="10.83203125" customWidth="1"/>
    <col min="71" max="85" width="10.83203125" hidden="1" customWidth="1"/>
    <col min="86" max="92" width="10.83203125" customWidth="1"/>
    <col min="93" max="107" width="10.83203125" hidden="1" customWidth="1"/>
    <col min="108" max="114" width="10.83203125" customWidth="1"/>
    <col min="115" max="129" width="10.83203125" hidden="1" customWidth="1"/>
    <col min="130" max="136" width="10.83203125" customWidth="1"/>
    <col min="137" max="151" width="10.83203125" hidden="1" customWidth="1"/>
    <col min="152" max="158" width="10.83203125" customWidth="1"/>
    <col min="159" max="173" width="10.83203125" hidden="1" customWidth="1"/>
    <col min="174" max="180" width="10.83203125" customWidth="1"/>
    <col min="181" max="195" width="10.83203125" hidden="1" customWidth="1"/>
    <col min="196" max="202" width="10.83203125" customWidth="1"/>
    <col min="203" max="217" width="10.83203125" hidden="1" customWidth="1"/>
    <col min="218" max="224" width="10.83203125" customWidth="1"/>
    <col min="225" max="357" width="10.83203125" hidden="1" customWidth="1"/>
  </cols>
  <sheetData>
    <row r="1" spans="1:357" x14ac:dyDescent="0.2">
      <c r="A1" s="124" t="s">
        <v>1</v>
      </c>
      <c r="B1" s="124" t="s">
        <v>41</v>
      </c>
      <c r="C1" s="124" t="s">
        <v>0</v>
      </c>
      <c r="D1" s="124" t="s">
        <v>102</v>
      </c>
      <c r="E1" s="124" t="s">
        <v>2</v>
      </c>
      <c r="F1" s="125" t="s">
        <v>85</v>
      </c>
      <c r="G1" s="125" t="s">
        <v>84</v>
      </c>
      <c r="H1" s="124" t="s">
        <v>15</v>
      </c>
      <c r="I1" s="124" t="s">
        <v>16</v>
      </c>
      <c r="J1" s="126" t="s">
        <v>17</v>
      </c>
      <c r="K1" s="126" t="s">
        <v>62</v>
      </c>
      <c r="L1" s="126" t="s">
        <v>18</v>
      </c>
      <c r="M1" s="126" t="s">
        <v>62</v>
      </c>
      <c r="N1" s="126" t="s">
        <v>19</v>
      </c>
      <c r="O1" s="126" t="s">
        <v>62</v>
      </c>
      <c r="P1" s="126" t="s">
        <v>20</v>
      </c>
      <c r="Q1" s="126" t="s">
        <v>62</v>
      </c>
      <c r="R1" s="127" t="s">
        <v>21</v>
      </c>
      <c r="S1" s="126" t="s">
        <v>63</v>
      </c>
      <c r="T1" s="126" t="s">
        <v>62</v>
      </c>
      <c r="U1" s="120" t="s">
        <v>166</v>
      </c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  <c r="AK1" s="120"/>
      <c r="AL1" s="120"/>
      <c r="AM1" s="120"/>
      <c r="AN1" s="120"/>
      <c r="AO1" s="120"/>
      <c r="AP1" s="120"/>
      <c r="AQ1" s="120"/>
      <c r="AR1" s="123" t="s">
        <v>184</v>
      </c>
      <c r="AS1" s="123"/>
      <c r="AT1" s="123"/>
      <c r="AU1" s="123"/>
      <c r="AV1" s="123"/>
      <c r="AW1" s="123"/>
      <c r="AX1" s="123"/>
      <c r="AY1" s="123"/>
      <c r="AZ1" s="123"/>
      <c r="BA1" s="123"/>
      <c r="BB1" s="123"/>
      <c r="BC1" s="123"/>
      <c r="BD1" s="123"/>
      <c r="BE1" s="123"/>
      <c r="BF1" s="123"/>
      <c r="BG1" s="123"/>
      <c r="BH1" s="123"/>
      <c r="BI1" s="123"/>
      <c r="BJ1" s="123"/>
      <c r="BK1" s="123"/>
      <c r="BL1" s="123"/>
      <c r="BM1" s="123"/>
      <c r="BN1" s="123"/>
      <c r="BO1" s="128" t="s">
        <v>21</v>
      </c>
      <c r="BP1" s="128"/>
      <c r="BQ1" s="128"/>
      <c r="BR1" s="128"/>
      <c r="BS1" s="120" t="s">
        <v>121</v>
      </c>
      <c r="BT1" s="120"/>
      <c r="BU1" s="120"/>
      <c r="BV1" s="120"/>
      <c r="BW1" s="120"/>
      <c r="BX1" s="120"/>
      <c r="BY1" s="120"/>
      <c r="BZ1" s="120"/>
      <c r="CA1" s="120"/>
      <c r="CB1" s="120"/>
      <c r="CC1" s="120"/>
      <c r="CD1" s="120"/>
      <c r="CE1" s="120"/>
      <c r="CF1" s="120"/>
      <c r="CG1" s="120"/>
      <c r="CH1" s="120"/>
      <c r="CI1" s="120"/>
      <c r="CJ1" s="120"/>
      <c r="CK1" s="120"/>
      <c r="CL1" s="120"/>
      <c r="CM1" s="120"/>
      <c r="CN1" s="120"/>
      <c r="CO1" s="123" t="s">
        <v>132</v>
      </c>
      <c r="CP1" s="123"/>
      <c r="CQ1" s="123"/>
      <c r="CR1" s="123"/>
      <c r="CS1" s="123"/>
      <c r="CT1" s="123"/>
      <c r="CU1" s="123"/>
      <c r="CV1" s="123"/>
      <c r="CW1" s="123"/>
      <c r="CX1" s="123"/>
      <c r="CY1" s="123"/>
      <c r="CZ1" s="123"/>
      <c r="DA1" s="123"/>
      <c r="DB1" s="123"/>
      <c r="DC1" s="123"/>
      <c r="DD1" s="123"/>
      <c r="DE1" s="123"/>
      <c r="DF1" s="123"/>
      <c r="DG1" s="123"/>
      <c r="DH1" s="123"/>
      <c r="DI1" s="123"/>
      <c r="DJ1" s="123"/>
      <c r="DK1" s="120" t="s">
        <v>145</v>
      </c>
      <c r="DL1" s="120"/>
      <c r="DM1" s="120"/>
      <c r="DN1" s="120"/>
      <c r="DO1" s="120"/>
      <c r="DP1" s="120"/>
      <c r="DQ1" s="120"/>
      <c r="DR1" s="120"/>
      <c r="DS1" s="120"/>
      <c r="DT1" s="120"/>
      <c r="DU1" s="120"/>
      <c r="DV1" s="120"/>
      <c r="DW1" s="120"/>
      <c r="DX1" s="120"/>
      <c r="DY1" s="120"/>
      <c r="DZ1" s="120"/>
      <c r="EA1" s="120"/>
      <c r="EB1" s="120"/>
      <c r="EC1" s="120"/>
      <c r="ED1" s="120"/>
      <c r="EE1" s="120"/>
      <c r="EF1" s="120"/>
      <c r="EG1" s="123" t="s">
        <v>158</v>
      </c>
      <c r="EH1" s="123"/>
      <c r="EI1" s="123"/>
      <c r="EJ1" s="123"/>
      <c r="EK1" s="123"/>
      <c r="EL1" s="123"/>
      <c r="EM1" s="123"/>
      <c r="EN1" s="123"/>
      <c r="EO1" s="123"/>
      <c r="EP1" s="123"/>
      <c r="EQ1" s="123"/>
      <c r="ER1" s="123"/>
      <c r="ES1" s="123"/>
      <c r="ET1" s="123"/>
      <c r="EU1" s="123"/>
      <c r="EV1" s="123"/>
      <c r="EW1" s="123"/>
      <c r="EX1" s="123"/>
      <c r="EY1" s="123"/>
      <c r="EZ1" s="123"/>
      <c r="FA1" s="123"/>
      <c r="FB1" s="123"/>
      <c r="FC1" s="120" t="s">
        <v>163</v>
      </c>
      <c r="FD1" s="120"/>
      <c r="FE1" s="120"/>
      <c r="FF1" s="120"/>
      <c r="FG1" s="120"/>
      <c r="FH1" s="120"/>
      <c r="FI1" s="120"/>
      <c r="FJ1" s="120"/>
      <c r="FK1" s="120"/>
      <c r="FL1" s="120"/>
      <c r="FM1" s="120"/>
      <c r="FN1" s="120"/>
      <c r="FO1" s="120"/>
      <c r="FP1" s="120"/>
      <c r="FQ1" s="120"/>
      <c r="FR1" s="120"/>
      <c r="FS1" s="120"/>
      <c r="FT1" s="120"/>
      <c r="FU1" s="120"/>
      <c r="FV1" s="120"/>
      <c r="FW1" s="120"/>
      <c r="FX1" s="120"/>
      <c r="FY1" s="123" t="s">
        <v>201</v>
      </c>
      <c r="FZ1" s="123"/>
      <c r="GA1" s="123"/>
      <c r="GB1" s="123"/>
      <c r="GC1" s="123"/>
      <c r="GD1" s="123"/>
      <c r="GE1" s="123"/>
      <c r="GF1" s="123"/>
      <c r="GG1" s="123"/>
      <c r="GH1" s="123"/>
      <c r="GI1" s="123"/>
      <c r="GJ1" s="123"/>
      <c r="GK1" s="123"/>
      <c r="GL1" s="123"/>
      <c r="GM1" s="123"/>
      <c r="GN1" s="123"/>
      <c r="GO1" s="123"/>
      <c r="GP1" s="123"/>
      <c r="GQ1" s="123"/>
      <c r="GR1" s="123"/>
      <c r="GS1" s="123"/>
      <c r="GT1" s="123"/>
      <c r="GU1" s="120" t="s">
        <v>211</v>
      </c>
      <c r="GV1" s="120"/>
      <c r="GW1" s="120"/>
      <c r="GX1" s="120"/>
      <c r="GY1" s="120"/>
      <c r="GZ1" s="120"/>
      <c r="HA1" s="120"/>
      <c r="HB1" s="120"/>
      <c r="HC1" s="120"/>
      <c r="HD1" s="120"/>
      <c r="HE1" s="120"/>
      <c r="HF1" s="120"/>
      <c r="HG1" s="120"/>
      <c r="HH1" s="120"/>
      <c r="HI1" s="120"/>
      <c r="HJ1" s="120"/>
      <c r="HK1" s="120"/>
      <c r="HL1" s="120"/>
      <c r="HM1" s="120"/>
      <c r="HN1" s="120"/>
      <c r="HO1" s="120"/>
      <c r="HP1" s="120"/>
      <c r="HQ1" s="123"/>
      <c r="HR1" s="123"/>
      <c r="HS1" s="123"/>
      <c r="HT1" s="123"/>
      <c r="HU1" s="123"/>
      <c r="HV1" s="123"/>
      <c r="HW1" s="123"/>
      <c r="HX1" s="123"/>
      <c r="HY1" s="123"/>
      <c r="HZ1" s="123"/>
      <c r="IA1" s="123"/>
      <c r="IB1" s="123"/>
      <c r="IC1" s="123"/>
      <c r="ID1" s="123"/>
      <c r="IE1" s="123"/>
      <c r="IF1" s="123"/>
      <c r="IG1" s="123"/>
      <c r="IH1" s="123"/>
      <c r="II1" s="123"/>
      <c r="IJ1" s="123"/>
      <c r="IK1" s="123"/>
      <c r="IL1" s="123"/>
      <c r="IM1" s="120"/>
      <c r="IN1" s="120"/>
      <c r="IO1" s="120"/>
      <c r="IP1" s="120"/>
      <c r="IQ1" s="120"/>
      <c r="IR1" s="120"/>
      <c r="IS1" s="120"/>
      <c r="IT1" s="120"/>
      <c r="IU1" s="120"/>
      <c r="IV1" s="120"/>
      <c r="IW1" s="120"/>
      <c r="IX1" s="120"/>
      <c r="IY1" s="120"/>
      <c r="IZ1" s="120"/>
      <c r="JA1" s="120"/>
      <c r="JB1" s="120"/>
      <c r="JC1" s="120"/>
      <c r="JD1" s="120"/>
      <c r="JE1" s="120"/>
      <c r="JF1" s="120"/>
      <c r="JG1" s="120"/>
      <c r="JH1" s="120"/>
      <c r="JI1" s="123"/>
      <c r="JJ1" s="123"/>
      <c r="JK1" s="123"/>
      <c r="JL1" s="123"/>
      <c r="JM1" s="123"/>
      <c r="JN1" s="123"/>
      <c r="JO1" s="123"/>
      <c r="JP1" s="123"/>
      <c r="JQ1" s="123"/>
      <c r="JR1" s="123"/>
      <c r="JS1" s="123"/>
      <c r="JT1" s="123"/>
      <c r="JU1" s="123"/>
      <c r="JV1" s="123"/>
      <c r="JW1" s="123"/>
      <c r="JX1" s="123"/>
      <c r="JY1" s="123"/>
      <c r="JZ1" s="123"/>
      <c r="KA1" s="123"/>
      <c r="KB1" s="123"/>
      <c r="KC1" s="123"/>
      <c r="KD1" s="123"/>
      <c r="KE1" s="120"/>
      <c r="KF1" s="120"/>
      <c r="KG1" s="120"/>
      <c r="KH1" s="120"/>
      <c r="KI1" s="120"/>
      <c r="KJ1" s="120"/>
      <c r="KK1" s="120"/>
      <c r="KL1" s="120"/>
      <c r="KM1" s="120"/>
      <c r="KN1" s="120"/>
      <c r="KO1" s="120"/>
      <c r="KP1" s="120"/>
      <c r="KQ1" s="120"/>
      <c r="KR1" s="120"/>
      <c r="KS1" s="120"/>
      <c r="KT1" s="120"/>
      <c r="KU1" s="120"/>
      <c r="KV1" s="120"/>
      <c r="KW1" s="120"/>
      <c r="KX1" s="120"/>
      <c r="KY1" s="120"/>
      <c r="KZ1" s="120"/>
      <c r="LA1" s="123"/>
      <c r="LB1" s="123"/>
      <c r="LC1" s="123"/>
      <c r="LD1" s="123"/>
      <c r="LE1" s="123"/>
      <c r="LF1" s="123"/>
      <c r="LG1" s="123"/>
      <c r="LH1" s="123"/>
      <c r="LI1" s="123"/>
      <c r="LJ1" s="123"/>
      <c r="LK1" s="123"/>
      <c r="LL1" s="123"/>
      <c r="LM1" s="123"/>
      <c r="LN1" s="123"/>
      <c r="LO1" s="123"/>
      <c r="LP1" s="123"/>
      <c r="LQ1" s="123"/>
      <c r="LR1" s="123"/>
      <c r="LS1" s="123"/>
      <c r="LT1" s="123"/>
      <c r="LU1" s="123"/>
      <c r="LV1" s="123"/>
      <c r="LW1" s="120" t="s">
        <v>161</v>
      </c>
      <c r="LX1" s="120"/>
      <c r="LY1" s="120"/>
      <c r="LZ1" s="120"/>
      <c r="MA1" s="120"/>
      <c r="MB1" s="120"/>
      <c r="MC1" s="120"/>
      <c r="MD1" s="120"/>
      <c r="ME1" s="120"/>
      <c r="MF1" s="120"/>
      <c r="MG1" s="120"/>
      <c r="MH1" s="120"/>
      <c r="MI1" s="120"/>
      <c r="MJ1" s="120"/>
      <c r="MK1" s="120"/>
      <c r="ML1" s="120"/>
      <c r="MM1" s="120"/>
      <c r="MN1" s="120"/>
      <c r="MO1" s="120"/>
      <c r="MP1" s="120"/>
      <c r="MQ1" s="120"/>
      <c r="MR1" s="120"/>
      <c r="MS1" s="120"/>
    </row>
    <row r="2" spans="1:357" x14ac:dyDescent="0.2">
      <c r="A2" s="124"/>
      <c r="B2" s="124"/>
      <c r="C2" s="124"/>
      <c r="D2" s="124"/>
      <c r="E2" s="124"/>
      <c r="F2" s="125"/>
      <c r="G2" s="125"/>
      <c r="H2" s="124"/>
      <c r="I2" s="124"/>
      <c r="J2" s="126"/>
      <c r="K2" s="126"/>
      <c r="L2" s="126"/>
      <c r="M2" s="126"/>
      <c r="N2" s="126"/>
      <c r="O2" s="126"/>
      <c r="P2" s="126"/>
      <c r="Q2" s="126"/>
      <c r="R2" s="127"/>
      <c r="S2" s="126"/>
      <c r="T2" s="126"/>
      <c r="U2" s="121" t="s">
        <v>26</v>
      </c>
      <c r="V2" s="121"/>
      <c r="W2" s="121"/>
      <c r="X2" s="121"/>
      <c r="Y2" s="121"/>
      <c r="Z2" s="121" t="s">
        <v>27</v>
      </c>
      <c r="AA2" s="121"/>
      <c r="AB2" s="121"/>
      <c r="AC2" s="121"/>
      <c r="AD2" s="121"/>
      <c r="AE2" s="121" t="s">
        <v>30</v>
      </c>
      <c r="AF2" s="121"/>
      <c r="AG2" s="121"/>
      <c r="AH2" s="121"/>
      <c r="AI2" s="121"/>
      <c r="AJ2" s="80"/>
      <c r="AK2" s="60" t="s">
        <v>146</v>
      </c>
      <c r="AL2" s="10" t="s">
        <v>28</v>
      </c>
      <c r="AM2" s="10" t="s">
        <v>29</v>
      </c>
      <c r="AN2" s="10" t="s">
        <v>31</v>
      </c>
      <c r="AO2" s="10" t="s">
        <v>180</v>
      </c>
      <c r="AP2" s="10" t="s">
        <v>30</v>
      </c>
      <c r="AQ2" s="10" t="s">
        <v>25</v>
      </c>
      <c r="AR2" s="122" t="s">
        <v>26</v>
      </c>
      <c r="AS2" s="122"/>
      <c r="AT2" s="122"/>
      <c r="AU2" s="122"/>
      <c r="AV2" s="122"/>
      <c r="AW2" s="122" t="s">
        <v>27</v>
      </c>
      <c r="AX2" s="122"/>
      <c r="AY2" s="122"/>
      <c r="AZ2" s="122"/>
      <c r="BA2" s="122"/>
      <c r="BB2" s="122" t="s">
        <v>30</v>
      </c>
      <c r="BC2" s="122"/>
      <c r="BD2" s="122"/>
      <c r="BE2" s="122"/>
      <c r="BF2" s="122"/>
      <c r="BG2" s="81"/>
      <c r="BH2" s="59" t="s">
        <v>146</v>
      </c>
      <c r="BI2" s="13" t="s">
        <v>28</v>
      </c>
      <c r="BJ2" s="13" t="s">
        <v>29</v>
      </c>
      <c r="BK2" s="13" t="s">
        <v>31</v>
      </c>
      <c r="BL2" s="13" t="s">
        <v>180</v>
      </c>
      <c r="BM2" s="13" t="s">
        <v>30</v>
      </c>
      <c r="BN2" s="13" t="s">
        <v>25</v>
      </c>
      <c r="BO2" s="24" t="s">
        <v>28</v>
      </c>
      <c r="BP2" s="24" t="s">
        <v>29</v>
      </c>
      <c r="BQ2" s="24" t="s">
        <v>31</v>
      </c>
      <c r="BR2" s="24" t="s">
        <v>30</v>
      </c>
      <c r="BS2" s="121" t="s">
        <v>26</v>
      </c>
      <c r="BT2" s="121"/>
      <c r="BU2" s="121"/>
      <c r="BV2" s="121"/>
      <c r="BW2" s="121"/>
      <c r="BX2" s="121" t="s">
        <v>27</v>
      </c>
      <c r="BY2" s="121"/>
      <c r="BZ2" s="121"/>
      <c r="CA2" s="121"/>
      <c r="CB2" s="121"/>
      <c r="CC2" s="121" t="s">
        <v>30</v>
      </c>
      <c r="CD2" s="121"/>
      <c r="CE2" s="121"/>
      <c r="CF2" s="121"/>
      <c r="CG2" s="121"/>
      <c r="CH2" s="20" t="s">
        <v>146</v>
      </c>
      <c r="CI2" s="10" t="s">
        <v>28</v>
      </c>
      <c r="CJ2" s="10" t="s">
        <v>29</v>
      </c>
      <c r="CK2" s="10" t="s">
        <v>31</v>
      </c>
      <c r="CL2" s="10" t="s">
        <v>180</v>
      </c>
      <c r="CM2" s="10" t="s">
        <v>30</v>
      </c>
      <c r="CN2" s="10" t="s">
        <v>25</v>
      </c>
      <c r="CO2" s="122" t="s">
        <v>26</v>
      </c>
      <c r="CP2" s="122"/>
      <c r="CQ2" s="122"/>
      <c r="CR2" s="122"/>
      <c r="CS2" s="122"/>
      <c r="CT2" s="122" t="s">
        <v>27</v>
      </c>
      <c r="CU2" s="122"/>
      <c r="CV2" s="122"/>
      <c r="CW2" s="122"/>
      <c r="CX2" s="122"/>
      <c r="CY2" s="122" t="s">
        <v>30</v>
      </c>
      <c r="CZ2" s="122"/>
      <c r="DA2" s="122"/>
      <c r="DB2" s="122"/>
      <c r="DC2" s="122"/>
      <c r="DD2" s="22" t="s">
        <v>146</v>
      </c>
      <c r="DE2" s="13" t="s">
        <v>28</v>
      </c>
      <c r="DF2" s="13" t="s">
        <v>29</v>
      </c>
      <c r="DG2" s="13" t="s">
        <v>31</v>
      </c>
      <c r="DH2" s="13" t="s">
        <v>180</v>
      </c>
      <c r="DI2" s="13" t="s">
        <v>30</v>
      </c>
      <c r="DJ2" s="13" t="s">
        <v>25</v>
      </c>
      <c r="DK2" s="121" t="s">
        <v>26</v>
      </c>
      <c r="DL2" s="121"/>
      <c r="DM2" s="121"/>
      <c r="DN2" s="121"/>
      <c r="DO2" s="121"/>
      <c r="DP2" s="121" t="s">
        <v>27</v>
      </c>
      <c r="DQ2" s="121"/>
      <c r="DR2" s="121"/>
      <c r="DS2" s="121"/>
      <c r="DT2" s="121"/>
      <c r="DU2" s="121" t="s">
        <v>30</v>
      </c>
      <c r="DV2" s="121"/>
      <c r="DW2" s="121"/>
      <c r="DX2" s="121"/>
      <c r="DY2" s="121"/>
      <c r="DZ2" s="23" t="s">
        <v>146</v>
      </c>
      <c r="EA2" s="10" t="s">
        <v>28</v>
      </c>
      <c r="EB2" s="10" t="s">
        <v>29</v>
      </c>
      <c r="EC2" s="10" t="s">
        <v>31</v>
      </c>
      <c r="ED2" s="10" t="s">
        <v>180</v>
      </c>
      <c r="EE2" s="10" t="s">
        <v>30</v>
      </c>
      <c r="EF2" s="10" t="s">
        <v>25</v>
      </c>
      <c r="EG2" s="122" t="s">
        <v>26</v>
      </c>
      <c r="EH2" s="122"/>
      <c r="EI2" s="122"/>
      <c r="EJ2" s="122"/>
      <c r="EK2" s="122"/>
      <c r="EL2" s="122" t="s">
        <v>27</v>
      </c>
      <c r="EM2" s="122"/>
      <c r="EN2" s="122"/>
      <c r="EO2" s="122"/>
      <c r="EP2" s="122"/>
      <c r="EQ2" s="122" t="s">
        <v>30</v>
      </c>
      <c r="ER2" s="122"/>
      <c r="ES2" s="122"/>
      <c r="ET2" s="122"/>
      <c r="EU2" s="122"/>
      <c r="EV2" s="22" t="s">
        <v>146</v>
      </c>
      <c r="EW2" s="13" t="s">
        <v>28</v>
      </c>
      <c r="EX2" s="13" t="s">
        <v>29</v>
      </c>
      <c r="EY2" s="13" t="s">
        <v>31</v>
      </c>
      <c r="EZ2" s="13" t="s">
        <v>180</v>
      </c>
      <c r="FA2" s="13" t="s">
        <v>30</v>
      </c>
      <c r="FB2" s="13" t="s">
        <v>25</v>
      </c>
      <c r="FC2" s="121" t="s">
        <v>26</v>
      </c>
      <c r="FD2" s="121"/>
      <c r="FE2" s="121"/>
      <c r="FF2" s="121"/>
      <c r="FG2" s="121"/>
      <c r="FH2" s="121" t="s">
        <v>27</v>
      </c>
      <c r="FI2" s="121"/>
      <c r="FJ2" s="121"/>
      <c r="FK2" s="121"/>
      <c r="FL2" s="121"/>
      <c r="FM2" s="121" t="s">
        <v>30</v>
      </c>
      <c r="FN2" s="121"/>
      <c r="FO2" s="121"/>
      <c r="FP2" s="121"/>
      <c r="FQ2" s="121"/>
      <c r="FR2" s="23" t="s">
        <v>146</v>
      </c>
      <c r="FS2" s="10" t="s">
        <v>28</v>
      </c>
      <c r="FT2" s="10" t="s">
        <v>29</v>
      </c>
      <c r="FU2" s="10" t="s">
        <v>31</v>
      </c>
      <c r="FV2" s="10" t="s">
        <v>180</v>
      </c>
      <c r="FW2" s="10" t="s">
        <v>30</v>
      </c>
      <c r="FX2" s="10" t="s">
        <v>25</v>
      </c>
      <c r="FY2" s="122" t="s">
        <v>26</v>
      </c>
      <c r="FZ2" s="122"/>
      <c r="GA2" s="122"/>
      <c r="GB2" s="122"/>
      <c r="GC2" s="122"/>
      <c r="GD2" s="122" t="s">
        <v>27</v>
      </c>
      <c r="GE2" s="122"/>
      <c r="GF2" s="122"/>
      <c r="GG2" s="122"/>
      <c r="GH2" s="122"/>
      <c r="GI2" s="122" t="s">
        <v>30</v>
      </c>
      <c r="GJ2" s="122"/>
      <c r="GK2" s="122"/>
      <c r="GL2" s="122"/>
      <c r="GM2" s="122"/>
      <c r="GN2" s="22" t="s">
        <v>146</v>
      </c>
      <c r="GO2" s="13" t="s">
        <v>28</v>
      </c>
      <c r="GP2" s="13" t="s">
        <v>29</v>
      </c>
      <c r="GQ2" s="13" t="s">
        <v>31</v>
      </c>
      <c r="GR2" s="13" t="s">
        <v>180</v>
      </c>
      <c r="GS2" s="13" t="s">
        <v>30</v>
      </c>
      <c r="GT2" s="13" t="s">
        <v>25</v>
      </c>
      <c r="GU2" s="121" t="s">
        <v>26</v>
      </c>
      <c r="GV2" s="121"/>
      <c r="GW2" s="121"/>
      <c r="GX2" s="121"/>
      <c r="GY2" s="121"/>
      <c r="GZ2" s="121" t="s">
        <v>27</v>
      </c>
      <c r="HA2" s="121"/>
      <c r="HB2" s="121"/>
      <c r="HC2" s="121"/>
      <c r="HD2" s="121"/>
      <c r="HE2" s="121" t="s">
        <v>30</v>
      </c>
      <c r="HF2" s="121"/>
      <c r="HG2" s="121"/>
      <c r="HH2" s="121"/>
      <c r="HI2" s="121"/>
      <c r="HJ2" s="23" t="s">
        <v>146</v>
      </c>
      <c r="HK2" s="10" t="s">
        <v>28</v>
      </c>
      <c r="HL2" s="10" t="s">
        <v>29</v>
      </c>
      <c r="HM2" s="10" t="s">
        <v>31</v>
      </c>
      <c r="HN2" s="10" t="s">
        <v>180</v>
      </c>
      <c r="HO2" s="10" t="s">
        <v>30</v>
      </c>
      <c r="HP2" s="10" t="s">
        <v>25</v>
      </c>
      <c r="HQ2" s="122" t="s">
        <v>26</v>
      </c>
      <c r="HR2" s="122"/>
      <c r="HS2" s="122"/>
      <c r="HT2" s="122"/>
      <c r="HU2" s="122"/>
      <c r="HV2" s="122" t="s">
        <v>27</v>
      </c>
      <c r="HW2" s="122"/>
      <c r="HX2" s="122"/>
      <c r="HY2" s="122"/>
      <c r="HZ2" s="122"/>
      <c r="IA2" s="122" t="s">
        <v>30</v>
      </c>
      <c r="IB2" s="122"/>
      <c r="IC2" s="122"/>
      <c r="ID2" s="122"/>
      <c r="IE2" s="122"/>
      <c r="IF2" s="22" t="s">
        <v>146</v>
      </c>
      <c r="IG2" s="13" t="s">
        <v>28</v>
      </c>
      <c r="IH2" s="13" t="s">
        <v>29</v>
      </c>
      <c r="II2" s="13" t="s">
        <v>31</v>
      </c>
      <c r="IJ2" s="13" t="s">
        <v>180</v>
      </c>
      <c r="IK2" s="13" t="s">
        <v>30</v>
      </c>
      <c r="IL2" s="13" t="s">
        <v>25</v>
      </c>
      <c r="IM2" s="121" t="s">
        <v>26</v>
      </c>
      <c r="IN2" s="121"/>
      <c r="IO2" s="121"/>
      <c r="IP2" s="121"/>
      <c r="IQ2" s="121"/>
      <c r="IR2" s="121" t="s">
        <v>27</v>
      </c>
      <c r="IS2" s="121"/>
      <c r="IT2" s="121"/>
      <c r="IU2" s="121"/>
      <c r="IV2" s="121"/>
      <c r="IW2" s="121" t="s">
        <v>30</v>
      </c>
      <c r="IX2" s="121"/>
      <c r="IY2" s="121"/>
      <c r="IZ2" s="121"/>
      <c r="JA2" s="121"/>
      <c r="JB2" s="23" t="s">
        <v>146</v>
      </c>
      <c r="JC2" s="10" t="s">
        <v>28</v>
      </c>
      <c r="JD2" s="10" t="s">
        <v>29</v>
      </c>
      <c r="JE2" s="10" t="s">
        <v>31</v>
      </c>
      <c r="JF2" s="10" t="s">
        <v>180</v>
      </c>
      <c r="JG2" s="10" t="s">
        <v>30</v>
      </c>
      <c r="JH2" s="10" t="s">
        <v>25</v>
      </c>
      <c r="JI2" s="122" t="s">
        <v>26</v>
      </c>
      <c r="JJ2" s="122"/>
      <c r="JK2" s="122"/>
      <c r="JL2" s="122"/>
      <c r="JM2" s="122"/>
      <c r="JN2" s="122" t="s">
        <v>27</v>
      </c>
      <c r="JO2" s="122"/>
      <c r="JP2" s="122"/>
      <c r="JQ2" s="122"/>
      <c r="JR2" s="122"/>
      <c r="JS2" s="122" t="s">
        <v>30</v>
      </c>
      <c r="JT2" s="122"/>
      <c r="JU2" s="122"/>
      <c r="JV2" s="122"/>
      <c r="JW2" s="122"/>
      <c r="JX2" s="22" t="s">
        <v>146</v>
      </c>
      <c r="JY2" s="13" t="s">
        <v>28</v>
      </c>
      <c r="JZ2" s="13" t="s">
        <v>29</v>
      </c>
      <c r="KA2" s="13" t="s">
        <v>31</v>
      </c>
      <c r="KB2" s="13" t="s">
        <v>180</v>
      </c>
      <c r="KC2" s="13" t="s">
        <v>30</v>
      </c>
      <c r="KD2" s="13" t="s">
        <v>25</v>
      </c>
      <c r="KE2" s="121" t="s">
        <v>26</v>
      </c>
      <c r="KF2" s="121"/>
      <c r="KG2" s="121"/>
      <c r="KH2" s="121"/>
      <c r="KI2" s="121"/>
      <c r="KJ2" s="121" t="s">
        <v>27</v>
      </c>
      <c r="KK2" s="121"/>
      <c r="KL2" s="121"/>
      <c r="KM2" s="121"/>
      <c r="KN2" s="121"/>
      <c r="KO2" s="121" t="s">
        <v>30</v>
      </c>
      <c r="KP2" s="121"/>
      <c r="KQ2" s="121"/>
      <c r="KR2" s="121"/>
      <c r="KS2" s="121"/>
      <c r="KT2" s="23" t="s">
        <v>146</v>
      </c>
      <c r="KU2" s="10" t="s">
        <v>28</v>
      </c>
      <c r="KV2" s="10" t="s">
        <v>29</v>
      </c>
      <c r="KW2" s="10" t="s">
        <v>31</v>
      </c>
      <c r="KX2" s="10" t="s">
        <v>180</v>
      </c>
      <c r="KY2" s="10" t="s">
        <v>30</v>
      </c>
      <c r="KZ2" s="10" t="s">
        <v>25</v>
      </c>
      <c r="LA2" s="122" t="s">
        <v>26</v>
      </c>
      <c r="LB2" s="122"/>
      <c r="LC2" s="122"/>
      <c r="LD2" s="122"/>
      <c r="LE2" s="122"/>
      <c r="LF2" s="122" t="s">
        <v>27</v>
      </c>
      <c r="LG2" s="122"/>
      <c r="LH2" s="122"/>
      <c r="LI2" s="122"/>
      <c r="LJ2" s="122"/>
      <c r="LK2" s="122" t="s">
        <v>30</v>
      </c>
      <c r="LL2" s="122"/>
      <c r="LM2" s="122"/>
      <c r="LN2" s="122"/>
      <c r="LO2" s="122"/>
      <c r="LP2" s="22" t="s">
        <v>146</v>
      </c>
      <c r="LQ2" s="13" t="s">
        <v>28</v>
      </c>
      <c r="LR2" s="13" t="s">
        <v>29</v>
      </c>
      <c r="LS2" s="13" t="s">
        <v>31</v>
      </c>
      <c r="LT2" s="13" t="s">
        <v>180</v>
      </c>
      <c r="LU2" s="13" t="s">
        <v>30</v>
      </c>
      <c r="LV2" s="13" t="s">
        <v>25</v>
      </c>
      <c r="LW2" s="121" t="s">
        <v>26</v>
      </c>
      <c r="LX2" s="121"/>
      <c r="LY2" s="121"/>
      <c r="LZ2" s="121"/>
      <c r="MA2" s="121"/>
      <c r="MB2" s="121" t="s">
        <v>27</v>
      </c>
      <c r="MC2" s="121"/>
      <c r="MD2" s="121"/>
      <c r="ME2" s="121"/>
      <c r="MF2" s="121"/>
      <c r="MG2" s="121" t="s">
        <v>30</v>
      </c>
      <c r="MH2" s="121"/>
      <c r="MI2" s="121"/>
      <c r="MJ2" s="121"/>
      <c r="MK2" s="121"/>
      <c r="ML2" s="111"/>
      <c r="MM2" s="111" t="s">
        <v>146</v>
      </c>
      <c r="MN2" s="10" t="s">
        <v>28</v>
      </c>
      <c r="MO2" s="10" t="s">
        <v>29</v>
      </c>
      <c r="MP2" s="10" t="s">
        <v>31</v>
      </c>
      <c r="MQ2" s="10" t="s">
        <v>180</v>
      </c>
      <c r="MR2" s="10" t="s">
        <v>30</v>
      </c>
      <c r="MS2" s="10" t="s">
        <v>25</v>
      </c>
    </row>
    <row r="3" spans="1:357" x14ac:dyDescent="0.2">
      <c r="A3" s="124"/>
      <c r="B3" s="124"/>
      <c r="C3" s="124"/>
      <c r="D3" s="124"/>
      <c r="E3" s="124"/>
      <c r="F3" s="125"/>
      <c r="G3" s="125"/>
      <c r="H3" s="124"/>
      <c r="I3" s="124"/>
      <c r="J3" s="126"/>
      <c r="K3" s="126"/>
      <c r="L3" s="126"/>
      <c r="M3" s="126"/>
      <c r="N3" s="126"/>
      <c r="O3" s="126"/>
      <c r="P3" s="126"/>
      <c r="Q3" s="126"/>
      <c r="R3" s="127"/>
      <c r="S3" s="126"/>
      <c r="T3" s="126"/>
      <c r="U3" s="60" t="s">
        <v>22</v>
      </c>
      <c r="V3" s="60" t="s">
        <v>23</v>
      </c>
      <c r="W3" s="60" t="s">
        <v>14</v>
      </c>
      <c r="X3" s="60" t="s">
        <v>60</v>
      </c>
      <c r="Y3" s="60" t="s">
        <v>45</v>
      </c>
      <c r="Z3" s="60" t="s">
        <v>22</v>
      </c>
      <c r="AA3" s="60" t="s">
        <v>23</v>
      </c>
      <c r="AB3" s="60" t="s">
        <v>14</v>
      </c>
      <c r="AC3" s="60" t="s">
        <v>60</v>
      </c>
      <c r="AD3" s="60" t="s">
        <v>45</v>
      </c>
      <c r="AE3" s="60" t="s">
        <v>22</v>
      </c>
      <c r="AF3" s="60" t="s">
        <v>23</v>
      </c>
      <c r="AG3" s="60" t="s">
        <v>14</v>
      </c>
      <c r="AH3" s="60" t="s">
        <v>60</v>
      </c>
      <c r="AI3" s="60" t="s">
        <v>45</v>
      </c>
      <c r="AJ3" s="80" t="s">
        <v>99</v>
      </c>
      <c r="AK3" s="11"/>
      <c r="AL3" s="10"/>
      <c r="AM3" s="10"/>
      <c r="AN3" s="10"/>
      <c r="AO3" s="10"/>
      <c r="AP3" s="11"/>
      <c r="AQ3" s="11"/>
      <c r="AR3" s="59" t="s">
        <v>22</v>
      </c>
      <c r="AS3" s="59" t="s">
        <v>23</v>
      </c>
      <c r="AT3" s="59" t="s">
        <v>14</v>
      </c>
      <c r="AU3" s="59" t="s">
        <v>60</v>
      </c>
      <c r="AV3" s="59" t="s">
        <v>45</v>
      </c>
      <c r="AW3" s="59" t="s">
        <v>22</v>
      </c>
      <c r="AX3" s="59" t="s">
        <v>23</v>
      </c>
      <c r="AY3" s="59" t="s">
        <v>14</v>
      </c>
      <c r="AZ3" s="59" t="s">
        <v>60</v>
      </c>
      <c r="BA3" s="59" t="s">
        <v>45</v>
      </c>
      <c r="BB3" s="59" t="s">
        <v>22</v>
      </c>
      <c r="BC3" s="59" t="s">
        <v>23</v>
      </c>
      <c r="BD3" s="59" t="s">
        <v>14</v>
      </c>
      <c r="BE3" s="59" t="s">
        <v>60</v>
      </c>
      <c r="BF3" s="59" t="s">
        <v>45</v>
      </c>
      <c r="BG3" s="81" t="s">
        <v>99</v>
      </c>
      <c r="BH3" s="14"/>
      <c r="BI3" s="13"/>
      <c r="BJ3" s="13"/>
      <c r="BK3" s="13"/>
      <c r="BL3" s="13"/>
      <c r="BM3" s="14"/>
      <c r="BN3" s="14"/>
      <c r="BO3" s="25"/>
      <c r="BP3" s="25"/>
      <c r="BQ3" s="25"/>
      <c r="BR3" s="25"/>
      <c r="BS3" s="31" t="s">
        <v>22</v>
      </c>
      <c r="BT3" s="31" t="s">
        <v>23</v>
      </c>
      <c r="BU3" s="31" t="s">
        <v>14</v>
      </c>
      <c r="BV3" s="34" t="s">
        <v>60</v>
      </c>
      <c r="BW3" s="50" t="s">
        <v>45</v>
      </c>
      <c r="BX3" s="31" t="s">
        <v>22</v>
      </c>
      <c r="BY3" s="31" t="s">
        <v>23</v>
      </c>
      <c r="BZ3" s="31" t="s">
        <v>14</v>
      </c>
      <c r="CA3" s="34" t="s">
        <v>60</v>
      </c>
      <c r="CB3" s="50" t="s">
        <v>45</v>
      </c>
      <c r="CC3" s="31" t="s">
        <v>22</v>
      </c>
      <c r="CD3" s="31" t="s">
        <v>23</v>
      </c>
      <c r="CE3" s="31" t="s">
        <v>14</v>
      </c>
      <c r="CF3" s="34" t="s">
        <v>60</v>
      </c>
      <c r="CG3" s="50" t="s">
        <v>45</v>
      </c>
      <c r="CH3" s="11"/>
      <c r="CI3" s="10"/>
      <c r="CJ3" s="10"/>
      <c r="CK3" s="10"/>
      <c r="CL3" s="10"/>
      <c r="CM3" s="11"/>
      <c r="CN3" s="11"/>
      <c r="CO3" s="30" t="s">
        <v>22</v>
      </c>
      <c r="CP3" s="30" t="s">
        <v>23</v>
      </c>
      <c r="CQ3" s="30" t="s">
        <v>14</v>
      </c>
      <c r="CR3" s="35" t="s">
        <v>60</v>
      </c>
      <c r="CS3" s="52" t="s">
        <v>45</v>
      </c>
      <c r="CT3" s="30" t="s">
        <v>22</v>
      </c>
      <c r="CU3" s="30" t="s">
        <v>23</v>
      </c>
      <c r="CV3" s="30" t="s">
        <v>14</v>
      </c>
      <c r="CW3" s="35" t="s">
        <v>60</v>
      </c>
      <c r="CX3" s="52" t="s">
        <v>45</v>
      </c>
      <c r="CY3" s="30" t="s">
        <v>22</v>
      </c>
      <c r="CZ3" s="30" t="s">
        <v>23</v>
      </c>
      <c r="DA3" s="30" t="s">
        <v>14</v>
      </c>
      <c r="DB3" s="35" t="s">
        <v>60</v>
      </c>
      <c r="DC3" s="52" t="s">
        <v>45</v>
      </c>
      <c r="DD3" s="14"/>
      <c r="DE3" s="13"/>
      <c r="DF3" s="13"/>
      <c r="DG3" s="13"/>
      <c r="DH3" s="13"/>
      <c r="DI3" s="14"/>
      <c r="DJ3" s="14"/>
      <c r="DK3" s="31" t="s">
        <v>22</v>
      </c>
      <c r="DL3" s="31" t="s">
        <v>23</v>
      </c>
      <c r="DM3" s="31" t="s">
        <v>14</v>
      </c>
      <c r="DN3" s="36" t="s">
        <v>60</v>
      </c>
      <c r="DO3" s="51" t="s">
        <v>45</v>
      </c>
      <c r="DP3" s="31" t="s">
        <v>22</v>
      </c>
      <c r="DQ3" s="31" t="s">
        <v>23</v>
      </c>
      <c r="DR3" s="31" t="s">
        <v>14</v>
      </c>
      <c r="DS3" s="36" t="s">
        <v>60</v>
      </c>
      <c r="DT3" s="51" t="s">
        <v>45</v>
      </c>
      <c r="DU3" s="31" t="s">
        <v>22</v>
      </c>
      <c r="DV3" s="31" t="s">
        <v>23</v>
      </c>
      <c r="DW3" s="31" t="s">
        <v>14</v>
      </c>
      <c r="DX3" s="36" t="s">
        <v>60</v>
      </c>
      <c r="DY3" s="51" t="s">
        <v>45</v>
      </c>
      <c r="DZ3" s="11"/>
      <c r="EA3" s="10"/>
      <c r="EB3" s="10"/>
      <c r="EC3" s="10"/>
      <c r="ED3" s="10"/>
      <c r="EE3" s="11"/>
      <c r="EF3" s="11"/>
      <c r="EG3" s="30" t="s">
        <v>22</v>
      </c>
      <c r="EH3" s="30" t="s">
        <v>23</v>
      </c>
      <c r="EI3" s="30" t="s">
        <v>14</v>
      </c>
      <c r="EJ3" s="35" t="s">
        <v>60</v>
      </c>
      <c r="EK3" s="52" t="s">
        <v>45</v>
      </c>
      <c r="EL3" s="30" t="s">
        <v>22</v>
      </c>
      <c r="EM3" s="30" t="s">
        <v>23</v>
      </c>
      <c r="EN3" s="30" t="s">
        <v>14</v>
      </c>
      <c r="EO3" s="35" t="s">
        <v>60</v>
      </c>
      <c r="EP3" s="52" t="s">
        <v>45</v>
      </c>
      <c r="EQ3" s="30" t="s">
        <v>22</v>
      </c>
      <c r="ER3" s="30" t="s">
        <v>23</v>
      </c>
      <c r="ES3" s="30" t="s">
        <v>14</v>
      </c>
      <c r="ET3" s="35" t="s">
        <v>60</v>
      </c>
      <c r="EU3" s="52" t="s">
        <v>45</v>
      </c>
      <c r="EV3" s="14"/>
      <c r="EW3" s="13"/>
      <c r="EX3" s="13"/>
      <c r="EY3" s="13"/>
      <c r="EZ3" s="13"/>
      <c r="FA3" s="14"/>
      <c r="FB3" s="14"/>
      <c r="FC3" s="31" t="s">
        <v>22</v>
      </c>
      <c r="FD3" s="31" t="s">
        <v>23</v>
      </c>
      <c r="FE3" s="31" t="s">
        <v>14</v>
      </c>
      <c r="FF3" s="36" t="s">
        <v>60</v>
      </c>
      <c r="FG3" s="51" t="s">
        <v>45</v>
      </c>
      <c r="FH3" s="31" t="s">
        <v>22</v>
      </c>
      <c r="FI3" s="31" t="s">
        <v>23</v>
      </c>
      <c r="FJ3" s="31" t="s">
        <v>14</v>
      </c>
      <c r="FK3" s="36" t="s">
        <v>60</v>
      </c>
      <c r="FL3" s="51" t="s">
        <v>45</v>
      </c>
      <c r="FM3" s="31" t="s">
        <v>22</v>
      </c>
      <c r="FN3" s="31" t="s">
        <v>23</v>
      </c>
      <c r="FO3" s="31" t="s">
        <v>14</v>
      </c>
      <c r="FP3" s="36" t="s">
        <v>60</v>
      </c>
      <c r="FQ3" s="51" t="s">
        <v>45</v>
      </c>
      <c r="FR3" s="11"/>
      <c r="FS3" s="10"/>
      <c r="FT3" s="10"/>
      <c r="FU3" s="10"/>
      <c r="FV3" s="10"/>
      <c r="FW3" s="11"/>
      <c r="FX3" s="11"/>
      <c r="FY3" s="30" t="s">
        <v>22</v>
      </c>
      <c r="FZ3" s="30" t="s">
        <v>23</v>
      </c>
      <c r="GA3" s="30" t="s">
        <v>14</v>
      </c>
      <c r="GB3" s="35" t="s">
        <v>60</v>
      </c>
      <c r="GC3" s="52" t="s">
        <v>45</v>
      </c>
      <c r="GD3" s="30" t="s">
        <v>22</v>
      </c>
      <c r="GE3" s="30" t="s">
        <v>23</v>
      </c>
      <c r="GF3" s="30" t="s">
        <v>14</v>
      </c>
      <c r="GG3" s="35" t="s">
        <v>60</v>
      </c>
      <c r="GH3" s="52" t="s">
        <v>45</v>
      </c>
      <c r="GI3" s="30" t="s">
        <v>22</v>
      </c>
      <c r="GJ3" s="30" t="s">
        <v>23</v>
      </c>
      <c r="GK3" s="30" t="s">
        <v>14</v>
      </c>
      <c r="GL3" s="35" t="s">
        <v>60</v>
      </c>
      <c r="GM3" s="52" t="s">
        <v>45</v>
      </c>
      <c r="GN3" s="14"/>
      <c r="GO3" s="13"/>
      <c r="GP3" s="13"/>
      <c r="GQ3" s="13"/>
      <c r="GR3" s="13"/>
      <c r="GS3" s="14"/>
      <c r="GT3" s="14"/>
      <c r="GU3" s="31" t="s">
        <v>22</v>
      </c>
      <c r="GV3" s="31" t="s">
        <v>23</v>
      </c>
      <c r="GW3" s="31" t="s">
        <v>14</v>
      </c>
      <c r="GX3" s="36" t="s">
        <v>60</v>
      </c>
      <c r="GY3" s="51" t="s">
        <v>45</v>
      </c>
      <c r="GZ3" s="31" t="s">
        <v>22</v>
      </c>
      <c r="HA3" s="31" t="s">
        <v>23</v>
      </c>
      <c r="HB3" s="31" t="s">
        <v>14</v>
      </c>
      <c r="HC3" s="36" t="s">
        <v>60</v>
      </c>
      <c r="HD3" s="51" t="s">
        <v>45</v>
      </c>
      <c r="HE3" s="31" t="s">
        <v>22</v>
      </c>
      <c r="HF3" s="31" t="s">
        <v>23</v>
      </c>
      <c r="HG3" s="31" t="s">
        <v>14</v>
      </c>
      <c r="HH3" s="36" t="s">
        <v>60</v>
      </c>
      <c r="HI3" s="51" t="s">
        <v>45</v>
      </c>
      <c r="HJ3" s="11"/>
      <c r="HK3" s="10"/>
      <c r="HL3" s="10"/>
      <c r="HM3" s="10"/>
      <c r="HN3" s="10"/>
      <c r="HO3" s="11"/>
      <c r="HP3" s="11"/>
      <c r="HQ3" s="30" t="s">
        <v>22</v>
      </c>
      <c r="HR3" s="30" t="s">
        <v>23</v>
      </c>
      <c r="HS3" s="30" t="s">
        <v>14</v>
      </c>
      <c r="HT3" s="35" t="s">
        <v>60</v>
      </c>
      <c r="HU3" s="52" t="s">
        <v>45</v>
      </c>
      <c r="HV3" s="30" t="s">
        <v>22</v>
      </c>
      <c r="HW3" s="30" t="s">
        <v>23</v>
      </c>
      <c r="HX3" s="30" t="s">
        <v>14</v>
      </c>
      <c r="HY3" s="35" t="s">
        <v>60</v>
      </c>
      <c r="HZ3" s="52" t="s">
        <v>45</v>
      </c>
      <c r="IA3" s="30" t="s">
        <v>22</v>
      </c>
      <c r="IB3" s="30" t="s">
        <v>23</v>
      </c>
      <c r="IC3" s="30" t="s">
        <v>14</v>
      </c>
      <c r="ID3" s="35" t="s">
        <v>60</v>
      </c>
      <c r="IE3" s="52" t="s">
        <v>45</v>
      </c>
      <c r="IF3" s="14"/>
      <c r="IG3" s="13"/>
      <c r="IH3" s="13"/>
      <c r="II3" s="13"/>
      <c r="IJ3" s="13"/>
      <c r="IK3" s="14"/>
      <c r="IL3" s="14"/>
      <c r="IM3" s="31" t="s">
        <v>22</v>
      </c>
      <c r="IN3" s="31" t="s">
        <v>23</v>
      </c>
      <c r="IO3" s="31" t="s">
        <v>14</v>
      </c>
      <c r="IP3" s="36" t="s">
        <v>60</v>
      </c>
      <c r="IQ3" s="51" t="s">
        <v>45</v>
      </c>
      <c r="IR3" s="31" t="s">
        <v>22</v>
      </c>
      <c r="IS3" s="31" t="s">
        <v>23</v>
      </c>
      <c r="IT3" s="31" t="s">
        <v>14</v>
      </c>
      <c r="IU3" s="36" t="s">
        <v>60</v>
      </c>
      <c r="IV3" s="51" t="s">
        <v>45</v>
      </c>
      <c r="IW3" s="31" t="s">
        <v>22</v>
      </c>
      <c r="IX3" s="31" t="s">
        <v>23</v>
      </c>
      <c r="IY3" s="31" t="s">
        <v>14</v>
      </c>
      <c r="IZ3" s="36" t="s">
        <v>60</v>
      </c>
      <c r="JA3" s="51" t="s">
        <v>45</v>
      </c>
      <c r="JB3" s="11"/>
      <c r="JC3" s="10"/>
      <c r="JD3" s="10"/>
      <c r="JE3" s="10"/>
      <c r="JF3" s="10"/>
      <c r="JG3" s="11"/>
      <c r="JH3" s="11"/>
      <c r="JI3" s="30" t="s">
        <v>22</v>
      </c>
      <c r="JJ3" s="30" t="s">
        <v>23</v>
      </c>
      <c r="JK3" s="30" t="s">
        <v>14</v>
      </c>
      <c r="JL3" s="35" t="s">
        <v>60</v>
      </c>
      <c r="JM3" s="52" t="s">
        <v>45</v>
      </c>
      <c r="JN3" s="30" t="s">
        <v>22</v>
      </c>
      <c r="JO3" s="30" t="s">
        <v>23</v>
      </c>
      <c r="JP3" s="30" t="s">
        <v>14</v>
      </c>
      <c r="JQ3" s="35" t="s">
        <v>60</v>
      </c>
      <c r="JR3" s="52" t="s">
        <v>45</v>
      </c>
      <c r="JS3" s="30" t="s">
        <v>22</v>
      </c>
      <c r="JT3" s="30" t="s">
        <v>23</v>
      </c>
      <c r="JU3" s="30" t="s">
        <v>14</v>
      </c>
      <c r="JV3" s="35" t="s">
        <v>60</v>
      </c>
      <c r="JW3" s="52" t="s">
        <v>45</v>
      </c>
      <c r="JX3" s="14"/>
      <c r="JY3" s="13"/>
      <c r="JZ3" s="13"/>
      <c r="KA3" s="13"/>
      <c r="KB3" s="13"/>
      <c r="KC3" s="14"/>
      <c r="KD3" s="14"/>
      <c r="KE3" s="31" t="s">
        <v>22</v>
      </c>
      <c r="KF3" s="31" t="s">
        <v>23</v>
      </c>
      <c r="KG3" s="31" t="s">
        <v>14</v>
      </c>
      <c r="KH3" s="36" t="s">
        <v>60</v>
      </c>
      <c r="KI3" s="51" t="s">
        <v>45</v>
      </c>
      <c r="KJ3" s="31" t="s">
        <v>22</v>
      </c>
      <c r="KK3" s="31" t="s">
        <v>23</v>
      </c>
      <c r="KL3" s="31" t="s">
        <v>14</v>
      </c>
      <c r="KM3" s="36" t="s">
        <v>60</v>
      </c>
      <c r="KN3" s="51" t="s">
        <v>45</v>
      </c>
      <c r="KO3" s="31" t="s">
        <v>22</v>
      </c>
      <c r="KP3" s="31" t="s">
        <v>23</v>
      </c>
      <c r="KQ3" s="31" t="s">
        <v>14</v>
      </c>
      <c r="KR3" s="36" t="s">
        <v>60</v>
      </c>
      <c r="KS3" s="51" t="s">
        <v>45</v>
      </c>
      <c r="KT3" s="11"/>
      <c r="KU3" s="10"/>
      <c r="KV3" s="10"/>
      <c r="KW3" s="10"/>
      <c r="KX3" s="10"/>
      <c r="KY3" s="11"/>
      <c r="KZ3" s="11"/>
      <c r="LA3" s="30" t="s">
        <v>22</v>
      </c>
      <c r="LB3" s="30" t="s">
        <v>23</v>
      </c>
      <c r="LC3" s="30" t="s">
        <v>14</v>
      </c>
      <c r="LD3" s="35" t="s">
        <v>60</v>
      </c>
      <c r="LE3" s="52" t="s">
        <v>45</v>
      </c>
      <c r="LF3" s="49" t="s">
        <v>22</v>
      </c>
      <c r="LG3" s="30" t="s">
        <v>23</v>
      </c>
      <c r="LH3" s="30" t="s">
        <v>14</v>
      </c>
      <c r="LI3" s="35" t="s">
        <v>60</v>
      </c>
      <c r="LJ3" s="52" t="s">
        <v>45</v>
      </c>
      <c r="LK3" s="30" t="s">
        <v>22</v>
      </c>
      <c r="LL3" s="30" t="s">
        <v>23</v>
      </c>
      <c r="LM3" s="30" t="s">
        <v>14</v>
      </c>
      <c r="LN3" s="35" t="s">
        <v>60</v>
      </c>
      <c r="LO3" s="52" t="s">
        <v>45</v>
      </c>
      <c r="LP3" s="14"/>
      <c r="LQ3" s="13"/>
      <c r="LR3" s="13"/>
      <c r="LS3" s="13"/>
      <c r="LT3" s="13"/>
      <c r="LU3" s="14"/>
      <c r="LV3" s="14"/>
      <c r="LW3" s="111" t="s">
        <v>22</v>
      </c>
      <c r="LX3" s="111" t="s">
        <v>23</v>
      </c>
      <c r="LY3" s="111" t="s">
        <v>14</v>
      </c>
      <c r="LZ3" s="111" t="s">
        <v>24</v>
      </c>
      <c r="MA3" s="111" t="s">
        <v>45</v>
      </c>
      <c r="MB3" s="111" t="s">
        <v>22</v>
      </c>
      <c r="MC3" s="111" t="s">
        <v>23</v>
      </c>
      <c r="MD3" s="111" t="s">
        <v>14</v>
      </c>
      <c r="ME3" s="111" t="s">
        <v>24</v>
      </c>
      <c r="MF3" s="111" t="s">
        <v>45</v>
      </c>
      <c r="MG3" s="111" t="s">
        <v>22</v>
      </c>
      <c r="MH3" s="111" t="s">
        <v>23</v>
      </c>
      <c r="MI3" s="111" t="s">
        <v>14</v>
      </c>
      <c r="MJ3" s="111" t="s">
        <v>24</v>
      </c>
      <c r="MK3" s="111" t="s">
        <v>45</v>
      </c>
      <c r="ML3" s="111" t="s">
        <v>99</v>
      </c>
      <c r="MM3" s="11"/>
      <c r="MN3" s="10"/>
      <c r="MO3" s="10"/>
      <c r="MP3" s="10"/>
      <c r="MQ3" s="10"/>
      <c r="MR3" s="11"/>
      <c r="MS3" s="11"/>
    </row>
    <row r="4" spans="1:357" x14ac:dyDescent="0.2">
      <c r="A4" s="6">
        <f t="shared" ref="A4:A17" si="0">IF(AND(F4="P",H4="P"),SUMPRODUCT((F$4:F$18="P")*(H$4:H$18="P")*(E$4:E$18&gt;E4))+1,IF(H4="P",SUMPRODUCT((F$4:F$18="")*(H$4:H$18="P")*(E$4:E$18&gt;E4))+1+SUMPRODUCT((F$4:F$18="P")*(H$4:H$18="P")),""))</f>
        <v>1</v>
      </c>
      <c r="B4" s="9" t="s">
        <v>203</v>
      </c>
      <c r="C4" s="5" t="s">
        <v>131</v>
      </c>
      <c r="D4" s="29" t="s">
        <v>130</v>
      </c>
      <c r="E4" s="16">
        <f t="shared" ref="E4:E17" si="1">SUM(J4:R4)</f>
        <v>226.12</v>
      </c>
      <c r="F4" s="4" t="str">
        <f t="shared" ref="F4:F17" si="2">IF(OR(AND($AK4&gt;=$AL$20,NOT($AK4=""),$AJ4=""),AND($BH4&gt;=$BI$20,NOT($BH4=""),$BG4=""),AND($CH4&gt;=$CI$20,NOT($CH4="")),AND($DD4&gt;=$DE$20,NOT($DD4="")),AND($DZ4&gt;=$EA$20,NOT($DZ4="")),AND($EV4&gt;=$EW$20,NOT($EV4="")),AND($FR4&gt;=$FS$20,NOT($FR4="")),AND($GN4&gt;=$GO$20,NOT($GN4="")),AND($HJ4&gt;=$HK$20,NOT($HJ4="")),AND($IF4&gt;=$IG$20,NOT($IF4="")),AND($JB4&gt;=$JC$20,NOT($JB4="")),AND($JX4&gt;=$JY$20,NOT($JX4="")),AND($KT4&gt;=$KU$20,NOT($KT4="")),AND($LP4&gt;=$LQ$20,NOT($LP4="")),AND($AO4&gt;=$AL$20,NOT($AO4=""),$AJ4=""),AND($BL4&gt;=$BI$20,NOT($BL4=""),$BG4=""),AND($CL4&gt;=$CI$20,NOT($CL4="")),AND($DH4&gt;=$DE$20,NOT($DH4="")),AND($ED4&gt;=$EA$20,NOT($ED4="")),AND($EZ4&gt;=$EW$20,NOT($EZ4="")),AND($FV4&gt;=$FS$20,NOT($FV4="")),AND($GR4&gt;=$GO$20,NOT($GR4="")),AND($HN4&gt;=$HK$20,NOT($HN4="")),AND($IJ4&gt;=$IG$20,NOT($IJ4="")),AND($JF4&gt;=$JC$20,NOT($JF4="")),AND($KB4&gt;=$JY$20,NOT($KB4="")),AND($KX4&gt;=$KU$20,NOT($KX4="")),AND($LT4&gt;=$LQ$20,NOT($LT4=""))),"P","")</f>
        <v>P</v>
      </c>
      <c r="G4" s="4" t="str">
        <f t="shared" ref="G4:G17" si="3">IF(OR(AND($AK4&gt;=$AL$21,NOT($AK4=""),$AJ4=""),AND($BH4&gt;=$BI$21,NOT($BH4=""),$BG4=""),AND($CH4&gt;=$CI$21,NOT($CH4="")),AND($DD4&gt;=$DE$21,NOT($DD4="")),AND($DZ4&gt;=$EA$21,NOT($DZ4="")),AND($EV4&gt;=$EW$21,NOT($EV4="")),AND($FR4&gt;=$FS$21,NOT($FR4="")),AND($GN4&gt;=$GO$21,NOT($GN4="")),AND($HJ4&gt;=$HK$21,NOT($HJ4="")),AND($IF4&gt;=$IG$21,NOT($IF4="")),AND($JB4&gt;=$JC$21,NOT($JB4="")),AND($JX4&gt;=$JY$21,NOT($JX4="")),AND($KT4&gt;=$KU$21,NOT($KT4="")),AND($LP4&gt;=$LQ$21,NOT($LP4="")),AND($AO4&gt;=$AL$21,NOT($AO4=""),$AJ4=""),AND($BL4&gt;=$BI$21,NOT($BL4=""),$BG4=""),AND($CL4&gt;=$CI$21,NOT($CL4="")),AND($DH4&gt;=$DE$21,NOT($DH4="")),AND($ED4&gt;=$EA$21,NOT($ED4="")),AND($EZ4&gt;=$EW$21,NOT($EZ4="")),AND($FV4&gt;=$FS$21,NOT($FV4="")),AND($GR4&gt;=$GO$21,NOT($GR4="")),AND($HN4&gt;=$HK$21,NOT($HN4="")),AND($IJ4&gt;=$IG$21,NOT($IJ4="")),AND($JF4&gt;=$JC$21,NOT($JF4="")),AND($KB4&gt;=$JY$21,NOT($KB4="")),AND($KX4&gt;=$KU$21,NOT($KX4="")),AND($LT4&gt;=$LQ$21,NOT($LT4=""))),"P","")</f>
        <v/>
      </c>
      <c r="H4" s="4" t="str">
        <f t="shared" ref="H4:H17" si="4">IF(OR(AND($AN4&gt;=$AL$22,NOT($AN4=""),$AJ4=""),AND($BK4&gt;=$BI$22,NOT($BK4=""),$BG4=""),AND($CK4&gt;=$CI$22,NOT($CK4="")),AND($DG4&gt;=$DE$22,NOT($DG4="")),AND($EC4&gt;=$EA$22,NOT($EC4="")),AND($EY4&gt;=$EW$22,NOT($EY4="")),AND($FU4&gt;=$FS$22,NOT($FU4="")),AND($GQ4&gt;=$GO$22,NOT($GQ4="")),AND($HM4&gt;=$HK$22,NOT($HM4="")),AND($II4&gt;=$IG$22,NOT($II4="")),AND($JE4&gt;=$JC$22,NOT($JE4="")),AND($KA4&gt;=$JY$22,NOT($KA4="")),AND($KW4&gt;=$KU$22,NOT($KW4="")),AND($LS4&gt;=$LQ$22,NOT($LS4=""))),"P","")</f>
        <v>P</v>
      </c>
      <c r="I4" t="str">
        <f t="shared" ref="I4:I17" si="5">IF(AND(H4="P",F4=""),"No DD",IF(AND(G4="P",OR(AND($AN4&gt;$AL$25,NOT($AN4=""),$AJ4=""),AND($BK4&gt;$BI$25,NOT($BK4=""),$BG4=""),AND($CK4&gt;$CI$25,NOT($CK4="")),AND($DG4&gt;$DE$25,NOT($DG4="")),AND($EC4&gt;$EA$25,NOT($EC4="")),AND($EY4&gt;$EW$25,NOT($EY4="")),AND($FU4&gt;$FS$25,NOT($FU4="")),AND($GQ4&gt;$GO$25,NOT($GQ4="")),AND($HM4&gt;$HK$25,NOT($HM4="")),AND($II4&gt;$IG$25,NOT($II4="")),AND($JE4&gt;$JC$25,NOT($JE4="")),AND($KA4&gt;$JY$25,NOT($KA4="")),AND($KW4&gt;$KU$25,NOT($KW4="")),AND($LS4&gt;$LQ$25,NOT($LS4="")))),"Merit",IF(AND(G4="P",OR(AND($AN4&gt;$AL$24,NOT($AN4=""),$AJ4=""),AND($BK4&gt;$BI$24,NOT($BK4=""),$BG4=""),AND($CK4&gt;$CI$24,NOT($CK4="")),AND($DG4&gt;$DE$24,NOT($DG4="")),AND($EC4&gt;$EA$24,NOT($EC4="")),AND($EY4&gt;$EW$24,NOT($EY4="")),AND($FU4&gt;$FS$24,NOT($FU4="")),AND($GQ4&gt;$GO$24,NOT($GQ4="")),AND($HM4&gt;$HK$24,NOT($HM4="")),AND($II4&gt;$IG$24,NOT($II4="")),AND($JE4&gt;$JC$24,NOT($JE4="")),AND($KA4&gt;$JY$24,NOT($KA4="")),AND($KW4&gt;$KU$24,NOT($KW4="")),AND($LS4&gt;$LQ$24,NOT($LS4="")))),"Excellence",IF(AND(G4="P",OR(AND($AN4&gt;$AL$23,NOT($AN4=""),$AJ4=""),AND($BK4&gt;$BI$23,NOT($BK4=""),$BG4=""),AND($CK4&gt;$CI$23,NOT($CK4="")),AND($DG4&gt;$DE$23,NOT($DG4="")),AND($EC4&gt;$EA$23,NOT($EC4="")),AND($EY4&gt;$EW$23,NOT($EY4="")),AND($FU4&gt;$FS$23,NOT($FU4="")),AND($GQ4&gt;$GO$23,NOT($GQ4="")),AND($HM4&gt;$HK$23,NOT($HM4="")),AND($II4&gt;$IG$23,NOT($II4="")),AND($JE4&gt;$JC$23,NOT($JE4="")),AND($KA4&gt;$JY$23,NOT($KA4="")),AND($KW4&gt;$KU$23,NOT($KW4="")),AND($LS4&gt;$LQ$23,NOT($LS4="")))),"Worlds Team",IF(AND(F4="P",OR(AND($AN4&gt;$AL$22,NOT($AN4=""),$AJ4=""),AND($BK4&gt;$BI$22,NOT($BK4=""),$BG4=""),AND($CK4&gt;$CI$22,NOT($CK4="")),AND($DG4&gt;$DE$22,NOT($DG4="")),AND($EC4&gt;$EA$22,NOT($EC4="")),AND($EY4&gt;$EW$22,NOT($EY4="")),AND($FU4&gt;$FS$22,NOT($FU4="")),AND($GQ4&gt;$GO$22,NOT($GQ4="")),AND($HM4&gt;$HK$22,NOT($HM4="")),AND($II4&gt;$IG$22,NOT($II4="")),AND($JE4&gt;$JC$22,NOT($JE4="")),AND($KA4&gt;$JY$22,NOT($KA4="")),AND($KW4&gt;$KU$22,NOT($KW4="")),AND($LS4&gt;$LQ$22,NOT($LS4="")))),"National Team","")))))</f>
        <v>National Team</v>
      </c>
      <c r="J4" s="15">
        <f t="shared" ref="J4:J17" si="6">IF(MAX(AN4,BK4)&gt;0,MAX(AN4,BK4),"")</f>
        <v>90.86</v>
      </c>
      <c r="K4" s="15" t="str">
        <f t="shared" ref="K4:K17" si="7">IF(J4="","",IF(J4=BK4,$AR$1,IF(J4=AN4,$U$1,"")))</f>
        <v>2019 Elite Canada</v>
      </c>
      <c r="L4" s="15">
        <f t="shared" ref="L4:L17" si="8">IF($J4=$AN4,BI4,IF($J4=$BK4,AL4,MAX(AL4,BI4)))</f>
        <v>32.06</v>
      </c>
      <c r="M4" s="15" t="str">
        <f t="shared" ref="M4:M17" si="9">IF(L4="","",IF(AND(L4=BI4,$K4&lt;&gt;$AR$1),$AR$1,IF(AND(L4=AL4,$K4&lt;&gt;$U$1),$U$1,"")))</f>
        <v>2019 Nationals</v>
      </c>
      <c r="N4" s="15">
        <f t="shared" ref="N4:N17" si="10">IF($J4=$AN4,BJ4,IF($J4=$BK4,AM4,MAX(AM4,BJ4)))</f>
        <v>44.39</v>
      </c>
      <c r="O4" s="15" t="str">
        <f t="shared" ref="O4:O17" si="11">IF(N4="","",IF(AND(N4=BJ4,$K4&lt;&gt;$AR$1),$AR$1,IF(AND(N4=AM4,$K4&lt;&gt;$U$1),$U$1,"")))</f>
        <v>2019 Nationals</v>
      </c>
      <c r="P4" s="15">
        <f t="shared" ref="P4:P17" si="12">IF(MAX(AP4,BM4)&gt;0,MAX(AP4,BM4),"")</f>
        <v>50.349999999999994</v>
      </c>
      <c r="Q4" s="15" t="str">
        <f t="shared" ref="Q4:Q17" si="13">IF(P4="","",IF(P4=BM4,$AR$1,IF(P4=AP4,$U$1,"")))</f>
        <v>2019 Nationals</v>
      </c>
      <c r="R4" s="15">
        <f t="shared" ref="R4:R17" si="14">IF(MAX(BO4,BP4,BQ4,BR4)&gt;0,MAX(BO4,BP4,BQ4,BR4),"")</f>
        <v>8.4599999999999937</v>
      </c>
      <c r="S4" s="27" t="str">
        <f t="shared" ref="S4:S17" si="15">IF(R4="","",IF(R4=BO4,"(Vol 1)",IF(R4=BP4,"(Vol 2)",IF(R4=BQ4,"(Prelim)",IF(R4=BR4,"(Final)")))))</f>
        <v>(Vol 1)</v>
      </c>
      <c r="T4" s="15" t="str">
        <f t="shared" ref="T4:T17" si="16">IF(R4="","",IF(R4=BO4,IF(R4+IF(L4="",0,L4)=LQ4,$LA$1,IF(R4+IF(L4="",0,L4)=KU4,$KE$1,IF(R4+IF(L4="",0,L4)=JY4,$JI$1,IF(R4+IF(L4="",0,L4)=JC4,$IM$1,IF(R4+IF(L4="",0,L4)=IG4,$HQ$1,IF(R4+IF(L4="",0,L4)=HK4,$GU$1,IF(R4+IF(L4="",0,L4)=GO4,$FY$1,IF(R4+IF(L4="",0,L4)=FS4,$FC$1,IF(R4+IF(L4="",0,L4)=EW4,$EG$1,IF(R4+IF(L4="",0,L4)=EA4,$DK$1,IF(R4+IF(L4="",0,L4)=DE4,$CO$1,IF(R4+IF(L4="",0,L4)=CI4,$BS$1)))))))))))),IF(R4=BP4,IF(R4+IF(N4="",0,N4)=LR4,$LA$1,IF(R4+IF(N4="",0,N4)=KV4,$KE$1,IF(R4+IF(N4="",0,N4)=JZ4,$JI$1,IF(R4+IF(N4="",0,N4)=JD4,$IM$1,IF(R4+IF(N4="",0,N4)=IH4,$HQ$1,IF(R4+IF(N4="",0,N4)=HL4,$GU$1,IF(R4+IF(N4="",0,N4)=GP4,$FY$1,IF(R4+IF(N4="",0,N4)=FT4,$FC$1,IF(R4+IF(N4="",0,N4)=EX4,$EG$1,IF(R4+IF(N4="",0,N4)=EB4,$DK$1,IF(R4+IF(N4="",0,N4)=DF4,$CO$1,IF(R4+IF(N4="",0,N4)=CJ4,$BS$1)))))))))))),IF(R4=BQ4,IF(R4+IF(J4="",0,J4)=LS4,$LA$1,IF(R4+IF(J4="",0,J4)=KW4,$KE$1,IF(R4+IF(J4="",0,J4)=KA4,$JI$1,IF(R4+IF(J4="",0,J4)=JE4,$IM$1,IF(R4+IF(J4="",0,J4)=II4,$HQ$1,IF(R4+IF(J4="",0,J4)=HM4,$GU$1,IF(R4+IF(J4="",0,J4)=GQ4,$FY$1,IF(R4+IF(J4="",0,J4)=FU4,$FC$1,IF(R4+IF(J4="",0,J4)=EY4,$EG$1,IF(R4+IF(J4="",0,J4)=EC4,$DK$1,IF(R4+IF(J4="",0,J4)=DG4,$CO$1,IF(R4+IF(J4="",0,J4)=CK4,$BS$1)))))))))))),IF(R4=BR4,IF(R4+IF(P4="",0,P4)=LU4,$LA$1,IF(R4+IF(P4="",0,P4)=KY4,$KE$1,IF(R4+IF(P4="",0,P4)=KC4,$JI$1,IF(R4+IF(P4="",0,P4)=JG4,$IM$1,IF(R4+IF(P4="",0,P4)=IK4,$HQ$1,IF(R4+IF(P4="",0,P4)=HO4,$GU$1,IF(R4+IF(P4="",0,P4)=GS4,$FY$1,IF(R4+IF(P4="",0,P4)=FW4,$FC$1,IF(R4+IF(P4="",0,P4)=FA4,$EG$1,IF(R4+IF(P4="",0,P4)=EE4,$DK$1,IF(R4+IF(P4="",0,P4)=DI4,$CO$1,IF(R4+IF(P4="",0,P4)=CM4,$BS$1)))))))))))))))))</f>
        <v>2018 World Championships (Nov 8)</v>
      </c>
      <c r="U4" s="41">
        <v>9.25</v>
      </c>
      <c r="V4" s="41">
        <v>9.1999999999999993</v>
      </c>
      <c r="W4" s="41">
        <v>5.8</v>
      </c>
      <c r="X4" s="41">
        <v>17.940000000000001</v>
      </c>
      <c r="Y4" s="41">
        <v>0</v>
      </c>
      <c r="Z4" s="41">
        <v>8.5500000000000007</v>
      </c>
      <c r="AA4" s="41">
        <v>8.6999999999999993</v>
      </c>
      <c r="AB4" s="41">
        <v>14.2</v>
      </c>
      <c r="AC4" s="41">
        <v>17.22</v>
      </c>
      <c r="AD4" s="41">
        <v>0</v>
      </c>
      <c r="AE4" s="41">
        <v>8.6999999999999993</v>
      </c>
      <c r="AF4" s="41">
        <v>8.6999999999999993</v>
      </c>
      <c r="AG4" s="41">
        <v>14.2</v>
      </c>
      <c r="AH4" s="41">
        <v>16.98</v>
      </c>
      <c r="AI4" s="41">
        <v>0</v>
      </c>
      <c r="AJ4" s="82"/>
      <c r="AK4" s="12">
        <f t="shared" ref="AK4:AK17" si="17">IF(AB4&gt;0,AB4,"")</f>
        <v>14.2</v>
      </c>
      <c r="AL4" s="12">
        <f t="shared" ref="AL4:AL17" si="18">IF(SUM(U4:X4)-Y4&gt;0,SUM(U4:X4)-Y4,"")</f>
        <v>42.19</v>
      </c>
      <c r="AM4" s="12">
        <f t="shared" ref="AM4:AM17" si="19">IF(SUM(Z4:AC4)-AD4&gt;0,SUM(Z4:AC4)-AD4,"")</f>
        <v>48.67</v>
      </c>
      <c r="AN4" s="12">
        <f t="shared" ref="AN4:AN17" si="20">IF(SUM(AL4:AM4)&gt;0,SUM(AL4:AM4),"")</f>
        <v>90.86</v>
      </c>
      <c r="AO4" s="12">
        <f t="shared" ref="AO4:AO17" si="21">IF(AG4&gt;0,AG4,"")</f>
        <v>14.2</v>
      </c>
      <c r="AP4" s="12">
        <f t="shared" ref="AP4:AP17" si="22">IF(SUM(AE4:AH4)-AI4&gt;0,SUM(AE4:AH4)-AI4,"")</f>
        <v>48.58</v>
      </c>
      <c r="AQ4" s="12">
        <f t="shared" ref="AQ4:AQ17" si="23">IF(SUM(AN4,AP4)&gt;0,SUM(AN4,AP4),"")</f>
        <v>139.44</v>
      </c>
      <c r="AR4" s="42">
        <v>7.65</v>
      </c>
      <c r="AS4" s="42">
        <v>7.35</v>
      </c>
      <c r="AT4" s="42">
        <v>2.9</v>
      </c>
      <c r="AU4" s="42">
        <v>14.16</v>
      </c>
      <c r="AV4" s="42">
        <v>0</v>
      </c>
      <c r="AW4" s="42">
        <v>7.9</v>
      </c>
      <c r="AX4" s="42">
        <v>8.15</v>
      </c>
      <c r="AY4" s="42">
        <v>12.4</v>
      </c>
      <c r="AZ4" s="42">
        <v>15.94</v>
      </c>
      <c r="BA4" s="42">
        <v>0</v>
      </c>
      <c r="BB4" s="42">
        <v>8.9499999999999993</v>
      </c>
      <c r="BC4" s="42">
        <v>9.4</v>
      </c>
      <c r="BD4" s="42">
        <v>14.2</v>
      </c>
      <c r="BE4" s="42">
        <v>17.8</v>
      </c>
      <c r="BF4" s="42">
        <v>0</v>
      </c>
      <c r="BG4" s="83"/>
      <c r="BH4" s="15">
        <f t="shared" ref="BH4:BH17" si="24">IF(AY4&gt;0,AY4,"")</f>
        <v>12.4</v>
      </c>
      <c r="BI4" s="15">
        <f t="shared" ref="BI4:BI17" si="25">IF(SUM(AR4:AU4)-AV4&gt;0,SUM(AR4:AU4)-AV4,"")</f>
        <v>32.06</v>
      </c>
      <c r="BJ4" s="15">
        <f t="shared" ref="BJ4:BJ17" si="26">IF(SUM(AW4:AZ4)-BA4&gt;0,SUM(AW4:AZ4)-BA4,"")</f>
        <v>44.39</v>
      </c>
      <c r="BK4" s="15">
        <f t="shared" ref="BK4:BK17" si="27">IF(SUM(BI4:BJ4)&gt;0,SUM(BI4:BJ4),"")</f>
        <v>76.45</v>
      </c>
      <c r="BL4" s="15">
        <f t="shared" ref="BL4:BL17" si="28">IF(BD4&gt;0,BD4,"")</f>
        <v>14.2</v>
      </c>
      <c r="BM4" s="15">
        <f t="shared" ref="BM4:BM17" si="29">IF(SUM(BB4:BE4)-BF4&gt;0,SUM(BB4:BE4)-BF4,"")</f>
        <v>50.349999999999994</v>
      </c>
      <c r="BN4" s="15">
        <f t="shared" ref="BN4:BN17" si="30">IF(SUM(BK4,BM4)&gt;0,SUM(BK4,BM4),"")</f>
        <v>126.8</v>
      </c>
      <c r="BO4" s="26">
        <f t="shared" ref="BO4:BO17" si="31">IF(MAX(CI4,DE4,EA4,EW4,FS4,GO4,HK4,IG4,JC4,JY4,KU4,LQ4)-IF(L4="",0,L4)&gt;0.001,MAX(CI4,DE4,EA4,EW4,FS4,GO4,HK4,IG4,JC4,JY4,KU4,LQ4)-IF(L4="",0,L4),"")</f>
        <v>8.4599999999999937</v>
      </c>
      <c r="BP4" s="26" t="str">
        <f t="shared" ref="BP4:BP17" si="32">IF(MAX(CJ4,DF4,EB4,EX4,FT4,GP4,HL4,IH4,JD4,JZ4,KV4,LR4)-IF(N4="",0,N4)&gt;0.001,MAX(CJ4,DF4,EB4,EX4,FT4,GP4,HL4,IH4,JD4,JZ4,KV4,LR4)-IF(N4="",0,N4),"")</f>
        <v/>
      </c>
      <c r="BQ4" s="26" t="str">
        <f t="shared" ref="BQ4:BQ17" si="33">IF(MAX(CK4,DG4,EC4,EY4,FU4,GQ4,HM4,II4,JE4,KA4,KW4,LS4)-IF(J4="",0,J4)&gt;0.001,MAX(CK4,DG4,EC4,EY4,FU4,GQ4,HM4,II4,JE4,KA4,KW4,LS4)-IF(J4="",0,J4),"")</f>
        <v/>
      </c>
      <c r="BR4" s="26" t="str">
        <f t="shared" ref="BR4:BR17" si="34">IF(MAX(CM4,DI4,EE4,FA4,FW4,GS4,HO4,IK4,JG4,KC4,KY4,LU4)-IF(P4="",0,P4)&gt;0.001,MAX(CM4,DI4,EE4,FA4,FW4,GS4,HO4,IK4,JG4,KC4,KY4,LU4)-IF(P4="",0,P4),"")</f>
        <v/>
      </c>
      <c r="BS4" s="39">
        <v>8.65</v>
      </c>
      <c r="BT4" s="39">
        <v>9.35</v>
      </c>
      <c r="BU4" s="39">
        <v>4.9000000000000004</v>
      </c>
      <c r="BV4" s="39">
        <v>17.62</v>
      </c>
      <c r="BW4" s="39">
        <v>0</v>
      </c>
      <c r="BX4" s="39">
        <v>0.8</v>
      </c>
      <c r="BY4" s="39">
        <v>0.95</v>
      </c>
      <c r="BZ4" s="39">
        <v>2</v>
      </c>
      <c r="CA4" s="39">
        <v>1.8</v>
      </c>
      <c r="CB4" s="39">
        <v>0</v>
      </c>
      <c r="CC4" s="39"/>
      <c r="CD4" s="39"/>
      <c r="CE4" s="39"/>
      <c r="CF4" s="39"/>
      <c r="CG4" s="39"/>
      <c r="CH4" s="12">
        <f t="shared" ref="CH4:CH17" si="35">IF(BZ4&gt;0,BZ4,"")</f>
        <v>2</v>
      </c>
      <c r="CI4" s="12">
        <f t="shared" ref="CI4:CI17" si="36">IF(SUM(BS4:BV4)-BW4&gt;0,SUM(BS4:BV4)-BW4,"")</f>
        <v>40.519999999999996</v>
      </c>
      <c r="CJ4" s="12">
        <f t="shared" ref="CJ4:CJ17" si="37">IF(SUM(BX4:CA4)-CB4&gt;0,SUM(BX4:CA4)-CB4,"")</f>
        <v>5.55</v>
      </c>
      <c r="CK4" s="12">
        <f t="shared" ref="CK4:CK17" si="38">IF(SUM(CI4:CJ4)&gt;0,SUM(CI4:CJ4),"")</f>
        <v>46.069999999999993</v>
      </c>
      <c r="CL4" s="12" t="str">
        <f t="shared" ref="CL4:CL17" si="39">IF(CE4&gt;0,CE4,"")</f>
        <v/>
      </c>
      <c r="CM4" s="12" t="str">
        <f t="shared" ref="CM4:CM17" si="40">IF(SUM(CC4:CF4)-CG4&gt;0,SUM(CC4:CF4)-CG4,"")</f>
        <v/>
      </c>
      <c r="CN4" s="12">
        <f t="shared" ref="CN4:CN17" si="41">IF(SUM(CK4,CM4)&gt;0,SUM(CK4,CM4),"")</f>
        <v>46.069999999999993</v>
      </c>
      <c r="CO4" s="40"/>
      <c r="CP4" s="40"/>
      <c r="CQ4" s="40"/>
      <c r="CR4" s="40"/>
      <c r="CS4" s="40"/>
      <c r="CT4" s="40"/>
      <c r="CU4" s="40"/>
      <c r="CV4" s="40"/>
      <c r="CW4" s="40"/>
      <c r="CX4" s="40"/>
      <c r="CY4" s="40"/>
      <c r="CZ4" s="40"/>
      <c r="DA4" s="40"/>
      <c r="DB4" s="40"/>
      <c r="DC4" s="40"/>
      <c r="DD4" s="15" t="str">
        <f t="shared" ref="DD4:DD17" si="42">IF(CV4&gt;0,CV4,"")</f>
        <v/>
      </c>
      <c r="DE4" s="15" t="str">
        <f t="shared" ref="DE4:DE17" si="43">IF(SUM(CO4:CR4)-CS4&gt;0,SUM(CO4:CR4)-CS4,"")</f>
        <v/>
      </c>
      <c r="DF4" s="15" t="str">
        <f t="shared" ref="DF4:DF17" si="44">IF(SUM(CT4:CW4)-CX4&gt;0,SUM(CT4:CW4)-CX4,"")</f>
        <v/>
      </c>
      <c r="DG4" s="15" t="str">
        <f t="shared" ref="DG4:DG17" si="45">IF(SUM(DE4:DF4)&gt;0,SUM(DE4:DF4),"")</f>
        <v/>
      </c>
      <c r="DH4" s="15" t="str">
        <f t="shared" ref="DH4:DH17" si="46">IF(DA4&gt;0,DA4,"")</f>
        <v/>
      </c>
      <c r="DI4" s="15" t="str">
        <f t="shared" ref="DI4:DI17" si="47">IF(SUM(CY4:DB4)-DC4&gt;0,SUM(CY4:DB4)-DC4,"")</f>
        <v/>
      </c>
      <c r="DJ4" s="15" t="str">
        <f t="shared" ref="DJ4:DJ17" si="48">IF(SUM(DG4,DI4)&gt;0,SUM(DG4,DI4),"")</f>
        <v/>
      </c>
      <c r="DK4" s="39"/>
      <c r="DL4" s="39"/>
      <c r="DM4" s="39"/>
      <c r="DN4" s="39"/>
      <c r="DO4" s="39"/>
      <c r="DP4" s="39"/>
      <c r="DQ4" s="39"/>
      <c r="DR4" s="39"/>
      <c r="DS4" s="39"/>
      <c r="DT4" s="39"/>
      <c r="DU4" s="39"/>
      <c r="DV4" s="39"/>
      <c r="DW4" s="39"/>
      <c r="DX4" s="39"/>
      <c r="DY4" s="39"/>
      <c r="DZ4" s="12" t="str">
        <f t="shared" ref="DZ4:DZ17" si="49">IF(DR4&gt;0,DR4,"")</f>
        <v/>
      </c>
      <c r="EA4" s="12" t="str">
        <f t="shared" ref="EA4:EA17" si="50">IF(SUM(DK4:DN4)-DO4&gt;0,SUM(DK4:DN4)-DO4,"")</f>
        <v/>
      </c>
      <c r="EB4" s="12" t="str">
        <f t="shared" ref="EB4:EB17" si="51">IF(SUM(DP4:DS4)-DT4&gt;0,SUM(DP4:DS4)-DT4,"")</f>
        <v/>
      </c>
      <c r="EC4" s="12" t="str">
        <f t="shared" ref="EC4:EC17" si="52">IF(SUM(EA4:EB4)&gt;0,SUM(EA4:EB4),"")</f>
        <v/>
      </c>
      <c r="ED4" s="12" t="str">
        <f t="shared" ref="ED4:ED17" si="53">IF(DW4&gt;0,DW4,"")</f>
        <v/>
      </c>
      <c r="EE4" s="12" t="str">
        <f t="shared" ref="EE4:EE17" si="54">IF(SUM(DU4:DX4)-DY4&gt;0,SUM(DU4:DX4)-DY4,"")</f>
        <v/>
      </c>
      <c r="EF4" s="12" t="str">
        <f t="shared" ref="EF4:EF17" si="55">IF(SUM(EC4,EE4)&gt;0,SUM(EC4,EE4),"")</f>
        <v/>
      </c>
      <c r="EG4" s="40">
        <v>8.9</v>
      </c>
      <c r="EH4" s="40">
        <v>8.9499999999999993</v>
      </c>
      <c r="EI4" s="40">
        <v>5.8</v>
      </c>
      <c r="EJ4" s="40">
        <v>15.88</v>
      </c>
      <c r="EK4" s="40">
        <v>0</v>
      </c>
      <c r="EL4" s="40">
        <v>4.1500000000000004</v>
      </c>
      <c r="EM4" s="40">
        <v>4.7</v>
      </c>
      <c r="EN4" s="40">
        <v>7.8</v>
      </c>
      <c r="EO4" s="40">
        <v>9.58</v>
      </c>
      <c r="EP4" s="40">
        <v>0</v>
      </c>
      <c r="EQ4" s="40"/>
      <c r="ER4" s="40"/>
      <c r="ES4" s="40"/>
      <c r="ET4" s="40"/>
      <c r="EU4" s="40"/>
      <c r="EV4" s="15">
        <f t="shared" ref="EV4:EV17" si="56">IF(EN4&gt;0,EN4,"")</f>
        <v>7.8</v>
      </c>
      <c r="EW4" s="15">
        <f t="shared" ref="EW4:EW17" si="57">IF(SUM(EG4:EJ4)-EK4&gt;0,SUM(EG4:EJ4)-EK4,"")</f>
        <v>39.53</v>
      </c>
      <c r="EX4" s="15">
        <f t="shared" ref="EX4:EX17" si="58">IF(SUM(EL4:EO4)-EP4&gt;0,SUM(EL4:EO4)-EP4,"")</f>
        <v>26.230000000000004</v>
      </c>
      <c r="EY4" s="15">
        <f t="shared" ref="EY4:EY17" si="59">IF(SUM(EW4:EX4)&gt;0,SUM(EW4:EX4),"")</f>
        <v>65.760000000000005</v>
      </c>
      <c r="EZ4" s="15" t="str">
        <f t="shared" ref="EZ4:EZ17" si="60">IF(ES4&gt;0,ES4,"")</f>
        <v/>
      </c>
      <c r="FA4" s="15" t="str">
        <f t="shared" ref="FA4:FA17" si="61">IF(SUM(EQ4:ET4)-EU4&gt;0,SUM(EQ4:ET4)-EU4,"")</f>
        <v/>
      </c>
      <c r="FB4" s="15">
        <f t="shared" ref="FB4:FB17" si="62">IF(SUM(EY4,FA4)&gt;0,SUM(EY4,FA4),"")</f>
        <v>65.760000000000005</v>
      </c>
      <c r="FC4" s="39">
        <v>7.9</v>
      </c>
      <c r="FD4" s="39">
        <v>8.3000000000000007</v>
      </c>
      <c r="FE4" s="39">
        <v>4.2</v>
      </c>
      <c r="FF4" s="39">
        <v>15.96</v>
      </c>
      <c r="FG4" s="39">
        <v>0</v>
      </c>
      <c r="FH4" s="39">
        <v>5.6</v>
      </c>
      <c r="FI4" s="39">
        <v>6.4</v>
      </c>
      <c r="FJ4" s="39">
        <v>10.7</v>
      </c>
      <c r="FK4" s="39">
        <v>12.9</v>
      </c>
      <c r="FL4" s="39">
        <v>0</v>
      </c>
      <c r="FM4" s="39"/>
      <c r="FN4" s="39"/>
      <c r="FO4" s="39"/>
      <c r="FP4" s="39"/>
      <c r="FQ4" s="39"/>
      <c r="FR4" s="12">
        <f t="shared" ref="FR4:FR17" si="63">IF(FJ4&gt;0,FJ4,"")</f>
        <v>10.7</v>
      </c>
      <c r="FS4" s="12">
        <f t="shared" ref="FS4:FS17" si="64">IF(SUM(FC4:FF4)-FG4&gt;0,SUM(FC4:FF4)-FG4,"")</f>
        <v>36.36</v>
      </c>
      <c r="FT4" s="12">
        <f t="shared" ref="FT4:FT17" si="65">IF(SUM(FH4:FK4)-FL4&gt;0,SUM(FH4:FK4)-FL4,"")</f>
        <v>35.6</v>
      </c>
      <c r="FU4" s="12">
        <f t="shared" ref="FU4:FU17" si="66">IF(SUM(FS4:FT4)&gt;0,SUM(FS4:FT4),"")</f>
        <v>71.960000000000008</v>
      </c>
      <c r="FV4" s="12" t="str">
        <f t="shared" ref="FV4:FV17" si="67">IF(FO4&gt;0,FO4,"")</f>
        <v/>
      </c>
      <c r="FW4" s="12" t="str">
        <f t="shared" ref="FW4:FW17" si="68">IF(SUM(FM4:FP4)-FQ4&gt;0,SUM(FM4:FP4)-FQ4,"")</f>
        <v/>
      </c>
      <c r="FX4" s="12">
        <f t="shared" ref="FX4:FX17" si="69">IF(SUM(FU4,FW4)&gt;0,SUM(FU4,FW4),"")</f>
        <v>71.960000000000008</v>
      </c>
      <c r="FY4" s="40"/>
      <c r="FZ4" s="40"/>
      <c r="GA4" s="40"/>
      <c r="GB4" s="40"/>
      <c r="GC4" s="40"/>
      <c r="GD4" s="40"/>
      <c r="GE4" s="40"/>
      <c r="GF4" s="40"/>
      <c r="GG4" s="40"/>
      <c r="GH4" s="40"/>
      <c r="GI4" s="40"/>
      <c r="GJ4" s="40"/>
      <c r="GK4" s="40"/>
      <c r="GL4" s="40"/>
      <c r="GM4" s="40"/>
      <c r="GN4" s="15" t="str">
        <f t="shared" ref="GN4:GN17" si="70">IF(GF4&gt;0,GF4,"")</f>
        <v/>
      </c>
      <c r="GO4" s="15" t="str">
        <f t="shared" ref="GO4:GO17" si="71">IF(SUM(FY4:GB4)-GC4&gt;0,SUM(FY4:GB4)-GC4,"")</f>
        <v/>
      </c>
      <c r="GP4" s="15" t="str">
        <f t="shared" ref="GP4:GP17" si="72">IF(SUM(GD4:GG4)-GH4&gt;0,SUM(GD4:GG4)-GH4,"")</f>
        <v/>
      </c>
      <c r="GQ4" s="15" t="str">
        <f t="shared" ref="GQ4:GQ17" si="73">IF(SUM(GO4:GP4)&gt;0,SUM(GO4:GP4),"")</f>
        <v/>
      </c>
      <c r="GR4" s="15" t="str">
        <f t="shared" ref="GR4:GR17" si="74">IF(GK4&gt;0,GK4,"")</f>
        <v/>
      </c>
      <c r="GS4" s="15" t="str">
        <f t="shared" ref="GS4:GS17" si="75">IF(SUM(GI4:GL4)-GM4&gt;0,SUM(GI4:GL4)-GM4,"")</f>
        <v/>
      </c>
      <c r="GT4" s="15" t="str">
        <f t="shared" ref="GT4:GT17" si="76">IF(SUM(GQ4,GS4)&gt;0,SUM(GQ4,GS4),"")</f>
        <v/>
      </c>
      <c r="GU4" s="39"/>
      <c r="GV4" s="39"/>
      <c r="GW4" s="39"/>
      <c r="GX4" s="39"/>
      <c r="GY4" s="39"/>
      <c r="GZ4" s="39"/>
      <c r="HA4" s="39"/>
      <c r="HB4" s="39"/>
      <c r="HC4" s="39"/>
      <c r="HD4" s="39"/>
      <c r="HE4" s="39"/>
      <c r="HF4" s="39"/>
      <c r="HG4" s="39"/>
      <c r="HH4" s="39"/>
      <c r="HI4" s="39"/>
      <c r="HJ4" s="12" t="str">
        <f t="shared" ref="HJ4:HJ17" si="77">IF(HB4&gt;0,HB4,"")</f>
        <v/>
      </c>
      <c r="HK4" s="12" t="str">
        <f t="shared" ref="HK4:HK17" si="78">IF(SUM(GU4:GX4)-GY4&gt;0,SUM(GU4:GX4)-GY4,"")</f>
        <v/>
      </c>
      <c r="HL4" s="12" t="str">
        <f t="shared" ref="HL4:HL17" si="79">IF(SUM(GZ4:HC4)-HD4&gt;0,SUM(GZ4:HC4)-HD4,"")</f>
        <v/>
      </c>
      <c r="HM4" s="12" t="str">
        <f t="shared" ref="HM4:HM17" si="80">IF(SUM(HK4:HL4)&gt;0,SUM(HK4:HL4),"")</f>
        <v/>
      </c>
      <c r="HN4" s="12" t="str">
        <f t="shared" ref="HN4:HN17" si="81">IF(HG4&gt;0,HG4,"")</f>
        <v/>
      </c>
      <c r="HO4" s="12" t="str">
        <f t="shared" ref="HO4:HO17" si="82">IF(SUM(HE4:HH4)-HI4&gt;0,SUM(HE4:HH4)-HI4,"")</f>
        <v/>
      </c>
      <c r="HP4" s="12" t="str">
        <f t="shared" ref="HP4:HP17" si="83">IF(SUM(HM4,HO4)&gt;0,SUM(HM4,HO4),"")</f>
        <v/>
      </c>
      <c r="HQ4" s="40"/>
      <c r="HR4" s="40"/>
      <c r="HS4" s="40"/>
      <c r="HT4" s="40"/>
      <c r="HU4" s="40"/>
      <c r="HV4" s="40"/>
      <c r="HW4" s="40"/>
      <c r="HX4" s="40"/>
      <c r="HY4" s="40"/>
      <c r="HZ4" s="40"/>
      <c r="IA4" s="40"/>
      <c r="IB4" s="40"/>
      <c r="IC4" s="40"/>
      <c r="ID4" s="40"/>
      <c r="IE4" s="40"/>
      <c r="IF4" s="15" t="str">
        <f t="shared" ref="IF4:IF17" si="84">IF(HX4&gt;0,HX4,"")</f>
        <v/>
      </c>
      <c r="IG4" s="15" t="str">
        <f t="shared" ref="IG4:IG17" si="85">IF(SUM(HQ4:HT4)-HU4&gt;0,SUM(HQ4:HT4)-HU4,"")</f>
        <v/>
      </c>
      <c r="IH4" s="15" t="str">
        <f t="shared" ref="IH4:IH17" si="86">IF(SUM(HV4:HY4)-HZ4&gt;0,SUM(HV4:HY4)-HZ4,"")</f>
        <v/>
      </c>
      <c r="II4" s="15" t="str">
        <f t="shared" ref="II4:II17" si="87">IF(SUM(IG4:IH4)&gt;0,SUM(IG4:IH4),"")</f>
        <v/>
      </c>
      <c r="IJ4" s="15" t="str">
        <f t="shared" ref="IJ4:IJ17" si="88">IF(IC4&gt;0,IC4,"")</f>
        <v/>
      </c>
      <c r="IK4" s="15" t="str">
        <f t="shared" ref="IK4:IK17" si="89">IF(SUM(IA4:ID4)-IE4&gt;0,SUM(IA4:ID4)-IE4,"")</f>
        <v/>
      </c>
      <c r="IL4" s="15" t="str">
        <f t="shared" ref="IL4:IL17" si="90">IF(SUM(II4,IK4)&gt;0,SUM(II4,IK4),"")</f>
        <v/>
      </c>
      <c r="IM4" s="39"/>
      <c r="IN4" s="39"/>
      <c r="IO4" s="39"/>
      <c r="IP4" s="39"/>
      <c r="IQ4" s="39"/>
      <c r="IR4" s="39"/>
      <c r="IS4" s="39"/>
      <c r="IT4" s="39"/>
      <c r="IU4" s="39"/>
      <c r="IV4" s="39"/>
      <c r="IW4" s="39"/>
      <c r="IX4" s="39"/>
      <c r="IY4" s="39"/>
      <c r="IZ4" s="39"/>
      <c r="JA4" s="39"/>
      <c r="JB4" s="12" t="str">
        <f t="shared" ref="JB4:JB17" si="91">IF(IT4&gt;0,IT4,"")</f>
        <v/>
      </c>
      <c r="JC4" s="12" t="str">
        <f t="shared" ref="JC4:JC17" si="92">IF(SUM(IM4:IP4)-IQ4&gt;0,SUM(IM4:IP4)-IQ4,"")</f>
        <v/>
      </c>
      <c r="JD4" s="12" t="str">
        <f t="shared" ref="JD4:JD17" si="93">IF(SUM(IR4:IU4)-IV4&gt;0,SUM(IR4:IU4)-IV4,"")</f>
        <v/>
      </c>
      <c r="JE4" s="12" t="str">
        <f t="shared" ref="JE4:JE17" si="94">IF(SUM(JC4:JD4)&gt;0,SUM(JC4:JD4),"")</f>
        <v/>
      </c>
      <c r="JF4" s="12" t="str">
        <f t="shared" ref="JF4:JF17" si="95">IF(IY4&gt;0,IY4,"")</f>
        <v/>
      </c>
      <c r="JG4" s="12" t="str">
        <f t="shared" ref="JG4:JG17" si="96">IF(SUM(IW4:IZ4)-JA4&gt;0,SUM(IW4:IZ4)-JA4,"")</f>
        <v/>
      </c>
      <c r="JH4" s="12" t="str">
        <f t="shared" ref="JH4:JH17" si="97">IF(SUM(JE4,JG4)&gt;0,SUM(JE4,JG4),"")</f>
        <v/>
      </c>
      <c r="JI4" s="40"/>
      <c r="JJ4" s="40"/>
      <c r="JK4" s="40"/>
      <c r="JL4" s="40"/>
      <c r="JM4" s="40"/>
      <c r="JN4" s="40"/>
      <c r="JO4" s="40"/>
      <c r="JP4" s="40"/>
      <c r="JQ4" s="40"/>
      <c r="JR4" s="40"/>
      <c r="JS4" s="40"/>
      <c r="JT4" s="40"/>
      <c r="JU4" s="40"/>
      <c r="JV4" s="40"/>
      <c r="JW4" s="40"/>
      <c r="JX4" s="15" t="str">
        <f t="shared" ref="JX4:JX17" si="98">IF(JP4&gt;0,JP4,"")</f>
        <v/>
      </c>
      <c r="JY4" s="15" t="str">
        <f t="shared" ref="JY4:JY17" si="99">IF(SUM(JI4:JL4)-JM4&gt;0,SUM(JI4:JL4)-JM4,"")</f>
        <v/>
      </c>
      <c r="JZ4" s="15" t="str">
        <f t="shared" ref="JZ4:JZ17" si="100">IF(SUM(JN4:JQ4)-JR4&gt;0,SUM(JN4:JQ4)-JR4,"")</f>
        <v/>
      </c>
      <c r="KA4" s="15" t="str">
        <f t="shared" ref="KA4:KA17" si="101">IF(SUM(JY4:JZ4)&gt;0,SUM(JY4:JZ4),"")</f>
        <v/>
      </c>
      <c r="KB4" s="15" t="str">
        <f t="shared" ref="KB4:KB17" si="102">IF(JU4&gt;0,JU4,"")</f>
        <v/>
      </c>
      <c r="KC4" s="15" t="str">
        <f t="shared" ref="KC4:KC17" si="103">IF(SUM(JS4:JV4)-JW4&gt;0,SUM(JS4:JV4)-JW4,"")</f>
        <v/>
      </c>
      <c r="KD4" s="15" t="str">
        <f t="shared" ref="KD4:KD17" si="104">IF(SUM(KA4,KC4)&gt;0,SUM(KA4,KC4),"")</f>
        <v/>
      </c>
      <c r="KE4" s="39"/>
      <c r="KF4" s="39"/>
      <c r="KG4" s="39"/>
      <c r="KH4" s="39"/>
      <c r="KI4" s="39"/>
      <c r="KJ4" s="39"/>
      <c r="KK4" s="39"/>
      <c r="KL4" s="39"/>
      <c r="KM4" s="39"/>
      <c r="KN4" s="39"/>
      <c r="KO4" s="39"/>
      <c r="KP4" s="39"/>
      <c r="KQ4" s="39"/>
      <c r="KR4" s="39"/>
      <c r="KS4" s="39"/>
      <c r="KT4" s="12" t="str">
        <f t="shared" ref="KT4:KT17" si="105">IF(KL4&gt;0,KL4,"")</f>
        <v/>
      </c>
      <c r="KU4" s="12" t="str">
        <f t="shared" ref="KU4:KU17" si="106">IF(SUM(KE4:KH4)-KI4&gt;0,SUM(KE4:KH4)-KI4,"")</f>
        <v/>
      </c>
      <c r="KV4" s="12" t="str">
        <f t="shared" ref="KV4:KV17" si="107">IF(SUM(KJ4:KM4)-KN4&gt;0,SUM(KJ4:KM4)-KN4,"")</f>
        <v/>
      </c>
      <c r="KW4" s="12" t="str">
        <f t="shared" ref="KW4:KW17" si="108">IF(SUM(KU4:KV4)&gt;0,SUM(KU4:KV4),"")</f>
        <v/>
      </c>
      <c r="KX4" s="12" t="str">
        <f t="shared" ref="KX4:KX17" si="109">IF(KQ4&gt;0,KQ4,"")</f>
        <v/>
      </c>
      <c r="KY4" s="12" t="str">
        <f t="shared" ref="KY4:KY17" si="110">IF(SUM(KO4:KR4)-KS4&gt;0,SUM(KO4:KR4)-KS4,"")</f>
        <v/>
      </c>
      <c r="KZ4" s="12" t="str">
        <f t="shared" ref="KZ4:KZ17" si="111">IF(SUM(KW4,KY4)&gt;0,SUM(KW4,KY4),"")</f>
        <v/>
      </c>
      <c r="LA4" s="40"/>
      <c r="LB4" s="40"/>
      <c r="LC4" s="40"/>
      <c r="LD4" s="40"/>
      <c r="LE4" s="40"/>
      <c r="LF4" s="40"/>
      <c r="LG4" s="40"/>
      <c r="LH4" s="40"/>
      <c r="LI4" s="40"/>
      <c r="LJ4" s="40"/>
      <c r="LK4" s="40"/>
      <c r="LL4" s="40"/>
      <c r="LM4" s="40"/>
      <c r="LN4" s="40"/>
      <c r="LO4" s="40"/>
      <c r="LP4" s="15" t="str">
        <f t="shared" ref="LP4:LP17" si="112">IF(LH4&gt;0,LH4,"")</f>
        <v/>
      </c>
      <c r="LQ4" s="15" t="str">
        <f t="shared" ref="LQ4:LQ17" si="113">IF(SUM(LA4:LD4)-LE4&gt;0,SUM(LA4:LD4)-LE4,"")</f>
        <v/>
      </c>
      <c r="LR4" s="15" t="str">
        <f t="shared" ref="LR4:LR17" si="114">IF(SUM(LF4:LI4)-LJ4&gt;0,SUM(LF4:LI4)-LJ4,"")</f>
        <v/>
      </c>
      <c r="LS4" s="15" t="str">
        <f t="shared" ref="LS4:LS17" si="115">IF(SUM(LQ4:LR4)&gt;0,SUM(LQ4:LR4),"")</f>
        <v/>
      </c>
      <c r="LT4" s="15" t="str">
        <f t="shared" ref="LT4:LT17" si="116">IF(LM4&gt;0,LM4,"")</f>
        <v/>
      </c>
      <c r="LU4" s="15" t="str">
        <f t="shared" ref="LU4:LU17" si="117">IF(SUM(LK4:LN4)-LO4&gt;0,SUM(LK4:LN4)-LO4,"")</f>
        <v/>
      </c>
      <c r="LV4" s="15" t="str">
        <f t="shared" ref="LV4:LV17" si="118">IF(SUM(LS4,LU4)&gt;0,SUM(LS4,LU4),"")</f>
        <v/>
      </c>
      <c r="LW4" s="71">
        <f>IF($BG4="P",AR4,(U4+AR4)/2)</f>
        <v>8.4499999999999993</v>
      </c>
      <c r="LX4" s="71">
        <f t="shared" ref="LX4:MK15" si="119">IF($BG4="P",AS4,(V4+AS4)/2)</f>
        <v>8.2749999999999986</v>
      </c>
      <c r="LY4" s="71">
        <f t="shared" si="119"/>
        <v>4.3499999999999996</v>
      </c>
      <c r="LZ4" s="71">
        <f t="shared" si="119"/>
        <v>16.05</v>
      </c>
      <c r="MA4" s="71">
        <f t="shared" si="119"/>
        <v>0</v>
      </c>
      <c r="MB4" s="71">
        <f t="shared" si="119"/>
        <v>8.2250000000000014</v>
      </c>
      <c r="MC4" s="71">
        <f t="shared" si="119"/>
        <v>8.4250000000000007</v>
      </c>
      <c r="MD4" s="71">
        <f t="shared" si="119"/>
        <v>13.3</v>
      </c>
      <c r="ME4" s="71">
        <f t="shared" si="119"/>
        <v>16.579999999999998</v>
      </c>
      <c r="MF4" s="71">
        <f t="shared" si="119"/>
        <v>0</v>
      </c>
      <c r="MG4" s="71">
        <f t="shared" si="119"/>
        <v>8.8249999999999993</v>
      </c>
      <c r="MH4" s="71">
        <f t="shared" si="119"/>
        <v>9.0500000000000007</v>
      </c>
      <c r="MI4" s="71">
        <f t="shared" si="119"/>
        <v>14.2</v>
      </c>
      <c r="MJ4" s="71">
        <f t="shared" si="119"/>
        <v>17.39</v>
      </c>
      <c r="MK4" s="71">
        <f t="shared" si="119"/>
        <v>0</v>
      </c>
      <c r="ML4" s="82" t="s">
        <v>100</v>
      </c>
      <c r="MM4" s="12">
        <f t="shared" ref="MM4" si="120">IF(MD4&gt;0,MD4,"")</f>
        <v>13.3</v>
      </c>
      <c r="MN4" s="12">
        <f t="shared" ref="MN4" si="121">IF(SUM(LW4:LZ4)-MA4&gt;0,SUM(LW4:LZ4)-MA4,"")</f>
        <v>37.125</v>
      </c>
      <c r="MO4" s="12">
        <f t="shared" ref="MO4" si="122">IF(SUM(MB4:ME4)-MF4&gt;0,SUM(MB4:ME4)-MF4,"")</f>
        <v>46.53</v>
      </c>
      <c r="MP4" s="12">
        <f t="shared" ref="MP4" si="123">IF(SUM(MN4:MO4)&gt;0,SUM(MN4:MO4),"")</f>
        <v>83.655000000000001</v>
      </c>
      <c r="MQ4" s="12">
        <f>IF(MI4&gt;0,MI4,"")</f>
        <v>14.2</v>
      </c>
      <c r="MR4" s="12">
        <f t="shared" ref="MR4" si="124">IF(SUM(MG4:MJ4)-MK4&gt;0,SUM(MG4:MJ4)-MK4,"")</f>
        <v>49.465000000000003</v>
      </c>
      <c r="MS4" s="12">
        <f t="shared" ref="MS4" si="125">IF(SUM(MP4,MR4)&gt;0,SUM(MP4,MR4),"")</f>
        <v>133.12</v>
      </c>
    </row>
    <row r="5" spans="1:357" x14ac:dyDescent="0.2">
      <c r="A5" s="6">
        <f t="shared" si="0"/>
        <v>2</v>
      </c>
      <c r="B5" s="7" t="s">
        <v>95</v>
      </c>
      <c r="C5" s="8" t="s">
        <v>3</v>
      </c>
      <c r="D5" s="29" t="s">
        <v>103</v>
      </c>
      <c r="E5" s="16">
        <f t="shared" si="1"/>
        <v>183.7475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Excellence</v>
      </c>
      <c r="J5" s="15">
        <f t="shared" si="6"/>
        <v>88.41</v>
      </c>
      <c r="K5" s="15" t="str">
        <f t="shared" si="7"/>
        <v>2019 Elite Canada</v>
      </c>
      <c r="L5" s="15" t="str">
        <f t="shared" si="8"/>
        <v/>
      </c>
      <c r="M5" s="15" t="str">
        <f t="shared" si="9"/>
        <v/>
      </c>
      <c r="N5" s="15" t="str">
        <f t="shared" si="10"/>
        <v/>
      </c>
      <c r="O5" s="15" t="str">
        <f t="shared" si="11"/>
        <v/>
      </c>
      <c r="P5" s="15">
        <f t="shared" si="12"/>
        <v>47.407499999999999</v>
      </c>
      <c r="Q5" s="15" t="str">
        <f t="shared" si="13"/>
        <v>2019 Elite Canada</v>
      </c>
      <c r="R5" s="15">
        <f t="shared" si="14"/>
        <v>47.929999999999993</v>
      </c>
      <c r="S5" s="27" t="str">
        <f t="shared" si="15"/>
        <v>(Vol 2)</v>
      </c>
      <c r="T5" s="15" t="str">
        <f t="shared" si="16"/>
        <v>2018 World Championships (Nov 8)</v>
      </c>
      <c r="U5" s="41">
        <v>9.1624999999999996</v>
      </c>
      <c r="V5" s="41">
        <v>9.4499999999999993</v>
      </c>
      <c r="W5" s="41">
        <v>5.6</v>
      </c>
      <c r="X5" s="41">
        <v>18.649999999999999</v>
      </c>
      <c r="Y5" s="41">
        <v>0</v>
      </c>
      <c r="Z5" s="41">
        <v>8.3625000000000007</v>
      </c>
      <c r="AA5" s="41">
        <v>9.2249999999999996</v>
      </c>
      <c r="AB5" s="41">
        <v>12.1</v>
      </c>
      <c r="AC5" s="41">
        <v>15.86</v>
      </c>
      <c r="AD5" s="41">
        <v>0</v>
      </c>
      <c r="AE5" s="41">
        <v>8.3874999999999993</v>
      </c>
      <c r="AF5" s="41">
        <v>9.1</v>
      </c>
      <c r="AG5" s="41">
        <v>12.82</v>
      </c>
      <c r="AH5" s="41">
        <v>17.100000000000001</v>
      </c>
      <c r="AI5" s="41">
        <v>0</v>
      </c>
      <c r="AJ5" s="82" t="s">
        <v>100</v>
      </c>
      <c r="AK5" s="12">
        <f t="shared" si="17"/>
        <v>12.1</v>
      </c>
      <c r="AL5" s="12">
        <f t="shared" si="18"/>
        <v>42.862499999999997</v>
      </c>
      <c r="AM5" s="12">
        <f t="shared" si="19"/>
        <v>45.547499999999999</v>
      </c>
      <c r="AN5" s="12">
        <f t="shared" si="20"/>
        <v>88.41</v>
      </c>
      <c r="AO5" s="12">
        <f t="shared" si="21"/>
        <v>12.82</v>
      </c>
      <c r="AP5" s="12">
        <f t="shared" si="22"/>
        <v>47.407499999999999</v>
      </c>
      <c r="AQ5" s="12">
        <f t="shared" si="23"/>
        <v>135.8175</v>
      </c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  <c r="BF5" s="42"/>
      <c r="BG5" s="83"/>
      <c r="BH5" s="15" t="str">
        <f t="shared" si="24"/>
        <v/>
      </c>
      <c r="BI5" s="15" t="str">
        <f t="shared" si="25"/>
        <v/>
      </c>
      <c r="BJ5" s="15" t="str">
        <f t="shared" si="26"/>
        <v/>
      </c>
      <c r="BK5" s="15" t="str">
        <f t="shared" si="27"/>
        <v/>
      </c>
      <c r="BL5" s="15" t="str">
        <f t="shared" si="28"/>
        <v/>
      </c>
      <c r="BM5" s="15" t="str">
        <f t="shared" si="29"/>
        <v/>
      </c>
      <c r="BN5" s="15" t="str">
        <f t="shared" si="30"/>
        <v/>
      </c>
      <c r="BO5" s="26">
        <f t="shared" si="31"/>
        <v>41.63</v>
      </c>
      <c r="BP5" s="26">
        <f t="shared" si="32"/>
        <v>47.929999999999993</v>
      </c>
      <c r="BQ5" s="26">
        <f t="shared" si="33"/>
        <v>1.1500000000000057</v>
      </c>
      <c r="BR5" s="26" t="str">
        <f t="shared" si="34"/>
        <v/>
      </c>
      <c r="BS5" s="39">
        <v>8.8000000000000007</v>
      </c>
      <c r="BT5" s="39">
        <v>9.25</v>
      </c>
      <c r="BU5" s="39">
        <v>4.9000000000000004</v>
      </c>
      <c r="BV5" s="39">
        <v>18.68</v>
      </c>
      <c r="BW5" s="39">
        <v>0</v>
      </c>
      <c r="BX5" s="39">
        <v>7.25</v>
      </c>
      <c r="BY5" s="39">
        <v>9.1999999999999993</v>
      </c>
      <c r="BZ5" s="39">
        <v>15</v>
      </c>
      <c r="CA5" s="39">
        <v>16.68</v>
      </c>
      <c r="CB5" s="39">
        <v>0.2</v>
      </c>
      <c r="CC5" s="39"/>
      <c r="CD5" s="39"/>
      <c r="CE5" s="39"/>
      <c r="CF5" s="39"/>
      <c r="CG5" s="39"/>
      <c r="CH5" s="12">
        <f t="shared" si="35"/>
        <v>15</v>
      </c>
      <c r="CI5" s="12">
        <f t="shared" si="36"/>
        <v>41.63</v>
      </c>
      <c r="CJ5" s="12">
        <f t="shared" si="37"/>
        <v>47.929999999999993</v>
      </c>
      <c r="CK5" s="12">
        <f t="shared" si="38"/>
        <v>89.56</v>
      </c>
      <c r="CL5" s="12" t="str">
        <f t="shared" si="39"/>
        <v/>
      </c>
      <c r="CM5" s="12" t="str">
        <f t="shared" si="40"/>
        <v/>
      </c>
      <c r="CN5" s="12">
        <f t="shared" si="41"/>
        <v>89.56</v>
      </c>
      <c r="CO5" s="40"/>
      <c r="CP5" s="40"/>
      <c r="CQ5" s="40"/>
      <c r="CR5" s="40"/>
      <c r="CS5" s="40"/>
      <c r="CT5" s="40"/>
      <c r="CU5" s="40"/>
      <c r="CV5" s="40"/>
      <c r="CW5" s="40"/>
      <c r="CX5" s="40"/>
      <c r="CY5" s="40">
        <v>7.1</v>
      </c>
      <c r="CZ5" s="40">
        <v>7</v>
      </c>
      <c r="DA5" s="40">
        <v>13.2</v>
      </c>
      <c r="DB5" s="40">
        <v>14.96</v>
      </c>
      <c r="DC5" s="40">
        <v>0</v>
      </c>
      <c r="DD5" s="15" t="str">
        <f t="shared" si="42"/>
        <v/>
      </c>
      <c r="DE5" s="15" t="str">
        <f t="shared" si="43"/>
        <v/>
      </c>
      <c r="DF5" s="15" t="str">
        <f t="shared" si="44"/>
        <v/>
      </c>
      <c r="DG5" s="15" t="str">
        <f t="shared" si="45"/>
        <v/>
      </c>
      <c r="DH5" s="15">
        <f t="shared" si="46"/>
        <v>13.2</v>
      </c>
      <c r="DI5" s="15">
        <f t="shared" si="47"/>
        <v>42.26</v>
      </c>
      <c r="DJ5" s="15">
        <f t="shared" si="48"/>
        <v>42.26</v>
      </c>
      <c r="DK5" s="39"/>
      <c r="DL5" s="39"/>
      <c r="DM5" s="39"/>
      <c r="DN5" s="39"/>
      <c r="DO5" s="39"/>
      <c r="DP5" s="39"/>
      <c r="DQ5" s="39"/>
      <c r="DR5" s="39"/>
      <c r="DS5" s="39"/>
      <c r="DT5" s="39"/>
      <c r="DU5" s="39"/>
      <c r="DV5" s="39"/>
      <c r="DW5" s="39"/>
      <c r="DX5" s="39"/>
      <c r="DY5" s="39"/>
      <c r="DZ5" s="12" t="str">
        <f t="shared" si="49"/>
        <v/>
      </c>
      <c r="EA5" s="12" t="str">
        <f t="shared" si="50"/>
        <v/>
      </c>
      <c r="EB5" s="12" t="str">
        <f t="shared" si="51"/>
        <v/>
      </c>
      <c r="EC5" s="12" t="str">
        <f t="shared" si="52"/>
        <v/>
      </c>
      <c r="ED5" s="12" t="str">
        <f t="shared" si="53"/>
        <v/>
      </c>
      <c r="EE5" s="12" t="str">
        <f t="shared" si="54"/>
        <v/>
      </c>
      <c r="EF5" s="12" t="str">
        <f t="shared" si="55"/>
        <v/>
      </c>
      <c r="EG5" s="40"/>
      <c r="EH5" s="40"/>
      <c r="EI5" s="40"/>
      <c r="EJ5" s="40"/>
      <c r="EK5" s="40"/>
      <c r="EL5" s="40"/>
      <c r="EM5" s="40"/>
      <c r="EN5" s="40"/>
      <c r="EO5" s="40"/>
      <c r="EP5" s="40"/>
      <c r="EQ5" s="40"/>
      <c r="ER5" s="40"/>
      <c r="ES5" s="40"/>
      <c r="ET5" s="40"/>
      <c r="EU5" s="40"/>
      <c r="EV5" s="15" t="str">
        <f t="shared" si="56"/>
        <v/>
      </c>
      <c r="EW5" s="15" t="str">
        <f t="shared" si="57"/>
        <v/>
      </c>
      <c r="EX5" s="15" t="str">
        <f t="shared" si="58"/>
        <v/>
      </c>
      <c r="EY5" s="15" t="str">
        <f t="shared" si="59"/>
        <v/>
      </c>
      <c r="EZ5" s="15" t="str">
        <f t="shared" si="60"/>
        <v/>
      </c>
      <c r="FA5" s="15" t="str">
        <f t="shared" si="61"/>
        <v/>
      </c>
      <c r="FB5" s="15" t="str">
        <f t="shared" si="62"/>
        <v/>
      </c>
      <c r="FC5" s="39"/>
      <c r="FD5" s="39"/>
      <c r="FE5" s="39"/>
      <c r="FF5" s="39"/>
      <c r="FG5" s="39"/>
      <c r="FH5" s="39"/>
      <c r="FI5" s="39"/>
      <c r="FJ5" s="39"/>
      <c r="FK5" s="39"/>
      <c r="FL5" s="39"/>
      <c r="FM5" s="39"/>
      <c r="FN5" s="39"/>
      <c r="FO5" s="39"/>
      <c r="FP5" s="39"/>
      <c r="FQ5" s="39"/>
      <c r="FR5" s="12" t="str">
        <f t="shared" si="63"/>
        <v/>
      </c>
      <c r="FS5" s="12" t="str">
        <f t="shared" si="64"/>
        <v/>
      </c>
      <c r="FT5" s="12" t="str">
        <f t="shared" si="65"/>
        <v/>
      </c>
      <c r="FU5" s="12" t="str">
        <f t="shared" si="66"/>
        <v/>
      </c>
      <c r="FV5" s="12" t="str">
        <f t="shared" si="67"/>
        <v/>
      </c>
      <c r="FW5" s="12" t="str">
        <f t="shared" si="68"/>
        <v/>
      </c>
      <c r="FX5" s="12" t="str">
        <f t="shared" si="69"/>
        <v/>
      </c>
      <c r="FY5" s="40"/>
      <c r="FZ5" s="40"/>
      <c r="GA5" s="40"/>
      <c r="GB5" s="40"/>
      <c r="GC5" s="40"/>
      <c r="GD5" s="40"/>
      <c r="GE5" s="40"/>
      <c r="GF5" s="40"/>
      <c r="GG5" s="40"/>
      <c r="GH5" s="40"/>
      <c r="GI5" s="40"/>
      <c r="GJ5" s="40"/>
      <c r="GK5" s="40"/>
      <c r="GL5" s="40"/>
      <c r="GM5" s="40"/>
      <c r="GN5" s="15" t="str">
        <f t="shared" si="70"/>
        <v/>
      </c>
      <c r="GO5" s="15" t="str">
        <f t="shared" si="71"/>
        <v/>
      </c>
      <c r="GP5" s="15" t="str">
        <f t="shared" si="72"/>
        <v/>
      </c>
      <c r="GQ5" s="15" t="str">
        <f t="shared" si="73"/>
        <v/>
      </c>
      <c r="GR5" s="15" t="str">
        <f t="shared" si="74"/>
        <v/>
      </c>
      <c r="GS5" s="15" t="str">
        <f t="shared" si="75"/>
        <v/>
      </c>
      <c r="GT5" s="15" t="str">
        <f t="shared" si="76"/>
        <v/>
      </c>
      <c r="GU5" s="39"/>
      <c r="GV5" s="39"/>
      <c r="GW5" s="39"/>
      <c r="GX5" s="39"/>
      <c r="GY5" s="39"/>
      <c r="GZ5" s="39"/>
      <c r="HA5" s="39"/>
      <c r="HB5" s="39"/>
      <c r="HC5" s="39"/>
      <c r="HD5" s="39"/>
      <c r="HE5" s="39"/>
      <c r="HF5" s="39"/>
      <c r="HG5" s="39"/>
      <c r="HH5" s="39"/>
      <c r="HI5" s="39"/>
      <c r="HJ5" s="12" t="str">
        <f t="shared" si="77"/>
        <v/>
      </c>
      <c r="HK5" s="12" t="str">
        <f t="shared" si="78"/>
        <v/>
      </c>
      <c r="HL5" s="12" t="str">
        <f t="shared" si="79"/>
        <v/>
      </c>
      <c r="HM5" s="12" t="str">
        <f t="shared" si="80"/>
        <v/>
      </c>
      <c r="HN5" s="12" t="str">
        <f t="shared" si="81"/>
        <v/>
      </c>
      <c r="HO5" s="12" t="str">
        <f t="shared" si="82"/>
        <v/>
      </c>
      <c r="HP5" s="12" t="str">
        <f t="shared" si="83"/>
        <v/>
      </c>
      <c r="HQ5" s="40"/>
      <c r="HR5" s="40"/>
      <c r="HS5" s="40"/>
      <c r="HT5" s="40"/>
      <c r="HU5" s="40"/>
      <c r="HV5" s="40"/>
      <c r="HW5" s="40"/>
      <c r="HX5" s="40"/>
      <c r="HY5" s="40"/>
      <c r="HZ5" s="40"/>
      <c r="IA5" s="40"/>
      <c r="IB5" s="40"/>
      <c r="IC5" s="40"/>
      <c r="ID5" s="40"/>
      <c r="IE5" s="40"/>
      <c r="IF5" s="15" t="str">
        <f t="shared" si="84"/>
        <v/>
      </c>
      <c r="IG5" s="15" t="str">
        <f t="shared" si="85"/>
        <v/>
      </c>
      <c r="IH5" s="15" t="str">
        <f t="shared" si="86"/>
        <v/>
      </c>
      <c r="II5" s="15" t="str">
        <f t="shared" si="87"/>
        <v/>
      </c>
      <c r="IJ5" s="15" t="str">
        <f t="shared" si="88"/>
        <v/>
      </c>
      <c r="IK5" s="15" t="str">
        <f t="shared" si="89"/>
        <v/>
      </c>
      <c r="IL5" s="15" t="str">
        <f t="shared" si="90"/>
        <v/>
      </c>
      <c r="IM5" s="39"/>
      <c r="IN5" s="39"/>
      <c r="IO5" s="39"/>
      <c r="IP5" s="39"/>
      <c r="IQ5" s="39"/>
      <c r="IR5" s="39"/>
      <c r="IS5" s="39"/>
      <c r="IT5" s="39"/>
      <c r="IU5" s="39"/>
      <c r="IV5" s="39"/>
      <c r="IW5" s="39"/>
      <c r="IX5" s="39"/>
      <c r="IY5" s="39"/>
      <c r="IZ5" s="39"/>
      <c r="JA5" s="39"/>
      <c r="JB5" s="12" t="str">
        <f t="shared" si="91"/>
        <v/>
      </c>
      <c r="JC5" s="12" t="str">
        <f t="shared" si="92"/>
        <v/>
      </c>
      <c r="JD5" s="12" t="str">
        <f t="shared" si="93"/>
        <v/>
      </c>
      <c r="JE5" s="12" t="str">
        <f t="shared" si="94"/>
        <v/>
      </c>
      <c r="JF5" s="12" t="str">
        <f t="shared" si="95"/>
        <v/>
      </c>
      <c r="JG5" s="12" t="str">
        <f t="shared" si="96"/>
        <v/>
      </c>
      <c r="JH5" s="12" t="str">
        <f t="shared" si="97"/>
        <v/>
      </c>
      <c r="JI5" s="40"/>
      <c r="JJ5" s="40"/>
      <c r="JK5" s="40"/>
      <c r="JL5" s="40"/>
      <c r="JM5" s="40"/>
      <c r="JN5" s="40"/>
      <c r="JO5" s="40"/>
      <c r="JP5" s="40"/>
      <c r="JQ5" s="40"/>
      <c r="JR5" s="40"/>
      <c r="JS5" s="40"/>
      <c r="JT5" s="40"/>
      <c r="JU5" s="40"/>
      <c r="JV5" s="40"/>
      <c r="JW5" s="40"/>
      <c r="JX5" s="15" t="str">
        <f t="shared" si="98"/>
        <v/>
      </c>
      <c r="JY5" s="15" t="str">
        <f t="shared" si="99"/>
        <v/>
      </c>
      <c r="JZ5" s="15" t="str">
        <f t="shared" si="100"/>
        <v/>
      </c>
      <c r="KA5" s="15" t="str">
        <f t="shared" si="101"/>
        <v/>
      </c>
      <c r="KB5" s="15" t="str">
        <f t="shared" si="102"/>
        <v/>
      </c>
      <c r="KC5" s="15" t="str">
        <f t="shared" si="103"/>
        <v/>
      </c>
      <c r="KD5" s="15" t="str">
        <f t="shared" si="104"/>
        <v/>
      </c>
      <c r="KE5" s="39"/>
      <c r="KF5" s="39"/>
      <c r="KG5" s="39"/>
      <c r="KH5" s="39"/>
      <c r="KI5" s="39"/>
      <c r="KJ5" s="39"/>
      <c r="KK5" s="39"/>
      <c r="KL5" s="39"/>
      <c r="KM5" s="39"/>
      <c r="KN5" s="39"/>
      <c r="KO5" s="39"/>
      <c r="KP5" s="39"/>
      <c r="KQ5" s="39"/>
      <c r="KR5" s="39"/>
      <c r="KS5" s="39"/>
      <c r="KT5" s="12" t="str">
        <f t="shared" si="105"/>
        <v/>
      </c>
      <c r="KU5" s="12" t="str">
        <f t="shared" si="106"/>
        <v/>
      </c>
      <c r="KV5" s="12" t="str">
        <f t="shared" si="107"/>
        <v/>
      </c>
      <c r="KW5" s="12" t="str">
        <f t="shared" si="108"/>
        <v/>
      </c>
      <c r="KX5" s="12" t="str">
        <f t="shared" si="109"/>
        <v/>
      </c>
      <c r="KY5" s="12" t="str">
        <f t="shared" si="110"/>
        <v/>
      </c>
      <c r="KZ5" s="12" t="str">
        <f t="shared" si="111"/>
        <v/>
      </c>
      <c r="LA5" s="40"/>
      <c r="LB5" s="40"/>
      <c r="LC5" s="40"/>
      <c r="LD5" s="40"/>
      <c r="LE5" s="40"/>
      <c r="LF5" s="40"/>
      <c r="LG5" s="40"/>
      <c r="LH5" s="40"/>
      <c r="LI5" s="40"/>
      <c r="LJ5" s="40"/>
      <c r="LK5" s="40"/>
      <c r="LL5" s="40"/>
      <c r="LM5" s="40"/>
      <c r="LN5" s="40"/>
      <c r="LO5" s="40"/>
      <c r="LP5" s="15" t="str">
        <f t="shared" si="112"/>
        <v/>
      </c>
      <c r="LQ5" s="15" t="str">
        <f t="shared" si="113"/>
        <v/>
      </c>
      <c r="LR5" s="15" t="str">
        <f t="shared" si="114"/>
        <v/>
      </c>
      <c r="LS5" s="15" t="str">
        <f t="shared" si="115"/>
        <v/>
      </c>
      <c r="LT5" s="15" t="str">
        <f t="shared" si="116"/>
        <v/>
      </c>
      <c r="LU5" s="15" t="str">
        <f t="shared" si="117"/>
        <v/>
      </c>
      <c r="LV5" s="15" t="str">
        <f t="shared" si="118"/>
        <v/>
      </c>
      <c r="LW5" s="71">
        <f t="shared" ref="LW5:LW15" si="126">IF($BG5="P",AR5,(U5+AR5)/2)</f>
        <v>4.5812499999999998</v>
      </c>
      <c r="LX5" s="71">
        <f t="shared" si="119"/>
        <v>4.7249999999999996</v>
      </c>
      <c r="LY5" s="71">
        <f t="shared" si="119"/>
        <v>2.8</v>
      </c>
      <c r="LZ5" s="71">
        <f t="shared" si="119"/>
        <v>9.3249999999999993</v>
      </c>
      <c r="MA5" s="71">
        <f t="shared" si="119"/>
        <v>0</v>
      </c>
      <c r="MB5" s="71">
        <f t="shared" si="119"/>
        <v>4.1812500000000004</v>
      </c>
      <c r="MC5" s="71">
        <f t="shared" si="119"/>
        <v>4.6124999999999998</v>
      </c>
      <c r="MD5" s="71">
        <f t="shared" si="119"/>
        <v>6.05</v>
      </c>
      <c r="ME5" s="71">
        <f t="shared" si="119"/>
        <v>7.93</v>
      </c>
      <c r="MF5" s="71">
        <f t="shared" si="119"/>
        <v>0</v>
      </c>
      <c r="MG5" s="71">
        <f t="shared" si="119"/>
        <v>4.1937499999999996</v>
      </c>
      <c r="MH5" s="71">
        <f t="shared" si="119"/>
        <v>4.55</v>
      </c>
      <c r="MI5" s="71">
        <f t="shared" si="119"/>
        <v>6.41</v>
      </c>
      <c r="MJ5" s="71">
        <f t="shared" si="119"/>
        <v>8.5500000000000007</v>
      </c>
      <c r="MK5" s="71">
        <f t="shared" si="119"/>
        <v>0</v>
      </c>
      <c r="ML5" s="82" t="s">
        <v>100</v>
      </c>
      <c r="MM5" s="12">
        <f t="shared" ref="MM5:MM14" si="127">IF(MD5&gt;0,MD5,"")</f>
        <v>6.05</v>
      </c>
      <c r="MN5" s="12">
        <f t="shared" ref="MN5:MN14" si="128">IF(SUM(LW5:LZ5)-MA5&gt;0,SUM(LW5:LZ5)-MA5,"")</f>
        <v>21.431249999999999</v>
      </c>
      <c r="MO5" s="12">
        <f t="shared" ref="MO5:MO14" si="129">IF(SUM(MB5:ME5)-MF5&gt;0,SUM(MB5:ME5)-MF5,"")</f>
        <v>22.77375</v>
      </c>
      <c r="MP5" s="12">
        <f t="shared" ref="MP5:MP14" si="130">IF(SUM(MN5:MO5)&gt;0,SUM(MN5:MO5),"")</f>
        <v>44.204999999999998</v>
      </c>
      <c r="MQ5" s="12">
        <f t="shared" ref="MQ5:MQ15" si="131">IF(MI5&gt;0,MI5,"")</f>
        <v>6.41</v>
      </c>
      <c r="MR5" s="12">
        <f t="shared" ref="MR5:MR14" si="132">IF(SUM(MG5:MJ5)-MK5&gt;0,SUM(MG5:MJ5)-MK5,"")</f>
        <v>23.703749999999999</v>
      </c>
      <c r="MS5" s="12">
        <f t="shared" ref="MS5:MS14" si="133">IF(SUM(MP5,MR5)&gt;0,SUM(MP5,MR5),"")</f>
        <v>67.908749999999998</v>
      </c>
    </row>
    <row r="6" spans="1:357" x14ac:dyDescent="0.2">
      <c r="A6" s="6">
        <f t="shared" si="0"/>
        <v>3</v>
      </c>
      <c r="B6" s="9" t="s">
        <v>202</v>
      </c>
      <c r="C6" s="5" t="s">
        <v>116</v>
      </c>
      <c r="D6" s="29" t="s">
        <v>208</v>
      </c>
      <c r="E6" s="16">
        <f t="shared" si="1"/>
        <v>88.480000000000018</v>
      </c>
      <c r="F6" s="4" t="str">
        <f t="shared" si="2"/>
        <v>P</v>
      </c>
      <c r="G6" s="4" t="str">
        <f t="shared" si="3"/>
        <v>P</v>
      </c>
      <c r="H6" s="4" t="str">
        <f t="shared" si="4"/>
        <v>P</v>
      </c>
      <c r="I6" t="str">
        <f t="shared" si="5"/>
        <v>National Team</v>
      </c>
      <c r="J6" s="15" t="str">
        <f t="shared" si="6"/>
        <v/>
      </c>
      <c r="K6" s="15" t="str">
        <f t="shared" si="7"/>
        <v/>
      </c>
      <c r="L6" s="15" t="str">
        <f t="shared" si="8"/>
        <v/>
      </c>
      <c r="M6" s="15" t="str">
        <f t="shared" si="9"/>
        <v/>
      </c>
      <c r="N6" s="15" t="str">
        <f t="shared" si="10"/>
        <v/>
      </c>
      <c r="O6" s="15" t="str">
        <f t="shared" si="11"/>
        <v/>
      </c>
      <c r="P6" s="15" t="str">
        <f t="shared" si="12"/>
        <v/>
      </c>
      <c r="Q6" s="15" t="str">
        <f t="shared" si="13"/>
        <v/>
      </c>
      <c r="R6" s="15">
        <f t="shared" si="14"/>
        <v>88.480000000000018</v>
      </c>
      <c r="S6" s="27" t="str">
        <f t="shared" si="15"/>
        <v>(Prelim)</v>
      </c>
      <c r="T6" s="15" t="str">
        <f t="shared" si="16"/>
        <v>2019 World Cup ESP (Oct 6)</v>
      </c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82"/>
      <c r="AK6" s="12" t="str">
        <f t="shared" si="17"/>
        <v/>
      </c>
      <c r="AL6" s="12" t="str">
        <f t="shared" si="18"/>
        <v/>
      </c>
      <c r="AM6" s="12" t="str">
        <f t="shared" si="19"/>
        <v/>
      </c>
      <c r="AN6" s="12" t="str">
        <f t="shared" si="20"/>
        <v/>
      </c>
      <c r="AO6" s="12" t="str">
        <f t="shared" si="21"/>
        <v/>
      </c>
      <c r="AP6" s="12" t="str">
        <f t="shared" si="22"/>
        <v/>
      </c>
      <c r="AQ6" s="12" t="str">
        <f t="shared" si="23"/>
        <v/>
      </c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83"/>
      <c r="BH6" s="15" t="str">
        <f t="shared" si="24"/>
        <v/>
      </c>
      <c r="BI6" s="15" t="str">
        <f t="shared" si="25"/>
        <v/>
      </c>
      <c r="BJ6" s="15" t="str">
        <f t="shared" si="26"/>
        <v/>
      </c>
      <c r="BK6" s="15" t="str">
        <f t="shared" si="27"/>
        <v/>
      </c>
      <c r="BL6" s="15" t="str">
        <f t="shared" si="28"/>
        <v/>
      </c>
      <c r="BM6" s="15" t="str">
        <f t="shared" si="29"/>
        <v/>
      </c>
      <c r="BN6" s="15" t="str">
        <f t="shared" si="30"/>
        <v/>
      </c>
      <c r="BO6" s="26">
        <f t="shared" si="31"/>
        <v>40.460000000000008</v>
      </c>
      <c r="BP6" s="26">
        <f t="shared" si="32"/>
        <v>48.79</v>
      </c>
      <c r="BQ6" s="26">
        <f t="shared" si="33"/>
        <v>88.480000000000018</v>
      </c>
      <c r="BR6" s="26">
        <f t="shared" si="34"/>
        <v>51.019999999999996</v>
      </c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G6" s="39"/>
      <c r="CH6" s="12" t="str">
        <f t="shared" si="35"/>
        <v/>
      </c>
      <c r="CI6" s="12" t="str">
        <f t="shared" si="36"/>
        <v/>
      </c>
      <c r="CJ6" s="12" t="str">
        <f t="shared" si="37"/>
        <v/>
      </c>
      <c r="CK6" s="12" t="str">
        <f t="shared" si="38"/>
        <v/>
      </c>
      <c r="CL6" s="12" t="str">
        <f t="shared" si="39"/>
        <v/>
      </c>
      <c r="CM6" s="12" t="str">
        <f t="shared" si="40"/>
        <v/>
      </c>
      <c r="CN6" s="12" t="str">
        <f t="shared" si="41"/>
        <v/>
      </c>
      <c r="CO6" s="40"/>
      <c r="CP6" s="40"/>
      <c r="CQ6" s="40"/>
      <c r="CR6" s="40"/>
      <c r="CS6" s="40"/>
      <c r="CT6" s="40"/>
      <c r="CU6" s="40"/>
      <c r="CV6" s="40"/>
      <c r="CW6" s="40"/>
      <c r="CX6" s="40"/>
      <c r="CY6" s="40"/>
      <c r="CZ6" s="40"/>
      <c r="DA6" s="40"/>
      <c r="DB6" s="40"/>
      <c r="DC6" s="40"/>
      <c r="DD6" s="15" t="str">
        <f t="shared" si="42"/>
        <v/>
      </c>
      <c r="DE6" s="15" t="str">
        <f t="shared" si="43"/>
        <v/>
      </c>
      <c r="DF6" s="15" t="str">
        <f t="shared" si="44"/>
        <v/>
      </c>
      <c r="DG6" s="15" t="str">
        <f t="shared" si="45"/>
        <v/>
      </c>
      <c r="DH6" s="15" t="str">
        <f t="shared" si="46"/>
        <v/>
      </c>
      <c r="DI6" s="15" t="str">
        <f t="shared" si="47"/>
        <v/>
      </c>
      <c r="DJ6" s="15" t="str">
        <f t="shared" si="48"/>
        <v/>
      </c>
      <c r="DK6" s="39"/>
      <c r="DL6" s="39"/>
      <c r="DM6" s="39"/>
      <c r="DN6" s="39"/>
      <c r="DO6" s="39"/>
      <c r="DP6" s="39"/>
      <c r="DQ6" s="39"/>
      <c r="DR6" s="39"/>
      <c r="DS6" s="39"/>
      <c r="DT6" s="39"/>
      <c r="DU6" s="39"/>
      <c r="DV6" s="39"/>
      <c r="DW6" s="39"/>
      <c r="DX6" s="39"/>
      <c r="DY6" s="39"/>
      <c r="DZ6" s="12" t="str">
        <f t="shared" si="49"/>
        <v/>
      </c>
      <c r="EA6" s="12" t="str">
        <f t="shared" si="50"/>
        <v/>
      </c>
      <c r="EB6" s="12" t="str">
        <f t="shared" si="51"/>
        <v/>
      </c>
      <c r="EC6" s="12" t="str">
        <f t="shared" si="52"/>
        <v/>
      </c>
      <c r="ED6" s="12" t="str">
        <f t="shared" si="53"/>
        <v/>
      </c>
      <c r="EE6" s="12" t="str">
        <f t="shared" si="54"/>
        <v/>
      </c>
      <c r="EF6" s="12" t="str">
        <f t="shared" si="55"/>
        <v/>
      </c>
      <c r="EG6" s="40"/>
      <c r="EH6" s="40"/>
      <c r="EI6" s="40"/>
      <c r="EJ6" s="40"/>
      <c r="EK6" s="40"/>
      <c r="EL6" s="40"/>
      <c r="EM6" s="40"/>
      <c r="EN6" s="40"/>
      <c r="EO6" s="40"/>
      <c r="EP6" s="40"/>
      <c r="EQ6" s="40"/>
      <c r="ER6" s="40"/>
      <c r="ES6" s="40"/>
      <c r="ET6" s="40"/>
      <c r="EU6" s="40"/>
      <c r="EV6" s="15" t="str">
        <f t="shared" si="56"/>
        <v/>
      </c>
      <c r="EW6" s="15" t="str">
        <f t="shared" si="57"/>
        <v/>
      </c>
      <c r="EX6" s="15" t="str">
        <f t="shared" si="58"/>
        <v/>
      </c>
      <c r="EY6" s="15" t="str">
        <f t="shared" si="59"/>
        <v/>
      </c>
      <c r="EZ6" s="15" t="str">
        <f t="shared" si="60"/>
        <v/>
      </c>
      <c r="FA6" s="15" t="str">
        <f t="shared" si="61"/>
        <v/>
      </c>
      <c r="FB6" s="15" t="str">
        <f t="shared" si="62"/>
        <v/>
      </c>
      <c r="FC6" s="39"/>
      <c r="FD6" s="39"/>
      <c r="FE6" s="39"/>
      <c r="FF6" s="39"/>
      <c r="FG6" s="39"/>
      <c r="FH6" s="39"/>
      <c r="FI6" s="39"/>
      <c r="FJ6" s="39"/>
      <c r="FK6" s="39"/>
      <c r="FL6" s="39"/>
      <c r="FM6" s="39"/>
      <c r="FN6" s="39"/>
      <c r="FO6" s="39"/>
      <c r="FP6" s="39"/>
      <c r="FQ6" s="39"/>
      <c r="FR6" s="12" t="str">
        <f t="shared" si="63"/>
        <v/>
      </c>
      <c r="FS6" s="12" t="str">
        <f t="shared" si="64"/>
        <v/>
      </c>
      <c r="FT6" s="12" t="str">
        <f t="shared" si="65"/>
        <v/>
      </c>
      <c r="FU6" s="12" t="str">
        <f t="shared" si="66"/>
        <v/>
      </c>
      <c r="FV6" s="12" t="str">
        <f t="shared" si="67"/>
        <v/>
      </c>
      <c r="FW6" s="12" t="str">
        <f t="shared" si="68"/>
        <v/>
      </c>
      <c r="FX6" s="12" t="str">
        <f t="shared" si="69"/>
        <v/>
      </c>
      <c r="FY6" s="40">
        <v>8.0500000000000007</v>
      </c>
      <c r="FZ6" s="40">
        <v>8.1999999999999993</v>
      </c>
      <c r="GA6" s="40">
        <v>3.3</v>
      </c>
      <c r="GB6" s="40">
        <v>14.9</v>
      </c>
      <c r="GC6" s="40">
        <v>0</v>
      </c>
      <c r="GD6" s="40">
        <v>8.25</v>
      </c>
      <c r="GE6" s="40">
        <v>8.9</v>
      </c>
      <c r="GF6" s="40">
        <v>14</v>
      </c>
      <c r="GG6" s="40">
        <v>17.64</v>
      </c>
      <c r="GH6" s="40">
        <v>0</v>
      </c>
      <c r="GI6" s="40"/>
      <c r="GJ6" s="40"/>
      <c r="GK6" s="40"/>
      <c r="GL6" s="40"/>
      <c r="GM6" s="40"/>
      <c r="GN6" s="15">
        <f t="shared" si="70"/>
        <v>14</v>
      </c>
      <c r="GO6" s="15">
        <f t="shared" si="71"/>
        <v>34.450000000000003</v>
      </c>
      <c r="GP6" s="15">
        <f t="shared" si="72"/>
        <v>48.79</v>
      </c>
      <c r="GQ6" s="15">
        <f t="shared" si="73"/>
        <v>83.240000000000009</v>
      </c>
      <c r="GR6" s="15" t="str">
        <f t="shared" si="74"/>
        <v/>
      </c>
      <c r="GS6" s="15" t="str">
        <f t="shared" si="75"/>
        <v/>
      </c>
      <c r="GT6" s="15">
        <f t="shared" si="76"/>
        <v>83.240000000000009</v>
      </c>
      <c r="GU6" s="39">
        <v>8.85</v>
      </c>
      <c r="GV6" s="39">
        <v>9.25</v>
      </c>
      <c r="GW6" s="39">
        <v>5.0999999999999996</v>
      </c>
      <c r="GX6" s="39">
        <v>17.260000000000002</v>
      </c>
      <c r="GY6" s="39">
        <v>0</v>
      </c>
      <c r="GZ6" s="39">
        <v>8.25</v>
      </c>
      <c r="HA6" s="39">
        <v>9.35</v>
      </c>
      <c r="HB6" s="39">
        <v>14</v>
      </c>
      <c r="HC6" s="39">
        <v>16.420000000000002</v>
      </c>
      <c r="HD6" s="39">
        <v>0</v>
      </c>
      <c r="HE6" s="39">
        <v>8.3000000000000007</v>
      </c>
      <c r="HF6" s="39">
        <v>9.1999999999999993</v>
      </c>
      <c r="HG6" s="39">
        <v>15</v>
      </c>
      <c r="HH6" s="39">
        <v>18.52</v>
      </c>
      <c r="HI6" s="39">
        <v>0</v>
      </c>
      <c r="HJ6" s="12">
        <f t="shared" si="77"/>
        <v>14</v>
      </c>
      <c r="HK6" s="12">
        <f t="shared" si="78"/>
        <v>40.460000000000008</v>
      </c>
      <c r="HL6" s="12">
        <f t="shared" si="79"/>
        <v>48.02</v>
      </c>
      <c r="HM6" s="12">
        <f t="shared" si="80"/>
        <v>88.480000000000018</v>
      </c>
      <c r="HN6" s="12">
        <f t="shared" si="81"/>
        <v>15</v>
      </c>
      <c r="HO6" s="12">
        <f t="shared" si="82"/>
        <v>51.019999999999996</v>
      </c>
      <c r="HP6" s="12">
        <f t="shared" si="83"/>
        <v>139.5</v>
      </c>
      <c r="HQ6" s="40"/>
      <c r="HR6" s="40"/>
      <c r="HS6" s="40"/>
      <c r="HT6" s="40"/>
      <c r="HU6" s="40"/>
      <c r="HV6" s="40"/>
      <c r="HW6" s="40"/>
      <c r="HX6" s="40"/>
      <c r="HY6" s="40"/>
      <c r="HZ6" s="40"/>
      <c r="IA6" s="40"/>
      <c r="IB6" s="40"/>
      <c r="IC6" s="40"/>
      <c r="ID6" s="40"/>
      <c r="IE6" s="40"/>
      <c r="IF6" s="15" t="str">
        <f t="shared" si="84"/>
        <v/>
      </c>
      <c r="IG6" s="15" t="str">
        <f t="shared" si="85"/>
        <v/>
      </c>
      <c r="IH6" s="15" t="str">
        <f t="shared" si="86"/>
        <v/>
      </c>
      <c r="II6" s="15" t="str">
        <f t="shared" si="87"/>
        <v/>
      </c>
      <c r="IJ6" s="15" t="str">
        <f t="shared" si="88"/>
        <v/>
      </c>
      <c r="IK6" s="15" t="str">
        <f t="shared" si="89"/>
        <v/>
      </c>
      <c r="IL6" s="15" t="str">
        <f t="shared" si="90"/>
        <v/>
      </c>
      <c r="IM6" s="39"/>
      <c r="IN6" s="39"/>
      <c r="IO6" s="39"/>
      <c r="IP6" s="39"/>
      <c r="IQ6" s="39"/>
      <c r="IR6" s="39"/>
      <c r="IS6" s="39"/>
      <c r="IT6" s="39"/>
      <c r="IU6" s="39"/>
      <c r="IV6" s="39"/>
      <c r="IW6" s="39"/>
      <c r="IX6" s="39"/>
      <c r="IY6" s="39"/>
      <c r="IZ6" s="39"/>
      <c r="JA6" s="39"/>
      <c r="JB6" s="12" t="str">
        <f t="shared" si="91"/>
        <v/>
      </c>
      <c r="JC6" s="12" t="str">
        <f t="shared" si="92"/>
        <v/>
      </c>
      <c r="JD6" s="12" t="str">
        <f t="shared" si="93"/>
        <v/>
      </c>
      <c r="JE6" s="12" t="str">
        <f t="shared" si="94"/>
        <v/>
      </c>
      <c r="JF6" s="12" t="str">
        <f t="shared" si="95"/>
        <v/>
      </c>
      <c r="JG6" s="12" t="str">
        <f t="shared" si="96"/>
        <v/>
      </c>
      <c r="JH6" s="12" t="str">
        <f t="shared" si="97"/>
        <v/>
      </c>
      <c r="JI6" s="40"/>
      <c r="JJ6" s="40"/>
      <c r="JK6" s="40"/>
      <c r="JL6" s="40"/>
      <c r="JM6" s="40"/>
      <c r="JN6" s="40"/>
      <c r="JO6" s="40"/>
      <c r="JP6" s="40"/>
      <c r="JQ6" s="40"/>
      <c r="JR6" s="40"/>
      <c r="JS6" s="40"/>
      <c r="JT6" s="40"/>
      <c r="JU6" s="40"/>
      <c r="JV6" s="40"/>
      <c r="JW6" s="40"/>
      <c r="JX6" s="15" t="str">
        <f t="shared" si="98"/>
        <v/>
      </c>
      <c r="JY6" s="15" t="str">
        <f t="shared" si="99"/>
        <v/>
      </c>
      <c r="JZ6" s="15" t="str">
        <f t="shared" si="100"/>
        <v/>
      </c>
      <c r="KA6" s="15" t="str">
        <f t="shared" si="101"/>
        <v/>
      </c>
      <c r="KB6" s="15" t="str">
        <f t="shared" si="102"/>
        <v/>
      </c>
      <c r="KC6" s="15" t="str">
        <f t="shared" si="103"/>
        <v/>
      </c>
      <c r="KD6" s="15" t="str">
        <f t="shared" si="104"/>
        <v/>
      </c>
      <c r="KE6" s="39"/>
      <c r="KF6" s="39"/>
      <c r="KG6" s="39"/>
      <c r="KH6" s="39"/>
      <c r="KI6" s="39"/>
      <c r="KJ6" s="39"/>
      <c r="KK6" s="39"/>
      <c r="KL6" s="39"/>
      <c r="KM6" s="39"/>
      <c r="KN6" s="39"/>
      <c r="KO6" s="39"/>
      <c r="KP6" s="39"/>
      <c r="KQ6" s="39"/>
      <c r="KR6" s="39"/>
      <c r="KS6" s="39"/>
      <c r="KT6" s="12" t="str">
        <f t="shared" si="105"/>
        <v/>
      </c>
      <c r="KU6" s="12" t="str">
        <f t="shared" si="106"/>
        <v/>
      </c>
      <c r="KV6" s="12" t="str">
        <f t="shared" si="107"/>
        <v/>
      </c>
      <c r="KW6" s="12" t="str">
        <f t="shared" si="108"/>
        <v/>
      </c>
      <c r="KX6" s="12" t="str">
        <f t="shared" si="109"/>
        <v/>
      </c>
      <c r="KY6" s="12" t="str">
        <f t="shared" si="110"/>
        <v/>
      </c>
      <c r="KZ6" s="12" t="str">
        <f t="shared" si="111"/>
        <v/>
      </c>
      <c r="LA6" s="40"/>
      <c r="LB6" s="40"/>
      <c r="LC6" s="40"/>
      <c r="LD6" s="40"/>
      <c r="LE6" s="40"/>
      <c r="LF6" s="40"/>
      <c r="LG6" s="40"/>
      <c r="LH6" s="40"/>
      <c r="LI6" s="40"/>
      <c r="LJ6" s="40"/>
      <c r="LK6" s="40"/>
      <c r="LL6" s="40"/>
      <c r="LM6" s="40"/>
      <c r="LN6" s="40"/>
      <c r="LO6" s="40"/>
      <c r="LP6" s="15" t="str">
        <f t="shared" si="112"/>
        <v/>
      </c>
      <c r="LQ6" s="15" t="str">
        <f t="shared" si="113"/>
        <v/>
      </c>
      <c r="LR6" s="15" t="str">
        <f t="shared" si="114"/>
        <v/>
      </c>
      <c r="LS6" s="15" t="str">
        <f t="shared" si="115"/>
        <v/>
      </c>
      <c r="LT6" s="15" t="str">
        <f t="shared" si="116"/>
        <v/>
      </c>
      <c r="LU6" s="15" t="str">
        <f t="shared" si="117"/>
        <v/>
      </c>
      <c r="LV6" s="15" t="str">
        <f t="shared" si="118"/>
        <v/>
      </c>
      <c r="LW6" s="71">
        <f t="shared" si="126"/>
        <v>0</v>
      </c>
      <c r="LX6" s="71">
        <f t="shared" si="119"/>
        <v>0</v>
      </c>
      <c r="LY6" s="71">
        <f t="shared" si="119"/>
        <v>0</v>
      </c>
      <c r="LZ6" s="71">
        <f t="shared" si="119"/>
        <v>0</v>
      </c>
      <c r="MA6" s="71">
        <f t="shared" si="119"/>
        <v>0</v>
      </c>
      <c r="MB6" s="71">
        <f t="shared" si="119"/>
        <v>0</v>
      </c>
      <c r="MC6" s="71">
        <f t="shared" si="119"/>
        <v>0</v>
      </c>
      <c r="MD6" s="71">
        <f t="shared" si="119"/>
        <v>0</v>
      </c>
      <c r="ME6" s="71">
        <f t="shared" si="119"/>
        <v>0</v>
      </c>
      <c r="MF6" s="71">
        <f t="shared" si="119"/>
        <v>0</v>
      </c>
      <c r="MG6" s="71">
        <f t="shared" si="119"/>
        <v>0</v>
      </c>
      <c r="MH6" s="71">
        <f t="shared" si="119"/>
        <v>0</v>
      </c>
      <c r="MI6" s="71">
        <f t="shared" si="119"/>
        <v>0</v>
      </c>
      <c r="MJ6" s="71">
        <f t="shared" si="119"/>
        <v>0</v>
      </c>
      <c r="MK6" s="71">
        <f t="shared" si="119"/>
        <v>0</v>
      </c>
      <c r="ML6" s="82" t="s">
        <v>100</v>
      </c>
      <c r="MM6" s="12" t="str">
        <f t="shared" si="127"/>
        <v/>
      </c>
      <c r="MN6" s="12" t="str">
        <f t="shared" si="128"/>
        <v/>
      </c>
      <c r="MO6" s="12" t="str">
        <f t="shared" si="129"/>
        <v/>
      </c>
      <c r="MP6" s="12" t="str">
        <f t="shared" si="130"/>
        <v/>
      </c>
      <c r="MQ6" s="12" t="str">
        <f t="shared" si="131"/>
        <v/>
      </c>
      <c r="MR6" s="12" t="str">
        <f t="shared" si="132"/>
        <v/>
      </c>
      <c r="MS6" s="12" t="str">
        <f t="shared" si="133"/>
        <v/>
      </c>
    </row>
    <row r="7" spans="1:357" x14ac:dyDescent="0.2">
      <c r="A7" s="6">
        <f t="shared" si="0"/>
        <v>4</v>
      </c>
      <c r="B7" s="9" t="s">
        <v>205</v>
      </c>
      <c r="C7" s="5" t="s">
        <v>206</v>
      </c>
      <c r="D7" s="29" t="s">
        <v>207</v>
      </c>
      <c r="E7" s="16">
        <f t="shared" si="1"/>
        <v>88.210000000000008</v>
      </c>
      <c r="F7" s="4" t="str">
        <f t="shared" si="2"/>
        <v>P</v>
      </c>
      <c r="G7" s="4" t="str">
        <f t="shared" si="3"/>
        <v>P</v>
      </c>
      <c r="H7" s="4" t="str">
        <f t="shared" si="4"/>
        <v>P</v>
      </c>
      <c r="I7" t="str">
        <f t="shared" si="5"/>
        <v>National Team</v>
      </c>
      <c r="J7" s="15" t="str">
        <f t="shared" si="6"/>
        <v/>
      </c>
      <c r="K7" s="15" t="str">
        <f t="shared" si="7"/>
        <v/>
      </c>
      <c r="L7" s="15" t="str">
        <f t="shared" si="8"/>
        <v/>
      </c>
      <c r="M7" s="15" t="str">
        <f t="shared" si="9"/>
        <v/>
      </c>
      <c r="N7" s="15" t="str">
        <f t="shared" si="10"/>
        <v/>
      </c>
      <c r="O7" s="15" t="str">
        <f t="shared" si="11"/>
        <v/>
      </c>
      <c r="P7" s="15" t="str">
        <f t="shared" si="12"/>
        <v/>
      </c>
      <c r="Q7" s="15" t="str">
        <f t="shared" si="13"/>
        <v/>
      </c>
      <c r="R7" s="15">
        <f t="shared" si="14"/>
        <v>88.210000000000008</v>
      </c>
      <c r="S7" s="27" t="str">
        <f t="shared" si="15"/>
        <v>(Prelim)</v>
      </c>
      <c r="T7" s="15" t="str">
        <f t="shared" si="16"/>
        <v>2019 World Cup ESP (Oct 6)</v>
      </c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82"/>
      <c r="AK7" s="12" t="str">
        <f t="shared" si="17"/>
        <v/>
      </c>
      <c r="AL7" s="12" t="str">
        <f t="shared" si="18"/>
        <v/>
      </c>
      <c r="AM7" s="12" t="str">
        <f t="shared" si="19"/>
        <v/>
      </c>
      <c r="AN7" s="12" t="str">
        <f t="shared" si="20"/>
        <v/>
      </c>
      <c r="AO7" s="12" t="str">
        <f t="shared" si="21"/>
        <v/>
      </c>
      <c r="AP7" s="12" t="str">
        <f t="shared" si="22"/>
        <v/>
      </c>
      <c r="AQ7" s="12" t="str">
        <f t="shared" si="23"/>
        <v/>
      </c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83"/>
      <c r="BH7" s="15" t="str">
        <f t="shared" si="24"/>
        <v/>
      </c>
      <c r="BI7" s="15" t="str">
        <f t="shared" si="25"/>
        <v/>
      </c>
      <c r="BJ7" s="15" t="str">
        <f t="shared" si="26"/>
        <v/>
      </c>
      <c r="BK7" s="15" t="str">
        <f t="shared" si="27"/>
        <v/>
      </c>
      <c r="BL7" s="15" t="str">
        <f t="shared" si="28"/>
        <v/>
      </c>
      <c r="BM7" s="15" t="str">
        <f t="shared" si="29"/>
        <v/>
      </c>
      <c r="BN7" s="15" t="str">
        <f t="shared" si="30"/>
        <v/>
      </c>
      <c r="BO7" s="26">
        <f t="shared" si="31"/>
        <v>41.41</v>
      </c>
      <c r="BP7" s="26">
        <f t="shared" si="32"/>
        <v>47.15</v>
      </c>
      <c r="BQ7" s="26">
        <f t="shared" si="33"/>
        <v>88.210000000000008</v>
      </c>
      <c r="BR7" s="26">
        <f t="shared" si="34"/>
        <v>47.82</v>
      </c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12" t="str">
        <f t="shared" si="35"/>
        <v/>
      </c>
      <c r="CI7" s="12" t="str">
        <f t="shared" si="36"/>
        <v/>
      </c>
      <c r="CJ7" s="12" t="str">
        <f t="shared" si="37"/>
        <v/>
      </c>
      <c r="CK7" s="12" t="str">
        <f t="shared" si="38"/>
        <v/>
      </c>
      <c r="CL7" s="12" t="str">
        <f t="shared" si="39"/>
        <v/>
      </c>
      <c r="CM7" s="12" t="str">
        <f t="shared" si="40"/>
        <v/>
      </c>
      <c r="CN7" s="12" t="str">
        <f t="shared" si="41"/>
        <v/>
      </c>
      <c r="CO7" s="40"/>
      <c r="CP7" s="40"/>
      <c r="CQ7" s="40"/>
      <c r="CR7" s="40"/>
      <c r="CS7" s="40"/>
      <c r="CT7" s="40"/>
      <c r="CU7" s="40"/>
      <c r="CV7" s="40"/>
      <c r="CW7" s="40"/>
      <c r="CX7" s="40"/>
      <c r="CY7" s="40"/>
      <c r="CZ7" s="40"/>
      <c r="DA7" s="40"/>
      <c r="DB7" s="40"/>
      <c r="DC7" s="40"/>
      <c r="DD7" s="15" t="str">
        <f t="shared" si="42"/>
        <v/>
      </c>
      <c r="DE7" s="15" t="str">
        <f t="shared" si="43"/>
        <v/>
      </c>
      <c r="DF7" s="15" t="str">
        <f t="shared" si="44"/>
        <v/>
      </c>
      <c r="DG7" s="15" t="str">
        <f t="shared" si="45"/>
        <v/>
      </c>
      <c r="DH7" s="15" t="str">
        <f t="shared" si="46"/>
        <v/>
      </c>
      <c r="DI7" s="15" t="str">
        <f t="shared" si="47"/>
        <v/>
      </c>
      <c r="DJ7" s="15" t="str">
        <f t="shared" si="48"/>
        <v/>
      </c>
      <c r="DK7" s="39"/>
      <c r="DL7" s="39"/>
      <c r="DM7" s="39"/>
      <c r="DN7" s="39"/>
      <c r="DO7" s="39"/>
      <c r="DP7" s="39"/>
      <c r="DQ7" s="39"/>
      <c r="DR7" s="39"/>
      <c r="DS7" s="39"/>
      <c r="DT7" s="39"/>
      <c r="DU7" s="39"/>
      <c r="DV7" s="39"/>
      <c r="DW7" s="39"/>
      <c r="DX7" s="39"/>
      <c r="DY7" s="39"/>
      <c r="DZ7" s="12" t="str">
        <f t="shared" si="49"/>
        <v/>
      </c>
      <c r="EA7" s="12" t="str">
        <f t="shared" si="50"/>
        <v/>
      </c>
      <c r="EB7" s="12" t="str">
        <f t="shared" si="51"/>
        <v/>
      </c>
      <c r="EC7" s="12" t="str">
        <f t="shared" si="52"/>
        <v/>
      </c>
      <c r="ED7" s="12" t="str">
        <f t="shared" si="53"/>
        <v/>
      </c>
      <c r="EE7" s="12" t="str">
        <f t="shared" si="54"/>
        <v/>
      </c>
      <c r="EF7" s="12" t="str">
        <f t="shared" si="55"/>
        <v/>
      </c>
      <c r="EG7" s="40"/>
      <c r="EH7" s="40"/>
      <c r="EI7" s="40"/>
      <c r="EJ7" s="40"/>
      <c r="EK7" s="40"/>
      <c r="EL7" s="40"/>
      <c r="EM7" s="40"/>
      <c r="EN7" s="40"/>
      <c r="EO7" s="40"/>
      <c r="EP7" s="40"/>
      <c r="EQ7" s="40"/>
      <c r="ER7" s="40"/>
      <c r="ES7" s="40"/>
      <c r="ET7" s="40"/>
      <c r="EU7" s="40"/>
      <c r="EV7" s="15" t="str">
        <f t="shared" si="56"/>
        <v/>
      </c>
      <c r="EW7" s="15" t="str">
        <f t="shared" si="57"/>
        <v/>
      </c>
      <c r="EX7" s="15" t="str">
        <f t="shared" si="58"/>
        <v/>
      </c>
      <c r="EY7" s="15" t="str">
        <f t="shared" si="59"/>
        <v/>
      </c>
      <c r="EZ7" s="15" t="str">
        <f t="shared" si="60"/>
        <v/>
      </c>
      <c r="FA7" s="15" t="str">
        <f t="shared" si="61"/>
        <v/>
      </c>
      <c r="FB7" s="15" t="str">
        <f t="shared" si="62"/>
        <v/>
      </c>
      <c r="FC7" s="39"/>
      <c r="FD7" s="39"/>
      <c r="FE7" s="39"/>
      <c r="FF7" s="39"/>
      <c r="FG7" s="39"/>
      <c r="FH7" s="39"/>
      <c r="FI7" s="39"/>
      <c r="FJ7" s="39"/>
      <c r="FK7" s="39"/>
      <c r="FL7" s="39"/>
      <c r="FM7" s="39"/>
      <c r="FN7" s="39"/>
      <c r="FO7" s="39"/>
      <c r="FP7" s="39"/>
      <c r="FQ7" s="39"/>
      <c r="FR7" s="12" t="str">
        <f t="shared" si="63"/>
        <v/>
      </c>
      <c r="FS7" s="12" t="str">
        <f t="shared" si="64"/>
        <v/>
      </c>
      <c r="FT7" s="12" t="str">
        <f t="shared" si="65"/>
        <v/>
      </c>
      <c r="FU7" s="12" t="str">
        <f t="shared" si="66"/>
        <v/>
      </c>
      <c r="FV7" s="12" t="str">
        <f t="shared" si="67"/>
        <v/>
      </c>
      <c r="FW7" s="12" t="str">
        <f t="shared" si="68"/>
        <v/>
      </c>
      <c r="FX7" s="12" t="str">
        <f t="shared" si="69"/>
        <v/>
      </c>
      <c r="FY7" s="40">
        <v>8.35</v>
      </c>
      <c r="FZ7" s="40">
        <v>8.9499999999999993</v>
      </c>
      <c r="GA7" s="40">
        <v>5.4</v>
      </c>
      <c r="GB7" s="40">
        <v>16.32</v>
      </c>
      <c r="GC7" s="40">
        <v>0</v>
      </c>
      <c r="GD7" s="40">
        <v>7.25</v>
      </c>
      <c r="GE7" s="40">
        <v>8.6</v>
      </c>
      <c r="GF7" s="40">
        <v>15.6</v>
      </c>
      <c r="GG7" s="40">
        <v>15.7</v>
      </c>
      <c r="GH7" s="40">
        <v>0</v>
      </c>
      <c r="GI7" s="40">
        <v>7.45</v>
      </c>
      <c r="GJ7" s="40">
        <v>9.0500000000000007</v>
      </c>
      <c r="GK7" s="40">
        <v>15.2</v>
      </c>
      <c r="GL7" s="40">
        <v>16.12</v>
      </c>
      <c r="GM7" s="40">
        <v>0</v>
      </c>
      <c r="GN7" s="15">
        <f t="shared" si="70"/>
        <v>15.6</v>
      </c>
      <c r="GO7" s="15">
        <f t="shared" si="71"/>
        <v>39.019999999999996</v>
      </c>
      <c r="GP7" s="15">
        <f t="shared" si="72"/>
        <v>47.15</v>
      </c>
      <c r="GQ7" s="15">
        <f t="shared" si="73"/>
        <v>86.169999999999987</v>
      </c>
      <c r="GR7" s="15">
        <f t="shared" si="74"/>
        <v>15.2</v>
      </c>
      <c r="GS7" s="15">
        <f t="shared" si="75"/>
        <v>47.82</v>
      </c>
      <c r="GT7" s="15">
        <f t="shared" si="76"/>
        <v>133.98999999999998</v>
      </c>
      <c r="GU7" s="39">
        <v>9.15</v>
      </c>
      <c r="GV7" s="39">
        <v>9.3000000000000007</v>
      </c>
      <c r="GW7" s="39">
        <v>5.4</v>
      </c>
      <c r="GX7" s="39">
        <v>17.559999999999999</v>
      </c>
      <c r="GY7" s="39">
        <v>0</v>
      </c>
      <c r="GZ7" s="39">
        <v>7.4</v>
      </c>
      <c r="HA7" s="39">
        <v>9.1999999999999993</v>
      </c>
      <c r="HB7" s="39">
        <v>15.6</v>
      </c>
      <c r="HC7" s="39">
        <v>14.6</v>
      </c>
      <c r="HD7" s="39">
        <v>0</v>
      </c>
      <c r="HE7" s="39"/>
      <c r="HF7" s="39"/>
      <c r="HG7" s="39"/>
      <c r="HH7" s="39"/>
      <c r="HI7" s="39"/>
      <c r="HJ7" s="12">
        <f t="shared" si="77"/>
        <v>15.6</v>
      </c>
      <c r="HK7" s="12">
        <f t="shared" si="78"/>
        <v>41.41</v>
      </c>
      <c r="HL7" s="12">
        <f t="shared" si="79"/>
        <v>46.800000000000004</v>
      </c>
      <c r="HM7" s="12">
        <f t="shared" si="80"/>
        <v>88.210000000000008</v>
      </c>
      <c r="HN7" s="12" t="str">
        <f t="shared" si="81"/>
        <v/>
      </c>
      <c r="HO7" s="12" t="str">
        <f t="shared" si="82"/>
        <v/>
      </c>
      <c r="HP7" s="12">
        <f t="shared" si="83"/>
        <v>88.210000000000008</v>
      </c>
      <c r="HQ7" s="40"/>
      <c r="HR7" s="40"/>
      <c r="HS7" s="40"/>
      <c r="HT7" s="40"/>
      <c r="HU7" s="40"/>
      <c r="HV7" s="40"/>
      <c r="HW7" s="40"/>
      <c r="HX7" s="40"/>
      <c r="HY7" s="40"/>
      <c r="HZ7" s="40"/>
      <c r="IA7" s="40"/>
      <c r="IB7" s="40"/>
      <c r="IC7" s="40"/>
      <c r="ID7" s="40"/>
      <c r="IE7" s="40"/>
      <c r="IF7" s="15" t="str">
        <f t="shared" si="84"/>
        <v/>
      </c>
      <c r="IG7" s="15" t="str">
        <f t="shared" si="85"/>
        <v/>
      </c>
      <c r="IH7" s="15" t="str">
        <f t="shared" si="86"/>
        <v/>
      </c>
      <c r="II7" s="15" t="str">
        <f t="shared" si="87"/>
        <v/>
      </c>
      <c r="IJ7" s="15" t="str">
        <f t="shared" si="88"/>
        <v/>
      </c>
      <c r="IK7" s="15" t="str">
        <f t="shared" si="89"/>
        <v/>
      </c>
      <c r="IL7" s="15" t="str">
        <f t="shared" si="90"/>
        <v/>
      </c>
      <c r="IM7" s="39"/>
      <c r="IN7" s="39"/>
      <c r="IO7" s="39"/>
      <c r="IP7" s="39"/>
      <c r="IQ7" s="39"/>
      <c r="IR7" s="39"/>
      <c r="IS7" s="39"/>
      <c r="IT7" s="39"/>
      <c r="IU7" s="39"/>
      <c r="IV7" s="39"/>
      <c r="IW7" s="39"/>
      <c r="IX7" s="39"/>
      <c r="IY7" s="39"/>
      <c r="IZ7" s="39"/>
      <c r="JA7" s="39"/>
      <c r="JB7" s="12" t="str">
        <f t="shared" si="91"/>
        <v/>
      </c>
      <c r="JC7" s="12" t="str">
        <f t="shared" si="92"/>
        <v/>
      </c>
      <c r="JD7" s="12" t="str">
        <f t="shared" si="93"/>
        <v/>
      </c>
      <c r="JE7" s="12" t="str">
        <f t="shared" si="94"/>
        <v/>
      </c>
      <c r="JF7" s="12" t="str">
        <f t="shared" si="95"/>
        <v/>
      </c>
      <c r="JG7" s="12" t="str">
        <f t="shared" si="96"/>
        <v/>
      </c>
      <c r="JH7" s="12" t="str">
        <f t="shared" si="97"/>
        <v/>
      </c>
      <c r="JI7" s="40"/>
      <c r="JJ7" s="40"/>
      <c r="JK7" s="40"/>
      <c r="JL7" s="40"/>
      <c r="JM7" s="40"/>
      <c r="JN7" s="40"/>
      <c r="JO7" s="40"/>
      <c r="JP7" s="40"/>
      <c r="JQ7" s="40"/>
      <c r="JR7" s="40"/>
      <c r="JS7" s="40"/>
      <c r="JT7" s="40"/>
      <c r="JU7" s="40"/>
      <c r="JV7" s="40"/>
      <c r="JW7" s="40"/>
      <c r="JX7" s="15" t="str">
        <f t="shared" si="98"/>
        <v/>
      </c>
      <c r="JY7" s="15" t="str">
        <f t="shared" si="99"/>
        <v/>
      </c>
      <c r="JZ7" s="15" t="str">
        <f t="shared" si="100"/>
        <v/>
      </c>
      <c r="KA7" s="15" t="str">
        <f t="shared" si="101"/>
        <v/>
      </c>
      <c r="KB7" s="15" t="str">
        <f t="shared" si="102"/>
        <v/>
      </c>
      <c r="KC7" s="15" t="str">
        <f t="shared" si="103"/>
        <v/>
      </c>
      <c r="KD7" s="15" t="str">
        <f t="shared" si="104"/>
        <v/>
      </c>
      <c r="KE7" s="39"/>
      <c r="KF7" s="39"/>
      <c r="KG7" s="39"/>
      <c r="KH7" s="39"/>
      <c r="KI7" s="39"/>
      <c r="KJ7" s="39"/>
      <c r="KK7" s="39"/>
      <c r="KL7" s="39"/>
      <c r="KM7" s="39"/>
      <c r="KN7" s="39"/>
      <c r="KO7" s="39"/>
      <c r="KP7" s="39"/>
      <c r="KQ7" s="39"/>
      <c r="KR7" s="39"/>
      <c r="KS7" s="39"/>
      <c r="KT7" s="12" t="str">
        <f t="shared" si="105"/>
        <v/>
      </c>
      <c r="KU7" s="12" t="str">
        <f t="shared" si="106"/>
        <v/>
      </c>
      <c r="KV7" s="12" t="str">
        <f t="shared" si="107"/>
        <v/>
      </c>
      <c r="KW7" s="12" t="str">
        <f t="shared" si="108"/>
        <v/>
      </c>
      <c r="KX7" s="12" t="str">
        <f t="shared" si="109"/>
        <v/>
      </c>
      <c r="KY7" s="12" t="str">
        <f t="shared" si="110"/>
        <v/>
      </c>
      <c r="KZ7" s="12" t="str">
        <f t="shared" si="111"/>
        <v/>
      </c>
      <c r="LA7" s="40"/>
      <c r="LB7" s="40"/>
      <c r="LC7" s="40"/>
      <c r="LD7" s="40"/>
      <c r="LE7" s="40"/>
      <c r="LF7" s="40"/>
      <c r="LG7" s="40"/>
      <c r="LH7" s="40"/>
      <c r="LI7" s="40"/>
      <c r="LJ7" s="40"/>
      <c r="LK7" s="40"/>
      <c r="LL7" s="40"/>
      <c r="LM7" s="40"/>
      <c r="LN7" s="40"/>
      <c r="LO7" s="40"/>
      <c r="LP7" s="15" t="str">
        <f t="shared" si="112"/>
        <v/>
      </c>
      <c r="LQ7" s="15" t="str">
        <f t="shared" si="113"/>
        <v/>
      </c>
      <c r="LR7" s="15" t="str">
        <f t="shared" si="114"/>
        <v/>
      </c>
      <c r="LS7" s="15" t="str">
        <f t="shared" si="115"/>
        <v/>
      </c>
      <c r="LT7" s="15" t="str">
        <f t="shared" si="116"/>
        <v/>
      </c>
      <c r="LU7" s="15" t="str">
        <f t="shared" si="117"/>
        <v/>
      </c>
      <c r="LV7" s="15" t="str">
        <f t="shared" si="118"/>
        <v/>
      </c>
      <c r="LW7" s="71">
        <f t="shared" si="126"/>
        <v>0</v>
      </c>
      <c r="LX7" s="71">
        <f t="shared" si="119"/>
        <v>0</v>
      </c>
      <c r="LY7" s="71">
        <f t="shared" si="119"/>
        <v>0</v>
      </c>
      <c r="LZ7" s="71">
        <f t="shared" si="119"/>
        <v>0</v>
      </c>
      <c r="MA7" s="71">
        <f t="shared" si="119"/>
        <v>0</v>
      </c>
      <c r="MB7" s="71">
        <f t="shared" si="119"/>
        <v>0</v>
      </c>
      <c r="MC7" s="71">
        <f t="shared" si="119"/>
        <v>0</v>
      </c>
      <c r="MD7" s="71">
        <f t="shared" si="119"/>
        <v>0</v>
      </c>
      <c r="ME7" s="71">
        <f t="shared" si="119"/>
        <v>0</v>
      </c>
      <c r="MF7" s="71">
        <f t="shared" si="119"/>
        <v>0</v>
      </c>
      <c r="MG7" s="71">
        <f t="shared" si="119"/>
        <v>0</v>
      </c>
      <c r="MH7" s="71">
        <f t="shared" si="119"/>
        <v>0</v>
      </c>
      <c r="MI7" s="71">
        <f t="shared" si="119"/>
        <v>0</v>
      </c>
      <c r="MJ7" s="71">
        <f t="shared" si="119"/>
        <v>0</v>
      </c>
      <c r="MK7" s="71">
        <f t="shared" si="119"/>
        <v>0</v>
      </c>
      <c r="ML7" s="82" t="s">
        <v>100</v>
      </c>
      <c r="MM7" s="12" t="str">
        <f t="shared" si="127"/>
        <v/>
      </c>
      <c r="MN7" s="12" t="str">
        <f t="shared" si="128"/>
        <v/>
      </c>
      <c r="MO7" s="12" t="str">
        <f t="shared" si="129"/>
        <v/>
      </c>
      <c r="MP7" s="12" t="str">
        <f t="shared" si="130"/>
        <v/>
      </c>
      <c r="MQ7" s="12" t="str">
        <f t="shared" si="131"/>
        <v/>
      </c>
      <c r="MR7" s="12" t="str">
        <f t="shared" si="132"/>
        <v/>
      </c>
      <c r="MS7" s="12" t="str">
        <f t="shared" si="133"/>
        <v/>
      </c>
    </row>
    <row r="8" spans="1:357" x14ac:dyDescent="0.2">
      <c r="A8" s="6" t="str">
        <f t="shared" si="0"/>
        <v/>
      </c>
      <c r="B8" s="9" t="s">
        <v>175</v>
      </c>
      <c r="C8" s="5" t="s">
        <v>3</v>
      </c>
      <c r="D8" s="29" t="s">
        <v>138</v>
      </c>
      <c r="E8" s="16">
        <f t="shared" si="1"/>
        <v>184.29499999999999</v>
      </c>
      <c r="F8" s="4" t="str">
        <f t="shared" si="2"/>
        <v/>
      </c>
      <c r="G8" s="4" t="str">
        <f t="shared" si="3"/>
        <v/>
      </c>
      <c r="H8" s="4" t="str">
        <f t="shared" si="4"/>
        <v/>
      </c>
      <c r="I8" t="str">
        <f t="shared" si="5"/>
        <v/>
      </c>
      <c r="J8" s="15">
        <f t="shared" si="6"/>
        <v>75.694999999999993</v>
      </c>
      <c r="K8" s="15" t="str">
        <f t="shared" si="7"/>
        <v>2019 Elite Canada</v>
      </c>
      <c r="L8" s="15">
        <f t="shared" si="8"/>
        <v>19.149999999999999</v>
      </c>
      <c r="M8" s="15" t="str">
        <f t="shared" si="9"/>
        <v>2019 Nationals</v>
      </c>
      <c r="N8" s="15">
        <f t="shared" si="10"/>
        <v>45.26</v>
      </c>
      <c r="O8" s="15" t="str">
        <f t="shared" si="11"/>
        <v>2019 Nationals</v>
      </c>
      <c r="P8" s="15">
        <f t="shared" si="12"/>
        <v>44.19</v>
      </c>
      <c r="Q8" s="15" t="str">
        <f t="shared" si="13"/>
        <v>2019 Nationals</v>
      </c>
      <c r="R8" s="15" t="str">
        <f t="shared" si="14"/>
        <v/>
      </c>
      <c r="S8" s="27" t="str">
        <f t="shared" si="15"/>
        <v/>
      </c>
      <c r="T8" s="15" t="str">
        <f t="shared" si="16"/>
        <v/>
      </c>
      <c r="U8" s="41">
        <v>7.8</v>
      </c>
      <c r="V8" s="41">
        <v>9.35</v>
      </c>
      <c r="W8" s="41">
        <v>3.9</v>
      </c>
      <c r="X8" s="41">
        <v>15.36</v>
      </c>
      <c r="Y8" s="41">
        <v>0</v>
      </c>
      <c r="Z8" s="41">
        <v>6.125</v>
      </c>
      <c r="AA8" s="41">
        <v>7.9</v>
      </c>
      <c r="AB8" s="41">
        <v>10</v>
      </c>
      <c r="AC8" s="41">
        <v>15.26</v>
      </c>
      <c r="AD8" s="41">
        <v>0</v>
      </c>
      <c r="AE8" s="41">
        <v>5.7750000000000004</v>
      </c>
      <c r="AF8" s="41">
        <v>7.1</v>
      </c>
      <c r="AG8" s="41">
        <v>9.4</v>
      </c>
      <c r="AH8" s="41">
        <v>10.98</v>
      </c>
      <c r="AI8" s="41">
        <v>0</v>
      </c>
      <c r="AJ8" s="82"/>
      <c r="AK8" s="12">
        <f t="shared" si="17"/>
        <v>10</v>
      </c>
      <c r="AL8" s="12">
        <f t="shared" si="18"/>
        <v>36.409999999999997</v>
      </c>
      <c r="AM8" s="12">
        <f t="shared" si="19"/>
        <v>39.284999999999997</v>
      </c>
      <c r="AN8" s="12">
        <f t="shared" si="20"/>
        <v>75.694999999999993</v>
      </c>
      <c r="AO8" s="12">
        <f t="shared" si="21"/>
        <v>9.4</v>
      </c>
      <c r="AP8" s="12">
        <f t="shared" si="22"/>
        <v>33.254999999999995</v>
      </c>
      <c r="AQ8" s="12">
        <f t="shared" si="23"/>
        <v>108.94999999999999</v>
      </c>
      <c r="AR8" s="42">
        <v>4.5</v>
      </c>
      <c r="AS8" s="42">
        <v>4.6500000000000004</v>
      </c>
      <c r="AT8" s="42">
        <v>1.2</v>
      </c>
      <c r="AU8" s="42">
        <v>8.8000000000000007</v>
      </c>
      <c r="AV8" s="42">
        <v>0</v>
      </c>
      <c r="AW8" s="42">
        <v>7.45</v>
      </c>
      <c r="AX8" s="42">
        <v>9.25</v>
      </c>
      <c r="AY8" s="42">
        <v>11.6</v>
      </c>
      <c r="AZ8" s="42">
        <v>16.96</v>
      </c>
      <c r="BA8" s="42">
        <v>0</v>
      </c>
      <c r="BB8" s="42">
        <v>7.9</v>
      </c>
      <c r="BC8" s="42">
        <v>9.15</v>
      </c>
      <c r="BD8" s="42">
        <v>10.6</v>
      </c>
      <c r="BE8" s="42">
        <v>16.54</v>
      </c>
      <c r="BF8" s="42">
        <v>0</v>
      </c>
      <c r="BG8" s="83"/>
      <c r="BH8" s="15">
        <f t="shared" si="24"/>
        <v>11.6</v>
      </c>
      <c r="BI8" s="15">
        <f t="shared" si="25"/>
        <v>19.149999999999999</v>
      </c>
      <c r="BJ8" s="15">
        <f t="shared" si="26"/>
        <v>45.26</v>
      </c>
      <c r="BK8" s="15">
        <f t="shared" si="27"/>
        <v>64.41</v>
      </c>
      <c r="BL8" s="15">
        <f t="shared" si="28"/>
        <v>10.6</v>
      </c>
      <c r="BM8" s="15">
        <f t="shared" si="29"/>
        <v>44.19</v>
      </c>
      <c r="BN8" s="15">
        <f t="shared" si="30"/>
        <v>108.6</v>
      </c>
      <c r="BO8" s="26" t="str">
        <f t="shared" si="31"/>
        <v/>
      </c>
      <c r="BP8" s="26" t="str">
        <f t="shared" si="32"/>
        <v/>
      </c>
      <c r="BQ8" s="26" t="str">
        <f t="shared" si="33"/>
        <v/>
      </c>
      <c r="BR8" s="26" t="str">
        <f t="shared" si="34"/>
        <v/>
      </c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12" t="str">
        <f t="shared" si="35"/>
        <v/>
      </c>
      <c r="CI8" s="12" t="str">
        <f t="shared" si="36"/>
        <v/>
      </c>
      <c r="CJ8" s="12" t="str">
        <f t="shared" si="37"/>
        <v/>
      </c>
      <c r="CK8" s="12" t="str">
        <f t="shared" si="38"/>
        <v/>
      </c>
      <c r="CL8" s="12" t="str">
        <f t="shared" si="39"/>
        <v/>
      </c>
      <c r="CM8" s="12" t="str">
        <f t="shared" si="40"/>
        <v/>
      </c>
      <c r="CN8" s="12" t="str">
        <f t="shared" si="41"/>
        <v/>
      </c>
      <c r="CO8" s="40"/>
      <c r="CP8" s="40"/>
      <c r="CQ8" s="40"/>
      <c r="CR8" s="40"/>
      <c r="CS8" s="40"/>
      <c r="CT8" s="40"/>
      <c r="CU8" s="40"/>
      <c r="CV8" s="40"/>
      <c r="CW8" s="40"/>
      <c r="CX8" s="40"/>
      <c r="CY8" s="40"/>
      <c r="CZ8" s="40"/>
      <c r="DA8" s="40"/>
      <c r="DB8" s="40"/>
      <c r="DC8" s="40"/>
      <c r="DD8" s="15" t="str">
        <f t="shared" si="42"/>
        <v/>
      </c>
      <c r="DE8" s="15" t="str">
        <f t="shared" si="43"/>
        <v/>
      </c>
      <c r="DF8" s="15" t="str">
        <f t="shared" si="44"/>
        <v/>
      </c>
      <c r="DG8" s="15" t="str">
        <f t="shared" si="45"/>
        <v/>
      </c>
      <c r="DH8" s="15" t="str">
        <f t="shared" si="46"/>
        <v/>
      </c>
      <c r="DI8" s="15" t="str">
        <f t="shared" si="47"/>
        <v/>
      </c>
      <c r="DJ8" s="15" t="str">
        <f t="shared" si="48"/>
        <v/>
      </c>
      <c r="DK8" s="39"/>
      <c r="DL8" s="39"/>
      <c r="DM8" s="39"/>
      <c r="DN8" s="39"/>
      <c r="DO8" s="39"/>
      <c r="DP8" s="39"/>
      <c r="DQ8" s="39"/>
      <c r="DR8" s="39"/>
      <c r="DS8" s="39"/>
      <c r="DT8" s="39"/>
      <c r="DU8" s="39"/>
      <c r="DV8" s="39"/>
      <c r="DW8" s="39"/>
      <c r="DX8" s="39"/>
      <c r="DY8" s="39"/>
      <c r="DZ8" s="12" t="str">
        <f t="shared" si="49"/>
        <v/>
      </c>
      <c r="EA8" s="12" t="str">
        <f t="shared" si="50"/>
        <v/>
      </c>
      <c r="EB8" s="12" t="str">
        <f t="shared" si="51"/>
        <v/>
      </c>
      <c r="EC8" s="12" t="str">
        <f t="shared" si="52"/>
        <v/>
      </c>
      <c r="ED8" s="12" t="str">
        <f t="shared" si="53"/>
        <v/>
      </c>
      <c r="EE8" s="12" t="str">
        <f t="shared" si="54"/>
        <v/>
      </c>
      <c r="EF8" s="12" t="str">
        <f t="shared" si="55"/>
        <v/>
      </c>
      <c r="EG8" s="40"/>
      <c r="EH8" s="40"/>
      <c r="EI8" s="40"/>
      <c r="EJ8" s="40"/>
      <c r="EK8" s="40"/>
      <c r="EL8" s="40"/>
      <c r="EM8" s="40"/>
      <c r="EN8" s="40"/>
      <c r="EO8" s="40"/>
      <c r="EP8" s="40"/>
      <c r="EQ8" s="40"/>
      <c r="ER8" s="40"/>
      <c r="ES8" s="40"/>
      <c r="ET8" s="40"/>
      <c r="EU8" s="40"/>
      <c r="EV8" s="15" t="str">
        <f t="shared" si="56"/>
        <v/>
      </c>
      <c r="EW8" s="15" t="str">
        <f t="shared" si="57"/>
        <v/>
      </c>
      <c r="EX8" s="15" t="str">
        <f t="shared" si="58"/>
        <v/>
      </c>
      <c r="EY8" s="15" t="str">
        <f t="shared" si="59"/>
        <v/>
      </c>
      <c r="EZ8" s="15" t="str">
        <f t="shared" si="60"/>
        <v/>
      </c>
      <c r="FA8" s="15" t="str">
        <f t="shared" si="61"/>
        <v/>
      </c>
      <c r="FB8" s="15" t="str">
        <f t="shared" si="62"/>
        <v/>
      </c>
      <c r="FC8" s="39"/>
      <c r="FD8" s="39"/>
      <c r="FE8" s="39"/>
      <c r="FF8" s="39"/>
      <c r="FG8" s="39"/>
      <c r="FH8" s="39"/>
      <c r="FI8" s="39"/>
      <c r="FJ8" s="39"/>
      <c r="FK8" s="39"/>
      <c r="FL8" s="39"/>
      <c r="FM8" s="39"/>
      <c r="FN8" s="39"/>
      <c r="FO8" s="39"/>
      <c r="FP8" s="39"/>
      <c r="FQ8" s="39"/>
      <c r="FR8" s="12" t="str">
        <f t="shared" si="63"/>
        <v/>
      </c>
      <c r="FS8" s="12" t="str">
        <f t="shared" si="64"/>
        <v/>
      </c>
      <c r="FT8" s="12" t="str">
        <f t="shared" si="65"/>
        <v/>
      </c>
      <c r="FU8" s="12" t="str">
        <f t="shared" si="66"/>
        <v/>
      </c>
      <c r="FV8" s="12" t="str">
        <f t="shared" si="67"/>
        <v/>
      </c>
      <c r="FW8" s="12" t="str">
        <f t="shared" si="68"/>
        <v/>
      </c>
      <c r="FX8" s="12" t="str">
        <f t="shared" si="69"/>
        <v/>
      </c>
      <c r="FY8" s="40"/>
      <c r="FZ8" s="40"/>
      <c r="GA8" s="40"/>
      <c r="GB8" s="40"/>
      <c r="GC8" s="40"/>
      <c r="GD8" s="40"/>
      <c r="GE8" s="40"/>
      <c r="GF8" s="40"/>
      <c r="GG8" s="40"/>
      <c r="GH8" s="40"/>
      <c r="GI8" s="40"/>
      <c r="GJ8" s="40"/>
      <c r="GK8" s="40"/>
      <c r="GL8" s="40"/>
      <c r="GM8" s="40"/>
      <c r="GN8" s="15" t="str">
        <f t="shared" si="70"/>
        <v/>
      </c>
      <c r="GO8" s="15" t="str">
        <f t="shared" si="71"/>
        <v/>
      </c>
      <c r="GP8" s="15" t="str">
        <f t="shared" si="72"/>
        <v/>
      </c>
      <c r="GQ8" s="15" t="str">
        <f t="shared" si="73"/>
        <v/>
      </c>
      <c r="GR8" s="15" t="str">
        <f t="shared" si="74"/>
        <v/>
      </c>
      <c r="GS8" s="15" t="str">
        <f t="shared" si="75"/>
        <v/>
      </c>
      <c r="GT8" s="15" t="str">
        <f t="shared" si="76"/>
        <v/>
      </c>
      <c r="GU8" s="39"/>
      <c r="GV8" s="39"/>
      <c r="GW8" s="39"/>
      <c r="GX8" s="39"/>
      <c r="GY8" s="39"/>
      <c r="GZ8" s="39"/>
      <c r="HA8" s="39"/>
      <c r="HB8" s="39"/>
      <c r="HC8" s="39"/>
      <c r="HD8" s="39"/>
      <c r="HE8" s="39"/>
      <c r="HF8" s="39"/>
      <c r="HG8" s="39"/>
      <c r="HH8" s="39"/>
      <c r="HI8" s="39"/>
      <c r="HJ8" s="12" t="str">
        <f t="shared" si="77"/>
        <v/>
      </c>
      <c r="HK8" s="12" t="str">
        <f t="shared" si="78"/>
        <v/>
      </c>
      <c r="HL8" s="12" t="str">
        <f t="shared" si="79"/>
        <v/>
      </c>
      <c r="HM8" s="12" t="str">
        <f t="shared" si="80"/>
        <v/>
      </c>
      <c r="HN8" s="12" t="str">
        <f t="shared" si="81"/>
        <v/>
      </c>
      <c r="HO8" s="12" t="str">
        <f t="shared" si="82"/>
        <v/>
      </c>
      <c r="HP8" s="12" t="str">
        <f t="shared" si="83"/>
        <v/>
      </c>
      <c r="HQ8" s="40"/>
      <c r="HR8" s="40"/>
      <c r="HS8" s="40"/>
      <c r="HT8" s="40"/>
      <c r="HU8" s="40"/>
      <c r="HV8" s="40"/>
      <c r="HW8" s="40"/>
      <c r="HX8" s="40"/>
      <c r="HY8" s="40"/>
      <c r="HZ8" s="40"/>
      <c r="IA8" s="40"/>
      <c r="IB8" s="40"/>
      <c r="IC8" s="40"/>
      <c r="ID8" s="40"/>
      <c r="IE8" s="40"/>
      <c r="IF8" s="15" t="str">
        <f t="shared" si="84"/>
        <v/>
      </c>
      <c r="IG8" s="15" t="str">
        <f t="shared" si="85"/>
        <v/>
      </c>
      <c r="IH8" s="15" t="str">
        <f t="shared" si="86"/>
        <v/>
      </c>
      <c r="II8" s="15" t="str">
        <f t="shared" si="87"/>
        <v/>
      </c>
      <c r="IJ8" s="15" t="str">
        <f t="shared" si="88"/>
        <v/>
      </c>
      <c r="IK8" s="15" t="str">
        <f t="shared" si="89"/>
        <v/>
      </c>
      <c r="IL8" s="15" t="str">
        <f t="shared" si="90"/>
        <v/>
      </c>
      <c r="IM8" s="39"/>
      <c r="IN8" s="39"/>
      <c r="IO8" s="39"/>
      <c r="IP8" s="39"/>
      <c r="IQ8" s="39"/>
      <c r="IR8" s="39"/>
      <c r="IS8" s="39"/>
      <c r="IT8" s="39"/>
      <c r="IU8" s="39"/>
      <c r="IV8" s="39"/>
      <c r="IW8" s="39"/>
      <c r="IX8" s="39"/>
      <c r="IY8" s="39"/>
      <c r="IZ8" s="39"/>
      <c r="JA8" s="39"/>
      <c r="JB8" s="12" t="str">
        <f t="shared" si="91"/>
        <v/>
      </c>
      <c r="JC8" s="12" t="str">
        <f t="shared" si="92"/>
        <v/>
      </c>
      <c r="JD8" s="12" t="str">
        <f t="shared" si="93"/>
        <v/>
      </c>
      <c r="JE8" s="12" t="str">
        <f t="shared" si="94"/>
        <v/>
      </c>
      <c r="JF8" s="12" t="str">
        <f t="shared" si="95"/>
        <v/>
      </c>
      <c r="JG8" s="12" t="str">
        <f t="shared" si="96"/>
        <v/>
      </c>
      <c r="JH8" s="12" t="str">
        <f t="shared" si="97"/>
        <v/>
      </c>
      <c r="JI8" s="40"/>
      <c r="JJ8" s="40"/>
      <c r="JK8" s="40"/>
      <c r="JL8" s="40"/>
      <c r="JM8" s="40"/>
      <c r="JN8" s="40"/>
      <c r="JO8" s="40"/>
      <c r="JP8" s="40"/>
      <c r="JQ8" s="40"/>
      <c r="JR8" s="40"/>
      <c r="JS8" s="40"/>
      <c r="JT8" s="40"/>
      <c r="JU8" s="40"/>
      <c r="JV8" s="40"/>
      <c r="JW8" s="40"/>
      <c r="JX8" s="15" t="str">
        <f t="shared" si="98"/>
        <v/>
      </c>
      <c r="JY8" s="15" t="str">
        <f t="shared" si="99"/>
        <v/>
      </c>
      <c r="JZ8" s="15" t="str">
        <f t="shared" si="100"/>
        <v/>
      </c>
      <c r="KA8" s="15" t="str">
        <f t="shared" si="101"/>
        <v/>
      </c>
      <c r="KB8" s="15" t="str">
        <f t="shared" si="102"/>
        <v/>
      </c>
      <c r="KC8" s="15" t="str">
        <f t="shared" si="103"/>
        <v/>
      </c>
      <c r="KD8" s="15" t="str">
        <f t="shared" si="104"/>
        <v/>
      </c>
      <c r="KE8" s="39"/>
      <c r="KF8" s="39"/>
      <c r="KG8" s="39"/>
      <c r="KH8" s="39"/>
      <c r="KI8" s="39"/>
      <c r="KJ8" s="39"/>
      <c r="KK8" s="39"/>
      <c r="KL8" s="39"/>
      <c r="KM8" s="39"/>
      <c r="KN8" s="39"/>
      <c r="KO8" s="39"/>
      <c r="KP8" s="39"/>
      <c r="KQ8" s="39"/>
      <c r="KR8" s="39"/>
      <c r="KS8" s="39"/>
      <c r="KT8" s="12" t="str">
        <f t="shared" si="105"/>
        <v/>
      </c>
      <c r="KU8" s="12" t="str">
        <f t="shared" si="106"/>
        <v/>
      </c>
      <c r="KV8" s="12" t="str">
        <f t="shared" si="107"/>
        <v/>
      </c>
      <c r="KW8" s="12" t="str">
        <f t="shared" si="108"/>
        <v/>
      </c>
      <c r="KX8" s="12" t="str">
        <f t="shared" si="109"/>
        <v/>
      </c>
      <c r="KY8" s="12" t="str">
        <f t="shared" si="110"/>
        <v/>
      </c>
      <c r="KZ8" s="12" t="str">
        <f t="shared" si="111"/>
        <v/>
      </c>
      <c r="LA8" s="40"/>
      <c r="LB8" s="40"/>
      <c r="LC8" s="40"/>
      <c r="LD8" s="40"/>
      <c r="LE8" s="40"/>
      <c r="LF8" s="40"/>
      <c r="LG8" s="40"/>
      <c r="LH8" s="40"/>
      <c r="LI8" s="40"/>
      <c r="LJ8" s="40"/>
      <c r="LK8" s="40"/>
      <c r="LL8" s="40"/>
      <c r="LM8" s="40"/>
      <c r="LN8" s="40"/>
      <c r="LO8" s="40"/>
      <c r="LP8" s="15" t="str">
        <f t="shared" si="112"/>
        <v/>
      </c>
      <c r="LQ8" s="15" t="str">
        <f t="shared" si="113"/>
        <v/>
      </c>
      <c r="LR8" s="15" t="str">
        <f t="shared" si="114"/>
        <v/>
      </c>
      <c r="LS8" s="15" t="str">
        <f t="shared" si="115"/>
        <v/>
      </c>
      <c r="LT8" s="15" t="str">
        <f t="shared" si="116"/>
        <v/>
      </c>
      <c r="LU8" s="15" t="str">
        <f t="shared" si="117"/>
        <v/>
      </c>
      <c r="LV8" s="15" t="str">
        <f t="shared" si="118"/>
        <v/>
      </c>
      <c r="LW8" s="71">
        <f t="shared" si="126"/>
        <v>6.15</v>
      </c>
      <c r="LX8" s="71">
        <f t="shared" si="119"/>
        <v>7</v>
      </c>
      <c r="LY8" s="71">
        <f t="shared" si="119"/>
        <v>2.5499999999999998</v>
      </c>
      <c r="LZ8" s="71">
        <f t="shared" si="119"/>
        <v>12.08</v>
      </c>
      <c r="MA8" s="71">
        <f t="shared" si="119"/>
        <v>0</v>
      </c>
      <c r="MB8" s="71">
        <f t="shared" si="119"/>
        <v>6.7874999999999996</v>
      </c>
      <c r="MC8" s="71">
        <f t="shared" si="119"/>
        <v>8.5749999999999993</v>
      </c>
      <c r="MD8" s="71">
        <f t="shared" si="119"/>
        <v>10.8</v>
      </c>
      <c r="ME8" s="71">
        <f t="shared" si="119"/>
        <v>16.11</v>
      </c>
      <c r="MF8" s="71">
        <f t="shared" si="119"/>
        <v>0</v>
      </c>
      <c r="MG8" s="71">
        <f t="shared" si="119"/>
        <v>6.8375000000000004</v>
      </c>
      <c r="MH8" s="71">
        <f t="shared" si="119"/>
        <v>8.125</v>
      </c>
      <c r="MI8" s="71">
        <f t="shared" si="119"/>
        <v>10</v>
      </c>
      <c r="MJ8" s="71">
        <f t="shared" si="119"/>
        <v>13.76</v>
      </c>
      <c r="MK8" s="71">
        <f t="shared" si="119"/>
        <v>0</v>
      </c>
      <c r="ML8" s="82" t="s">
        <v>100</v>
      </c>
      <c r="MM8" s="12">
        <f t="shared" si="127"/>
        <v>10.8</v>
      </c>
      <c r="MN8" s="12">
        <f t="shared" si="128"/>
        <v>27.78</v>
      </c>
      <c r="MO8" s="12">
        <f t="shared" si="129"/>
        <v>42.272500000000001</v>
      </c>
      <c r="MP8" s="12">
        <f t="shared" si="130"/>
        <v>70.052500000000009</v>
      </c>
      <c r="MQ8" s="12">
        <f t="shared" si="131"/>
        <v>10</v>
      </c>
      <c r="MR8" s="12">
        <f t="shared" si="132"/>
        <v>38.722499999999997</v>
      </c>
      <c r="MS8" s="12">
        <f t="shared" si="133"/>
        <v>108.77500000000001</v>
      </c>
    </row>
    <row r="9" spans="1:357" x14ac:dyDescent="0.2">
      <c r="A9" s="6" t="str">
        <f t="shared" si="0"/>
        <v/>
      </c>
      <c r="B9" s="9" t="s">
        <v>177</v>
      </c>
      <c r="C9" s="5" t="s">
        <v>10</v>
      </c>
      <c r="D9" s="29" t="s">
        <v>176</v>
      </c>
      <c r="E9" s="16">
        <f t="shared" si="1"/>
        <v>152.78500000000003</v>
      </c>
      <c r="F9" s="4" t="str">
        <f t="shared" si="2"/>
        <v/>
      </c>
      <c r="G9" s="4" t="str">
        <f t="shared" si="3"/>
        <v/>
      </c>
      <c r="H9" s="4" t="str">
        <f t="shared" si="4"/>
        <v/>
      </c>
      <c r="I9" t="str">
        <f t="shared" si="5"/>
        <v/>
      </c>
      <c r="J9" s="15">
        <f t="shared" si="6"/>
        <v>75.745000000000005</v>
      </c>
      <c r="K9" s="15" t="str">
        <f t="shared" si="7"/>
        <v>2019 Elite Canada</v>
      </c>
      <c r="L9" s="15">
        <f t="shared" si="8"/>
        <v>36.36</v>
      </c>
      <c r="M9" s="15" t="str">
        <f t="shared" si="9"/>
        <v>2019 Nationals</v>
      </c>
      <c r="N9" s="15">
        <f t="shared" si="10"/>
        <v>9.2600000000000016</v>
      </c>
      <c r="O9" s="15" t="str">
        <f t="shared" si="11"/>
        <v>2019 Nationals</v>
      </c>
      <c r="P9" s="15">
        <f t="shared" si="12"/>
        <v>31.42</v>
      </c>
      <c r="Q9" s="15" t="str">
        <f t="shared" si="13"/>
        <v>2019 Elite Canada</v>
      </c>
      <c r="R9" s="15" t="str">
        <f t="shared" si="14"/>
        <v/>
      </c>
      <c r="S9" s="27" t="str">
        <f t="shared" si="15"/>
        <v/>
      </c>
      <c r="T9" s="15" t="str">
        <f t="shared" si="16"/>
        <v/>
      </c>
      <c r="U9" s="41">
        <v>6.8250000000000002</v>
      </c>
      <c r="V9" s="41">
        <v>7.2</v>
      </c>
      <c r="W9" s="41">
        <v>1.8</v>
      </c>
      <c r="X9" s="41">
        <v>13.58</v>
      </c>
      <c r="Y9" s="41">
        <v>0</v>
      </c>
      <c r="Z9" s="41">
        <v>7.15</v>
      </c>
      <c r="AA9" s="41">
        <v>8.9499999999999993</v>
      </c>
      <c r="AB9" s="41">
        <v>12</v>
      </c>
      <c r="AC9" s="41">
        <v>18.239999999999998</v>
      </c>
      <c r="AD9" s="41">
        <v>0</v>
      </c>
      <c r="AE9" s="41">
        <v>5.45</v>
      </c>
      <c r="AF9" s="41">
        <v>6.15</v>
      </c>
      <c r="AG9" s="41">
        <v>8.3000000000000007</v>
      </c>
      <c r="AH9" s="41">
        <v>11.52</v>
      </c>
      <c r="AI9" s="41">
        <v>0</v>
      </c>
      <c r="AJ9" s="82"/>
      <c r="AK9" s="12">
        <f t="shared" si="17"/>
        <v>12</v>
      </c>
      <c r="AL9" s="12">
        <f t="shared" si="18"/>
        <v>29.405000000000001</v>
      </c>
      <c r="AM9" s="12">
        <f t="shared" si="19"/>
        <v>46.34</v>
      </c>
      <c r="AN9" s="12">
        <f t="shared" si="20"/>
        <v>75.745000000000005</v>
      </c>
      <c r="AO9" s="12">
        <f t="shared" si="21"/>
        <v>8.3000000000000007</v>
      </c>
      <c r="AP9" s="12">
        <f t="shared" si="22"/>
        <v>31.42</v>
      </c>
      <c r="AQ9" s="12">
        <f t="shared" si="23"/>
        <v>107.16500000000001</v>
      </c>
      <c r="AR9" s="42">
        <v>8.6999999999999993</v>
      </c>
      <c r="AS9" s="42">
        <v>9.1999999999999993</v>
      </c>
      <c r="AT9" s="42">
        <v>3.2</v>
      </c>
      <c r="AU9" s="42">
        <v>15.26</v>
      </c>
      <c r="AV9" s="42">
        <v>0</v>
      </c>
      <c r="AW9" s="42">
        <v>1.6</v>
      </c>
      <c r="AX9" s="42">
        <v>1.8</v>
      </c>
      <c r="AY9" s="42">
        <v>2.7</v>
      </c>
      <c r="AZ9" s="42">
        <v>3.16</v>
      </c>
      <c r="BA9" s="42">
        <v>0</v>
      </c>
      <c r="BB9" s="42"/>
      <c r="BC9" s="42"/>
      <c r="BD9" s="42"/>
      <c r="BE9" s="42"/>
      <c r="BF9" s="42">
        <v>0</v>
      </c>
      <c r="BG9" s="83"/>
      <c r="BH9" s="15">
        <f t="shared" si="24"/>
        <v>2.7</v>
      </c>
      <c r="BI9" s="15">
        <f t="shared" si="25"/>
        <v>36.36</v>
      </c>
      <c r="BJ9" s="15">
        <f t="shared" si="26"/>
        <v>9.2600000000000016</v>
      </c>
      <c r="BK9" s="15">
        <f t="shared" si="27"/>
        <v>45.620000000000005</v>
      </c>
      <c r="BL9" s="15" t="str">
        <f t="shared" si="28"/>
        <v/>
      </c>
      <c r="BM9" s="15" t="str">
        <f t="shared" si="29"/>
        <v/>
      </c>
      <c r="BN9" s="15">
        <f t="shared" si="30"/>
        <v>45.620000000000005</v>
      </c>
      <c r="BO9" s="26" t="str">
        <f t="shared" si="31"/>
        <v/>
      </c>
      <c r="BP9" s="26" t="str">
        <f t="shared" si="32"/>
        <v/>
      </c>
      <c r="BQ9" s="26" t="str">
        <f t="shared" si="33"/>
        <v/>
      </c>
      <c r="BR9" s="26" t="str">
        <f t="shared" si="34"/>
        <v/>
      </c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12" t="str">
        <f t="shared" si="35"/>
        <v/>
      </c>
      <c r="CI9" s="12" t="str">
        <f t="shared" si="36"/>
        <v/>
      </c>
      <c r="CJ9" s="12" t="str">
        <f t="shared" si="37"/>
        <v/>
      </c>
      <c r="CK9" s="12" t="str">
        <f t="shared" si="38"/>
        <v/>
      </c>
      <c r="CL9" s="12" t="str">
        <f t="shared" si="39"/>
        <v/>
      </c>
      <c r="CM9" s="12" t="str">
        <f t="shared" si="40"/>
        <v/>
      </c>
      <c r="CN9" s="12" t="str">
        <f t="shared" si="41"/>
        <v/>
      </c>
      <c r="CO9" s="40"/>
      <c r="CP9" s="40"/>
      <c r="CQ9" s="40"/>
      <c r="CR9" s="40"/>
      <c r="CS9" s="40"/>
      <c r="CT9" s="40"/>
      <c r="CU9" s="40"/>
      <c r="CV9" s="40"/>
      <c r="CW9" s="40"/>
      <c r="CX9" s="40"/>
      <c r="CY9" s="40"/>
      <c r="CZ9" s="40"/>
      <c r="DA9" s="40"/>
      <c r="DB9" s="40"/>
      <c r="DC9" s="40"/>
      <c r="DD9" s="15" t="str">
        <f t="shared" si="42"/>
        <v/>
      </c>
      <c r="DE9" s="15" t="str">
        <f t="shared" si="43"/>
        <v/>
      </c>
      <c r="DF9" s="15" t="str">
        <f t="shared" si="44"/>
        <v/>
      </c>
      <c r="DG9" s="15" t="str">
        <f t="shared" si="45"/>
        <v/>
      </c>
      <c r="DH9" s="15" t="str">
        <f t="shared" si="46"/>
        <v/>
      </c>
      <c r="DI9" s="15" t="str">
        <f t="shared" si="47"/>
        <v/>
      </c>
      <c r="DJ9" s="15" t="str">
        <f t="shared" si="48"/>
        <v/>
      </c>
      <c r="DK9" s="39"/>
      <c r="DL9" s="39"/>
      <c r="DM9" s="39"/>
      <c r="DN9" s="39"/>
      <c r="DO9" s="39"/>
      <c r="DP9" s="39"/>
      <c r="DQ9" s="39"/>
      <c r="DR9" s="39"/>
      <c r="DS9" s="39"/>
      <c r="DT9" s="39"/>
      <c r="DU9" s="39"/>
      <c r="DV9" s="39"/>
      <c r="DW9" s="39"/>
      <c r="DX9" s="39"/>
      <c r="DY9" s="39"/>
      <c r="DZ9" s="12" t="str">
        <f t="shared" si="49"/>
        <v/>
      </c>
      <c r="EA9" s="12" t="str">
        <f t="shared" si="50"/>
        <v/>
      </c>
      <c r="EB9" s="12" t="str">
        <f t="shared" si="51"/>
        <v/>
      </c>
      <c r="EC9" s="12" t="str">
        <f t="shared" si="52"/>
        <v/>
      </c>
      <c r="ED9" s="12" t="str">
        <f t="shared" si="53"/>
        <v/>
      </c>
      <c r="EE9" s="12" t="str">
        <f t="shared" si="54"/>
        <v/>
      </c>
      <c r="EF9" s="12" t="str">
        <f t="shared" si="55"/>
        <v/>
      </c>
      <c r="EG9" s="40"/>
      <c r="EH9" s="40"/>
      <c r="EI9" s="40"/>
      <c r="EJ9" s="40"/>
      <c r="EK9" s="40"/>
      <c r="EL9" s="40"/>
      <c r="EM9" s="40"/>
      <c r="EN9" s="40"/>
      <c r="EO9" s="40"/>
      <c r="EP9" s="40"/>
      <c r="EQ9" s="40"/>
      <c r="ER9" s="40"/>
      <c r="ES9" s="40"/>
      <c r="ET9" s="40"/>
      <c r="EU9" s="40"/>
      <c r="EV9" s="15" t="str">
        <f t="shared" si="56"/>
        <v/>
      </c>
      <c r="EW9" s="15" t="str">
        <f t="shared" si="57"/>
        <v/>
      </c>
      <c r="EX9" s="15" t="str">
        <f t="shared" si="58"/>
        <v/>
      </c>
      <c r="EY9" s="15" t="str">
        <f t="shared" si="59"/>
        <v/>
      </c>
      <c r="EZ9" s="15" t="str">
        <f t="shared" si="60"/>
        <v/>
      </c>
      <c r="FA9" s="15" t="str">
        <f t="shared" si="61"/>
        <v/>
      </c>
      <c r="FB9" s="15" t="str">
        <f t="shared" si="62"/>
        <v/>
      </c>
      <c r="FC9" s="39"/>
      <c r="FD9" s="39"/>
      <c r="FE9" s="39"/>
      <c r="FF9" s="39"/>
      <c r="FG9" s="39"/>
      <c r="FH9" s="39"/>
      <c r="FI9" s="39"/>
      <c r="FJ9" s="39"/>
      <c r="FK9" s="39"/>
      <c r="FL9" s="39"/>
      <c r="FM9" s="39"/>
      <c r="FN9" s="39"/>
      <c r="FO9" s="39"/>
      <c r="FP9" s="39"/>
      <c r="FQ9" s="39"/>
      <c r="FR9" s="12" t="str">
        <f t="shared" si="63"/>
        <v/>
      </c>
      <c r="FS9" s="12" t="str">
        <f t="shared" si="64"/>
        <v/>
      </c>
      <c r="FT9" s="12" t="str">
        <f t="shared" si="65"/>
        <v/>
      </c>
      <c r="FU9" s="12" t="str">
        <f t="shared" si="66"/>
        <v/>
      </c>
      <c r="FV9" s="12" t="str">
        <f t="shared" si="67"/>
        <v/>
      </c>
      <c r="FW9" s="12" t="str">
        <f t="shared" si="68"/>
        <v/>
      </c>
      <c r="FX9" s="12" t="str">
        <f t="shared" si="69"/>
        <v/>
      </c>
      <c r="FY9" s="40"/>
      <c r="FZ9" s="40"/>
      <c r="GA9" s="40"/>
      <c r="GB9" s="40"/>
      <c r="GC9" s="40"/>
      <c r="GD9" s="40"/>
      <c r="GE9" s="40"/>
      <c r="GF9" s="40"/>
      <c r="GG9" s="40"/>
      <c r="GH9" s="40"/>
      <c r="GI9" s="40"/>
      <c r="GJ9" s="40"/>
      <c r="GK9" s="40"/>
      <c r="GL9" s="40"/>
      <c r="GM9" s="40"/>
      <c r="GN9" s="15" t="str">
        <f t="shared" si="70"/>
        <v/>
      </c>
      <c r="GO9" s="15" t="str">
        <f t="shared" si="71"/>
        <v/>
      </c>
      <c r="GP9" s="15" t="str">
        <f t="shared" si="72"/>
        <v/>
      </c>
      <c r="GQ9" s="15" t="str">
        <f t="shared" si="73"/>
        <v/>
      </c>
      <c r="GR9" s="15" t="str">
        <f t="shared" si="74"/>
        <v/>
      </c>
      <c r="GS9" s="15" t="str">
        <f t="shared" si="75"/>
        <v/>
      </c>
      <c r="GT9" s="15" t="str">
        <f t="shared" si="76"/>
        <v/>
      </c>
      <c r="GU9" s="39"/>
      <c r="GV9" s="39"/>
      <c r="GW9" s="39"/>
      <c r="GX9" s="39"/>
      <c r="GY9" s="39"/>
      <c r="GZ9" s="39"/>
      <c r="HA9" s="39"/>
      <c r="HB9" s="39"/>
      <c r="HC9" s="39"/>
      <c r="HD9" s="39"/>
      <c r="HE9" s="39"/>
      <c r="HF9" s="39"/>
      <c r="HG9" s="39"/>
      <c r="HH9" s="39"/>
      <c r="HI9" s="39"/>
      <c r="HJ9" s="12" t="str">
        <f t="shared" si="77"/>
        <v/>
      </c>
      <c r="HK9" s="12" t="str">
        <f t="shared" si="78"/>
        <v/>
      </c>
      <c r="HL9" s="12" t="str">
        <f t="shared" si="79"/>
        <v/>
      </c>
      <c r="HM9" s="12" t="str">
        <f t="shared" si="80"/>
        <v/>
      </c>
      <c r="HN9" s="12" t="str">
        <f t="shared" si="81"/>
        <v/>
      </c>
      <c r="HO9" s="12" t="str">
        <f t="shared" si="82"/>
        <v/>
      </c>
      <c r="HP9" s="12" t="str">
        <f t="shared" si="83"/>
        <v/>
      </c>
      <c r="HQ9" s="40"/>
      <c r="HR9" s="40"/>
      <c r="HS9" s="40"/>
      <c r="HT9" s="40"/>
      <c r="HU9" s="40"/>
      <c r="HV9" s="40"/>
      <c r="HW9" s="40"/>
      <c r="HX9" s="40"/>
      <c r="HY9" s="40"/>
      <c r="HZ9" s="40"/>
      <c r="IA9" s="40"/>
      <c r="IB9" s="40"/>
      <c r="IC9" s="40"/>
      <c r="ID9" s="40"/>
      <c r="IE9" s="40"/>
      <c r="IF9" s="15" t="str">
        <f t="shared" si="84"/>
        <v/>
      </c>
      <c r="IG9" s="15" t="str">
        <f t="shared" si="85"/>
        <v/>
      </c>
      <c r="IH9" s="15" t="str">
        <f t="shared" si="86"/>
        <v/>
      </c>
      <c r="II9" s="15" t="str">
        <f t="shared" si="87"/>
        <v/>
      </c>
      <c r="IJ9" s="15" t="str">
        <f t="shared" si="88"/>
        <v/>
      </c>
      <c r="IK9" s="15" t="str">
        <f t="shared" si="89"/>
        <v/>
      </c>
      <c r="IL9" s="15" t="str">
        <f t="shared" si="90"/>
        <v/>
      </c>
      <c r="IM9" s="39"/>
      <c r="IN9" s="39"/>
      <c r="IO9" s="39"/>
      <c r="IP9" s="39"/>
      <c r="IQ9" s="39"/>
      <c r="IR9" s="39"/>
      <c r="IS9" s="39"/>
      <c r="IT9" s="39"/>
      <c r="IU9" s="39"/>
      <c r="IV9" s="39"/>
      <c r="IW9" s="39"/>
      <c r="IX9" s="39"/>
      <c r="IY9" s="39"/>
      <c r="IZ9" s="39"/>
      <c r="JA9" s="39"/>
      <c r="JB9" s="12" t="str">
        <f t="shared" si="91"/>
        <v/>
      </c>
      <c r="JC9" s="12" t="str">
        <f t="shared" si="92"/>
        <v/>
      </c>
      <c r="JD9" s="12" t="str">
        <f t="shared" si="93"/>
        <v/>
      </c>
      <c r="JE9" s="12" t="str">
        <f t="shared" si="94"/>
        <v/>
      </c>
      <c r="JF9" s="12" t="str">
        <f t="shared" si="95"/>
        <v/>
      </c>
      <c r="JG9" s="12" t="str">
        <f t="shared" si="96"/>
        <v/>
      </c>
      <c r="JH9" s="12" t="str">
        <f t="shared" si="97"/>
        <v/>
      </c>
      <c r="JI9" s="40"/>
      <c r="JJ9" s="40"/>
      <c r="JK9" s="40"/>
      <c r="JL9" s="40"/>
      <c r="JM9" s="40"/>
      <c r="JN9" s="40"/>
      <c r="JO9" s="40"/>
      <c r="JP9" s="40"/>
      <c r="JQ9" s="40"/>
      <c r="JR9" s="40"/>
      <c r="JS9" s="40"/>
      <c r="JT9" s="40"/>
      <c r="JU9" s="40"/>
      <c r="JV9" s="40"/>
      <c r="JW9" s="40"/>
      <c r="JX9" s="15" t="str">
        <f t="shared" si="98"/>
        <v/>
      </c>
      <c r="JY9" s="15" t="str">
        <f t="shared" si="99"/>
        <v/>
      </c>
      <c r="JZ9" s="15" t="str">
        <f t="shared" si="100"/>
        <v/>
      </c>
      <c r="KA9" s="15" t="str">
        <f t="shared" si="101"/>
        <v/>
      </c>
      <c r="KB9" s="15" t="str">
        <f t="shared" si="102"/>
        <v/>
      </c>
      <c r="KC9" s="15" t="str">
        <f t="shared" si="103"/>
        <v/>
      </c>
      <c r="KD9" s="15" t="str">
        <f t="shared" si="104"/>
        <v/>
      </c>
      <c r="KE9" s="39"/>
      <c r="KF9" s="39"/>
      <c r="KG9" s="39"/>
      <c r="KH9" s="39"/>
      <c r="KI9" s="39"/>
      <c r="KJ9" s="39"/>
      <c r="KK9" s="39"/>
      <c r="KL9" s="39"/>
      <c r="KM9" s="39"/>
      <c r="KN9" s="39"/>
      <c r="KO9" s="39"/>
      <c r="KP9" s="39"/>
      <c r="KQ9" s="39"/>
      <c r="KR9" s="39"/>
      <c r="KS9" s="39"/>
      <c r="KT9" s="12" t="str">
        <f t="shared" si="105"/>
        <v/>
      </c>
      <c r="KU9" s="12" t="str">
        <f t="shared" si="106"/>
        <v/>
      </c>
      <c r="KV9" s="12" t="str">
        <f t="shared" si="107"/>
        <v/>
      </c>
      <c r="KW9" s="12" t="str">
        <f t="shared" si="108"/>
        <v/>
      </c>
      <c r="KX9" s="12" t="str">
        <f t="shared" si="109"/>
        <v/>
      </c>
      <c r="KY9" s="12" t="str">
        <f t="shared" si="110"/>
        <v/>
      </c>
      <c r="KZ9" s="12" t="str">
        <f t="shared" si="111"/>
        <v/>
      </c>
      <c r="LA9" s="40"/>
      <c r="LB9" s="40"/>
      <c r="LC9" s="40"/>
      <c r="LD9" s="40"/>
      <c r="LE9" s="40"/>
      <c r="LF9" s="40"/>
      <c r="LG9" s="40"/>
      <c r="LH9" s="40"/>
      <c r="LI9" s="40"/>
      <c r="LJ9" s="40"/>
      <c r="LK9" s="40"/>
      <c r="LL9" s="40"/>
      <c r="LM9" s="40"/>
      <c r="LN9" s="40"/>
      <c r="LO9" s="40"/>
      <c r="LP9" s="15" t="str">
        <f t="shared" si="112"/>
        <v/>
      </c>
      <c r="LQ9" s="15" t="str">
        <f t="shared" si="113"/>
        <v/>
      </c>
      <c r="LR9" s="15" t="str">
        <f t="shared" si="114"/>
        <v/>
      </c>
      <c r="LS9" s="15" t="str">
        <f t="shared" si="115"/>
        <v/>
      </c>
      <c r="LT9" s="15" t="str">
        <f t="shared" si="116"/>
        <v/>
      </c>
      <c r="LU9" s="15" t="str">
        <f t="shared" si="117"/>
        <v/>
      </c>
      <c r="LV9" s="15" t="str">
        <f t="shared" si="118"/>
        <v/>
      </c>
      <c r="LW9" s="71">
        <f t="shared" si="126"/>
        <v>7.7624999999999993</v>
      </c>
      <c r="LX9" s="71">
        <f t="shared" si="119"/>
        <v>8.1999999999999993</v>
      </c>
      <c r="LY9" s="71">
        <f t="shared" si="119"/>
        <v>2.5</v>
      </c>
      <c r="LZ9" s="71">
        <f t="shared" si="119"/>
        <v>14.42</v>
      </c>
      <c r="MA9" s="71">
        <f t="shared" si="119"/>
        <v>0</v>
      </c>
      <c r="MB9" s="71">
        <f t="shared" si="119"/>
        <v>4.375</v>
      </c>
      <c r="MC9" s="71">
        <f t="shared" si="119"/>
        <v>5.375</v>
      </c>
      <c r="MD9" s="71">
        <f t="shared" si="119"/>
        <v>7.35</v>
      </c>
      <c r="ME9" s="71">
        <f t="shared" si="119"/>
        <v>10.7</v>
      </c>
      <c r="MF9" s="71">
        <f t="shared" si="119"/>
        <v>0</v>
      </c>
      <c r="MG9" s="71">
        <f t="shared" si="119"/>
        <v>2.7250000000000001</v>
      </c>
      <c r="MH9" s="71">
        <f t="shared" si="119"/>
        <v>3.0750000000000002</v>
      </c>
      <c r="MI9" s="71">
        <f t="shared" si="119"/>
        <v>4.1500000000000004</v>
      </c>
      <c r="MJ9" s="71">
        <f t="shared" si="119"/>
        <v>5.76</v>
      </c>
      <c r="MK9" s="71">
        <f t="shared" si="119"/>
        <v>0</v>
      </c>
      <c r="ML9" s="82" t="s">
        <v>100</v>
      </c>
      <c r="MM9" s="12">
        <f t="shared" si="127"/>
        <v>7.35</v>
      </c>
      <c r="MN9" s="12">
        <f t="shared" si="128"/>
        <v>32.8825</v>
      </c>
      <c r="MO9" s="12">
        <f t="shared" si="129"/>
        <v>27.8</v>
      </c>
      <c r="MP9" s="12">
        <f t="shared" si="130"/>
        <v>60.682500000000005</v>
      </c>
      <c r="MQ9" s="12">
        <f t="shared" si="131"/>
        <v>4.1500000000000004</v>
      </c>
      <c r="MR9" s="12">
        <f t="shared" si="132"/>
        <v>15.71</v>
      </c>
      <c r="MS9" s="12">
        <f t="shared" si="133"/>
        <v>76.392500000000013</v>
      </c>
    </row>
    <row r="10" spans="1:357" x14ac:dyDescent="0.2">
      <c r="A10" s="6" t="str">
        <f t="shared" si="0"/>
        <v/>
      </c>
      <c r="B10" s="9" t="s">
        <v>128</v>
      </c>
      <c r="C10" s="5" t="s">
        <v>127</v>
      </c>
      <c r="D10" s="29" t="s">
        <v>129</v>
      </c>
      <c r="E10" s="16">
        <f t="shared" si="1"/>
        <v>146.52500000000001</v>
      </c>
      <c r="F10" s="4" t="str">
        <f t="shared" si="2"/>
        <v/>
      </c>
      <c r="G10" s="4" t="str">
        <f t="shared" si="3"/>
        <v/>
      </c>
      <c r="H10" s="4" t="str">
        <f t="shared" si="4"/>
        <v/>
      </c>
      <c r="I10" t="str">
        <f t="shared" si="5"/>
        <v/>
      </c>
      <c r="J10" s="15">
        <f t="shared" si="6"/>
        <v>54.53</v>
      </c>
      <c r="K10" s="15" t="str">
        <f t="shared" si="7"/>
        <v>2019 Nationals</v>
      </c>
      <c r="L10" s="15">
        <f t="shared" si="8"/>
        <v>39.524999999999999</v>
      </c>
      <c r="M10" s="15" t="str">
        <f t="shared" si="9"/>
        <v>2019 Elite Canada</v>
      </c>
      <c r="N10" s="15">
        <f t="shared" si="10"/>
        <v>9.2800000000000011</v>
      </c>
      <c r="O10" s="15" t="str">
        <f t="shared" si="11"/>
        <v>2019 Elite Canada</v>
      </c>
      <c r="P10" s="15">
        <f t="shared" si="12"/>
        <v>43.190000000000005</v>
      </c>
      <c r="Q10" s="15" t="str">
        <f t="shared" si="13"/>
        <v>2019 Nationals</v>
      </c>
      <c r="R10" s="15" t="str">
        <f t="shared" si="14"/>
        <v/>
      </c>
      <c r="S10" s="27" t="str">
        <f t="shared" si="15"/>
        <v/>
      </c>
      <c r="T10" s="15" t="str">
        <f t="shared" si="16"/>
        <v/>
      </c>
      <c r="U10" s="41">
        <v>8.4749999999999996</v>
      </c>
      <c r="V10" s="41">
        <v>9.4499999999999993</v>
      </c>
      <c r="W10" s="41">
        <v>4.0999999999999996</v>
      </c>
      <c r="X10" s="41">
        <v>17.5</v>
      </c>
      <c r="Y10" s="41">
        <v>0</v>
      </c>
      <c r="Z10" s="41">
        <v>1.4</v>
      </c>
      <c r="AA10" s="41">
        <v>1.7</v>
      </c>
      <c r="AB10" s="41">
        <v>2.98</v>
      </c>
      <c r="AC10" s="41">
        <v>3.2</v>
      </c>
      <c r="AD10" s="41">
        <v>0</v>
      </c>
      <c r="AE10" s="41"/>
      <c r="AF10" s="41"/>
      <c r="AG10" s="41"/>
      <c r="AH10" s="41"/>
      <c r="AI10" s="41"/>
      <c r="AJ10" s="82"/>
      <c r="AK10" s="12">
        <f t="shared" si="17"/>
        <v>2.98</v>
      </c>
      <c r="AL10" s="12">
        <f t="shared" si="18"/>
        <v>39.524999999999999</v>
      </c>
      <c r="AM10" s="12">
        <f t="shared" si="19"/>
        <v>9.2800000000000011</v>
      </c>
      <c r="AN10" s="12">
        <f t="shared" si="20"/>
        <v>48.805</v>
      </c>
      <c r="AO10" s="12" t="str">
        <f t="shared" si="21"/>
        <v/>
      </c>
      <c r="AP10" s="12" t="str">
        <f t="shared" si="22"/>
        <v/>
      </c>
      <c r="AQ10" s="12">
        <f t="shared" si="23"/>
        <v>48.805</v>
      </c>
      <c r="AR10" s="42">
        <v>9.1</v>
      </c>
      <c r="AS10" s="42">
        <v>9.5500000000000007</v>
      </c>
      <c r="AT10" s="42">
        <v>3.5</v>
      </c>
      <c r="AU10" s="42">
        <v>17.54</v>
      </c>
      <c r="AV10" s="42">
        <v>0</v>
      </c>
      <c r="AW10" s="42">
        <v>2.25</v>
      </c>
      <c r="AX10" s="42">
        <v>2.5499999999999998</v>
      </c>
      <c r="AY10" s="42">
        <v>4.9000000000000004</v>
      </c>
      <c r="AZ10" s="42">
        <v>5.14</v>
      </c>
      <c r="BA10" s="42">
        <v>0</v>
      </c>
      <c r="BB10" s="42">
        <v>7.65</v>
      </c>
      <c r="BC10" s="42">
        <v>8.9</v>
      </c>
      <c r="BD10" s="42">
        <v>13.4</v>
      </c>
      <c r="BE10" s="42">
        <v>13.24</v>
      </c>
      <c r="BF10" s="42">
        <v>0</v>
      </c>
      <c r="BG10" s="83"/>
      <c r="BH10" s="15">
        <f t="shared" si="24"/>
        <v>4.9000000000000004</v>
      </c>
      <c r="BI10" s="15">
        <f t="shared" si="25"/>
        <v>39.69</v>
      </c>
      <c r="BJ10" s="15">
        <f t="shared" si="26"/>
        <v>14.84</v>
      </c>
      <c r="BK10" s="15">
        <f t="shared" si="27"/>
        <v>54.53</v>
      </c>
      <c r="BL10" s="15">
        <f t="shared" si="28"/>
        <v>13.4</v>
      </c>
      <c r="BM10" s="15">
        <f t="shared" si="29"/>
        <v>43.190000000000005</v>
      </c>
      <c r="BN10" s="15">
        <f t="shared" si="30"/>
        <v>97.72</v>
      </c>
      <c r="BO10" s="26" t="str">
        <f t="shared" si="31"/>
        <v/>
      </c>
      <c r="BP10" s="26" t="str">
        <f t="shared" si="32"/>
        <v/>
      </c>
      <c r="BQ10" s="26" t="str">
        <f t="shared" si="33"/>
        <v/>
      </c>
      <c r="BR10" s="26" t="str">
        <f t="shared" si="34"/>
        <v/>
      </c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12" t="str">
        <f t="shared" si="35"/>
        <v/>
      </c>
      <c r="CI10" s="12" t="str">
        <f t="shared" si="36"/>
        <v/>
      </c>
      <c r="CJ10" s="12" t="str">
        <f t="shared" si="37"/>
        <v/>
      </c>
      <c r="CK10" s="12" t="str">
        <f t="shared" si="38"/>
        <v/>
      </c>
      <c r="CL10" s="12" t="str">
        <f t="shared" si="39"/>
        <v/>
      </c>
      <c r="CM10" s="12" t="str">
        <f t="shared" si="40"/>
        <v/>
      </c>
      <c r="CN10" s="12" t="str">
        <f t="shared" si="41"/>
        <v/>
      </c>
      <c r="CO10" s="40"/>
      <c r="CP10" s="40"/>
      <c r="CQ10" s="40"/>
      <c r="CR10" s="40"/>
      <c r="CS10" s="40"/>
      <c r="CT10" s="40"/>
      <c r="CU10" s="40"/>
      <c r="CV10" s="40"/>
      <c r="CW10" s="40"/>
      <c r="CX10" s="40"/>
      <c r="CY10" s="40"/>
      <c r="CZ10" s="40"/>
      <c r="DA10" s="40"/>
      <c r="DB10" s="40"/>
      <c r="DC10" s="40"/>
      <c r="DD10" s="15" t="str">
        <f t="shared" si="42"/>
        <v/>
      </c>
      <c r="DE10" s="15" t="str">
        <f t="shared" si="43"/>
        <v/>
      </c>
      <c r="DF10" s="15" t="str">
        <f t="shared" si="44"/>
        <v/>
      </c>
      <c r="DG10" s="15" t="str">
        <f t="shared" si="45"/>
        <v/>
      </c>
      <c r="DH10" s="15" t="str">
        <f t="shared" si="46"/>
        <v/>
      </c>
      <c r="DI10" s="15" t="str">
        <f t="shared" si="47"/>
        <v/>
      </c>
      <c r="DJ10" s="15" t="str">
        <f t="shared" si="48"/>
        <v/>
      </c>
      <c r="DK10" s="39"/>
      <c r="DL10" s="39"/>
      <c r="DM10" s="39"/>
      <c r="DN10" s="39"/>
      <c r="DO10" s="39"/>
      <c r="DP10" s="39"/>
      <c r="DQ10" s="39"/>
      <c r="DR10" s="39"/>
      <c r="DS10" s="39"/>
      <c r="DT10" s="39"/>
      <c r="DU10" s="39"/>
      <c r="DV10" s="39"/>
      <c r="DW10" s="39"/>
      <c r="DX10" s="39"/>
      <c r="DY10" s="39"/>
      <c r="DZ10" s="12" t="str">
        <f t="shared" si="49"/>
        <v/>
      </c>
      <c r="EA10" s="12" t="str">
        <f t="shared" si="50"/>
        <v/>
      </c>
      <c r="EB10" s="12" t="str">
        <f t="shared" si="51"/>
        <v/>
      </c>
      <c r="EC10" s="12" t="str">
        <f t="shared" si="52"/>
        <v/>
      </c>
      <c r="ED10" s="12" t="str">
        <f t="shared" si="53"/>
        <v/>
      </c>
      <c r="EE10" s="12" t="str">
        <f t="shared" si="54"/>
        <v/>
      </c>
      <c r="EF10" s="12" t="str">
        <f t="shared" si="55"/>
        <v/>
      </c>
      <c r="EG10" s="40"/>
      <c r="EH10" s="40"/>
      <c r="EI10" s="40"/>
      <c r="EJ10" s="40"/>
      <c r="EK10" s="40"/>
      <c r="EL10" s="40"/>
      <c r="EM10" s="40"/>
      <c r="EN10" s="40"/>
      <c r="EO10" s="40"/>
      <c r="EP10" s="40"/>
      <c r="EQ10" s="40"/>
      <c r="ER10" s="40"/>
      <c r="ES10" s="40"/>
      <c r="ET10" s="40"/>
      <c r="EU10" s="40"/>
      <c r="EV10" s="15" t="str">
        <f t="shared" si="56"/>
        <v/>
      </c>
      <c r="EW10" s="15" t="str">
        <f t="shared" si="57"/>
        <v/>
      </c>
      <c r="EX10" s="15" t="str">
        <f t="shared" si="58"/>
        <v/>
      </c>
      <c r="EY10" s="15" t="str">
        <f t="shared" si="59"/>
        <v/>
      </c>
      <c r="EZ10" s="15" t="str">
        <f t="shared" si="60"/>
        <v/>
      </c>
      <c r="FA10" s="15" t="str">
        <f t="shared" si="61"/>
        <v/>
      </c>
      <c r="FB10" s="15" t="str">
        <f t="shared" si="62"/>
        <v/>
      </c>
      <c r="FC10" s="39"/>
      <c r="FD10" s="39"/>
      <c r="FE10" s="39"/>
      <c r="FF10" s="39"/>
      <c r="FG10" s="39"/>
      <c r="FH10" s="39"/>
      <c r="FI10" s="39"/>
      <c r="FJ10" s="39"/>
      <c r="FK10" s="39"/>
      <c r="FL10" s="39"/>
      <c r="FM10" s="39"/>
      <c r="FN10" s="39"/>
      <c r="FO10" s="39"/>
      <c r="FP10" s="39"/>
      <c r="FQ10" s="39"/>
      <c r="FR10" s="12" t="str">
        <f t="shared" si="63"/>
        <v/>
      </c>
      <c r="FS10" s="12" t="str">
        <f t="shared" si="64"/>
        <v/>
      </c>
      <c r="FT10" s="12" t="str">
        <f t="shared" si="65"/>
        <v/>
      </c>
      <c r="FU10" s="12" t="str">
        <f t="shared" si="66"/>
        <v/>
      </c>
      <c r="FV10" s="12" t="str">
        <f t="shared" si="67"/>
        <v/>
      </c>
      <c r="FW10" s="12" t="str">
        <f t="shared" si="68"/>
        <v/>
      </c>
      <c r="FX10" s="12" t="str">
        <f t="shared" si="69"/>
        <v/>
      </c>
      <c r="FY10" s="40"/>
      <c r="FZ10" s="40"/>
      <c r="GA10" s="40"/>
      <c r="GB10" s="40"/>
      <c r="GC10" s="40"/>
      <c r="GD10" s="40"/>
      <c r="GE10" s="40"/>
      <c r="GF10" s="40"/>
      <c r="GG10" s="40"/>
      <c r="GH10" s="40"/>
      <c r="GI10" s="40"/>
      <c r="GJ10" s="40"/>
      <c r="GK10" s="40"/>
      <c r="GL10" s="40"/>
      <c r="GM10" s="40"/>
      <c r="GN10" s="15" t="str">
        <f t="shared" si="70"/>
        <v/>
      </c>
      <c r="GO10" s="15" t="str">
        <f t="shared" si="71"/>
        <v/>
      </c>
      <c r="GP10" s="15" t="str">
        <f t="shared" si="72"/>
        <v/>
      </c>
      <c r="GQ10" s="15" t="str">
        <f t="shared" si="73"/>
        <v/>
      </c>
      <c r="GR10" s="15" t="str">
        <f t="shared" si="74"/>
        <v/>
      </c>
      <c r="GS10" s="15" t="str">
        <f t="shared" si="75"/>
        <v/>
      </c>
      <c r="GT10" s="15" t="str">
        <f t="shared" si="76"/>
        <v/>
      </c>
      <c r="GU10" s="39"/>
      <c r="GV10" s="39"/>
      <c r="GW10" s="39"/>
      <c r="GX10" s="39"/>
      <c r="GY10" s="39"/>
      <c r="GZ10" s="39"/>
      <c r="HA10" s="39"/>
      <c r="HB10" s="39"/>
      <c r="HC10" s="39"/>
      <c r="HD10" s="39"/>
      <c r="HE10" s="39"/>
      <c r="HF10" s="39"/>
      <c r="HG10" s="39"/>
      <c r="HH10" s="39"/>
      <c r="HI10" s="39"/>
      <c r="HJ10" s="12" t="str">
        <f t="shared" si="77"/>
        <v/>
      </c>
      <c r="HK10" s="12" t="str">
        <f t="shared" si="78"/>
        <v/>
      </c>
      <c r="HL10" s="12" t="str">
        <f t="shared" si="79"/>
        <v/>
      </c>
      <c r="HM10" s="12" t="str">
        <f t="shared" si="80"/>
        <v/>
      </c>
      <c r="HN10" s="12" t="str">
        <f t="shared" si="81"/>
        <v/>
      </c>
      <c r="HO10" s="12" t="str">
        <f t="shared" si="82"/>
        <v/>
      </c>
      <c r="HP10" s="12" t="str">
        <f t="shared" si="83"/>
        <v/>
      </c>
      <c r="HQ10" s="40"/>
      <c r="HR10" s="40"/>
      <c r="HS10" s="40"/>
      <c r="HT10" s="40"/>
      <c r="HU10" s="40"/>
      <c r="HV10" s="40"/>
      <c r="HW10" s="40"/>
      <c r="HX10" s="40"/>
      <c r="HY10" s="40"/>
      <c r="HZ10" s="40"/>
      <c r="IA10" s="40"/>
      <c r="IB10" s="40"/>
      <c r="IC10" s="40"/>
      <c r="ID10" s="40"/>
      <c r="IE10" s="40"/>
      <c r="IF10" s="15" t="str">
        <f t="shared" si="84"/>
        <v/>
      </c>
      <c r="IG10" s="15" t="str">
        <f t="shared" si="85"/>
        <v/>
      </c>
      <c r="IH10" s="15" t="str">
        <f t="shared" si="86"/>
        <v/>
      </c>
      <c r="II10" s="15" t="str">
        <f t="shared" si="87"/>
        <v/>
      </c>
      <c r="IJ10" s="15" t="str">
        <f t="shared" si="88"/>
        <v/>
      </c>
      <c r="IK10" s="15" t="str">
        <f t="shared" si="89"/>
        <v/>
      </c>
      <c r="IL10" s="15" t="str">
        <f t="shared" si="90"/>
        <v/>
      </c>
      <c r="IM10" s="39"/>
      <c r="IN10" s="39"/>
      <c r="IO10" s="39"/>
      <c r="IP10" s="39"/>
      <c r="IQ10" s="39"/>
      <c r="IR10" s="39"/>
      <c r="IS10" s="39"/>
      <c r="IT10" s="39"/>
      <c r="IU10" s="39"/>
      <c r="IV10" s="39"/>
      <c r="IW10" s="39"/>
      <c r="IX10" s="39"/>
      <c r="IY10" s="39"/>
      <c r="IZ10" s="39"/>
      <c r="JA10" s="39"/>
      <c r="JB10" s="12" t="str">
        <f t="shared" si="91"/>
        <v/>
      </c>
      <c r="JC10" s="12" t="str">
        <f t="shared" si="92"/>
        <v/>
      </c>
      <c r="JD10" s="12" t="str">
        <f t="shared" si="93"/>
        <v/>
      </c>
      <c r="JE10" s="12" t="str">
        <f t="shared" si="94"/>
        <v/>
      </c>
      <c r="JF10" s="12" t="str">
        <f t="shared" si="95"/>
        <v/>
      </c>
      <c r="JG10" s="12" t="str">
        <f t="shared" si="96"/>
        <v/>
      </c>
      <c r="JH10" s="12" t="str">
        <f t="shared" si="97"/>
        <v/>
      </c>
      <c r="JI10" s="40"/>
      <c r="JJ10" s="40"/>
      <c r="JK10" s="40"/>
      <c r="JL10" s="40"/>
      <c r="JM10" s="40"/>
      <c r="JN10" s="40"/>
      <c r="JO10" s="40"/>
      <c r="JP10" s="40"/>
      <c r="JQ10" s="40"/>
      <c r="JR10" s="40"/>
      <c r="JS10" s="40"/>
      <c r="JT10" s="40"/>
      <c r="JU10" s="40"/>
      <c r="JV10" s="40"/>
      <c r="JW10" s="40"/>
      <c r="JX10" s="15" t="str">
        <f t="shared" si="98"/>
        <v/>
      </c>
      <c r="JY10" s="15" t="str">
        <f t="shared" si="99"/>
        <v/>
      </c>
      <c r="JZ10" s="15" t="str">
        <f t="shared" si="100"/>
        <v/>
      </c>
      <c r="KA10" s="15" t="str">
        <f t="shared" si="101"/>
        <v/>
      </c>
      <c r="KB10" s="15" t="str">
        <f t="shared" si="102"/>
        <v/>
      </c>
      <c r="KC10" s="15" t="str">
        <f t="shared" si="103"/>
        <v/>
      </c>
      <c r="KD10" s="15" t="str">
        <f t="shared" si="104"/>
        <v/>
      </c>
      <c r="KE10" s="39"/>
      <c r="KF10" s="39"/>
      <c r="KG10" s="39"/>
      <c r="KH10" s="39"/>
      <c r="KI10" s="39"/>
      <c r="KJ10" s="39"/>
      <c r="KK10" s="39"/>
      <c r="KL10" s="39"/>
      <c r="KM10" s="39"/>
      <c r="KN10" s="39"/>
      <c r="KO10" s="39"/>
      <c r="KP10" s="39"/>
      <c r="KQ10" s="39"/>
      <c r="KR10" s="39"/>
      <c r="KS10" s="39"/>
      <c r="KT10" s="12" t="str">
        <f t="shared" si="105"/>
        <v/>
      </c>
      <c r="KU10" s="12" t="str">
        <f t="shared" si="106"/>
        <v/>
      </c>
      <c r="KV10" s="12" t="str">
        <f t="shared" si="107"/>
        <v/>
      </c>
      <c r="KW10" s="12" t="str">
        <f t="shared" si="108"/>
        <v/>
      </c>
      <c r="KX10" s="12" t="str">
        <f t="shared" si="109"/>
        <v/>
      </c>
      <c r="KY10" s="12" t="str">
        <f t="shared" si="110"/>
        <v/>
      </c>
      <c r="KZ10" s="12" t="str">
        <f t="shared" si="111"/>
        <v/>
      </c>
      <c r="LA10" s="40"/>
      <c r="LB10" s="40"/>
      <c r="LC10" s="40"/>
      <c r="LD10" s="40"/>
      <c r="LE10" s="40"/>
      <c r="LF10" s="40"/>
      <c r="LG10" s="40"/>
      <c r="LH10" s="40"/>
      <c r="LI10" s="40"/>
      <c r="LJ10" s="40"/>
      <c r="LK10" s="40"/>
      <c r="LL10" s="40"/>
      <c r="LM10" s="40"/>
      <c r="LN10" s="40"/>
      <c r="LO10" s="40"/>
      <c r="LP10" s="15" t="str">
        <f t="shared" si="112"/>
        <v/>
      </c>
      <c r="LQ10" s="15" t="str">
        <f t="shared" si="113"/>
        <v/>
      </c>
      <c r="LR10" s="15" t="str">
        <f t="shared" si="114"/>
        <v/>
      </c>
      <c r="LS10" s="15" t="str">
        <f t="shared" si="115"/>
        <v/>
      </c>
      <c r="LT10" s="15" t="str">
        <f t="shared" si="116"/>
        <v/>
      </c>
      <c r="LU10" s="15" t="str">
        <f t="shared" si="117"/>
        <v/>
      </c>
      <c r="LV10" s="15" t="str">
        <f t="shared" si="118"/>
        <v/>
      </c>
      <c r="LW10" s="71">
        <f t="shared" si="126"/>
        <v>8.7874999999999996</v>
      </c>
      <c r="LX10" s="71">
        <f t="shared" si="119"/>
        <v>9.5</v>
      </c>
      <c r="LY10" s="71">
        <f t="shared" si="119"/>
        <v>3.8</v>
      </c>
      <c r="LZ10" s="71">
        <f t="shared" si="119"/>
        <v>17.52</v>
      </c>
      <c r="MA10" s="71">
        <f t="shared" si="119"/>
        <v>0</v>
      </c>
      <c r="MB10" s="71">
        <f t="shared" si="119"/>
        <v>1.825</v>
      </c>
      <c r="MC10" s="71">
        <f t="shared" si="119"/>
        <v>2.125</v>
      </c>
      <c r="MD10" s="71">
        <f t="shared" si="119"/>
        <v>3.9400000000000004</v>
      </c>
      <c r="ME10" s="71">
        <f t="shared" si="119"/>
        <v>4.17</v>
      </c>
      <c r="MF10" s="71">
        <f t="shared" si="119"/>
        <v>0</v>
      </c>
      <c r="MG10" s="71">
        <f t="shared" si="119"/>
        <v>3.8250000000000002</v>
      </c>
      <c r="MH10" s="71">
        <f t="shared" si="119"/>
        <v>4.45</v>
      </c>
      <c r="MI10" s="71">
        <f t="shared" si="119"/>
        <v>6.7</v>
      </c>
      <c r="MJ10" s="71">
        <f t="shared" si="119"/>
        <v>6.62</v>
      </c>
      <c r="MK10" s="71">
        <f t="shared" si="119"/>
        <v>0</v>
      </c>
      <c r="ML10" s="82" t="s">
        <v>100</v>
      </c>
      <c r="MM10" s="12">
        <f t="shared" si="127"/>
        <v>3.9400000000000004</v>
      </c>
      <c r="MN10" s="12">
        <f t="shared" si="128"/>
        <v>39.607500000000002</v>
      </c>
      <c r="MO10" s="12">
        <f t="shared" si="129"/>
        <v>12.06</v>
      </c>
      <c r="MP10" s="12">
        <f t="shared" si="130"/>
        <v>51.667500000000004</v>
      </c>
      <c r="MQ10" s="12">
        <f t="shared" si="131"/>
        <v>6.7</v>
      </c>
      <c r="MR10" s="12">
        <f t="shared" si="132"/>
        <v>21.595000000000002</v>
      </c>
      <c r="MS10" s="12">
        <f t="shared" si="133"/>
        <v>73.262500000000003</v>
      </c>
    </row>
    <row r="11" spans="1:357" x14ac:dyDescent="0.2">
      <c r="A11" s="6" t="str">
        <f t="shared" si="0"/>
        <v/>
      </c>
      <c r="B11" s="9" t="s">
        <v>185</v>
      </c>
      <c r="C11" s="5" t="s">
        <v>6</v>
      </c>
      <c r="D11" s="29" t="s">
        <v>186</v>
      </c>
      <c r="E11" s="16">
        <f t="shared" si="1"/>
        <v>120.57</v>
      </c>
      <c r="F11" s="4" t="str">
        <f t="shared" si="2"/>
        <v/>
      </c>
      <c r="G11" s="4" t="str">
        <f t="shared" si="3"/>
        <v/>
      </c>
      <c r="H11" s="4" t="str">
        <f t="shared" si="4"/>
        <v/>
      </c>
      <c r="I11" t="str">
        <f t="shared" si="5"/>
        <v/>
      </c>
      <c r="J11" s="15">
        <f t="shared" si="6"/>
        <v>77.55</v>
      </c>
      <c r="K11" s="15" t="str">
        <f t="shared" si="7"/>
        <v>2019 Nationals</v>
      </c>
      <c r="L11" s="15" t="str">
        <f t="shared" si="8"/>
        <v/>
      </c>
      <c r="M11" s="15" t="str">
        <f t="shared" si="9"/>
        <v/>
      </c>
      <c r="N11" s="15" t="str">
        <f t="shared" si="10"/>
        <v/>
      </c>
      <c r="O11" s="15" t="str">
        <f t="shared" si="11"/>
        <v/>
      </c>
      <c r="P11" s="15">
        <f t="shared" si="12"/>
        <v>43.02</v>
      </c>
      <c r="Q11" s="15" t="str">
        <f t="shared" si="13"/>
        <v>2019 Nationals</v>
      </c>
      <c r="R11" s="15" t="str">
        <f t="shared" si="14"/>
        <v/>
      </c>
      <c r="S11" s="27" t="str">
        <f t="shared" si="15"/>
        <v/>
      </c>
      <c r="T11" s="15" t="str">
        <f t="shared" si="16"/>
        <v/>
      </c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82"/>
      <c r="AK11" s="12" t="str">
        <f t="shared" si="17"/>
        <v/>
      </c>
      <c r="AL11" s="12" t="str">
        <f t="shared" si="18"/>
        <v/>
      </c>
      <c r="AM11" s="12" t="str">
        <f t="shared" si="19"/>
        <v/>
      </c>
      <c r="AN11" s="12" t="str">
        <f t="shared" si="20"/>
        <v/>
      </c>
      <c r="AO11" s="12" t="str">
        <f t="shared" si="21"/>
        <v/>
      </c>
      <c r="AP11" s="12" t="str">
        <f t="shared" si="22"/>
        <v/>
      </c>
      <c r="AQ11" s="12" t="str">
        <f t="shared" si="23"/>
        <v/>
      </c>
      <c r="AR11" s="42">
        <v>8.1999999999999993</v>
      </c>
      <c r="AS11" s="42">
        <v>9.1999999999999993</v>
      </c>
      <c r="AT11" s="42">
        <v>4.3</v>
      </c>
      <c r="AU11" s="42">
        <v>14.16</v>
      </c>
      <c r="AV11" s="42">
        <v>0</v>
      </c>
      <c r="AW11" s="42">
        <v>7.65</v>
      </c>
      <c r="AX11" s="42">
        <v>9.1999999999999993</v>
      </c>
      <c r="AY11" s="42">
        <v>10.4</v>
      </c>
      <c r="AZ11" s="42">
        <v>14.44</v>
      </c>
      <c r="BA11" s="42">
        <v>0</v>
      </c>
      <c r="BB11" s="42">
        <v>8.4</v>
      </c>
      <c r="BC11" s="42">
        <v>9.3000000000000007</v>
      </c>
      <c r="BD11" s="42">
        <v>10.6</v>
      </c>
      <c r="BE11" s="42">
        <v>14.72</v>
      </c>
      <c r="BF11" s="42">
        <v>0</v>
      </c>
      <c r="BG11" s="83"/>
      <c r="BH11" s="15">
        <f t="shared" si="24"/>
        <v>10.4</v>
      </c>
      <c r="BI11" s="15">
        <f t="shared" si="25"/>
        <v>35.86</v>
      </c>
      <c r="BJ11" s="15">
        <f t="shared" si="26"/>
        <v>41.69</v>
      </c>
      <c r="BK11" s="15">
        <f t="shared" si="27"/>
        <v>77.55</v>
      </c>
      <c r="BL11" s="15">
        <f t="shared" si="28"/>
        <v>10.6</v>
      </c>
      <c r="BM11" s="15">
        <f t="shared" si="29"/>
        <v>43.02</v>
      </c>
      <c r="BN11" s="15">
        <f t="shared" si="30"/>
        <v>120.57</v>
      </c>
      <c r="BO11" s="26" t="str">
        <f t="shared" si="31"/>
        <v/>
      </c>
      <c r="BP11" s="26" t="str">
        <f t="shared" si="32"/>
        <v/>
      </c>
      <c r="BQ11" s="26" t="str">
        <f t="shared" si="33"/>
        <v/>
      </c>
      <c r="BR11" s="26" t="str">
        <f t="shared" si="34"/>
        <v/>
      </c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12" t="str">
        <f t="shared" si="35"/>
        <v/>
      </c>
      <c r="CI11" s="12" t="str">
        <f t="shared" si="36"/>
        <v/>
      </c>
      <c r="CJ11" s="12" t="str">
        <f t="shared" si="37"/>
        <v/>
      </c>
      <c r="CK11" s="12" t="str">
        <f t="shared" si="38"/>
        <v/>
      </c>
      <c r="CL11" s="12" t="str">
        <f t="shared" si="39"/>
        <v/>
      </c>
      <c r="CM11" s="12" t="str">
        <f t="shared" si="40"/>
        <v/>
      </c>
      <c r="CN11" s="12" t="str">
        <f t="shared" si="41"/>
        <v/>
      </c>
      <c r="CO11" s="40"/>
      <c r="CP11" s="40"/>
      <c r="CQ11" s="40"/>
      <c r="CR11" s="40"/>
      <c r="CS11" s="40"/>
      <c r="CT11" s="40"/>
      <c r="CU11" s="40"/>
      <c r="CV11" s="40"/>
      <c r="CW11" s="40"/>
      <c r="CX11" s="40"/>
      <c r="CY11" s="40"/>
      <c r="CZ11" s="40"/>
      <c r="DA11" s="40"/>
      <c r="DB11" s="40"/>
      <c r="DC11" s="40"/>
      <c r="DD11" s="15" t="str">
        <f t="shared" si="42"/>
        <v/>
      </c>
      <c r="DE11" s="15" t="str">
        <f t="shared" si="43"/>
        <v/>
      </c>
      <c r="DF11" s="15" t="str">
        <f t="shared" si="44"/>
        <v/>
      </c>
      <c r="DG11" s="15" t="str">
        <f t="shared" si="45"/>
        <v/>
      </c>
      <c r="DH11" s="15" t="str">
        <f t="shared" si="46"/>
        <v/>
      </c>
      <c r="DI11" s="15" t="str">
        <f t="shared" si="47"/>
        <v/>
      </c>
      <c r="DJ11" s="15" t="str">
        <f t="shared" si="48"/>
        <v/>
      </c>
      <c r="DK11" s="39"/>
      <c r="DL11" s="39"/>
      <c r="DM11" s="39"/>
      <c r="DN11" s="39"/>
      <c r="DO11" s="39"/>
      <c r="DP11" s="39"/>
      <c r="DQ11" s="39"/>
      <c r="DR11" s="39"/>
      <c r="DS11" s="39"/>
      <c r="DT11" s="39"/>
      <c r="DU11" s="39"/>
      <c r="DV11" s="39"/>
      <c r="DW11" s="39"/>
      <c r="DX11" s="39"/>
      <c r="DY11" s="39"/>
      <c r="DZ11" s="12" t="str">
        <f t="shared" si="49"/>
        <v/>
      </c>
      <c r="EA11" s="12" t="str">
        <f t="shared" si="50"/>
        <v/>
      </c>
      <c r="EB11" s="12" t="str">
        <f t="shared" si="51"/>
        <v/>
      </c>
      <c r="EC11" s="12" t="str">
        <f t="shared" si="52"/>
        <v/>
      </c>
      <c r="ED11" s="12" t="str">
        <f t="shared" si="53"/>
        <v/>
      </c>
      <c r="EE11" s="12" t="str">
        <f t="shared" si="54"/>
        <v/>
      </c>
      <c r="EF11" s="12" t="str">
        <f t="shared" si="55"/>
        <v/>
      </c>
      <c r="EG11" s="40"/>
      <c r="EH11" s="40"/>
      <c r="EI11" s="40"/>
      <c r="EJ11" s="40"/>
      <c r="EK11" s="40"/>
      <c r="EL11" s="40"/>
      <c r="EM11" s="40"/>
      <c r="EN11" s="40"/>
      <c r="EO11" s="40"/>
      <c r="EP11" s="40"/>
      <c r="EQ11" s="40"/>
      <c r="ER11" s="40"/>
      <c r="ES11" s="40"/>
      <c r="ET11" s="40"/>
      <c r="EU11" s="40"/>
      <c r="EV11" s="15" t="str">
        <f t="shared" si="56"/>
        <v/>
      </c>
      <c r="EW11" s="15" t="str">
        <f t="shared" si="57"/>
        <v/>
      </c>
      <c r="EX11" s="15" t="str">
        <f t="shared" si="58"/>
        <v/>
      </c>
      <c r="EY11" s="15" t="str">
        <f t="shared" si="59"/>
        <v/>
      </c>
      <c r="EZ11" s="15" t="str">
        <f t="shared" si="60"/>
        <v/>
      </c>
      <c r="FA11" s="15" t="str">
        <f t="shared" si="61"/>
        <v/>
      </c>
      <c r="FB11" s="15" t="str">
        <f t="shared" si="62"/>
        <v/>
      </c>
      <c r="FC11" s="39"/>
      <c r="FD11" s="39"/>
      <c r="FE11" s="39"/>
      <c r="FF11" s="39"/>
      <c r="FG11" s="39"/>
      <c r="FH11" s="39"/>
      <c r="FI11" s="39"/>
      <c r="FJ11" s="39"/>
      <c r="FK11" s="39"/>
      <c r="FL11" s="39"/>
      <c r="FM11" s="39"/>
      <c r="FN11" s="39"/>
      <c r="FO11" s="39"/>
      <c r="FP11" s="39"/>
      <c r="FQ11" s="39"/>
      <c r="FR11" s="12" t="str">
        <f t="shared" si="63"/>
        <v/>
      </c>
      <c r="FS11" s="12" t="str">
        <f t="shared" si="64"/>
        <v/>
      </c>
      <c r="FT11" s="12" t="str">
        <f t="shared" si="65"/>
        <v/>
      </c>
      <c r="FU11" s="12" t="str">
        <f t="shared" si="66"/>
        <v/>
      </c>
      <c r="FV11" s="12" t="str">
        <f t="shared" si="67"/>
        <v/>
      </c>
      <c r="FW11" s="12" t="str">
        <f t="shared" si="68"/>
        <v/>
      </c>
      <c r="FX11" s="12" t="str">
        <f t="shared" si="69"/>
        <v/>
      </c>
      <c r="FY11" s="40"/>
      <c r="FZ11" s="40"/>
      <c r="GA11" s="40"/>
      <c r="GB11" s="40"/>
      <c r="GC11" s="40"/>
      <c r="GD11" s="40"/>
      <c r="GE11" s="40"/>
      <c r="GF11" s="40"/>
      <c r="GG11" s="40"/>
      <c r="GH11" s="40"/>
      <c r="GI11" s="40"/>
      <c r="GJ11" s="40"/>
      <c r="GK11" s="40"/>
      <c r="GL11" s="40"/>
      <c r="GM11" s="40"/>
      <c r="GN11" s="15" t="str">
        <f t="shared" si="70"/>
        <v/>
      </c>
      <c r="GO11" s="15" t="str">
        <f t="shared" si="71"/>
        <v/>
      </c>
      <c r="GP11" s="15" t="str">
        <f t="shared" si="72"/>
        <v/>
      </c>
      <c r="GQ11" s="15" t="str">
        <f t="shared" si="73"/>
        <v/>
      </c>
      <c r="GR11" s="15" t="str">
        <f t="shared" si="74"/>
        <v/>
      </c>
      <c r="GS11" s="15" t="str">
        <f t="shared" si="75"/>
        <v/>
      </c>
      <c r="GT11" s="15" t="str">
        <f t="shared" si="76"/>
        <v/>
      </c>
      <c r="GU11" s="39"/>
      <c r="GV11" s="39"/>
      <c r="GW11" s="39"/>
      <c r="GX11" s="39"/>
      <c r="GY11" s="39"/>
      <c r="GZ11" s="39"/>
      <c r="HA11" s="39"/>
      <c r="HB11" s="39"/>
      <c r="HC11" s="39"/>
      <c r="HD11" s="39"/>
      <c r="HE11" s="39"/>
      <c r="HF11" s="39"/>
      <c r="HG11" s="39"/>
      <c r="HH11" s="39"/>
      <c r="HI11" s="39"/>
      <c r="HJ11" s="12" t="str">
        <f t="shared" si="77"/>
        <v/>
      </c>
      <c r="HK11" s="12" t="str">
        <f t="shared" si="78"/>
        <v/>
      </c>
      <c r="HL11" s="12" t="str">
        <f t="shared" si="79"/>
        <v/>
      </c>
      <c r="HM11" s="12" t="str">
        <f t="shared" si="80"/>
        <v/>
      </c>
      <c r="HN11" s="12" t="str">
        <f t="shared" si="81"/>
        <v/>
      </c>
      <c r="HO11" s="12" t="str">
        <f t="shared" si="82"/>
        <v/>
      </c>
      <c r="HP11" s="12" t="str">
        <f t="shared" si="83"/>
        <v/>
      </c>
      <c r="HQ11" s="40"/>
      <c r="HR11" s="40"/>
      <c r="HS11" s="40"/>
      <c r="HT11" s="40"/>
      <c r="HU11" s="40"/>
      <c r="HV11" s="40"/>
      <c r="HW11" s="40"/>
      <c r="HX11" s="40"/>
      <c r="HY11" s="40"/>
      <c r="HZ11" s="40"/>
      <c r="IA11" s="40"/>
      <c r="IB11" s="40"/>
      <c r="IC11" s="40"/>
      <c r="ID11" s="40"/>
      <c r="IE11" s="40"/>
      <c r="IF11" s="15" t="str">
        <f t="shared" si="84"/>
        <v/>
      </c>
      <c r="IG11" s="15" t="str">
        <f t="shared" si="85"/>
        <v/>
      </c>
      <c r="IH11" s="15" t="str">
        <f t="shared" si="86"/>
        <v/>
      </c>
      <c r="II11" s="15" t="str">
        <f t="shared" si="87"/>
        <v/>
      </c>
      <c r="IJ11" s="15" t="str">
        <f t="shared" si="88"/>
        <v/>
      </c>
      <c r="IK11" s="15" t="str">
        <f t="shared" si="89"/>
        <v/>
      </c>
      <c r="IL11" s="15" t="str">
        <f t="shared" si="90"/>
        <v/>
      </c>
      <c r="IM11" s="39"/>
      <c r="IN11" s="39"/>
      <c r="IO11" s="39"/>
      <c r="IP11" s="39"/>
      <c r="IQ11" s="39"/>
      <c r="IR11" s="39"/>
      <c r="IS11" s="39"/>
      <c r="IT11" s="39"/>
      <c r="IU11" s="39"/>
      <c r="IV11" s="39"/>
      <c r="IW11" s="39"/>
      <c r="IX11" s="39"/>
      <c r="IY11" s="39"/>
      <c r="IZ11" s="39"/>
      <c r="JA11" s="39"/>
      <c r="JB11" s="12" t="str">
        <f t="shared" si="91"/>
        <v/>
      </c>
      <c r="JC11" s="12" t="str">
        <f t="shared" si="92"/>
        <v/>
      </c>
      <c r="JD11" s="12" t="str">
        <f t="shared" si="93"/>
        <v/>
      </c>
      <c r="JE11" s="12" t="str">
        <f t="shared" si="94"/>
        <v/>
      </c>
      <c r="JF11" s="12" t="str">
        <f t="shared" si="95"/>
        <v/>
      </c>
      <c r="JG11" s="12" t="str">
        <f t="shared" si="96"/>
        <v/>
      </c>
      <c r="JH11" s="12" t="str">
        <f t="shared" si="97"/>
        <v/>
      </c>
      <c r="JI11" s="40"/>
      <c r="JJ11" s="40"/>
      <c r="JK11" s="40"/>
      <c r="JL11" s="40"/>
      <c r="JM11" s="40"/>
      <c r="JN11" s="40"/>
      <c r="JO11" s="40"/>
      <c r="JP11" s="40"/>
      <c r="JQ11" s="40"/>
      <c r="JR11" s="40"/>
      <c r="JS11" s="40"/>
      <c r="JT11" s="40"/>
      <c r="JU11" s="40"/>
      <c r="JV11" s="40"/>
      <c r="JW11" s="40"/>
      <c r="JX11" s="15" t="str">
        <f t="shared" si="98"/>
        <v/>
      </c>
      <c r="JY11" s="15" t="str">
        <f t="shared" si="99"/>
        <v/>
      </c>
      <c r="JZ11" s="15" t="str">
        <f t="shared" si="100"/>
        <v/>
      </c>
      <c r="KA11" s="15" t="str">
        <f t="shared" si="101"/>
        <v/>
      </c>
      <c r="KB11" s="15" t="str">
        <f t="shared" si="102"/>
        <v/>
      </c>
      <c r="KC11" s="15" t="str">
        <f t="shared" si="103"/>
        <v/>
      </c>
      <c r="KD11" s="15" t="str">
        <f t="shared" si="104"/>
        <v/>
      </c>
      <c r="KE11" s="39"/>
      <c r="KF11" s="39"/>
      <c r="KG11" s="39"/>
      <c r="KH11" s="39"/>
      <c r="KI11" s="39"/>
      <c r="KJ11" s="39"/>
      <c r="KK11" s="39"/>
      <c r="KL11" s="39"/>
      <c r="KM11" s="39"/>
      <c r="KN11" s="39"/>
      <c r="KO11" s="39"/>
      <c r="KP11" s="39"/>
      <c r="KQ11" s="39"/>
      <c r="KR11" s="39"/>
      <c r="KS11" s="39"/>
      <c r="KT11" s="12" t="str">
        <f t="shared" si="105"/>
        <v/>
      </c>
      <c r="KU11" s="12" t="str">
        <f t="shared" si="106"/>
        <v/>
      </c>
      <c r="KV11" s="12" t="str">
        <f t="shared" si="107"/>
        <v/>
      </c>
      <c r="KW11" s="12" t="str">
        <f t="shared" si="108"/>
        <v/>
      </c>
      <c r="KX11" s="12" t="str">
        <f t="shared" si="109"/>
        <v/>
      </c>
      <c r="KY11" s="12" t="str">
        <f t="shared" si="110"/>
        <v/>
      </c>
      <c r="KZ11" s="12" t="str">
        <f t="shared" si="111"/>
        <v/>
      </c>
      <c r="LA11" s="40"/>
      <c r="LB11" s="40"/>
      <c r="LC11" s="40"/>
      <c r="LD11" s="40"/>
      <c r="LE11" s="40"/>
      <c r="LF11" s="40"/>
      <c r="LG11" s="40"/>
      <c r="LH11" s="40"/>
      <c r="LI11" s="40"/>
      <c r="LJ11" s="40"/>
      <c r="LK11" s="40"/>
      <c r="LL11" s="40"/>
      <c r="LM11" s="40"/>
      <c r="LN11" s="40"/>
      <c r="LO11" s="40"/>
      <c r="LP11" s="15" t="str">
        <f t="shared" si="112"/>
        <v/>
      </c>
      <c r="LQ11" s="15" t="str">
        <f t="shared" si="113"/>
        <v/>
      </c>
      <c r="LR11" s="15" t="str">
        <f t="shared" si="114"/>
        <v/>
      </c>
      <c r="LS11" s="15" t="str">
        <f t="shared" si="115"/>
        <v/>
      </c>
      <c r="LT11" s="15" t="str">
        <f t="shared" si="116"/>
        <v/>
      </c>
      <c r="LU11" s="15" t="str">
        <f t="shared" si="117"/>
        <v/>
      </c>
      <c r="LV11" s="15" t="str">
        <f t="shared" si="118"/>
        <v/>
      </c>
      <c r="LW11" s="71">
        <f t="shared" si="126"/>
        <v>4.0999999999999996</v>
      </c>
      <c r="LX11" s="71">
        <f t="shared" si="119"/>
        <v>4.5999999999999996</v>
      </c>
      <c r="LY11" s="71">
        <f t="shared" si="119"/>
        <v>2.15</v>
      </c>
      <c r="LZ11" s="71">
        <f t="shared" si="119"/>
        <v>7.08</v>
      </c>
      <c r="MA11" s="71">
        <f t="shared" si="119"/>
        <v>0</v>
      </c>
      <c r="MB11" s="71">
        <f t="shared" si="119"/>
        <v>3.8250000000000002</v>
      </c>
      <c r="MC11" s="71">
        <f t="shared" si="119"/>
        <v>4.5999999999999996</v>
      </c>
      <c r="MD11" s="71">
        <f t="shared" si="119"/>
        <v>5.2</v>
      </c>
      <c r="ME11" s="71">
        <f t="shared" si="119"/>
        <v>7.22</v>
      </c>
      <c r="MF11" s="71">
        <f t="shared" si="119"/>
        <v>0</v>
      </c>
      <c r="MG11" s="71">
        <f t="shared" si="119"/>
        <v>4.2</v>
      </c>
      <c r="MH11" s="71">
        <f t="shared" si="119"/>
        <v>4.6500000000000004</v>
      </c>
      <c r="MI11" s="71">
        <f t="shared" si="119"/>
        <v>5.3</v>
      </c>
      <c r="MJ11" s="71">
        <f t="shared" si="119"/>
        <v>7.36</v>
      </c>
      <c r="MK11" s="71">
        <f t="shared" si="119"/>
        <v>0</v>
      </c>
      <c r="ML11" s="82" t="s">
        <v>100</v>
      </c>
      <c r="MM11" s="12">
        <f t="shared" si="127"/>
        <v>5.2</v>
      </c>
      <c r="MN11" s="12">
        <f t="shared" si="128"/>
        <v>17.93</v>
      </c>
      <c r="MO11" s="12">
        <f t="shared" si="129"/>
        <v>20.844999999999999</v>
      </c>
      <c r="MP11" s="12">
        <f t="shared" si="130"/>
        <v>38.774999999999999</v>
      </c>
      <c r="MQ11" s="12">
        <f t="shared" si="131"/>
        <v>5.3</v>
      </c>
      <c r="MR11" s="12">
        <f t="shared" si="132"/>
        <v>21.51</v>
      </c>
      <c r="MS11" s="12">
        <f t="shared" si="133"/>
        <v>60.284999999999997</v>
      </c>
    </row>
    <row r="12" spans="1:357" x14ac:dyDescent="0.2">
      <c r="A12" s="6" t="str">
        <f t="shared" si="0"/>
        <v/>
      </c>
      <c r="B12" s="9" t="s">
        <v>188</v>
      </c>
      <c r="C12" s="5" t="s">
        <v>5</v>
      </c>
      <c r="D12" s="29" t="s">
        <v>189</v>
      </c>
      <c r="E12" s="16">
        <f t="shared" si="1"/>
        <v>91.009999999999991</v>
      </c>
      <c r="F12" s="4" t="str">
        <f t="shared" si="2"/>
        <v/>
      </c>
      <c r="G12" s="4" t="str">
        <f t="shared" si="3"/>
        <v/>
      </c>
      <c r="H12" s="4" t="str">
        <f t="shared" si="4"/>
        <v/>
      </c>
      <c r="I12" t="str">
        <f t="shared" si="5"/>
        <v/>
      </c>
      <c r="J12" s="15">
        <f t="shared" si="6"/>
        <v>62.18</v>
      </c>
      <c r="K12" s="15" t="str">
        <f t="shared" si="7"/>
        <v>2019 Nationals</v>
      </c>
      <c r="L12" s="15" t="str">
        <f t="shared" si="8"/>
        <v/>
      </c>
      <c r="M12" s="15" t="str">
        <f t="shared" si="9"/>
        <v/>
      </c>
      <c r="N12" s="15" t="str">
        <f t="shared" si="10"/>
        <v/>
      </c>
      <c r="O12" s="15" t="str">
        <f t="shared" si="11"/>
        <v/>
      </c>
      <c r="P12" s="15">
        <f t="shared" si="12"/>
        <v>28.83</v>
      </c>
      <c r="Q12" s="15" t="str">
        <f t="shared" si="13"/>
        <v>2019 Nationals</v>
      </c>
      <c r="R12" s="15" t="str">
        <f t="shared" si="14"/>
        <v/>
      </c>
      <c r="S12" s="27" t="str">
        <f t="shared" si="15"/>
        <v/>
      </c>
      <c r="T12" s="15" t="str">
        <f t="shared" si="16"/>
        <v/>
      </c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82"/>
      <c r="AK12" s="12" t="str">
        <f t="shared" si="17"/>
        <v/>
      </c>
      <c r="AL12" s="12" t="str">
        <f t="shared" si="18"/>
        <v/>
      </c>
      <c r="AM12" s="12" t="str">
        <f t="shared" si="19"/>
        <v/>
      </c>
      <c r="AN12" s="12" t="str">
        <f t="shared" si="20"/>
        <v/>
      </c>
      <c r="AO12" s="12" t="str">
        <f t="shared" si="21"/>
        <v/>
      </c>
      <c r="AP12" s="12" t="str">
        <f t="shared" si="22"/>
        <v/>
      </c>
      <c r="AQ12" s="12" t="str">
        <f t="shared" si="23"/>
        <v/>
      </c>
      <c r="AR12" s="42">
        <v>8.75</v>
      </c>
      <c r="AS12" s="42">
        <v>9.1</v>
      </c>
      <c r="AT12" s="42">
        <v>4</v>
      </c>
      <c r="AU12" s="42">
        <v>17.2</v>
      </c>
      <c r="AV12" s="42">
        <v>0</v>
      </c>
      <c r="AW12" s="42">
        <v>4.2</v>
      </c>
      <c r="AX12" s="42">
        <v>4.6500000000000004</v>
      </c>
      <c r="AY12" s="42">
        <v>5.9</v>
      </c>
      <c r="AZ12" s="42">
        <v>8.3800000000000008</v>
      </c>
      <c r="BA12" s="42">
        <v>0</v>
      </c>
      <c r="BB12" s="42">
        <v>4.95</v>
      </c>
      <c r="BC12" s="42">
        <v>5.5</v>
      </c>
      <c r="BD12" s="42">
        <v>7.3</v>
      </c>
      <c r="BE12" s="42">
        <v>11.08</v>
      </c>
      <c r="BF12" s="42">
        <v>0</v>
      </c>
      <c r="BG12" s="83"/>
      <c r="BH12" s="15">
        <f t="shared" si="24"/>
        <v>5.9</v>
      </c>
      <c r="BI12" s="15">
        <f t="shared" si="25"/>
        <v>39.049999999999997</v>
      </c>
      <c r="BJ12" s="15">
        <f t="shared" si="26"/>
        <v>23.130000000000003</v>
      </c>
      <c r="BK12" s="15">
        <f t="shared" si="27"/>
        <v>62.18</v>
      </c>
      <c r="BL12" s="15">
        <f t="shared" si="28"/>
        <v>7.3</v>
      </c>
      <c r="BM12" s="15">
        <f t="shared" si="29"/>
        <v>28.83</v>
      </c>
      <c r="BN12" s="15">
        <f t="shared" si="30"/>
        <v>91.009999999999991</v>
      </c>
      <c r="BO12" s="26" t="str">
        <f t="shared" si="31"/>
        <v/>
      </c>
      <c r="BP12" s="26" t="str">
        <f t="shared" si="32"/>
        <v/>
      </c>
      <c r="BQ12" s="26" t="str">
        <f t="shared" si="33"/>
        <v/>
      </c>
      <c r="BR12" s="26" t="str">
        <f t="shared" si="34"/>
        <v/>
      </c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12" t="str">
        <f t="shared" si="35"/>
        <v/>
      </c>
      <c r="CI12" s="12" t="str">
        <f t="shared" si="36"/>
        <v/>
      </c>
      <c r="CJ12" s="12" t="str">
        <f t="shared" si="37"/>
        <v/>
      </c>
      <c r="CK12" s="12" t="str">
        <f t="shared" si="38"/>
        <v/>
      </c>
      <c r="CL12" s="12" t="str">
        <f t="shared" si="39"/>
        <v/>
      </c>
      <c r="CM12" s="12" t="str">
        <f t="shared" si="40"/>
        <v/>
      </c>
      <c r="CN12" s="12" t="str">
        <f t="shared" si="41"/>
        <v/>
      </c>
      <c r="CO12" s="40"/>
      <c r="CP12" s="40"/>
      <c r="CQ12" s="40"/>
      <c r="CR12" s="40"/>
      <c r="CS12" s="40"/>
      <c r="CT12" s="40"/>
      <c r="CU12" s="40"/>
      <c r="CV12" s="40"/>
      <c r="CW12" s="40"/>
      <c r="CX12" s="40"/>
      <c r="CY12" s="40"/>
      <c r="CZ12" s="40"/>
      <c r="DA12" s="40"/>
      <c r="DB12" s="40"/>
      <c r="DC12" s="40"/>
      <c r="DD12" s="15" t="str">
        <f t="shared" si="42"/>
        <v/>
      </c>
      <c r="DE12" s="15" t="str">
        <f t="shared" si="43"/>
        <v/>
      </c>
      <c r="DF12" s="15" t="str">
        <f t="shared" si="44"/>
        <v/>
      </c>
      <c r="DG12" s="15" t="str">
        <f t="shared" si="45"/>
        <v/>
      </c>
      <c r="DH12" s="15" t="str">
        <f t="shared" si="46"/>
        <v/>
      </c>
      <c r="DI12" s="15" t="str">
        <f t="shared" si="47"/>
        <v/>
      </c>
      <c r="DJ12" s="15" t="str">
        <f t="shared" si="48"/>
        <v/>
      </c>
      <c r="DK12" s="39"/>
      <c r="DL12" s="39"/>
      <c r="DM12" s="39"/>
      <c r="DN12" s="39"/>
      <c r="DO12" s="39"/>
      <c r="DP12" s="39"/>
      <c r="DQ12" s="39"/>
      <c r="DR12" s="39"/>
      <c r="DS12" s="39"/>
      <c r="DT12" s="39"/>
      <c r="DU12" s="39"/>
      <c r="DV12" s="39"/>
      <c r="DW12" s="39"/>
      <c r="DX12" s="39"/>
      <c r="DY12" s="39"/>
      <c r="DZ12" s="12" t="str">
        <f t="shared" si="49"/>
        <v/>
      </c>
      <c r="EA12" s="12" t="str">
        <f t="shared" si="50"/>
        <v/>
      </c>
      <c r="EB12" s="12" t="str">
        <f t="shared" si="51"/>
        <v/>
      </c>
      <c r="EC12" s="12" t="str">
        <f t="shared" si="52"/>
        <v/>
      </c>
      <c r="ED12" s="12" t="str">
        <f t="shared" si="53"/>
        <v/>
      </c>
      <c r="EE12" s="12" t="str">
        <f t="shared" si="54"/>
        <v/>
      </c>
      <c r="EF12" s="12" t="str">
        <f t="shared" si="55"/>
        <v/>
      </c>
      <c r="EG12" s="40"/>
      <c r="EH12" s="40"/>
      <c r="EI12" s="40"/>
      <c r="EJ12" s="40"/>
      <c r="EK12" s="40"/>
      <c r="EL12" s="40"/>
      <c r="EM12" s="40"/>
      <c r="EN12" s="40"/>
      <c r="EO12" s="40"/>
      <c r="EP12" s="40"/>
      <c r="EQ12" s="40"/>
      <c r="ER12" s="40"/>
      <c r="ES12" s="40"/>
      <c r="ET12" s="40"/>
      <c r="EU12" s="40"/>
      <c r="EV12" s="15" t="str">
        <f t="shared" si="56"/>
        <v/>
      </c>
      <c r="EW12" s="15" t="str">
        <f t="shared" si="57"/>
        <v/>
      </c>
      <c r="EX12" s="15" t="str">
        <f t="shared" si="58"/>
        <v/>
      </c>
      <c r="EY12" s="15" t="str">
        <f t="shared" si="59"/>
        <v/>
      </c>
      <c r="EZ12" s="15" t="str">
        <f t="shared" si="60"/>
        <v/>
      </c>
      <c r="FA12" s="15" t="str">
        <f t="shared" si="61"/>
        <v/>
      </c>
      <c r="FB12" s="15" t="str">
        <f t="shared" si="62"/>
        <v/>
      </c>
      <c r="FC12" s="39"/>
      <c r="FD12" s="39"/>
      <c r="FE12" s="39"/>
      <c r="FF12" s="39"/>
      <c r="FG12" s="39"/>
      <c r="FH12" s="39"/>
      <c r="FI12" s="39"/>
      <c r="FJ12" s="39"/>
      <c r="FK12" s="39"/>
      <c r="FL12" s="39"/>
      <c r="FM12" s="39"/>
      <c r="FN12" s="39"/>
      <c r="FO12" s="39"/>
      <c r="FP12" s="39"/>
      <c r="FQ12" s="39"/>
      <c r="FR12" s="12" t="str">
        <f t="shared" si="63"/>
        <v/>
      </c>
      <c r="FS12" s="12" t="str">
        <f t="shared" si="64"/>
        <v/>
      </c>
      <c r="FT12" s="12" t="str">
        <f t="shared" si="65"/>
        <v/>
      </c>
      <c r="FU12" s="12" t="str">
        <f t="shared" si="66"/>
        <v/>
      </c>
      <c r="FV12" s="12" t="str">
        <f t="shared" si="67"/>
        <v/>
      </c>
      <c r="FW12" s="12" t="str">
        <f t="shared" si="68"/>
        <v/>
      </c>
      <c r="FX12" s="12" t="str">
        <f t="shared" si="69"/>
        <v/>
      </c>
      <c r="FY12" s="40"/>
      <c r="FZ12" s="40"/>
      <c r="GA12" s="40"/>
      <c r="GB12" s="40"/>
      <c r="GC12" s="40"/>
      <c r="GD12" s="40"/>
      <c r="GE12" s="40"/>
      <c r="GF12" s="40"/>
      <c r="GG12" s="40"/>
      <c r="GH12" s="40"/>
      <c r="GI12" s="40"/>
      <c r="GJ12" s="40"/>
      <c r="GK12" s="40"/>
      <c r="GL12" s="40"/>
      <c r="GM12" s="40"/>
      <c r="GN12" s="15" t="str">
        <f t="shared" si="70"/>
        <v/>
      </c>
      <c r="GO12" s="15" t="str">
        <f t="shared" si="71"/>
        <v/>
      </c>
      <c r="GP12" s="15" t="str">
        <f t="shared" si="72"/>
        <v/>
      </c>
      <c r="GQ12" s="15" t="str">
        <f t="shared" si="73"/>
        <v/>
      </c>
      <c r="GR12" s="15" t="str">
        <f t="shared" si="74"/>
        <v/>
      </c>
      <c r="GS12" s="15" t="str">
        <f t="shared" si="75"/>
        <v/>
      </c>
      <c r="GT12" s="15" t="str">
        <f t="shared" si="76"/>
        <v/>
      </c>
      <c r="GU12" s="39"/>
      <c r="GV12" s="39"/>
      <c r="GW12" s="39"/>
      <c r="GX12" s="39"/>
      <c r="GY12" s="39"/>
      <c r="GZ12" s="39"/>
      <c r="HA12" s="39"/>
      <c r="HB12" s="39"/>
      <c r="HC12" s="39"/>
      <c r="HD12" s="39"/>
      <c r="HE12" s="39"/>
      <c r="HF12" s="39"/>
      <c r="HG12" s="39"/>
      <c r="HH12" s="39"/>
      <c r="HI12" s="39"/>
      <c r="HJ12" s="12" t="str">
        <f t="shared" si="77"/>
        <v/>
      </c>
      <c r="HK12" s="12" t="str">
        <f t="shared" si="78"/>
        <v/>
      </c>
      <c r="HL12" s="12" t="str">
        <f t="shared" si="79"/>
        <v/>
      </c>
      <c r="HM12" s="12" t="str">
        <f t="shared" si="80"/>
        <v/>
      </c>
      <c r="HN12" s="12" t="str">
        <f t="shared" si="81"/>
        <v/>
      </c>
      <c r="HO12" s="12" t="str">
        <f t="shared" si="82"/>
        <v/>
      </c>
      <c r="HP12" s="12" t="str">
        <f t="shared" si="83"/>
        <v/>
      </c>
      <c r="HQ12" s="40"/>
      <c r="HR12" s="40"/>
      <c r="HS12" s="40"/>
      <c r="HT12" s="40"/>
      <c r="HU12" s="40"/>
      <c r="HV12" s="40"/>
      <c r="HW12" s="40"/>
      <c r="HX12" s="40"/>
      <c r="HY12" s="40"/>
      <c r="HZ12" s="40"/>
      <c r="IA12" s="40"/>
      <c r="IB12" s="40"/>
      <c r="IC12" s="40"/>
      <c r="ID12" s="40"/>
      <c r="IE12" s="40"/>
      <c r="IF12" s="15" t="str">
        <f t="shared" si="84"/>
        <v/>
      </c>
      <c r="IG12" s="15" t="str">
        <f t="shared" si="85"/>
        <v/>
      </c>
      <c r="IH12" s="15" t="str">
        <f t="shared" si="86"/>
        <v/>
      </c>
      <c r="II12" s="15" t="str">
        <f t="shared" si="87"/>
        <v/>
      </c>
      <c r="IJ12" s="15" t="str">
        <f t="shared" si="88"/>
        <v/>
      </c>
      <c r="IK12" s="15" t="str">
        <f t="shared" si="89"/>
        <v/>
      </c>
      <c r="IL12" s="15" t="str">
        <f t="shared" si="90"/>
        <v/>
      </c>
      <c r="IM12" s="39"/>
      <c r="IN12" s="39"/>
      <c r="IO12" s="39"/>
      <c r="IP12" s="39"/>
      <c r="IQ12" s="39"/>
      <c r="IR12" s="39"/>
      <c r="IS12" s="39"/>
      <c r="IT12" s="39"/>
      <c r="IU12" s="39"/>
      <c r="IV12" s="39"/>
      <c r="IW12" s="39"/>
      <c r="IX12" s="39"/>
      <c r="IY12" s="39"/>
      <c r="IZ12" s="39"/>
      <c r="JA12" s="39"/>
      <c r="JB12" s="12" t="str">
        <f t="shared" si="91"/>
        <v/>
      </c>
      <c r="JC12" s="12" t="str">
        <f t="shared" si="92"/>
        <v/>
      </c>
      <c r="JD12" s="12" t="str">
        <f t="shared" si="93"/>
        <v/>
      </c>
      <c r="JE12" s="12" t="str">
        <f t="shared" si="94"/>
        <v/>
      </c>
      <c r="JF12" s="12" t="str">
        <f t="shared" si="95"/>
        <v/>
      </c>
      <c r="JG12" s="12" t="str">
        <f t="shared" si="96"/>
        <v/>
      </c>
      <c r="JH12" s="12" t="str">
        <f t="shared" si="97"/>
        <v/>
      </c>
      <c r="JI12" s="40"/>
      <c r="JJ12" s="40"/>
      <c r="JK12" s="40"/>
      <c r="JL12" s="40"/>
      <c r="JM12" s="40"/>
      <c r="JN12" s="40"/>
      <c r="JO12" s="40"/>
      <c r="JP12" s="40"/>
      <c r="JQ12" s="40"/>
      <c r="JR12" s="40"/>
      <c r="JS12" s="40"/>
      <c r="JT12" s="40"/>
      <c r="JU12" s="40"/>
      <c r="JV12" s="40"/>
      <c r="JW12" s="40"/>
      <c r="JX12" s="15" t="str">
        <f t="shared" si="98"/>
        <v/>
      </c>
      <c r="JY12" s="15" t="str">
        <f t="shared" si="99"/>
        <v/>
      </c>
      <c r="JZ12" s="15" t="str">
        <f t="shared" si="100"/>
        <v/>
      </c>
      <c r="KA12" s="15" t="str">
        <f t="shared" si="101"/>
        <v/>
      </c>
      <c r="KB12" s="15" t="str">
        <f t="shared" si="102"/>
        <v/>
      </c>
      <c r="KC12" s="15" t="str">
        <f t="shared" si="103"/>
        <v/>
      </c>
      <c r="KD12" s="15" t="str">
        <f t="shared" si="104"/>
        <v/>
      </c>
      <c r="KE12" s="39"/>
      <c r="KF12" s="39"/>
      <c r="KG12" s="39"/>
      <c r="KH12" s="39"/>
      <c r="KI12" s="39"/>
      <c r="KJ12" s="39"/>
      <c r="KK12" s="39"/>
      <c r="KL12" s="39"/>
      <c r="KM12" s="39"/>
      <c r="KN12" s="39"/>
      <c r="KO12" s="39"/>
      <c r="KP12" s="39"/>
      <c r="KQ12" s="39"/>
      <c r="KR12" s="39"/>
      <c r="KS12" s="39"/>
      <c r="KT12" s="12" t="str">
        <f t="shared" si="105"/>
        <v/>
      </c>
      <c r="KU12" s="12" t="str">
        <f t="shared" si="106"/>
        <v/>
      </c>
      <c r="KV12" s="12" t="str">
        <f t="shared" si="107"/>
        <v/>
      </c>
      <c r="KW12" s="12" t="str">
        <f t="shared" si="108"/>
        <v/>
      </c>
      <c r="KX12" s="12" t="str">
        <f t="shared" si="109"/>
        <v/>
      </c>
      <c r="KY12" s="12" t="str">
        <f t="shared" si="110"/>
        <v/>
      </c>
      <c r="KZ12" s="12" t="str">
        <f t="shared" si="111"/>
        <v/>
      </c>
      <c r="LA12" s="40"/>
      <c r="LB12" s="40"/>
      <c r="LC12" s="40"/>
      <c r="LD12" s="40"/>
      <c r="LE12" s="40"/>
      <c r="LF12" s="40"/>
      <c r="LG12" s="40"/>
      <c r="LH12" s="40"/>
      <c r="LI12" s="40"/>
      <c r="LJ12" s="40"/>
      <c r="LK12" s="40"/>
      <c r="LL12" s="40"/>
      <c r="LM12" s="40"/>
      <c r="LN12" s="40"/>
      <c r="LO12" s="40"/>
      <c r="LP12" s="15" t="str">
        <f t="shared" si="112"/>
        <v/>
      </c>
      <c r="LQ12" s="15" t="str">
        <f t="shared" si="113"/>
        <v/>
      </c>
      <c r="LR12" s="15" t="str">
        <f t="shared" si="114"/>
        <v/>
      </c>
      <c r="LS12" s="15" t="str">
        <f t="shared" si="115"/>
        <v/>
      </c>
      <c r="LT12" s="15" t="str">
        <f t="shared" si="116"/>
        <v/>
      </c>
      <c r="LU12" s="15" t="str">
        <f t="shared" si="117"/>
        <v/>
      </c>
      <c r="LV12" s="15" t="str">
        <f t="shared" si="118"/>
        <v/>
      </c>
      <c r="LW12" s="71">
        <f t="shared" si="126"/>
        <v>4.375</v>
      </c>
      <c r="LX12" s="71">
        <f t="shared" si="119"/>
        <v>4.55</v>
      </c>
      <c r="LY12" s="71">
        <f t="shared" si="119"/>
        <v>2</v>
      </c>
      <c r="LZ12" s="71">
        <f t="shared" si="119"/>
        <v>8.6</v>
      </c>
      <c r="MA12" s="71">
        <f t="shared" si="119"/>
        <v>0</v>
      </c>
      <c r="MB12" s="71">
        <f t="shared" si="119"/>
        <v>2.1</v>
      </c>
      <c r="MC12" s="71">
        <f t="shared" si="119"/>
        <v>2.3250000000000002</v>
      </c>
      <c r="MD12" s="71">
        <f t="shared" si="119"/>
        <v>2.95</v>
      </c>
      <c r="ME12" s="71">
        <f t="shared" si="119"/>
        <v>4.1900000000000004</v>
      </c>
      <c r="MF12" s="71">
        <f t="shared" si="119"/>
        <v>0</v>
      </c>
      <c r="MG12" s="71">
        <f t="shared" si="119"/>
        <v>2.4750000000000001</v>
      </c>
      <c r="MH12" s="71">
        <f t="shared" si="119"/>
        <v>2.75</v>
      </c>
      <c r="MI12" s="71">
        <f t="shared" si="119"/>
        <v>3.65</v>
      </c>
      <c r="MJ12" s="71">
        <f t="shared" si="119"/>
        <v>5.54</v>
      </c>
      <c r="MK12" s="71">
        <f t="shared" si="119"/>
        <v>0</v>
      </c>
      <c r="ML12" s="82" t="s">
        <v>100</v>
      </c>
      <c r="MM12" s="12">
        <f t="shared" si="127"/>
        <v>2.95</v>
      </c>
      <c r="MN12" s="12">
        <f t="shared" si="128"/>
        <v>19.524999999999999</v>
      </c>
      <c r="MO12" s="12">
        <f t="shared" si="129"/>
        <v>11.565000000000001</v>
      </c>
      <c r="MP12" s="12">
        <f t="shared" si="130"/>
        <v>31.09</v>
      </c>
      <c r="MQ12" s="12">
        <f t="shared" si="131"/>
        <v>3.65</v>
      </c>
      <c r="MR12" s="12">
        <f t="shared" si="132"/>
        <v>14.414999999999999</v>
      </c>
      <c r="MS12" s="12">
        <f t="shared" si="133"/>
        <v>45.504999999999995</v>
      </c>
    </row>
    <row r="13" spans="1:357" x14ac:dyDescent="0.2">
      <c r="A13" s="6" t="str">
        <f t="shared" si="0"/>
        <v/>
      </c>
      <c r="B13" s="7" t="s">
        <v>187</v>
      </c>
      <c r="C13" s="8" t="s">
        <v>10</v>
      </c>
      <c r="D13" s="6" t="s">
        <v>104</v>
      </c>
      <c r="E13" s="16">
        <f t="shared" si="1"/>
        <v>79.649999999999991</v>
      </c>
      <c r="F13" s="4" t="str">
        <f t="shared" si="2"/>
        <v/>
      </c>
      <c r="G13" s="4" t="str">
        <f t="shared" si="3"/>
        <v/>
      </c>
      <c r="H13" s="4" t="str">
        <f t="shared" si="4"/>
        <v/>
      </c>
      <c r="I13" t="str">
        <f t="shared" si="5"/>
        <v/>
      </c>
      <c r="J13" s="15">
        <f t="shared" si="6"/>
        <v>74.509999999999991</v>
      </c>
      <c r="K13" s="15" t="str">
        <f t="shared" si="7"/>
        <v>2019 Nationals</v>
      </c>
      <c r="L13" s="15" t="str">
        <f t="shared" si="8"/>
        <v/>
      </c>
      <c r="M13" s="15" t="str">
        <f t="shared" si="9"/>
        <v/>
      </c>
      <c r="N13" s="15" t="str">
        <f t="shared" si="10"/>
        <v/>
      </c>
      <c r="O13" s="15" t="str">
        <f t="shared" si="11"/>
        <v/>
      </c>
      <c r="P13" s="15">
        <f t="shared" si="12"/>
        <v>5.1400000000000006</v>
      </c>
      <c r="Q13" s="15" t="str">
        <f t="shared" si="13"/>
        <v>2019 Nationals</v>
      </c>
      <c r="R13" s="15" t="str">
        <f t="shared" si="14"/>
        <v/>
      </c>
      <c r="S13" s="27" t="str">
        <f t="shared" si="15"/>
        <v/>
      </c>
      <c r="T13" s="15" t="str">
        <f t="shared" si="16"/>
        <v/>
      </c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82"/>
      <c r="AK13" s="12" t="str">
        <f t="shared" si="17"/>
        <v/>
      </c>
      <c r="AL13" s="12" t="str">
        <f t="shared" si="18"/>
        <v/>
      </c>
      <c r="AM13" s="12" t="str">
        <f t="shared" si="19"/>
        <v/>
      </c>
      <c r="AN13" s="12" t="str">
        <f t="shared" si="20"/>
        <v/>
      </c>
      <c r="AO13" s="12" t="str">
        <f t="shared" si="21"/>
        <v/>
      </c>
      <c r="AP13" s="12" t="str">
        <f t="shared" si="22"/>
        <v/>
      </c>
      <c r="AQ13" s="12" t="str">
        <f t="shared" si="23"/>
        <v/>
      </c>
      <c r="AR13" s="42">
        <v>6.55</v>
      </c>
      <c r="AS13" s="42">
        <v>6.4</v>
      </c>
      <c r="AT13" s="42">
        <v>1.3</v>
      </c>
      <c r="AU13" s="42">
        <v>11.72</v>
      </c>
      <c r="AV13" s="42">
        <v>0</v>
      </c>
      <c r="AW13" s="42">
        <v>8.15</v>
      </c>
      <c r="AX13" s="42">
        <v>8.9499999999999993</v>
      </c>
      <c r="AY13" s="42">
        <v>13.4</v>
      </c>
      <c r="AZ13" s="42">
        <v>18.04</v>
      </c>
      <c r="BA13" s="42">
        <v>0</v>
      </c>
      <c r="BB13" s="42">
        <v>0.85</v>
      </c>
      <c r="BC13" s="42">
        <v>0.95</v>
      </c>
      <c r="BD13" s="42">
        <v>2</v>
      </c>
      <c r="BE13" s="42">
        <v>1.94</v>
      </c>
      <c r="BF13" s="42">
        <v>0.6</v>
      </c>
      <c r="BG13" s="83"/>
      <c r="BH13" s="15">
        <f t="shared" si="24"/>
        <v>13.4</v>
      </c>
      <c r="BI13" s="15">
        <f t="shared" si="25"/>
        <v>25.97</v>
      </c>
      <c r="BJ13" s="15">
        <f t="shared" si="26"/>
        <v>48.54</v>
      </c>
      <c r="BK13" s="15">
        <f t="shared" si="27"/>
        <v>74.509999999999991</v>
      </c>
      <c r="BL13" s="15">
        <f t="shared" si="28"/>
        <v>2</v>
      </c>
      <c r="BM13" s="15">
        <f t="shared" si="29"/>
        <v>5.1400000000000006</v>
      </c>
      <c r="BN13" s="15">
        <f t="shared" si="30"/>
        <v>79.649999999999991</v>
      </c>
      <c r="BO13" s="26" t="str">
        <f t="shared" si="31"/>
        <v/>
      </c>
      <c r="BP13" s="26" t="str">
        <f t="shared" si="32"/>
        <v/>
      </c>
      <c r="BQ13" s="26" t="str">
        <f t="shared" si="33"/>
        <v/>
      </c>
      <c r="BR13" s="26" t="str">
        <f t="shared" si="34"/>
        <v/>
      </c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12" t="str">
        <f t="shared" si="35"/>
        <v/>
      </c>
      <c r="CI13" s="12" t="str">
        <f t="shared" si="36"/>
        <v/>
      </c>
      <c r="CJ13" s="12" t="str">
        <f t="shared" si="37"/>
        <v/>
      </c>
      <c r="CK13" s="12" t="str">
        <f t="shared" si="38"/>
        <v/>
      </c>
      <c r="CL13" s="12" t="str">
        <f t="shared" si="39"/>
        <v/>
      </c>
      <c r="CM13" s="12" t="str">
        <f t="shared" si="40"/>
        <v/>
      </c>
      <c r="CN13" s="12" t="str">
        <f t="shared" si="41"/>
        <v/>
      </c>
      <c r="CO13" s="40"/>
      <c r="CP13" s="40"/>
      <c r="CQ13" s="40"/>
      <c r="CR13" s="40"/>
      <c r="CS13" s="40"/>
      <c r="CT13" s="40"/>
      <c r="CU13" s="40"/>
      <c r="CV13" s="40"/>
      <c r="CW13" s="40"/>
      <c r="CX13" s="40"/>
      <c r="CY13" s="40"/>
      <c r="CZ13" s="40"/>
      <c r="DA13" s="40"/>
      <c r="DB13" s="40"/>
      <c r="DC13" s="40"/>
      <c r="DD13" s="15" t="str">
        <f t="shared" si="42"/>
        <v/>
      </c>
      <c r="DE13" s="15" t="str">
        <f t="shared" si="43"/>
        <v/>
      </c>
      <c r="DF13" s="15" t="str">
        <f t="shared" si="44"/>
        <v/>
      </c>
      <c r="DG13" s="15" t="str">
        <f t="shared" si="45"/>
        <v/>
      </c>
      <c r="DH13" s="15" t="str">
        <f t="shared" si="46"/>
        <v/>
      </c>
      <c r="DI13" s="15" t="str">
        <f t="shared" si="47"/>
        <v/>
      </c>
      <c r="DJ13" s="15" t="str">
        <f t="shared" si="48"/>
        <v/>
      </c>
      <c r="DK13" s="39"/>
      <c r="DL13" s="39"/>
      <c r="DM13" s="39"/>
      <c r="DN13" s="39"/>
      <c r="DO13" s="39"/>
      <c r="DP13" s="39"/>
      <c r="DQ13" s="39"/>
      <c r="DR13" s="39"/>
      <c r="DS13" s="39"/>
      <c r="DT13" s="39"/>
      <c r="DU13" s="39"/>
      <c r="DV13" s="39"/>
      <c r="DW13" s="39"/>
      <c r="DX13" s="39"/>
      <c r="DY13" s="39"/>
      <c r="DZ13" s="12" t="str">
        <f t="shared" si="49"/>
        <v/>
      </c>
      <c r="EA13" s="12" t="str">
        <f t="shared" si="50"/>
        <v/>
      </c>
      <c r="EB13" s="12" t="str">
        <f t="shared" si="51"/>
        <v/>
      </c>
      <c r="EC13" s="12" t="str">
        <f t="shared" si="52"/>
        <v/>
      </c>
      <c r="ED13" s="12" t="str">
        <f t="shared" si="53"/>
        <v/>
      </c>
      <c r="EE13" s="12" t="str">
        <f t="shared" si="54"/>
        <v/>
      </c>
      <c r="EF13" s="12" t="str">
        <f t="shared" si="55"/>
        <v/>
      </c>
      <c r="EG13" s="40"/>
      <c r="EH13" s="40"/>
      <c r="EI13" s="40"/>
      <c r="EJ13" s="40"/>
      <c r="EK13" s="40"/>
      <c r="EL13" s="40"/>
      <c r="EM13" s="40"/>
      <c r="EN13" s="40"/>
      <c r="EO13" s="40"/>
      <c r="EP13" s="40"/>
      <c r="EQ13" s="40"/>
      <c r="ER13" s="40"/>
      <c r="ES13" s="40"/>
      <c r="ET13" s="40"/>
      <c r="EU13" s="40"/>
      <c r="EV13" s="15" t="str">
        <f t="shared" si="56"/>
        <v/>
      </c>
      <c r="EW13" s="15" t="str">
        <f t="shared" si="57"/>
        <v/>
      </c>
      <c r="EX13" s="15" t="str">
        <f t="shared" si="58"/>
        <v/>
      </c>
      <c r="EY13" s="15" t="str">
        <f t="shared" si="59"/>
        <v/>
      </c>
      <c r="EZ13" s="15" t="str">
        <f t="shared" si="60"/>
        <v/>
      </c>
      <c r="FA13" s="15" t="str">
        <f t="shared" si="61"/>
        <v/>
      </c>
      <c r="FB13" s="15" t="str">
        <f t="shared" si="62"/>
        <v/>
      </c>
      <c r="FC13" s="39"/>
      <c r="FD13" s="39"/>
      <c r="FE13" s="39"/>
      <c r="FF13" s="39"/>
      <c r="FG13" s="39"/>
      <c r="FH13" s="39"/>
      <c r="FI13" s="39"/>
      <c r="FJ13" s="39"/>
      <c r="FK13" s="39"/>
      <c r="FL13" s="39"/>
      <c r="FM13" s="39"/>
      <c r="FN13" s="39"/>
      <c r="FO13" s="39"/>
      <c r="FP13" s="39"/>
      <c r="FQ13" s="39"/>
      <c r="FR13" s="12" t="str">
        <f t="shared" si="63"/>
        <v/>
      </c>
      <c r="FS13" s="12" t="str">
        <f t="shared" si="64"/>
        <v/>
      </c>
      <c r="FT13" s="12" t="str">
        <f t="shared" si="65"/>
        <v/>
      </c>
      <c r="FU13" s="12" t="str">
        <f t="shared" si="66"/>
        <v/>
      </c>
      <c r="FV13" s="12" t="str">
        <f t="shared" si="67"/>
        <v/>
      </c>
      <c r="FW13" s="12" t="str">
        <f t="shared" si="68"/>
        <v/>
      </c>
      <c r="FX13" s="12" t="str">
        <f t="shared" si="69"/>
        <v/>
      </c>
      <c r="FY13" s="40"/>
      <c r="FZ13" s="40"/>
      <c r="GA13" s="40"/>
      <c r="GB13" s="40"/>
      <c r="GC13" s="40"/>
      <c r="GD13" s="40"/>
      <c r="GE13" s="40"/>
      <c r="GF13" s="40"/>
      <c r="GG13" s="40"/>
      <c r="GH13" s="40"/>
      <c r="GI13" s="40"/>
      <c r="GJ13" s="40"/>
      <c r="GK13" s="40"/>
      <c r="GL13" s="40"/>
      <c r="GM13" s="40"/>
      <c r="GN13" s="15" t="str">
        <f t="shared" si="70"/>
        <v/>
      </c>
      <c r="GO13" s="15" t="str">
        <f t="shared" si="71"/>
        <v/>
      </c>
      <c r="GP13" s="15" t="str">
        <f t="shared" si="72"/>
        <v/>
      </c>
      <c r="GQ13" s="15" t="str">
        <f t="shared" si="73"/>
        <v/>
      </c>
      <c r="GR13" s="15" t="str">
        <f t="shared" si="74"/>
        <v/>
      </c>
      <c r="GS13" s="15" t="str">
        <f t="shared" si="75"/>
        <v/>
      </c>
      <c r="GT13" s="15" t="str">
        <f t="shared" si="76"/>
        <v/>
      </c>
      <c r="GU13" s="39"/>
      <c r="GV13" s="39"/>
      <c r="GW13" s="39"/>
      <c r="GX13" s="39"/>
      <c r="GY13" s="39"/>
      <c r="GZ13" s="39"/>
      <c r="HA13" s="39"/>
      <c r="HB13" s="39"/>
      <c r="HC13" s="39"/>
      <c r="HD13" s="39"/>
      <c r="HE13" s="39"/>
      <c r="HF13" s="39"/>
      <c r="HG13" s="39"/>
      <c r="HH13" s="39"/>
      <c r="HI13" s="39"/>
      <c r="HJ13" s="12" t="str">
        <f t="shared" si="77"/>
        <v/>
      </c>
      <c r="HK13" s="12" t="str">
        <f t="shared" si="78"/>
        <v/>
      </c>
      <c r="HL13" s="12" t="str">
        <f t="shared" si="79"/>
        <v/>
      </c>
      <c r="HM13" s="12" t="str">
        <f t="shared" si="80"/>
        <v/>
      </c>
      <c r="HN13" s="12" t="str">
        <f t="shared" si="81"/>
        <v/>
      </c>
      <c r="HO13" s="12" t="str">
        <f t="shared" si="82"/>
        <v/>
      </c>
      <c r="HP13" s="12" t="str">
        <f t="shared" si="83"/>
        <v/>
      </c>
      <c r="HQ13" s="40"/>
      <c r="HR13" s="40"/>
      <c r="HS13" s="40"/>
      <c r="HT13" s="40"/>
      <c r="HU13" s="40"/>
      <c r="HV13" s="40"/>
      <c r="HW13" s="40"/>
      <c r="HX13" s="40"/>
      <c r="HY13" s="40"/>
      <c r="HZ13" s="40"/>
      <c r="IA13" s="40"/>
      <c r="IB13" s="40"/>
      <c r="IC13" s="40"/>
      <c r="ID13" s="40"/>
      <c r="IE13" s="40"/>
      <c r="IF13" s="15" t="str">
        <f t="shared" si="84"/>
        <v/>
      </c>
      <c r="IG13" s="15" t="str">
        <f t="shared" si="85"/>
        <v/>
      </c>
      <c r="IH13" s="15" t="str">
        <f t="shared" si="86"/>
        <v/>
      </c>
      <c r="II13" s="15" t="str">
        <f t="shared" si="87"/>
        <v/>
      </c>
      <c r="IJ13" s="15" t="str">
        <f t="shared" si="88"/>
        <v/>
      </c>
      <c r="IK13" s="15" t="str">
        <f t="shared" si="89"/>
        <v/>
      </c>
      <c r="IL13" s="15" t="str">
        <f t="shared" si="90"/>
        <v/>
      </c>
      <c r="IM13" s="39"/>
      <c r="IN13" s="39"/>
      <c r="IO13" s="39"/>
      <c r="IP13" s="39"/>
      <c r="IQ13" s="39"/>
      <c r="IR13" s="39"/>
      <c r="IS13" s="39"/>
      <c r="IT13" s="39"/>
      <c r="IU13" s="39"/>
      <c r="IV13" s="39"/>
      <c r="IW13" s="39"/>
      <c r="IX13" s="39"/>
      <c r="IY13" s="39"/>
      <c r="IZ13" s="39"/>
      <c r="JA13" s="39"/>
      <c r="JB13" s="12" t="str">
        <f t="shared" si="91"/>
        <v/>
      </c>
      <c r="JC13" s="12" t="str">
        <f t="shared" si="92"/>
        <v/>
      </c>
      <c r="JD13" s="12" t="str">
        <f t="shared" si="93"/>
        <v/>
      </c>
      <c r="JE13" s="12" t="str">
        <f t="shared" si="94"/>
        <v/>
      </c>
      <c r="JF13" s="12" t="str">
        <f t="shared" si="95"/>
        <v/>
      </c>
      <c r="JG13" s="12" t="str">
        <f t="shared" si="96"/>
        <v/>
      </c>
      <c r="JH13" s="12" t="str">
        <f t="shared" si="97"/>
        <v/>
      </c>
      <c r="JI13" s="40"/>
      <c r="JJ13" s="40"/>
      <c r="JK13" s="40"/>
      <c r="JL13" s="40"/>
      <c r="JM13" s="40"/>
      <c r="JN13" s="40"/>
      <c r="JO13" s="40"/>
      <c r="JP13" s="40"/>
      <c r="JQ13" s="40"/>
      <c r="JR13" s="40"/>
      <c r="JS13" s="40"/>
      <c r="JT13" s="40"/>
      <c r="JU13" s="40"/>
      <c r="JV13" s="40"/>
      <c r="JW13" s="40"/>
      <c r="JX13" s="15" t="str">
        <f t="shared" si="98"/>
        <v/>
      </c>
      <c r="JY13" s="15" t="str">
        <f t="shared" si="99"/>
        <v/>
      </c>
      <c r="JZ13" s="15" t="str">
        <f t="shared" si="100"/>
        <v/>
      </c>
      <c r="KA13" s="15" t="str">
        <f t="shared" si="101"/>
        <v/>
      </c>
      <c r="KB13" s="15" t="str">
        <f t="shared" si="102"/>
        <v/>
      </c>
      <c r="KC13" s="15" t="str">
        <f t="shared" si="103"/>
        <v/>
      </c>
      <c r="KD13" s="15" t="str">
        <f t="shared" si="104"/>
        <v/>
      </c>
      <c r="KE13" s="39"/>
      <c r="KF13" s="39"/>
      <c r="KG13" s="39"/>
      <c r="KH13" s="39"/>
      <c r="KI13" s="39"/>
      <c r="KJ13" s="39"/>
      <c r="KK13" s="39"/>
      <c r="KL13" s="39"/>
      <c r="KM13" s="39"/>
      <c r="KN13" s="39"/>
      <c r="KO13" s="39"/>
      <c r="KP13" s="39"/>
      <c r="KQ13" s="39"/>
      <c r="KR13" s="39"/>
      <c r="KS13" s="39"/>
      <c r="KT13" s="12" t="str">
        <f t="shared" si="105"/>
        <v/>
      </c>
      <c r="KU13" s="12" t="str">
        <f t="shared" si="106"/>
        <v/>
      </c>
      <c r="KV13" s="12" t="str">
        <f t="shared" si="107"/>
        <v/>
      </c>
      <c r="KW13" s="12" t="str">
        <f t="shared" si="108"/>
        <v/>
      </c>
      <c r="KX13" s="12" t="str">
        <f t="shared" si="109"/>
        <v/>
      </c>
      <c r="KY13" s="12" t="str">
        <f t="shared" si="110"/>
        <v/>
      </c>
      <c r="KZ13" s="12" t="str">
        <f t="shared" si="111"/>
        <v/>
      </c>
      <c r="LA13" s="40"/>
      <c r="LB13" s="40"/>
      <c r="LC13" s="40"/>
      <c r="LD13" s="40"/>
      <c r="LE13" s="40"/>
      <c r="LF13" s="40"/>
      <c r="LG13" s="40"/>
      <c r="LH13" s="40"/>
      <c r="LI13" s="40"/>
      <c r="LJ13" s="40"/>
      <c r="LK13" s="40"/>
      <c r="LL13" s="40"/>
      <c r="LM13" s="40"/>
      <c r="LN13" s="40"/>
      <c r="LO13" s="40"/>
      <c r="LP13" s="15" t="str">
        <f t="shared" si="112"/>
        <v/>
      </c>
      <c r="LQ13" s="15" t="str">
        <f t="shared" si="113"/>
        <v/>
      </c>
      <c r="LR13" s="15" t="str">
        <f t="shared" si="114"/>
        <v/>
      </c>
      <c r="LS13" s="15" t="str">
        <f t="shared" si="115"/>
        <v/>
      </c>
      <c r="LT13" s="15" t="str">
        <f t="shared" si="116"/>
        <v/>
      </c>
      <c r="LU13" s="15" t="str">
        <f t="shared" si="117"/>
        <v/>
      </c>
      <c r="LV13" s="15" t="str">
        <f t="shared" si="118"/>
        <v/>
      </c>
      <c r="LW13" s="71">
        <f t="shared" si="126"/>
        <v>3.2749999999999999</v>
      </c>
      <c r="LX13" s="71">
        <f t="shared" si="119"/>
        <v>3.2</v>
      </c>
      <c r="LY13" s="71">
        <f t="shared" si="119"/>
        <v>0.65</v>
      </c>
      <c r="LZ13" s="71">
        <f t="shared" si="119"/>
        <v>5.86</v>
      </c>
      <c r="MA13" s="71">
        <f t="shared" si="119"/>
        <v>0</v>
      </c>
      <c r="MB13" s="71">
        <f t="shared" si="119"/>
        <v>4.0750000000000002</v>
      </c>
      <c r="MC13" s="71">
        <f t="shared" si="119"/>
        <v>4.4749999999999996</v>
      </c>
      <c r="MD13" s="71">
        <f t="shared" si="119"/>
        <v>6.7</v>
      </c>
      <c r="ME13" s="71">
        <f t="shared" si="119"/>
        <v>9.02</v>
      </c>
      <c r="MF13" s="71">
        <f t="shared" si="119"/>
        <v>0</v>
      </c>
      <c r="MG13" s="71">
        <f t="shared" si="119"/>
        <v>0.42499999999999999</v>
      </c>
      <c r="MH13" s="71">
        <f t="shared" si="119"/>
        <v>0.47499999999999998</v>
      </c>
      <c r="MI13" s="71">
        <f t="shared" si="119"/>
        <v>1</v>
      </c>
      <c r="MJ13" s="71">
        <f t="shared" si="119"/>
        <v>0.97</v>
      </c>
      <c r="MK13" s="71">
        <f t="shared" si="119"/>
        <v>0.3</v>
      </c>
      <c r="ML13" s="82" t="s">
        <v>100</v>
      </c>
      <c r="MM13" s="12">
        <f t="shared" si="127"/>
        <v>6.7</v>
      </c>
      <c r="MN13" s="12">
        <f t="shared" si="128"/>
        <v>12.984999999999999</v>
      </c>
      <c r="MO13" s="12">
        <f t="shared" si="129"/>
        <v>24.27</v>
      </c>
      <c r="MP13" s="12">
        <f t="shared" si="130"/>
        <v>37.254999999999995</v>
      </c>
      <c r="MQ13" s="12">
        <f t="shared" si="131"/>
        <v>1</v>
      </c>
      <c r="MR13" s="12">
        <f t="shared" si="132"/>
        <v>2.5700000000000003</v>
      </c>
      <c r="MS13" s="12">
        <f t="shared" si="133"/>
        <v>39.824999999999996</v>
      </c>
    </row>
    <row r="14" spans="1:357" x14ac:dyDescent="0.2">
      <c r="A14" s="6" t="str">
        <f t="shared" si="0"/>
        <v/>
      </c>
      <c r="B14" s="9" t="s">
        <v>139</v>
      </c>
      <c r="C14" s="5" t="s">
        <v>140</v>
      </c>
      <c r="D14" s="29" t="s">
        <v>105</v>
      </c>
      <c r="E14" s="16">
        <f t="shared" si="1"/>
        <v>45.67</v>
      </c>
      <c r="F14" s="4" t="str">
        <f t="shared" si="2"/>
        <v/>
      </c>
      <c r="G14" s="4" t="str">
        <f t="shared" si="3"/>
        <v/>
      </c>
      <c r="H14" s="4" t="str">
        <f t="shared" si="4"/>
        <v/>
      </c>
      <c r="I14" t="str">
        <f t="shared" si="5"/>
        <v/>
      </c>
      <c r="J14" s="15" t="str">
        <f t="shared" si="6"/>
        <v/>
      </c>
      <c r="K14" s="15" t="str">
        <f t="shared" si="7"/>
        <v/>
      </c>
      <c r="L14" s="15" t="str">
        <f t="shared" si="8"/>
        <v/>
      </c>
      <c r="M14" s="15" t="str">
        <f t="shared" si="9"/>
        <v/>
      </c>
      <c r="N14" s="15" t="str">
        <f t="shared" si="10"/>
        <v/>
      </c>
      <c r="O14" s="15" t="str">
        <f t="shared" si="11"/>
        <v/>
      </c>
      <c r="P14" s="15" t="str">
        <f t="shared" si="12"/>
        <v/>
      </c>
      <c r="Q14" s="15" t="str">
        <f t="shared" si="13"/>
        <v/>
      </c>
      <c r="R14" s="15">
        <f t="shared" si="14"/>
        <v>45.67</v>
      </c>
      <c r="S14" s="27" t="str">
        <f t="shared" si="15"/>
        <v>(Vol 2)</v>
      </c>
      <c r="T14" s="15" t="str">
        <f t="shared" si="16"/>
        <v>2018 World Age Groups (Nov 18)</v>
      </c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82"/>
      <c r="AK14" s="12" t="str">
        <f t="shared" si="17"/>
        <v/>
      </c>
      <c r="AL14" s="12" t="str">
        <f t="shared" si="18"/>
        <v/>
      </c>
      <c r="AM14" s="12" t="str">
        <f t="shared" si="19"/>
        <v/>
      </c>
      <c r="AN14" s="12" t="str">
        <f t="shared" si="20"/>
        <v/>
      </c>
      <c r="AO14" s="12" t="str">
        <f t="shared" si="21"/>
        <v/>
      </c>
      <c r="AP14" s="12" t="str">
        <f t="shared" si="22"/>
        <v/>
      </c>
      <c r="AQ14" s="12" t="str">
        <f t="shared" si="23"/>
        <v/>
      </c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83"/>
      <c r="BH14" s="15" t="str">
        <f t="shared" si="24"/>
        <v/>
      </c>
      <c r="BI14" s="15" t="str">
        <f t="shared" si="25"/>
        <v/>
      </c>
      <c r="BJ14" s="15" t="str">
        <f t="shared" si="26"/>
        <v/>
      </c>
      <c r="BK14" s="15" t="str">
        <f t="shared" si="27"/>
        <v/>
      </c>
      <c r="BL14" s="15" t="str">
        <f t="shared" si="28"/>
        <v/>
      </c>
      <c r="BM14" s="15" t="str">
        <f t="shared" si="29"/>
        <v/>
      </c>
      <c r="BN14" s="15" t="str">
        <f t="shared" si="30"/>
        <v/>
      </c>
      <c r="BO14" s="26" t="str">
        <f t="shared" si="31"/>
        <v/>
      </c>
      <c r="BP14" s="26">
        <f t="shared" si="32"/>
        <v>45.67</v>
      </c>
      <c r="BQ14" s="26">
        <f t="shared" si="33"/>
        <v>45.67</v>
      </c>
      <c r="BR14" s="26" t="str">
        <f t="shared" si="34"/>
        <v/>
      </c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12" t="str">
        <f t="shared" si="35"/>
        <v/>
      </c>
      <c r="CI14" s="12" t="str">
        <f t="shared" si="36"/>
        <v/>
      </c>
      <c r="CJ14" s="12" t="str">
        <f t="shared" si="37"/>
        <v/>
      </c>
      <c r="CK14" s="12" t="str">
        <f t="shared" si="38"/>
        <v/>
      </c>
      <c r="CL14" s="12" t="str">
        <f t="shared" si="39"/>
        <v/>
      </c>
      <c r="CM14" s="12" t="str">
        <f t="shared" si="40"/>
        <v/>
      </c>
      <c r="CN14" s="12" t="str">
        <f t="shared" si="41"/>
        <v/>
      </c>
      <c r="CO14" s="40"/>
      <c r="CP14" s="40"/>
      <c r="CQ14" s="40"/>
      <c r="CR14" s="40"/>
      <c r="CS14" s="40"/>
      <c r="CT14" s="40"/>
      <c r="CU14" s="40"/>
      <c r="CV14" s="40"/>
      <c r="CW14" s="40"/>
      <c r="CX14" s="40"/>
      <c r="CY14" s="40"/>
      <c r="CZ14" s="40"/>
      <c r="DA14" s="40"/>
      <c r="DB14" s="40"/>
      <c r="DC14" s="40"/>
      <c r="DD14" s="15" t="str">
        <f t="shared" si="42"/>
        <v/>
      </c>
      <c r="DE14" s="15" t="str">
        <f t="shared" si="43"/>
        <v/>
      </c>
      <c r="DF14" s="15" t="str">
        <f t="shared" si="44"/>
        <v/>
      </c>
      <c r="DG14" s="15" t="str">
        <f t="shared" si="45"/>
        <v/>
      </c>
      <c r="DH14" s="15" t="str">
        <f t="shared" si="46"/>
        <v/>
      </c>
      <c r="DI14" s="15" t="str">
        <f t="shared" si="47"/>
        <v/>
      </c>
      <c r="DJ14" s="15" t="str">
        <f t="shared" si="48"/>
        <v/>
      </c>
      <c r="DK14" s="39"/>
      <c r="DL14" s="39"/>
      <c r="DM14" s="39"/>
      <c r="DN14" s="39"/>
      <c r="DO14" s="39"/>
      <c r="DP14" s="39">
        <v>7.2</v>
      </c>
      <c r="DQ14" s="39">
        <v>9.0500000000000007</v>
      </c>
      <c r="DR14" s="39">
        <v>12.4</v>
      </c>
      <c r="DS14" s="39">
        <v>17.02</v>
      </c>
      <c r="DT14" s="39">
        <v>0</v>
      </c>
      <c r="DU14" s="39"/>
      <c r="DV14" s="39"/>
      <c r="DW14" s="39"/>
      <c r="DX14" s="39"/>
      <c r="DY14" s="39"/>
      <c r="DZ14" s="12">
        <f t="shared" si="49"/>
        <v>12.4</v>
      </c>
      <c r="EA14" s="12" t="str">
        <f t="shared" si="50"/>
        <v/>
      </c>
      <c r="EB14" s="12">
        <f t="shared" si="51"/>
        <v>45.67</v>
      </c>
      <c r="EC14" s="12">
        <f t="shared" si="52"/>
        <v>45.67</v>
      </c>
      <c r="ED14" s="12" t="str">
        <f t="shared" si="53"/>
        <v/>
      </c>
      <c r="EE14" s="12" t="str">
        <f t="shared" si="54"/>
        <v/>
      </c>
      <c r="EF14" s="12">
        <f t="shared" si="55"/>
        <v>45.67</v>
      </c>
      <c r="EG14" s="40"/>
      <c r="EH14" s="40"/>
      <c r="EI14" s="40"/>
      <c r="EJ14" s="40"/>
      <c r="EK14" s="40"/>
      <c r="EL14" s="40"/>
      <c r="EM14" s="40"/>
      <c r="EN14" s="40"/>
      <c r="EO14" s="40"/>
      <c r="EP14" s="40"/>
      <c r="EQ14" s="40"/>
      <c r="ER14" s="40"/>
      <c r="ES14" s="40"/>
      <c r="ET14" s="40"/>
      <c r="EU14" s="40"/>
      <c r="EV14" s="15" t="str">
        <f t="shared" si="56"/>
        <v/>
      </c>
      <c r="EW14" s="15" t="str">
        <f t="shared" si="57"/>
        <v/>
      </c>
      <c r="EX14" s="15" t="str">
        <f t="shared" si="58"/>
        <v/>
      </c>
      <c r="EY14" s="15" t="str">
        <f t="shared" si="59"/>
        <v/>
      </c>
      <c r="EZ14" s="15" t="str">
        <f t="shared" si="60"/>
        <v/>
      </c>
      <c r="FA14" s="15" t="str">
        <f t="shared" si="61"/>
        <v/>
      </c>
      <c r="FB14" s="15" t="str">
        <f t="shared" si="62"/>
        <v/>
      </c>
      <c r="FC14" s="39"/>
      <c r="FD14" s="39"/>
      <c r="FE14" s="39"/>
      <c r="FF14" s="39"/>
      <c r="FG14" s="39"/>
      <c r="FH14" s="39"/>
      <c r="FI14" s="39"/>
      <c r="FJ14" s="39"/>
      <c r="FK14" s="39"/>
      <c r="FL14" s="39"/>
      <c r="FM14" s="39"/>
      <c r="FN14" s="39"/>
      <c r="FO14" s="39"/>
      <c r="FP14" s="39"/>
      <c r="FQ14" s="39"/>
      <c r="FR14" s="12" t="str">
        <f t="shared" si="63"/>
        <v/>
      </c>
      <c r="FS14" s="12" t="str">
        <f t="shared" si="64"/>
        <v/>
      </c>
      <c r="FT14" s="12" t="str">
        <f t="shared" si="65"/>
        <v/>
      </c>
      <c r="FU14" s="12" t="str">
        <f t="shared" si="66"/>
        <v/>
      </c>
      <c r="FV14" s="12" t="str">
        <f t="shared" si="67"/>
        <v/>
      </c>
      <c r="FW14" s="12" t="str">
        <f t="shared" si="68"/>
        <v/>
      </c>
      <c r="FX14" s="12" t="str">
        <f t="shared" si="69"/>
        <v/>
      </c>
      <c r="FY14" s="40"/>
      <c r="FZ14" s="40"/>
      <c r="GA14" s="40"/>
      <c r="GB14" s="40"/>
      <c r="GC14" s="40"/>
      <c r="GD14" s="40"/>
      <c r="GE14" s="40"/>
      <c r="GF14" s="40"/>
      <c r="GG14" s="40"/>
      <c r="GH14" s="40"/>
      <c r="GI14" s="40"/>
      <c r="GJ14" s="40"/>
      <c r="GK14" s="40"/>
      <c r="GL14" s="40"/>
      <c r="GM14" s="40"/>
      <c r="GN14" s="15" t="str">
        <f t="shared" si="70"/>
        <v/>
      </c>
      <c r="GO14" s="15" t="str">
        <f t="shared" si="71"/>
        <v/>
      </c>
      <c r="GP14" s="15" t="str">
        <f t="shared" si="72"/>
        <v/>
      </c>
      <c r="GQ14" s="15" t="str">
        <f t="shared" si="73"/>
        <v/>
      </c>
      <c r="GR14" s="15" t="str">
        <f t="shared" si="74"/>
        <v/>
      </c>
      <c r="GS14" s="15" t="str">
        <f t="shared" si="75"/>
        <v/>
      </c>
      <c r="GT14" s="15" t="str">
        <f t="shared" si="76"/>
        <v/>
      </c>
      <c r="GU14" s="39"/>
      <c r="GV14" s="39"/>
      <c r="GW14" s="39"/>
      <c r="GX14" s="39"/>
      <c r="GY14" s="39"/>
      <c r="GZ14" s="39"/>
      <c r="HA14" s="39"/>
      <c r="HB14" s="39"/>
      <c r="HC14" s="39"/>
      <c r="HD14" s="39"/>
      <c r="HE14" s="39"/>
      <c r="HF14" s="39"/>
      <c r="HG14" s="39"/>
      <c r="HH14" s="39"/>
      <c r="HI14" s="39"/>
      <c r="HJ14" s="12" t="str">
        <f t="shared" si="77"/>
        <v/>
      </c>
      <c r="HK14" s="12" t="str">
        <f t="shared" si="78"/>
        <v/>
      </c>
      <c r="HL14" s="12" t="str">
        <f t="shared" si="79"/>
        <v/>
      </c>
      <c r="HM14" s="12" t="str">
        <f t="shared" si="80"/>
        <v/>
      </c>
      <c r="HN14" s="12" t="str">
        <f t="shared" si="81"/>
        <v/>
      </c>
      <c r="HO14" s="12" t="str">
        <f t="shared" si="82"/>
        <v/>
      </c>
      <c r="HP14" s="12" t="str">
        <f t="shared" si="83"/>
        <v/>
      </c>
      <c r="HQ14" s="40"/>
      <c r="HR14" s="40"/>
      <c r="HS14" s="40"/>
      <c r="HT14" s="40"/>
      <c r="HU14" s="40"/>
      <c r="HV14" s="40"/>
      <c r="HW14" s="40"/>
      <c r="HX14" s="40"/>
      <c r="HY14" s="40"/>
      <c r="HZ14" s="40"/>
      <c r="IA14" s="40"/>
      <c r="IB14" s="40"/>
      <c r="IC14" s="40"/>
      <c r="ID14" s="40"/>
      <c r="IE14" s="40"/>
      <c r="IF14" s="15" t="str">
        <f t="shared" si="84"/>
        <v/>
      </c>
      <c r="IG14" s="15" t="str">
        <f t="shared" si="85"/>
        <v/>
      </c>
      <c r="IH14" s="15" t="str">
        <f t="shared" si="86"/>
        <v/>
      </c>
      <c r="II14" s="15" t="str">
        <f t="shared" si="87"/>
        <v/>
      </c>
      <c r="IJ14" s="15" t="str">
        <f t="shared" si="88"/>
        <v/>
      </c>
      <c r="IK14" s="15" t="str">
        <f t="shared" si="89"/>
        <v/>
      </c>
      <c r="IL14" s="15" t="str">
        <f t="shared" si="90"/>
        <v/>
      </c>
      <c r="IM14" s="39"/>
      <c r="IN14" s="39"/>
      <c r="IO14" s="39"/>
      <c r="IP14" s="39"/>
      <c r="IQ14" s="39"/>
      <c r="IR14" s="39"/>
      <c r="IS14" s="39"/>
      <c r="IT14" s="39"/>
      <c r="IU14" s="39"/>
      <c r="IV14" s="39"/>
      <c r="IW14" s="39"/>
      <c r="IX14" s="39"/>
      <c r="IY14" s="39"/>
      <c r="IZ14" s="39"/>
      <c r="JA14" s="39"/>
      <c r="JB14" s="12" t="str">
        <f t="shared" si="91"/>
        <v/>
      </c>
      <c r="JC14" s="12" t="str">
        <f t="shared" si="92"/>
        <v/>
      </c>
      <c r="JD14" s="12" t="str">
        <f t="shared" si="93"/>
        <v/>
      </c>
      <c r="JE14" s="12" t="str">
        <f t="shared" si="94"/>
        <v/>
      </c>
      <c r="JF14" s="12" t="str">
        <f t="shared" si="95"/>
        <v/>
      </c>
      <c r="JG14" s="12" t="str">
        <f t="shared" si="96"/>
        <v/>
      </c>
      <c r="JH14" s="12" t="str">
        <f t="shared" si="97"/>
        <v/>
      </c>
      <c r="JI14" s="40"/>
      <c r="JJ14" s="40"/>
      <c r="JK14" s="40"/>
      <c r="JL14" s="40"/>
      <c r="JM14" s="40"/>
      <c r="JN14" s="40"/>
      <c r="JO14" s="40"/>
      <c r="JP14" s="40"/>
      <c r="JQ14" s="40"/>
      <c r="JR14" s="40"/>
      <c r="JS14" s="40"/>
      <c r="JT14" s="40"/>
      <c r="JU14" s="40"/>
      <c r="JV14" s="40"/>
      <c r="JW14" s="40"/>
      <c r="JX14" s="15" t="str">
        <f t="shared" si="98"/>
        <v/>
      </c>
      <c r="JY14" s="15" t="str">
        <f t="shared" si="99"/>
        <v/>
      </c>
      <c r="JZ14" s="15" t="str">
        <f t="shared" si="100"/>
        <v/>
      </c>
      <c r="KA14" s="15" t="str">
        <f t="shared" si="101"/>
        <v/>
      </c>
      <c r="KB14" s="15" t="str">
        <f t="shared" si="102"/>
        <v/>
      </c>
      <c r="KC14" s="15" t="str">
        <f t="shared" si="103"/>
        <v/>
      </c>
      <c r="KD14" s="15" t="str">
        <f t="shared" si="104"/>
        <v/>
      </c>
      <c r="KE14" s="39"/>
      <c r="KF14" s="39"/>
      <c r="KG14" s="39"/>
      <c r="KH14" s="39"/>
      <c r="KI14" s="39"/>
      <c r="KJ14" s="39"/>
      <c r="KK14" s="39"/>
      <c r="KL14" s="39"/>
      <c r="KM14" s="39"/>
      <c r="KN14" s="39"/>
      <c r="KO14" s="39"/>
      <c r="KP14" s="39"/>
      <c r="KQ14" s="39"/>
      <c r="KR14" s="39"/>
      <c r="KS14" s="39"/>
      <c r="KT14" s="12" t="str">
        <f t="shared" si="105"/>
        <v/>
      </c>
      <c r="KU14" s="12" t="str">
        <f t="shared" si="106"/>
        <v/>
      </c>
      <c r="KV14" s="12" t="str">
        <f t="shared" si="107"/>
        <v/>
      </c>
      <c r="KW14" s="12" t="str">
        <f t="shared" si="108"/>
        <v/>
      </c>
      <c r="KX14" s="12" t="str">
        <f t="shared" si="109"/>
        <v/>
      </c>
      <c r="KY14" s="12" t="str">
        <f t="shared" si="110"/>
        <v/>
      </c>
      <c r="KZ14" s="12" t="str">
        <f t="shared" si="111"/>
        <v/>
      </c>
      <c r="LA14" s="40"/>
      <c r="LB14" s="40"/>
      <c r="LC14" s="40"/>
      <c r="LD14" s="40"/>
      <c r="LE14" s="40"/>
      <c r="LF14" s="40"/>
      <c r="LG14" s="40"/>
      <c r="LH14" s="40"/>
      <c r="LI14" s="40"/>
      <c r="LJ14" s="40"/>
      <c r="LK14" s="40"/>
      <c r="LL14" s="40"/>
      <c r="LM14" s="40"/>
      <c r="LN14" s="40"/>
      <c r="LO14" s="40"/>
      <c r="LP14" s="15" t="str">
        <f t="shared" si="112"/>
        <v/>
      </c>
      <c r="LQ14" s="15" t="str">
        <f t="shared" si="113"/>
        <v/>
      </c>
      <c r="LR14" s="15" t="str">
        <f t="shared" si="114"/>
        <v/>
      </c>
      <c r="LS14" s="15" t="str">
        <f t="shared" si="115"/>
        <v/>
      </c>
      <c r="LT14" s="15" t="str">
        <f t="shared" si="116"/>
        <v/>
      </c>
      <c r="LU14" s="15" t="str">
        <f t="shared" si="117"/>
        <v/>
      </c>
      <c r="LV14" s="15" t="str">
        <f t="shared" si="118"/>
        <v/>
      </c>
      <c r="LW14" s="71">
        <f t="shared" si="126"/>
        <v>0</v>
      </c>
      <c r="LX14" s="71">
        <f t="shared" si="119"/>
        <v>0</v>
      </c>
      <c r="LY14" s="71">
        <f t="shared" si="119"/>
        <v>0</v>
      </c>
      <c r="LZ14" s="71">
        <f t="shared" si="119"/>
        <v>0</v>
      </c>
      <c r="MA14" s="71">
        <f t="shared" si="119"/>
        <v>0</v>
      </c>
      <c r="MB14" s="71">
        <f t="shared" si="119"/>
        <v>0</v>
      </c>
      <c r="MC14" s="71">
        <f t="shared" si="119"/>
        <v>0</v>
      </c>
      <c r="MD14" s="71">
        <f t="shared" si="119"/>
        <v>0</v>
      </c>
      <c r="ME14" s="71">
        <f t="shared" si="119"/>
        <v>0</v>
      </c>
      <c r="MF14" s="71">
        <f t="shared" si="119"/>
        <v>0</v>
      </c>
      <c r="MG14" s="71">
        <f t="shared" si="119"/>
        <v>0</v>
      </c>
      <c r="MH14" s="71">
        <f t="shared" si="119"/>
        <v>0</v>
      </c>
      <c r="MI14" s="71">
        <f t="shared" si="119"/>
        <v>0</v>
      </c>
      <c r="MJ14" s="71">
        <f t="shared" si="119"/>
        <v>0</v>
      </c>
      <c r="MK14" s="71">
        <f t="shared" si="119"/>
        <v>0</v>
      </c>
      <c r="ML14" s="82" t="s">
        <v>100</v>
      </c>
      <c r="MM14" s="12" t="str">
        <f t="shared" si="127"/>
        <v/>
      </c>
      <c r="MN14" s="12" t="str">
        <f t="shared" si="128"/>
        <v/>
      </c>
      <c r="MO14" s="12" t="str">
        <f t="shared" si="129"/>
        <v/>
      </c>
      <c r="MP14" s="12" t="str">
        <f t="shared" si="130"/>
        <v/>
      </c>
      <c r="MQ14" s="12" t="str">
        <f t="shared" si="131"/>
        <v/>
      </c>
      <c r="MR14" s="12" t="str">
        <f t="shared" si="132"/>
        <v/>
      </c>
      <c r="MS14" s="12" t="str">
        <f t="shared" si="133"/>
        <v/>
      </c>
    </row>
    <row r="15" spans="1:357" x14ac:dyDescent="0.2">
      <c r="A15" s="6" t="str">
        <f t="shared" si="0"/>
        <v/>
      </c>
      <c r="B15" s="9" t="s">
        <v>136</v>
      </c>
      <c r="C15" s="5" t="s">
        <v>137</v>
      </c>
      <c r="D15" s="29" t="s">
        <v>138</v>
      </c>
      <c r="E15" s="16">
        <f t="shared" si="1"/>
        <v>42.120000000000005</v>
      </c>
      <c r="F15" s="4" t="str">
        <f t="shared" si="2"/>
        <v/>
      </c>
      <c r="G15" s="4" t="str">
        <f t="shared" si="3"/>
        <v/>
      </c>
      <c r="H15" s="4" t="str">
        <f t="shared" si="4"/>
        <v/>
      </c>
      <c r="I15" t="str">
        <f t="shared" si="5"/>
        <v/>
      </c>
      <c r="J15" s="15" t="str">
        <f t="shared" si="6"/>
        <v/>
      </c>
      <c r="K15" s="15" t="str">
        <f t="shared" si="7"/>
        <v/>
      </c>
      <c r="L15" s="15" t="str">
        <f t="shared" si="8"/>
        <v/>
      </c>
      <c r="M15" s="15" t="str">
        <f t="shared" si="9"/>
        <v/>
      </c>
      <c r="N15" s="15" t="str">
        <f t="shared" si="10"/>
        <v/>
      </c>
      <c r="O15" s="15" t="str">
        <f t="shared" si="11"/>
        <v/>
      </c>
      <c r="P15" s="15" t="str">
        <f t="shared" si="12"/>
        <v/>
      </c>
      <c r="Q15" s="15" t="str">
        <f t="shared" si="13"/>
        <v/>
      </c>
      <c r="R15" s="15">
        <f t="shared" si="14"/>
        <v>42.120000000000005</v>
      </c>
      <c r="S15" s="27" t="str">
        <f t="shared" si="15"/>
        <v>(Vol 2)</v>
      </c>
      <c r="T15" s="15" t="str">
        <f t="shared" si="16"/>
        <v>2018 World Age Groups (Nov 18)</v>
      </c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82"/>
      <c r="AK15" s="12" t="str">
        <f t="shared" si="17"/>
        <v/>
      </c>
      <c r="AL15" s="12" t="str">
        <f t="shared" si="18"/>
        <v/>
      </c>
      <c r="AM15" s="12" t="str">
        <f t="shared" si="19"/>
        <v/>
      </c>
      <c r="AN15" s="12" t="str">
        <f t="shared" si="20"/>
        <v/>
      </c>
      <c r="AO15" s="12" t="str">
        <f t="shared" si="21"/>
        <v/>
      </c>
      <c r="AP15" s="12" t="str">
        <f t="shared" si="22"/>
        <v/>
      </c>
      <c r="AQ15" s="12" t="str">
        <f t="shared" si="23"/>
        <v/>
      </c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83"/>
      <c r="BH15" s="15" t="str">
        <f t="shared" si="24"/>
        <v/>
      </c>
      <c r="BI15" s="15" t="str">
        <f t="shared" si="25"/>
        <v/>
      </c>
      <c r="BJ15" s="15" t="str">
        <f t="shared" si="26"/>
        <v/>
      </c>
      <c r="BK15" s="15" t="str">
        <f t="shared" si="27"/>
        <v/>
      </c>
      <c r="BL15" s="15" t="str">
        <f t="shared" si="28"/>
        <v/>
      </c>
      <c r="BM15" s="15" t="str">
        <f t="shared" si="29"/>
        <v/>
      </c>
      <c r="BN15" s="15" t="str">
        <f t="shared" si="30"/>
        <v/>
      </c>
      <c r="BO15" s="26" t="str">
        <f t="shared" si="31"/>
        <v/>
      </c>
      <c r="BP15" s="26">
        <f t="shared" si="32"/>
        <v>42.120000000000005</v>
      </c>
      <c r="BQ15" s="26">
        <f t="shared" si="33"/>
        <v>42.120000000000005</v>
      </c>
      <c r="BR15" s="26" t="str">
        <f t="shared" si="34"/>
        <v/>
      </c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12" t="str">
        <f t="shared" si="35"/>
        <v/>
      </c>
      <c r="CI15" s="12" t="str">
        <f t="shared" si="36"/>
        <v/>
      </c>
      <c r="CJ15" s="12" t="str">
        <f t="shared" si="37"/>
        <v/>
      </c>
      <c r="CK15" s="12" t="str">
        <f t="shared" si="38"/>
        <v/>
      </c>
      <c r="CL15" s="12" t="str">
        <f t="shared" si="39"/>
        <v/>
      </c>
      <c r="CM15" s="12" t="str">
        <f t="shared" si="40"/>
        <v/>
      </c>
      <c r="CN15" s="12" t="str">
        <f t="shared" si="41"/>
        <v/>
      </c>
      <c r="CO15" s="40"/>
      <c r="CP15" s="40"/>
      <c r="CQ15" s="40"/>
      <c r="CR15" s="40"/>
      <c r="CS15" s="40"/>
      <c r="CT15" s="40"/>
      <c r="CU15" s="40"/>
      <c r="CV15" s="40"/>
      <c r="CW15" s="40"/>
      <c r="CX15" s="40"/>
      <c r="CY15" s="40"/>
      <c r="CZ15" s="40"/>
      <c r="DA15" s="40"/>
      <c r="DB15" s="40"/>
      <c r="DC15" s="40"/>
      <c r="DD15" s="15" t="str">
        <f t="shared" si="42"/>
        <v/>
      </c>
      <c r="DE15" s="15" t="str">
        <f t="shared" si="43"/>
        <v/>
      </c>
      <c r="DF15" s="15" t="str">
        <f t="shared" si="44"/>
        <v/>
      </c>
      <c r="DG15" s="15" t="str">
        <f t="shared" si="45"/>
        <v/>
      </c>
      <c r="DH15" s="15" t="str">
        <f t="shared" si="46"/>
        <v/>
      </c>
      <c r="DI15" s="15" t="str">
        <f t="shared" si="47"/>
        <v/>
      </c>
      <c r="DJ15" s="15" t="str">
        <f t="shared" si="48"/>
        <v/>
      </c>
      <c r="DK15" s="39"/>
      <c r="DL15" s="39"/>
      <c r="DM15" s="39"/>
      <c r="DN15" s="39"/>
      <c r="DO15" s="39"/>
      <c r="DP15" s="39">
        <v>7.4</v>
      </c>
      <c r="DQ15" s="39">
        <v>9.1</v>
      </c>
      <c r="DR15" s="39">
        <v>10.1</v>
      </c>
      <c r="DS15" s="39">
        <v>15.92</v>
      </c>
      <c r="DT15" s="39">
        <v>0.4</v>
      </c>
      <c r="DU15" s="39"/>
      <c r="DV15" s="39"/>
      <c r="DW15" s="39"/>
      <c r="DX15" s="39"/>
      <c r="DY15" s="39"/>
      <c r="DZ15" s="12">
        <f t="shared" si="49"/>
        <v>10.1</v>
      </c>
      <c r="EA15" s="12" t="str">
        <f t="shared" si="50"/>
        <v/>
      </c>
      <c r="EB15" s="12">
        <f t="shared" si="51"/>
        <v>42.120000000000005</v>
      </c>
      <c r="EC15" s="12">
        <f t="shared" si="52"/>
        <v>42.120000000000005</v>
      </c>
      <c r="ED15" s="12" t="str">
        <f t="shared" si="53"/>
        <v/>
      </c>
      <c r="EE15" s="12" t="str">
        <f t="shared" si="54"/>
        <v/>
      </c>
      <c r="EF15" s="12">
        <f t="shared" si="55"/>
        <v>42.120000000000005</v>
      </c>
      <c r="EG15" s="40"/>
      <c r="EH15" s="40"/>
      <c r="EI15" s="40"/>
      <c r="EJ15" s="40"/>
      <c r="EK15" s="40"/>
      <c r="EL15" s="40"/>
      <c r="EM15" s="40"/>
      <c r="EN15" s="40"/>
      <c r="EO15" s="40"/>
      <c r="EP15" s="40"/>
      <c r="EQ15" s="40"/>
      <c r="ER15" s="40"/>
      <c r="ES15" s="40"/>
      <c r="ET15" s="40"/>
      <c r="EU15" s="40"/>
      <c r="EV15" s="15" t="str">
        <f t="shared" si="56"/>
        <v/>
      </c>
      <c r="EW15" s="15" t="str">
        <f t="shared" si="57"/>
        <v/>
      </c>
      <c r="EX15" s="15" t="str">
        <f t="shared" si="58"/>
        <v/>
      </c>
      <c r="EY15" s="15" t="str">
        <f t="shared" si="59"/>
        <v/>
      </c>
      <c r="EZ15" s="15" t="str">
        <f t="shared" si="60"/>
        <v/>
      </c>
      <c r="FA15" s="15" t="str">
        <f t="shared" si="61"/>
        <v/>
      </c>
      <c r="FB15" s="15" t="str">
        <f t="shared" si="62"/>
        <v/>
      </c>
      <c r="FC15" s="39"/>
      <c r="FD15" s="39"/>
      <c r="FE15" s="39"/>
      <c r="FF15" s="39"/>
      <c r="FG15" s="39"/>
      <c r="FH15" s="39"/>
      <c r="FI15" s="39"/>
      <c r="FJ15" s="39"/>
      <c r="FK15" s="39"/>
      <c r="FL15" s="39"/>
      <c r="FM15" s="39"/>
      <c r="FN15" s="39"/>
      <c r="FO15" s="39"/>
      <c r="FP15" s="39"/>
      <c r="FQ15" s="39"/>
      <c r="FR15" s="12" t="str">
        <f t="shared" si="63"/>
        <v/>
      </c>
      <c r="FS15" s="12" t="str">
        <f t="shared" si="64"/>
        <v/>
      </c>
      <c r="FT15" s="12" t="str">
        <f t="shared" si="65"/>
        <v/>
      </c>
      <c r="FU15" s="12" t="str">
        <f t="shared" si="66"/>
        <v/>
      </c>
      <c r="FV15" s="12" t="str">
        <f t="shared" si="67"/>
        <v/>
      </c>
      <c r="FW15" s="12" t="str">
        <f t="shared" si="68"/>
        <v/>
      </c>
      <c r="FX15" s="12" t="str">
        <f t="shared" si="69"/>
        <v/>
      </c>
      <c r="FY15" s="40"/>
      <c r="FZ15" s="40"/>
      <c r="GA15" s="40"/>
      <c r="GB15" s="40"/>
      <c r="GC15" s="40"/>
      <c r="GD15" s="40"/>
      <c r="GE15" s="40"/>
      <c r="GF15" s="40"/>
      <c r="GG15" s="40"/>
      <c r="GH15" s="40"/>
      <c r="GI15" s="40"/>
      <c r="GJ15" s="40"/>
      <c r="GK15" s="40"/>
      <c r="GL15" s="40"/>
      <c r="GM15" s="40"/>
      <c r="GN15" s="15" t="str">
        <f t="shared" si="70"/>
        <v/>
      </c>
      <c r="GO15" s="15" t="str">
        <f t="shared" si="71"/>
        <v/>
      </c>
      <c r="GP15" s="15" t="str">
        <f t="shared" si="72"/>
        <v/>
      </c>
      <c r="GQ15" s="15" t="str">
        <f t="shared" si="73"/>
        <v/>
      </c>
      <c r="GR15" s="15" t="str">
        <f t="shared" si="74"/>
        <v/>
      </c>
      <c r="GS15" s="15" t="str">
        <f t="shared" si="75"/>
        <v/>
      </c>
      <c r="GT15" s="15" t="str">
        <f t="shared" si="76"/>
        <v/>
      </c>
      <c r="GU15" s="39"/>
      <c r="GV15" s="39"/>
      <c r="GW15" s="39"/>
      <c r="GX15" s="39"/>
      <c r="GY15" s="39"/>
      <c r="GZ15" s="39"/>
      <c r="HA15" s="39"/>
      <c r="HB15" s="39"/>
      <c r="HC15" s="39"/>
      <c r="HD15" s="39"/>
      <c r="HE15" s="39"/>
      <c r="HF15" s="39"/>
      <c r="HG15" s="39"/>
      <c r="HH15" s="39"/>
      <c r="HI15" s="39"/>
      <c r="HJ15" s="12" t="str">
        <f t="shared" si="77"/>
        <v/>
      </c>
      <c r="HK15" s="12" t="str">
        <f t="shared" si="78"/>
        <v/>
      </c>
      <c r="HL15" s="12" t="str">
        <f t="shared" si="79"/>
        <v/>
      </c>
      <c r="HM15" s="12" t="str">
        <f t="shared" si="80"/>
        <v/>
      </c>
      <c r="HN15" s="12" t="str">
        <f t="shared" si="81"/>
        <v/>
      </c>
      <c r="HO15" s="12" t="str">
        <f t="shared" si="82"/>
        <v/>
      </c>
      <c r="HP15" s="12" t="str">
        <f t="shared" si="83"/>
        <v/>
      </c>
      <c r="HQ15" s="40"/>
      <c r="HR15" s="40"/>
      <c r="HS15" s="40"/>
      <c r="HT15" s="40"/>
      <c r="HU15" s="40"/>
      <c r="HV15" s="40"/>
      <c r="HW15" s="40"/>
      <c r="HX15" s="40"/>
      <c r="HY15" s="40"/>
      <c r="HZ15" s="40"/>
      <c r="IA15" s="40"/>
      <c r="IB15" s="40"/>
      <c r="IC15" s="40"/>
      <c r="ID15" s="40"/>
      <c r="IE15" s="40"/>
      <c r="IF15" s="15" t="str">
        <f t="shared" si="84"/>
        <v/>
      </c>
      <c r="IG15" s="15" t="str">
        <f t="shared" si="85"/>
        <v/>
      </c>
      <c r="IH15" s="15" t="str">
        <f t="shared" si="86"/>
        <v/>
      </c>
      <c r="II15" s="15" t="str">
        <f t="shared" si="87"/>
        <v/>
      </c>
      <c r="IJ15" s="15" t="str">
        <f t="shared" si="88"/>
        <v/>
      </c>
      <c r="IK15" s="15" t="str">
        <f t="shared" si="89"/>
        <v/>
      </c>
      <c r="IL15" s="15" t="str">
        <f t="shared" si="90"/>
        <v/>
      </c>
      <c r="IM15" s="39"/>
      <c r="IN15" s="39"/>
      <c r="IO15" s="39"/>
      <c r="IP15" s="39"/>
      <c r="IQ15" s="39"/>
      <c r="IR15" s="39"/>
      <c r="IS15" s="39"/>
      <c r="IT15" s="39"/>
      <c r="IU15" s="39"/>
      <c r="IV15" s="39"/>
      <c r="IW15" s="39"/>
      <c r="IX15" s="39"/>
      <c r="IY15" s="39"/>
      <c r="IZ15" s="39"/>
      <c r="JA15" s="39"/>
      <c r="JB15" s="12" t="str">
        <f t="shared" si="91"/>
        <v/>
      </c>
      <c r="JC15" s="12" t="str">
        <f t="shared" si="92"/>
        <v/>
      </c>
      <c r="JD15" s="12" t="str">
        <f t="shared" si="93"/>
        <v/>
      </c>
      <c r="JE15" s="12" t="str">
        <f t="shared" si="94"/>
        <v/>
      </c>
      <c r="JF15" s="12" t="str">
        <f t="shared" si="95"/>
        <v/>
      </c>
      <c r="JG15" s="12" t="str">
        <f t="shared" si="96"/>
        <v/>
      </c>
      <c r="JH15" s="12" t="str">
        <f t="shared" si="97"/>
        <v/>
      </c>
      <c r="JI15" s="40"/>
      <c r="JJ15" s="40"/>
      <c r="JK15" s="40"/>
      <c r="JL15" s="40"/>
      <c r="JM15" s="40"/>
      <c r="JN15" s="40"/>
      <c r="JO15" s="40"/>
      <c r="JP15" s="40"/>
      <c r="JQ15" s="40"/>
      <c r="JR15" s="40"/>
      <c r="JS15" s="40"/>
      <c r="JT15" s="40"/>
      <c r="JU15" s="40"/>
      <c r="JV15" s="40"/>
      <c r="JW15" s="40"/>
      <c r="JX15" s="15" t="str">
        <f t="shared" si="98"/>
        <v/>
      </c>
      <c r="JY15" s="15" t="str">
        <f t="shared" si="99"/>
        <v/>
      </c>
      <c r="JZ15" s="15" t="str">
        <f t="shared" si="100"/>
        <v/>
      </c>
      <c r="KA15" s="15" t="str">
        <f t="shared" si="101"/>
        <v/>
      </c>
      <c r="KB15" s="15" t="str">
        <f t="shared" si="102"/>
        <v/>
      </c>
      <c r="KC15" s="15" t="str">
        <f t="shared" si="103"/>
        <v/>
      </c>
      <c r="KD15" s="15" t="str">
        <f t="shared" si="104"/>
        <v/>
      </c>
      <c r="KE15" s="39"/>
      <c r="KF15" s="39"/>
      <c r="KG15" s="39"/>
      <c r="KH15" s="39"/>
      <c r="KI15" s="39"/>
      <c r="KJ15" s="39"/>
      <c r="KK15" s="39"/>
      <c r="KL15" s="39"/>
      <c r="KM15" s="39"/>
      <c r="KN15" s="39"/>
      <c r="KO15" s="39"/>
      <c r="KP15" s="39"/>
      <c r="KQ15" s="39"/>
      <c r="KR15" s="39"/>
      <c r="KS15" s="39"/>
      <c r="KT15" s="12" t="str">
        <f t="shared" si="105"/>
        <v/>
      </c>
      <c r="KU15" s="12" t="str">
        <f t="shared" si="106"/>
        <v/>
      </c>
      <c r="KV15" s="12" t="str">
        <f t="shared" si="107"/>
        <v/>
      </c>
      <c r="KW15" s="12" t="str">
        <f t="shared" si="108"/>
        <v/>
      </c>
      <c r="KX15" s="12" t="str">
        <f t="shared" si="109"/>
        <v/>
      </c>
      <c r="KY15" s="12" t="str">
        <f t="shared" si="110"/>
        <v/>
      </c>
      <c r="KZ15" s="12" t="str">
        <f t="shared" si="111"/>
        <v/>
      </c>
      <c r="LA15" s="40"/>
      <c r="LB15" s="40"/>
      <c r="LC15" s="40"/>
      <c r="LD15" s="40"/>
      <c r="LE15" s="40"/>
      <c r="LF15" s="40"/>
      <c r="LG15" s="40"/>
      <c r="LH15" s="40"/>
      <c r="LI15" s="40"/>
      <c r="LJ15" s="40"/>
      <c r="LK15" s="40"/>
      <c r="LL15" s="40"/>
      <c r="LM15" s="40"/>
      <c r="LN15" s="40"/>
      <c r="LO15" s="40"/>
      <c r="LP15" s="15" t="str">
        <f t="shared" si="112"/>
        <v/>
      </c>
      <c r="LQ15" s="15" t="str">
        <f t="shared" si="113"/>
        <v/>
      </c>
      <c r="LR15" s="15" t="str">
        <f t="shared" si="114"/>
        <v/>
      </c>
      <c r="LS15" s="15" t="str">
        <f t="shared" si="115"/>
        <v/>
      </c>
      <c r="LT15" s="15" t="str">
        <f t="shared" si="116"/>
        <v/>
      </c>
      <c r="LU15" s="15" t="str">
        <f t="shared" si="117"/>
        <v/>
      </c>
      <c r="LV15" s="15" t="str">
        <f t="shared" si="118"/>
        <v/>
      </c>
      <c r="LW15" s="71">
        <f t="shared" si="126"/>
        <v>0</v>
      </c>
      <c r="LX15" s="71">
        <f t="shared" si="119"/>
        <v>0</v>
      </c>
      <c r="LY15" s="71">
        <f t="shared" si="119"/>
        <v>0</v>
      </c>
      <c r="LZ15" s="71">
        <f t="shared" si="119"/>
        <v>0</v>
      </c>
      <c r="MA15" s="71">
        <f t="shared" si="119"/>
        <v>0</v>
      </c>
      <c r="MB15" s="71">
        <f t="shared" si="119"/>
        <v>0</v>
      </c>
      <c r="MC15" s="71">
        <f t="shared" si="119"/>
        <v>0</v>
      </c>
      <c r="MD15" s="71">
        <f t="shared" si="119"/>
        <v>0</v>
      </c>
      <c r="ME15" s="71">
        <f t="shared" si="119"/>
        <v>0</v>
      </c>
      <c r="MF15" s="71">
        <f t="shared" si="119"/>
        <v>0</v>
      </c>
      <c r="MG15" s="71">
        <f t="shared" si="119"/>
        <v>0</v>
      </c>
      <c r="MH15" s="71">
        <f t="shared" si="119"/>
        <v>0</v>
      </c>
      <c r="MI15" s="71">
        <f t="shared" si="119"/>
        <v>0</v>
      </c>
      <c r="MJ15" s="71">
        <f t="shared" si="119"/>
        <v>0</v>
      </c>
      <c r="MK15" s="71">
        <f t="shared" si="119"/>
        <v>0</v>
      </c>
      <c r="ML15" s="82" t="s">
        <v>100</v>
      </c>
      <c r="MM15" s="12" t="str">
        <f t="shared" ref="MM15" si="134">IF(MD15&gt;0,MD15,"")</f>
        <v/>
      </c>
      <c r="MN15" s="12" t="str">
        <f t="shared" ref="MN15" si="135">IF(SUM(LW15:LZ15)-MA15&gt;0,SUM(LW15:LZ15)-MA15,"")</f>
        <v/>
      </c>
      <c r="MO15" s="12" t="str">
        <f t="shared" ref="MO15" si="136">IF(SUM(MB15:ME15)-MF15&gt;0,SUM(MB15:ME15)-MF15,"")</f>
        <v/>
      </c>
      <c r="MP15" s="12" t="str">
        <f t="shared" ref="MP15" si="137">IF(SUM(MN15:MO15)&gt;0,SUM(MN15:MO15),"")</f>
        <v/>
      </c>
      <c r="MQ15" s="12" t="str">
        <f t="shared" si="131"/>
        <v/>
      </c>
      <c r="MR15" s="12" t="str">
        <f t="shared" ref="MR15" si="138">IF(SUM(MG15:MJ15)-MK15&gt;0,SUM(MG15:MJ15)-MK15,"")</f>
        <v/>
      </c>
      <c r="MS15" s="12" t="str">
        <f t="shared" ref="MS15" si="139">IF(SUM(MP15,MR15)&gt;0,SUM(MP15,MR15),"")</f>
        <v/>
      </c>
    </row>
    <row r="16" spans="1:357" x14ac:dyDescent="0.2">
      <c r="A16" s="6" t="str">
        <f t="shared" si="0"/>
        <v/>
      </c>
      <c r="B16" s="9" t="s">
        <v>141</v>
      </c>
      <c r="C16" s="5" t="s">
        <v>10</v>
      </c>
      <c r="D16" s="29" t="s">
        <v>142</v>
      </c>
      <c r="E16" s="16">
        <f t="shared" si="1"/>
        <v>33.99</v>
      </c>
      <c r="F16" s="4" t="str">
        <f t="shared" si="2"/>
        <v/>
      </c>
      <c r="G16" s="4" t="str">
        <f t="shared" si="3"/>
        <v/>
      </c>
      <c r="H16" s="4" t="str">
        <f t="shared" si="4"/>
        <v/>
      </c>
      <c r="I16" t="str">
        <f t="shared" si="5"/>
        <v/>
      </c>
      <c r="J16" s="15" t="str">
        <f t="shared" si="6"/>
        <v/>
      </c>
      <c r="K16" s="15" t="str">
        <f t="shared" si="7"/>
        <v/>
      </c>
      <c r="L16" s="15" t="str">
        <f t="shared" si="8"/>
        <v/>
      </c>
      <c r="M16" s="15" t="str">
        <f t="shared" si="9"/>
        <v/>
      </c>
      <c r="N16" s="15" t="str">
        <f t="shared" si="10"/>
        <v/>
      </c>
      <c r="O16" s="15" t="str">
        <f t="shared" si="11"/>
        <v/>
      </c>
      <c r="P16" s="15" t="str">
        <f t="shared" si="12"/>
        <v/>
      </c>
      <c r="Q16" s="15" t="str">
        <f t="shared" si="13"/>
        <v/>
      </c>
      <c r="R16" s="15">
        <f t="shared" si="14"/>
        <v>33.99</v>
      </c>
      <c r="S16" s="27" t="str">
        <f t="shared" si="15"/>
        <v>(Vol 2)</v>
      </c>
      <c r="T16" s="15" t="str">
        <f t="shared" si="16"/>
        <v>2018 World Age Groups (Nov 18)</v>
      </c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82"/>
      <c r="AK16" s="12" t="str">
        <f t="shared" si="17"/>
        <v/>
      </c>
      <c r="AL16" s="12" t="str">
        <f t="shared" si="18"/>
        <v/>
      </c>
      <c r="AM16" s="12" t="str">
        <f t="shared" si="19"/>
        <v/>
      </c>
      <c r="AN16" s="12" t="str">
        <f t="shared" si="20"/>
        <v/>
      </c>
      <c r="AO16" s="12" t="str">
        <f t="shared" si="21"/>
        <v/>
      </c>
      <c r="AP16" s="12" t="str">
        <f t="shared" si="22"/>
        <v/>
      </c>
      <c r="AQ16" s="12" t="str">
        <f t="shared" si="23"/>
        <v/>
      </c>
      <c r="AR16" s="42"/>
      <c r="AS16" s="42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42"/>
      <c r="BE16" s="42"/>
      <c r="BF16" s="42"/>
      <c r="BG16" s="83"/>
      <c r="BH16" s="15" t="str">
        <f t="shared" si="24"/>
        <v/>
      </c>
      <c r="BI16" s="15" t="str">
        <f t="shared" si="25"/>
        <v/>
      </c>
      <c r="BJ16" s="15" t="str">
        <f t="shared" si="26"/>
        <v/>
      </c>
      <c r="BK16" s="15" t="str">
        <f t="shared" si="27"/>
        <v/>
      </c>
      <c r="BL16" s="15" t="str">
        <f t="shared" si="28"/>
        <v/>
      </c>
      <c r="BM16" s="15" t="str">
        <f t="shared" si="29"/>
        <v/>
      </c>
      <c r="BN16" s="15" t="str">
        <f t="shared" si="30"/>
        <v/>
      </c>
      <c r="BO16" s="26" t="str">
        <f t="shared" si="31"/>
        <v/>
      </c>
      <c r="BP16" s="26">
        <f t="shared" si="32"/>
        <v>33.99</v>
      </c>
      <c r="BQ16" s="26">
        <f t="shared" si="33"/>
        <v>33.99</v>
      </c>
      <c r="BR16" s="26" t="str">
        <f t="shared" si="34"/>
        <v/>
      </c>
      <c r="BS16" s="39"/>
      <c r="BT16" s="39"/>
      <c r="BU16" s="39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39"/>
      <c r="CG16" s="39"/>
      <c r="CH16" s="12" t="str">
        <f t="shared" si="35"/>
        <v/>
      </c>
      <c r="CI16" s="12" t="str">
        <f t="shared" si="36"/>
        <v/>
      </c>
      <c r="CJ16" s="12" t="str">
        <f t="shared" si="37"/>
        <v/>
      </c>
      <c r="CK16" s="12" t="str">
        <f t="shared" si="38"/>
        <v/>
      </c>
      <c r="CL16" s="12" t="str">
        <f t="shared" si="39"/>
        <v/>
      </c>
      <c r="CM16" s="12" t="str">
        <f t="shared" si="40"/>
        <v/>
      </c>
      <c r="CN16" s="12" t="str">
        <f t="shared" si="41"/>
        <v/>
      </c>
      <c r="CO16" s="40"/>
      <c r="CP16" s="40"/>
      <c r="CQ16" s="40"/>
      <c r="CR16" s="40"/>
      <c r="CS16" s="40"/>
      <c r="CT16" s="40"/>
      <c r="CU16" s="40"/>
      <c r="CV16" s="40"/>
      <c r="CW16" s="40"/>
      <c r="CX16" s="40"/>
      <c r="CY16" s="40"/>
      <c r="CZ16" s="40"/>
      <c r="DA16" s="40"/>
      <c r="DB16" s="40"/>
      <c r="DC16" s="40"/>
      <c r="DD16" s="15" t="str">
        <f t="shared" si="42"/>
        <v/>
      </c>
      <c r="DE16" s="15" t="str">
        <f t="shared" si="43"/>
        <v/>
      </c>
      <c r="DF16" s="15" t="str">
        <f t="shared" si="44"/>
        <v/>
      </c>
      <c r="DG16" s="15" t="str">
        <f t="shared" si="45"/>
        <v/>
      </c>
      <c r="DH16" s="15" t="str">
        <f t="shared" si="46"/>
        <v/>
      </c>
      <c r="DI16" s="15" t="str">
        <f t="shared" si="47"/>
        <v/>
      </c>
      <c r="DJ16" s="15" t="str">
        <f t="shared" si="48"/>
        <v/>
      </c>
      <c r="DK16" s="39"/>
      <c r="DL16" s="39"/>
      <c r="DM16" s="39"/>
      <c r="DN16" s="39"/>
      <c r="DO16" s="39"/>
      <c r="DP16" s="39">
        <v>6.45</v>
      </c>
      <c r="DQ16" s="39">
        <v>7.7</v>
      </c>
      <c r="DR16" s="39">
        <v>6.2</v>
      </c>
      <c r="DS16" s="39">
        <v>13.64</v>
      </c>
      <c r="DT16" s="39">
        <v>0</v>
      </c>
      <c r="DU16" s="39"/>
      <c r="DV16" s="39"/>
      <c r="DW16" s="39"/>
      <c r="DX16" s="39"/>
      <c r="DY16" s="39"/>
      <c r="DZ16" s="12">
        <f t="shared" si="49"/>
        <v>6.2</v>
      </c>
      <c r="EA16" s="12" t="str">
        <f t="shared" si="50"/>
        <v/>
      </c>
      <c r="EB16" s="12">
        <f t="shared" si="51"/>
        <v>33.99</v>
      </c>
      <c r="EC16" s="12">
        <f t="shared" si="52"/>
        <v>33.99</v>
      </c>
      <c r="ED16" s="12" t="str">
        <f t="shared" si="53"/>
        <v/>
      </c>
      <c r="EE16" s="12" t="str">
        <f t="shared" si="54"/>
        <v/>
      </c>
      <c r="EF16" s="12">
        <f t="shared" si="55"/>
        <v>33.99</v>
      </c>
      <c r="EG16" s="40"/>
      <c r="EH16" s="40"/>
      <c r="EI16" s="40"/>
      <c r="EJ16" s="40"/>
      <c r="EK16" s="40"/>
      <c r="EL16" s="40"/>
      <c r="EM16" s="40"/>
      <c r="EN16" s="40"/>
      <c r="EO16" s="40"/>
      <c r="EP16" s="40"/>
      <c r="EQ16" s="40"/>
      <c r="ER16" s="40"/>
      <c r="ES16" s="40"/>
      <c r="ET16" s="40"/>
      <c r="EU16" s="40"/>
      <c r="EV16" s="15" t="str">
        <f t="shared" si="56"/>
        <v/>
      </c>
      <c r="EW16" s="15" t="str">
        <f t="shared" si="57"/>
        <v/>
      </c>
      <c r="EX16" s="15" t="str">
        <f t="shared" si="58"/>
        <v/>
      </c>
      <c r="EY16" s="15" t="str">
        <f t="shared" si="59"/>
        <v/>
      </c>
      <c r="EZ16" s="15" t="str">
        <f t="shared" si="60"/>
        <v/>
      </c>
      <c r="FA16" s="15" t="str">
        <f t="shared" si="61"/>
        <v/>
      </c>
      <c r="FB16" s="15" t="str">
        <f t="shared" si="62"/>
        <v/>
      </c>
      <c r="FC16" s="39"/>
      <c r="FD16" s="39"/>
      <c r="FE16" s="39"/>
      <c r="FF16" s="39"/>
      <c r="FG16" s="39"/>
      <c r="FH16" s="39"/>
      <c r="FI16" s="39"/>
      <c r="FJ16" s="39"/>
      <c r="FK16" s="39"/>
      <c r="FL16" s="39"/>
      <c r="FM16" s="39"/>
      <c r="FN16" s="39"/>
      <c r="FO16" s="39"/>
      <c r="FP16" s="39"/>
      <c r="FQ16" s="39"/>
      <c r="FR16" s="12" t="str">
        <f t="shared" si="63"/>
        <v/>
      </c>
      <c r="FS16" s="12" t="str">
        <f t="shared" si="64"/>
        <v/>
      </c>
      <c r="FT16" s="12" t="str">
        <f t="shared" si="65"/>
        <v/>
      </c>
      <c r="FU16" s="12" t="str">
        <f t="shared" si="66"/>
        <v/>
      </c>
      <c r="FV16" s="12" t="str">
        <f t="shared" si="67"/>
        <v/>
      </c>
      <c r="FW16" s="12" t="str">
        <f t="shared" si="68"/>
        <v/>
      </c>
      <c r="FX16" s="12" t="str">
        <f t="shared" si="69"/>
        <v/>
      </c>
      <c r="FY16" s="40"/>
      <c r="FZ16" s="40"/>
      <c r="GA16" s="40"/>
      <c r="GB16" s="40"/>
      <c r="GC16" s="40"/>
      <c r="GD16" s="40"/>
      <c r="GE16" s="40"/>
      <c r="GF16" s="40"/>
      <c r="GG16" s="40"/>
      <c r="GH16" s="40"/>
      <c r="GI16" s="40"/>
      <c r="GJ16" s="40"/>
      <c r="GK16" s="40"/>
      <c r="GL16" s="40"/>
      <c r="GM16" s="40"/>
      <c r="GN16" s="15" t="str">
        <f t="shared" si="70"/>
        <v/>
      </c>
      <c r="GO16" s="15" t="str">
        <f t="shared" si="71"/>
        <v/>
      </c>
      <c r="GP16" s="15" t="str">
        <f t="shared" si="72"/>
        <v/>
      </c>
      <c r="GQ16" s="15" t="str">
        <f t="shared" si="73"/>
        <v/>
      </c>
      <c r="GR16" s="15" t="str">
        <f t="shared" si="74"/>
        <v/>
      </c>
      <c r="GS16" s="15" t="str">
        <f t="shared" si="75"/>
        <v/>
      </c>
      <c r="GT16" s="15" t="str">
        <f t="shared" si="76"/>
        <v/>
      </c>
      <c r="GU16" s="39"/>
      <c r="GV16" s="39"/>
      <c r="GW16" s="39"/>
      <c r="GX16" s="39"/>
      <c r="GY16" s="39"/>
      <c r="GZ16" s="39"/>
      <c r="HA16" s="39"/>
      <c r="HB16" s="39"/>
      <c r="HC16" s="39"/>
      <c r="HD16" s="39"/>
      <c r="HE16" s="39"/>
      <c r="HF16" s="39"/>
      <c r="HG16" s="39"/>
      <c r="HH16" s="39"/>
      <c r="HI16" s="39"/>
      <c r="HJ16" s="12" t="str">
        <f t="shared" si="77"/>
        <v/>
      </c>
      <c r="HK16" s="12" t="str">
        <f t="shared" si="78"/>
        <v/>
      </c>
      <c r="HL16" s="12" t="str">
        <f t="shared" si="79"/>
        <v/>
      </c>
      <c r="HM16" s="12" t="str">
        <f t="shared" si="80"/>
        <v/>
      </c>
      <c r="HN16" s="12" t="str">
        <f t="shared" si="81"/>
        <v/>
      </c>
      <c r="HO16" s="12" t="str">
        <f t="shared" si="82"/>
        <v/>
      </c>
      <c r="HP16" s="12" t="str">
        <f t="shared" si="83"/>
        <v/>
      </c>
      <c r="HQ16" s="40"/>
      <c r="HR16" s="40"/>
      <c r="HS16" s="40"/>
      <c r="HT16" s="40"/>
      <c r="HU16" s="40"/>
      <c r="HV16" s="40"/>
      <c r="HW16" s="40"/>
      <c r="HX16" s="40"/>
      <c r="HY16" s="40"/>
      <c r="HZ16" s="40"/>
      <c r="IA16" s="40"/>
      <c r="IB16" s="40"/>
      <c r="IC16" s="40"/>
      <c r="ID16" s="40"/>
      <c r="IE16" s="40"/>
      <c r="IF16" s="15" t="str">
        <f t="shared" si="84"/>
        <v/>
      </c>
      <c r="IG16" s="15" t="str">
        <f t="shared" si="85"/>
        <v/>
      </c>
      <c r="IH16" s="15" t="str">
        <f t="shared" si="86"/>
        <v/>
      </c>
      <c r="II16" s="15" t="str">
        <f t="shared" si="87"/>
        <v/>
      </c>
      <c r="IJ16" s="15" t="str">
        <f t="shared" si="88"/>
        <v/>
      </c>
      <c r="IK16" s="15" t="str">
        <f t="shared" si="89"/>
        <v/>
      </c>
      <c r="IL16" s="15" t="str">
        <f t="shared" si="90"/>
        <v/>
      </c>
      <c r="IM16" s="39"/>
      <c r="IN16" s="39"/>
      <c r="IO16" s="39"/>
      <c r="IP16" s="39"/>
      <c r="IQ16" s="39"/>
      <c r="IR16" s="39"/>
      <c r="IS16" s="39"/>
      <c r="IT16" s="39"/>
      <c r="IU16" s="39"/>
      <c r="IV16" s="39"/>
      <c r="IW16" s="39"/>
      <c r="IX16" s="39"/>
      <c r="IY16" s="39"/>
      <c r="IZ16" s="39"/>
      <c r="JA16" s="39"/>
      <c r="JB16" s="12" t="str">
        <f t="shared" si="91"/>
        <v/>
      </c>
      <c r="JC16" s="12" t="str">
        <f t="shared" si="92"/>
        <v/>
      </c>
      <c r="JD16" s="12" t="str">
        <f t="shared" si="93"/>
        <v/>
      </c>
      <c r="JE16" s="12" t="str">
        <f t="shared" si="94"/>
        <v/>
      </c>
      <c r="JF16" s="12" t="str">
        <f t="shared" si="95"/>
        <v/>
      </c>
      <c r="JG16" s="12" t="str">
        <f t="shared" si="96"/>
        <v/>
      </c>
      <c r="JH16" s="12" t="str">
        <f t="shared" si="97"/>
        <v/>
      </c>
      <c r="JI16" s="40"/>
      <c r="JJ16" s="40"/>
      <c r="JK16" s="40"/>
      <c r="JL16" s="40"/>
      <c r="JM16" s="40"/>
      <c r="JN16" s="40"/>
      <c r="JO16" s="40"/>
      <c r="JP16" s="40"/>
      <c r="JQ16" s="40"/>
      <c r="JR16" s="40"/>
      <c r="JS16" s="40"/>
      <c r="JT16" s="40"/>
      <c r="JU16" s="40"/>
      <c r="JV16" s="40"/>
      <c r="JW16" s="40"/>
      <c r="JX16" s="15" t="str">
        <f t="shared" si="98"/>
        <v/>
      </c>
      <c r="JY16" s="15" t="str">
        <f t="shared" si="99"/>
        <v/>
      </c>
      <c r="JZ16" s="15" t="str">
        <f t="shared" si="100"/>
        <v/>
      </c>
      <c r="KA16" s="15" t="str">
        <f t="shared" si="101"/>
        <v/>
      </c>
      <c r="KB16" s="15" t="str">
        <f t="shared" si="102"/>
        <v/>
      </c>
      <c r="KC16" s="15" t="str">
        <f t="shared" si="103"/>
        <v/>
      </c>
      <c r="KD16" s="15" t="str">
        <f t="shared" si="104"/>
        <v/>
      </c>
      <c r="KE16" s="39"/>
      <c r="KF16" s="39"/>
      <c r="KG16" s="39"/>
      <c r="KH16" s="39"/>
      <c r="KI16" s="39"/>
      <c r="KJ16" s="39"/>
      <c r="KK16" s="39"/>
      <c r="KL16" s="39"/>
      <c r="KM16" s="39"/>
      <c r="KN16" s="39"/>
      <c r="KO16" s="39"/>
      <c r="KP16" s="39"/>
      <c r="KQ16" s="39"/>
      <c r="KR16" s="39"/>
      <c r="KS16" s="39"/>
      <c r="KT16" s="12" t="str">
        <f t="shared" si="105"/>
        <v/>
      </c>
      <c r="KU16" s="12" t="str">
        <f t="shared" si="106"/>
        <v/>
      </c>
      <c r="KV16" s="12" t="str">
        <f t="shared" si="107"/>
        <v/>
      </c>
      <c r="KW16" s="12" t="str">
        <f t="shared" si="108"/>
        <v/>
      </c>
      <c r="KX16" s="12" t="str">
        <f t="shared" si="109"/>
        <v/>
      </c>
      <c r="KY16" s="12" t="str">
        <f t="shared" si="110"/>
        <v/>
      </c>
      <c r="KZ16" s="12" t="str">
        <f t="shared" si="111"/>
        <v/>
      </c>
      <c r="LA16" s="40"/>
      <c r="LB16" s="40"/>
      <c r="LC16" s="40"/>
      <c r="LD16" s="40"/>
      <c r="LE16" s="40"/>
      <c r="LF16" s="40"/>
      <c r="LG16" s="40"/>
      <c r="LH16" s="40"/>
      <c r="LI16" s="40"/>
      <c r="LJ16" s="40"/>
      <c r="LK16" s="40"/>
      <c r="LL16" s="40"/>
      <c r="LM16" s="40"/>
      <c r="LN16" s="40"/>
      <c r="LO16" s="40"/>
      <c r="LP16" s="15" t="str">
        <f t="shared" si="112"/>
        <v/>
      </c>
      <c r="LQ16" s="15" t="str">
        <f t="shared" si="113"/>
        <v/>
      </c>
      <c r="LR16" s="15" t="str">
        <f t="shared" si="114"/>
        <v/>
      </c>
      <c r="LS16" s="15" t="str">
        <f t="shared" si="115"/>
        <v/>
      </c>
      <c r="LT16" s="15" t="str">
        <f t="shared" si="116"/>
        <v/>
      </c>
      <c r="LU16" s="15" t="str">
        <f t="shared" si="117"/>
        <v/>
      </c>
      <c r="LV16" s="15" t="str">
        <f t="shared" si="118"/>
        <v/>
      </c>
      <c r="LW16" s="71">
        <f t="shared" ref="LW16" si="140">IF($BG16="P",AR16,(U16+AR16)/2)</f>
        <v>0</v>
      </c>
      <c r="LX16" s="71">
        <f t="shared" ref="LX16" si="141">IF($BG16="P",AS16,(V16+AS16)/2)</f>
        <v>0</v>
      </c>
      <c r="LY16" s="71">
        <f t="shared" ref="LY16" si="142">IF($BG16="P",AT16,(W16+AT16)/2)</f>
        <v>0</v>
      </c>
      <c r="LZ16" s="71">
        <f t="shared" ref="LZ16" si="143">IF($BG16="P",AU16,(X16+AU16)/2)</f>
        <v>0</v>
      </c>
      <c r="MA16" s="71">
        <f t="shared" ref="MA16" si="144">IF($BG16="P",AV16,(Y16+AV16)/2)</f>
        <v>0</v>
      </c>
      <c r="MB16" s="71">
        <f t="shared" ref="MB16" si="145">IF($BG16="P",AW16,(Z16+AW16)/2)</f>
        <v>0</v>
      </c>
      <c r="MC16" s="71">
        <f t="shared" ref="MC16" si="146">IF($BG16="P",AX16,(AA16+AX16)/2)</f>
        <v>0</v>
      </c>
      <c r="MD16" s="71">
        <f t="shared" ref="MD16" si="147">IF($BG16="P",AY16,(AB16+AY16)/2)</f>
        <v>0</v>
      </c>
      <c r="ME16" s="71">
        <f t="shared" ref="ME16" si="148">IF($BG16="P",AZ16,(AC16+AZ16)/2)</f>
        <v>0</v>
      </c>
      <c r="MF16" s="71">
        <f t="shared" ref="MF16" si="149">IF($BG16="P",BA16,(AD16+BA16)/2)</f>
        <v>0</v>
      </c>
      <c r="MG16" s="71">
        <f t="shared" ref="MG16" si="150">IF($BG16="P",BB16,(AE16+BB16)/2)</f>
        <v>0</v>
      </c>
      <c r="MH16" s="71">
        <f t="shared" ref="MH16" si="151">IF($BG16="P",BC16,(AF16+BC16)/2)</f>
        <v>0</v>
      </c>
      <c r="MI16" s="71">
        <f t="shared" ref="MI16" si="152">IF($BG16="P",BD16,(AG16+BD16)/2)</f>
        <v>0</v>
      </c>
      <c r="MJ16" s="71">
        <f t="shared" ref="MJ16" si="153">IF($BG16="P",BE16,(AH16+BE16)/2)</f>
        <v>0</v>
      </c>
      <c r="MK16" s="71">
        <f t="shared" ref="MK16" si="154">IF($BG16="P",BF16,(AI16+BF16)/2)</f>
        <v>0</v>
      </c>
      <c r="ML16" s="82" t="s">
        <v>100</v>
      </c>
      <c r="MM16" s="12" t="str">
        <f t="shared" ref="MM16" si="155">IF(MD16&gt;0,MD16,"")</f>
        <v/>
      </c>
      <c r="MN16" s="12" t="str">
        <f t="shared" ref="MN16" si="156">IF(SUM(LW16:LZ16)-MA16&gt;0,SUM(LW16:LZ16)-MA16,"")</f>
        <v/>
      </c>
      <c r="MO16" s="12" t="str">
        <f t="shared" ref="MO16" si="157">IF(SUM(MB16:ME16)-MF16&gt;0,SUM(MB16:ME16)-MF16,"")</f>
        <v/>
      </c>
      <c r="MP16" s="12" t="str">
        <f t="shared" ref="MP16" si="158">IF(SUM(MN16:MO16)&gt;0,SUM(MN16:MO16),"")</f>
        <v/>
      </c>
      <c r="MQ16" s="12" t="str">
        <f t="shared" ref="MQ16" si="159">IF(MI16&gt;0,MI16,"")</f>
        <v/>
      </c>
      <c r="MR16" s="12" t="str">
        <f t="shared" ref="MR16" si="160">IF(SUM(MG16:MJ16)-MK16&gt;0,SUM(MG16:MJ16)-MK16,"")</f>
        <v/>
      </c>
      <c r="MS16" s="12" t="str">
        <f t="shared" ref="MS16" si="161">IF(SUM(MP16,MR16)&gt;0,SUM(MP16,MR16),"")</f>
        <v/>
      </c>
    </row>
    <row r="17" spans="1:357" x14ac:dyDescent="0.2">
      <c r="A17" s="6" t="str">
        <f t="shared" si="0"/>
        <v/>
      </c>
      <c r="B17" s="9" t="s">
        <v>204</v>
      </c>
      <c r="C17" s="5" t="s">
        <v>127</v>
      </c>
      <c r="D17" s="29" t="s">
        <v>112</v>
      </c>
      <c r="E17" s="16">
        <f t="shared" si="1"/>
        <v>0</v>
      </c>
      <c r="F17" s="4" t="str">
        <f t="shared" si="2"/>
        <v/>
      </c>
      <c r="G17" s="4" t="str">
        <f t="shared" si="3"/>
        <v/>
      </c>
      <c r="H17" s="4" t="str">
        <f t="shared" si="4"/>
        <v/>
      </c>
      <c r="I17" t="str">
        <f t="shared" si="5"/>
        <v/>
      </c>
      <c r="J17" s="15" t="str">
        <f t="shared" si="6"/>
        <v/>
      </c>
      <c r="K17" s="15" t="str">
        <f t="shared" si="7"/>
        <v/>
      </c>
      <c r="L17" s="15" t="str">
        <f t="shared" si="8"/>
        <v/>
      </c>
      <c r="M17" s="15" t="str">
        <f t="shared" si="9"/>
        <v/>
      </c>
      <c r="N17" s="15" t="str">
        <f t="shared" si="10"/>
        <v/>
      </c>
      <c r="O17" s="15" t="str">
        <f t="shared" si="11"/>
        <v/>
      </c>
      <c r="P17" s="15" t="str">
        <f t="shared" si="12"/>
        <v/>
      </c>
      <c r="Q17" s="15" t="str">
        <f t="shared" si="13"/>
        <v/>
      </c>
      <c r="R17" s="15" t="str">
        <f t="shared" si="14"/>
        <v/>
      </c>
      <c r="S17" s="27" t="str">
        <f t="shared" si="15"/>
        <v/>
      </c>
      <c r="T17" s="15" t="str">
        <f t="shared" si="16"/>
        <v/>
      </c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82"/>
      <c r="AK17" s="12" t="str">
        <f t="shared" si="17"/>
        <v/>
      </c>
      <c r="AL17" s="12" t="str">
        <f t="shared" si="18"/>
        <v/>
      </c>
      <c r="AM17" s="12" t="str">
        <f t="shared" si="19"/>
        <v/>
      </c>
      <c r="AN17" s="12" t="str">
        <f t="shared" si="20"/>
        <v/>
      </c>
      <c r="AO17" s="12" t="str">
        <f t="shared" si="21"/>
        <v/>
      </c>
      <c r="AP17" s="12" t="str">
        <f t="shared" si="22"/>
        <v/>
      </c>
      <c r="AQ17" s="12" t="str">
        <f t="shared" si="23"/>
        <v/>
      </c>
      <c r="AR17" s="42"/>
      <c r="AS17" s="42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42"/>
      <c r="BE17" s="42"/>
      <c r="BF17" s="42"/>
      <c r="BG17" s="83"/>
      <c r="BH17" s="15" t="str">
        <f t="shared" si="24"/>
        <v/>
      </c>
      <c r="BI17" s="15" t="str">
        <f t="shared" si="25"/>
        <v/>
      </c>
      <c r="BJ17" s="15" t="str">
        <f t="shared" si="26"/>
        <v/>
      </c>
      <c r="BK17" s="15" t="str">
        <f t="shared" si="27"/>
        <v/>
      </c>
      <c r="BL17" s="15" t="str">
        <f t="shared" si="28"/>
        <v/>
      </c>
      <c r="BM17" s="15" t="str">
        <f t="shared" si="29"/>
        <v/>
      </c>
      <c r="BN17" s="15" t="str">
        <f t="shared" si="30"/>
        <v/>
      </c>
      <c r="BO17" s="26" t="str">
        <f t="shared" si="31"/>
        <v/>
      </c>
      <c r="BP17" s="26" t="str">
        <f t="shared" si="32"/>
        <v/>
      </c>
      <c r="BQ17" s="26" t="str">
        <f t="shared" si="33"/>
        <v/>
      </c>
      <c r="BR17" s="26" t="str">
        <f t="shared" si="34"/>
        <v/>
      </c>
      <c r="BS17" s="39"/>
      <c r="BT17" s="39"/>
      <c r="BU17" s="39"/>
      <c r="BV17" s="39"/>
      <c r="BW17" s="39"/>
      <c r="BX17" s="39"/>
      <c r="BY17" s="39"/>
      <c r="BZ17" s="39"/>
      <c r="CA17" s="39"/>
      <c r="CB17" s="39"/>
      <c r="CC17" s="39"/>
      <c r="CD17" s="39"/>
      <c r="CE17" s="39"/>
      <c r="CF17" s="39"/>
      <c r="CG17" s="39"/>
      <c r="CH17" s="12" t="str">
        <f t="shared" si="35"/>
        <v/>
      </c>
      <c r="CI17" s="12" t="str">
        <f t="shared" si="36"/>
        <v/>
      </c>
      <c r="CJ17" s="12" t="str">
        <f t="shared" si="37"/>
        <v/>
      </c>
      <c r="CK17" s="12" t="str">
        <f t="shared" si="38"/>
        <v/>
      </c>
      <c r="CL17" s="12" t="str">
        <f t="shared" si="39"/>
        <v/>
      </c>
      <c r="CM17" s="12" t="str">
        <f t="shared" si="40"/>
        <v/>
      </c>
      <c r="CN17" s="12" t="str">
        <f t="shared" si="41"/>
        <v/>
      </c>
      <c r="CO17" s="40"/>
      <c r="CP17" s="40"/>
      <c r="CQ17" s="40"/>
      <c r="CR17" s="40"/>
      <c r="CS17" s="40"/>
      <c r="CT17" s="40"/>
      <c r="CU17" s="40"/>
      <c r="CV17" s="40"/>
      <c r="CW17" s="40"/>
      <c r="CX17" s="40"/>
      <c r="CY17" s="40"/>
      <c r="CZ17" s="40"/>
      <c r="DA17" s="40"/>
      <c r="DB17" s="40"/>
      <c r="DC17" s="40"/>
      <c r="DD17" s="15" t="str">
        <f t="shared" si="42"/>
        <v/>
      </c>
      <c r="DE17" s="15" t="str">
        <f t="shared" si="43"/>
        <v/>
      </c>
      <c r="DF17" s="15" t="str">
        <f t="shared" si="44"/>
        <v/>
      </c>
      <c r="DG17" s="15" t="str">
        <f t="shared" si="45"/>
        <v/>
      </c>
      <c r="DH17" s="15" t="str">
        <f t="shared" si="46"/>
        <v/>
      </c>
      <c r="DI17" s="15" t="str">
        <f t="shared" si="47"/>
        <v/>
      </c>
      <c r="DJ17" s="15" t="str">
        <f t="shared" si="48"/>
        <v/>
      </c>
      <c r="DK17" s="39"/>
      <c r="DL17" s="39"/>
      <c r="DM17" s="39"/>
      <c r="DN17" s="39"/>
      <c r="DO17" s="39"/>
      <c r="DP17" s="39"/>
      <c r="DQ17" s="39"/>
      <c r="DR17" s="39"/>
      <c r="DS17" s="39"/>
      <c r="DT17" s="39"/>
      <c r="DU17" s="39"/>
      <c r="DV17" s="39"/>
      <c r="DW17" s="39"/>
      <c r="DX17" s="39"/>
      <c r="DY17" s="39"/>
      <c r="DZ17" s="12" t="str">
        <f t="shared" si="49"/>
        <v/>
      </c>
      <c r="EA17" s="12" t="str">
        <f t="shared" si="50"/>
        <v/>
      </c>
      <c r="EB17" s="12" t="str">
        <f t="shared" si="51"/>
        <v/>
      </c>
      <c r="EC17" s="12" t="str">
        <f t="shared" si="52"/>
        <v/>
      </c>
      <c r="ED17" s="12" t="str">
        <f t="shared" si="53"/>
        <v/>
      </c>
      <c r="EE17" s="12" t="str">
        <f t="shared" si="54"/>
        <v/>
      </c>
      <c r="EF17" s="12" t="str">
        <f t="shared" si="55"/>
        <v/>
      </c>
      <c r="EG17" s="40"/>
      <c r="EH17" s="40"/>
      <c r="EI17" s="40"/>
      <c r="EJ17" s="40"/>
      <c r="EK17" s="40"/>
      <c r="EL17" s="40"/>
      <c r="EM17" s="40"/>
      <c r="EN17" s="40"/>
      <c r="EO17" s="40"/>
      <c r="EP17" s="40"/>
      <c r="EQ17" s="40"/>
      <c r="ER17" s="40"/>
      <c r="ES17" s="40"/>
      <c r="ET17" s="40"/>
      <c r="EU17" s="40"/>
      <c r="EV17" s="15" t="str">
        <f t="shared" si="56"/>
        <v/>
      </c>
      <c r="EW17" s="15" t="str">
        <f t="shared" si="57"/>
        <v/>
      </c>
      <c r="EX17" s="15" t="str">
        <f t="shared" si="58"/>
        <v/>
      </c>
      <c r="EY17" s="15" t="str">
        <f t="shared" si="59"/>
        <v/>
      </c>
      <c r="EZ17" s="15" t="str">
        <f t="shared" si="60"/>
        <v/>
      </c>
      <c r="FA17" s="15" t="str">
        <f t="shared" si="61"/>
        <v/>
      </c>
      <c r="FB17" s="15" t="str">
        <f t="shared" si="62"/>
        <v/>
      </c>
      <c r="FC17" s="39"/>
      <c r="FD17" s="39"/>
      <c r="FE17" s="39"/>
      <c r="FF17" s="39"/>
      <c r="FG17" s="39"/>
      <c r="FH17" s="39"/>
      <c r="FI17" s="39"/>
      <c r="FJ17" s="39"/>
      <c r="FK17" s="39"/>
      <c r="FL17" s="39"/>
      <c r="FM17" s="39"/>
      <c r="FN17" s="39"/>
      <c r="FO17" s="39"/>
      <c r="FP17" s="39"/>
      <c r="FQ17" s="39"/>
      <c r="FR17" s="12" t="str">
        <f t="shared" si="63"/>
        <v/>
      </c>
      <c r="FS17" s="12" t="str">
        <f t="shared" si="64"/>
        <v/>
      </c>
      <c r="FT17" s="12" t="str">
        <f t="shared" si="65"/>
        <v/>
      </c>
      <c r="FU17" s="12" t="str">
        <f t="shared" si="66"/>
        <v/>
      </c>
      <c r="FV17" s="12" t="str">
        <f t="shared" si="67"/>
        <v/>
      </c>
      <c r="FW17" s="12" t="str">
        <f t="shared" si="68"/>
        <v/>
      </c>
      <c r="FX17" s="12" t="str">
        <f t="shared" si="69"/>
        <v/>
      </c>
      <c r="FY17" s="40"/>
      <c r="FZ17" s="40"/>
      <c r="GA17" s="40"/>
      <c r="GB17" s="40"/>
      <c r="GC17" s="40"/>
      <c r="GD17" s="40"/>
      <c r="GE17" s="40"/>
      <c r="GF17" s="40"/>
      <c r="GG17" s="40"/>
      <c r="GH17" s="40"/>
      <c r="GI17" s="40"/>
      <c r="GJ17" s="40"/>
      <c r="GK17" s="40"/>
      <c r="GL17" s="40"/>
      <c r="GM17" s="40"/>
      <c r="GN17" s="15" t="str">
        <f t="shared" si="70"/>
        <v/>
      </c>
      <c r="GO17" s="15" t="str">
        <f t="shared" si="71"/>
        <v/>
      </c>
      <c r="GP17" s="15" t="str">
        <f t="shared" si="72"/>
        <v/>
      </c>
      <c r="GQ17" s="15" t="str">
        <f t="shared" si="73"/>
        <v/>
      </c>
      <c r="GR17" s="15" t="str">
        <f t="shared" si="74"/>
        <v/>
      </c>
      <c r="GS17" s="15" t="str">
        <f t="shared" si="75"/>
        <v/>
      </c>
      <c r="GT17" s="15" t="str">
        <f t="shared" si="76"/>
        <v/>
      </c>
      <c r="GU17" s="39"/>
      <c r="GV17" s="39"/>
      <c r="GW17" s="39"/>
      <c r="GX17" s="39"/>
      <c r="GY17" s="39"/>
      <c r="GZ17" s="39"/>
      <c r="HA17" s="39"/>
      <c r="HB17" s="39"/>
      <c r="HC17" s="39"/>
      <c r="HD17" s="39"/>
      <c r="HE17" s="39"/>
      <c r="HF17" s="39"/>
      <c r="HG17" s="39"/>
      <c r="HH17" s="39"/>
      <c r="HI17" s="39"/>
      <c r="HJ17" s="12" t="str">
        <f t="shared" si="77"/>
        <v/>
      </c>
      <c r="HK17" s="12" t="str">
        <f t="shared" si="78"/>
        <v/>
      </c>
      <c r="HL17" s="12" t="str">
        <f t="shared" si="79"/>
        <v/>
      </c>
      <c r="HM17" s="12" t="str">
        <f t="shared" si="80"/>
        <v/>
      </c>
      <c r="HN17" s="12" t="str">
        <f t="shared" si="81"/>
        <v/>
      </c>
      <c r="HO17" s="12" t="str">
        <f t="shared" si="82"/>
        <v/>
      </c>
      <c r="HP17" s="12" t="str">
        <f t="shared" si="83"/>
        <v/>
      </c>
      <c r="HQ17" s="40"/>
      <c r="HR17" s="40"/>
      <c r="HS17" s="40"/>
      <c r="HT17" s="40"/>
      <c r="HU17" s="40"/>
      <c r="HV17" s="40"/>
      <c r="HW17" s="40"/>
      <c r="HX17" s="40"/>
      <c r="HY17" s="40"/>
      <c r="HZ17" s="40"/>
      <c r="IA17" s="40"/>
      <c r="IB17" s="40"/>
      <c r="IC17" s="40"/>
      <c r="ID17" s="40"/>
      <c r="IE17" s="40"/>
      <c r="IF17" s="15" t="str">
        <f t="shared" si="84"/>
        <v/>
      </c>
      <c r="IG17" s="15" t="str">
        <f t="shared" si="85"/>
        <v/>
      </c>
      <c r="IH17" s="15" t="str">
        <f t="shared" si="86"/>
        <v/>
      </c>
      <c r="II17" s="15" t="str">
        <f t="shared" si="87"/>
        <v/>
      </c>
      <c r="IJ17" s="15" t="str">
        <f t="shared" si="88"/>
        <v/>
      </c>
      <c r="IK17" s="15" t="str">
        <f t="shared" si="89"/>
        <v/>
      </c>
      <c r="IL17" s="15" t="str">
        <f t="shared" si="90"/>
        <v/>
      </c>
      <c r="IM17" s="39"/>
      <c r="IN17" s="39"/>
      <c r="IO17" s="39"/>
      <c r="IP17" s="39"/>
      <c r="IQ17" s="39"/>
      <c r="IR17" s="39"/>
      <c r="IS17" s="39"/>
      <c r="IT17" s="39"/>
      <c r="IU17" s="39"/>
      <c r="IV17" s="39"/>
      <c r="IW17" s="39"/>
      <c r="IX17" s="39"/>
      <c r="IY17" s="39"/>
      <c r="IZ17" s="39"/>
      <c r="JA17" s="39"/>
      <c r="JB17" s="12" t="str">
        <f t="shared" si="91"/>
        <v/>
      </c>
      <c r="JC17" s="12" t="str">
        <f t="shared" si="92"/>
        <v/>
      </c>
      <c r="JD17" s="12" t="str">
        <f t="shared" si="93"/>
        <v/>
      </c>
      <c r="JE17" s="12" t="str">
        <f t="shared" si="94"/>
        <v/>
      </c>
      <c r="JF17" s="12" t="str">
        <f t="shared" si="95"/>
        <v/>
      </c>
      <c r="JG17" s="12" t="str">
        <f t="shared" si="96"/>
        <v/>
      </c>
      <c r="JH17" s="12" t="str">
        <f t="shared" si="97"/>
        <v/>
      </c>
      <c r="JI17" s="40"/>
      <c r="JJ17" s="40"/>
      <c r="JK17" s="40"/>
      <c r="JL17" s="40"/>
      <c r="JM17" s="40"/>
      <c r="JN17" s="40"/>
      <c r="JO17" s="40"/>
      <c r="JP17" s="40"/>
      <c r="JQ17" s="40"/>
      <c r="JR17" s="40"/>
      <c r="JS17" s="40"/>
      <c r="JT17" s="40"/>
      <c r="JU17" s="40"/>
      <c r="JV17" s="40"/>
      <c r="JW17" s="40"/>
      <c r="JX17" s="15" t="str">
        <f t="shared" si="98"/>
        <v/>
      </c>
      <c r="JY17" s="15" t="str">
        <f t="shared" si="99"/>
        <v/>
      </c>
      <c r="JZ17" s="15" t="str">
        <f t="shared" si="100"/>
        <v/>
      </c>
      <c r="KA17" s="15" t="str">
        <f t="shared" si="101"/>
        <v/>
      </c>
      <c r="KB17" s="15" t="str">
        <f t="shared" si="102"/>
        <v/>
      </c>
      <c r="KC17" s="15" t="str">
        <f t="shared" si="103"/>
        <v/>
      </c>
      <c r="KD17" s="15" t="str">
        <f t="shared" si="104"/>
        <v/>
      </c>
      <c r="KE17" s="39"/>
      <c r="KF17" s="39"/>
      <c r="KG17" s="39"/>
      <c r="KH17" s="39"/>
      <c r="KI17" s="39"/>
      <c r="KJ17" s="39"/>
      <c r="KK17" s="39"/>
      <c r="KL17" s="39"/>
      <c r="KM17" s="39"/>
      <c r="KN17" s="39"/>
      <c r="KO17" s="39"/>
      <c r="KP17" s="39"/>
      <c r="KQ17" s="39"/>
      <c r="KR17" s="39"/>
      <c r="KS17" s="39"/>
      <c r="KT17" s="12" t="str">
        <f t="shared" si="105"/>
        <v/>
      </c>
      <c r="KU17" s="12" t="str">
        <f t="shared" si="106"/>
        <v/>
      </c>
      <c r="KV17" s="12" t="str">
        <f t="shared" si="107"/>
        <v/>
      </c>
      <c r="KW17" s="12" t="str">
        <f t="shared" si="108"/>
        <v/>
      </c>
      <c r="KX17" s="12" t="str">
        <f t="shared" si="109"/>
        <v/>
      </c>
      <c r="KY17" s="12" t="str">
        <f t="shared" si="110"/>
        <v/>
      </c>
      <c r="KZ17" s="12" t="str">
        <f t="shared" si="111"/>
        <v/>
      </c>
      <c r="LA17" s="40"/>
      <c r="LB17" s="40"/>
      <c r="LC17" s="40"/>
      <c r="LD17" s="40"/>
      <c r="LE17" s="40"/>
      <c r="LF17" s="40"/>
      <c r="LG17" s="40"/>
      <c r="LH17" s="40"/>
      <c r="LI17" s="40"/>
      <c r="LJ17" s="40"/>
      <c r="LK17" s="40"/>
      <c r="LL17" s="40"/>
      <c r="LM17" s="40"/>
      <c r="LN17" s="40"/>
      <c r="LO17" s="40"/>
      <c r="LP17" s="15" t="str">
        <f t="shared" si="112"/>
        <v/>
      </c>
      <c r="LQ17" s="15" t="str">
        <f t="shared" si="113"/>
        <v/>
      </c>
      <c r="LR17" s="15" t="str">
        <f t="shared" si="114"/>
        <v/>
      </c>
      <c r="LS17" s="15" t="str">
        <f t="shared" si="115"/>
        <v/>
      </c>
      <c r="LT17" s="15" t="str">
        <f t="shared" si="116"/>
        <v/>
      </c>
      <c r="LU17" s="15" t="str">
        <f t="shared" si="117"/>
        <v/>
      </c>
      <c r="LV17" s="15" t="str">
        <f t="shared" si="118"/>
        <v/>
      </c>
      <c r="LW17" s="71">
        <f t="shared" ref="LW17" si="162">IF($BG17="P",AR17,(U17+AR17)/2)</f>
        <v>0</v>
      </c>
      <c r="LX17" s="71">
        <f t="shared" ref="LX17" si="163">IF($BG17="P",AS17,(V17+AS17)/2)</f>
        <v>0</v>
      </c>
      <c r="LY17" s="71">
        <f t="shared" ref="LY17" si="164">IF($BG17="P",AT17,(W17+AT17)/2)</f>
        <v>0</v>
      </c>
      <c r="LZ17" s="71">
        <f t="shared" ref="LZ17" si="165">IF($BG17="P",AU17,(X17+AU17)/2)</f>
        <v>0</v>
      </c>
      <c r="MA17" s="71">
        <f t="shared" ref="MA17" si="166">IF($BG17="P",AV17,(Y17+AV17)/2)</f>
        <v>0</v>
      </c>
      <c r="MB17" s="71">
        <f t="shared" ref="MB17" si="167">IF($BG17="P",AW17,(Z17+AW17)/2)</f>
        <v>0</v>
      </c>
      <c r="MC17" s="71">
        <f t="shared" ref="MC17" si="168">IF($BG17="P",AX17,(AA17+AX17)/2)</f>
        <v>0</v>
      </c>
      <c r="MD17" s="71">
        <f t="shared" ref="MD17" si="169">IF($BG17="P",AY17,(AB17+AY17)/2)</f>
        <v>0</v>
      </c>
      <c r="ME17" s="71">
        <f t="shared" ref="ME17" si="170">IF($BG17="P",AZ17,(AC17+AZ17)/2)</f>
        <v>0</v>
      </c>
      <c r="MF17" s="71">
        <f t="shared" ref="MF17" si="171">IF($BG17="P",BA17,(AD17+BA17)/2)</f>
        <v>0</v>
      </c>
      <c r="MG17" s="71">
        <f t="shared" ref="MG17" si="172">IF($BG17="P",BB17,(AE17+BB17)/2)</f>
        <v>0</v>
      </c>
      <c r="MH17" s="71">
        <f t="shared" ref="MH17" si="173">IF($BG17="P",BC17,(AF17+BC17)/2)</f>
        <v>0</v>
      </c>
      <c r="MI17" s="71">
        <f t="shared" ref="MI17" si="174">IF($BG17="P",BD17,(AG17+BD17)/2)</f>
        <v>0</v>
      </c>
      <c r="MJ17" s="71">
        <f t="shared" ref="MJ17" si="175">IF($BG17="P",BE17,(AH17+BE17)/2)</f>
        <v>0</v>
      </c>
      <c r="MK17" s="71">
        <f t="shared" ref="MK17" si="176">IF($BG17="P",BF17,(AI17+BF17)/2)</f>
        <v>0</v>
      </c>
      <c r="ML17" s="82" t="s">
        <v>100</v>
      </c>
      <c r="MM17" s="12" t="str">
        <f t="shared" ref="MM17" si="177">IF(MD17&gt;0,MD17,"")</f>
        <v/>
      </c>
      <c r="MN17" s="12" t="str">
        <f t="shared" ref="MN17" si="178">IF(SUM(LW17:LZ17)-MA17&gt;0,SUM(LW17:LZ17)-MA17,"")</f>
        <v/>
      </c>
      <c r="MO17" s="12" t="str">
        <f t="shared" ref="MO17" si="179">IF(SUM(MB17:ME17)-MF17&gt;0,SUM(MB17:ME17)-MF17,"")</f>
        <v/>
      </c>
      <c r="MP17" s="12" t="str">
        <f t="shared" ref="MP17" si="180">IF(SUM(MN17:MO17)&gt;0,SUM(MN17:MO17),"")</f>
        <v/>
      </c>
      <c r="MQ17" s="12" t="str">
        <f t="shared" ref="MQ17" si="181">IF(MI17&gt;0,MI17,"")</f>
        <v/>
      </c>
      <c r="MR17" s="12" t="str">
        <f t="shared" ref="MR17" si="182">IF(SUM(MG17:MJ17)-MK17&gt;0,SUM(MG17:MJ17)-MK17,"")</f>
        <v/>
      </c>
      <c r="MS17" s="12" t="str">
        <f t="shared" ref="MS17" si="183">IF(SUM(MP17,MR17)&gt;0,SUM(MP17,MR17),"")</f>
        <v/>
      </c>
    </row>
    <row r="18" spans="1:357" x14ac:dyDescent="0.2">
      <c r="D18" s="1"/>
      <c r="S18" s="28"/>
    </row>
    <row r="20" spans="1:357" x14ac:dyDescent="0.2">
      <c r="B20" s="72" t="s">
        <v>85</v>
      </c>
      <c r="AK20" s="58"/>
      <c r="AL20" s="66">
        <v>13.5</v>
      </c>
      <c r="BH20" s="58"/>
      <c r="BI20" s="66">
        <v>13.5</v>
      </c>
      <c r="CH20" s="58"/>
      <c r="CI20" s="66">
        <v>14</v>
      </c>
      <c r="DD20" s="58"/>
      <c r="DE20" s="66">
        <v>17.7</v>
      </c>
      <c r="DZ20" s="58"/>
      <c r="EA20" s="66">
        <v>17.7</v>
      </c>
      <c r="EV20" s="58"/>
      <c r="EW20" s="66">
        <v>13.5</v>
      </c>
      <c r="FR20" s="58"/>
      <c r="FS20" s="66">
        <v>13.5</v>
      </c>
      <c r="GN20" s="58"/>
      <c r="GO20" s="66">
        <v>13.5</v>
      </c>
      <c r="HJ20" s="58"/>
      <c r="HK20" s="66">
        <v>13.5</v>
      </c>
      <c r="IF20" s="58"/>
      <c r="IG20" s="66">
        <v>13.5</v>
      </c>
      <c r="JB20" s="58"/>
      <c r="JC20" s="66">
        <v>13.5</v>
      </c>
      <c r="JX20" s="58"/>
      <c r="JY20" s="66">
        <v>13.5</v>
      </c>
      <c r="KT20" s="58"/>
      <c r="KU20" s="66">
        <v>13.5</v>
      </c>
      <c r="LP20" s="58"/>
      <c r="LQ20" s="66">
        <v>13.5</v>
      </c>
    </row>
    <row r="21" spans="1:357" x14ac:dyDescent="0.2">
      <c r="A21" s="58"/>
      <c r="B21" s="100" t="s">
        <v>84</v>
      </c>
      <c r="C21" s="57"/>
      <c r="AK21" s="58"/>
      <c r="AL21" s="102">
        <v>14.4</v>
      </c>
      <c r="BH21" s="58"/>
      <c r="BI21" s="102">
        <v>14.4</v>
      </c>
      <c r="CH21" s="58"/>
      <c r="CI21" s="102">
        <v>15</v>
      </c>
      <c r="DD21" s="58"/>
      <c r="DE21" s="102">
        <v>18.2</v>
      </c>
      <c r="DZ21" s="58"/>
      <c r="EA21" s="102">
        <v>18.2</v>
      </c>
      <c r="EV21" s="58"/>
      <c r="EW21" s="102">
        <v>14.4</v>
      </c>
      <c r="FR21" s="58"/>
      <c r="FS21" s="102">
        <v>14.4</v>
      </c>
      <c r="GN21" s="58"/>
      <c r="GO21" s="102">
        <v>14.4</v>
      </c>
      <c r="HJ21" s="58"/>
      <c r="HK21" s="102">
        <v>14.4</v>
      </c>
      <c r="IF21" s="58"/>
      <c r="IG21" s="102">
        <v>14.4</v>
      </c>
      <c r="JB21" s="58"/>
      <c r="JC21" s="102">
        <v>14.4</v>
      </c>
      <c r="JX21" s="58"/>
      <c r="JY21" s="102">
        <v>14.4</v>
      </c>
      <c r="KT21" s="58"/>
      <c r="KU21" s="102">
        <v>14.4</v>
      </c>
      <c r="LP21" s="58"/>
      <c r="LQ21" s="102">
        <v>14.4</v>
      </c>
    </row>
    <row r="22" spans="1:357" x14ac:dyDescent="0.2">
      <c r="A22" s="58"/>
      <c r="B22" s="73" t="s">
        <v>82</v>
      </c>
      <c r="C22" s="57"/>
      <c r="AK22" s="58"/>
      <c r="AL22" s="67">
        <v>87</v>
      </c>
      <c r="BH22" s="58"/>
      <c r="BI22" s="67">
        <v>87</v>
      </c>
      <c r="CH22" s="58"/>
      <c r="CI22" s="67">
        <v>86.1</v>
      </c>
      <c r="DD22" s="58"/>
      <c r="DE22" s="67">
        <v>86.1</v>
      </c>
      <c r="DZ22" s="58"/>
      <c r="EA22" s="67">
        <v>86.1</v>
      </c>
      <c r="EV22" s="58"/>
      <c r="EW22" s="67">
        <v>87</v>
      </c>
      <c r="FR22" s="58"/>
      <c r="FS22" s="67">
        <v>87</v>
      </c>
      <c r="GN22" s="58"/>
      <c r="GO22" s="67">
        <v>87</v>
      </c>
      <c r="HJ22" s="58"/>
      <c r="HK22" s="67">
        <v>87</v>
      </c>
      <c r="IF22" s="58"/>
      <c r="IG22" s="67">
        <v>87</v>
      </c>
      <c r="JB22" s="58"/>
      <c r="JC22" s="67">
        <v>87</v>
      </c>
      <c r="JX22" s="58"/>
      <c r="JY22" s="67">
        <v>87</v>
      </c>
      <c r="KT22" s="58"/>
      <c r="KU22" s="67">
        <v>87</v>
      </c>
      <c r="LP22" s="58"/>
      <c r="LQ22" s="67">
        <v>87</v>
      </c>
    </row>
    <row r="23" spans="1:357" x14ac:dyDescent="0.2">
      <c r="A23" s="58"/>
      <c r="B23" s="74" t="s">
        <v>83</v>
      </c>
      <c r="C23" s="57"/>
      <c r="AK23" s="58"/>
      <c r="AL23" s="68">
        <v>89</v>
      </c>
      <c r="BH23" s="58"/>
      <c r="BI23" s="68">
        <v>89</v>
      </c>
      <c r="CH23" s="58"/>
      <c r="CI23" s="68">
        <v>88.1</v>
      </c>
      <c r="DD23" s="58"/>
      <c r="DE23" s="68">
        <v>88.1</v>
      </c>
      <c r="DZ23" s="58"/>
      <c r="EA23" s="68">
        <v>88.1</v>
      </c>
      <c r="EV23" s="58"/>
      <c r="EW23" s="68">
        <v>89</v>
      </c>
      <c r="FR23" s="58"/>
      <c r="FS23" s="68">
        <v>89</v>
      </c>
      <c r="GN23" s="58"/>
      <c r="GO23" s="68">
        <v>89</v>
      </c>
      <c r="HJ23" s="58"/>
      <c r="HK23" s="68">
        <v>89</v>
      </c>
      <c r="IF23" s="58"/>
      <c r="IG23" s="68">
        <v>89</v>
      </c>
      <c r="JB23" s="58"/>
      <c r="JC23" s="68">
        <v>89</v>
      </c>
      <c r="JX23" s="58"/>
      <c r="JY23" s="68">
        <v>89</v>
      </c>
      <c r="KT23" s="58"/>
      <c r="KU23" s="68">
        <v>89</v>
      </c>
      <c r="LP23" s="58"/>
      <c r="LQ23" s="68">
        <v>89</v>
      </c>
    </row>
    <row r="24" spans="1:357" x14ac:dyDescent="0.2">
      <c r="A24" s="58"/>
      <c r="B24" s="75" t="s">
        <v>151</v>
      </c>
      <c r="C24" s="57"/>
      <c r="AK24" s="58"/>
      <c r="AL24" s="69">
        <v>90</v>
      </c>
      <c r="BH24" s="58"/>
      <c r="BI24" s="69">
        <v>90</v>
      </c>
      <c r="CH24" s="58"/>
      <c r="CI24" s="69">
        <v>89.2</v>
      </c>
      <c r="DD24" s="58"/>
      <c r="DE24" s="69">
        <v>89.2</v>
      </c>
      <c r="DZ24" s="58"/>
      <c r="EA24" s="69">
        <v>89.2</v>
      </c>
      <c r="EV24" s="58"/>
      <c r="EW24" s="69">
        <v>90</v>
      </c>
      <c r="FR24" s="58"/>
      <c r="FS24" s="69">
        <v>90</v>
      </c>
      <c r="GN24" s="58"/>
      <c r="GO24" s="69">
        <v>90</v>
      </c>
      <c r="HJ24" s="58"/>
      <c r="HK24" s="69">
        <v>90</v>
      </c>
      <c r="IF24" s="58"/>
      <c r="IG24" s="69">
        <v>90</v>
      </c>
      <c r="JB24" s="58"/>
      <c r="JC24" s="69">
        <v>90</v>
      </c>
      <c r="JX24" s="58"/>
      <c r="JY24" s="69">
        <v>90</v>
      </c>
      <c r="KT24" s="58"/>
      <c r="KU24" s="69">
        <v>90</v>
      </c>
      <c r="LP24" s="58"/>
      <c r="LQ24" s="69">
        <v>90</v>
      </c>
    </row>
    <row r="25" spans="1:357" x14ac:dyDescent="0.2">
      <c r="A25" s="58"/>
      <c r="B25" s="76" t="s">
        <v>64</v>
      </c>
      <c r="C25" s="57"/>
      <c r="AK25" s="58"/>
      <c r="AL25" s="70">
        <v>91</v>
      </c>
      <c r="BH25" s="58"/>
      <c r="BI25" s="70">
        <v>91</v>
      </c>
      <c r="CH25" s="58"/>
      <c r="CI25" s="70">
        <v>91</v>
      </c>
      <c r="DD25" s="58"/>
      <c r="DE25" s="70">
        <v>91</v>
      </c>
      <c r="DZ25" s="58"/>
      <c r="EA25" s="70">
        <v>91</v>
      </c>
      <c r="EV25" s="58"/>
      <c r="EW25" s="70">
        <v>91</v>
      </c>
      <c r="FR25" s="58"/>
      <c r="FS25" s="70">
        <v>91</v>
      </c>
      <c r="GN25" s="58"/>
      <c r="GO25" s="70">
        <v>91</v>
      </c>
      <c r="HJ25" s="58"/>
      <c r="HK25" s="70">
        <v>91</v>
      </c>
      <c r="IF25" s="58"/>
      <c r="IG25" s="70">
        <v>91</v>
      </c>
      <c r="JB25" s="58"/>
      <c r="JC25" s="70">
        <v>91</v>
      </c>
      <c r="JX25" s="58"/>
      <c r="JY25" s="70">
        <v>91</v>
      </c>
      <c r="KT25" s="58"/>
      <c r="KU25" s="70">
        <v>91</v>
      </c>
      <c r="LP25" s="58"/>
      <c r="LQ25" s="70">
        <v>91</v>
      </c>
    </row>
    <row r="26" spans="1:357" x14ac:dyDescent="0.2">
      <c r="B26" s="84" t="s">
        <v>101</v>
      </c>
      <c r="C26" s="3"/>
      <c r="CI26" s="56" t="s">
        <v>147</v>
      </c>
    </row>
    <row r="27" spans="1:357" x14ac:dyDescent="0.2">
      <c r="A27" s="58"/>
      <c r="B27" s="58"/>
      <c r="C27" s="57"/>
    </row>
    <row r="28" spans="1:357" ht="17" x14ac:dyDescent="0.2">
      <c r="A28" s="58"/>
      <c r="B28" s="58"/>
      <c r="C28" s="57"/>
      <c r="R28" s="21"/>
      <c r="S28" s="21"/>
      <c r="T28" s="21"/>
    </row>
    <row r="29" spans="1:357" ht="17" x14ac:dyDescent="0.2">
      <c r="A29" s="58"/>
      <c r="B29" s="58"/>
      <c r="C29" s="57"/>
      <c r="R29" s="21"/>
      <c r="S29" s="21"/>
      <c r="T29" s="21"/>
    </row>
    <row r="30" spans="1:357" ht="17" x14ac:dyDescent="0.2">
      <c r="R30" s="21"/>
      <c r="S30" s="21"/>
      <c r="T30" s="21"/>
    </row>
    <row r="31" spans="1:357" ht="17" x14ac:dyDescent="0.2">
      <c r="R31" s="21"/>
      <c r="S31" s="21"/>
      <c r="T31" s="21"/>
    </row>
    <row r="32" spans="1:357" ht="17" x14ac:dyDescent="0.2">
      <c r="R32" s="21"/>
      <c r="S32" s="21"/>
      <c r="T32" s="21"/>
    </row>
    <row r="33" spans="18:20" ht="17" x14ac:dyDescent="0.2">
      <c r="R33" s="21"/>
      <c r="S33" s="21"/>
      <c r="T33" s="21"/>
    </row>
    <row r="34" spans="18:20" ht="17" x14ac:dyDescent="0.2">
      <c r="R34" s="21"/>
      <c r="S34" s="21"/>
      <c r="T34" s="21"/>
    </row>
    <row r="35" spans="18:20" ht="17" x14ac:dyDescent="0.2">
      <c r="R35" s="21"/>
      <c r="S35" s="21"/>
      <c r="T35" s="21"/>
    </row>
    <row r="36" spans="18:20" ht="17" x14ac:dyDescent="0.2">
      <c r="R36" s="21"/>
      <c r="S36" s="21"/>
      <c r="T36" s="21"/>
    </row>
    <row r="37" spans="18:20" ht="17" x14ac:dyDescent="0.2">
      <c r="R37" s="21"/>
      <c r="S37" s="21"/>
      <c r="T37" s="21"/>
    </row>
    <row r="38" spans="18:20" ht="17" x14ac:dyDescent="0.2">
      <c r="R38" s="21"/>
      <c r="S38" s="21"/>
      <c r="T38" s="21"/>
    </row>
    <row r="39" spans="18:20" ht="17" x14ac:dyDescent="0.2">
      <c r="R39" s="21"/>
      <c r="S39" s="21"/>
      <c r="T39" s="21"/>
    </row>
    <row r="40" spans="18:20" ht="17" x14ac:dyDescent="0.2">
      <c r="R40" s="21"/>
      <c r="S40" s="21"/>
      <c r="T40" s="21"/>
    </row>
    <row r="41" spans="18:20" ht="17" x14ac:dyDescent="0.2">
      <c r="R41" s="21"/>
      <c r="S41" s="21"/>
      <c r="T41" s="21"/>
    </row>
    <row r="42" spans="18:20" ht="17" x14ac:dyDescent="0.2">
      <c r="R42" s="21"/>
      <c r="S42" s="21"/>
      <c r="T42" s="21"/>
    </row>
    <row r="43" spans="18:20" ht="17" x14ac:dyDescent="0.2">
      <c r="R43" s="21"/>
      <c r="S43" s="21"/>
      <c r="T43" s="21"/>
    </row>
    <row r="44" spans="18:20" ht="17" x14ac:dyDescent="0.2">
      <c r="R44" s="21"/>
      <c r="S44" s="21"/>
      <c r="T44" s="21"/>
    </row>
    <row r="45" spans="18:20" ht="17" x14ac:dyDescent="0.2">
      <c r="R45" s="21"/>
      <c r="S45" s="21"/>
      <c r="T45" s="21"/>
    </row>
    <row r="46" spans="18:20" ht="17" x14ac:dyDescent="0.2">
      <c r="R46" s="21"/>
      <c r="S46" s="21"/>
      <c r="T46" s="21"/>
    </row>
    <row r="47" spans="18:20" ht="17" x14ac:dyDescent="0.2">
      <c r="R47" s="21"/>
      <c r="S47" s="21"/>
      <c r="T47" s="21"/>
    </row>
  </sheetData>
  <sheetProtection sheet="1" formatCells="0" formatColumns="0" formatRows="0"/>
  <autoFilter ref="A1:LV3" xr:uid="{00000000-0009-0000-0000-000003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sortState xmlns:xlrd2="http://schemas.microsoft.com/office/spreadsheetml/2017/richdata2" ref="A6:LV17">
      <sortCondition descending="1" ref="F1:F21"/>
    </sortState>
  </autoFilter>
  <mergeCells count="81">
    <mergeCell ref="KJ2:KN2"/>
    <mergeCell ref="KE2:KI2"/>
    <mergeCell ref="IM1:JH1"/>
    <mergeCell ref="JI1:KD1"/>
    <mergeCell ref="JS2:JW2"/>
    <mergeCell ref="JN2:JR2"/>
    <mergeCell ref="JI2:JM2"/>
    <mergeCell ref="IW2:JA2"/>
    <mergeCell ref="IR2:IV2"/>
    <mergeCell ref="IM2:IQ2"/>
    <mergeCell ref="KE1:KZ1"/>
    <mergeCell ref="LA1:LV1"/>
    <mergeCell ref="LK2:LO2"/>
    <mergeCell ref="LF2:LJ2"/>
    <mergeCell ref="LA2:LE2"/>
    <mergeCell ref="KO2:KS2"/>
    <mergeCell ref="GU1:HP1"/>
    <mergeCell ref="HQ1:IL1"/>
    <mergeCell ref="IA2:IE2"/>
    <mergeCell ref="HV2:HZ2"/>
    <mergeCell ref="HQ2:HU2"/>
    <mergeCell ref="HE2:HI2"/>
    <mergeCell ref="GZ2:HD2"/>
    <mergeCell ref="GU2:GY2"/>
    <mergeCell ref="DP2:DT2"/>
    <mergeCell ref="DK2:DO2"/>
    <mergeCell ref="FC1:FX1"/>
    <mergeCell ref="FY1:GT1"/>
    <mergeCell ref="GI2:GM2"/>
    <mergeCell ref="GD2:GH2"/>
    <mergeCell ref="FY2:GC2"/>
    <mergeCell ref="FM2:FQ2"/>
    <mergeCell ref="FH2:FL2"/>
    <mergeCell ref="FC2:FG2"/>
    <mergeCell ref="EG1:FB1"/>
    <mergeCell ref="EQ2:EU2"/>
    <mergeCell ref="EL2:EP2"/>
    <mergeCell ref="EG2:EK2"/>
    <mergeCell ref="DU2:DY2"/>
    <mergeCell ref="N1:N3"/>
    <mergeCell ref="M1:M3"/>
    <mergeCell ref="K1:K3"/>
    <mergeCell ref="L1:L3"/>
    <mergeCell ref="CO1:DJ1"/>
    <mergeCell ref="BO1:BR1"/>
    <mergeCell ref="BS1:CN1"/>
    <mergeCell ref="S1:S3"/>
    <mergeCell ref="T1:T3"/>
    <mergeCell ref="U1:AQ1"/>
    <mergeCell ref="Z2:AD2"/>
    <mergeCell ref="U2:Y2"/>
    <mergeCell ref="CY2:DC2"/>
    <mergeCell ref="CT2:CX2"/>
    <mergeCell ref="CO2:CS2"/>
    <mergeCell ref="CC2:CG2"/>
    <mergeCell ref="F1:F3"/>
    <mergeCell ref="G1:G3"/>
    <mergeCell ref="H1:H3"/>
    <mergeCell ref="I1:I3"/>
    <mergeCell ref="J1:J3"/>
    <mergeCell ref="A1:A3"/>
    <mergeCell ref="B1:B3"/>
    <mergeCell ref="C1:C3"/>
    <mergeCell ref="D1:D3"/>
    <mergeCell ref="E1:E3"/>
    <mergeCell ref="LW1:MS1"/>
    <mergeCell ref="LW2:MA2"/>
    <mergeCell ref="MB2:MF2"/>
    <mergeCell ref="MG2:MK2"/>
    <mergeCell ref="O1:O3"/>
    <mergeCell ref="BX2:CB2"/>
    <mergeCell ref="BS2:BW2"/>
    <mergeCell ref="AW2:BA2"/>
    <mergeCell ref="AR2:AV2"/>
    <mergeCell ref="Q1:Q3"/>
    <mergeCell ref="P1:P3"/>
    <mergeCell ref="R1:R3"/>
    <mergeCell ref="AR1:BN1"/>
    <mergeCell ref="AE2:AI2"/>
    <mergeCell ref="BB2:BF2"/>
    <mergeCell ref="DK1:EF1"/>
  </mergeCells>
  <phoneticPr fontId="22" type="noConversion"/>
  <conditionalFormatting sqref="A1:A1048576">
    <cfRule type="expression" dxfId="148" priority="72">
      <formula>AND(H1="P",F1="")</formula>
    </cfRule>
  </conditionalFormatting>
  <conditionalFormatting sqref="U4:AQ17">
    <cfRule type="expression" dxfId="147" priority="23">
      <formula>IF($AJ4&lt;&gt;"",1,0)</formula>
    </cfRule>
  </conditionalFormatting>
  <conditionalFormatting sqref="AR4:BN17">
    <cfRule type="expression" dxfId="146" priority="20">
      <formula>IF($BG4&lt;&gt;"",1,0)</formula>
    </cfRule>
  </conditionalFormatting>
  <conditionalFormatting sqref="K1:K1048576 O1:O1048576 M1:M1048576 Q1:Q1048576">
    <cfRule type="expression" dxfId="145" priority="801">
      <formula>IF(K1=$AR$1,1,0)</formula>
    </cfRule>
    <cfRule type="expression" dxfId="144" priority="802">
      <formula>IF(K1=$U$1,1,0)</formula>
    </cfRule>
  </conditionalFormatting>
  <conditionalFormatting sqref="I1:I1048576">
    <cfRule type="containsText" dxfId="143" priority="8" operator="containsText" text="No DD">
      <formula>NOT(ISERROR(SEARCH("No DD",I1)))</formula>
    </cfRule>
    <cfRule type="containsText" dxfId="142" priority="15" operator="containsText" text="Merit">
      <formula>NOT(ISERROR(SEARCH("Merit",I1)))</formula>
    </cfRule>
    <cfRule type="containsText" dxfId="141" priority="16" operator="containsText" text="Excellence">
      <formula>NOT(ISERROR(SEARCH("Excellence",I1)))</formula>
    </cfRule>
    <cfRule type="containsText" dxfId="140" priority="17" operator="containsText" text="Worlds Team">
      <formula>NOT(ISERROR(SEARCH("Worlds Team",I1)))</formula>
    </cfRule>
    <cfRule type="containsText" dxfId="139" priority="18" operator="containsText" text="National Team">
      <formula>NOT(ISERROR(SEARCH("National Team",I1)))</formula>
    </cfRule>
  </conditionalFormatting>
  <conditionalFormatting sqref="LP1:LP1048576 KT1:KT1048576 JX1:JX1048576 JB1:JB1048576 IF1:IF1048576 HJ1:HJ1048576 GN1:GN1048576 FR1:FR1048576 EV1:EV1048576 DZ1:DZ1048576 DD1:DD1048576 CH1:CH1048576">
    <cfRule type="cellIs" dxfId="138" priority="15701" operator="between">
      <formula>CI$21</formula>
      <formula>100</formula>
    </cfRule>
    <cfRule type="cellIs" dxfId="137" priority="15702" operator="between">
      <formula>CI$20</formula>
      <formula>CI$21</formula>
    </cfRule>
  </conditionalFormatting>
  <conditionalFormatting sqref="LS1:LS1048576 KW1:KW1048576 KA1:KA1048576 JE1:JE1048576 II1:II1048576 HM1:HM1048576 GQ1:GQ1048576 FU1:FU1048576 EY1:EY1048576 EC1:EC1048576 DG1:DG1048576 CK1:CK1048576">
    <cfRule type="cellIs" dxfId="136" priority="15773" operator="between">
      <formula>CI$25</formula>
      <formula>1000</formula>
    </cfRule>
    <cfRule type="cellIs" dxfId="135" priority="15774" operator="between">
      <formula>CI$24</formula>
      <formula>CI$25</formula>
    </cfRule>
    <cfRule type="cellIs" dxfId="134" priority="15775" operator="between">
      <formula>CI$23</formula>
      <formula>CI$24</formula>
    </cfRule>
    <cfRule type="cellIs" dxfId="133" priority="15776" operator="between">
      <formula>CI$22</formula>
      <formula>CI$23</formula>
    </cfRule>
  </conditionalFormatting>
  <conditionalFormatting sqref="CL1:CL1048576 DH1:DH1048576 ED1:ED1048576 EZ1:EZ1048576 FV1:FV1048576 GR1:GR1048576 HN1:HN1048576 IJ1:IJ1048576 JF1:JF1048576 KB1:KB1048576 KX1:KX1048576 LT1:LT1048576">
    <cfRule type="expression" dxfId="132" priority="15917">
      <formula>IF(AND(CL1&gt;=CI$21,CL1&lt;100),1,0)</formula>
    </cfRule>
    <cfRule type="expression" dxfId="131" priority="15918">
      <formula>IF(AND(CL1&gt;=CI$20,CL1&lt;CI$21),1,0)</formula>
    </cfRule>
  </conditionalFormatting>
  <conditionalFormatting sqref="BH1:BH1048576 AK1:AK1048576">
    <cfRule type="expression" dxfId="130" priority="18375">
      <formula>IF(AND(AK1&gt;=AL$21,AK1&lt;1000,AJ1=""),1,0)</formula>
    </cfRule>
    <cfRule type="expression" dxfId="129" priority="18376">
      <formula>IF(AND(AK1&gt;=AL$20,AK1&lt;AL$21,AJ1=""),1,0)</formula>
    </cfRule>
  </conditionalFormatting>
  <conditionalFormatting sqref="AN1:AN1048576 BK1:BK1048576">
    <cfRule type="expression" dxfId="128" priority="18383">
      <formula>IF(AND(AN1&gt;=AL$25,AN1&lt;1000,AJ1=""),1,0)</formula>
    </cfRule>
    <cfRule type="expression" dxfId="127" priority="18384">
      <formula>IF(AND(AN1&gt;=AL$24,AN1&lt;AL$25,AJ1=""),1,0)</formula>
    </cfRule>
    <cfRule type="expression" dxfId="126" priority="18385">
      <formula>IF(AND(AN1&gt;=AL$23,AN1&lt;AL$24,AJ1=""),1,0)</formula>
    </cfRule>
    <cfRule type="expression" dxfId="125" priority="18386">
      <formula>IF(AND(AN1&gt;=AL$22,AN1&lt;AL$23,AJ1=""),1,0)</formula>
    </cfRule>
  </conditionalFormatting>
  <conditionalFormatting sqref="AO1:AO1048576 BL1:BL1048576">
    <cfRule type="expression" dxfId="124" priority="18399">
      <formula>IF(AND(AO1&gt;=AL$21,AO1&lt;100,AJ1=""),1,0)</formula>
    </cfRule>
    <cfRule type="expression" dxfId="123" priority="18400">
      <formula>IF(AND(AO1&gt;=AL$20,AO1&lt;AL$21,AJ1=""),1,0)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MS4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6.1640625" bestFit="1" customWidth="1"/>
    <col min="3" max="3" width="8.1640625" bestFit="1" customWidth="1"/>
    <col min="4" max="4" width="12" customWidth="1"/>
    <col min="6" max="6" width="16.5" customWidth="1"/>
    <col min="7" max="7" width="15.3320312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24.6640625" customWidth="1"/>
    <col min="20" max="20" width="43.5" bestFit="1" customWidth="1"/>
    <col min="21" max="36" width="10.83203125" hidden="1" customWidth="1"/>
    <col min="37" max="43" width="10.83203125" customWidth="1"/>
    <col min="44" max="59" width="10.83203125" hidden="1" customWidth="1"/>
    <col min="60" max="66" width="10.83203125" customWidth="1"/>
    <col min="71" max="85" width="10.83203125" hidden="1" customWidth="1"/>
    <col min="86" max="92" width="10.83203125" customWidth="1"/>
    <col min="93" max="107" width="10.83203125" hidden="1" customWidth="1"/>
    <col min="108" max="114" width="10.83203125" customWidth="1"/>
    <col min="115" max="129" width="10.83203125" hidden="1" customWidth="1"/>
    <col min="130" max="136" width="10.83203125" customWidth="1"/>
    <col min="137" max="151" width="10.83203125" hidden="1" customWidth="1"/>
    <col min="152" max="158" width="10.83203125" customWidth="1"/>
    <col min="159" max="173" width="10.83203125" hidden="1" customWidth="1"/>
    <col min="174" max="180" width="10.83203125" customWidth="1"/>
    <col min="181" max="195" width="10.83203125" hidden="1" customWidth="1"/>
    <col min="196" max="202" width="10.83203125" customWidth="1"/>
    <col min="203" max="217" width="10.83203125" hidden="1" customWidth="1"/>
    <col min="218" max="224" width="10.83203125" customWidth="1"/>
    <col min="225" max="357" width="10.83203125" hidden="1" customWidth="1"/>
  </cols>
  <sheetData>
    <row r="1" spans="1:357" x14ac:dyDescent="0.2">
      <c r="A1" s="124" t="s">
        <v>1</v>
      </c>
      <c r="B1" s="124" t="s">
        <v>41</v>
      </c>
      <c r="C1" s="124" t="s">
        <v>0</v>
      </c>
      <c r="D1" s="124" t="s">
        <v>102</v>
      </c>
      <c r="E1" s="124" t="s">
        <v>2</v>
      </c>
      <c r="F1" s="125" t="s">
        <v>85</v>
      </c>
      <c r="G1" s="125" t="s">
        <v>84</v>
      </c>
      <c r="H1" s="124" t="s">
        <v>15</v>
      </c>
      <c r="I1" s="124" t="s">
        <v>16</v>
      </c>
      <c r="J1" s="126" t="s">
        <v>17</v>
      </c>
      <c r="K1" s="126" t="s">
        <v>62</v>
      </c>
      <c r="L1" s="126" t="s">
        <v>18</v>
      </c>
      <c r="M1" s="126" t="s">
        <v>62</v>
      </c>
      <c r="N1" s="126" t="s">
        <v>19</v>
      </c>
      <c r="O1" s="126" t="s">
        <v>62</v>
      </c>
      <c r="P1" s="126" t="s">
        <v>20</v>
      </c>
      <c r="Q1" s="126" t="s">
        <v>62</v>
      </c>
      <c r="R1" s="127" t="s">
        <v>21</v>
      </c>
      <c r="S1" s="126" t="s">
        <v>63</v>
      </c>
      <c r="T1" s="126" t="s">
        <v>62</v>
      </c>
      <c r="U1" s="120" t="s">
        <v>166</v>
      </c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  <c r="AK1" s="120"/>
      <c r="AL1" s="120"/>
      <c r="AM1" s="120"/>
      <c r="AN1" s="120"/>
      <c r="AO1" s="120"/>
      <c r="AP1" s="120"/>
      <c r="AQ1" s="120"/>
      <c r="AR1" s="123" t="s">
        <v>184</v>
      </c>
      <c r="AS1" s="123"/>
      <c r="AT1" s="123"/>
      <c r="AU1" s="123"/>
      <c r="AV1" s="123"/>
      <c r="AW1" s="123"/>
      <c r="AX1" s="123"/>
      <c r="AY1" s="123"/>
      <c r="AZ1" s="123"/>
      <c r="BA1" s="123"/>
      <c r="BB1" s="123"/>
      <c r="BC1" s="123"/>
      <c r="BD1" s="123"/>
      <c r="BE1" s="123"/>
      <c r="BF1" s="123"/>
      <c r="BG1" s="123"/>
      <c r="BH1" s="123"/>
      <c r="BI1" s="123"/>
      <c r="BJ1" s="123"/>
      <c r="BK1" s="123"/>
      <c r="BL1" s="123"/>
      <c r="BM1" s="123"/>
      <c r="BN1" s="123"/>
      <c r="BO1" s="128" t="s">
        <v>21</v>
      </c>
      <c r="BP1" s="128"/>
      <c r="BQ1" s="128"/>
      <c r="BR1" s="128"/>
      <c r="BS1" s="120" t="s">
        <v>132</v>
      </c>
      <c r="BT1" s="120"/>
      <c r="BU1" s="120"/>
      <c r="BV1" s="120"/>
      <c r="BW1" s="120"/>
      <c r="BX1" s="120"/>
      <c r="BY1" s="120"/>
      <c r="BZ1" s="120"/>
      <c r="CA1" s="120"/>
      <c r="CB1" s="120"/>
      <c r="CC1" s="120"/>
      <c r="CD1" s="120"/>
      <c r="CE1" s="120"/>
      <c r="CF1" s="120"/>
      <c r="CG1" s="120"/>
      <c r="CH1" s="120"/>
      <c r="CI1" s="120"/>
      <c r="CJ1" s="120"/>
      <c r="CK1" s="120"/>
      <c r="CL1" s="120"/>
      <c r="CM1" s="120"/>
      <c r="CN1" s="120"/>
      <c r="CO1" s="123" t="s">
        <v>134</v>
      </c>
      <c r="CP1" s="123"/>
      <c r="CQ1" s="123"/>
      <c r="CR1" s="123"/>
      <c r="CS1" s="123"/>
      <c r="CT1" s="123"/>
      <c r="CU1" s="123"/>
      <c r="CV1" s="123"/>
      <c r="CW1" s="123"/>
      <c r="CX1" s="123"/>
      <c r="CY1" s="123"/>
      <c r="CZ1" s="123"/>
      <c r="DA1" s="123"/>
      <c r="DB1" s="123"/>
      <c r="DC1" s="123"/>
      <c r="DD1" s="123"/>
      <c r="DE1" s="123"/>
      <c r="DF1" s="123"/>
      <c r="DG1" s="123"/>
      <c r="DH1" s="123"/>
      <c r="DI1" s="123"/>
      <c r="DJ1" s="123"/>
      <c r="DK1" s="120" t="s">
        <v>145</v>
      </c>
      <c r="DL1" s="120"/>
      <c r="DM1" s="120"/>
      <c r="DN1" s="120"/>
      <c r="DO1" s="120"/>
      <c r="DP1" s="120"/>
      <c r="DQ1" s="120"/>
      <c r="DR1" s="120"/>
      <c r="DS1" s="120"/>
      <c r="DT1" s="120"/>
      <c r="DU1" s="120"/>
      <c r="DV1" s="120"/>
      <c r="DW1" s="120"/>
      <c r="DX1" s="120"/>
      <c r="DY1" s="120"/>
      <c r="DZ1" s="120"/>
      <c r="EA1" s="120"/>
      <c r="EB1" s="120"/>
      <c r="EC1" s="120"/>
      <c r="ED1" s="120"/>
      <c r="EE1" s="120"/>
      <c r="EF1" s="120"/>
      <c r="EG1" s="123" t="s">
        <v>157</v>
      </c>
      <c r="EH1" s="123"/>
      <c r="EI1" s="123"/>
      <c r="EJ1" s="123"/>
      <c r="EK1" s="123"/>
      <c r="EL1" s="123"/>
      <c r="EM1" s="123"/>
      <c r="EN1" s="123"/>
      <c r="EO1" s="123"/>
      <c r="EP1" s="123"/>
      <c r="EQ1" s="123"/>
      <c r="ER1" s="123"/>
      <c r="ES1" s="123"/>
      <c r="ET1" s="123"/>
      <c r="EU1" s="123"/>
      <c r="EV1" s="123"/>
      <c r="EW1" s="123"/>
      <c r="EX1" s="123"/>
      <c r="EY1" s="123"/>
      <c r="EZ1" s="123"/>
      <c r="FA1" s="123"/>
      <c r="FB1" s="123"/>
      <c r="FC1" s="120" t="s">
        <v>163</v>
      </c>
      <c r="FD1" s="120"/>
      <c r="FE1" s="120"/>
      <c r="FF1" s="120"/>
      <c r="FG1" s="120"/>
      <c r="FH1" s="120"/>
      <c r="FI1" s="120"/>
      <c r="FJ1" s="120"/>
      <c r="FK1" s="120"/>
      <c r="FL1" s="120"/>
      <c r="FM1" s="120"/>
      <c r="FN1" s="120"/>
      <c r="FO1" s="120"/>
      <c r="FP1" s="120"/>
      <c r="FQ1" s="120"/>
      <c r="FR1" s="120"/>
      <c r="FS1" s="120"/>
      <c r="FT1" s="120"/>
      <c r="FU1" s="120"/>
      <c r="FV1" s="120"/>
      <c r="FW1" s="120"/>
      <c r="FX1" s="120"/>
      <c r="FY1" s="123" t="s">
        <v>201</v>
      </c>
      <c r="FZ1" s="123"/>
      <c r="GA1" s="123"/>
      <c r="GB1" s="123"/>
      <c r="GC1" s="123"/>
      <c r="GD1" s="123"/>
      <c r="GE1" s="123"/>
      <c r="GF1" s="123"/>
      <c r="GG1" s="123"/>
      <c r="GH1" s="123"/>
      <c r="GI1" s="123"/>
      <c r="GJ1" s="123"/>
      <c r="GK1" s="123"/>
      <c r="GL1" s="123"/>
      <c r="GM1" s="123"/>
      <c r="GN1" s="123"/>
      <c r="GO1" s="123"/>
      <c r="GP1" s="123"/>
      <c r="GQ1" s="123"/>
      <c r="GR1" s="123"/>
      <c r="GS1" s="123"/>
      <c r="GT1" s="123"/>
      <c r="GU1" s="120" t="s">
        <v>211</v>
      </c>
      <c r="GV1" s="120"/>
      <c r="GW1" s="120"/>
      <c r="GX1" s="120"/>
      <c r="GY1" s="120"/>
      <c r="GZ1" s="120"/>
      <c r="HA1" s="120"/>
      <c r="HB1" s="120"/>
      <c r="HC1" s="120"/>
      <c r="HD1" s="120"/>
      <c r="HE1" s="120"/>
      <c r="HF1" s="120"/>
      <c r="HG1" s="120"/>
      <c r="HH1" s="120"/>
      <c r="HI1" s="120"/>
      <c r="HJ1" s="120"/>
      <c r="HK1" s="120"/>
      <c r="HL1" s="120"/>
      <c r="HM1" s="120"/>
      <c r="HN1" s="120"/>
      <c r="HO1" s="120"/>
      <c r="HP1" s="120"/>
      <c r="HQ1" s="123"/>
      <c r="HR1" s="123"/>
      <c r="HS1" s="123"/>
      <c r="HT1" s="123"/>
      <c r="HU1" s="123"/>
      <c r="HV1" s="123"/>
      <c r="HW1" s="123"/>
      <c r="HX1" s="123"/>
      <c r="HY1" s="123"/>
      <c r="HZ1" s="123"/>
      <c r="IA1" s="123"/>
      <c r="IB1" s="123"/>
      <c r="IC1" s="123"/>
      <c r="ID1" s="123"/>
      <c r="IE1" s="123"/>
      <c r="IF1" s="123"/>
      <c r="IG1" s="123"/>
      <c r="IH1" s="123"/>
      <c r="II1" s="123"/>
      <c r="IJ1" s="123"/>
      <c r="IK1" s="123"/>
      <c r="IL1" s="123"/>
      <c r="IM1" s="120"/>
      <c r="IN1" s="120"/>
      <c r="IO1" s="120"/>
      <c r="IP1" s="120"/>
      <c r="IQ1" s="120"/>
      <c r="IR1" s="120"/>
      <c r="IS1" s="120"/>
      <c r="IT1" s="120"/>
      <c r="IU1" s="120"/>
      <c r="IV1" s="120"/>
      <c r="IW1" s="120"/>
      <c r="IX1" s="120"/>
      <c r="IY1" s="120"/>
      <c r="IZ1" s="120"/>
      <c r="JA1" s="120"/>
      <c r="JB1" s="120"/>
      <c r="JC1" s="120"/>
      <c r="JD1" s="120"/>
      <c r="JE1" s="120"/>
      <c r="JF1" s="120"/>
      <c r="JG1" s="120"/>
      <c r="JH1" s="120"/>
      <c r="JI1" s="123"/>
      <c r="JJ1" s="123"/>
      <c r="JK1" s="123"/>
      <c r="JL1" s="123"/>
      <c r="JM1" s="123"/>
      <c r="JN1" s="123"/>
      <c r="JO1" s="123"/>
      <c r="JP1" s="123"/>
      <c r="JQ1" s="123"/>
      <c r="JR1" s="123"/>
      <c r="JS1" s="123"/>
      <c r="JT1" s="123"/>
      <c r="JU1" s="123"/>
      <c r="JV1" s="123"/>
      <c r="JW1" s="123"/>
      <c r="JX1" s="123"/>
      <c r="JY1" s="123"/>
      <c r="JZ1" s="123"/>
      <c r="KA1" s="123"/>
      <c r="KB1" s="123"/>
      <c r="KC1" s="123"/>
      <c r="KD1" s="123"/>
      <c r="KE1" s="120"/>
      <c r="KF1" s="120"/>
      <c r="KG1" s="120"/>
      <c r="KH1" s="120"/>
      <c r="KI1" s="120"/>
      <c r="KJ1" s="120"/>
      <c r="KK1" s="120"/>
      <c r="KL1" s="120"/>
      <c r="KM1" s="120"/>
      <c r="KN1" s="120"/>
      <c r="KO1" s="120"/>
      <c r="KP1" s="120"/>
      <c r="KQ1" s="120"/>
      <c r="KR1" s="120"/>
      <c r="KS1" s="120"/>
      <c r="KT1" s="120"/>
      <c r="KU1" s="120"/>
      <c r="KV1" s="120"/>
      <c r="KW1" s="120"/>
      <c r="KX1" s="120"/>
      <c r="KY1" s="120"/>
      <c r="KZ1" s="120"/>
      <c r="LA1" s="123"/>
      <c r="LB1" s="123"/>
      <c r="LC1" s="123"/>
      <c r="LD1" s="123"/>
      <c r="LE1" s="123"/>
      <c r="LF1" s="123"/>
      <c r="LG1" s="123"/>
      <c r="LH1" s="123"/>
      <c r="LI1" s="123"/>
      <c r="LJ1" s="123"/>
      <c r="LK1" s="123"/>
      <c r="LL1" s="123"/>
      <c r="LM1" s="123"/>
      <c r="LN1" s="123"/>
      <c r="LO1" s="123"/>
      <c r="LP1" s="123"/>
      <c r="LQ1" s="123"/>
      <c r="LR1" s="123"/>
      <c r="LS1" s="123"/>
      <c r="LT1" s="123"/>
      <c r="LU1" s="123"/>
      <c r="LV1" s="123"/>
      <c r="LW1" s="120" t="s">
        <v>161</v>
      </c>
      <c r="LX1" s="120"/>
      <c r="LY1" s="120"/>
      <c r="LZ1" s="120"/>
      <c r="MA1" s="120"/>
      <c r="MB1" s="120"/>
      <c r="MC1" s="120"/>
      <c r="MD1" s="120"/>
      <c r="ME1" s="120"/>
      <c r="MF1" s="120"/>
      <c r="MG1" s="120"/>
      <c r="MH1" s="120"/>
      <c r="MI1" s="120"/>
      <c r="MJ1" s="120"/>
      <c r="MK1" s="120"/>
      <c r="ML1" s="120"/>
      <c r="MM1" s="120"/>
      <c r="MN1" s="120"/>
      <c r="MO1" s="120"/>
      <c r="MP1" s="120"/>
      <c r="MQ1" s="120"/>
      <c r="MR1" s="120"/>
      <c r="MS1" s="120"/>
    </row>
    <row r="2" spans="1:357" x14ac:dyDescent="0.2">
      <c r="A2" s="124"/>
      <c r="B2" s="124"/>
      <c r="C2" s="124"/>
      <c r="D2" s="124"/>
      <c r="E2" s="124"/>
      <c r="F2" s="125"/>
      <c r="G2" s="125"/>
      <c r="H2" s="124"/>
      <c r="I2" s="124"/>
      <c r="J2" s="126"/>
      <c r="K2" s="126"/>
      <c r="L2" s="126"/>
      <c r="M2" s="126"/>
      <c r="N2" s="126"/>
      <c r="O2" s="126"/>
      <c r="P2" s="126"/>
      <c r="Q2" s="126"/>
      <c r="R2" s="127"/>
      <c r="S2" s="126"/>
      <c r="T2" s="126"/>
      <c r="U2" s="121" t="s">
        <v>26</v>
      </c>
      <c r="V2" s="121"/>
      <c r="W2" s="121"/>
      <c r="X2" s="121"/>
      <c r="Y2" s="121"/>
      <c r="Z2" s="121" t="s">
        <v>27</v>
      </c>
      <c r="AA2" s="121"/>
      <c r="AB2" s="121"/>
      <c r="AC2" s="121"/>
      <c r="AD2" s="121"/>
      <c r="AE2" s="121" t="s">
        <v>30</v>
      </c>
      <c r="AF2" s="121"/>
      <c r="AG2" s="121"/>
      <c r="AH2" s="121"/>
      <c r="AI2" s="121"/>
      <c r="AJ2" s="80"/>
      <c r="AK2" s="20" t="s">
        <v>146</v>
      </c>
      <c r="AL2" s="10" t="s">
        <v>28</v>
      </c>
      <c r="AM2" s="10" t="s">
        <v>29</v>
      </c>
      <c r="AN2" s="10" t="s">
        <v>31</v>
      </c>
      <c r="AO2" s="10" t="s">
        <v>180</v>
      </c>
      <c r="AP2" s="10" t="s">
        <v>30</v>
      </c>
      <c r="AQ2" s="10" t="s">
        <v>25</v>
      </c>
      <c r="AR2" s="122" t="s">
        <v>26</v>
      </c>
      <c r="AS2" s="122"/>
      <c r="AT2" s="122"/>
      <c r="AU2" s="122"/>
      <c r="AV2" s="122"/>
      <c r="AW2" s="122" t="s">
        <v>27</v>
      </c>
      <c r="AX2" s="122"/>
      <c r="AY2" s="122"/>
      <c r="AZ2" s="122"/>
      <c r="BA2" s="122"/>
      <c r="BB2" s="122" t="s">
        <v>30</v>
      </c>
      <c r="BC2" s="122"/>
      <c r="BD2" s="122"/>
      <c r="BE2" s="122"/>
      <c r="BF2" s="122"/>
      <c r="BG2" s="81"/>
      <c r="BH2" s="19" t="s">
        <v>146</v>
      </c>
      <c r="BI2" s="13" t="s">
        <v>28</v>
      </c>
      <c r="BJ2" s="13" t="s">
        <v>29</v>
      </c>
      <c r="BK2" s="13" t="s">
        <v>31</v>
      </c>
      <c r="BL2" s="13" t="s">
        <v>180</v>
      </c>
      <c r="BM2" s="13" t="s">
        <v>30</v>
      </c>
      <c r="BN2" s="13" t="s">
        <v>25</v>
      </c>
      <c r="BO2" s="24" t="s">
        <v>28</v>
      </c>
      <c r="BP2" s="24" t="s">
        <v>29</v>
      </c>
      <c r="BQ2" s="24" t="s">
        <v>31</v>
      </c>
      <c r="BR2" s="24" t="s">
        <v>30</v>
      </c>
      <c r="BS2" s="121" t="s">
        <v>26</v>
      </c>
      <c r="BT2" s="121"/>
      <c r="BU2" s="121"/>
      <c r="BV2" s="121"/>
      <c r="BW2" s="121"/>
      <c r="BX2" s="121" t="s">
        <v>27</v>
      </c>
      <c r="BY2" s="121"/>
      <c r="BZ2" s="121"/>
      <c r="CA2" s="121"/>
      <c r="CB2" s="121"/>
      <c r="CC2" s="121" t="s">
        <v>30</v>
      </c>
      <c r="CD2" s="121"/>
      <c r="CE2" s="121"/>
      <c r="CF2" s="121"/>
      <c r="CG2" s="121"/>
      <c r="CH2" s="60" t="s">
        <v>146</v>
      </c>
      <c r="CI2" s="10" t="s">
        <v>28</v>
      </c>
      <c r="CJ2" s="10" t="s">
        <v>29</v>
      </c>
      <c r="CK2" s="10" t="s">
        <v>31</v>
      </c>
      <c r="CL2" s="10" t="s">
        <v>180</v>
      </c>
      <c r="CM2" s="10" t="s">
        <v>30</v>
      </c>
      <c r="CN2" s="10" t="s">
        <v>25</v>
      </c>
      <c r="CO2" s="122" t="s">
        <v>26</v>
      </c>
      <c r="CP2" s="122"/>
      <c r="CQ2" s="122"/>
      <c r="CR2" s="122"/>
      <c r="CS2" s="122"/>
      <c r="CT2" s="122" t="s">
        <v>27</v>
      </c>
      <c r="CU2" s="122"/>
      <c r="CV2" s="122"/>
      <c r="CW2" s="122"/>
      <c r="CX2" s="122"/>
      <c r="CY2" s="122" t="s">
        <v>30</v>
      </c>
      <c r="CZ2" s="122"/>
      <c r="DA2" s="122"/>
      <c r="DB2" s="122"/>
      <c r="DC2" s="122"/>
      <c r="DD2" s="59" t="s">
        <v>146</v>
      </c>
      <c r="DE2" s="13" t="s">
        <v>28</v>
      </c>
      <c r="DF2" s="13" t="s">
        <v>29</v>
      </c>
      <c r="DG2" s="13" t="s">
        <v>31</v>
      </c>
      <c r="DH2" s="13" t="s">
        <v>180</v>
      </c>
      <c r="DI2" s="13" t="s">
        <v>30</v>
      </c>
      <c r="DJ2" s="13" t="s">
        <v>25</v>
      </c>
      <c r="DK2" s="121" t="s">
        <v>26</v>
      </c>
      <c r="DL2" s="121"/>
      <c r="DM2" s="121"/>
      <c r="DN2" s="121"/>
      <c r="DO2" s="121"/>
      <c r="DP2" s="121" t="s">
        <v>27</v>
      </c>
      <c r="DQ2" s="121"/>
      <c r="DR2" s="121"/>
      <c r="DS2" s="121"/>
      <c r="DT2" s="121"/>
      <c r="DU2" s="121" t="s">
        <v>30</v>
      </c>
      <c r="DV2" s="121"/>
      <c r="DW2" s="121"/>
      <c r="DX2" s="121"/>
      <c r="DY2" s="121"/>
      <c r="DZ2" s="60" t="s">
        <v>146</v>
      </c>
      <c r="EA2" s="10" t="s">
        <v>28</v>
      </c>
      <c r="EB2" s="10" t="s">
        <v>29</v>
      </c>
      <c r="EC2" s="10" t="s">
        <v>31</v>
      </c>
      <c r="ED2" s="10" t="s">
        <v>180</v>
      </c>
      <c r="EE2" s="10" t="s">
        <v>30</v>
      </c>
      <c r="EF2" s="10" t="s">
        <v>25</v>
      </c>
      <c r="EG2" s="122" t="s">
        <v>26</v>
      </c>
      <c r="EH2" s="122"/>
      <c r="EI2" s="122"/>
      <c r="EJ2" s="122"/>
      <c r="EK2" s="122"/>
      <c r="EL2" s="122" t="s">
        <v>27</v>
      </c>
      <c r="EM2" s="122"/>
      <c r="EN2" s="122"/>
      <c r="EO2" s="122"/>
      <c r="EP2" s="122"/>
      <c r="EQ2" s="122" t="s">
        <v>30</v>
      </c>
      <c r="ER2" s="122"/>
      <c r="ES2" s="122"/>
      <c r="ET2" s="122"/>
      <c r="EU2" s="122"/>
      <c r="EV2" s="59" t="s">
        <v>146</v>
      </c>
      <c r="EW2" s="13" t="s">
        <v>28</v>
      </c>
      <c r="EX2" s="13" t="s">
        <v>29</v>
      </c>
      <c r="EY2" s="13" t="s">
        <v>31</v>
      </c>
      <c r="EZ2" s="13" t="s">
        <v>180</v>
      </c>
      <c r="FA2" s="13" t="s">
        <v>30</v>
      </c>
      <c r="FB2" s="13" t="s">
        <v>25</v>
      </c>
      <c r="FC2" s="121" t="s">
        <v>26</v>
      </c>
      <c r="FD2" s="121"/>
      <c r="FE2" s="121"/>
      <c r="FF2" s="121"/>
      <c r="FG2" s="121"/>
      <c r="FH2" s="121" t="s">
        <v>27</v>
      </c>
      <c r="FI2" s="121"/>
      <c r="FJ2" s="121"/>
      <c r="FK2" s="121"/>
      <c r="FL2" s="121"/>
      <c r="FM2" s="121" t="s">
        <v>30</v>
      </c>
      <c r="FN2" s="121"/>
      <c r="FO2" s="121"/>
      <c r="FP2" s="121"/>
      <c r="FQ2" s="121"/>
      <c r="FR2" s="23" t="s">
        <v>146</v>
      </c>
      <c r="FS2" s="10" t="s">
        <v>28</v>
      </c>
      <c r="FT2" s="10" t="s">
        <v>29</v>
      </c>
      <c r="FU2" s="10" t="s">
        <v>31</v>
      </c>
      <c r="FV2" s="10" t="s">
        <v>180</v>
      </c>
      <c r="FW2" s="10" t="s">
        <v>30</v>
      </c>
      <c r="FX2" s="10" t="s">
        <v>25</v>
      </c>
      <c r="FY2" s="122" t="s">
        <v>26</v>
      </c>
      <c r="FZ2" s="122"/>
      <c r="GA2" s="122"/>
      <c r="GB2" s="122"/>
      <c r="GC2" s="122"/>
      <c r="GD2" s="122" t="s">
        <v>27</v>
      </c>
      <c r="GE2" s="122"/>
      <c r="GF2" s="122"/>
      <c r="GG2" s="122"/>
      <c r="GH2" s="122"/>
      <c r="GI2" s="122" t="s">
        <v>30</v>
      </c>
      <c r="GJ2" s="122"/>
      <c r="GK2" s="122"/>
      <c r="GL2" s="122"/>
      <c r="GM2" s="122"/>
      <c r="GN2" s="22" t="s">
        <v>146</v>
      </c>
      <c r="GO2" s="13" t="s">
        <v>28</v>
      </c>
      <c r="GP2" s="13" t="s">
        <v>29</v>
      </c>
      <c r="GQ2" s="13" t="s">
        <v>31</v>
      </c>
      <c r="GR2" s="13" t="s">
        <v>180</v>
      </c>
      <c r="GS2" s="13" t="s">
        <v>30</v>
      </c>
      <c r="GT2" s="13" t="s">
        <v>25</v>
      </c>
      <c r="GU2" s="121" t="s">
        <v>26</v>
      </c>
      <c r="GV2" s="121"/>
      <c r="GW2" s="121"/>
      <c r="GX2" s="121"/>
      <c r="GY2" s="121"/>
      <c r="GZ2" s="121" t="s">
        <v>27</v>
      </c>
      <c r="HA2" s="121"/>
      <c r="HB2" s="121"/>
      <c r="HC2" s="121"/>
      <c r="HD2" s="121"/>
      <c r="HE2" s="121" t="s">
        <v>30</v>
      </c>
      <c r="HF2" s="121"/>
      <c r="HG2" s="121"/>
      <c r="HH2" s="121"/>
      <c r="HI2" s="121"/>
      <c r="HJ2" s="23" t="s">
        <v>146</v>
      </c>
      <c r="HK2" s="10" t="s">
        <v>28</v>
      </c>
      <c r="HL2" s="10" t="s">
        <v>29</v>
      </c>
      <c r="HM2" s="10" t="s">
        <v>31</v>
      </c>
      <c r="HN2" s="10" t="s">
        <v>180</v>
      </c>
      <c r="HO2" s="10" t="s">
        <v>30</v>
      </c>
      <c r="HP2" s="10" t="s">
        <v>25</v>
      </c>
      <c r="HQ2" s="122" t="s">
        <v>26</v>
      </c>
      <c r="HR2" s="122"/>
      <c r="HS2" s="122"/>
      <c r="HT2" s="122"/>
      <c r="HU2" s="122"/>
      <c r="HV2" s="122" t="s">
        <v>27</v>
      </c>
      <c r="HW2" s="122"/>
      <c r="HX2" s="122"/>
      <c r="HY2" s="122"/>
      <c r="HZ2" s="122"/>
      <c r="IA2" s="122" t="s">
        <v>30</v>
      </c>
      <c r="IB2" s="122"/>
      <c r="IC2" s="122"/>
      <c r="ID2" s="122"/>
      <c r="IE2" s="122"/>
      <c r="IF2" s="22" t="s">
        <v>146</v>
      </c>
      <c r="IG2" s="13" t="s">
        <v>28</v>
      </c>
      <c r="IH2" s="13" t="s">
        <v>29</v>
      </c>
      <c r="II2" s="13" t="s">
        <v>31</v>
      </c>
      <c r="IJ2" s="13" t="s">
        <v>180</v>
      </c>
      <c r="IK2" s="13" t="s">
        <v>30</v>
      </c>
      <c r="IL2" s="13" t="s">
        <v>25</v>
      </c>
      <c r="IM2" s="121" t="s">
        <v>26</v>
      </c>
      <c r="IN2" s="121"/>
      <c r="IO2" s="121"/>
      <c r="IP2" s="121"/>
      <c r="IQ2" s="121"/>
      <c r="IR2" s="121" t="s">
        <v>27</v>
      </c>
      <c r="IS2" s="121"/>
      <c r="IT2" s="121"/>
      <c r="IU2" s="121"/>
      <c r="IV2" s="121"/>
      <c r="IW2" s="121" t="s">
        <v>30</v>
      </c>
      <c r="IX2" s="121"/>
      <c r="IY2" s="121"/>
      <c r="IZ2" s="121"/>
      <c r="JA2" s="121"/>
      <c r="JB2" s="23" t="s">
        <v>146</v>
      </c>
      <c r="JC2" s="10" t="s">
        <v>28</v>
      </c>
      <c r="JD2" s="10" t="s">
        <v>29</v>
      </c>
      <c r="JE2" s="10" t="s">
        <v>31</v>
      </c>
      <c r="JF2" s="10" t="s">
        <v>180</v>
      </c>
      <c r="JG2" s="10" t="s">
        <v>30</v>
      </c>
      <c r="JH2" s="10" t="s">
        <v>25</v>
      </c>
      <c r="JI2" s="122" t="s">
        <v>26</v>
      </c>
      <c r="JJ2" s="122"/>
      <c r="JK2" s="122"/>
      <c r="JL2" s="122"/>
      <c r="JM2" s="122"/>
      <c r="JN2" s="122" t="s">
        <v>27</v>
      </c>
      <c r="JO2" s="122"/>
      <c r="JP2" s="122"/>
      <c r="JQ2" s="122"/>
      <c r="JR2" s="122"/>
      <c r="JS2" s="122" t="s">
        <v>30</v>
      </c>
      <c r="JT2" s="122"/>
      <c r="JU2" s="122"/>
      <c r="JV2" s="122"/>
      <c r="JW2" s="122"/>
      <c r="JX2" s="22" t="s">
        <v>146</v>
      </c>
      <c r="JY2" s="13" t="s">
        <v>28</v>
      </c>
      <c r="JZ2" s="13" t="s">
        <v>29</v>
      </c>
      <c r="KA2" s="13" t="s">
        <v>31</v>
      </c>
      <c r="KB2" s="13" t="s">
        <v>180</v>
      </c>
      <c r="KC2" s="13" t="s">
        <v>30</v>
      </c>
      <c r="KD2" s="13" t="s">
        <v>25</v>
      </c>
      <c r="KE2" s="121" t="s">
        <v>26</v>
      </c>
      <c r="KF2" s="121"/>
      <c r="KG2" s="121"/>
      <c r="KH2" s="121"/>
      <c r="KI2" s="121"/>
      <c r="KJ2" s="121" t="s">
        <v>27</v>
      </c>
      <c r="KK2" s="121"/>
      <c r="KL2" s="121"/>
      <c r="KM2" s="121"/>
      <c r="KN2" s="121"/>
      <c r="KO2" s="121" t="s">
        <v>30</v>
      </c>
      <c r="KP2" s="121"/>
      <c r="KQ2" s="121"/>
      <c r="KR2" s="121"/>
      <c r="KS2" s="121"/>
      <c r="KT2" s="23" t="s">
        <v>146</v>
      </c>
      <c r="KU2" s="10" t="s">
        <v>28</v>
      </c>
      <c r="KV2" s="10" t="s">
        <v>29</v>
      </c>
      <c r="KW2" s="10" t="s">
        <v>31</v>
      </c>
      <c r="KX2" s="10" t="s">
        <v>180</v>
      </c>
      <c r="KY2" s="10" t="s">
        <v>30</v>
      </c>
      <c r="KZ2" s="10" t="s">
        <v>25</v>
      </c>
      <c r="LA2" s="122" t="s">
        <v>26</v>
      </c>
      <c r="LB2" s="122"/>
      <c r="LC2" s="122"/>
      <c r="LD2" s="122"/>
      <c r="LE2" s="122"/>
      <c r="LF2" s="122" t="s">
        <v>27</v>
      </c>
      <c r="LG2" s="122"/>
      <c r="LH2" s="122"/>
      <c r="LI2" s="122"/>
      <c r="LJ2" s="122"/>
      <c r="LK2" s="122" t="s">
        <v>30</v>
      </c>
      <c r="LL2" s="122"/>
      <c r="LM2" s="122"/>
      <c r="LN2" s="122"/>
      <c r="LO2" s="122"/>
      <c r="LP2" s="22" t="s">
        <v>146</v>
      </c>
      <c r="LQ2" s="13" t="s">
        <v>28</v>
      </c>
      <c r="LR2" s="13" t="s">
        <v>29</v>
      </c>
      <c r="LS2" s="13" t="s">
        <v>31</v>
      </c>
      <c r="LT2" s="13" t="s">
        <v>180</v>
      </c>
      <c r="LU2" s="13" t="s">
        <v>30</v>
      </c>
      <c r="LV2" s="13" t="s">
        <v>25</v>
      </c>
      <c r="LW2" s="121" t="s">
        <v>26</v>
      </c>
      <c r="LX2" s="121"/>
      <c r="LY2" s="121"/>
      <c r="LZ2" s="121"/>
      <c r="MA2" s="121"/>
      <c r="MB2" s="121" t="s">
        <v>27</v>
      </c>
      <c r="MC2" s="121"/>
      <c r="MD2" s="121"/>
      <c r="ME2" s="121"/>
      <c r="MF2" s="121"/>
      <c r="MG2" s="121" t="s">
        <v>30</v>
      </c>
      <c r="MH2" s="121"/>
      <c r="MI2" s="121"/>
      <c r="MJ2" s="121"/>
      <c r="MK2" s="121"/>
      <c r="ML2" s="111"/>
      <c r="MM2" s="111" t="s">
        <v>146</v>
      </c>
      <c r="MN2" s="10" t="s">
        <v>28</v>
      </c>
      <c r="MO2" s="10" t="s">
        <v>29</v>
      </c>
      <c r="MP2" s="10" t="s">
        <v>31</v>
      </c>
      <c r="MQ2" s="10" t="s">
        <v>180</v>
      </c>
      <c r="MR2" s="10" t="s">
        <v>30</v>
      </c>
      <c r="MS2" s="10" t="s">
        <v>25</v>
      </c>
    </row>
    <row r="3" spans="1:357" x14ac:dyDescent="0.2">
      <c r="A3" s="124"/>
      <c r="B3" s="124"/>
      <c r="C3" s="124"/>
      <c r="D3" s="124"/>
      <c r="E3" s="124"/>
      <c r="F3" s="125"/>
      <c r="G3" s="125"/>
      <c r="H3" s="124"/>
      <c r="I3" s="124"/>
      <c r="J3" s="126"/>
      <c r="K3" s="126"/>
      <c r="L3" s="126"/>
      <c r="M3" s="126"/>
      <c r="N3" s="126"/>
      <c r="O3" s="126"/>
      <c r="P3" s="126"/>
      <c r="Q3" s="126"/>
      <c r="R3" s="127"/>
      <c r="S3" s="126"/>
      <c r="T3" s="126"/>
      <c r="U3" s="31" t="s">
        <v>22</v>
      </c>
      <c r="V3" s="31" t="s">
        <v>23</v>
      </c>
      <c r="W3" s="31" t="s">
        <v>14</v>
      </c>
      <c r="X3" s="31" t="s">
        <v>60</v>
      </c>
      <c r="Y3" s="48" t="s">
        <v>45</v>
      </c>
      <c r="Z3" s="31" t="s">
        <v>22</v>
      </c>
      <c r="AA3" s="31" t="s">
        <v>23</v>
      </c>
      <c r="AB3" s="31" t="s">
        <v>14</v>
      </c>
      <c r="AC3" s="31" t="s">
        <v>60</v>
      </c>
      <c r="AD3" s="48" t="s">
        <v>45</v>
      </c>
      <c r="AE3" s="31" t="s">
        <v>22</v>
      </c>
      <c r="AF3" s="31" t="s">
        <v>23</v>
      </c>
      <c r="AG3" s="31" t="s">
        <v>14</v>
      </c>
      <c r="AH3" s="31" t="s">
        <v>60</v>
      </c>
      <c r="AI3" s="48" t="s">
        <v>45</v>
      </c>
      <c r="AJ3" s="80" t="s">
        <v>99</v>
      </c>
      <c r="AK3" s="11"/>
      <c r="AL3" s="10"/>
      <c r="AM3" s="10"/>
      <c r="AN3" s="10"/>
      <c r="AO3" s="10"/>
      <c r="AP3" s="11"/>
      <c r="AQ3" s="11"/>
      <c r="AR3" s="30" t="s">
        <v>22</v>
      </c>
      <c r="AS3" s="30" t="s">
        <v>23</v>
      </c>
      <c r="AT3" s="30" t="s">
        <v>14</v>
      </c>
      <c r="AU3" s="30" t="s">
        <v>60</v>
      </c>
      <c r="AV3" s="49" t="s">
        <v>45</v>
      </c>
      <c r="AW3" s="30" t="s">
        <v>22</v>
      </c>
      <c r="AX3" s="30" t="s">
        <v>23</v>
      </c>
      <c r="AY3" s="30" t="s">
        <v>14</v>
      </c>
      <c r="AZ3" s="30" t="s">
        <v>60</v>
      </c>
      <c r="BA3" s="49" t="s">
        <v>45</v>
      </c>
      <c r="BB3" s="30" t="s">
        <v>22</v>
      </c>
      <c r="BC3" s="30" t="s">
        <v>23</v>
      </c>
      <c r="BD3" s="30" t="s">
        <v>14</v>
      </c>
      <c r="BE3" s="30" t="s">
        <v>60</v>
      </c>
      <c r="BF3" s="49" t="s">
        <v>45</v>
      </c>
      <c r="BG3" s="81" t="s">
        <v>99</v>
      </c>
      <c r="BH3" s="14"/>
      <c r="BI3" s="13"/>
      <c r="BJ3" s="13"/>
      <c r="BK3" s="13"/>
      <c r="BL3" s="13"/>
      <c r="BM3" s="14"/>
      <c r="BN3" s="14"/>
      <c r="BO3" s="25"/>
      <c r="BP3" s="25"/>
      <c r="BQ3" s="25"/>
      <c r="BR3" s="25"/>
      <c r="BS3" s="60" t="s">
        <v>22</v>
      </c>
      <c r="BT3" s="60" t="s">
        <v>23</v>
      </c>
      <c r="BU3" s="60" t="s">
        <v>14</v>
      </c>
      <c r="BV3" s="63" t="s">
        <v>60</v>
      </c>
      <c r="BW3" s="63" t="s">
        <v>45</v>
      </c>
      <c r="BX3" s="60" t="s">
        <v>22</v>
      </c>
      <c r="BY3" s="60" t="s">
        <v>23</v>
      </c>
      <c r="BZ3" s="60" t="s">
        <v>14</v>
      </c>
      <c r="CA3" s="63" t="s">
        <v>60</v>
      </c>
      <c r="CB3" s="63" t="s">
        <v>45</v>
      </c>
      <c r="CC3" s="60" t="s">
        <v>22</v>
      </c>
      <c r="CD3" s="60" t="s">
        <v>23</v>
      </c>
      <c r="CE3" s="60" t="s">
        <v>14</v>
      </c>
      <c r="CF3" s="63" t="s">
        <v>60</v>
      </c>
      <c r="CG3" s="63" t="s">
        <v>45</v>
      </c>
      <c r="CH3" s="11"/>
      <c r="CI3" s="10"/>
      <c r="CJ3" s="10"/>
      <c r="CK3" s="10"/>
      <c r="CL3" s="10"/>
      <c r="CM3" s="11"/>
      <c r="CN3" s="11"/>
      <c r="CO3" s="59" t="s">
        <v>22</v>
      </c>
      <c r="CP3" s="59" t="s">
        <v>23</v>
      </c>
      <c r="CQ3" s="59" t="s">
        <v>14</v>
      </c>
      <c r="CR3" s="59" t="s">
        <v>60</v>
      </c>
      <c r="CS3" s="59" t="s">
        <v>45</v>
      </c>
      <c r="CT3" s="59" t="s">
        <v>22</v>
      </c>
      <c r="CU3" s="59" t="s">
        <v>23</v>
      </c>
      <c r="CV3" s="59" t="s">
        <v>14</v>
      </c>
      <c r="CW3" s="59" t="s">
        <v>60</v>
      </c>
      <c r="CX3" s="59" t="s">
        <v>45</v>
      </c>
      <c r="CY3" s="59" t="s">
        <v>22</v>
      </c>
      <c r="CZ3" s="59" t="s">
        <v>23</v>
      </c>
      <c r="DA3" s="59" t="s">
        <v>14</v>
      </c>
      <c r="DB3" s="59" t="s">
        <v>60</v>
      </c>
      <c r="DC3" s="59" t="s">
        <v>45</v>
      </c>
      <c r="DD3" s="14"/>
      <c r="DE3" s="13"/>
      <c r="DF3" s="13"/>
      <c r="DG3" s="13"/>
      <c r="DH3" s="13"/>
      <c r="DI3" s="14"/>
      <c r="DJ3" s="14"/>
      <c r="DK3" s="60" t="s">
        <v>22</v>
      </c>
      <c r="DL3" s="60" t="s">
        <v>23</v>
      </c>
      <c r="DM3" s="60" t="s">
        <v>14</v>
      </c>
      <c r="DN3" s="63" t="s">
        <v>60</v>
      </c>
      <c r="DO3" s="63" t="s">
        <v>45</v>
      </c>
      <c r="DP3" s="60" t="s">
        <v>22</v>
      </c>
      <c r="DQ3" s="60" t="s">
        <v>23</v>
      </c>
      <c r="DR3" s="60" t="s">
        <v>14</v>
      </c>
      <c r="DS3" s="63" t="s">
        <v>60</v>
      </c>
      <c r="DT3" s="63" t="s">
        <v>45</v>
      </c>
      <c r="DU3" s="60" t="s">
        <v>22</v>
      </c>
      <c r="DV3" s="60" t="s">
        <v>23</v>
      </c>
      <c r="DW3" s="60" t="s">
        <v>14</v>
      </c>
      <c r="DX3" s="63" t="s">
        <v>60</v>
      </c>
      <c r="DY3" s="63" t="s">
        <v>45</v>
      </c>
      <c r="DZ3" s="11"/>
      <c r="EA3" s="10"/>
      <c r="EB3" s="10"/>
      <c r="EC3" s="10"/>
      <c r="ED3" s="10"/>
      <c r="EE3" s="11"/>
      <c r="EF3" s="11"/>
      <c r="EG3" s="59" t="s">
        <v>22</v>
      </c>
      <c r="EH3" s="59" t="s">
        <v>23</v>
      </c>
      <c r="EI3" s="59" t="s">
        <v>14</v>
      </c>
      <c r="EJ3" s="59" t="s">
        <v>60</v>
      </c>
      <c r="EK3" s="59" t="s">
        <v>45</v>
      </c>
      <c r="EL3" s="59" t="s">
        <v>22</v>
      </c>
      <c r="EM3" s="59" t="s">
        <v>23</v>
      </c>
      <c r="EN3" s="59" t="s">
        <v>14</v>
      </c>
      <c r="EO3" s="59" t="s">
        <v>60</v>
      </c>
      <c r="EP3" s="59" t="s">
        <v>45</v>
      </c>
      <c r="EQ3" s="59" t="s">
        <v>22</v>
      </c>
      <c r="ER3" s="59" t="s">
        <v>23</v>
      </c>
      <c r="ES3" s="59" t="s">
        <v>14</v>
      </c>
      <c r="ET3" s="59" t="s">
        <v>60</v>
      </c>
      <c r="EU3" s="59" t="s">
        <v>45</v>
      </c>
      <c r="EV3" s="14"/>
      <c r="EW3" s="13"/>
      <c r="EX3" s="13"/>
      <c r="EY3" s="13"/>
      <c r="EZ3" s="13"/>
      <c r="FA3" s="14"/>
      <c r="FB3" s="14"/>
      <c r="FC3" s="31" t="s">
        <v>22</v>
      </c>
      <c r="FD3" s="31" t="s">
        <v>23</v>
      </c>
      <c r="FE3" s="31" t="s">
        <v>14</v>
      </c>
      <c r="FF3" s="34" t="s">
        <v>60</v>
      </c>
      <c r="FG3" s="50" t="s">
        <v>45</v>
      </c>
      <c r="FH3" s="31" t="s">
        <v>22</v>
      </c>
      <c r="FI3" s="31" t="s">
        <v>23</v>
      </c>
      <c r="FJ3" s="31" t="s">
        <v>14</v>
      </c>
      <c r="FK3" s="34" t="s">
        <v>60</v>
      </c>
      <c r="FL3" s="50" t="s">
        <v>45</v>
      </c>
      <c r="FM3" s="31" t="s">
        <v>22</v>
      </c>
      <c r="FN3" s="31" t="s">
        <v>23</v>
      </c>
      <c r="FO3" s="31" t="s">
        <v>14</v>
      </c>
      <c r="FP3" s="34" t="s">
        <v>60</v>
      </c>
      <c r="FQ3" s="50" t="s">
        <v>45</v>
      </c>
      <c r="FR3" s="11"/>
      <c r="FS3" s="10"/>
      <c r="FT3" s="10"/>
      <c r="FU3" s="10"/>
      <c r="FV3" s="10"/>
      <c r="FW3" s="11"/>
      <c r="FX3" s="11"/>
      <c r="FY3" s="30" t="s">
        <v>22</v>
      </c>
      <c r="FZ3" s="30" t="s">
        <v>23</v>
      </c>
      <c r="GA3" s="30" t="s">
        <v>14</v>
      </c>
      <c r="GB3" s="30" t="s">
        <v>60</v>
      </c>
      <c r="GC3" s="49" t="s">
        <v>45</v>
      </c>
      <c r="GD3" s="30" t="s">
        <v>22</v>
      </c>
      <c r="GE3" s="30" t="s">
        <v>23</v>
      </c>
      <c r="GF3" s="30" t="s">
        <v>14</v>
      </c>
      <c r="GG3" s="30" t="s">
        <v>60</v>
      </c>
      <c r="GH3" s="49" t="s">
        <v>45</v>
      </c>
      <c r="GI3" s="30" t="s">
        <v>22</v>
      </c>
      <c r="GJ3" s="30" t="s">
        <v>23</v>
      </c>
      <c r="GK3" s="30" t="s">
        <v>14</v>
      </c>
      <c r="GL3" s="30" t="s">
        <v>60</v>
      </c>
      <c r="GM3" s="49" t="s">
        <v>45</v>
      </c>
      <c r="GN3" s="14"/>
      <c r="GO3" s="13"/>
      <c r="GP3" s="13"/>
      <c r="GQ3" s="13"/>
      <c r="GR3" s="13"/>
      <c r="GS3" s="14"/>
      <c r="GT3" s="14"/>
      <c r="GU3" s="31" t="s">
        <v>22</v>
      </c>
      <c r="GV3" s="31" t="s">
        <v>23</v>
      </c>
      <c r="GW3" s="31" t="s">
        <v>14</v>
      </c>
      <c r="GX3" s="34" t="s">
        <v>60</v>
      </c>
      <c r="GY3" s="50" t="s">
        <v>45</v>
      </c>
      <c r="GZ3" s="31" t="s">
        <v>22</v>
      </c>
      <c r="HA3" s="31" t="s">
        <v>23</v>
      </c>
      <c r="HB3" s="31" t="s">
        <v>14</v>
      </c>
      <c r="HC3" s="34" t="s">
        <v>60</v>
      </c>
      <c r="HD3" s="50" t="s">
        <v>45</v>
      </c>
      <c r="HE3" s="31" t="s">
        <v>22</v>
      </c>
      <c r="HF3" s="31" t="s">
        <v>23</v>
      </c>
      <c r="HG3" s="31" t="s">
        <v>14</v>
      </c>
      <c r="HH3" s="34" t="s">
        <v>60</v>
      </c>
      <c r="HI3" s="50" t="s">
        <v>45</v>
      </c>
      <c r="HJ3" s="11"/>
      <c r="HK3" s="10"/>
      <c r="HL3" s="10"/>
      <c r="HM3" s="10"/>
      <c r="HN3" s="10"/>
      <c r="HO3" s="11"/>
      <c r="HP3" s="11"/>
      <c r="HQ3" s="30" t="s">
        <v>22</v>
      </c>
      <c r="HR3" s="30" t="s">
        <v>23</v>
      </c>
      <c r="HS3" s="30" t="s">
        <v>14</v>
      </c>
      <c r="HT3" s="30" t="s">
        <v>60</v>
      </c>
      <c r="HU3" s="49" t="s">
        <v>45</v>
      </c>
      <c r="HV3" s="30" t="s">
        <v>22</v>
      </c>
      <c r="HW3" s="30" t="s">
        <v>23</v>
      </c>
      <c r="HX3" s="30" t="s">
        <v>14</v>
      </c>
      <c r="HY3" s="30" t="s">
        <v>60</v>
      </c>
      <c r="HZ3" s="49" t="s">
        <v>45</v>
      </c>
      <c r="IA3" s="30" t="s">
        <v>22</v>
      </c>
      <c r="IB3" s="30" t="s">
        <v>23</v>
      </c>
      <c r="IC3" s="30" t="s">
        <v>14</v>
      </c>
      <c r="ID3" s="30" t="s">
        <v>60</v>
      </c>
      <c r="IE3" s="49" t="s">
        <v>45</v>
      </c>
      <c r="IF3" s="14"/>
      <c r="IG3" s="13"/>
      <c r="IH3" s="13"/>
      <c r="II3" s="13"/>
      <c r="IJ3" s="13"/>
      <c r="IK3" s="14"/>
      <c r="IL3" s="14"/>
      <c r="IM3" s="31" t="s">
        <v>22</v>
      </c>
      <c r="IN3" s="31" t="s">
        <v>23</v>
      </c>
      <c r="IO3" s="31" t="s">
        <v>14</v>
      </c>
      <c r="IP3" s="34" t="s">
        <v>60</v>
      </c>
      <c r="IQ3" s="50" t="s">
        <v>45</v>
      </c>
      <c r="IR3" s="31" t="s">
        <v>22</v>
      </c>
      <c r="IS3" s="31" t="s">
        <v>23</v>
      </c>
      <c r="IT3" s="31" t="s">
        <v>14</v>
      </c>
      <c r="IU3" s="34" t="s">
        <v>60</v>
      </c>
      <c r="IV3" s="50" t="s">
        <v>45</v>
      </c>
      <c r="IW3" s="31" t="s">
        <v>22</v>
      </c>
      <c r="IX3" s="31" t="s">
        <v>23</v>
      </c>
      <c r="IY3" s="31" t="s">
        <v>14</v>
      </c>
      <c r="IZ3" s="34" t="s">
        <v>60</v>
      </c>
      <c r="JA3" s="50" t="s">
        <v>45</v>
      </c>
      <c r="JB3" s="11"/>
      <c r="JC3" s="10"/>
      <c r="JD3" s="10"/>
      <c r="JE3" s="10"/>
      <c r="JF3" s="10"/>
      <c r="JG3" s="11"/>
      <c r="JH3" s="11"/>
      <c r="JI3" s="30" t="s">
        <v>22</v>
      </c>
      <c r="JJ3" s="30" t="s">
        <v>23</v>
      </c>
      <c r="JK3" s="30" t="s">
        <v>14</v>
      </c>
      <c r="JL3" s="30" t="s">
        <v>60</v>
      </c>
      <c r="JM3" s="49" t="s">
        <v>45</v>
      </c>
      <c r="JN3" s="30" t="s">
        <v>22</v>
      </c>
      <c r="JO3" s="30" t="s">
        <v>23</v>
      </c>
      <c r="JP3" s="30" t="s">
        <v>14</v>
      </c>
      <c r="JQ3" s="30" t="s">
        <v>60</v>
      </c>
      <c r="JR3" s="49" t="s">
        <v>45</v>
      </c>
      <c r="JS3" s="30" t="s">
        <v>22</v>
      </c>
      <c r="JT3" s="30" t="s">
        <v>23</v>
      </c>
      <c r="JU3" s="30" t="s">
        <v>14</v>
      </c>
      <c r="JV3" s="30" t="s">
        <v>60</v>
      </c>
      <c r="JW3" s="49" t="s">
        <v>45</v>
      </c>
      <c r="JX3" s="14"/>
      <c r="JY3" s="13"/>
      <c r="JZ3" s="13"/>
      <c r="KA3" s="13"/>
      <c r="KB3" s="13"/>
      <c r="KC3" s="14"/>
      <c r="KD3" s="14"/>
      <c r="KE3" s="31" t="s">
        <v>22</v>
      </c>
      <c r="KF3" s="31" t="s">
        <v>23</v>
      </c>
      <c r="KG3" s="31" t="s">
        <v>14</v>
      </c>
      <c r="KH3" s="34" t="s">
        <v>60</v>
      </c>
      <c r="KI3" s="50" t="s">
        <v>45</v>
      </c>
      <c r="KJ3" s="31" t="s">
        <v>22</v>
      </c>
      <c r="KK3" s="31" t="s">
        <v>23</v>
      </c>
      <c r="KL3" s="31" t="s">
        <v>14</v>
      </c>
      <c r="KM3" s="34" t="s">
        <v>60</v>
      </c>
      <c r="KN3" s="50" t="s">
        <v>45</v>
      </c>
      <c r="KO3" s="31" t="s">
        <v>22</v>
      </c>
      <c r="KP3" s="31" t="s">
        <v>23</v>
      </c>
      <c r="KQ3" s="31" t="s">
        <v>14</v>
      </c>
      <c r="KR3" s="34" t="s">
        <v>60</v>
      </c>
      <c r="KS3" s="50" t="s">
        <v>45</v>
      </c>
      <c r="KT3" s="11"/>
      <c r="KU3" s="10"/>
      <c r="KV3" s="10"/>
      <c r="KW3" s="10"/>
      <c r="KX3" s="10"/>
      <c r="KY3" s="11"/>
      <c r="KZ3" s="11"/>
      <c r="LA3" s="30" t="s">
        <v>22</v>
      </c>
      <c r="LB3" s="30" t="s">
        <v>23</v>
      </c>
      <c r="LC3" s="30" t="s">
        <v>14</v>
      </c>
      <c r="LD3" s="30" t="s">
        <v>60</v>
      </c>
      <c r="LE3" s="49" t="s">
        <v>45</v>
      </c>
      <c r="LF3" s="30" t="s">
        <v>22</v>
      </c>
      <c r="LG3" s="30" t="s">
        <v>23</v>
      </c>
      <c r="LH3" s="30" t="s">
        <v>14</v>
      </c>
      <c r="LI3" s="30" t="s">
        <v>60</v>
      </c>
      <c r="LJ3" s="49" t="s">
        <v>45</v>
      </c>
      <c r="LK3" s="30" t="s">
        <v>22</v>
      </c>
      <c r="LL3" s="30" t="s">
        <v>23</v>
      </c>
      <c r="LM3" s="30" t="s">
        <v>14</v>
      </c>
      <c r="LN3" s="30" t="s">
        <v>60</v>
      </c>
      <c r="LO3" s="49" t="s">
        <v>45</v>
      </c>
      <c r="LP3" s="14"/>
      <c r="LQ3" s="13"/>
      <c r="LR3" s="13"/>
      <c r="LS3" s="13"/>
      <c r="LT3" s="13"/>
      <c r="LU3" s="14"/>
      <c r="LV3" s="14"/>
      <c r="LW3" s="111" t="s">
        <v>22</v>
      </c>
      <c r="LX3" s="111" t="s">
        <v>23</v>
      </c>
      <c r="LY3" s="111" t="s">
        <v>14</v>
      </c>
      <c r="LZ3" s="111" t="s">
        <v>24</v>
      </c>
      <c r="MA3" s="111" t="s">
        <v>45</v>
      </c>
      <c r="MB3" s="111" t="s">
        <v>22</v>
      </c>
      <c r="MC3" s="111" t="s">
        <v>23</v>
      </c>
      <c r="MD3" s="111" t="s">
        <v>14</v>
      </c>
      <c r="ME3" s="111" t="s">
        <v>24</v>
      </c>
      <c r="MF3" s="111" t="s">
        <v>45</v>
      </c>
      <c r="MG3" s="111" t="s">
        <v>22</v>
      </c>
      <c r="MH3" s="111" t="s">
        <v>23</v>
      </c>
      <c r="MI3" s="111" t="s">
        <v>14</v>
      </c>
      <c r="MJ3" s="111" t="s">
        <v>24</v>
      </c>
      <c r="MK3" s="111" t="s">
        <v>45</v>
      </c>
      <c r="ML3" s="111" t="s">
        <v>99</v>
      </c>
      <c r="MM3" s="11"/>
      <c r="MN3" s="10"/>
      <c r="MO3" s="10"/>
      <c r="MP3" s="10"/>
      <c r="MQ3" s="10"/>
      <c r="MR3" s="11"/>
      <c r="MS3" s="11"/>
    </row>
    <row r="4" spans="1:357" x14ac:dyDescent="0.2">
      <c r="A4" s="6">
        <f t="shared" ref="A4:A18" si="0">IF(AND(F4="P",H4="P"),SUMPRODUCT((F$4:F$19="P")*(H$4:H$19="P")*(E$4:E$19&gt;E4))+1,IF(H4="P",SUMPRODUCT((F$4:F$19="")*(H$4:H$19="P")*(E$4:E$19&gt;E4))+1+SUMPRODUCT((F$4:F$19="P")*(H$4:H$19="P")),""))</f>
        <v>1</v>
      </c>
      <c r="B4" s="7" t="s">
        <v>190</v>
      </c>
      <c r="C4" s="8" t="s">
        <v>125</v>
      </c>
      <c r="D4" s="6" t="s">
        <v>191</v>
      </c>
      <c r="E4" s="16">
        <f t="shared" ref="E4:E18" si="1">SUM(J4:R4)</f>
        <v>91.580000000000013</v>
      </c>
      <c r="F4" s="4" t="str">
        <f t="shared" ref="F4:F18" si="2">IF(OR(AND($AK4&gt;=$AL$21,NOT($AK4=""),$AJ4=""),AND($BH4&gt;=$BI$21,NOT($BH4=""),$BG4=""),AND($CH4&gt;=$CI$21,NOT($CH4="")),AND($DD4&gt;=$DE$21,NOT($DD4="")),AND($DZ4&gt;=$EA$21,NOT($DZ4="")),AND($EV4&gt;=$EW$21,NOT($EV4="")),AND($FR4&gt;=$FS$21,NOT($FR4="")),AND($GN4&gt;=$GO$21,NOT($GN4="")),AND($HJ4&gt;=$HK$21,NOT($HJ4="")),AND($IF4&gt;=$IG$21,NOT($IF4="")),AND($JB4&gt;=$JC$21,NOT($JB4="")),AND($JX4&gt;=$JY$21,NOT($JX4="")),AND($KT4&gt;=$KU$21,NOT($KT4="")),AND($LP4&gt;=$LQ$21,NOT($LP4="")),AND($AO4&gt;=$AL$21,NOT($AO4=""),$AJ4=""),AND($BL4&gt;=$BI$21,NOT($BL4=""),$BG4=""),AND($CL4&gt;=$CI$21,NOT($CL4="")),AND($DH4&gt;=$DE$21,NOT($DH4="")),AND($ED4&gt;=$EA$21,NOT($ED4="")),AND($EZ4&gt;=$EW$21,NOT($EZ4="")),AND($FV4&gt;=$FS$21,NOT($FV4="")),AND($GR4&gt;=$GO$21,NOT($GR4="")),AND($HN4&gt;=$HK$21,NOT($HN4="")),AND($IJ4&gt;=$IG$21,NOT($IJ4="")),AND($JF4&gt;=$JC$21,NOT($JF4="")),AND($KB4&gt;=$JY$21,NOT($KB4="")),AND($KX4&gt;=$KU$21,NOT($KX4="")),AND($LT4&gt;=$LQ$21,NOT($LT4=""))),"P","")</f>
        <v>P</v>
      </c>
      <c r="G4" s="4" t="str">
        <f t="shared" ref="G4:G18" si="3">IF(OR(AND($AK4&gt;=$AL$22,NOT($AK4=""),$AJ4=""),AND($BH4&gt;=$BI$22,NOT($BH4=""),$BG4=""),AND($CH4&gt;=$CI$22,NOT($CH4="")),AND($DD4&gt;=$DE$22,NOT($DD4="")),AND($DZ4&gt;=$EA$22,NOT($DZ4="")),AND($EV4&gt;=$EW$22,NOT($EV4="")),AND($FR4&gt;=$FS$22,NOT($FR4="")),AND($GN4&gt;=$GO$22,NOT($GN4="")),AND($HJ4&gt;=$HK$22,NOT($HJ4="")),AND($IF4&gt;=$IG$22,NOT($IF4="")),AND($JB4&gt;=$JC$22,NOT($JB4="")),AND($JX4&gt;=$JY$22,NOT($JX4="")),AND($KT4&gt;=$KU$22,NOT($KT4="")),AND($LP4&gt;=$LQ$22,NOT($LP4="")),AND($AO4&gt;=$AL$22,NOT($AO4=""),$AJ4=""),AND($BL4&gt;=$BI$22,NOT($BL4=""),$BG4=""),AND($CL4&gt;=$CI$22,NOT($CL4="")),AND($DH4&gt;=$DE$22,NOT($DH4="")),AND($ED4&gt;=$EA$22,NOT($ED4="")),AND($EZ4&gt;=$EW$22,NOT($EZ4="")),AND($FV4&gt;=$FS$22,NOT($FV4="")),AND($GR4&gt;=$GO$22,NOT($GR4="")),AND($HN4&gt;=$HK$22,NOT($HN4="")),AND($IJ4&gt;=$IG$22,NOT($IJ4="")),AND($JF4&gt;=$JC$22,NOT($JF4="")),AND($KB4&gt;=$JY$22,NOT($KB4="")),AND($KX4&gt;=$KU$22,NOT($KX4="")),AND($LT4&gt;=$LQ$22,NOT($LT4=""))),"P","")</f>
        <v/>
      </c>
      <c r="H4" s="4" t="str">
        <f t="shared" ref="H4:H18" si="4">IF(OR(AND($AN4&gt;=$AL$23,NOT($AN4=""),$AJ4=""),AND($BK4&gt;=$BI$23,NOT($BK4=""),$BG4=""),AND($CK4&gt;=$CI$23,NOT($CK4="")),AND($DG4&gt;=$DE$23,NOT($DG4="")),AND($EC4&gt;=$EA$23,NOT($EC4="")),AND($EY4&gt;=$EW$23,NOT($EY4="")),AND($FU4&gt;=$FS$23,NOT($FU4="")),AND($GQ4&gt;=$GO$23,NOT($GQ4="")),AND($HM4&gt;=$HK$23,NOT($HM4="")),AND($II4&gt;=$IG$23,NOT($II4="")),AND($JE4&gt;=$JC$23,NOT($JE4="")),AND($KA4&gt;=$JY$23,NOT($KA4="")),AND($KW4&gt;=$KU$23,NOT($KW4="")),AND($LS4&gt;=$LQ$23,NOT($LS4=""))),"P","")</f>
        <v>P</v>
      </c>
      <c r="I4" t="str">
        <f t="shared" ref="I4:I18" si="5">IF(AND(H4="P",F4=""),"No DD",IF(AND(G4="P",OR(AND($AN4&gt;$AL$26,NOT($AN4=""),$AJ4=""),AND($BK4&gt;$BI$26,NOT($BK4=""),$BG4=""),AND($CK4&gt;$CI$26,NOT($CK4="")),AND($DG4&gt;$DE$26,NOT($DG4="")),AND($EC4&gt;$EA$26,NOT($EC4="")),AND($EY4&gt;$EW$26,NOT($EY4="")),AND($FU4&gt;$FS$26,NOT($FU4="")),AND($GQ4&gt;$GO$26,NOT($GQ4="")),AND($HM4&gt;$HK$26,NOT($HM4="")),AND($II4&gt;$IG$26,NOT($II4="")),AND($JE4&gt;$JC$26,NOT($JE4="")),AND($KA4&gt;$JY$26,NOT($KA4="")),AND($KW4&gt;$KU$26,NOT($KW4="")),AND($LS4&gt;$LQ$26,NOT($LS4="")))),"Merit",IF(AND(G4="P",OR(AND($AN4&gt;$AL$25,NOT($AN4=""),$AJ4=""),AND($BK4&gt;$BI$25,NOT($BK4=""),$BG4=""),AND($CK4&gt;$CI$25,NOT($CK4="")),AND($DG4&gt;$DE$25,NOT($DG4="")),AND($EC4&gt;$EA$25,NOT($EC4="")),AND($EY4&gt;$EW$25,NOT($EY4="")),AND($FU4&gt;$FS$25,NOT($FU4="")),AND($GQ4&gt;$GO$25,NOT($GQ4="")),AND($HM4&gt;$HK$25,NOT($HM4="")),AND($II4&gt;$IG$25,NOT($II4="")),AND($JE4&gt;$JC$25,NOT($JE4="")),AND($KA4&gt;$JY$25,NOT($KA4="")),AND($KW4&gt;$KU$25,NOT($KW4="")),AND($LS4&gt;$LQ$25,NOT($LS4="")))),"Excellence",IF(AND(G4="P",OR(AND($AN4&gt;$AL$24,NOT($AN4=""),$AJ4=""),AND($BK4&gt;$BI$24,NOT($BK4=""),$BG4=""),AND($CK4&gt;$CI$24,NOT($CK4="")),AND($DG4&gt;$DE$24,NOT($DG4="")),AND($EC4&gt;$EA$24,NOT($EC4="")),AND($EY4&gt;$EW$24,NOT($EY4="")),AND($FU4&gt;$FS$24,NOT($FU4="")),AND($GQ4&gt;$GO$24,NOT($GQ4="")),AND($HM4&gt;$HK$24,NOT($HM4="")),AND($II4&gt;$IG$24,NOT($II4="")),AND($JE4&gt;$JC$24,NOT($JE4="")),AND($KA4&gt;$JY$24,NOT($KA4="")),AND($KW4&gt;$KU$24,NOT($KW4="")),AND($LS4&gt;$LQ$24,NOT($LS4="")))),"Worlds Team",IF(AND(F4="P",OR(AND($AN4&gt;$AL$23,NOT($AN4=""),$AJ4=""),AND($BK4&gt;$BI$23,NOT($BK4=""),$BG4=""),AND($CK4&gt;$CI$23,NOT($CK4="")),AND($DG4&gt;$DE$23,NOT($DG4="")),AND($EC4&gt;$EA$23,NOT($EC4="")),AND($EY4&gt;$EW$23,NOT($EY4="")),AND($FU4&gt;$FS$23,NOT($FU4="")),AND($GQ4&gt;$GO$23,NOT($GQ4="")),AND($HM4&gt;$HK$23,NOT($HM4="")),AND($II4&gt;$IG$23,NOT($II4="")),AND($JE4&gt;$JC$23,NOT($JE4="")),AND($KA4&gt;$JY$23,NOT($KA4="")),AND($KW4&gt;$KU$23,NOT($KW4="")),AND($LS4&gt;$LQ$23,NOT($LS4="")))),"National Team","")))))</f>
        <v>National Team</v>
      </c>
      <c r="J4" s="15">
        <f t="shared" ref="J4:J18" si="6">IF(MAX(AN4,BK4)&gt;0,MAX(AN4,BK4),"")</f>
        <v>86.330000000000013</v>
      </c>
      <c r="K4" s="15" t="str">
        <f t="shared" ref="K4:K18" si="7">IF(J4="","",IF(J4=BK4,$AR$1,IF(J4=AN4,$U$1,"")))</f>
        <v>2019 Nationals</v>
      </c>
      <c r="L4" s="15" t="str">
        <f t="shared" ref="L4:L18" si="8">IF($J4=$AN4,BI4,IF($J4=$BK4,AL4,MAX(AL4,BI4)))</f>
        <v/>
      </c>
      <c r="M4" s="15" t="str">
        <f t="shared" ref="M4:M18" si="9">IF(L4="","",IF(AND(L4=BI4,$K4&lt;&gt;$AR$1),$AR$1,IF(AND(L4=AL4,$K4&lt;&gt;$U$1),$U$1,"")))</f>
        <v/>
      </c>
      <c r="N4" s="15" t="str">
        <f t="shared" ref="N4:N18" si="10">IF($J4=$AN4,BJ4,IF($J4=$BK4,AM4,MAX(AM4,BJ4)))</f>
        <v/>
      </c>
      <c r="O4" s="15" t="str">
        <f t="shared" ref="O4:O18" si="11">IF(N4="","",IF(AND(N4=BJ4,$K4&lt;&gt;$AR$1),$AR$1,IF(AND(N4=AM4,$K4&lt;&gt;$U$1),$U$1,"")))</f>
        <v/>
      </c>
      <c r="P4" s="15">
        <f t="shared" ref="P4:P18" si="12">IF(MAX(AP4,BM4)&gt;0,MAX(AP4,BM4),"")</f>
        <v>5.25</v>
      </c>
      <c r="Q4" s="15" t="str">
        <f t="shared" ref="Q4:Q18" si="13">IF(P4="","",IF(P4=BM4,$AR$1,IF(P4=AP4,$U$1,"")))</f>
        <v>2019 Nationals</v>
      </c>
      <c r="R4" s="15" t="str">
        <f t="shared" ref="R4:R18" si="14">IF(MAX(BO4,BP4,BQ4,BR4)&gt;0,MAX(BO4,BP4,BQ4,BR4),"")</f>
        <v/>
      </c>
      <c r="S4" s="27" t="str">
        <f t="shared" ref="S4:S18" si="15">IF(R4="","",IF(R4=BO4,"(Vol 1)",IF(R4=BP4,"(Vol 2)",IF(R4=BQ4,"(Prelim)",IF(R4=BR4,"(Final)")))))</f>
        <v/>
      </c>
      <c r="T4" s="15" t="str">
        <f t="shared" ref="T4:T18" si="16">IF(R4="","",IF(R4=BO4,IF(R4+IF(L4="",0,L4)=LQ4,$LA$1,IF(R4+IF(L4="",0,L4)=KU4,$KE$1,IF(R4+IF(L4="",0,L4)=JY4,$JI$1,IF(R4+IF(L4="",0,L4)=JC4,$IM$1,IF(R4+IF(L4="",0,L4)=IG4,$HQ$1,IF(R4+IF(L4="",0,L4)=HK4,$GU$1,IF(R4+IF(L4="",0,L4)=GO4,$FY$1,IF(R4+IF(L4="",0,L4)=FS4,$FC$1,IF(R4+IF(L4="",0,L4)=EW4,$EG$1,IF(R4+IF(L4="",0,L4)=EA4,$DK$1,IF(R4+IF(L4="",0,L4)=DE4,$CO$1,IF(R4+IF(L4="",0,L4)=CI4,$BS$1)))))))))))),IF(R4=BP4,IF(R4+IF(N4="",0,N4)=LR4,$LA$1,IF(R4+IF(N4="",0,N4)=KV4,$KE$1,IF(R4+IF(N4="",0,N4)=JZ4,$JI$1,IF(R4+IF(N4="",0,N4)=JD4,$IM$1,IF(R4+IF(N4="",0,N4)=IH4,$HQ$1,IF(R4+IF(N4="",0,N4)=HL4,$GU$1,IF(R4+IF(N4="",0,N4)=GP4,$FY$1,IF(R4+IF(N4="",0,N4)=FT4,$FC$1,IF(R4+IF(N4="",0,N4)=EX4,$EG$1,IF(R4+IF(N4="",0,N4)=EB4,$DK$1,IF(R4+IF(N4="",0,N4)=DF4,$CO$1,IF(R4+IF(N4="",0,N4)=CJ4,$BS$1)))))))))))),IF(R4=BQ4,IF(R4+IF(J4="",0,J4)=LS4,$LA$1,IF(R4+IF(J4="",0,J4)=KW4,$KE$1,IF(R4+IF(J4="",0,J4)=KA4,$JI$1,IF(R4+IF(J4="",0,J4)=JE4,$IM$1,IF(R4+IF(J4="",0,J4)=II4,$HQ$1,IF(R4+IF(J4="",0,J4)=HM4,$GU$1,IF(R4+IF(J4="",0,J4)=GQ4,$FY$1,IF(R4+IF(J4="",0,J4)=FU4,$FC$1,IF(R4+IF(J4="",0,J4)=EY4,$EG$1,IF(R4+IF(J4="",0,J4)=EC4,$DK$1,IF(R4+IF(J4="",0,J4)=DG4,$CO$1,IF(R4+IF(J4="",0,J4)=CK4,$BS$1)))))))))))),IF(R4=BR4,IF(R4+IF(P4="",0,P4)=LU4,$LA$1,IF(R4+IF(P4="",0,P4)=KY4,$KE$1,IF(R4+IF(P4="",0,P4)=KC4,$JI$1,IF(R4+IF(P4="",0,P4)=JG4,$IM$1,IF(R4+IF(P4="",0,P4)=IK4,$HQ$1,IF(R4+IF(P4="",0,P4)=HO4,$GU$1,IF(R4+IF(P4="",0,P4)=GS4,$FY$1,IF(R4+IF(P4="",0,P4)=FW4,$FC$1,IF(R4+IF(P4="",0,P4)=FA4,$EG$1,IF(R4+IF(P4="",0,P4)=EE4,$DK$1,IF(R4+IF(P4="",0,P4)=DI4,$CO$1,IF(R4+IF(P4="",0,P4)=CM4,$BS$1)))))))))))))))))</f>
        <v/>
      </c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82"/>
      <c r="AK4" s="12" t="str">
        <f t="shared" ref="AK4:AK18" si="17">IF(AB4&gt;0,AB4,"")</f>
        <v/>
      </c>
      <c r="AL4" s="12" t="str">
        <f t="shared" ref="AL4:AL18" si="18">IF(SUM(U4:X4)-Y4&gt;0,SUM(U4:X4)-Y4,"")</f>
        <v/>
      </c>
      <c r="AM4" s="12" t="str">
        <f t="shared" ref="AM4:AM18" si="19">IF(SUM(Z4:AC4)-AD4&gt;0,SUM(Z4:AC4)-AD4,"")</f>
        <v/>
      </c>
      <c r="AN4" s="12" t="str">
        <f t="shared" ref="AN4:AN18" si="20">IF(SUM(AL4:AM4)&gt;0,SUM(AL4:AM4),"")</f>
        <v/>
      </c>
      <c r="AO4" s="12" t="str">
        <f t="shared" ref="AO4:AO18" si="21">IF(AG4&gt;0,AG4,"")</f>
        <v/>
      </c>
      <c r="AP4" s="12" t="str">
        <f t="shared" ref="AP4:AP18" si="22">IF(SUM(AE4:AH4)-AI4&gt;0,SUM(AE4:AH4)-AI4,"")</f>
        <v/>
      </c>
      <c r="AQ4" s="12" t="str">
        <f t="shared" ref="AQ4:AQ18" si="23">IF(SUM(AN4,AP4)&gt;0,SUM(AN4,AP4),"")</f>
        <v/>
      </c>
      <c r="AR4" s="40">
        <v>9.1</v>
      </c>
      <c r="AS4" s="40">
        <v>9.25</v>
      </c>
      <c r="AT4" s="40">
        <v>4.0999999999999996</v>
      </c>
      <c r="AU4" s="40">
        <v>18.18</v>
      </c>
      <c r="AV4" s="40">
        <v>0</v>
      </c>
      <c r="AW4" s="40">
        <v>8.5500000000000007</v>
      </c>
      <c r="AX4" s="40">
        <v>8.85</v>
      </c>
      <c r="AY4" s="40">
        <v>11.8</v>
      </c>
      <c r="AZ4" s="40">
        <v>16.5</v>
      </c>
      <c r="BA4" s="40">
        <v>0</v>
      </c>
      <c r="BB4" s="40">
        <v>0.85</v>
      </c>
      <c r="BC4" s="40">
        <v>0.9</v>
      </c>
      <c r="BD4" s="40">
        <v>1.5</v>
      </c>
      <c r="BE4" s="40">
        <v>2</v>
      </c>
      <c r="BF4" s="40">
        <v>0</v>
      </c>
      <c r="BG4" s="83"/>
      <c r="BH4" s="15">
        <f t="shared" ref="BH4:BH18" si="24">IF(AY4&gt;0,AY4,"")</f>
        <v>11.8</v>
      </c>
      <c r="BI4" s="15">
        <f t="shared" ref="BI4:BI18" si="25">IF(SUM(AR4:AU4)-AV4&gt;0,SUM(AR4:AU4)-AV4,"")</f>
        <v>40.630000000000003</v>
      </c>
      <c r="BJ4" s="15">
        <f t="shared" ref="BJ4:BJ18" si="26">IF(SUM(AW4:AZ4)-BA4&gt;0,SUM(AW4:AZ4)-BA4,"")</f>
        <v>45.7</v>
      </c>
      <c r="BK4" s="15">
        <f t="shared" ref="BK4:BK18" si="27">IF(SUM(BI4:BJ4)&gt;0,SUM(BI4:BJ4),"")</f>
        <v>86.330000000000013</v>
      </c>
      <c r="BL4" s="15">
        <f t="shared" ref="BL4:BL18" si="28">IF(BD4&gt;0,BD4,"")</f>
        <v>1.5</v>
      </c>
      <c r="BM4" s="15">
        <f t="shared" ref="BM4:BM18" si="29">IF(SUM(BB4:BE4)-BF4&gt;0,SUM(BB4:BE4)-BF4,"")</f>
        <v>5.25</v>
      </c>
      <c r="BN4" s="15">
        <f t="shared" ref="BN4:BN18" si="30">IF(SUM(BK4,BM4)&gt;0,SUM(BK4,BM4),"")</f>
        <v>91.580000000000013</v>
      </c>
      <c r="BO4" s="26" t="str">
        <f t="shared" ref="BO4:BO18" si="31">IF(MAX(CI4,DE4,EA4,EW4,FS4,GO4,HK4,IG4,JC4,JY4,KU4,LQ4)-IF(L4="",0,L4)&gt;0.001,MAX(CI4,DE4,EA4,EW4,FS4,GO4,HK4,IG4,JC4,JY4,KU4,LQ4)-IF(L4="",0,L4),"")</f>
        <v/>
      </c>
      <c r="BP4" s="26" t="str">
        <f t="shared" ref="BP4:BP18" si="32">IF(MAX(CJ4,DF4,EB4,EX4,FT4,GP4,HL4,IH4,JD4,JZ4,KV4,LR4)-IF(N4="",0,N4)&gt;0.001,MAX(CJ4,DF4,EB4,EX4,FT4,GP4,HL4,IH4,JD4,JZ4,KV4,LR4)-IF(N4="",0,N4),"")</f>
        <v/>
      </c>
      <c r="BQ4" s="26" t="str">
        <f t="shared" ref="BQ4:BQ18" si="33">IF(MAX(CK4,DG4,EC4,EY4,FU4,GQ4,HM4,II4,JE4,KA4,KW4,LS4)-IF(J4="",0,J4)&gt;0.001,MAX(CK4,DG4,EC4,EY4,FU4,GQ4,HM4,II4,JE4,KA4,KW4,LS4)-IF(J4="",0,J4),"")</f>
        <v/>
      </c>
      <c r="BR4" s="26" t="str">
        <f t="shared" ref="BR4:BR18" si="34">IF(MAX(CM4,DI4,EE4,FA4,FW4,GS4,HO4,IK4,JG4,KC4,KY4,LU4)-IF(P4="",0,P4)&gt;0.001,MAX(CM4,DI4,EE4,FA4,FW4,GS4,HO4,IK4,JG4,KC4,KY4,LU4)-IF(P4="",0,P4),"")</f>
        <v/>
      </c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12" t="str">
        <f t="shared" ref="CH4:CH18" si="35">IF(BZ4&gt;0,BZ4,"")</f>
        <v/>
      </c>
      <c r="CI4" s="12" t="str">
        <f t="shared" ref="CI4:CI18" si="36">IF(SUM(BS4:BV4)-BW4&gt;0,SUM(BS4:BV4)-BW4,"")</f>
        <v/>
      </c>
      <c r="CJ4" s="12" t="str">
        <f t="shared" ref="CJ4:CJ18" si="37">IF(SUM(BX4:CA4)-CB4&gt;0,SUM(BX4:CA4)-CB4,"")</f>
        <v/>
      </c>
      <c r="CK4" s="12" t="str">
        <f t="shared" ref="CK4:CK18" si="38">IF(SUM(CI4:CJ4)&gt;0,SUM(CI4:CJ4),"")</f>
        <v/>
      </c>
      <c r="CL4" s="12" t="str">
        <f t="shared" ref="CL4:CL18" si="39">IF(CE4&gt;0,CE4,"")</f>
        <v/>
      </c>
      <c r="CM4" s="12" t="str">
        <f t="shared" ref="CM4:CM18" si="40">IF(SUM(CC4:CF4)-CG4&gt;0,SUM(CC4:CF4)-CG4,"")</f>
        <v/>
      </c>
      <c r="CN4" s="12" t="str">
        <f t="shared" ref="CN4:CN18" si="41">IF(SUM(CK4,CM4)&gt;0,SUM(CK4,CM4),"")</f>
        <v/>
      </c>
      <c r="CO4" s="40"/>
      <c r="CP4" s="40"/>
      <c r="CQ4" s="40"/>
      <c r="CR4" s="40"/>
      <c r="CS4" s="40"/>
      <c r="CT4" s="40"/>
      <c r="CU4" s="40"/>
      <c r="CV4" s="40"/>
      <c r="CW4" s="40"/>
      <c r="CX4" s="40"/>
      <c r="CY4" s="40"/>
      <c r="CZ4" s="40"/>
      <c r="DA4" s="40"/>
      <c r="DB4" s="40"/>
      <c r="DC4" s="40"/>
      <c r="DD4" s="15" t="str">
        <f t="shared" ref="DD4:DD18" si="42">IF(CV4&gt;0,CV4,"")</f>
        <v/>
      </c>
      <c r="DE4" s="15" t="str">
        <f t="shared" ref="DE4:DE18" si="43">IF(SUM(CO4:CR4)-CS4&gt;0,SUM(CO4:CR4)-CS4,"")</f>
        <v/>
      </c>
      <c r="DF4" s="15" t="str">
        <f t="shared" ref="DF4:DF18" si="44">IF(SUM(CT4:CW4)-CX4&gt;0,SUM(CT4:CW4)-CX4,"")</f>
        <v/>
      </c>
      <c r="DG4" s="15" t="str">
        <f t="shared" ref="DG4:DG18" si="45">IF(SUM(DE4:DF4)&gt;0,SUM(DE4:DF4),"")</f>
        <v/>
      </c>
      <c r="DH4" s="15" t="str">
        <f t="shared" ref="DH4:DH18" si="46">IF(DA4&gt;0,DA4,"")</f>
        <v/>
      </c>
      <c r="DI4" s="15" t="str">
        <f t="shared" ref="DI4:DI18" si="47">IF(SUM(CY4:DB4)-DC4&gt;0,SUM(CY4:DB4)-DC4,"")</f>
        <v/>
      </c>
      <c r="DJ4" s="15" t="str">
        <f t="shared" ref="DJ4:DJ18" si="48">IF(SUM(DG4,DI4)&gt;0,SUM(DG4,DI4),"")</f>
        <v/>
      </c>
      <c r="DK4" s="39"/>
      <c r="DL4" s="39"/>
      <c r="DM4" s="39"/>
      <c r="DN4" s="39"/>
      <c r="DO4" s="39"/>
      <c r="DP4" s="39"/>
      <c r="DQ4" s="39"/>
      <c r="DR4" s="39"/>
      <c r="DS4" s="39"/>
      <c r="DT4" s="39"/>
      <c r="DU4" s="39"/>
      <c r="DV4" s="39"/>
      <c r="DW4" s="39"/>
      <c r="DX4" s="39"/>
      <c r="DY4" s="39"/>
      <c r="DZ4" s="12" t="str">
        <f t="shared" ref="DZ4:DZ18" si="49">IF(DR4&gt;0,DR4,"")</f>
        <v/>
      </c>
      <c r="EA4" s="12" t="str">
        <f t="shared" ref="EA4:EA18" si="50">IF(SUM(DK4:DN4)-DO4&gt;0,SUM(DK4:DN4)-DO4,"")</f>
        <v/>
      </c>
      <c r="EB4" s="12" t="str">
        <f t="shared" ref="EB4:EB18" si="51">IF(SUM(DP4:DS4)-DT4&gt;0,SUM(DP4:DS4)-DT4,"")</f>
        <v/>
      </c>
      <c r="EC4" s="12" t="str">
        <f t="shared" ref="EC4:EC18" si="52">IF(SUM(EA4:EB4)&gt;0,SUM(EA4:EB4),"")</f>
        <v/>
      </c>
      <c r="ED4" s="12" t="str">
        <f t="shared" ref="ED4:ED18" si="53">IF(DW4&gt;0,DW4,"")</f>
        <v/>
      </c>
      <c r="EE4" s="12" t="str">
        <f t="shared" ref="EE4:EE18" si="54">IF(SUM(DU4:DX4)-DY4&gt;0,SUM(DU4:DX4)-DY4,"")</f>
        <v/>
      </c>
      <c r="EF4" s="12" t="str">
        <f t="shared" ref="EF4:EF18" si="55">IF(SUM(EC4,EE4)&gt;0,SUM(EC4,EE4),"")</f>
        <v/>
      </c>
      <c r="EG4" s="40"/>
      <c r="EH4" s="40"/>
      <c r="EI4" s="40"/>
      <c r="EJ4" s="40"/>
      <c r="EK4" s="40"/>
      <c r="EL4" s="40"/>
      <c r="EM4" s="40"/>
      <c r="EN4" s="40"/>
      <c r="EO4" s="40"/>
      <c r="EP4" s="40"/>
      <c r="EQ4" s="40"/>
      <c r="ER4" s="40"/>
      <c r="ES4" s="40"/>
      <c r="ET4" s="40"/>
      <c r="EU4" s="40"/>
      <c r="EV4" s="15" t="str">
        <f t="shared" ref="EV4:EV18" si="56">IF(EN4&gt;0,EN4,"")</f>
        <v/>
      </c>
      <c r="EW4" s="15" t="str">
        <f t="shared" ref="EW4:EW18" si="57">IF(SUM(EG4:EJ4)-EK4&gt;0,SUM(EG4:EJ4)-EK4,"")</f>
        <v/>
      </c>
      <c r="EX4" s="15" t="str">
        <f t="shared" ref="EX4:EX18" si="58">IF(SUM(EL4:EO4)-EP4&gt;0,SUM(EL4:EO4)-EP4,"")</f>
        <v/>
      </c>
      <c r="EY4" s="15" t="str">
        <f t="shared" ref="EY4:EY18" si="59">IF(SUM(EW4:EX4)&gt;0,SUM(EW4:EX4),"")</f>
        <v/>
      </c>
      <c r="EZ4" s="15" t="str">
        <f t="shared" ref="EZ4:EZ18" si="60">IF(ES4&gt;0,ES4,"")</f>
        <v/>
      </c>
      <c r="FA4" s="15" t="str">
        <f t="shared" ref="FA4:FA18" si="61">IF(SUM(EQ4:ET4)-EU4&gt;0,SUM(EQ4:ET4)-EU4,"")</f>
        <v/>
      </c>
      <c r="FB4" s="15" t="str">
        <f t="shared" ref="FB4:FB18" si="62">IF(SUM(EY4,FA4)&gt;0,SUM(EY4,FA4),"")</f>
        <v/>
      </c>
      <c r="FC4" s="39"/>
      <c r="FD4" s="39"/>
      <c r="FE4" s="39"/>
      <c r="FF4" s="39"/>
      <c r="FG4" s="39"/>
      <c r="FH4" s="39"/>
      <c r="FI4" s="39"/>
      <c r="FJ4" s="39"/>
      <c r="FK4" s="39"/>
      <c r="FL4" s="39"/>
      <c r="FM4" s="39"/>
      <c r="FN4" s="39"/>
      <c r="FO4" s="39"/>
      <c r="FP4" s="39"/>
      <c r="FQ4" s="39"/>
      <c r="FR4" s="12" t="str">
        <f t="shared" ref="FR4:FR18" si="63">IF(FJ4&gt;0,FJ4,"")</f>
        <v/>
      </c>
      <c r="FS4" s="12" t="str">
        <f t="shared" ref="FS4:FS18" si="64">IF(SUM(FC4:FF4)-FG4&gt;0,SUM(FC4:FF4)-FG4,"")</f>
        <v/>
      </c>
      <c r="FT4" s="12" t="str">
        <f t="shared" ref="FT4:FT18" si="65">IF(SUM(FH4:FK4)-FL4&gt;0,SUM(FH4:FK4)-FL4,"")</f>
        <v/>
      </c>
      <c r="FU4" s="12" t="str">
        <f t="shared" ref="FU4:FU18" si="66">IF(SUM(FS4:FT4)&gt;0,SUM(FS4:FT4),"")</f>
        <v/>
      </c>
      <c r="FV4" s="12" t="str">
        <f t="shared" ref="FV4:FV18" si="67">IF(FO4&gt;0,FO4,"")</f>
        <v/>
      </c>
      <c r="FW4" s="12" t="str">
        <f t="shared" ref="FW4:FW18" si="68">IF(SUM(FM4:FP4)-FQ4&gt;0,SUM(FM4:FP4)-FQ4,"")</f>
        <v/>
      </c>
      <c r="FX4" s="12" t="str">
        <f t="shared" ref="FX4:FX18" si="69">IF(SUM(FU4,FW4)&gt;0,SUM(FU4,FW4),"")</f>
        <v/>
      </c>
      <c r="FY4" s="40"/>
      <c r="FZ4" s="40"/>
      <c r="GA4" s="40"/>
      <c r="GB4" s="40"/>
      <c r="GC4" s="40"/>
      <c r="GD4" s="40"/>
      <c r="GE4" s="40"/>
      <c r="GF4" s="40"/>
      <c r="GG4" s="40"/>
      <c r="GH4" s="40"/>
      <c r="GI4" s="40"/>
      <c r="GJ4" s="40"/>
      <c r="GK4" s="40"/>
      <c r="GL4" s="40"/>
      <c r="GM4" s="40"/>
      <c r="GN4" s="15" t="str">
        <f t="shared" ref="GN4:GN18" si="70">IF(GF4&gt;0,GF4,"")</f>
        <v/>
      </c>
      <c r="GO4" s="15" t="str">
        <f t="shared" ref="GO4:GO18" si="71">IF(SUM(FY4:GB4)-GC4&gt;0,SUM(FY4:GB4)-GC4,"")</f>
        <v/>
      </c>
      <c r="GP4" s="15" t="str">
        <f t="shared" ref="GP4:GP18" si="72">IF(SUM(GD4:GG4)-GH4&gt;0,SUM(GD4:GG4)-GH4,"")</f>
        <v/>
      </c>
      <c r="GQ4" s="15" t="str">
        <f t="shared" ref="GQ4:GQ18" si="73">IF(SUM(GO4:GP4)&gt;0,SUM(GO4:GP4),"")</f>
        <v/>
      </c>
      <c r="GR4" s="15" t="str">
        <f t="shared" ref="GR4:GR18" si="74">IF(GK4&gt;0,GK4,"")</f>
        <v/>
      </c>
      <c r="GS4" s="15" t="str">
        <f t="shared" ref="GS4:GS18" si="75">IF(SUM(GI4:GL4)-GM4&gt;0,SUM(GI4:GL4)-GM4,"")</f>
        <v/>
      </c>
      <c r="GT4" s="15" t="str">
        <f t="shared" ref="GT4:GT18" si="76">IF(SUM(GQ4,GS4)&gt;0,SUM(GQ4,GS4),"")</f>
        <v/>
      </c>
      <c r="GU4" s="39"/>
      <c r="GV4" s="39"/>
      <c r="GW4" s="39"/>
      <c r="GX4" s="39"/>
      <c r="GY4" s="39"/>
      <c r="GZ4" s="39"/>
      <c r="HA4" s="39"/>
      <c r="HB4" s="39"/>
      <c r="HC4" s="39"/>
      <c r="HD4" s="39"/>
      <c r="HE4" s="39"/>
      <c r="HF4" s="39"/>
      <c r="HG4" s="39"/>
      <c r="HH4" s="39"/>
      <c r="HI4" s="39"/>
      <c r="HJ4" s="12" t="str">
        <f t="shared" ref="HJ4:HJ18" si="77">IF(HB4&gt;0,HB4,"")</f>
        <v/>
      </c>
      <c r="HK4" s="12" t="str">
        <f t="shared" ref="HK4:HK18" si="78">IF(SUM(GU4:GX4)-GY4&gt;0,SUM(GU4:GX4)-GY4,"")</f>
        <v/>
      </c>
      <c r="HL4" s="12" t="str">
        <f t="shared" ref="HL4:HL18" si="79">IF(SUM(GZ4:HC4)-HD4&gt;0,SUM(GZ4:HC4)-HD4,"")</f>
        <v/>
      </c>
      <c r="HM4" s="12" t="str">
        <f t="shared" ref="HM4:HM18" si="80">IF(SUM(HK4:HL4)&gt;0,SUM(HK4:HL4),"")</f>
        <v/>
      </c>
      <c r="HN4" s="12" t="str">
        <f t="shared" ref="HN4:HN18" si="81">IF(HG4&gt;0,HG4,"")</f>
        <v/>
      </c>
      <c r="HO4" s="12" t="str">
        <f t="shared" ref="HO4:HO18" si="82">IF(SUM(HE4:HH4)-HI4&gt;0,SUM(HE4:HH4)-HI4,"")</f>
        <v/>
      </c>
      <c r="HP4" s="12" t="str">
        <f t="shared" ref="HP4:HP18" si="83">IF(SUM(HM4,HO4)&gt;0,SUM(HM4,HO4),"")</f>
        <v/>
      </c>
      <c r="HQ4" s="40"/>
      <c r="HR4" s="40"/>
      <c r="HS4" s="40"/>
      <c r="HT4" s="40"/>
      <c r="HU4" s="40"/>
      <c r="HV4" s="40"/>
      <c r="HW4" s="40"/>
      <c r="HX4" s="40"/>
      <c r="HY4" s="40"/>
      <c r="HZ4" s="40"/>
      <c r="IA4" s="40"/>
      <c r="IB4" s="40"/>
      <c r="IC4" s="40"/>
      <c r="ID4" s="40"/>
      <c r="IE4" s="40"/>
      <c r="IF4" s="15" t="str">
        <f t="shared" ref="IF4:IF18" si="84">IF(HX4&gt;0,HX4,"")</f>
        <v/>
      </c>
      <c r="IG4" s="15" t="str">
        <f t="shared" ref="IG4:IG18" si="85">IF(SUM(HQ4:HT4)-HU4&gt;0,SUM(HQ4:HT4)-HU4,"")</f>
        <v/>
      </c>
      <c r="IH4" s="15" t="str">
        <f t="shared" ref="IH4:IH18" si="86">IF(SUM(HV4:HY4)-HZ4&gt;0,SUM(HV4:HY4)-HZ4,"")</f>
        <v/>
      </c>
      <c r="II4" s="15" t="str">
        <f t="shared" ref="II4:II18" si="87">IF(SUM(IG4:IH4)&gt;0,SUM(IG4:IH4),"")</f>
        <v/>
      </c>
      <c r="IJ4" s="15" t="str">
        <f t="shared" ref="IJ4:IJ18" si="88">IF(IC4&gt;0,IC4,"")</f>
        <v/>
      </c>
      <c r="IK4" s="15" t="str">
        <f t="shared" ref="IK4:IK18" si="89">IF(SUM(IA4:ID4)-IE4&gt;0,SUM(IA4:ID4)-IE4,"")</f>
        <v/>
      </c>
      <c r="IL4" s="15" t="str">
        <f t="shared" ref="IL4:IL18" si="90">IF(SUM(II4,IK4)&gt;0,SUM(II4,IK4),"")</f>
        <v/>
      </c>
      <c r="IM4" s="39"/>
      <c r="IN4" s="39"/>
      <c r="IO4" s="39"/>
      <c r="IP4" s="39"/>
      <c r="IQ4" s="39"/>
      <c r="IR4" s="39"/>
      <c r="IS4" s="39"/>
      <c r="IT4" s="39"/>
      <c r="IU4" s="39"/>
      <c r="IV4" s="39"/>
      <c r="IW4" s="39"/>
      <c r="IX4" s="39"/>
      <c r="IY4" s="39"/>
      <c r="IZ4" s="39"/>
      <c r="JA4" s="39"/>
      <c r="JB4" s="12" t="str">
        <f t="shared" ref="JB4:JB18" si="91">IF(IT4&gt;0,IT4,"")</f>
        <v/>
      </c>
      <c r="JC4" s="12" t="str">
        <f t="shared" ref="JC4:JC18" si="92">IF(SUM(IM4:IP4)-IQ4&gt;0,SUM(IM4:IP4)-IQ4,"")</f>
        <v/>
      </c>
      <c r="JD4" s="12" t="str">
        <f t="shared" ref="JD4:JD18" si="93">IF(SUM(IR4:IU4)-IV4&gt;0,SUM(IR4:IU4)-IV4,"")</f>
        <v/>
      </c>
      <c r="JE4" s="12" t="str">
        <f t="shared" ref="JE4:JE18" si="94">IF(SUM(JC4:JD4)&gt;0,SUM(JC4:JD4),"")</f>
        <v/>
      </c>
      <c r="JF4" s="12" t="str">
        <f t="shared" ref="JF4:JF18" si="95">IF(IY4&gt;0,IY4,"")</f>
        <v/>
      </c>
      <c r="JG4" s="12" t="str">
        <f t="shared" ref="JG4:JG18" si="96">IF(SUM(IW4:IZ4)-JA4&gt;0,SUM(IW4:IZ4)-JA4,"")</f>
        <v/>
      </c>
      <c r="JH4" s="12" t="str">
        <f t="shared" ref="JH4:JH18" si="97">IF(SUM(JE4,JG4)&gt;0,SUM(JE4,JG4),"")</f>
        <v/>
      </c>
      <c r="JI4" s="40"/>
      <c r="JJ4" s="40"/>
      <c r="JK4" s="40"/>
      <c r="JL4" s="40"/>
      <c r="JM4" s="40"/>
      <c r="JN4" s="40"/>
      <c r="JO4" s="40"/>
      <c r="JP4" s="40"/>
      <c r="JQ4" s="40"/>
      <c r="JR4" s="40"/>
      <c r="JS4" s="40"/>
      <c r="JT4" s="40"/>
      <c r="JU4" s="40"/>
      <c r="JV4" s="40"/>
      <c r="JW4" s="40"/>
      <c r="JX4" s="15" t="str">
        <f t="shared" ref="JX4:JX18" si="98">IF(JP4&gt;0,JP4,"")</f>
        <v/>
      </c>
      <c r="JY4" s="15" t="str">
        <f t="shared" ref="JY4:JY18" si="99">IF(SUM(JI4:JL4)-JM4&gt;0,SUM(JI4:JL4)-JM4,"")</f>
        <v/>
      </c>
      <c r="JZ4" s="15" t="str">
        <f t="shared" ref="JZ4:JZ18" si="100">IF(SUM(JN4:JQ4)-JR4&gt;0,SUM(JN4:JQ4)-JR4,"")</f>
        <v/>
      </c>
      <c r="KA4" s="15" t="str">
        <f t="shared" ref="KA4:KA18" si="101">IF(SUM(JY4:JZ4)&gt;0,SUM(JY4:JZ4),"")</f>
        <v/>
      </c>
      <c r="KB4" s="15" t="str">
        <f t="shared" ref="KB4:KB18" si="102">IF(JU4&gt;0,JU4,"")</f>
        <v/>
      </c>
      <c r="KC4" s="15" t="str">
        <f t="shared" ref="KC4:KC18" si="103">IF(SUM(JS4:JV4)-JW4&gt;0,SUM(JS4:JV4)-JW4,"")</f>
        <v/>
      </c>
      <c r="KD4" s="15" t="str">
        <f t="shared" ref="KD4:KD18" si="104">IF(SUM(KA4,KC4)&gt;0,SUM(KA4,KC4),"")</f>
        <v/>
      </c>
      <c r="KE4" s="39"/>
      <c r="KF4" s="39"/>
      <c r="KG4" s="39"/>
      <c r="KH4" s="39"/>
      <c r="KI4" s="39"/>
      <c r="KJ4" s="39"/>
      <c r="KK4" s="39"/>
      <c r="KL4" s="39"/>
      <c r="KM4" s="39"/>
      <c r="KN4" s="39"/>
      <c r="KO4" s="39"/>
      <c r="KP4" s="39"/>
      <c r="KQ4" s="39"/>
      <c r="KR4" s="39"/>
      <c r="KS4" s="39"/>
      <c r="KT4" s="12" t="str">
        <f t="shared" ref="KT4:KT18" si="105">IF(KL4&gt;0,KL4,"")</f>
        <v/>
      </c>
      <c r="KU4" s="12" t="str">
        <f t="shared" ref="KU4:KU18" si="106">IF(SUM(KE4:KH4)-KI4&gt;0,SUM(KE4:KH4)-KI4,"")</f>
        <v/>
      </c>
      <c r="KV4" s="12" t="str">
        <f t="shared" ref="KV4:KV18" si="107">IF(SUM(KJ4:KM4)-KN4&gt;0,SUM(KJ4:KM4)-KN4,"")</f>
        <v/>
      </c>
      <c r="KW4" s="12" t="str">
        <f t="shared" ref="KW4:KW18" si="108">IF(SUM(KU4:KV4)&gt;0,SUM(KU4:KV4),"")</f>
        <v/>
      </c>
      <c r="KX4" s="12" t="str">
        <f t="shared" ref="KX4:KX18" si="109">IF(KQ4&gt;0,KQ4,"")</f>
        <v/>
      </c>
      <c r="KY4" s="12" t="str">
        <f t="shared" ref="KY4:KY18" si="110">IF(SUM(KO4:KR4)-KS4&gt;0,SUM(KO4:KR4)-KS4,"")</f>
        <v/>
      </c>
      <c r="KZ4" s="12" t="str">
        <f t="shared" ref="KZ4:KZ18" si="111">IF(SUM(KW4,KY4)&gt;0,SUM(KW4,KY4),"")</f>
        <v/>
      </c>
      <c r="LA4" s="40"/>
      <c r="LB4" s="40"/>
      <c r="LC4" s="40"/>
      <c r="LD4" s="40"/>
      <c r="LE4" s="40"/>
      <c r="LF4" s="40"/>
      <c r="LG4" s="40"/>
      <c r="LH4" s="40"/>
      <c r="LI4" s="40"/>
      <c r="LJ4" s="40"/>
      <c r="LK4" s="40"/>
      <c r="LL4" s="40"/>
      <c r="LM4" s="40"/>
      <c r="LN4" s="40"/>
      <c r="LO4" s="40"/>
      <c r="LP4" s="15" t="str">
        <f t="shared" ref="LP4:LP18" si="112">IF(LH4&gt;0,LH4,"")</f>
        <v/>
      </c>
      <c r="LQ4" s="15" t="str">
        <f t="shared" ref="LQ4:LQ18" si="113">IF(SUM(LA4:LD4)-LE4&gt;0,SUM(LA4:LD4)-LE4,"")</f>
        <v/>
      </c>
      <c r="LR4" s="15" t="str">
        <f t="shared" ref="LR4:LR18" si="114">IF(SUM(LF4:LI4)-LJ4&gt;0,SUM(LF4:LI4)-LJ4,"")</f>
        <v/>
      </c>
      <c r="LS4" s="15" t="str">
        <f t="shared" ref="LS4:LS18" si="115">IF(SUM(LQ4:LR4)&gt;0,SUM(LQ4:LR4),"")</f>
        <v/>
      </c>
      <c r="LT4" s="15" t="str">
        <f t="shared" ref="LT4:LT18" si="116">IF(LM4&gt;0,LM4,"")</f>
        <v/>
      </c>
      <c r="LU4" s="15" t="str">
        <f t="shared" ref="LU4:LU18" si="117">IF(SUM(LK4:LN4)-LO4&gt;0,SUM(LK4:LN4)-LO4,"")</f>
        <v/>
      </c>
      <c r="LV4" s="15" t="str">
        <f t="shared" ref="LV4:LV18" si="118">IF(SUM(LS4,LU4)&gt;0,SUM(LS4,LU4),"")</f>
        <v/>
      </c>
      <c r="LW4" s="71">
        <f t="shared" ref="LW4:MK4" si="119">IF($BG4="P",AR4,(U4+AR4)/2)</f>
        <v>4.55</v>
      </c>
      <c r="LX4" s="71">
        <f t="shared" si="119"/>
        <v>4.625</v>
      </c>
      <c r="LY4" s="71">
        <f t="shared" si="119"/>
        <v>2.0499999999999998</v>
      </c>
      <c r="LZ4" s="71">
        <f t="shared" si="119"/>
        <v>9.09</v>
      </c>
      <c r="MA4" s="71">
        <f t="shared" si="119"/>
        <v>0</v>
      </c>
      <c r="MB4" s="71">
        <f t="shared" si="119"/>
        <v>4.2750000000000004</v>
      </c>
      <c r="MC4" s="71">
        <f t="shared" si="119"/>
        <v>4.4249999999999998</v>
      </c>
      <c r="MD4" s="71">
        <f t="shared" si="119"/>
        <v>5.9</v>
      </c>
      <c r="ME4" s="71">
        <f t="shared" si="119"/>
        <v>8.25</v>
      </c>
      <c r="MF4" s="71">
        <f t="shared" si="119"/>
        <v>0</v>
      </c>
      <c r="MG4" s="71">
        <f t="shared" si="119"/>
        <v>0.42499999999999999</v>
      </c>
      <c r="MH4" s="71">
        <f t="shared" si="119"/>
        <v>0.45</v>
      </c>
      <c r="MI4" s="71">
        <f t="shared" si="119"/>
        <v>0.75</v>
      </c>
      <c r="MJ4" s="71">
        <f t="shared" si="119"/>
        <v>1</v>
      </c>
      <c r="MK4" s="71">
        <f t="shared" si="119"/>
        <v>0</v>
      </c>
      <c r="ML4" s="82" t="s">
        <v>100</v>
      </c>
      <c r="MM4" s="12">
        <f t="shared" ref="MM4" si="120">IF(MD4&gt;0,MD4,"")</f>
        <v>5.9</v>
      </c>
      <c r="MN4" s="12">
        <f t="shared" ref="MN4:MN15" si="121">IF(SUM(LW4:LZ4)-MA4&gt;0,SUM(LW4:LZ4)-MA4,"")</f>
        <v>20.315000000000001</v>
      </c>
      <c r="MO4" s="12">
        <f t="shared" ref="MO4" si="122">IF(SUM(MB4:ME4)-MF4&gt;0,SUM(MB4:ME4)-MF4,"")</f>
        <v>22.85</v>
      </c>
      <c r="MP4" s="12">
        <f t="shared" ref="MP4" si="123">IF(SUM(MN4:MO4)&gt;0,SUM(MN4:MO4),"")</f>
        <v>43.165000000000006</v>
      </c>
      <c r="MQ4" s="12">
        <f>IF(MI4&gt;0,MI4,"")</f>
        <v>0.75</v>
      </c>
      <c r="MR4" s="12">
        <f t="shared" ref="MR4" si="124">IF(SUM(MG4:MJ4)-MK4&gt;0,SUM(MG4:MJ4)-MK4,"")</f>
        <v>2.625</v>
      </c>
      <c r="MS4" s="12">
        <f t="shared" ref="MS4" si="125">IF(SUM(MP4,MR4)&gt;0,SUM(MP4,MR4),"")</f>
        <v>45.790000000000006</v>
      </c>
    </row>
    <row r="5" spans="1:357" x14ac:dyDescent="0.2">
      <c r="A5" s="6">
        <f t="shared" si="0"/>
        <v>2</v>
      </c>
      <c r="B5" s="7" t="s">
        <v>117</v>
      </c>
      <c r="C5" s="8" t="s">
        <v>116</v>
      </c>
      <c r="D5" s="6" t="s">
        <v>115</v>
      </c>
      <c r="E5" s="16">
        <f t="shared" si="1"/>
        <v>89.59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Merit</v>
      </c>
      <c r="J5" s="15" t="str">
        <f t="shared" si="6"/>
        <v/>
      </c>
      <c r="K5" s="15" t="str">
        <f t="shared" si="7"/>
        <v/>
      </c>
      <c r="L5" s="15" t="str">
        <f t="shared" si="8"/>
        <v/>
      </c>
      <c r="M5" s="15" t="str">
        <f t="shared" si="9"/>
        <v/>
      </c>
      <c r="N5" s="15" t="str">
        <f t="shared" si="10"/>
        <v/>
      </c>
      <c r="O5" s="15" t="str">
        <f t="shared" si="11"/>
        <v/>
      </c>
      <c r="P5" s="15" t="str">
        <f t="shared" si="12"/>
        <v/>
      </c>
      <c r="Q5" s="15" t="str">
        <f t="shared" si="13"/>
        <v/>
      </c>
      <c r="R5" s="15">
        <f t="shared" si="14"/>
        <v>89.59</v>
      </c>
      <c r="S5" s="27" t="str">
        <f t="shared" si="15"/>
        <v>(Prelim)</v>
      </c>
      <c r="T5" s="15" t="str">
        <f t="shared" si="16"/>
        <v>2019 World Cup AZE (Feb 17)</v>
      </c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82"/>
      <c r="AK5" s="12" t="str">
        <f t="shared" si="17"/>
        <v/>
      </c>
      <c r="AL5" s="12" t="str">
        <f t="shared" si="18"/>
        <v/>
      </c>
      <c r="AM5" s="12" t="str">
        <f t="shared" si="19"/>
        <v/>
      </c>
      <c r="AN5" s="12" t="str">
        <f t="shared" si="20"/>
        <v/>
      </c>
      <c r="AO5" s="12" t="str">
        <f t="shared" si="21"/>
        <v/>
      </c>
      <c r="AP5" s="12" t="str">
        <f t="shared" si="22"/>
        <v/>
      </c>
      <c r="AQ5" s="12" t="str">
        <f t="shared" si="23"/>
        <v/>
      </c>
      <c r="AR5" s="40"/>
      <c r="AS5" s="40"/>
      <c r="AT5" s="40"/>
      <c r="AU5" s="40"/>
      <c r="AV5" s="40"/>
      <c r="AW5" s="40"/>
      <c r="AX5" s="40"/>
      <c r="AY5" s="40"/>
      <c r="AZ5" s="40"/>
      <c r="BA5" s="40"/>
      <c r="BB5" s="40"/>
      <c r="BC5" s="40"/>
      <c r="BD5" s="40"/>
      <c r="BE5" s="40"/>
      <c r="BF5" s="40"/>
      <c r="BG5" s="83"/>
      <c r="BH5" s="15" t="str">
        <f t="shared" si="24"/>
        <v/>
      </c>
      <c r="BI5" s="15" t="str">
        <f t="shared" si="25"/>
        <v/>
      </c>
      <c r="BJ5" s="15" t="str">
        <f t="shared" si="26"/>
        <v/>
      </c>
      <c r="BK5" s="15" t="str">
        <f t="shared" si="27"/>
        <v/>
      </c>
      <c r="BL5" s="15" t="str">
        <f t="shared" si="28"/>
        <v/>
      </c>
      <c r="BM5" s="15" t="str">
        <f t="shared" si="29"/>
        <v/>
      </c>
      <c r="BN5" s="15" t="str">
        <f t="shared" si="30"/>
        <v/>
      </c>
      <c r="BO5" s="26">
        <f t="shared" si="31"/>
        <v>41.21</v>
      </c>
      <c r="BP5" s="26">
        <f t="shared" si="32"/>
        <v>48.480000000000004</v>
      </c>
      <c r="BQ5" s="26">
        <f t="shared" si="33"/>
        <v>89.59</v>
      </c>
      <c r="BR5" s="26">
        <f t="shared" si="34"/>
        <v>47.5</v>
      </c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>
        <v>8.4499999999999993</v>
      </c>
      <c r="CD5" s="39">
        <v>9.1999999999999993</v>
      </c>
      <c r="CE5" s="39">
        <v>11.8</v>
      </c>
      <c r="CF5" s="39">
        <v>17.899999999999999</v>
      </c>
      <c r="CG5" s="39">
        <v>0.4</v>
      </c>
      <c r="CH5" s="12" t="str">
        <f t="shared" si="35"/>
        <v/>
      </c>
      <c r="CI5" s="12" t="str">
        <f t="shared" si="36"/>
        <v/>
      </c>
      <c r="CJ5" s="12" t="str">
        <f t="shared" si="37"/>
        <v/>
      </c>
      <c r="CK5" s="12" t="str">
        <f t="shared" si="38"/>
        <v/>
      </c>
      <c r="CL5" s="12">
        <f t="shared" si="39"/>
        <v>11.8</v>
      </c>
      <c r="CM5" s="12">
        <f t="shared" si="40"/>
        <v>46.949999999999996</v>
      </c>
      <c r="CN5" s="12">
        <f t="shared" si="41"/>
        <v>46.949999999999996</v>
      </c>
      <c r="CO5" s="40">
        <v>9</v>
      </c>
      <c r="CP5" s="40">
        <v>9.6999999999999993</v>
      </c>
      <c r="CQ5" s="40">
        <v>3.9</v>
      </c>
      <c r="CR5" s="40">
        <v>18.260000000000002</v>
      </c>
      <c r="CS5" s="40">
        <v>0</v>
      </c>
      <c r="CT5" s="40">
        <v>8.35</v>
      </c>
      <c r="CU5" s="40">
        <v>9.5</v>
      </c>
      <c r="CV5" s="40">
        <v>11.8</v>
      </c>
      <c r="CW5" s="40">
        <v>16.98</v>
      </c>
      <c r="CX5" s="40">
        <v>0</v>
      </c>
      <c r="CY5" s="40">
        <v>8.1</v>
      </c>
      <c r="CZ5" s="40">
        <v>9.3000000000000007</v>
      </c>
      <c r="DA5" s="40">
        <v>11.8</v>
      </c>
      <c r="DB5" s="40">
        <v>18.3</v>
      </c>
      <c r="DC5" s="40">
        <v>0</v>
      </c>
      <c r="DD5" s="15">
        <f t="shared" si="42"/>
        <v>11.8</v>
      </c>
      <c r="DE5" s="15">
        <f t="shared" si="43"/>
        <v>40.86</v>
      </c>
      <c r="DF5" s="15">
        <f t="shared" si="44"/>
        <v>46.63</v>
      </c>
      <c r="DG5" s="15">
        <f t="shared" si="45"/>
        <v>87.490000000000009</v>
      </c>
      <c r="DH5" s="15">
        <f t="shared" si="46"/>
        <v>11.8</v>
      </c>
      <c r="DI5" s="15">
        <f t="shared" si="47"/>
        <v>47.5</v>
      </c>
      <c r="DJ5" s="15">
        <f t="shared" si="48"/>
        <v>134.99</v>
      </c>
      <c r="DK5" s="39"/>
      <c r="DL5" s="39"/>
      <c r="DM5" s="39"/>
      <c r="DN5" s="39"/>
      <c r="DO5" s="39"/>
      <c r="DP5" s="39"/>
      <c r="DQ5" s="39"/>
      <c r="DR5" s="39"/>
      <c r="DS5" s="39"/>
      <c r="DT5" s="39"/>
      <c r="DU5" s="39"/>
      <c r="DV5" s="39"/>
      <c r="DW5" s="39"/>
      <c r="DX5" s="39"/>
      <c r="DY5" s="39"/>
      <c r="DZ5" s="12" t="str">
        <f t="shared" si="49"/>
        <v/>
      </c>
      <c r="EA5" s="12" t="str">
        <f t="shared" si="50"/>
        <v/>
      </c>
      <c r="EB5" s="12" t="str">
        <f t="shared" si="51"/>
        <v/>
      </c>
      <c r="EC5" s="12" t="str">
        <f t="shared" si="52"/>
        <v/>
      </c>
      <c r="ED5" s="12" t="str">
        <f t="shared" si="53"/>
        <v/>
      </c>
      <c r="EE5" s="12" t="str">
        <f t="shared" si="54"/>
        <v/>
      </c>
      <c r="EF5" s="12" t="str">
        <f t="shared" si="55"/>
        <v/>
      </c>
      <c r="EG5" s="40">
        <v>9.1999999999999993</v>
      </c>
      <c r="EH5" s="40">
        <v>9.65</v>
      </c>
      <c r="EI5" s="40">
        <v>3.9</v>
      </c>
      <c r="EJ5" s="40">
        <v>18.46</v>
      </c>
      <c r="EK5" s="40">
        <v>0</v>
      </c>
      <c r="EL5" s="40">
        <v>8.35</v>
      </c>
      <c r="EM5" s="40">
        <v>9.25</v>
      </c>
      <c r="EN5" s="40">
        <v>11.8</v>
      </c>
      <c r="EO5" s="40">
        <v>18.98</v>
      </c>
      <c r="EP5" s="40">
        <v>0</v>
      </c>
      <c r="EQ5" s="40">
        <v>8.25</v>
      </c>
      <c r="ER5" s="40">
        <v>9.3000000000000007</v>
      </c>
      <c r="ES5" s="40">
        <v>11.8</v>
      </c>
      <c r="ET5" s="40">
        <v>17.059999999999999</v>
      </c>
      <c r="EU5" s="40">
        <v>0</v>
      </c>
      <c r="EV5" s="15">
        <f t="shared" si="56"/>
        <v>11.8</v>
      </c>
      <c r="EW5" s="15">
        <f t="shared" si="57"/>
        <v>41.21</v>
      </c>
      <c r="EX5" s="15">
        <f t="shared" si="58"/>
        <v>48.38</v>
      </c>
      <c r="EY5" s="15">
        <f t="shared" si="59"/>
        <v>89.59</v>
      </c>
      <c r="EZ5" s="15">
        <f t="shared" si="60"/>
        <v>11.8</v>
      </c>
      <c r="FA5" s="15">
        <f t="shared" si="61"/>
        <v>46.41</v>
      </c>
      <c r="FB5" s="15">
        <f t="shared" si="62"/>
        <v>136</v>
      </c>
      <c r="FC5" s="39"/>
      <c r="FD5" s="39"/>
      <c r="FE5" s="39"/>
      <c r="FF5" s="39"/>
      <c r="FG5" s="39"/>
      <c r="FH5" s="39"/>
      <c r="FI5" s="39"/>
      <c r="FJ5" s="39"/>
      <c r="FK5" s="39"/>
      <c r="FL5" s="39"/>
      <c r="FM5" s="39"/>
      <c r="FN5" s="39"/>
      <c r="FO5" s="39"/>
      <c r="FP5" s="39"/>
      <c r="FQ5" s="39"/>
      <c r="FR5" s="12" t="str">
        <f t="shared" si="63"/>
        <v/>
      </c>
      <c r="FS5" s="12" t="str">
        <f t="shared" si="64"/>
        <v/>
      </c>
      <c r="FT5" s="12" t="str">
        <f t="shared" si="65"/>
        <v/>
      </c>
      <c r="FU5" s="12" t="str">
        <f t="shared" si="66"/>
        <v/>
      </c>
      <c r="FV5" s="12" t="str">
        <f t="shared" si="67"/>
        <v/>
      </c>
      <c r="FW5" s="12" t="str">
        <f t="shared" si="68"/>
        <v/>
      </c>
      <c r="FX5" s="12" t="str">
        <f t="shared" si="69"/>
        <v/>
      </c>
      <c r="FY5" s="40">
        <v>8.6999999999999993</v>
      </c>
      <c r="FZ5" s="40">
        <v>9.5</v>
      </c>
      <c r="GA5" s="40">
        <v>3.9</v>
      </c>
      <c r="GB5" s="40">
        <v>16.5</v>
      </c>
      <c r="GC5" s="40">
        <v>0</v>
      </c>
      <c r="GD5" s="40">
        <v>8.25</v>
      </c>
      <c r="GE5" s="40">
        <v>9.25</v>
      </c>
      <c r="GF5" s="40">
        <v>11.8</v>
      </c>
      <c r="GG5" s="40">
        <v>19.18</v>
      </c>
      <c r="GH5" s="40">
        <v>0</v>
      </c>
      <c r="GI5" s="40">
        <v>1.6</v>
      </c>
      <c r="GJ5" s="40">
        <v>1.6</v>
      </c>
      <c r="GK5" s="40">
        <v>2.9</v>
      </c>
      <c r="GL5" s="40">
        <v>3.5</v>
      </c>
      <c r="GM5" s="40">
        <v>0</v>
      </c>
      <c r="GN5" s="15">
        <f t="shared" si="70"/>
        <v>11.8</v>
      </c>
      <c r="GO5" s="15">
        <f t="shared" si="71"/>
        <v>38.599999999999994</v>
      </c>
      <c r="GP5" s="15">
        <f t="shared" si="72"/>
        <v>48.480000000000004</v>
      </c>
      <c r="GQ5" s="15">
        <f t="shared" si="73"/>
        <v>87.08</v>
      </c>
      <c r="GR5" s="15">
        <f t="shared" si="74"/>
        <v>2.9</v>
      </c>
      <c r="GS5" s="15">
        <f t="shared" si="75"/>
        <v>9.6</v>
      </c>
      <c r="GT5" s="15">
        <f t="shared" si="76"/>
        <v>96.679999999999993</v>
      </c>
      <c r="GU5" s="39"/>
      <c r="GV5" s="39"/>
      <c r="GW5" s="39"/>
      <c r="GX5" s="39"/>
      <c r="GY5" s="39"/>
      <c r="GZ5" s="39"/>
      <c r="HA5" s="39"/>
      <c r="HB5" s="39"/>
      <c r="HC5" s="39"/>
      <c r="HD5" s="39"/>
      <c r="HE5" s="39"/>
      <c r="HF5" s="39"/>
      <c r="HG5" s="39"/>
      <c r="HH5" s="39"/>
      <c r="HI5" s="39"/>
      <c r="HJ5" s="12" t="str">
        <f t="shared" si="77"/>
        <v/>
      </c>
      <c r="HK5" s="12" t="str">
        <f t="shared" si="78"/>
        <v/>
      </c>
      <c r="HL5" s="12" t="str">
        <f t="shared" si="79"/>
        <v/>
      </c>
      <c r="HM5" s="12" t="str">
        <f t="shared" si="80"/>
        <v/>
      </c>
      <c r="HN5" s="12" t="str">
        <f t="shared" si="81"/>
        <v/>
      </c>
      <c r="HO5" s="12" t="str">
        <f t="shared" si="82"/>
        <v/>
      </c>
      <c r="HP5" s="12" t="str">
        <f t="shared" si="83"/>
        <v/>
      </c>
      <c r="HQ5" s="40"/>
      <c r="HR5" s="40"/>
      <c r="HS5" s="40"/>
      <c r="HT5" s="40"/>
      <c r="HU5" s="40"/>
      <c r="HV5" s="40"/>
      <c r="HW5" s="40"/>
      <c r="HX5" s="40"/>
      <c r="HY5" s="40"/>
      <c r="HZ5" s="40"/>
      <c r="IA5" s="40"/>
      <c r="IB5" s="40"/>
      <c r="IC5" s="40"/>
      <c r="ID5" s="40"/>
      <c r="IE5" s="40"/>
      <c r="IF5" s="15" t="str">
        <f t="shared" si="84"/>
        <v/>
      </c>
      <c r="IG5" s="15" t="str">
        <f t="shared" si="85"/>
        <v/>
      </c>
      <c r="IH5" s="15" t="str">
        <f t="shared" si="86"/>
        <v/>
      </c>
      <c r="II5" s="15" t="str">
        <f t="shared" si="87"/>
        <v/>
      </c>
      <c r="IJ5" s="15" t="str">
        <f t="shared" si="88"/>
        <v/>
      </c>
      <c r="IK5" s="15" t="str">
        <f t="shared" si="89"/>
        <v/>
      </c>
      <c r="IL5" s="15" t="str">
        <f t="shared" si="90"/>
        <v/>
      </c>
      <c r="IM5" s="39"/>
      <c r="IN5" s="39"/>
      <c r="IO5" s="39"/>
      <c r="IP5" s="39"/>
      <c r="IQ5" s="39"/>
      <c r="IR5" s="39"/>
      <c r="IS5" s="39"/>
      <c r="IT5" s="39"/>
      <c r="IU5" s="39"/>
      <c r="IV5" s="39"/>
      <c r="IW5" s="39"/>
      <c r="IX5" s="39"/>
      <c r="IY5" s="39"/>
      <c r="IZ5" s="39"/>
      <c r="JA5" s="39"/>
      <c r="JB5" s="12" t="str">
        <f t="shared" si="91"/>
        <v/>
      </c>
      <c r="JC5" s="12" t="str">
        <f t="shared" si="92"/>
        <v/>
      </c>
      <c r="JD5" s="12" t="str">
        <f t="shared" si="93"/>
        <v/>
      </c>
      <c r="JE5" s="12" t="str">
        <f t="shared" si="94"/>
        <v/>
      </c>
      <c r="JF5" s="12" t="str">
        <f t="shared" si="95"/>
        <v/>
      </c>
      <c r="JG5" s="12" t="str">
        <f t="shared" si="96"/>
        <v/>
      </c>
      <c r="JH5" s="12" t="str">
        <f t="shared" si="97"/>
        <v/>
      </c>
      <c r="JI5" s="40"/>
      <c r="JJ5" s="40"/>
      <c r="JK5" s="40"/>
      <c r="JL5" s="40"/>
      <c r="JM5" s="40"/>
      <c r="JN5" s="40"/>
      <c r="JO5" s="40"/>
      <c r="JP5" s="40"/>
      <c r="JQ5" s="40"/>
      <c r="JR5" s="40"/>
      <c r="JS5" s="40"/>
      <c r="JT5" s="40"/>
      <c r="JU5" s="40"/>
      <c r="JV5" s="40"/>
      <c r="JW5" s="40"/>
      <c r="JX5" s="15" t="str">
        <f t="shared" si="98"/>
        <v/>
      </c>
      <c r="JY5" s="15" t="str">
        <f t="shared" si="99"/>
        <v/>
      </c>
      <c r="JZ5" s="15" t="str">
        <f t="shared" si="100"/>
        <v/>
      </c>
      <c r="KA5" s="15" t="str">
        <f t="shared" si="101"/>
        <v/>
      </c>
      <c r="KB5" s="15" t="str">
        <f t="shared" si="102"/>
        <v/>
      </c>
      <c r="KC5" s="15" t="str">
        <f t="shared" si="103"/>
        <v/>
      </c>
      <c r="KD5" s="15" t="str">
        <f t="shared" si="104"/>
        <v/>
      </c>
      <c r="KE5" s="39"/>
      <c r="KF5" s="39"/>
      <c r="KG5" s="39"/>
      <c r="KH5" s="39"/>
      <c r="KI5" s="39"/>
      <c r="KJ5" s="39"/>
      <c r="KK5" s="39"/>
      <c r="KL5" s="39"/>
      <c r="KM5" s="39"/>
      <c r="KN5" s="39"/>
      <c r="KO5" s="39"/>
      <c r="KP5" s="39"/>
      <c r="KQ5" s="39"/>
      <c r="KR5" s="39"/>
      <c r="KS5" s="39"/>
      <c r="KT5" s="12" t="str">
        <f t="shared" si="105"/>
        <v/>
      </c>
      <c r="KU5" s="12" t="str">
        <f t="shared" si="106"/>
        <v/>
      </c>
      <c r="KV5" s="12" t="str">
        <f t="shared" si="107"/>
        <v/>
      </c>
      <c r="KW5" s="12" t="str">
        <f t="shared" si="108"/>
        <v/>
      </c>
      <c r="KX5" s="12" t="str">
        <f t="shared" si="109"/>
        <v/>
      </c>
      <c r="KY5" s="12" t="str">
        <f t="shared" si="110"/>
        <v/>
      </c>
      <c r="KZ5" s="12" t="str">
        <f t="shared" si="111"/>
        <v/>
      </c>
      <c r="LA5" s="40"/>
      <c r="LB5" s="40"/>
      <c r="LC5" s="40"/>
      <c r="LD5" s="40"/>
      <c r="LE5" s="40"/>
      <c r="LF5" s="40"/>
      <c r="LG5" s="40"/>
      <c r="LH5" s="40"/>
      <c r="LI5" s="40"/>
      <c r="LJ5" s="40"/>
      <c r="LK5" s="40"/>
      <c r="LL5" s="40"/>
      <c r="LM5" s="40"/>
      <c r="LN5" s="40"/>
      <c r="LO5" s="40"/>
      <c r="LP5" s="15" t="str">
        <f t="shared" si="112"/>
        <v/>
      </c>
      <c r="LQ5" s="15" t="str">
        <f t="shared" si="113"/>
        <v/>
      </c>
      <c r="LR5" s="15" t="str">
        <f t="shared" si="114"/>
        <v/>
      </c>
      <c r="LS5" s="15" t="str">
        <f t="shared" si="115"/>
        <v/>
      </c>
      <c r="LT5" s="15" t="str">
        <f t="shared" si="116"/>
        <v/>
      </c>
      <c r="LU5" s="15" t="str">
        <f t="shared" si="117"/>
        <v/>
      </c>
      <c r="LV5" s="15" t="str">
        <f t="shared" si="118"/>
        <v/>
      </c>
      <c r="LW5" s="71">
        <f t="shared" ref="LW5:LW15" si="126">IF($BG5="P",AR5,(U5+AR5)/2)</f>
        <v>0</v>
      </c>
      <c r="LX5" s="71">
        <f t="shared" ref="LX5:LX15" si="127">IF($BG5="P",AS5,(V5+AS5)/2)</f>
        <v>0</v>
      </c>
      <c r="LY5" s="71">
        <f t="shared" ref="LY5:LY15" si="128">IF($BG5="P",AT5,(W5+AT5)/2)</f>
        <v>0</v>
      </c>
      <c r="LZ5" s="71">
        <f t="shared" ref="LZ5:LZ15" si="129">IF($BG5="P",AU5,(X5+AU5)/2)</f>
        <v>0</v>
      </c>
      <c r="MA5" s="71">
        <f t="shared" ref="MA5:MA15" si="130">IF($BG5="P",AV5,(Y5+AV5)/2)</f>
        <v>0</v>
      </c>
      <c r="MB5" s="71">
        <f t="shared" ref="MB5:MB15" si="131">IF($BG5="P",AW5,(Z5+AW5)/2)</f>
        <v>0</v>
      </c>
      <c r="MC5" s="71">
        <f t="shared" ref="MC5:MC15" si="132">IF($BG5="P",AX5,(AA5+AX5)/2)</f>
        <v>0</v>
      </c>
      <c r="MD5" s="71">
        <f t="shared" ref="MD5:MD15" si="133">IF($BG5="P",AY5,(AB5+AY5)/2)</f>
        <v>0</v>
      </c>
      <c r="ME5" s="71">
        <f t="shared" ref="ME5:ME15" si="134">IF($BG5="P",AZ5,(AC5+AZ5)/2)</f>
        <v>0</v>
      </c>
      <c r="MF5" s="71">
        <f t="shared" ref="MF5:MF15" si="135">IF($BG5="P",BA5,(AD5+BA5)/2)</f>
        <v>0</v>
      </c>
      <c r="MG5" s="71">
        <f t="shared" ref="MG5:MG15" si="136">IF($BG5="P",BB5,(AE5+BB5)/2)</f>
        <v>0</v>
      </c>
      <c r="MH5" s="71">
        <f t="shared" ref="MH5:MH15" si="137">IF($BG5="P",BC5,(AF5+BC5)/2)</f>
        <v>0</v>
      </c>
      <c r="MI5" s="71">
        <f t="shared" ref="MI5:MI15" si="138">IF($BG5="P",BD5,(AG5+BD5)/2)</f>
        <v>0</v>
      </c>
      <c r="MJ5" s="71">
        <f t="shared" ref="MJ5:MJ15" si="139">IF($BG5="P",BE5,(AH5+BE5)/2)</f>
        <v>0</v>
      </c>
      <c r="MK5" s="71">
        <f t="shared" ref="MK5:MK15" si="140">IF($BG5="P",BF5,(AI5+BF5)/2)</f>
        <v>0</v>
      </c>
      <c r="ML5" s="82" t="s">
        <v>100</v>
      </c>
      <c r="MM5" s="12" t="str">
        <f t="shared" ref="MM5:MM15" si="141">IF(MD5&gt;0,MD5,"")</f>
        <v/>
      </c>
      <c r="MN5" s="12" t="str">
        <f t="shared" si="121"/>
        <v/>
      </c>
      <c r="MO5" s="12" t="str">
        <f t="shared" ref="MO5:MO15" si="142">IF(SUM(MB5:ME5)-MF5&gt;0,SUM(MB5:ME5)-MF5,"")</f>
        <v/>
      </c>
      <c r="MP5" s="12" t="str">
        <f t="shared" ref="MP5:MP15" si="143">IF(SUM(MN5:MO5)&gt;0,SUM(MN5:MO5),"")</f>
        <v/>
      </c>
      <c r="MQ5" s="12" t="str">
        <f t="shared" ref="MQ5:MQ15" si="144">IF(MI5&gt;0,MI5,"")</f>
        <v/>
      </c>
      <c r="MR5" s="12" t="str">
        <f t="shared" ref="MR5:MR15" si="145">IF(SUM(MG5:MJ5)-MK5&gt;0,SUM(MG5:MJ5)-MK5,"")</f>
        <v/>
      </c>
      <c r="MS5" s="12" t="str">
        <f t="shared" ref="MS5:MS15" si="146">IF(SUM(MP5,MR5)&gt;0,SUM(MP5,MR5),"")</f>
        <v/>
      </c>
    </row>
    <row r="6" spans="1:357" x14ac:dyDescent="0.2">
      <c r="A6" s="6">
        <f t="shared" si="0"/>
        <v>3</v>
      </c>
      <c r="B6" s="7" t="s">
        <v>165</v>
      </c>
      <c r="C6" s="8" t="s">
        <v>164</v>
      </c>
      <c r="D6" s="6" t="s">
        <v>182</v>
      </c>
      <c r="E6" s="16">
        <f t="shared" si="1"/>
        <v>85.899999999999991</v>
      </c>
      <c r="F6" s="4" t="str">
        <f t="shared" si="2"/>
        <v>P</v>
      </c>
      <c r="G6" s="4" t="str">
        <f t="shared" si="3"/>
        <v>P</v>
      </c>
      <c r="H6" s="4" t="str">
        <f t="shared" si="4"/>
        <v>P</v>
      </c>
      <c r="I6" t="str">
        <f t="shared" si="5"/>
        <v>Excellence</v>
      </c>
      <c r="J6" s="15" t="str">
        <f t="shared" si="6"/>
        <v/>
      </c>
      <c r="K6" s="15" t="str">
        <f t="shared" si="7"/>
        <v/>
      </c>
      <c r="L6" s="15" t="str">
        <f t="shared" si="8"/>
        <v/>
      </c>
      <c r="M6" s="15" t="str">
        <f t="shared" si="9"/>
        <v/>
      </c>
      <c r="N6" s="15" t="str">
        <f t="shared" si="10"/>
        <v/>
      </c>
      <c r="O6" s="15" t="str">
        <f t="shared" si="11"/>
        <v/>
      </c>
      <c r="P6" s="15" t="str">
        <f t="shared" si="12"/>
        <v/>
      </c>
      <c r="Q6" s="15" t="str">
        <f t="shared" si="13"/>
        <v/>
      </c>
      <c r="R6" s="15">
        <f t="shared" si="14"/>
        <v>85.899999999999991</v>
      </c>
      <c r="S6" s="27" t="str">
        <f t="shared" si="15"/>
        <v>(Prelim)</v>
      </c>
      <c r="T6" s="15" t="str">
        <f t="shared" si="16"/>
        <v>2019 World Cup ESP (Oct 6)</v>
      </c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82"/>
      <c r="AK6" s="12" t="str">
        <f t="shared" si="17"/>
        <v/>
      </c>
      <c r="AL6" s="12" t="str">
        <f t="shared" si="18"/>
        <v/>
      </c>
      <c r="AM6" s="12" t="str">
        <f t="shared" si="19"/>
        <v/>
      </c>
      <c r="AN6" s="12" t="str">
        <f t="shared" si="20"/>
        <v/>
      </c>
      <c r="AO6" s="12" t="str">
        <f t="shared" si="21"/>
        <v/>
      </c>
      <c r="AP6" s="12" t="str">
        <f t="shared" si="22"/>
        <v/>
      </c>
      <c r="AQ6" s="12" t="str">
        <f t="shared" si="23"/>
        <v/>
      </c>
      <c r="AR6" s="40"/>
      <c r="AS6" s="40"/>
      <c r="AT6" s="40"/>
      <c r="AU6" s="40"/>
      <c r="AV6" s="40"/>
      <c r="AW6" s="40"/>
      <c r="AX6" s="40"/>
      <c r="AY6" s="40"/>
      <c r="AZ6" s="40"/>
      <c r="BA6" s="40"/>
      <c r="BB6" s="40"/>
      <c r="BC6" s="40"/>
      <c r="BD6" s="40"/>
      <c r="BE6" s="40"/>
      <c r="BF6" s="40"/>
      <c r="BG6" s="83"/>
      <c r="BH6" s="15" t="str">
        <f t="shared" si="24"/>
        <v/>
      </c>
      <c r="BI6" s="15" t="str">
        <f t="shared" si="25"/>
        <v/>
      </c>
      <c r="BJ6" s="15" t="str">
        <f t="shared" si="26"/>
        <v/>
      </c>
      <c r="BK6" s="15" t="str">
        <f t="shared" si="27"/>
        <v/>
      </c>
      <c r="BL6" s="15" t="str">
        <f t="shared" si="28"/>
        <v/>
      </c>
      <c r="BM6" s="15" t="str">
        <f t="shared" si="29"/>
        <v/>
      </c>
      <c r="BN6" s="15" t="str">
        <f t="shared" si="30"/>
        <v/>
      </c>
      <c r="BO6" s="26">
        <f t="shared" si="31"/>
        <v>40.019999999999996</v>
      </c>
      <c r="BP6" s="26">
        <f t="shared" si="32"/>
        <v>45.879999999999995</v>
      </c>
      <c r="BQ6" s="26">
        <f t="shared" si="33"/>
        <v>85.899999999999991</v>
      </c>
      <c r="BR6" s="26">
        <f t="shared" si="34"/>
        <v>47.019999999999996</v>
      </c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G6" s="39"/>
      <c r="CH6" s="12" t="str">
        <f t="shared" si="35"/>
        <v/>
      </c>
      <c r="CI6" s="12" t="str">
        <f t="shared" si="36"/>
        <v/>
      </c>
      <c r="CJ6" s="12" t="str">
        <f t="shared" si="37"/>
        <v/>
      </c>
      <c r="CK6" s="12" t="str">
        <f t="shared" si="38"/>
        <v/>
      </c>
      <c r="CL6" s="12" t="str">
        <f t="shared" si="39"/>
        <v/>
      </c>
      <c r="CM6" s="12" t="str">
        <f t="shared" si="40"/>
        <v/>
      </c>
      <c r="CN6" s="12" t="str">
        <f t="shared" si="41"/>
        <v/>
      </c>
      <c r="CO6" s="40"/>
      <c r="CP6" s="40"/>
      <c r="CQ6" s="40"/>
      <c r="CR6" s="40"/>
      <c r="CS6" s="40"/>
      <c r="CT6" s="40"/>
      <c r="CU6" s="40"/>
      <c r="CV6" s="40"/>
      <c r="CW6" s="40"/>
      <c r="CX6" s="40"/>
      <c r="CY6" s="40"/>
      <c r="CZ6" s="40"/>
      <c r="DA6" s="40"/>
      <c r="DB6" s="40"/>
      <c r="DC6" s="40"/>
      <c r="DD6" s="15" t="str">
        <f t="shared" si="42"/>
        <v/>
      </c>
      <c r="DE6" s="15" t="str">
        <f t="shared" si="43"/>
        <v/>
      </c>
      <c r="DF6" s="15" t="str">
        <f t="shared" si="44"/>
        <v/>
      </c>
      <c r="DG6" s="15" t="str">
        <f t="shared" si="45"/>
        <v/>
      </c>
      <c r="DH6" s="15" t="str">
        <f t="shared" si="46"/>
        <v/>
      </c>
      <c r="DI6" s="15" t="str">
        <f t="shared" si="47"/>
        <v/>
      </c>
      <c r="DJ6" s="15" t="str">
        <f t="shared" si="48"/>
        <v/>
      </c>
      <c r="DK6" s="39"/>
      <c r="DL6" s="39"/>
      <c r="DM6" s="39"/>
      <c r="DN6" s="39"/>
      <c r="DO6" s="39"/>
      <c r="DP6" s="39"/>
      <c r="DQ6" s="39"/>
      <c r="DR6" s="39"/>
      <c r="DS6" s="39"/>
      <c r="DT6" s="39"/>
      <c r="DU6" s="39"/>
      <c r="DV6" s="39"/>
      <c r="DW6" s="39"/>
      <c r="DX6" s="39"/>
      <c r="DY6" s="39"/>
      <c r="DZ6" s="12" t="str">
        <f t="shared" si="49"/>
        <v/>
      </c>
      <c r="EA6" s="12" t="str">
        <f t="shared" si="50"/>
        <v/>
      </c>
      <c r="EB6" s="12" t="str">
        <f t="shared" si="51"/>
        <v/>
      </c>
      <c r="EC6" s="12" t="str">
        <f t="shared" si="52"/>
        <v/>
      </c>
      <c r="ED6" s="12" t="str">
        <f t="shared" si="53"/>
        <v/>
      </c>
      <c r="EE6" s="12" t="str">
        <f t="shared" si="54"/>
        <v/>
      </c>
      <c r="EF6" s="12" t="str">
        <f t="shared" si="55"/>
        <v/>
      </c>
      <c r="EG6" s="40"/>
      <c r="EH6" s="40"/>
      <c r="EI6" s="40"/>
      <c r="EJ6" s="40"/>
      <c r="EK6" s="40"/>
      <c r="EL6" s="40"/>
      <c r="EM6" s="40"/>
      <c r="EN6" s="40"/>
      <c r="EO6" s="40"/>
      <c r="EP6" s="40"/>
      <c r="EQ6" s="40"/>
      <c r="ER6" s="40"/>
      <c r="ES6" s="40"/>
      <c r="ET6" s="40"/>
      <c r="EU6" s="40"/>
      <c r="EV6" s="15" t="str">
        <f t="shared" si="56"/>
        <v/>
      </c>
      <c r="EW6" s="15" t="str">
        <f t="shared" si="57"/>
        <v/>
      </c>
      <c r="EX6" s="15" t="str">
        <f t="shared" si="58"/>
        <v/>
      </c>
      <c r="EY6" s="15" t="str">
        <f t="shared" si="59"/>
        <v/>
      </c>
      <c r="EZ6" s="15" t="str">
        <f t="shared" si="60"/>
        <v/>
      </c>
      <c r="FA6" s="15" t="str">
        <f t="shared" si="61"/>
        <v/>
      </c>
      <c r="FB6" s="15" t="str">
        <f t="shared" si="62"/>
        <v/>
      </c>
      <c r="FC6" s="39">
        <v>8.75</v>
      </c>
      <c r="FD6" s="39">
        <v>9.4</v>
      </c>
      <c r="FE6" s="39">
        <v>4.3</v>
      </c>
      <c r="FF6" s="39">
        <v>17.559999999999999</v>
      </c>
      <c r="FG6" s="39">
        <v>0</v>
      </c>
      <c r="FH6" s="39">
        <v>7.6</v>
      </c>
      <c r="FI6" s="39">
        <v>9.3000000000000007</v>
      </c>
      <c r="FJ6" s="39">
        <v>12</v>
      </c>
      <c r="FK6" s="39">
        <v>15.62</v>
      </c>
      <c r="FL6" s="39">
        <v>0</v>
      </c>
      <c r="FM6" s="39">
        <v>7.7</v>
      </c>
      <c r="FN6" s="39">
        <v>9</v>
      </c>
      <c r="FO6" s="39">
        <v>12</v>
      </c>
      <c r="FP6" s="39">
        <v>18.32</v>
      </c>
      <c r="FQ6" s="39">
        <v>0</v>
      </c>
      <c r="FR6" s="12">
        <f t="shared" si="63"/>
        <v>12</v>
      </c>
      <c r="FS6" s="12">
        <f t="shared" si="64"/>
        <v>40.01</v>
      </c>
      <c r="FT6" s="12">
        <f t="shared" si="65"/>
        <v>44.519999999999996</v>
      </c>
      <c r="FU6" s="12">
        <f t="shared" si="66"/>
        <v>84.53</v>
      </c>
      <c r="FV6" s="12">
        <f t="shared" si="67"/>
        <v>12</v>
      </c>
      <c r="FW6" s="12">
        <f t="shared" si="68"/>
        <v>47.019999999999996</v>
      </c>
      <c r="FX6" s="12">
        <f t="shared" si="69"/>
        <v>131.55000000000001</v>
      </c>
      <c r="FY6" s="40"/>
      <c r="FZ6" s="40"/>
      <c r="GA6" s="40"/>
      <c r="GB6" s="40"/>
      <c r="GC6" s="40"/>
      <c r="GD6" s="40"/>
      <c r="GE6" s="40"/>
      <c r="GF6" s="40"/>
      <c r="GG6" s="40"/>
      <c r="GH6" s="40"/>
      <c r="GI6" s="40"/>
      <c r="GJ6" s="40"/>
      <c r="GK6" s="40"/>
      <c r="GL6" s="40"/>
      <c r="GM6" s="40"/>
      <c r="GN6" s="15" t="str">
        <f t="shared" si="70"/>
        <v/>
      </c>
      <c r="GO6" s="15" t="str">
        <f t="shared" si="71"/>
        <v/>
      </c>
      <c r="GP6" s="15" t="str">
        <f t="shared" si="72"/>
        <v/>
      </c>
      <c r="GQ6" s="15" t="str">
        <f t="shared" si="73"/>
        <v/>
      </c>
      <c r="GR6" s="15" t="str">
        <f t="shared" si="74"/>
        <v/>
      </c>
      <c r="GS6" s="15" t="str">
        <f t="shared" si="75"/>
        <v/>
      </c>
      <c r="GT6" s="15" t="str">
        <f t="shared" si="76"/>
        <v/>
      </c>
      <c r="GU6" s="39">
        <v>8.6</v>
      </c>
      <c r="GV6" s="39">
        <v>9.3000000000000007</v>
      </c>
      <c r="GW6" s="39">
        <v>4.3</v>
      </c>
      <c r="GX6" s="39">
        <v>17.82</v>
      </c>
      <c r="GY6" s="39">
        <v>0</v>
      </c>
      <c r="GZ6" s="39">
        <v>7.8</v>
      </c>
      <c r="HA6" s="39">
        <v>9.1999999999999993</v>
      </c>
      <c r="HB6" s="39">
        <v>12</v>
      </c>
      <c r="HC6" s="39">
        <v>16.88</v>
      </c>
      <c r="HD6" s="39">
        <v>0</v>
      </c>
      <c r="HE6" s="39">
        <v>7.65</v>
      </c>
      <c r="HF6" s="39">
        <v>9.25</v>
      </c>
      <c r="HG6" s="39">
        <v>13.1</v>
      </c>
      <c r="HH6" s="39">
        <v>16.36</v>
      </c>
      <c r="HI6" s="39">
        <v>0</v>
      </c>
      <c r="HJ6" s="12">
        <f t="shared" si="77"/>
        <v>12</v>
      </c>
      <c r="HK6" s="12">
        <f t="shared" si="78"/>
        <v>40.019999999999996</v>
      </c>
      <c r="HL6" s="12">
        <f t="shared" si="79"/>
        <v>45.879999999999995</v>
      </c>
      <c r="HM6" s="12">
        <f t="shared" si="80"/>
        <v>85.899999999999991</v>
      </c>
      <c r="HN6" s="12">
        <f t="shared" si="81"/>
        <v>13.1</v>
      </c>
      <c r="HO6" s="12">
        <f t="shared" si="82"/>
        <v>46.36</v>
      </c>
      <c r="HP6" s="12">
        <f t="shared" si="83"/>
        <v>132.26</v>
      </c>
      <c r="HQ6" s="40"/>
      <c r="HR6" s="40"/>
      <c r="HS6" s="40"/>
      <c r="HT6" s="40"/>
      <c r="HU6" s="40"/>
      <c r="HV6" s="40"/>
      <c r="HW6" s="40"/>
      <c r="HX6" s="40"/>
      <c r="HY6" s="40"/>
      <c r="HZ6" s="40"/>
      <c r="IA6" s="40"/>
      <c r="IB6" s="40"/>
      <c r="IC6" s="40"/>
      <c r="ID6" s="40"/>
      <c r="IE6" s="40"/>
      <c r="IF6" s="15" t="str">
        <f t="shared" si="84"/>
        <v/>
      </c>
      <c r="IG6" s="15" t="str">
        <f t="shared" si="85"/>
        <v/>
      </c>
      <c r="IH6" s="15" t="str">
        <f t="shared" si="86"/>
        <v/>
      </c>
      <c r="II6" s="15" t="str">
        <f t="shared" si="87"/>
        <v/>
      </c>
      <c r="IJ6" s="15" t="str">
        <f t="shared" si="88"/>
        <v/>
      </c>
      <c r="IK6" s="15" t="str">
        <f t="shared" si="89"/>
        <v/>
      </c>
      <c r="IL6" s="15" t="str">
        <f t="shared" si="90"/>
        <v/>
      </c>
      <c r="IM6" s="39"/>
      <c r="IN6" s="39"/>
      <c r="IO6" s="39"/>
      <c r="IP6" s="39"/>
      <c r="IQ6" s="39"/>
      <c r="IR6" s="39"/>
      <c r="IS6" s="39"/>
      <c r="IT6" s="39"/>
      <c r="IU6" s="39"/>
      <c r="IV6" s="39"/>
      <c r="IW6" s="39"/>
      <c r="IX6" s="39"/>
      <c r="IY6" s="39"/>
      <c r="IZ6" s="39"/>
      <c r="JA6" s="39"/>
      <c r="JB6" s="12" t="str">
        <f t="shared" si="91"/>
        <v/>
      </c>
      <c r="JC6" s="12" t="str">
        <f t="shared" si="92"/>
        <v/>
      </c>
      <c r="JD6" s="12" t="str">
        <f t="shared" si="93"/>
        <v/>
      </c>
      <c r="JE6" s="12" t="str">
        <f t="shared" si="94"/>
        <v/>
      </c>
      <c r="JF6" s="12" t="str">
        <f t="shared" si="95"/>
        <v/>
      </c>
      <c r="JG6" s="12" t="str">
        <f t="shared" si="96"/>
        <v/>
      </c>
      <c r="JH6" s="12" t="str">
        <f t="shared" si="97"/>
        <v/>
      </c>
      <c r="JI6" s="40"/>
      <c r="JJ6" s="40"/>
      <c r="JK6" s="40"/>
      <c r="JL6" s="40"/>
      <c r="JM6" s="40"/>
      <c r="JN6" s="40"/>
      <c r="JO6" s="40"/>
      <c r="JP6" s="40"/>
      <c r="JQ6" s="40"/>
      <c r="JR6" s="40"/>
      <c r="JS6" s="40"/>
      <c r="JT6" s="40"/>
      <c r="JU6" s="40"/>
      <c r="JV6" s="40"/>
      <c r="JW6" s="40"/>
      <c r="JX6" s="15" t="str">
        <f t="shared" si="98"/>
        <v/>
      </c>
      <c r="JY6" s="15" t="str">
        <f t="shared" si="99"/>
        <v/>
      </c>
      <c r="JZ6" s="15" t="str">
        <f t="shared" si="100"/>
        <v/>
      </c>
      <c r="KA6" s="15" t="str">
        <f t="shared" si="101"/>
        <v/>
      </c>
      <c r="KB6" s="15" t="str">
        <f t="shared" si="102"/>
        <v/>
      </c>
      <c r="KC6" s="15" t="str">
        <f t="shared" si="103"/>
        <v/>
      </c>
      <c r="KD6" s="15" t="str">
        <f t="shared" si="104"/>
        <v/>
      </c>
      <c r="KE6" s="39"/>
      <c r="KF6" s="39"/>
      <c r="KG6" s="39"/>
      <c r="KH6" s="39"/>
      <c r="KI6" s="39"/>
      <c r="KJ6" s="39"/>
      <c r="KK6" s="39"/>
      <c r="KL6" s="39"/>
      <c r="KM6" s="39"/>
      <c r="KN6" s="39"/>
      <c r="KO6" s="39"/>
      <c r="KP6" s="39"/>
      <c r="KQ6" s="39"/>
      <c r="KR6" s="39"/>
      <c r="KS6" s="39"/>
      <c r="KT6" s="12" t="str">
        <f t="shared" si="105"/>
        <v/>
      </c>
      <c r="KU6" s="12" t="str">
        <f t="shared" si="106"/>
        <v/>
      </c>
      <c r="KV6" s="12" t="str">
        <f t="shared" si="107"/>
        <v/>
      </c>
      <c r="KW6" s="12" t="str">
        <f t="shared" si="108"/>
        <v/>
      </c>
      <c r="KX6" s="12" t="str">
        <f t="shared" si="109"/>
        <v/>
      </c>
      <c r="KY6" s="12" t="str">
        <f t="shared" si="110"/>
        <v/>
      </c>
      <c r="KZ6" s="12" t="str">
        <f t="shared" si="111"/>
        <v/>
      </c>
      <c r="LA6" s="40"/>
      <c r="LB6" s="40"/>
      <c r="LC6" s="40"/>
      <c r="LD6" s="40"/>
      <c r="LE6" s="40"/>
      <c r="LF6" s="40"/>
      <c r="LG6" s="40"/>
      <c r="LH6" s="40"/>
      <c r="LI6" s="40"/>
      <c r="LJ6" s="40"/>
      <c r="LK6" s="40"/>
      <c r="LL6" s="40"/>
      <c r="LM6" s="40"/>
      <c r="LN6" s="40"/>
      <c r="LO6" s="40"/>
      <c r="LP6" s="15" t="str">
        <f t="shared" si="112"/>
        <v/>
      </c>
      <c r="LQ6" s="15" t="str">
        <f t="shared" si="113"/>
        <v/>
      </c>
      <c r="LR6" s="15" t="str">
        <f t="shared" si="114"/>
        <v/>
      </c>
      <c r="LS6" s="15" t="str">
        <f t="shared" si="115"/>
        <v/>
      </c>
      <c r="LT6" s="15" t="str">
        <f t="shared" si="116"/>
        <v/>
      </c>
      <c r="LU6" s="15" t="str">
        <f t="shared" si="117"/>
        <v/>
      </c>
      <c r="LV6" s="15" t="str">
        <f t="shared" si="118"/>
        <v/>
      </c>
      <c r="LW6" s="71">
        <f t="shared" si="126"/>
        <v>0</v>
      </c>
      <c r="LX6" s="71">
        <f t="shared" si="127"/>
        <v>0</v>
      </c>
      <c r="LY6" s="71">
        <f t="shared" si="128"/>
        <v>0</v>
      </c>
      <c r="LZ6" s="71">
        <f t="shared" si="129"/>
        <v>0</v>
      </c>
      <c r="MA6" s="71">
        <f t="shared" si="130"/>
        <v>0</v>
      </c>
      <c r="MB6" s="71">
        <f t="shared" si="131"/>
        <v>0</v>
      </c>
      <c r="MC6" s="71">
        <f t="shared" si="132"/>
        <v>0</v>
      </c>
      <c r="MD6" s="71">
        <f t="shared" si="133"/>
        <v>0</v>
      </c>
      <c r="ME6" s="71">
        <f t="shared" si="134"/>
        <v>0</v>
      </c>
      <c r="MF6" s="71">
        <f t="shared" si="135"/>
        <v>0</v>
      </c>
      <c r="MG6" s="71">
        <f t="shared" si="136"/>
        <v>0</v>
      </c>
      <c r="MH6" s="71">
        <f t="shared" si="137"/>
        <v>0</v>
      </c>
      <c r="MI6" s="71">
        <f t="shared" si="138"/>
        <v>0</v>
      </c>
      <c r="MJ6" s="71">
        <f t="shared" si="139"/>
        <v>0</v>
      </c>
      <c r="MK6" s="71">
        <f t="shared" si="140"/>
        <v>0</v>
      </c>
      <c r="ML6" s="82" t="s">
        <v>100</v>
      </c>
      <c r="MM6" s="12" t="str">
        <f t="shared" si="141"/>
        <v/>
      </c>
      <c r="MN6" s="12" t="str">
        <f t="shared" si="121"/>
        <v/>
      </c>
      <c r="MO6" s="12" t="str">
        <f t="shared" si="142"/>
        <v/>
      </c>
      <c r="MP6" s="12" t="str">
        <f t="shared" si="143"/>
        <v/>
      </c>
      <c r="MQ6" s="12" t="str">
        <f t="shared" si="144"/>
        <v/>
      </c>
      <c r="MR6" s="12" t="str">
        <f t="shared" si="145"/>
        <v/>
      </c>
      <c r="MS6" s="12" t="str">
        <f t="shared" si="146"/>
        <v/>
      </c>
    </row>
    <row r="7" spans="1:357" x14ac:dyDescent="0.2">
      <c r="A7" s="6">
        <f t="shared" si="0"/>
        <v>4</v>
      </c>
      <c r="B7" s="7" t="s">
        <v>126</v>
      </c>
      <c r="C7" s="8" t="s">
        <v>125</v>
      </c>
      <c r="D7" s="6">
        <v>1998</v>
      </c>
      <c r="E7" s="16">
        <f t="shared" si="1"/>
        <v>82.39</v>
      </c>
      <c r="F7" s="4" t="str">
        <f t="shared" si="2"/>
        <v>P</v>
      </c>
      <c r="G7" s="4" t="str">
        <f t="shared" si="3"/>
        <v>P</v>
      </c>
      <c r="H7" s="4" t="str">
        <f t="shared" si="4"/>
        <v>P</v>
      </c>
      <c r="I7" t="str">
        <f t="shared" si="5"/>
        <v>National Team</v>
      </c>
      <c r="J7" s="15" t="str">
        <f t="shared" si="6"/>
        <v/>
      </c>
      <c r="K7" s="15" t="str">
        <f t="shared" si="7"/>
        <v/>
      </c>
      <c r="L7" s="15" t="str">
        <f t="shared" si="8"/>
        <v/>
      </c>
      <c r="M7" s="15" t="str">
        <f t="shared" si="9"/>
        <v/>
      </c>
      <c r="N7" s="15" t="str">
        <f t="shared" si="10"/>
        <v/>
      </c>
      <c r="O7" s="15" t="str">
        <f t="shared" si="11"/>
        <v/>
      </c>
      <c r="P7" s="15" t="str">
        <f t="shared" si="12"/>
        <v/>
      </c>
      <c r="Q7" s="15" t="str">
        <f t="shared" si="13"/>
        <v/>
      </c>
      <c r="R7" s="15">
        <f t="shared" si="14"/>
        <v>82.39</v>
      </c>
      <c r="S7" s="27" t="str">
        <f t="shared" si="15"/>
        <v>(Prelim)</v>
      </c>
      <c r="T7" s="15" t="str">
        <f t="shared" si="16"/>
        <v>2018 World Championships (Nov 9)</v>
      </c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82"/>
      <c r="AK7" s="12" t="str">
        <f t="shared" si="17"/>
        <v/>
      </c>
      <c r="AL7" s="12" t="str">
        <f t="shared" si="18"/>
        <v/>
      </c>
      <c r="AM7" s="12" t="str">
        <f t="shared" si="19"/>
        <v/>
      </c>
      <c r="AN7" s="12" t="str">
        <f t="shared" si="20"/>
        <v/>
      </c>
      <c r="AO7" s="12" t="str">
        <f t="shared" si="21"/>
        <v/>
      </c>
      <c r="AP7" s="12" t="str">
        <f t="shared" si="22"/>
        <v/>
      </c>
      <c r="AQ7" s="12" t="str">
        <f t="shared" si="23"/>
        <v/>
      </c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0"/>
      <c r="BD7" s="40"/>
      <c r="BE7" s="40"/>
      <c r="BF7" s="40"/>
      <c r="BG7" s="83"/>
      <c r="BH7" s="15" t="str">
        <f t="shared" si="24"/>
        <v/>
      </c>
      <c r="BI7" s="15" t="str">
        <f t="shared" si="25"/>
        <v/>
      </c>
      <c r="BJ7" s="15" t="str">
        <f t="shared" si="26"/>
        <v/>
      </c>
      <c r="BK7" s="15" t="str">
        <f t="shared" si="27"/>
        <v/>
      </c>
      <c r="BL7" s="15" t="str">
        <f t="shared" si="28"/>
        <v/>
      </c>
      <c r="BM7" s="15" t="str">
        <f t="shared" si="29"/>
        <v/>
      </c>
      <c r="BN7" s="15" t="str">
        <f t="shared" si="30"/>
        <v/>
      </c>
      <c r="BO7" s="26">
        <f t="shared" si="31"/>
        <v>41.3</v>
      </c>
      <c r="BP7" s="26">
        <f t="shared" si="32"/>
        <v>41.09</v>
      </c>
      <c r="BQ7" s="26">
        <f t="shared" si="33"/>
        <v>82.39</v>
      </c>
      <c r="BR7" s="26" t="str">
        <f t="shared" si="34"/>
        <v/>
      </c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12" t="str">
        <f t="shared" si="35"/>
        <v/>
      </c>
      <c r="CI7" s="12" t="str">
        <f t="shared" si="36"/>
        <v/>
      </c>
      <c r="CJ7" s="12" t="str">
        <f t="shared" si="37"/>
        <v/>
      </c>
      <c r="CK7" s="12" t="str">
        <f t="shared" si="38"/>
        <v/>
      </c>
      <c r="CL7" s="12" t="str">
        <f t="shared" si="39"/>
        <v/>
      </c>
      <c r="CM7" s="12" t="str">
        <f t="shared" si="40"/>
        <v/>
      </c>
      <c r="CN7" s="12" t="str">
        <f t="shared" si="41"/>
        <v/>
      </c>
      <c r="CO7" s="40">
        <v>8.6</v>
      </c>
      <c r="CP7" s="40">
        <v>9.1999999999999993</v>
      </c>
      <c r="CQ7" s="40">
        <v>4.5</v>
      </c>
      <c r="CR7" s="40">
        <v>19</v>
      </c>
      <c r="CS7" s="40">
        <v>0</v>
      </c>
      <c r="CT7" s="40">
        <v>7.35</v>
      </c>
      <c r="CU7" s="40">
        <v>8.1</v>
      </c>
      <c r="CV7" s="40">
        <v>9.5</v>
      </c>
      <c r="CW7" s="40">
        <v>16.14</v>
      </c>
      <c r="CX7" s="40">
        <v>0</v>
      </c>
      <c r="CY7" s="40"/>
      <c r="CZ7" s="40"/>
      <c r="DA7" s="40"/>
      <c r="DB7" s="40"/>
      <c r="DC7" s="40"/>
      <c r="DD7" s="15">
        <f t="shared" si="42"/>
        <v>9.5</v>
      </c>
      <c r="DE7" s="15">
        <f t="shared" si="43"/>
        <v>41.3</v>
      </c>
      <c r="DF7" s="15">
        <f t="shared" si="44"/>
        <v>41.09</v>
      </c>
      <c r="DG7" s="15">
        <f t="shared" si="45"/>
        <v>82.39</v>
      </c>
      <c r="DH7" s="15" t="str">
        <f t="shared" si="46"/>
        <v/>
      </c>
      <c r="DI7" s="15" t="str">
        <f t="shared" si="47"/>
        <v/>
      </c>
      <c r="DJ7" s="15">
        <f t="shared" si="48"/>
        <v>82.39</v>
      </c>
      <c r="DK7" s="39"/>
      <c r="DL7" s="39"/>
      <c r="DM7" s="39"/>
      <c r="DN7" s="39"/>
      <c r="DO7" s="39"/>
      <c r="DP7" s="39"/>
      <c r="DQ7" s="39"/>
      <c r="DR7" s="39"/>
      <c r="DS7" s="39"/>
      <c r="DT7" s="39"/>
      <c r="DU7" s="39"/>
      <c r="DV7" s="39"/>
      <c r="DW7" s="39"/>
      <c r="DX7" s="39"/>
      <c r="DY7" s="39"/>
      <c r="DZ7" s="12" t="str">
        <f t="shared" si="49"/>
        <v/>
      </c>
      <c r="EA7" s="12" t="str">
        <f t="shared" si="50"/>
        <v/>
      </c>
      <c r="EB7" s="12" t="str">
        <f t="shared" si="51"/>
        <v/>
      </c>
      <c r="EC7" s="12" t="str">
        <f t="shared" si="52"/>
        <v/>
      </c>
      <c r="ED7" s="12" t="str">
        <f t="shared" si="53"/>
        <v/>
      </c>
      <c r="EE7" s="12" t="str">
        <f t="shared" si="54"/>
        <v/>
      </c>
      <c r="EF7" s="12" t="str">
        <f t="shared" si="55"/>
        <v/>
      </c>
      <c r="EG7" s="40"/>
      <c r="EH7" s="40"/>
      <c r="EI7" s="40"/>
      <c r="EJ7" s="40"/>
      <c r="EK7" s="40"/>
      <c r="EL7" s="40"/>
      <c r="EM7" s="40"/>
      <c r="EN7" s="40"/>
      <c r="EO7" s="40"/>
      <c r="EP7" s="40"/>
      <c r="EQ7" s="40"/>
      <c r="ER7" s="40"/>
      <c r="ES7" s="40"/>
      <c r="ET7" s="40"/>
      <c r="EU7" s="40"/>
      <c r="EV7" s="15" t="str">
        <f t="shared" si="56"/>
        <v/>
      </c>
      <c r="EW7" s="15" t="str">
        <f t="shared" si="57"/>
        <v/>
      </c>
      <c r="EX7" s="15" t="str">
        <f t="shared" si="58"/>
        <v/>
      </c>
      <c r="EY7" s="15" t="str">
        <f t="shared" si="59"/>
        <v/>
      </c>
      <c r="EZ7" s="15" t="str">
        <f t="shared" si="60"/>
        <v/>
      </c>
      <c r="FA7" s="15" t="str">
        <f t="shared" si="61"/>
        <v/>
      </c>
      <c r="FB7" s="15" t="str">
        <f t="shared" si="62"/>
        <v/>
      </c>
      <c r="FC7" s="39"/>
      <c r="FD7" s="39"/>
      <c r="FE7" s="39"/>
      <c r="FF7" s="39"/>
      <c r="FG7" s="39"/>
      <c r="FH7" s="39"/>
      <c r="FI7" s="39"/>
      <c r="FJ7" s="39"/>
      <c r="FK7" s="39"/>
      <c r="FL7" s="39"/>
      <c r="FM7" s="39"/>
      <c r="FN7" s="39"/>
      <c r="FO7" s="39"/>
      <c r="FP7" s="39"/>
      <c r="FQ7" s="39"/>
      <c r="FR7" s="12" t="str">
        <f t="shared" si="63"/>
        <v/>
      </c>
      <c r="FS7" s="12" t="str">
        <f t="shared" si="64"/>
        <v/>
      </c>
      <c r="FT7" s="12" t="str">
        <f t="shared" si="65"/>
        <v/>
      </c>
      <c r="FU7" s="12" t="str">
        <f t="shared" si="66"/>
        <v/>
      </c>
      <c r="FV7" s="12" t="str">
        <f t="shared" si="67"/>
        <v/>
      </c>
      <c r="FW7" s="12" t="str">
        <f t="shared" si="68"/>
        <v/>
      </c>
      <c r="FX7" s="12" t="str">
        <f t="shared" si="69"/>
        <v/>
      </c>
      <c r="FY7" s="40"/>
      <c r="FZ7" s="40"/>
      <c r="GA7" s="40"/>
      <c r="GB7" s="40"/>
      <c r="GC7" s="40"/>
      <c r="GD7" s="40"/>
      <c r="GE7" s="40"/>
      <c r="GF7" s="40"/>
      <c r="GG7" s="40"/>
      <c r="GH7" s="40"/>
      <c r="GI7" s="40"/>
      <c r="GJ7" s="40"/>
      <c r="GK7" s="40"/>
      <c r="GL7" s="40"/>
      <c r="GM7" s="40"/>
      <c r="GN7" s="15" t="str">
        <f t="shared" si="70"/>
        <v/>
      </c>
      <c r="GO7" s="15" t="str">
        <f t="shared" si="71"/>
        <v/>
      </c>
      <c r="GP7" s="15" t="str">
        <f t="shared" si="72"/>
        <v/>
      </c>
      <c r="GQ7" s="15" t="str">
        <f t="shared" si="73"/>
        <v/>
      </c>
      <c r="GR7" s="15" t="str">
        <f t="shared" si="74"/>
        <v/>
      </c>
      <c r="GS7" s="15" t="str">
        <f t="shared" si="75"/>
        <v/>
      </c>
      <c r="GT7" s="15" t="str">
        <f t="shared" si="76"/>
        <v/>
      </c>
      <c r="GU7" s="39"/>
      <c r="GV7" s="39"/>
      <c r="GW7" s="39"/>
      <c r="GX7" s="39"/>
      <c r="GY7" s="39"/>
      <c r="GZ7" s="39"/>
      <c r="HA7" s="39"/>
      <c r="HB7" s="39"/>
      <c r="HC7" s="39"/>
      <c r="HD7" s="39"/>
      <c r="HE7" s="39"/>
      <c r="HF7" s="39"/>
      <c r="HG7" s="39"/>
      <c r="HH7" s="39"/>
      <c r="HI7" s="39"/>
      <c r="HJ7" s="12" t="str">
        <f t="shared" si="77"/>
        <v/>
      </c>
      <c r="HK7" s="12" t="str">
        <f t="shared" si="78"/>
        <v/>
      </c>
      <c r="HL7" s="12" t="str">
        <f t="shared" si="79"/>
        <v/>
      </c>
      <c r="HM7" s="12" t="str">
        <f t="shared" si="80"/>
        <v/>
      </c>
      <c r="HN7" s="12" t="str">
        <f t="shared" si="81"/>
        <v/>
      </c>
      <c r="HO7" s="12" t="str">
        <f t="shared" si="82"/>
        <v/>
      </c>
      <c r="HP7" s="12" t="str">
        <f t="shared" si="83"/>
        <v/>
      </c>
      <c r="HQ7" s="40"/>
      <c r="HR7" s="40"/>
      <c r="HS7" s="40"/>
      <c r="HT7" s="40"/>
      <c r="HU7" s="40"/>
      <c r="HV7" s="40"/>
      <c r="HW7" s="40"/>
      <c r="HX7" s="40"/>
      <c r="HY7" s="40"/>
      <c r="HZ7" s="40"/>
      <c r="IA7" s="40"/>
      <c r="IB7" s="40"/>
      <c r="IC7" s="40"/>
      <c r="ID7" s="40"/>
      <c r="IE7" s="40"/>
      <c r="IF7" s="15" t="str">
        <f t="shared" si="84"/>
        <v/>
      </c>
      <c r="IG7" s="15" t="str">
        <f t="shared" si="85"/>
        <v/>
      </c>
      <c r="IH7" s="15" t="str">
        <f t="shared" si="86"/>
        <v/>
      </c>
      <c r="II7" s="15" t="str">
        <f t="shared" si="87"/>
        <v/>
      </c>
      <c r="IJ7" s="15" t="str">
        <f t="shared" si="88"/>
        <v/>
      </c>
      <c r="IK7" s="15" t="str">
        <f t="shared" si="89"/>
        <v/>
      </c>
      <c r="IL7" s="15" t="str">
        <f t="shared" si="90"/>
        <v/>
      </c>
      <c r="IM7" s="39"/>
      <c r="IN7" s="39"/>
      <c r="IO7" s="39"/>
      <c r="IP7" s="39"/>
      <c r="IQ7" s="39"/>
      <c r="IR7" s="39"/>
      <c r="IS7" s="39"/>
      <c r="IT7" s="39"/>
      <c r="IU7" s="39"/>
      <c r="IV7" s="39"/>
      <c r="IW7" s="39"/>
      <c r="IX7" s="39"/>
      <c r="IY7" s="39"/>
      <c r="IZ7" s="39"/>
      <c r="JA7" s="39"/>
      <c r="JB7" s="12" t="str">
        <f t="shared" si="91"/>
        <v/>
      </c>
      <c r="JC7" s="12" t="str">
        <f t="shared" si="92"/>
        <v/>
      </c>
      <c r="JD7" s="12" t="str">
        <f t="shared" si="93"/>
        <v/>
      </c>
      <c r="JE7" s="12" t="str">
        <f t="shared" si="94"/>
        <v/>
      </c>
      <c r="JF7" s="12" t="str">
        <f t="shared" si="95"/>
        <v/>
      </c>
      <c r="JG7" s="12" t="str">
        <f t="shared" si="96"/>
        <v/>
      </c>
      <c r="JH7" s="12" t="str">
        <f t="shared" si="97"/>
        <v/>
      </c>
      <c r="JI7" s="40"/>
      <c r="JJ7" s="40"/>
      <c r="JK7" s="40"/>
      <c r="JL7" s="40"/>
      <c r="JM7" s="40"/>
      <c r="JN7" s="40"/>
      <c r="JO7" s="40"/>
      <c r="JP7" s="40"/>
      <c r="JQ7" s="40"/>
      <c r="JR7" s="40"/>
      <c r="JS7" s="40"/>
      <c r="JT7" s="40"/>
      <c r="JU7" s="40"/>
      <c r="JV7" s="40"/>
      <c r="JW7" s="40"/>
      <c r="JX7" s="15" t="str">
        <f t="shared" si="98"/>
        <v/>
      </c>
      <c r="JY7" s="15" t="str">
        <f t="shared" si="99"/>
        <v/>
      </c>
      <c r="JZ7" s="15" t="str">
        <f t="shared" si="100"/>
        <v/>
      </c>
      <c r="KA7" s="15" t="str">
        <f t="shared" si="101"/>
        <v/>
      </c>
      <c r="KB7" s="15" t="str">
        <f t="shared" si="102"/>
        <v/>
      </c>
      <c r="KC7" s="15" t="str">
        <f t="shared" si="103"/>
        <v/>
      </c>
      <c r="KD7" s="15" t="str">
        <f t="shared" si="104"/>
        <v/>
      </c>
      <c r="KE7" s="39"/>
      <c r="KF7" s="39"/>
      <c r="KG7" s="39"/>
      <c r="KH7" s="39"/>
      <c r="KI7" s="39"/>
      <c r="KJ7" s="39"/>
      <c r="KK7" s="39"/>
      <c r="KL7" s="39"/>
      <c r="KM7" s="39"/>
      <c r="KN7" s="39"/>
      <c r="KO7" s="39"/>
      <c r="KP7" s="39"/>
      <c r="KQ7" s="39"/>
      <c r="KR7" s="39"/>
      <c r="KS7" s="39"/>
      <c r="KT7" s="12" t="str">
        <f t="shared" si="105"/>
        <v/>
      </c>
      <c r="KU7" s="12" t="str">
        <f t="shared" si="106"/>
        <v/>
      </c>
      <c r="KV7" s="12" t="str">
        <f t="shared" si="107"/>
        <v/>
      </c>
      <c r="KW7" s="12" t="str">
        <f t="shared" si="108"/>
        <v/>
      </c>
      <c r="KX7" s="12" t="str">
        <f t="shared" si="109"/>
        <v/>
      </c>
      <c r="KY7" s="12" t="str">
        <f t="shared" si="110"/>
        <v/>
      </c>
      <c r="KZ7" s="12" t="str">
        <f t="shared" si="111"/>
        <v/>
      </c>
      <c r="LA7" s="40"/>
      <c r="LB7" s="40"/>
      <c r="LC7" s="40"/>
      <c r="LD7" s="40"/>
      <c r="LE7" s="40"/>
      <c r="LF7" s="40"/>
      <c r="LG7" s="40"/>
      <c r="LH7" s="40"/>
      <c r="LI7" s="40"/>
      <c r="LJ7" s="40"/>
      <c r="LK7" s="40"/>
      <c r="LL7" s="40"/>
      <c r="LM7" s="40"/>
      <c r="LN7" s="40"/>
      <c r="LO7" s="40"/>
      <c r="LP7" s="15" t="str">
        <f t="shared" si="112"/>
        <v/>
      </c>
      <c r="LQ7" s="15" t="str">
        <f t="shared" si="113"/>
        <v/>
      </c>
      <c r="LR7" s="15" t="str">
        <f t="shared" si="114"/>
        <v/>
      </c>
      <c r="LS7" s="15" t="str">
        <f t="shared" si="115"/>
        <v/>
      </c>
      <c r="LT7" s="15" t="str">
        <f t="shared" si="116"/>
        <v/>
      </c>
      <c r="LU7" s="15" t="str">
        <f t="shared" si="117"/>
        <v/>
      </c>
      <c r="LV7" s="15" t="str">
        <f t="shared" si="118"/>
        <v/>
      </c>
      <c r="LW7" s="71">
        <f t="shared" si="126"/>
        <v>0</v>
      </c>
      <c r="LX7" s="71">
        <f t="shared" si="127"/>
        <v>0</v>
      </c>
      <c r="LY7" s="71">
        <f t="shared" si="128"/>
        <v>0</v>
      </c>
      <c r="LZ7" s="71">
        <f t="shared" si="129"/>
        <v>0</v>
      </c>
      <c r="MA7" s="71">
        <f t="shared" si="130"/>
        <v>0</v>
      </c>
      <c r="MB7" s="71">
        <f t="shared" si="131"/>
        <v>0</v>
      </c>
      <c r="MC7" s="71">
        <f t="shared" si="132"/>
        <v>0</v>
      </c>
      <c r="MD7" s="71">
        <f t="shared" si="133"/>
        <v>0</v>
      </c>
      <c r="ME7" s="71">
        <f t="shared" si="134"/>
        <v>0</v>
      </c>
      <c r="MF7" s="71">
        <f t="shared" si="135"/>
        <v>0</v>
      </c>
      <c r="MG7" s="71">
        <f t="shared" si="136"/>
        <v>0</v>
      </c>
      <c r="MH7" s="71">
        <f t="shared" si="137"/>
        <v>0</v>
      </c>
      <c r="MI7" s="71">
        <f t="shared" si="138"/>
        <v>0</v>
      </c>
      <c r="MJ7" s="71">
        <f t="shared" si="139"/>
        <v>0</v>
      </c>
      <c r="MK7" s="71">
        <f t="shared" si="140"/>
        <v>0</v>
      </c>
      <c r="ML7" s="82" t="s">
        <v>100</v>
      </c>
      <c r="MM7" s="12" t="str">
        <f t="shared" si="141"/>
        <v/>
      </c>
      <c r="MN7" s="12" t="str">
        <f t="shared" si="121"/>
        <v/>
      </c>
      <c r="MO7" s="12" t="str">
        <f t="shared" si="142"/>
        <v/>
      </c>
      <c r="MP7" s="12" t="str">
        <f t="shared" si="143"/>
        <v/>
      </c>
      <c r="MQ7" s="12" t="str">
        <f t="shared" si="144"/>
        <v/>
      </c>
      <c r="MR7" s="12" t="str">
        <f t="shared" si="145"/>
        <v/>
      </c>
      <c r="MS7" s="12" t="str">
        <f t="shared" si="146"/>
        <v/>
      </c>
    </row>
    <row r="8" spans="1:357" x14ac:dyDescent="0.2">
      <c r="A8" s="6">
        <f t="shared" si="0"/>
        <v>5</v>
      </c>
      <c r="B8" s="7" t="s">
        <v>179</v>
      </c>
      <c r="C8" s="8" t="s">
        <v>6</v>
      </c>
      <c r="D8" s="6" t="s">
        <v>178</v>
      </c>
      <c r="E8" s="16">
        <f t="shared" si="1"/>
        <v>159.32499999999999</v>
      </c>
      <c r="F8" s="4" t="str">
        <f t="shared" si="2"/>
        <v/>
      </c>
      <c r="G8" s="4" t="str">
        <f t="shared" si="3"/>
        <v/>
      </c>
      <c r="H8" s="4" t="str">
        <f t="shared" si="4"/>
        <v>P</v>
      </c>
      <c r="I8" t="str">
        <f t="shared" si="5"/>
        <v>No DD</v>
      </c>
      <c r="J8" s="15">
        <f t="shared" si="6"/>
        <v>85.41</v>
      </c>
      <c r="K8" s="15" t="str">
        <f t="shared" si="7"/>
        <v>2019 Nationals</v>
      </c>
      <c r="L8" s="15">
        <f t="shared" si="8"/>
        <v>38.635000000000005</v>
      </c>
      <c r="M8" s="15" t="str">
        <f t="shared" si="9"/>
        <v>2019 Elite Canada</v>
      </c>
      <c r="N8" s="15">
        <f t="shared" si="10"/>
        <v>27.96</v>
      </c>
      <c r="O8" s="15" t="str">
        <f t="shared" si="11"/>
        <v>2019 Elite Canada</v>
      </c>
      <c r="P8" s="15">
        <f t="shared" si="12"/>
        <v>7.32</v>
      </c>
      <c r="Q8" s="15" t="str">
        <f t="shared" si="13"/>
        <v>2019 Nationals</v>
      </c>
      <c r="R8" s="15" t="str">
        <f t="shared" si="14"/>
        <v/>
      </c>
      <c r="S8" s="27" t="str">
        <f t="shared" si="15"/>
        <v/>
      </c>
      <c r="T8" s="15" t="str">
        <f t="shared" si="16"/>
        <v/>
      </c>
      <c r="U8" s="39">
        <v>7.8250000000000002</v>
      </c>
      <c r="V8" s="39">
        <v>9.15</v>
      </c>
      <c r="W8" s="39">
        <v>3.6</v>
      </c>
      <c r="X8" s="39">
        <v>18.059999999999999</v>
      </c>
      <c r="Y8" s="39">
        <v>0</v>
      </c>
      <c r="Z8" s="39">
        <v>4.45</v>
      </c>
      <c r="AA8" s="39">
        <v>5.45</v>
      </c>
      <c r="AB8" s="39">
        <v>6.8</v>
      </c>
      <c r="AC8" s="39">
        <v>11.26</v>
      </c>
      <c r="AD8" s="39">
        <v>0</v>
      </c>
      <c r="AE8" s="39"/>
      <c r="AF8" s="39"/>
      <c r="AG8" s="39"/>
      <c r="AH8" s="39"/>
      <c r="AI8" s="39"/>
      <c r="AJ8" s="82"/>
      <c r="AK8" s="12">
        <f t="shared" si="17"/>
        <v>6.8</v>
      </c>
      <c r="AL8" s="12">
        <f t="shared" si="18"/>
        <v>38.635000000000005</v>
      </c>
      <c r="AM8" s="12">
        <f t="shared" si="19"/>
        <v>27.96</v>
      </c>
      <c r="AN8" s="12">
        <f t="shared" si="20"/>
        <v>66.594999999999999</v>
      </c>
      <c r="AO8" s="12" t="str">
        <f t="shared" si="21"/>
        <v/>
      </c>
      <c r="AP8" s="12" t="str">
        <f t="shared" si="22"/>
        <v/>
      </c>
      <c r="AQ8" s="12">
        <f t="shared" si="23"/>
        <v>66.594999999999999</v>
      </c>
      <c r="AR8" s="40">
        <v>8.85</v>
      </c>
      <c r="AS8" s="40">
        <v>9.35</v>
      </c>
      <c r="AT8" s="40">
        <v>3.2</v>
      </c>
      <c r="AU8" s="40">
        <v>19.12</v>
      </c>
      <c r="AV8" s="40">
        <v>0</v>
      </c>
      <c r="AW8" s="40">
        <v>7.8</v>
      </c>
      <c r="AX8" s="40">
        <v>9.0500000000000007</v>
      </c>
      <c r="AY8" s="40">
        <v>10.5</v>
      </c>
      <c r="AZ8" s="40">
        <v>17.54</v>
      </c>
      <c r="BA8" s="40">
        <v>0</v>
      </c>
      <c r="BB8" s="40">
        <v>1.3</v>
      </c>
      <c r="BC8" s="40">
        <v>1.9</v>
      </c>
      <c r="BD8" s="40">
        <v>2.2999999999999998</v>
      </c>
      <c r="BE8" s="40">
        <v>1.82</v>
      </c>
      <c r="BF8" s="40">
        <v>0</v>
      </c>
      <c r="BG8" s="83"/>
      <c r="BH8" s="15">
        <f t="shared" si="24"/>
        <v>10.5</v>
      </c>
      <c r="BI8" s="15">
        <f t="shared" si="25"/>
        <v>40.519999999999996</v>
      </c>
      <c r="BJ8" s="15">
        <f t="shared" si="26"/>
        <v>44.89</v>
      </c>
      <c r="BK8" s="15">
        <f t="shared" si="27"/>
        <v>85.41</v>
      </c>
      <c r="BL8" s="15">
        <f t="shared" si="28"/>
        <v>2.2999999999999998</v>
      </c>
      <c r="BM8" s="15">
        <f t="shared" si="29"/>
        <v>7.32</v>
      </c>
      <c r="BN8" s="15">
        <f t="shared" si="30"/>
        <v>92.72999999999999</v>
      </c>
      <c r="BO8" s="26" t="str">
        <f t="shared" si="31"/>
        <v/>
      </c>
      <c r="BP8" s="26" t="str">
        <f t="shared" si="32"/>
        <v/>
      </c>
      <c r="BQ8" s="26" t="str">
        <f t="shared" si="33"/>
        <v/>
      </c>
      <c r="BR8" s="26" t="str">
        <f t="shared" si="34"/>
        <v/>
      </c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12" t="str">
        <f t="shared" si="35"/>
        <v/>
      </c>
      <c r="CI8" s="12" t="str">
        <f t="shared" si="36"/>
        <v/>
      </c>
      <c r="CJ8" s="12" t="str">
        <f t="shared" si="37"/>
        <v/>
      </c>
      <c r="CK8" s="12" t="str">
        <f t="shared" si="38"/>
        <v/>
      </c>
      <c r="CL8" s="12" t="str">
        <f t="shared" si="39"/>
        <v/>
      </c>
      <c r="CM8" s="12" t="str">
        <f t="shared" si="40"/>
        <v/>
      </c>
      <c r="CN8" s="12" t="str">
        <f t="shared" si="41"/>
        <v/>
      </c>
      <c r="CO8" s="40"/>
      <c r="CP8" s="40"/>
      <c r="CQ8" s="40"/>
      <c r="CR8" s="40"/>
      <c r="CS8" s="40"/>
      <c r="CT8" s="40"/>
      <c r="CU8" s="40"/>
      <c r="CV8" s="40"/>
      <c r="CW8" s="40"/>
      <c r="CX8" s="40"/>
      <c r="CY8" s="40"/>
      <c r="CZ8" s="40"/>
      <c r="DA8" s="40"/>
      <c r="DB8" s="40"/>
      <c r="DC8" s="40"/>
      <c r="DD8" s="15" t="str">
        <f t="shared" si="42"/>
        <v/>
      </c>
      <c r="DE8" s="15" t="str">
        <f t="shared" si="43"/>
        <v/>
      </c>
      <c r="DF8" s="15" t="str">
        <f t="shared" si="44"/>
        <v/>
      </c>
      <c r="DG8" s="15" t="str">
        <f t="shared" si="45"/>
        <v/>
      </c>
      <c r="DH8" s="15" t="str">
        <f t="shared" si="46"/>
        <v/>
      </c>
      <c r="DI8" s="15" t="str">
        <f t="shared" si="47"/>
        <v/>
      </c>
      <c r="DJ8" s="15" t="str">
        <f t="shared" si="48"/>
        <v/>
      </c>
      <c r="DK8" s="39"/>
      <c r="DL8" s="39"/>
      <c r="DM8" s="39"/>
      <c r="DN8" s="39"/>
      <c r="DO8" s="39"/>
      <c r="DP8" s="39"/>
      <c r="DQ8" s="39"/>
      <c r="DR8" s="39"/>
      <c r="DS8" s="39"/>
      <c r="DT8" s="39"/>
      <c r="DU8" s="39"/>
      <c r="DV8" s="39"/>
      <c r="DW8" s="39"/>
      <c r="DX8" s="39"/>
      <c r="DY8" s="39"/>
      <c r="DZ8" s="12" t="str">
        <f t="shared" si="49"/>
        <v/>
      </c>
      <c r="EA8" s="12" t="str">
        <f t="shared" si="50"/>
        <v/>
      </c>
      <c r="EB8" s="12" t="str">
        <f t="shared" si="51"/>
        <v/>
      </c>
      <c r="EC8" s="12" t="str">
        <f t="shared" si="52"/>
        <v/>
      </c>
      <c r="ED8" s="12" t="str">
        <f t="shared" si="53"/>
        <v/>
      </c>
      <c r="EE8" s="12" t="str">
        <f t="shared" si="54"/>
        <v/>
      </c>
      <c r="EF8" s="12" t="str">
        <f t="shared" si="55"/>
        <v/>
      </c>
      <c r="EG8" s="40"/>
      <c r="EH8" s="40"/>
      <c r="EI8" s="40"/>
      <c r="EJ8" s="40"/>
      <c r="EK8" s="40"/>
      <c r="EL8" s="40"/>
      <c r="EM8" s="40"/>
      <c r="EN8" s="40"/>
      <c r="EO8" s="40"/>
      <c r="EP8" s="40"/>
      <c r="EQ8" s="40"/>
      <c r="ER8" s="40"/>
      <c r="ES8" s="40"/>
      <c r="ET8" s="40"/>
      <c r="EU8" s="40"/>
      <c r="EV8" s="15" t="str">
        <f t="shared" si="56"/>
        <v/>
      </c>
      <c r="EW8" s="15" t="str">
        <f t="shared" si="57"/>
        <v/>
      </c>
      <c r="EX8" s="15" t="str">
        <f t="shared" si="58"/>
        <v/>
      </c>
      <c r="EY8" s="15" t="str">
        <f t="shared" si="59"/>
        <v/>
      </c>
      <c r="EZ8" s="15" t="str">
        <f t="shared" si="60"/>
        <v/>
      </c>
      <c r="FA8" s="15" t="str">
        <f t="shared" si="61"/>
        <v/>
      </c>
      <c r="FB8" s="15" t="str">
        <f t="shared" si="62"/>
        <v/>
      </c>
      <c r="FC8" s="39"/>
      <c r="FD8" s="39"/>
      <c r="FE8" s="39"/>
      <c r="FF8" s="39"/>
      <c r="FG8" s="39"/>
      <c r="FH8" s="39"/>
      <c r="FI8" s="39"/>
      <c r="FJ8" s="39"/>
      <c r="FK8" s="39"/>
      <c r="FL8" s="39"/>
      <c r="FM8" s="39"/>
      <c r="FN8" s="39"/>
      <c r="FO8" s="39"/>
      <c r="FP8" s="39"/>
      <c r="FQ8" s="39"/>
      <c r="FR8" s="12" t="str">
        <f t="shared" si="63"/>
        <v/>
      </c>
      <c r="FS8" s="12" t="str">
        <f t="shared" si="64"/>
        <v/>
      </c>
      <c r="FT8" s="12" t="str">
        <f t="shared" si="65"/>
        <v/>
      </c>
      <c r="FU8" s="12" t="str">
        <f t="shared" si="66"/>
        <v/>
      </c>
      <c r="FV8" s="12" t="str">
        <f t="shared" si="67"/>
        <v/>
      </c>
      <c r="FW8" s="12" t="str">
        <f t="shared" si="68"/>
        <v/>
      </c>
      <c r="FX8" s="12" t="str">
        <f t="shared" si="69"/>
        <v/>
      </c>
      <c r="FY8" s="40"/>
      <c r="FZ8" s="40"/>
      <c r="GA8" s="40"/>
      <c r="GB8" s="40"/>
      <c r="GC8" s="40"/>
      <c r="GD8" s="40"/>
      <c r="GE8" s="40"/>
      <c r="GF8" s="40"/>
      <c r="GG8" s="40"/>
      <c r="GH8" s="40"/>
      <c r="GI8" s="40"/>
      <c r="GJ8" s="40"/>
      <c r="GK8" s="40"/>
      <c r="GL8" s="40"/>
      <c r="GM8" s="40"/>
      <c r="GN8" s="15" t="str">
        <f t="shared" si="70"/>
        <v/>
      </c>
      <c r="GO8" s="15" t="str">
        <f t="shared" si="71"/>
        <v/>
      </c>
      <c r="GP8" s="15" t="str">
        <f t="shared" si="72"/>
        <v/>
      </c>
      <c r="GQ8" s="15" t="str">
        <f t="shared" si="73"/>
        <v/>
      </c>
      <c r="GR8" s="15" t="str">
        <f t="shared" si="74"/>
        <v/>
      </c>
      <c r="GS8" s="15" t="str">
        <f t="shared" si="75"/>
        <v/>
      </c>
      <c r="GT8" s="15" t="str">
        <f t="shared" si="76"/>
        <v/>
      </c>
      <c r="GU8" s="39"/>
      <c r="GV8" s="39"/>
      <c r="GW8" s="39"/>
      <c r="GX8" s="39"/>
      <c r="GY8" s="39"/>
      <c r="GZ8" s="39"/>
      <c r="HA8" s="39"/>
      <c r="HB8" s="39"/>
      <c r="HC8" s="39"/>
      <c r="HD8" s="39"/>
      <c r="HE8" s="39"/>
      <c r="HF8" s="39"/>
      <c r="HG8" s="39"/>
      <c r="HH8" s="39"/>
      <c r="HI8" s="39"/>
      <c r="HJ8" s="12" t="str">
        <f t="shared" si="77"/>
        <v/>
      </c>
      <c r="HK8" s="12" t="str">
        <f t="shared" si="78"/>
        <v/>
      </c>
      <c r="HL8" s="12" t="str">
        <f t="shared" si="79"/>
        <v/>
      </c>
      <c r="HM8" s="12" t="str">
        <f t="shared" si="80"/>
        <v/>
      </c>
      <c r="HN8" s="12" t="str">
        <f t="shared" si="81"/>
        <v/>
      </c>
      <c r="HO8" s="12" t="str">
        <f t="shared" si="82"/>
        <v/>
      </c>
      <c r="HP8" s="12" t="str">
        <f t="shared" si="83"/>
        <v/>
      </c>
      <c r="HQ8" s="40"/>
      <c r="HR8" s="40"/>
      <c r="HS8" s="40"/>
      <c r="HT8" s="40"/>
      <c r="HU8" s="40"/>
      <c r="HV8" s="40"/>
      <c r="HW8" s="40"/>
      <c r="HX8" s="40"/>
      <c r="HY8" s="40"/>
      <c r="HZ8" s="40"/>
      <c r="IA8" s="40"/>
      <c r="IB8" s="40"/>
      <c r="IC8" s="40"/>
      <c r="ID8" s="40"/>
      <c r="IE8" s="40"/>
      <c r="IF8" s="15" t="str">
        <f t="shared" si="84"/>
        <v/>
      </c>
      <c r="IG8" s="15" t="str">
        <f t="shared" si="85"/>
        <v/>
      </c>
      <c r="IH8" s="15" t="str">
        <f t="shared" si="86"/>
        <v/>
      </c>
      <c r="II8" s="15" t="str">
        <f t="shared" si="87"/>
        <v/>
      </c>
      <c r="IJ8" s="15" t="str">
        <f t="shared" si="88"/>
        <v/>
      </c>
      <c r="IK8" s="15" t="str">
        <f t="shared" si="89"/>
        <v/>
      </c>
      <c r="IL8" s="15" t="str">
        <f t="shared" si="90"/>
        <v/>
      </c>
      <c r="IM8" s="39"/>
      <c r="IN8" s="39"/>
      <c r="IO8" s="39"/>
      <c r="IP8" s="39"/>
      <c r="IQ8" s="39"/>
      <c r="IR8" s="39"/>
      <c r="IS8" s="39"/>
      <c r="IT8" s="39"/>
      <c r="IU8" s="39"/>
      <c r="IV8" s="39"/>
      <c r="IW8" s="39"/>
      <c r="IX8" s="39"/>
      <c r="IY8" s="39"/>
      <c r="IZ8" s="39"/>
      <c r="JA8" s="39"/>
      <c r="JB8" s="12" t="str">
        <f t="shared" si="91"/>
        <v/>
      </c>
      <c r="JC8" s="12" t="str">
        <f t="shared" si="92"/>
        <v/>
      </c>
      <c r="JD8" s="12" t="str">
        <f t="shared" si="93"/>
        <v/>
      </c>
      <c r="JE8" s="12" t="str">
        <f t="shared" si="94"/>
        <v/>
      </c>
      <c r="JF8" s="12" t="str">
        <f t="shared" si="95"/>
        <v/>
      </c>
      <c r="JG8" s="12" t="str">
        <f t="shared" si="96"/>
        <v/>
      </c>
      <c r="JH8" s="12" t="str">
        <f t="shared" si="97"/>
        <v/>
      </c>
      <c r="JI8" s="40"/>
      <c r="JJ8" s="40"/>
      <c r="JK8" s="40"/>
      <c r="JL8" s="40"/>
      <c r="JM8" s="40"/>
      <c r="JN8" s="40"/>
      <c r="JO8" s="40"/>
      <c r="JP8" s="40"/>
      <c r="JQ8" s="40"/>
      <c r="JR8" s="40"/>
      <c r="JS8" s="40"/>
      <c r="JT8" s="40"/>
      <c r="JU8" s="40"/>
      <c r="JV8" s="40"/>
      <c r="JW8" s="40"/>
      <c r="JX8" s="15" t="str">
        <f t="shared" si="98"/>
        <v/>
      </c>
      <c r="JY8" s="15" t="str">
        <f t="shared" si="99"/>
        <v/>
      </c>
      <c r="JZ8" s="15" t="str">
        <f t="shared" si="100"/>
        <v/>
      </c>
      <c r="KA8" s="15" t="str">
        <f t="shared" si="101"/>
        <v/>
      </c>
      <c r="KB8" s="15" t="str">
        <f t="shared" si="102"/>
        <v/>
      </c>
      <c r="KC8" s="15" t="str">
        <f t="shared" si="103"/>
        <v/>
      </c>
      <c r="KD8" s="15" t="str">
        <f t="shared" si="104"/>
        <v/>
      </c>
      <c r="KE8" s="39"/>
      <c r="KF8" s="39"/>
      <c r="KG8" s="39"/>
      <c r="KH8" s="39"/>
      <c r="KI8" s="39"/>
      <c r="KJ8" s="39"/>
      <c r="KK8" s="39"/>
      <c r="KL8" s="39"/>
      <c r="KM8" s="39"/>
      <c r="KN8" s="39"/>
      <c r="KO8" s="39"/>
      <c r="KP8" s="39"/>
      <c r="KQ8" s="39"/>
      <c r="KR8" s="39"/>
      <c r="KS8" s="39"/>
      <c r="KT8" s="12" t="str">
        <f t="shared" si="105"/>
        <v/>
      </c>
      <c r="KU8" s="12" t="str">
        <f t="shared" si="106"/>
        <v/>
      </c>
      <c r="KV8" s="12" t="str">
        <f t="shared" si="107"/>
        <v/>
      </c>
      <c r="KW8" s="12" t="str">
        <f t="shared" si="108"/>
        <v/>
      </c>
      <c r="KX8" s="12" t="str">
        <f t="shared" si="109"/>
        <v/>
      </c>
      <c r="KY8" s="12" t="str">
        <f t="shared" si="110"/>
        <v/>
      </c>
      <c r="KZ8" s="12" t="str">
        <f t="shared" si="111"/>
        <v/>
      </c>
      <c r="LA8" s="40"/>
      <c r="LB8" s="40"/>
      <c r="LC8" s="40"/>
      <c r="LD8" s="40"/>
      <c r="LE8" s="40"/>
      <c r="LF8" s="40"/>
      <c r="LG8" s="40"/>
      <c r="LH8" s="40"/>
      <c r="LI8" s="40"/>
      <c r="LJ8" s="40"/>
      <c r="LK8" s="40"/>
      <c r="LL8" s="40"/>
      <c r="LM8" s="40"/>
      <c r="LN8" s="40"/>
      <c r="LO8" s="40"/>
      <c r="LP8" s="15" t="str">
        <f t="shared" si="112"/>
        <v/>
      </c>
      <c r="LQ8" s="15" t="str">
        <f t="shared" si="113"/>
        <v/>
      </c>
      <c r="LR8" s="15" t="str">
        <f t="shared" si="114"/>
        <v/>
      </c>
      <c r="LS8" s="15" t="str">
        <f t="shared" si="115"/>
        <v/>
      </c>
      <c r="LT8" s="15" t="str">
        <f t="shared" si="116"/>
        <v/>
      </c>
      <c r="LU8" s="15" t="str">
        <f t="shared" si="117"/>
        <v/>
      </c>
      <c r="LV8" s="15" t="str">
        <f t="shared" si="118"/>
        <v/>
      </c>
      <c r="LW8" s="71">
        <f t="shared" si="126"/>
        <v>8.3375000000000004</v>
      </c>
      <c r="LX8" s="71">
        <f t="shared" si="127"/>
        <v>9.25</v>
      </c>
      <c r="LY8" s="71">
        <f t="shared" si="128"/>
        <v>3.4000000000000004</v>
      </c>
      <c r="LZ8" s="71">
        <f t="shared" si="129"/>
        <v>18.59</v>
      </c>
      <c r="MA8" s="71">
        <f t="shared" si="130"/>
        <v>0</v>
      </c>
      <c r="MB8" s="71">
        <f t="shared" si="131"/>
        <v>6.125</v>
      </c>
      <c r="MC8" s="71">
        <f t="shared" si="132"/>
        <v>7.25</v>
      </c>
      <c r="MD8" s="71">
        <f t="shared" si="133"/>
        <v>8.65</v>
      </c>
      <c r="ME8" s="71">
        <f t="shared" si="134"/>
        <v>14.399999999999999</v>
      </c>
      <c r="MF8" s="71">
        <f t="shared" si="135"/>
        <v>0</v>
      </c>
      <c r="MG8" s="71">
        <f t="shared" si="136"/>
        <v>0.65</v>
      </c>
      <c r="MH8" s="71">
        <f t="shared" si="137"/>
        <v>0.95</v>
      </c>
      <c r="MI8" s="71">
        <f t="shared" si="138"/>
        <v>1.1499999999999999</v>
      </c>
      <c r="MJ8" s="71">
        <f t="shared" si="139"/>
        <v>0.91</v>
      </c>
      <c r="MK8" s="71">
        <f t="shared" si="140"/>
        <v>0</v>
      </c>
      <c r="ML8" s="82" t="s">
        <v>100</v>
      </c>
      <c r="MM8" s="12">
        <f t="shared" si="141"/>
        <v>8.65</v>
      </c>
      <c r="MN8" s="12">
        <f t="shared" si="121"/>
        <v>39.577500000000001</v>
      </c>
      <c r="MO8" s="12">
        <f t="shared" si="142"/>
        <v>36.424999999999997</v>
      </c>
      <c r="MP8" s="12">
        <f t="shared" si="143"/>
        <v>76.002499999999998</v>
      </c>
      <c r="MQ8" s="12">
        <f t="shared" si="144"/>
        <v>1.1499999999999999</v>
      </c>
      <c r="MR8" s="12">
        <f t="shared" si="145"/>
        <v>3.66</v>
      </c>
      <c r="MS8" s="12">
        <f t="shared" si="146"/>
        <v>79.662499999999994</v>
      </c>
    </row>
    <row r="9" spans="1:357" x14ac:dyDescent="0.2">
      <c r="A9" s="6" t="str">
        <f t="shared" si="0"/>
        <v/>
      </c>
      <c r="B9" s="9" t="s">
        <v>61</v>
      </c>
      <c r="C9" s="5" t="s">
        <v>10</v>
      </c>
      <c r="D9" s="29" t="s">
        <v>106</v>
      </c>
      <c r="E9" s="16">
        <f t="shared" si="1"/>
        <v>127.995</v>
      </c>
      <c r="F9" s="4" t="str">
        <f t="shared" si="2"/>
        <v/>
      </c>
      <c r="G9" s="4" t="str">
        <f t="shared" si="3"/>
        <v/>
      </c>
      <c r="H9" s="4" t="str">
        <f t="shared" si="4"/>
        <v/>
      </c>
      <c r="I9" t="str">
        <f t="shared" si="5"/>
        <v/>
      </c>
      <c r="J9" s="15">
        <f t="shared" si="6"/>
        <v>83.522500000000008</v>
      </c>
      <c r="K9" s="15" t="str">
        <f t="shared" si="7"/>
        <v>2019 Elite Canada</v>
      </c>
      <c r="L9" s="15" t="str">
        <f t="shared" si="8"/>
        <v/>
      </c>
      <c r="M9" s="15" t="str">
        <f t="shared" si="9"/>
        <v/>
      </c>
      <c r="N9" s="15" t="str">
        <f t="shared" si="10"/>
        <v/>
      </c>
      <c r="O9" s="15" t="str">
        <f t="shared" si="11"/>
        <v/>
      </c>
      <c r="P9" s="15">
        <f t="shared" si="12"/>
        <v>44.472500000000004</v>
      </c>
      <c r="Q9" s="15" t="str">
        <f t="shared" si="13"/>
        <v>2019 Elite Canada</v>
      </c>
      <c r="R9" s="15" t="str">
        <f t="shared" si="14"/>
        <v/>
      </c>
      <c r="S9" s="27" t="str">
        <f t="shared" si="15"/>
        <v/>
      </c>
      <c r="T9" s="15" t="str">
        <f t="shared" si="16"/>
        <v/>
      </c>
      <c r="U9" s="39">
        <v>9.2749999999999986</v>
      </c>
      <c r="V9" s="39">
        <v>9.5500000000000007</v>
      </c>
      <c r="W9" s="39">
        <v>3.4</v>
      </c>
      <c r="X9" s="39">
        <v>16.71</v>
      </c>
      <c r="Y9" s="39">
        <v>0</v>
      </c>
      <c r="Z9" s="39">
        <v>8.3874999999999993</v>
      </c>
      <c r="AA9" s="39">
        <v>9.1</v>
      </c>
      <c r="AB9" s="39">
        <v>11.6</v>
      </c>
      <c r="AC9" s="39">
        <v>15.5</v>
      </c>
      <c r="AD9" s="39">
        <v>0</v>
      </c>
      <c r="AE9" s="39">
        <v>8.6125000000000007</v>
      </c>
      <c r="AF9" s="39">
        <v>9.4</v>
      </c>
      <c r="AG9" s="39">
        <v>11.6</v>
      </c>
      <c r="AH9" s="39">
        <v>14.86</v>
      </c>
      <c r="AI9" s="39">
        <v>0</v>
      </c>
      <c r="AJ9" s="82" t="s">
        <v>100</v>
      </c>
      <c r="AK9" s="12">
        <f t="shared" si="17"/>
        <v>11.6</v>
      </c>
      <c r="AL9" s="12">
        <f t="shared" si="18"/>
        <v>38.935000000000002</v>
      </c>
      <c r="AM9" s="12">
        <f t="shared" si="19"/>
        <v>44.587499999999999</v>
      </c>
      <c r="AN9" s="12">
        <f t="shared" si="20"/>
        <v>83.522500000000008</v>
      </c>
      <c r="AO9" s="12">
        <f t="shared" si="21"/>
        <v>11.6</v>
      </c>
      <c r="AP9" s="12">
        <f t="shared" si="22"/>
        <v>44.472500000000004</v>
      </c>
      <c r="AQ9" s="12">
        <f t="shared" si="23"/>
        <v>127.995</v>
      </c>
      <c r="AR9" s="40"/>
      <c r="AS9" s="40"/>
      <c r="AT9" s="40"/>
      <c r="AU9" s="40"/>
      <c r="AV9" s="40"/>
      <c r="AW9" s="40"/>
      <c r="AX9" s="40"/>
      <c r="AY9" s="40"/>
      <c r="AZ9" s="40"/>
      <c r="BA9" s="40"/>
      <c r="BB9" s="40"/>
      <c r="BC9" s="40"/>
      <c r="BD9" s="40"/>
      <c r="BE9" s="40"/>
      <c r="BF9" s="40"/>
      <c r="BG9" s="83"/>
      <c r="BH9" s="15" t="str">
        <f t="shared" si="24"/>
        <v/>
      </c>
      <c r="BI9" s="15" t="str">
        <f t="shared" si="25"/>
        <v/>
      </c>
      <c r="BJ9" s="15" t="str">
        <f t="shared" si="26"/>
        <v/>
      </c>
      <c r="BK9" s="15" t="str">
        <f t="shared" si="27"/>
        <v/>
      </c>
      <c r="BL9" s="15" t="str">
        <f t="shared" si="28"/>
        <v/>
      </c>
      <c r="BM9" s="15" t="str">
        <f t="shared" si="29"/>
        <v/>
      </c>
      <c r="BN9" s="15" t="str">
        <f t="shared" si="30"/>
        <v/>
      </c>
      <c r="BO9" s="26" t="str">
        <f t="shared" si="31"/>
        <v/>
      </c>
      <c r="BP9" s="26" t="str">
        <f t="shared" si="32"/>
        <v/>
      </c>
      <c r="BQ9" s="26" t="str">
        <f t="shared" si="33"/>
        <v/>
      </c>
      <c r="BR9" s="26" t="str">
        <f t="shared" si="34"/>
        <v/>
      </c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12" t="str">
        <f t="shared" si="35"/>
        <v/>
      </c>
      <c r="CI9" s="12" t="str">
        <f t="shared" si="36"/>
        <v/>
      </c>
      <c r="CJ9" s="12" t="str">
        <f t="shared" si="37"/>
        <v/>
      </c>
      <c r="CK9" s="12" t="str">
        <f t="shared" si="38"/>
        <v/>
      </c>
      <c r="CL9" s="12" t="str">
        <f t="shared" si="39"/>
        <v/>
      </c>
      <c r="CM9" s="12" t="str">
        <f t="shared" si="40"/>
        <v/>
      </c>
      <c r="CN9" s="12" t="str">
        <f t="shared" si="41"/>
        <v/>
      </c>
      <c r="CO9" s="40"/>
      <c r="CP9" s="40"/>
      <c r="CQ9" s="40"/>
      <c r="CR9" s="40"/>
      <c r="CS9" s="40"/>
      <c r="CT9" s="40"/>
      <c r="CU9" s="40"/>
      <c r="CV9" s="40"/>
      <c r="CW9" s="40"/>
      <c r="CX9" s="40"/>
      <c r="CY9" s="40"/>
      <c r="CZ9" s="40"/>
      <c r="DA9" s="40"/>
      <c r="DB9" s="40"/>
      <c r="DC9" s="40"/>
      <c r="DD9" s="15" t="str">
        <f t="shared" si="42"/>
        <v/>
      </c>
      <c r="DE9" s="15" t="str">
        <f t="shared" si="43"/>
        <v/>
      </c>
      <c r="DF9" s="15" t="str">
        <f t="shared" si="44"/>
        <v/>
      </c>
      <c r="DG9" s="15" t="str">
        <f t="shared" si="45"/>
        <v/>
      </c>
      <c r="DH9" s="15" t="str">
        <f t="shared" si="46"/>
        <v/>
      </c>
      <c r="DI9" s="15" t="str">
        <f t="shared" si="47"/>
        <v/>
      </c>
      <c r="DJ9" s="15" t="str">
        <f t="shared" si="48"/>
        <v/>
      </c>
      <c r="DK9" s="39"/>
      <c r="DL9" s="39"/>
      <c r="DM9" s="39"/>
      <c r="DN9" s="39"/>
      <c r="DO9" s="39"/>
      <c r="DP9" s="39"/>
      <c r="DQ9" s="39"/>
      <c r="DR9" s="39"/>
      <c r="DS9" s="39"/>
      <c r="DT9" s="39"/>
      <c r="DU9" s="39"/>
      <c r="DV9" s="39"/>
      <c r="DW9" s="39"/>
      <c r="DX9" s="39"/>
      <c r="DY9" s="39"/>
      <c r="DZ9" s="12" t="str">
        <f t="shared" si="49"/>
        <v/>
      </c>
      <c r="EA9" s="12" t="str">
        <f t="shared" si="50"/>
        <v/>
      </c>
      <c r="EB9" s="12" t="str">
        <f t="shared" si="51"/>
        <v/>
      </c>
      <c r="EC9" s="12" t="str">
        <f t="shared" si="52"/>
        <v/>
      </c>
      <c r="ED9" s="12" t="str">
        <f t="shared" si="53"/>
        <v/>
      </c>
      <c r="EE9" s="12" t="str">
        <f t="shared" si="54"/>
        <v/>
      </c>
      <c r="EF9" s="12" t="str">
        <f t="shared" si="55"/>
        <v/>
      </c>
      <c r="EG9" s="40"/>
      <c r="EH9" s="40"/>
      <c r="EI9" s="40"/>
      <c r="EJ9" s="40"/>
      <c r="EK9" s="40"/>
      <c r="EL9" s="40"/>
      <c r="EM9" s="40"/>
      <c r="EN9" s="40"/>
      <c r="EO9" s="40"/>
      <c r="EP9" s="40"/>
      <c r="EQ9" s="40"/>
      <c r="ER9" s="40"/>
      <c r="ES9" s="40"/>
      <c r="ET9" s="40"/>
      <c r="EU9" s="40"/>
      <c r="EV9" s="15" t="str">
        <f t="shared" si="56"/>
        <v/>
      </c>
      <c r="EW9" s="15" t="str">
        <f t="shared" si="57"/>
        <v/>
      </c>
      <c r="EX9" s="15" t="str">
        <f t="shared" si="58"/>
        <v/>
      </c>
      <c r="EY9" s="15" t="str">
        <f t="shared" si="59"/>
        <v/>
      </c>
      <c r="EZ9" s="15" t="str">
        <f t="shared" si="60"/>
        <v/>
      </c>
      <c r="FA9" s="15" t="str">
        <f t="shared" si="61"/>
        <v/>
      </c>
      <c r="FB9" s="15" t="str">
        <f t="shared" si="62"/>
        <v/>
      </c>
      <c r="FC9" s="39"/>
      <c r="FD9" s="39"/>
      <c r="FE9" s="39"/>
      <c r="FF9" s="39"/>
      <c r="FG9" s="39"/>
      <c r="FH9" s="39"/>
      <c r="FI9" s="39"/>
      <c r="FJ9" s="39"/>
      <c r="FK9" s="39"/>
      <c r="FL9" s="39"/>
      <c r="FM9" s="39"/>
      <c r="FN9" s="39"/>
      <c r="FO9" s="39"/>
      <c r="FP9" s="39"/>
      <c r="FQ9" s="39"/>
      <c r="FR9" s="12" t="str">
        <f t="shared" si="63"/>
        <v/>
      </c>
      <c r="FS9" s="12" t="str">
        <f t="shared" si="64"/>
        <v/>
      </c>
      <c r="FT9" s="12" t="str">
        <f t="shared" si="65"/>
        <v/>
      </c>
      <c r="FU9" s="12" t="str">
        <f t="shared" si="66"/>
        <v/>
      </c>
      <c r="FV9" s="12" t="str">
        <f t="shared" si="67"/>
        <v/>
      </c>
      <c r="FW9" s="12" t="str">
        <f t="shared" si="68"/>
        <v/>
      </c>
      <c r="FX9" s="12" t="str">
        <f t="shared" si="69"/>
        <v/>
      </c>
      <c r="FY9" s="40"/>
      <c r="FZ9" s="40"/>
      <c r="GA9" s="40"/>
      <c r="GB9" s="40"/>
      <c r="GC9" s="40"/>
      <c r="GD9" s="40"/>
      <c r="GE9" s="40"/>
      <c r="GF9" s="40"/>
      <c r="GG9" s="40"/>
      <c r="GH9" s="40"/>
      <c r="GI9" s="40"/>
      <c r="GJ9" s="40"/>
      <c r="GK9" s="40"/>
      <c r="GL9" s="40"/>
      <c r="GM9" s="40"/>
      <c r="GN9" s="15" t="str">
        <f t="shared" si="70"/>
        <v/>
      </c>
      <c r="GO9" s="15" t="str">
        <f t="shared" si="71"/>
        <v/>
      </c>
      <c r="GP9" s="15" t="str">
        <f t="shared" si="72"/>
        <v/>
      </c>
      <c r="GQ9" s="15" t="str">
        <f t="shared" si="73"/>
        <v/>
      </c>
      <c r="GR9" s="15" t="str">
        <f t="shared" si="74"/>
        <v/>
      </c>
      <c r="GS9" s="15" t="str">
        <f t="shared" si="75"/>
        <v/>
      </c>
      <c r="GT9" s="15" t="str">
        <f t="shared" si="76"/>
        <v/>
      </c>
      <c r="GU9" s="39"/>
      <c r="GV9" s="39"/>
      <c r="GW9" s="39"/>
      <c r="GX9" s="39"/>
      <c r="GY9" s="39"/>
      <c r="GZ9" s="39"/>
      <c r="HA9" s="39"/>
      <c r="HB9" s="39"/>
      <c r="HC9" s="39"/>
      <c r="HD9" s="39"/>
      <c r="HE9" s="39"/>
      <c r="HF9" s="39"/>
      <c r="HG9" s="39"/>
      <c r="HH9" s="39"/>
      <c r="HI9" s="39"/>
      <c r="HJ9" s="12" t="str">
        <f t="shared" si="77"/>
        <v/>
      </c>
      <c r="HK9" s="12" t="str">
        <f t="shared" si="78"/>
        <v/>
      </c>
      <c r="HL9" s="12" t="str">
        <f t="shared" si="79"/>
        <v/>
      </c>
      <c r="HM9" s="12" t="str">
        <f t="shared" si="80"/>
        <v/>
      </c>
      <c r="HN9" s="12" t="str">
        <f t="shared" si="81"/>
        <v/>
      </c>
      <c r="HO9" s="12" t="str">
        <f t="shared" si="82"/>
        <v/>
      </c>
      <c r="HP9" s="12" t="str">
        <f t="shared" si="83"/>
        <v/>
      </c>
      <c r="HQ9" s="40"/>
      <c r="HR9" s="40"/>
      <c r="HS9" s="40"/>
      <c r="HT9" s="40"/>
      <c r="HU9" s="40"/>
      <c r="HV9" s="40"/>
      <c r="HW9" s="40"/>
      <c r="HX9" s="40"/>
      <c r="HY9" s="40"/>
      <c r="HZ9" s="40"/>
      <c r="IA9" s="40"/>
      <c r="IB9" s="40"/>
      <c r="IC9" s="40"/>
      <c r="ID9" s="40"/>
      <c r="IE9" s="40"/>
      <c r="IF9" s="15" t="str">
        <f t="shared" si="84"/>
        <v/>
      </c>
      <c r="IG9" s="15" t="str">
        <f t="shared" si="85"/>
        <v/>
      </c>
      <c r="IH9" s="15" t="str">
        <f t="shared" si="86"/>
        <v/>
      </c>
      <c r="II9" s="15" t="str">
        <f t="shared" si="87"/>
        <v/>
      </c>
      <c r="IJ9" s="15" t="str">
        <f t="shared" si="88"/>
        <v/>
      </c>
      <c r="IK9" s="15" t="str">
        <f t="shared" si="89"/>
        <v/>
      </c>
      <c r="IL9" s="15" t="str">
        <f t="shared" si="90"/>
        <v/>
      </c>
      <c r="IM9" s="39"/>
      <c r="IN9" s="39"/>
      <c r="IO9" s="39"/>
      <c r="IP9" s="39"/>
      <c r="IQ9" s="39"/>
      <c r="IR9" s="39"/>
      <c r="IS9" s="39"/>
      <c r="IT9" s="39"/>
      <c r="IU9" s="39"/>
      <c r="IV9" s="39"/>
      <c r="IW9" s="39"/>
      <c r="IX9" s="39"/>
      <c r="IY9" s="39"/>
      <c r="IZ9" s="39"/>
      <c r="JA9" s="39"/>
      <c r="JB9" s="12" t="str">
        <f t="shared" si="91"/>
        <v/>
      </c>
      <c r="JC9" s="12" t="str">
        <f t="shared" si="92"/>
        <v/>
      </c>
      <c r="JD9" s="12" t="str">
        <f t="shared" si="93"/>
        <v/>
      </c>
      <c r="JE9" s="12" t="str">
        <f t="shared" si="94"/>
        <v/>
      </c>
      <c r="JF9" s="12" t="str">
        <f t="shared" si="95"/>
        <v/>
      </c>
      <c r="JG9" s="12" t="str">
        <f t="shared" si="96"/>
        <v/>
      </c>
      <c r="JH9" s="12" t="str">
        <f t="shared" si="97"/>
        <v/>
      </c>
      <c r="JI9" s="40"/>
      <c r="JJ9" s="40"/>
      <c r="JK9" s="40"/>
      <c r="JL9" s="40"/>
      <c r="JM9" s="40"/>
      <c r="JN9" s="40"/>
      <c r="JO9" s="40"/>
      <c r="JP9" s="40"/>
      <c r="JQ9" s="40"/>
      <c r="JR9" s="40"/>
      <c r="JS9" s="40"/>
      <c r="JT9" s="40"/>
      <c r="JU9" s="40"/>
      <c r="JV9" s="40"/>
      <c r="JW9" s="40"/>
      <c r="JX9" s="15" t="str">
        <f t="shared" si="98"/>
        <v/>
      </c>
      <c r="JY9" s="15" t="str">
        <f t="shared" si="99"/>
        <v/>
      </c>
      <c r="JZ9" s="15" t="str">
        <f t="shared" si="100"/>
        <v/>
      </c>
      <c r="KA9" s="15" t="str">
        <f t="shared" si="101"/>
        <v/>
      </c>
      <c r="KB9" s="15" t="str">
        <f t="shared" si="102"/>
        <v/>
      </c>
      <c r="KC9" s="15" t="str">
        <f t="shared" si="103"/>
        <v/>
      </c>
      <c r="KD9" s="15" t="str">
        <f t="shared" si="104"/>
        <v/>
      </c>
      <c r="KE9" s="39"/>
      <c r="KF9" s="39"/>
      <c r="KG9" s="39"/>
      <c r="KH9" s="39"/>
      <c r="KI9" s="39"/>
      <c r="KJ9" s="39"/>
      <c r="KK9" s="39"/>
      <c r="KL9" s="39"/>
      <c r="KM9" s="39"/>
      <c r="KN9" s="39"/>
      <c r="KO9" s="39"/>
      <c r="KP9" s="39"/>
      <c r="KQ9" s="39"/>
      <c r="KR9" s="39"/>
      <c r="KS9" s="39"/>
      <c r="KT9" s="12" t="str">
        <f t="shared" si="105"/>
        <v/>
      </c>
      <c r="KU9" s="12" t="str">
        <f t="shared" si="106"/>
        <v/>
      </c>
      <c r="KV9" s="12" t="str">
        <f t="shared" si="107"/>
        <v/>
      </c>
      <c r="KW9" s="12" t="str">
        <f t="shared" si="108"/>
        <v/>
      </c>
      <c r="KX9" s="12" t="str">
        <f t="shared" si="109"/>
        <v/>
      </c>
      <c r="KY9" s="12" t="str">
        <f t="shared" si="110"/>
        <v/>
      </c>
      <c r="KZ9" s="12" t="str">
        <f t="shared" si="111"/>
        <v/>
      </c>
      <c r="LA9" s="40"/>
      <c r="LB9" s="40"/>
      <c r="LC9" s="40"/>
      <c r="LD9" s="40"/>
      <c r="LE9" s="40"/>
      <c r="LF9" s="40"/>
      <c r="LG9" s="40"/>
      <c r="LH9" s="40"/>
      <c r="LI9" s="40"/>
      <c r="LJ9" s="40"/>
      <c r="LK9" s="40"/>
      <c r="LL9" s="40"/>
      <c r="LM9" s="40"/>
      <c r="LN9" s="40"/>
      <c r="LO9" s="40"/>
      <c r="LP9" s="15" t="str">
        <f t="shared" si="112"/>
        <v/>
      </c>
      <c r="LQ9" s="15" t="str">
        <f t="shared" si="113"/>
        <v/>
      </c>
      <c r="LR9" s="15" t="str">
        <f t="shared" si="114"/>
        <v/>
      </c>
      <c r="LS9" s="15" t="str">
        <f t="shared" si="115"/>
        <v/>
      </c>
      <c r="LT9" s="15" t="str">
        <f t="shared" si="116"/>
        <v/>
      </c>
      <c r="LU9" s="15" t="str">
        <f t="shared" si="117"/>
        <v/>
      </c>
      <c r="LV9" s="15" t="str">
        <f t="shared" si="118"/>
        <v/>
      </c>
      <c r="LW9" s="71">
        <f t="shared" si="126"/>
        <v>4.6374999999999993</v>
      </c>
      <c r="LX9" s="71">
        <f t="shared" si="127"/>
        <v>4.7750000000000004</v>
      </c>
      <c r="LY9" s="71">
        <f t="shared" si="128"/>
        <v>1.7</v>
      </c>
      <c r="LZ9" s="71">
        <f t="shared" si="129"/>
        <v>8.3550000000000004</v>
      </c>
      <c r="MA9" s="71">
        <f t="shared" si="130"/>
        <v>0</v>
      </c>
      <c r="MB9" s="71">
        <f t="shared" si="131"/>
        <v>4.1937499999999996</v>
      </c>
      <c r="MC9" s="71">
        <f t="shared" si="132"/>
        <v>4.55</v>
      </c>
      <c r="MD9" s="71">
        <f t="shared" si="133"/>
        <v>5.8</v>
      </c>
      <c r="ME9" s="71">
        <f t="shared" si="134"/>
        <v>7.75</v>
      </c>
      <c r="MF9" s="71">
        <f t="shared" si="135"/>
        <v>0</v>
      </c>
      <c r="MG9" s="71">
        <f t="shared" si="136"/>
        <v>4.3062500000000004</v>
      </c>
      <c r="MH9" s="71">
        <f t="shared" si="137"/>
        <v>4.7</v>
      </c>
      <c r="MI9" s="71">
        <f t="shared" si="138"/>
        <v>5.8</v>
      </c>
      <c r="MJ9" s="71">
        <f t="shared" si="139"/>
        <v>7.43</v>
      </c>
      <c r="MK9" s="71">
        <f t="shared" si="140"/>
        <v>0</v>
      </c>
      <c r="ML9" s="82" t="s">
        <v>100</v>
      </c>
      <c r="MM9" s="12">
        <f t="shared" si="141"/>
        <v>5.8</v>
      </c>
      <c r="MN9" s="12">
        <f t="shared" si="121"/>
        <v>19.467500000000001</v>
      </c>
      <c r="MO9" s="12">
        <f t="shared" si="142"/>
        <v>22.293749999999999</v>
      </c>
      <c r="MP9" s="12">
        <f t="shared" si="143"/>
        <v>41.761250000000004</v>
      </c>
      <c r="MQ9" s="12">
        <f t="shared" si="144"/>
        <v>5.8</v>
      </c>
      <c r="MR9" s="12">
        <f t="shared" si="145"/>
        <v>22.236250000000002</v>
      </c>
      <c r="MS9" s="12">
        <f t="shared" si="146"/>
        <v>63.997500000000002</v>
      </c>
    </row>
    <row r="10" spans="1:357" x14ac:dyDescent="0.2">
      <c r="A10" s="6" t="str">
        <f t="shared" si="0"/>
        <v/>
      </c>
      <c r="B10" s="7" t="s">
        <v>197</v>
      </c>
      <c r="C10" s="8" t="s">
        <v>10</v>
      </c>
      <c r="D10" s="6" t="s">
        <v>194</v>
      </c>
      <c r="E10" s="16">
        <f t="shared" si="1"/>
        <v>124.94999999999999</v>
      </c>
      <c r="F10" s="4" t="str">
        <f t="shared" si="2"/>
        <v/>
      </c>
      <c r="G10" s="4" t="str">
        <f t="shared" si="3"/>
        <v/>
      </c>
      <c r="H10" s="4" t="str">
        <f t="shared" si="4"/>
        <v/>
      </c>
      <c r="I10" t="str">
        <f t="shared" si="5"/>
        <v/>
      </c>
      <c r="J10" s="15">
        <f t="shared" si="6"/>
        <v>81.919999999999987</v>
      </c>
      <c r="K10" s="15" t="str">
        <f t="shared" si="7"/>
        <v>2019 Nationals</v>
      </c>
      <c r="L10" s="15" t="str">
        <f t="shared" si="8"/>
        <v/>
      </c>
      <c r="M10" s="15" t="str">
        <f t="shared" si="9"/>
        <v/>
      </c>
      <c r="N10" s="15" t="str">
        <f t="shared" si="10"/>
        <v/>
      </c>
      <c r="O10" s="15" t="str">
        <f t="shared" si="11"/>
        <v/>
      </c>
      <c r="P10" s="15">
        <f t="shared" si="12"/>
        <v>43.03</v>
      </c>
      <c r="Q10" s="15" t="str">
        <f t="shared" si="13"/>
        <v>2019 Nationals</v>
      </c>
      <c r="R10" s="15" t="str">
        <f t="shared" si="14"/>
        <v/>
      </c>
      <c r="S10" s="27" t="str">
        <f t="shared" si="15"/>
        <v/>
      </c>
      <c r="T10" s="15" t="str">
        <f t="shared" si="16"/>
        <v/>
      </c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82"/>
      <c r="AK10" s="12" t="str">
        <f t="shared" si="17"/>
        <v/>
      </c>
      <c r="AL10" s="12" t="str">
        <f t="shared" si="18"/>
        <v/>
      </c>
      <c r="AM10" s="12" t="str">
        <f t="shared" si="19"/>
        <v/>
      </c>
      <c r="AN10" s="12" t="str">
        <f t="shared" si="20"/>
        <v/>
      </c>
      <c r="AO10" s="12" t="str">
        <f t="shared" si="21"/>
        <v/>
      </c>
      <c r="AP10" s="12" t="str">
        <f t="shared" si="22"/>
        <v/>
      </c>
      <c r="AQ10" s="12" t="str">
        <f t="shared" si="23"/>
        <v/>
      </c>
      <c r="AR10" s="40">
        <v>8.75</v>
      </c>
      <c r="AS10" s="40">
        <v>9.3000000000000007</v>
      </c>
      <c r="AT10" s="40">
        <v>2.9</v>
      </c>
      <c r="AU10" s="40">
        <v>16.62</v>
      </c>
      <c r="AV10" s="40">
        <v>0</v>
      </c>
      <c r="AW10" s="40">
        <v>8.1</v>
      </c>
      <c r="AX10" s="40">
        <v>9.0500000000000007</v>
      </c>
      <c r="AY10" s="40">
        <v>9.1999999999999993</v>
      </c>
      <c r="AZ10" s="40">
        <v>18</v>
      </c>
      <c r="BA10" s="40">
        <v>0</v>
      </c>
      <c r="BB10" s="40">
        <v>7.4</v>
      </c>
      <c r="BC10" s="40">
        <v>9.15</v>
      </c>
      <c r="BD10" s="40">
        <v>9.1999999999999993</v>
      </c>
      <c r="BE10" s="40">
        <v>17.28</v>
      </c>
      <c r="BF10" s="40">
        <v>0</v>
      </c>
      <c r="BG10" s="83"/>
      <c r="BH10" s="15">
        <f t="shared" si="24"/>
        <v>9.1999999999999993</v>
      </c>
      <c r="BI10" s="15">
        <f t="shared" si="25"/>
        <v>37.57</v>
      </c>
      <c r="BJ10" s="15">
        <f t="shared" si="26"/>
        <v>44.349999999999994</v>
      </c>
      <c r="BK10" s="15">
        <f t="shared" si="27"/>
        <v>81.919999999999987</v>
      </c>
      <c r="BL10" s="15">
        <f t="shared" si="28"/>
        <v>9.1999999999999993</v>
      </c>
      <c r="BM10" s="15">
        <f t="shared" si="29"/>
        <v>43.03</v>
      </c>
      <c r="BN10" s="15">
        <f t="shared" si="30"/>
        <v>124.94999999999999</v>
      </c>
      <c r="BO10" s="26" t="str">
        <f t="shared" si="31"/>
        <v/>
      </c>
      <c r="BP10" s="26" t="str">
        <f t="shared" si="32"/>
        <v/>
      </c>
      <c r="BQ10" s="26" t="str">
        <f t="shared" si="33"/>
        <v/>
      </c>
      <c r="BR10" s="26" t="str">
        <f t="shared" si="34"/>
        <v/>
      </c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12" t="str">
        <f t="shared" si="35"/>
        <v/>
      </c>
      <c r="CI10" s="12" t="str">
        <f t="shared" si="36"/>
        <v/>
      </c>
      <c r="CJ10" s="12" t="str">
        <f t="shared" si="37"/>
        <v/>
      </c>
      <c r="CK10" s="12" t="str">
        <f t="shared" si="38"/>
        <v/>
      </c>
      <c r="CL10" s="12" t="str">
        <f t="shared" si="39"/>
        <v/>
      </c>
      <c r="CM10" s="12" t="str">
        <f t="shared" si="40"/>
        <v/>
      </c>
      <c r="CN10" s="12" t="str">
        <f t="shared" si="41"/>
        <v/>
      </c>
      <c r="CO10" s="40"/>
      <c r="CP10" s="40"/>
      <c r="CQ10" s="40"/>
      <c r="CR10" s="40"/>
      <c r="CS10" s="40"/>
      <c r="CT10" s="40"/>
      <c r="CU10" s="40"/>
      <c r="CV10" s="40"/>
      <c r="CW10" s="40"/>
      <c r="CX10" s="40"/>
      <c r="CY10" s="40"/>
      <c r="CZ10" s="40"/>
      <c r="DA10" s="40"/>
      <c r="DB10" s="40"/>
      <c r="DC10" s="40"/>
      <c r="DD10" s="15" t="str">
        <f t="shared" si="42"/>
        <v/>
      </c>
      <c r="DE10" s="15" t="str">
        <f t="shared" si="43"/>
        <v/>
      </c>
      <c r="DF10" s="15" t="str">
        <f t="shared" si="44"/>
        <v/>
      </c>
      <c r="DG10" s="15" t="str">
        <f t="shared" si="45"/>
        <v/>
      </c>
      <c r="DH10" s="15" t="str">
        <f t="shared" si="46"/>
        <v/>
      </c>
      <c r="DI10" s="15" t="str">
        <f t="shared" si="47"/>
        <v/>
      </c>
      <c r="DJ10" s="15" t="str">
        <f t="shared" si="48"/>
        <v/>
      </c>
      <c r="DK10" s="39"/>
      <c r="DL10" s="39"/>
      <c r="DM10" s="39"/>
      <c r="DN10" s="39"/>
      <c r="DO10" s="39"/>
      <c r="DP10" s="39"/>
      <c r="DQ10" s="39"/>
      <c r="DR10" s="39"/>
      <c r="DS10" s="39"/>
      <c r="DT10" s="39"/>
      <c r="DU10" s="39"/>
      <c r="DV10" s="39"/>
      <c r="DW10" s="39"/>
      <c r="DX10" s="39"/>
      <c r="DY10" s="39"/>
      <c r="DZ10" s="12" t="str">
        <f t="shared" si="49"/>
        <v/>
      </c>
      <c r="EA10" s="12" t="str">
        <f t="shared" si="50"/>
        <v/>
      </c>
      <c r="EB10" s="12" t="str">
        <f t="shared" si="51"/>
        <v/>
      </c>
      <c r="EC10" s="12" t="str">
        <f t="shared" si="52"/>
        <v/>
      </c>
      <c r="ED10" s="12" t="str">
        <f t="shared" si="53"/>
        <v/>
      </c>
      <c r="EE10" s="12" t="str">
        <f t="shared" si="54"/>
        <v/>
      </c>
      <c r="EF10" s="12" t="str">
        <f t="shared" si="55"/>
        <v/>
      </c>
      <c r="EG10" s="40"/>
      <c r="EH10" s="40"/>
      <c r="EI10" s="40"/>
      <c r="EJ10" s="40"/>
      <c r="EK10" s="40"/>
      <c r="EL10" s="40"/>
      <c r="EM10" s="40"/>
      <c r="EN10" s="40"/>
      <c r="EO10" s="40"/>
      <c r="EP10" s="40"/>
      <c r="EQ10" s="40"/>
      <c r="ER10" s="40"/>
      <c r="ES10" s="40"/>
      <c r="ET10" s="40"/>
      <c r="EU10" s="40"/>
      <c r="EV10" s="15" t="str">
        <f t="shared" si="56"/>
        <v/>
      </c>
      <c r="EW10" s="15" t="str">
        <f t="shared" si="57"/>
        <v/>
      </c>
      <c r="EX10" s="15" t="str">
        <f t="shared" si="58"/>
        <v/>
      </c>
      <c r="EY10" s="15" t="str">
        <f t="shared" si="59"/>
        <v/>
      </c>
      <c r="EZ10" s="15" t="str">
        <f t="shared" si="60"/>
        <v/>
      </c>
      <c r="FA10" s="15" t="str">
        <f t="shared" si="61"/>
        <v/>
      </c>
      <c r="FB10" s="15" t="str">
        <f t="shared" si="62"/>
        <v/>
      </c>
      <c r="FC10" s="39"/>
      <c r="FD10" s="39"/>
      <c r="FE10" s="39"/>
      <c r="FF10" s="39"/>
      <c r="FG10" s="39"/>
      <c r="FH10" s="39"/>
      <c r="FI10" s="39"/>
      <c r="FJ10" s="39"/>
      <c r="FK10" s="39"/>
      <c r="FL10" s="39"/>
      <c r="FM10" s="39"/>
      <c r="FN10" s="39"/>
      <c r="FO10" s="39"/>
      <c r="FP10" s="39"/>
      <c r="FQ10" s="39"/>
      <c r="FR10" s="12" t="str">
        <f t="shared" si="63"/>
        <v/>
      </c>
      <c r="FS10" s="12" t="str">
        <f t="shared" si="64"/>
        <v/>
      </c>
      <c r="FT10" s="12" t="str">
        <f t="shared" si="65"/>
        <v/>
      </c>
      <c r="FU10" s="12" t="str">
        <f t="shared" si="66"/>
        <v/>
      </c>
      <c r="FV10" s="12" t="str">
        <f t="shared" si="67"/>
        <v/>
      </c>
      <c r="FW10" s="12" t="str">
        <f t="shared" si="68"/>
        <v/>
      </c>
      <c r="FX10" s="12" t="str">
        <f t="shared" si="69"/>
        <v/>
      </c>
      <c r="FY10" s="40"/>
      <c r="FZ10" s="40"/>
      <c r="GA10" s="40"/>
      <c r="GB10" s="40"/>
      <c r="GC10" s="40"/>
      <c r="GD10" s="40"/>
      <c r="GE10" s="40"/>
      <c r="GF10" s="40"/>
      <c r="GG10" s="40"/>
      <c r="GH10" s="40"/>
      <c r="GI10" s="40"/>
      <c r="GJ10" s="40"/>
      <c r="GK10" s="40"/>
      <c r="GL10" s="40"/>
      <c r="GM10" s="40"/>
      <c r="GN10" s="15" t="str">
        <f t="shared" si="70"/>
        <v/>
      </c>
      <c r="GO10" s="15" t="str">
        <f t="shared" si="71"/>
        <v/>
      </c>
      <c r="GP10" s="15" t="str">
        <f t="shared" si="72"/>
        <v/>
      </c>
      <c r="GQ10" s="15" t="str">
        <f t="shared" si="73"/>
        <v/>
      </c>
      <c r="GR10" s="15" t="str">
        <f t="shared" si="74"/>
        <v/>
      </c>
      <c r="GS10" s="15" t="str">
        <f t="shared" si="75"/>
        <v/>
      </c>
      <c r="GT10" s="15" t="str">
        <f t="shared" si="76"/>
        <v/>
      </c>
      <c r="GU10" s="39"/>
      <c r="GV10" s="39"/>
      <c r="GW10" s="39"/>
      <c r="GX10" s="39"/>
      <c r="GY10" s="39"/>
      <c r="GZ10" s="39"/>
      <c r="HA10" s="39"/>
      <c r="HB10" s="39"/>
      <c r="HC10" s="39"/>
      <c r="HD10" s="39"/>
      <c r="HE10" s="39"/>
      <c r="HF10" s="39"/>
      <c r="HG10" s="39"/>
      <c r="HH10" s="39"/>
      <c r="HI10" s="39"/>
      <c r="HJ10" s="12" t="str">
        <f t="shared" si="77"/>
        <v/>
      </c>
      <c r="HK10" s="12" t="str">
        <f t="shared" si="78"/>
        <v/>
      </c>
      <c r="HL10" s="12" t="str">
        <f t="shared" si="79"/>
        <v/>
      </c>
      <c r="HM10" s="12" t="str">
        <f t="shared" si="80"/>
        <v/>
      </c>
      <c r="HN10" s="12" t="str">
        <f t="shared" si="81"/>
        <v/>
      </c>
      <c r="HO10" s="12" t="str">
        <f t="shared" si="82"/>
        <v/>
      </c>
      <c r="HP10" s="12" t="str">
        <f t="shared" si="83"/>
        <v/>
      </c>
      <c r="HQ10" s="40"/>
      <c r="HR10" s="40"/>
      <c r="HS10" s="40"/>
      <c r="HT10" s="40"/>
      <c r="HU10" s="40"/>
      <c r="HV10" s="40"/>
      <c r="HW10" s="40"/>
      <c r="HX10" s="40"/>
      <c r="HY10" s="40"/>
      <c r="HZ10" s="40"/>
      <c r="IA10" s="40"/>
      <c r="IB10" s="40"/>
      <c r="IC10" s="40"/>
      <c r="ID10" s="40"/>
      <c r="IE10" s="40"/>
      <c r="IF10" s="15" t="str">
        <f t="shared" si="84"/>
        <v/>
      </c>
      <c r="IG10" s="15" t="str">
        <f t="shared" si="85"/>
        <v/>
      </c>
      <c r="IH10" s="15" t="str">
        <f t="shared" si="86"/>
        <v/>
      </c>
      <c r="II10" s="15" t="str">
        <f t="shared" si="87"/>
        <v/>
      </c>
      <c r="IJ10" s="15" t="str">
        <f t="shared" si="88"/>
        <v/>
      </c>
      <c r="IK10" s="15" t="str">
        <f t="shared" si="89"/>
        <v/>
      </c>
      <c r="IL10" s="15" t="str">
        <f t="shared" si="90"/>
        <v/>
      </c>
      <c r="IM10" s="39"/>
      <c r="IN10" s="39"/>
      <c r="IO10" s="39"/>
      <c r="IP10" s="39"/>
      <c r="IQ10" s="39"/>
      <c r="IR10" s="39"/>
      <c r="IS10" s="39"/>
      <c r="IT10" s="39"/>
      <c r="IU10" s="39"/>
      <c r="IV10" s="39"/>
      <c r="IW10" s="39"/>
      <c r="IX10" s="39"/>
      <c r="IY10" s="39"/>
      <c r="IZ10" s="39"/>
      <c r="JA10" s="39"/>
      <c r="JB10" s="12" t="str">
        <f t="shared" si="91"/>
        <v/>
      </c>
      <c r="JC10" s="12" t="str">
        <f t="shared" si="92"/>
        <v/>
      </c>
      <c r="JD10" s="12" t="str">
        <f t="shared" si="93"/>
        <v/>
      </c>
      <c r="JE10" s="12" t="str">
        <f t="shared" si="94"/>
        <v/>
      </c>
      <c r="JF10" s="12" t="str">
        <f t="shared" si="95"/>
        <v/>
      </c>
      <c r="JG10" s="12" t="str">
        <f t="shared" si="96"/>
        <v/>
      </c>
      <c r="JH10" s="12" t="str">
        <f t="shared" si="97"/>
        <v/>
      </c>
      <c r="JI10" s="40"/>
      <c r="JJ10" s="40"/>
      <c r="JK10" s="40"/>
      <c r="JL10" s="40"/>
      <c r="JM10" s="40"/>
      <c r="JN10" s="40"/>
      <c r="JO10" s="40"/>
      <c r="JP10" s="40"/>
      <c r="JQ10" s="40"/>
      <c r="JR10" s="40"/>
      <c r="JS10" s="40"/>
      <c r="JT10" s="40"/>
      <c r="JU10" s="40"/>
      <c r="JV10" s="40"/>
      <c r="JW10" s="40"/>
      <c r="JX10" s="15" t="str">
        <f t="shared" si="98"/>
        <v/>
      </c>
      <c r="JY10" s="15" t="str">
        <f t="shared" si="99"/>
        <v/>
      </c>
      <c r="JZ10" s="15" t="str">
        <f t="shared" si="100"/>
        <v/>
      </c>
      <c r="KA10" s="15" t="str">
        <f t="shared" si="101"/>
        <v/>
      </c>
      <c r="KB10" s="15" t="str">
        <f t="shared" si="102"/>
        <v/>
      </c>
      <c r="KC10" s="15" t="str">
        <f t="shared" si="103"/>
        <v/>
      </c>
      <c r="KD10" s="15" t="str">
        <f t="shared" si="104"/>
        <v/>
      </c>
      <c r="KE10" s="39"/>
      <c r="KF10" s="39"/>
      <c r="KG10" s="39"/>
      <c r="KH10" s="39"/>
      <c r="KI10" s="39"/>
      <c r="KJ10" s="39"/>
      <c r="KK10" s="39"/>
      <c r="KL10" s="39"/>
      <c r="KM10" s="39"/>
      <c r="KN10" s="39"/>
      <c r="KO10" s="39"/>
      <c r="KP10" s="39"/>
      <c r="KQ10" s="39"/>
      <c r="KR10" s="39"/>
      <c r="KS10" s="39"/>
      <c r="KT10" s="12" t="str">
        <f t="shared" si="105"/>
        <v/>
      </c>
      <c r="KU10" s="12" t="str">
        <f t="shared" si="106"/>
        <v/>
      </c>
      <c r="KV10" s="12" t="str">
        <f t="shared" si="107"/>
        <v/>
      </c>
      <c r="KW10" s="12" t="str">
        <f t="shared" si="108"/>
        <v/>
      </c>
      <c r="KX10" s="12" t="str">
        <f t="shared" si="109"/>
        <v/>
      </c>
      <c r="KY10" s="12" t="str">
        <f t="shared" si="110"/>
        <v/>
      </c>
      <c r="KZ10" s="12" t="str">
        <f t="shared" si="111"/>
        <v/>
      </c>
      <c r="LA10" s="40"/>
      <c r="LB10" s="40"/>
      <c r="LC10" s="40"/>
      <c r="LD10" s="40"/>
      <c r="LE10" s="40"/>
      <c r="LF10" s="40"/>
      <c r="LG10" s="40"/>
      <c r="LH10" s="40"/>
      <c r="LI10" s="40"/>
      <c r="LJ10" s="40"/>
      <c r="LK10" s="40"/>
      <c r="LL10" s="40"/>
      <c r="LM10" s="40"/>
      <c r="LN10" s="40"/>
      <c r="LO10" s="40"/>
      <c r="LP10" s="15" t="str">
        <f t="shared" si="112"/>
        <v/>
      </c>
      <c r="LQ10" s="15" t="str">
        <f t="shared" si="113"/>
        <v/>
      </c>
      <c r="LR10" s="15" t="str">
        <f t="shared" si="114"/>
        <v/>
      </c>
      <c r="LS10" s="15" t="str">
        <f t="shared" si="115"/>
        <v/>
      </c>
      <c r="LT10" s="15" t="str">
        <f t="shared" si="116"/>
        <v/>
      </c>
      <c r="LU10" s="15" t="str">
        <f t="shared" si="117"/>
        <v/>
      </c>
      <c r="LV10" s="15" t="str">
        <f t="shared" si="118"/>
        <v/>
      </c>
      <c r="LW10" s="71">
        <f t="shared" si="126"/>
        <v>4.375</v>
      </c>
      <c r="LX10" s="71">
        <f t="shared" si="127"/>
        <v>4.6500000000000004</v>
      </c>
      <c r="LY10" s="71">
        <f t="shared" si="128"/>
        <v>1.45</v>
      </c>
      <c r="LZ10" s="71">
        <f t="shared" si="129"/>
        <v>8.31</v>
      </c>
      <c r="MA10" s="71">
        <f t="shared" si="130"/>
        <v>0</v>
      </c>
      <c r="MB10" s="71">
        <f t="shared" si="131"/>
        <v>4.05</v>
      </c>
      <c r="MC10" s="71">
        <f t="shared" si="132"/>
        <v>4.5250000000000004</v>
      </c>
      <c r="MD10" s="71">
        <f t="shared" si="133"/>
        <v>4.5999999999999996</v>
      </c>
      <c r="ME10" s="71">
        <f t="shared" si="134"/>
        <v>9</v>
      </c>
      <c r="MF10" s="71">
        <f t="shared" si="135"/>
        <v>0</v>
      </c>
      <c r="MG10" s="71">
        <f t="shared" si="136"/>
        <v>3.7</v>
      </c>
      <c r="MH10" s="71">
        <f t="shared" si="137"/>
        <v>4.5750000000000002</v>
      </c>
      <c r="MI10" s="71">
        <f t="shared" si="138"/>
        <v>4.5999999999999996</v>
      </c>
      <c r="MJ10" s="71">
        <f t="shared" si="139"/>
        <v>8.64</v>
      </c>
      <c r="MK10" s="71">
        <f t="shared" si="140"/>
        <v>0</v>
      </c>
      <c r="ML10" s="82" t="s">
        <v>100</v>
      </c>
      <c r="MM10" s="12">
        <f t="shared" si="141"/>
        <v>4.5999999999999996</v>
      </c>
      <c r="MN10" s="12">
        <f t="shared" si="121"/>
        <v>18.785</v>
      </c>
      <c r="MO10" s="12">
        <f t="shared" si="142"/>
        <v>22.174999999999997</v>
      </c>
      <c r="MP10" s="12">
        <f t="shared" si="143"/>
        <v>40.959999999999994</v>
      </c>
      <c r="MQ10" s="12">
        <f t="shared" si="144"/>
        <v>4.5999999999999996</v>
      </c>
      <c r="MR10" s="12">
        <f t="shared" si="145"/>
        <v>21.515000000000001</v>
      </c>
      <c r="MS10" s="12">
        <f t="shared" si="146"/>
        <v>62.474999999999994</v>
      </c>
    </row>
    <row r="11" spans="1:357" x14ac:dyDescent="0.2">
      <c r="A11" s="6" t="str">
        <f t="shared" si="0"/>
        <v/>
      </c>
      <c r="B11" s="7" t="s">
        <v>96</v>
      </c>
      <c r="C11" s="8" t="s">
        <v>3</v>
      </c>
      <c r="D11" s="6" t="s">
        <v>107</v>
      </c>
      <c r="E11" s="16">
        <f t="shared" si="1"/>
        <v>119.77000000000001</v>
      </c>
      <c r="F11" s="4" t="str">
        <f t="shared" si="2"/>
        <v/>
      </c>
      <c r="G11" s="4" t="str">
        <f t="shared" si="3"/>
        <v/>
      </c>
      <c r="H11" s="4" t="str">
        <f t="shared" si="4"/>
        <v/>
      </c>
      <c r="I11" t="str">
        <f t="shared" si="5"/>
        <v/>
      </c>
      <c r="J11" s="15">
        <f t="shared" si="6"/>
        <v>87.352500000000006</v>
      </c>
      <c r="K11" s="15" t="str">
        <f t="shared" si="7"/>
        <v>2019 Elite Canada</v>
      </c>
      <c r="L11" s="15" t="str">
        <f t="shared" si="8"/>
        <v/>
      </c>
      <c r="M11" s="15" t="str">
        <f t="shared" si="9"/>
        <v/>
      </c>
      <c r="N11" s="15" t="str">
        <f t="shared" si="10"/>
        <v/>
      </c>
      <c r="O11" s="15" t="str">
        <f t="shared" si="11"/>
        <v/>
      </c>
      <c r="P11" s="15">
        <f t="shared" si="12"/>
        <v>32.417500000000004</v>
      </c>
      <c r="Q11" s="15" t="str">
        <f t="shared" si="13"/>
        <v>2019 Elite Canada</v>
      </c>
      <c r="R11" s="15" t="str">
        <f t="shared" si="14"/>
        <v/>
      </c>
      <c r="S11" s="27" t="str">
        <f t="shared" si="15"/>
        <v/>
      </c>
      <c r="T11" s="15" t="str">
        <f t="shared" si="16"/>
        <v/>
      </c>
      <c r="U11" s="39">
        <v>8.9250000000000007</v>
      </c>
      <c r="V11" s="39">
        <v>9.125</v>
      </c>
      <c r="W11" s="39">
        <v>4.4000000000000004</v>
      </c>
      <c r="X11" s="39">
        <v>18.520000000000003</v>
      </c>
      <c r="Y11" s="39">
        <v>0</v>
      </c>
      <c r="Z11" s="39">
        <v>8.3625000000000007</v>
      </c>
      <c r="AA11" s="39">
        <v>9.1</v>
      </c>
      <c r="AB11" s="39">
        <v>11.1</v>
      </c>
      <c r="AC11" s="39">
        <v>17.82</v>
      </c>
      <c r="AD11" s="39">
        <v>0</v>
      </c>
      <c r="AE11" s="39">
        <v>5.7374999999999998</v>
      </c>
      <c r="AF11" s="39">
        <v>6.3</v>
      </c>
      <c r="AG11" s="39">
        <v>8.25</v>
      </c>
      <c r="AH11" s="39">
        <v>12.129999999999999</v>
      </c>
      <c r="AI11" s="39">
        <v>0</v>
      </c>
      <c r="AJ11" s="82" t="s">
        <v>100</v>
      </c>
      <c r="AK11" s="12">
        <f t="shared" si="17"/>
        <v>11.1</v>
      </c>
      <c r="AL11" s="12">
        <f t="shared" si="18"/>
        <v>40.970000000000006</v>
      </c>
      <c r="AM11" s="12">
        <f t="shared" si="19"/>
        <v>46.3825</v>
      </c>
      <c r="AN11" s="12">
        <f t="shared" si="20"/>
        <v>87.352500000000006</v>
      </c>
      <c r="AO11" s="12">
        <f t="shared" si="21"/>
        <v>8.25</v>
      </c>
      <c r="AP11" s="12">
        <f t="shared" si="22"/>
        <v>32.417500000000004</v>
      </c>
      <c r="AQ11" s="12">
        <f t="shared" si="23"/>
        <v>119.77000000000001</v>
      </c>
      <c r="AR11" s="40"/>
      <c r="AS11" s="40"/>
      <c r="AT11" s="40"/>
      <c r="AU11" s="40"/>
      <c r="AV11" s="40"/>
      <c r="AW11" s="40"/>
      <c r="AX11" s="40"/>
      <c r="AY11" s="40"/>
      <c r="AZ11" s="40"/>
      <c r="BA11" s="40"/>
      <c r="BB11" s="40"/>
      <c r="BC11" s="40"/>
      <c r="BD11" s="40"/>
      <c r="BE11" s="40"/>
      <c r="BF11" s="40"/>
      <c r="BG11" s="83"/>
      <c r="BH11" s="15" t="str">
        <f t="shared" si="24"/>
        <v/>
      </c>
      <c r="BI11" s="15" t="str">
        <f t="shared" si="25"/>
        <v/>
      </c>
      <c r="BJ11" s="15" t="str">
        <f t="shared" si="26"/>
        <v/>
      </c>
      <c r="BK11" s="15" t="str">
        <f t="shared" si="27"/>
        <v/>
      </c>
      <c r="BL11" s="15" t="str">
        <f t="shared" si="28"/>
        <v/>
      </c>
      <c r="BM11" s="15" t="str">
        <f t="shared" si="29"/>
        <v/>
      </c>
      <c r="BN11" s="15" t="str">
        <f t="shared" si="30"/>
        <v/>
      </c>
      <c r="BO11" s="26" t="str">
        <f t="shared" si="31"/>
        <v/>
      </c>
      <c r="BP11" s="26" t="str">
        <f t="shared" si="32"/>
        <v/>
      </c>
      <c r="BQ11" s="26" t="str">
        <f t="shared" si="33"/>
        <v/>
      </c>
      <c r="BR11" s="26" t="str">
        <f t="shared" si="34"/>
        <v/>
      </c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12" t="str">
        <f t="shared" si="35"/>
        <v/>
      </c>
      <c r="CI11" s="12" t="str">
        <f t="shared" si="36"/>
        <v/>
      </c>
      <c r="CJ11" s="12" t="str">
        <f t="shared" si="37"/>
        <v/>
      </c>
      <c r="CK11" s="12" t="str">
        <f t="shared" si="38"/>
        <v/>
      </c>
      <c r="CL11" s="12" t="str">
        <f t="shared" si="39"/>
        <v/>
      </c>
      <c r="CM11" s="12" t="str">
        <f t="shared" si="40"/>
        <v/>
      </c>
      <c r="CN11" s="12" t="str">
        <f t="shared" si="41"/>
        <v/>
      </c>
      <c r="CO11" s="40"/>
      <c r="CP11" s="40"/>
      <c r="CQ11" s="40"/>
      <c r="CR11" s="40"/>
      <c r="CS11" s="40"/>
      <c r="CT11" s="40"/>
      <c r="CU11" s="40"/>
      <c r="CV11" s="40"/>
      <c r="CW11" s="40"/>
      <c r="CX11" s="40"/>
      <c r="CY11" s="40"/>
      <c r="CZ11" s="40"/>
      <c r="DA11" s="40"/>
      <c r="DB11" s="40"/>
      <c r="DC11" s="40"/>
      <c r="DD11" s="15" t="str">
        <f t="shared" si="42"/>
        <v/>
      </c>
      <c r="DE11" s="15" t="str">
        <f t="shared" si="43"/>
        <v/>
      </c>
      <c r="DF11" s="15" t="str">
        <f t="shared" si="44"/>
        <v/>
      </c>
      <c r="DG11" s="15" t="str">
        <f t="shared" si="45"/>
        <v/>
      </c>
      <c r="DH11" s="15" t="str">
        <f t="shared" si="46"/>
        <v/>
      </c>
      <c r="DI11" s="15" t="str">
        <f t="shared" si="47"/>
        <v/>
      </c>
      <c r="DJ11" s="15" t="str">
        <f t="shared" si="48"/>
        <v/>
      </c>
      <c r="DK11" s="39"/>
      <c r="DL11" s="39"/>
      <c r="DM11" s="39"/>
      <c r="DN11" s="39"/>
      <c r="DO11" s="39"/>
      <c r="DP11" s="39"/>
      <c r="DQ11" s="39"/>
      <c r="DR11" s="39"/>
      <c r="DS11" s="39"/>
      <c r="DT11" s="39"/>
      <c r="DU11" s="39"/>
      <c r="DV11" s="39"/>
      <c r="DW11" s="39"/>
      <c r="DX11" s="39"/>
      <c r="DY11" s="39"/>
      <c r="DZ11" s="12" t="str">
        <f t="shared" si="49"/>
        <v/>
      </c>
      <c r="EA11" s="12" t="str">
        <f t="shared" si="50"/>
        <v/>
      </c>
      <c r="EB11" s="12" t="str">
        <f t="shared" si="51"/>
        <v/>
      </c>
      <c r="EC11" s="12" t="str">
        <f t="shared" si="52"/>
        <v/>
      </c>
      <c r="ED11" s="12" t="str">
        <f t="shared" si="53"/>
        <v/>
      </c>
      <c r="EE11" s="12" t="str">
        <f t="shared" si="54"/>
        <v/>
      </c>
      <c r="EF11" s="12" t="str">
        <f t="shared" si="55"/>
        <v/>
      </c>
      <c r="EG11" s="40"/>
      <c r="EH11" s="40"/>
      <c r="EI11" s="40"/>
      <c r="EJ11" s="40"/>
      <c r="EK11" s="40"/>
      <c r="EL11" s="40"/>
      <c r="EM11" s="40"/>
      <c r="EN11" s="40"/>
      <c r="EO11" s="40"/>
      <c r="EP11" s="40"/>
      <c r="EQ11" s="40"/>
      <c r="ER11" s="40"/>
      <c r="ES11" s="40"/>
      <c r="ET11" s="40"/>
      <c r="EU11" s="40"/>
      <c r="EV11" s="15" t="str">
        <f t="shared" si="56"/>
        <v/>
      </c>
      <c r="EW11" s="15" t="str">
        <f t="shared" si="57"/>
        <v/>
      </c>
      <c r="EX11" s="15" t="str">
        <f t="shared" si="58"/>
        <v/>
      </c>
      <c r="EY11" s="15" t="str">
        <f t="shared" si="59"/>
        <v/>
      </c>
      <c r="EZ11" s="15" t="str">
        <f t="shared" si="60"/>
        <v/>
      </c>
      <c r="FA11" s="15" t="str">
        <f t="shared" si="61"/>
        <v/>
      </c>
      <c r="FB11" s="15" t="str">
        <f t="shared" si="62"/>
        <v/>
      </c>
      <c r="FC11" s="39"/>
      <c r="FD11" s="39"/>
      <c r="FE11" s="39"/>
      <c r="FF11" s="39"/>
      <c r="FG11" s="39"/>
      <c r="FH11" s="39"/>
      <c r="FI11" s="39"/>
      <c r="FJ11" s="39"/>
      <c r="FK11" s="39"/>
      <c r="FL11" s="39"/>
      <c r="FM11" s="39"/>
      <c r="FN11" s="39"/>
      <c r="FO11" s="39"/>
      <c r="FP11" s="39"/>
      <c r="FQ11" s="39"/>
      <c r="FR11" s="12" t="str">
        <f t="shared" si="63"/>
        <v/>
      </c>
      <c r="FS11" s="12" t="str">
        <f t="shared" si="64"/>
        <v/>
      </c>
      <c r="FT11" s="12" t="str">
        <f t="shared" si="65"/>
        <v/>
      </c>
      <c r="FU11" s="12" t="str">
        <f t="shared" si="66"/>
        <v/>
      </c>
      <c r="FV11" s="12" t="str">
        <f t="shared" si="67"/>
        <v/>
      </c>
      <c r="FW11" s="12" t="str">
        <f t="shared" si="68"/>
        <v/>
      </c>
      <c r="FX11" s="12" t="str">
        <f t="shared" si="69"/>
        <v/>
      </c>
      <c r="FY11" s="40"/>
      <c r="FZ11" s="40"/>
      <c r="GA11" s="40"/>
      <c r="GB11" s="40"/>
      <c r="GC11" s="40"/>
      <c r="GD11" s="40"/>
      <c r="GE11" s="40"/>
      <c r="GF11" s="40"/>
      <c r="GG11" s="40"/>
      <c r="GH11" s="40"/>
      <c r="GI11" s="40"/>
      <c r="GJ11" s="40"/>
      <c r="GK11" s="40"/>
      <c r="GL11" s="40"/>
      <c r="GM11" s="40"/>
      <c r="GN11" s="15" t="str">
        <f t="shared" si="70"/>
        <v/>
      </c>
      <c r="GO11" s="15" t="str">
        <f t="shared" si="71"/>
        <v/>
      </c>
      <c r="GP11" s="15" t="str">
        <f t="shared" si="72"/>
        <v/>
      </c>
      <c r="GQ11" s="15" t="str">
        <f t="shared" si="73"/>
        <v/>
      </c>
      <c r="GR11" s="15" t="str">
        <f t="shared" si="74"/>
        <v/>
      </c>
      <c r="GS11" s="15" t="str">
        <f t="shared" si="75"/>
        <v/>
      </c>
      <c r="GT11" s="15" t="str">
        <f t="shared" si="76"/>
        <v/>
      </c>
      <c r="GU11" s="39"/>
      <c r="GV11" s="39"/>
      <c r="GW11" s="39"/>
      <c r="GX11" s="39"/>
      <c r="GY11" s="39"/>
      <c r="GZ11" s="39"/>
      <c r="HA11" s="39"/>
      <c r="HB11" s="39"/>
      <c r="HC11" s="39"/>
      <c r="HD11" s="39"/>
      <c r="HE11" s="39"/>
      <c r="HF11" s="39"/>
      <c r="HG11" s="39"/>
      <c r="HH11" s="39"/>
      <c r="HI11" s="39"/>
      <c r="HJ11" s="12" t="str">
        <f t="shared" si="77"/>
        <v/>
      </c>
      <c r="HK11" s="12" t="str">
        <f t="shared" si="78"/>
        <v/>
      </c>
      <c r="HL11" s="12" t="str">
        <f t="shared" si="79"/>
        <v/>
      </c>
      <c r="HM11" s="12" t="str">
        <f t="shared" si="80"/>
        <v/>
      </c>
      <c r="HN11" s="12" t="str">
        <f t="shared" si="81"/>
        <v/>
      </c>
      <c r="HO11" s="12" t="str">
        <f t="shared" si="82"/>
        <v/>
      </c>
      <c r="HP11" s="12" t="str">
        <f t="shared" si="83"/>
        <v/>
      </c>
      <c r="HQ11" s="40"/>
      <c r="HR11" s="40"/>
      <c r="HS11" s="40"/>
      <c r="HT11" s="40"/>
      <c r="HU11" s="40"/>
      <c r="HV11" s="40"/>
      <c r="HW11" s="40"/>
      <c r="HX11" s="40"/>
      <c r="HY11" s="40"/>
      <c r="HZ11" s="40"/>
      <c r="IA11" s="40"/>
      <c r="IB11" s="40"/>
      <c r="IC11" s="40"/>
      <c r="ID11" s="40"/>
      <c r="IE11" s="40"/>
      <c r="IF11" s="15" t="str">
        <f t="shared" si="84"/>
        <v/>
      </c>
      <c r="IG11" s="15" t="str">
        <f t="shared" si="85"/>
        <v/>
      </c>
      <c r="IH11" s="15" t="str">
        <f t="shared" si="86"/>
        <v/>
      </c>
      <c r="II11" s="15" t="str">
        <f t="shared" si="87"/>
        <v/>
      </c>
      <c r="IJ11" s="15" t="str">
        <f t="shared" si="88"/>
        <v/>
      </c>
      <c r="IK11" s="15" t="str">
        <f t="shared" si="89"/>
        <v/>
      </c>
      <c r="IL11" s="15" t="str">
        <f t="shared" si="90"/>
        <v/>
      </c>
      <c r="IM11" s="39"/>
      <c r="IN11" s="39"/>
      <c r="IO11" s="39"/>
      <c r="IP11" s="39"/>
      <c r="IQ11" s="39"/>
      <c r="IR11" s="39"/>
      <c r="IS11" s="39"/>
      <c r="IT11" s="39"/>
      <c r="IU11" s="39"/>
      <c r="IV11" s="39"/>
      <c r="IW11" s="39"/>
      <c r="IX11" s="39"/>
      <c r="IY11" s="39"/>
      <c r="IZ11" s="39"/>
      <c r="JA11" s="39"/>
      <c r="JB11" s="12" t="str">
        <f t="shared" si="91"/>
        <v/>
      </c>
      <c r="JC11" s="12" t="str">
        <f t="shared" si="92"/>
        <v/>
      </c>
      <c r="JD11" s="12" t="str">
        <f t="shared" si="93"/>
        <v/>
      </c>
      <c r="JE11" s="12" t="str">
        <f t="shared" si="94"/>
        <v/>
      </c>
      <c r="JF11" s="12" t="str">
        <f t="shared" si="95"/>
        <v/>
      </c>
      <c r="JG11" s="12" t="str">
        <f t="shared" si="96"/>
        <v/>
      </c>
      <c r="JH11" s="12" t="str">
        <f t="shared" si="97"/>
        <v/>
      </c>
      <c r="JI11" s="40"/>
      <c r="JJ11" s="40"/>
      <c r="JK11" s="40"/>
      <c r="JL11" s="40"/>
      <c r="JM11" s="40"/>
      <c r="JN11" s="40"/>
      <c r="JO11" s="40"/>
      <c r="JP11" s="40"/>
      <c r="JQ11" s="40"/>
      <c r="JR11" s="40"/>
      <c r="JS11" s="40"/>
      <c r="JT11" s="40"/>
      <c r="JU11" s="40"/>
      <c r="JV11" s="40"/>
      <c r="JW11" s="40"/>
      <c r="JX11" s="15" t="str">
        <f t="shared" si="98"/>
        <v/>
      </c>
      <c r="JY11" s="15" t="str">
        <f t="shared" si="99"/>
        <v/>
      </c>
      <c r="JZ11" s="15" t="str">
        <f t="shared" si="100"/>
        <v/>
      </c>
      <c r="KA11" s="15" t="str">
        <f t="shared" si="101"/>
        <v/>
      </c>
      <c r="KB11" s="15" t="str">
        <f t="shared" si="102"/>
        <v/>
      </c>
      <c r="KC11" s="15" t="str">
        <f t="shared" si="103"/>
        <v/>
      </c>
      <c r="KD11" s="15" t="str">
        <f t="shared" si="104"/>
        <v/>
      </c>
      <c r="KE11" s="39"/>
      <c r="KF11" s="39"/>
      <c r="KG11" s="39"/>
      <c r="KH11" s="39"/>
      <c r="KI11" s="39"/>
      <c r="KJ11" s="39"/>
      <c r="KK11" s="39"/>
      <c r="KL11" s="39"/>
      <c r="KM11" s="39"/>
      <c r="KN11" s="39"/>
      <c r="KO11" s="39"/>
      <c r="KP11" s="39"/>
      <c r="KQ11" s="39"/>
      <c r="KR11" s="39"/>
      <c r="KS11" s="39"/>
      <c r="KT11" s="12" t="str">
        <f t="shared" si="105"/>
        <v/>
      </c>
      <c r="KU11" s="12" t="str">
        <f t="shared" si="106"/>
        <v/>
      </c>
      <c r="KV11" s="12" t="str">
        <f t="shared" si="107"/>
        <v/>
      </c>
      <c r="KW11" s="12" t="str">
        <f t="shared" si="108"/>
        <v/>
      </c>
      <c r="KX11" s="12" t="str">
        <f t="shared" si="109"/>
        <v/>
      </c>
      <c r="KY11" s="12" t="str">
        <f t="shared" si="110"/>
        <v/>
      </c>
      <c r="KZ11" s="12" t="str">
        <f t="shared" si="111"/>
        <v/>
      </c>
      <c r="LA11" s="40"/>
      <c r="LB11" s="40"/>
      <c r="LC11" s="40"/>
      <c r="LD11" s="40"/>
      <c r="LE11" s="40"/>
      <c r="LF11" s="40"/>
      <c r="LG11" s="40"/>
      <c r="LH11" s="40"/>
      <c r="LI11" s="40"/>
      <c r="LJ11" s="40"/>
      <c r="LK11" s="40"/>
      <c r="LL11" s="40"/>
      <c r="LM11" s="40"/>
      <c r="LN11" s="40"/>
      <c r="LO11" s="40"/>
      <c r="LP11" s="15" t="str">
        <f t="shared" si="112"/>
        <v/>
      </c>
      <c r="LQ11" s="15" t="str">
        <f t="shared" si="113"/>
        <v/>
      </c>
      <c r="LR11" s="15" t="str">
        <f t="shared" si="114"/>
        <v/>
      </c>
      <c r="LS11" s="15" t="str">
        <f t="shared" si="115"/>
        <v/>
      </c>
      <c r="LT11" s="15" t="str">
        <f t="shared" si="116"/>
        <v/>
      </c>
      <c r="LU11" s="15" t="str">
        <f t="shared" si="117"/>
        <v/>
      </c>
      <c r="LV11" s="15" t="str">
        <f t="shared" si="118"/>
        <v/>
      </c>
      <c r="LW11" s="71">
        <f t="shared" si="126"/>
        <v>4.4625000000000004</v>
      </c>
      <c r="LX11" s="71">
        <f t="shared" si="127"/>
        <v>4.5625</v>
      </c>
      <c r="LY11" s="71">
        <f t="shared" si="128"/>
        <v>2.2000000000000002</v>
      </c>
      <c r="LZ11" s="71">
        <f t="shared" si="129"/>
        <v>9.2600000000000016</v>
      </c>
      <c r="MA11" s="71">
        <f t="shared" si="130"/>
        <v>0</v>
      </c>
      <c r="MB11" s="71">
        <f t="shared" si="131"/>
        <v>4.1812500000000004</v>
      </c>
      <c r="MC11" s="71">
        <f t="shared" si="132"/>
        <v>4.55</v>
      </c>
      <c r="MD11" s="71">
        <f t="shared" si="133"/>
        <v>5.55</v>
      </c>
      <c r="ME11" s="71">
        <f t="shared" si="134"/>
        <v>8.91</v>
      </c>
      <c r="MF11" s="71">
        <f t="shared" si="135"/>
        <v>0</v>
      </c>
      <c r="MG11" s="71">
        <f t="shared" si="136"/>
        <v>2.8687499999999999</v>
      </c>
      <c r="MH11" s="71">
        <f t="shared" si="137"/>
        <v>3.15</v>
      </c>
      <c r="MI11" s="71">
        <f t="shared" si="138"/>
        <v>4.125</v>
      </c>
      <c r="MJ11" s="71">
        <f t="shared" si="139"/>
        <v>6.0649999999999995</v>
      </c>
      <c r="MK11" s="71">
        <f t="shared" si="140"/>
        <v>0</v>
      </c>
      <c r="ML11" s="82" t="s">
        <v>100</v>
      </c>
      <c r="MM11" s="12">
        <f t="shared" si="141"/>
        <v>5.55</v>
      </c>
      <c r="MN11" s="12">
        <f t="shared" si="121"/>
        <v>20.485000000000003</v>
      </c>
      <c r="MO11" s="12">
        <f t="shared" si="142"/>
        <v>23.19125</v>
      </c>
      <c r="MP11" s="12">
        <f t="shared" si="143"/>
        <v>43.676250000000003</v>
      </c>
      <c r="MQ11" s="12">
        <f t="shared" si="144"/>
        <v>4.125</v>
      </c>
      <c r="MR11" s="12">
        <f t="shared" si="145"/>
        <v>16.208750000000002</v>
      </c>
      <c r="MS11" s="12">
        <f t="shared" si="146"/>
        <v>59.885000000000005</v>
      </c>
    </row>
    <row r="12" spans="1:357" x14ac:dyDescent="0.2">
      <c r="A12" s="6">
        <f t="shared" si="0"/>
        <v>6</v>
      </c>
      <c r="B12" s="7" t="s">
        <v>193</v>
      </c>
      <c r="C12" s="8" t="s">
        <v>3</v>
      </c>
      <c r="D12" s="6" t="s">
        <v>192</v>
      </c>
      <c r="E12" s="16">
        <f t="shared" si="1"/>
        <v>109.48999999999998</v>
      </c>
      <c r="F12" s="4" t="str">
        <f t="shared" si="2"/>
        <v/>
      </c>
      <c r="G12" s="4" t="str">
        <f t="shared" si="3"/>
        <v/>
      </c>
      <c r="H12" s="4" t="str">
        <f t="shared" si="4"/>
        <v>P</v>
      </c>
      <c r="I12" t="str">
        <f t="shared" si="5"/>
        <v>No DD</v>
      </c>
      <c r="J12" s="15">
        <f t="shared" si="6"/>
        <v>86.169999999999987</v>
      </c>
      <c r="K12" s="15" t="str">
        <f t="shared" si="7"/>
        <v>2019 Nationals</v>
      </c>
      <c r="L12" s="15" t="str">
        <f t="shared" si="8"/>
        <v/>
      </c>
      <c r="M12" s="15" t="str">
        <f t="shared" si="9"/>
        <v/>
      </c>
      <c r="N12" s="15" t="str">
        <f t="shared" si="10"/>
        <v/>
      </c>
      <c r="O12" s="15" t="str">
        <f t="shared" si="11"/>
        <v/>
      </c>
      <c r="P12" s="15">
        <f t="shared" si="12"/>
        <v>23.32</v>
      </c>
      <c r="Q12" s="15" t="str">
        <f t="shared" si="13"/>
        <v>2019 Nationals</v>
      </c>
      <c r="R12" s="15" t="str">
        <f t="shared" si="14"/>
        <v/>
      </c>
      <c r="S12" s="27" t="str">
        <f t="shared" si="15"/>
        <v/>
      </c>
      <c r="T12" s="15" t="str">
        <f t="shared" si="16"/>
        <v/>
      </c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82"/>
      <c r="AK12" s="12" t="str">
        <f t="shared" si="17"/>
        <v/>
      </c>
      <c r="AL12" s="12" t="str">
        <f t="shared" si="18"/>
        <v/>
      </c>
      <c r="AM12" s="12" t="str">
        <f t="shared" si="19"/>
        <v/>
      </c>
      <c r="AN12" s="12" t="str">
        <f t="shared" si="20"/>
        <v/>
      </c>
      <c r="AO12" s="12" t="str">
        <f t="shared" si="21"/>
        <v/>
      </c>
      <c r="AP12" s="12" t="str">
        <f t="shared" si="22"/>
        <v/>
      </c>
      <c r="AQ12" s="12" t="str">
        <f t="shared" si="23"/>
        <v/>
      </c>
      <c r="AR12" s="40">
        <v>8.85</v>
      </c>
      <c r="AS12" s="40">
        <v>9.4499999999999993</v>
      </c>
      <c r="AT12" s="40">
        <v>3.3</v>
      </c>
      <c r="AU12" s="40">
        <v>18.66</v>
      </c>
      <c r="AV12" s="40">
        <v>0</v>
      </c>
      <c r="AW12" s="40">
        <v>8</v>
      </c>
      <c r="AX12" s="40">
        <v>9.15</v>
      </c>
      <c r="AY12" s="40">
        <v>10.5</v>
      </c>
      <c r="AZ12" s="40">
        <v>18.260000000000002</v>
      </c>
      <c r="BA12" s="40">
        <v>0</v>
      </c>
      <c r="BB12" s="40">
        <v>4</v>
      </c>
      <c r="BC12" s="40">
        <v>4.8</v>
      </c>
      <c r="BD12" s="40">
        <v>5.7</v>
      </c>
      <c r="BE12" s="40">
        <v>8.82</v>
      </c>
      <c r="BF12" s="40">
        <v>0</v>
      </c>
      <c r="BG12" s="83"/>
      <c r="BH12" s="15">
        <f t="shared" si="24"/>
        <v>10.5</v>
      </c>
      <c r="BI12" s="15">
        <f t="shared" si="25"/>
        <v>40.26</v>
      </c>
      <c r="BJ12" s="15">
        <f t="shared" si="26"/>
        <v>45.91</v>
      </c>
      <c r="BK12" s="15">
        <f t="shared" si="27"/>
        <v>86.169999999999987</v>
      </c>
      <c r="BL12" s="15">
        <f t="shared" si="28"/>
        <v>5.7</v>
      </c>
      <c r="BM12" s="15">
        <f t="shared" si="29"/>
        <v>23.32</v>
      </c>
      <c r="BN12" s="15">
        <f t="shared" si="30"/>
        <v>109.48999999999998</v>
      </c>
      <c r="BO12" s="26" t="str">
        <f t="shared" si="31"/>
        <v/>
      </c>
      <c r="BP12" s="26" t="str">
        <f t="shared" si="32"/>
        <v/>
      </c>
      <c r="BQ12" s="26" t="str">
        <f t="shared" si="33"/>
        <v/>
      </c>
      <c r="BR12" s="26" t="str">
        <f t="shared" si="34"/>
        <v/>
      </c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12" t="str">
        <f t="shared" si="35"/>
        <v/>
      </c>
      <c r="CI12" s="12" t="str">
        <f t="shared" si="36"/>
        <v/>
      </c>
      <c r="CJ12" s="12" t="str">
        <f t="shared" si="37"/>
        <v/>
      </c>
      <c r="CK12" s="12" t="str">
        <f t="shared" si="38"/>
        <v/>
      </c>
      <c r="CL12" s="12" t="str">
        <f t="shared" si="39"/>
        <v/>
      </c>
      <c r="CM12" s="12" t="str">
        <f t="shared" si="40"/>
        <v/>
      </c>
      <c r="CN12" s="12" t="str">
        <f t="shared" si="41"/>
        <v/>
      </c>
      <c r="CO12" s="40"/>
      <c r="CP12" s="40"/>
      <c r="CQ12" s="40"/>
      <c r="CR12" s="40"/>
      <c r="CS12" s="40"/>
      <c r="CT12" s="40"/>
      <c r="CU12" s="40"/>
      <c r="CV12" s="40"/>
      <c r="CW12" s="40"/>
      <c r="CX12" s="40"/>
      <c r="CY12" s="40"/>
      <c r="CZ12" s="40"/>
      <c r="DA12" s="40"/>
      <c r="DB12" s="40"/>
      <c r="DC12" s="40"/>
      <c r="DD12" s="15" t="str">
        <f t="shared" si="42"/>
        <v/>
      </c>
      <c r="DE12" s="15" t="str">
        <f t="shared" si="43"/>
        <v/>
      </c>
      <c r="DF12" s="15" t="str">
        <f t="shared" si="44"/>
        <v/>
      </c>
      <c r="DG12" s="15" t="str">
        <f t="shared" si="45"/>
        <v/>
      </c>
      <c r="DH12" s="15" t="str">
        <f t="shared" si="46"/>
        <v/>
      </c>
      <c r="DI12" s="15" t="str">
        <f t="shared" si="47"/>
        <v/>
      </c>
      <c r="DJ12" s="15" t="str">
        <f t="shared" si="48"/>
        <v/>
      </c>
      <c r="DK12" s="39"/>
      <c r="DL12" s="39"/>
      <c r="DM12" s="39"/>
      <c r="DN12" s="39"/>
      <c r="DO12" s="39"/>
      <c r="DP12" s="39"/>
      <c r="DQ12" s="39"/>
      <c r="DR12" s="39"/>
      <c r="DS12" s="39"/>
      <c r="DT12" s="39"/>
      <c r="DU12" s="39"/>
      <c r="DV12" s="39"/>
      <c r="DW12" s="39"/>
      <c r="DX12" s="39"/>
      <c r="DY12" s="39"/>
      <c r="DZ12" s="12" t="str">
        <f t="shared" si="49"/>
        <v/>
      </c>
      <c r="EA12" s="12" t="str">
        <f t="shared" si="50"/>
        <v/>
      </c>
      <c r="EB12" s="12" t="str">
        <f t="shared" si="51"/>
        <v/>
      </c>
      <c r="EC12" s="12" t="str">
        <f t="shared" si="52"/>
        <v/>
      </c>
      <c r="ED12" s="12" t="str">
        <f t="shared" si="53"/>
        <v/>
      </c>
      <c r="EE12" s="12" t="str">
        <f t="shared" si="54"/>
        <v/>
      </c>
      <c r="EF12" s="12" t="str">
        <f t="shared" si="55"/>
        <v/>
      </c>
      <c r="EG12" s="40"/>
      <c r="EH12" s="40"/>
      <c r="EI12" s="40"/>
      <c r="EJ12" s="40"/>
      <c r="EK12" s="40"/>
      <c r="EL12" s="40"/>
      <c r="EM12" s="40"/>
      <c r="EN12" s="40"/>
      <c r="EO12" s="40"/>
      <c r="EP12" s="40"/>
      <c r="EQ12" s="40"/>
      <c r="ER12" s="40"/>
      <c r="ES12" s="40"/>
      <c r="ET12" s="40"/>
      <c r="EU12" s="40"/>
      <c r="EV12" s="15" t="str">
        <f t="shared" si="56"/>
        <v/>
      </c>
      <c r="EW12" s="15" t="str">
        <f t="shared" si="57"/>
        <v/>
      </c>
      <c r="EX12" s="15" t="str">
        <f t="shared" si="58"/>
        <v/>
      </c>
      <c r="EY12" s="15" t="str">
        <f t="shared" si="59"/>
        <v/>
      </c>
      <c r="EZ12" s="15" t="str">
        <f t="shared" si="60"/>
        <v/>
      </c>
      <c r="FA12" s="15" t="str">
        <f t="shared" si="61"/>
        <v/>
      </c>
      <c r="FB12" s="15" t="str">
        <f t="shared" si="62"/>
        <v/>
      </c>
      <c r="FC12" s="39"/>
      <c r="FD12" s="39"/>
      <c r="FE12" s="39"/>
      <c r="FF12" s="39"/>
      <c r="FG12" s="39"/>
      <c r="FH12" s="39"/>
      <c r="FI12" s="39"/>
      <c r="FJ12" s="39"/>
      <c r="FK12" s="39"/>
      <c r="FL12" s="39"/>
      <c r="FM12" s="39"/>
      <c r="FN12" s="39"/>
      <c r="FO12" s="39"/>
      <c r="FP12" s="39"/>
      <c r="FQ12" s="39"/>
      <c r="FR12" s="12" t="str">
        <f t="shared" si="63"/>
        <v/>
      </c>
      <c r="FS12" s="12" t="str">
        <f t="shared" si="64"/>
        <v/>
      </c>
      <c r="FT12" s="12" t="str">
        <f t="shared" si="65"/>
        <v/>
      </c>
      <c r="FU12" s="12" t="str">
        <f t="shared" si="66"/>
        <v/>
      </c>
      <c r="FV12" s="12" t="str">
        <f t="shared" si="67"/>
        <v/>
      </c>
      <c r="FW12" s="12" t="str">
        <f t="shared" si="68"/>
        <v/>
      </c>
      <c r="FX12" s="12" t="str">
        <f t="shared" si="69"/>
        <v/>
      </c>
      <c r="FY12" s="40"/>
      <c r="FZ12" s="40"/>
      <c r="GA12" s="40"/>
      <c r="GB12" s="40"/>
      <c r="GC12" s="40"/>
      <c r="GD12" s="40"/>
      <c r="GE12" s="40"/>
      <c r="GF12" s="40"/>
      <c r="GG12" s="40"/>
      <c r="GH12" s="40"/>
      <c r="GI12" s="40"/>
      <c r="GJ12" s="40"/>
      <c r="GK12" s="40"/>
      <c r="GL12" s="40"/>
      <c r="GM12" s="40"/>
      <c r="GN12" s="15" t="str">
        <f t="shared" si="70"/>
        <v/>
      </c>
      <c r="GO12" s="15" t="str">
        <f t="shared" si="71"/>
        <v/>
      </c>
      <c r="GP12" s="15" t="str">
        <f t="shared" si="72"/>
        <v/>
      </c>
      <c r="GQ12" s="15" t="str">
        <f t="shared" si="73"/>
        <v/>
      </c>
      <c r="GR12" s="15" t="str">
        <f t="shared" si="74"/>
        <v/>
      </c>
      <c r="GS12" s="15" t="str">
        <f t="shared" si="75"/>
        <v/>
      </c>
      <c r="GT12" s="15" t="str">
        <f t="shared" si="76"/>
        <v/>
      </c>
      <c r="GU12" s="39"/>
      <c r="GV12" s="39"/>
      <c r="GW12" s="39"/>
      <c r="GX12" s="39"/>
      <c r="GY12" s="39"/>
      <c r="GZ12" s="39"/>
      <c r="HA12" s="39"/>
      <c r="HB12" s="39"/>
      <c r="HC12" s="39"/>
      <c r="HD12" s="39"/>
      <c r="HE12" s="39"/>
      <c r="HF12" s="39"/>
      <c r="HG12" s="39"/>
      <c r="HH12" s="39"/>
      <c r="HI12" s="39"/>
      <c r="HJ12" s="12" t="str">
        <f t="shared" si="77"/>
        <v/>
      </c>
      <c r="HK12" s="12" t="str">
        <f t="shared" si="78"/>
        <v/>
      </c>
      <c r="HL12" s="12" t="str">
        <f t="shared" si="79"/>
        <v/>
      </c>
      <c r="HM12" s="12" t="str">
        <f t="shared" si="80"/>
        <v/>
      </c>
      <c r="HN12" s="12" t="str">
        <f t="shared" si="81"/>
        <v/>
      </c>
      <c r="HO12" s="12" t="str">
        <f t="shared" si="82"/>
        <v/>
      </c>
      <c r="HP12" s="12" t="str">
        <f t="shared" si="83"/>
        <v/>
      </c>
      <c r="HQ12" s="40"/>
      <c r="HR12" s="40"/>
      <c r="HS12" s="40"/>
      <c r="HT12" s="40"/>
      <c r="HU12" s="40"/>
      <c r="HV12" s="40"/>
      <c r="HW12" s="40"/>
      <c r="HX12" s="40"/>
      <c r="HY12" s="40"/>
      <c r="HZ12" s="40"/>
      <c r="IA12" s="40"/>
      <c r="IB12" s="40"/>
      <c r="IC12" s="40"/>
      <c r="ID12" s="40"/>
      <c r="IE12" s="40"/>
      <c r="IF12" s="15" t="str">
        <f t="shared" si="84"/>
        <v/>
      </c>
      <c r="IG12" s="15" t="str">
        <f t="shared" si="85"/>
        <v/>
      </c>
      <c r="IH12" s="15" t="str">
        <f t="shared" si="86"/>
        <v/>
      </c>
      <c r="II12" s="15" t="str">
        <f t="shared" si="87"/>
        <v/>
      </c>
      <c r="IJ12" s="15" t="str">
        <f t="shared" si="88"/>
        <v/>
      </c>
      <c r="IK12" s="15" t="str">
        <f t="shared" si="89"/>
        <v/>
      </c>
      <c r="IL12" s="15" t="str">
        <f t="shared" si="90"/>
        <v/>
      </c>
      <c r="IM12" s="39"/>
      <c r="IN12" s="39"/>
      <c r="IO12" s="39"/>
      <c r="IP12" s="39"/>
      <c r="IQ12" s="39"/>
      <c r="IR12" s="39"/>
      <c r="IS12" s="39"/>
      <c r="IT12" s="39"/>
      <c r="IU12" s="39"/>
      <c r="IV12" s="39"/>
      <c r="IW12" s="39"/>
      <c r="IX12" s="39"/>
      <c r="IY12" s="39"/>
      <c r="IZ12" s="39"/>
      <c r="JA12" s="39"/>
      <c r="JB12" s="12" t="str">
        <f t="shared" si="91"/>
        <v/>
      </c>
      <c r="JC12" s="12" t="str">
        <f t="shared" si="92"/>
        <v/>
      </c>
      <c r="JD12" s="12" t="str">
        <f t="shared" si="93"/>
        <v/>
      </c>
      <c r="JE12" s="12" t="str">
        <f t="shared" si="94"/>
        <v/>
      </c>
      <c r="JF12" s="12" t="str">
        <f t="shared" si="95"/>
        <v/>
      </c>
      <c r="JG12" s="12" t="str">
        <f t="shared" si="96"/>
        <v/>
      </c>
      <c r="JH12" s="12" t="str">
        <f t="shared" si="97"/>
        <v/>
      </c>
      <c r="JI12" s="40"/>
      <c r="JJ12" s="40"/>
      <c r="JK12" s="40"/>
      <c r="JL12" s="40"/>
      <c r="JM12" s="40"/>
      <c r="JN12" s="40"/>
      <c r="JO12" s="40"/>
      <c r="JP12" s="40"/>
      <c r="JQ12" s="40"/>
      <c r="JR12" s="40"/>
      <c r="JS12" s="40"/>
      <c r="JT12" s="40"/>
      <c r="JU12" s="40"/>
      <c r="JV12" s="40"/>
      <c r="JW12" s="40"/>
      <c r="JX12" s="15" t="str">
        <f t="shared" si="98"/>
        <v/>
      </c>
      <c r="JY12" s="15" t="str">
        <f t="shared" si="99"/>
        <v/>
      </c>
      <c r="JZ12" s="15" t="str">
        <f t="shared" si="100"/>
        <v/>
      </c>
      <c r="KA12" s="15" t="str">
        <f t="shared" si="101"/>
        <v/>
      </c>
      <c r="KB12" s="15" t="str">
        <f t="shared" si="102"/>
        <v/>
      </c>
      <c r="KC12" s="15" t="str">
        <f t="shared" si="103"/>
        <v/>
      </c>
      <c r="KD12" s="15" t="str">
        <f t="shared" si="104"/>
        <v/>
      </c>
      <c r="KE12" s="39"/>
      <c r="KF12" s="39"/>
      <c r="KG12" s="39"/>
      <c r="KH12" s="39"/>
      <c r="KI12" s="39"/>
      <c r="KJ12" s="39"/>
      <c r="KK12" s="39"/>
      <c r="KL12" s="39"/>
      <c r="KM12" s="39"/>
      <c r="KN12" s="39"/>
      <c r="KO12" s="39"/>
      <c r="KP12" s="39"/>
      <c r="KQ12" s="39"/>
      <c r="KR12" s="39"/>
      <c r="KS12" s="39"/>
      <c r="KT12" s="12" t="str">
        <f t="shared" si="105"/>
        <v/>
      </c>
      <c r="KU12" s="12" t="str">
        <f t="shared" si="106"/>
        <v/>
      </c>
      <c r="KV12" s="12" t="str">
        <f t="shared" si="107"/>
        <v/>
      </c>
      <c r="KW12" s="12" t="str">
        <f t="shared" si="108"/>
        <v/>
      </c>
      <c r="KX12" s="12" t="str">
        <f t="shared" si="109"/>
        <v/>
      </c>
      <c r="KY12" s="12" t="str">
        <f t="shared" si="110"/>
        <v/>
      </c>
      <c r="KZ12" s="12" t="str">
        <f t="shared" si="111"/>
        <v/>
      </c>
      <c r="LA12" s="40"/>
      <c r="LB12" s="40"/>
      <c r="LC12" s="40"/>
      <c r="LD12" s="40"/>
      <c r="LE12" s="40"/>
      <c r="LF12" s="40"/>
      <c r="LG12" s="40"/>
      <c r="LH12" s="40"/>
      <c r="LI12" s="40"/>
      <c r="LJ12" s="40"/>
      <c r="LK12" s="40"/>
      <c r="LL12" s="40"/>
      <c r="LM12" s="40"/>
      <c r="LN12" s="40"/>
      <c r="LO12" s="40"/>
      <c r="LP12" s="15" t="str">
        <f t="shared" si="112"/>
        <v/>
      </c>
      <c r="LQ12" s="15" t="str">
        <f t="shared" si="113"/>
        <v/>
      </c>
      <c r="LR12" s="15" t="str">
        <f t="shared" si="114"/>
        <v/>
      </c>
      <c r="LS12" s="15" t="str">
        <f t="shared" si="115"/>
        <v/>
      </c>
      <c r="LT12" s="15" t="str">
        <f t="shared" si="116"/>
        <v/>
      </c>
      <c r="LU12" s="15" t="str">
        <f t="shared" si="117"/>
        <v/>
      </c>
      <c r="LV12" s="15" t="str">
        <f t="shared" si="118"/>
        <v/>
      </c>
      <c r="LW12" s="71">
        <f t="shared" si="126"/>
        <v>4.4249999999999998</v>
      </c>
      <c r="LX12" s="71">
        <f t="shared" si="127"/>
        <v>4.7249999999999996</v>
      </c>
      <c r="LY12" s="71">
        <f t="shared" si="128"/>
        <v>1.65</v>
      </c>
      <c r="LZ12" s="71">
        <f t="shared" si="129"/>
        <v>9.33</v>
      </c>
      <c r="MA12" s="71">
        <f t="shared" si="130"/>
        <v>0</v>
      </c>
      <c r="MB12" s="71">
        <f t="shared" si="131"/>
        <v>4</v>
      </c>
      <c r="MC12" s="71">
        <f t="shared" si="132"/>
        <v>4.5750000000000002</v>
      </c>
      <c r="MD12" s="71">
        <f t="shared" si="133"/>
        <v>5.25</v>
      </c>
      <c r="ME12" s="71">
        <f t="shared" si="134"/>
        <v>9.1300000000000008</v>
      </c>
      <c r="MF12" s="71">
        <f t="shared" si="135"/>
        <v>0</v>
      </c>
      <c r="MG12" s="71">
        <f t="shared" si="136"/>
        <v>2</v>
      </c>
      <c r="MH12" s="71">
        <f t="shared" si="137"/>
        <v>2.4</v>
      </c>
      <c r="MI12" s="71">
        <f t="shared" si="138"/>
        <v>2.85</v>
      </c>
      <c r="MJ12" s="71">
        <f t="shared" si="139"/>
        <v>4.41</v>
      </c>
      <c r="MK12" s="71">
        <f t="shared" si="140"/>
        <v>0</v>
      </c>
      <c r="ML12" s="82" t="s">
        <v>100</v>
      </c>
      <c r="MM12" s="12">
        <f t="shared" si="141"/>
        <v>5.25</v>
      </c>
      <c r="MN12" s="12">
        <f t="shared" si="121"/>
        <v>20.13</v>
      </c>
      <c r="MO12" s="12">
        <f t="shared" si="142"/>
        <v>22.954999999999998</v>
      </c>
      <c r="MP12" s="12">
        <f t="shared" si="143"/>
        <v>43.084999999999994</v>
      </c>
      <c r="MQ12" s="12">
        <f t="shared" si="144"/>
        <v>2.85</v>
      </c>
      <c r="MR12" s="12">
        <f t="shared" si="145"/>
        <v>11.66</v>
      </c>
      <c r="MS12" s="12">
        <f t="shared" si="146"/>
        <v>54.74499999999999</v>
      </c>
    </row>
    <row r="13" spans="1:357" x14ac:dyDescent="0.2">
      <c r="A13" s="6" t="str">
        <f t="shared" si="0"/>
        <v/>
      </c>
      <c r="B13" s="7" t="s">
        <v>196</v>
      </c>
      <c r="C13" s="8" t="s">
        <v>131</v>
      </c>
      <c r="D13" s="6" t="s">
        <v>195</v>
      </c>
      <c r="E13" s="16">
        <f t="shared" si="1"/>
        <v>98.980000000000018</v>
      </c>
      <c r="F13" s="4" t="str">
        <f t="shared" si="2"/>
        <v/>
      </c>
      <c r="G13" s="4" t="str">
        <f t="shared" si="3"/>
        <v/>
      </c>
      <c r="H13" s="4" t="str">
        <f t="shared" si="4"/>
        <v/>
      </c>
      <c r="I13" t="str">
        <f t="shared" si="5"/>
        <v/>
      </c>
      <c r="J13" s="15">
        <f t="shared" si="6"/>
        <v>53.95</v>
      </c>
      <c r="K13" s="15" t="str">
        <f t="shared" si="7"/>
        <v>2019 Nationals</v>
      </c>
      <c r="L13" s="15" t="str">
        <f t="shared" si="8"/>
        <v/>
      </c>
      <c r="M13" s="15" t="str">
        <f t="shared" si="9"/>
        <v/>
      </c>
      <c r="N13" s="15" t="str">
        <f t="shared" si="10"/>
        <v/>
      </c>
      <c r="O13" s="15" t="str">
        <f t="shared" si="11"/>
        <v/>
      </c>
      <c r="P13" s="15">
        <f t="shared" si="12"/>
        <v>45.030000000000008</v>
      </c>
      <c r="Q13" s="15" t="str">
        <f t="shared" si="13"/>
        <v>2019 Nationals</v>
      </c>
      <c r="R13" s="15" t="str">
        <f t="shared" si="14"/>
        <v/>
      </c>
      <c r="S13" s="27" t="str">
        <f t="shared" si="15"/>
        <v/>
      </c>
      <c r="T13" s="15" t="str">
        <f t="shared" si="16"/>
        <v/>
      </c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82"/>
      <c r="AK13" s="12" t="str">
        <f t="shared" si="17"/>
        <v/>
      </c>
      <c r="AL13" s="12" t="str">
        <f t="shared" si="18"/>
        <v/>
      </c>
      <c r="AM13" s="12" t="str">
        <f t="shared" si="19"/>
        <v/>
      </c>
      <c r="AN13" s="12" t="str">
        <f t="shared" si="20"/>
        <v/>
      </c>
      <c r="AO13" s="12" t="str">
        <f t="shared" si="21"/>
        <v/>
      </c>
      <c r="AP13" s="12" t="str">
        <f t="shared" si="22"/>
        <v/>
      </c>
      <c r="AQ13" s="12" t="str">
        <f t="shared" si="23"/>
        <v/>
      </c>
      <c r="AR13" s="40">
        <v>9.35</v>
      </c>
      <c r="AS13" s="40">
        <v>9.5500000000000007</v>
      </c>
      <c r="AT13" s="40">
        <v>3.2</v>
      </c>
      <c r="AU13" s="40">
        <v>18.600000000000001</v>
      </c>
      <c r="AV13" s="40">
        <v>0</v>
      </c>
      <c r="AW13" s="40">
        <v>2.2999999999999998</v>
      </c>
      <c r="AX13" s="40">
        <v>2.65</v>
      </c>
      <c r="AY13" s="40">
        <v>3.4</v>
      </c>
      <c r="AZ13" s="40">
        <v>4.9000000000000004</v>
      </c>
      <c r="BA13" s="40">
        <v>0</v>
      </c>
      <c r="BB13" s="40">
        <v>8.0500000000000007</v>
      </c>
      <c r="BC13" s="40">
        <v>9.4</v>
      </c>
      <c r="BD13" s="40">
        <v>10.5</v>
      </c>
      <c r="BE13" s="40">
        <v>17.48</v>
      </c>
      <c r="BF13" s="40">
        <v>0.4</v>
      </c>
      <c r="BG13" s="83"/>
      <c r="BH13" s="15">
        <f t="shared" si="24"/>
        <v>3.4</v>
      </c>
      <c r="BI13" s="15">
        <f t="shared" si="25"/>
        <v>40.700000000000003</v>
      </c>
      <c r="BJ13" s="15">
        <f t="shared" si="26"/>
        <v>13.25</v>
      </c>
      <c r="BK13" s="15">
        <f t="shared" si="27"/>
        <v>53.95</v>
      </c>
      <c r="BL13" s="15">
        <f t="shared" si="28"/>
        <v>10.5</v>
      </c>
      <c r="BM13" s="15">
        <f t="shared" si="29"/>
        <v>45.030000000000008</v>
      </c>
      <c r="BN13" s="15">
        <f t="shared" si="30"/>
        <v>98.980000000000018</v>
      </c>
      <c r="BO13" s="26" t="str">
        <f t="shared" si="31"/>
        <v/>
      </c>
      <c r="BP13" s="26" t="str">
        <f t="shared" si="32"/>
        <v/>
      </c>
      <c r="BQ13" s="26" t="str">
        <f t="shared" si="33"/>
        <v/>
      </c>
      <c r="BR13" s="26" t="str">
        <f t="shared" si="34"/>
        <v/>
      </c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12" t="str">
        <f t="shared" si="35"/>
        <v/>
      </c>
      <c r="CI13" s="12" t="str">
        <f t="shared" si="36"/>
        <v/>
      </c>
      <c r="CJ13" s="12" t="str">
        <f t="shared" si="37"/>
        <v/>
      </c>
      <c r="CK13" s="12" t="str">
        <f t="shared" si="38"/>
        <v/>
      </c>
      <c r="CL13" s="12" t="str">
        <f t="shared" si="39"/>
        <v/>
      </c>
      <c r="CM13" s="12" t="str">
        <f t="shared" si="40"/>
        <v/>
      </c>
      <c r="CN13" s="12" t="str">
        <f t="shared" si="41"/>
        <v/>
      </c>
      <c r="CO13" s="40"/>
      <c r="CP13" s="40"/>
      <c r="CQ13" s="40"/>
      <c r="CR13" s="40"/>
      <c r="CS13" s="40"/>
      <c r="CT13" s="40"/>
      <c r="CU13" s="40"/>
      <c r="CV13" s="40"/>
      <c r="CW13" s="40"/>
      <c r="CX13" s="40"/>
      <c r="CY13" s="40"/>
      <c r="CZ13" s="40"/>
      <c r="DA13" s="40"/>
      <c r="DB13" s="40"/>
      <c r="DC13" s="40"/>
      <c r="DD13" s="15" t="str">
        <f t="shared" si="42"/>
        <v/>
      </c>
      <c r="DE13" s="15" t="str">
        <f t="shared" si="43"/>
        <v/>
      </c>
      <c r="DF13" s="15" t="str">
        <f t="shared" si="44"/>
        <v/>
      </c>
      <c r="DG13" s="15" t="str">
        <f t="shared" si="45"/>
        <v/>
      </c>
      <c r="DH13" s="15" t="str">
        <f t="shared" si="46"/>
        <v/>
      </c>
      <c r="DI13" s="15" t="str">
        <f t="shared" si="47"/>
        <v/>
      </c>
      <c r="DJ13" s="15" t="str">
        <f t="shared" si="48"/>
        <v/>
      </c>
      <c r="DK13" s="39"/>
      <c r="DL13" s="39"/>
      <c r="DM13" s="39"/>
      <c r="DN13" s="39"/>
      <c r="DO13" s="39"/>
      <c r="DP13" s="39"/>
      <c r="DQ13" s="39"/>
      <c r="DR13" s="39"/>
      <c r="DS13" s="39"/>
      <c r="DT13" s="39"/>
      <c r="DU13" s="39"/>
      <c r="DV13" s="39"/>
      <c r="DW13" s="39"/>
      <c r="DX13" s="39"/>
      <c r="DY13" s="39"/>
      <c r="DZ13" s="12" t="str">
        <f t="shared" si="49"/>
        <v/>
      </c>
      <c r="EA13" s="12" t="str">
        <f t="shared" si="50"/>
        <v/>
      </c>
      <c r="EB13" s="12" t="str">
        <f t="shared" si="51"/>
        <v/>
      </c>
      <c r="EC13" s="12" t="str">
        <f t="shared" si="52"/>
        <v/>
      </c>
      <c r="ED13" s="12" t="str">
        <f t="shared" si="53"/>
        <v/>
      </c>
      <c r="EE13" s="12" t="str">
        <f t="shared" si="54"/>
        <v/>
      </c>
      <c r="EF13" s="12" t="str">
        <f t="shared" si="55"/>
        <v/>
      </c>
      <c r="EG13" s="40"/>
      <c r="EH13" s="40"/>
      <c r="EI13" s="40"/>
      <c r="EJ13" s="40"/>
      <c r="EK13" s="40"/>
      <c r="EL13" s="40"/>
      <c r="EM13" s="40"/>
      <c r="EN13" s="40"/>
      <c r="EO13" s="40"/>
      <c r="EP13" s="40"/>
      <c r="EQ13" s="40"/>
      <c r="ER13" s="40"/>
      <c r="ES13" s="40"/>
      <c r="ET13" s="40"/>
      <c r="EU13" s="40"/>
      <c r="EV13" s="15" t="str">
        <f t="shared" si="56"/>
        <v/>
      </c>
      <c r="EW13" s="15" t="str">
        <f t="shared" si="57"/>
        <v/>
      </c>
      <c r="EX13" s="15" t="str">
        <f t="shared" si="58"/>
        <v/>
      </c>
      <c r="EY13" s="15" t="str">
        <f t="shared" si="59"/>
        <v/>
      </c>
      <c r="EZ13" s="15" t="str">
        <f t="shared" si="60"/>
        <v/>
      </c>
      <c r="FA13" s="15" t="str">
        <f t="shared" si="61"/>
        <v/>
      </c>
      <c r="FB13" s="15" t="str">
        <f t="shared" si="62"/>
        <v/>
      </c>
      <c r="FC13" s="39"/>
      <c r="FD13" s="39"/>
      <c r="FE13" s="39"/>
      <c r="FF13" s="39"/>
      <c r="FG13" s="39"/>
      <c r="FH13" s="39"/>
      <c r="FI13" s="39"/>
      <c r="FJ13" s="39"/>
      <c r="FK13" s="39"/>
      <c r="FL13" s="39"/>
      <c r="FM13" s="39"/>
      <c r="FN13" s="39"/>
      <c r="FO13" s="39"/>
      <c r="FP13" s="39"/>
      <c r="FQ13" s="39"/>
      <c r="FR13" s="12" t="str">
        <f t="shared" si="63"/>
        <v/>
      </c>
      <c r="FS13" s="12" t="str">
        <f t="shared" si="64"/>
        <v/>
      </c>
      <c r="FT13" s="12" t="str">
        <f t="shared" si="65"/>
        <v/>
      </c>
      <c r="FU13" s="12" t="str">
        <f t="shared" si="66"/>
        <v/>
      </c>
      <c r="FV13" s="12" t="str">
        <f t="shared" si="67"/>
        <v/>
      </c>
      <c r="FW13" s="12" t="str">
        <f t="shared" si="68"/>
        <v/>
      </c>
      <c r="FX13" s="12" t="str">
        <f t="shared" si="69"/>
        <v/>
      </c>
      <c r="FY13" s="40"/>
      <c r="FZ13" s="40"/>
      <c r="GA13" s="40"/>
      <c r="GB13" s="40"/>
      <c r="GC13" s="40"/>
      <c r="GD13" s="40"/>
      <c r="GE13" s="40"/>
      <c r="GF13" s="40"/>
      <c r="GG13" s="40"/>
      <c r="GH13" s="40"/>
      <c r="GI13" s="40"/>
      <c r="GJ13" s="40"/>
      <c r="GK13" s="40"/>
      <c r="GL13" s="40"/>
      <c r="GM13" s="40"/>
      <c r="GN13" s="15" t="str">
        <f t="shared" si="70"/>
        <v/>
      </c>
      <c r="GO13" s="15" t="str">
        <f t="shared" si="71"/>
        <v/>
      </c>
      <c r="GP13" s="15" t="str">
        <f t="shared" si="72"/>
        <v/>
      </c>
      <c r="GQ13" s="15" t="str">
        <f t="shared" si="73"/>
        <v/>
      </c>
      <c r="GR13" s="15" t="str">
        <f t="shared" si="74"/>
        <v/>
      </c>
      <c r="GS13" s="15" t="str">
        <f t="shared" si="75"/>
        <v/>
      </c>
      <c r="GT13" s="15" t="str">
        <f t="shared" si="76"/>
        <v/>
      </c>
      <c r="GU13" s="39"/>
      <c r="GV13" s="39"/>
      <c r="GW13" s="39"/>
      <c r="GX13" s="39"/>
      <c r="GY13" s="39"/>
      <c r="GZ13" s="39"/>
      <c r="HA13" s="39"/>
      <c r="HB13" s="39"/>
      <c r="HC13" s="39"/>
      <c r="HD13" s="39"/>
      <c r="HE13" s="39"/>
      <c r="HF13" s="39"/>
      <c r="HG13" s="39"/>
      <c r="HH13" s="39"/>
      <c r="HI13" s="39"/>
      <c r="HJ13" s="12" t="str">
        <f t="shared" si="77"/>
        <v/>
      </c>
      <c r="HK13" s="12" t="str">
        <f t="shared" si="78"/>
        <v/>
      </c>
      <c r="HL13" s="12" t="str">
        <f t="shared" si="79"/>
        <v/>
      </c>
      <c r="HM13" s="12" t="str">
        <f t="shared" si="80"/>
        <v/>
      </c>
      <c r="HN13" s="12" t="str">
        <f t="shared" si="81"/>
        <v/>
      </c>
      <c r="HO13" s="12" t="str">
        <f t="shared" si="82"/>
        <v/>
      </c>
      <c r="HP13" s="12" t="str">
        <f t="shared" si="83"/>
        <v/>
      </c>
      <c r="HQ13" s="40"/>
      <c r="HR13" s="40"/>
      <c r="HS13" s="40"/>
      <c r="HT13" s="40"/>
      <c r="HU13" s="40"/>
      <c r="HV13" s="40"/>
      <c r="HW13" s="40"/>
      <c r="HX13" s="40"/>
      <c r="HY13" s="40"/>
      <c r="HZ13" s="40"/>
      <c r="IA13" s="40"/>
      <c r="IB13" s="40"/>
      <c r="IC13" s="40"/>
      <c r="ID13" s="40"/>
      <c r="IE13" s="40"/>
      <c r="IF13" s="15" t="str">
        <f t="shared" si="84"/>
        <v/>
      </c>
      <c r="IG13" s="15" t="str">
        <f t="shared" si="85"/>
        <v/>
      </c>
      <c r="IH13" s="15" t="str">
        <f t="shared" si="86"/>
        <v/>
      </c>
      <c r="II13" s="15" t="str">
        <f t="shared" si="87"/>
        <v/>
      </c>
      <c r="IJ13" s="15" t="str">
        <f t="shared" si="88"/>
        <v/>
      </c>
      <c r="IK13" s="15" t="str">
        <f t="shared" si="89"/>
        <v/>
      </c>
      <c r="IL13" s="15" t="str">
        <f t="shared" si="90"/>
        <v/>
      </c>
      <c r="IM13" s="39"/>
      <c r="IN13" s="39"/>
      <c r="IO13" s="39"/>
      <c r="IP13" s="39"/>
      <c r="IQ13" s="39"/>
      <c r="IR13" s="39"/>
      <c r="IS13" s="39"/>
      <c r="IT13" s="39"/>
      <c r="IU13" s="39"/>
      <c r="IV13" s="39"/>
      <c r="IW13" s="39"/>
      <c r="IX13" s="39"/>
      <c r="IY13" s="39"/>
      <c r="IZ13" s="39"/>
      <c r="JA13" s="39"/>
      <c r="JB13" s="12" t="str">
        <f t="shared" si="91"/>
        <v/>
      </c>
      <c r="JC13" s="12" t="str">
        <f t="shared" si="92"/>
        <v/>
      </c>
      <c r="JD13" s="12" t="str">
        <f t="shared" si="93"/>
        <v/>
      </c>
      <c r="JE13" s="12" t="str">
        <f t="shared" si="94"/>
        <v/>
      </c>
      <c r="JF13" s="12" t="str">
        <f t="shared" si="95"/>
        <v/>
      </c>
      <c r="JG13" s="12" t="str">
        <f t="shared" si="96"/>
        <v/>
      </c>
      <c r="JH13" s="12" t="str">
        <f t="shared" si="97"/>
        <v/>
      </c>
      <c r="JI13" s="40"/>
      <c r="JJ13" s="40"/>
      <c r="JK13" s="40"/>
      <c r="JL13" s="40"/>
      <c r="JM13" s="40"/>
      <c r="JN13" s="40"/>
      <c r="JO13" s="40"/>
      <c r="JP13" s="40"/>
      <c r="JQ13" s="40"/>
      <c r="JR13" s="40"/>
      <c r="JS13" s="40"/>
      <c r="JT13" s="40"/>
      <c r="JU13" s="40"/>
      <c r="JV13" s="40"/>
      <c r="JW13" s="40"/>
      <c r="JX13" s="15" t="str">
        <f t="shared" si="98"/>
        <v/>
      </c>
      <c r="JY13" s="15" t="str">
        <f t="shared" si="99"/>
        <v/>
      </c>
      <c r="JZ13" s="15" t="str">
        <f t="shared" si="100"/>
        <v/>
      </c>
      <c r="KA13" s="15" t="str">
        <f t="shared" si="101"/>
        <v/>
      </c>
      <c r="KB13" s="15" t="str">
        <f t="shared" si="102"/>
        <v/>
      </c>
      <c r="KC13" s="15" t="str">
        <f t="shared" si="103"/>
        <v/>
      </c>
      <c r="KD13" s="15" t="str">
        <f t="shared" si="104"/>
        <v/>
      </c>
      <c r="KE13" s="39"/>
      <c r="KF13" s="39"/>
      <c r="KG13" s="39"/>
      <c r="KH13" s="39"/>
      <c r="KI13" s="39"/>
      <c r="KJ13" s="39"/>
      <c r="KK13" s="39"/>
      <c r="KL13" s="39"/>
      <c r="KM13" s="39"/>
      <c r="KN13" s="39"/>
      <c r="KO13" s="39"/>
      <c r="KP13" s="39"/>
      <c r="KQ13" s="39"/>
      <c r="KR13" s="39"/>
      <c r="KS13" s="39"/>
      <c r="KT13" s="12" t="str">
        <f t="shared" si="105"/>
        <v/>
      </c>
      <c r="KU13" s="12" t="str">
        <f t="shared" si="106"/>
        <v/>
      </c>
      <c r="KV13" s="12" t="str">
        <f t="shared" si="107"/>
        <v/>
      </c>
      <c r="KW13" s="12" t="str">
        <f t="shared" si="108"/>
        <v/>
      </c>
      <c r="KX13" s="12" t="str">
        <f t="shared" si="109"/>
        <v/>
      </c>
      <c r="KY13" s="12" t="str">
        <f t="shared" si="110"/>
        <v/>
      </c>
      <c r="KZ13" s="12" t="str">
        <f t="shared" si="111"/>
        <v/>
      </c>
      <c r="LA13" s="40"/>
      <c r="LB13" s="40"/>
      <c r="LC13" s="40"/>
      <c r="LD13" s="40"/>
      <c r="LE13" s="40"/>
      <c r="LF13" s="40"/>
      <c r="LG13" s="40"/>
      <c r="LH13" s="40"/>
      <c r="LI13" s="40"/>
      <c r="LJ13" s="40"/>
      <c r="LK13" s="40"/>
      <c r="LL13" s="40"/>
      <c r="LM13" s="40"/>
      <c r="LN13" s="40"/>
      <c r="LO13" s="40"/>
      <c r="LP13" s="15" t="str">
        <f t="shared" si="112"/>
        <v/>
      </c>
      <c r="LQ13" s="15" t="str">
        <f t="shared" si="113"/>
        <v/>
      </c>
      <c r="LR13" s="15" t="str">
        <f t="shared" si="114"/>
        <v/>
      </c>
      <c r="LS13" s="15" t="str">
        <f t="shared" si="115"/>
        <v/>
      </c>
      <c r="LT13" s="15" t="str">
        <f t="shared" si="116"/>
        <v/>
      </c>
      <c r="LU13" s="15" t="str">
        <f t="shared" si="117"/>
        <v/>
      </c>
      <c r="LV13" s="15" t="str">
        <f t="shared" si="118"/>
        <v/>
      </c>
      <c r="LW13" s="71">
        <f t="shared" si="126"/>
        <v>4.6749999999999998</v>
      </c>
      <c r="LX13" s="71">
        <f t="shared" si="127"/>
        <v>4.7750000000000004</v>
      </c>
      <c r="LY13" s="71">
        <f t="shared" si="128"/>
        <v>1.6</v>
      </c>
      <c r="LZ13" s="71">
        <f t="shared" si="129"/>
        <v>9.3000000000000007</v>
      </c>
      <c r="MA13" s="71">
        <f t="shared" si="130"/>
        <v>0</v>
      </c>
      <c r="MB13" s="71">
        <f t="shared" si="131"/>
        <v>1.1499999999999999</v>
      </c>
      <c r="MC13" s="71">
        <f t="shared" si="132"/>
        <v>1.325</v>
      </c>
      <c r="MD13" s="71">
        <f t="shared" si="133"/>
        <v>1.7</v>
      </c>
      <c r="ME13" s="71">
        <f t="shared" si="134"/>
        <v>2.4500000000000002</v>
      </c>
      <c r="MF13" s="71">
        <f t="shared" si="135"/>
        <v>0</v>
      </c>
      <c r="MG13" s="71">
        <f t="shared" si="136"/>
        <v>4.0250000000000004</v>
      </c>
      <c r="MH13" s="71">
        <f t="shared" si="137"/>
        <v>4.7</v>
      </c>
      <c r="MI13" s="71">
        <f t="shared" si="138"/>
        <v>5.25</v>
      </c>
      <c r="MJ13" s="71">
        <f t="shared" si="139"/>
        <v>8.74</v>
      </c>
      <c r="MK13" s="71">
        <f t="shared" si="140"/>
        <v>0.2</v>
      </c>
      <c r="ML13" s="82" t="s">
        <v>100</v>
      </c>
      <c r="MM13" s="12">
        <f t="shared" si="141"/>
        <v>1.7</v>
      </c>
      <c r="MN13" s="12">
        <f t="shared" si="121"/>
        <v>20.350000000000001</v>
      </c>
      <c r="MO13" s="12">
        <f t="shared" si="142"/>
        <v>6.625</v>
      </c>
      <c r="MP13" s="12">
        <f t="shared" si="143"/>
        <v>26.975000000000001</v>
      </c>
      <c r="MQ13" s="12">
        <f t="shared" si="144"/>
        <v>5.25</v>
      </c>
      <c r="MR13" s="12">
        <f t="shared" si="145"/>
        <v>22.515000000000004</v>
      </c>
      <c r="MS13" s="12">
        <f t="shared" si="146"/>
        <v>49.490000000000009</v>
      </c>
    </row>
    <row r="14" spans="1:357" x14ac:dyDescent="0.2">
      <c r="A14" s="6" t="str">
        <f t="shared" si="0"/>
        <v/>
      </c>
      <c r="B14" s="7" t="s">
        <v>143</v>
      </c>
      <c r="C14" s="8" t="s">
        <v>137</v>
      </c>
      <c r="D14" s="6">
        <v>2002</v>
      </c>
      <c r="E14" s="16">
        <f t="shared" si="1"/>
        <v>43.39</v>
      </c>
      <c r="F14" s="4" t="str">
        <f t="shared" si="2"/>
        <v/>
      </c>
      <c r="G14" s="4" t="str">
        <f t="shared" si="3"/>
        <v/>
      </c>
      <c r="H14" s="4" t="str">
        <f t="shared" si="4"/>
        <v/>
      </c>
      <c r="I14" t="str">
        <f t="shared" si="5"/>
        <v/>
      </c>
      <c r="J14" s="15" t="str">
        <f t="shared" si="6"/>
        <v/>
      </c>
      <c r="K14" s="15" t="str">
        <f t="shared" si="7"/>
        <v/>
      </c>
      <c r="L14" s="15" t="str">
        <f t="shared" si="8"/>
        <v/>
      </c>
      <c r="M14" s="15" t="str">
        <f t="shared" si="9"/>
        <v/>
      </c>
      <c r="N14" s="15" t="str">
        <f t="shared" si="10"/>
        <v/>
      </c>
      <c r="O14" s="15" t="str">
        <f t="shared" si="11"/>
        <v/>
      </c>
      <c r="P14" s="15" t="str">
        <f t="shared" si="12"/>
        <v/>
      </c>
      <c r="Q14" s="15" t="str">
        <f t="shared" si="13"/>
        <v/>
      </c>
      <c r="R14" s="15">
        <f t="shared" si="14"/>
        <v>43.39</v>
      </c>
      <c r="S14" s="27" t="str">
        <f t="shared" si="15"/>
        <v>(Vol 2)</v>
      </c>
      <c r="T14" s="15" t="str">
        <f t="shared" si="16"/>
        <v>2018 World Age Groups (Nov 18)</v>
      </c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82"/>
      <c r="AK14" s="12" t="str">
        <f t="shared" si="17"/>
        <v/>
      </c>
      <c r="AL14" s="12" t="str">
        <f t="shared" si="18"/>
        <v/>
      </c>
      <c r="AM14" s="12" t="str">
        <f t="shared" si="19"/>
        <v/>
      </c>
      <c r="AN14" s="12" t="str">
        <f t="shared" si="20"/>
        <v/>
      </c>
      <c r="AO14" s="12" t="str">
        <f t="shared" si="21"/>
        <v/>
      </c>
      <c r="AP14" s="12" t="str">
        <f t="shared" si="22"/>
        <v/>
      </c>
      <c r="AQ14" s="12" t="str">
        <f t="shared" si="23"/>
        <v/>
      </c>
      <c r="AR14" s="40"/>
      <c r="AS14" s="40"/>
      <c r="AT14" s="40"/>
      <c r="AU14" s="40"/>
      <c r="AV14" s="40"/>
      <c r="AW14" s="40"/>
      <c r="AX14" s="40"/>
      <c r="AY14" s="40"/>
      <c r="AZ14" s="40"/>
      <c r="BA14" s="40"/>
      <c r="BB14" s="40"/>
      <c r="BC14" s="40"/>
      <c r="BD14" s="40"/>
      <c r="BE14" s="40"/>
      <c r="BF14" s="40"/>
      <c r="BG14" s="83"/>
      <c r="BH14" s="15" t="str">
        <f t="shared" si="24"/>
        <v/>
      </c>
      <c r="BI14" s="15" t="str">
        <f t="shared" si="25"/>
        <v/>
      </c>
      <c r="BJ14" s="15" t="str">
        <f t="shared" si="26"/>
        <v/>
      </c>
      <c r="BK14" s="15" t="str">
        <f t="shared" si="27"/>
        <v/>
      </c>
      <c r="BL14" s="15" t="str">
        <f t="shared" si="28"/>
        <v/>
      </c>
      <c r="BM14" s="15" t="str">
        <f t="shared" si="29"/>
        <v/>
      </c>
      <c r="BN14" s="15" t="str">
        <f t="shared" si="30"/>
        <v/>
      </c>
      <c r="BO14" s="26" t="str">
        <f t="shared" si="31"/>
        <v/>
      </c>
      <c r="BP14" s="26">
        <f t="shared" si="32"/>
        <v>43.39</v>
      </c>
      <c r="BQ14" s="26">
        <f t="shared" si="33"/>
        <v>43.39</v>
      </c>
      <c r="BR14" s="26" t="str">
        <f t="shared" si="34"/>
        <v/>
      </c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12" t="str">
        <f t="shared" si="35"/>
        <v/>
      </c>
      <c r="CI14" s="12" t="str">
        <f t="shared" si="36"/>
        <v/>
      </c>
      <c r="CJ14" s="12" t="str">
        <f t="shared" si="37"/>
        <v/>
      </c>
      <c r="CK14" s="12" t="str">
        <f t="shared" si="38"/>
        <v/>
      </c>
      <c r="CL14" s="12" t="str">
        <f t="shared" si="39"/>
        <v/>
      </c>
      <c r="CM14" s="12" t="str">
        <f t="shared" si="40"/>
        <v/>
      </c>
      <c r="CN14" s="12" t="str">
        <f t="shared" si="41"/>
        <v/>
      </c>
      <c r="CO14" s="40"/>
      <c r="CP14" s="40"/>
      <c r="CQ14" s="40"/>
      <c r="CR14" s="40"/>
      <c r="CS14" s="40"/>
      <c r="CT14" s="40"/>
      <c r="CU14" s="40"/>
      <c r="CV14" s="40"/>
      <c r="CW14" s="40"/>
      <c r="CX14" s="40"/>
      <c r="CY14" s="40"/>
      <c r="CZ14" s="40"/>
      <c r="DA14" s="40"/>
      <c r="DB14" s="40"/>
      <c r="DC14" s="40"/>
      <c r="DD14" s="15" t="str">
        <f t="shared" si="42"/>
        <v/>
      </c>
      <c r="DE14" s="15" t="str">
        <f t="shared" si="43"/>
        <v/>
      </c>
      <c r="DF14" s="15" t="str">
        <f t="shared" si="44"/>
        <v/>
      </c>
      <c r="DG14" s="15" t="str">
        <f t="shared" si="45"/>
        <v/>
      </c>
      <c r="DH14" s="15" t="str">
        <f t="shared" si="46"/>
        <v/>
      </c>
      <c r="DI14" s="15" t="str">
        <f t="shared" si="47"/>
        <v/>
      </c>
      <c r="DJ14" s="15" t="str">
        <f t="shared" si="48"/>
        <v/>
      </c>
      <c r="DK14" s="39"/>
      <c r="DL14" s="39"/>
      <c r="DM14" s="39"/>
      <c r="DN14" s="39"/>
      <c r="DO14" s="39"/>
      <c r="DP14" s="39">
        <v>7.9</v>
      </c>
      <c r="DQ14" s="39">
        <v>9.5500000000000007</v>
      </c>
      <c r="DR14" s="39">
        <v>9.1999999999999993</v>
      </c>
      <c r="DS14" s="39">
        <v>16.739999999999998</v>
      </c>
      <c r="DT14" s="39">
        <v>0</v>
      </c>
      <c r="DU14" s="39"/>
      <c r="DV14" s="39"/>
      <c r="DW14" s="39"/>
      <c r="DX14" s="39"/>
      <c r="DY14" s="39"/>
      <c r="DZ14" s="12">
        <f t="shared" si="49"/>
        <v>9.1999999999999993</v>
      </c>
      <c r="EA14" s="12" t="str">
        <f t="shared" si="50"/>
        <v/>
      </c>
      <c r="EB14" s="12">
        <f t="shared" si="51"/>
        <v>43.39</v>
      </c>
      <c r="EC14" s="12">
        <f t="shared" si="52"/>
        <v>43.39</v>
      </c>
      <c r="ED14" s="12" t="str">
        <f t="shared" si="53"/>
        <v/>
      </c>
      <c r="EE14" s="12" t="str">
        <f t="shared" si="54"/>
        <v/>
      </c>
      <c r="EF14" s="12">
        <f t="shared" si="55"/>
        <v>43.39</v>
      </c>
      <c r="EG14" s="40"/>
      <c r="EH14" s="40"/>
      <c r="EI14" s="40"/>
      <c r="EJ14" s="40"/>
      <c r="EK14" s="40"/>
      <c r="EL14" s="40"/>
      <c r="EM14" s="40"/>
      <c r="EN14" s="40"/>
      <c r="EO14" s="40"/>
      <c r="EP14" s="40"/>
      <c r="EQ14" s="40"/>
      <c r="ER14" s="40"/>
      <c r="ES14" s="40"/>
      <c r="ET14" s="40"/>
      <c r="EU14" s="40"/>
      <c r="EV14" s="15" t="str">
        <f t="shared" si="56"/>
        <v/>
      </c>
      <c r="EW14" s="15" t="str">
        <f t="shared" si="57"/>
        <v/>
      </c>
      <c r="EX14" s="15" t="str">
        <f t="shared" si="58"/>
        <v/>
      </c>
      <c r="EY14" s="15" t="str">
        <f t="shared" si="59"/>
        <v/>
      </c>
      <c r="EZ14" s="15" t="str">
        <f t="shared" si="60"/>
        <v/>
      </c>
      <c r="FA14" s="15" t="str">
        <f t="shared" si="61"/>
        <v/>
      </c>
      <c r="FB14" s="15" t="str">
        <f t="shared" si="62"/>
        <v/>
      </c>
      <c r="FC14" s="39"/>
      <c r="FD14" s="39"/>
      <c r="FE14" s="39"/>
      <c r="FF14" s="39"/>
      <c r="FG14" s="39"/>
      <c r="FH14" s="39"/>
      <c r="FI14" s="39"/>
      <c r="FJ14" s="39"/>
      <c r="FK14" s="39"/>
      <c r="FL14" s="39"/>
      <c r="FM14" s="39"/>
      <c r="FN14" s="39"/>
      <c r="FO14" s="39"/>
      <c r="FP14" s="39"/>
      <c r="FQ14" s="39"/>
      <c r="FR14" s="12" t="str">
        <f t="shared" si="63"/>
        <v/>
      </c>
      <c r="FS14" s="12" t="str">
        <f t="shared" si="64"/>
        <v/>
      </c>
      <c r="FT14" s="12" t="str">
        <f t="shared" si="65"/>
        <v/>
      </c>
      <c r="FU14" s="12" t="str">
        <f t="shared" si="66"/>
        <v/>
      </c>
      <c r="FV14" s="12" t="str">
        <f t="shared" si="67"/>
        <v/>
      </c>
      <c r="FW14" s="12" t="str">
        <f t="shared" si="68"/>
        <v/>
      </c>
      <c r="FX14" s="12" t="str">
        <f t="shared" si="69"/>
        <v/>
      </c>
      <c r="FY14" s="40"/>
      <c r="FZ14" s="40"/>
      <c r="GA14" s="40"/>
      <c r="GB14" s="40"/>
      <c r="GC14" s="40"/>
      <c r="GD14" s="40"/>
      <c r="GE14" s="40"/>
      <c r="GF14" s="40"/>
      <c r="GG14" s="40"/>
      <c r="GH14" s="40"/>
      <c r="GI14" s="40"/>
      <c r="GJ14" s="40"/>
      <c r="GK14" s="40"/>
      <c r="GL14" s="40"/>
      <c r="GM14" s="40"/>
      <c r="GN14" s="15" t="str">
        <f t="shared" si="70"/>
        <v/>
      </c>
      <c r="GO14" s="15" t="str">
        <f t="shared" si="71"/>
        <v/>
      </c>
      <c r="GP14" s="15" t="str">
        <f t="shared" si="72"/>
        <v/>
      </c>
      <c r="GQ14" s="15" t="str">
        <f t="shared" si="73"/>
        <v/>
      </c>
      <c r="GR14" s="15" t="str">
        <f t="shared" si="74"/>
        <v/>
      </c>
      <c r="GS14" s="15" t="str">
        <f t="shared" si="75"/>
        <v/>
      </c>
      <c r="GT14" s="15" t="str">
        <f t="shared" si="76"/>
        <v/>
      </c>
      <c r="GU14" s="39"/>
      <c r="GV14" s="39"/>
      <c r="GW14" s="39"/>
      <c r="GX14" s="39"/>
      <c r="GY14" s="39"/>
      <c r="GZ14" s="39"/>
      <c r="HA14" s="39"/>
      <c r="HB14" s="39"/>
      <c r="HC14" s="39"/>
      <c r="HD14" s="39"/>
      <c r="HE14" s="39"/>
      <c r="HF14" s="39"/>
      <c r="HG14" s="39"/>
      <c r="HH14" s="39"/>
      <c r="HI14" s="39"/>
      <c r="HJ14" s="12" t="str">
        <f t="shared" si="77"/>
        <v/>
      </c>
      <c r="HK14" s="12" t="str">
        <f t="shared" si="78"/>
        <v/>
      </c>
      <c r="HL14" s="12" t="str">
        <f t="shared" si="79"/>
        <v/>
      </c>
      <c r="HM14" s="12" t="str">
        <f t="shared" si="80"/>
        <v/>
      </c>
      <c r="HN14" s="12" t="str">
        <f t="shared" si="81"/>
        <v/>
      </c>
      <c r="HO14" s="12" t="str">
        <f t="shared" si="82"/>
        <v/>
      </c>
      <c r="HP14" s="12" t="str">
        <f t="shared" si="83"/>
        <v/>
      </c>
      <c r="HQ14" s="40"/>
      <c r="HR14" s="40"/>
      <c r="HS14" s="40"/>
      <c r="HT14" s="40"/>
      <c r="HU14" s="40"/>
      <c r="HV14" s="40"/>
      <c r="HW14" s="40"/>
      <c r="HX14" s="40"/>
      <c r="HY14" s="40"/>
      <c r="HZ14" s="40"/>
      <c r="IA14" s="40"/>
      <c r="IB14" s="40"/>
      <c r="IC14" s="40"/>
      <c r="ID14" s="40"/>
      <c r="IE14" s="40"/>
      <c r="IF14" s="15" t="str">
        <f t="shared" si="84"/>
        <v/>
      </c>
      <c r="IG14" s="15" t="str">
        <f t="shared" si="85"/>
        <v/>
      </c>
      <c r="IH14" s="15" t="str">
        <f t="shared" si="86"/>
        <v/>
      </c>
      <c r="II14" s="15" t="str">
        <f t="shared" si="87"/>
        <v/>
      </c>
      <c r="IJ14" s="15" t="str">
        <f t="shared" si="88"/>
        <v/>
      </c>
      <c r="IK14" s="15" t="str">
        <f t="shared" si="89"/>
        <v/>
      </c>
      <c r="IL14" s="15" t="str">
        <f t="shared" si="90"/>
        <v/>
      </c>
      <c r="IM14" s="39"/>
      <c r="IN14" s="39"/>
      <c r="IO14" s="39"/>
      <c r="IP14" s="39"/>
      <c r="IQ14" s="39"/>
      <c r="IR14" s="39"/>
      <c r="IS14" s="39"/>
      <c r="IT14" s="39"/>
      <c r="IU14" s="39"/>
      <c r="IV14" s="39"/>
      <c r="IW14" s="39"/>
      <c r="IX14" s="39"/>
      <c r="IY14" s="39"/>
      <c r="IZ14" s="39"/>
      <c r="JA14" s="39"/>
      <c r="JB14" s="12" t="str">
        <f t="shared" si="91"/>
        <v/>
      </c>
      <c r="JC14" s="12" t="str">
        <f t="shared" si="92"/>
        <v/>
      </c>
      <c r="JD14" s="12" t="str">
        <f t="shared" si="93"/>
        <v/>
      </c>
      <c r="JE14" s="12" t="str">
        <f t="shared" si="94"/>
        <v/>
      </c>
      <c r="JF14" s="12" t="str">
        <f t="shared" si="95"/>
        <v/>
      </c>
      <c r="JG14" s="12" t="str">
        <f t="shared" si="96"/>
        <v/>
      </c>
      <c r="JH14" s="12" t="str">
        <f t="shared" si="97"/>
        <v/>
      </c>
      <c r="JI14" s="40"/>
      <c r="JJ14" s="40"/>
      <c r="JK14" s="40"/>
      <c r="JL14" s="40"/>
      <c r="JM14" s="40"/>
      <c r="JN14" s="40"/>
      <c r="JO14" s="40"/>
      <c r="JP14" s="40"/>
      <c r="JQ14" s="40"/>
      <c r="JR14" s="40"/>
      <c r="JS14" s="40"/>
      <c r="JT14" s="40"/>
      <c r="JU14" s="40"/>
      <c r="JV14" s="40"/>
      <c r="JW14" s="40"/>
      <c r="JX14" s="15" t="str">
        <f t="shared" si="98"/>
        <v/>
      </c>
      <c r="JY14" s="15" t="str">
        <f t="shared" si="99"/>
        <v/>
      </c>
      <c r="JZ14" s="15" t="str">
        <f t="shared" si="100"/>
        <v/>
      </c>
      <c r="KA14" s="15" t="str">
        <f t="shared" si="101"/>
        <v/>
      </c>
      <c r="KB14" s="15" t="str">
        <f t="shared" si="102"/>
        <v/>
      </c>
      <c r="KC14" s="15" t="str">
        <f t="shared" si="103"/>
        <v/>
      </c>
      <c r="KD14" s="15" t="str">
        <f t="shared" si="104"/>
        <v/>
      </c>
      <c r="KE14" s="39"/>
      <c r="KF14" s="39"/>
      <c r="KG14" s="39"/>
      <c r="KH14" s="39"/>
      <c r="KI14" s="39"/>
      <c r="KJ14" s="39"/>
      <c r="KK14" s="39"/>
      <c r="KL14" s="39"/>
      <c r="KM14" s="39"/>
      <c r="KN14" s="39"/>
      <c r="KO14" s="39"/>
      <c r="KP14" s="39"/>
      <c r="KQ14" s="39"/>
      <c r="KR14" s="39"/>
      <c r="KS14" s="39"/>
      <c r="KT14" s="12" t="str">
        <f t="shared" si="105"/>
        <v/>
      </c>
      <c r="KU14" s="12" t="str">
        <f t="shared" si="106"/>
        <v/>
      </c>
      <c r="KV14" s="12" t="str">
        <f t="shared" si="107"/>
        <v/>
      </c>
      <c r="KW14" s="12" t="str">
        <f t="shared" si="108"/>
        <v/>
      </c>
      <c r="KX14" s="12" t="str">
        <f t="shared" si="109"/>
        <v/>
      </c>
      <c r="KY14" s="12" t="str">
        <f t="shared" si="110"/>
        <v/>
      </c>
      <c r="KZ14" s="12" t="str">
        <f t="shared" si="111"/>
        <v/>
      </c>
      <c r="LA14" s="40"/>
      <c r="LB14" s="40"/>
      <c r="LC14" s="40"/>
      <c r="LD14" s="40"/>
      <c r="LE14" s="40"/>
      <c r="LF14" s="40"/>
      <c r="LG14" s="40"/>
      <c r="LH14" s="40"/>
      <c r="LI14" s="40"/>
      <c r="LJ14" s="40"/>
      <c r="LK14" s="40"/>
      <c r="LL14" s="40"/>
      <c r="LM14" s="40"/>
      <c r="LN14" s="40"/>
      <c r="LO14" s="40"/>
      <c r="LP14" s="15" t="str">
        <f t="shared" si="112"/>
        <v/>
      </c>
      <c r="LQ14" s="15" t="str">
        <f t="shared" si="113"/>
        <v/>
      </c>
      <c r="LR14" s="15" t="str">
        <f t="shared" si="114"/>
        <v/>
      </c>
      <c r="LS14" s="15" t="str">
        <f t="shared" si="115"/>
        <v/>
      </c>
      <c r="LT14" s="15" t="str">
        <f t="shared" si="116"/>
        <v/>
      </c>
      <c r="LU14" s="15" t="str">
        <f t="shared" si="117"/>
        <v/>
      </c>
      <c r="LV14" s="15" t="str">
        <f t="shared" si="118"/>
        <v/>
      </c>
      <c r="LW14" s="71">
        <f t="shared" si="126"/>
        <v>0</v>
      </c>
      <c r="LX14" s="71">
        <f t="shared" si="127"/>
        <v>0</v>
      </c>
      <c r="LY14" s="71">
        <f t="shared" si="128"/>
        <v>0</v>
      </c>
      <c r="LZ14" s="71">
        <f t="shared" si="129"/>
        <v>0</v>
      </c>
      <c r="MA14" s="71">
        <f t="shared" si="130"/>
        <v>0</v>
      </c>
      <c r="MB14" s="71">
        <f t="shared" si="131"/>
        <v>0</v>
      </c>
      <c r="MC14" s="71">
        <f t="shared" si="132"/>
        <v>0</v>
      </c>
      <c r="MD14" s="71">
        <f t="shared" si="133"/>
        <v>0</v>
      </c>
      <c r="ME14" s="71">
        <f t="shared" si="134"/>
        <v>0</v>
      </c>
      <c r="MF14" s="71">
        <f t="shared" si="135"/>
        <v>0</v>
      </c>
      <c r="MG14" s="71">
        <f t="shared" si="136"/>
        <v>0</v>
      </c>
      <c r="MH14" s="71">
        <f t="shared" si="137"/>
        <v>0</v>
      </c>
      <c r="MI14" s="71">
        <f t="shared" si="138"/>
        <v>0</v>
      </c>
      <c r="MJ14" s="71">
        <f t="shared" si="139"/>
        <v>0</v>
      </c>
      <c r="MK14" s="71">
        <f t="shared" si="140"/>
        <v>0</v>
      </c>
      <c r="ML14" s="82" t="s">
        <v>100</v>
      </c>
      <c r="MM14" s="12" t="str">
        <f t="shared" si="141"/>
        <v/>
      </c>
      <c r="MN14" s="12" t="str">
        <f t="shared" si="121"/>
        <v/>
      </c>
      <c r="MO14" s="12" t="str">
        <f t="shared" si="142"/>
        <v/>
      </c>
      <c r="MP14" s="12" t="str">
        <f t="shared" si="143"/>
        <v/>
      </c>
      <c r="MQ14" s="12" t="str">
        <f t="shared" si="144"/>
        <v/>
      </c>
      <c r="MR14" s="12" t="str">
        <f t="shared" si="145"/>
        <v/>
      </c>
      <c r="MS14" s="12" t="str">
        <f t="shared" si="146"/>
        <v/>
      </c>
    </row>
    <row r="15" spans="1:357" x14ac:dyDescent="0.2">
      <c r="A15" s="6" t="str">
        <f t="shared" si="0"/>
        <v/>
      </c>
      <c r="B15" s="7" t="s">
        <v>144</v>
      </c>
      <c r="C15" s="8" t="s">
        <v>131</v>
      </c>
      <c r="D15" s="6" t="s">
        <v>142</v>
      </c>
      <c r="E15" s="16">
        <f t="shared" si="1"/>
        <v>36.869999999999997</v>
      </c>
      <c r="F15" s="4" t="str">
        <f t="shared" si="2"/>
        <v/>
      </c>
      <c r="G15" s="4" t="str">
        <f t="shared" si="3"/>
        <v/>
      </c>
      <c r="H15" s="4" t="str">
        <f t="shared" si="4"/>
        <v/>
      </c>
      <c r="I15" t="str">
        <f t="shared" si="5"/>
        <v/>
      </c>
      <c r="J15" s="15" t="str">
        <f t="shared" si="6"/>
        <v/>
      </c>
      <c r="K15" s="15" t="str">
        <f t="shared" si="7"/>
        <v/>
      </c>
      <c r="L15" s="15" t="str">
        <f t="shared" si="8"/>
        <v/>
      </c>
      <c r="M15" s="15" t="str">
        <f t="shared" si="9"/>
        <v/>
      </c>
      <c r="N15" s="15" t="str">
        <f t="shared" si="10"/>
        <v/>
      </c>
      <c r="O15" s="15" t="str">
        <f t="shared" si="11"/>
        <v/>
      </c>
      <c r="P15" s="15" t="str">
        <f t="shared" si="12"/>
        <v/>
      </c>
      <c r="Q15" s="15" t="str">
        <f t="shared" si="13"/>
        <v/>
      </c>
      <c r="R15" s="15">
        <f t="shared" si="14"/>
        <v>36.869999999999997</v>
      </c>
      <c r="S15" s="27" t="str">
        <f t="shared" si="15"/>
        <v>(Vol 2)</v>
      </c>
      <c r="T15" s="15" t="str">
        <f t="shared" si="16"/>
        <v>2018 World Age Groups (Nov 18)</v>
      </c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82"/>
      <c r="AK15" s="12" t="str">
        <f t="shared" si="17"/>
        <v/>
      </c>
      <c r="AL15" s="12" t="str">
        <f t="shared" si="18"/>
        <v/>
      </c>
      <c r="AM15" s="12" t="str">
        <f t="shared" si="19"/>
        <v/>
      </c>
      <c r="AN15" s="12" t="str">
        <f t="shared" si="20"/>
        <v/>
      </c>
      <c r="AO15" s="12" t="str">
        <f t="shared" si="21"/>
        <v/>
      </c>
      <c r="AP15" s="12" t="str">
        <f t="shared" si="22"/>
        <v/>
      </c>
      <c r="AQ15" s="12" t="str">
        <f t="shared" si="23"/>
        <v/>
      </c>
      <c r="AR15" s="40"/>
      <c r="AS15" s="40"/>
      <c r="AT15" s="40"/>
      <c r="AU15" s="40"/>
      <c r="AV15" s="40"/>
      <c r="AW15" s="40"/>
      <c r="AX15" s="40"/>
      <c r="AY15" s="40"/>
      <c r="AZ15" s="40"/>
      <c r="BA15" s="40"/>
      <c r="BB15" s="40"/>
      <c r="BC15" s="40"/>
      <c r="BD15" s="40"/>
      <c r="BE15" s="40"/>
      <c r="BF15" s="40"/>
      <c r="BG15" s="83"/>
      <c r="BH15" s="15" t="str">
        <f t="shared" si="24"/>
        <v/>
      </c>
      <c r="BI15" s="15" t="str">
        <f t="shared" si="25"/>
        <v/>
      </c>
      <c r="BJ15" s="15" t="str">
        <f t="shared" si="26"/>
        <v/>
      </c>
      <c r="BK15" s="15" t="str">
        <f t="shared" si="27"/>
        <v/>
      </c>
      <c r="BL15" s="15" t="str">
        <f t="shared" si="28"/>
        <v/>
      </c>
      <c r="BM15" s="15" t="str">
        <f t="shared" si="29"/>
        <v/>
      </c>
      <c r="BN15" s="15" t="str">
        <f t="shared" si="30"/>
        <v/>
      </c>
      <c r="BO15" s="26" t="str">
        <f t="shared" si="31"/>
        <v/>
      </c>
      <c r="BP15" s="26">
        <f t="shared" si="32"/>
        <v>36.869999999999997</v>
      </c>
      <c r="BQ15" s="26">
        <f t="shared" si="33"/>
        <v>36.869999999999997</v>
      </c>
      <c r="BR15" s="26" t="str">
        <f t="shared" si="34"/>
        <v/>
      </c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12" t="str">
        <f t="shared" si="35"/>
        <v/>
      </c>
      <c r="CI15" s="12" t="str">
        <f t="shared" si="36"/>
        <v/>
      </c>
      <c r="CJ15" s="12" t="str">
        <f t="shared" si="37"/>
        <v/>
      </c>
      <c r="CK15" s="12" t="str">
        <f t="shared" si="38"/>
        <v/>
      </c>
      <c r="CL15" s="12" t="str">
        <f t="shared" si="39"/>
        <v/>
      </c>
      <c r="CM15" s="12" t="str">
        <f t="shared" si="40"/>
        <v/>
      </c>
      <c r="CN15" s="12" t="str">
        <f t="shared" si="41"/>
        <v/>
      </c>
      <c r="CO15" s="40"/>
      <c r="CP15" s="40"/>
      <c r="CQ15" s="40"/>
      <c r="CR15" s="40"/>
      <c r="CS15" s="40"/>
      <c r="CT15" s="40"/>
      <c r="CU15" s="40"/>
      <c r="CV15" s="40"/>
      <c r="CW15" s="40"/>
      <c r="CX15" s="40"/>
      <c r="CY15" s="40"/>
      <c r="CZ15" s="40"/>
      <c r="DA15" s="40"/>
      <c r="DB15" s="40"/>
      <c r="DC15" s="40"/>
      <c r="DD15" s="15" t="str">
        <f t="shared" si="42"/>
        <v/>
      </c>
      <c r="DE15" s="15" t="str">
        <f t="shared" si="43"/>
        <v/>
      </c>
      <c r="DF15" s="15" t="str">
        <f t="shared" si="44"/>
        <v/>
      </c>
      <c r="DG15" s="15" t="str">
        <f t="shared" si="45"/>
        <v/>
      </c>
      <c r="DH15" s="15" t="str">
        <f t="shared" si="46"/>
        <v/>
      </c>
      <c r="DI15" s="15" t="str">
        <f t="shared" si="47"/>
        <v/>
      </c>
      <c r="DJ15" s="15" t="str">
        <f t="shared" si="48"/>
        <v/>
      </c>
      <c r="DK15" s="39"/>
      <c r="DL15" s="39"/>
      <c r="DM15" s="39"/>
      <c r="DN15" s="39"/>
      <c r="DO15" s="39"/>
      <c r="DP15" s="39">
        <v>6.9</v>
      </c>
      <c r="DQ15" s="39">
        <v>8.35</v>
      </c>
      <c r="DR15" s="39">
        <v>9.1999999999999993</v>
      </c>
      <c r="DS15" s="39">
        <v>12.42</v>
      </c>
      <c r="DT15" s="39">
        <v>0</v>
      </c>
      <c r="DU15" s="39"/>
      <c r="DV15" s="39"/>
      <c r="DW15" s="39"/>
      <c r="DX15" s="39"/>
      <c r="DY15" s="39"/>
      <c r="DZ15" s="12">
        <f t="shared" si="49"/>
        <v>9.1999999999999993</v>
      </c>
      <c r="EA15" s="12" t="str">
        <f t="shared" si="50"/>
        <v/>
      </c>
      <c r="EB15" s="12">
        <f t="shared" si="51"/>
        <v>36.869999999999997</v>
      </c>
      <c r="EC15" s="12">
        <f t="shared" si="52"/>
        <v>36.869999999999997</v>
      </c>
      <c r="ED15" s="12" t="str">
        <f t="shared" si="53"/>
        <v/>
      </c>
      <c r="EE15" s="12" t="str">
        <f t="shared" si="54"/>
        <v/>
      </c>
      <c r="EF15" s="12">
        <f t="shared" si="55"/>
        <v>36.869999999999997</v>
      </c>
      <c r="EG15" s="40"/>
      <c r="EH15" s="40"/>
      <c r="EI15" s="40"/>
      <c r="EJ15" s="40"/>
      <c r="EK15" s="40"/>
      <c r="EL15" s="40"/>
      <c r="EM15" s="40"/>
      <c r="EN15" s="40"/>
      <c r="EO15" s="40"/>
      <c r="EP15" s="40"/>
      <c r="EQ15" s="40"/>
      <c r="ER15" s="40"/>
      <c r="ES15" s="40"/>
      <c r="ET15" s="40"/>
      <c r="EU15" s="40"/>
      <c r="EV15" s="15" t="str">
        <f t="shared" si="56"/>
        <v/>
      </c>
      <c r="EW15" s="15" t="str">
        <f t="shared" si="57"/>
        <v/>
      </c>
      <c r="EX15" s="15" t="str">
        <f t="shared" si="58"/>
        <v/>
      </c>
      <c r="EY15" s="15" t="str">
        <f t="shared" si="59"/>
        <v/>
      </c>
      <c r="EZ15" s="15" t="str">
        <f t="shared" si="60"/>
        <v/>
      </c>
      <c r="FA15" s="15" t="str">
        <f t="shared" si="61"/>
        <v/>
      </c>
      <c r="FB15" s="15" t="str">
        <f t="shared" si="62"/>
        <v/>
      </c>
      <c r="FC15" s="39"/>
      <c r="FD15" s="39"/>
      <c r="FE15" s="39"/>
      <c r="FF15" s="39"/>
      <c r="FG15" s="39"/>
      <c r="FH15" s="39"/>
      <c r="FI15" s="39"/>
      <c r="FJ15" s="39"/>
      <c r="FK15" s="39"/>
      <c r="FL15" s="39"/>
      <c r="FM15" s="39"/>
      <c r="FN15" s="39"/>
      <c r="FO15" s="39"/>
      <c r="FP15" s="39"/>
      <c r="FQ15" s="39"/>
      <c r="FR15" s="12" t="str">
        <f t="shared" si="63"/>
        <v/>
      </c>
      <c r="FS15" s="12" t="str">
        <f t="shared" si="64"/>
        <v/>
      </c>
      <c r="FT15" s="12" t="str">
        <f t="shared" si="65"/>
        <v/>
      </c>
      <c r="FU15" s="12" t="str">
        <f t="shared" si="66"/>
        <v/>
      </c>
      <c r="FV15" s="12" t="str">
        <f t="shared" si="67"/>
        <v/>
      </c>
      <c r="FW15" s="12" t="str">
        <f t="shared" si="68"/>
        <v/>
      </c>
      <c r="FX15" s="12" t="str">
        <f t="shared" si="69"/>
        <v/>
      </c>
      <c r="FY15" s="40"/>
      <c r="FZ15" s="40"/>
      <c r="GA15" s="40"/>
      <c r="GB15" s="40"/>
      <c r="GC15" s="40"/>
      <c r="GD15" s="40"/>
      <c r="GE15" s="40"/>
      <c r="GF15" s="40"/>
      <c r="GG15" s="40"/>
      <c r="GH15" s="40"/>
      <c r="GI15" s="40"/>
      <c r="GJ15" s="40"/>
      <c r="GK15" s="40"/>
      <c r="GL15" s="40"/>
      <c r="GM15" s="40"/>
      <c r="GN15" s="15" t="str">
        <f t="shared" si="70"/>
        <v/>
      </c>
      <c r="GO15" s="15" t="str">
        <f t="shared" si="71"/>
        <v/>
      </c>
      <c r="GP15" s="15" t="str">
        <f t="shared" si="72"/>
        <v/>
      </c>
      <c r="GQ15" s="15" t="str">
        <f t="shared" si="73"/>
        <v/>
      </c>
      <c r="GR15" s="15" t="str">
        <f t="shared" si="74"/>
        <v/>
      </c>
      <c r="GS15" s="15" t="str">
        <f t="shared" si="75"/>
        <v/>
      </c>
      <c r="GT15" s="15" t="str">
        <f t="shared" si="76"/>
        <v/>
      </c>
      <c r="GU15" s="39"/>
      <c r="GV15" s="39"/>
      <c r="GW15" s="39"/>
      <c r="GX15" s="39"/>
      <c r="GY15" s="39"/>
      <c r="GZ15" s="39"/>
      <c r="HA15" s="39"/>
      <c r="HB15" s="39"/>
      <c r="HC15" s="39"/>
      <c r="HD15" s="39"/>
      <c r="HE15" s="39"/>
      <c r="HF15" s="39"/>
      <c r="HG15" s="39"/>
      <c r="HH15" s="39"/>
      <c r="HI15" s="39"/>
      <c r="HJ15" s="12" t="str">
        <f t="shared" si="77"/>
        <v/>
      </c>
      <c r="HK15" s="12" t="str">
        <f t="shared" si="78"/>
        <v/>
      </c>
      <c r="HL15" s="12" t="str">
        <f t="shared" si="79"/>
        <v/>
      </c>
      <c r="HM15" s="12" t="str">
        <f t="shared" si="80"/>
        <v/>
      </c>
      <c r="HN15" s="12" t="str">
        <f t="shared" si="81"/>
        <v/>
      </c>
      <c r="HO15" s="12" t="str">
        <f t="shared" si="82"/>
        <v/>
      </c>
      <c r="HP15" s="12" t="str">
        <f t="shared" si="83"/>
        <v/>
      </c>
      <c r="HQ15" s="40"/>
      <c r="HR15" s="40"/>
      <c r="HS15" s="40"/>
      <c r="HT15" s="40"/>
      <c r="HU15" s="40"/>
      <c r="HV15" s="40"/>
      <c r="HW15" s="40"/>
      <c r="HX15" s="40"/>
      <c r="HY15" s="40"/>
      <c r="HZ15" s="40"/>
      <c r="IA15" s="40"/>
      <c r="IB15" s="40"/>
      <c r="IC15" s="40"/>
      <c r="ID15" s="40"/>
      <c r="IE15" s="40"/>
      <c r="IF15" s="15" t="str">
        <f t="shared" si="84"/>
        <v/>
      </c>
      <c r="IG15" s="15" t="str">
        <f t="shared" si="85"/>
        <v/>
      </c>
      <c r="IH15" s="15" t="str">
        <f t="shared" si="86"/>
        <v/>
      </c>
      <c r="II15" s="15" t="str">
        <f t="shared" si="87"/>
        <v/>
      </c>
      <c r="IJ15" s="15" t="str">
        <f t="shared" si="88"/>
        <v/>
      </c>
      <c r="IK15" s="15" t="str">
        <f t="shared" si="89"/>
        <v/>
      </c>
      <c r="IL15" s="15" t="str">
        <f t="shared" si="90"/>
        <v/>
      </c>
      <c r="IM15" s="39"/>
      <c r="IN15" s="39"/>
      <c r="IO15" s="39"/>
      <c r="IP15" s="39"/>
      <c r="IQ15" s="39"/>
      <c r="IR15" s="39"/>
      <c r="IS15" s="39"/>
      <c r="IT15" s="39"/>
      <c r="IU15" s="39"/>
      <c r="IV15" s="39"/>
      <c r="IW15" s="39"/>
      <c r="IX15" s="39"/>
      <c r="IY15" s="39"/>
      <c r="IZ15" s="39"/>
      <c r="JA15" s="39"/>
      <c r="JB15" s="12" t="str">
        <f t="shared" si="91"/>
        <v/>
      </c>
      <c r="JC15" s="12" t="str">
        <f t="shared" si="92"/>
        <v/>
      </c>
      <c r="JD15" s="12" t="str">
        <f t="shared" si="93"/>
        <v/>
      </c>
      <c r="JE15" s="12" t="str">
        <f t="shared" si="94"/>
        <v/>
      </c>
      <c r="JF15" s="12" t="str">
        <f t="shared" si="95"/>
        <v/>
      </c>
      <c r="JG15" s="12" t="str">
        <f t="shared" si="96"/>
        <v/>
      </c>
      <c r="JH15" s="12" t="str">
        <f t="shared" si="97"/>
        <v/>
      </c>
      <c r="JI15" s="40"/>
      <c r="JJ15" s="40"/>
      <c r="JK15" s="40"/>
      <c r="JL15" s="40"/>
      <c r="JM15" s="40"/>
      <c r="JN15" s="40"/>
      <c r="JO15" s="40"/>
      <c r="JP15" s="40"/>
      <c r="JQ15" s="40"/>
      <c r="JR15" s="40"/>
      <c r="JS15" s="40"/>
      <c r="JT15" s="40"/>
      <c r="JU15" s="40"/>
      <c r="JV15" s="40"/>
      <c r="JW15" s="40"/>
      <c r="JX15" s="15" t="str">
        <f t="shared" si="98"/>
        <v/>
      </c>
      <c r="JY15" s="15" t="str">
        <f t="shared" si="99"/>
        <v/>
      </c>
      <c r="JZ15" s="15" t="str">
        <f t="shared" si="100"/>
        <v/>
      </c>
      <c r="KA15" s="15" t="str">
        <f t="shared" si="101"/>
        <v/>
      </c>
      <c r="KB15" s="15" t="str">
        <f t="shared" si="102"/>
        <v/>
      </c>
      <c r="KC15" s="15" t="str">
        <f t="shared" si="103"/>
        <v/>
      </c>
      <c r="KD15" s="15" t="str">
        <f t="shared" si="104"/>
        <v/>
      </c>
      <c r="KE15" s="39"/>
      <c r="KF15" s="39"/>
      <c r="KG15" s="39"/>
      <c r="KH15" s="39"/>
      <c r="KI15" s="39"/>
      <c r="KJ15" s="39"/>
      <c r="KK15" s="39"/>
      <c r="KL15" s="39"/>
      <c r="KM15" s="39"/>
      <c r="KN15" s="39"/>
      <c r="KO15" s="39"/>
      <c r="KP15" s="39"/>
      <c r="KQ15" s="39"/>
      <c r="KR15" s="39"/>
      <c r="KS15" s="39"/>
      <c r="KT15" s="12" t="str">
        <f t="shared" si="105"/>
        <v/>
      </c>
      <c r="KU15" s="12" t="str">
        <f t="shared" si="106"/>
        <v/>
      </c>
      <c r="KV15" s="12" t="str">
        <f t="shared" si="107"/>
        <v/>
      </c>
      <c r="KW15" s="12" t="str">
        <f t="shared" si="108"/>
        <v/>
      </c>
      <c r="KX15" s="12" t="str">
        <f t="shared" si="109"/>
        <v/>
      </c>
      <c r="KY15" s="12" t="str">
        <f t="shared" si="110"/>
        <v/>
      </c>
      <c r="KZ15" s="12" t="str">
        <f t="shared" si="111"/>
        <v/>
      </c>
      <c r="LA15" s="40"/>
      <c r="LB15" s="40"/>
      <c r="LC15" s="40"/>
      <c r="LD15" s="40"/>
      <c r="LE15" s="40"/>
      <c r="LF15" s="40"/>
      <c r="LG15" s="40"/>
      <c r="LH15" s="40"/>
      <c r="LI15" s="40"/>
      <c r="LJ15" s="40"/>
      <c r="LK15" s="40"/>
      <c r="LL15" s="40"/>
      <c r="LM15" s="40"/>
      <c r="LN15" s="40"/>
      <c r="LO15" s="40"/>
      <c r="LP15" s="15" t="str">
        <f t="shared" si="112"/>
        <v/>
      </c>
      <c r="LQ15" s="15" t="str">
        <f t="shared" si="113"/>
        <v/>
      </c>
      <c r="LR15" s="15" t="str">
        <f t="shared" si="114"/>
        <v/>
      </c>
      <c r="LS15" s="15" t="str">
        <f t="shared" si="115"/>
        <v/>
      </c>
      <c r="LT15" s="15" t="str">
        <f t="shared" si="116"/>
        <v/>
      </c>
      <c r="LU15" s="15" t="str">
        <f t="shared" si="117"/>
        <v/>
      </c>
      <c r="LV15" s="15" t="str">
        <f t="shared" si="118"/>
        <v/>
      </c>
      <c r="LW15" s="71">
        <f t="shared" si="126"/>
        <v>0</v>
      </c>
      <c r="LX15" s="71">
        <f t="shared" si="127"/>
        <v>0</v>
      </c>
      <c r="LY15" s="71">
        <f t="shared" si="128"/>
        <v>0</v>
      </c>
      <c r="LZ15" s="71">
        <f t="shared" si="129"/>
        <v>0</v>
      </c>
      <c r="MA15" s="71">
        <f t="shared" si="130"/>
        <v>0</v>
      </c>
      <c r="MB15" s="71">
        <f t="shared" si="131"/>
        <v>0</v>
      </c>
      <c r="MC15" s="71">
        <f t="shared" si="132"/>
        <v>0</v>
      </c>
      <c r="MD15" s="71">
        <f t="shared" si="133"/>
        <v>0</v>
      </c>
      <c r="ME15" s="71">
        <f t="shared" si="134"/>
        <v>0</v>
      </c>
      <c r="MF15" s="71">
        <f t="shared" si="135"/>
        <v>0</v>
      </c>
      <c r="MG15" s="71">
        <f t="shared" si="136"/>
        <v>0</v>
      </c>
      <c r="MH15" s="71">
        <f t="shared" si="137"/>
        <v>0</v>
      </c>
      <c r="MI15" s="71">
        <f t="shared" si="138"/>
        <v>0</v>
      </c>
      <c r="MJ15" s="71">
        <f t="shared" si="139"/>
        <v>0</v>
      </c>
      <c r="MK15" s="71">
        <f t="shared" si="140"/>
        <v>0</v>
      </c>
      <c r="ML15" s="82" t="s">
        <v>100</v>
      </c>
      <c r="MM15" s="12" t="str">
        <f t="shared" si="141"/>
        <v/>
      </c>
      <c r="MN15" s="12" t="str">
        <f t="shared" si="121"/>
        <v/>
      </c>
      <c r="MO15" s="12" t="str">
        <f t="shared" si="142"/>
        <v/>
      </c>
      <c r="MP15" s="12" t="str">
        <f t="shared" si="143"/>
        <v/>
      </c>
      <c r="MQ15" s="12" t="str">
        <f t="shared" si="144"/>
        <v/>
      </c>
      <c r="MR15" s="12" t="str">
        <f t="shared" si="145"/>
        <v/>
      </c>
      <c r="MS15" s="12" t="str">
        <f t="shared" si="146"/>
        <v/>
      </c>
    </row>
    <row r="16" spans="1:357" x14ac:dyDescent="0.2">
      <c r="A16" s="6" t="str">
        <f t="shared" si="0"/>
        <v/>
      </c>
      <c r="B16" s="7" t="s">
        <v>122</v>
      </c>
      <c r="C16" s="8" t="s">
        <v>97</v>
      </c>
      <c r="D16" s="6" t="s">
        <v>114</v>
      </c>
      <c r="E16" s="16">
        <f t="shared" si="1"/>
        <v>33.545000000000002</v>
      </c>
      <c r="F16" s="4" t="str">
        <f t="shared" si="2"/>
        <v/>
      </c>
      <c r="G16" s="4" t="str">
        <f t="shared" si="3"/>
        <v/>
      </c>
      <c r="H16" s="4" t="str">
        <f t="shared" si="4"/>
        <v/>
      </c>
      <c r="I16" t="str">
        <f t="shared" si="5"/>
        <v/>
      </c>
      <c r="J16" s="15">
        <f t="shared" si="6"/>
        <v>33.545000000000002</v>
      </c>
      <c r="K16" s="15" t="str">
        <f t="shared" si="7"/>
        <v>2019 Elite Canada</v>
      </c>
      <c r="L16" s="15" t="str">
        <f t="shared" si="8"/>
        <v/>
      </c>
      <c r="M16" s="15" t="str">
        <f t="shared" si="9"/>
        <v/>
      </c>
      <c r="N16" s="15" t="str">
        <f t="shared" si="10"/>
        <v/>
      </c>
      <c r="O16" s="15" t="str">
        <f t="shared" si="11"/>
        <v/>
      </c>
      <c r="P16" s="15" t="str">
        <f t="shared" si="12"/>
        <v/>
      </c>
      <c r="Q16" s="15" t="str">
        <f t="shared" si="13"/>
        <v/>
      </c>
      <c r="R16" s="15" t="str">
        <f t="shared" si="14"/>
        <v/>
      </c>
      <c r="S16" s="27" t="str">
        <f t="shared" si="15"/>
        <v/>
      </c>
      <c r="T16" s="15" t="str">
        <f t="shared" si="16"/>
        <v/>
      </c>
      <c r="U16" s="39">
        <v>5.4749999999999996</v>
      </c>
      <c r="V16" s="39">
        <v>5.55</v>
      </c>
      <c r="W16" s="39">
        <v>1.2</v>
      </c>
      <c r="X16" s="39">
        <v>7.72</v>
      </c>
      <c r="Y16" s="39">
        <v>0</v>
      </c>
      <c r="Z16" s="39">
        <v>2.25</v>
      </c>
      <c r="AA16" s="39">
        <v>2.65</v>
      </c>
      <c r="AB16" s="39">
        <v>4</v>
      </c>
      <c r="AC16" s="39">
        <v>4.7</v>
      </c>
      <c r="AD16" s="39">
        <v>0</v>
      </c>
      <c r="AE16" s="39"/>
      <c r="AF16" s="39"/>
      <c r="AG16" s="39"/>
      <c r="AH16" s="39"/>
      <c r="AI16" s="39"/>
      <c r="AJ16" s="82"/>
      <c r="AK16" s="12">
        <f t="shared" si="17"/>
        <v>4</v>
      </c>
      <c r="AL16" s="12">
        <f t="shared" si="18"/>
        <v>19.944999999999997</v>
      </c>
      <c r="AM16" s="12">
        <f t="shared" si="19"/>
        <v>13.600000000000001</v>
      </c>
      <c r="AN16" s="12">
        <f t="shared" si="20"/>
        <v>33.545000000000002</v>
      </c>
      <c r="AO16" s="12" t="str">
        <f t="shared" si="21"/>
        <v/>
      </c>
      <c r="AP16" s="12" t="str">
        <f t="shared" si="22"/>
        <v/>
      </c>
      <c r="AQ16" s="12">
        <f t="shared" si="23"/>
        <v>33.545000000000002</v>
      </c>
      <c r="AR16" s="40"/>
      <c r="AS16" s="40"/>
      <c r="AT16" s="40"/>
      <c r="AU16" s="40"/>
      <c r="AV16" s="40"/>
      <c r="AW16" s="40"/>
      <c r="AX16" s="40"/>
      <c r="AY16" s="40"/>
      <c r="AZ16" s="40"/>
      <c r="BA16" s="40"/>
      <c r="BB16" s="40"/>
      <c r="BC16" s="40"/>
      <c r="BD16" s="40"/>
      <c r="BE16" s="40"/>
      <c r="BF16" s="40"/>
      <c r="BG16" s="83"/>
      <c r="BH16" s="15" t="str">
        <f t="shared" si="24"/>
        <v/>
      </c>
      <c r="BI16" s="15" t="str">
        <f t="shared" si="25"/>
        <v/>
      </c>
      <c r="BJ16" s="15" t="str">
        <f t="shared" si="26"/>
        <v/>
      </c>
      <c r="BK16" s="15" t="str">
        <f t="shared" si="27"/>
        <v/>
      </c>
      <c r="BL16" s="15" t="str">
        <f t="shared" si="28"/>
        <v/>
      </c>
      <c r="BM16" s="15" t="str">
        <f t="shared" si="29"/>
        <v/>
      </c>
      <c r="BN16" s="15" t="str">
        <f t="shared" si="30"/>
        <v/>
      </c>
      <c r="BO16" s="26" t="str">
        <f t="shared" si="31"/>
        <v/>
      </c>
      <c r="BP16" s="26" t="str">
        <f t="shared" si="32"/>
        <v/>
      </c>
      <c r="BQ16" s="26" t="str">
        <f t="shared" si="33"/>
        <v/>
      </c>
      <c r="BR16" s="26" t="str">
        <f t="shared" si="34"/>
        <v/>
      </c>
      <c r="BS16" s="39"/>
      <c r="BT16" s="39"/>
      <c r="BU16" s="39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39"/>
      <c r="CG16" s="39"/>
      <c r="CH16" s="12" t="str">
        <f t="shared" si="35"/>
        <v/>
      </c>
      <c r="CI16" s="12" t="str">
        <f t="shared" si="36"/>
        <v/>
      </c>
      <c r="CJ16" s="12" t="str">
        <f t="shared" si="37"/>
        <v/>
      </c>
      <c r="CK16" s="12" t="str">
        <f t="shared" si="38"/>
        <v/>
      </c>
      <c r="CL16" s="12" t="str">
        <f t="shared" si="39"/>
        <v/>
      </c>
      <c r="CM16" s="12" t="str">
        <f t="shared" si="40"/>
        <v/>
      </c>
      <c r="CN16" s="12" t="str">
        <f t="shared" si="41"/>
        <v/>
      </c>
      <c r="CO16" s="40"/>
      <c r="CP16" s="40"/>
      <c r="CQ16" s="40"/>
      <c r="CR16" s="40"/>
      <c r="CS16" s="40"/>
      <c r="CT16" s="40"/>
      <c r="CU16" s="40"/>
      <c r="CV16" s="40"/>
      <c r="CW16" s="40"/>
      <c r="CX16" s="40"/>
      <c r="CY16" s="40"/>
      <c r="CZ16" s="40"/>
      <c r="DA16" s="40"/>
      <c r="DB16" s="40"/>
      <c r="DC16" s="40"/>
      <c r="DD16" s="15" t="str">
        <f t="shared" si="42"/>
        <v/>
      </c>
      <c r="DE16" s="15" t="str">
        <f t="shared" si="43"/>
        <v/>
      </c>
      <c r="DF16" s="15" t="str">
        <f t="shared" si="44"/>
        <v/>
      </c>
      <c r="DG16" s="15" t="str">
        <f t="shared" si="45"/>
        <v/>
      </c>
      <c r="DH16" s="15" t="str">
        <f t="shared" si="46"/>
        <v/>
      </c>
      <c r="DI16" s="15" t="str">
        <f t="shared" si="47"/>
        <v/>
      </c>
      <c r="DJ16" s="15" t="str">
        <f t="shared" si="48"/>
        <v/>
      </c>
      <c r="DK16" s="39"/>
      <c r="DL16" s="39"/>
      <c r="DM16" s="39"/>
      <c r="DN16" s="39"/>
      <c r="DO16" s="39"/>
      <c r="DP16" s="39"/>
      <c r="DQ16" s="39"/>
      <c r="DR16" s="39"/>
      <c r="DS16" s="39"/>
      <c r="DT16" s="39"/>
      <c r="DU16" s="39"/>
      <c r="DV16" s="39"/>
      <c r="DW16" s="39"/>
      <c r="DX16" s="39"/>
      <c r="DY16" s="39"/>
      <c r="DZ16" s="12" t="str">
        <f t="shared" si="49"/>
        <v/>
      </c>
      <c r="EA16" s="12" t="str">
        <f t="shared" si="50"/>
        <v/>
      </c>
      <c r="EB16" s="12" t="str">
        <f t="shared" si="51"/>
        <v/>
      </c>
      <c r="EC16" s="12" t="str">
        <f t="shared" si="52"/>
        <v/>
      </c>
      <c r="ED16" s="12" t="str">
        <f t="shared" si="53"/>
        <v/>
      </c>
      <c r="EE16" s="12" t="str">
        <f t="shared" si="54"/>
        <v/>
      </c>
      <c r="EF16" s="12" t="str">
        <f t="shared" si="55"/>
        <v/>
      </c>
      <c r="EG16" s="40"/>
      <c r="EH16" s="40"/>
      <c r="EI16" s="40"/>
      <c r="EJ16" s="40"/>
      <c r="EK16" s="40"/>
      <c r="EL16" s="40"/>
      <c r="EM16" s="40"/>
      <c r="EN16" s="40"/>
      <c r="EO16" s="40"/>
      <c r="EP16" s="40"/>
      <c r="EQ16" s="40"/>
      <c r="ER16" s="40"/>
      <c r="ES16" s="40"/>
      <c r="ET16" s="40"/>
      <c r="EU16" s="40"/>
      <c r="EV16" s="15" t="str">
        <f t="shared" si="56"/>
        <v/>
      </c>
      <c r="EW16" s="15" t="str">
        <f t="shared" si="57"/>
        <v/>
      </c>
      <c r="EX16" s="15" t="str">
        <f t="shared" si="58"/>
        <v/>
      </c>
      <c r="EY16" s="15" t="str">
        <f t="shared" si="59"/>
        <v/>
      </c>
      <c r="EZ16" s="15" t="str">
        <f t="shared" si="60"/>
        <v/>
      </c>
      <c r="FA16" s="15" t="str">
        <f t="shared" si="61"/>
        <v/>
      </c>
      <c r="FB16" s="15" t="str">
        <f t="shared" si="62"/>
        <v/>
      </c>
      <c r="FC16" s="39"/>
      <c r="FD16" s="39"/>
      <c r="FE16" s="39"/>
      <c r="FF16" s="39"/>
      <c r="FG16" s="39"/>
      <c r="FH16" s="39"/>
      <c r="FI16" s="39"/>
      <c r="FJ16" s="39"/>
      <c r="FK16" s="39"/>
      <c r="FL16" s="39"/>
      <c r="FM16" s="39"/>
      <c r="FN16" s="39"/>
      <c r="FO16" s="39"/>
      <c r="FP16" s="39"/>
      <c r="FQ16" s="39"/>
      <c r="FR16" s="12" t="str">
        <f t="shared" si="63"/>
        <v/>
      </c>
      <c r="FS16" s="12" t="str">
        <f t="shared" si="64"/>
        <v/>
      </c>
      <c r="FT16" s="12" t="str">
        <f t="shared" si="65"/>
        <v/>
      </c>
      <c r="FU16" s="12" t="str">
        <f t="shared" si="66"/>
        <v/>
      </c>
      <c r="FV16" s="12" t="str">
        <f t="shared" si="67"/>
        <v/>
      </c>
      <c r="FW16" s="12" t="str">
        <f t="shared" si="68"/>
        <v/>
      </c>
      <c r="FX16" s="12" t="str">
        <f t="shared" si="69"/>
        <v/>
      </c>
      <c r="FY16" s="40"/>
      <c r="FZ16" s="40"/>
      <c r="GA16" s="40"/>
      <c r="GB16" s="40"/>
      <c r="GC16" s="40"/>
      <c r="GD16" s="40"/>
      <c r="GE16" s="40"/>
      <c r="GF16" s="40"/>
      <c r="GG16" s="40"/>
      <c r="GH16" s="40"/>
      <c r="GI16" s="40"/>
      <c r="GJ16" s="40"/>
      <c r="GK16" s="40"/>
      <c r="GL16" s="40"/>
      <c r="GM16" s="40"/>
      <c r="GN16" s="15" t="str">
        <f t="shared" si="70"/>
        <v/>
      </c>
      <c r="GO16" s="15" t="str">
        <f t="shared" si="71"/>
        <v/>
      </c>
      <c r="GP16" s="15" t="str">
        <f t="shared" si="72"/>
        <v/>
      </c>
      <c r="GQ16" s="15" t="str">
        <f t="shared" si="73"/>
        <v/>
      </c>
      <c r="GR16" s="15" t="str">
        <f t="shared" si="74"/>
        <v/>
      </c>
      <c r="GS16" s="15" t="str">
        <f t="shared" si="75"/>
        <v/>
      </c>
      <c r="GT16" s="15" t="str">
        <f t="shared" si="76"/>
        <v/>
      </c>
      <c r="GU16" s="39"/>
      <c r="GV16" s="39"/>
      <c r="GW16" s="39"/>
      <c r="GX16" s="39"/>
      <c r="GY16" s="39"/>
      <c r="GZ16" s="39"/>
      <c r="HA16" s="39"/>
      <c r="HB16" s="39"/>
      <c r="HC16" s="39"/>
      <c r="HD16" s="39"/>
      <c r="HE16" s="39"/>
      <c r="HF16" s="39"/>
      <c r="HG16" s="39"/>
      <c r="HH16" s="39"/>
      <c r="HI16" s="39"/>
      <c r="HJ16" s="12" t="str">
        <f t="shared" si="77"/>
        <v/>
      </c>
      <c r="HK16" s="12" t="str">
        <f t="shared" si="78"/>
        <v/>
      </c>
      <c r="HL16" s="12" t="str">
        <f t="shared" si="79"/>
        <v/>
      </c>
      <c r="HM16" s="12" t="str">
        <f t="shared" si="80"/>
        <v/>
      </c>
      <c r="HN16" s="12" t="str">
        <f t="shared" si="81"/>
        <v/>
      </c>
      <c r="HO16" s="12" t="str">
        <f t="shared" si="82"/>
        <v/>
      </c>
      <c r="HP16" s="12" t="str">
        <f t="shared" si="83"/>
        <v/>
      </c>
      <c r="HQ16" s="40"/>
      <c r="HR16" s="40"/>
      <c r="HS16" s="40"/>
      <c r="HT16" s="40"/>
      <c r="HU16" s="40"/>
      <c r="HV16" s="40"/>
      <c r="HW16" s="40"/>
      <c r="HX16" s="40"/>
      <c r="HY16" s="40"/>
      <c r="HZ16" s="40"/>
      <c r="IA16" s="40"/>
      <c r="IB16" s="40"/>
      <c r="IC16" s="40"/>
      <c r="ID16" s="40"/>
      <c r="IE16" s="40"/>
      <c r="IF16" s="15" t="str">
        <f t="shared" si="84"/>
        <v/>
      </c>
      <c r="IG16" s="15" t="str">
        <f t="shared" si="85"/>
        <v/>
      </c>
      <c r="IH16" s="15" t="str">
        <f t="shared" si="86"/>
        <v/>
      </c>
      <c r="II16" s="15" t="str">
        <f t="shared" si="87"/>
        <v/>
      </c>
      <c r="IJ16" s="15" t="str">
        <f t="shared" si="88"/>
        <v/>
      </c>
      <c r="IK16" s="15" t="str">
        <f t="shared" si="89"/>
        <v/>
      </c>
      <c r="IL16" s="15" t="str">
        <f t="shared" si="90"/>
        <v/>
      </c>
      <c r="IM16" s="39"/>
      <c r="IN16" s="39"/>
      <c r="IO16" s="39"/>
      <c r="IP16" s="39"/>
      <c r="IQ16" s="39"/>
      <c r="IR16" s="39"/>
      <c r="IS16" s="39"/>
      <c r="IT16" s="39"/>
      <c r="IU16" s="39"/>
      <c r="IV16" s="39"/>
      <c r="IW16" s="39"/>
      <c r="IX16" s="39"/>
      <c r="IY16" s="39"/>
      <c r="IZ16" s="39"/>
      <c r="JA16" s="39"/>
      <c r="JB16" s="12" t="str">
        <f t="shared" si="91"/>
        <v/>
      </c>
      <c r="JC16" s="12" t="str">
        <f t="shared" si="92"/>
        <v/>
      </c>
      <c r="JD16" s="12" t="str">
        <f t="shared" si="93"/>
        <v/>
      </c>
      <c r="JE16" s="12" t="str">
        <f t="shared" si="94"/>
        <v/>
      </c>
      <c r="JF16" s="12" t="str">
        <f t="shared" si="95"/>
        <v/>
      </c>
      <c r="JG16" s="12" t="str">
        <f t="shared" si="96"/>
        <v/>
      </c>
      <c r="JH16" s="12" t="str">
        <f t="shared" si="97"/>
        <v/>
      </c>
      <c r="JI16" s="40"/>
      <c r="JJ16" s="40"/>
      <c r="JK16" s="40"/>
      <c r="JL16" s="40"/>
      <c r="JM16" s="40"/>
      <c r="JN16" s="40"/>
      <c r="JO16" s="40"/>
      <c r="JP16" s="40"/>
      <c r="JQ16" s="40"/>
      <c r="JR16" s="40"/>
      <c r="JS16" s="40"/>
      <c r="JT16" s="40"/>
      <c r="JU16" s="40"/>
      <c r="JV16" s="40"/>
      <c r="JW16" s="40"/>
      <c r="JX16" s="15" t="str">
        <f t="shared" si="98"/>
        <v/>
      </c>
      <c r="JY16" s="15" t="str">
        <f t="shared" si="99"/>
        <v/>
      </c>
      <c r="JZ16" s="15" t="str">
        <f t="shared" si="100"/>
        <v/>
      </c>
      <c r="KA16" s="15" t="str">
        <f t="shared" si="101"/>
        <v/>
      </c>
      <c r="KB16" s="15" t="str">
        <f t="shared" si="102"/>
        <v/>
      </c>
      <c r="KC16" s="15" t="str">
        <f t="shared" si="103"/>
        <v/>
      </c>
      <c r="KD16" s="15" t="str">
        <f t="shared" si="104"/>
        <v/>
      </c>
      <c r="KE16" s="39"/>
      <c r="KF16" s="39"/>
      <c r="KG16" s="39"/>
      <c r="KH16" s="39"/>
      <c r="KI16" s="39"/>
      <c r="KJ16" s="39"/>
      <c r="KK16" s="39"/>
      <c r="KL16" s="39"/>
      <c r="KM16" s="39"/>
      <c r="KN16" s="39"/>
      <c r="KO16" s="39"/>
      <c r="KP16" s="39"/>
      <c r="KQ16" s="39"/>
      <c r="KR16" s="39"/>
      <c r="KS16" s="39"/>
      <c r="KT16" s="12" t="str">
        <f t="shared" si="105"/>
        <v/>
      </c>
      <c r="KU16" s="12" t="str">
        <f t="shared" si="106"/>
        <v/>
      </c>
      <c r="KV16" s="12" t="str">
        <f t="shared" si="107"/>
        <v/>
      </c>
      <c r="KW16" s="12" t="str">
        <f t="shared" si="108"/>
        <v/>
      </c>
      <c r="KX16" s="12" t="str">
        <f t="shared" si="109"/>
        <v/>
      </c>
      <c r="KY16" s="12" t="str">
        <f t="shared" si="110"/>
        <v/>
      </c>
      <c r="KZ16" s="12" t="str">
        <f t="shared" si="111"/>
        <v/>
      </c>
      <c r="LA16" s="40"/>
      <c r="LB16" s="40"/>
      <c r="LC16" s="40"/>
      <c r="LD16" s="40"/>
      <c r="LE16" s="40"/>
      <c r="LF16" s="40"/>
      <c r="LG16" s="40"/>
      <c r="LH16" s="40"/>
      <c r="LI16" s="40"/>
      <c r="LJ16" s="40"/>
      <c r="LK16" s="40"/>
      <c r="LL16" s="40"/>
      <c r="LM16" s="40"/>
      <c r="LN16" s="40"/>
      <c r="LO16" s="40"/>
      <c r="LP16" s="15" t="str">
        <f t="shared" si="112"/>
        <v/>
      </c>
      <c r="LQ16" s="15" t="str">
        <f t="shared" si="113"/>
        <v/>
      </c>
      <c r="LR16" s="15" t="str">
        <f t="shared" si="114"/>
        <v/>
      </c>
      <c r="LS16" s="15" t="str">
        <f t="shared" si="115"/>
        <v/>
      </c>
      <c r="LT16" s="15" t="str">
        <f t="shared" si="116"/>
        <v/>
      </c>
      <c r="LU16" s="15" t="str">
        <f t="shared" si="117"/>
        <v/>
      </c>
      <c r="LV16" s="15" t="str">
        <f t="shared" si="118"/>
        <v/>
      </c>
      <c r="LW16" s="71">
        <f t="shared" ref="LW16" si="147">IF($BG16="P",AR16,(U16+AR16)/2)</f>
        <v>2.7374999999999998</v>
      </c>
      <c r="LX16" s="71">
        <f t="shared" ref="LX16" si="148">IF($BG16="P",AS16,(V16+AS16)/2)</f>
        <v>2.7749999999999999</v>
      </c>
      <c r="LY16" s="71">
        <f t="shared" ref="LY16" si="149">IF($BG16="P",AT16,(W16+AT16)/2)</f>
        <v>0.6</v>
      </c>
      <c r="LZ16" s="71">
        <f t="shared" ref="LZ16" si="150">IF($BG16="P",AU16,(X16+AU16)/2)</f>
        <v>3.86</v>
      </c>
      <c r="MA16" s="71">
        <f t="shared" ref="MA16" si="151">IF($BG16="P",AV16,(Y16+AV16)/2)</f>
        <v>0</v>
      </c>
      <c r="MB16" s="71">
        <f t="shared" ref="MB16" si="152">IF($BG16="P",AW16,(Z16+AW16)/2)</f>
        <v>1.125</v>
      </c>
      <c r="MC16" s="71">
        <f t="shared" ref="MC16" si="153">IF($BG16="P",AX16,(AA16+AX16)/2)</f>
        <v>1.325</v>
      </c>
      <c r="MD16" s="71">
        <f t="shared" ref="MD16" si="154">IF($BG16="P",AY16,(AB16+AY16)/2)</f>
        <v>2</v>
      </c>
      <c r="ME16" s="71">
        <f t="shared" ref="ME16" si="155">IF($BG16="P",AZ16,(AC16+AZ16)/2)</f>
        <v>2.35</v>
      </c>
      <c r="MF16" s="71">
        <f t="shared" ref="MF16" si="156">IF($BG16="P",BA16,(AD16+BA16)/2)</f>
        <v>0</v>
      </c>
      <c r="MG16" s="71">
        <f t="shared" ref="MG16" si="157">IF($BG16="P",BB16,(AE16+BB16)/2)</f>
        <v>0</v>
      </c>
      <c r="MH16" s="71">
        <f t="shared" ref="MH16" si="158">IF($BG16="P",BC16,(AF16+BC16)/2)</f>
        <v>0</v>
      </c>
      <c r="MI16" s="71">
        <f t="shared" ref="MI16" si="159">IF($BG16="P",BD16,(AG16+BD16)/2)</f>
        <v>0</v>
      </c>
      <c r="MJ16" s="71">
        <f t="shared" ref="MJ16" si="160">IF($BG16="P",BE16,(AH16+BE16)/2)</f>
        <v>0</v>
      </c>
      <c r="MK16" s="71">
        <f t="shared" ref="MK16" si="161">IF($BG16="P",BF16,(AI16+BF16)/2)</f>
        <v>0</v>
      </c>
      <c r="ML16" s="82" t="s">
        <v>100</v>
      </c>
      <c r="MM16" s="12">
        <f t="shared" ref="MM16" si="162">IF(MD16&gt;0,MD16,"")</f>
        <v>2</v>
      </c>
      <c r="MN16" s="12">
        <f t="shared" ref="MN16" si="163">IF(SUM(LW16:LZ16)-MA16&gt;0,SUM(LW16:LZ16)-MA16,"")</f>
        <v>9.9724999999999984</v>
      </c>
      <c r="MO16" s="12">
        <f t="shared" ref="MO16" si="164">IF(SUM(MB16:ME16)-MF16&gt;0,SUM(MB16:ME16)-MF16,"")</f>
        <v>6.8000000000000007</v>
      </c>
      <c r="MP16" s="12">
        <f t="shared" ref="MP16" si="165">IF(SUM(MN16:MO16)&gt;0,SUM(MN16:MO16),"")</f>
        <v>16.772500000000001</v>
      </c>
      <c r="MQ16" s="12" t="str">
        <f t="shared" ref="MQ16" si="166">IF(MI16&gt;0,MI16,"")</f>
        <v/>
      </c>
      <c r="MR16" s="12" t="str">
        <f t="shared" ref="MR16" si="167">IF(SUM(MG16:MJ16)-MK16&gt;0,SUM(MG16:MJ16)-MK16,"")</f>
        <v/>
      </c>
      <c r="MS16" s="12">
        <f t="shared" ref="MS16" si="168">IF(SUM(MP16,MR16)&gt;0,SUM(MP16,MR16),"")</f>
        <v>16.772500000000001</v>
      </c>
    </row>
    <row r="17" spans="1:357" x14ac:dyDescent="0.2">
      <c r="A17" s="6" t="str">
        <f t="shared" si="0"/>
        <v/>
      </c>
      <c r="B17" s="7" t="s">
        <v>123</v>
      </c>
      <c r="C17" s="8" t="s">
        <v>3</v>
      </c>
      <c r="D17" s="6" t="s">
        <v>124</v>
      </c>
      <c r="E17" s="16">
        <f t="shared" si="1"/>
        <v>0</v>
      </c>
      <c r="F17" s="4" t="str">
        <f t="shared" si="2"/>
        <v/>
      </c>
      <c r="G17" s="4" t="str">
        <f t="shared" si="3"/>
        <v/>
      </c>
      <c r="H17" s="4" t="str">
        <f t="shared" si="4"/>
        <v/>
      </c>
      <c r="I17" t="str">
        <f t="shared" si="5"/>
        <v/>
      </c>
      <c r="J17" s="15" t="str">
        <f t="shared" si="6"/>
        <v/>
      </c>
      <c r="K17" s="15" t="str">
        <f t="shared" si="7"/>
        <v/>
      </c>
      <c r="L17" s="15" t="str">
        <f t="shared" si="8"/>
        <v/>
      </c>
      <c r="M17" s="15" t="str">
        <f t="shared" si="9"/>
        <v/>
      </c>
      <c r="N17" s="15" t="str">
        <f t="shared" si="10"/>
        <v/>
      </c>
      <c r="O17" s="15" t="str">
        <f t="shared" si="11"/>
        <v/>
      </c>
      <c r="P17" s="15" t="str">
        <f t="shared" si="12"/>
        <v/>
      </c>
      <c r="Q17" s="15" t="str">
        <f t="shared" si="13"/>
        <v/>
      </c>
      <c r="R17" s="15" t="str">
        <f t="shared" si="14"/>
        <v/>
      </c>
      <c r="S17" s="27" t="str">
        <f t="shared" si="15"/>
        <v/>
      </c>
      <c r="T17" s="15" t="str">
        <f t="shared" si="16"/>
        <v/>
      </c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82"/>
      <c r="AK17" s="12" t="str">
        <f t="shared" si="17"/>
        <v/>
      </c>
      <c r="AL17" s="12" t="str">
        <f t="shared" si="18"/>
        <v/>
      </c>
      <c r="AM17" s="12" t="str">
        <f t="shared" si="19"/>
        <v/>
      </c>
      <c r="AN17" s="12" t="str">
        <f t="shared" si="20"/>
        <v/>
      </c>
      <c r="AO17" s="12" t="str">
        <f t="shared" si="21"/>
        <v/>
      </c>
      <c r="AP17" s="12" t="str">
        <f t="shared" si="22"/>
        <v/>
      </c>
      <c r="AQ17" s="12" t="str">
        <f t="shared" si="23"/>
        <v/>
      </c>
      <c r="AR17" s="40"/>
      <c r="AS17" s="40"/>
      <c r="AT17" s="40"/>
      <c r="AU17" s="40"/>
      <c r="AV17" s="40"/>
      <c r="AW17" s="40"/>
      <c r="AX17" s="40"/>
      <c r="AY17" s="40"/>
      <c r="AZ17" s="40"/>
      <c r="BA17" s="40"/>
      <c r="BB17" s="40"/>
      <c r="BC17" s="40"/>
      <c r="BD17" s="40"/>
      <c r="BE17" s="40"/>
      <c r="BF17" s="40"/>
      <c r="BG17" s="83"/>
      <c r="BH17" s="15" t="str">
        <f t="shared" si="24"/>
        <v/>
      </c>
      <c r="BI17" s="15" t="str">
        <f t="shared" si="25"/>
        <v/>
      </c>
      <c r="BJ17" s="15" t="str">
        <f t="shared" si="26"/>
        <v/>
      </c>
      <c r="BK17" s="15" t="str">
        <f t="shared" si="27"/>
        <v/>
      </c>
      <c r="BL17" s="15" t="str">
        <f t="shared" si="28"/>
        <v/>
      </c>
      <c r="BM17" s="15" t="str">
        <f t="shared" si="29"/>
        <v/>
      </c>
      <c r="BN17" s="15" t="str">
        <f t="shared" si="30"/>
        <v/>
      </c>
      <c r="BO17" s="26" t="str">
        <f t="shared" si="31"/>
        <v/>
      </c>
      <c r="BP17" s="26" t="str">
        <f t="shared" si="32"/>
        <v/>
      </c>
      <c r="BQ17" s="26" t="str">
        <f t="shared" si="33"/>
        <v/>
      </c>
      <c r="BR17" s="26" t="str">
        <f t="shared" si="34"/>
        <v/>
      </c>
      <c r="BS17" s="39"/>
      <c r="BT17" s="39"/>
      <c r="BU17" s="39"/>
      <c r="BV17" s="39"/>
      <c r="BW17" s="39"/>
      <c r="BX17" s="39"/>
      <c r="BY17" s="39"/>
      <c r="BZ17" s="39"/>
      <c r="CA17" s="39"/>
      <c r="CB17" s="39"/>
      <c r="CC17" s="39"/>
      <c r="CD17" s="39"/>
      <c r="CE17" s="39"/>
      <c r="CF17" s="39"/>
      <c r="CG17" s="39"/>
      <c r="CH17" s="12" t="str">
        <f t="shared" si="35"/>
        <v/>
      </c>
      <c r="CI17" s="12" t="str">
        <f t="shared" si="36"/>
        <v/>
      </c>
      <c r="CJ17" s="12" t="str">
        <f t="shared" si="37"/>
        <v/>
      </c>
      <c r="CK17" s="12" t="str">
        <f t="shared" si="38"/>
        <v/>
      </c>
      <c r="CL17" s="12" t="str">
        <f t="shared" si="39"/>
        <v/>
      </c>
      <c r="CM17" s="12" t="str">
        <f t="shared" si="40"/>
        <v/>
      </c>
      <c r="CN17" s="12" t="str">
        <f t="shared" si="41"/>
        <v/>
      </c>
      <c r="CO17" s="40"/>
      <c r="CP17" s="40"/>
      <c r="CQ17" s="40"/>
      <c r="CR17" s="40"/>
      <c r="CS17" s="40"/>
      <c r="CT17" s="40"/>
      <c r="CU17" s="40"/>
      <c r="CV17" s="40"/>
      <c r="CW17" s="40"/>
      <c r="CX17" s="40"/>
      <c r="CY17" s="40"/>
      <c r="CZ17" s="40"/>
      <c r="DA17" s="40"/>
      <c r="DB17" s="40"/>
      <c r="DC17" s="40"/>
      <c r="DD17" s="15" t="str">
        <f t="shared" si="42"/>
        <v/>
      </c>
      <c r="DE17" s="15" t="str">
        <f t="shared" si="43"/>
        <v/>
      </c>
      <c r="DF17" s="15" t="str">
        <f t="shared" si="44"/>
        <v/>
      </c>
      <c r="DG17" s="15" t="str">
        <f t="shared" si="45"/>
        <v/>
      </c>
      <c r="DH17" s="15" t="str">
        <f t="shared" si="46"/>
        <v/>
      </c>
      <c r="DI17" s="15" t="str">
        <f t="shared" si="47"/>
        <v/>
      </c>
      <c r="DJ17" s="15" t="str">
        <f t="shared" si="48"/>
        <v/>
      </c>
      <c r="DK17" s="39"/>
      <c r="DL17" s="39"/>
      <c r="DM17" s="39"/>
      <c r="DN17" s="39"/>
      <c r="DO17" s="39"/>
      <c r="DP17" s="39"/>
      <c r="DQ17" s="39"/>
      <c r="DR17" s="39"/>
      <c r="DS17" s="39"/>
      <c r="DT17" s="39"/>
      <c r="DU17" s="39"/>
      <c r="DV17" s="39"/>
      <c r="DW17" s="39"/>
      <c r="DX17" s="39"/>
      <c r="DY17" s="39"/>
      <c r="DZ17" s="12" t="str">
        <f t="shared" si="49"/>
        <v/>
      </c>
      <c r="EA17" s="12" t="str">
        <f t="shared" si="50"/>
        <v/>
      </c>
      <c r="EB17" s="12" t="str">
        <f t="shared" si="51"/>
        <v/>
      </c>
      <c r="EC17" s="12" t="str">
        <f t="shared" si="52"/>
        <v/>
      </c>
      <c r="ED17" s="12" t="str">
        <f t="shared" si="53"/>
        <v/>
      </c>
      <c r="EE17" s="12" t="str">
        <f t="shared" si="54"/>
        <v/>
      </c>
      <c r="EF17" s="12" t="str">
        <f t="shared" si="55"/>
        <v/>
      </c>
      <c r="EG17" s="40"/>
      <c r="EH17" s="40"/>
      <c r="EI17" s="40"/>
      <c r="EJ17" s="40"/>
      <c r="EK17" s="40"/>
      <c r="EL17" s="40"/>
      <c r="EM17" s="40"/>
      <c r="EN17" s="40"/>
      <c r="EO17" s="40"/>
      <c r="EP17" s="40"/>
      <c r="EQ17" s="40"/>
      <c r="ER17" s="40"/>
      <c r="ES17" s="40"/>
      <c r="ET17" s="40"/>
      <c r="EU17" s="40"/>
      <c r="EV17" s="15" t="str">
        <f t="shared" si="56"/>
        <v/>
      </c>
      <c r="EW17" s="15" t="str">
        <f t="shared" si="57"/>
        <v/>
      </c>
      <c r="EX17" s="15" t="str">
        <f t="shared" si="58"/>
        <v/>
      </c>
      <c r="EY17" s="15" t="str">
        <f t="shared" si="59"/>
        <v/>
      </c>
      <c r="EZ17" s="15" t="str">
        <f t="shared" si="60"/>
        <v/>
      </c>
      <c r="FA17" s="15" t="str">
        <f t="shared" si="61"/>
        <v/>
      </c>
      <c r="FB17" s="15" t="str">
        <f t="shared" si="62"/>
        <v/>
      </c>
      <c r="FC17" s="39"/>
      <c r="FD17" s="39"/>
      <c r="FE17" s="39"/>
      <c r="FF17" s="39"/>
      <c r="FG17" s="39"/>
      <c r="FH17" s="39"/>
      <c r="FI17" s="39"/>
      <c r="FJ17" s="39"/>
      <c r="FK17" s="39"/>
      <c r="FL17" s="39"/>
      <c r="FM17" s="39"/>
      <c r="FN17" s="39"/>
      <c r="FO17" s="39"/>
      <c r="FP17" s="39"/>
      <c r="FQ17" s="39"/>
      <c r="FR17" s="12" t="str">
        <f t="shared" si="63"/>
        <v/>
      </c>
      <c r="FS17" s="12" t="str">
        <f t="shared" si="64"/>
        <v/>
      </c>
      <c r="FT17" s="12" t="str">
        <f t="shared" si="65"/>
        <v/>
      </c>
      <c r="FU17" s="12" t="str">
        <f t="shared" si="66"/>
        <v/>
      </c>
      <c r="FV17" s="12" t="str">
        <f t="shared" si="67"/>
        <v/>
      </c>
      <c r="FW17" s="12" t="str">
        <f t="shared" si="68"/>
        <v/>
      </c>
      <c r="FX17" s="12" t="str">
        <f t="shared" si="69"/>
        <v/>
      </c>
      <c r="FY17" s="40"/>
      <c r="FZ17" s="40"/>
      <c r="GA17" s="40"/>
      <c r="GB17" s="40"/>
      <c r="GC17" s="40"/>
      <c r="GD17" s="40"/>
      <c r="GE17" s="40"/>
      <c r="GF17" s="40"/>
      <c r="GG17" s="40"/>
      <c r="GH17" s="40"/>
      <c r="GI17" s="40"/>
      <c r="GJ17" s="40"/>
      <c r="GK17" s="40"/>
      <c r="GL17" s="40"/>
      <c r="GM17" s="40"/>
      <c r="GN17" s="15" t="str">
        <f t="shared" si="70"/>
        <v/>
      </c>
      <c r="GO17" s="15" t="str">
        <f t="shared" si="71"/>
        <v/>
      </c>
      <c r="GP17" s="15" t="str">
        <f t="shared" si="72"/>
        <v/>
      </c>
      <c r="GQ17" s="15" t="str">
        <f t="shared" si="73"/>
        <v/>
      </c>
      <c r="GR17" s="15" t="str">
        <f t="shared" si="74"/>
        <v/>
      </c>
      <c r="GS17" s="15" t="str">
        <f t="shared" si="75"/>
        <v/>
      </c>
      <c r="GT17" s="15" t="str">
        <f t="shared" si="76"/>
        <v/>
      </c>
      <c r="GU17" s="39"/>
      <c r="GV17" s="39"/>
      <c r="GW17" s="39"/>
      <c r="GX17" s="39"/>
      <c r="GY17" s="39"/>
      <c r="GZ17" s="39"/>
      <c r="HA17" s="39"/>
      <c r="HB17" s="39"/>
      <c r="HC17" s="39"/>
      <c r="HD17" s="39"/>
      <c r="HE17" s="39"/>
      <c r="HF17" s="39"/>
      <c r="HG17" s="39"/>
      <c r="HH17" s="39"/>
      <c r="HI17" s="39"/>
      <c r="HJ17" s="12" t="str">
        <f t="shared" si="77"/>
        <v/>
      </c>
      <c r="HK17" s="12" t="str">
        <f t="shared" si="78"/>
        <v/>
      </c>
      <c r="HL17" s="12" t="str">
        <f t="shared" si="79"/>
        <v/>
      </c>
      <c r="HM17" s="12" t="str">
        <f t="shared" si="80"/>
        <v/>
      </c>
      <c r="HN17" s="12" t="str">
        <f t="shared" si="81"/>
        <v/>
      </c>
      <c r="HO17" s="12" t="str">
        <f t="shared" si="82"/>
        <v/>
      </c>
      <c r="HP17" s="12" t="str">
        <f t="shared" si="83"/>
        <v/>
      </c>
      <c r="HQ17" s="40"/>
      <c r="HR17" s="40"/>
      <c r="HS17" s="40"/>
      <c r="HT17" s="40"/>
      <c r="HU17" s="40"/>
      <c r="HV17" s="40"/>
      <c r="HW17" s="40"/>
      <c r="HX17" s="40"/>
      <c r="HY17" s="40"/>
      <c r="HZ17" s="40"/>
      <c r="IA17" s="40"/>
      <c r="IB17" s="40"/>
      <c r="IC17" s="40"/>
      <c r="ID17" s="40"/>
      <c r="IE17" s="40"/>
      <c r="IF17" s="15" t="str">
        <f t="shared" si="84"/>
        <v/>
      </c>
      <c r="IG17" s="15" t="str">
        <f t="shared" si="85"/>
        <v/>
      </c>
      <c r="IH17" s="15" t="str">
        <f t="shared" si="86"/>
        <v/>
      </c>
      <c r="II17" s="15" t="str">
        <f t="shared" si="87"/>
        <v/>
      </c>
      <c r="IJ17" s="15" t="str">
        <f t="shared" si="88"/>
        <v/>
      </c>
      <c r="IK17" s="15" t="str">
        <f t="shared" si="89"/>
        <v/>
      </c>
      <c r="IL17" s="15" t="str">
        <f t="shared" si="90"/>
        <v/>
      </c>
      <c r="IM17" s="39"/>
      <c r="IN17" s="39"/>
      <c r="IO17" s="39"/>
      <c r="IP17" s="39"/>
      <c r="IQ17" s="39"/>
      <c r="IR17" s="39"/>
      <c r="IS17" s="39"/>
      <c r="IT17" s="39"/>
      <c r="IU17" s="39"/>
      <c r="IV17" s="39"/>
      <c r="IW17" s="39"/>
      <c r="IX17" s="39"/>
      <c r="IY17" s="39"/>
      <c r="IZ17" s="39"/>
      <c r="JA17" s="39"/>
      <c r="JB17" s="12" t="str">
        <f t="shared" si="91"/>
        <v/>
      </c>
      <c r="JC17" s="12" t="str">
        <f t="shared" si="92"/>
        <v/>
      </c>
      <c r="JD17" s="12" t="str">
        <f t="shared" si="93"/>
        <v/>
      </c>
      <c r="JE17" s="12" t="str">
        <f t="shared" si="94"/>
        <v/>
      </c>
      <c r="JF17" s="12" t="str">
        <f t="shared" si="95"/>
        <v/>
      </c>
      <c r="JG17" s="12" t="str">
        <f t="shared" si="96"/>
        <v/>
      </c>
      <c r="JH17" s="12" t="str">
        <f t="shared" si="97"/>
        <v/>
      </c>
      <c r="JI17" s="40"/>
      <c r="JJ17" s="40"/>
      <c r="JK17" s="40"/>
      <c r="JL17" s="40"/>
      <c r="JM17" s="40"/>
      <c r="JN17" s="40"/>
      <c r="JO17" s="40"/>
      <c r="JP17" s="40"/>
      <c r="JQ17" s="40"/>
      <c r="JR17" s="40"/>
      <c r="JS17" s="40"/>
      <c r="JT17" s="40"/>
      <c r="JU17" s="40"/>
      <c r="JV17" s="40"/>
      <c r="JW17" s="40"/>
      <c r="JX17" s="15" t="str">
        <f t="shared" si="98"/>
        <v/>
      </c>
      <c r="JY17" s="15" t="str">
        <f t="shared" si="99"/>
        <v/>
      </c>
      <c r="JZ17" s="15" t="str">
        <f t="shared" si="100"/>
        <v/>
      </c>
      <c r="KA17" s="15" t="str">
        <f t="shared" si="101"/>
        <v/>
      </c>
      <c r="KB17" s="15" t="str">
        <f t="shared" si="102"/>
        <v/>
      </c>
      <c r="KC17" s="15" t="str">
        <f t="shared" si="103"/>
        <v/>
      </c>
      <c r="KD17" s="15" t="str">
        <f t="shared" si="104"/>
        <v/>
      </c>
      <c r="KE17" s="39"/>
      <c r="KF17" s="39"/>
      <c r="KG17" s="39"/>
      <c r="KH17" s="39"/>
      <c r="KI17" s="39"/>
      <c r="KJ17" s="39"/>
      <c r="KK17" s="39"/>
      <c r="KL17" s="39"/>
      <c r="KM17" s="39"/>
      <c r="KN17" s="39"/>
      <c r="KO17" s="39"/>
      <c r="KP17" s="39"/>
      <c r="KQ17" s="39"/>
      <c r="KR17" s="39"/>
      <c r="KS17" s="39"/>
      <c r="KT17" s="12" t="str">
        <f t="shared" si="105"/>
        <v/>
      </c>
      <c r="KU17" s="12" t="str">
        <f t="shared" si="106"/>
        <v/>
      </c>
      <c r="KV17" s="12" t="str">
        <f t="shared" si="107"/>
        <v/>
      </c>
      <c r="KW17" s="12" t="str">
        <f t="shared" si="108"/>
        <v/>
      </c>
      <c r="KX17" s="12" t="str">
        <f t="shared" si="109"/>
        <v/>
      </c>
      <c r="KY17" s="12" t="str">
        <f t="shared" si="110"/>
        <v/>
      </c>
      <c r="KZ17" s="12" t="str">
        <f t="shared" si="111"/>
        <v/>
      </c>
      <c r="LA17" s="40"/>
      <c r="LB17" s="40"/>
      <c r="LC17" s="40"/>
      <c r="LD17" s="40"/>
      <c r="LE17" s="40"/>
      <c r="LF17" s="40"/>
      <c r="LG17" s="40"/>
      <c r="LH17" s="40"/>
      <c r="LI17" s="40"/>
      <c r="LJ17" s="40"/>
      <c r="LK17" s="40"/>
      <c r="LL17" s="40"/>
      <c r="LM17" s="40"/>
      <c r="LN17" s="40"/>
      <c r="LO17" s="40"/>
      <c r="LP17" s="15" t="str">
        <f t="shared" si="112"/>
        <v/>
      </c>
      <c r="LQ17" s="15" t="str">
        <f t="shared" si="113"/>
        <v/>
      </c>
      <c r="LR17" s="15" t="str">
        <f t="shared" si="114"/>
        <v/>
      </c>
      <c r="LS17" s="15" t="str">
        <f t="shared" si="115"/>
        <v/>
      </c>
      <c r="LT17" s="15" t="str">
        <f t="shared" si="116"/>
        <v/>
      </c>
      <c r="LU17" s="15" t="str">
        <f t="shared" si="117"/>
        <v/>
      </c>
      <c r="LV17" s="15" t="str">
        <f t="shared" si="118"/>
        <v/>
      </c>
      <c r="LW17" s="71">
        <f t="shared" ref="LW17" si="169">IF($BG17="P",AR17,(U17+AR17)/2)</f>
        <v>0</v>
      </c>
      <c r="LX17" s="71">
        <f t="shared" ref="LX17" si="170">IF($BG17="P",AS17,(V17+AS17)/2)</f>
        <v>0</v>
      </c>
      <c r="LY17" s="71">
        <f t="shared" ref="LY17" si="171">IF($BG17="P",AT17,(W17+AT17)/2)</f>
        <v>0</v>
      </c>
      <c r="LZ17" s="71">
        <f t="shared" ref="LZ17" si="172">IF($BG17="P",AU17,(X17+AU17)/2)</f>
        <v>0</v>
      </c>
      <c r="MA17" s="71">
        <f t="shared" ref="MA17" si="173">IF($BG17="P",AV17,(Y17+AV17)/2)</f>
        <v>0</v>
      </c>
      <c r="MB17" s="71">
        <f t="shared" ref="MB17" si="174">IF($BG17="P",AW17,(Z17+AW17)/2)</f>
        <v>0</v>
      </c>
      <c r="MC17" s="71">
        <f t="shared" ref="MC17" si="175">IF($BG17="P",AX17,(AA17+AX17)/2)</f>
        <v>0</v>
      </c>
      <c r="MD17" s="71">
        <f t="shared" ref="MD17" si="176">IF($BG17="P",AY17,(AB17+AY17)/2)</f>
        <v>0</v>
      </c>
      <c r="ME17" s="71">
        <f t="shared" ref="ME17" si="177">IF($BG17="P",AZ17,(AC17+AZ17)/2)</f>
        <v>0</v>
      </c>
      <c r="MF17" s="71">
        <f t="shared" ref="MF17" si="178">IF($BG17="P",BA17,(AD17+BA17)/2)</f>
        <v>0</v>
      </c>
      <c r="MG17" s="71">
        <f t="shared" ref="MG17" si="179">IF($BG17="P",BB17,(AE17+BB17)/2)</f>
        <v>0</v>
      </c>
      <c r="MH17" s="71">
        <f t="shared" ref="MH17" si="180">IF($BG17="P",BC17,(AF17+BC17)/2)</f>
        <v>0</v>
      </c>
      <c r="MI17" s="71">
        <f t="shared" ref="MI17" si="181">IF($BG17="P",BD17,(AG17+BD17)/2)</f>
        <v>0</v>
      </c>
      <c r="MJ17" s="71">
        <f t="shared" ref="MJ17" si="182">IF($BG17="P",BE17,(AH17+BE17)/2)</f>
        <v>0</v>
      </c>
      <c r="MK17" s="71">
        <f t="shared" ref="MK17" si="183">IF($BG17="P",BF17,(AI17+BF17)/2)</f>
        <v>0</v>
      </c>
      <c r="ML17" s="82" t="s">
        <v>100</v>
      </c>
      <c r="MM17" s="12" t="str">
        <f t="shared" ref="MM17" si="184">IF(MD17&gt;0,MD17,"")</f>
        <v/>
      </c>
      <c r="MN17" s="12" t="str">
        <f t="shared" ref="MN17" si="185">IF(SUM(LW17:LZ17)-MA17&gt;0,SUM(LW17:LZ17)-MA17,"")</f>
        <v/>
      </c>
      <c r="MO17" s="12" t="str">
        <f t="shared" ref="MO17" si="186">IF(SUM(MB17:ME17)-MF17&gt;0,SUM(MB17:ME17)-MF17,"")</f>
        <v/>
      </c>
      <c r="MP17" s="12" t="str">
        <f t="shared" ref="MP17" si="187">IF(SUM(MN17:MO17)&gt;0,SUM(MN17:MO17),"")</f>
        <v/>
      </c>
      <c r="MQ17" s="12" t="str">
        <f t="shared" ref="MQ17" si="188">IF(MI17&gt;0,MI17,"")</f>
        <v/>
      </c>
      <c r="MR17" s="12" t="str">
        <f t="shared" ref="MR17" si="189">IF(SUM(MG17:MJ17)-MK17&gt;0,SUM(MG17:MJ17)-MK17,"")</f>
        <v/>
      </c>
      <c r="MS17" s="12" t="str">
        <f t="shared" ref="MS17" si="190">IF(SUM(MP17,MR17)&gt;0,SUM(MP17,MR17),"")</f>
        <v/>
      </c>
    </row>
    <row r="18" spans="1:357" x14ac:dyDescent="0.2">
      <c r="A18" s="6" t="str">
        <f t="shared" si="0"/>
        <v/>
      </c>
      <c r="B18" s="7" t="s">
        <v>119</v>
      </c>
      <c r="C18" s="8" t="s">
        <v>98</v>
      </c>
      <c r="D18" s="6" t="s">
        <v>118</v>
      </c>
      <c r="E18" s="16">
        <f t="shared" si="1"/>
        <v>0</v>
      </c>
      <c r="F18" s="4" t="str">
        <f t="shared" si="2"/>
        <v/>
      </c>
      <c r="G18" s="4" t="str">
        <f t="shared" si="3"/>
        <v/>
      </c>
      <c r="H18" s="4" t="str">
        <f t="shared" si="4"/>
        <v/>
      </c>
      <c r="I18" t="str">
        <f t="shared" si="5"/>
        <v/>
      </c>
      <c r="J18" s="15" t="str">
        <f t="shared" si="6"/>
        <v/>
      </c>
      <c r="K18" s="15" t="str">
        <f t="shared" si="7"/>
        <v/>
      </c>
      <c r="L18" s="15" t="str">
        <f t="shared" si="8"/>
        <v/>
      </c>
      <c r="M18" s="15" t="str">
        <f t="shared" si="9"/>
        <v/>
      </c>
      <c r="N18" s="15" t="str">
        <f t="shared" si="10"/>
        <v/>
      </c>
      <c r="O18" s="15" t="str">
        <f t="shared" si="11"/>
        <v/>
      </c>
      <c r="P18" s="15" t="str">
        <f t="shared" si="12"/>
        <v/>
      </c>
      <c r="Q18" s="15" t="str">
        <f t="shared" si="13"/>
        <v/>
      </c>
      <c r="R18" s="15" t="str">
        <f t="shared" si="14"/>
        <v/>
      </c>
      <c r="S18" s="27" t="str">
        <f t="shared" si="15"/>
        <v/>
      </c>
      <c r="T18" s="15" t="str">
        <f t="shared" si="16"/>
        <v/>
      </c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82"/>
      <c r="AK18" s="12" t="str">
        <f t="shared" si="17"/>
        <v/>
      </c>
      <c r="AL18" s="12" t="str">
        <f t="shared" si="18"/>
        <v/>
      </c>
      <c r="AM18" s="12" t="str">
        <f t="shared" si="19"/>
        <v/>
      </c>
      <c r="AN18" s="12" t="str">
        <f t="shared" si="20"/>
        <v/>
      </c>
      <c r="AO18" s="12" t="str">
        <f t="shared" si="21"/>
        <v/>
      </c>
      <c r="AP18" s="12" t="str">
        <f t="shared" si="22"/>
        <v/>
      </c>
      <c r="AQ18" s="12" t="str">
        <f t="shared" si="23"/>
        <v/>
      </c>
      <c r="AR18" s="40"/>
      <c r="AS18" s="40"/>
      <c r="AT18" s="40"/>
      <c r="AU18" s="40"/>
      <c r="AV18" s="40"/>
      <c r="AW18" s="40"/>
      <c r="AX18" s="40"/>
      <c r="AY18" s="40"/>
      <c r="AZ18" s="40"/>
      <c r="BA18" s="40"/>
      <c r="BB18" s="40"/>
      <c r="BC18" s="40"/>
      <c r="BD18" s="40"/>
      <c r="BE18" s="40"/>
      <c r="BF18" s="40"/>
      <c r="BG18" s="83"/>
      <c r="BH18" s="15" t="str">
        <f t="shared" si="24"/>
        <v/>
      </c>
      <c r="BI18" s="15" t="str">
        <f t="shared" si="25"/>
        <v/>
      </c>
      <c r="BJ18" s="15" t="str">
        <f t="shared" si="26"/>
        <v/>
      </c>
      <c r="BK18" s="15" t="str">
        <f t="shared" si="27"/>
        <v/>
      </c>
      <c r="BL18" s="15" t="str">
        <f t="shared" si="28"/>
        <v/>
      </c>
      <c r="BM18" s="15" t="str">
        <f t="shared" si="29"/>
        <v/>
      </c>
      <c r="BN18" s="15" t="str">
        <f t="shared" si="30"/>
        <v/>
      </c>
      <c r="BO18" s="26" t="str">
        <f t="shared" si="31"/>
        <v/>
      </c>
      <c r="BP18" s="26" t="str">
        <f t="shared" si="32"/>
        <v/>
      </c>
      <c r="BQ18" s="26" t="str">
        <f t="shared" si="33"/>
        <v/>
      </c>
      <c r="BR18" s="26" t="str">
        <f t="shared" si="34"/>
        <v/>
      </c>
      <c r="BS18" s="39"/>
      <c r="BT18" s="39"/>
      <c r="BU18" s="39"/>
      <c r="BV18" s="39"/>
      <c r="BW18" s="39"/>
      <c r="BX18" s="39"/>
      <c r="BY18" s="39"/>
      <c r="BZ18" s="39"/>
      <c r="CA18" s="39"/>
      <c r="CB18" s="39"/>
      <c r="CC18" s="39"/>
      <c r="CD18" s="39"/>
      <c r="CE18" s="39"/>
      <c r="CF18" s="39"/>
      <c r="CG18" s="39"/>
      <c r="CH18" s="12" t="str">
        <f t="shared" si="35"/>
        <v/>
      </c>
      <c r="CI18" s="12" t="str">
        <f t="shared" si="36"/>
        <v/>
      </c>
      <c r="CJ18" s="12" t="str">
        <f t="shared" si="37"/>
        <v/>
      </c>
      <c r="CK18" s="12" t="str">
        <f t="shared" si="38"/>
        <v/>
      </c>
      <c r="CL18" s="12" t="str">
        <f t="shared" si="39"/>
        <v/>
      </c>
      <c r="CM18" s="12" t="str">
        <f t="shared" si="40"/>
        <v/>
      </c>
      <c r="CN18" s="12" t="str">
        <f t="shared" si="41"/>
        <v/>
      </c>
      <c r="CO18" s="40"/>
      <c r="CP18" s="40"/>
      <c r="CQ18" s="40"/>
      <c r="CR18" s="40"/>
      <c r="CS18" s="40"/>
      <c r="CT18" s="40"/>
      <c r="CU18" s="40"/>
      <c r="CV18" s="40"/>
      <c r="CW18" s="40"/>
      <c r="CX18" s="40"/>
      <c r="CY18" s="40"/>
      <c r="CZ18" s="40"/>
      <c r="DA18" s="40"/>
      <c r="DB18" s="40"/>
      <c r="DC18" s="40"/>
      <c r="DD18" s="15" t="str">
        <f t="shared" si="42"/>
        <v/>
      </c>
      <c r="DE18" s="15" t="str">
        <f t="shared" si="43"/>
        <v/>
      </c>
      <c r="DF18" s="15" t="str">
        <f t="shared" si="44"/>
        <v/>
      </c>
      <c r="DG18" s="15" t="str">
        <f t="shared" si="45"/>
        <v/>
      </c>
      <c r="DH18" s="15" t="str">
        <f t="shared" si="46"/>
        <v/>
      </c>
      <c r="DI18" s="15" t="str">
        <f t="shared" si="47"/>
        <v/>
      </c>
      <c r="DJ18" s="15" t="str">
        <f t="shared" si="48"/>
        <v/>
      </c>
      <c r="DK18" s="39"/>
      <c r="DL18" s="39"/>
      <c r="DM18" s="39"/>
      <c r="DN18" s="39"/>
      <c r="DO18" s="39"/>
      <c r="DP18" s="39"/>
      <c r="DQ18" s="39"/>
      <c r="DR18" s="39"/>
      <c r="DS18" s="39"/>
      <c r="DT18" s="39"/>
      <c r="DU18" s="39"/>
      <c r="DV18" s="39"/>
      <c r="DW18" s="39"/>
      <c r="DX18" s="39"/>
      <c r="DY18" s="39"/>
      <c r="DZ18" s="12" t="str">
        <f t="shared" si="49"/>
        <v/>
      </c>
      <c r="EA18" s="12" t="str">
        <f t="shared" si="50"/>
        <v/>
      </c>
      <c r="EB18" s="12" t="str">
        <f t="shared" si="51"/>
        <v/>
      </c>
      <c r="EC18" s="12" t="str">
        <f t="shared" si="52"/>
        <v/>
      </c>
      <c r="ED18" s="12" t="str">
        <f t="shared" si="53"/>
        <v/>
      </c>
      <c r="EE18" s="12" t="str">
        <f t="shared" si="54"/>
        <v/>
      </c>
      <c r="EF18" s="12" t="str">
        <f t="shared" si="55"/>
        <v/>
      </c>
      <c r="EG18" s="40"/>
      <c r="EH18" s="40"/>
      <c r="EI18" s="40"/>
      <c r="EJ18" s="40"/>
      <c r="EK18" s="40"/>
      <c r="EL18" s="40"/>
      <c r="EM18" s="40"/>
      <c r="EN18" s="40"/>
      <c r="EO18" s="40"/>
      <c r="EP18" s="40"/>
      <c r="EQ18" s="40"/>
      <c r="ER18" s="40"/>
      <c r="ES18" s="40"/>
      <c r="ET18" s="40"/>
      <c r="EU18" s="40"/>
      <c r="EV18" s="15" t="str">
        <f t="shared" si="56"/>
        <v/>
      </c>
      <c r="EW18" s="15" t="str">
        <f t="shared" si="57"/>
        <v/>
      </c>
      <c r="EX18" s="15" t="str">
        <f t="shared" si="58"/>
        <v/>
      </c>
      <c r="EY18" s="15" t="str">
        <f t="shared" si="59"/>
        <v/>
      </c>
      <c r="EZ18" s="15" t="str">
        <f t="shared" si="60"/>
        <v/>
      </c>
      <c r="FA18" s="15" t="str">
        <f t="shared" si="61"/>
        <v/>
      </c>
      <c r="FB18" s="15" t="str">
        <f t="shared" si="62"/>
        <v/>
      </c>
      <c r="FC18" s="39"/>
      <c r="FD18" s="39"/>
      <c r="FE18" s="39"/>
      <c r="FF18" s="39"/>
      <c r="FG18" s="39"/>
      <c r="FH18" s="39"/>
      <c r="FI18" s="39"/>
      <c r="FJ18" s="39"/>
      <c r="FK18" s="39"/>
      <c r="FL18" s="39"/>
      <c r="FM18" s="39"/>
      <c r="FN18" s="39"/>
      <c r="FO18" s="39"/>
      <c r="FP18" s="39"/>
      <c r="FQ18" s="39"/>
      <c r="FR18" s="12" t="str">
        <f t="shared" si="63"/>
        <v/>
      </c>
      <c r="FS18" s="12" t="str">
        <f t="shared" si="64"/>
        <v/>
      </c>
      <c r="FT18" s="12" t="str">
        <f t="shared" si="65"/>
        <v/>
      </c>
      <c r="FU18" s="12" t="str">
        <f t="shared" si="66"/>
        <v/>
      </c>
      <c r="FV18" s="12" t="str">
        <f t="shared" si="67"/>
        <v/>
      </c>
      <c r="FW18" s="12" t="str">
        <f t="shared" si="68"/>
        <v/>
      </c>
      <c r="FX18" s="12" t="str">
        <f t="shared" si="69"/>
        <v/>
      </c>
      <c r="FY18" s="40"/>
      <c r="FZ18" s="40"/>
      <c r="GA18" s="40"/>
      <c r="GB18" s="40"/>
      <c r="GC18" s="40"/>
      <c r="GD18" s="40"/>
      <c r="GE18" s="40"/>
      <c r="GF18" s="40"/>
      <c r="GG18" s="40"/>
      <c r="GH18" s="40"/>
      <c r="GI18" s="40"/>
      <c r="GJ18" s="40"/>
      <c r="GK18" s="40"/>
      <c r="GL18" s="40"/>
      <c r="GM18" s="40"/>
      <c r="GN18" s="15" t="str">
        <f t="shared" si="70"/>
        <v/>
      </c>
      <c r="GO18" s="15" t="str">
        <f t="shared" si="71"/>
        <v/>
      </c>
      <c r="GP18" s="15" t="str">
        <f t="shared" si="72"/>
        <v/>
      </c>
      <c r="GQ18" s="15" t="str">
        <f t="shared" si="73"/>
        <v/>
      </c>
      <c r="GR18" s="15" t="str">
        <f t="shared" si="74"/>
        <v/>
      </c>
      <c r="GS18" s="15" t="str">
        <f t="shared" si="75"/>
        <v/>
      </c>
      <c r="GT18" s="15" t="str">
        <f t="shared" si="76"/>
        <v/>
      </c>
      <c r="GU18" s="39"/>
      <c r="GV18" s="39"/>
      <c r="GW18" s="39"/>
      <c r="GX18" s="39"/>
      <c r="GY18" s="39"/>
      <c r="GZ18" s="39"/>
      <c r="HA18" s="39"/>
      <c r="HB18" s="39"/>
      <c r="HC18" s="39"/>
      <c r="HD18" s="39"/>
      <c r="HE18" s="39"/>
      <c r="HF18" s="39"/>
      <c r="HG18" s="39"/>
      <c r="HH18" s="39"/>
      <c r="HI18" s="39"/>
      <c r="HJ18" s="12" t="str">
        <f t="shared" si="77"/>
        <v/>
      </c>
      <c r="HK18" s="12" t="str">
        <f t="shared" si="78"/>
        <v/>
      </c>
      <c r="HL18" s="12" t="str">
        <f t="shared" si="79"/>
        <v/>
      </c>
      <c r="HM18" s="12" t="str">
        <f t="shared" si="80"/>
        <v/>
      </c>
      <c r="HN18" s="12" t="str">
        <f t="shared" si="81"/>
        <v/>
      </c>
      <c r="HO18" s="12" t="str">
        <f t="shared" si="82"/>
        <v/>
      </c>
      <c r="HP18" s="12" t="str">
        <f t="shared" si="83"/>
        <v/>
      </c>
      <c r="HQ18" s="40"/>
      <c r="HR18" s="40"/>
      <c r="HS18" s="40"/>
      <c r="HT18" s="40"/>
      <c r="HU18" s="40"/>
      <c r="HV18" s="40"/>
      <c r="HW18" s="40"/>
      <c r="HX18" s="40"/>
      <c r="HY18" s="40"/>
      <c r="HZ18" s="40"/>
      <c r="IA18" s="40"/>
      <c r="IB18" s="40"/>
      <c r="IC18" s="40"/>
      <c r="ID18" s="40"/>
      <c r="IE18" s="40"/>
      <c r="IF18" s="15" t="str">
        <f t="shared" si="84"/>
        <v/>
      </c>
      <c r="IG18" s="15" t="str">
        <f t="shared" si="85"/>
        <v/>
      </c>
      <c r="IH18" s="15" t="str">
        <f t="shared" si="86"/>
        <v/>
      </c>
      <c r="II18" s="15" t="str">
        <f t="shared" si="87"/>
        <v/>
      </c>
      <c r="IJ18" s="15" t="str">
        <f t="shared" si="88"/>
        <v/>
      </c>
      <c r="IK18" s="15" t="str">
        <f t="shared" si="89"/>
        <v/>
      </c>
      <c r="IL18" s="15" t="str">
        <f t="shared" si="90"/>
        <v/>
      </c>
      <c r="IM18" s="39"/>
      <c r="IN18" s="39"/>
      <c r="IO18" s="39"/>
      <c r="IP18" s="39"/>
      <c r="IQ18" s="39"/>
      <c r="IR18" s="39"/>
      <c r="IS18" s="39"/>
      <c r="IT18" s="39"/>
      <c r="IU18" s="39"/>
      <c r="IV18" s="39"/>
      <c r="IW18" s="39"/>
      <c r="IX18" s="39"/>
      <c r="IY18" s="39"/>
      <c r="IZ18" s="39"/>
      <c r="JA18" s="39"/>
      <c r="JB18" s="12" t="str">
        <f t="shared" si="91"/>
        <v/>
      </c>
      <c r="JC18" s="12" t="str">
        <f t="shared" si="92"/>
        <v/>
      </c>
      <c r="JD18" s="12" t="str">
        <f t="shared" si="93"/>
        <v/>
      </c>
      <c r="JE18" s="12" t="str">
        <f t="shared" si="94"/>
        <v/>
      </c>
      <c r="JF18" s="12" t="str">
        <f t="shared" si="95"/>
        <v/>
      </c>
      <c r="JG18" s="12" t="str">
        <f t="shared" si="96"/>
        <v/>
      </c>
      <c r="JH18" s="12" t="str">
        <f t="shared" si="97"/>
        <v/>
      </c>
      <c r="JI18" s="40"/>
      <c r="JJ18" s="40"/>
      <c r="JK18" s="40"/>
      <c r="JL18" s="40"/>
      <c r="JM18" s="40"/>
      <c r="JN18" s="40"/>
      <c r="JO18" s="40"/>
      <c r="JP18" s="40"/>
      <c r="JQ18" s="40"/>
      <c r="JR18" s="40"/>
      <c r="JS18" s="40"/>
      <c r="JT18" s="40"/>
      <c r="JU18" s="40"/>
      <c r="JV18" s="40"/>
      <c r="JW18" s="40"/>
      <c r="JX18" s="15" t="str">
        <f t="shared" si="98"/>
        <v/>
      </c>
      <c r="JY18" s="15" t="str">
        <f t="shared" si="99"/>
        <v/>
      </c>
      <c r="JZ18" s="15" t="str">
        <f t="shared" si="100"/>
        <v/>
      </c>
      <c r="KA18" s="15" t="str">
        <f t="shared" si="101"/>
        <v/>
      </c>
      <c r="KB18" s="15" t="str">
        <f t="shared" si="102"/>
        <v/>
      </c>
      <c r="KC18" s="15" t="str">
        <f t="shared" si="103"/>
        <v/>
      </c>
      <c r="KD18" s="15" t="str">
        <f t="shared" si="104"/>
        <v/>
      </c>
      <c r="KE18" s="39"/>
      <c r="KF18" s="39"/>
      <c r="KG18" s="39"/>
      <c r="KH18" s="39"/>
      <c r="KI18" s="39"/>
      <c r="KJ18" s="39"/>
      <c r="KK18" s="39"/>
      <c r="KL18" s="39"/>
      <c r="KM18" s="39"/>
      <c r="KN18" s="39"/>
      <c r="KO18" s="39"/>
      <c r="KP18" s="39"/>
      <c r="KQ18" s="39"/>
      <c r="KR18" s="39"/>
      <c r="KS18" s="39"/>
      <c r="KT18" s="12" t="str">
        <f t="shared" si="105"/>
        <v/>
      </c>
      <c r="KU18" s="12" t="str">
        <f t="shared" si="106"/>
        <v/>
      </c>
      <c r="KV18" s="12" t="str">
        <f t="shared" si="107"/>
        <v/>
      </c>
      <c r="KW18" s="12" t="str">
        <f t="shared" si="108"/>
        <v/>
      </c>
      <c r="KX18" s="12" t="str">
        <f t="shared" si="109"/>
        <v/>
      </c>
      <c r="KY18" s="12" t="str">
        <f t="shared" si="110"/>
        <v/>
      </c>
      <c r="KZ18" s="12" t="str">
        <f t="shared" si="111"/>
        <v/>
      </c>
      <c r="LA18" s="40"/>
      <c r="LB18" s="40"/>
      <c r="LC18" s="40"/>
      <c r="LD18" s="40"/>
      <c r="LE18" s="40"/>
      <c r="LF18" s="40"/>
      <c r="LG18" s="40"/>
      <c r="LH18" s="40"/>
      <c r="LI18" s="40"/>
      <c r="LJ18" s="40"/>
      <c r="LK18" s="40"/>
      <c r="LL18" s="40"/>
      <c r="LM18" s="40"/>
      <c r="LN18" s="40"/>
      <c r="LO18" s="40"/>
      <c r="LP18" s="15" t="str">
        <f t="shared" si="112"/>
        <v/>
      </c>
      <c r="LQ18" s="15" t="str">
        <f t="shared" si="113"/>
        <v/>
      </c>
      <c r="LR18" s="15" t="str">
        <f t="shared" si="114"/>
        <v/>
      </c>
      <c r="LS18" s="15" t="str">
        <f t="shared" si="115"/>
        <v/>
      </c>
      <c r="LT18" s="15" t="str">
        <f t="shared" si="116"/>
        <v/>
      </c>
      <c r="LU18" s="15" t="str">
        <f t="shared" si="117"/>
        <v/>
      </c>
      <c r="LV18" s="15" t="str">
        <f t="shared" si="118"/>
        <v/>
      </c>
      <c r="LW18" s="71">
        <f t="shared" ref="LW18" si="191">IF($BG18="P",AR18,(U18+AR18)/2)</f>
        <v>0</v>
      </c>
      <c r="LX18" s="71">
        <f t="shared" ref="LX18" si="192">IF($BG18="P",AS18,(V18+AS18)/2)</f>
        <v>0</v>
      </c>
      <c r="LY18" s="71">
        <f t="shared" ref="LY18" si="193">IF($BG18="P",AT18,(W18+AT18)/2)</f>
        <v>0</v>
      </c>
      <c r="LZ18" s="71">
        <f t="shared" ref="LZ18" si="194">IF($BG18="P",AU18,(X18+AU18)/2)</f>
        <v>0</v>
      </c>
      <c r="MA18" s="71">
        <f t="shared" ref="MA18" si="195">IF($BG18="P",AV18,(Y18+AV18)/2)</f>
        <v>0</v>
      </c>
      <c r="MB18" s="71">
        <f t="shared" ref="MB18" si="196">IF($BG18="P",AW18,(Z18+AW18)/2)</f>
        <v>0</v>
      </c>
      <c r="MC18" s="71">
        <f t="shared" ref="MC18" si="197">IF($BG18="P",AX18,(AA18+AX18)/2)</f>
        <v>0</v>
      </c>
      <c r="MD18" s="71">
        <f t="shared" ref="MD18" si="198">IF($BG18="P",AY18,(AB18+AY18)/2)</f>
        <v>0</v>
      </c>
      <c r="ME18" s="71">
        <f t="shared" ref="ME18" si="199">IF($BG18="P",AZ18,(AC18+AZ18)/2)</f>
        <v>0</v>
      </c>
      <c r="MF18" s="71">
        <f t="shared" ref="MF18" si="200">IF($BG18="P",BA18,(AD18+BA18)/2)</f>
        <v>0</v>
      </c>
      <c r="MG18" s="71">
        <f t="shared" ref="MG18" si="201">IF($BG18="P",BB18,(AE18+BB18)/2)</f>
        <v>0</v>
      </c>
      <c r="MH18" s="71">
        <f t="shared" ref="MH18" si="202">IF($BG18="P",BC18,(AF18+BC18)/2)</f>
        <v>0</v>
      </c>
      <c r="MI18" s="71">
        <f t="shared" ref="MI18" si="203">IF($BG18="P",BD18,(AG18+BD18)/2)</f>
        <v>0</v>
      </c>
      <c r="MJ18" s="71">
        <f t="shared" ref="MJ18" si="204">IF($BG18="P",BE18,(AH18+BE18)/2)</f>
        <v>0</v>
      </c>
      <c r="MK18" s="71">
        <f t="shared" ref="MK18" si="205">IF($BG18="P",BF18,(AI18+BF18)/2)</f>
        <v>0</v>
      </c>
      <c r="ML18" s="82" t="s">
        <v>100</v>
      </c>
      <c r="MM18" s="12" t="str">
        <f t="shared" ref="MM18" si="206">IF(MD18&gt;0,MD18,"")</f>
        <v/>
      </c>
      <c r="MN18" s="12" t="str">
        <f t="shared" ref="MN18" si="207">IF(SUM(LW18:LZ18)-MA18&gt;0,SUM(LW18:LZ18)-MA18,"")</f>
        <v/>
      </c>
      <c r="MO18" s="12" t="str">
        <f t="shared" ref="MO18" si="208">IF(SUM(MB18:ME18)-MF18&gt;0,SUM(MB18:ME18)-MF18,"")</f>
        <v/>
      </c>
      <c r="MP18" s="12" t="str">
        <f t="shared" ref="MP18" si="209">IF(SUM(MN18:MO18)&gt;0,SUM(MN18:MO18),"")</f>
        <v/>
      </c>
      <c r="MQ18" s="12" t="str">
        <f t="shared" ref="MQ18" si="210">IF(MI18&gt;0,MI18,"")</f>
        <v/>
      </c>
      <c r="MR18" s="12" t="str">
        <f t="shared" ref="MR18" si="211">IF(SUM(MG18:MJ18)-MK18&gt;0,SUM(MG18:MJ18)-MK18,"")</f>
        <v/>
      </c>
      <c r="MS18" s="12" t="str">
        <f t="shared" ref="MS18" si="212">IF(SUM(MP18,MR18)&gt;0,SUM(MP18,MR18),"")</f>
        <v/>
      </c>
    </row>
    <row r="19" spans="1:357" x14ac:dyDescent="0.2">
      <c r="D19" s="1"/>
    </row>
    <row r="20" spans="1:357" x14ac:dyDescent="0.2">
      <c r="GN20" s="7"/>
      <c r="GO20" s="7"/>
    </row>
    <row r="21" spans="1:357" x14ac:dyDescent="0.2">
      <c r="B21" s="72" t="s">
        <v>85</v>
      </c>
      <c r="AK21" s="58"/>
      <c r="AL21" s="66">
        <v>11.2</v>
      </c>
      <c r="BH21" s="58"/>
      <c r="BI21" s="66">
        <v>11.2</v>
      </c>
      <c r="CH21" s="58"/>
      <c r="CI21" s="66">
        <v>13.6</v>
      </c>
      <c r="DD21" s="58"/>
      <c r="DE21" s="66">
        <v>9</v>
      </c>
      <c r="DZ21" s="58"/>
      <c r="EA21" s="66">
        <v>13.6</v>
      </c>
      <c r="EV21" s="58"/>
      <c r="EW21" s="66">
        <v>11.2</v>
      </c>
      <c r="FR21" s="58"/>
      <c r="FS21" s="66">
        <v>11.2</v>
      </c>
      <c r="GN21" s="58"/>
      <c r="GO21" s="66">
        <v>11.2</v>
      </c>
      <c r="HJ21" s="58"/>
      <c r="HK21" s="66">
        <v>11.2</v>
      </c>
      <c r="IF21" s="58"/>
      <c r="IG21" s="66">
        <v>11.2</v>
      </c>
      <c r="JB21" s="58"/>
      <c r="JC21" s="66">
        <v>11.2</v>
      </c>
      <c r="JX21" s="58"/>
      <c r="JY21" s="66">
        <v>11.2</v>
      </c>
      <c r="KT21" s="58"/>
      <c r="KU21" s="66">
        <v>11.2</v>
      </c>
      <c r="LP21" s="58"/>
      <c r="LQ21" s="66">
        <v>11.2</v>
      </c>
    </row>
    <row r="22" spans="1:357" x14ac:dyDescent="0.2">
      <c r="A22" s="58"/>
      <c r="B22" s="100" t="s">
        <v>84</v>
      </c>
      <c r="C22" s="57"/>
      <c r="AK22" s="58"/>
      <c r="AL22" s="102">
        <v>12.5</v>
      </c>
      <c r="BH22" s="58"/>
      <c r="BI22" s="102">
        <v>12.5</v>
      </c>
      <c r="CH22" s="58"/>
      <c r="CI22" s="102">
        <v>14</v>
      </c>
      <c r="DD22" s="58"/>
      <c r="DE22" s="102">
        <v>9.5</v>
      </c>
      <c r="DZ22" s="58"/>
      <c r="EA22" s="102">
        <v>14</v>
      </c>
      <c r="EV22" s="58"/>
      <c r="EW22" s="102">
        <v>12.5</v>
      </c>
      <c r="FR22" s="58"/>
      <c r="FS22" s="102">
        <v>12.5</v>
      </c>
      <c r="GN22" s="58"/>
      <c r="GO22" s="102">
        <v>12.5</v>
      </c>
      <c r="HJ22" s="58"/>
      <c r="HK22" s="102">
        <v>12.5</v>
      </c>
      <c r="IF22" s="58"/>
      <c r="IG22" s="102">
        <v>12.5</v>
      </c>
      <c r="JB22" s="58"/>
      <c r="JC22" s="102">
        <v>12.5</v>
      </c>
      <c r="JX22" s="58"/>
      <c r="JY22" s="102">
        <v>12.5</v>
      </c>
      <c r="KT22" s="58"/>
      <c r="KU22" s="102">
        <v>12.5</v>
      </c>
      <c r="LP22" s="58"/>
      <c r="LQ22" s="102">
        <v>12.5</v>
      </c>
    </row>
    <row r="23" spans="1:357" x14ac:dyDescent="0.2">
      <c r="A23" s="58"/>
      <c r="B23" s="73" t="s">
        <v>82</v>
      </c>
      <c r="C23" s="57"/>
      <c r="AK23" s="58"/>
      <c r="AL23" s="67">
        <v>82</v>
      </c>
      <c r="BH23" s="58"/>
      <c r="BI23" s="67">
        <v>82</v>
      </c>
      <c r="CH23" s="58"/>
      <c r="CI23" s="67">
        <v>81.2</v>
      </c>
      <c r="DD23" s="58"/>
      <c r="DE23" s="67">
        <v>81.2</v>
      </c>
      <c r="DZ23" s="58"/>
      <c r="EA23" s="67">
        <v>81.2</v>
      </c>
      <c r="EV23" s="58"/>
      <c r="EW23" s="67">
        <v>82</v>
      </c>
      <c r="FR23" s="58"/>
      <c r="FS23" s="67">
        <v>82</v>
      </c>
      <c r="GN23" s="58"/>
      <c r="GO23" s="67">
        <v>82</v>
      </c>
      <c r="HJ23" s="58"/>
      <c r="HK23" s="67">
        <v>82</v>
      </c>
      <c r="IF23" s="58"/>
      <c r="IG23" s="67">
        <v>82</v>
      </c>
      <c r="JB23" s="58"/>
      <c r="JC23" s="67">
        <v>82</v>
      </c>
      <c r="JX23" s="58"/>
      <c r="JY23" s="67">
        <v>82</v>
      </c>
      <c r="KT23" s="58"/>
      <c r="KU23" s="67">
        <v>82</v>
      </c>
      <c r="LP23" s="58"/>
      <c r="LQ23" s="67">
        <v>82</v>
      </c>
    </row>
    <row r="24" spans="1:357" x14ac:dyDescent="0.2">
      <c r="A24" s="58"/>
      <c r="B24" s="74" t="s">
        <v>83</v>
      </c>
      <c r="C24" s="57"/>
      <c r="AK24" s="58"/>
      <c r="AL24" s="68">
        <v>84</v>
      </c>
      <c r="BH24" s="58"/>
      <c r="BI24" s="68">
        <v>84</v>
      </c>
      <c r="CH24" s="58"/>
      <c r="CI24" s="68">
        <v>83.2</v>
      </c>
      <c r="DD24" s="58"/>
      <c r="DE24" s="68">
        <v>83.2</v>
      </c>
      <c r="DZ24" s="58"/>
      <c r="EA24" s="68">
        <v>83.2</v>
      </c>
      <c r="EV24" s="58"/>
      <c r="EW24" s="68">
        <v>84</v>
      </c>
      <c r="FR24" s="58"/>
      <c r="FS24" s="68">
        <v>84</v>
      </c>
      <c r="GN24" s="58"/>
      <c r="GO24" s="68">
        <v>84</v>
      </c>
      <c r="HJ24" s="58"/>
      <c r="HK24" s="68">
        <v>84</v>
      </c>
      <c r="IF24" s="58"/>
      <c r="IG24" s="68">
        <v>84</v>
      </c>
      <c r="JB24" s="58"/>
      <c r="JC24" s="68">
        <v>84</v>
      </c>
      <c r="JX24" s="58"/>
      <c r="JY24" s="68">
        <v>84</v>
      </c>
      <c r="KT24" s="58"/>
      <c r="KU24" s="68">
        <v>84</v>
      </c>
      <c r="LP24" s="58"/>
      <c r="LQ24" s="68">
        <v>84</v>
      </c>
    </row>
    <row r="25" spans="1:357" x14ac:dyDescent="0.2">
      <c r="A25" s="58"/>
      <c r="B25" s="75" t="s">
        <v>151</v>
      </c>
      <c r="C25" s="57"/>
      <c r="AK25" s="58"/>
      <c r="AL25" s="69">
        <v>85</v>
      </c>
      <c r="BH25" s="58"/>
      <c r="BI25" s="69">
        <v>85</v>
      </c>
      <c r="CH25" s="58"/>
      <c r="CI25" s="69">
        <v>85.1</v>
      </c>
      <c r="DD25" s="58"/>
      <c r="DE25" s="69">
        <v>85.1</v>
      </c>
      <c r="DZ25" s="58"/>
      <c r="EA25" s="69">
        <v>85.1</v>
      </c>
      <c r="EV25" s="58"/>
      <c r="EW25" s="69">
        <v>85</v>
      </c>
      <c r="FR25" s="58"/>
      <c r="FS25" s="69">
        <v>85</v>
      </c>
      <c r="GN25" s="58"/>
      <c r="GO25" s="69">
        <v>85</v>
      </c>
      <c r="HJ25" s="58"/>
      <c r="HK25" s="69">
        <v>85</v>
      </c>
      <c r="IF25" s="58"/>
      <c r="IG25" s="69">
        <v>85</v>
      </c>
      <c r="JB25" s="58"/>
      <c r="JC25" s="69">
        <v>85</v>
      </c>
      <c r="JX25" s="58"/>
      <c r="JY25" s="69">
        <v>85</v>
      </c>
      <c r="KT25" s="58"/>
      <c r="KU25" s="69">
        <v>85</v>
      </c>
      <c r="LP25" s="58"/>
      <c r="LQ25" s="69">
        <v>85</v>
      </c>
    </row>
    <row r="26" spans="1:357" x14ac:dyDescent="0.2">
      <c r="A26" s="58"/>
      <c r="B26" s="76" t="s">
        <v>64</v>
      </c>
      <c r="C26" s="57"/>
      <c r="AK26" s="58"/>
      <c r="AL26" s="70">
        <v>86</v>
      </c>
      <c r="BH26" s="58"/>
      <c r="BI26" s="70">
        <v>86</v>
      </c>
      <c r="CH26" s="58"/>
      <c r="CI26" s="70">
        <v>86.3</v>
      </c>
      <c r="DD26" s="58"/>
      <c r="DE26" s="70">
        <v>86.3</v>
      </c>
      <c r="DZ26" s="58"/>
      <c r="EA26" s="70">
        <v>86.3</v>
      </c>
      <c r="EV26" s="58"/>
      <c r="EW26" s="70">
        <v>86</v>
      </c>
      <c r="FR26" s="58"/>
      <c r="FS26" s="70">
        <v>86</v>
      </c>
      <c r="GN26" s="58"/>
      <c r="GO26" s="70">
        <v>86</v>
      </c>
      <c r="HJ26" s="58"/>
      <c r="HK26" s="70">
        <v>86</v>
      </c>
      <c r="IF26" s="58"/>
      <c r="IG26" s="70">
        <v>86</v>
      </c>
      <c r="JB26" s="58"/>
      <c r="JC26" s="70">
        <v>86</v>
      </c>
      <c r="JX26" s="58"/>
      <c r="JY26" s="70">
        <v>86</v>
      </c>
      <c r="KT26" s="58"/>
      <c r="KU26" s="70">
        <v>86</v>
      </c>
      <c r="LP26" s="58"/>
      <c r="LQ26" s="70">
        <v>86</v>
      </c>
    </row>
    <row r="27" spans="1:357" x14ac:dyDescent="0.2">
      <c r="B27" s="84" t="s">
        <v>101</v>
      </c>
      <c r="C27" s="3"/>
      <c r="AL27" s="90"/>
      <c r="BI27" s="90"/>
      <c r="CI27" s="90"/>
      <c r="DE27" s="90" t="s">
        <v>147</v>
      </c>
      <c r="EA27" s="90"/>
      <c r="EW27" s="90"/>
      <c r="FS27" s="90"/>
      <c r="GO27" s="90"/>
      <c r="IG27" s="90"/>
    </row>
    <row r="28" spans="1:357" x14ac:dyDescent="0.2">
      <c r="A28" s="58"/>
      <c r="B28" s="58"/>
      <c r="C28" s="57"/>
    </row>
    <row r="29" spans="1:357" ht="17" x14ac:dyDescent="0.2">
      <c r="A29" s="58"/>
      <c r="B29" s="58"/>
      <c r="C29" s="57"/>
      <c r="R29" s="21"/>
      <c r="S29" s="21"/>
      <c r="T29" s="21"/>
    </row>
    <row r="30" spans="1:357" ht="17" x14ac:dyDescent="0.2">
      <c r="A30" s="58"/>
      <c r="B30" s="58"/>
      <c r="C30" s="57"/>
      <c r="R30" s="21"/>
      <c r="S30" s="21"/>
      <c r="T30" s="21"/>
    </row>
    <row r="31" spans="1:357" ht="17" x14ac:dyDescent="0.2">
      <c r="R31" s="21"/>
      <c r="S31" s="21"/>
      <c r="T31" s="21"/>
      <c r="LX31" s="117"/>
    </row>
    <row r="32" spans="1:357" ht="17" x14ac:dyDescent="0.2">
      <c r="R32" s="21"/>
      <c r="S32" s="21"/>
      <c r="T32" s="21"/>
    </row>
    <row r="33" spans="18:20" ht="17" x14ac:dyDescent="0.2">
      <c r="R33" s="21"/>
      <c r="S33" s="21"/>
      <c r="T33" s="21"/>
    </row>
    <row r="34" spans="18:20" ht="17" x14ac:dyDescent="0.2">
      <c r="R34" s="21"/>
      <c r="S34" s="21"/>
      <c r="T34" s="21"/>
    </row>
    <row r="35" spans="18:20" ht="17" x14ac:dyDescent="0.2">
      <c r="R35" s="21"/>
      <c r="S35" s="21"/>
      <c r="T35" s="21"/>
    </row>
    <row r="36" spans="18:20" ht="17" x14ac:dyDescent="0.2">
      <c r="R36" s="21"/>
      <c r="S36" s="21"/>
      <c r="T36" s="21"/>
    </row>
    <row r="37" spans="18:20" ht="17" x14ac:dyDescent="0.2">
      <c r="R37" s="21"/>
      <c r="S37" s="21"/>
      <c r="T37" s="21"/>
    </row>
    <row r="38" spans="18:20" ht="17" x14ac:dyDescent="0.2">
      <c r="R38" s="21"/>
      <c r="S38" s="21"/>
      <c r="T38" s="21"/>
    </row>
    <row r="39" spans="18:20" ht="17" x14ac:dyDescent="0.2">
      <c r="R39" s="21"/>
      <c r="S39" s="21"/>
      <c r="T39" s="21"/>
    </row>
    <row r="40" spans="18:20" ht="17" x14ac:dyDescent="0.2">
      <c r="R40" s="21"/>
      <c r="S40" s="21"/>
      <c r="T40" s="21"/>
    </row>
    <row r="41" spans="18:20" ht="17" x14ac:dyDescent="0.2">
      <c r="R41" s="21"/>
      <c r="S41" s="21"/>
      <c r="T41" s="21"/>
    </row>
    <row r="42" spans="18:20" ht="17" x14ac:dyDescent="0.2">
      <c r="R42" s="21"/>
      <c r="S42" s="21"/>
      <c r="T42" s="21"/>
    </row>
    <row r="43" spans="18:20" ht="17" x14ac:dyDescent="0.2">
      <c r="R43" s="21"/>
      <c r="S43" s="21"/>
      <c r="T43" s="21"/>
    </row>
    <row r="44" spans="18:20" ht="17" x14ac:dyDescent="0.2">
      <c r="R44" s="21"/>
      <c r="S44" s="21"/>
      <c r="T44" s="21"/>
    </row>
    <row r="45" spans="18:20" ht="17" x14ac:dyDescent="0.2">
      <c r="R45" s="21"/>
      <c r="S45" s="21"/>
      <c r="T45" s="21"/>
    </row>
    <row r="46" spans="18:20" ht="17" x14ac:dyDescent="0.2">
      <c r="R46" s="21"/>
      <c r="S46" s="21"/>
      <c r="T46" s="21"/>
    </row>
    <row r="47" spans="18:20" ht="17" x14ac:dyDescent="0.2">
      <c r="R47" s="21"/>
      <c r="S47" s="21"/>
      <c r="T47" s="21"/>
    </row>
    <row r="48" spans="18:20" ht="17" x14ac:dyDescent="0.2">
      <c r="R48" s="21"/>
      <c r="S48" s="21"/>
      <c r="T48" s="21"/>
    </row>
  </sheetData>
  <sheetProtection sheet="1" formatCells="0" formatColumns="0" formatRows="0"/>
  <autoFilter ref="A1:LV3" xr:uid="{00000000-0009-0000-0000-000004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sortState xmlns:xlrd2="http://schemas.microsoft.com/office/spreadsheetml/2017/richdata2" ref="A6:LV18">
      <sortCondition descending="1" ref="F1:F21"/>
    </sortState>
  </autoFilter>
  <mergeCells count="81">
    <mergeCell ref="IM1:JH1"/>
    <mergeCell ref="JI1:KD1"/>
    <mergeCell ref="IM2:IQ2"/>
    <mergeCell ref="IR2:IV2"/>
    <mergeCell ref="IW2:JA2"/>
    <mergeCell ref="JI2:JM2"/>
    <mergeCell ref="JN2:JR2"/>
    <mergeCell ref="JS2:JW2"/>
    <mergeCell ref="LA1:LV1"/>
    <mergeCell ref="KE2:KI2"/>
    <mergeCell ref="KJ2:KN2"/>
    <mergeCell ref="KO2:KS2"/>
    <mergeCell ref="LA2:LE2"/>
    <mergeCell ref="LF2:LJ2"/>
    <mergeCell ref="LK2:LO2"/>
    <mergeCell ref="KE1:KZ1"/>
    <mergeCell ref="GZ2:HD2"/>
    <mergeCell ref="HE2:HI2"/>
    <mergeCell ref="HQ2:HU2"/>
    <mergeCell ref="HV2:HZ2"/>
    <mergeCell ref="IA2:IE2"/>
    <mergeCell ref="F1:F3"/>
    <mergeCell ref="DK1:EF1"/>
    <mergeCell ref="EG1:FB1"/>
    <mergeCell ref="DK2:DO2"/>
    <mergeCell ref="DP2:DT2"/>
    <mergeCell ref="DU2:DY2"/>
    <mergeCell ref="EG2:EK2"/>
    <mergeCell ref="EL2:EP2"/>
    <mergeCell ref="EQ2:EU2"/>
    <mergeCell ref="AW2:BA2"/>
    <mergeCell ref="BB2:BF2"/>
    <mergeCell ref="G1:G3"/>
    <mergeCell ref="H1:H3"/>
    <mergeCell ref="I1:I3"/>
    <mergeCell ref="J1:J3"/>
    <mergeCell ref="L1:L3"/>
    <mergeCell ref="E1:E3"/>
    <mergeCell ref="A1:A3"/>
    <mergeCell ref="B1:B3"/>
    <mergeCell ref="C1:C3"/>
    <mergeCell ref="D1:D3"/>
    <mergeCell ref="M1:M3"/>
    <mergeCell ref="K1:K3"/>
    <mergeCell ref="O1:O3"/>
    <mergeCell ref="Q1:Q3"/>
    <mergeCell ref="S1:S3"/>
    <mergeCell ref="N1:N3"/>
    <mergeCell ref="P1:P3"/>
    <mergeCell ref="R1:R3"/>
    <mergeCell ref="T1:T3"/>
    <mergeCell ref="U2:Y2"/>
    <mergeCell ref="CC2:CG2"/>
    <mergeCell ref="CO2:CS2"/>
    <mergeCell ref="CT2:CX2"/>
    <mergeCell ref="U1:AQ1"/>
    <mergeCell ref="AR1:BN1"/>
    <mergeCell ref="Z2:AD2"/>
    <mergeCell ref="AE2:AI2"/>
    <mergeCell ref="AR2:AV2"/>
    <mergeCell ref="CY2:DC2"/>
    <mergeCell ref="BO1:BR1"/>
    <mergeCell ref="BS1:CN1"/>
    <mergeCell ref="BS2:BW2"/>
    <mergeCell ref="BX2:CB2"/>
    <mergeCell ref="LW1:MS1"/>
    <mergeCell ref="LW2:MA2"/>
    <mergeCell ref="MB2:MF2"/>
    <mergeCell ref="MG2:MK2"/>
    <mergeCell ref="CO1:DJ1"/>
    <mergeCell ref="FC1:FX1"/>
    <mergeCell ref="FY1:GT1"/>
    <mergeCell ref="FC2:FG2"/>
    <mergeCell ref="FH2:FL2"/>
    <mergeCell ref="FM2:FQ2"/>
    <mergeCell ref="FY2:GC2"/>
    <mergeCell ref="GD2:GH2"/>
    <mergeCell ref="GI2:GM2"/>
    <mergeCell ref="GU1:HP1"/>
    <mergeCell ref="HQ1:IL1"/>
    <mergeCell ref="GU2:GY2"/>
  </mergeCells>
  <phoneticPr fontId="22" type="noConversion"/>
  <conditionalFormatting sqref="A1:A1048576">
    <cfRule type="expression" dxfId="122" priority="52">
      <formula>AND(H1="P",F1="")</formula>
    </cfRule>
  </conditionalFormatting>
  <conditionalFormatting sqref="I1:I1048576">
    <cfRule type="containsText" dxfId="121" priority="8" operator="containsText" text="No DD">
      <formula>NOT(ISERROR(SEARCH("No DD",I1)))</formula>
    </cfRule>
    <cfRule type="containsText" dxfId="120" priority="53" operator="containsText" text="Merit">
      <formula>NOT(ISERROR(SEARCH("Merit",I1)))</formula>
    </cfRule>
    <cfRule type="containsText" dxfId="119" priority="54" operator="containsText" text="Excellence">
      <formula>NOT(ISERROR(SEARCH("Excellence",I1)))</formula>
    </cfRule>
    <cfRule type="containsText" dxfId="118" priority="55" operator="containsText" text="Worlds Team">
      <formula>NOT(ISERROR(SEARCH("Worlds Team",I1)))</formula>
    </cfRule>
    <cfRule type="containsText" dxfId="117" priority="194" operator="containsText" text="National Team">
      <formula>NOT(ISERROR(SEARCH("National Team",I1)))</formula>
    </cfRule>
  </conditionalFormatting>
  <conditionalFormatting sqref="U4:AQ18">
    <cfRule type="expression" dxfId="116" priority="23">
      <formula>IF($AJ4&lt;&gt;"",1,0)</formula>
    </cfRule>
  </conditionalFormatting>
  <conditionalFormatting sqref="AR4:BN18">
    <cfRule type="expression" dxfId="115" priority="20">
      <formula>IF($BG4&lt;&gt;"",1,0)</formula>
    </cfRule>
  </conditionalFormatting>
  <conditionalFormatting sqref="O1:O1048576 M1:M1048576 K1:K1048576 Q1:Q1048576">
    <cfRule type="expression" dxfId="114" priority="361">
      <formula>IF(K1=$AR$1,1,0)</formula>
    </cfRule>
    <cfRule type="expression" dxfId="113" priority="548">
      <formula>IF(K1=$U$1,1,0)</formula>
    </cfRule>
  </conditionalFormatting>
  <conditionalFormatting sqref="CH1:CH1048576 DD1:DD1048576 DZ1:DZ1048576 EV1:EV1048576 FR1:FR1048576 GN1:GN1048576 HJ1:HJ1048576 IF1:IF1048576 JB1:JB1048576 JX1:JX1048576 KT1:KT1048576 LP1:LP1048576">
    <cfRule type="cellIs" dxfId="112" priority="14781" operator="between">
      <formula>CI$22</formula>
      <formula>100</formula>
    </cfRule>
    <cfRule type="cellIs" dxfId="111" priority="14782" operator="between">
      <formula>CI$21</formula>
      <formula>CI$22</formula>
    </cfRule>
  </conditionalFormatting>
  <conditionalFormatting sqref="CK1:CK1048576 DG1:DG1048576 EC1:EC1048576 EY1:EY1048576 FU1:FU1048576 GQ1:GQ1048576 HM1:HM1048576 II1:II1048576 JE1:JE1048576 KA1:KA1048576 KW1:KW1048576 LS1:LS1048576">
    <cfRule type="cellIs" dxfId="110" priority="14853" operator="between">
      <formula>CI$26</formula>
      <formula>1000</formula>
    </cfRule>
    <cfRule type="cellIs" dxfId="109" priority="14854" operator="between">
      <formula>CI$25</formula>
      <formula>CI$26</formula>
    </cfRule>
    <cfRule type="cellIs" dxfId="108" priority="14855" operator="between">
      <formula>CI$24</formula>
      <formula>CI$25</formula>
    </cfRule>
    <cfRule type="cellIs" dxfId="107" priority="14856" operator="between">
      <formula>CI$23</formula>
      <formula>CI$24</formula>
    </cfRule>
  </conditionalFormatting>
  <conditionalFormatting sqref="CL1:CL1048576 DH1:DH1048576 ED1:ED1048576 EZ1:EZ1048576 FV1:FV1048576 GR1:GR1048576 HN1:HN1048576 IJ1:IJ1048576 JF1:JF1048576 KB1:KB1048576 KX1:KX1048576 LT1:LT1048576">
    <cfRule type="expression" dxfId="106" priority="15045">
      <formula>IF(AND(CL1&gt;=CI$22,CL1&lt;100),1,0)</formula>
    </cfRule>
    <cfRule type="expression" dxfId="105" priority="15046">
      <formula>IF(AND(CL1&gt;=CI$21,CL1&lt;CI$22),1,0)</formula>
    </cfRule>
  </conditionalFormatting>
  <conditionalFormatting sqref="AK1:AK1048576 BH1:BH1048576">
    <cfRule type="expression" dxfId="104" priority="16327">
      <formula>IF(AND(AK1&gt;=AL$22,AK1&lt;1000,AJ1=""),1,0)</formula>
    </cfRule>
    <cfRule type="expression" dxfId="103" priority="16328">
      <formula>IF(AND(AK1&gt;=AL$21,AK1&lt;AL$22,AJ1=""),1,0)</formula>
    </cfRule>
  </conditionalFormatting>
  <conditionalFormatting sqref="AN1:AN1048576 BK1:BK1048576">
    <cfRule type="expression" dxfId="102" priority="16335">
      <formula>IF(AND(AN1&gt;=AL$26,AN1&lt;1000,AJ1=""),1,0)</formula>
    </cfRule>
    <cfRule type="expression" dxfId="101" priority="16336">
      <formula>IF(AND(AN1&gt;=AL$25,AN1&lt;AL$26,AJ1=""),1,0)</formula>
    </cfRule>
    <cfRule type="expression" dxfId="100" priority="16337">
      <formula>IF(AND(AN1&gt;=AL$24,AN1&lt;AL$25,AJ1=""),1,0)</formula>
    </cfRule>
    <cfRule type="expression" dxfId="99" priority="16338">
      <formula>IF(AND(AN1&gt;=AL$23,AN1&lt;AL$24,AJ1=""),1,0)</formula>
    </cfRule>
  </conditionalFormatting>
  <conditionalFormatting sqref="AO1:AO1048576 BL1:BL1048576">
    <cfRule type="expression" dxfId="98" priority="16351">
      <formula>IF(AND(AO1&gt;=AL$22,AO1&lt;100,AJ1=""),1,0)</formula>
    </cfRule>
    <cfRule type="expression" dxfId="97" priority="16352">
      <formula>IF(AND(AO1&gt;=AL$21,AO1&lt;AL$22,AJ1=""),1,0)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LI3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5" customWidth="1"/>
    <col min="6" max="6" width="16.1640625" customWidth="1"/>
    <col min="7" max="7" width="15.1640625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7" width="10.83203125" customWidth="1"/>
    <col min="38" max="54" width="10.83203125" hidden="1" customWidth="1"/>
    <col min="55" max="58" width="10.83203125" customWidth="1"/>
    <col min="61" max="76" width="10.83203125" hidden="1" customWidth="1"/>
    <col min="77" max="80" width="10.83203125" customWidth="1"/>
    <col min="81" max="96" width="10.83203125" hidden="1" customWidth="1"/>
    <col min="97" max="100" width="10.83203125" customWidth="1"/>
    <col min="101" max="321" width="10.83203125" hidden="1" customWidth="1"/>
  </cols>
  <sheetData>
    <row r="1" spans="1:321" ht="16" customHeight="1" x14ac:dyDescent="0.2">
      <c r="A1" s="124" t="s">
        <v>1</v>
      </c>
      <c r="B1" s="124" t="s">
        <v>41</v>
      </c>
      <c r="C1" s="124" t="s">
        <v>0</v>
      </c>
      <c r="D1" s="124" t="s">
        <v>102</v>
      </c>
      <c r="E1" s="124" t="s">
        <v>2</v>
      </c>
      <c r="F1" s="130" t="s">
        <v>149</v>
      </c>
      <c r="G1" s="130" t="s">
        <v>150</v>
      </c>
      <c r="H1" s="130" t="s">
        <v>15</v>
      </c>
      <c r="I1" s="124" t="s">
        <v>16</v>
      </c>
      <c r="J1" s="126" t="s">
        <v>17</v>
      </c>
      <c r="K1" s="126" t="s">
        <v>62</v>
      </c>
      <c r="L1" s="126" t="s">
        <v>20</v>
      </c>
      <c r="M1" s="126" t="s">
        <v>62</v>
      </c>
      <c r="N1" s="127" t="s">
        <v>21</v>
      </c>
      <c r="O1" s="126" t="s">
        <v>63</v>
      </c>
      <c r="P1" s="126" t="s">
        <v>62</v>
      </c>
      <c r="Q1" s="120" t="s">
        <v>166</v>
      </c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  <c r="AK1" s="120"/>
      <c r="AL1" s="123" t="s">
        <v>184</v>
      </c>
      <c r="AM1" s="123"/>
      <c r="AN1" s="123"/>
      <c r="AO1" s="123"/>
      <c r="AP1" s="123"/>
      <c r="AQ1" s="123"/>
      <c r="AR1" s="123"/>
      <c r="AS1" s="123"/>
      <c r="AT1" s="123"/>
      <c r="AU1" s="123"/>
      <c r="AV1" s="123"/>
      <c r="AW1" s="123"/>
      <c r="AX1" s="123"/>
      <c r="AY1" s="123"/>
      <c r="AZ1" s="123"/>
      <c r="BA1" s="123"/>
      <c r="BB1" s="123"/>
      <c r="BC1" s="123"/>
      <c r="BD1" s="123"/>
      <c r="BE1" s="123"/>
      <c r="BF1" s="123"/>
      <c r="BG1" s="128" t="s">
        <v>148</v>
      </c>
      <c r="BH1" s="128"/>
      <c r="BI1" s="120" t="s">
        <v>121</v>
      </c>
      <c r="BJ1" s="120"/>
      <c r="BK1" s="120"/>
      <c r="BL1" s="120"/>
      <c r="BM1" s="120"/>
      <c r="BN1" s="120"/>
      <c r="BO1" s="120"/>
      <c r="BP1" s="120"/>
      <c r="BQ1" s="120"/>
      <c r="BR1" s="120"/>
      <c r="BS1" s="120"/>
      <c r="BT1" s="120"/>
      <c r="BU1" s="120"/>
      <c r="BV1" s="120"/>
      <c r="BW1" s="120"/>
      <c r="BX1" s="120"/>
      <c r="BY1" s="120"/>
      <c r="BZ1" s="120"/>
      <c r="CA1" s="120"/>
      <c r="CB1" s="120"/>
      <c r="CC1" s="123" t="s">
        <v>211</v>
      </c>
      <c r="CD1" s="123"/>
      <c r="CE1" s="123"/>
      <c r="CF1" s="123"/>
      <c r="CG1" s="123"/>
      <c r="CH1" s="123"/>
      <c r="CI1" s="123"/>
      <c r="CJ1" s="123"/>
      <c r="CK1" s="123"/>
      <c r="CL1" s="123"/>
      <c r="CM1" s="123"/>
      <c r="CN1" s="123"/>
      <c r="CO1" s="123"/>
      <c r="CP1" s="123"/>
      <c r="CQ1" s="123"/>
      <c r="CR1" s="123"/>
      <c r="CS1" s="123"/>
      <c r="CT1" s="123"/>
      <c r="CU1" s="123"/>
      <c r="CV1" s="123"/>
      <c r="CW1" s="120"/>
      <c r="CX1" s="120"/>
      <c r="CY1" s="120"/>
      <c r="CZ1" s="120"/>
      <c r="DA1" s="120"/>
      <c r="DB1" s="120"/>
      <c r="DC1" s="120"/>
      <c r="DD1" s="120"/>
      <c r="DE1" s="120"/>
      <c r="DF1" s="120"/>
      <c r="DG1" s="120"/>
      <c r="DH1" s="120"/>
      <c r="DI1" s="120"/>
      <c r="DJ1" s="120"/>
      <c r="DK1" s="120"/>
      <c r="DL1" s="120"/>
      <c r="DM1" s="120"/>
      <c r="DN1" s="120"/>
      <c r="DO1" s="120"/>
      <c r="DP1" s="120"/>
      <c r="DQ1" s="123"/>
      <c r="DR1" s="123"/>
      <c r="DS1" s="123"/>
      <c r="DT1" s="123"/>
      <c r="DU1" s="123"/>
      <c r="DV1" s="123"/>
      <c r="DW1" s="123"/>
      <c r="DX1" s="123"/>
      <c r="DY1" s="123"/>
      <c r="DZ1" s="123"/>
      <c r="EA1" s="123"/>
      <c r="EB1" s="123"/>
      <c r="EC1" s="123"/>
      <c r="ED1" s="123"/>
      <c r="EE1" s="123"/>
      <c r="EF1" s="123"/>
      <c r="EG1" s="123"/>
      <c r="EH1" s="123"/>
      <c r="EI1" s="123"/>
      <c r="EJ1" s="123"/>
      <c r="EK1" s="120"/>
      <c r="EL1" s="120"/>
      <c r="EM1" s="120"/>
      <c r="EN1" s="120"/>
      <c r="EO1" s="120"/>
      <c r="EP1" s="120"/>
      <c r="EQ1" s="120"/>
      <c r="ER1" s="120"/>
      <c r="ES1" s="120"/>
      <c r="ET1" s="120"/>
      <c r="EU1" s="120"/>
      <c r="EV1" s="120"/>
      <c r="EW1" s="120"/>
      <c r="EX1" s="120"/>
      <c r="EY1" s="120"/>
      <c r="EZ1" s="120"/>
      <c r="FA1" s="120"/>
      <c r="FB1" s="120"/>
      <c r="FC1" s="120"/>
      <c r="FD1" s="120"/>
      <c r="FE1" s="123"/>
      <c r="FF1" s="123"/>
      <c r="FG1" s="123"/>
      <c r="FH1" s="123"/>
      <c r="FI1" s="123"/>
      <c r="FJ1" s="123"/>
      <c r="FK1" s="123"/>
      <c r="FL1" s="123"/>
      <c r="FM1" s="123"/>
      <c r="FN1" s="123"/>
      <c r="FO1" s="123"/>
      <c r="FP1" s="123"/>
      <c r="FQ1" s="123"/>
      <c r="FR1" s="123"/>
      <c r="FS1" s="123"/>
      <c r="FT1" s="123"/>
      <c r="FU1" s="123"/>
      <c r="FV1" s="123"/>
      <c r="FW1" s="123"/>
      <c r="FX1" s="123"/>
      <c r="FY1" s="120"/>
      <c r="FZ1" s="120"/>
      <c r="GA1" s="120"/>
      <c r="GB1" s="120"/>
      <c r="GC1" s="120"/>
      <c r="GD1" s="120"/>
      <c r="GE1" s="120"/>
      <c r="GF1" s="120"/>
      <c r="GG1" s="120"/>
      <c r="GH1" s="120"/>
      <c r="GI1" s="120"/>
      <c r="GJ1" s="120"/>
      <c r="GK1" s="120"/>
      <c r="GL1" s="120"/>
      <c r="GM1" s="120"/>
      <c r="GN1" s="120"/>
      <c r="GO1" s="120"/>
      <c r="GP1" s="120"/>
      <c r="GQ1" s="120"/>
      <c r="GR1" s="120"/>
      <c r="GS1" s="123"/>
      <c r="GT1" s="123"/>
      <c r="GU1" s="123"/>
      <c r="GV1" s="123"/>
      <c r="GW1" s="123"/>
      <c r="GX1" s="123"/>
      <c r="GY1" s="123"/>
      <c r="GZ1" s="123"/>
      <c r="HA1" s="123"/>
      <c r="HB1" s="123"/>
      <c r="HC1" s="123"/>
      <c r="HD1" s="123"/>
      <c r="HE1" s="123"/>
      <c r="HF1" s="123"/>
      <c r="HG1" s="123"/>
      <c r="HH1" s="123"/>
      <c r="HI1" s="123"/>
      <c r="HJ1" s="123"/>
      <c r="HK1" s="123"/>
      <c r="HL1" s="123"/>
      <c r="HM1" s="120"/>
      <c r="HN1" s="120"/>
      <c r="HO1" s="120"/>
      <c r="HP1" s="120"/>
      <c r="HQ1" s="120"/>
      <c r="HR1" s="120"/>
      <c r="HS1" s="120"/>
      <c r="HT1" s="120"/>
      <c r="HU1" s="120"/>
      <c r="HV1" s="120"/>
      <c r="HW1" s="120"/>
      <c r="HX1" s="120"/>
      <c r="HY1" s="120"/>
      <c r="HZ1" s="120"/>
      <c r="IA1" s="120"/>
      <c r="IB1" s="120"/>
      <c r="IC1" s="120"/>
      <c r="ID1" s="120"/>
      <c r="IE1" s="120"/>
      <c r="IF1" s="120"/>
      <c r="IG1" s="123"/>
      <c r="IH1" s="123"/>
      <c r="II1" s="123"/>
      <c r="IJ1" s="123"/>
      <c r="IK1" s="123"/>
      <c r="IL1" s="123"/>
      <c r="IM1" s="123"/>
      <c r="IN1" s="123"/>
      <c r="IO1" s="123"/>
      <c r="IP1" s="123"/>
      <c r="IQ1" s="123"/>
      <c r="IR1" s="123"/>
      <c r="IS1" s="123"/>
      <c r="IT1" s="123"/>
      <c r="IU1" s="123"/>
      <c r="IV1" s="123"/>
      <c r="IW1" s="123"/>
      <c r="IX1" s="123"/>
      <c r="IY1" s="123"/>
      <c r="IZ1" s="123"/>
      <c r="JA1" s="120"/>
      <c r="JB1" s="120"/>
      <c r="JC1" s="120"/>
      <c r="JD1" s="120"/>
      <c r="JE1" s="120"/>
      <c r="JF1" s="120"/>
      <c r="JG1" s="120"/>
      <c r="JH1" s="120"/>
      <c r="JI1" s="120"/>
      <c r="JJ1" s="120"/>
      <c r="JK1" s="120"/>
      <c r="JL1" s="120"/>
      <c r="JM1" s="120"/>
      <c r="JN1" s="120"/>
      <c r="JO1" s="120"/>
      <c r="JP1" s="120"/>
      <c r="JQ1" s="120"/>
      <c r="JR1" s="120"/>
      <c r="JS1" s="120"/>
      <c r="JT1" s="120"/>
      <c r="JU1" s="123"/>
      <c r="JV1" s="123"/>
      <c r="JW1" s="123"/>
      <c r="JX1" s="123"/>
      <c r="JY1" s="123"/>
      <c r="JZ1" s="123"/>
      <c r="KA1" s="123"/>
      <c r="KB1" s="123"/>
      <c r="KC1" s="123"/>
      <c r="KD1" s="123"/>
      <c r="KE1" s="123"/>
      <c r="KF1" s="123"/>
      <c r="KG1" s="123"/>
      <c r="KH1" s="123"/>
      <c r="KI1" s="123"/>
      <c r="KJ1" s="123"/>
      <c r="KK1" s="123"/>
      <c r="KL1" s="123"/>
      <c r="KM1" s="123"/>
      <c r="KN1" s="123"/>
      <c r="KO1" s="120" t="s">
        <v>161</v>
      </c>
      <c r="KP1" s="120"/>
      <c r="KQ1" s="120"/>
      <c r="KR1" s="120"/>
      <c r="KS1" s="120"/>
      <c r="KT1" s="120"/>
      <c r="KU1" s="120"/>
      <c r="KV1" s="120"/>
      <c r="KW1" s="120"/>
      <c r="KX1" s="120"/>
      <c r="KY1" s="120"/>
      <c r="KZ1" s="120"/>
      <c r="LA1" s="120"/>
      <c r="LB1" s="120"/>
      <c r="LC1" s="120"/>
      <c r="LD1" s="120"/>
      <c r="LE1" s="120"/>
      <c r="LF1" s="120"/>
      <c r="LG1" s="120"/>
      <c r="LH1" s="120"/>
      <c r="LI1" s="120"/>
    </row>
    <row r="2" spans="1:321" x14ac:dyDescent="0.2">
      <c r="A2" s="124"/>
      <c r="B2" s="124"/>
      <c r="C2" s="124"/>
      <c r="D2" s="124"/>
      <c r="E2" s="124"/>
      <c r="F2" s="130"/>
      <c r="G2" s="130"/>
      <c r="H2" s="130"/>
      <c r="I2" s="124"/>
      <c r="J2" s="126"/>
      <c r="K2" s="126"/>
      <c r="L2" s="126"/>
      <c r="M2" s="126"/>
      <c r="N2" s="127"/>
      <c r="O2" s="126"/>
      <c r="P2" s="126"/>
      <c r="Q2" s="121" t="s">
        <v>44</v>
      </c>
      <c r="R2" s="121"/>
      <c r="S2" s="121"/>
      <c r="T2" s="121"/>
      <c r="U2" s="121" t="s">
        <v>47</v>
      </c>
      <c r="V2" s="121"/>
      <c r="W2" s="121"/>
      <c r="X2" s="121"/>
      <c r="Y2" s="121" t="s">
        <v>48</v>
      </c>
      <c r="Z2" s="121"/>
      <c r="AA2" s="121"/>
      <c r="AB2" s="121"/>
      <c r="AC2" s="129" t="s">
        <v>49</v>
      </c>
      <c r="AD2" s="129"/>
      <c r="AE2" s="129"/>
      <c r="AF2" s="129"/>
      <c r="AG2" s="80"/>
      <c r="AH2" s="60" t="s">
        <v>32</v>
      </c>
      <c r="AI2" s="10" t="s">
        <v>31</v>
      </c>
      <c r="AJ2" s="10" t="s">
        <v>30</v>
      </c>
      <c r="AK2" s="10" t="s">
        <v>25</v>
      </c>
      <c r="AL2" s="122" t="s">
        <v>44</v>
      </c>
      <c r="AM2" s="122"/>
      <c r="AN2" s="122"/>
      <c r="AO2" s="122"/>
      <c r="AP2" s="122" t="s">
        <v>47</v>
      </c>
      <c r="AQ2" s="122"/>
      <c r="AR2" s="122"/>
      <c r="AS2" s="122"/>
      <c r="AT2" s="122" t="s">
        <v>48</v>
      </c>
      <c r="AU2" s="122"/>
      <c r="AV2" s="122"/>
      <c r="AW2" s="122"/>
      <c r="AX2" s="131" t="s">
        <v>49</v>
      </c>
      <c r="AY2" s="131"/>
      <c r="AZ2" s="131"/>
      <c r="BA2" s="131"/>
      <c r="BB2" s="81"/>
      <c r="BC2" s="59" t="s">
        <v>32</v>
      </c>
      <c r="BD2" s="13" t="s">
        <v>31</v>
      </c>
      <c r="BE2" s="13" t="s">
        <v>30</v>
      </c>
      <c r="BF2" s="13" t="s">
        <v>25</v>
      </c>
      <c r="BG2" s="24" t="s">
        <v>31</v>
      </c>
      <c r="BH2" s="24" t="s">
        <v>30</v>
      </c>
      <c r="BI2" s="121" t="s">
        <v>44</v>
      </c>
      <c r="BJ2" s="121"/>
      <c r="BK2" s="121"/>
      <c r="BL2" s="121"/>
      <c r="BM2" s="121" t="s">
        <v>47</v>
      </c>
      <c r="BN2" s="121"/>
      <c r="BO2" s="121"/>
      <c r="BP2" s="121"/>
      <c r="BQ2" s="121" t="s">
        <v>48</v>
      </c>
      <c r="BR2" s="121"/>
      <c r="BS2" s="121"/>
      <c r="BT2" s="121"/>
      <c r="BU2" s="132" t="s">
        <v>49</v>
      </c>
      <c r="BV2" s="132"/>
      <c r="BW2" s="132"/>
      <c r="BX2" s="132"/>
      <c r="BY2" s="60" t="s">
        <v>32</v>
      </c>
      <c r="BZ2" s="10" t="s">
        <v>31</v>
      </c>
      <c r="CA2" s="10" t="s">
        <v>30</v>
      </c>
      <c r="CB2" s="10" t="s">
        <v>25</v>
      </c>
      <c r="CC2" s="122" t="s">
        <v>44</v>
      </c>
      <c r="CD2" s="122"/>
      <c r="CE2" s="122"/>
      <c r="CF2" s="122"/>
      <c r="CG2" s="122" t="s">
        <v>47</v>
      </c>
      <c r="CH2" s="122"/>
      <c r="CI2" s="122"/>
      <c r="CJ2" s="122"/>
      <c r="CK2" s="122" t="s">
        <v>48</v>
      </c>
      <c r="CL2" s="122"/>
      <c r="CM2" s="122"/>
      <c r="CN2" s="122"/>
      <c r="CO2" s="131" t="s">
        <v>49</v>
      </c>
      <c r="CP2" s="131"/>
      <c r="CQ2" s="131"/>
      <c r="CR2" s="131"/>
      <c r="CS2" s="59" t="s">
        <v>32</v>
      </c>
      <c r="CT2" s="13" t="s">
        <v>31</v>
      </c>
      <c r="CU2" s="13" t="s">
        <v>30</v>
      </c>
      <c r="CV2" s="13" t="s">
        <v>25</v>
      </c>
      <c r="CW2" s="121" t="s">
        <v>44</v>
      </c>
      <c r="CX2" s="121"/>
      <c r="CY2" s="121"/>
      <c r="CZ2" s="121"/>
      <c r="DA2" s="121" t="s">
        <v>47</v>
      </c>
      <c r="DB2" s="121"/>
      <c r="DC2" s="121"/>
      <c r="DD2" s="121"/>
      <c r="DE2" s="121" t="s">
        <v>48</v>
      </c>
      <c r="DF2" s="121"/>
      <c r="DG2" s="121"/>
      <c r="DH2" s="121"/>
      <c r="DI2" s="132" t="s">
        <v>49</v>
      </c>
      <c r="DJ2" s="132"/>
      <c r="DK2" s="132"/>
      <c r="DL2" s="132"/>
      <c r="DM2" s="60" t="s">
        <v>32</v>
      </c>
      <c r="DN2" s="10" t="s">
        <v>31</v>
      </c>
      <c r="DO2" s="10" t="s">
        <v>30</v>
      </c>
      <c r="DP2" s="10" t="s">
        <v>25</v>
      </c>
      <c r="DQ2" s="122" t="s">
        <v>44</v>
      </c>
      <c r="DR2" s="122"/>
      <c r="DS2" s="122"/>
      <c r="DT2" s="122"/>
      <c r="DU2" s="122" t="s">
        <v>47</v>
      </c>
      <c r="DV2" s="122"/>
      <c r="DW2" s="122"/>
      <c r="DX2" s="122"/>
      <c r="DY2" s="122" t="s">
        <v>48</v>
      </c>
      <c r="DZ2" s="122"/>
      <c r="EA2" s="122"/>
      <c r="EB2" s="122"/>
      <c r="EC2" s="131" t="s">
        <v>49</v>
      </c>
      <c r="ED2" s="131"/>
      <c r="EE2" s="131"/>
      <c r="EF2" s="131"/>
      <c r="EG2" s="22" t="s">
        <v>32</v>
      </c>
      <c r="EH2" s="13" t="s">
        <v>31</v>
      </c>
      <c r="EI2" s="13" t="s">
        <v>30</v>
      </c>
      <c r="EJ2" s="13" t="s">
        <v>25</v>
      </c>
      <c r="EK2" s="121" t="s">
        <v>44</v>
      </c>
      <c r="EL2" s="121"/>
      <c r="EM2" s="121"/>
      <c r="EN2" s="121"/>
      <c r="EO2" s="121" t="s">
        <v>47</v>
      </c>
      <c r="EP2" s="121"/>
      <c r="EQ2" s="121"/>
      <c r="ER2" s="121"/>
      <c r="ES2" s="121" t="s">
        <v>48</v>
      </c>
      <c r="ET2" s="121"/>
      <c r="EU2" s="121"/>
      <c r="EV2" s="121"/>
      <c r="EW2" s="132" t="s">
        <v>49</v>
      </c>
      <c r="EX2" s="132"/>
      <c r="EY2" s="132"/>
      <c r="EZ2" s="132"/>
      <c r="FA2" s="23" t="s">
        <v>32</v>
      </c>
      <c r="FB2" s="10" t="s">
        <v>31</v>
      </c>
      <c r="FC2" s="10" t="s">
        <v>30</v>
      </c>
      <c r="FD2" s="10" t="s">
        <v>25</v>
      </c>
      <c r="FE2" s="122" t="s">
        <v>44</v>
      </c>
      <c r="FF2" s="122"/>
      <c r="FG2" s="122"/>
      <c r="FH2" s="122"/>
      <c r="FI2" s="122" t="s">
        <v>47</v>
      </c>
      <c r="FJ2" s="122"/>
      <c r="FK2" s="122"/>
      <c r="FL2" s="122"/>
      <c r="FM2" s="122" t="s">
        <v>48</v>
      </c>
      <c r="FN2" s="122"/>
      <c r="FO2" s="122"/>
      <c r="FP2" s="122"/>
      <c r="FQ2" s="131" t="s">
        <v>49</v>
      </c>
      <c r="FR2" s="131"/>
      <c r="FS2" s="131"/>
      <c r="FT2" s="131"/>
      <c r="FU2" s="22" t="s">
        <v>32</v>
      </c>
      <c r="FV2" s="13" t="s">
        <v>31</v>
      </c>
      <c r="FW2" s="13" t="s">
        <v>30</v>
      </c>
      <c r="FX2" s="13" t="s">
        <v>25</v>
      </c>
      <c r="FY2" s="121" t="s">
        <v>44</v>
      </c>
      <c r="FZ2" s="121"/>
      <c r="GA2" s="121"/>
      <c r="GB2" s="121"/>
      <c r="GC2" s="121" t="s">
        <v>47</v>
      </c>
      <c r="GD2" s="121"/>
      <c r="GE2" s="121"/>
      <c r="GF2" s="121"/>
      <c r="GG2" s="121" t="s">
        <v>48</v>
      </c>
      <c r="GH2" s="121"/>
      <c r="GI2" s="121"/>
      <c r="GJ2" s="121"/>
      <c r="GK2" s="132" t="s">
        <v>49</v>
      </c>
      <c r="GL2" s="132"/>
      <c r="GM2" s="132"/>
      <c r="GN2" s="132"/>
      <c r="GO2" s="23" t="s">
        <v>32</v>
      </c>
      <c r="GP2" s="10" t="s">
        <v>31</v>
      </c>
      <c r="GQ2" s="10" t="s">
        <v>30</v>
      </c>
      <c r="GR2" s="10" t="s">
        <v>25</v>
      </c>
      <c r="GS2" s="122" t="s">
        <v>44</v>
      </c>
      <c r="GT2" s="122"/>
      <c r="GU2" s="122"/>
      <c r="GV2" s="122"/>
      <c r="GW2" s="122" t="s">
        <v>47</v>
      </c>
      <c r="GX2" s="122"/>
      <c r="GY2" s="122"/>
      <c r="GZ2" s="122"/>
      <c r="HA2" s="122" t="s">
        <v>48</v>
      </c>
      <c r="HB2" s="122"/>
      <c r="HC2" s="122"/>
      <c r="HD2" s="122"/>
      <c r="HE2" s="131" t="s">
        <v>49</v>
      </c>
      <c r="HF2" s="131"/>
      <c r="HG2" s="131"/>
      <c r="HH2" s="131"/>
      <c r="HI2" s="22" t="s">
        <v>32</v>
      </c>
      <c r="HJ2" s="13" t="s">
        <v>31</v>
      </c>
      <c r="HK2" s="13" t="s">
        <v>30</v>
      </c>
      <c r="HL2" s="13" t="s">
        <v>25</v>
      </c>
      <c r="HM2" s="121" t="s">
        <v>44</v>
      </c>
      <c r="HN2" s="121"/>
      <c r="HO2" s="121"/>
      <c r="HP2" s="121"/>
      <c r="HQ2" s="121" t="s">
        <v>47</v>
      </c>
      <c r="HR2" s="121"/>
      <c r="HS2" s="121"/>
      <c r="HT2" s="121"/>
      <c r="HU2" s="121" t="s">
        <v>48</v>
      </c>
      <c r="HV2" s="121"/>
      <c r="HW2" s="121"/>
      <c r="HX2" s="121"/>
      <c r="HY2" s="132" t="s">
        <v>49</v>
      </c>
      <c r="HZ2" s="132"/>
      <c r="IA2" s="132"/>
      <c r="IB2" s="132"/>
      <c r="IC2" s="23" t="s">
        <v>32</v>
      </c>
      <c r="ID2" s="10" t="s">
        <v>31</v>
      </c>
      <c r="IE2" s="10" t="s">
        <v>30</v>
      </c>
      <c r="IF2" s="10" t="s">
        <v>25</v>
      </c>
      <c r="IG2" s="122" t="s">
        <v>44</v>
      </c>
      <c r="IH2" s="122"/>
      <c r="II2" s="122"/>
      <c r="IJ2" s="122"/>
      <c r="IK2" s="122" t="s">
        <v>47</v>
      </c>
      <c r="IL2" s="122"/>
      <c r="IM2" s="122"/>
      <c r="IN2" s="122"/>
      <c r="IO2" s="122" t="s">
        <v>48</v>
      </c>
      <c r="IP2" s="122"/>
      <c r="IQ2" s="122"/>
      <c r="IR2" s="122"/>
      <c r="IS2" s="131" t="s">
        <v>49</v>
      </c>
      <c r="IT2" s="131"/>
      <c r="IU2" s="131"/>
      <c r="IV2" s="131"/>
      <c r="IW2" s="22" t="s">
        <v>32</v>
      </c>
      <c r="IX2" s="13" t="s">
        <v>31</v>
      </c>
      <c r="IY2" s="13" t="s">
        <v>30</v>
      </c>
      <c r="IZ2" s="13" t="s">
        <v>25</v>
      </c>
      <c r="JA2" s="121" t="s">
        <v>44</v>
      </c>
      <c r="JB2" s="121"/>
      <c r="JC2" s="121"/>
      <c r="JD2" s="121"/>
      <c r="JE2" s="121" t="s">
        <v>47</v>
      </c>
      <c r="JF2" s="121"/>
      <c r="JG2" s="121"/>
      <c r="JH2" s="121"/>
      <c r="JI2" s="121" t="s">
        <v>48</v>
      </c>
      <c r="JJ2" s="121"/>
      <c r="JK2" s="121"/>
      <c r="JL2" s="121"/>
      <c r="JM2" s="132" t="s">
        <v>49</v>
      </c>
      <c r="JN2" s="132"/>
      <c r="JO2" s="132"/>
      <c r="JP2" s="132"/>
      <c r="JQ2" s="23" t="s">
        <v>32</v>
      </c>
      <c r="JR2" s="10" t="s">
        <v>31</v>
      </c>
      <c r="JS2" s="10" t="s">
        <v>30</v>
      </c>
      <c r="JT2" s="10" t="s">
        <v>25</v>
      </c>
      <c r="JU2" s="122" t="s">
        <v>44</v>
      </c>
      <c r="JV2" s="122"/>
      <c r="JW2" s="122"/>
      <c r="JX2" s="122"/>
      <c r="JY2" s="122" t="s">
        <v>47</v>
      </c>
      <c r="JZ2" s="122"/>
      <c r="KA2" s="122"/>
      <c r="KB2" s="122"/>
      <c r="KC2" s="122" t="s">
        <v>48</v>
      </c>
      <c r="KD2" s="122"/>
      <c r="KE2" s="122"/>
      <c r="KF2" s="122"/>
      <c r="KG2" s="131" t="s">
        <v>49</v>
      </c>
      <c r="KH2" s="131"/>
      <c r="KI2" s="131"/>
      <c r="KJ2" s="131"/>
      <c r="KK2" s="22" t="s">
        <v>32</v>
      </c>
      <c r="KL2" s="13" t="s">
        <v>31</v>
      </c>
      <c r="KM2" s="13" t="s">
        <v>30</v>
      </c>
      <c r="KN2" s="13" t="s">
        <v>25</v>
      </c>
      <c r="KO2" s="121" t="s">
        <v>44</v>
      </c>
      <c r="KP2" s="121"/>
      <c r="KQ2" s="121"/>
      <c r="KR2" s="121"/>
      <c r="KS2" s="121" t="s">
        <v>47</v>
      </c>
      <c r="KT2" s="121"/>
      <c r="KU2" s="121"/>
      <c r="KV2" s="121"/>
      <c r="KW2" s="121" t="s">
        <v>48</v>
      </c>
      <c r="KX2" s="121"/>
      <c r="KY2" s="121"/>
      <c r="KZ2" s="121"/>
      <c r="LA2" s="129" t="s">
        <v>49</v>
      </c>
      <c r="LB2" s="129"/>
      <c r="LC2" s="129"/>
      <c r="LD2" s="129"/>
      <c r="LE2" s="111"/>
      <c r="LF2" s="111" t="s">
        <v>32</v>
      </c>
      <c r="LG2" s="10" t="s">
        <v>31</v>
      </c>
      <c r="LH2" s="10" t="s">
        <v>30</v>
      </c>
      <c r="LI2" s="10" t="s">
        <v>25</v>
      </c>
    </row>
    <row r="3" spans="1:321" x14ac:dyDescent="0.2">
      <c r="A3" s="124"/>
      <c r="B3" s="124"/>
      <c r="C3" s="124"/>
      <c r="D3" s="124"/>
      <c r="E3" s="124"/>
      <c r="F3" s="130"/>
      <c r="G3" s="130"/>
      <c r="H3" s="130"/>
      <c r="I3" s="124"/>
      <c r="J3" s="126"/>
      <c r="K3" s="126"/>
      <c r="L3" s="126"/>
      <c r="M3" s="126"/>
      <c r="N3" s="127"/>
      <c r="O3" s="126"/>
      <c r="P3" s="126"/>
      <c r="Q3" s="60" t="s">
        <v>22</v>
      </c>
      <c r="R3" s="60" t="s">
        <v>14</v>
      </c>
      <c r="S3" s="60" t="s">
        <v>45</v>
      </c>
      <c r="T3" s="60" t="s">
        <v>46</v>
      </c>
      <c r="U3" s="60" t="s">
        <v>22</v>
      </c>
      <c r="V3" s="60" t="s">
        <v>14</v>
      </c>
      <c r="W3" s="60" t="s">
        <v>45</v>
      </c>
      <c r="X3" s="60" t="s">
        <v>46</v>
      </c>
      <c r="Y3" s="60" t="s">
        <v>22</v>
      </c>
      <c r="Z3" s="60" t="s">
        <v>14</v>
      </c>
      <c r="AA3" s="60" t="s">
        <v>45</v>
      </c>
      <c r="AB3" s="60" t="s">
        <v>46</v>
      </c>
      <c r="AC3" s="63" t="s">
        <v>22</v>
      </c>
      <c r="AD3" s="63" t="s">
        <v>14</v>
      </c>
      <c r="AE3" s="63" t="s">
        <v>45</v>
      </c>
      <c r="AF3" s="63" t="s">
        <v>46</v>
      </c>
      <c r="AG3" s="80" t="s">
        <v>99</v>
      </c>
      <c r="AH3" s="11"/>
      <c r="AI3" s="10"/>
      <c r="AJ3" s="11"/>
      <c r="AK3" s="11"/>
      <c r="AL3" s="59" t="s">
        <v>22</v>
      </c>
      <c r="AM3" s="59" t="s">
        <v>14</v>
      </c>
      <c r="AN3" s="59" t="s">
        <v>45</v>
      </c>
      <c r="AO3" s="59" t="s">
        <v>46</v>
      </c>
      <c r="AP3" s="59" t="s">
        <v>22</v>
      </c>
      <c r="AQ3" s="59" t="s">
        <v>14</v>
      </c>
      <c r="AR3" s="59" t="s">
        <v>45</v>
      </c>
      <c r="AS3" s="59" t="s">
        <v>46</v>
      </c>
      <c r="AT3" s="59" t="s">
        <v>22</v>
      </c>
      <c r="AU3" s="59" t="s">
        <v>14</v>
      </c>
      <c r="AV3" s="59" t="s">
        <v>45</v>
      </c>
      <c r="AW3" s="59" t="s">
        <v>46</v>
      </c>
      <c r="AX3" s="61" t="s">
        <v>22</v>
      </c>
      <c r="AY3" s="61" t="s">
        <v>14</v>
      </c>
      <c r="AZ3" s="61" t="s">
        <v>45</v>
      </c>
      <c r="BA3" s="61" t="s">
        <v>46</v>
      </c>
      <c r="BB3" s="81" t="s">
        <v>99</v>
      </c>
      <c r="BC3" s="14"/>
      <c r="BD3" s="13"/>
      <c r="BE3" s="14"/>
      <c r="BF3" s="14"/>
      <c r="BG3" s="25"/>
      <c r="BH3" s="25"/>
      <c r="BI3" s="60" t="s">
        <v>22</v>
      </c>
      <c r="BJ3" s="60" t="s">
        <v>14</v>
      </c>
      <c r="BK3" s="60" t="s">
        <v>45</v>
      </c>
      <c r="BL3" s="60" t="s">
        <v>46</v>
      </c>
      <c r="BM3" s="60" t="s">
        <v>22</v>
      </c>
      <c r="BN3" s="60" t="s">
        <v>14</v>
      </c>
      <c r="BO3" s="60" t="s">
        <v>45</v>
      </c>
      <c r="BP3" s="60" t="s">
        <v>46</v>
      </c>
      <c r="BQ3" s="60" t="s">
        <v>22</v>
      </c>
      <c r="BR3" s="60" t="s">
        <v>14</v>
      </c>
      <c r="BS3" s="60" t="s">
        <v>45</v>
      </c>
      <c r="BT3" s="60" t="s">
        <v>46</v>
      </c>
      <c r="BU3" s="62" t="s">
        <v>22</v>
      </c>
      <c r="BV3" s="62" t="s">
        <v>14</v>
      </c>
      <c r="BW3" s="62" t="s">
        <v>45</v>
      </c>
      <c r="BX3" s="62" t="s">
        <v>46</v>
      </c>
      <c r="BY3" s="11"/>
      <c r="BZ3" s="10"/>
      <c r="CA3" s="11"/>
      <c r="CB3" s="11"/>
      <c r="CC3" s="59" t="s">
        <v>22</v>
      </c>
      <c r="CD3" s="59" t="s">
        <v>14</v>
      </c>
      <c r="CE3" s="59" t="s">
        <v>45</v>
      </c>
      <c r="CF3" s="59" t="s">
        <v>46</v>
      </c>
      <c r="CG3" s="59" t="s">
        <v>22</v>
      </c>
      <c r="CH3" s="59" t="s">
        <v>14</v>
      </c>
      <c r="CI3" s="59" t="s">
        <v>45</v>
      </c>
      <c r="CJ3" s="59" t="s">
        <v>46</v>
      </c>
      <c r="CK3" s="59" t="s">
        <v>22</v>
      </c>
      <c r="CL3" s="59" t="s">
        <v>14</v>
      </c>
      <c r="CM3" s="59" t="s">
        <v>45</v>
      </c>
      <c r="CN3" s="59" t="s">
        <v>46</v>
      </c>
      <c r="CO3" s="61" t="s">
        <v>22</v>
      </c>
      <c r="CP3" s="61" t="s">
        <v>14</v>
      </c>
      <c r="CQ3" s="61" t="s">
        <v>45</v>
      </c>
      <c r="CR3" s="61" t="s">
        <v>46</v>
      </c>
      <c r="CS3" s="14"/>
      <c r="CT3" s="13"/>
      <c r="CU3" s="14"/>
      <c r="CV3" s="14"/>
      <c r="CW3" s="60" t="s">
        <v>22</v>
      </c>
      <c r="CX3" s="60" t="s">
        <v>14</v>
      </c>
      <c r="CY3" s="60" t="s">
        <v>45</v>
      </c>
      <c r="CZ3" s="60" t="s">
        <v>46</v>
      </c>
      <c r="DA3" s="60" t="s">
        <v>22</v>
      </c>
      <c r="DB3" s="60" t="s">
        <v>14</v>
      </c>
      <c r="DC3" s="60" t="s">
        <v>45</v>
      </c>
      <c r="DD3" s="60" t="s">
        <v>46</v>
      </c>
      <c r="DE3" s="60" t="s">
        <v>22</v>
      </c>
      <c r="DF3" s="60" t="s">
        <v>14</v>
      </c>
      <c r="DG3" s="60" t="s">
        <v>45</v>
      </c>
      <c r="DH3" s="60" t="s">
        <v>46</v>
      </c>
      <c r="DI3" s="62" t="s">
        <v>22</v>
      </c>
      <c r="DJ3" s="62" t="s">
        <v>14</v>
      </c>
      <c r="DK3" s="62" t="s">
        <v>45</v>
      </c>
      <c r="DL3" s="62" t="s">
        <v>46</v>
      </c>
      <c r="DM3" s="11"/>
      <c r="DN3" s="10"/>
      <c r="DO3" s="11"/>
      <c r="DP3" s="11"/>
      <c r="DQ3" s="30" t="s">
        <v>22</v>
      </c>
      <c r="DR3" s="30" t="s">
        <v>14</v>
      </c>
      <c r="DS3" s="30" t="s">
        <v>45</v>
      </c>
      <c r="DT3" s="30" t="s">
        <v>46</v>
      </c>
      <c r="DU3" s="30" t="s">
        <v>22</v>
      </c>
      <c r="DV3" s="30" t="s">
        <v>14</v>
      </c>
      <c r="DW3" s="30" t="s">
        <v>45</v>
      </c>
      <c r="DX3" s="30" t="s">
        <v>46</v>
      </c>
      <c r="DY3" s="30" t="s">
        <v>22</v>
      </c>
      <c r="DZ3" s="30" t="s">
        <v>14</v>
      </c>
      <c r="EA3" s="30" t="s">
        <v>45</v>
      </c>
      <c r="EB3" s="30" t="s">
        <v>46</v>
      </c>
      <c r="EC3" s="33" t="s">
        <v>22</v>
      </c>
      <c r="ED3" s="33" t="s">
        <v>14</v>
      </c>
      <c r="EE3" s="33" t="s">
        <v>45</v>
      </c>
      <c r="EF3" s="33" t="s">
        <v>46</v>
      </c>
      <c r="EG3" s="14"/>
      <c r="EH3" s="13"/>
      <c r="EI3" s="14"/>
      <c r="EJ3" s="14"/>
      <c r="EK3" s="31" t="s">
        <v>22</v>
      </c>
      <c r="EL3" s="31" t="s">
        <v>14</v>
      </c>
      <c r="EM3" s="31" t="s">
        <v>45</v>
      </c>
      <c r="EN3" s="31" t="s">
        <v>46</v>
      </c>
      <c r="EO3" s="31" t="s">
        <v>22</v>
      </c>
      <c r="EP3" s="31" t="s">
        <v>14</v>
      </c>
      <c r="EQ3" s="31" t="s">
        <v>45</v>
      </c>
      <c r="ER3" s="31" t="s">
        <v>46</v>
      </c>
      <c r="ES3" s="31" t="s">
        <v>22</v>
      </c>
      <c r="ET3" s="31" t="s">
        <v>14</v>
      </c>
      <c r="EU3" s="31" t="s">
        <v>45</v>
      </c>
      <c r="EV3" s="31" t="s">
        <v>46</v>
      </c>
      <c r="EW3" s="32" t="s">
        <v>22</v>
      </c>
      <c r="EX3" s="32" t="s">
        <v>14</v>
      </c>
      <c r="EY3" s="32" t="s">
        <v>45</v>
      </c>
      <c r="EZ3" s="32" t="s">
        <v>46</v>
      </c>
      <c r="FA3" s="11"/>
      <c r="FB3" s="10"/>
      <c r="FC3" s="11"/>
      <c r="FD3" s="11"/>
      <c r="FE3" s="30" t="s">
        <v>22</v>
      </c>
      <c r="FF3" s="30" t="s">
        <v>14</v>
      </c>
      <c r="FG3" s="30" t="s">
        <v>45</v>
      </c>
      <c r="FH3" s="30" t="s">
        <v>46</v>
      </c>
      <c r="FI3" s="30" t="s">
        <v>22</v>
      </c>
      <c r="FJ3" s="30" t="s">
        <v>14</v>
      </c>
      <c r="FK3" s="30" t="s">
        <v>45</v>
      </c>
      <c r="FL3" s="30" t="s">
        <v>46</v>
      </c>
      <c r="FM3" s="30" t="s">
        <v>22</v>
      </c>
      <c r="FN3" s="30" t="s">
        <v>14</v>
      </c>
      <c r="FO3" s="30" t="s">
        <v>45</v>
      </c>
      <c r="FP3" s="30" t="s">
        <v>46</v>
      </c>
      <c r="FQ3" s="33" t="s">
        <v>22</v>
      </c>
      <c r="FR3" s="33" t="s">
        <v>14</v>
      </c>
      <c r="FS3" s="33" t="s">
        <v>45</v>
      </c>
      <c r="FT3" s="33" t="s">
        <v>46</v>
      </c>
      <c r="FU3" s="14"/>
      <c r="FV3" s="13"/>
      <c r="FW3" s="14"/>
      <c r="FX3" s="14"/>
      <c r="FY3" s="31" t="s">
        <v>22</v>
      </c>
      <c r="FZ3" s="31" t="s">
        <v>14</v>
      </c>
      <c r="GA3" s="31" t="s">
        <v>45</v>
      </c>
      <c r="GB3" s="31" t="s">
        <v>46</v>
      </c>
      <c r="GC3" s="31" t="s">
        <v>22</v>
      </c>
      <c r="GD3" s="31" t="s">
        <v>14</v>
      </c>
      <c r="GE3" s="31" t="s">
        <v>45</v>
      </c>
      <c r="GF3" s="31" t="s">
        <v>46</v>
      </c>
      <c r="GG3" s="31" t="s">
        <v>22</v>
      </c>
      <c r="GH3" s="31" t="s">
        <v>14</v>
      </c>
      <c r="GI3" s="31" t="s">
        <v>45</v>
      </c>
      <c r="GJ3" s="31" t="s">
        <v>46</v>
      </c>
      <c r="GK3" s="32" t="s">
        <v>22</v>
      </c>
      <c r="GL3" s="32" t="s">
        <v>14</v>
      </c>
      <c r="GM3" s="32" t="s">
        <v>45</v>
      </c>
      <c r="GN3" s="32" t="s">
        <v>46</v>
      </c>
      <c r="GO3" s="11"/>
      <c r="GP3" s="10"/>
      <c r="GQ3" s="11"/>
      <c r="GR3" s="11"/>
      <c r="GS3" s="30" t="s">
        <v>22</v>
      </c>
      <c r="GT3" s="30" t="s">
        <v>14</v>
      </c>
      <c r="GU3" s="30" t="s">
        <v>45</v>
      </c>
      <c r="GV3" s="30" t="s">
        <v>46</v>
      </c>
      <c r="GW3" s="30" t="s">
        <v>22</v>
      </c>
      <c r="GX3" s="30" t="s">
        <v>14</v>
      </c>
      <c r="GY3" s="30" t="s">
        <v>45</v>
      </c>
      <c r="GZ3" s="30" t="s">
        <v>46</v>
      </c>
      <c r="HA3" s="30" t="s">
        <v>22</v>
      </c>
      <c r="HB3" s="30" t="s">
        <v>14</v>
      </c>
      <c r="HC3" s="30" t="s">
        <v>45</v>
      </c>
      <c r="HD3" s="30" t="s">
        <v>46</v>
      </c>
      <c r="HE3" s="33" t="s">
        <v>22</v>
      </c>
      <c r="HF3" s="33" t="s">
        <v>14</v>
      </c>
      <c r="HG3" s="33" t="s">
        <v>45</v>
      </c>
      <c r="HH3" s="33" t="s">
        <v>46</v>
      </c>
      <c r="HI3" s="14"/>
      <c r="HJ3" s="13"/>
      <c r="HK3" s="14"/>
      <c r="HL3" s="14"/>
      <c r="HM3" s="31" t="s">
        <v>22</v>
      </c>
      <c r="HN3" s="31" t="s">
        <v>14</v>
      </c>
      <c r="HO3" s="31" t="s">
        <v>45</v>
      </c>
      <c r="HP3" s="31" t="s">
        <v>46</v>
      </c>
      <c r="HQ3" s="31" t="s">
        <v>22</v>
      </c>
      <c r="HR3" s="31" t="s">
        <v>14</v>
      </c>
      <c r="HS3" s="31" t="s">
        <v>45</v>
      </c>
      <c r="HT3" s="31" t="s">
        <v>46</v>
      </c>
      <c r="HU3" s="31" t="s">
        <v>22</v>
      </c>
      <c r="HV3" s="31" t="s">
        <v>14</v>
      </c>
      <c r="HW3" s="31" t="s">
        <v>45</v>
      </c>
      <c r="HX3" s="31" t="s">
        <v>46</v>
      </c>
      <c r="HY3" s="32" t="s">
        <v>22</v>
      </c>
      <c r="HZ3" s="32" t="s">
        <v>14</v>
      </c>
      <c r="IA3" s="32" t="s">
        <v>45</v>
      </c>
      <c r="IB3" s="32" t="s">
        <v>46</v>
      </c>
      <c r="IC3" s="11"/>
      <c r="ID3" s="10"/>
      <c r="IE3" s="11"/>
      <c r="IF3" s="11"/>
      <c r="IG3" s="30" t="s">
        <v>22</v>
      </c>
      <c r="IH3" s="30" t="s">
        <v>14</v>
      </c>
      <c r="II3" s="30" t="s">
        <v>45</v>
      </c>
      <c r="IJ3" s="30" t="s">
        <v>46</v>
      </c>
      <c r="IK3" s="30" t="s">
        <v>22</v>
      </c>
      <c r="IL3" s="30" t="s">
        <v>14</v>
      </c>
      <c r="IM3" s="30" t="s">
        <v>45</v>
      </c>
      <c r="IN3" s="30" t="s">
        <v>46</v>
      </c>
      <c r="IO3" s="30" t="s">
        <v>22</v>
      </c>
      <c r="IP3" s="30" t="s">
        <v>14</v>
      </c>
      <c r="IQ3" s="30" t="s">
        <v>45</v>
      </c>
      <c r="IR3" s="30" t="s">
        <v>46</v>
      </c>
      <c r="IS3" s="33" t="s">
        <v>22</v>
      </c>
      <c r="IT3" s="33" t="s">
        <v>14</v>
      </c>
      <c r="IU3" s="33" t="s">
        <v>45</v>
      </c>
      <c r="IV3" s="33" t="s">
        <v>46</v>
      </c>
      <c r="IW3" s="14"/>
      <c r="IX3" s="13"/>
      <c r="IY3" s="14"/>
      <c r="IZ3" s="14"/>
      <c r="JA3" s="31" t="s">
        <v>22</v>
      </c>
      <c r="JB3" s="31" t="s">
        <v>14</v>
      </c>
      <c r="JC3" s="31" t="s">
        <v>45</v>
      </c>
      <c r="JD3" s="31" t="s">
        <v>46</v>
      </c>
      <c r="JE3" s="31" t="s">
        <v>22</v>
      </c>
      <c r="JF3" s="31" t="s">
        <v>14</v>
      </c>
      <c r="JG3" s="31" t="s">
        <v>45</v>
      </c>
      <c r="JH3" s="31" t="s">
        <v>46</v>
      </c>
      <c r="JI3" s="31" t="s">
        <v>22</v>
      </c>
      <c r="JJ3" s="31" t="s">
        <v>14</v>
      </c>
      <c r="JK3" s="31" t="s">
        <v>45</v>
      </c>
      <c r="JL3" s="31" t="s">
        <v>46</v>
      </c>
      <c r="JM3" s="32" t="s">
        <v>22</v>
      </c>
      <c r="JN3" s="32" t="s">
        <v>14</v>
      </c>
      <c r="JO3" s="32" t="s">
        <v>45</v>
      </c>
      <c r="JP3" s="32" t="s">
        <v>46</v>
      </c>
      <c r="JQ3" s="11"/>
      <c r="JR3" s="10"/>
      <c r="JS3" s="11"/>
      <c r="JT3" s="11"/>
      <c r="JU3" s="30" t="s">
        <v>22</v>
      </c>
      <c r="JV3" s="30" t="s">
        <v>14</v>
      </c>
      <c r="JW3" s="30" t="s">
        <v>45</v>
      </c>
      <c r="JX3" s="30" t="s">
        <v>46</v>
      </c>
      <c r="JY3" s="30" t="s">
        <v>22</v>
      </c>
      <c r="JZ3" s="30" t="s">
        <v>14</v>
      </c>
      <c r="KA3" s="30" t="s">
        <v>45</v>
      </c>
      <c r="KB3" s="30" t="s">
        <v>46</v>
      </c>
      <c r="KC3" s="30" t="s">
        <v>22</v>
      </c>
      <c r="KD3" s="30" t="s">
        <v>14</v>
      </c>
      <c r="KE3" s="30" t="s">
        <v>45</v>
      </c>
      <c r="KF3" s="30" t="s">
        <v>46</v>
      </c>
      <c r="KG3" s="33" t="s">
        <v>22</v>
      </c>
      <c r="KH3" s="33" t="s">
        <v>14</v>
      </c>
      <c r="KI3" s="33" t="s">
        <v>45</v>
      </c>
      <c r="KJ3" s="33" t="s">
        <v>46</v>
      </c>
      <c r="KK3" s="14"/>
      <c r="KL3" s="13"/>
      <c r="KM3" s="14"/>
      <c r="KN3" s="14"/>
      <c r="KO3" s="111" t="s">
        <v>22</v>
      </c>
      <c r="KP3" s="111" t="s">
        <v>14</v>
      </c>
      <c r="KQ3" s="111" t="s">
        <v>45</v>
      </c>
      <c r="KR3" s="111" t="s">
        <v>46</v>
      </c>
      <c r="KS3" s="111" t="s">
        <v>22</v>
      </c>
      <c r="KT3" s="111" t="s">
        <v>14</v>
      </c>
      <c r="KU3" s="111" t="s">
        <v>45</v>
      </c>
      <c r="KV3" s="111" t="s">
        <v>46</v>
      </c>
      <c r="KW3" s="111" t="s">
        <v>22</v>
      </c>
      <c r="KX3" s="111" t="s">
        <v>14</v>
      </c>
      <c r="KY3" s="111" t="s">
        <v>45</v>
      </c>
      <c r="KZ3" s="111" t="s">
        <v>46</v>
      </c>
      <c r="LA3" s="112" t="s">
        <v>22</v>
      </c>
      <c r="LB3" s="112" t="s">
        <v>14</v>
      </c>
      <c r="LC3" s="112" t="s">
        <v>45</v>
      </c>
      <c r="LD3" s="112" t="s">
        <v>46</v>
      </c>
      <c r="LE3" s="111" t="s">
        <v>99</v>
      </c>
      <c r="LF3" s="11"/>
      <c r="LG3" s="10"/>
      <c r="LH3" s="11"/>
      <c r="LI3" s="11"/>
    </row>
    <row r="4" spans="1:321" x14ac:dyDescent="0.2">
      <c r="A4" s="6">
        <f t="shared" ref="A4:A9" si="0">IF(AND(F4="P",H4="P"),SUMPRODUCT((F$4:F$10="P")*(H$4:H$10="P")*(E$4:E$10&gt;E4))+1,IF(H4="P",SUMPRODUCT((F$4:F$10="")*(H$4:H$10="P")*(E$4:E$10&gt;E4))+1+SUMPRODUCT((F$4:F$10="P")*(H$4:H$10="P")),""))</f>
        <v>1</v>
      </c>
      <c r="B4" s="9" t="s">
        <v>51</v>
      </c>
      <c r="C4" s="5" t="s">
        <v>3</v>
      </c>
      <c r="D4" s="29">
        <v>1992</v>
      </c>
      <c r="E4" s="16">
        <f t="shared" ref="E4:E9" si="1">SUM(J4:N4)</f>
        <v>147.80000000000001</v>
      </c>
      <c r="F4" s="4" t="str">
        <f t="shared" ref="F4:F9" si="2">IF(OR(AND(AH4&gt;=AJ$12,AI4&gt;=AJ$14,AI4&lt;&gt;"",AG4=""),AND(BC4&gt;=BE$12,BD4&gt;=BE$14,BD4&lt;&gt;"",BB4=""),AND(BY4&gt;=CA$12,BZ4&gt;=CA$14,BZ4&lt;&gt;""),AND(CS4&gt;=CU$12,CT4&gt;=CU$14,CT4&lt;&gt;""),AND(DM4&gt;=DO$12,DN4&gt;=DO$14,DN4&lt;&gt;""),AND(EG4&gt;=EI$12,EH4&gt;=EI$14,EH4&lt;&gt;""),AND(FA4&gt;=FC$12,FB4&gt;=FC$14,FB4&lt;&gt;""),AND(FU4&gt;=FW$12,FV4&gt;=FW$14,FV4&lt;&gt;""),AND(GO4&gt;=GQ$12,GP4&gt;=GQ$14,GP4&lt;&gt;""),AND(HI4&gt;=HK$12,HJ4&gt;=HK$14,HJ4&lt;&gt;""),AND(IC4&gt;=IE$12,ID4&gt;=IE$14,ID4&lt;&gt;""),AND(IW4&gt;=IY$12,IX4&gt;=IY$14,IX4&lt;&gt;""),AND(JQ4&gt;=JS$12,JR4&gt;=JS$14,JR4&lt;&gt;""),AND(KK4&gt;=KM$12,KL4&gt;=KM$14,KL4&lt;&gt;"")),"P","")</f>
        <v>P</v>
      </c>
      <c r="G4" s="4" t="str">
        <f t="shared" ref="G4:G9" si="3">IF(OR(AND(AH4&gt;=AJ$12,AI4&gt;=AJ$15,AI4&lt;&gt;"",AG4=""),AND(BC4&gt;=BE$12,BD4&gt;=BE$15,BD4&lt;&gt;"",BB4=""),AND(BY4&gt;=CA$12,BZ4&gt;=CA$15,BZ4&lt;&gt;""),AND(CS4&gt;=CU$12,CT4&gt;=CU$15,CT4&lt;&gt;""),AND(DM4&gt;=DO$12,DN4&gt;=DO$15,DN4&lt;&gt;""),AND(EG4&gt;=EI$12,EH4&gt;=EI$15,EH4&lt;&gt;""),AND(FA4&gt;=FC$12,FB4&gt;=FC$15,FB4&lt;&gt;""),AND(FU4&gt;=FW$12,FV4&gt;=FW$15,FV4&lt;&gt;""),AND(GO4&gt;=GQ$12,GP4&gt;=GQ$15,GP4&lt;&gt;""),AND(HI4&gt;=HK$12,HJ4&gt;=HK$15,HJ4&lt;&gt;""),AND(IC4&gt;=IE$12,ID4&gt;=IE$15,ID4&lt;&gt;""),AND(IW4&gt;=IY$12,IX4&gt;=IY$15,IX4&lt;&gt;""),AND(JQ4&gt;=JS$12,JR4&gt;=JS$15,JR4&lt;&gt;""),AND(KK4&gt;=KM$12,KL4&gt;=KM$15,KL4&lt;&gt;"")),"P","")</f>
        <v>P</v>
      </c>
      <c r="H4" s="4" t="str">
        <f t="shared" ref="H4:H9" si="4">IF(OR(AND(AI4&gt;=AJ$14,AI4&lt;&gt;"",AG4=""),AND(BD4&gt;=BE$14,BD4&lt;&gt;"",BB4=""),AND(BZ4&gt;=CA$14,BZ4&lt;&gt;""),AND(CT4&gt;=CU$14,CT4&lt;&gt;""),AND(DN4&gt;=DO$14,DN4&lt;&gt;""),AND(EH4&gt;=EI$14,EH4&lt;&gt;""),AND(FB4&gt;=FC$14,FB4&lt;&gt;""),AND(FV4&gt;=FW$14,FV4&lt;&gt;""),AND(GP4&gt;=GQ$14,GP4&lt;&gt;""),AND(HJ4&gt;=HK$14,HJ4&lt;&gt;""),AND(ID4&gt;=IE$14,ID4&lt;&gt;""),AND(IX4&gt;=IY$14,IX4&lt;&gt;""),AND(JR4&gt;=JS$14,JR4&lt;&gt;""),AND(KL4&gt;=KM$14,KL4&lt;&gt;"")),"P","")</f>
        <v>P</v>
      </c>
      <c r="I4" t="str">
        <f t="shared" ref="I4:I9" si="5">IF(AND(H4="P",F4=""),"No DD",IF(OR(AND(AI4&gt;=AJ$17,AI4&lt;&gt;"",AH4&gt;=AJ$13,AH4&lt;&gt;"",AG4=""),AND(BD4&gt;=BE$17,BD4&lt;&gt;"",BC4&gt;=BE$13,BC4&lt;&gt;"",BB4=""),AND(BZ4&gt;=CA$17,BZ4&lt;&gt;"",BY4&gt;=CA$13,BY4&lt;&gt;""),AND(CT4&gt;=CU$17,CT4&lt;&gt;"",CS4&gt;=CU$13,CS4&lt;&gt;""),AND(DN4&gt;=DO$17,DN4&lt;&gt;"",DM4&gt;=DO$13,DM4&lt;&gt;""),AND(EH4&gt;=EI$17,EH4&lt;&gt;"",EG4&gt;=EI$13,EG4&lt;&gt;""),AND(FB4&gt;=FC$17,FB4&lt;&gt;"",FA4&gt;=FC$13,FA4&lt;&gt;""),AND(FV4&gt;=FW$17,FV4&lt;&gt;"",FU4&gt;=FW$13,FU4&lt;&gt;""),AND(GP4&gt;=GQ$17,GP4&lt;&gt;"",GO4&gt;=GQ$13,GO4&lt;&gt;""),AND(HJ4&gt;=HK$17,HJ4&lt;&gt;"",HI4&gt;=HK$13,HI4&lt;&gt;""),AND(ID4&gt;=IE$17,ID4&lt;&gt;"",IC4&gt;=IE$13,IC4&lt;&gt;""),AND(IX4&gt;=IY$17,IX4&lt;&gt;"",IW4&gt;=IY$13,IW4&lt;&gt;""),AND(JR4&gt;=JS$17,JR4&lt;&gt;"",JQ4&gt;=JS$13,JQ4&lt;&gt;""),AND(KL4&gt;=KM$17,KL4&lt;&gt;"",KK4&gt;=KM$13,KK4&lt;&gt;"")),"Merit",IF(OR(AND(AI4&gt;=AJ$16,AI4&lt;&gt;"",AH4&gt;=AJ$13,AH4&lt;&gt;"",AG4=""),AND(BD4&gt;=BE$16,BD4&lt;&gt;"",BC4&gt;=BE$13,BC4&lt;&gt;"",BB4=""),AND(BZ4&gt;=CA$16,BZ4&lt;&gt;"",BY4&gt;=CA$13,BY4&lt;&gt;""),AND(CT4&gt;=CU$16,CT4&lt;&gt;"",CS4&gt;=CU$13,CS4&lt;&gt;""),AND(DN4&gt;=DO$16,DN4&lt;&gt;"",DM4&gt;=DO$13,DM4&lt;&gt;""),AND(EH4&gt;=EI$16,EH4&lt;&gt;"",EG4&gt;=EI$13,EG4&lt;&gt;""),AND(FB4&gt;=FC$16,FB4&lt;&gt;"",FA4&gt;=FC$13,FA4&lt;&gt;""),AND(FV4&gt;=FW$16,FV4&lt;&gt;"",FU4&gt;=FW$13,FU4&lt;&gt;""),AND(GP4&gt;=GQ$16,GP4&lt;&gt;"",GO4&gt;=GQ$13,GO4&lt;&gt;""),AND(HJ4&gt;=HK$16,HJ4&lt;&gt;"",HI4&gt;=HK$13,HI4&lt;&gt;""),AND(ID4&gt;=IE$16,ID4&lt;&gt;"",IC4&gt;=IE$13,IC4&lt;&gt;""),AND(IX4&gt;=IY$16,IX4&lt;&gt;"",IW4&gt;=IY$13,IW4&lt;&gt;""),AND(JR4&gt;=JS$16,JR4&lt;&gt;"",JQ4&gt;=JS$13,JQ4&lt;&gt;""),AND(KL4&gt;=KM$16,KL4&lt;&gt;"",KK4&gt;=KM$13,KK4&lt;&gt;"")),"Excellence",IF(OR(AND(AI4&gt;=AJ$15,AI4&lt;&gt;"",AH4&gt;=AJ$12,AH4&lt;&gt;"",AG4=""),AND(BD4&gt;=BE$15,BD4&lt;&gt;"",BC4&gt;=BE$12,BC4&lt;&gt;"",BB4=""),AND(BZ4&gt;=CA$15,BZ4&lt;&gt;"",BY4&gt;=CA$12,BY4&lt;&gt;""),AND(CT4&gt;=CU$15,CT4&lt;&gt;"",CS4&gt;=CU$12,CS4&lt;&gt;""),AND(DN4&gt;=DO$15,DN4&lt;&gt;"",DM4&gt;=DO$12,DM4&lt;&gt;""),AND(EH4&gt;=EI$15,EH4&lt;&gt;"",EG4&gt;=EI$12,EG4&lt;&gt;""),AND(FB4&gt;=FC$15,FB4&lt;&gt;"",FA4&gt;=FC$12,FA4&lt;&gt;""),AND(FV4&gt;=FW$15,FV4&lt;&gt;"",FU4&gt;=FW$12,FU4&lt;&gt;""),AND(GP4&gt;=GQ$15,GP4&lt;&gt;"",GO4&gt;=GQ$12,GO4&lt;&gt;""),AND(HJ4&gt;=HK$15,HJ4&lt;&gt;"",HI4&gt;=HK$12,HI4&lt;&gt;""),AND(ID4&gt;=IE$15,ID4&lt;&gt;"",IC4&gt;=IE$12,IC4&lt;&gt;""),AND(IX4&gt;=IY$15,IX4&lt;&gt;"",IW4&gt;=IY$12,IW4&lt;&gt;""),AND(JR4&gt;=JS$15,JR4&lt;&gt;"",JQ4&gt;=JS$12,JQ4&lt;&gt;""),AND(KL4&gt;=KM$15,KL4&lt;&gt;"",KK4&gt;=KM$12,KK4&lt;&gt;"")),"Worlds Team",IF(OR(AND(AI4&gt;=AJ$14,AI4&lt;&gt;"",AH4&gt;=AJ$12,AH4&lt;&gt;"",AG4=""),AND(BD4&gt;=BE$14,BD4&lt;&gt;"",BC4&gt;=BE$12,BC4&lt;&gt;"",BB4=""),AND(BZ4&gt;=CA$14,BZ4&lt;&gt;"",BY4&gt;=CA$12,BY4&lt;&gt;""),AND(CT4&gt;=CU$14,CT4&lt;&gt;"",CS4&gt;=CU$12,CS4&lt;&gt;""),AND(DN4&gt;=DO$14,DN4&lt;&gt;"",DM4&gt;=DO$12,DM4&lt;&gt;""),AND(EH4&gt;=EI$14,EH4&lt;&gt;"",EG4&gt;=EI$12,EG4&lt;&gt;""),AND(FB4&gt;=FC$14,FB4&lt;&gt;"",FA4&gt;=FC$12,FA4&lt;&gt;""),AND(FV4&gt;=FW$14,FV4&lt;&gt;"",FU4&gt;=FW$12,FU4&lt;&gt;""),AND(GP4&gt;=GQ$14,GP4&lt;&gt;"",GO4&gt;=GQ$12,GO4&lt;&gt;""),AND(HJ4&gt;=HK$14,HJ4&lt;&gt;"",HI4&gt;=HK$12,HI4&lt;&gt;""),AND(ID4&gt;=IE$14,ID4&lt;&gt;"",IC4&gt;=IE$12,IC4&lt;&gt;""),AND(IX4&gt;=IY$14,IX4&lt;&gt;"",IW4&gt;=IY$12,IW4&lt;&gt;""),AND(JR4&gt;=JS$14,JR4&lt;&gt;"",JQ4&gt;=JS$12,JQ4&lt;&gt;""),AND(KL4&gt;=KM$14,KL4&lt;&gt;"",KK4&gt;=KM$12,KK4&lt;&gt;"")),"National Team","")))))</f>
        <v>Merit</v>
      </c>
      <c r="J4" s="15">
        <f t="shared" ref="J4:J9" si="6">IF(MAX(AI4,BD4)&gt;0,MAX(AI4,BD4),"")</f>
        <v>72.8</v>
      </c>
      <c r="K4" s="15" t="str">
        <f t="shared" ref="K4:K9" si="7">IF(J4="","",IF(J4=BD4,$AL$1,IF(J4=AI4,$Q$1,"")))</f>
        <v>2019 Nationals</v>
      </c>
      <c r="L4" s="15">
        <f t="shared" ref="L4:L9" si="8">IF(MAX(AJ4,BE4)&gt;0,MAX(AJ4,BE4),"")</f>
        <v>75</v>
      </c>
      <c r="M4" s="15" t="str">
        <f t="shared" ref="M4:M9" si="9">IF(L4="","",IF(L4=BE4,$AL$1,IF(L4=AJ4,$Q$1,"")))</f>
        <v>2019 Elite Canada</v>
      </c>
      <c r="N4" s="15" t="str">
        <f t="shared" ref="N4:N9" si="10">IF(MAX(BG4:BH4)&gt;0,MAX(BG4:BH4),"")</f>
        <v/>
      </c>
      <c r="O4" s="27" t="str">
        <f t="shared" ref="O4:O9" si="11">IF(N4="","",IF(N4=BG4,"(Prelim)",IF(N4=BH4,"(Final)")))</f>
        <v/>
      </c>
      <c r="P4" s="15" t="str">
        <f t="shared" ref="P4:P9" si="12">IF(N4="","",IF(N4=BG4,IF(N4+IF(J4="",0,J4)=KL4,$JU$1,IF(N4+IF(J4="",0,J4)=JR4,$JA$1,IF(N4+IF(J4="",0,J4)=IX4,$IG$1,IF(N4+IF(J4="",0,J4)=ID4,$HM$1,IF(N4+IF(J4="",0,J4)=HJ4,$GS$1,IF(N4+IF(J4="",0,J4)=GP4,$FY$1,IF(N4+IF(J4="",0,J4)=FV4,$FE$1,IF(N4+IF(J4="",0,J4)=FB4,$EK$1,IF(N4+IF(J4="",0,J4)=EH4,$DQ$1,IF(N4+IF(J4="",0,J4)=DN4,$CW$1,IF(N4+IF(J4="",0,J4)=CT4,$CC$1,IF(N4+IF(J4="",0,J4)=BZ4,$BI$1)))))))))))),IF(N4=BH4,IF(N4+IF(L4="",0,L4)=KM4,$JU$1,IF(N4+IF(L4="",0,L4)=JS4,$JA$1,IF(N4+IF(L4="",0,L4)=IY4,$IG$1,IF(N4+IF(L4="",0,L4)=IE4,$HM$1,IF(N4+IF(L4="",0,L4)=HK4,$GS$1,IF(N4+IF(L4="",0,L4)=GQ4,$FY$1,IF(N4+IF(L4="",0,L4)=FW4,$FE$1,IF(N4+IF(L4="",0,L4)=FC4,$EK$1,IF(N4+IF(L4="",0,L4)=EI4,$DQ$1,IF(N4+IF(L4="",0,L4)=DO4,$CW$1,IF(N4+IF(L4="",0,L4)=CU4,$CC$1,IF(N4+IF(L4="",0,L4)=CA4,$BI$1)))))))))))))))</f>
        <v/>
      </c>
      <c r="Q4" s="71">
        <v>26</v>
      </c>
      <c r="R4" s="71">
        <v>7.7</v>
      </c>
      <c r="S4" s="71">
        <v>0</v>
      </c>
      <c r="T4" s="71">
        <v>1</v>
      </c>
      <c r="U4" s="71">
        <v>26.1</v>
      </c>
      <c r="V4" s="71">
        <v>7.4</v>
      </c>
      <c r="W4" s="71">
        <v>0</v>
      </c>
      <c r="X4" s="71">
        <v>0</v>
      </c>
      <c r="Y4" s="71">
        <v>28.2</v>
      </c>
      <c r="Z4" s="71">
        <v>9.1</v>
      </c>
      <c r="AA4" s="71">
        <v>0</v>
      </c>
      <c r="AB4" s="71">
        <v>1</v>
      </c>
      <c r="AC4" s="71">
        <v>28.2</v>
      </c>
      <c r="AD4" s="71">
        <v>8.5</v>
      </c>
      <c r="AE4" s="71">
        <v>0</v>
      </c>
      <c r="AF4" s="71">
        <v>0</v>
      </c>
      <c r="AG4" s="82"/>
      <c r="AH4" s="12">
        <f t="shared" ref="AH4:AH9" si="13">IF(SUM(R4,V4)&gt;0,SUM(R4,V4),"")</f>
        <v>15.100000000000001</v>
      </c>
      <c r="AI4" s="12">
        <f t="shared" ref="AI4:AI9" si="14">IF(SUM(Q4:R4,T4:V4,X4)-S4-W4&gt;0,SUM(Q4:R4,T4:V4,X4)-S4-W4,"")</f>
        <v>68.2</v>
      </c>
      <c r="AJ4" s="12">
        <f t="shared" ref="AJ4:AJ9" si="15">IF(SUM(Y4:Z4,AB4:AD4,AF4)-SUM(AA4,AE4)&gt;0,SUM(Y4:Z4,AB4:AD4,AF4)-SUM(AA4,AE4),"")</f>
        <v>75</v>
      </c>
      <c r="AK4" s="12">
        <f t="shared" ref="AK4:AK9" si="16">IF(SUM(AI4,AJ4)&gt;0,SUM(AI4,AJ4),"")</f>
        <v>143.19999999999999</v>
      </c>
      <c r="AL4" s="40">
        <v>27.7</v>
      </c>
      <c r="AM4" s="40">
        <v>7.7</v>
      </c>
      <c r="AN4" s="40">
        <v>0</v>
      </c>
      <c r="AO4" s="40">
        <v>1</v>
      </c>
      <c r="AP4" s="40">
        <v>27.9</v>
      </c>
      <c r="AQ4" s="40">
        <v>8.5</v>
      </c>
      <c r="AR4" s="40">
        <v>0</v>
      </c>
      <c r="AS4" s="40">
        <v>0</v>
      </c>
      <c r="AT4" s="40">
        <v>26.7</v>
      </c>
      <c r="AU4" s="40">
        <v>9.1</v>
      </c>
      <c r="AV4" s="40">
        <v>0</v>
      </c>
      <c r="AW4" s="40">
        <v>1</v>
      </c>
      <c r="AX4" s="40">
        <v>27.1</v>
      </c>
      <c r="AY4" s="40">
        <v>8.5</v>
      </c>
      <c r="AZ4" s="40">
        <v>0</v>
      </c>
      <c r="BA4" s="40">
        <v>0</v>
      </c>
      <c r="BB4" s="83"/>
      <c r="BC4" s="15">
        <f t="shared" ref="BC4:BC9" si="17">IF(SUM(AM4,AQ4)&gt;0,SUM(AM4,AQ4),"")</f>
        <v>16.2</v>
      </c>
      <c r="BD4" s="15">
        <f t="shared" ref="BD4:BD9" si="18">IF(SUM(AL4:AM4,AO4:AQ4,AS4)-AN4-AR4&gt;0,SUM(AL4:AM4,AO4:AQ4,AS4)-AN4-AR4,"")</f>
        <v>72.8</v>
      </c>
      <c r="BE4" s="15">
        <f t="shared" ref="BE4:BE9" si="19">IF(SUM(AT4:AU4,AW4:AY4,BA4)-SUM(AV4,AZ4)&gt;0,SUM(AT4:AU4,AW4:AY4,BA4)-SUM(AV4,AZ4),"")</f>
        <v>72.400000000000006</v>
      </c>
      <c r="BF4" s="15">
        <f t="shared" ref="BF4:BF9" si="20">IF(SUM(BD4,BE4)&gt;0,SUM(BD4,BE4),"")</f>
        <v>145.19999999999999</v>
      </c>
      <c r="BG4" s="26" t="str">
        <f t="shared" ref="BG4:BG9" si="21">IF(MAX(BZ4,CT4,DN4,EH4,FB4,FV4,GP4,HJ4,ID4,IX4,JR4,KL4)-IF(J4="",0,J4)&gt;0.001,MAX(BZ4,CT4,DN4,EH4,FB4,FV4,GP4,HJ4,ID4,IX4,JR4,KL4)-IF(J4="",0,J4),"")</f>
        <v/>
      </c>
      <c r="BH4" s="26" t="str">
        <f t="shared" ref="BH4:BH9" si="22">IF(MAX(CA4,CU4,DO4,EI4,FC4,FW4,GQ4,HK4,IE4,IY4,JS4,KM4)-IF(L4="",0,L4)&gt;0.001,MAX(CA4,CU4,DO4,EI4,FC4,FW4,GQ4,HK4,IE4,IY4,JS4,KM4)-IF(L4="",0,L4),"")</f>
        <v/>
      </c>
      <c r="BI4" s="39">
        <v>23.7</v>
      </c>
      <c r="BJ4" s="39">
        <v>5.5</v>
      </c>
      <c r="BK4" s="39">
        <v>0</v>
      </c>
      <c r="BL4" s="39">
        <v>0</v>
      </c>
      <c r="BM4" s="39">
        <v>26.5</v>
      </c>
      <c r="BN4" s="39">
        <v>9.3000000000000007</v>
      </c>
      <c r="BO4" s="39">
        <v>0</v>
      </c>
      <c r="BP4" s="39">
        <v>0</v>
      </c>
      <c r="BQ4" s="39"/>
      <c r="BR4" s="39"/>
      <c r="BS4" s="39"/>
      <c r="BT4" s="39"/>
      <c r="BU4" s="39"/>
      <c r="BV4" s="39"/>
      <c r="BW4" s="39"/>
      <c r="BX4" s="39"/>
      <c r="BY4" s="12">
        <f t="shared" ref="BY4:BY9" si="23">IF(SUM(BJ4,BN4)&gt;0,SUM(BJ4,BN4),"")</f>
        <v>14.8</v>
      </c>
      <c r="BZ4" s="12">
        <f t="shared" ref="BZ4:BZ9" si="24">IF(SUM(BI4:BJ4,BL4:BN4,BP4)-BK4-BO4&gt;0,SUM(BI4:BJ4,BL4:BN4,BP4)-BK4-BO4,"")</f>
        <v>65</v>
      </c>
      <c r="CA4" s="12" t="str">
        <f t="shared" ref="CA4:CA9" si="25">IF(SUM(BQ4:BR4,BT4:BV4,BX4)-SUM(BS4,BW4)&gt;0,SUM(BQ4:BR4,BT4:BV4,BX4)-SUM(BS4,BW4),"")</f>
        <v/>
      </c>
      <c r="CB4" s="12">
        <f t="shared" ref="CB4:CB9" si="26">IF(SUM(BZ4,CA4)&gt;0,SUM(BZ4,CA4),"")</f>
        <v>65</v>
      </c>
      <c r="CC4" s="40">
        <v>26.5</v>
      </c>
      <c r="CD4" s="40">
        <v>8</v>
      </c>
      <c r="CE4" s="40">
        <v>0</v>
      </c>
      <c r="CF4" s="40">
        <v>0</v>
      </c>
      <c r="CG4" s="40">
        <v>25.6</v>
      </c>
      <c r="CH4" s="40">
        <v>9.3000000000000007</v>
      </c>
      <c r="CI4" s="40">
        <v>0</v>
      </c>
      <c r="CJ4" s="40">
        <v>0</v>
      </c>
      <c r="CK4" s="40">
        <v>25.9</v>
      </c>
      <c r="CL4" s="40">
        <v>9.9</v>
      </c>
      <c r="CM4" s="40">
        <v>0</v>
      </c>
      <c r="CN4" s="40">
        <v>0</v>
      </c>
      <c r="CO4" s="40">
        <v>23.2</v>
      </c>
      <c r="CP4" s="40">
        <v>8.5</v>
      </c>
      <c r="CQ4" s="40">
        <v>0.3</v>
      </c>
      <c r="CR4" s="40">
        <v>0</v>
      </c>
      <c r="CS4" s="15">
        <f t="shared" ref="CS4:CS9" si="27">IF(SUM(CD4,CH4)&gt;0,SUM(CD4,CH4),"")</f>
        <v>17.3</v>
      </c>
      <c r="CT4" s="15">
        <f t="shared" ref="CT4:CT9" si="28">IF(SUM(CC4:CD4,CF4:CH4,CJ4)-CE4-CI4&gt;0,SUM(CC4:CD4,CF4:CH4,CJ4)-CE4-CI4,"")</f>
        <v>69.400000000000006</v>
      </c>
      <c r="CU4" s="15">
        <f t="shared" ref="CU4:CU9" si="29">IF(SUM(CK4:CL4,CN4:CP4,CR4)-SUM(CM4,CQ4)&gt;0,SUM(CK4:CL4,CN4:CP4,CR4)-SUM(CM4,CQ4),"")</f>
        <v>67.2</v>
      </c>
      <c r="CV4" s="15">
        <f t="shared" ref="CV4:CV9" si="30">IF(SUM(CT4,CU4)&gt;0,SUM(CT4,CU4),"")</f>
        <v>136.60000000000002</v>
      </c>
      <c r="CW4" s="39"/>
      <c r="CX4" s="39"/>
      <c r="CY4" s="39"/>
      <c r="CZ4" s="39"/>
      <c r="DA4" s="39"/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12" t="str">
        <f t="shared" ref="DM4:DM9" si="31">IF(SUM(CX4,DB4)&gt;0,SUM(CX4,DB4),"")</f>
        <v/>
      </c>
      <c r="DN4" s="12" t="str">
        <f t="shared" ref="DN4:DN9" si="32">IF(SUM(CW4:CX4,CZ4:DB4,DD4)-CY4-DC4&gt;0,SUM(CW4:CX4,CZ4:DB4,DD4)-CY4-DC4,"")</f>
        <v/>
      </c>
      <c r="DO4" s="12" t="str">
        <f t="shared" ref="DO4:DO9" si="33">IF(SUM(DE4:DF4,DH4:DJ4,DL4)-SUM(DG4,DK4)&gt;0,SUM(DE4:DF4,DH4:DJ4,DL4)-SUM(DG4,DK4),"")</f>
        <v/>
      </c>
      <c r="DP4" s="12" t="str">
        <f t="shared" ref="DP4:DP9" si="34">IF(SUM(DN4,DO4)&gt;0,SUM(DN4,DO4),"")</f>
        <v/>
      </c>
      <c r="DQ4" s="40"/>
      <c r="DR4" s="40"/>
      <c r="DS4" s="40"/>
      <c r="DT4" s="40"/>
      <c r="DU4" s="40"/>
      <c r="DV4" s="40"/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15" t="str">
        <f t="shared" ref="EG4:EG9" si="35">IF(SUM(DR4,DV4)&gt;0,SUM(DR4,DV4),"")</f>
        <v/>
      </c>
      <c r="EH4" s="15" t="str">
        <f t="shared" ref="EH4:EH9" si="36">IF(SUM(DQ4:DR4,DT4:DV4,DX4)-DS4-DW4&gt;0,SUM(DQ4:DR4,DT4:DV4,DX4)-DS4-DW4,"")</f>
        <v/>
      </c>
      <c r="EI4" s="15" t="str">
        <f t="shared" ref="EI4:EI9" si="37">IF(SUM(DY4:DZ4,EB4:ED4,EF4)-SUM(EA4,EE4)&gt;0,SUM(DY4:DZ4,EB4:ED4,EF4)-SUM(EA4,EE4),"")</f>
        <v/>
      </c>
      <c r="EJ4" s="15" t="str">
        <f t="shared" ref="EJ4:EJ9" si="38">IF(SUM(EH4,EI4)&gt;0,SUM(EH4,EI4),"")</f>
        <v/>
      </c>
      <c r="EK4" s="39"/>
      <c r="EL4" s="39"/>
      <c r="EM4" s="39"/>
      <c r="EN4" s="39"/>
      <c r="EO4" s="39"/>
      <c r="EP4" s="39"/>
      <c r="EQ4" s="39"/>
      <c r="ER4" s="39"/>
      <c r="ES4" s="39"/>
      <c r="ET4" s="39"/>
      <c r="EU4" s="39"/>
      <c r="EV4" s="39"/>
      <c r="EW4" s="39"/>
      <c r="EX4" s="39"/>
      <c r="EY4" s="39"/>
      <c r="EZ4" s="39"/>
      <c r="FA4" s="12" t="str">
        <f t="shared" ref="FA4:FA9" si="39">IF(SUM(EL4,EP4)&gt;0,SUM(EL4,EP4),"")</f>
        <v/>
      </c>
      <c r="FB4" s="12" t="str">
        <f t="shared" ref="FB4:FB9" si="40">IF(SUM(EK4:EL4,EN4:EP4,ER4)-EM4-EQ4&gt;0,SUM(EK4:EL4,EN4:EP4,ER4)-EM4-EQ4,"")</f>
        <v/>
      </c>
      <c r="FC4" s="12" t="str">
        <f t="shared" ref="FC4:FC9" si="41">IF(SUM(ES4:ET4,EV4:EX4,EZ4)-SUM(EU4,EY4)&gt;0,SUM(ES4:ET4,EV4:EX4,EZ4)-SUM(EU4,EY4),"")</f>
        <v/>
      </c>
      <c r="FD4" s="12" t="str">
        <f t="shared" ref="FD4:FD9" si="42">IF(SUM(FB4,FC4)&gt;0,SUM(FB4,FC4),"")</f>
        <v/>
      </c>
      <c r="FE4" s="40"/>
      <c r="FF4" s="40"/>
      <c r="FG4" s="40"/>
      <c r="FH4" s="40"/>
      <c r="FI4" s="40"/>
      <c r="FJ4" s="40"/>
      <c r="FK4" s="40"/>
      <c r="FL4" s="40"/>
      <c r="FM4" s="40"/>
      <c r="FN4" s="40"/>
      <c r="FO4" s="40"/>
      <c r="FP4" s="40"/>
      <c r="FQ4" s="40"/>
      <c r="FR4" s="40"/>
      <c r="FS4" s="40"/>
      <c r="FT4" s="40"/>
      <c r="FU4" s="15" t="str">
        <f t="shared" ref="FU4:FU9" si="43">IF(SUM(FF4,FJ4)&gt;0,SUM(FF4,FJ4),"")</f>
        <v/>
      </c>
      <c r="FV4" s="15" t="str">
        <f t="shared" ref="FV4:FV9" si="44">IF(SUM(FE4:FF4,FH4:FJ4,FL4)-FG4-FK4&gt;0,SUM(FE4:FF4,FH4:FJ4,FL4)-FG4-FK4,"")</f>
        <v/>
      </c>
      <c r="FW4" s="15" t="str">
        <f t="shared" ref="FW4:FW9" si="45">IF(SUM(FM4:FN4,FP4:FR4,FT4)-SUM(FO4,FS4)&gt;0,SUM(FM4:FN4,FP4:FR4,FT4)-SUM(FO4,FS4),"")</f>
        <v/>
      </c>
      <c r="FX4" s="15" t="str">
        <f t="shared" ref="FX4:FX9" si="46">IF(SUM(FV4,FW4)&gt;0,SUM(FV4,FW4),"")</f>
        <v/>
      </c>
      <c r="FY4" s="39"/>
      <c r="FZ4" s="39"/>
      <c r="GA4" s="39"/>
      <c r="GB4" s="39"/>
      <c r="GC4" s="39"/>
      <c r="GD4" s="39"/>
      <c r="GE4" s="39"/>
      <c r="GF4" s="39"/>
      <c r="GG4" s="39"/>
      <c r="GH4" s="39"/>
      <c r="GI4" s="39"/>
      <c r="GJ4" s="39"/>
      <c r="GK4" s="39"/>
      <c r="GL4" s="39"/>
      <c r="GM4" s="39"/>
      <c r="GN4" s="39"/>
      <c r="GO4" s="12" t="str">
        <f t="shared" ref="GO4:GO9" si="47">IF(SUM(FZ4,GD4)&gt;0,SUM(FZ4,GD4),"")</f>
        <v/>
      </c>
      <c r="GP4" s="12" t="str">
        <f t="shared" ref="GP4:GP9" si="48">IF(SUM(FY4:FZ4,GB4:GD4,GF4)-GA4-GE4&gt;0,SUM(FY4:FZ4,GB4:GD4,GF4)-GA4-GE4,"")</f>
        <v/>
      </c>
      <c r="GQ4" s="12" t="str">
        <f t="shared" ref="GQ4:GQ9" si="49">IF(SUM(GG4:GH4,GJ4:GL4,GN4)-SUM(GI4,GM4)&gt;0,SUM(GG4:GH4,GJ4:GL4,GN4)-SUM(GI4,GM4),"")</f>
        <v/>
      </c>
      <c r="GR4" s="12" t="str">
        <f t="shared" ref="GR4:GR9" si="50">IF(SUM(GP4,GQ4)&gt;0,SUM(GP4,GQ4),"")</f>
        <v/>
      </c>
      <c r="GS4" s="40"/>
      <c r="GT4" s="40"/>
      <c r="GU4" s="40"/>
      <c r="GV4" s="40"/>
      <c r="GW4" s="40"/>
      <c r="GX4" s="40"/>
      <c r="GY4" s="40"/>
      <c r="GZ4" s="40"/>
      <c r="HA4" s="40"/>
      <c r="HB4" s="40"/>
      <c r="HC4" s="40"/>
      <c r="HD4" s="40"/>
      <c r="HE4" s="40"/>
      <c r="HF4" s="40"/>
      <c r="HG4" s="40"/>
      <c r="HH4" s="40"/>
      <c r="HI4" s="15" t="str">
        <f t="shared" ref="HI4:HI9" si="51">IF(SUM(GT4,GX4)&gt;0,SUM(GT4,GX4),"")</f>
        <v/>
      </c>
      <c r="HJ4" s="15" t="str">
        <f t="shared" ref="HJ4:HJ9" si="52">IF(SUM(GS4:GT4,GV4:GX4,GZ4)-GU4-GY4&gt;0,SUM(GS4:GT4,GV4:GX4,GZ4)-GU4-GY4,"")</f>
        <v/>
      </c>
      <c r="HK4" s="15" t="str">
        <f t="shared" ref="HK4:HK9" si="53">IF(SUM(HA4:HB4,HD4:HF4,HH4)-SUM(HC4,HG4)&gt;0,SUM(HA4:HB4,HD4:HF4,HH4)-SUM(HC4,HG4),"")</f>
        <v/>
      </c>
      <c r="HL4" s="15" t="str">
        <f t="shared" ref="HL4:HL9" si="54">IF(SUM(HJ4,HK4)&gt;0,SUM(HJ4,HK4),"")</f>
        <v/>
      </c>
      <c r="HM4" s="39"/>
      <c r="HN4" s="39"/>
      <c r="HO4" s="39"/>
      <c r="HP4" s="39"/>
      <c r="HQ4" s="39"/>
      <c r="HR4" s="39"/>
      <c r="HS4" s="39"/>
      <c r="HT4" s="39"/>
      <c r="HU4" s="39"/>
      <c r="HV4" s="39"/>
      <c r="HW4" s="39"/>
      <c r="HX4" s="39"/>
      <c r="HY4" s="39"/>
      <c r="HZ4" s="39"/>
      <c r="IA4" s="39"/>
      <c r="IB4" s="39"/>
      <c r="IC4" s="12" t="str">
        <f t="shared" ref="IC4:IC9" si="55">IF(SUM(HN4,HR4)&gt;0,SUM(HN4,HR4),"")</f>
        <v/>
      </c>
      <c r="ID4" s="12" t="str">
        <f t="shared" ref="ID4:ID9" si="56">IF(SUM(HM4:HN4,HP4:HR4,HT4)-HO4-HS4&gt;0,SUM(HM4:HN4,HP4:HR4,HT4)-HO4-HS4,"")</f>
        <v/>
      </c>
      <c r="IE4" s="12" t="str">
        <f t="shared" ref="IE4:IE9" si="57">IF(SUM(HU4:HV4,HX4:HZ4,IB4)-SUM(HW4,IA4)&gt;0,SUM(HU4:HV4,HX4:HZ4,IB4)-SUM(HW4,IA4),"")</f>
        <v/>
      </c>
      <c r="IF4" s="12" t="str">
        <f t="shared" ref="IF4:IF9" si="58">IF(SUM(ID4,IE4)&gt;0,SUM(ID4,IE4),"")</f>
        <v/>
      </c>
      <c r="IG4" s="40"/>
      <c r="IH4" s="40"/>
      <c r="II4" s="40"/>
      <c r="IJ4" s="40"/>
      <c r="IK4" s="40"/>
      <c r="IL4" s="40"/>
      <c r="IM4" s="40"/>
      <c r="IN4" s="40"/>
      <c r="IO4" s="40"/>
      <c r="IP4" s="40"/>
      <c r="IQ4" s="40"/>
      <c r="IR4" s="40"/>
      <c r="IS4" s="40"/>
      <c r="IT4" s="40"/>
      <c r="IU4" s="40"/>
      <c r="IV4" s="40"/>
      <c r="IW4" s="15" t="str">
        <f t="shared" ref="IW4:IW9" si="59">IF(SUM(IH4,IL4)&gt;0,SUM(IH4,IL4),"")</f>
        <v/>
      </c>
      <c r="IX4" s="15" t="str">
        <f t="shared" ref="IX4:IX9" si="60">IF(SUM(IG4:IH4,IJ4:IL4,IN4)-II4-IM4&gt;0,SUM(IG4:IH4,IJ4:IL4,IN4)-II4-IM4,"")</f>
        <v/>
      </c>
      <c r="IY4" s="15" t="str">
        <f t="shared" ref="IY4:IY9" si="61">IF(SUM(IO4:IP4,IR4:IT4,IV4)-SUM(IQ4,IU4)&gt;0,SUM(IO4:IP4,IR4:IT4,IV4)-SUM(IQ4,IU4),"")</f>
        <v/>
      </c>
      <c r="IZ4" s="15" t="str">
        <f t="shared" ref="IZ4:IZ9" si="62">IF(SUM(IX4,IY4)&gt;0,SUM(IX4,IY4),"")</f>
        <v/>
      </c>
      <c r="JA4" s="39"/>
      <c r="JB4" s="39"/>
      <c r="JC4" s="39"/>
      <c r="JD4" s="39"/>
      <c r="JE4" s="39"/>
      <c r="JF4" s="39"/>
      <c r="JG4" s="39"/>
      <c r="JH4" s="39"/>
      <c r="JI4" s="39"/>
      <c r="JJ4" s="39"/>
      <c r="JK4" s="39"/>
      <c r="JL4" s="39"/>
      <c r="JM4" s="39"/>
      <c r="JN4" s="39"/>
      <c r="JO4" s="39"/>
      <c r="JP4" s="39"/>
      <c r="JQ4" s="12" t="str">
        <f t="shared" ref="JQ4:JQ9" si="63">IF(SUM(JB4,JF4)&gt;0,SUM(JB4,JF4),"")</f>
        <v/>
      </c>
      <c r="JR4" s="12" t="str">
        <f t="shared" ref="JR4:JR9" si="64">IF(SUM(JA4:JB4,JD4:JF4,JH4)-JC4-JG4&gt;0,SUM(JA4:JB4,JD4:JF4,JH4)-JC4-JG4,"")</f>
        <v/>
      </c>
      <c r="JS4" s="12" t="str">
        <f t="shared" ref="JS4:JS9" si="65">IF(SUM(JI4:JJ4,JL4:JN4,JP4)-SUM(JK4,JO4)&gt;0,SUM(JI4:JJ4,JL4:JN4,JP4)-SUM(JK4,JO4),"")</f>
        <v/>
      </c>
      <c r="JT4" s="12" t="str">
        <f t="shared" ref="JT4:JT9" si="66">IF(SUM(JR4,JS4)&gt;0,SUM(JR4,JS4),"")</f>
        <v/>
      </c>
      <c r="JU4" s="40"/>
      <c r="JV4" s="40"/>
      <c r="JW4" s="40"/>
      <c r="JX4" s="40"/>
      <c r="JY4" s="40"/>
      <c r="JZ4" s="40"/>
      <c r="KA4" s="40"/>
      <c r="KB4" s="40"/>
      <c r="KC4" s="40"/>
      <c r="KD4" s="40"/>
      <c r="KE4" s="40"/>
      <c r="KF4" s="40"/>
      <c r="KG4" s="40"/>
      <c r="KH4" s="40"/>
      <c r="KI4" s="40"/>
      <c r="KJ4" s="40"/>
      <c r="KK4" s="15" t="str">
        <f t="shared" ref="KK4:KK9" si="67">IF(SUM(JV4,JZ4)&gt;0,SUM(JV4,JZ4),"")</f>
        <v/>
      </c>
      <c r="KL4" s="15" t="str">
        <f t="shared" ref="KL4:KL9" si="68">IF(SUM(JU4:JV4,JX4:JZ4,KB4)-JW4-KA4&gt;0,SUM(JU4:JV4,JX4:JZ4,KB4)-JW4-KA4,"")</f>
        <v/>
      </c>
      <c r="KM4" s="15" t="str">
        <f t="shared" ref="KM4:KM9" si="69">IF(SUM(KC4:KD4,KF4:KH4,KJ4)-SUM(KE4,KI4)&gt;0,SUM(KC4:KD4,KF4:KH4,KJ4)-SUM(KE4,KI4),"")</f>
        <v/>
      </c>
      <c r="KN4" s="15" t="str">
        <f t="shared" ref="KN4:KN9" si="70">IF(SUM(KL4,KM4)&gt;0,SUM(KL4,KM4),"")</f>
        <v/>
      </c>
      <c r="KO4" s="71">
        <f>IF($BB4="P",AL4,(Q4+AL4)/2)</f>
        <v>26.85</v>
      </c>
      <c r="KP4" s="71">
        <f t="shared" ref="KP4:LD8" si="71">IF($BB4="P",AM4,(R4+AM4)/2)</f>
        <v>7.7</v>
      </c>
      <c r="KQ4" s="71">
        <f t="shared" si="71"/>
        <v>0</v>
      </c>
      <c r="KR4" s="71">
        <f t="shared" si="71"/>
        <v>1</v>
      </c>
      <c r="KS4" s="71">
        <f t="shared" si="71"/>
        <v>27</v>
      </c>
      <c r="KT4" s="71">
        <f t="shared" si="71"/>
        <v>7.95</v>
      </c>
      <c r="KU4" s="71">
        <f t="shared" si="71"/>
        <v>0</v>
      </c>
      <c r="KV4" s="71">
        <f t="shared" si="71"/>
        <v>0</v>
      </c>
      <c r="KW4" s="71">
        <f t="shared" si="71"/>
        <v>27.45</v>
      </c>
      <c r="KX4" s="71">
        <f t="shared" si="71"/>
        <v>9.1</v>
      </c>
      <c r="KY4" s="71">
        <f t="shared" si="71"/>
        <v>0</v>
      </c>
      <c r="KZ4" s="71">
        <f t="shared" si="71"/>
        <v>1</v>
      </c>
      <c r="LA4" s="71">
        <f t="shared" si="71"/>
        <v>27.65</v>
      </c>
      <c r="LB4" s="71">
        <f t="shared" si="71"/>
        <v>8.5</v>
      </c>
      <c r="LC4" s="71">
        <f t="shared" si="71"/>
        <v>0</v>
      </c>
      <c r="LD4" s="71">
        <f t="shared" si="71"/>
        <v>0</v>
      </c>
      <c r="LE4" s="82" t="s">
        <v>100</v>
      </c>
      <c r="LF4" s="12">
        <f t="shared" ref="LF4" si="72">IF(SUM(KP4,KT4)&gt;0,SUM(KP4,KT4),"")</f>
        <v>15.65</v>
      </c>
      <c r="LG4" s="12">
        <f t="shared" ref="LG4" si="73">IF(SUM(KO4:KP4,KR4:KT4,KV4)-KQ4-KU4&gt;0,SUM(KO4:KP4,KR4:KT4,KV4)-KQ4-KU4,"")</f>
        <v>70.5</v>
      </c>
      <c r="LH4" s="12">
        <f t="shared" ref="LH4" si="74">IF(SUM(KW4:KX4,KZ4:LB4,LD4)-SUM(KY4,LC4)&gt;0,SUM(KW4:KX4,KZ4:LB4,LD4)-SUM(KY4,LC4),"")</f>
        <v>73.699999999999989</v>
      </c>
      <c r="LI4" s="12">
        <f t="shared" ref="LI4" si="75">IF(SUM(LG4,LH4)&gt;0,SUM(LG4,LH4),"")</f>
        <v>144.19999999999999</v>
      </c>
    </row>
    <row r="5" spans="1:321" x14ac:dyDescent="0.2">
      <c r="A5" s="6">
        <f t="shared" si="0"/>
        <v>2</v>
      </c>
      <c r="B5" s="7" t="s">
        <v>198</v>
      </c>
      <c r="C5" s="8" t="s">
        <v>5</v>
      </c>
      <c r="D5" s="29">
        <v>2001</v>
      </c>
      <c r="E5" s="16">
        <f t="shared" si="1"/>
        <v>133.80000000000001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Worlds Team</v>
      </c>
      <c r="J5" s="15">
        <f t="shared" si="6"/>
        <v>66.3</v>
      </c>
      <c r="K5" s="15" t="str">
        <f t="shared" si="7"/>
        <v>2019 Nationals</v>
      </c>
      <c r="L5" s="15">
        <f t="shared" si="8"/>
        <v>67.5</v>
      </c>
      <c r="M5" s="15" t="str">
        <f t="shared" si="9"/>
        <v>2019 Nationals</v>
      </c>
      <c r="N5" s="15" t="str">
        <f t="shared" si="10"/>
        <v/>
      </c>
      <c r="O5" s="27" t="str">
        <f t="shared" si="11"/>
        <v/>
      </c>
      <c r="P5" s="15" t="str">
        <f t="shared" si="12"/>
        <v/>
      </c>
      <c r="Q5" s="47">
        <v>23.5</v>
      </c>
      <c r="R5" s="47">
        <v>5.4</v>
      </c>
      <c r="S5" s="47">
        <v>0</v>
      </c>
      <c r="T5" s="47">
        <v>0</v>
      </c>
      <c r="U5" s="47">
        <v>27.1</v>
      </c>
      <c r="V5" s="47">
        <v>6.5</v>
      </c>
      <c r="W5" s="47">
        <v>0</v>
      </c>
      <c r="X5" s="47">
        <v>1</v>
      </c>
      <c r="Y5" s="47">
        <v>24</v>
      </c>
      <c r="Z5" s="47">
        <v>3.5</v>
      </c>
      <c r="AA5" s="47">
        <v>3</v>
      </c>
      <c r="AB5" s="47">
        <v>0</v>
      </c>
      <c r="AC5" s="47">
        <v>27.5</v>
      </c>
      <c r="AD5" s="47">
        <v>6.5</v>
      </c>
      <c r="AE5" s="47">
        <v>0</v>
      </c>
      <c r="AF5" s="47">
        <v>1</v>
      </c>
      <c r="AG5" s="82"/>
      <c r="AH5" s="12">
        <f t="shared" si="13"/>
        <v>11.9</v>
      </c>
      <c r="AI5" s="12">
        <f t="shared" si="14"/>
        <v>63.5</v>
      </c>
      <c r="AJ5" s="12">
        <f t="shared" si="15"/>
        <v>59.5</v>
      </c>
      <c r="AK5" s="12">
        <f t="shared" si="16"/>
        <v>123</v>
      </c>
      <c r="AL5" s="40">
        <v>25.9</v>
      </c>
      <c r="AM5" s="40">
        <v>5.7</v>
      </c>
      <c r="AN5" s="40">
        <v>0.3</v>
      </c>
      <c r="AO5" s="40">
        <v>1</v>
      </c>
      <c r="AP5" s="40">
        <v>27.9</v>
      </c>
      <c r="AQ5" s="40">
        <v>6.1</v>
      </c>
      <c r="AR5" s="40">
        <v>0</v>
      </c>
      <c r="AS5" s="40">
        <v>0</v>
      </c>
      <c r="AT5" s="40">
        <v>26.1</v>
      </c>
      <c r="AU5" s="40">
        <v>7.3</v>
      </c>
      <c r="AV5" s="40">
        <v>0</v>
      </c>
      <c r="AW5" s="40">
        <v>1</v>
      </c>
      <c r="AX5" s="40">
        <v>27</v>
      </c>
      <c r="AY5" s="40">
        <v>6.1</v>
      </c>
      <c r="AZ5" s="40">
        <v>0</v>
      </c>
      <c r="BA5" s="40">
        <v>0</v>
      </c>
      <c r="BB5" s="83"/>
      <c r="BC5" s="15">
        <f t="shared" si="17"/>
        <v>11.8</v>
      </c>
      <c r="BD5" s="15">
        <f t="shared" si="18"/>
        <v>66.3</v>
      </c>
      <c r="BE5" s="15">
        <f t="shared" si="19"/>
        <v>67.5</v>
      </c>
      <c r="BF5" s="15">
        <f t="shared" si="20"/>
        <v>133.80000000000001</v>
      </c>
      <c r="BG5" s="26" t="str">
        <f t="shared" si="21"/>
        <v/>
      </c>
      <c r="BH5" s="26" t="str">
        <f t="shared" si="22"/>
        <v/>
      </c>
      <c r="BI5" s="39"/>
      <c r="BJ5" s="39"/>
      <c r="BK5" s="39"/>
      <c r="BL5" s="39"/>
      <c r="BM5" s="39"/>
      <c r="BN5" s="39"/>
      <c r="BO5" s="39"/>
      <c r="BP5" s="39"/>
      <c r="BQ5" s="39"/>
      <c r="BR5" s="39"/>
      <c r="BS5" s="39"/>
      <c r="BT5" s="39"/>
      <c r="BU5" s="39"/>
      <c r="BV5" s="39"/>
      <c r="BW5" s="39"/>
      <c r="BX5" s="39"/>
      <c r="BY5" s="12" t="str">
        <f t="shared" si="23"/>
        <v/>
      </c>
      <c r="BZ5" s="12" t="str">
        <f t="shared" si="24"/>
        <v/>
      </c>
      <c r="CA5" s="12" t="str">
        <f t="shared" si="25"/>
        <v/>
      </c>
      <c r="CB5" s="12" t="str">
        <f t="shared" si="26"/>
        <v/>
      </c>
      <c r="CC5" s="40">
        <v>25.7</v>
      </c>
      <c r="CD5" s="40">
        <v>7.7</v>
      </c>
      <c r="CE5" s="40">
        <v>0</v>
      </c>
      <c r="CF5" s="40">
        <v>0</v>
      </c>
      <c r="CG5" s="40">
        <v>25.4</v>
      </c>
      <c r="CH5" s="40">
        <v>6.1</v>
      </c>
      <c r="CI5" s="40">
        <v>0</v>
      </c>
      <c r="CJ5" s="40">
        <v>0</v>
      </c>
      <c r="CK5" s="40"/>
      <c r="CL5" s="40"/>
      <c r="CM5" s="40"/>
      <c r="CN5" s="40"/>
      <c r="CO5" s="40"/>
      <c r="CP5" s="40"/>
      <c r="CQ5" s="40"/>
      <c r="CR5" s="40"/>
      <c r="CS5" s="15">
        <f t="shared" si="27"/>
        <v>13.8</v>
      </c>
      <c r="CT5" s="15">
        <f t="shared" si="28"/>
        <v>64.899999999999991</v>
      </c>
      <c r="CU5" s="15" t="str">
        <f t="shared" si="29"/>
        <v/>
      </c>
      <c r="CV5" s="15">
        <f t="shared" si="30"/>
        <v>64.899999999999991</v>
      </c>
      <c r="CW5" s="39"/>
      <c r="CX5" s="39"/>
      <c r="CY5" s="39"/>
      <c r="CZ5" s="39"/>
      <c r="DA5" s="39"/>
      <c r="DB5" s="39"/>
      <c r="DC5" s="39"/>
      <c r="DD5" s="39"/>
      <c r="DE5" s="39"/>
      <c r="DF5" s="39"/>
      <c r="DG5" s="39"/>
      <c r="DH5" s="39"/>
      <c r="DI5" s="39"/>
      <c r="DJ5" s="39"/>
      <c r="DK5" s="39"/>
      <c r="DL5" s="39"/>
      <c r="DM5" s="12" t="str">
        <f t="shared" si="31"/>
        <v/>
      </c>
      <c r="DN5" s="12" t="str">
        <f t="shared" si="32"/>
        <v/>
      </c>
      <c r="DO5" s="12" t="str">
        <f t="shared" si="33"/>
        <v/>
      </c>
      <c r="DP5" s="12" t="str">
        <f t="shared" si="34"/>
        <v/>
      </c>
      <c r="DQ5" s="40"/>
      <c r="DR5" s="40"/>
      <c r="DS5" s="40"/>
      <c r="DT5" s="40"/>
      <c r="DU5" s="40"/>
      <c r="DV5" s="40"/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15" t="str">
        <f t="shared" si="35"/>
        <v/>
      </c>
      <c r="EH5" s="15" t="str">
        <f t="shared" si="36"/>
        <v/>
      </c>
      <c r="EI5" s="15" t="str">
        <f t="shared" si="37"/>
        <v/>
      </c>
      <c r="EJ5" s="15" t="str">
        <f t="shared" si="38"/>
        <v/>
      </c>
      <c r="EK5" s="39"/>
      <c r="EL5" s="39"/>
      <c r="EM5" s="39"/>
      <c r="EN5" s="39"/>
      <c r="EO5" s="39"/>
      <c r="EP5" s="39"/>
      <c r="EQ5" s="39"/>
      <c r="ER5" s="39"/>
      <c r="ES5" s="39"/>
      <c r="ET5" s="39"/>
      <c r="EU5" s="39"/>
      <c r="EV5" s="39"/>
      <c r="EW5" s="39"/>
      <c r="EX5" s="39"/>
      <c r="EY5" s="39"/>
      <c r="EZ5" s="39"/>
      <c r="FA5" s="12" t="str">
        <f t="shared" si="39"/>
        <v/>
      </c>
      <c r="FB5" s="12" t="str">
        <f t="shared" si="40"/>
        <v/>
      </c>
      <c r="FC5" s="12" t="str">
        <f t="shared" si="41"/>
        <v/>
      </c>
      <c r="FD5" s="12" t="str">
        <f t="shared" si="42"/>
        <v/>
      </c>
      <c r="FE5" s="40"/>
      <c r="FF5" s="40"/>
      <c r="FG5" s="40"/>
      <c r="FH5" s="40"/>
      <c r="FI5" s="40"/>
      <c r="FJ5" s="40"/>
      <c r="FK5" s="40"/>
      <c r="FL5" s="40"/>
      <c r="FM5" s="40"/>
      <c r="FN5" s="40"/>
      <c r="FO5" s="40"/>
      <c r="FP5" s="40"/>
      <c r="FQ5" s="40"/>
      <c r="FR5" s="40"/>
      <c r="FS5" s="40"/>
      <c r="FT5" s="40"/>
      <c r="FU5" s="15" t="str">
        <f t="shared" si="43"/>
        <v/>
      </c>
      <c r="FV5" s="15" t="str">
        <f t="shared" si="44"/>
        <v/>
      </c>
      <c r="FW5" s="15" t="str">
        <f t="shared" si="45"/>
        <v/>
      </c>
      <c r="FX5" s="15" t="str">
        <f t="shared" si="46"/>
        <v/>
      </c>
      <c r="FY5" s="39"/>
      <c r="FZ5" s="39"/>
      <c r="GA5" s="39"/>
      <c r="GB5" s="39"/>
      <c r="GC5" s="39"/>
      <c r="GD5" s="39"/>
      <c r="GE5" s="39"/>
      <c r="GF5" s="39"/>
      <c r="GG5" s="39"/>
      <c r="GH5" s="39"/>
      <c r="GI5" s="39"/>
      <c r="GJ5" s="39"/>
      <c r="GK5" s="39"/>
      <c r="GL5" s="39"/>
      <c r="GM5" s="39"/>
      <c r="GN5" s="39"/>
      <c r="GO5" s="12" t="str">
        <f t="shared" si="47"/>
        <v/>
      </c>
      <c r="GP5" s="12" t="str">
        <f t="shared" si="48"/>
        <v/>
      </c>
      <c r="GQ5" s="12" t="str">
        <f t="shared" si="49"/>
        <v/>
      </c>
      <c r="GR5" s="12" t="str">
        <f t="shared" si="50"/>
        <v/>
      </c>
      <c r="GS5" s="40"/>
      <c r="GT5" s="40"/>
      <c r="GU5" s="40"/>
      <c r="GV5" s="40"/>
      <c r="GW5" s="40"/>
      <c r="GX5" s="40"/>
      <c r="GY5" s="40"/>
      <c r="GZ5" s="40"/>
      <c r="HA5" s="40"/>
      <c r="HB5" s="40"/>
      <c r="HC5" s="40"/>
      <c r="HD5" s="40"/>
      <c r="HE5" s="40"/>
      <c r="HF5" s="40"/>
      <c r="HG5" s="40"/>
      <c r="HH5" s="40"/>
      <c r="HI5" s="15" t="str">
        <f t="shared" si="51"/>
        <v/>
      </c>
      <c r="HJ5" s="15" t="str">
        <f t="shared" si="52"/>
        <v/>
      </c>
      <c r="HK5" s="15" t="str">
        <f t="shared" si="53"/>
        <v/>
      </c>
      <c r="HL5" s="15" t="str">
        <f t="shared" si="54"/>
        <v/>
      </c>
      <c r="HM5" s="39"/>
      <c r="HN5" s="39"/>
      <c r="HO5" s="39"/>
      <c r="HP5" s="39"/>
      <c r="HQ5" s="39"/>
      <c r="HR5" s="39"/>
      <c r="HS5" s="39"/>
      <c r="HT5" s="39"/>
      <c r="HU5" s="39"/>
      <c r="HV5" s="39"/>
      <c r="HW5" s="39"/>
      <c r="HX5" s="39"/>
      <c r="HY5" s="39"/>
      <c r="HZ5" s="39"/>
      <c r="IA5" s="39"/>
      <c r="IB5" s="39"/>
      <c r="IC5" s="12" t="str">
        <f t="shared" si="55"/>
        <v/>
      </c>
      <c r="ID5" s="12" t="str">
        <f t="shared" si="56"/>
        <v/>
      </c>
      <c r="IE5" s="12" t="str">
        <f t="shared" si="57"/>
        <v/>
      </c>
      <c r="IF5" s="12" t="str">
        <f t="shared" si="58"/>
        <v/>
      </c>
      <c r="IG5" s="40"/>
      <c r="IH5" s="40"/>
      <c r="II5" s="40"/>
      <c r="IJ5" s="40"/>
      <c r="IK5" s="40"/>
      <c r="IL5" s="40"/>
      <c r="IM5" s="40"/>
      <c r="IN5" s="40"/>
      <c r="IO5" s="40"/>
      <c r="IP5" s="40"/>
      <c r="IQ5" s="40"/>
      <c r="IR5" s="40"/>
      <c r="IS5" s="40"/>
      <c r="IT5" s="40"/>
      <c r="IU5" s="40"/>
      <c r="IV5" s="40"/>
      <c r="IW5" s="15" t="str">
        <f t="shared" si="59"/>
        <v/>
      </c>
      <c r="IX5" s="15" t="str">
        <f t="shared" si="60"/>
        <v/>
      </c>
      <c r="IY5" s="15" t="str">
        <f t="shared" si="61"/>
        <v/>
      </c>
      <c r="IZ5" s="15" t="str">
        <f t="shared" si="62"/>
        <v/>
      </c>
      <c r="JA5" s="39"/>
      <c r="JB5" s="39"/>
      <c r="JC5" s="39"/>
      <c r="JD5" s="39"/>
      <c r="JE5" s="39"/>
      <c r="JF5" s="39"/>
      <c r="JG5" s="39"/>
      <c r="JH5" s="39"/>
      <c r="JI5" s="39"/>
      <c r="JJ5" s="39"/>
      <c r="JK5" s="39"/>
      <c r="JL5" s="39"/>
      <c r="JM5" s="39"/>
      <c r="JN5" s="39"/>
      <c r="JO5" s="39"/>
      <c r="JP5" s="39"/>
      <c r="JQ5" s="12" t="str">
        <f t="shared" si="63"/>
        <v/>
      </c>
      <c r="JR5" s="12" t="str">
        <f t="shared" si="64"/>
        <v/>
      </c>
      <c r="JS5" s="12" t="str">
        <f t="shared" si="65"/>
        <v/>
      </c>
      <c r="JT5" s="12" t="str">
        <f t="shared" si="66"/>
        <v/>
      </c>
      <c r="JU5" s="40"/>
      <c r="JV5" s="40"/>
      <c r="JW5" s="40"/>
      <c r="JX5" s="40"/>
      <c r="JY5" s="40"/>
      <c r="JZ5" s="40"/>
      <c r="KA5" s="40"/>
      <c r="KB5" s="40"/>
      <c r="KC5" s="40"/>
      <c r="KD5" s="40"/>
      <c r="KE5" s="40"/>
      <c r="KF5" s="40"/>
      <c r="KG5" s="40"/>
      <c r="KH5" s="40"/>
      <c r="KI5" s="40"/>
      <c r="KJ5" s="40"/>
      <c r="KK5" s="15" t="str">
        <f t="shared" si="67"/>
        <v/>
      </c>
      <c r="KL5" s="15" t="str">
        <f t="shared" si="68"/>
        <v/>
      </c>
      <c r="KM5" s="15" t="str">
        <f t="shared" si="69"/>
        <v/>
      </c>
      <c r="KN5" s="15" t="str">
        <f t="shared" si="70"/>
        <v/>
      </c>
      <c r="KO5" s="71">
        <f t="shared" ref="KO5:KO8" si="76">IF($BB5="P",AL5,(Q5+AL5)/2)</f>
        <v>24.7</v>
      </c>
      <c r="KP5" s="71">
        <f t="shared" si="71"/>
        <v>5.5500000000000007</v>
      </c>
      <c r="KQ5" s="71">
        <f t="shared" si="71"/>
        <v>0.15</v>
      </c>
      <c r="KR5" s="71">
        <f t="shared" si="71"/>
        <v>0.5</v>
      </c>
      <c r="KS5" s="71">
        <f t="shared" si="71"/>
        <v>27.5</v>
      </c>
      <c r="KT5" s="71">
        <f t="shared" si="71"/>
        <v>6.3</v>
      </c>
      <c r="KU5" s="71">
        <f t="shared" si="71"/>
        <v>0</v>
      </c>
      <c r="KV5" s="71">
        <f t="shared" si="71"/>
        <v>0.5</v>
      </c>
      <c r="KW5" s="71">
        <f t="shared" si="71"/>
        <v>25.05</v>
      </c>
      <c r="KX5" s="71">
        <f t="shared" si="71"/>
        <v>5.4</v>
      </c>
      <c r="KY5" s="71">
        <f t="shared" si="71"/>
        <v>1.5</v>
      </c>
      <c r="KZ5" s="71">
        <f t="shared" si="71"/>
        <v>0.5</v>
      </c>
      <c r="LA5" s="71">
        <f t="shared" si="71"/>
        <v>27.25</v>
      </c>
      <c r="LB5" s="71">
        <f t="shared" si="71"/>
        <v>6.3</v>
      </c>
      <c r="LC5" s="71">
        <f t="shared" si="71"/>
        <v>0</v>
      </c>
      <c r="LD5" s="71">
        <f t="shared" si="71"/>
        <v>0.5</v>
      </c>
      <c r="LE5" s="82" t="s">
        <v>100</v>
      </c>
      <c r="LF5" s="12">
        <f t="shared" ref="LF5:LF8" si="77">IF(SUM(KP5,KT5)&gt;0,SUM(KP5,KT5),"")</f>
        <v>11.850000000000001</v>
      </c>
      <c r="LG5" s="12">
        <f t="shared" ref="LG5:LG8" si="78">IF(SUM(KO5:KP5,KR5:KT5,KV5)-KQ5-KU5&gt;0,SUM(KO5:KP5,KR5:KT5,KV5)-KQ5-KU5,"")</f>
        <v>64.899999999999991</v>
      </c>
      <c r="LH5" s="12">
        <f t="shared" ref="LH5:LH8" si="79">IF(SUM(KW5:KX5,KZ5:LB5,LD5)-SUM(KY5,LC5)&gt;0,SUM(KW5:KX5,KZ5:LB5,LD5)-SUM(KY5,LC5),"")</f>
        <v>63.5</v>
      </c>
      <c r="LI5" s="12">
        <f t="shared" ref="LI5:LI8" si="80">IF(SUM(LG5,LH5)&gt;0,SUM(LG5,LH5),"")</f>
        <v>128.39999999999998</v>
      </c>
    </row>
    <row r="6" spans="1:321" x14ac:dyDescent="0.2">
      <c r="A6" s="6">
        <f t="shared" si="0"/>
        <v>3</v>
      </c>
      <c r="B6" s="9" t="s">
        <v>52</v>
      </c>
      <c r="C6" s="5" t="s">
        <v>5</v>
      </c>
      <c r="D6" s="29">
        <v>1998</v>
      </c>
      <c r="E6" s="16">
        <f t="shared" si="1"/>
        <v>124.65</v>
      </c>
      <c r="F6" s="4" t="str">
        <f t="shared" si="2"/>
        <v>P</v>
      </c>
      <c r="G6" s="4" t="str">
        <f t="shared" si="3"/>
        <v>P</v>
      </c>
      <c r="H6" s="4" t="str">
        <f t="shared" si="4"/>
        <v>P</v>
      </c>
      <c r="I6" t="str">
        <f t="shared" si="5"/>
        <v>Worlds Team</v>
      </c>
      <c r="J6" s="15">
        <f t="shared" si="6"/>
        <v>60.699999999999996</v>
      </c>
      <c r="K6" s="15" t="str">
        <f t="shared" si="7"/>
        <v>2019 Nationals</v>
      </c>
      <c r="L6" s="15">
        <f t="shared" si="8"/>
        <v>58.75</v>
      </c>
      <c r="M6" s="15" t="str">
        <f t="shared" si="9"/>
        <v>2019 Nationals</v>
      </c>
      <c r="N6" s="15">
        <f t="shared" si="10"/>
        <v>5.2000000000000099</v>
      </c>
      <c r="O6" s="27" t="str">
        <f t="shared" si="11"/>
        <v>(Prelim)</v>
      </c>
      <c r="P6" s="15" t="str">
        <f t="shared" si="12"/>
        <v>2018 World Championships (Nov 8)</v>
      </c>
      <c r="Q6" s="71">
        <v>24.75</v>
      </c>
      <c r="R6" s="71">
        <v>5.8000000000000007</v>
      </c>
      <c r="S6" s="71">
        <v>0</v>
      </c>
      <c r="T6" s="71">
        <v>1</v>
      </c>
      <c r="U6" s="71">
        <v>25.5</v>
      </c>
      <c r="V6" s="71">
        <v>5.3000000000000007</v>
      </c>
      <c r="W6" s="71">
        <v>1.65</v>
      </c>
      <c r="X6" s="71">
        <v>0</v>
      </c>
      <c r="Y6" s="71">
        <v>25.799999999999997</v>
      </c>
      <c r="Z6" s="71">
        <v>4.3</v>
      </c>
      <c r="AA6" s="71">
        <v>0</v>
      </c>
      <c r="AB6" s="71">
        <v>0.5</v>
      </c>
      <c r="AC6" s="71">
        <v>23.45</v>
      </c>
      <c r="AD6" s="71">
        <v>4.2</v>
      </c>
      <c r="AE6" s="71">
        <v>0</v>
      </c>
      <c r="AF6" s="71">
        <v>0.5</v>
      </c>
      <c r="AG6" s="82" t="s">
        <v>100</v>
      </c>
      <c r="AH6" s="12">
        <f t="shared" si="13"/>
        <v>11.100000000000001</v>
      </c>
      <c r="AI6" s="12">
        <f t="shared" si="14"/>
        <v>60.699999999999996</v>
      </c>
      <c r="AJ6" s="12">
        <f t="shared" si="15"/>
        <v>58.75</v>
      </c>
      <c r="AK6" s="12">
        <f t="shared" si="16"/>
        <v>119.44999999999999</v>
      </c>
      <c r="AL6" s="40">
        <v>24.75</v>
      </c>
      <c r="AM6" s="40">
        <v>5.8000000000000007</v>
      </c>
      <c r="AN6" s="40">
        <v>0</v>
      </c>
      <c r="AO6" s="40">
        <v>1</v>
      </c>
      <c r="AP6" s="40">
        <v>25.5</v>
      </c>
      <c r="AQ6" s="40">
        <v>5.3000000000000007</v>
      </c>
      <c r="AR6" s="40">
        <v>1.65</v>
      </c>
      <c r="AS6" s="40">
        <v>0</v>
      </c>
      <c r="AT6" s="40">
        <v>25.799999999999997</v>
      </c>
      <c r="AU6" s="40">
        <v>4.3</v>
      </c>
      <c r="AV6" s="40">
        <v>0</v>
      </c>
      <c r="AW6" s="40">
        <v>0.5</v>
      </c>
      <c r="AX6" s="40">
        <v>23.45</v>
      </c>
      <c r="AY6" s="40">
        <v>4.2</v>
      </c>
      <c r="AZ6" s="40">
        <v>0</v>
      </c>
      <c r="BA6" s="40">
        <v>0.5</v>
      </c>
      <c r="BB6" s="83" t="s">
        <v>100</v>
      </c>
      <c r="BC6" s="15">
        <f t="shared" si="17"/>
        <v>11.100000000000001</v>
      </c>
      <c r="BD6" s="15">
        <f t="shared" si="18"/>
        <v>60.699999999999996</v>
      </c>
      <c r="BE6" s="15">
        <f t="shared" si="19"/>
        <v>58.75</v>
      </c>
      <c r="BF6" s="15">
        <f t="shared" si="20"/>
        <v>119.44999999999999</v>
      </c>
      <c r="BG6" s="26">
        <f t="shared" si="21"/>
        <v>5.2000000000000099</v>
      </c>
      <c r="BH6" s="26" t="str">
        <f t="shared" si="22"/>
        <v/>
      </c>
      <c r="BI6" s="39">
        <v>25.9</v>
      </c>
      <c r="BJ6" s="39">
        <v>7.3</v>
      </c>
      <c r="BK6" s="39">
        <v>0</v>
      </c>
      <c r="BL6" s="39">
        <v>0</v>
      </c>
      <c r="BM6" s="39">
        <v>25.8</v>
      </c>
      <c r="BN6" s="39">
        <v>6.9</v>
      </c>
      <c r="BO6" s="39">
        <v>0</v>
      </c>
      <c r="BP6" s="39">
        <v>0</v>
      </c>
      <c r="BQ6" s="39"/>
      <c r="BR6" s="39"/>
      <c r="BS6" s="39"/>
      <c r="BT6" s="39"/>
      <c r="BU6" s="39"/>
      <c r="BV6" s="39"/>
      <c r="BW6" s="39"/>
      <c r="BX6" s="39"/>
      <c r="BY6" s="12">
        <f t="shared" si="23"/>
        <v>14.2</v>
      </c>
      <c r="BZ6" s="12">
        <f t="shared" si="24"/>
        <v>65.900000000000006</v>
      </c>
      <c r="CA6" s="12" t="str">
        <f t="shared" si="25"/>
        <v/>
      </c>
      <c r="CB6" s="12">
        <f t="shared" si="26"/>
        <v>65.900000000000006</v>
      </c>
      <c r="CC6" s="40"/>
      <c r="CD6" s="40"/>
      <c r="CE6" s="40"/>
      <c r="CF6" s="40"/>
      <c r="CG6" s="40"/>
      <c r="CH6" s="40"/>
      <c r="CI6" s="40"/>
      <c r="CJ6" s="40"/>
      <c r="CK6" s="40"/>
      <c r="CL6" s="40"/>
      <c r="CM6" s="40"/>
      <c r="CN6" s="40"/>
      <c r="CO6" s="40"/>
      <c r="CP6" s="40"/>
      <c r="CQ6" s="40"/>
      <c r="CR6" s="40"/>
      <c r="CS6" s="15" t="str">
        <f t="shared" si="27"/>
        <v/>
      </c>
      <c r="CT6" s="15" t="str">
        <f t="shared" si="28"/>
        <v/>
      </c>
      <c r="CU6" s="15" t="str">
        <f t="shared" si="29"/>
        <v/>
      </c>
      <c r="CV6" s="15" t="str">
        <f t="shared" si="30"/>
        <v/>
      </c>
      <c r="CW6" s="39"/>
      <c r="CX6" s="39"/>
      <c r="CY6" s="39"/>
      <c r="CZ6" s="39"/>
      <c r="DA6" s="39"/>
      <c r="DB6" s="39"/>
      <c r="DC6" s="39"/>
      <c r="DD6" s="39"/>
      <c r="DE6" s="39"/>
      <c r="DF6" s="39"/>
      <c r="DG6" s="39"/>
      <c r="DH6" s="39"/>
      <c r="DI6" s="39"/>
      <c r="DJ6" s="39"/>
      <c r="DK6" s="39"/>
      <c r="DL6" s="39"/>
      <c r="DM6" s="12" t="str">
        <f t="shared" si="31"/>
        <v/>
      </c>
      <c r="DN6" s="12" t="str">
        <f t="shared" si="32"/>
        <v/>
      </c>
      <c r="DO6" s="12" t="str">
        <f t="shared" si="33"/>
        <v/>
      </c>
      <c r="DP6" s="12" t="str">
        <f t="shared" si="34"/>
        <v/>
      </c>
      <c r="DQ6" s="40"/>
      <c r="DR6" s="40"/>
      <c r="DS6" s="40"/>
      <c r="DT6" s="40"/>
      <c r="DU6" s="40"/>
      <c r="DV6" s="40"/>
      <c r="DW6" s="40"/>
      <c r="DX6" s="40"/>
      <c r="DY6" s="40"/>
      <c r="DZ6" s="40"/>
      <c r="EA6" s="40"/>
      <c r="EB6" s="40"/>
      <c r="EC6" s="40"/>
      <c r="ED6" s="40"/>
      <c r="EE6" s="40"/>
      <c r="EF6" s="40"/>
      <c r="EG6" s="15" t="str">
        <f t="shared" si="35"/>
        <v/>
      </c>
      <c r="EH6" s="15" t="str">
        <f t="shared" si="36"/>
        <v/>
      </c>
      <c r="EI6" s="15" t="str">
        <f t="shared" si="37"/>
        <v/>
      </c>
      <c r="EJ6" s="15" t="str">
        <f t="shared" si="38"/>
        <v/>
      </c>
      <c r="EK6" s="39"/>
      <c r="EL6" s="39"/>
      <c r="EM6" s="39"/>
      <c r="EN6" s="39"/>
      <c r="EO6" s="39"/>
      <c r="EP6" s="39"/>
      <c r="EQ6" s="39"/>
      <c r="ER6" s="39"/>
      <c r="ES6" s="39"/>
      <c r="ET6" s="39"/>
      <c r="EU6" s="39"/>
      <c r="EV6" s="39"/>
      <c r="EW6" s="39"/>
      <c r="EX6" s="39"/>
      <c r="EY6" s="39"/>
      <c r="EZ6" s="39"/>
      <c r="FA6" s="12" t="str">
        <f t="shared" si="39"/>
        <v/>
      </c>
      <c r="FB6" s="12" t="str">
        <f t="shared" si="40"/>
        <v/>
      </c>
      <c r="FC6" s="12" t="str">
        <f t="shared" si="41"/>
        <v/>
      </c>
      <c r="FD6" s="12" t="str">
        <f t="shared" si="42"/>
        <v/>
      </c>
      <c r="FE6" s="40"/>
      <c r="FF6" s="40"/>
      <c r="FG6" s="40"/>
      <c r="FH6" s="40"/>
      <c r="FI6" s="40"/>
      <c r="FJ6" s="40"/>
      <c r="FK6" s="40"/>
      <c r="FL6" s="40"/>
      <c r="FM6" s="40"/>
      <c r="FN6" s="40"/>
      <c r="FO6" s="40"/>
      <c r="FP6" s="40"/>
      <c r="FQ6" s="40"/>
      <c r="FR6" s="40"/>
      <c r="FS6" s="40"/>
      <c r="FT6" s="40"/>
      <c r="FU6" s="15" t="str">
        <f t="shared" si="43"/>
        <v/>
      </c>
      <c r="FV6" s="15" t="str">
        <f t="shared" si="44"/>
        <v/>
      </c>
      <c r="FW6" s="15" t="str">
        <f t="shared" si="45"/>
        <v/>
      </c>
      <c r="FX6" s="15" t="str">
        <f t="shared" si="46"/>
        <v/>
      </c>
      <c r="FY6" s="39"/>
      <c r="FZ6" s="39"/>
      <c r="GA6" s="39"/>
      <c r="GB6" s="39"/>
      <c r="GC6" s="39"/>
      <c r="GD6" s="39"/>
      <c r="GE6" s="39"/>
      <c r="GF6" s="39"/>
      <c r="GG6" s="39"/>
      <c r="GH6" s="39"/>
      <c r="GI6" s="39"/>
      <c r="GJ6" s="39"/>
      <c r="GK6" s="39"/>
      <c r="GL6" s="39"/>
      <c r="GM6" s="39"/>
      <c r="GN6" s="39"/>
      <c r="GO6" s="12" t="str">
        <f t="shared" si="47"/>
        <v/>
      </c>
      <c r="GP6" s="12" t="str">
        <f t="shared" si="48"/>
        <v/>
      </c>
      <c r="GQ6" s="12" t="str">
        <f t="shared" si="49"/>
        <v/>
      </c>
      <c r="GR6" s="12" t="str">
        <f t="shared" si="50"/>
        <v/>
      </c>
      <c r="GS6" s="40"/>
      <c r="GT6" s="40"/>
      <c r="GU6" s="40"/>
      <c r="GV6" s="40"/>
      <c r="GW6" s="40"/>
      <c r="GX6" s="40"/>
      <c r="GY6" s="40"/>
      <c r="GZ6" s="40"/>
      <c r="HA6" s="40"/>
      <c r="HB6" s="40"/>
      <c r="HC6" s="40"/>
      <c r="HD6" s="40"/>
      <c r="HE6" s="40"/>
      <c r="HF6" s="40"/>
      <c r="HG6" s="40"/>
      <c r="HH6" s="40"/>
      <c r="HI6" s="15" t="str">
        <f t="shared" si="51"/>
        <v/>
      </c>
      <c r="HJ6" s="15" t="str">
        <f t="shared" si="52"/>
        <v/>
      </c>
      <c r="HK6" s="15" t="str">
        <f t="shared" si="53"/>
        <v/>
      </c>
      <c r="HL6" s="15" t="str">
        <f t="shared" si="54"/>
        <v/>
      </c>
      <c r="HM6" s="39"/>
      <c r="HN6" s="39"/>
      <c r="HO6" s="39"/>
      <c r="HP6" s="39"/>
      <c r="HQ6" s="39"/>
      <c r="HR6" s="39"/>
      <c r="HS6" s="39"/>
      <c r="HT6" s="39"/>
      <c r="HU6" s="39"/>
      <c r="HV6" s="39"/>
      <c r="HW6" s="39"/>
      <c r="HX6" s="39"/>
      <c r="HY6" s="39"/>
      <c r="HZ6" s="39"/>
      <c r="IA6" s="39"/>
      <c r="IB6" s="39"/>
      <c r="IC6" s="12" t="str">
        <f t="shared" si="55"/>
        <v/>
      </c>
      <c r="ID6" s="12" t="str">
        <f t="shared" si="56"/>
        <v/>
      </c>
      <c r="IE6" s="12" t="str">
        <f t="shared" si="57"/>
        <v/>
      </c>
      <c r="IF6" s="12" t="str">
        <f t="shared" si="58"/>
        <v/>
      </c>
      <c r="IG6" s="40"/>
      <c r="IH6" s="40"/>
      <c r="II6" s="40"/>
      <c r="IJ6" s="40"/>
      <c r="IK6" s="40"/>
      <c r="IL6" s="40"/>
      <c r="IM6" s="40"/>
      <c r="IN6" s="40"/>
      <c r="IO6" s="40"/>
      <c r="IP6" s="40"/>
      <c r="IQ6" s="40"/>
      <c r="IR6" s="40"/>
      <c r="IS6" s="40"/>
      <c r="IT6" s="40"/>
      <c r="IU6" s="40"/>
      <c r="IV6" s="40"/>
      <c r="IW6" s="15" t="str">
        <f t="shared" si="59"/>
        <v/>
      </c>
      <c r="IX6" s="15" t="str">
        <f t="shared" si="60"/>
        <v/>
      </c>
      <c r="IY6" s="15" t="str">
        <f t="shared" si="61"/>
        <v/>
      </c>
      <c r="IZ6" s="15" t="str">
        <f t="shared" si="62"/>
        <v/>
      </c>
      <c r="JA6" s="39"/>
      <c r="JB6" s="39"/>
      <c r="JC6" s="39"/>
      <c r="JD6" s="39"/>
      <c r="JE6" s="39"/>
      <c r="JF6" s="39"/>
      <c r="JG6" s="39"/>
      <c r="JH6" s="39"/>
      <c r="JI6" s="39"/>
      <c r="JJ6" s="39"/>
      <c r="JK6" s="39"/>
      <c r="JL6" s="39"/>
      <c r="JM6" s="39"/>
      <c r="JN6" s="39"/>
      <c r="JO6" s="39"/>
      <c r="JP6" s="39"/>
      <c r="JQ6" s="12" t="str">
        <f t="shared" si="63"/>
        <v/>
      </c>
      <c r="JR6" s="12" t="str">
        <f t="shared" si="64"/>
        <v/>
      </c>
      <c r="JS6" s="12" t="str">
        <f t="shared" si="65"/>
        <v/>
      </c>
      <c r="JT6" s="12" t="str">
        <f t="shared" si="66"/>
        <v/>
      </c>
      <c r="JU6" s="40"/>
      <c r="JV6" s="40"/>
      <c r="JW6" s="40"/>
      <c r="JX6" s="40"/>
      <c r="JY6" s="40"/>
      <c r="JZ6" s="40"/>
      <c r="KA6" s="40"/>
      <c r="KB6" s="40"/>
      <c r="KC6" s="40"/>
      <c r="KD6" s="40"/>
      <c r="KE6" s="40"/>
      <c r="KF6" s="40"/>
      <c r="KG6" s="40"/>
      <c r="KH6" s="40"/>
      <c r="KI6" s="40"/>
      <c r="KJ6" s="40"/>
      <c r="KK6" s="15" t="str">
        <f t="shared" si="67"/>
        <v/>
      </c>
      <c r="KL6" s="15" t="str">
        <f t="shared" si="68"/>
        <v/>
      </c>
      <c r="KM6" s="15" t="str">
        <f t="shared" si="69"/>
        <v/>
      </c>
      <c r="KN6" s="15" t="str">
        <f t="shared" si="70"/>
        <v/>
      </c>
      <c r="KO6" s="71">
        <f t="shared" si="76"/>
        <v>24.75</v>
      </c>
      <c r="KP6" s="71">
        <f t="shared" si="71"/>
        <v>5.8000000000000007</v>
      </c>
      <c r="KQ6" s="71">
        <f t="shared" si="71"/>
        <v>0</v>
      </c>
      <c r="KR6" s="71">
        <f t="shared" si="71"/>
        <v>1</v>
      </c>
      <c r="KS6" s="71">
        <f t="shared" si="71"/>
        <v>25.5</v>
      </c>
      <c r="KT6" s="71">
        <f t="shared" si="71"/>
        <v>5.3000000000000007</v>
      </c>
      <c r="KU6" s="71">
        <f t="shared" si="71"/>
        <v>1.65</v>
      </c>
      <c r="KV6" s="71">
        <f t="shared" si="71"/>
        <v>0</v>
      </c>
      <c r="KW6" s="71">
        <f t="shared" si="71"/>
        <v>25.799999999999997</v>
      </c>
      <c r="KX6" s="71">
        <f t="shared" si="71"/>
        <v>4.3</v>
      </c>
      <c r="KY6" s="71">
        <f t="shared" si="71"/>
        <v>0</v>
      </c>
      <c r="KZ6" s="71">
        <f t="shared" si="71"/>
        <v>0.5</v>
      </c>
      <c r="LA6" s="71">
        <f t="shared" si="71"/>
        <v>23.45</v>
      </c>
      <c r="LB6" s="71">
        <f t="shared" si="71"/>
        <v>4.2</v>
      </c>
      <c r="LC6" s="71">
        <f t="shared" si="71"/>
        <v>0</v>
      </c>
      <c r="LD6" s="71">
        <f t="shared" si="71"/>
        <v>0.5</v>
      </c>
      <c r="LE6" s="82" t="s">
        <v>100</v>
      </c>
      <c r="LF6" s="12">
        <f t="shared" si="77"/>
        <v>11.100000000000001</v>
      </c>
      <c r="LG6" s="12">
        <f t="shared" si="78"/>
        <v>60.699999999999996</v>
      </c>
      <c r="LH6" s="12">
        <f t="shared" si="79"/>
        <v>58.75</v>
      </c>
      <c r="LI6" s="12">
        <f t="shared" si="80"/>
        <v>119.44999999999999</v>
      </c>
    </row>
    <row r="7" spans="1:321" x14ac:dyDescent="0.2">
      <c r="A7" s="6">
        <f t="shared" si="0"/>
        <v>4</v>
      </c>
      <c r="B7" s="7" t="s">
        <v>56</v>
      </c>
      <c r="C7" s="8" t="s">
        <v>3</v>
      </c>
      <c r="D7" s="6">
        <v>1995</v>
      </c>
      <c r="E7" s="16">
        <f t="shared" si="1"/>
        <v>66.400000000000006</v>
      </c>
      <c r="F7" s="4" t="str">
        <f t="shared" si="2"/>
        <v>P</v>
      </c>
      <c r="G7" s="4" t="str">
        <f t="shared" si="3"/>
        <v>P</v>
      </c>
      <c r="H7" s="4" t="str">
        <f t="shared" si="4"/>
        <v>P</v>
      </c>
      <c r="I7" t="str">
        <f t="shared" si="5"/>
        <v>Worlds Team</v>
      </c>
      <c r="J7" s="15" t="str">
        <f t="shared" si="6"/>
        <v/>
      </c>
      <c r="K7" s="15" t="str">
        <f t="shared" si="7"/>
        <v/>
      </c>
      <c r="L7" s="15" t="str">
        <f t="shared" si="8"/>
        <v/>
      </c>
      <c r="M7" s="15" t="str">
        <f t="shared" si="9"/>
        <v/>
      </c>
      <c r="N7" s="15">
        <f t="shared" si="10"/>
        <v>66.400000000000006</v>
      </c>
      <c r="O7" s="27" t="str">
        <f t="shared" si="11"/>
        <v>(Prelim)</v>
      </c>
      <c r="P7" s="15" t="str">
        <f t="shared" si="12"/>
        <v>2018 World Championships (Nov 8)</v>
      </c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82"/>
      <c r="AH7" s="12" t="str">
        <f t="shared" si="13"/>
        <v/>
      </c>
      <c r="AI7" s="12" t="str">
        <f t="shared" si="14"/>
        <v/>
      </c>
      <c r="AJ7" s="12" t="str">
        <f t="shared" si="15"/>
        <v/>
      </c>
      <c r="AK7" s="12" t="str">
        <f t="shared" si="16"/>
        <v/>
      </c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83"/>
      <c r="BC7" s="15" t="str">
        <f t="shared" si="17"/>
        <v/>
      </c>
      <c r="BD7" s="15" t="str">
        <f t="shared" si="18"/>
        <v/>
      </c>
      <c r="BE7" s="15" t="str">
        <f t="shared" si="19"/>
        <v/>
      </c>
      <c r="BF7" s="15" t="str">
        <f t="shared" si="20"/>
        <v/>
      </c>
      <c r="BG7" s="26">
        <f t="shared" si="21"/>
        <v>66.400000000000006</v>
      </c>
      <c r="BH7" s="26" t="str">
        <f t="shared" si="22"/>
        <v/>
      </c>
      <c r="BI7" s="39">
        <v>26.7</v>
      </c>
      <c r="BJ7" s="39">
        <v>5.4</v>
      </c>
      <c r="BK7" s="39">
        <v>0</v>
      </c>
      <c r="BL7" s="39">
        <v>0</v>
      </c>
      <c r="BM7" s="39">
        <v>27</v>
      </c>
      <c r="BN7" s="39">
        <v>7.3</v>
      </c>
      <c r="BO7" s="39">
        <v>0</v>
      </c>
      <c r="BP7" s="39">
        <v>0</v>
      </c>
      <c r="BQ7" s="39"/>
      <c r="BR7" s="39"/>
      <c r="BS7" s="39"/>
      <c r="BT7" s="39"/>
      <c r="BU7" s="39"/>
      <c r="BV7" s="39"/>
      <c r="BW7" s="39"/>
      <c r="BX7" s="39"/>
      <c r="BY7" s="12">
        <f t="shared" si="23"/>
        <v>12.7</v>
      </c>
      <c r="BZ7" s="12">
        <f t="shared" si="24"/>
        <v>66.400000000000006</v>
      </c>
      <c r="CA7" s="12" t="str">
        <f t="shared" si="25"/>
        <v/>
      </c>
      <c r="CB7" s="12">
        <f t="shared" si="26"/>
        <v>66.400000000000006</v>
      </c>
      <c r="CC7" s="40"/>
      <c r="CD7" s="40"/>
      <c r="CE7" s="40"/>
      <c r="CF7" s="40"/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15" t="str">
        <f t="shared" si="27"/>
        <v/>
      </c>
      <c r="CT7" s="15" t="str">
        <f t="shared" si="28"/>
        <v/>
      </c>
      <c r="CU7" s="15" t="str">
        <f t="shared" si="29"/>
        <v/>
      </c>
      <c r="CV7" s="15" t="str">
        <f t="shared" si="30"/>
        <v/>
      </c>
      <c r="CW7" s="39"/>
      <c r="CX7" s="39"/>
      <c r="CY7" s="39"/>
      <c r="CZ7" s="39"/>
      <c r="DA7" s="39"/>
      <c r="DB7" s="39"/>
      <c r="DC7" s="39"/>
      <c r="DD7" s="39"/>
      <c r="DE7" s="39"/>
      <c r="DF7" s="39"/>
      <c r="DG7" s="39"/>
      <c r="DH7" s="39"/>
      <c r="DI7" s="39"/>
      <c r="DJ7" s="39"/>
      <c r="DK7" s="39"/>
      <c r="DL7" s="39"/>
      <c r="DM7" s="12" t="str">
        <f t="shared" si="31"/>
        <v/>
      </c>
      <c r="DN7" s="12" t="str">
        <f t="shared" si="32"/>
        <v/>
      </c>
      <c r="DO7" s="12" t="str">
        <f t="shared" si="33"/>
        <v/>
      </c>
      <c r="DP7" s="12" t="str">
        <f t="shared" si="34"/>
        <v/>
      </c>
      <c r="DQ7" s="40"/>
      <c r="DR7" s="40"/>
      <c r="DS7" s="40"/>
      <c r="DT7" s="40"/>
      <c r="DU7" s="40"/>
      <c r="DV7" s="40"/>
      <c r="DW7" s="40"/>
      <c r="DX7" s="40"/>
      <c r="DY7" s="40"/>
      <c r="DZ7" s="40"/>
      <c r="EA7" s="40"/>
      <c r="EB7" s="40"/>
      <c r="EC7" s="40"/>
      <c r="ED7" s="40"/>
      <c r="EE7" s="40"/>
      <c r="EF7" s="40"/>
      <c r="EG7" s="15" t="str">
        <f t="shared" si="35"/>
        <v/>
      </c>
      <c r="EH7" s="15" t="str">
        <f t="shared" si="36"/>
        <v/>
      </c>
      <c r="EI7" s="15" t="str">
        <f t="shared" si="37"/>
        <v/>
      </c>
      <c r="EJ7" s="15" t="str">
        <f t="shared" si="38"/>
        <v/>
      </c>
      <c r="EK7" s="39"/>
      <c r="EL7" s="39"/>
      <c r="EM7" s="39"/>
      <c r="EN7" s="39"/>
      <c r="EO7" s="39"/>
      <c r="EP7" s="39"/>
      <c r="EQ7" s="39"/>
      <c r="ER7" s="39"/>
      <c r="ES7" s="39"/>
      <c r="ET7" s="39"/>
      <c r="EU7" s="39"/>
      <c r="EV7" s="39"/>
      <c r="EW7" s="39"/>
      <c r="EX7" s="39"/>
      <c r="EY7" s="39"/>
      <c r="EZ7" s="39"/>
      <c r="FA7" s="12" t="str">
        <f t="shared" si="39"/>
        <v/>
      </c>
      <c r="FB7" s="12" t="str">
        <f t="shared" si="40"/>
        <v/>
      </c>
      <c r="FC7" s="12" t="str">
        <f t="shared" si="41"/>
        <v/>
      </c>
      <c r="FD7" s="12" t="str">
        <f t="shared" si="42"/>
        <v/>
      </c>
      <c r="FE7" s="40"/>
      <c r="FF7" s="40"/>
      <c r="FG7" s="40"/>
      <c r="FH7" s="40"/>
      <c r="FI7" s="40"/>
      <c r="FJ7" s="40"/>
      <c r="FK7" s="40"/>
      <c r="FL7" s="40"/>
      <c r="FM7" s="40"/>
      <c r="FN7" s="40"/>
      <c r="FO7" s="40"/>
      <c r="FP7" s="40"/>
      <c r="FQ7" s="40"/>
      <c r="FR7" s="40"/>
      <c r="FS7" s="40"/>
      <c r="FT7" s="40"/>
      <c r="FU7" s="15" t="str">
        <f t="shared" si="43"/>
        <v/>
      </c>
      <c r="FV7" s="15" t="str">
        <f t="shared" si="44"/>
        <v/>
      </c>
      <c r="FW7" s="15" t="str">
        <f t="shared" si="45"/>
        <v/>
      </c>
      <c r="FX7" s="15" t="str">
        <f t="shared" si="46"/>
        <v/>
      </c>
      <c r="FY7" s="39"/>
      <c r="FZ7" s="39"/>
      <c r="GA7" s="39"/>
      <c r="GB7" s="39"/>
      <c r="GC7" s="39"/>
      <c r="GD7" s="39"/>
      <c r="GE7" s="39"/>
      <c r="GF7" s="39"/>
      <c r="GG7" s="39"/>
      <c r="GH7" s="39"/>
      <c r="GI7" s="39"/>
      <c r="GJ7" s="39"/>
      <c r="GK7" s="39"/>
      <c r="GL7" s="39"/>
      <c r="GM7" s="39"/>
      <c r="GN7" s="39"/>
      <c r="GO7" s="12" t="str">
        <f t="shared" si="47"/>
        <v/>
      </c>
      <c r="GP7" s="12" t="str">
        <f t="shared" si="48"/>
        <v/>
      </c>
      <c r="GQ7" s="12" t="str">
        <f t="shared" si="49"/>
        <v/>
      </c>
      <c r="GR7" s="12" t="str">
        <f t="shared" si="50"/>
        <v/>
      </c>
      <c r="GS7" s="40"/>
      <c r="GT7" s="40"/>
      <c r="GU7" s="40"/>
      <c r="GV7" s="40"/>
      <c r="GW7" s="40"/>
      <c r="GX7" s="40"/>
      <c r="GY7" s="40"/>
      <c r="GZ7" s="40"/>
      <c r="HA7" s="40"/>
      <c r="HB7" s="40"/>
      <c r="HC7" s="40"/>
      <c r="HD7" s="40"/>
      <c r="HE7" s="40"/>
      <c r="HF7" s="40"/>
      <c r="HG7" s="40"/>
      <c r="HH7" s="40"/>
      <c r="HI7" s="15" t="str">
        <f t="shared" si="51"/>
        <v/>
      </c>
      <c r="HJ7" s="15" t="str">
        <f t="shared" si="52"/>
        <v/>
      </c>
      <c r="HK7" s="15" t="str">
        <f t="shared" si="53"/>
        <v/>
      </c>
      <c r="HL7" s="15" t="str">
        <f t="shared" si="54"/>
        <v/>
      </c>
      <c r="HM7" s="39"/>
      <c r="HN7" s="39"/>
      <c r="HO7" s="39"/>
      <c r="HP7" s="39"/>
      <c r="HQ7" s="39"/>
      <c r="HR7" s="39"/>
      <c r="HS7" s="39"/>
      <c r="HT7" s="39"/>
      <c r="HU7" s="39"/>
      <c r="HV7" s="39"/>
      <c r="HW7" s="39"/>
      <c r="HX7" s="39"/>
      <c r="HY7" s="39"/>
      <c r="HZ7" s="39"/>
      <c r="IA7" s="39"/>
      <c r="IB7" s="39"/>
      <c r="IC7" s="12" t="str">
        <f t="shared" si="55"/>
        <v/>
      </c>
      <c r="ID7" s="12" t="str">
        <f t="shared" si="56"/>
        <v/>
      </c>
      <c r="IE7" s="12" t="str">
        <f t="shared" si="57"/>
        <v/>
      </c>
      <c r="IF7" s="12" t="str">
        <f t="shared" si="58"/>
        <v/>
      </c>
      <c r="IG7" s="40"/>
      <c r="IH7" s="40"/>
      <c r="II7" s="40"/>
      <c r="IJ7" s="40"/>
      <c r="IK7" s="40"/>
      <c r="IL7" s="40"/>
      <c r="IM7" s="40"/>
      <c r="IN7" s="40"/>
      <c r="IO7" s="40"/>
      <c r="IP7" s="40"/>
      <c r="IQ7" s="40"/>
      <c r="IR7" s="40"/>
      <c r="IS7" s="40"/>
      <c r="IT7" s="40"/>
      <c r="IU7" s="40"/>
      <c r="IV7" s="40"/>
      <c r="IW7" s="15" t="str">
        <f t="shared" si="59"/>
        <v/>
      </c>
      <c r="IX7" s="15" t="str">
        <f t="shared" si="60"/>
        <v/>
      </c>
      <c r="IY7" s="15" t="str">
        <f t="shared" si="61"/>
        <v/>
      </c>
      <c r="IZ7" s="15" t="str">
        <f t="shared" si="62"/>
        <v/>
      </c>
      <c r="JA7" s="39"/>
      <c r="JB7" s="39"/>
      <c r="JC7" s="39"/>
      <c r="JD7" s="39"/>
      <c r="JE7" s="39"/>
      <c r="JF7" s="39"/>
      <c r="JG7" s="39"/>
      <c r="JH7" s="39"/>
      <c r="JI7" s="39"/>
      <c r="JJ7" s="39"/>
      <c r="JK7" s="39"/>
      <c r="JL7" s="39"/>
      <c r="JM7" s="39"/>
      <c r="JN7" s="39"/>
      <c r="JO7" s="39"/>
      <c r="JP7" s="39"/>
      <c r="JQ7" s="12" t="str">
        <f t="shared" si="63"/>
        <v/>
      </c>
      <c r="JR7" s="12" t="str">
        <f t="shared" si="64"/>
        <v/>
      </c>
      <c r="JS7" s="12" t="str">
        <f t="shared" si="65"/>
        <v/>
      </c>
      <c r="JT7" s="12" t="str">
        <f t="shared" si="66"/>
        <v/>
      </c>
      <c r="JU7" s="40"/>
      <c r="JV7" s="40"/>
      <c r="JW7" s="40"/>
      <c r="JX7" s="40"/>
      <c r="JY7" s="40"/>
      <c r="JZ7" s="40"/>
      <c r="KA7" s="40"/>
      <c r="KB7" s="40"/>
      <c r="KC7" s="40"/>
      <c r="KD7" s="40"/>
      <c r="KE7" s="40"/>
      <c r="KF7" s="40"/>
      <c r="KG7" s="40"/>
      <c r="KH7" s="40"/>
      <c r="KI7" s="40"/>
      <c r="KJ7" s="40"/>
      <c r="KK7" s="15" t="str">
        <f t="shared" si="67"/>
        <v/>
      </c>
      <c r="KL7" s="15" t="str">
        <f t="shared" si="68"/>
        <v/>
      </c>
      <c r="KM7" s="15" t="str">
        <f t="shared" si="69"/>
        <v/>
      </c>
      <c r="KN7" s="15" t="str">
        <f t="shared" si="70"/>
        <v/>
      </c>
      <c r="KO7" s="71">
        <f t="shared" si="76"/>
        <v>0</v>
      </c>
      <c r="KP7" s="71">
        <f t="shared" si="71"/>
        <v>0</v>
      </c>
      <c r="KQ7" s="71">
        <f t="shared" si="71"/>
        <v>0</v>
      </c>
      <c r="KR7" s="71">
        <f t="shared" si="71"/>
        <v>0</v>
      </c>
      <c r="KS7" s="71">
        <f t="shared" si="71"/>
        <v>0</v>
      </c>
      <c r="KT7" s="71">
        <f t="shared" si="71"/>
        <v>0</v>
      </c>
      <c r="KU7" s="71">
        <f t="shared" si="71"/>
        <v>0</v>
      </c>
      <c r="KV7" s="71">
        <f t="shared" si="71"/>
        <v>0</v>
      </c>
      <c r="KW7" s="71">
        <f t="shared" si="71"/>
        <v>0</v>
      </c>
      <c r="KX7" s="71">
        <f t="shared" si="71"/>
        <v>0</v>
      </c>
      <c r="KY7" s="71">
        <f t="shared" si="71"/>
        <v>0</v>
      </c>
      <c r="KZ7" s="71">
        <f t="shared" si="71"/>
        <v>0</v>
      </c>
      <c r="LA7" s="71">
        <f t="shared" si="71"/>
        <v>0</v>
      </c>
      <c r="LB7" s="71">
        <f t="shared" si="71"/>
        <v>0</v>
      </c>
      <c r="LC7" s="71">
        <f t="shared" si="71"/>
        <v>0</v>
      </c>
      <c r="LD7" s="71">
        <f t="shared" si="71"/>
        <v>0</v>
      </c>
      <c r="LE7" s="82" t="s">
        <v>100</v>
      </c>
      <c r="LF7" s="12" t="str">
        <f t="shared" si="77"/>
        <v/>
      </c>
      <c r="LG7" s="12" t="str">
        <f t="shared" si="78"/>
        <v/>
      </c>
      <c r="LH7" s="12" t="str">
        <f t="shared" si="79"/>
        <v/>
      </c>
      <c r="LI7" s="12" t="str">
        <f t="shared" si="80"/>
        <v/>
      </c>
    </row>
    <row r="8" spans="1:321" x14ac:dyDescent="0.2">
      <c r="A8" s="6" t="str">
        <f t="shared" si="0"/>
        <v/>
      </c>
      <c r="B8" s="9" t="s">
        <v>94</v>
      </c>
      <c r="C8" s="5" t="s">
        <v>3</v>
      </c>
      <c r="D8" s="29">
        <v>1996</v>
      </c>
      <c r="E8" s="16">
        <f t="shared" si="1"/>
        <v>123.79999999999998</v>
      </c>
      <c r="F8" s="4" t="str">
        <f t="shared" si="2"/>
        <v/>
      </c>
      <c r="G8" s="4" t="str">
        <f t="shared" si="3"/>
        <v/>
      </c>
      <c r="H8" s="4" t="str">
        <f t="shared" si="4"/>
        <v/>
      </c>
      <c r="I8" t="str">
        <f t="shared" si="5"/>
        <v/>
      </c>
      <c r="J8" s="15">
        <f t="shared" si="6"/>
        <v>61.899999999999991</v>
      </c>
      <c r="K8" s="15" t="str">
        <f t="shared" si="7"/>
        <v>2019 Nationals</v>
      </c>
      <c r="L8" s="15">
        <f t="shared" si="8"/>
        <v>61.9</v>
      </c>
      <c r="M8" s="15" t="str">
        <f t="shared" si="9"/>
        <v>2019 Nationals</v>
      </c>
      <c r="N8" s="15" t="str">
        <f t="shared" si="10"/>
        <v/>
      </c>
      <c r="O8" s="27" t="str">
        <f t="shared" si="11"/>
        <v/>
      </c>
      <c r="P8" s="15" t="str">
        <f t="shared" si="12"/>
        <v/>
      </c>
      <c r="Q8" s="71">
        <v>25</v>
      </c>
      <c r="R8" s="71">
        <v>5.4</v>
      </c>
      <c r="S8" s="71">
        <v>0.1</v>
      </c>
      <c r="T8" s="71">
        <v>0</v>
      </c>
      <c r="U8" s="71">
        <v>22.9</v>
      </c>
      <c r="V8" s="71">
        <v>3.3</v>
      </c>
      <c r="W8" s="71">
        <v>0</v>
      </c>
      <c r="X8" s="71">
        <v>0</v>
      </c>
      <c r="Y8" s="71">
        <v>24.7</v>
      </c>
      <c r="Z8" s="71">
        <v>6.2</v>
      </c>
      <c r="AA8" s="71">
        <v>0</v>
      </c>
      <c r="AB8" s="71">
        <v>0</v>
      </c>
      <c r="AC8" s="71">
        <v>23.7</v>
      </c>
      <c r="AD8" s="71">
        <v>5.9</v>
      </c>
      <c r="AE8" s="71">
        <v>0</v>
      </c>
      <c r="AF8" s="71">
        <v>0</v>
      </c>
      <c r="AG8" s="82"/>
      <c r="AH8" s="12">
        <f t="shared" si="13"/>
        <v>8.6999999999999993</v>
      </c>
      <c r="AI8" s="12">
        <f t="shared" si="14"/>
        <v>56.499999999999993</v>
      </c>
      <c r="AJ8" s="12">
        <f t="shared" si="15"/>
        <v>60.499999999999993</v>
      </c>
      <c r="AK8" s="12">
        <f t="shared" si="16"/>
        <v>116.99999999999999</v>
      </c>
      <c r="AL8" s="40">
        <v>25.9</v>
      </c>
      <c r="AM8" s="40">
        <v>5.4</v>
      </c>
      <c r="AN8" s="40">
        <v>0.1</v>
      </c>
      <c r="AO8" s="40">
        <v>0</v>
      </c>
      <c r="AP8" s="40">
        <v>24.8</v>
      </c>
      <c r="AQ8" s="40">
        <v>5.9</v>
      </c>
      <c r="AR8" s="40">
        <v>0</v>
      </c>
      <c r="AS8" s="40">
        <v>0</v>
      </c>
      <c r="AT8" s="40">
        <v>25.3</v>
      </c>
      <c r="AU8" s="40">
        <v>6.2</v>
      </c>
      <c r="AV8" s="40">
        <v>0</v>
      </c>
      <c r="AW8" s="40">
        <v>0</v>
      </c>
      <c r="AX8" s="40">
        <v>24.5</v>
      </c>
      <c r="AY8" s="40">
        <v>5.9</v>
      </c>
      <c r="AZ8" s="40">
        <v>0</v>
      </c>
      <c r="BA8" s="40">
        <v>0</v>
      </c>
      <c r="BB8" s="83"/>
      <c r="BC8" s="15">
        <f t="shared" si="17"/>
        <v>11.3</v>
      </c>
      <c r="BD8" s="15">
        <f t="shared" si="18"/>
        <v>61.899999999999991</v>
      </c>
      <c r="BE8" s="15">
        <f t="shared" si="19"/>
        <v>61.9</v>
      </c>
      <c r="BF8" s="15">
        <f t="shared" si="20"/>
        <v>123.79999999999998</v>
      </c>
      <c r="BG8" s="26" t="str">
        <f t="shared" si="21"/>
        <v/>
      </c>
      <c r="BH8" s="26" t="str">
        <f t="shared" si="22"/>
        <v/>
      </c>
      <c r="BI8" s="39"/>
      <c r="BJ8" s="39"/>
      <c r="BK8" s="39"/>
      <c r="BL8" s="39"/>
      <c r="BM8" s="39"/>
      <c r="BN8" s="39"/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12" t="str">
        <f t="shared" si="23"/>
        <v/>
      </c>
      <c r="BZ8" s="12" t="str">
        <f t="shared" si="24"/>
        <v/>
      </c>
      <c r="CA8" s="12" t="str">
        <f t="shared" si="25"/>
        <v/>
      </c>
      <c r="CB8" s="12" t="str">
        <f t="shared" si="26"/>
        <v/>
      </c>
      <c r="CC8" s="40"/>
      <c r="CD8" s="40"/>
      <c r="CE8" s="40"/>
      <c r="CF8" s="40"/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15" t="str">
        <f t="shared" si="27"/>
        <v/>
      </c>
      <c r="CT8" s="15" t="str">
        <f t="shared" si="28"/>
        <v/>
      </c>
      <c r="CU8" s="15" t="str">
        <f t="shared" si="29"/>
        <v/>
      </c>
      <c r="CV8" s="15" t="str">
        <f t="shared" si="30"/>
        <v/>
      </c>
      <c r="CW8" s="39"/>
      <c r="CX8" s="39"/>
      <c r="CY8" s="39"/>
      <c r="CZ8" s="39"/>
      <c r="DA8" s="39"/>
      <c r="DB8" s="39"/>
      <c r="DC8" s="39"/>
      <c r="DD8" s="39"/>
      <c r="DE8" s="39"/>
      <c r="DF8" s="39"/>
      <c r="DG8" s="39"/>
      <c r="DH8" s="39"/>
      <c r="DI8" s="39"/>
      <c r="DJ8" s="39"/>
      <c r="DK8" s="39"/>
      <c r="DL8" s="39"/>
      <c r="DM8" s="12" t="str">
        <f t="shared" si="31"/>
        <v/>
      </c>
      <c r="DN8" s="12" t="str">
        <f t="shared" si="32"/>
        <v/>
      </c>
      <c r="DO8" s="12" t="str">
        <f t="shared" si="33"/>
        <v/>
      </c>
      <c r="DP8" s="12" t="str">
        <f t="shared" si="34"/>
        <v/>
      </c>
      <c r="DQ8" s="40"/>
      <c r="DR8" s="40"/>
      <c r="DS8" s="40"/>
      <c r="DT8" s="40"/>
      <c r="DU8" s="40"/>
      <c r="DV8" s="40"/>
      <c r="DW8" s="40"/>
      <c r="DX8" s="40"/>
      <c r="DY8" s="40"/>
      <c r="DZ8" s="40"/>
      <c r="EA8" s="40"/>
      <c r="EB8" s="40"/>
      <c r="EC8" s="40"/>
      <c r="ED8" s="40"/>
      <c r="EE8" s="40"/>
      <c r="EF8" s="40"/>
      <c r="EG8" s="15" t="str">
        <f t="shared" si="35"/>
        <v/>
      </c>
      <c r="EH8" s="15" t="str">
        <f t="shared" si="36"/>
        <v/>
      </c>
      <c r="EI8" s="15" t="str">
        <f t="shared" si="37"/>
        <v/>
      </c>
      <c r="EJ8" s="15" t="str">
        <f t="shared" si="38"/>
        <v/>
      </c>
      <c r="EK8" s="39"/>
      <c r="EL8" s="39"/>
      <c r="EM8" s="39"/>
      <c r="EN8" s="39"/>
      <c r="EO8" s="39"/>
      <c r="EP8" s="39"/>
      <c r="EQ8" s="39"/>
      <c r="ER8" s="39"/>
      <c r="ES8" s="39"/>
      <c r="ET8" s="39"/>
      <c r="EU8" s="39"/>
      <c r="EV8" s="39"/>
      <c r="EW8" s="39"/>
      <c r="EX8" s="39"/>
      <c r="EY8" s="39"/>
      <c r="EZ8" s="39"/>
      <c r="FA8" s="12" t="str">
        <f t="shared" si="39"/>
        <v/>
      </c>
      <c r="FB8" s="12" t="str">
        <f t="shared" si="40"/>
        <v/>
      </c>
      <c r="FC8" s="12" t="str">
        <f t="shared" si="41"/>
        <v/>
      </c>
      <c r="FD8" s="12" t="str">
        <f t="shared" si="42"/>
        <v/>
      </c>
      <c r="FE8" s="40"/>
      <c r="FF8" s="40"/>
      <c r="FG8" s="40"/>
      <c r="FH8" s="40"/>
      <c r="FI8" s="40"/>
      <c r="FJ8" s="40"/>
      <c r="FK8" s="40"/>
      <c r="FL8" s="40"/>
      <c r="FM8" s="40"/>
      <c r="FN8" s="40"/>
      <c r="FO8" s="40"/>
      <c r="FP8" s="40"/>
      <c r="FQ8" s="40"/>
      <c r="FR8" s="40"/>
      <c r="FS8" s="40"/>
      <c r="FT8" s="40"/>
      <c r="FU8" s="15" t="str">
        <f t="shared" si="43"/>
        <v/>
      </c>
      <c r="FV8" s="15" t="str">
        <f t="shared" si="44"/>
        <v/>
      </c>
      <c r="FW8" s="15" t="str">
        <f t="shared" si="45"/>
        <v/>
      </c>
      <c r="FX8" s="15" t="str">
        <f t="shared" si="46"/>
        <v/>
      </c>
      <c r="FY8" s="39"/>
      <c r="FZ8" s="39"/>
      <c r="GA8" s="39"/>
      <c r="GB8" s="39"/>
      <c r="GC8" s="39"/>
      <c r="GD8" s="39"/>
      <c r="GE8" s="39"/>
      <c r="GF8" s="39"/>
      <c r="GG8" s="39"/>
      <c r="GH8" s="39"/>
      <c r="GI8" s="39"/>
      <c r="GJ8" s="39"/>
      <c r="GK8" s="39"/>
      <c r="GL8" s="39"/>
      <c r="GM8" s="39"/>
      <c r="GN8" s="39"/>
      <c r="GO8" s="12" t="str">
        <f t="shared" si="47"/>
        <v/>
      </c>
      <c r="GP8" s="12" t="str">
        <f t="shared" si="48"/>
        <v/>
      </c>
      <c r="GQ8" s="12" t="str">
        <f t="shared" si="49"/>
        <v/>
      </c>
      <c r="GR8" s="12" t="str">
        <f t="shared" si="50"/>
        <v/>
      </c>
      <c r="GS8" s="40"/>
      <c r="GT8" s="40"/>
      <c r="GU8" s="40"/>
      <c r="GV8" s="40"/>
      <c r="GW8" s="40"/>
      <c r="GX8" s="40"/>
      <c r="GY8" s="40"/>
      <c r="GZ8" s="40"/>
      <c r="HA8" s="40"/>
      <c r="HB8" s="40"/>
      <c r="HC8" s="40"/>
      <c r="HD8" s="40"/>
      <c r="HE8" s="40"/>
      <c r="HF8" s="40"/>
      <c r="HG8" s="40"/>
      <c r="HH8" s="40"/>
      <c r="HI8" s="15" t="str">
        <f t="shared" si="51"/>
        <v/>
      </c>
      <c r="HJ8" s="15" t="str">
        <f t="shared" si="52"/>
        <v/>
      </c>
      <c r="HK8" s="15" t="str">
        <f t="shared" si="53"/>
        <v/>
      </c>
      <c r="HL8" s="15" t="str">
        <f t="shared" si="54"/>
        <v/>
      </c>
      <c r="HM8" s="39"/>
      <c r="HN8" s="39"/>
      <c r="HO8" s="39"/>
      <c r="HP8" s="39"/>
      <c r="HQ8" s="39"/>
      <c r="HR8" s="39"/>
      <c r="HS8" s="39"/>
      <c r="HT8" s="39"/>
      <c r="HU8" s="39"/>
      <c r="HV8" s="39"/>
      <c r="HW8" s="39"/>
      <c r="HX8" s="39"/>
      <c r="HY8" s="39"/>
      <c r="HZ8" s="39"/>
      <c r="IA8" s="39"/>
      <c r="IB8" s="39"/>
      <c r="IC8" s="12" t="str">
        <f t="shared" si="55"/>
        <v/>
      </c>
      <c r="ID8" s="12" t="str">
        <f t="shared" si="56"/>
        <v/>
      </c>
      <c r="IE8" s="12" t="str">
        <f t="shared" si="57"/>
        <v/>
      </c>
      <c r="IF8" s="12" t="str">
        <f t="shared" si="58"/>
        <v/>
      </c>
      <c r="IG8" s="40"/>
      <c r="IH8" s="40"/>
      <c r="II8" s="40"/>
      <c r="IJ8" s="40"/>
      <c r="IK8" s="40"/>
      <c r="IL8" s="40"/>
      <c r="IM8" s="40"/>
      <c r="IN8" s="40"/>
      <c r="IO8" s="40"/>
      <c r="IP8" s="40"/>
      <c r="IQ8" s="40"/>
      <c r="IR8" s="40"/>
      <c r="IS8" s="40"/>
      <c r="IT8" s="40"/>
      <c r="IU8" s="40"/>
      <c r="IV8" s="40"/>
      <c r="IW8" s="15" t="str">
        <f t="shared" si="59"/>
        <v/>
      </c>
      <c r="IX8" s="15" t="str">
        <f t="shared" si="60"/>
        <v/>
      </c>
      <c r="IY8" s="15" t="str">
        <f t="shared" si="61"/>
        <v/>
      </c>
      <c r="IZ8" s="15" t="str">
        <f t="shared" si="62"/>
        <v/>
      </c>
      <c r="JA8" s="39"/>
      <c r="JB8" s="39"/>
      <c r="JC8" s="39"/>
      <c r="JD8" s="39"/>
      <c r="JE8" s="39"/>
      <c r="JF8" s="39"/>
      <c r="JG8" s="39"/>
      <c r="JH8" s="39"/>
      <c r="JI8" s="39"/>
      <c r="JJ8" s="39"/>
      <c r="JK8" s="39"/>
      <c r="JL8" s="39"/>
      <c r="JM8" s="39"/>
      <c r="JN8" s="39"/>
      <c r="JO8" s="39"/>
      <c r="JP8" s="39"/>
      <c r="JQ8" s="12" t="str">
        <f t="shared" si="63"/>
        <v/>
      </c>
      <c r="JR8" s="12" t="str">
        <f t="shared" si="64"/>
        <v/>
      </c>
      <c r="JS8" s="12" t="str">
        <f t="shared" si="65"/>
        <v/>
      </c>
      <c r="JT8" s="12" t="str">
        <f t="shared" si="66"/>
        <v/>
      </c>
      <c r="JU8" s="40"/>
      <c r="JV8" s="40"/>
      <c r="JW8" s="40"/>
      <c r="JX8" s="40"/>
      <c r="JY8" s="40"/>
      <c r="JZ8" s="40"/>
      <c r="KA8" s="40"/>
      <c r="KB8" s="40"/>
      <c r="KC8" s="40"/>
      <c r="KD8" s="40"/>
      <c r="KE8" s="40"/>
      <c r="KF8" s="40"/>
      <c r="KG8" s="40"/>
      <c r="KH8" s="40"/>
      <c r="KI8" s="40"/>
      <c r="KJ8" s="40"/>
      <c r="KK8" s="15" t="str">
        <f t="shared" si="67"/>
        <v/>
      </c>
      <c r="KL8" s="15" t="str">
        <f t="shared" si="68"/>
        <v/>
      </c>
      <c r="KM8" s="15" t="str">
        <f t="shared" si="69"/>
        <v/>
      </c>
      <c r="KN8" s="15" t="str">
        <f t="shared" si="70"/>
        <v/>
      </c>
      <c r="KO8" s="71">
        <f t="shared" si="76"/>
        <v>25.45</v>
      </c>
      <c r="KP8" s="71">
        <f t="shared" si="71"/>
        <v>5.4</v>
      </c>
      <c r="KQ8" s="71">
        <f t="shared" si="71"/>
        <v>0.1</v>
      </c>
      <c r="KR8" s="71">
        <f t="shared" si="71"/>
        <v>0</v>
      </c>
      <c r="KS8" s="71">
        <f t="shared" si="71"/>
        <v>23.85</v>
      </c>
      <c r="KT8" s="71">
        <f t="shared" si="71"/>
        <v>4.5999999999999996</v>
      </c>
      <c r="KU8" s="71">
        <f t="shared" si="71"/>
        <v>0</v>
      </c>
      <c r="KV8" s="71">
        <f t="shared" si="71"/>
        <v>0</v>
      </c>
      <c r="KW8" s="71">
        <f t="shared" si="71"/>
        <v>25</v>
      </c>
      <c r="KX8" s="71">
        <f t="shared" si="71"/>
        <v>6.2</v>
      </c>
      <c r="KY8" s="71">
        <f t="shared" si="71"/>
        <v>0</v>
      </c>
      <c r="KZ8" s="71">
        <f t="shared" si="71"/>
        <v>0</v>
      </c>
      <c r="LA8" s="71">
        <f t="shared" si="71"/>
        <v>24.1</v>
      </c>
      <c r="LB8" s="71">
        <f t="shared" si="71"/>
        <v>5.9</v>
      </c>
      <c r="LC8" s="71">
        <f t="shared" si="71"/>
        <v>0</v>
      </c>
      <c r="LD8" s="71">
        <f t="shared" si="71"/>
        <v>0</v>
      </c>
      <c r="LE8" s="82" t="s">
        <v>100</v>
      </c>
      <c r="LF8" s="12">
        <f t="shared" si="77"/>
        <v>10</v>
      </c>
      <c r="LG8" s="12">
        <f t="shared" si="78"/>
        <v>59.2</v>
      </c>
      <c r="LH8" s="12">
        <f t="shared" si="79"/>
        <v>61.199999999999996</v>
      </c>
      <c r="LI8" s="12">
        <f t="shared" si="80"/>
        <v>120.4</v>
      </c>
    </row>
    <row r="9" spans="1:321" x14ac:dyDescent="0.2">
      <c r="A9" s="6" t="str">
        <f t="shared" si="0"/>
        <v/>
      </c>
      <c r="B9" s="7" t="s">
        <v>57</v>
      </c>
      <c r="C9" s="8" t="s">
        <v>5</v>
      </c>
      <c r="D9" s="29">
        <v>1997</v>
      </c>
      <c r="E9" s="16">
        <f t="shared" si="1"/>
        <v>117.20000000000002</v>
      </c>
      <c r="F9" s="4" t="str">
        <f t="shared" si="2"/>
        <v/>
      </c>
      <c r="G9" s="4" t="str">
        <f t="shared" si="3"/>
        <v/>
      </c>
      <c r="H9" s="4" t="str">
        <f t="shared" si="4"/>
        <v/>
      </c>
      <c r="I9" t="str">
        <f t="shared" si="5"/>
        <v/>
      </c>
      <c r="J9" s="15">
        <f t="shared" si="6"/>
        <v>55.300000000000004</v>
      </c>
      <c r="K9" s="15" t="str">
        <f t="shared" si="7"/>
        <v>2019 Nationals</v>
      </c>
      <c r="L9" s="15">
        <f t="shared" si="8"/>
        <v>61.900000000000006</v>
      </c>
      <c r="M9" s="15" t="str">
        <f t="shared" si="9"/>
        <v>2019 Nationals</v>
      </c>
      <c r="N9" s="15" t="str">
        <f t="shared" si="10"/>
        <v/>
      </c>
      <c r="O9" s="27" t="str">
        <f t="shared" si="11"/>
        <v/>
      </c>
      <c r="P9" s="15" t="str">
        <f t="shared" si="12"/>
        <v/>
      </c>
      <c r="Q9" s="47">
        <v>23.7</v>
      </c>
      <c r="R9" s="47">
        <v>3.4</v>
      </c>
      <c r="S9" s="47">
        <v>0</v>
      </c>
      <c r="T9" s="47">
        <v>0</v>
      </c>
      <c r="U9" s="47">
        <v>15.5</v>
      </c>
      <c r="V9" s="47">
        <v>2.8</v>
      </c>
      <c r="W9" s="47">
        <v>0</v>
      </c>
      <c r="X9" s="47">
        <v>0</v>
      </c>
      <c r="Y9" s="47"/>
      <c r="Z9" s="47"/>
      <c r="AA9" s="47"/>
      <c r="AB9" s="47"/>
      <c r="AC9" s="47"/>
      <c r="AD9" s="47"/>
      <c r="AE9" s="47"/>
      <c r="AF9" s="47"/>
      <c r="AG9" s="82"/>
      <c r="AH9" s="12">
        <f t="shared" si="13"/>
        <v>6.1999999999999993</v>
      </c>
      <c r="AI9" s="12">
        <f t="shared" si="14"/>
        <v>45.399999999999991</v>
      </c>
      <c r="AJ9" s="12" t="str">
        <f t="shared" si="15"/>
        <v/>
      </c>
      <c r="AK9" s="12">
        <f t="shared" si="16"/>
        <v>45.399999999999991</v>
      </c>
      <c r="AL9" s="40">
        <v>22.6</v>
      </c>
      <c r="AM9" s="40">
        <v>5.4</v>
      </c>
      <c r="AN9" s="40">
        <v>0.1</v>
      </c>
      <c r="AO9" s="40">
        <v>0</v>
      </c>
      <c r="AP9" s="40">
        <v>23.7</v>
      </c>
      <c r="AQ9" s="40">
        <v>3.7</v>
      </c>
      <c r="AR9" s="40">
        <v>0</v>
      </c>
      <c r="AS9" s="40">
        <v>0</v>
      </c>
      <c r="AT9" s="40">
        <v>26.2</v>
      </c>
      <c r="AU9" s="40">
        <v>5.5</v>
      </c>
      <c r="AV9" s="40">
        <v>0</v>
      </c>
      <c r="AW9" s="40">
        <v>0</v>
      </c>
      <c r="AX9" s="40">
        <v>24.5</v>
      </c>
      <c r="AY9" s="40">
        <v>5.7</v>
      </c>
      <c r="AZ9" s="40">
        <v>0</v>
      </c>
      <c r="BA9" s="40">
        <v>0</v>
      </c>
      <c r="BB9" s="83"/>
      <c r="BC9" s="15">
        <f t="shared" si="17"/>
        <v>9.1000000000000014</v>
      </c>
      <c r="BD9" s="15">
        <f t="shared" si="18"/>
        <v>55.300000000000004</v>
      </c>
      <c r="BE9" s="15">
        <f t="shared" si="19"/>
        <v>61.900000000000006</v>
      </c>
      <c r="BF9" s="15">
        <f t="shared" si="20"/>
        <v>117.20000000000002</v>
      </c>
      <c r="BG9" s="26" t="str">
        <f t="shared" si="21"/>
        <v/>
      </c>
      <c r="BH9" s="26" t="str">
        <f t="shared" si="22"/>
        <v/>
      </c>
      <c r="BI9" s="39"/>
      <c r="BJ9" s="39"/>
      <c r="BK9" s="39"/>
      <c r="BL9" s="39"/>
      <c r="BM9" s="39"/>
      <c r="BN9" s="39"/>
      <c r="BO9" s="39"/>
      <c r="BP9" s="39"/>
      <c r="BQ9" s="39"/>
      <c r="BR9" s="39"/>
      <c r="BS9" s="39"/>
      <c r="BT9" s="39"/>
      <c r="BU9" s="39"/>
      <c r="BV9" s="39"/>
      <c r="BW9" s="39"/>
      <c r="BX9" s="39"/>
      <c r="BY9" s="12" t="str">
        <f t="shared" si="23"/>
        <v/>
      </c>
      <c r="BZ9" s="12" t="str">
        <f t="shared" si="24"/>
        <v/>
      </c>
      <c r="CA9" s="12" t="str">
        <f t="shared" si="25"/>
        <v/>
      </c>
      <c r="CB9" s="12" t="str">
        <f t="shared" si="26"/>
        <v/>
      </c>
      <c r="CC9" s="40"/>
      <c r="CD9" s="40"/>
      <c r="CE9" s="40"/>
      <c r="CF9" s="40"/>
      <c r="CG9" s="40"/>
      <c r="CH9" s="40"/>
      <c r="CI9" s="40"/>
      <c r="CJ9" s="40"/>
      <c r="CK9" s="40"/>
      <c r="CL9" s="40"/>
      <c r="CM9" s="40"/>
      <c r="CN9" s="40"/>
      <c r="CO9" s="40"/>
      <c r="CP9" s="40"/>
      <c r="CQ9" s="40"/>
      <c r="CR9" s="40"/>
      <c r="CS9" s="15" t="str">
        <f t="shared" si="27"/>
        <v/>
      </c>
      <c r="CT9" s="15" t="str">
        <f t="shared" si="28"/>
        <v/>
      </c>
      <c r="CU9" s="15" t="str">
        <f t="shared" si="29"/>
        <v/>
      </c>
      <c r="CV9" s="15" t="str">
        <f t="shared" si="30"/>
        <v/>
      </c>
      <c r="CW9" s="39"/>
      <c r="CX9" s="39"/>
      <c r="CY9" s="39"/>
      <c r="CZ9" s="39"/>
      <c r="DA9" s="39"/>
      <c r="DB9" s="39"/>
      <c r="DC9" s="39"/>
      <c r="DD9" s="39"/>
      <c r="DE9" s="39"/>
      <c r="DF9" s="39"/>
      <c r="DG9" s="39"/>
      <c r="DH9" s="39"/>
      <c r="DI9" s="39"/>
      <c r="DJ9" s="39"/>
      <c r="DK9" s="39"/>
      <c r="DL9" s="39"/>
      <c r="DM9" s="12" t="str">
        <f t="shared" si="31"/>
        <v/>
      </c>
      <c r="DN9" s="12" t="str">
        <f t="shared" si="32"/>
        <v/>
      </c>
      <c r="DO9" s="12" t="str">
        <f t="shared" si="33"/>
        <v/>
      </c>
      <c r="DP9" s="12" t="str">
        <f t="shared" si="34"/>
        <v/>
      </c>
      <c r="DQ9" s="40"/>
      <c r="DR9" s="40"/>
      <c r="DS9" s="40"/>
      <c r="DT9" s="40"/>
      <c r="DU9" s="40"/>
      <c r="DV9" s="40"/>
      <c r="DW9" s="40"/>
      <c r="DX9" s="40"/>
      <c r="DY9" s="40"/>
      <c r="DZ9" s="40"/>
      <c r="EA9" s="40"/>
      <c r="EB9" s="40"/>
      <c r="EC9" s="40"/>
      <c r="ED9" s="40"/>
      <c r="EE9" s="40"/>
      <c r="EF9" s="40"/>
      <c r="EG9" s="15" t="str">
        <f t="shared" si="35"/>
        <v/>
      </c>
      <c r="EH9" s="15" t="str">
        <f t="shared" si="36"/>
        <v/>
      </c>
      <c r="EI9" s="15" t="str">
        <f t="shared" si="37"/>
        <v/>
      </c>
      <c r="EJ9" s="15" t="str">
        <f t="shared" si="38"/>
        <v/>
      </c>
      <c r="EK9" s="39"/>
      <c r="EL9" s="39"/>
      <c r="EM9" s="39"/>
      <c r="EN9" s="39"/>
      <c r="EO9" s="39"/>
      <c r="EP9" s="39"/>
      <c r="EQ9" s="39"/>
      <c r="ER9" s="39"/>
      <c r="ES9" s="39"/>
      <c r="ET9" s="39"/>
      <c r="EU9" s="39"/>
      <c r="EV9" s="39"/>
      <c r="EW9" s="39"/>
      <c r="EX9" s="39"/>
      <c r="EY9" s="39"/>
      <c r="EZ9" s="39"/>
      <c r="FA9" s="12" t="str">
        <f t="shared" si="39"/>
        <v/>
      </c>
      <c r="FB9" s="12" t="str">
        <f t="shared" si="40"/>
        <v/>
      </c>
      <c r="FC9" s="12" t="str">
        <f t="shared" si="41"/>
        <v/>
      </c>
      <c r="FD9" s="12" t="str">
        <f t="shared" si="42"/>
        <v/>
      </c>
      <c r="FE9" s="40"/>
      <c r="FF9" s="40"/>
      <c r="FG9" s="40"/>
      <c r="FH9" s="40"/>
      <c r="FI9" s="40"/>
      <c r="FJ9" s="40"/>
      <c r="FK9" s="40"/>
      <c r="FL9" s="40"/>
      <c r="FM9" s="40"/>
      <c r="FN9" s="40"/>
      <c r="FO9" s="40"/>
      <c r="FP9" s="40"/>
      <c r="FQ9" s="40"/>
      <c r="FR9" s="40"/>
      <c r="FS9" s="40"/>
      <c r="FT9" s="40"/>
      <c r="FU9" s="15" t="str">
        <f t="shared" si="43"/>
        <v/>
      </c>
      <c r="FV9" s="15" t="str">
        <f t="shared" si="44"/>
        <v/>
      </c>
      <c r="FW9" s="15" t="str">
        <f t="shared" si="45"/>
        <v/>
      </c>
      <c r="FX9" s="15" t="str">
        <f t="shared" si="46"/>
        <v/>
      </c>
      <c r="FY9" s="39"/>
      <c r="FZ9" s="39"/>
      <c r="GA9" s="39"/>
      <c r="GB9" s="39"/>
      <c r="GC9" s="39"/>
      <c r="GD9" s="39"/>
      <c r="GE9" s="39"/>
      <c r="GF9" s="39"/>
      <c r="GG9" s="39"/>
      <c r="GH9" s="39"/>
      <c r="GI9" s="39"/>
      <c r="GJ9" s="39"/>
      <c r="GK9" s="39"/>
      <c r="GL9" s="39"/>
      <c r="GM9" s="39"/>
      <c r="GN9" s="39"/>
      <c r="GO9" s="12" t="str">
        <f t="shared" si="47"/>
        <v/>
      </c>
      <c r="GP9" s="12" t="str">
        <f t="shared" si="48"/>
        <v/>
      </c>
      <c r="GQ9" s="12" t="str">
        <f t="shared" si="49"/>
        <v/>
      </c>
      <c r="GR9" s="12" t="str">
        <f t="shared" si="50"/>
        <v/>
      </c>
      <c r="GS9" s="40"/>
      <c r="GT9" s="40"/>
      <c r="GU9" s="40"/>
      <c r="GV9" s="40"/>
      <c r="GW9" s="40"/>
      <c r="GX9" s="40"/>
      <c r="GY9" s="40"/>
      <c r="GZ9" s="40"/>
      <c r="HA9" s="40"/>
      <c r="HB9" s="40"/>
      <c r="HC9" s="40"/>
      <c r="HD9" s="40"/>
      <c r="HE9" s="40"/>
      <c r="HF9" s="40"/>
      <c r="HG9" s="40"/>
      <c r="HH9" s="40"/>
      <c r="HI9" s="15" t="str">
        <f t="shared" si="51"/>
        <v/>
      </c>
      <c r="HJ9" s="15" t="str">
        <f t="shared" si="52"/>
        <v/>
      </c>
      <c r="HK9" s="15" t="str">
        <f t="shared" si="53"/>
        <v/>
      </c>
      <c r="HL9" s="15" t="str">
        <f t="shared" si="54"/>
        <v/>
      </c>
      <c r="HM9" s="39"/>
      <c r="HN9" s="39"/>
      <c r="HO9" s="39"/>
      <c r="HP9" s="39"/>
      <c r="HQ9" s="39"/>
      <c r="HR9" s="39"/>
      <c r="HS9" s="39"/>
      <c r="HT9" s="39"/>
      <c r="HU9" s="39"/>
      <c r="HV9" s="39"/>
      <c r="HW9" s="39"/>
      <c r="HX9" s="39"/>
      <c r="HY9" s="39"/>
      <c r="HZ9" s="39"/>
      <c r="IA9" s="39"/>
      <c r="IB9" s="39"/>
      <c r="IC9" s="12" t="str">
        <f t="shared" si="55"/>
        <v/>
      </c>
      <c r="ID9" s="12" t="str">
        <f t="shared" si="56"/>
        <v/>
      </c>
      <c r="IE9" s="12" t="str">
        <f t="shared" si="57"/>
        <v/>
      </c>
      <c r="IF9" s="12" t="str">
        <f t="shared" si="58"/>
        <v/>
      </c>
      <c r="IG9" s="40"/>
      <c r="IH9" s="40"/>
      <c r="II9" s="40"/>
      <c r="IJ9" s="40"/>
      <c r="IK9" s="40"/>
      <c r="IL9" s="40"/>
      <c r="IM9" s="40"/>
      <c r="IN9" s="40"/>
      <c r="IO9" s="40"/>
      <c r="IP9" s="40"/>
      <c r="IQ9" s="40"/>
      <c r="IR9" s="40"/>
      <c r="IS9" s="40"/>
      <c r="IT9" s="40"/>
      <c r="IU9" s="40"/>
      <c r="IV9" s="40"/>
      <c r="IW9" s="15" t="str">
        <f t="shared" si="59"/>
        <v/>
      </c>
      <c r="IX9" s="15" t="str">
        <f t="shared" si="60"/>
        <v/>
      </c>
      <c r="IY9" s="15" t="str">
        <f t="shared" si="61"/>
        <v/>
      </c>
      <c r="IZ9" s="15" t="str">
        <f t="shared" si="62"/>
        <v/>
      </c>
      <c r="JA9" s="39"/>
      <c r="JB9" s="39"/>
      <c r="JC9" s="39"/>
      <c r="JD9" s="39"/>
      <c r="JE9" s="39"/>
      <c r="JF9" s="39"/>
      <c r="JG9" s="39"/>
      <c r="JH9" s="39"/>
      <c r="JI9" s="39"/>
      <c r="JJ9" s="39"/>
      <c r="JK9" s="39"/>
      <c r="JL9" s="39"/>
      <c r="JM9" s="39"/>
      <c r="JN9" s="39"/>
      <c r="JO9" s="39"/>
      <c r="JP9" s="39"/>
      <c r="JQ9" s="12" t="str">
        <f t="shared" si="63"/>
        <v/>
      </c>
      <c r="JR9" s="12" t="str">
        <f t="shared" si="64"/>
        <v/>
      </c>
      <c r="JS9" s="12" t="str">
        <f t="shared" si="65"/>
        <v/>
      </c>
      <c r="JT9" s="12" t="str">
        <f t="shared" si="66"/>
        <v/>
      </c>
      <c r="JU9" s="40"/>
      <c r="JV9" s="40"/>
      <c r="JW9" s="40"/>
      <c r="JX9" s="40"/>
      <c r="JY9" s="40"/>
      <c r="JZ9" s="40"/>
      <c r="KA9" s="40"/>
      <c r="KB9" s="40"/>
      <c r="KC9" s="40"/>
      <c r="KD9" s="40"/>
      <c r="KE9" s="40"/>
      <c r="KF9" s="40"/>
      <c r="KG9" s="40"/>
      <c r="KH9" s="40"/>
      <c r="KI9" s="40"/>
      <c r="KJ9" s="40"/>
      <c r="KK9" s="15" t="str">
        <f t="shared" si="67"/>
        <v/>
      </c>
      <c r="KL9" s="15" t="str">
        <f t="shared" si="68"/>
        <v/>
      </c>
      <c r="KM9" s="15" t="str">
        <f t="shared" si="69"/>
        <v/>
      </c>
      <c r="KN9" s="15" t="str">
        <f t="shared" si="70"/>
        <v/>
      </c>
      <c r="KO9" s="71">
        <f t="shared" ref="KO9" si="81">IF($BB9="P",AL9,(Q9+AL9)/2)</f>
        <v>23.15</v>
      </c>
      <c r="KP9" s="71">
        <f t="shared" ref="KP9" si="82">IF($BB9="P",AM9,(R9+AM9)/2)</f>
        <v>4.4000000000000004</v>
      </c>
      <c r="KQ9" s="71">
        <f t="shared" ref="KQ9" si="83">IF($BB9="P",AN9,(S9+AN9)/2)</f>
        <v>0.05</v>
      </c>
      <c r="KR9" s="71">
        <f t="shared" ref="KR9" si="84">IF($BB9="P",AO9,(T9+AO9)/2)</f>
        <v>0</v>
      </c>
      <c r="KS9" s="71">
        <f t="shared" ref="KS9" si="85">IF($BB9="P",AP9,(U9+AP9)/2)</f>
        <v>19.600000000000001</v>
      </c>
      <c r="KT9" s="71">
        <f t="shared" ref="KT9" si="86">IF($BB9="P",AQ9,(V9+AQ9)/2)</f>
        <v>3.25</v>
      </c>
      <c r="KU9" s="71">
        <f t="shared" ref="KU9" si="87">IF($BB9="P",AR9,(W9+AR9)/2)</f>
        <v>0</v>
      </c>
      <c r="KV9" s="71">
        <f t="shared" ref="KV9" si="88">IF($BB9="P",AS9,(X9+AS9)/2)</f>
        <v>0</v>
      </c>
      <c r="KW9" s="71">
        <f t="shared" ref="KW9" si="89">IF($BB9="P",AT9,(Y9+AT9)/2)</f>
        <v>13.1</v>
      </c>
      <c r="KX9" s="71">
        <f t="shared" ref="KX9" si="90">IF($BB9="P",AU9,(Z9+AU9)/2)</f>
        <v>2.75</v>
      </c>
      <c r="KY9" s="71">
        <f t="shared" ref="KY9" si="91">IF($BB9="P",AV9,(AA9+AV9)/2)</f>
        <v>0</v>
      </c>
      <c r="KZ9" s="71">
        <f t="shared" ref="KZ9" si="92">IF($BB9="P",AW9,(AB9+AW9)/2)</f>
        <v>0</v>
      </c>
      <c r="LA9" s="71">
        <f t="shared" ref="LA9" si="93">IF($BB9="P",AX9,(AC9+AX9)/2)</f>
        <v>12.25</v>
      </c>
      <c r="LB9" s="71">
        <f t="shared" ref="LB9" si="94">IF($BB9="P",AY9,(AD9+AY9)/2)</f>
        <v>2.85</v>
      </c>
      <c r="LC9" s="71">
        <f t="shared" ref="LC9" si="95">IF($BB9="P",AZ9,(AE9+AZ9)/2)</f>
        <v>0</v>
      </c>
      <c r="LD9" s="71">
        <f t="shared" ref="LD9" si="96">IF($BB9="P",BA9,(AF9+BA9)/2)</f>
        <v>0</v>
      </c>
      <c r="LE9" s="82" t="s">
        <v>100</v>
      </c>
      <c r="LF9" s="12">
        <f t="shared" ref="LF9" si="97">IF(SUM(KP9,KT9)&gt;0,SUM(KP9,KT9),"")</f>
        <v>7.65</v>
      </c>
      <c r="LG9" s="12">
        <f t="shared" ref="LG9" si="98">IF(SUM(KO9:KP9,KR9:KT9,KV9)-KQ9-KU9&gt;0,SUM(KO9:KP9,KR9:KT9,KV9)-KQ9-KU9,"")</f>
        <v>50.35</v>
      </c>
      <c r="LH9" s="12">
        <f t="shared" ref="LH9" si="99">IF(SUM(KW9:KX9,KZ9:LB9,LD9)-SUM(KY9,LC9)&gt;0,SUM(KW9:KX9,KZ9:LB9,LD9)-SUM(KY9,LC9),"")</f>
        <v>30.950000000000003</v>
      </c>
      <c r="LI9" s="12">
        <f t="shared" ref="LI9" si="100">IF(SUM(LG9,LH9)&gt;0,SUM(LG9,LH9),"")</f>
        <v>81.300000000000011</v>
      </c>
    </row>
    <row r="10" spans="1:321" x14ac:dyDescent="0.2">
      <c r="D10" s="1"/>
    </row>
    <row r="12" spans="1:321" x14ac:dyDescent="0.2">
      <c r="B12" s="72" t="s">
        <v>85</v>
      </c>
      <c r="AH12" s="58"/>
      <c r="AJ12" s="66">
        <v>11.8</v>
      </c>
      <c r="BC12" s="58"/>
      <c r="BE12" s="66">
        <v>11.8</v>
      </c>
      <c r="BY12" s="58"/>
      <c r="CA12" s="66">
        <v>11.8</v>
      </c>
      <c r="CS12" s="58"/>
      <c r="CU12" s="66">
        <v>11.8</v>
      </c>
      <c r="DM12" s="58"/>
      <c r="DO12" s="66">
        <v>11.8</v>
      </c>
      <c r="EG12" s="58"/>
      <c r="EI12" s="66">
        <v>11.8</v>
      </c>
      <c r="FA12" s="58"/>
      <c r="FC12" s="66">
        <v>11.8</v>
      </c>
      <c r="FU12" s="58"/>
      <c r="FW12" s="66">
        <v>11.8</v>
      </c>
      <c r="GO12" s="58"/>
      <c r="GQ12" s="66">
        <v>11.8</v>
      </c>
      <c r="HI12" s="58"/>
      <c r="HK12" s="66">
        <v>11.8</v>
      </c>
      <c r="IC12" s="58"/>
      <c r="IE12" s="66">
        <v>11.8</v>
      </c>
      <c r="IW12" s="58"/>
      <c r="IY12" s="66">
        <v>11.8</v>
      </c>
      <c r="JQ12" s="58"/>
      <c r="JS12" s="66">
        <v>11.8</v>
      </c>
      <c r="KK12" s="58"/>
      <c r="KM12" s="66">
        <v>11.8</v>
      </c>
    </row>
    <row r="13" spans="1:321" x14ac:dyDescent="0.2">
      <c r="A13" s="58"/>
      <c r="B13" s="100" t="s">
        <v>159</v>
      </c>
      <c r="C13" s="57"/>
      <c r="AH13" s="58"/>
      <c r="AJ13" s="102">
        <v>11.8</v>
      </c>
      <c r="BC13" s="58"/>
      <c r="BE13" s="102">
        <v>11.8</v>
      </c>
      <c r="BY13" s="58"/>
      <c r="CA13" s="102">
        <v>11.8</v>
      </c>
      <c r="CS13" s="58"/>
      <c r="CU13" s="102">
        <v>11.8</v>
      </c>
      <c r="DM13" s="58"/>
      <c r="DO13" s="102">
        <v>11.8</v>
      </c>
      <c r="EG13" s="58"/>
      <c r="EI13" s="102">
        <v>11.8</v>
      </c>
      <c r="FA13" s="58"/>
      <c r="FC13" s="102">
        <v>11.8</v>
      </c>
      <c r="FU13" s="58"/>
      <c r="FW13" s="102">
        <v>11.8</v>
      </c>
      <c r="GO13" s="58"/>
      <c r="GQ13" s="102">
        <v>11.8</v>
      </c>
      <c r="HI13" s="58"/>
      <c r="HK13" s="102">
        <v>11.8</v>
      </c>
      <c r="IC13" s="58"/>
      <c r="IE13" s="102">
        <v>11.8</v>
      </c>
      <c r="IW13" s="58"/>
      <c r="IY13" s="102">
        <v>11.8</v>
      </c>
      <c r="JQ13" s="58"/>
      <c r="JS13" s="102">
        <v>11.8</v>
      </c>
      <c r="KK13" s="58"/>
      <c r="KM13" s="102">
        <v>11.8</v>
      </c>
    </row>
    <row r="14" spans="1:321" x14ac:dyDescent="0.2">
      <c r="A14" s="58"/>
      <c r="B14" s="73" t="s">
        <v>82</v>
      </c>
      <c r="C14" s="57"/>
      <c r="AH14" s="58"/>
      <c r="AJ14" s="67">
        <v>62.8</v>
      </c>
      <c r="BC14" s="58"/>
      <c r="BE14" s="67">
        <v>62.8</v>
      </c>
      <c r="BY14" s="58"/>
      <c r="CA14" s="67">
        <v>62.8</v>
      </c>
      <c r="CS14" s="58"/>
      <c r="CU14" s="67">
        <v>62.8</v>
      </c>
      <c r="DM14" s="58"/>
      <c r="DO14" s="67">
        <v>62.8</v>
      </c>
      <c r="EG14" s="58"/>
      <c r="EI14" s="67">
        <v>62.8</v>
      </c>
      <c r="FA14" s="58"/>
      <c r="FC14" s="67">
        <v>62.8</v>
      </c>
      <c r="FU14" s="58"/>
      <c r="FW14" s="67">
        <v>62.8</v>
      </c>
      <c r="GO14" s="58"/>
      <c r="GQ14" s="67">
        <v>62.8</v>
      </c>
      <c r="HI14" s="58"/>
      <c r="HK14" s="67">
        <v>62.8</v>
      </c>
      <c r="IC14" s="58"/>
      <c r="IE14" s="67">
        <v>62.8</v>
      </c>
      <c r="IW14" s="58"/>
      <c r="IY14" s="67">
        <v>62.8</v>
      </c>
      <c r="JQ14" s="58"/>
      <c r="JS14" s="67">
        <v>62.8</v>
      </c>
      <c r="KK14" s="58"/>
      <c r="KM14" s="67">
        <v>62.8</v>
      </c>
    </row>
    <row r="15" spans="1:321" x14ac:dyDescent="0.2">
      <c r="A15" s="58"/>
      <c r="B15" s="74" t="s">
        <v>83</v>
      </c>
      <c r="C15" s="57"/>
      <c r="AH15" s="58"/>
      <c r="AJ15" s="68">
        <v>65.900000000000006</v>
      </c>
      <c r="BC15" s="58"/>
      <c r="BE15" s="68">
        <v>65.900000000000006</v>
      </c>
      <c r="BY15" s="58"/>
      <c r="CA15" s="68">
        <v>64.599999999999994</v>
      </c>
      <c r="CS15" s="58"/>
      <c r="CU15" s="68">
        <v>65.900000000000006</v>
      </c>
      <c r="DM15" s="58"/>
      <c r="DO15" s="68">
        <v>65.900000000000006</v>
      </c>
      <c r="EG15" s="58"/>
      <c r="EI15" s="68">
        <v>65.900000000000006</v>
      </c>
      <c r="FA15" s="58"/>
      <c r="FC15" s="68">
        <v>65.900000000000006</v>
      </c>
      <c r="FU15" s="58"/>
      <c r="FW15" s="68">
        <v>65.900000000000006</v>
      </c>
      <c r="GO15" s="58"/>
      <c r="GQ15" s="68">
        <v>65.900000000000006</v>
      </c>
      <c r="HI15" s="58"/>
      <c r="HK15" s="68">
        <v>65.900000000000006</v>
      </c>
      <c r="IC15" s="58"/>
      <c r="IE15" s="68">
        <v>65.900000000000006</v>
      </c>
      <c r="IW15" s="58"/>
      <c r="IY15" s="68">
        <v>65.900000000000006</v>
      </c>
      <c r="JQ15" s="58"/>
      <c r="JS15" s="68">
        <v>65.900000000000006</v>
      </c>
      <c r="KK15" s="58"/>
      <c r="KM15" s="68">
        <v>65.900000000000006</v>
      </c>
    </row>
    <row r="16" spans="1:321" x14ac:dyDescent="0.2">
      <c r="A16" s="58"/>
      <c r="B16" s="75" t="s">
        <v>151</v>
      </c>
      <c r="C16" s="57"/>
      <c r="AH16" s="58"/>
      <c r="AJ16" s="69">
        <v>69.7</v>
      </c>
      <c r="BC16" s="58"/>
      <c r="BE16" s="69">
        <v>69.7</v>
      </c>
      <c r="BY16" s="58"/>
      <c r="CA16" s="69">
        <v>68.2</v>
      </c>
      <c r="CS16" s="58"/>
      <c r="CU16" s="69">
        <v>69.7</v>
      </c>
      <c r="DM16" s="58"/>
      <c r="DO16" s="69">
        <v>69.7</v>
      </c>
      <c r="EG16" s="58"/>
      <c r="EI16" s="69">
        <v>69.7</v>
      </c>
      <c r="FA16" s="58"/>
      <c r="FC16" s="69">
        <v>69.7</v>
      </c>
      <c r="FU16" s="58"/>
      <c r="FW16" s="69">
        <v>69.7</v>
      </c>
      <c r="GO16" s="58"/>
      <c r="GQ16" s="69">
        <v>69.7</v>
      </c>
      <c r="HI16" s="58"/>
      <c r="HK16" s="69">
        <v>69.7</v>
      </c>
      <c r="IC16" s="58"/>
      <c r="IE16" s="69">
        <v>69.7</v>
      </c>
      <c r="IW16" s="58"/>
      <c r="IY16" s="69">
        <v>69.7</v>
      </c>
      <c r="JQ16" s="58"/>
      <c r="JS16" s="69">
        <v>69.7</v>
      </c>
      <c r="KK16" s="58"/>
      <c r="KM16" s="69">
        <v>69.7</v>
      </c>
    </row>
    <row r="17" spans="1:299" x14ac:dyDescent="0.2">
      <c r="A17" s="58"/>
      <c r="B17" s="76" t="s">
        <v>64</v>
      </c>
      <c r="C17" s="57"/>
      <c r="AH17" s="58"/>
      <c r="AJ17" s="70">
        <v>72.2</v>
      </c>
      <c r="BC17" s="58"/>
      <c r="BE17" s="70">
        <v>72.2</v>
      </c>
      <c r="BY17" s="58"/>
      <c r="CA17" s="70">
        <v>72.400000000000006</v>
      </c>
      <c r="CS17" s="58"/>
      <c r="CU17" s="70">
        <v>72.2</v>
      </c>
      <c r="DM17" s="58"/>
      <c r="DO17" s="70">
        <v>72.2</v>
      </c>
      <c r="EG17" s="58"/>
      <c r="EI17" s="70">
        <v>72.2</v>
      </c>
      <c r="FA17" s="58"/>
      <c r="FC17" s="70">
        <v>72.2</v>
      </c>
      <c r="FU17" s="58"/>
      <c r="FW17" s="70">
        <v>72.2</v>
      </c>
      <c r="GO17" s="58"/>
      <c r="GQ17" s="70">
        <v>72.2</v>
      </c>
      <c r="HI17" s="58"/>
      <c r="HK17" s="70">
        <v>72.2</v>
      </c>
      <c r="IC17" s="58"/>
      <c r="IE17" s="70">
        <v>72.2</v>
      </c>
      <c r="IW17" s="58"/>
      <c r="IY17" s="70">
        <v>72.2</v>
      </c>
      <c r="JQ17" s="58"/>
      <c r="JS17" s="70">
        <v>72.2</v>
      </c>
      <c r="KK17" s="58"/>
      <c r="KM17" s="70">
        <v>72.2</v>
      </c>
    </row>
    <row r="18" spans="1:299" x14ac:dyDescent="0.2">
      <c r="B18" s="84" t="s">
        <v>101</v>
      </c>
      <c r="C18" s="3"/>
    </row>
    <row r="19" spans="1:299" x14ac:dyDescent="0.2">
      <c r="A19" s="58"/>
      <c r="B19" s="58"/>
      <c r="C19" s="57"/>
    </row>
    <row r="20" spans="1:299" ht="17" x14ac:dyDescent="0.2">
      <c r="A20" s="58"/>
      <c r="B20" s="58"/>
      <c r="C20" s="57"/>
      <c r="N20" s="21"/>
      <c r="O20" s="21"/>
      <c r="P20" s="21"/>
    </row>
    <row r="21" spans="1:299" ht="17" x14ac:dyDescent="0.2">
      <c r="A21" s="58"/>
      <c r="B21" s="58"/>
      <c r="C21" s="57"/>
      <c r="N21" s="21"/>
      <c r="O21" s="21"/>
      <c r="P21" s="21"/>
    </row>
    <row r="22" spans="1:299" ht="17" x14ac:dyDescent="0.2">
      <c r="N22" s="21"/>
      <c r="O22" s="21"/>
      <c r="P22" s="21"/>
    </row>
    <row r="23" spans="1:299" ht="17" x14ac:dyDescent="0.2">
      <c r="N23" s="21"/>
      <c r="O23" s="21"/>
      <c r="P23" s="21"/>
    </row>
    <row r="24" spans="1:299" ht="17" x14ac:dyDescent="0.2">
      <c r="N24" s="21"/>
      <c r="O24" s="21"/>
      <c r="P24" s="21"/>
    </row>
    <row r="25" spans="1:299" ht="17" x14ac:dyDescent="0.2">
      <c r="N25" s="21"/>
      <c r="O25" s="21"/>
      <c r="P25" s="21"/>
    </row>
    <row r="26" spans="1:299" ht="17" x14ac:dyDescent="0.2">
      <c r="N26" s="21"/>
      <c r="O26" s="21"/>
      <c r="P26" s="21"/>
    </row>
    <row r="27" spans="1:299" ht="17" x14ac:dyDescent="0.2">
      <c r="N27" s="21"/>
      <c r="O27" s="21"/>
      <c r="P27" s="21"/>
    </row>
    <row r="28" spans="1:299" ht="17" x14ac:dyDescent="0.2">
      <c r="N28" s="21"/>
      <c r="O28" s="21"/>
      <c r="P28" s="21"/>
    </row>
    <row r="29" spans="1:299" ht="17" x14ac:dyDescent="0.2">
      <c r="N29" s="21"/>
      <c r="O29" s="21"/>
      <c r="P29" s="21"/>
    </row>
    <row r="30" spans="1:299" ht="17" x14ac:dyDescent="0.2">
      <c r="N30" s="21"/>
      <c r="O30" s="21"/>
      <c r="P30" s="21"/>
    </row>
    <row r="31" spans="1:299" ht="17" x14ac:dyDescent="0.2">
      <c r="N31" s="21"/>
      <c r="O31" s="21"/>
      <c r="P31" s="21"/>
    </row>
    <row r="32" spans="1:299" ht="17" x14ac:dyDescent="0.2">
      <c r="N32" s="21"/>
      <c r="O32" s="21"/>
      <c r="P32" s="21"/>
    </row>
    <row r="33" spans="14:16" ht="17" x14ac:dyDescent="0.2">
      <c r="N33" s="21"/>
      <c r="O33" s="21"/>
      <c r="P33" s="21"/>
    </row>
    <row r="34" spans="14:16" ht="17" x14ac:dyDescent="0.2">
      <c r="N34" s="21"/>
      <c r="O34" s="21"/>
      <c r="P34" s="21"/>
    </row>
    <row r="35" spans="14:16" ht="17" x14ac:dyDescent="0.2">
      <c r="N35" s="21"/>
      <c r="O35" s="21"/>
      <c r="P35" s="21"/>
    </row>
    <row r="36" spans="14:16" ht="17" x14ac:dyDescent="0.2">
      <c r="N36" s="21"/>
      <c r="O36" s="21"/>
      <c r="P36" s="21"/>
    </row>
    <row r="37" spans="14:16" ht="17" x14ac:dyDescent="0.2">
      <c r="N37" s="21"/>
      <c r="O37" s="21"/>
      <c r="P37" s="21"/>
    </row>
    <row r="38" spans="14:16" ht="17" x14ac:dyDescent="0.2">
      <c r="N38" s="21"/>
      <c r="O38" s="21"/>
      <c r="P38" s="21"/>
    </row>
    <row r="39" spans="14:16" ht="17" x14ac:dyDescent="0.2">
      <c r="N39" s="21"/>
      <c r="O39" s="21"/>
      <c r="P39" s="21"/>
    </row>
  </sheetData>
  <sheetProtection sheet="1" formatCells="0" formatColumns="0" formatRows="0"/>
  <autoFilter ref="A1:KN3" xr:uid="{00000000-0009-0000-0000-000005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sortState xmlns:xlrd2="http://schemas.microsoft.com/office/spreadsheetml/2017/richdata2" ref="A6:KN9">
      <sortCondition descending="1" ref="F1:F21"/>
    </sortState>
  </autoFilter>
  <mergeCells count="92">
    <mergeCell ref="JA1:JT1"/>
    <mergeCell ref="JU1:KN1"/>
    <mergeCell ref="JA2:JD2"/>
    <mergeCell ref="JE2:JH2"/>
    <mergeCell ref="JI2:JL2"/>
    <mergeCell ref="JM2:JP2"/>
    <mergeCell ref="JU2:JX2"/>
    <mergeCell ref="JY2:KB2"/>
    <mergeCell ref="KC2:KF2"/>
    <mergeCell ref="KG2:KJ2"/>
    <mergeCell ref="HM1:IF1"/>
    <mergeCell ref="IG1:IZ1"/>
    <mergeCell ref="HM2:HP2"/>
    <mergeCell ref="HQ2:HT2"/>
    <mergeCell ref="HU2:HX2"/>
    <mergeCell ref="HY2:IB2"/>
    <mergeCell ref="IG2:IJ2"/>
    <mergeCell ref="IK2:IN2"/>
    <mergeCell ref="IO2:IR2"/>
    <mergeCell ref="IS2:IV2"/>
    <mergeCell ref="FY1:GR1"/>
    <mergeCell ref="GS1:HL1"/>
    <mergeCell ref="FY2:GB2"/>
    <mergeCell ref="GC2:GF2"/>
    <mergeCell ref="GG2:GJ2"/>
    <mergeCell ref="GK2:GN2"/>
    <mergeCell ref="GS2:GV2"/>
    <mergeCell ref="GW2:GZ2"/>
    <mergeCell ref="HA2:HD2"/>
    <mergeCell ref="HE2:HH2"/>
    <mergeCell ref="EK1:FD1"/>
    <mergeCell ref="FE1:FX1"/>
    <mergeCell ref="EK2:EN2"/>
    <mergeCell ref="EO2:ER2"/>
    <mergeCell ref="ES2:EV2"/>
    <mergeCell ref="EW2:EZ2"/>
    <mergeCell ref="FE2:FH2"/>
    <mergeCell ref="FI2:FL2"/>
    <mergeCell ref="FM2:FP2"/>
    <mergeCell ref="FQ2:FT2"/>
    <mergeCell ref="DQ2:DT2"/>
    <mergeCell ref="DU2:DX2"/>
    <mergeCell ref="DY2:EB2"/>
    <mergeCell ref="EC2:EF2"/>
    <mergeCell ref="Q1:AK1"/>
    <mergeCell ref="AL1:BF1"/>
    <mergeCell ref="DQ1:EJ1"/>
    <mergeCell ref="CW2:CZ2"/>
    <mergeCell ref="DA2:DD2"/>
    <mergeCell ref="DE2:DH2"/>
    <mergeCell ref="CG2:CJ2"/>
    <mergeCell ref="CK2:CN2"/>
    <mergeCell ref="CO2:CR2"/>
    <mergeCell ref="BI1:CB1"/>
    <mergeCell ref="DI2:DL2"/>
    <mergeCell ref="BI2:BL2"/>
    <mergeCell ref="CW1:DP1"/>
    <mergeCell ref="AX2:BA2"/>
    <mergeCell ref="Q2:T2"/>
    <mergeCell ref="U2:X2"/>
    <mergeCell ref="AC2:AF2"/>
    <mergeCell ref="AL2:AO2"/>
    <mergeCell ref="AP2:AS2"/>
    <mergeCell ref="Y2:AB2"/>
    <mergeCell ref="AT2:AW2"/>
    <mergeCell ref="BG1:BH1"/>
    <mergeCell ref="CC1:CV1"/>
    <mergeCell ref="CC2:CF2"/>
    <mergeCell ref="BM2:BP2"/>
    <mergeCell ref="BQ2:BT2"/>
    <mergeCell ref="BU2:BX2"/>
    <mergeCell ref="G1:G3"/>
    <mergeCell ref="H1:H3"/>
    <mergeCell ref="I1:I3"/>
    <mergeCell ref="J1:J3"/>
    <mergeCell ref="F1:F3"/>
    <mergeCell ref="A1:A3"/>
    <mergeCell ref="B1:B3"/>
    <mergeCell ref="C1:C3"/>
    <mergeCell ref="D1:D3"/>
    <mergeCell ref="E1:E3"/>
    <mergeCell ref="P1:P3"/>
    <mergeCell ref="K1:K3"/>
    <mergeCell ref="L1:L3"/>
    <mergeCell ref="M1:M3"/>
    <mergeCell ref="O1:O3"/>
    <mergeCell ref="N1:N3"/>
    <mergeCell ref="KO1:LI1"/>
    <mergeCell ref="KO2:KR2"/>
    <mergeCell ref="KS2:KV2"/>
    <mergeCell ref="KW2:KZ2"/>
    <mergeCell ref="LA2:LD2"/>
  </mergeCells>
  <conditionalFormatting sqref="A1:A1048576">
    <cfRule type="expression" dxfId="96" priority="77">
      <formula>AND(H1="P",F1="")</formula>
    </cfRule>
  </conditionalFormatting>
  <conditionalFormatting sqref="I1:I1048576">
    <cfRule type="containsText" dxfId="95" priority="8" operator="containsText" text="No DD">
      <formula>NOT(ISERROR(SEARCH("No DD",I1)))</formula>
    </cfRule>
    <cfRule type="containsText" dxfId="94" priority="78" operator="containsText" text="Merit">
      <formula>NOT(ISERROR(SEARCH("Merit",I1)))</formula>
    </cfRule>
    <cfRule type="containsText" dxfId="93" priority="79" operator="containsText" text="Excellence">
      <formula>NOT(ISERROR(SEARCH("Excellence",I1)))</formula>
    </cfRule>
    <cfRule type="containsText" dxfId="92" priority="80" operator="containsText" text="Worlds Team">
      <formula>NOT(ISERROR(SEARCH("Worlds Team",I1)))</formula>
    </cfRule>
    <cfRule type="containsText" dxfId="91" priority="198" operator="containsText" text="National Team">
      <formula>NOT(ISERROR(SEARCH("National Team",I1)))</formula>
    </cfRule>
  </conditionalFormatting>
  <conditionalFormatting sqref="Q4:AK9">
    <cfRule type="expression" dxfId="90" priority="20">
      <formula>IF($AG4&lt;&gt;"",1,0)</formula>
    </cfRule>
  </conditionalFormatting>
  <conditionalFormatting sqref="AL4:BF9">
    <cfRule type="expression" dxfId="89" priority="17">
      <formula>IF($BB4&lt;&gt;"",1,0)</formula>
    </cfRule>
  </conditionalFormatting>
  <conditionalFormatting sqref="K1:K1048576 M1:M1048576">
    <cfRule type="expression" dxfId="88" priority="9016">
      <formula>IF(K1=$AL$1,1,0)</formula>
    </cfRule>
    <cfRule type="expression" dxfId="87" priority="9017">
      <formula>IF(K1=$Q$1,1,0)</formula>
    </cfRule>
  </conditionalFormatting>
  <conditionalFormatting sqref="BY1:BY1048576 KK1:KK1048576 JQ1:JQ1048576 IW1:IW1048576 IC1:IC1048576 HI1:HI1048576 GO1:GO1048576 FU1:FU1048576 FA1:FA1048576 EG1:EG1048576 DM1:DM1048576 CS1:CS1048576">
    <cfRule type="cellIs" dxfId="86" priority="15067" operator="between">
      <formula>CA$13</formula>
      <formula>100</formula>
    </cfRule>
    <cfRule type="cellIs" dxfId="85" priority="15068" operator="between">
      <formula>CA$12</formula>
      <formula>CA$13</formula>
    </cfRule>
  </conditionalFormatting>
  <conditionalFormatting sqref="CT1:CT1048576 DN1:DN1048576 EH1:EH1048576 FB1:FB1048576 FV1:FV1048576 GP1:GP1048576 HJ1:HJ1048576 ID1:ID1048576 IX1:IX1048576 JR1:JR1048576 KL1:KL1048576 BZ1:BZ1048576">
    <cfRule type="cellIs" dxfId="84" priority="15073" operator="between">
      <formula>CA$17</formula>
      <formula>1000</formula>
    </cfRule>
    <cfRule type="cellIs" dxfId="83" priority="15074" operator="between">
      <formula>CA$16</formula>
      <formula>CA$17</formula>
    </cfRule>
    <cfRule type="cellIs" dxfId="82" priority="15075" operator="between">
      <formula>CA$15</formula>
      <formula>CA$16</formula>
    </cfRule>
    <cfRule type="cellIs" dxfId="81" priority="15076" operator="between">
      <formula>CA$14</formula>
      <formula>CA$15</formula>
    </cfRule>
  </conditionalFormatting>
  <conditionalFormatting sqref="BC1:BC1048576 AH1:AH1048576">
    <cfRule type="expression" dxfId="80" priority="17893">
      <formula>IF(AND(AH1&gt;=AJ$13,AH1&lt;1000,AG1=""),1,0)</formula>
    </cfRule>
    <cfRule type="expression" dxfId="79" priority="17894">
      <formula>IF(AND(AH1&gt;=AJ$12,AH1&lt;AJ$13,AG1=""),1,0)</formula>
    </cfRule>
  </conditionalFormatting>
  <conditionalFormatting sqref="AI1:AI1048576 BD1:BD1048576">
    <cfRule type="expression" dxfId="78" priority="17901">
      <formula>IF(AND(AI1&gt;=AJ$17,AI1&lt;1000,AG1=""),1,0)</formula>
    </cfRule>
    <cfRule type="expression" dxfId="77" priority="17902">
      <formula>IF(AND(AI1&gt;=AJ$16,AI1&lt;AJ$17,AG1=""),1,0)</formula>
    </cfRule>
    <cfRule type="expression" dxfId="76" priority="17903">
      <formula>IF(AND(AI1&gt;=AJ$15,AI1&lt;AJ$16,AG1=""),1,0)</formula>
    </cfRule>
    <cfRule type="expression" dxfId="75" priority="17904">
      <formula>IF(AND(AI1&gt;=AJ$14,AI1&lt;AJ$15,AG1=""),1,0)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LI1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5.33203125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7" width="10.83203125" customWidth="1"/>
    <col min="38" max="54" width="10.83203125" hidden="1" customWidth="1"/>
    <col min="55" max="58" width="10.83203125" customWidth="1"/>
    <col min="61" max="76" width="10.83203125" hidden="1" customWidth="1"/>
    <col min="77" max="80" width="10.83203125" customWidth="1"/>
    <col min="81" max="96" width="10.83203125" hidden="1" customWidth="1"/>
    <col min="97" max="100" width="10.83203125" customWidth="1"/>
    <col min="101" max="321" width="10.83203125" hidden="1" customWidth="1"/>
  </cols>
  <sheetData>
    <row r="1" spans="1:321" ht="16" customHeight="1" x14ac:dyDescent="0.2">
      <c r="A1" s="124" t="s">
        <v>1</v>
      </c>
      <c r="B1" s="124" t="s">
        <v>41</v>
      </c>
      <c r="C1" s="124" t="s">
        <v>0</v>
      </c>
      <c r="D1" s="124" t="s">
        <v>102</v>
      </c>
      <c r="E1" s="124" t="s">
        <v>2</v>
      </c>
      <c r="F1" s="130" t="s">
        <v>149</v>
      </c>
      <c r="G1" s="130" t="s">
        <v>150</v>
      </c>
      <c r="H1" s="130" t="s">
        <v>15</v>
      </c>
      <c r="I1" s="124" t="s">
        <v>16</v>
      </c>
      <c r="J1" s="126" t="s">
        <v>17</v>
      </c>
      <c r="K1" s="126" t="s">
        <v>62</v>
      </c>
      <c r="L1" s="126" t="s">
        <v>20</v>
      </c>
      <c r="M1" s="126" t="s">
        <v>62</v>
      </c>
      <c r="N1" s="127" t="s">
        <v>21</v>
      </c>
      <c r="O1" s="126" t="s">
        <v>63</v>
      </c>
      <c r="P1" s="126" t="s">
        <v>62</v>
      </c>
      <c r="Q1" s="120" t="s">
        <v>166</v>
      </c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  <c r="AK1" s="120"/>
      <c r="AL1" s="123" t="s">
        <v>184</v>
      </c>
      <c r="AM1" s="123"/>
      <c r="AN1" s="123"/>
      <c r="AO1" s="123"/>
      <c r="AP1" s="123"/>
      <c r="AQ1" s="123"/>
      <c r="AR1" s="123"/>
      <c r="AS1" s="123"/>
      <c r="AT1" s="123"/>
      <c r="AU1" s="123"/>
      <c r="AV1" s="123"/>
      <c r="AW1" s="123"/>
      <c r="AX1" s="123"/>
      <c r="AY1" s="123"/>
      <c r="AZ1" s="123"/>
      <c r="BA1" s="123"/>
      <c r="BB1" s="123"/>
      <c r="BC1" s="123"/>
      <c r="BD1" s="123"/>
      <c r="BE1" s="123"/>
      <c r="BF1" s="123"/>
      <c r="BG1" s="128" t="s">
        <v>148</v>
      </c>
      <c r="BH1" s="128"/>
      <c r="BI1" s="120" t="s">
        <v>120</v>
      </c>
      <c r="BJ1" s="120"/>
      <c r="BK1" s="120"/>
      <c r="BL1" s="120"/>
      <c r="BM1" s="120"/>
      <c r="BN1" s="120"/>
      <c r="BO1" s="120"/>
      <c r="BP1" s="120"/>
      <c r="BQ1" s="120"/>
      <c r="BR1" s="120"/>
      <c r="BS1" s="120"/>
      <c r="BT1" s="120"/>
      <c r="BU1" s="120"/>
      <c r="BV1" s="120"/>
      <c r="BW1" s="120"/>
      <c r="BX1" s="120"/>
      <c r="BY1" s="120"/>
      <c r="BZ1" s="120"/>
      <c r="CA1" s="120"/>
      <c r="CB1" s="120"/>
      <c r="CC1" s="123" t="s">
        <v>211</v>
      </c>
      <c r="CD1" s="123"/>
      <c r="CE1" s="123"/>
      <c r="CF1" s="123"/>
      <c r="CG1" s="123"/>
      <c r="CH1" s="123"/>
      <c r="CI1" s="123"/>
      <c r="CJ1" s="123"/>
      <c r="CK1" s="123"/>
      <c r="CL1" s="123"/>
      <c r="CM1" s="123"/>
      <c r="CN1" s="123"/>
      <c r="CO1" s="123"/>
      <c r="CP1" s="123"/>
      <c r="CQ1" s="123"/>
      <c r="CR1" s="123"/>
      <c r="CS1" s="123"/>
      <c r="CT1" s="123"/>
      <c r="CU1" s="123"/>
      <c r="CV1" s="123"/>
      <c r="CW1" s="120"/>
      <c r="CX1" s="120"/>
      <c r="CY1" s="120"/>
      <c r="CZ1" s="120"/>
      <c r="DA1" s="120"/>
      <c r="DB1" s="120"/>
      <c r="DC1" s="120"/>
      <c r="DD1" s="120"/>
      <c r="DE1" s="120"/>
      <c r="DF1" s="120"/>
      <c r="DG1" s="120"/>
      <c r="DH1" s="120"/>
      <c r="DI1" s="120"/>
      <c r="DJ1" s="120"/>
      <c r="DK1" s="120"/>
      <c r="DL1" s="120"/>
      <c r="DM1" s="120"/>
      <c r="DN1" s="120"/>
      <c r="DO1" s="120"/>
      <c r="DP1" s="120"/>
      <c r="DQ1" s="123"/>
      <c r="DR1" s="123"/>
      <c r="DS1" s="123"/>
      <c r="DT1" s="123"/>
      <c r="DU1" s="123"/>
      <c r="DV1" s="123"/>
      <c r="DW1" s="123"/>
      <c r="DX1" s="123"/>
      <c r="DY1" s="123"/>
      <c r="DZ1" s="123"/>
      <c r="EA1" s="123"/>
      <c r="EB1" s="123"/>
      <c r="EC1" s="123"/>
      <c r="ED1" s="123"/>
      <c r="EE1" s="123"/>
      <c r="EF1" s="123"/>
      <c r="EG1" s="123"/>
      <c r="EH1" s="123"/>
      <c r="EI1" s="123"/>
      <c r="EJ1" s="123"/>
      <c r="EK1" s="120"/>
      <c r="EL1" s="120"/>
      <c r="EM1" s="120"/>
      <c r="EN1" s="120"/>
      <c r="EO1" s="120"/>
      <c r="EP1" s="120"/>
      <c r="EQ1" s="120"/>
      <c r="ER1" s="120"/>
      <c r="ES1" s="120"/>
      <c r="ET1" s="120"/>
      <c r="EU1" s="120"/>
      <c r="EV1" s="120"/>
      <c r="EW1" s="120"/>
      <c r="EX1" s="120"/>
      <c r="EY1" s="120"/>
      <c r="EZ1" s="120"/>
      <c r="FA1" s="120"/>
      <c r="FB1" s="120"/>
      <c r="FC1" s="120"/>
      <c r="FD1" s="120"/>
      <c r="FE1" s="123"/>
      <c r="FF1" s="123"/>
      <c r="FG1" s="123"/>
      <c r="FH1" s="123"/>
      <c r="FI1" s="123"/>
      <c r="FJ1" s="123"/>
      <c r="FK1" s="123"/>
      <c r="FL1" s="123"/>
      <c r="FM1" s="123"/>
      <c r="FN1" s="123"/>
      <c r="FO1" s="123"/>
      <c r="FP1" s="123"/>
      <c r="FQ1" s="123"/>
      <c r="FR1" s="123"/>
      <c r="FS1" s="123"/>
      <c r="FT1" s="123"/>
      <c r="FU1" s="123"/>
      <c r="FV1" s="123"/>
      <c r="FW1" s="123"/>
      <c r="FX1" s="123"/>
      <c r="FY1" s="120"/>
      <c r="FZ1" s="120"/>
      <c r="GA1" s="120"/>
      <c r="GB1" s="120"/>
      <c r="GC1" s="120"/>
      <c r="GD1" s="120"/>
      <c r="GE1" s="120"/>
      <c r="GF1" s="120"/>
      <c r="GG1" s="120"/>
      <c r="GH1" s="120"/>
      <c r="GI1" s="120"/>
      <c r="GJ1" s="120"/>
      <c r="GK1" s="120"/>
      <c r="GL1" s="120"/>
      <c r="GM1" s="120"/>
      <c r="GN1" s="120"/>
      <c r="GO1" s="120"/>
      <c r="GP1" s="120"/>
      <c r="GQ1" s="120"/>
      <c r="GR1" s="120"/>
      <c r="GS1" s="123"/>
      <c r="GT1" s="123"/>
      <c r="GU1" s="123"/>
      <c r="GV1" s="123"/>
      <c r="GW1" s="123"/>
      <c r="GX1" s="123"/>
      <c r="GY1" s="123"/>
      <c r="GZ1" s="123"/>
      <c r="HA1" s="123"/>
      <c r="HB1" s="123"/>
      <c r="HC1" s="123"/>
      <c r="HD1" s="123"/>
      <c r="HE1" s="123"/>
      <c r="HF1" s="123"/>
      <c r="HG1" s="123"/>
      <c r="HH1" s="123"/>
      <c r="HI1" s="123"/>
      <c r="HJ1" s="123"/>
      <c r="HK1" s="123"/>
      <c r="HL1" s="123"/>
      <c r="HM1" s="120"/>
      <c r="HN1" s="120"/>
      <c r="HO1" s="120"/>
      <c r="HP1" s="120"/>
      <c r="HQ1" s="120"/>
      <c r="HR1" s="120"/>
      <c r="HS1" s="120"/>
      <c r="HT1" s="120"/>
      <c r="HU1" s="120"/>
      <c r="HV1" s="120"/>
      <c r="HW1" s="120"/>
      <c r="HX1" s="120"/>
      <c r="HY1" s="120"/>
      <c r="HZ1" s="120"/>
      <c r="IA1" s="120"/>
      <c r="IB1" s="120"/>
      <c r="IC1" s="120"/>
      <c r="ID1" s="120"/>
      <c r="IE1" s="120"/>
      <c r="IF1" s="120"/>
      <c r="IG1" s="123"/>
      <c r="IH1" s="123"/>
      <c r="II1" s="123"/>
      <c r="IJ1" s="123"/>
      <c r="IK1" s="123"/>
      <c r="IL1" s="123"/>
      <c r="IM1" s="123"/>
      <c r="IN1" s="123"/>
      <c r="IO1" s="123"/>
      <c r="IP1" s="123"/>
      <c r="IQ1" s="123"/>
      <c r="IR1" s="123"/>
      <c r="IS1" s="123"/>
      <c r="IT1" s="123"/>
      <c r="IU1" s="123"/>
      <c r="IV1" s="123"/>
      <c r="IW1" s="123"/>
      <c r="IX1" s="123"/>
      <c r="IY1" s="123"/>
      <c r="IZ1" s="123"/>
      <c r="JA1" s="120"/>
      <c r="JB1" s="120"/>
      <c r="JC1" s="120"/>
      <c r="JD1" s="120"/>
      <c r="JE1" s="120"/>
      <c r="JF1" s="120"/>
      <c r="JG1" s="120"/>
      <c r="JH1" s="120"/>
      <c r="JI1" s="120"/>
      <c r="JJ1" s="120"/>
      <c r="JK1" s="120"/>
      <c r="JL1" s="120"/>
      <c r="JM1" s="120"/>
      <c r="JN1" s="120"/>
      <c r="JO1" s="120"/>
      <c r="JP1" s="120"/>
      <c r="JQ1" s="120"/>
      <c r="JR1" s="120"/>
      <c r="JS1" s="120"/>
      <c r="JT1" s="120"/>
      <c r="JU1" s="123"/>
      <c r="JV1" s="123"/>
      <c r="JW1" s="123"/>
      <c r="JX1" s="123"/>
      <c r="JY1" s="123"/>
      <c r="JZ1" s="123"/>
      <c r="KA1" s="123"/>
      <c r="KB1" s="123"/>
      <c r="KC1" s="123"/>
      <c r="KD1" s="123"/>
      <c r="KE1" s="123"/>
      <c r="KF1" s="123"/>
      <c r="KG1" s="123"/>
      <c r="KH1" s="123"/>
      <c r="KI1" s="123"/>
      <c r="KJ1" s="123"/>
      <c r="KK1" s="123"/>
      <c r="KL1" s="123"/>
      <c r="KM1" s="123"/>
      <c r="KN1" s="123"/>
      <c r="KO1" s="120" t="s">
        <v>161</v>
      </c>
      <c r="KP1" s="120"/>
      <c r="KQ1" s="120"/>
      <c r="KR1" s="120"/>
      <c r="KS1" s="120"/>
      <c r="KT1" s="120"/>
      <c r="KU1" s="120"/>
      <c r="KV1" s="120"/>
      <c r="KW1" s="120"/>
      <c r="KX1" s="120"/>
      <c r="KY1" s="120"/>
      <c r="KZ1" s="120"/>
      <c r="LA1" s="120"/>
      <c r="LB1" s="120"/>
      <c r="LC1" s="120"/>
      <c r="LD1" s="120"/>
      <c r="LE1" s="120"/>
      <c r="LF1" s="120"/>
      <c r="LG1" s="120"/>
      <c r="LH1" s="120"/>
      <c r="LI1" s="120"/>
    </row>
    <row r="2" spans="1:321" x14ac:dyDescent="0.2">
      <c r="A2" s="124"/>
      <c r="B2" s="124"/>
      <c r="C2" s="124"/>
      <c r="D2" s="124"/>
      <c r="E2" s="124"/>
      <c r="F2" s="130"/>
      <c r="G2" s="130"/>
      <c r="H2" s="130"/>
      <c r="I2" s="124"/>
      <c r="J2" s="126"/>
      <c r="K2" s="126"/>
      <c r="L2" s="126"/>
      <c r="M2" s="126"/>
      <c r="N2" s="127"/>
      <c r="O2" s="126"/>
      <c r="P2" s="126"/>
      <c r="Q2" s="121" t="s">
        <v>44</v>
      </c>
      <c r="R2" s="121"/>
      <c r="S2" s="121"/>
      <c r="T2" s="121"/>
      <c r="U2" s="121" t="s">
        <v>47</v>
      </c>
      <c r="V2" s="121"/>
      <c r="W2" s="121"/>
      <c r="X2" s="121"/>
      <c r="Y2" s="121" t="s">
        <v>48</v>
      </c>
      <c r="Z2" s="121"/>
      <c r="AA2" s="121"/>
      <c r="AB2" s="121"/>
      <c r="AC2" s="129" t="s">
        <v>49</v>
      </c>
      <c r="AD2" s="129"/>
      <c r="AE2" s="129"/>
      <c r="AF2" s="129"/>
      <c r="AG2" s="80"/>
      <c r="AH2" s="60" t="s">
        <v>32</v>
      </c>
      <c r="AI2" s="10" t="s">
        <v>31</v>
      </c>
      <c r="AJ2" s="10" t="s">
        <v>30</v>
      </c>
      <c r="AK2" s="10" t="s">
        <v>25</v>
      </c>
      <c r="AL2" s="122" t="s">
        <v>44</v>
      </c>
      <c r="AM2" s="122"/>
      <c r="AN2" s="122"/>
      <c r="AO2" s="122"/>
      <c r="AP2" s="122" t="s">
        <v>47</v>
      </c>
      <c r="AQ2" s="122"/>
      <c r="AR2" s="122"/>
      <c r="AS2" s="122"/>
      <c r="AT2" s="122" t="s">
        <v>48</v>
      </c>
      <c r="AU2" s="122"/>
      <c r="AV2" s="122"/>
      <c r="AW2" s="122"/>
      <c r="AX2" s="131" t="s">
        <v>49</v>
      </c>
      <c r="AY2" s="131"/>
      <c r="AZ2" s="131"/>
      <c r="BA2" s="131"/>
      <c r="BB2" s="81"/>
      <c r="BC2" s="59" t="s">
        <v>32</v>
      </c>
      <c r="BD2" s="13" t="s">
        <v>31</v>
      </c>
      <c r="BE2" s="13" t="s">
        <v>30</v>
      </c>
      <c r="BF2" s="13" t="s">
        <v>25</v>
      </c>
      <c r="BG2" s="24" t="s">
        <v>31</v>
      </c>
      <c r="BH2" s="24" t="s">
        <v>30</v>
      </c>
      <c r="BI2" s="121" t="s">
        <v>44</v>
      </c>
      <c r="BJ2" s="121"/>
      <c r="BK2" s="121"/>
      <c r="BL2" s="121"/>
      <c r="BM2" s="121" t="s">
        <v>47</v>
      </c>
      <c r="BN2" s="121"/>
      <c r="BO2" s="121"/>
      <c r="BP2" s="121"/>
      <c r="BQ2" s="121" t="s">
        <v>48</v>
      </c>
      <c r="BR2" s="121"/>
      <c r="BS2" s="121"/>
      <c r="BT2" s="121"/>
      <c r="BU2" s="132" t="s">
        <v>49</v>
      </c>
      <c r="BV2" s="132"/>
      <c r="BW2" s="132"/>
      <c r="BX2" s="132"/>
      <c r="BY2" s="60" t="s">
        <v>32</v>
      </c>
      <c r="BZ2" s="10" t="s">
        <v>31</v>
      </c>
      <c r="CA2" s="10" t="s">
        <v>30</v>
      </c>
      <c r="CB2" s="10" t="s">
        <v>25</v>
      </c>
      <c r="CC2" s="122" t="s">
        <v>44</v>
      </c>
      <c r="CD2" s="122"/>
      <c r="CE2" s="122"/>
      <c r="CF2" s="122"/>
      <c r="CG2" s="122" t="s">
        <v>47</v>
      </c>
      <c r="CH2" s="122"/>
      <c r="CI2" s="122"/>
      <c r="CJ2" s="122"/>
      <c r="CK2" s="122" t="s">
        <v>48</v>
      </c>
      <c r="CL2" s="122"/>
      <c r="CM2" s="122"/>
      <c r="CN2" s="122"/>
      <c r="CO2" s="131" t="s">
        <v>49</v>
      </c>
      <c r="CP2" s="131"/>
      <c r="CQ2" s="131"/>
      <c r="CR2" s="131"/>
      <c r="CS2" s="59" t="s">
        <v>32</v>
      </c>
      <c r="CT2" s="13" t="s">
        <v>31</v>
      </c>
      <c r="CU2" s="13" t="s">
        <v>30</v>
      </c>
      <c r="CV2" s="13" t="s">
        <v>25</v>
      </c>
      <c r="CW2" s="121" t="s">
        <v>44</v>
      </c>
      <c r="CX2" s="121"/>
      <c r="CY2" s="121"/>
      <c r="CZ2" s="121"/>
      <c r="DA2" s="121" t="s">
        <v>47</v>
      </c>
      <c r="DB2" s="121"/>
      <c r="DC2" s="121"/>
      <c r="DD2" s="121"/>
      <c r="DE2" s="121" t="s">
        <v>48</v>
      </c>
      <c r="DF2" s="121"/>
      <c r="DG2" s="121"/>
      <c r="DH2" s="121"/>
      <c r="DI2" s="132" t="s">
        <v>49</v>
      </c>
      <c r="DJ2" s="132"/>
      <c r="DK2" s="132"/>
      <c r="DL2" s="132"/>
      <c r="DM2" s="60" t="s">
        <v>32</v>
      </c>
      <c r="DN2" s="10" t="s">
        <v>31</v>
      </c>
      <c r="DO2" s="10" t="s">
        <v>30</v>
      </c>
      <c r="DP2" s="10" t="s">
        <v>25</v>
      </c>
      <c r="DQ2" s="122" t="s">
        <v>44</v>
      </c>
      <c r="DR2" s="122"/>
      <c r="DS2" s="122"/>
      <c r="DT2" s="122"/>
      <c r="DU2" s="122" t="s">
        <v>47</v>
      </c>
      <c r="DV2" s="122"/>
      <c r="DW2" s="122"/>
      <c r="DX2" s="122"/>
      <c r="DY2" s="122" t="s">
        <v>48</v>
      </c>
      <c r="DZ2" s="122"/>
      <c r="EA2" s="122"/>
      <c r="EB2" s="122"/>
      <c r="EC2" s="131" t="s">
        <v>49</v>
      </c>
      <c r="ED2" s="131"/>
      <c r="EE2" s="131"/>
      <c r="EF2" s="131"/>
      <c r="EG2" s="22" t="s">
        <v>32</v>
      </c>
      <c r="EH2" s="13" t="s">
        <v>31</v>
      </c>
      <c r="EI2" s="13" t="s">
        <v>30</v>
      </c>
      <c r="EJ2" s="13" t="s">
        <v>25</v>
      </c>
      <c r="EK2" s="121" t="s">
        <v>44</v>
      </c>
      <c r="EL2" s="121"/>
      <c r="EM2" s="121"/>
      <c r="EN2" s="121"/>
      <c r="EO2" s="121" t="s">
        <v>47</v>
      </c>
      <c r="EP2" s="121"/>
      <c r="EQ2" s="121"/>
      <c r="ER2" s="121"/>
      <c r="ES2" s="121" t="s">
        <v>48</v>
      </c>
      <c r="ET2" s="121"/>
      <c r="EU2" s="121"/>
      <c r="EV2" s="121"/>
      <c r="EW2" s="132" t="s">
        <v>49</v>
      </c>
      <c r="EX2" s="132"/>
      <c r="EY2" s="132"/>
      <c r="EZ2" s="132"/>
      <c r="FA2" s="23" t="s">
        <v>32</v>
      </c>
      <c r="FB2" s="10" t="s">
        <v>31</v>
      </c>
      <c r="FC2" s="10" t="s">
        <v>30</v>
      </c>
      <c r="FD2" s="10" t="s">
        <v>25</v>
      </c>
      <c r="FE2" s="122" t="s">
        <v>44</v>
      </c>
      <c r="FF2" s="122"/>
      <c r="FG2" s="122"/>
      <c r="FH2" s="122"/>
      <c r="FI2" s="122" t="s">
        <v>47</v>
      </c>
      <c r="FJ2" s="122"/>
      <c r="FK2" s="122"/>
      <c r="FL2" s="122"/>
      <c r="FM2" s="122" t="s">
        <v>48</v>
      </c>
      <c r="FN2" s="122"/>
      <c r="FO2" s="122"/>
      <c r="FP2" s="122"/>
      <c r="FQ2" s="131" t="s">
        <v>49</v>
      </c>
      <c r="FR2" s="131"/>
      <c r="FS2" s="131"/>
      <c r="FT2" s="131"/>
      <c r="FU2" s="22" t="s">
        <v>32</v>
      </c>
      <c r="FV2" s="13" t="s">
        <v>31</v>
      </c>
      <c r="FW2" s="13" t="s">
        <v>30</v>
      </c>
      <c r="FX2" s="13" t="s">
        <v>25</v>
      </c>
      <c r="FY2" s="121" t="s">
        <v>44</v>
      </c>
      <c r="FZ2" s="121"/>
      <c r="GA2" s="121"/>
      <c r="GB2" s="121"/>
      <c r="GC2" s="121" t="s">
        <v>47</v>
      </c>
      <c r="GD2" s="121"/>
      <c r="GE2" s="121"/>
      <c r="GF2" s="121"/>
      <c r="GG2" s="121" t="s">
        <v>48</v>
      </c>
      <c r="GH2" s="121"/>
      <c r="GI2" s="121"/>
      <c r="GJ2" s="121"/>
      <c r="GK2" s="132" t="s">
        <v>49</v>
      </c>
      <c r="GL2" s="132"/>
      <c r="GM2" s="132"/>
      <c r="GN2" s="132"/>
      <c r="GO2" s="23" t="s">
        <v>32</v>
      </c>
      <c r="GP2" s="10" t="s">
        <v>31</v>
      </c>
      <c r="GQ2" s="10" t="s">
        <v>30</v>
      </c>
      <c r="GR2" s="10" t="s">
        <v>25</v>
      </c>
      <c r="GS2" s="122" t="s">
        <v>44</v>
      </c>
      <c r="GT2" s="122"/>
      <c r="GU2" s="122"/>
      <c r="GV2" s="122"/>
      <c r="GW2" s="122" t="s">
        <v>47</v>
      </c>
      <c r="GX2" s="122"/>
      <c r="GY2" s="122"/>
      <c r="GZ2" s="122"/>
      <c r="HA2" s="122" t="s">
        <v>48</v>
      </c>
      <c r="HB2" s="122"/>
      <c r="HC2" s="122"/>
      <c r="HD2" s="122"/>
      <c r="HE2" s="131" t="s">
        <v>49</v>
      </c>
      <c r="HF2" s="131"/>
      <c r="HG2" s="131"/>
      <c r="HH2" s="131"/>
      <c r="HI2" s="22" t="s">
        <v>32</v>
      </c>
      <c r="HJ2" s="13" t="s">
        <v>31</v>
      </c>
      <c r="HK2" s="13" t="s">
        <v>30</v>
      </c>
      <c r="HL2" s="13" t="s">
        <v>25</v>
      </c>
      <c r="HM2" s="121" t="s">
        <v>44</v>
      </c>
      <c r="HN2" s="121"/>
      <c r="HO2" s="121"/>
      <c r="HP2" s="121"/>
      <c r="HQ2" s="121" t="s">
        <v>47</v>
      </c>
      <c r="HR2" s="121"/>
      <c r="HS2" s="121"/>
      <c r="HT2" s="121"/>
      <c r="HU2" s="121" t="s">
        <v>48</v>
      </c>
      <c r="HV2" s="121"/>
      <c r="HW2" s="121"/>
      <c r="HX2" s="121"/>
      <c r="HY2" s="132" t="s">
        <v>49</v>
      </c>
      <c r="HZ2" s="132"/>
      <c r="IA2" s="132"/>
      <c r="IB2" s="132"/>
      <c r="IC2" s="23" t="s">
        <v>32</v>
      </c>
      <c r="ID2" s="10" t="s">
        <v>31</v>
      </c>
      <c r="IE2" s="10" t="s">
        <v>30</v>
      </c>
      <c r="IF2" s="10" t="s">
        <v>25</v>
      </c>
      <c r="IG2" s="122" t="s">
        <v>44</v>
      </c>
      <c r="IH2" s="122"/>
      <c r="II2" s="122"/>
      <c r="IJ2" s="122"/>
      <c r="IK2" s="122" t="s">
        <v>47</v>
      </c>
      <c r="IL2" s="122"/>
      <c r="IM2" s="122"/>
      <c r="IN2" s="122"/>
      <c r="IO2" s="122" t="s">
        <v>48</v>
      </c>
      <c r="IP2" s="122"/>
      <c r="IQ2" s="122"/>
      <c r="IR2" s="122"/>
      <c r="IS2" s="131" t="s">
        <v>49</v>
      </c>
      <c r="IT2" s="131"/>
      <c r="IU2" s="131"/>
      <c r="IV2" s="131"/>
      <c r="IW2" s="22" t="s">
        <v>32</v>
      </c>
      <c r="IX2" s="13" t="s">
        <v>31</v>
      </c>
      <c r="IY2" s="13" t="s">
        <v>30</v>
      </c>
      <c r="IZ2" s="13" t="s">
        <v>25</v>
      </c>
      <c r="JA2" s="121" t="s">
        <v>44</v>
      </c>
      <c r="JB2" s="121"/>
      <c r="JC2" s="121"/>
      <c r="JD2" s="121"/>
      <c r="JE2" s="121" t="s">
        <v>47</v>
      </c>
      <c r="JF2" s="121"/>
      <c r="JG2" s="121"/>
      <c r="JH2" s="121"/>
      <c r="JI2" s="121" t="s">
        <v>48</v>
      </c>
      <c r="JJ2" s="121"/>
      <c r="JK2" s="121"/>
      <c r="JL2" s="121"/>
      <c r="JM2" s="132" t="s">
        <v>49</v>
      </c>
      <c r="JN2" s="132"/>
      <c r="JO2" s="132"/>
      <c r="JP2" s="132"/>
      <c r="JQ2" s="23" t="s">
        <v>32</v>
      </c>
      <c r="JR2" s="10" t="s">
        <v>31</v>
      </c>
      <c r="JS2" s="10" t="s">
        <v>30</v>
      </c>
      <c r="JT2" s="10" t="s">
        <v>25</v>
      </c>
      <c r="JU2" s="122" t="s">
        <v>44</v>
      </c>
      <c r="JV2" s="122"/>
      <c r="JW2" s="122"/>
      <c r="JX2" s="122"/>
      <c r="JY2" s="122" t="s">
        <v>47</v>
      </c>
      <c r="JZ2" s="122"/>
      <c r="KA2" s="122"/>
      <c r="KB2" s="122"/>
      <c r="KC2" s="122" t="s">
        <v>48</v>
      </c>
      <c r="KD2" s="122"/>
      <c r="KE2" s="122"/>
      <c r="KF2" s="122"/>
      <c r="KG2" s="131" t="s">
        <v>49</v>
      </c>
      <c r="KH2" s="131"/>
      <c r="KI2" s="131"/>
      <c r="KJ2" s="131"/>
      <c r="KK2" s="22" t="s">
        <v>32</v>
      </c>
      <c r="KL2" s="13" t="s">
        <v>31</v>
      </c>
      <c r="KM2" s="13" t="s">
        <v>30</v>
      </c>
      <c r="KN2" s="13" t="s">
        <v>25</v>
      </c>
      <c r="KO2" s="121" t="s">
        <v>44</v>
      </c>
      <c r="KP2" s="121"/>
      <c r="KQ2" s="121"/>
      <c r="KR2" s="121"/>
      <c r="KS2" s="121" t="s">
        <v>47</v>
      </c>
      <c r="KT2" s="121"/>
      <c r="KU2" s="121"/>
      <c r="KV2" s="121"/>
      <c r="KW2" s="121" t="s">
        <v>48</v>
      </c>
      <c r="KX2" s="121"/>
      <c r="KY2" s="121"/>
      <c r="KZ2" s="121"/>
      <c r="LA2" s="129" t="s">
        <v>49</v>
      </c>
      <c r="LB2" s="129"/>
      <c r="LC2" s="129"/>
      <c r="LD2" s="129"/>
      <c r="LE2" s="111"/>
      <c r="LF2" s="111" t="s">
        <v>32</v>
      </c>
      <c r="LG2" s="10" t="s">
        <v>31</v>
      </c>
      <c r="LH2" s="10" t="s">
        <v>30</v>
      </c>
      <c r="LI2" s="10" t="s">
        <v>25</v>
      </c>
    </row>
    <row r="3" spans="1:321" x14ac:dyDescent="0.2">
      <c r="A3" s="124"/>
      <c r="B3" s="124"/>
      <c r="C3" s="124"/>
      <c r="D3" s="124"/>
      <c r="E3" s="124"/>
      <c r="F3" s="130"/>
      <c r="G3" s="130"/>
      <c r="H3" s="130"/>
      <c r="I3" s="124"/>
      <c r="J3" s="126"/>
      <c r="K3" s="126"/>
      <c r="L3" s="126"/>
      <c r="M3" s="126"/>
      <c r="N3" s="127"/>
      <c r="O3" s="126"/>
      <c r="P3" s="126"/>
      <c r="Q3" s="60" t="s">
        <v>22</v>
      </c>
      <c r="R3" s="60" t="s">
        <v>14</v>
      </c>
      <c r="S3" s="60" t="s">
        <v>45</v>
      </c>
      <c r="T3" s="60" t="s">
        <v>46</v>
      </c>
      <c r="U3" s="60" t="s">
        <v>22</v>
      </c>
      <c r="V3" s="60" t="s">
        <v>14</v>
      </c>
      <c r="W3" s="60" t="s">
        <v>45</v>
      </c>
      <c r="X3" s="60" t="s">
        <v>46</v>
      </c>
      <c r="Y3" s="60" t="s">
        <v>22</v>
      </c>
      <c r="Z3" s="60" t="s">
        <v>14</v>
      </c>
      <c r="AA3" s="60" t="s">
        <v>45</v>
      </c>
      <c r="AB3" s="60" t="s">
        <v>46</v>
      </c>
      <c r="AC3" s="63" t="s">
        <v>22</v>
      </c>
      <c r="AD3" s="63" t="s">
        <v>14</v>
      </c>
      <c r="AE3" s="63" t="s">
        <v>45</v>
      </c>
      <c r="AF3" s="63" t="s">
        <v>46</v>
      </c>
      <c r="AG3" s="80" t="s">
        <v>99</v>
      </c>
      <c r="AH3" s="11"/>
      <c r="AI3" s="10"/>
      <c r="AJ3" s="11"/>
      <c r="AK3" s="11"/>
      <c r="AL3" s="59" t="s">
        <v>22</v>
      </c>
      <c r="AM3" s="59" t="s">
        <v>14</v>
      </c>
      <c r="AN3" s="59" t="s">
        <v>45</v>
      </c>
      <c r="AO3" s="59" t="s">
        <v>46</v>
      </c>
      <c r="AP3" s="59" t="s">
        <v>22</v>
      </c>
      <c r="AQ3" s="59" t="s">
        <v>14</v>
      </c>
      <c r="AR3" s="59" t="s">
        <v>45</v>
      </c>
      <c r="AS3" s="59" t="s">
        <v>46</v>
      </c>
      <c r="AT3" s="59" t="s">
        <v>22</v>
      </c>
      <c r="AU3" s="59" t="s">
        <v>14</v>
      </c>
      <c r="AV3" s="59" t="s">
        <v>45</v>
      </c>
      <c r="AW3" s="59" t="s">
        <v>46</v>
      </c>
      <c r="AX3" s="61" t="s">
        <v>22</v>
      </c>
      <c r="AY3" s="61" t="s">
        <v>14</v>
      </c>
      <c r="AZ3" s="61" t="s">
        <v>45</v>
      </c>
      <c r="BA3" s="61" t="s">
        <v>46</v>
      </c>
      <c r="BB3" s="81" t="s">
        <v>99</v>
      </c>
      <c r="BC3" s="14"/>
      <c r="BD3" s="13"/>
      <c r="BE3" s="14"/>
      <c r="BF3" s="14"/>
      <c r="BG3" s="25"/>
      <c r="BH3" s="25"/>
      <c r="BI3" s="60" t="s">
        <v>22</v>
      </c>
      <c r="BJ3" s="60" t="s">
        <v>14</v>
      </c>
      <c r="BK3" s="60" t="s">
        <v>45</v>
      </c>
      <c r="BL3" s="60" t="s">
        <v>46</v>
      </c>
      <c r="BM3" s="60" t="s">
        <v>22</v>
      </c>
      <c r="BN3" s="60" t="s">
        <v>14</v>
      </c>
      <c r="BO3" s="60" t="s">
        <v>45</v>
      </c>
      <c r="BP3" s="60" t="s">
        <v>46</v>
      </c>
      <c r="BQ3" s="60" t="s">
        <v>22</v>
      </c>
      <c r="BR3" s="60" t="s">
        <v>14</v>
      </c>
      <c r="BS3" s="60" t="s">
        <v>45</v>
      </c>
      <c r="BT3" s="60" t="s">
        <v>46</v>
      </c>
      <c r="BU3" s="62" t="s">
        <v>22</v>
      </c>
      <c r="BV3" s="62" t="s">
        <v>14</v>
      </c>
      <c r="BW3" s="62" t="s">
        <v>45</v>
      </c>
      <c r="BX3" s="62" t="s">
        <v>46</v>
      </c>
      <c r="BY3" s="11"/>
      <c r="BZ3" s="10"/>
      <c r="CA3" s="11"/>
      <c r="CB3" s="11"/>
      <c r="CC3" s="59" t="s">
        <v>22</v>
      </c>
      <c r="CD3" s="59" t="s">
        <v>14</v>
      </c>
      <c r="CE3" s="59" t="s">
        <v>45</v>
      </c>
      <c r="CF3" s="59" t="s">
        <v>46</v>
      </c>
      <c r="CG3" s="59" t="s">
        <v>22</v>
      </c>
      <c r="CH3" s="59" t="s">
        <v>14</v>
      </c>
      <c r="CI3" s="59" t="s">
        <v>45</v>
      </c>
      <c r="CJ3" s="59" t="s">
        <v>46</v>
      </c>
      <c r="CK3" s="59" t="s">
        <v>22</v>
      </c>
      <c r="CL3" s="59" t="s">
        <v>14</v>
      </c>
      <c r="CM3" s="59" t="s">
        <v>45</v>
      </c>
      <c r="CN3" s="59" t="s">
        <v>46</v>
      </c>
      <c r="CO3" s="61" t="s">
        <v>22</v>
      </c>
      <c r="CP3" s="61" t="s">
        <v>14</v>
      </c>
      <c r="CQ3" s="61" t="s">
        <v>45</v>
      </c>
      <c r="CR3" s="61" t="s">
        <v>46</v>
      </c>
      <c r="CS3" s="14"/>
      <c r="CT3" s="13"/>
      <c r="CU3" s="14"/>
      <c r="CV3" s="14"/>
      <c r="CW3" s="60" t="s">
        <v>22</v>
      </c>
      <c r="CX3" s="60" t="s">
        <v>14</v>
      </c>
      <c r="CY3" s="60" t="s">
        <v>45</v>
      </c>
      <c r="CZ3" s="60" t="s">
        <v>46</v>
      </c>
      <c r="DA3" s="60" t="s">
        <v>22</v>
      </c>
      <c r="DB3" s="60" t="s">
        <v>14</v>
      </c>
      <c r="DC3" s="60" t="s">
        <v>45</v>
      </c>
      <c r="DD3" s="60" t="s">
        <v>46</v>
      </c>
      <c r="DE3" s="60" t="s">
        <v>22</v>
      </c>
      <c r="DF3" s="60" t="s">
        <v>14</v>
      </c>
      <c r="DG3" s="60" t="s">
        <v>45</v>
      </c>
      <c r="DH3" s="60" t="s">
        <v>46</v>
      </c>
      <c r="DI3" s="62" t="s">
        <v>22</v>
      </c>
      <c r="DJ3" s="62" t="s">
        <v>14</v>
      </c>
      <c r="DK3" s="62" t="s">
        <v>45</v>
      </c>
      <c r="DL3" s="62" t="s">
        <v>46</v>
      </c>
      <c r="DM3" s="11"/>
      <c r="DN3" s="10"/>
      <c r="DO3" s="11"/>
      <c r="DP3" s="11"/>
      <c r="DQ3" s="30" t="s">
        <v>22</v>
      </c>
      <c r="DR3" s="30" t="s">
        <v>14</v>
      </c>
      <c r="DS3" s="30" t="s">
        <v>45</v>
      </c>
      <c r="DT3" s="30" t="s">
        <v>46</v>
      </c>
      <c r="DU3" s="30" t="s">
        <v>22</v>
      </c>
      <c r="DV3" s="30" t="s">
        <v>14</v>
      </c>
      <c r="DW3" s="30" t="s">
        <v>45</v>
      </c>
      <c r="DX3" s="30" t="s">
        <v>46</v>
      </c>
      <c r="DY3" s="30" t="s">
        <v>22</v>
      </c>
      <c r="DZ3" s="30" t="s">
        <v>14</v>
      </c>
      <c r="EA3" s="30" t="s">
        <v>45</v>
      </c>
      <c r="EB3" s="30" t="s">
        <v>46</v>
      </c>
      <c r="EC3" s="33" t="s">
        <v>22</v>
      </c>
      <c r="ED3" s="33" t="s">
        <v>14</v>
      </c>
      <c r="EE3" s="33" t="s">
        <v>45</v>
      </c>
      <c r="EF3" s="33" t="s">
        <v>46</v>
      </c>
      <c r="EG3" s="14"/>
      <c r="EH3" s="13"/>
      <c r="EI3" s="14"/>
      <c r="EJ3" s="14"/>
      <c r="EK3" s="31" t="s">
        <v>22</v>
      </c>
      <c r="EL3" s="31" t="s">
        <v>14</v>
      </c>
      <c r="EM3" s="31" t="s">
        <v>45</v>
      </c>
      <c r="EN3" s="31" t="s">
        <v>46</v>
      </c>
      <c r="EO3" s="31" t="s">
        <v>22</v>
      </c>
      <c r="EP3" s="31" t="s">
        <v>14</v>
      </c>
      <c r="EQ3" s="31" t="s">
        <v>45</v>
      </c>
      <c r="ER3" s="31" t="s">
        <v>46</v>
      </c>
      <c r="ES3" s="31" t="s">
        <v>22</v>
      </c>
      <c r="ET3" s="31" t="s">
        <v>14</v>
      </c>
      <c r="EU3" s="31" t="s">
        <v>45</v>
      </c>
      <c r="EV3" s="31" t="s">
        <v>46</v>
      </c>
      <c r="EW3" s="32" t="s">
        <v>22</v>
      </c>
      <c r="EX3" s="32" t="s">
        <v>14</v>
      </c>
      <c r="EY3" s="32" t="s">
        <v>45</v>
      </c>
      <c r="EZ3" s="32" t="s">
        <v>46</v>
      </c>
      <c r="FA3" s="11"/>
      <c r="FB3" s="10"/>
      <c r="FC3" s="11"/>
      <c r="FD3" s="11"/>
      <c r="FE3" s="30" t="s">
        <v>22</v>
      </c>
      <c r="FF3" s="30" t="s">
        <v>14</v>
      </c>
      <c r="FG3" s="30" t="s">
        <v>45</v>
      </c>
      <c r="FH3" s="30" t="s">
        <v>46</v>
      </c>
      <c r="FI3" s="30" t="s">
        <v>22</v>
      </c>
      <c r="FJ3" s="30" t="s">
        <v>14</v>
      </c>
      <c r="FK3" s="30" t="s">
        <v>45</v>
      </c>
      <c r="FL3" s="30" t="s">
        <v>46</v>
      </c>
      <c r="FM3" s="30" t="s">
        <v>22</v>
      </c>
      <c r="FN3" s="30" t="s">
        <v>14</v>
      </c>
      <c r="FO3" s="30" t="s">
        <v>45</v>
      </c>
      <c r="FP3" s="30" t="s">
        <v>46</v>
      </c>
      <c r="FQ3" s="33" t="s">
        <v>22</v>
      </c>
      <c r="FR3" s="33" t="s">
        <v>14</v>
      </c>
      <c r="FS3" s="33" t="s">
        <v>45</v>
      </c>
      <c r="FT3" s="33" t="s">
        <v>46</v>
      </c>
      <c r="FU3" s="14"/>
      <c r="FV3" s="13"/>
      <c r="FW3" s="14"/>
      <c r="FX3" s="14"/>
      <c r="FY3" s="31" t="s">
        <v>22</v>
      </c>
      <c r="FZ3" s="31" t="s">
        <v>14</v>
      </c>
      <c r="GA3" s="31" t="s">
        <v>45</v>
      </c>
      <c r="GB3" s="31" t="s">
        <v>46</v>
      </c>
      <c r="GC3" s="31" t="s">
        <v>22</v>
      </c>
      <c r="GD3" s="31" t="s">
        <v>14</v>
      </c>
      <c r="GE3" s="31" t="s">
        <v>45</v>
      </c>
      <c r="GF3" s="31" t="s">
        <v>46</v>
      </c>
      <c r="GG3" s="31" t="s">
        <v>22</v>
      </c>
      <c r="GH3" s="31" t="s">
        <v>14</v>
      </c>
      <c r="GI3" s="31" t="s">
        <v>45</v>
      </c>
      <c r="GJ3" s="31" t="s">
        <v>46</v>
      </c>
      <c r="GK3" s="32" t="s">
        <v>22</v>
      </c>
      <c r="GL3" s="32" t="s">
        <v>14</v>
      </c>
      <c r="GM3" s="32" t="s">
        <v>45</v>
      </c>
      <c r="GN3" s="32" t="s">
        <v>46</v>
      </c>
      <c r="GO3" s="11"/>
      <c r="GP3" s="10"/>
      <c r="GQ3" s="11"/>
      <c r="GR3" s="11"/>
      <c r="GS3" s="30" t="s">
        <v>22</v>
      </c>
      <c r="GT3" s="30" t="s">
        <v>14</v>
      </c>
      <c r="GU3" s="30" t="s">
        <v>45</v>
      </c>
      <c r="GV3" s="30" t="s">
        <v>46</v>
      </c>
      <c r="GW3" s="30" t="s">
        <v>22</v>
      </c>
      <c r="GX3" s="30" t="s">
        <v>14</v>
      </c>
      <c r="GY3" s="30" t="s">
        <v>45</v>
      </c>
      <c r="GZ3" s="30" t="s">
        <v>46</v>
      </c>
      <c r="HA3" s="30" t="s">
        <v>22</v>
      </c>
      <c r="HB3" s="30" t="s">
        <v>14</v>
      </c>
      <c r="HC3" s="30" t="s">
        <v>45</v>
      </c>
      <c r="HD3" s="30" t="s">
        <v>46</v>
      </c>
      <c r="HE3" s="33" t="s">
        <v>22</v>
      </c>
      <c r="HF3" s="33" t="s">
        <v>14</v>
      </c>
      <c r="HG3" s="33" t="s">
        <v>45</v>
      </c>
      <c r="HH3" s="33" t="s">
        <v>46</v>
      </c>
      <c r="HI3" s="14"/>
      <c r="HJ3" s="13"/>
      <c r="HK3" s="14"/>
      <c r="HL3" s="14"/>
      <c r="HM3" s="31" t="s">
        <v>22</v>
      </c>
      <c r="HN3" s="31" t="s">
        <v>14</v>
      </c>
      <c r="HO3" s="31" t="s">
        <v>45</v>
      </c>
      <c r="HP3" s="31" t="s">
        <v>46</v>
      </c>
      <c r="HQ3" s="31" t="s">
        <v>22</v>
      </c>
      <c r="HR3" s="31" t="s">
        <v>14</v>
      </c>
      <c r="HS3" s="31" t="s">
        <v>45</v>
      </c>
      <c r="HT3" s="31" t="s">
        <v>46</v>
      </c>
      <c r="HU3" s="31" t="s">
        <v>22</v>
      </c>
      <c r="HV3" s="31" t="s">
        <v>14</v>
      </c>
      <c r="HW3" s="31" t="s">
        <v>45</v>
      </c>
      <c r="HX3" s="31" t="s">
        <v>46</v>
      </c>
      <c r="HY3" s="32" t="s">
        <v>22</v>
      </c>
      <c r="HZ3" s="32" t="s">
        <v>14</v>
      </c>
      <c r="IA3" s="32" t="s">
        <v>45</v>
      </c>
      <c r="IB3" s="32" t="s">
        <v>46</v>
      </c>
      <c r="IC3" s="11"/>
      <c r="ID3" s="10"/>
      <c r="IE3" s="11"/>
      <c r="IF3" s="11"/>
      <c r="IG3" s="30" t="s">
        <v>22</v>
      </c>
      <c r="IH3" s="30" t="s">
        <v>14</v>
      </c>
      <c r="II3" s="30" t="s">
        <v>45</v>
      </c>
      <c r="IJ3" s="30" t="s">
        <v>46</v>
      </c>
      <c r="IK3" s="30" t="s">
        <v>22</v>
      </c>
      <c r="IL3" s="30" t="s">
        <v>14</v>
      </c>
      <c r="IM3" s="30" t="s">
        <v>45</v>
      </c>
      <c r="IN3" s="30" t="s">
        <v>46</v>
      </c>
      <c r="IO3" s="30" t="s">
        <v>22</v>
      </c>
      <c r="IP3" s="30" t="s">
        <v>14</v>
      </c>
      <c r="IQ3" s="30" t="s">
        <v>45</v>
      </c>
      <c r="IR3" s="30" t="s">
        <v>46</v>
      </c>
      <c r="IS3" s="33" t="s">
        <v>22</v>
      </c>
      <c r="IT3" s="33" t="s">
        <v>14</v>
      </c>
      <c r="IU3" s="33" t="s">
        <v>45</v>
      </c>
      <c r="IV3" s="33" t="s">
        <v>46</v>
      </c>
      <c r="IW3" s="14"/>
      <c r="IX3" s="13"/>
      <c r="IY3" s="14"/>
      <c r="IZ3" s="14"/>
      <c r="JA3" s="31" t="s">
        <v>22</v>
      </c>
      <c r="JB3" s="31" t="s">
        <v>14</v>
      </c>
      <c r="JC3" s="31" t="s">
        <v>45</v>
      </c>
      <c r="JD3" s="31" t="s">
        <v>46</v>
      </c>
      <c r="JE3" s="31" t="s">
        <v>22</v>
      </c>
      <c r="JF3" s="31" t="s">
        <v>14</v>
      </c>
      <c r="JG3" s="31" t="s">
        <v>45</v>
      </c>
      <c r="JH3" s="31" t="s">
        <v>46</v>
      </c>
      <c r="JI3" s="31" t="s">
        <v>22</v>
      </c>
      <c r="JJ3" s="31" t="s">
        <v>14</v>
      </c>
      <c r="JK3" s="31" t="s">
        <v>45</v>
      </c>
      <c r="JL3" s="31" t="s">
        <v>46</v>
      </c>
      <c r="JM3" s="32" t="s">
        <v>22</v>
      </c>
      <c r="JN3" s="32" t="s">
        <v>14</v>
      </c>
      <c r="JO3" s="32" t="s">
        <v>45</v>
      </c>
      <c r="JP3" s="32" t="s">
        <v>46</v>
      </c>
      <c r="JQ3" s="11"/>
      <c r="JR3" s="10"/>
      <c r="JS3" s="11"/>
      <c r="JT3" s="11"/>
      <c r="JU3" s="30" t="s">
        <v>22</v>
      </c>
      <c r="JV3" s="30" t="s">
        <v>14</v>
      </c>
      <c r="JW3" s="30" t="s">
        <v>45</v>
      </c>
      <c r="JX3" s="30" t="s">
        <v>46</v>
      </c>
      <c r="JY3" s="30" t="s">
        <v>22</v>
      </c>
      <c r="JZ3" s="30" t="s">
        <v>14</v>
      </c>
      <c r="KA3" s="30" t="s">
        <v>45</v>
      </c>
      <c r="KB3" s="30" t="s">
        <v>46</v>
      </c>
      <c r="KC3" s="30" t="s">
        <v>22</v>
      </c>
      <c r="KD3" s="30" t="s">
        <v>14</v>
      </c>
      <c r="KE3" s="30" t="s">
        <v>45</v>
      </c>
      <c r="KF3" s="30" t="s">
        <v>46</v>
      </c>
      <c r="KG3" s="33" t="s">
        <v>22</v>
      </c>
      <c r="KH3" s="33" t="s">
        <v>14</v>
      </c>
      <c r="KI3" s="33" t="s">
        <v>45</v>
      </c>
      <c r="KJ3" s="33" t="s">
        <v>46</v>
      </c>
      <c r="KK3" s="14"/>
      <c r="KL3" s="13"/>
      <c r="KM3" s="14"/>
      <c r="KN3" s="14"/>
      <c r="KO3" s="111" t="s">
        <v>22</v>
      </c>
      <c r="KP3" s="111" t="s">
        <v>14</v>
      </c>
      <c r="KQ3" s="111" t="s">
        <v>45</v>
      </c>
      <c r="KR3" s="111" t="s">
        <v>46</v>
      </c>
      <c r="KS3" s="111" t="s">
        <v>22</v>
      </c>
      <c r="KT3" s="111" t="s">
        <v>14</v>
      </c>
      <c r="KU3" s="111" t="s">
        <v>45</v>
      </c>
      <c r="KV3" s="111" t="s">
        <v>46</v>
      </c>
      <c r="KW3" s="111" t="s">
        <v>22</v>
      </c>
      <c r="KX3" s="111" t="s">
        <v>14</v>
      </c>
      <c r="KY3" s="111" t="s">
        <v>45</v>
      </c>
      <c r="KZ3" s="111" t="s">
        <v>46</v>
      </c>
      <c r="LA3" s="112" t="s">
        <v>22</v>
      </c>
      <c r="LB3" s="112" t="s">
        <v>14</v>
      </c>
      <c r="LC3" s="112" t="s">
        <v>45</v>
      </c>
      <c r="LD3" s="112" t="s">
        <v>46</v>
      </c>
      <c r="LE3" s="111" t="s">
        <v>99</v>
      </c>
      <c r="LF3" s="11"/>
      <c r="LG3" s="10"/>
      <c r="LH3" s="11"/>
      <c r="LI3" s="11"/>
    </row>
    <row r="4" spans="1:321" x14ac:dyDescent="0.2">
      <c r="A4" s="6">
        <f>IF(AND(F4="P",H4="P"),SUMPRODUCT((F$4:F$7="P")*(H$4:H$7="P")*(E$4:E$7&gt;E4))+1,IF(H4="P",SUMPRODUCT((F$4:F$7="")*(H$4:H$7="P")*(E$4:E$7&gt;E4))+1+SUMPRODUCT((F$4:F$7="P")*(H$4:H$7="P")),""))</f>
        <v>1</v>
      </c>
      <c r="B4" s="9" t="s">
        <v>58</v>
      </c>
      <c r="C4" s="5" t="s">
        <v>3</v>
      </c>
      <c r="D4" s="29">
        <v>1991</v>
      </c>
      <c r="E4" s="16">
        <f>SUM(J4:N4)</f>
        <v>134.19999999999999</v>
      </c>
      <c r="F4" s="4" t="str">
        <f>IF(OR(AND(AH4&gt;=AJ$9,AI4&gt;=AJ$11,AI4&lt;&gt;"",AG4=""),AND(BC4&gt;=BE$9,BD4&gt;=BE$11,BD4&lt;&gt;"",BB4=""),AND(BY4&gt;=CA$9,BZ4&gt;=CA$11,BZ4&lt;&gt;""),AND(CS4&gt;=CU$9,CT4&gt;=CU$11,CT4&lt;&gt;""),AND(DM4&gt;=DO$9,DN4&gt;=DO$11,DN4&lt;&gt;""),AND(EG4&gt;=EI$9,EH4&gt;=EI$11,EH4&lt;&gt;""),AND(FA4&gt;=FC$9,FB4&gt;=FC$11,FB4&lt;&gt;""),AND(FU4&gt;=FW$9,FV4&gt;=FW$11,FV4&lt;&gt;""),AND(GO4&gt;=GQ$9,GP4&gt;=GQ$11,GP4&lt;&gt;""),AND(HI4&gt;=HK$9,HJ4&gt;=HK$11,HJ4&lt;&gt;""),AND(IC4&gt;=IE$9,ID4&gt;=IE$11,ID4&lt;&gt;""),AND(IW4&gt;=IY$9,IX4&gt;=IY$11,IX4&lt;&gt;""),AND(JQ4&gt;=JS$9,JR4&gt;=JS$11,JR4&lt;&gt;""),AND(KK4&gt;=KM$9,KL4&gt;=KM$11,KL4&lt;&gt;"")),"P","")</f>
        <v>P</v>
      </c>
      <c r="G4" s="4" t="str">
        <f>IF(OR(AND(AH4&gt;=AJ$9,AI4&gt;=AJ$12,AI4&lt;&gt;"",AG4=""),AND(BC4&gt;=BE$9,BD4&gt;=BE$12,BD4&lt;&gt;"",BB4=""),AND(BY4&gt;=CA$9,BZ4&gt;=CA$12,BZ4&lt;&gt;""),AND(CS4&gt;=CU$9,CT4&gt;=CU$12,CT4&lt;&gt;""),AND(DM4&gt;=DO$9,DN4&gt;=DO$12,DN4&lt;&gt;""),AND(EG4&gt;=EI$9,EH4&gt;=EI$12,EH4&lt;&gt;""),AND(FA4&gt;=FC$9,FB4&gt;=FC$12,FB4&lt;&gt;""),AND(FU4&gt;=FW$9,FV4&gt;=FW$12,FV4&lt;&gt;""),AND(GO4&gt;=GQ$9,GP4&gt;=GQ$12,GP4&lt;&gt;""),AND(HI4&gt;=HK$9,HJ4&gt;=HK$12,HJ4&lt;&gt;""),AND(IC4&gt;=IE$9,ID4&gt;=IE$12,ID4&lt;&gt;""),AND(IW4&gt;=IY$9,IX4&gt;=IY$12,IX4&lt;&gt;""),AND(JQ4&gt;=JS$9,JR4&gt;=JS$12,JR4&lt;&gt;""),AND(KK4&gt;=KM$9,KL4&gt;=KM$12,KL4&lt;&gt;"")),"P","")</f>
        <v>P</v>
      </c>
      <c r="H4" s="4" t="str">
        <f>IF(OR(AND(AI4&gt;=AJ$11,AI4&lt;&gt;"",AG4=""),AND(BD4&gt;=BE$11,BD4&lt;&gt;"",BB4=""),AND(BZ4&gt;=CA$11,BZ4&lt;&gt;""),AND(CT4&gt;=CU$11,CT4&lt;&gt;""),AND(DN4&gt;=DO$11,DN4&lt;&gt;""),AND(EH4&gt;=EI$11,EH4&lt;&gt;""),AND(FB4&gt;=FC$11,FB4&lt;&gt;""),AND(FV4&gt;=FW$11,FV4&lt;&gt;""),AND(GP4&gt;=GQ$11,GP4&lt;&gt;""),AND(HJ4&gt;=HK$11,HJ4&lt;&gt;""),AND(ID4&gt;=IE$11,ID4&lt;&gt;""),AND(IX4&gt;=IY$11,IX4&lt;&gt;""),AND(JR4&gt;=JS$11,JR4&lt;&gt;""),AND(KL4&gt;=KM$11,KL4&lt;&gt;"")),"P","")</f>
        <v>P</v>
      </c>
      <c r="I4" t="str">
        <f>IF(AND(H4="P",F4=""),"No DD",IF(OR(AND(AI4&gt;=AJ$14,AI4&lt;&gt;"",AH4&gt;=AJ$10,AH4&lt;&gt;"",AG4=""),AND(BD4&gt;=BE$14,BD4&lt;&gt;"",BC4&gt;=BE$10,BC4&lt;&gt;"",BB4=""),AND(BZ4&gt;=CA$14,BZ4&lt;&gt;"",BY4&gt;=CA$10,BY4&lt;&gt;""),AND(CT4&gt;=CU$14,CT4&lt;&gt;"",CS4&gt;=CU$10,CS4&lt;&gt;""),AND(DN4&gt;=DO$14,DN4&lt;&gt;"",DM4&gt;=DO$10,DM4&lt;&gt;""),AND(EH4&gt;=EI$14,EH4&lt;&gt;"",EG4&gt;=EI$10,EG4&lt;&gt;""),AND(FB4&gt;=FC$14,FB4&lt;&gt;"",FA4&gt;=FC$10,FA4&lt;&gt;""),AND(FV4&gt;=FW$14,FV4&lt;&gt;"",FU4&gt;=FW$10,FU4&lt;&gt;""),AND(GP4&gt;=GQ$14,GP4&lt;&gt;"",GO4&gt;=GQ$10,GO4&lt;&gt;""),AND(HJ4&gt;=HK$14,HJ4&lt;&gt;"",HI4&gt;=HK$10,HI4&lt;&gt;""),AND(ID4&gt;=IE$14,ID4&lt;&gt;"",IC4&gt;=IE$10,IC4&lt;&gt;""),AND(IX4&gt;=IY$14,IX4&lt;&gt;"",IW4&gt;=IY$10,IW4&lt;&gt;""),AND(JR4&gt;=JS$14,JR4&lt;&gt;"",JQ4&gt;=JS$10,JQ4&lt;&gt;""),AND(KL4&gt;=KM$14,KL4&lt;&gt;"",KK4&gt;=KM$10,KK4&lt;&gt;"")),"Merit",IF(OR(AND(AI4&gt;=AJ$13,AI4&lt;&gt;"",AH4&gt;=AJ$10,AH4&lt;&gt;"",AG4=""),AND(BD4&gt;=BE$13,BD4&lt;&gt;"",BC4&gt;=BE$10,BC4&lt;&gt;"",BB4=""),AND(BZ4&gt;=CA$13,BZ4&lt;&gt;"",BY4&gt;=CA$10,BY4&lt;&gt;""),AND(CT4&gt;=CU$13,CT4&lt;&gt;"",CS4&gt;=CU$10,CS4&lt;&gt;""),AND(DN4&gt;=DO$13,DN4&lt;&gt;"",DM4&gt;=DO$10,DM4&lt;&gt;""),AND(EH4&gt;=EI$13,EH4&lt;&gt;"",EG4&gt;=EI$10,EG4&lt;&gt;""),AND(FB4&gt;=FC$13,FB4&lt;&gt;"",FA4&gt;=FC$10,FA4&lt;&gt;""),AND(FV4&gt;=FW$13,FV4&lt;&gt;"",FU4&gt;=FW$10,FU4&lt;&gt;""),AND(GP4&gt;=GQ$13,GP4&lt;&gt;"",GO4&gt;=GQ$10,GO4&lt;&gt;""),AND(HJ4&gt;=HK$13,HJ4&lt;&gt;"",HI4&gt;=HK$10,HI4&lt;&gt;""),AND(ID4&gt;=IE$13,ID4&lt;&gt;"",IC4&gt;=IE$10,IC4&lt;&gt;""),AND(IX4&gt;=IY$13,IX4&lt;&gt;"",IW4&gt;=IY$10,IW4&lt;&gt;""),AND(JR4&gt;=JS$13,JR4&lt;&gt;"",JQ4&gt;=JS$10,JQ4&lt;&gt;""),AND(KL4&gt;=KM$13,KL4&lt;&gt;"",KK4&gt;=KM$10,KK4&lt;&gt;"")),"Excellence",IF(OR(AND(AI4&gt;=AJ$12,AI4&lt;&gt;"",AH4&gt;=AJ$9,AH4&lt;&gt;"",AG4=""),AND(BD4&gt;=BE$12,BD4&lt;&gt;"",BC4&gt;=BE$9,BC4&lt;&gt;"",BB4=""),AND(BZ4&gt;=CA$12,BZ4&lt;&gt;"",BY4&gt;=CA$9,BY4&lt;&gt;""),AND(CT4&gt;=CU$12,CT4&lt;&gt;"",CS4&gt;=CU$9,CS4&lt;&gt;""),AND(DN4&gt;=DO$12,DN4&lt;&gt;"",DM4&gt;=DO$9,DM4&lt;&gt;""),AND(EH4&gt;=EI$12,EH4&lt;&gt;"",EG4&gt;=EI$9,EG4&lt;&gt;""),AND(FB4&gt;=FC$12,FB4&lt;&gt;"",FA4&gt;=FC$9,FA4&lt;&gt;""),AND(FV4&gt;=FW$12,FV4&lt;&gt;"",FU4&gt;=FW$9,FU4&lt;&gt;""),AND(GP4&gt;=GQ$12,GP4&lt;&gt;"",GO4&gt;=GQ$9,GO4&lt;&gt;""),AND(HJ4&gt;=HK$12,HJ4&lt;&gt;"",HI4&gt;=HK$9,HI4&lt;&gt;""),AND(ID4&gt;=IE$12,ID4&lt;&gt;"",IC4&gt;=IE$9,IC4&lt;&gt;""),AND(IX4&gt;=IY$12,IX4&lt;&gt;"",IW4&gt;=IY$9,IW4&lt;&gt;""),AND(JR4&gt;=JS$12,JR4&lt;&gt;"",JQ4&gt;=JS$9,JQ4&lt;&gt;""),AND(KL4&gt;=KM$12,KL4&lt;&gt;"",KK4&gt;=KM$9,KK4&lt;&gt;"")),"Worlds Team",IF(OR(AND(AI4&gt;=AJ$11,AI4&lt;&gt;"",AH4&gt;=AJ$9,AH4&lt;&gt;"",AG4=""),AND(BD4&gt;=BE$11,BD4&lt;&gt;"",BC4&gt;=BE$9,BC4&lt;&gt;"",BB4=""),AND(BZ4&gt;=CA$11,BZ4&lt;&gt;"",BY4&gt;=CA$9,BY4&lt;&gt;""),AND(CT4&gt;=CU$11,CT4&lt;&gt;"",CS4&gt;=CU$9,CS4&lt;&gt;""),AND(DN4&gt;=DO$11,DN4&lt;&gt;"",DM4&gt;=DO$9,DM4&lt;&gt;""),AND(EH4&gt;=EI$11,EH4&lt;&gt;"",EG4&gt;=EI$9,EG4&lt;&gt;""),AND(FB4&gt;=FC$11,FB4&lt;&gt;"",FA4&gt;=FC$9,FA4&lt;&gt;""),AND(FV4&gt;=FW$11,FV4&lt;&gt;"",FU4&gt;=FW$9,FU4&lt;&gt;""),AND(GP4&gt;=GQ$11,GP4&lt;&gt;"",GO4&gt;=GQ$9,GO4&lt;&gt;""),AND(HJ4&gt;=HK$11,HJ4&lt;&gt;"",HI4&gt;=HK$9,HI4&lt;&gt;""),AND(ID4&gt;=IE$11,ID4&lt;&gt;"",IC4&gt;=IE$9,IC4&lt;&gt;""),AND(IX4&gt;=IY$11,IX4&lt;&gt;"",IW4&gt;=IY$9,IW4&lt;&gt;""),AND(JR4&gt;=JS$11,JR4&lt;&gt;"",JQ4&gt;=JS$9,JQ4&lt;&gt;""),AND(KL4&gt;=KM$11,KL4&lt;&gt;"",KK4&gt;=KM$9,KK4&lt;&gt;"")),"National Team","")))))</f>
        <v>Merit</v>
      </c>
      <c r="J4" s="15">
        <f>IF(MAX(AI4,BD4)&gt;0,MAX(AI4,BD4),"")</f>
        <v>66.8</v>
      </c>
      <c r="K4" s="15" t="str">
        <f>IF(J4="","",IF(J4=BD4,$AL$1,IF(J4=AI4,$Q$1,"")))</f>
        <v>2019 Nationals</v>
      </c>
      <c r="L4" s="15">
        <f>IF(MAX(AJ4,BE4)&gt;0,MAX(AJ4,BE4),"")</f>
        <v>66.100000000000009</v>
      </c>
      <c r="M4" s="15" t="str">
        <f>IF(L4="","",IF(L4=BE4,$AL$1,IF(L4=AJ4,$Q$1,"")))</f>
        <v>2019 Elite Canada</v>
      </c>
      <c r="N4" s="15">
        <f>IF(MAX(BG4:BH4)&gt;0,MAX(BG4:BH4),"")</f>
        <v>1.2999999999999972</v>
      </c>
      <c r="O4" s="27" t="str">
        <f>IF(N4="","",IF(N4=BG4,"(Prelim)",IF(N4=BH4,"(Final)")))</f>
        <v>(Final)</v>
      </c>
      <c r="P4" s="15" t="str">
        <f>IF(N4="","",IF(N4=BG4,IF(N4+IF(J4="",0,J4)=KL4,$JU$1,IF(N4+IF(J4="",0,J4)=JR4,$JA$1,IF(N4+IF(J4="",0,J4)=IX4,$IG$1,IF(N4+IF(J4="",0,J4)=ID4,$HM$1,IF(N4+IF(J4="",0,J4)=HJ4,$GS$1,IF(N4+IF(J4="",0,J4)=GP4,$FY$1,IF(N4+IF(J4="",0,J4)=FV4,$FE$1,IF(N4+IF(J4="",0,J4)=FB4,$EK$1,IF(N4+IF(J4="",0,J4)=EH4,$DQ$1,IF(N4+IF(J4="",0,J4)=DN4,$CW$1,IF(N4+IF(J4="",0,J4)=CT4,$CC$1,IF(N4+IF(J4="",0,J4)=BZ4,$BI$1)))))))))))),IF(N4=BH4,IF(N4+IF(L4="",0,L4)=KM4,$JU$1,IF(N4+IF(L4="",0,L4)=JS4,$JA$1,IF(N4+IF(L4="",0,L4)=IY4,$IG$1,IF(N4+IF(L4="",0,L4)=IE4,$HM$1,IF(N4+IF(L4="",0,L4)=HK4,$GS$1,IF(N4+IF(L4="",0,L4)=GQ4,$FY$1,IF(N4+IF(L4="",0,L4)=FW4,$FE$1,IF(N4+IF(L4="",0,L4)=FC4,$EK$1,IF(N4+IF(L4="",0,L4)=EI4,$DQ$1,IF(N4+IF(L4="",0,L4)=DO4,$CW$1,IF(N4+IF(L4="",0,L4)=CU4,$CC$1,IF(N4+IF(L4="",0,L4)=CA4,$BI$1)))))))))))))))</f>
        <v>2019 World Cup ESP (Oct 6)</v>
      </c>
      <c r="Q4" s="43">
        <v>26.2</v>
      </c>
      <c r="R4" s="43">
        <v>6.5</v>
      </c>
      <c r="S4" s="43">
        <v>0</v>
      </c>
      <c r="T4" s="43">
        <v>0</v>
      </c>
      <c r="U4" s="43">
        <v>26.8</v>
      </c>
      <c r="V4" s="43">
        <v>4.3</v>
      </c>
      <c r="W4" s="43">
        <v>0</v>
      </c>
      <c r="X4" s="43">
        <v>0</v>
      </c>
      <c r="Y4" s="43">
        <v>27.2</v>
      </c>
      <c r="Z4" s="43">
        <v>6.5</v>
      </c>
      <c r="AA4" s="43">
        <v>0</v>
      </c>
      <c r="AB4" s="43">
        <v>0</v>
      </c>
      <c r="AC4" s="43">
        <v>27.7</v>
      </c>
      <c r="AD4" s="43">
        <v>4.7</v>
      </c>
      <c r="AE4" s="43">
        <v>0</v>
      </c>
      <c r="AF4" s="43">
        <v>0</v>
      </c>
      <c r="AG4" s="82"/>
      <c r="AH4" s="12">
        <f>IF(SUM(R4,V4)&gt;0,SUM(R4,V4),"")</f>
        <v>10.8</v>
      </c>
      <c r="AI4" s="12">
        <f>IF(SUM(Q4:R4,T4:V4,X4)-S4-W4&gt;0,SUM(Q4:R4,T4:V4,X4)-S4-W4,"")</f>
        <v>63.8</v>
      </c>
      <c r="AJ4" s="12">
        <f>IF(SUM(Y4:Z4,AB4:AD4,AF4)-SUM(AA4,AE4)&gt;0,SUM(Y4:Z4,AB4:AD4,AF4)-SUM(AA4,AE4),"")</f>
        <v>66.100000000000009</v>
      </c>
      <c r="AK4" s="12">
        <f>IF(SUM(AI4,AJ4)&gt;0,SUM(AI4,AJ4),"")</f>
        <v>129.9</v>
      </c>
      <c r="AL4" s="40">
        <v>27.6</v>
      </c>
      <c r="AM4" s="40">
        <v>6.6</v>
      </c>
      <c r="AN4" s="40">
        <v>0</v>
      </c>
      <c r="AO4" s="40">
        <v>0</v>
      </c>
      <c r="AP4" s="40">
        <v>27</v>
      </c>
      <c r="AQ4" s="40">
        <v>5.6</v>
      </c>
      <c r="AR4" s="40">
        <v>0</v>
      </c>
      <c r="AS4" s="40">
        <v>0</v>
      </c>
      <c r="AT4" s="40">
        <v>25.9</v>
      </c>
      <c r="AU4" s="40">
        <v>6.5</v>
      </c>
      <c r="AV4" s="40">
        <v>0</v>
      </c>
      <c r="AW4" s="40">
        <v>0</v>
      </c>
      <c r="AX4" s="40">
        <v>26.2</v>
      </c>
      <c r="AY4" s="40">
        <v>4.5999999999999996</v>
      </c>
      <c r="AZ4" s="40">
        <v>0.6</v>
      </c>
      <c r="BA4" s="40">
        <v>0</v>
      </c>
      <c r="BB4" s="83"/>
      <c r="BC4" s="15">
        <f>IF(SUM(AM4,AQ4)&gt;0,SUM(AM4,AQ4),"")</f>
        <v>12.2</v>
      </c>
      <c r="BD4" s="15">
        <f>IF(SUM(AL4:AM4,AO4:AQ4,AS4)-AN4-AR4&gt;0,SUM(AL4:AM4,AO4:AQ4,AS4)-AN4-AR4,"")</f>
        <v>66.8</v>
      </c>
      <c r="BE4" s="15">
        <f>IF(SUM(AT4:AU4,AW4:AY4,BA4)-SUM(AV4,AZ4)&gt;0,SUM(AT4:AU4,AW4:AY4,BA4)-SUM(AV4,AZ4),"")</f>
        <v>62.599999999999994</v>
      </c>
      <c r="BF4" s="15">
        <f>IF(SUM(BD4,BE4)&gt;0,SUM(BD4,BE4),"")</f>
        <v>129.39999999999998</v>
      </c>
      <c r="BG4" s="26" t="str">
        <f>IF(MAX(BZ4,CT4,DN4,EH4,FB4,FV4,GP4,HJ4,ID4,IX4,JR4,KL4)-IF(J4="",0,J4)&gt;0.001,MAX(BZ4,CT4,DN4,EH4,FB4,FV4,GP4,HJ4,ID4,IX4,JR4,KL4)-IF(J4="",0,J4),"")</f>
        <v/>
      </c>
      <c r="BH4" s="26">
        <f>IF(MAX(CA4,CU4,DO4,EI4,FC4,FW4,GQ4,HK4,IE4,IY4,JS4,KM4)-IF(L4="",0,L4)&gt;0.001,MAX(CA4,CU4,DO4,EI4,FC4,FW4,GQ4,HK4,IE4,IY4,JS4,KM4)-IF(L4="",0,L4),"")</f>
        <v>1.2999999999999972</v>
      </c>
      <c r="BI4" s="39"/>
      <c r="BJ4" s="39"/>
      <c r="BK4" s="39"/>
      <c r="BL4" s="39"/>
      <c r="BM4" s="39"/>
      <c r="BN4" s="39"/>
      <c r="BO4" s="39"/>
      <c r="BP4" s="39"/>
      <c r="BQ4" s="39"/>
      <c r="BR4" s="39"/>
      <c r="BS4" s="39"/>
      <c r="BT4" s="39"/>
      <c r="BU4" s="39"/>
      <c r="BV4" s="39"/>
      <c r="BW4" s="39"/>
      <c r="BX4" s="39"/>
      <c r="BY4" s="12" t="str">
        <f>IF(SUM(BJ4,BN4)&gt;0,SUM(BJ4,BN4),"")</f>
        <v/>
      </c>
      <c r="BZ4" s="12" t="str">
        <f>IF(SUM(BI4:BJ4,BL4:BN4,BP4)-BK4-BO4&gt;0,SUM(BI4:BJ4,BL4:BN4,BP4)-BK4-BO4,"")</f>
        <v/>
      </c>
      <c r="CA4" s="12" t="str">
        <f>IF(SUM(BQ4:BR4,BT4:BV4,BX4)-SUM(BS4,BW4)&gt;0,SUM(BQ4:BR4,BT4:BV4,BX4)-SUM(BS4,BW4),"")</f>
        <v/>
      </c>
      <c r="CB4" s="12" t="str">
        <f>IF(SUM(BZ4,CA4)&gt;0,SUM(BZ4,CA4),"")</f>
        <v/>
      </c>
      <c r="CC4" s="40">
        <v>26.3</v>
      </c>
      <c r="CD4" s="40">
        <v>6.8</v>
      </c>
      <c r="CE4" s="40">
        <v>0</v>
      </c>
      <c r="CF4" s="40">
        <v>0</v>
      </c>
      <c r="CG4" s="40">
        <v>25.7</v>
      </c>
      <c r="CH4" s="40">
        <v>7.1</v>
      </c>
      <c r="CI4" s="40">
        <v>0</v>
      </c>
      <c r="CJ4" s="40">
        <v>0</v>
      </c>
      <c r="CK4" s="40">
        <v>27</v>
      </c>
      <c r="CL4" s="40">
        <v>7.2</v>
      </c>
      <c r="CM4" s="40">
        <v>0</v>
      </c>
      <c r="CN4" s="40">
        <v>0</v>
      </c>
      <c r="CO4" s="40">
        <v>26.5</v>
      </c>
      <c r="CP4" s="40">
        <v>6.7</v>
      </c>
      <c r="CQ4" s="40">
        <v>0</v>
      </c>
      <c r="CR4" s="40">
        <v>0</v>
      </c>
      <c r="CS4" s="15">
        <f>IF(SUM(CD4,CH4)&gt;0,SUM(CD4,CH4),"")</f>
        <v>13.899999999999999</v>
      </c>
      <c r="CT4" s="15">
        <f>IF(SUM(CC4:CD4,CF4:CH4,CJ4)-CE4-CI4&gt;0,SUM(CC4:CD4,CF4:CH4,CJ4)-CE4-CI4,"")</f>
        <v>65.899999999999991</v>
      </c>
      <c r="CU4" s="15">
        <f>IF(SUM(CK4:CL4,CN4:CP4,CR4)-SUM(CM4,CQ4)&gt;0,SUM(CK4:CL4,CN4:CP4,CR4)-SUM(CM4,CQ4),"")</f>
        <v>67.400000000000006</v>
      </c>
      <c r="CV4" s="15">
        <f>IF(SUM(CT4,CU4)&gt;0,SUM(CT4,CU4),"")</f>
        <v>133.30000000000001</v>
      </c>
      <c r="CW4" s="39"/>
      <c r="CX4" s="39"/>
      <c r="CY4" s="39"/>
      <c r="CZ4" s="39"/>
      <c r="DA4" s="39"/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12" t="str">
        <f>IF(SUM(CX4,DB4)&gt;0,SUM(CX4,DB4),"")</f>
        <v/>
      </c>
      <c r="DN4" s="12" t="str">
        <f>IF(SUM(CW4:CX4,CZ4:DB4,DD4)-CY4-DC4&gt;0,SUM(CW4:CX4,CZ4:DB4,DD4)-CY4-DC4,"")</f>
        <v/>
      </c>
      <c r="DO4" s="12" t="str">
        <f>IF(SUM(DE4:DF4,DH4:DJ4,DL4)-SUM(DG4,DK4)&gt;0,SUM(DE4:DF4,DH4:DJ4,DL4)-SUM(DG4,DK4),"")</f>
        <v/>
      </c>
      <c r="DP4" s="12" t="str">
        <f>IF(SUM(DN4,DO4)&gt;0,SUM(DN4,DO4),"")</f>
        <v/>
      </c>
      <c r="DQ4" s="40"/>
      <c r="DR4" s="40"/>
      <c r="DS4" s="40"/>
      <c r="DT4" s="40"/>
      <c r="DU4" s="40"/>
      <c r="DV4" s="40"/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15" t="str">
        <f>IF(SUM(DR4,DV4)&gt;0,SUM(DR4,DV4),"")</f>
        <v/>
      </c>
      <c r="EH4" s="15" t="str">
        <f>IF(SUM(DQ4:DR4,DT4:DV4,DX4)-DS4-DW4&gt;0,SUM(DQ4:DR4,DT4:DV4,DX4)-DS4-DW4,"")</f>
        <v/>
      </c>
      <c r="EI4" s="15" t="str">
        <f>IF(SUM(DY4:DZ4,EB4:ED4,EF4)-SUM(EA4,EE4)&gt;0,SUM(DY4:DZ4,EB4:ED4,EF4)-SUM(EA4,EE4),"")</f>
        <v/>
      </c>
      <c r="EJ4" s="15" t="str">
        <f>IF(SUM(EH4,EI4)&gt;0,SUM(EH4,EI4),"")</f>
        <v/>
      </c>
      <c r="EK4" s="39"/>
      <c r="EL4" s="39"/>
      <c r="EM4" s="39"/>
      <c r="EN4" s="39"/>
      <c r="EO4" s="39"/>
      <c r="EP4" s="39"/>
      <c r="EQ4" s="39"/>
      <c r="ER4" s="39"/>
      <c r="ES4" s="39"/>
      <c r="ET4" s="39"/>
      <c r="EU4" s="39"/>
      <c r="EV4" s="39"/>
      <c r="EW4" s="39"/>
      <c r="EX4" s="39"/>
      <c r="EY4" s="39"/>
      <c r="EZ4" s="39"/>
      <c r="FA4" s="12" t="str">
        <f>IF(SUM(EL4,EP4)&gt;0,SUM(EL4,EP4),"")</f>
        <v/>
      </c>
      <c r="FB4" s="12" t="str">
        <f>IF(SUM(EK4:EL4,EN4:EP4,ER4)-EM4-EQ4&gt;0,SUM(EK4:EL4,EN4:EP4,ER4)-EM4-EQ4,"")</f>
        <v/>
      </c>
      <c r="FC4" s="12" t="str">
        <f>IF(SUM(ES4:ET4,EV4:EX4,EZ4)-SUM(EU4,EY4)&gt;0,SUM(ES4:ET4,EV4:EX4,EZ4)-SUM(EU4,EY4),"")</f>
        <v/>
      </c>
      <c r="FD4" s="12" t="str">
        <f>IF(SUM(FB4,FC4)&gt;0,SUM(FB4,FC4),"")</f>
        <v/>
      </c>
      <c r="FE4" s="40"/>
      <c r="FF4" s="40"/>
      <c r="FG4" s="40"/>
      <c r="FH4" s="40"/>
      <c r="FI4" s="40"/>
      <c r="FJ4" s="40"/>
      <c r="FK4" s="40"/>
      <c r="FL4" s="40"/>
      <c r="FM4" s="40"/>
      <c r="FN4" s="40"/>
      <c r="FO4" s="40"/>
      <c r="FP4" s="40"/>
      <c r="FQ4" s="40"/>
      <c r="FR4" s="40"/>
      <c r="FS4" s="40"/>
      <c r="FT4" s="40"/>
      <c r="FU4" s="15" t="str">
        <f>IF(SUM(FF4,FJ4)&gt;0,SUM(FF4,FJ4),"")</f>
        <v/>
      </c>
      <c r="FV4" s="15" t="str">
        <f>IF(SUM(FE4:FF4,FH4:FJ4,FL4)-FG4-FK4&gt;0,SUM(FE4:FF4,FH4:FJ4,FL4)-FG4-FK4,"")</f>
        <v/>
      </c>
      <c r="FW4" s="15" t="str">
        <f>IF(SUM(FM4:FN4,FP4:FR4,FT4)-SUM(FO4,FS4)&gt;0,SUM(FM4:FN4,FP4:FR4,FT4)-SUM(FO4,FS4),"")</f>
        <v/>
      </c>
      <c r="FX4" s="15" t="str">
        <f>IF(SUM(FV4,FW4)&gt;0,SUM(FV4,FW4),"")</f>
        <v/>
      </c>
      <c r="FY4" s="39"/>
      <c r="FZ4" s="39"/>
      <c r="GA4" s="39"/>
      <c r="GB4" s="39"/>
      <c r="GC4" s="39"/>
      <c r="GD4" s="39"/>
      <c r="GE4" s="39"/>
      <c r="GF4" s="39"/>
      <c r="GG4" s="39"/>
      <c r="GH4" s="39"/>
      <c r="GI4" s="39"/>
      <c r="GJ4" s="39"/>
      <c r="GK4" s="39"/>
      <c r="GL4" s="39"/>
      <c r="GM4" s="39"/>
      <c r="GN4" s="39"/>
      <c r="GO4" s="12" t="str">
        <f>IF(SUM(FZ4,GD4)&gt;0,SUM(FZ4,GD4),"")</f>
        <v/>
      </c>
      <c r="GP4" s="12" t="str">
        <f>IF(SUM(FY4:FZ4,GB4:GD4,GF4)-GA4-GE4&gt;0,SUM(FY4:FZ4,GB4:GD4,GF4)-GA4-GE4,"")</f>
        <v/>
      </c>
      <c r="GQ4" s="12" t="str">
        <f>IF(SUM(GG4:GH4,GJ4:GL4,GN4)-SUM(GI4,GM4)&gt;0,SUM(GG4:GH4,GJ4:GL4,GN4)-SUM(GI4,GM4),"")</f>
        <v/>
      </c>
      <c r="GR4" s="12" t="str">
        <f>IF(SUM(GP4,GQ4)&gt;0,SUM(GP4,GQ4),"")</f>
        <v/>
      </c>
      <c r="GS4" s="40"/>
      <c r="GT4" s="40"/>
      <c r="GU4" s="40"/>
      <c r="GV4" s="40"/>
      <c r="GW4" s="40"/>
      <c r="GX4" s="40"/>
      <c r="GY4" s="40"/>
      <c r="GZ4" s="40"/>
      <c r="HA4" s="40"/>
      <c r="HB4" s="40"/>
      <c r="HC4" s="40"/>
      <c r="HD4" s="40"/>
      <c r="HE4" s="40"/>
      <c r="HF4" s="40"/>
      <c r="HG4" s="40"/>
      <c r="HH4" s="40"/>
      <c r="HI4" s="15" t="str">
        <f>IF(SUM(GT4,GX4)&gt;0,SUM(GT4,GX4),"")</f>
        <v/>
      </c>
      <c r="HJ4" s="15" t="str">
        <f>IF(SUM(GS4:GT4,GV4:GX4,GZ4)-GU4-GY4&gt;0,SUM(GS4:GT4,GV4:GX4,GZ4)-GU4-GY4,"")</f>
        <v/>
      </c>
      <c r="HK4" s="15" t="str">
        <f>IF(SUM(HA4:HB4,HD4:HF4,HH4)-SUM(HC4,HG4)&gt;0,SUM(HA4:HB4,HD4:HF4,HH4)-SUM(HC4,HG4),"")</f>
        <v/>
      </c>
      <c r="HL4" s="15" t="str">
        <f>IF(SUM(HJ4,HK4)&gt;0,SUM(HJ4,HK4),"")</f>
        <v/>
      </c>
      <c r="HM4" s="39"/>
      <c r="HN4" s="39"/>
      <c r="HO4" s="39"/>
      <c r="HP4" s="39"/>
      <c r="HQ4" s="39"/>
      <c r="HR4" s="39"/>
      <c r="HS4" s="39"/>
      <c r="HT4" s="39"/>
      <c r="HU4" s="39"/>
      <c r="HV4" s="39"/>
      <c r="HW4" s="39"/>
      <c r="HX4" s="39"/>
      <c r="HY4" s="39"/>
      <c r="HZ4" s="39"/>
      <c r="IA4" s="39"/>
      <c r="IB4" s="39"/>
      <c r="IC4" s="12" t="str">
        <f>IF(SUM(HN4,HR4)&gt;0,SUM(HN4,HR4),"")</f>
        <v/>
      </c>
      <c r="ID4" s="12" t="str">
        <f>IF(SUM(HM4:HN4,HP4:HR4,HT4)-HO4-HS4&gt;0,SUM(HM4:HN4,HP4:HR4,HT4)-HO4-HS4,"")</f>
        <v/>
      </c>
      <c r="IE4" s="12" t="str">
        <f>IF(SUM(HU4:HV4,HX4:HZ4,IB4)-SUM(HW4,IA4)&gt;0,SUM(HU4:HV4,HX4:HZ4,IB4)-SUM(HW4,IA4),"")</f>
        <v/>
      </c>
      <c r="IF4" s="12" t="str">
        <f>IF(SUM(ID4,IE4)&gt;0,SUM(ID4,IE4),"")</f>
        <v/>
      </c>
      <c r="IG4" s="40"/>
      <c r="IH4" s="40"/>
      <c r="II4" s="40"/>
      <c r="IJ4" s="40"/>
      <c r="IK4" s="40"/>
      <c r="IL4" s="40"/>
      <c r="IM4" s="40"/>
      <c r="IN4" s="40"/>
      <c r="IO4" s="40"/>
      <c r="IP4" s="40"/>
      <c r="IQ4" s="40"/>
      <c r="IR4" s="40"/>
      <c r="IS4" s="40"/>
      <c r="IT4" s="40"/>
      <c r="IU4" s="40"/>
      <c r="IV4" s="40"/>
      <c r="IW4" s="15" t="str">
        <f>IF(SUM(IH4,IL4)&gt;0,SUM(IH4,IL4),"")</f>
        <v/>
      </c>
      <c r="IX4" s="15" t="str">
        <f>IF(SUM(IG4:IH4,IJ4:IL4,IN4)-II4-IM4&gt;0,SUM(IG4:IH4,IJ4:IL4,IN4)-II4-IM4,"")</f>
        <v/>
      </c>
      <c r="IY4" s="15" t="str">
        <f>IF(SUM(IO4:IP4,IR4:IT4,IV4)-SUM(IQ4,IU4)&gt;0,SUM(IO4:IP4,IR4:IT4,IV4)-SUM(IQ4,IU4),"")</f>
        <v/>
      </c>
      <c r="IZ4" s="15" t="str">
        <f>IF(SUM(IX4,IY4)&gt;0,SUM(IX4,IY4),"")</f>
        <v/>
      </c>
      <c r="JA4" s="39"/>
      <c r="JB4" s="39"/>
      <c r="JC4" s="39"/>
      <c r="JD4" s="39"/>
      <c r="JE4" s="39"/>
      <c r="JF4" s="39"/>
      <c r="JG4" s="39"/>
      <c r="JH4" s="39"/>
      <c r="JI4" s="39"/>
      <c r="JJ4" s="39"/>
      <c r="JK4" s="39"/>
      <c r="JL4" s="39"/>
      <c r="JM4" s="39"/>
      <c r="JN4" s="39"/>
      <c r="JO4" s="39"/>
      <c r="JP4" s="39"/>
      <c r="JQ4" s="12" t="str">
        <f>IF(SUM(JB4,JF4)&gt;0,SUM(JB4,JF4),"")</f>
        <v/>
      </c>
      <c r="JR4" s="12" t="str">
        <f>IF(SUM(JA4:JB4,JD4:JF4,JH4)-JC4-JG4&gt;0,SUM(JA4:JB4,JD4:JF4,JH4)-JC4-JG4,"")</f>
        <v/>
      </c>
      <c r="JS4" s="12" t="str">
        <f>IF(SUM(JI4:JJ4,JL4:JN4,JP4)-SUM(JK4,JO4)&gt;0,SUM(JI4:JJ4,JL4:JN4,JP4)-SUM(JK4,JO4),"")</f>
        <v/>
      </c>
      <c r="JT4" s="12" t="str">
        <f>IF(SUM(JR4,JS4)&gt;0,SUM(JR4,JS4),"")</f>
        <v/>
      </c>
      <c r="JU4" s="40"/>
      <c r="JV4" s="40"/>
      <c r="JW4" s="40"/>
      <c r="JX4" s="40"/>
      <c r="JY4" s="40"/>
      <c r="JZ4" s="40"/>
      <c r="KA4" s="40"/>
      <c r="KB4" s="40"/>
      <c r="KC4" s="40"/>
      <c r="KD4" s="40"/>
      <c r="KE4" s="40"/>
      <c r="KF4" s="40"/>
      <c r="KG4" s="40"/>
      <c r="KH4" s="40"/>
      <c r="KI4" s="40"/>
      <c r="KJ4" s="40"/>
      <c r="KK4" s="15" t="str">
        <f>IF(SUM(JV4,JZ4)&gt;0,SUM(JV4,JZ4),"")</f>
        <v/>
      </c>
      <c r="KL4" s="15" t="str">
        <f>IF(SUM(JU4:JV4,JX4:JZ4,KB4)-JW4-KA4&gt;0,SUM(JU4:JV4,JX4:JZ4,KB4)-JW4-KA4,"")</f>
        <v/>
      </c>
      <c r="KM4" s="15" t="str">
        <f>IF(SUM(KC4:KD4,KF4:KH4,KJ4)-SUM(KE4,KI4)&gt;0,SUM(KC4:KD4,KF4:KH4,KJ4)-SUM(KE4,KI4),"")</f>
        <v/>
      </c>
      <c r="KN4" s="15" t="str">
        <f>IF(SUM(KL4,KM4)&gt;0,SUM(KL4,KM4),"")</f>
        <v/>
      </c>
      <c r="KO4" s="71">
        <f>IF($BB4="P",AL4,(Q4+AL4)/2)</f>
        <v>26.9</v>
      </c>
      <c r="KP4" s="71">
        <f t="shared" ref="KP4:LD6" si="0">IF($BB4="P",AM4,(R4+AM4)/2)</f>
        <v>6.55</v>
      </c>
      <c r="KQ4" s="71">
        <f t="shared" si="0"/>
        <v>0</v>
      </c>
      <c r="KR4" s="71">
        <f t="shared" si="0"/>
        <v>0</v>
      </c>
      <c r="KS4" s="71">
        <f t="shared" si="0"/>
        <v>26.9</v>
      </c>
      <c r="KT4" s="71">
        <f t="shared" si="0"/>
        <v>4.9499999999999993</v>
      </c>
      <c r="KU4" s="71">
        <f t="shared" si="0"/>
        <v>0</v>
      </c>
      <c r="KV4" s="71">
        <f t="shared" si="0"/>
        <v>0</v>
      </c>
      <c r="KW4" s="71">
        <f t="shared" si="0"/>
        <v>26.549999999999997</v>
      </c>
      <c r="KX4" s="71">
        <f t="shared" si="0"/>
        <v>6.5</v>
      </c>
      <c r="KY4" s="71">
        <f t="shared" si="0"/>
        <v>0</v>
      </c>
      <c r="KZ4" s="71">
        <f t="shared" si="0"/>
        <v>0</v>
      </c>
      <c r="LA4" s="71">
        <f t="shared" si="0"/>
        <v>26.95</v>
      </c>
      <c r="LB4" s="71">
        <f t="shared" si="0"/>
        <v>4.6500000000000004</v>
      </c>
      <c r="LC4" s="71">
        <f t="shared" si="0"/>
        <v>0.3</v>
      </c>
      <c r="LD4" s="71">
        <f t="shared" si="0"/>
        <v>0</v>
      </c>
      <c r="LE4" s="82" t="s">
        <v>100</v>
      </c>
      <c r="LF4" s="12">
        <f t="shared" ref="LF4" si="1">IF(SUM(KP4,KT4)&gt;0,SUM(KP4,KT4),"")</f>
        <v>11.5</v>
      </c>
      <c r="LG4" s="12">
        <f t="shared" ref="LG4" si="2">IF(SUM(KO4:KP4,KR4:KT4,KV4)-KQ4-KU4&gt;0,SUM(KO4:KP4,KR4:KT4,KV4)-KQ4-KU4,"")</f>
        <v>65.3</v>
      </c>
      <c r="LH4" s="12">
        <f t="shared" ref="LH4" si="3">IF(SUM(KW4:KX4,KZ4:LB4,LD4)-SUM(KY4,LC4)&gt;0,SUM(KW4:KX4,KZ4:LB4,LD4)-SUM(KY4,LC4),"")</f>
        <v>64.350000000000009</v>
      </c>
      <c r="LI4" s="12">
        <f t="shared" ref="LI4" si="4">IF(SUM(LG4,LH4)&gt;0,SUM(LG4,LH4),"")</f>
        <v>129.65</v>
      </c>
    </row>
    <row r="5" spans="1:321" x14ac:dyDescent="0.2">
      <c r="A5" s="6">
        <f>IF(AND(F5="P",H5="P"),SUMPRODUCT((F$4:F$7="P")*(H$4:H$7="P")*(E$4:E$7&gt;E5))+1,IF(H5="P",SUMPRODUCT((F$4:F$7="")*(H$4:H$7="P")*(E$4:E$7&gt;E5))+1+SUMPRODUCT((F$4:F$7="P")*(H$4:H$7="P")),""))</f>
        <v>2</v>
      </c>
      <c r="B5" s="7" t="s">
        <v>93</v>
      </c>
      <c r="C5" s="8" t="s">
        <v>3</v>
      </c>
      <c r="D5" s="29">
        <v>2000</v>
      </c>
      <c r="E5" s="16">
        <f>SUM(J5:N5)</f>
        <v>127</v>
      </c>
      <c r="F5" s="4" t="str">
        <f>IF(OR(AND(AH5&gt;=AJ$9,AI5&gt;=AJ$11,AI5&lt;&gt;"",AG5=""),AND(BC5&gt;=BE$9,BD5&gt;=BE$11,BD5&lt;&gt;"",BB5=""),AND(BY5&gt;=CA$9,BZ5&gt;=CA$11,BZ5&lt;&gt;""),AND(CS5&gt;=CU$9,CT5&gt;=CU$11,CT5&lt;&gt;""),AND(DM5&gt;=DO$9,DN5&gt;=DO$11,DN5&lt;&gt;""),AND(EG5&gt;=EI$9,EH5&gt;=EI$11,EH5&lt;&gt;""),AND(FA5&gt;=FC$9,FB5&gt;=FC$11,FB5&lt;&gt;""),AND(FU5&gt;=FW$9,FV5&gt;=FW$11,FV5&lt;&gt;""),AND(GO5&gt;=GQ$9,GP5&gt;=GQ$11,GP5&lt;&gt;""),AND(HI5&gt;=HK$9,HJ5&gt;=HK$11,HJ5&lt;&gt;""),AND(IC5&gt;=IE$9,ID5&gt;=IE$11,ID5&lt;&gt;""),AND(IW5&gt;=IY$9,IX5&gt;=IY$11,IX5&lt;&gt;""),AND(JQ5&gt;=JS$9,JR5&gt;=JS$11,JR5&lt;&gt;""),AND(KK5&gt;=KM$9,KL5&gt;=KM$11,KL5&lt;&gt;"")),"P","")</f>
        <v>P</v>
      </c>
      <c r="G5" s="4" t="str">
        <f>IF(OR(AND(AH5&gt;=AJ$9,AI5&gt;=AJ$12,AI5&lt;&gt;"",AG5=""),AND(BC5&gt;=BE$9,BD5&gt;=BE$12,BD5&lt;&gt;"",BB5=""),AND(BY5&gt;=CA$9,BZ5&gt;=CA$12,BZ5&lt;&gt;""),AND(CS5&gt;=CU$9,CT5&gt;=CU$12,CT5&lt;&gt;""),AND(DM5&gt;=DO$9,DN5&gt;=DO$12,DN5&lt;&gt;""),AND(EG5&gt;=EI$9,EH5&gt;=EI$12,EH5&lt;&gt;""),AND(FA5&gt;=FC$9,FB5&gt;=FC$12,FB5&lt;&gt;""),AND(FU5&gt;=FW$9,FV5&gt;=FW$12,FV5&lt;&gt;""),AND(GO5&gt;=GQ$9,GP5&gt;=GQ$12,GP5&lt;&gt;""),AND(HI5&gt;=HK$9,HJ5&gt;=HK$12,HJ5&lt;&gt;""),AND(IC5&gt;=IE$9,ID5&gt;=IE$12,ID5&lt;&gt;""),AND(IW5&gt;=IY$9,IX5&gt;=IY$12,IX5&lt;&gt;""),AND(JQ5&gt;=JS$9,JR5&gt;=JS$12,JR5&lt;&gt;""),AND(KK5&gt;=KM$9,KL5&gt;=KM$12,KL5&lt;&gt;"")),"P","")</f>
        <v>P</v>
      </c>
      <c r="H5" s="4" t="str">
        <f>IF(OR(AND(AI5&gt;=AJ$11,AI5&lt;&gt;"",AG5=""),AND(BD5&gt;=BE$11,BD5&lt;&gt;"",BB5=""),AND(BZ5&gt;=CA$11,BZ5&lt;&gt;""),AND(CT5&gt;=CU$11,CT5&lt;&gt;""),AND(DN5&gt;=DO$11,DN5&lt;&gt;""),AND(EH5&gt;=EI$11,EH5&lt;&gt;""),AND(FB5&gt;=FC$11,FB5&lt;&gt;""),AND(FV5&gt;=FW$11,FV5&lt;&gt;""),AND(GP5&gt;=GQ$11,GP5&lt;&gt;""),AND(HJ5&gt;=HK$11,HJ5&lt;&gt;""),AND(ID5&gt;=IE$11,ID5&lt;&gt;""),AND(IX5&gt;=IY$11,IX5&lt;&gt;""),AND(JR5&gt;=JS$11,JR5&lt;&gt;""),AND(KL5&gt;=KM$11,KL5&lt;&gt;"")),"P","")</f>
        <v>P</v>
      </c>
      <c r="I5" t="str">
        <f>IF(AND(H5="P",F5=""),"No DD",IF(OR(AND(AI5&gt;=AJ$14,AI5&lt;&gt;"",AH5&gt;=AJ$10,AH5&lt;&gt;"",AG5=""),AND(BD5&gt;=BE$14,BD5&lt;&gt;"",BC5&gt;=BE$10,BC5&lt;&gt;"",BB5=""),AND(BZ5&gt;=CA$14,BZ5&lt;&gt;"",BY5&gt;=CA$10,BY5&lt;&gt;""),AND(CT5&gt;=CU$14,CT5&lt;&gt;"",CS5&gt;=CU$10,CS5&lt;&gt;""),AND(DN5&gt;=DO$14,DN5&lt;&gt;"",DM5&gt;=DO$10,DM5&lt;&gt;""),AND(EH5&gt;=EI$14,EH5&lt;&gt;"",EG5&gt;=EI$10,EG5&lt;&gt;""),AND(FB5&gt;=FC$14,FB5&lt;&gt;"",FA5&gt;=FC$10,FA5&lt;&gt;""),AND(FV5&gt;=FW$14,FV5&lt;&gt;"",FU5&gt;=FW$10,FU5&lt;&gt;""),AND(GP5&gt;=GQ$14,GP5&lt;&gt;"",GO5&gt;=GQ$10,GO5&lt;&gt;""),AND(HJ5&gt;=HK$14,HJ5&lt;&gt;"",HI5&gt;=HK$10,HI5&lt;&gt;""),AND(ID5&gt;=IE$14,ID5&lt;&gt;"",IC5&gt;=IE$10,IC5&lt;&gt;""),AND(IX5&gt;=IY$14,IX5&lt;&gt;"",IW5&gt;=IY$10,IW5&lt;&gt;""),AND(JR5&gt;=JS$14,JR5&lt;&gt;"",JQ5&gt;=JS$10,JQ5&lt;&gt;""),AND(KL5&gt;=KM$14,KL5&lt;&gt;"",KK5&gt;=KM$10,KK5&lt;&gt;"")),"Merit",IF(OR(AND(AI5&gt;=AJ$13,AI5&lt;&gt;"",AH5&gt;=AJ$10,AH5&lt;&gt;"",AG5=""),AND(BD5&gt;=BE$13,BD5&lt;&gt;"",BC5&gt;=BE$10,BC5&lt;&gt;"",BB5=""),AND(BZ5&gt;=CA$13,BZ5&lt;&gt;"",BY5&gt;=CA$10,BY5&lt;&gt;""),AND(CT5&gt;=CU$13,CT5&lt;&gt;"",CS5&gt;=CU$10,CS5&lt;&gt;""),AND(DN5&gt;=DO$13,DN5&lt;&gt;"",DM5&gt;=DO$10,DM5&lt;&gt;""),AND(EH5&gt;=EI$13,EH5&lt;&gt;"",EG5&gt;=EI$10,EG5&lt;&gt;""),AND(FB5&gt;=FC$13,FB5&lt;&gt;"",FA5&gt;=FC$10,FA5&lt;&gt;""),AND(FV5&gt;=FW$13,FV5&lt;&gt;"",FU5&gt;=FW$10,FU5&lt;&gt;""),AND(GP5&gt;=GQ$13,GP5&lt;&gt;"",GO5&gt;=GQ$10,GO5&lt;&gt;""),AND(HJ5&gt;=HK$13,HJ5&lt;&gt;"",HI5&gt;=HK$10,HI5&lt;&gt;""),AND(ID5&gt;=IE$13,ID5&lt;&gt;"",IC5&gt;=IE$10,IC5&lt;&gt;""),AND(IX5&gt;=IY$13,IX5&lt;&gt;"",IW5&gt;=IY$10,IW5&lt;&gt;""),AND(JR5&gt;=JS$13,JR5&lt;&gt;"",JQ5&gt;=JS$10,JQ5&lt;&gt;""),AND(KL5&gt;=KM$13,KL5&lt;&gt;"",KK5&gt;=KM$10,KK5&lt;&gt;"")),"Excellence",IF(OR(AND(AI5&gt;=AJ$12,AI5&lt;&gt;"",AH5&gt;=AJ$9,AH5&lt;&gt;"",AG5=""),AND(BD5&gt;=BE$12,BD5&lt;&gt;"",BC5&gt;=BE$9,BC5&lt;&gt;"",BB5=""),AND(BZ5&gt;=CA$12,BZ5&lt;&gt;"",BY5&gt;=CA$9,BY5&lt;&gt;""),AND(CT5&gt;=CU$12,CT5&lt;&gt;"",CS5&gt;=CU$9,CS5&lt;&gt;""),AND(DN5&gt;=DO$12,DN5&lt;&gt;"",DM5&gt;=DO$9,DM5&lt;&gt;""),AND(EH5&gt;=EI$12,EH5&lt;&gt;"",EG5&gt;=EI$9,EG5&lt;&gt;""),AND(FB5&gt;=FC$12,FB5&lt;&gt;"",FA5&gt;=FC$9,FA5&lt;&gt;""),AND(FV5&gt;=FW$12,FV5&lt;&gt;"",FU5&gt;=FW$9,FU5&lt;&gt;""),AND(GP5&gt;=GQ$12,GP5&lt;&gt;"",GO5&gt;=GQ$9,GO5&lt;&gt;""),AND(HJ5&gt;=HK$12,HJ5&lt;&gt;"",HI5&gt;=HK$9,HI5&lt;&gt;""),AND(ID5&gt;=IE$12,ID5&lt;&gt;"",IC5&gt;=IE$9,IC5&lt;&gt;""),AND(IX5&gt;=IY$12,IX5&lt;&gt;"",IW5&gt;=IY$9,IW5&lt;&gt;""),AND(JR5&gt;=JS$12,JR5&lt;&gt;"",JQ5&gt;=JS$9,JQ5&lt;&gt;""),AND(KL5&gt;=KM$12,KL5&lt;&gt;"",KK5&gt;=KM$9,KK5&lt;&gt;"")),"Worlds Team",IF(OR(AND(AI5&gt;=AJ$11,AI5&lt;&gt;"",AH5&gt;=AJ$9,AH5&lt;&gt;"",AG5=""),AND(BD5&gt;=BE$11,BD5&lt;&gt;"",BC5&gt;=BE$9,BC5&lt;&gt;"",BB5=""),AND(BZ5&gt;=CA$11,BZ5&lt;&gt;"",BY5&gt;=CA$9,BY5&lt;&gt;""),AND(CT5&gt;=CU$11,CT5&lt;&gt;"",CS5&gt;=CU$9,CS5&lt;&gt;""),AND(DN5&gt;=DO$11,DN5&lt;&gt;"",DM5&gt;=DO$9,DM5&lt;&gt;""),AND(EH5&gt;=EI$11,EH5&lt;&gt;"",EG5&gt;=EI$9,EG5&lt;&gt;""),AND(FB5&gt;=FC$11,FB5&lt;&gt;"",FA5&gt;=FC$9,FA5&lt;&gt;""),AND(FV5&gt;=FW$11,FV5&lt;&gt;"",FU5&gt;=FW$9,FU5&lt;&gt;""),AND(GP5&gt;=GQ$11,GP5&lt;&gt;"",GO5&gt;=GQ$9,GO5&lt;&gt;""),AND(HJ5&gt;=HK$11,HJ5&lt;&gt;"",HI5&gt;=HK$9,HI5&lt;&gt;""),AND(ID5&gt;=IE$11,ID5&lt;&gt;"",IC5&gt;=IE$9,IC5&lt;&gt;""),AND(IX5&gt;=IY$11,IX5&lt;&gt;"",IW5&gt;=IY$9,IW5&lt;&gt;""),AND(JR5&gt;=JS$11,JR5&lt;&gt;"",JQ5&gt;=JS$9,JQ5&lt;&gt;""),AND(KL5&gt;=KM$11,KL5&lt;&gt;"",KK5&gt;=KM$9,KK5&lt;&gt;"")),"National Team","")))))</f>
        <v>Excellence</v>
      </c>
      <c r="J5" s="15">
        <f>IF(MAX(AI5,BD5)&gt;0,MAX(AI5,BD5),"")</f>
        <v>65.099999999999994</v>
      </c>
      <c r="K5" s="15" t="str">
        <f>IF(J5="","",IF(J5=BD5,$AL$1,IF(J5=AI5,$Q$1,"")))</f>
        <v>2019 Nationals</v>
      </c>
      <c r="L5" s="15">
        <f>IF(MAX(AJ5,BE5)&gt;0,MAX(AJ5,BE5),"")</f>
        <v>61.9</v>
      </c>
      <c r="M5" s="15" t="str">
        <f>IF(L5="","",IF(L5=BE5,$AL$1,IF(L5=AJ5,$Q$1,"")))</f>
        <v>2019 Elite Canada</v>
      </c>
      <c r="N5" s="15" t="str">
        <f>IF(MAX(BG5:BH5)&gt;0,MAX(BG5:BH5),"")</f>
        <v/>
      </c>
      <c r="O5" s="27" t="str">
        <f>IF(N5="","",IF(N5=BG5,"(Prelim)",IF(N5=BH5,"(Final)")))</f>
        <v/>
      </c>
      <c r="P5" s="15" t="str">
        <f>IF(N5="","",IF(N5=BG5,IF(N5+IF(J5="",0,J5)=KL5,$JU$1,IF(N5+IF(J5="",0,J5)=JR5,$JA$1,IF(N5+IF(J5="",0,J5)=IX5,$IG$1,IF(N5+IF(J5="",0,J5)=ID5,$HM$1,IF(N5+IF(J5="",0,J5)=HJ5,$GS$1,IF(N5+IF(J5="",0,J5)=GP5,$FY$1,IF(N5+IF(J5="",0,J5)=FV5,$FE$1,IF(N5+IF(J5="",0,J5)=FB5,$EK$1,IF(N5+IF(J5="",0,J5)=EH5,$DQ$1,IF(N5+IF(J5="",0,J5)=DN5,$CW$1,IF(N5+IF(J5="",0,J5)=CT5,$CC$1,IF(N5+IF(J5="",0,J5)=BZ5,$BI$1)))))))))))),IF(N5=BH5,IF(N5+IF(L5="",0,L5)=KM5,$JU$1,IF(N5+IF(L5="",0,L5)=JS5,$JA$1,IF(N5+IF(L5="",0,L5)=IY5,$IG$1,IF(N5+IF(L5="",0,L5)=IE5,$HM$1,IF(N5+IF(L5="",0,L5)=HK5,$GS$1,IF(N5+IF(L5="",0,L5)=GQ5,$FY$1,IF(N5+IF(L5="",0,L5)=FW5,$FE$1,IF(N5+IF(L5="",0,L5)=FC5,$EK$1,IF(N5+IF(L5="",0,L5)=EI5,$DQ$1,IF(N5+IF(L5="",0,L5)=DO5,$CW$1,IF(N5+IF(L5="",0,L5)=CU5,$CC$1,IF(N5+IF(L5="",0,L5)=CA5,$BI$1)))))))))))))))</f>
        <v/>
      </c>
      <c r="Q5" s="43">
        <v>24.6</v>
      </c>
      <c r="R5" s="43">
        <v>6.1</v>
      </c>
      <c r="S5" s="43">
        <v>0</v>
      </c>
      <c r="T5" s="43">
        <v>0</v>
      </c>
      <c r="U5" s="43">
        <v>27.9</v>
      </c>
      <c r="V5" s="43">
        <v>4.5</v>
      </c>
      <c r="W5" s="43">
        <v>0</v>
      </c>
      <c r="X5" s="43">
        <v>0</v>
      </c>
      <c r="Y5" s="43">
        <v>26.4</v>
      </c>
      <c r="Z5" s="43">
        <v>3.5</v>
      </c>
      <c r="AA5" s="43">
        <v>0</v>
      </c>
      <c r="AB5" s="43">
        <v>0</v>
      </c>
      <c r="AC5" s="43">
        <v>27.5</v>
      </c>
      <c r="AD5" s="43">
        <v>4.5</v>
      </c>
      <c r="AE5" s="43">
        <v>0</v>
      </c>
      <c r="AF5" s="43">
        <v>0</v>
      </c>
      <c r="AG5" s="82"/>
      <c r="AH5" s="12">
        <f>IF(SUM(R5,V5)&gt;0,SUM(R5,V5),"")</f>
        <v>10.6</v>
      </c>
      <c r="AI5" s="12">
        <f>IF(SUM(Q5:R5,T5:V5,X5)-S5-W5&gt;0,SUM(Q5:R5,T5:V5,X5)-S5-W5,"")</f>
        <v>63.1</v>
      </c>
      <c r="AJ5" s="12">
        <f>IF(SUM(Y5:Z5,AB5:AD5,AF5)-SUM(AA5,AE5)&gt;0,SUM(Y5:Z5,AB5:AD5,AF5)-SUM(AA5,AE5),"")</f>
        <v>61.9</v>
      </c>
      <c r="AK5" s="12">
        <f>IF(SUM(AI5,AJ5)&gt;0,SUM(AI5,AJ5),"")</f>
        <v>125</v>
      </c>
      <c r="AL5" s="40">
        <v>26.5</v>
      </c>
      <c r="AM5" s="40">
        <v>6.1</v>
      </c>
      <c r="AN5" s="40">
        <v>0</v>
      </c>
      <c r="AO5" s="40">
        <v>0</v>
      </c>
      <c r="AP5" s="40">
        <v>28</v>
      </c>
      <c r="AQ5" s="40">
        <v>4.5</v>
      </c>
      <c r="AR5" s="40">
        <v>0</v>
      </c>
      <c r="AS5" s="40">
        <v>0</v>
      </c>
      <c r="AT5" s="40">
        <v>16.899999999999999</v>
      </c>
      <c r="AU5" s="40">
        <v>2.8</v>
      </c>
      <c r="AV5" s="40">
        <v>0</v>
      </c>
      <c r="AW5" s="40">
        <v>0</v>
      </c>
      <c r="AX5" s="40">
        <v>26.4</v>
      </c>
      <c r="AY5" s="40">
        <v>6.1</v>
      </c>
      <c r="AZ5" s="40">
        <v>0</v>
      </c>
      <c r="BA5" s="40">
        <v>0</v>
      </c>
      <c r="BB5" s="83"/>
      <c r="BC5" s="15">
        <f>IF(SUM(AM5,AQ5)&gt;0,SUM(AM5,AQ5),"")</f>
        <v>10.6</v>
      </c>
      <c r="BD5" s="15">
        <f>IF(SUM(AL5:AM5,AO5:AQ5,AS5)-AN5-AR5&gt;0,SUM(AL5:AM5,AO5:AQ5,AS5)-AN5-AR5,"")</f>
        <v>65.099999999999994</v>
      </c>
      <c r="BE5" s="15">
        <f>IF(SUM(AT5:AU5,AW5:AY5,BA5)-SUM(AV5,AZ5)&gt;0,SUM(AT5:AU5,AW5:AY5,BA5)-SUM(AV5,AZ5),"")</f>
        <v>52.199999999999996</v>
      </c>
      <c r="BF5" s="15">
        <f>IF(SUM(BD5,BE5)&gt;0,SUM(BD5,BE5),"")</f>
        <v>117.29999999999998</v>
      </c>
      <c r="BG5" s="26" t="str">
        <f>IF(MAX(BZ5,CT5,DN5,EH5,FB5,FV5,GP5,HJ5,ID5,IX5,JR5,KL5)-IF(J5="",0,J5)&gt;0.001,MAX(BZ5,CT5,DN5,EH5,FB5,FV5,GP5,HJ5,ID5,IX5,JR5,KL5)-IF(J5="",0,J5),"")</f>
        <v/>
      </c>
      <c r="BH5" s="26" t="str">
        <f>IF(MAX(CA5,CU5,DO5,EI5,FC5,FW5,GQ5,HK5,IE5,IY5,JS5,KM5)-IF(L5="",0,L5)&gt;0.001,MAX(CA5,CU5,DO5,EI5,FC5,FW5,GQ5,HK5,IE5,IY5,JS5,KM5)-IF(L5="",0,L5),"")</f>
        <v/>
      </c>
      <c r="BI5" s="39">
        <v>23.8</v>
      </c>
      <c r="BJ5" s="39">
        <v>6.1</v>
      </c>
      <c r="BK5" s="39">
        <v>0</v>
      </c>
      <c r="BL5" s="39">
        <v>0</v>
      </c>
      <c r="BM5" s="39">
        <v>27.7</v>
      </c>
      <c r="BN5" s="39">
        <v>4.5</v>
      </c>
      <c r="BO5" s="39">
        <v>0</v>
      </c>
      <c r="BP5" s="39">
        <v>0</v>
      </c>
      <c r="BQ5" s="39"/>
      <c r="BR5" s="39"/>
      <c r="BS5" s="39"/>
      <c r="BT5" s="39"/>
      <c r="BU5" s="39"/>
      <c r="BV5" s="39"/>
      <c r="BW5" s="39"/>
      <c r="BX5" s="39"/>
      <c r="BY5" s="12">
        <f>IF(SUM(BJ5,BN5)&gt;0,SUM(BJ5,BN5),"")</f>
        <v>10.6</v>
      </c>
      <c r="BZ5" s="12">
        <f>IF(SUM(BI5:BJ5,BL5:BN5,BP5)-BK5-BO5&gt;0,SUM(BI5:BJ5,BL5:BN5,BP5)-BK5-BO5,"")</f>
        <v>62.099999999999994</v>
      </c>
      <c r="CA5" s="12" t="str">
        <f>IF(SUM(BQ5:BR5,BT5:BV5,BX5)-SUM(BS5,BW5)&gt;0,SUM(BQ5:BR5,BT5:BV5,BX5)-SUM(BS5,BW5),"")</f>
        <v/>
      </c>
      <c r="CB5" s="12">
        <f>IF(SUM(BZ5,CA5)&gt;0,SUM(BZ5,CA5),"")</f>
        <v>62.099999999999994</v>
      </c>
      <c r="CC5" s="40">
        <v>25.5</v>
      </c>
      <c r="CD5" s="40">
        <v>2.9</v>
      </c>
      <c r="CE5" s="40">
        <v>0.6</v>
      </c>
      <c r="CF5" s="40">
        <v>0</v>
      </c>
      <c r="CG5" s="40">
        <v>26.4</v>
      </c>
      <c r="CH5" s="40">
        <v>4.5</v>
      </c>
      <c r="CI5" s="40">
        <v>0</v>
      </c>
      <c r="CJ5" s="40">
        <v>0</v>
      </c>
      <c r="CK5" s="40"/>
      <c r="CL5" s="40"/>
      <c r="CM5" s="40"/>
      <c r="CN5" s="40"/>
      <c r="CO5" s="40"/>
      <c r="CP5" s="40"/>
      <c r="CQ5" s="40"/>
      <c r="CR5" s="40"/>
      <c r="CS5" s="15">
        <f>IF(SUM(CD5,CH5)&gt;0,SUM(CD5,CH5),"")</f>
        <v>7.4</v>
      </c>
      <c r="CT5" s="15">
        <f>IF(SUM(CC5:CD5,CF5:CH5,CJ5)-CE5-CI5&gt;0,SUM(CC5:CD5,CF5:CH5,CJ5)-CE5-CI5,"")</f>
        <v>58.699999999999996</v>
      </c>
      <c r="CU5" s="15" t="str">
        <f>IF(SUM(CK5:CL5,CN5:CP5,CR5)-SUM(CM5,CQ5)&gt;0,SUM(CK5:CL5,CN5:CP5,CR5)-SUM(CM5,CQ5),"")</f>
        <v/>
      </c>
      <c r="CV5" s="15">
        <f>IF(SUM(CT5,CU5)&gt;0,SUM(CT5,CU5),"")</f>
        <v>58.699999999999996</v>
      </c>
      <c r="CW5" s="39"/>
      <c r="CX5" s="39"/>
      <c r="CY5" s="39"/>
      <c r="CZ5" s="39"/>
      <c r="DA5" s="39"/>
      <c r="DB5" s="39"/>
      <c r="DC5" s="39"/>
      <c r="DD5" s="39"/>
      <c r="DE5" s="39"/>
      <c r="DF5" s="39"/>
      <c r="DG5" s="39"/>
      <c r="DH5" s="39"/>
      <c r="DI5" s="39"/>
      <c r="DJ5" s="39"/>
      <c r="DK5" s="39"/>
      <c r="DL5" s="39"/>
      <c r="DM5" s="12" t="str">
        <f>IF(SUM(CX5,DB5)&gt;0,SUM(CX5,DB5),"")</f>
        <v/>
      </c>
      <c r="DN5" s="12" t="str">
        <f>IF(SUM(CW5:CX5,CZ5:DB5,DD5)-CY5-DC5&gt;0,SUM(CW5:CX5,CZ5:DB5,DD5)-CY5-DC5,"")</f>
        <v/>
      </c>
      <c r="DO5" s="12" t="str">
        <f>IF(SUM(DE5:DF5,DH5:DJ5,DL5)-SUM(DG5,DK5)&gt;0,SUM(DE5:DF5,DH5:DJ5,DL5)-SUM(DG5,DK5),"")</f>
        <v/>
      </c>
      <c r="DP5" s="12" t="str">
        <f>IF(SUM(DN5,DO5)&gt;0,SUM(DN5,DO5),"")</f>
        <v/>
      </c>
      <c r="DQ5" s="40"/>
      <c r="DR5" s="40"/>
      <c r="DS5" s="40"/>
      <c r="DT5" s="40"/>
      <c r="DU5" s="40"/>
      <c r="DV5" s="40"/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15" t="str">
        <f>IF(SUM(DR5,DV5)&gt;0,SUM(DR5,DV5),"")</f>
        <v/>
      </c>
      <c r="EH5" s="15" t="str">
        <f>IF(SUM(DQ5:DR5,DT5:DV5,DX5)-DS5-DW5&gt;0,SUM(DQ5:DR5,DT5:DV5,DX5)-DS5-DW5,"")</f>
        <v/>
      </c>
      <c r="EI5" s="15" t="str">
        <f>IF(SUM(DY5:DZ5,EB5:ED5,EF5)-SUM(EA5,EE5)&gt;0,SUM(DY5:DZ5,EB5:ED5,EF5)-SUM(EA5,EE5),"")</f>
        <v/>
      </c>
      <c r="EJ5" s="15" t="str">
        <f>IF(SUM(EH5,EI5)&gt;0,SUM(EH5,EI5),"")</f>
        <v/>
      </c>
      <c r="EK5" s="39"/>
      <c r="EL5" s="39"/>
      <c r="EM5" s="39"/>
      <c r="EN5" s="39"/>
      <c r="EO5" s="39"/>
      <c r="EP5" s="39"/>
      <c r="EQ5" s="39"/>
      <c r="ER5" s="39"/>
      <c r="ES5" s="39"/>
      <c r="ET5" s="39"/>
      <c r="EU5" s="39"/>
      <c r="EV5" s="39"/>
      <c r="EW5" s="39"/>
      <c r="EX5" s="39"/>
      <c r="EY5" s="39"/>
      <c r="EZ5" s="39"/>
      <c r="FA5" s="12" t="str">
        <f>IF(SUM(EL5,EP5)&gt;0,SUM(EL5,EP5),"")</f>
        <v/>
      </c>
      <c r="FB5" s="12" t="str">
        <f>IF(SUM(EK5:EL5,EN5:EP5,ER5)-EM5-EQ5&gt;0,SUM(EK5:EL5,EN5:EP5,ER5)-EM5-EQ5,"")</f>
        <v/>
      </c>
      <c r="FC5" s="12" t="str">
        <f>IF(SUM(ES5:ET5,EV5:EX5,EZ5)-SUM(EU5,EY5)&gt;0,SUM(ES5:ET5,EV5:EX5,EZ5)-SUM(EU5,EY5),"")</f>
        <v/>
      </c>
      <c r="FD5" s="12" t="str">
        <f>IF(SUM(FB5,FC5)&gt;0,SUM(FB5,FC5),"")</f>
        <v/>
      </c>
      <c r="FE5" s="40"/>
      <c r="FF5" s="40"/>
      <c r="FG5" s="40"/>
      <c r="FH5" s="40"/>
      <c r="FI5" s="40"/>
      <c r="FJ5" s="40"/>
      <c r="FK5" s="40"/>
      <c r="FL5" s="40"/>
      <c r="FM5" s="40"/>
      <c r="FN5" s="40"/>
      <c r="FO5" s="40"/>
      <c r="FP5" s="40"/>
      <c r="FQ5" s="40"/>
      <c r="FR5" s="40"/>
      <c r="FS5" s="40"/>
      <c r="FT5" s="40"/>
      <c r="FU5" s="15" t="str">
        <f>IF(SUM(FF5,FJ5)&gt;0,SUM(FF5,FJ5),"")</f>
        <v/>
      </c>
      <c r="FV5" s="15" t="str">
        <f>IF(SUM(FE5:FF5,FH5:FJ5,FL5)-FG5-FK5&gt;0,SUM(FE5:FF5,FH5:FJ5,FL5)-FG5-FK5,"")</f>
        <v/>
      </c>
      <c r="FW5" s="15" t="str">
        <f>IF(SUM(FM5:FN5,FP5:FR5,FT5)-SUM(FO5,FS5)&gt;0,SUM(FM5:FN5,FP5:FR5,FT5)-SUM(FO5,FS5),"")</f>
        <v/>
      </c>
      <c r="FX5" s="15" t="str">
        <f>IF(SUM(FV5,FW5)&gt;0,SUM(FV5,FW5),"")</f>
        <v/>
      </c>
      <c r="FY5" s="39"/>
      <c r="FZ5" s="39"/>
      <c r="GA5" s="39"/>
      <c r="GB5" s="39"/>
      <c r="GC5" s="39"/>
      <c r="GD5" s="39"/>
      <c r="GE5" s="39"/>
      <c r="GF5" s="39"/>
      <c r="GG5" s="39"/>
      <c r="GH5" s="39"/>
      <c r="GI5" s="39"/>
      <c r="GJ5" s="39"/>
      <c r="GK5" s="39"/>
      <c r="GL5" s="39"/>
      <c r="GM5" s="39"/>
      <c r="GN5" s="39"/>
      <c r="GO5" s="12" t="str">
        <f>IF(SUM(FZ5,GD5)&gt;0,SUM(FZ5,GD5),"")</f>
        <v/>
      </c>
      <c r="GP5" s="12" t="str">
        <f>IF(SUM(FY5:FZ5,GB5:GD5,GF5)-GA5-GE5&gt;0,SUM(FY5:FZ5,GB5:GD5,GF5)-GA5-GE5,"")</f>
        <v/>
      </c>
      <c r="GQ5" s="12" t="str">
        <f>IF(SUM(GG5:GH5,GJ5:GL5,GN5)-SUM(GI5,GM5)&gt;0,SUM(GG5:GH5,GJ5:GL5,GN5)-SUM(GI5,GM5),"")</f>
        <v/>
      </c>
      <c r="GR5" s="12" t="str">
        <f>IF(SUM(GP5,GQ5)&gt;0,SUM(GP5,GQ5),"")</f>
        <v/>
      </c>
      <c r="GS5" s="40"/>
      <c r="GT5" s="40"/>
      <c r="GU5" s="40"/>
      <c r="GV5" s="40"/>
      <c r="GW5" s="40"/>
      <c r="GX5" s="40"/>
      <c r="GY5" s="40"/>
      <c r="GZ5" s="40"/>
      <c r="HA5" s="40"/>
      <c r="HB5" s="40"/>
      <c r="HC5" s="40"/>
      <c r="HD5" s="40"/>
      <c r="HE5" s="40"/>
      <c r="HF5" s="40"/>
      <c r="HG5" s="40"/>
      <c r="HH5" s="40"/>
      <c r="HI5" s="15" t="str">
        <f>IF(SUM(GT5,GX5)&gt;0,SUM(GT5,GX5),"")</f>
        <v/>
      </c>
      <c r="HJ5" s="15" t="str">
        <f>IF(SUM(GS5:GT5,GV5:GX5,GZ5)-GU5-GY5&gt;0,SUM(GS5:GT5,GV5:GX5,GZ5)-GU5-GY5,"")</f>
        <v/>
      </c>
      <c r="HK5" s="15" t="str">
        <f>IF(SUM(HA5:HB5,HD5:HF5,HH5)-SUM(HC5,HG5)&gt;0,SUM(HA5:HB5,HD5:HF5,HH5)-SUM(HC5,HG5),"")</f>
        <v/>
      </c>
      <c r="HL5" s="15" t="str">
        <f>IF(SUM(HJ5,HK5)&gt;0,SUM(HJ5,HK5),"")</f>
        <v/>
      </c>
      <c r="HM5" s="39"/>
      <c r="HN5" s="39"/>
      <c r="HO5" s="39"/>
      <c r="HP5" s="39"/>
      <c r="HQ5" s="39"/>
      <c r="HR5" s="39"/>
      <c r="HS5" s="39"/>
      <c r="HT5" s="39"/>
      <c r="HU5" s="39"/>
      <c r="HV5" s="39"/>
      <c r="HW5" s="39"/>
      <c r="HX5" s="39"/>
      <c r="HY5" s="39"/>
      <c r="HZ5" s="39"/>
      <c r="IA5" s="39"/>
      <c r="IB5" s="39"/>
      <c r="IC5" s="12" t="str">
        <f>IF(SUM(HN5,HR5)&gt;0,SUM(HN5,HR5),"")</f>
        <v/>
      </c>
      <c r="ID5" s="12" t="str">
        <f>IF(SUM(HM5:HN5,HP5:HR5,HT5)-HO5-HS5&gt;0,SUM(HM5:HN5,HP5:HR5,HT5)-HO5-HS5,"")</f>
        <v/>
      </c>
      <c r="IE5" s="12" t="str">
        <f>IF(SUM(HU5:HV5,HX5:HZ5,IB5)-SUM(HW5,IA5)&gt;0,SUM(HU5:HV5,HX5:HZ5,IB5)-SUM(HW5,IA5),"")</f>
        <v/>
      </c>
      <c r="IF5" s="12" t="str">
        <f>IF(SUM(ID5,IE5)&gt;0,SUM(ID5,IE5),"")</f>
        <v/>
      </c>
      <c r="IG5" s="40"/>
      <c r="IH5" s="40"/>
      <c r="II5" s="40"/>
      <c r="IJ5" s="40"/>
      <c r="IK5" s="40"/>
      <c r="IL5" s="40"/>
      <c r="IM5" s="40"/>
      <c r="IN5" s="40"/>
      <c r="IO5" s="40"/>
      <c r="IP5" s="40"/>
      <c r="IQ5" s="40"/>
      <c r="IR5" s="40"/>
      <c r="IS5" s="40"/>
      <c r="IT5" s="40"/>
      <c r="IU5" s="40"/>
      <c r="IV5" s="40"/>
      <c r="IW5" s="15" t="str">
        <f>IF(SUM(IH5,IL5)&gt;0,SUM(IH5,IL5),"")</f>
        <v/>
      </c>
      <c r="IX5" s="15" t="str">
        <f>IF(SUM(IG5:IH5,IJ5:IL5,IN5)-II5-IM5&gt;0,SUM(IG5:IH5,IJ5:IL5,IN5)-II5-IM5,"")</f>
        <v/>
      </c>
      <c r="IY5" s="15" t="str">
        <f>IF(SUM(IO5:IP5,IR5:IT5,IV5)-SUM(IQ5,IU5)&gt;0,SUM(IO5:IP5,IR5:IT5,IV5)-SUM(IQ5,IU5),"")</f>
        <v/>
      </c>
      <c r="IZ5" s="15" t="str">
        <f>IF(SUM(IX5,IY5)&gt;0,SUM(IX5,IY5),"")</f>
        <v/>
      </c>
      <c r="JA5" s="39"/>
      <c r="JB5" s="39"/>
      <c r="JC5" s="39"/>
      <c r="JD5" s="39"/>
      <c r="JE5" s="39"/>
      <c r="JF5" s="39"/>
      <c r="JG5" s="39"/>
      <c r="JH5" s="39"/>
      <c r="JI5" s="39"/>
      <c r="JJ5" s="39"/>
      <c r="JK5" s="39"/>
      <c r="JL5" s="39"/>
      <c r="JM5" s="39"/>
      <c r="JN5" s="39"/>
      <c r="JO5" s="39"/>
      <c r="JP5" s="39"/>
      <c r="JQ5" s="12" t="str">
        <f>IF(SUM(JB5,JF5)&gt;0,SUM(JB5,JF5),"")</f>
        <v/>
      </c>
      <c r="JR5" s="12" t="str">
        <f>IF(SUM(JA5:JB5,JD5:JF5,JH5)-JC5-JG5&gt;0,SUM(JA5:JB5,JD5:JF5,JH5)-JC5-JG5,"")</f>
        <v/>
      </c>
      <c r="JS5" s="12" t="str">
        <f>IF(SUM(JI5:JJ5,JL5:JN5,JP5)-SUM(JK5,JO5)&gt;0,SUM(JI5:JJ5,JL5:JN5,JP5)-SUM(JK5,JO5),"")</f>
        <v/>
      </c>
      <c r="JT5" s="12" t="str">
        <f>IF(SUM(JR5,JS5)&gt;0,SUM(JR5,JS5),"")</f>
        <v/>
      </c>
      <c r="JU5" s="40"/>
      <c r="JV5" s="40"/>
      <c r="JW5" s="40"/>
      <c r="JX5" s="40"/>
      <c r="JY5" s="40"/>
      <c r="JZ5" s="40"/>
      <c r="KA5" s="40"/>
      <c r="KB5" s="40"/>
      <c r="KC5" s="40"/>
      <c r="KD5" s="40"/>
      <c r="KE5" s="40"/>
      <c r="KF5" s="40"/>
      <c r="KG5" s="40"/>
      <c r="KH5" s="40"/>
      <c r="KI5" s="40"/>
      <c r="KJ5" s="40"/>
      <c r="KK5" s="15" t="str">
        <f>IF(SUM(JV5,JZ5)&gt;0,SUM(JV5,JZ5),"")</f>
        <v/>
      </c>
      <c r="KL5" s="15" t="str">
        <f>IF(SUM(JU5:JV5,JX5:JZ5,KB5)-JW5-KA5&gt;0,SUM(JU5:JV5,JX5:JZ5,KB5)-JW5-KA5,"")</f>
        <v/>
      </c>
      <c r="KM5" s="15" t="str">
        <f>IF(SUM(KC5:KD5,KF5:KH5,KJ5)-SUM(KE5,KI5)&gt;0,SUM(KC5:KD5,KF5:KH5,KJ5)-SUM(KE5,KI5),"")</f>
        <v/>
      </c>
      <c r="KN5" s="15" t="str">
        <f>IF(SUM(KL5,KM5)&gt;0,SUM(KL5,KM5),"")</f>
        <v/>
      </c>
      <c r="KO5" s="71">
        <f t="shared" ref="KO5:KO6" si="5">IF($BB5="P",AL5,(Q5+AL5)/2)</f>
        <v>25.55</v>
      </c>
      <c r="KP5" s="71">
        <f t="shared" si="0"/>
        <v>6.1</v>
      </c>
      <c r="KQ5" s="71">
        <f t="shared" si="0"/>
        <v>0</v>
      </c>
      <c r="KR5" s="71">
        <f t="shared" si="0"/>
        <v>0</v>
      </c>
      <c r="KS5" s="71">
        <f t="shared" si="0"/>
        <v>27.95</v>
      </c>
      <c r="KT5" s="71">
        <f t="shared" si="0"/>
        <v>4.5</v>
      </c>
      <c r="KU5" s="71">
        <f t="shared" si="0"/>
        <v>0</v>
      </c>
      <c r="KV5" s="71">
        <f t="shared" si="0"/>
        <v>0</v>
      </c>
      <c r="KW5" s="71">
        <f t="shared" si="0"/>
        <v>21.65</v>
      </c>
      <c r="KX5" s="71">
        <f t="shared" si="0"/>
        <v>3.15</v>
      </c>
      <c r="KY5" s="71">
        <f t="shared" si="0"/>
        <v>0</v>
      </c>
      <c r="KZ5" s="71">
        <f t="shared" si="0"/>
        <v>0</v>
      </c>
      <c r="LA5" s="71">
        <f t="shared" si="0"/>
        <v>26.95</v>
      </c>
      <c r="LB5" s="71">
        <f t="shared" si="0"/>
        <v>5.3</v>
      </c>
      <c r="LC5" s="71">
        <f t="shared" si="0"/>
        <v>0</v>
      </c>
      <c r="LD5" s="71">
        <f t="shared" si="0"/>
        <v>0</v>
      </c>
      <c r="LE5" s="82" t="s">
        <v>100</v>
      </c>
      <c r="LF5" s="12">
        <f t="shared" ref="LF5:LF6" si="6">IF(SUM(KP5,KT5)&gt;0,SUM(KP5,KT5),"")</f>
        <v>10.6</v>
      </c>
      <c r="LG5" s="12">
        <f t="shared" ref="LG5:LG6" si="7">IF(SUM(KO5:KP5,KR5:KT5,KV5)-KQ5-KU5&gt;0,SUM(KO5:KP5,KR5:KT5,KV5)-KQ5-KU5,"")</f>
        <v>64.099999999999994</v>
      </c>
      <c r="LH5" s="12">
        <f t="shared" ref="LH5:LH6" si="8">IF(SUM(KW5:KX5,KZ5:LB5,LD5)-SUM(KY5,LC5)&gt;0,SUM(KW5:KX5,KZ5:LB5,LD5)-SUM(KY5,LC5),"")</f>
        <v>57.05</v>
      </c>
      <c r="LI5" s="12">
        <f t="shared" ref="LI5:LI6" si="9">IF(SUM(LG5,LH5)&gt;0,SUM(LG5,LH5),"")</f>
        <v>121.14999999999999</v>
      </c>
    </row>
    <row r="6" spans="1:321" x14ac:dyDescent="0.2">
      <c r="A6" s="6" t="str">
        <f>IF(AND(F6="P",H6="P"),SUMPRODUCT((F$4:F$7="P")*(H$4:H$7="P")*(E$4:E$7&gt;E6))+1,IF(H6="P",SUMPRODUCT((F$4:F$7="")*(H$4:H$7="P")*(E$4:E$7&gt;E6))+1+SUMPRODUCT((F$4:F$7="P")*(H$4:H$7="P")),""))</f>
        <v/>
      </c>
      <c r="B6" s="9" t="s">
        <v>59</v>
      </c>
      <c r="C6" s="5" t="s">
        <v>3</v>
      </c>
      <c r="D6" s="29">
        <v>1991</v>
      </c>
      <c r="E6" s="16">
        <f>SUM(J6:N6)</f>
        <v>55.4</v>
      </c>
      <c r="F6" s="4" t="str">
        <f>IF(OR(AND(AH6&gt;=AJ$9,AI6&gt;=AJ$11,AI6&lt;&gt;"",AG6=""),AND(BC6&gt;=BE$9,BD6&gt;=BE$11,BD6&lt;&gt;"",BB6=""),AND(BY6&gt;=CA$9,BZ6&gt;=CA$11,BZ6&lt;&gt;""),AND(CS6&gt;=CU$9,CT6&gt;=CU$11,CT6&lt;&gt;""),AND(DM6&gt;=DO$9,DN6&gt;=DO$11,DN6&lt;&gt;""),AND(EG6&gt;=EI$9,EH6&gt;=EI$11,EH6&lt;&gt;""),AND(FA6&gt;=FC$9,FB6&gt;=FC$11,FB6&lt;&gt;""),AND(FU6&gt;=FW$9,FV6&gt;=FW$11,FV6&lt;&gt;""),AND(GO6&gt;=GQ$9,GP6&gt;=GQ$11,GP6&lt;&gt;""),AND(HI6&gt;=HK$9,HJ6&gt;=HK$11,HJ6&lt;&gt;""),AND(IC6&gt;=IE$9,ID6&gt;=IE$11,ID6&lt;&gt;""),AND(IW6&gt;=IY$9,IX6&gt;=IY$11,IX6&lt;&gt;""),AND(JQ6&gt;=JS$9,JR6&gt;=JS$11,JR6&lt;&gt;""),AND(KK6&gt;=KM$9,KL6&gt;=KM$11,KL6&lt;&gt;"")),"P","")</f>
        <v/>
      </c>
      <c r="G6" s="4" t="str">
        <f>IF(OR(AND(AH6&gt;=AJ$9,AI6&gt;=AJ$12,AI6&lt;&gt;"",AG6=""),AND(BC6&gt;=BE$9,BD6&gt;=BE$12,BD6&lt;&gt;"",BB6=""),AND(BY6&gt;=CA$9,BZ6&gt;=CA$12,BZ6&lt;&gt;""),AND(CS6&gt;=CU$9,CT6&gt;=CU$12,CT6&lt;&gt;""),AND(DM6&gt;=DO$9,DN6&gt;=DO$12,DN6&lt;&gt;""),AND(EG6&gt;=EI$9,EH6&gt;=EI$12,EH6&lt;&gt;""),AND(FA6&gt;=FC$9,FB6&gt;=FC$12,FB6&lt;&gt;""),AND(FU6&gt;=FW$9,FV6&gt;=FW$12,FV6&lt;&gt;""),AND(GO6&gt;=GQ$9,GP6&gt;=GQ$12,GP6&lt;&gt;""),AND(HI6&gt;=HK$9,HJ6&gt;=HK$12,HJ6&lt;&gt;""),AND(IC6&gt;=IE$9,ID6&gt;=IE$12,ID6&lt;&gt;""),AND(IW6&gt;=IY$9,IX6&gt;=IY$12,IX6&lt;&gt;""),AND(JQ6&gt;=JS$9,JR6&gt;=JS$12,JR6&lt;&gt;""),AND(KK6&gt;=KM$9,KL6&gt;=KM$12,KL6&lt;&gt;"")),"P","")</f>
        <v/>
      </c>
      <c r="H6" s="4" t="str">
        <f>IF(OR(AND(AI6&gt;=AJ$11,AI6&lt;&gt;"",AG6=""),AND(BD6&gt;=BE$11,BD6&lt;&gt;"",BB6=""),AND(BZ6&gt;=CA$11,BZ6&lt;&gt;""),AND(CT6&gt;=CU$11,CT6&lt;&gt;""),AND(DN6&gt;=DO$11,DN6&lt;&gt;""),AND(EH6&gt;=EI$11,EH6&lt;&gt;""),AND(FB6&gt;=FC$11,FB6&lt;&gt;""),AND(FV6&gt;=FW$11,FV6&lt;&gt;""),AND(GP6&gt;=GQ$11,GP6&lt;&gt;""),AND(HJ6&gt;=HK$11,HJ6&lt;&gt;""),AND(ID6&gt;=IE$11,ID6&lt;&gt;""),AND(IX6&gt;=IY$11,IX6&lt;&gt;""),AND(JR6&gt;=JS$11,JR6&lt;&gt;""),AND(KL6&gt;=KM$11,KL6&lt;&gt;"")),"P","")</f>
        <v/>
      </c>
      <c r="I6" t="str">
        <f>IF(AND(H6="P",F6=""),"No DD",IF(OR(AND(AI6&gt;=AJ$14,AI6&lt;&gt;"",AH6&gt;=AJ$10,AH6&lt;&gt;"",AG6=""),AND(BD6&gt;=BE$14,BD6&lt;&gt;"",BC6&gt;=BE$10,BC6&lt;&gt;"",BB6=""),AND(BZ6&gt;=CA$14,BZ6&lt;&gt;"",BY6&gt;=CA$10,BY6&lt;&gt;""),AND(CT6&gt;=CU$14,CT6&lt;&gt;"",CS6&gt;=CU$10,CS6&lt;&gt;""),AND(DN6&gt;=DO$14,DN6&lt;&gt;"",DM6&gt;=DO$10,DM6&lt;&gt;""),AND(EH6&gt;=EI$14,EH6&lt;&gt;"",EG6&gt;=EI$10,EG6&lt;&gt;""),AND(FB6&gt;=FC$14,FB6&lt;&gt;"",FA6&gt;=FC$10,FA6&lt;&gt;""),AND(FV6&gt;=FW$14,FV6&lt;&gt;"",FU6&gt;=FW$10,FU6&lt;&gt;""),AND(GP6&gt;=GQ$14,GP6&lt;&gt;"",GO6&gt;=GQ$10,GO6&lt;&gt;""),AND(HJ6&gt;=HK$14,HJ6&lt;&gt;"",HI6&gt;=HK$10,HI6&lt;&gt;""),AND(ID6&gt;=IE$14,ID6&lt;&gt;"",IC6&gt;=IE$10,IC6&lt;&gt;""),AND(IX6&gt;=IY$14,IX6&lt;&gt;"",IW6&gt;=IY$10,IW6&lt;&gt;""),AND(JR6&gt;=JS$14,JR6&lt;&gt;"",JQ6&gt;=JS$10,JQ6&lt;&gt;""),AND(KL6&gt;=KM$14,KL6&lt;&gt;"",KK6&gt;=KM$10,KK6&lt;&gt;"")),"Merit",IF(OR(AND(AI6&gt;=AJ$13,AI6&lt;&gt;"",AH6&gt;=AJ$10,AH6&lt;&gt;"",AG6=""),AND(BD6&gt;=BE$13,BD6&lt;&gt;"",BC6&gt;=BE$10,BC6&lt;&gt;"",BB6=""),AND(BZ6&gt;=CA$13,BZ6&lt;&gt;"",BY6&gt;=CA$10,BY6&lt;&gt;""),AND(CT6&gt;=CU$13,CT6&lt;&gt;"",CS6&gt;=CU$10,CS6&lt;&gt;""),AND(DN6&gt;=DO$13,DN6&lt;&gt;"",DM6&gt;=DO$10,DM6&lt;&gt;""),AND(EH6&gt;=EI$13,EH6&lt;&gt;"",EG6&gt;=EI$10,EG6&lt;&gt;""),AND(FB6&gt;=FC$13,FB6&lt;&gt;"",FA6&gt;=FC$10,FA6&lt;&gt;""),AND(FV6&gt;=FW$13,FV6&lt;&gt;"",FU6&gt;=FW$10,FU6&lt;&gt;""),AND(GP6&gt;=GQ$13,GP6&lt;&gt;"",GO6&gt;=GQ$10,GO6&lt;&gt;""),AND(HJ6&gt;=HK$13,HJ6&lt;&gt;"",HI6&gt;=HK$10,HI6&lt;&gt;""),AND(ID6&gt;=IE$13,ID6&lt;&gt;"",IC6&gt;=IE$10,IC6&lt;&gt;""),AND(IX6&gt;=IY$13,IX6&lt;&gt;"",IW6&gt;=IY$10,IW6&lt;&gt;""),AND(JR6&gt;=JS$13,JR6&lt;&gt;"",JQ6&gt;=JS$10,JQ6&lt;&gt;""),AND(KL6&gt;=KM$13,KL6&lt;&gt;"",KK6&gt;=KM$10,KK6&lt;&gt;"")),"Excellence",IF(OR(AND(AI6&gt;=AJ$12,AI6&lt;&gt;"",AH6&gt;=AJ$9,AH6&lt;&gt;"",AG6=""),AND(BD6&gt;=BE$12,BD6&lt;&gt;"",BC6&gt;=BE$9,BC6&lt;&gt;"",BB6=""),AND(BZ6&gt;=CA$12,BZ6&lt;&gt;"",BY6&gt;=CA$9,BY6&lt;&gt;""),AND(CT6&gt;=CU$12,CT6&lt;&gt;"",CS6&gt;=CU$9,CS6&lt;&gt;""),AND(DN6&gt;=DO$12,DN6&lt;&gt;"",DM6&gt;=DO$9,DM6&lt;&gt;""),AND(EH6&gt;=EI$12,EH6&lt;&gt;"",EG6&gt;=EI$9,EG6&lt;&gt;""),AND(FB6&gt;=FC$12,FB6&lt;&gt;"",FA6&gt;=FC$9,FA6&lt;&gt;""),AND(FV6&gt;=FW$12,FV6&lt;&gt;"",FU6&gt;=FW$9,FU6&lt;&gt;""),AND(GP6&gt;=GQ$12,GP6&lt;&gt;"",GO6&gt;=GQ$9,GO6&lt;&gt;""),AND(HJ6&gt;=HK$12,HJ6&lt;&gt;"",HI6&gt;=HK$9,HI6&lt;&gt;""),AND(ID6&gt;=IE$12,ID6&lt;&gt;"",IC6&gt;=IE$9,IC6&lt;&gt;""),AND(IX6&gt;=IY$12,IX6&lt;&gt;"",IW6&gt;=IY$9,IW6&lt;&gt;""),AND(JR6&gt;=JS$12,JR6&lt;&gt;"",JQ6&gt;=JS$9,JQ6&lt;&gt;""),AND(KL6&gt;=KM$12,KL6&lt;&gt;"",KK6&gt;=KM$9,KK6&lt;&gt;"")),"Worlds Team",IF(OR(AND(AI6&gt;=AJ$11,AI6&lt;&gt;"",AH6&gt;=AJ$9,AH6&lt;&gt;"",AG6=""),AND(BD6&gt;=BE$11,BD6&lt;&gt;"",BC6&gt;=BE$9,BC6&lt;&gt;"",BB6=""),AND(BZ6&gt;=CA$11,BZ6&lt;&gt;"",BY6&gt;=CA$9,BY6&lt;&gt;""),AND(CT6&gt;=CU$11,CT6&lt;&gt;"",CS6&gt;=CU$9,CS6&lt;&gt;""),AND(DN6&gt;=DO$11,DN6&lt;&gt;"",DM6&gt;=DO$9,DM6&lt;&gt;""),AND(EH6&gt;=EI$11,EH6&lt;&gt;"",EG6&gt;=EI$9,EG6&lt;&gt;""),AND(FB6&gt;=FC$11,FB6&lt;&gt;"",FA6&gt;=FC$9,FA6&lt;&gt;""),AND(FV6&gt;=FW$11,FV6&lt;&gt;"",FU6&gt;=FW$9,FU6&lt;&gt;""),AND(GP6&gt;=GQ$11,GP6&lt;&gt;"",GO6&gt;=GQ$9,GO6&lt;&gt;""),AND(HJ6&gt;=HK$11,HJ6&lt;&gt;"",HI6&gt;=HK$9,HI6&lt;&gt;""),AND(ID6&gt;=IE$11,ID6&lt;&gt;"",IC6&gt;=IE$9,IC6&lt;&gt;""),AND(IX6&gt;=IY$11,IX6&lt;&gt;"",IW6&gt;=IY$9,IW6&lt;&gt;""),AND(JR6&gt;=JS$11,JR6&lt;&gt;"",JQ6&gt;=JS$9,JQ6&lt;&gt;""),AND(KL6&gt;=KM$11,KL6&lt;&gt;"",KK6&gt;=KM$9,KK6&lt;&gt;"")),"National Team","")))))</f>
        <v/>
      </c>
      <c r="J6" s="15" t="str">
        <f>IF(MAX(AI6,BD6)&gt;0,MAX(AI6,BD6),"")</f>
        <v/>
      </c>
      <c r="K6" s="15" t="str">
        <f>IF(J6="","",IF(J6=BD6,$AL$1,IF(J6=AI6,$Q$1,"")))</f>
        <v/>
      </c>
      <c r="L6" s="15" t="str">
        <f>IF(MAX(AJ6,BE6)&gt;0,MAX(AJ6,BE6),"")</f>
        <v/>
      </c>
      <c r="M6" s="15" t="str">
        <f>IF(L6="","",IF(L6=BE6,$AL$1,IF(L6=AJ6,$Q$1,"")))</f>
        <v/>
      </c>
      <c r="N6" s="15">
        <f>IF(MAX(BG6:BH6)&gt;0,MAX(BG6:BH6),"")</f>
        <v>55.4</v>
      </c>
      <c r="O6" s="27" t="str">
        <f>IF(N6="","",IF(N6=BG6,"(Prelim)",IF(N6=BH6,"(Final)")))</f>
        <v>(Prelim)</v>
      </c>
      <c r="P6" s="15" t="str">
        <f>IF(N6="","",IF(N6=BG6,IF(N6+IF(J6="",0,J6)=KL6,$JU$1,IF(N6+IF(J6="",0,J6)=JR6,$JA$1,IF(N6+IF(J6="",0,J6)=IX6,$IG$1,IF(N6+IF(J6="",0,J6)=ID6,$HM$1,IF(N6+IF(J6="",0,J6)=HJ6,$GS$1,IF(N6+IF(J6="",0,J6)=GP6,$FY$1,IF(N6+IF(J6="",0,J6)=FV6,$FE$1,IF(N6+IF(J6="",0,J6)=FB6,$EK$1,IF(N6+IF(J6="",0,J6)=EH6,$DQ$1,IF(N6+IF(J6="",0,J6)=DN6,$CW$1,IF(N6+IF(J6="",0,J6)=CT6,$CC$1,IF(N6+IF(J6="",0,J6)=BZ6,$BI$1)))))))))))),IF(N6=BH6,IF(N6+IF(L6="",0,L6)=KM6,$JU$1,IF(N6+IF(L6="",0,L6)=JS6,$JA$1,IF(N6+IF(L6="",0,L6)=IY6,$IG$1,IF(N6+IF(L6="",0,L6)=IE6,$HM$1,IF(N6+IF(L6="",0,L6)=HK6,$GS$1,IF(N6+IF(L6="",0,L6)=GQ6,$FY$1,IF(N6+IF(L6="",0,L6)=FW6,$FE$1,IF(N6+IF(L6="",0,L6)=FC6,$EK$1,IF(N6+IF(L6="",0,L6)=EI6,$DQ$1,IF(N6+IF(L6="",0,L6)=DO6,$CW$1,IF(N6+IF(L6="",0,L6)=CU6,$CC$1,IF(N6+IF(L6="",0,L6)=CA6,$BI$1)))))))))))))))</f>
        <v>2018 World Championships (Nov 7)</v>
      </c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82"/>
      <c r="AH6" s="12" t="str">
        <f>IF(SUM(R6,V6)&gt;0,SUM(R6,V6),"")</f>
        <v/>
      </c>
      <c r="AI6" s="12" t="str">
        <f>IF(SUM(Q6:R6,T6:V6,X6)-S6-W6&gt;0,SUM(Q6:R6,T6:V6,X6)-S6-W6,"")</f>
        <v/>
      </c>
      <c r="AJ6" s="12" t="str">
        <f>IF(SUM(Y6:Z6,AB6:AD6,AF6)-SUM(AA6,AE6)&gt;0,SUM(Y6:Z6,AB6:AD6,AF6)-SUM(AA6,AE6),"")</f>
        <v/>
      </c>
      <c r="AK6" s="12" t="str">
        <f>IF(SUM(AI6,AJ6)&gt;0,SUM(AI6,AJ6),"")</f>
        <v/>
      </c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  <c r="AZ6" s="40"/>
      <c r="BA6" s="40"/>
      <c r="BB6" s="83"/>
      <c r="BC6" s="15" t="str">
        <f>IF(SUM(AM6,AQ6)&gt;0,SUM(AM6,AQ6),"")</f>
        <v/>
      </c>
      <c r="BD6" s="15" t="str">
        <f>IF(SUM(AL6:AM6,AO6:AQ6,AS6)-AN6-AR6&gt;0,SUM(AL6:AM6,AO6:AQ6,AS6)-AN6-AR6,"")</f>
        <v/>
      </c>
      <c r="BE6" s="15" t="str">
        <f>IF(SUM(AT6:AU6,AW6:AY6,BA6)-SUM(AV6,AZ6)&gt;0,SUM(AT6:AU6,AW6:AY6,BA6)-SUM(AV6,AZ6),"")</f>
        <v/>
      </c>
      <c r="BF6" s="15" t="str">
        <f>IF(SUM(BD6,BE6)&gt;0,SUM(BD6,BE6),"")</f>
        <v/>
      </c>
      <c r="BG6" s="26">
        <f>IF(MAX(BZ6,CT6,DN6,EH6,FB6,FV6,GP6,HJ6,ID6,IX6,JR6,KL6)-IF(J6="",0,J6)&gt;0.001,MAX(BZ6,CT6,DN6,EH6,FB6,FV6,GP6,HJ6,ID6,IX6,JR6,KL6)-IF(J6="",0,J6),"")</f>
        <v>55.4</v>
      </c>
      <c r="BH6" s="26" t="str">
        <f>IF(MAX(CA6,CU6,DO6,EI6,FC6,FW6,GQ6,HK6,IE6,IY6,JS6,KM6)-IF(L6="",0,L6)&gt;0.001,MAX(CA6,CU6,DO6,EI6,FC6,FW6,GQ6,HK6,IE6,IY6,JS6,KM6)-IF(L6="",0,L6),"")</f>
        <v/>
      </c>
      <c r="BI6" s="39">
        <v>26.4</v>
      </c>
      <c r="BJ6" s="39">
        <v>3.6</v>
      </c>
      <c r="BK6" s="39">
        <v>0</v>
      </c>
      <c r="BL6" s="39">
        <v>0</v>
      </c>
      <c r="BM6" s="39">
        <v>23.5</v>
      </c>
      <c r="BN6" s="39">
        <v>1.9</v>
      </c>
      <c r="BO6" s="39">
        <v>0</v>
      </c>
      <c r="BP6" s="39">
        <v>0</v>
      </c>
      <c r="BQ6" s="39"/>
      <c r="BR6" s="39"/>
      <c r="BS6" s="39"/>
      <c r="BT6" s="39"/>
      <c r="BU6" s="39"/>
      <c r="BV6" s="39"/>
      <c r="BW6" s="39"/>
      <c r="BX6" s="39"/>
      <c r="BY6" s="12">
        <f>IF(SUM(BJ6,BN6)&gt;0,SUM(BJ6,BN6),"")</f>
        <v>5.5</v>
      </c>
      <c r="BZ6" s="12">
        <f>IF(SUM(BI6:BJ6,BL6:BN6,BP6)-BK6-BO6&gt;0,SUM(BI6:BJ6,BL6:BN6,BP6)-BK6-BO6,"")</f>
        <v>55.4</v>
      </c>
      <c r="CA6" s="12" t="str">
        <f>IF(SUM(BQ6:BR6,BT6:BV6,BX6)-SUM(BS6,BW6)&gt;0,SUM(BQ6:BR6,BT6:BV6,BX6)-SUM(BS6,BW6),"")</f>
        <v/>
      </c>
      <c r="CB6" s="12">
        <f>IF(SUM(BZ6,CA6)&gt;0,SUM(BZ6,CA6),"")</f>
        <v>55.4</v>
      </c>
      <c r="CC6" s="40"/>
      <c r="CD6" s="40"/>
      <c r="CE6" s="40"/>
      <c r="CF6" s="40"/>
      <c r="CG6" s="40"/>
      <c r="CH6" s="40"/>
      <c r="CI6" s="40"/>
      <c r="CJ6" s="40"/>
      <c r="CK6" s="40"/>
      <c r="CL6" s="40"/>
      <c r="CM6" s="40"/>
      <c r="CN6" s="40"/>
      <c r="CO6" s="40"/>
      <c r="CP6" s="40"/>
      <c r="CQ6" s="40"/>
      <c r="CR6" s="40"/>
      <c r="CS6" s="15" t="str">
        <f>IF(SUM(CD6,CH6)&gt;0,SUM(CD6,CH6),"")</f>
        <v/>
      </c>
      <c r="CT6" s="15" t="str">
        <f>IF(SUM(CC6:CD6,CF6:CH6,CJ6)-CE6-CI6&gt;0,SUM(CC6:CD6,CF6:CH6,CJ6)-CE6-CI6,"")</f>
        <v/>
      </c>
      <c r="CU6" s="15" t="str">
        <f>IF(SUM(CK6:CL6,CN6:CP6,CR6)-SUM(CM6,CQ6)&gt;0,SUM(CK6:CL6,CN6:CP6,CR6)-SUM(CM6,CQ6),"")</f>
        <v/>
      </c>
      <c r="CV6" s="15" t="str">
        <f>IF(SUM(CT6,CU6)&gt;0,SUM(CT6,CU6),"")</f>
        <v/>
      </c>
      <c r="CW6" s="39"/>
      <c r="CX6" s="39"/>
      <c r="CY6" s="39"/>
      <c r="CZ6" s="39"/>
      <c r="DA6" s="39"/>
      <c r="DB6" s="39"/>
      <c r="DC6" s="39"/>
      <c r="DD6" s="39"/>
      <c r="DE6" s="39"/>
      <c r="DF6" s="39"/>
      <c r="DG6" s="39"/>
      <c r="DH6" s="39"/>
      <c r="DI6" s="39"/>
      <c r="DJ6" s="39"/>
      <c r="DK6" s="39"/>
      <c r="DL6" s="39"/>
      <c r="DM6" s="12" t="str">
        <f>IF(SUM(CX6,DB6)&gt;0,SUM(CX6,DB6),"")</f>
        <v/>
      </c>
      <c r="DN6" s="12" t="str">
        <f>IF(SUM(CW6:CX6,CZ6:DB6,DD6)-CY6-DC6&gt;0,SUM(CW6:CX6,CZ6:DB6,DD6)-CY6-DC6,"")</f>
        <v/>
      </c>
      <c r="DO6" s="12" t="str">
        <f>IF(SUM(DE6:DF6,DH6:DJ6,DL6)-SUM(DG6,DK6)&gt;0,SUM(DE6:DF6,DH6:DJ6,DL6)-SUM(DG6,DK6),"")</f>
        <v/>
      </c>
      <c r="DP6" s="12" t="str">
        <f>IF(SUM(DN6,DO6)&gt;0,SUM(DN6,DO6),"")</f>
        <v/>
      </c>
      <c r="DQ6" s="40"/>
      <c r="DR6" s="40"/>
      <c r="DS6" s="40"/>
      <c r="DT6" s="40"/>
      <c r="DU6" s="40"/>
      <c r="DV6" s="40"/>
      <c r="DW6" s="40"/>
      <c r="DX6" s="40"/>
      <c r="DY6" s="40"/>
      <c r="DZ6" s="40"/>
      <c r="EA6" s="40"/>
      <c r="EB6" s="40"/>
      <c r="EC6" s="40"/>
      <c r="ED6" s="40"/>
      <c r="EE6" s="40"/>
      <c r="EF6" s="40"/>
      <c r="EG6" s="15" t="str">
        <f>IF(SUM(DR6,DV6)&gt;0,SUM(DR6,DV6),"")</f>
        <v/>
      </c>
      <c r="EH6" s="15" t="str">
        <f>IF(SUM(DQ6:DR6,DT6:DV6,DX6)-DS6-DW6&gt;0,SUM(DQ6:DR6,DT6:DV6,DX6)-DS6-DW6,"")</f>
        <v/>
      </c>
      <c r="EI6" s="15" t="str">
        <f>IF(SUM(DY6:DZ6,EB6:ED6,EF6)-SUM(EA6,EE6)&gt;0,SUM(DY6:DZ6,EB6:ED6,EF6)-SUM(EA6,EE6),"")</f>
        <v/>
      </c>
      <c r="EJ6" s="15" t="str">
        <f>IF(SUM(EH6,EI6)&gt;0,SUM(EH6,EI6),"")</f>
        <v/>
      </c>
      <c r="EK6" s="39"/>
      <c r="EL6" s="39"/>
      <c r="EM6" s="39"/>
      <c r="EN6" s="39"/>
      <c r="EO6" s="39"/>
      <c r="EP6" s="39"/>
      <c r="EQ6" s="39"/>
      <c r="ER6" s="39"/>
      <c r="ES6" s="39"/>
      <c r="ET6" s="39"/>
      <c r="EU6" s="39"/>
      <c r="EV6" s="39"/>
      <c r="EW6" s="39"/>
      <c r="EX6" s="39"/>
      <c r="EY6" s="39"/>
      <c r="EZ6" s="39"/>
      <c r="FA6" s="12" t="str">
        <f>IF(SUM(EL6,EP6)&gt;0,SUM(EL6,EP6),"")</f>
        <v/>
      </c>
      <c r="FB6" s="12" t="str">
        <f>IF(SUM(EK6:EL6,EN6:EP6,ER6)-EM6-EQ6&gt;0,SUM(EK6:EL6,EN6:EP6,ER6)-EM6-EQ6,"")</f>
        <v/>
      </c>
      <c r="FC6" s="12" t="str">
        <f>IF(SUM(ES6:ET6,EV6:EX6,EZ6)-SUM(EU6,EY6)&gt;0,SUM(ES6:ET6,EV6:EX6,EZ6)-SUM(EU6,EY6),"")</f>
        <v/>
      </c>
      <c r="FD6" s="12" t="str">
        <f>IF(SUM(FB6,FC6)&gt;0,SUM(FB6,FC6),"")</f>
        <v/>
      </c>
      <c r="FE6" s="40"/>
      <c r="FF6" s="40"/>
      <c r="FG6" s="40"/>
      <c r="FH6" s="40"/>
      <c r="FI6" s="40"/>
      <c r="FJ6" s="40"/>
      <c r="FK6" s="40"/>
      <c r="FL6" s="40"/>
      <c r="FM6" s="40"/>
      <c r="FN6" s="40"/>
      <c r="FO6" s="40"/>
      <c r="FP6" s="40"/>
      <c r="FQ6" s="40"/>
      <c r="FR6" s="40"/>
      <c r="FS6" s="40"/>
      <c r="FT6" s="40"/>
      <c r="FU6" s="15" t="str">
        <f>IF(SUM(FF6,FJ6)&gt;0,SUM(FF6,FJ6),"")</f>
        <v/>
      </c>
      <c r="FV6" s="15" t="str">
        <f>IF(SUM(FE6:FF6,FH6:FJ6,FL6)-FG6-FK6&gt;0,SUM(FE6:FF6,FH6:FJ6,FL6)-FG6-FK6,"")</f>
        <v/>
      </c>
      <c r="FW6" s="15" t="str">
        <f>IF(SUM(FM6:FN6,FP6:FR6,FT6)-SUM(FO6,FS6)&gt;0,SUM(FM6:FN6,FP6:FR6,FT6)-SUM(FO6,FS6),"")</f>
        <v/>
      </c>
      <c r="FX6" s="15" t="str">
        <f>IF(SUM(FV6,FW6)&gt;0,SUM(FV6,FW6),"")</f>
        <v/>
      </c>
      <c r="FY6" s="39"/>
      <c r="FZ6" s="39"/>
      <c r="GA6" s="39"/>
      <c r="GB6" s="39"/>
      <c r="GC6" s="39"/>
      <c r="GD6" s="39"/>
      <c r="GE6" s="39"/>
      <c r="GF6" s="39"/>
      <c r="GG6" s="39"/>
      <c r="GH6" s="39"/>
      <c r="GI6" s="39"/>
      <c r="GJ6" s="39"/>
      <c r="GK6" s="39"/>
      <c r="GL6" s="39"/>
      <c r="GM6" s="39"/>
      <c r="GN6" s="39"/>
      <c r="GO6" s="12" t="str">
        <f>IF(SUM(FZ6,GD6)&gt;0,SUM(FZ6,GD6),"")</f>
        <v/>
      </c>
      <c r="GP6" s="12" t="str">
        <f>IF(SUM(FY6:FZ6,GB6:GD6,GF6)-GA6-GE6&gt;0,SUM(FY6:FZ6,GB6:GD6,GF6)-GA6-GE6,"")</f>
        <v/>
      </c>
      <c r="GQ6" s="12" t="str">
        <f>IF(SUM(GG6:GH6,GJ6:GL6,GN6)-SUM(GI6,GM6)&gt;0,SUM(GG6:GH6,GJ6:GL6,GN6)-SUM(GI6,GM6),"")</f>
        <v/>
      </c>
      <c r="GR6" s="12" t="str">
        <f>IF(SUM(GP6,GQ6)&gt;0,SUM(GP6,GQ6),"")</f>
        <v/>
      </c>
      <c r="GS6" s="40"/>
      <c r="GT6" s="40"/>
      <c r="GU6" s="40"/>
      <c r="GV6" s="40"/>
      <c r="GW6" s="40"/>
      <c r="GX6" s="40"/>
      <c r="GY6" s="40"/>
      <c r="GZ6" s="40"/>
      <c r="HA6" s="40"/>
      <c r="HB6" s="40"/>
      <c r="HC6" s="40"/>
      <c r="HD6" s="40"/>
      <c r="HE6" s="40"/>
      <c r="HF6" s="40"/>
      <c r="HG6" s="40"/>
      <c r="HH6" s="40"/>
      <c r="HI6" s="15" t="str">
        <f>IF(SUM(GT6,GX6)&gt;0,SUM(GT6,GX6),"")</f>
        <v/>
      </c>
      <c r="HJ6" s="15" t="str">
        <f>IF(SUM(GS6:GT6,GV6:GX6,GZ6)-GU6-GY6&gt;0,SUM(GS6:GT6,GV6:GX6,GZ6)-GU6-GY6,"")</f>
        <v/>
      </c>
      <c r="HK6" s="15" t="str">
        <f>IF(SUM(HA6:HB6,HD6:HF6,HH6)-SUM(HC6,HG6)&gt;0,SUM(HA6:HB6,HD6:HF6,HH6)-SUM(HC6,HG6),"")</f>
        <v/>
      </c>
      <c r="HL6" s="15" t="str">
        <f>IF(SUM(HJ6,HK6)&gt;0,SUM(HJ6,HK6),"")</f>
        <v/>
      </c>
      <c r="HM6" s="39"/>
      <c r="HN6" s="39"/>
      <c r="HO6" s="39"/>
      <c r="HP6" s="39"/>
      <c r="HQ6" s="39"/>
      <c r="HR6" s="39"/>
      <c r="HS6" s="39"/>
      <c r="HT6" s="39"/>
      <c r="HU6" s="39"/>
      <c r="HV6" s="39"/>
      <c r="HW6" s="39"/>
      <c r="HX6" s="39"/>
      <c r="HY6" s="39"/>
      <c r="HZ6" s="39"/>
      <c r="IA6" s="39"/>
      <c r="IB6" s="39"/>
      <c r="IC6" s="12" t="str">
        <f>IF(SUM(HN6,HR6)&gt;0,SUM(HN6,HR6),"")</f>
        <v/>
      </c>
      <c r="ID6" s="12" t="str">
        <f>IF(SUM(HM6:HN6,HP6:HR6,HT6)-HO6-HS6&gt;0,SUM(HM6:HN6,HP6:HR6,HT6)-HO6-HS6,"")</f>
        <v/>
      </c>
      <c r="IE6" s="12" t="str">
        <f>IF(SUM(HU6:HV6,HX6:HZ6,IB6)-SUM(HW6,IA6)&gt;0,SUM(HU6:HV6,HX6:HZ6,IB6)-SUM(HW6,IA6),"")</f>
        <v/>
      </c>
      <c r="IF6" s="12" t="str">
        <f>IF(SUM(ID6,IE6)&gt;0,SUM(ID6,IE6),"")</f>
        <v/>
      </c>
      <c r="IG6" s="40"/>
      <c r="IH6" s="40"/>
      <c r="II6" s="40"/>
      <c r="IJ6" s="40"/>
      <c r="IK6" s="40"/>
      <c r="IL6" s="40"/>
      <c r="IM6" s="40"/>
      <c r="IN6" s="40"/>
      <c r="IO6" s="40"/>
      <c r="IP6" s="40"/>
      <c r="IQ6" s="40"/>
      <c r="IR6" s="40"/>
      <c r="IS6" s="40"/>
      <c r="IT6" s="40"/>
      <c r="IU6" s="40"/>
      <c r="IV6" s="40"/>
      <c r="IW6" s="15" t="str">
        <f>IF(SUM(IH6,IL6)&gt;0,SUM(IH6,IL6),"")</f>
        <v/>
      </c>
      <c r="IX6" s="15" t="str">
        <f>IF(SUM(IG6:IH6,IJ6:IL6,IN6)-II6-IM6&gt;0,SUM(IG6:IH6,IJ6:IL6,IN6)-II6-IM6,"")</f>
        <v/>
      </c>
      <c r="IY6" s="15" t="str">
        <f>IF(SUM(IO6:IP6,IR6:IT6,IV6)-SUM(IQ6,IU6)&gt;0,SUM(IO6:IP6,IR6:IT6,IV6)-SUM(IQ6,IU6),"")</f>
        <v/>
      </c>
      <c r="IZ6" s="15" t="str">
        <f>IF(SUM(IX6,IY6)&gt;0,SUM(IX6,IY6),"")</f>
        <v/>
      </c>
      <c r="JA6" s="39"/>
      <c r="JB6" s="39"/>
      <c r="JC6" s="39"/>
      <c r="JD6" s="39"/>
      <c r="JE6" s="39"/>
      <c r="JF6" s="39"/>
      <c r="JG6" s="39"/>
      <c r="JH6" s="39"/>
      <c r="JI6" s="39"/>
      <c r="JJ6" s="39"/>
      <c r="JK6" s="39"/>
      <c r="JL6" s="39"/>
      <c r="JM6" s="39"/>
      <c r="JN6" s="39"/>
      <c r="JO6" s="39"/>
      <c r="JP6" s="39"/>
      <c r="JQ6" s="12" t="str">
        <f>IF(SUM(JB6,JF6)&gt;0,SUM(JB6,JF6),"")</f>
        <v/>
      </c>
      <c r="JR6" s="12" t="str">
        <f>IF(SUM(JA6:JB6,JD6:JF6,JH6)-JC6-JG6&gt;0,SUM(JA6:JB6,JD6:JF6,JH6)-JC6-JG6,"")</f>
        <v/>
      </c>
      <c r="JS6" s="12" t="str">
        <f>IF(SUM(JI6:JJ6,JL6:JN6,JP6)-SUM(JK6,JO6)&gt;0,SUM(JI6:JJ6,JL6:JN6,JP6)-SUM(JK6,JO6),"")</f>
        <v/>
      </c>
      <c r="JT6" s="12" t="str">
        <f>IF(SUM(JR6,JS6)&gt;0,SUM(JR6,JS6),"")</f>
        <v/>
      </c>
      <c r="JU6" s="40"/>
      <c r="JV6" s="40"/>
      <c r="JW6" s="40"/>
      <c r="JX6" s="40"/>
      <c r="JY6" s="40"/>
      <c r="JZ6" s="40"/>
      <c r="KA6" s="40"/>
      <c r="KB6" s="40"/>
      <c r="KC6" s="40"/>
      <c r="KD6" s="40"/>
      <c r="KE6" s="40"/>
      <c r="KF6" s="40"/>
      <c r="KG6" s="40"/>
      <c r="KH6" s="40"/>
      <c r="KI6" s="40"/>
      <c r="KJ6" s="40"/>
      <c r="KK6" s="15" t="str">
        <f>IF(SUM(JV6,JZ6)&gt;0,SUM(JV6,JZ6),"")</f>
        <v/>
      </c>
      <c r="KL6" s="15" t="str">
        <f>IF(SUM(JU6:JV6,JX6:JZ6,KB6)-JW6-KA6&gt;0,SUM(JU6:JV6,JX6:JZ6,KB6)-JW6-KA6,"")</f>
        <v/>
      </c>
      <c r="KM6" s="15" t="str">
        <f>IF(SUM(KC6:KD6,KF6:KH6,KJ6)-SUM(KE6,KI6)&gt;0,SUM(KC6:KD6,KF6:KH6,KJ6)-SUM(KE6,KI6),"")</f>
        <v/>
      </c>
      <c r="KN6" s="15" t="str">
        <f>IF(SUM(KL6,KM6)&gt;0,SUM(KL6,KM6),"")</f>
        <v/>
      </c>
      <c r="KO6" s="71">
        <f t="shared" si="5"/>
        <v>0</v>
      </c>
      <c r="KP6" s="71">
        <f t="shared" si="0"/>
        <v>0</v>
      </c>
      <c r="KQ6" s="71">
        <f t="shared" si="0"/>
        <v>0</v>
      </c>
      <c r="KR6" s="71">
        <f t="shared" si="0"/>
        <v>0</v>
      </c>
      <c r="KS6" s="71">
        <f t="shared" si="0"/>
        <v>0</v>
      </c>
      <c r="KT6" s="71">
        <f t="shared" si="0"/>
        <v>0</v>
      </c>
      <c r="KU6" s="71">
        <f t="shared" si="0"/>
        <v>0</v>
      </c>
      <c r="KV6" s="71">
        <f t="shared" si="0"/>
        <v>0</v>
      </c>
      <c r="KW6" s="71">
        <f t="shared" si="0"/>
        <v>0</v>
      </c>
      <c r="KX6" s="71">
        <f t="shared" si="0"/>
        <v>0</v>
      </c>
      <c r="KY6" s="71">
        <f t="shared" si="0"/>
        <v>0</v>
      </c>
      <c r="KZ6" s="71">
        <f t="shared" si="0"/>
        <v>0</v>
      </c>
      <c r="LA6" s="71">
        <f t="shared" si="0"/>
        <v>0</v>
      </c>
      <c r="LB6" s="71">
        <f t="shared" si="0"/>
        <v>0</v>
      </c>
      <c r="LC6" s="71">
        <f t="shared" si="0"/>
        <v>0</v>
      </c>
      <c r="LD6" s="71">
        <f t="shared" si="0"/>
        <v>0</v>
      </c>
      <c r="LE6" s="82" t="s">
        <v>100</v>
      </c>
      <c r="LF6" s="12" t="str">
        <f t="shared" si="6"/>
        <v/>
      </c>
      <c r="LG6" s="12" t="str">
        <f t="shared" si="7"/>
        <v/>
      </c>
      <c r="LH6" s="12" t="str">
        <f t="shared" si="8"/>
        <v/>
      </c>
      <c r="LI6" s="12" t="str">
        <f t="shared" si="9"/>
        <v/>
      </c>
    </row>
    <row r="7" spans="1:321" ht="17" x14ac:dyDescent="0.2">
      <c r="N7" s="21"/>
      <c r="O7" s="21"/>
      <c r="P7" s="21"/>
      <c r="IG7" s="44"/>
      <c r="IH7" s="44"/>
      <c r="II7" s="44"/>
      <c r="IJ7" s="44"/>
      <c r="IK7" s="44"/>
      <c r="IL7" s="44"/>
      <c r="IM7" s="44"/>
      <c r="IN7" s="44"/>
      <c r="IO7" s="44"/>
      <c r="IP7" s="44"/>
      <c r="IQ7" s="44"/>
      <c r="IR7" s="44"/>
      <c r="IS7" s="44"/>
      <c r="IT7" s="44"/>
      <c r="IU7" s="44"/>
      <c r="IV7" s="44"/>
    </row>
    <row r="8" spans="1:321" ht="17" x14ac:dyDescent="0.2">
      <c r="N8" s="21"/>
      <c r="O8" s="21"/>
      <c r="P8" s="21"/>
    </row>
    <row r="9" spans="1:321" ht="17" x14ac:dyDescent="0.2">
      <c r="B9" s="72" t="s">
        <v>85</v>
      </c>
      <c r="N9" s="21"/>
      <c r="O9" s="21"/>
      <c r="P9" s="21"/>
      <c r="AH9" s="58"/>
      <c r="AJ9" s="66">
        <v>8.1</v>
      </c>
      <c r="BC9" s="58"/>
      <c r="BE9" s="66">
        <v>8.1</v>
      </c>
      <c r="BY9" s="58"/>
      <c r="CA9" s="66">
        <v>8.1</v>
      </c>
      <c r="CS9" s="58"/>
      <c r="CU9" s="85">
        <v>8.1</v>
      </c>
      <c r="DM9" s="58"/>
      <c r="DO9" s="66">
        <v>8.1</v>
      </c>
      <c r="EG9" s="58"/>
      <c r="EI9" s="66">
        <v>8.1</v>
      </c>
      <c r="FA9" s="58"/>
      <c r="FC9" s="66">
        <v>8.1</v>
      </c>
      <c r="FU9" s="58"/>
      <c r="FW9" s="66">
        <v>8.1</v>
      </c>
      <c r="GO9" s="58"/>
      <c r="GQ9" s="66">
        <v>8.1</v>
      </c>
      <c r="HI9" s="58"/>
      <c r="HK9" s="66">
        <v>8.1</v>
      </c>
      <c r="IC9" s="58"/>
      <c r="IE9" s="66">
        <v>8.1</v>
      </c>
      <c r="IW9" s="58"/>
      <c r="IY9" s="66">
        <v>8.1</v>
      </c>
      <c r="JQ9" s="58"/>
      <c r="JS9" s="66">
        <v>8.1</v>
      </c>
      <c r="KK9" s="58"/>
      <c r="KM9" s="66">
        <v>8.1</v>
      </c>
    </row>
    <row r="10" spans="1:321" ht="17" x14ac:dyDescent="0.2">
      <c r="A10" s="58"/>
      <c r="B10" s="100" t="s">
        <v>159</v>
      </c>
      <c r="C10" s="57"/>
      <c r="N10" s="21"/>
      <c r="O10" s="21"/>
      <c r="P10" s="21"/>
      <c r="AH10" s="58"/>
      <c r="AJ10" s="102">
        <v>9.5</v>
      </c>
      <c r="BC10" s="58"/>
      <c r="BE10" s="102">
        <v>9.5</v>
      </c>
      <c r="BY10" s="58"/>
      <c r="CA10" s="102">
        <v>8.1</v>
      </c>
      <c r="CS10" s="58"/>
      <c r="CU10" s="103">
        <v>9.5</v>
      </c>
      <c r="DM10" s="58"/>
      <c r="DO10" s="102">
        <v>9.5</v>
      </c>
      <c r="EG10" s="58"/>
      <c r="EI10" s="102">
        <v>9.5</v>
      </c>
      <c r="FA10" s="58"/>
      <c r="FC10" s="102">
        <v>9.5</v>
      </c>
      <c r="FU10" s="58"/>
      <c r="FW10" s="102">
        <v>9.5</v>
      </c>
      <c r="GO10" s="58"/>
      <c r="GQ10" s="102">
        <v>9.5</v>
      </c>
      <c r="HI10" s="58"/>
      <c r="HK10" s="102">
        <v>9.5</v>
      </c>
      <c r="IC10" s="58"/>
      <c r="IE10" s="102">
        <v>9.5</v>
      </c>
      <c r="IW10" s="58"/>
      <c r="IY10" s="102">
        <v>9.5</v>
      </c>
      <c r="JQ10" s="58"/>
      <c r="JS10" s="102">
        <v>9.5</v>
      </c>
      <c r="KK10" s="58"/>
      <c r="KM10" s="102">
        <v>9.5</v>
      </c>
    </row>
    <row r="11" spans="1:321" ht="17" x14ac:dyDescent="0.2">
      <c r="A11" s="58"/>
      <c r="B11" s="73" t="s">
        <v>82</v>
      </c>
      <c r="C11" s="57"/>
      <c r="N11" s="21"/>
      <c r="O11" s="21"/>
      <c r="P11" s="21"/>
      <c r="AH11" s="58"/>
      <c r="AJ11" s="67">
        <v>60</v>
      </c>
      <c r="BC11" s="58"/>
      <c r="BE11" s="67">
        <v>60</v>
      </c>
      <c r="BY11" s="58"/>
      <c r="CA11" s="67">
        <v>60</v>
      </c>
      <c r="CS11" s="58"/>
      <c r="CU11" s="86">
        <v>60</v>
      </c>
      <c r="DM11" s="58"/>
      <c r="DO11" s="67">
        <v>60</v>
      </c>
      <c r="EG11" s="58"/>
      <c r="EI11" s="67">
        <v>60</v>
      </c>
      <c r="FA11" s="58"/>
      <c r="FC11" s="67">
        <v>60</v>
      </c>
      <c r="FU11" s="58"/>
      <c r="FW11" s="67">
        <v>60</v>
      </c>
      <c r="GO11" s="58"/>
      <c r="GQ11" s="67">
        <v>60</v>
      </c>
      <c r="HI11" s="58"/>
      <c r="HK11" s="67">
        <v>60</v>
      </c>
      <c r="IC11" s="58"/>
      <c r="IE11" s="67">
        <v>60</v>
      </c>
      <c r="IW11" s="58"/>
      <c r="IY11" s="67">
        <v>60</v>
      </c>
      <c r="JQ11" s="58"/>
      <c r="JS11" s="67">
        <v>60</v>
      </c>
      <c r="KK11" s="58"/>
      <c r="KM11" s="67">
        <v>60</v>
      </c>
    </row>
    <row r="12" spans="1:321" ht="17" x14ac:dyDescent="0.2">
      <c r="A12" s="58"/>
      <c r="B12" s="74" t="s">
        <v>83</v>
      </c>
      <c r="C12" s="57"/>
      <c r="N12" s="21"/>
      <c r="O12" s="21"/>
      <c r="P12" s="21"/>
      <c r="AH12" s="58"/>
      <c r="AJ12" s="68">
        <v>61.5</v>
      </c>
      <c r="BC12" s="58"/>
      <c r="BE12" s="68">
        <v>61.5</v>
      </c>
      <c r="BY12" s="58"/>
      <c r="CA12" s="68">
        <v>61.5</v>
      </c>
      <c r="CS12" s="58"/>
      <c r="CU12" s="87">
        <v>61.5</v>
      </c>
      <c r="DM12" s="58"/>
      <c r="DO12" s="68">
        <v>61.5</v>
      </c>
      <c r="EG12" s="58"/>
      <c r="EI12" s="68">
        <v>61.5</v>
      </c>
      <c r="FA12" s="58"/>
      <c r="FC12" s="68">
        <v>61.5</v>
      </c>
      <c r="FU12" s="58"/>
      <c r="FW12" s="68">
        <v>61.5</v>
      </c>
      <c r="GO12" s="58"/>
      <c r="GQ12" s="68">
        <v>61.5</v>
      </c>
      <c r="HI12" s="58"/>
      <c r="HK12" s="68">
        <v>61.5</v>
      </c>
      <c r="IC12" s="58"/>
      <c r="IE12" s="68">
        <v>61.5</v>
      </c>
      <c r="IW12" s="58"/>
      <c r="IY12" s="68">
        <v>61.5</v>
      </c>
      <c r="JQ12" s="58"/>
      <c r="JS12" s="68">
        <v>61.5</v>
      </c>
      <c r="KK12" s="58"/>
      <c r="KM12" s="68">
        <v>61.5</v>
      </c>
    </row>
    <row r="13" spans="1:321" ht="17" x14ac:dyDescent="0.2">
      <c r="A13" s="58"/>
      <c r="B13" s="75" t="s">
        <v>151</v>
      </c>
      <c r="C13" s="57"/>
      <c r="N13" s="21"/>
      <c r="O13" s="21"/>
      <c r="P13" s="21"/>
      <c r="AH13" s="58"/>
      <c r="AJ13" s="69">
        <v>63.7</v>
      </c>
      <c r="BC13" s="58"/>
      <c r="BE13" s="69">
        <v>63.7</v>
      </c>
      <c r="BY13" s="58"/>
      <c r="CA13" s="69">
        <v>64.099999999999994</v>
      </c>
      <c r="CS13" s="58"/>
      <c r="CU13" s="88">
        <v>63.7</v>
      </c>
      <c r="DM13" s="58"/>
      <c r="DO13" s="69">
        <v>63.7</v>
      </c>
      <c r="EG13" s="58"/>
      <c r="EI13" s="69">
        <v>63.7</v>
      </c>
      <c r="FA13" s="58"/>
      <c r="FC13" s="69">
        <v>63.7</v>
      </c>
      <c r="FU13" s="58"/>
      <c r="FW13" s="69">
        <v>63.7</v>
      </c>
      <c r="GO13" s="58"/>
      <c r="GQ13" s="69">
        <v>63.7</v>
      </c>
      <c r="HI13" s="58"/>
      <c r="HK13" s="69">
        <v>63.7</v>
      </c>
      <c r="IC13" s="58"/>
      <c r="IE13" s="69">
        <v>63.7</v>
      </c>
      <c r="IW13" s="58"/>
      <c r="IY13" s="69">
        <v>63.7</v>
      </c>
      <c r="JQ13" s="58"/>
      <c r="JS13" s="69">
        <v>63.7</v>
      </c>
      <c r="KK13" s="58"/>
      <c r="KM13" s="69">
        <v>63.7</v>
      </c>
    </row>
    <row r="14" spans="1:321" ht="17" x14ac:dyDescent="0.2">
      <c r="A14" s="58"/>
      <c r="B14" s="76" t="s">
        <v>64</v>
      </c>
      <c r="C14" s="57"/>
      <c r="N14" s="21"/>
      <c r="O14" s="21"/>
      <c r="P14" s="21"/>
      <c r="AH14" s="58"/>
      <c r="AJ14" s="70">
        <v>65.400000000000006</v>
      </c>
      <c r="BC14" s="58"/>
      <c r="BE14" s="70">
        <v>65.400000000000006</v>
      </c>
      <c r="BY14" s="58"/>
      <c r="CA14" s="70">
        <v>66.8</v>
      </c>
      <c r="CS14" s="58"/>
      <c r="CU14" s="89">
        <v>65.400000000000006</v>
      </c>
      <c r="DM14" s="58"/>
      <c r="DO14" s="70">
        <v>65.400000000000006</v>
      </c>
      <c r="EG14" s="58"/>
      <c r="EI14" s="70">
        <v>65.400000000000006</v>
      </c>
      <c r="FA14" s="58"/>
      <c r="FC14" s="70">
        <v>65.400000000000006</v>
      </c>
      <c r="FU14" s="58"/>
      <c r="FW14" s="70">
        <v>65.400000000000006</v>
      </c>
      <c r="GO14" s="58"/>
      <c r="GQ14" s="70">
        <v>65.400000000000006</v>
      </c>
      <c r="HI14" s="58"/>
      <c r="HK14" s="70">
        <v>65.400000000000006</v>
      </c>
      <c r="IC14" s="58"/>
      <c r="IE14" s="70">
        <v>65.400000000000006</v>
      </c>
      <c r="IW14" s="58"/>
      <c r="IY14" s="70">
        <v>65.400000000000006</v>
      </c>
      <c r="JQ14" s="58"/>
      <c r="JS14" s="70">
        <v>65.400000000000006</v>
      </c>
      <c r="KK14" s="58"/>
      <c r="KM14" s="70">
        <v>65.400000000000006</v>
      </c>
    </row>
    <row r="15" spans="1:321" x14ac:dyDescent="0.2">
      <c r="B15" s="84" t="s">
        <v>101</v>
      </c>
      <c r="C15" s="3"/>
    </row>
    <row r="16" spans="1:321" x14ac:dyDescent="0.2">
      <c r="A16" s="58"/>
      <c r="B16" s="58"/>
      <c r="C16" s="57"/>
    </row>
    <row r="17" spans="1:3" x14ac:dyDescent="0.2">
      <c r="A17" s="58"/>
      <c r="B17" s="58"/>
      <c r="C17" s="57"/>
    </row>
    <row r="18" spans="1:3" x14ac:dyDescent="0.2">
      <c r="A18" s="58"/>
      <c r="B18" s="58"/>
      <c r="C18" s="57"/>
    </row>
    <row r="19" spans="1:3" x14ac:dyDescent="0.2">
      <c r="A19" s="7"/>
      <c r="B19" s="7"/>
      <c r="C19" s="7"/>
    </row>
  </sheetData>
  <sheetProtection sheet="1" formatCells="0" formatColumns="0" formatRows="0"/>
  <autoFilter ref="A1:KN3" xr:uid="{00000000-0009-0000-0000-000006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sortState xmlns:xlrd2="http://schemas.microsoft.com/office/spreadsheetml/2017/richdata2" ref="A6:KN6">
      <sortCondition descending="1" ref="F1:F21"/>
    </sortState>
  </autoFilter>
  <mergeCells count="92">
    <mergeCell ref="F1:F3"/>
    <mergeCell ref="GG2:GJ2"/>
    <mergeCell ref="GK2:GN2"/>
    <mergeCell ref="GS2:GV2"/>
    <mergeCell ref="GW2:GZ2"/>
    <mergeCell ref="EO2:ER2"/>
    <mergeCell ref="ES2:EV2"/>
    <mergeCell ref="EW2:EZ2"/>
    <mergeCell ref="DQ1:EJ1"/>
    <mergeCell ref="EK1:FD1"/>
    <mergeCell ref="FE1:FX1"/>
    <mergeCell ref="FY1:GR1"/>
    <mergeCell ref="CW2:CZ2"/>
    <mergeCell ref="DA2:DD2"/>
    <mergeCell ref="DE2:DH2"/>
    <mergeCell ref="BI2:BL2"/>
    <mergeCell ref="KC2:KF2"/>
    <mergeCell ref="KG2:KJ2"/>
    <mergeCell ref="JA2:JD2"/>
    <mergeCell ref="JE2:JH2"/>
    <mergeCell ref="JI2:JL2"/>
    <mergeCell ref="JM2:JP2"/>
    <mergeCell ref="JU2:JX2"/>
    <mergeCell ref="HM1:IF1"/>
    <mergeCell ref="IG1:IZ1"/>
    <mergeCell ref="JA1:JT1"/>
    <mergeCell ref="JU1:KN1"/>
    <mergeCell ref="HA2:HD2"/>
    <mergeCell ref="HE2:HH2"/>
    <mergeCell ref="HM2:HP2"/>
    <mergeCell ref="HQ2:HT2"/>
    <mergeCell ref="HU2:HX2"/>
    <mergeCell ref="GS1:HL1"/>
    <mergeCell ref="HY2:IB2"/>
    <mergeCell ref="IG2:IJ2"/>
    <mergeCell ref="IK2:IN2"/>
    <mergeCell ref="IO2:IR2"/>
    <mergeCell ref="IS2:IV2"/>
    <mergeCell ref="JY2:KB2"/>
    <mergeCell ref="BG1:BH1"/>
    <mergeCell ref="BI1:CB1"/>
    <mergeCell ref="EK2:EN2"/>
    <mergeCell ref="FE2:FH2"/>
    <mergeCell ref="DI2:DL2"/>
    <mergeCell ref="DQ2:DT2"/>
    <mergeCell ref="DU2:DX2"/>
    <mergeCell ref="DY2:EB2"/>
    <mergeCell ref="EC2:EF2"/>
    <mergeCell ref="FY2:GB2"/>
    <mergeCell ref="GC2:GF2"/>
    <mergeCell ref="CW1:DP1"/>
    <mergeCell ref="BM2:BP2"/>
    <mergeCell ref="BQ2:BT2"/>
    <mergeCell ref="BU2:BX2"/>
    <mergeCell ref="FI2:FL2"/>
    <mergeCell ref="FM2:FP2"/>
    <mergeCell ref="FQ2:FT2"/>
    <mergeCell ref="CC1:CV1"/>
    <mergeCell ref="CC2:CF2"/>
    <mergeCell ref="CG2:CJ2"/>
    <mergeCell ref="CK2:CN2"/>
    <mergeCell ref="CO2:CR2"/>
    <mergeCell ref="J1:J3"/>
    <mergeCell ref="AX2:BA2"/>
    <mergeCell ref="Q1:AK1"/>
    <mergeCell ref="AL1:BF1"/>
    <mergeCell ref="U2:X2"/>
    <mergeCell ref="Y2:AB2"/>
    <mergeCell ref="AC2:AF2"/>
    <mergeCell ref="AL2:AO2"/>
    <mergeCell ref="AP2:AS2"/>
    <mergeCell ref="A1:A3"/>
    <mergeCell ref="AT2:AW2"/>
    <mergeCell ref="B1:B3"/>
    <mergeCell ref="C1:C3"/>
    <mergeCell ref="D1:D3"/>
    <mergeCell ref="E1:E3"/>
    <mergeCell ref="Q2:T2"/>
    <mergeCell ref="K1:K3"/>
    <mergeCell ref="M1:M3"/>
    <mergeCell ref="O1:O3"/>
    <mergeCell ref="P1:P3"/>
    <mergeCell ref="L1:L3"/>
    <mergeCell ref="N1:N3"/>
    <mergeCell ref="G1:G3"/>
    <mergeCell ref="H1:H3"/>
    <mergeCell ref="I1:I3"/>
    <mergeCell ref="KO1:LI1"/>
    <mergeCell ref="KO2:KR2"/>
    <mergeCell ref="KS2:KV2"/>
    <mergeCell ref="KW2:KZ2"/>
    <mergeCell ref="LA2:LD2"/>
  </mergeCells>
  <conditionalFormatting sqref="A1:A1048576">
    <cfRule type="expression" dxfId="74" priority="72">
      <formula>AND(H1="P",F1="")</formula>
    </cfRule>
  </conditionalFormatting>
  <conditionalFormatting sqref="Q4:AK6">
    <cfRule type="expression" dxfId="73" priority="31">
      <formula>IF($AG4&lt;&gt;"",1,0)</formula>
    </cfRule>
  </conditionalFormatting>
  <conditionalFormatting sqref="AL4:BF6">
    <cfRule type="expression" dxfId="72" priority="28">
      <formula>IF($BB4&lt;&gt;"",1,0)</formula>
    </cfRule>
  </conditionalFormatting>
  <conditionalFormatting sqref="M1:M1048576 K1:K1048576">
    <cfRule type="expression" dxfId="71" priority="9028">
      <formula>IF(K1=$AL$1,1,0)</formula>
    </cfRule>
    <cfRule type="expression" dxfId="70" priority="9029">
      <formula>IF(K1=$Q$1,1,0)</formula>
    </cfRule>
  </conditionalFormatting>
  <conditionalFormatting sqref="I1:I1048576">
    <cfRule type="containsText" dxfId="69" priority="1" operator="containsText" text="No DD">
      <formula>NOT(ISERROR(SEARCH("No DD",I1)))</formula>
    </cfRule>
    <cfRule type="containsText" dxfId="68" priority="2" operator="containsText" text="Merit">
      <formula>NOT(ISERROR(SEARCH("Merit",I1)))</formula>
    </cfRule>
    <cfRule type="containsText" dxfId="67" priority="3" operator="containsText" text="Excellence">
      <formula>NOT(ISERROR(SEARCH("Excellence",I1)))</formula>
    </cfRule>
    <cfRule type="containsText" dxfId="66" priority="4" operator="containsText" text="Worlds Team">
      <formula>NOT(ISERROR(SEARCH("Worlds Team",I1)))</formula>
    </cfRule>
    <cfRule type="containsText" dxfId="65" priority="5" operator="containsText" text="National Team">
      <formula>NOT(ISERROR(SEARCH("National Team",I1)))</formula>
    </cfRule>
  </conditionalFormatting>
  <conditionalFormatting sqref="KK1:KK1048576 CS1:CS1048576 DM1:DM1048576 EG1:EG1048576 FA1:FA1048576 FU1:FU1048576 GO1:GO1048576 HI1:HI1048576 IC1:IC1048576 IW1:IW1048576 JQ1:JQ1048576 BY1:BY1048576">
    <cfRule type="cellIs" dxfId="64" priority="17937" operator="between">
      <formula>CA$10</formula>
      <formula>100</formula>
    </cfRule>
    <cfRule type="cellIs" dxfId="63" priority="17938" operator="between">
      <formula>CA$9</formula>
      <formula>CA$10</formula>
    </cfRule>
  </conditionalFormatting>
  <conditionalFormatting sqref="CT1:CT1048576 DN1:DN1048576 EH1:EH1048576 FB1:FB1048576 FV1:FV1048576 GP1:GP1048576 HJ1:HJ1048576 ID1:ID1048576 IX1:IX1048576 JR1:JR1048576 KL1:KL1048576 BZ1:BZ1048576">
    <cfRule type="cellIs" dxfId="62" priority="18009" operator="between">
      <formula>CA$14</formula>
      <formula>1000</formula>
    </cfRule>
    <cfRule type="cellIs" dxfId="61" priority="18010" operator="between">
      <formula>CA$13</formula>
      <formula>CA$14</formula>
    </cfRule>
    <cfRule type="cellIs" dxfId="60" priority="18011" operator="between">
      <formula>CA$12</formula>
      <formula>CA$13</formula>
    </cfRule>
    <cfRule type="cellIs" dxfId="59" priority="18012" operator="between">
      <formula>CA$11</formula>
      <formula>CA$12</formula>
    </cfRule>
  </conditionalFormatting>
  <conditionalFormatting sqref="AH1:AH1048576 BC1:BC1048576">
    <cfRule type="expression" dxfId="58" priority="18153">
      <formula>IF(AND(AH1&gt;=AJ$10,AH1&lt;1000,AG1=""),1,0)</formula>
    </cfRule>
    <cfRule type="expression" dxfId="57" priority="18154">
      <formula>IF(AND(AH1&gt;=AJ$9,AH1&lt;AJ$10,AG1=""),1,0)</formula>
    </cfRule>
  </conditionalFormatting>
  <conditionalFormatting sqref="BD1:BD1048576 AI1:AI1048576">
    <cfRule type="expression" dxfId="56" priority="18165">
      <formula>IF(AND(AI1&gt;=AJ$14,AI1&lt;1000,AG1=""),1,0)</formula>
    </cfRule>
    <cfRule type="expression" dxfId="55" priority="18166">
      <formula>IF(AND(AI1&gt;=AJ$13,AI1&lt;AJ$14,AG1=""),1,0)</formula>
    </cfRule>
    <cfRule type="expression" dxfId="54" priority="18167">
      <formula>IF(AND(AI1&gt;=AJ$12,AI1&lt;AJ$13,AG1=""),1,0)</formula>
    </cfRule>
    <cfRule type="expression" dxfId="53" priority="18168">
      <formula>IF(AND(AI1&gt;=AJ$11,AI1&lt;AJ$12,AG1=""),1,0)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LX2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7" max="7" width="17.1640625" bestFit="1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5" width="10.83203125" customWidth="1"/>
    <col min="37" max="38" width="10.83203125" customWidth="1"/>
    <col min="39" max="55" width="10.83203125" hidden="1" customWidth="1"/>
    <col min="56" max="60" width="10.83203125" customWidth="1"/>
    <col min="63" max="78" width="10.83203125" hidden="1" customWidth="1"/>
    <col min="79" max="83" width="10.83203125" customWidth="1"/>
    <col min="84" max="99" width="10.83203125" hidden="1" customWidth="1"/>
    <col min="100" max="104" width="10.83203125" customWidth="1"/>
    <col min="105" max="120" width="10.83203125" hidden="1" customWidth="1"/>
    <col min="121" max="125" width="10.83203125" customWidth="1"/>
    <col min="126" max="141" width="10.83203125" hidden="1" customWidth="1"/>
    <col min="142" max="146" width="10.83203125" customWidth="1"/>
    <col min="147" max="336" width="10.83203125" hidden="1" customWidth="1"/>
  </cols>
  <sheetData>
    <row r="1" spans="1:336" ht="16" customHeight="1" x14ac:dyDescent="0.2">
      <c r="A1" s="124" t="s">
        <v>1</v>
      </c>
      <c r="B1" s="124" t="s">
        <v>41</v>
      </c>
      <c r="C1" s="124" t="s">
        <v>0</v>
      </c>
      <c r="D1" s="124" t="s">
        <v>102</v>
      </c>
      <c r="E1" s="124" t="s">
        <v>2</v>
      </c>
      <c r="F1" s="130" t="s">
        <v>149</v>
      </c>
      <c r="G1" s="130" t="s">
        <v>150</v>
      </c>
      <c r="H1" s="130" t="s">
        <v>15</v>
      </c>
      <c r="I1" s="124" t="s">
        <v>16</v>
      </c>
      <c r="J1" s="136" t="s">
        <v>153</v>
      </c>
      <c r="K1" s="126" t="s">
        <v>62</v>
      </c>
      <c r="L1" s="136" t="s">
        <v>152</v>
      </c>
      <c r="M1" s="126" t="s">
        <v>62</v>
      </c>
      <c r="N1" s="127" t="s">
        <v>21</v>
      </c>
      <c r="O1" s="126" t="s">
        <v>63</v>
      </c>
      <c r="P1" s="126" t="s">
        <v>62</v>
      </c>
      <c r="Q1" s="120" t="s">
        <v>166</v>
      </c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  <c r="AK1" s="120"/>
      <c r="AL1" s="120"/>
      <c r="AM1" s="123" t="s">
        <v>184</v>
      </c>
      <c r="AN1" s="123"/>
      <c r="AO1" s="123"/>
      <c r="AP1" s="123"/>
      <c r="AQ1" s="123"/>
      <c r="AR1" s="123"/>
      <c r="AS1" s="123"/>
      <c r="AT1" s="123"/>
      <c r="AU1" s="123"/>
      <c r="AV1" s="123"/>
      <c r="AW1" s="123"/>
      <c r="AX1" s="123"/>
      <c r="AY1" s="123"/>
      <c r="AZ1" s="123"/>
      <c r="BA1" s="123"/>
      <c r="BB1" s="123"/>
      <c r="BC1" s="123"/>
      <c r="BD1" s="123"/>
      <c r="BE1" s="123"/>
      <c r="BF1" s="123"/>
      <c r="BG1" s="123"/>
      <c r="BH1" s="123"/>
      <c r="BI1" s="128" t="s">
        <v>148</v>
      </c>
      <c r="BJ1" s="128"/>
      <c r="BK1" s="134" t="s">
        <v>120</v>
      </c>
      <c r="BL1" s="134"/>
      <c r="BM1" s="134"/>
      <c r="BN1" s="134"/>
      <c r="BO1" s="134"/>
      <c r="BP1" s="134"/>
      <c r="BQ1" s="134"/>
      <c r="BR1" s="134"/>
      <c r="BS1" s="134"/>
      <c r="BT1" s="134"/>
      <c r="BU1" s="134"/>
      <c r="BV1" s="134"/>
      <c r="BW1" s="134"/>
      <c r="BX1" s="134"/>
      <c r="BY1" s="134"/>
      <c r="BZ1" s="134"/>
      <c r="CA1" s="134"/>
      <c r="CB1" s="134"/>
      <c r="CC1" s="134"/>
      <c r="CD1" s="134"/>
      <c r="CE1" s="134"/>
      <c r="CF1" s="135" t="s">
        <v>145</v>
      </c>
      <c r="CG1" s="135"/>
      <c r="CH1" s="135"/>
      <c r="CI1" s="135"/>
      <c r="CJ1" s="135"/>
      <c r="CK1" s="135"/>
      <c r="CL1" s="135"/>
      <c r="CM1" s="135"/>
      <c r="CN1" s="135"/>
      <c r="CO1" s="135"/>
      <c r="CP1" s="135"/>
      <c r="CQ1" s="135"/>
      <c r="CR1" s="135"/>
      <c r="CS1" s="135"/>
      <c r="CT1" s="135"/>
      <c r="CU1" s="135"/>
      <c r="CV1" s="135"/>
      <c r="CW1" s="135"/>
      <c r="CX1" s="135"/>
      <c r="CY1" s="135"/>
      <c r="CZ1" s="135"/>
      <c r="DA1" s="134" t="s">
        <v>183</v>
      </c>
      <c r="DB1" s="134"/>
      <c r="DC1" s="134"/>
      <c r="DD1" s="134"/>
      <c r="DE1" s="134"/>
      <c r="DF1" s="134"/>
      <c r="DG1" s="134"/>
      <c r="DH1" s="134"/>
      <c r="DI1" s="134"/>
      <c r="DJ1" s="134"/>
      <c r="DK1" s="134"/>
      <c r="DL1" s="134"/>
      <c r="DM1" s="134"/>
      <c r="DN1" s="134"/>
      <c r="DO1" s="134"/>
      <c r="DP1" s="134"/>
      <c r="DQ1" s="134"/>
      <c r="DR1" s="134"/>
      <c r="DS1" s="134"/>
      <c r="DT1" s="134"/>
      <c r="DU1" s="134"/>
      <c r="DV1" s="135" t="s">
        <v>211</v>
      </c>
      <c r="DW1" s="135"/>
      <c r="DX1" s="135"/>
      <c r="DY1" s="135"/>
      <c r="DZ1" s="135"/>
      <c r="EA1" s="135"/>
      <c r="EB1" s="135"/>
      <c r="EC1" s="135"/>
      <c r="ED1" s="135"/>
      <c r="EE1" s="135"/>
      <c r="EF1" s="135"/>
      <c r="EG1" s="135"/>
      <c r="EH1" s="135"/>
      <c r="EI1" s="135"/>
      <c r="EJ1" s="135"/>
      <c r="EK1" s="135"/>
      <c r="EL1" s="135"/>
      <c r="EM1" s="135"/>
      <c r="EN1" s="135"/>
      <c r="EO1" s="135"/>
      <c r="EP1" s="135"/>
      <c r="EQ1" s="134"/>
      <c r="ER1" s="134"/>
      <c r="ES1" s="134"/>
      <c r="ET1" s="134"/>
      <c r="EU1" s="134"/>
      <c r="EV1" s="134"/>
      <c r="EW1" s="134"/>
      <c r="EX1" s="134"/>
      <c r="EY1" s="134"/>
      <c r="EZ1" s="134"/>
      <c r="FA1" s="134"/>
      <c r="FB1" s="134"/>
      <c r="FC1" s="134"/>
      <c r="FD1" s="134"/>
      <c r="FE1" s="134"/>
      <c r="FF1" s="134"/>
      <c r="FG1" s="134"/>
      <c r="FH1" s="134"/>
      <c r="FI1" s="134"/>
      <c r="FJ1" s="134"/>
      <c r="FK1" s="134"/>
      <c r="FL1" s="135"/>
      <c r="FM1" s="135"/>
      <c r="FN1" s="135"/>
      <c r="FO1" s="135"/>
      <c r="FP1" s="135"/>
      <c r="FQ1" s="135"/>
      <c r="FR1" s="135"/>
      <c r="FS1" s="135"/>
      <c r="FT1" s="135"/>
      <c r="FU1" s="135"/>
      <c r="FV1" s="135"/>
      <c r="FW1" s="135"/>
      <c r="FX1" s="135"/>
      <c r="FY1" s="135"/>
      <c r="FZ1" s="135"/>
      <c r="GA1" s="135"/>
      <c r="GB1" s="135"/>
      <c r="GC1" s="135"/>
      <c r="GD1" s="135"/>
      <c r="GE1" s="135"/>
      <c r="GF1" s="135"/>
      <c r="GG1" s="134"/>
      <c r="GH1" s="134"/>
      <c r="GI1" s="134"/>
      <c r="GJ1" s="134"/>
      <c r="GK1" s="134"/>
      <c r="GL1" s="134"/>
      <c r="GM1" s="134"/>
      <c r="GN1" s="134"/>
      <c r="GO1" s="134"/>
      <c r="GP1" s="134"/>
      <c r="GQ1" s="134"/>
      <c r="GR1" s="134"/>
      <c r="GS1" s="134"/>
      <c r="GT1" s="134"/>
      <c r="GU1" s="134"/>
      <c r="GV1" s="134"/>
      <c r="GW1" s="134"/>
      <c r="GX1" s="134"/>
      <c r="GY1" s="134"/>
      <c r="GZ1" s="134"/>
      <c r="HA1" s="134"/>
      <c r="HB1" s="135"/>
      <c r="HC1" s="135"/>
      <c r="HD1" s="135"/>
      <c r="HE1" s="135"/>
      <c r="HF1" s="135"/>
      <c r="HG1" s="135"/>
      <c r="HH1" s="135"/>
      <c r="HI1" s="135"/>
      <c r="HJ1" s="135"/>
      <c r="HK1" s="135"/>
      <c r="HL1" s="135"/>
      <c r="HM1" s="135"/>
      <c r="HN1" s="135"/>
      <c r="HO1" s="135"/>
      <c r="HP1" s="135"/>
      <c r="HQ1" s="135"/>
      <c r="HR1" s="135"/>
      <c r="HS1" s="135"/>
      <c r="HT1" s="135"/>
      <c r="HU1" s="135"/>
      <c r="HV1" s="135"/>
      <c r="HW1" s="134"/>
      <c r="HX1" s="134"/>
      <c r="HY1" s="134"/>
      <c r="HZ1" s="134"/>
      <c r="IA1" s="134"/>
      <c r="IB1" s="134"/>
      <c r="IC1" s="134"/>
      <c r="ID1" s="134"/>
      <c r="IE1" s="134"/>
      <c r="IF1" s="134"/>
      <c r="IG1" s="134"/>
      <c r="IH1" s="134"/>
      <c r="II1" s="134"/>
      <c r="IJ1" s="134"/>
      <c r="IK1" s="134"/>
      <c r="IL1" s="134"/>
      <c r="IM1" s="134"/>
      <c r="IN1" s="134"/>
      <c r="IO1" s="134"/>
      <c r="IP1" s="134"/>
      <c r="IQ1" s="134"/>
      <c r="IR1" s="135"/>
      <c r="IS1" s="135"/>
      <c r="IT1" s="135"/>
      <c r="IU1" s="135"/>
      <c r="IV1" s="135"/>
      <c r="IW1" s="135"/>
      <c r="IX1" s="135"/>
      <c r="IY1" s="135"/>
      <c r="IZ1" s="135"/>
      <c r="JA1" s="135"/>
      <c r="JB1" s="135"/>
      <c r="JC1" s="135"/>
      <c r="JD1" s="135"/>
      <c r="JE1" s="135"/>
      <c r="JF1" s="135"/>
      <c r="JG1" s="135"/>
      <c r="JH1" s="135"/>
      <c r="JI1" s="135"/>
      <c r="JJ1" s="135"/>
      <c r="JK1" s="135"/>
      <c r="JL1" s="135"/>
      <c r="JM1" s="134"/>
      <c r="JN1" s="134"/>
      <c r="JO1" s="134"/>
      <c r="JP1" s="134"/>
      <c r="JQ1" s="134"/>
      <c r="JR1" s="134"/>
      <c r="JS1" s="134"/>
      <c r="JT1" s="134"/>
      <c r="JU1" s="134"/>
      <c r="JV1" s="134"/>
      <c r="JW1" s="134"/>
      <c r="JX1" s="134"/>
      <c r="JY1" s="134"/>
      <c r="JZ1" s="134"/>
      <c r="KA1" s="134"/>
      <c r="KB1" s="134"/>
      <c r="KC1" s="134"/>
      <c r="KD1" s="134"/>
      <c r="KE1" s="134"/>
      <c r="KF1" s="134"/>
      <c r="KG1" s="134"/>
      <c r="KH1" s="135"/>
      <c r="KI1" s="135"/>
      <c r="KJ1" s="135"/>
      <c r="KK1" s="135"/>
      <c r="KL1" s="135"/>
      <c r="KM1" s="135"/>
      <c r="KN1" s="135"/>
      <c r="KO1" s="135"/>
      <c r="KP1" s="135"/>
      <c r="KQ1" s="135"/>
      <c r="KR1" s="135"/>
      <c r="KS1" s="135"/>
      <c r="KT1" s="135"/>
      <c r="KU1" s="135"/>
      <c r="KV1" s="135"/>
      <c r="KW1" s="135"/>
      <c r="KX1" s="135"/>
      <c r="KY1" s="135"/>
      <c r="KZ1" s="135"/>
      <c r="LA1" s="135"/>
      <c r="LB1" s="135"/>
      <c r="LC1" s="120" t="s">
        <v>161</v>
      </c>
      <c r="LD1" s="120"/>
      <c r="LE1" s="120"/>
      <c r="LF1" s="120"/>
      <c r="LG1" s="120"/>
      <c r="LH1" s="120"/>
      <c r="LI1" s="120"/>
      <c r="LJ1" s="120"/>
      <c r="LK1" s="120"/>
      <c r="LL1" s="120"/>
      <c r="LM1" s="120"/>
      <c r="LN1" s="120"/>
      <c r="LO1" s="120"/>
      <c r="LP1" s="120"/>
      <c r="LQ1" s="120"/>
      <c r="LR1" s="120"/>
      <c r="LS1" s="120"/>
      <c r="LT1" s="120"/>
      <c r="LU1" s="120"/>
      <c r="LV1" s="120"/>
      <c r="LW1" s="120"/>
      <c r="LX1" s="120"/>
    </row>
    <row r="2" spans="1:336" x14ac:dyDescent="0.2">
      <c r="A2" s="124"/>
      <c r="B2" s="124"/>
      <c r="C2" s="124"/>
      <c r="D2" s="124"/>
      <c r="E2" s="124"/>
      <c r="F2" s="130"/>
      <c r="G2" s="130"/>
      <c r="H2" s="130"/>
      <c r="I2" s="124"/>
      <c r="J2" s="136"/>
      <c r="K2" s="126"/>
      <c r="L2" s="136"/>
      <c r="M2" s="126"/>
      <c r="N2" s="127"/>
      <c r="O2" s="126"/>
      <c r="P2" s="126"/>
      <c r="Q2" s="121" t="s">
        <v>44</v>
      </c>
      <c r="R2" s="121"/>
      <c r="S2" s="121"/>
      <c r="T2" s="121"/>
      <c r="U2" s="121" t="s">
        <v>47</v>
      </c>
      <c r="V2" s="121"/>
      <c r="W2" s="121"/>
      <c r="X2" s="121"/>
      <c r="Y2" s="121" t="s">
        <v>48</v>
      </c>
      <c r="Z2" s="121"/>
      <c r="AA2" s="121"/>
      <c r="AB2" s="121"/>
      <c r="AC2" s="129" t="s">
        <v>49</v>
      </c>
      <c r="AD2" s="129"/>
      <c r="AE2" s="129"/>
      <c r="AF2" s="129"/>
      <c r="AG2" s="80"/>
      <c r="AH2" s="95" t="s">
        <v>32</v>
      </c>
      <c r="AI2" s="60" t="s">
        <v>160</v>
      </c>
      <c r="AJ2" s="10" t="s">
        <v>31</v>
      </c>
      <c r="AK2" s="10" t="s">
        <v>30</v>
      </c>
      <c r="AL2" s="10" t="s">
        <v>25</v>
      </c>
      <c r="AM2" s="122" t="s">
        <v>44</v>
      </c>
      <c r="AN2" s="122"/>
      <c r="AO2" s="122"/>
      <c r="AP2" s="122"/>
      <c r="AQ2" s="122" t="s">
        <v>47</v>
      </c>
      <c r="AR2" s="122"/>
      <c r="AS2" s="122"/>
      <c r="AT2" s="122"/>
      <c r="AU2" s="122" t="s">
        <v>48</v>
      </c>
      <c r="AV2" s="122"/>
      <c r="AW2" s="122"/>
      <c r="AX2" s="122"/>
      <c r="AY2" s="133" t="s">
        <v>49</v>
      </c>
      <c r="AZ2" s="133"/>
      <c r="BA2" s="133"/>
      <c r="BB2" s="133"/>
      <c r="BC2" s="81"/>
      <c r="BD2" s="96" t="s">
        <v>32</v>
      </c>
      <c r="BE2" s="96" t="s">
        <v>160</v>
      </c>
      <c r="BF2" s="13" t="s">
        <v>31</v>
      </c>
      <c r="BG2" s="13" t="s">
        <v>30</v>
      </c>
      <c r="BH2" s="13" t="s">
        <v>25</v>
      </c>
      <c r="BI2" s="24" t="s">
        <v>155</v>
      </c>
      <c r="BJ2" s="24" t="s">
        <v>154</v>
      </c>
      <c r="BK2" s="121" t="s">
        <v>44</v>
      </c>
      <c r="BL2" s="121"/>
      <c r="BM2" s="121"/>
      <c r="BN2" s="121"/>
      <c r="BO2" s="121" t="s">
        <v>47</v>
      </c>
      <c r="BP2" s="121"/>
      <c r="BQ2" s="121"/>
      <c r="BR2" s="121"/>
      <c r="BS2" s="121" t="s">
        <v>48</v>
      </c>
      <c r="BT2" s="121"/>
      <c r="BU2" s="121"/>
      <c r="BV2" s="121"/>
      <c r="BW2" s="129" t="s">
        <v>49</v>
      </c>
      <c r="BX2" s="129"/>
      <c r="BY2" s="129"/>
      <c r="BZ2" s="129"/>
      <c r="CA2" s="95" t="s">
        <v>32</v>
      </c>
      <c r="CB2" s="95" t="s">
        <v>160</v>
      </c>
      <c r="CC2" s="10" t="s">
        <v>31</v>
      </c>
      <c r="CD2" s="10" t="s">
        <v>30</v>
      </c>
      <c r="CE2" s="10" t="s">
        <v>25</v>
      </c>
      <c r="CF2" s="133" t="s">
        <v>44</v>
      </c>
      <c r="CG2" s="133"/>
      <c r="CH2" s="133"/>
      <c r="CI2" s="133"/>
      <c r="CJ2" s="133" t="s">
        <v>47</v>
      </c>
      <c r="CK2" s="133"/>
      <c r="CL2" s="133"/>
      <c r="CM2" s="133"/>
      <c r="CN2" s="133" t="s">
        <v>48</v>
      </c>
      <c r="CO2" s="133"/>
      <c r="CP2" s="133"/>
      <c r="CQ2" s="133"/>
      <c r="CR2" s="133" t="s">
        <v>49</v>
      </c>
      <c r="CS2" s="133"/>
      <c r="CT2" s="133"/>
      <c r="CU2" s="133"/>
      <c r="CV2" s="96" t="s">
        <v>32</v>
      </c>
      <c r="CW2" s="96" t="s">
        <v>160</v>
      </c>
      <c r="CX2" s="17" t="s">
        <v>31</v>
      </c>
      <c r="CY2" s="17" t="s">
        <v>30</v>
      </c>
      <c r="CZ2" s="17" t="s">
        <v>25</v>
      </c>
      <c r="DA2" s="129" t="s">
        <v>44</v>
      </c>
      <c r="DB2" s="129"/>
      <c r="DC2" s="129"/>
      <c r="DD2" s="129"/>
      <c r="DE2" s="129" t="s">
        <v>47</v>
      </c>
      <c r="DF2" s="129"/>
      <c r="DG2" s="129"/>
      <c r="DH2" s="129"/>
      <c r="DI2" s="129" t="s">
        <v>48</v>
      </c>
      <c r="DJ2" s="129"/>
      <c r="DK2" s="129"/>
      <c r="DL2" s="129"/>
      <c r="DM2" s="129" t="s">
        <v>49</v>
      </c>
      <c r="DN2" s="129"/>
      <c r="DO2" s="129"/>
      <c r="DP2" s="129"/>
      <c r="DQ2" s="95" t="s">
        <v>32</v>
      </c>
      <c r="DR2" s="95" t="s">
        <v>160</v>
      </c>
      <c r="DS2" s="18" t="s">
        <v>31</v>
      </c>
      <c r="DT2" s="18" t="s">
        <v>30</v>
      </c>
      <c r="DU2" s="18" t="s">
        <v>25</v>
      </c>
      <c r="DV2" s="133" t="s">
        <v>44</v>
      </c>
      <c r="DW2" s="133"/>
      <c r="DX2" s="133"/>
      <c r="DY2" s="133"/>
      <c r="DZ2" s="133" t="s">
        <v>47</v>
      </c>
      <c r="EA2" s="133"/>
      <c r="EB2" s="133"/>
      <c r="EC2" s="133"/>
      <c r="ED2" s="133" t="s">
        <v>48</v>
      </c>
      <c r="EE2" s="133"/>
      <c r="EF2" s="133"/>
      <c r="EG2" s="133"/>
      <c r="EH2" s="133" t="s">
        <v>49</v>
      </c>
      <c r="EI2" s="133"/>
      <c r="EJ2" s="133"/>
      <c r="EK2" s="133"/>
      <c r="EL2" s="96" t="s">
        <v>32</v>
      </c>
      <c r="EM2" s="96" t="s">
        <v>160</v>
      </c>
      <c r="EN2" s="17" t="s">
        <v>31</v>
      </c>
      <c r="EO2" s="17" t="s">
        <v>30</v>
      </c>
      <c r="EP2" s="17" t="s">
        <v>25</v>
      </c>
      <c r="EQ2" s="129" t="s">
        <v>44</v>
      </c>
      <c r="ER2" s="129"/>
      <c r="ES2" s="129"/>
      <c r="ET2" s="129"/>
      <c r="EU2" s="129" t="s">
        <v>47</v>
      </c>
      <c r="EV2" s="129"/>
      <c r="EW2" s="129"/>
      <c r="EX2" s="129"/>
      <c r="EY2" s="129" t="s">
        <v>48</v>
      </c>
      <c r="EZ2" s="129"/>
      <c r="FA2" s="129"/>
      <c r="FB2" s="129"/>
      <c r="FC2" s="129" t="s">
        <v>49</v>
      </c>
      <c r="FD2" s="129"/>
      <c r="FE2" s="129"/>
      <c r="FF2" s="129"/>
      <c r="FG2" s="95" t="s">
        <v>32</v>
      </c>
      <c r="FH2" s="95" t="s">
        <v>160</v>
      </c>
      <c r="FI2" s="18" t="s">
        <v>31</v>
      </c>
      <c r="FJ2" s="18" t="s">
        <v>30</v>
      </c>
      <c r="FK2" s="18" t="s">
        <v>25</v>
      </c>
      <c r="FL2" s="133" t="s">
        <v>44</v>
      </c>
      <c r="FM2" s="133"/>
      <c r="FN2" s="133"/>
      <c r="FO2" s="133"/>
      <c r="FP2" s="133" t="s">
        <v>47</v>
      </c>
      <c r="FQ2" s="133"/>
      <c r="FR2" s="133"/>
      <c r="FS2" s="133"/>
      <c r="FT2" s="133" t="s">
        <v>48</v>
      </c>
      <c r="FU2" s="133"/>
      <c r="FV2" s="133"/>
      <c r="FW2" s="133"/>
      <c r="FX2" s="133" t="s">
        <v>49</v>
      </c>
      <c r="FY2" s="133"/>
      <c r="FZ2" s="133"/>
      <c r="GA2" s="133"/>
      <c r="GB2" s="97" t="s">
        <v>32</v>
      </c>
      <c r="GC2" s="97" t="s">
        <v>160</v>
      </c>
      <c r="GD2" s="17" t="s">
        <v>31</v>
      </c>
      <c r="GE2" s="17" t="s">
        <v>30</v>
      </c>
      <c r="GF2" s="17" t="s">
        <v>25</v>
      </c>
      <c r="GG2" s="129" t="s">
        <v>44</v>
      </c>
      <c r="GH2" s="129"/>
      <c r="GI2" s="129"/>
      <c r="GJ2" s="129"/>
      <c r="GK2" s="129" t="s">
        <v>47</v>
      </c>
      <c r="GL2" s="129"/>
      <c r="GM2" s="129"/>
      <c r="GN2" s="129"/>
      <c r="GO2" s="129" t="s">
        <v>48</v>
      </c>
      <c r="GP2" s="129"/>
      <c r="GQ2" s="129"/>
      <c r="GR2" s="129"/>
      <c r="GS2" s="129" t="s">
        <v>49</v>
      </c>
      <c r="GT2" s="129"/>
      <c r="GU2" s="129"/>
      <c r="GV2" s="129"/>
      <c r="GW2" s="98" t="s">
        <v>32</v>
      </c>
      <c r="GX2" s="98" t="s">
        <v>160</v>
      </c>
      <c r="GY2" s="18" t="s">
        <v>31</v>
      </c>
      <c r="GZ2" s="18" t="s">
        <v>30</v>
      </c>
      <c r="HA2" s="18" t="s">
        <v>25</v>
      </c>
      <c r="HB2" s="133" t="s">
        <v>44</v>
      </c>
      <c r="HC2" s="133"/>
      <c r="HD2" s="133"/>
      <c r="HE2" s="133"/>
      <c r="HF2" s="133" t="s">
        <v>47</v>
      </c>
      <c r="HG2" s="133"/>
      <c r="HH2" s="133"/>
      <c r="HI2" s="133"/>
      <c r="HJ2" s="133" t="s">
        <v>48</v>
      </c>
      <c r="HK2" s="133"/>
      <c r="HL2" s="133"/>
      <c r="HM2" s="133"/>
      <c r="HN2" s="133" t="s">
        <v>49</v>
      </c>
      <c r="HO2" s="133"/>
      <c r="HP2" s="133"/>
      <c r="HQ2" s="133"/>
      <c r="HR2" s="97" t="s">
        <v>32</v>
      </c>
      <c r="HS2" s="97" t="s">
        <v>160</v>
      </c>
      <c r="HT2" s="17" t="s">
        <v>31</v>
      </c>
      <c r="HU2" s="17" t="s">
        <v>30</v>
      </c>
      <c r="HV2" s="17" t="s">
        <v>25</v>
      </c>
      <c r="HW2" s="129" t="s">
        <v>44</v>
      </c>
      <c r="HX2" s="129"/>
      <c r="HY2" s="129"/>
      <c r="HZ2" s="129"/>
      <c r="IA2" s="129" t="s">
        <v>47</v>
      </c>
      <c r="IB2" s="129"/>
      <c r="IC2" s="129"/>
      <c r="ID2" s="129"/>
      <c r="IE2" s="129" t="s">
        <v>48</v>
      </c>
      <c r="IF2" s="129"/>
      <c r="IG2" s="129"/>
      <c r="IH2" s="129"/>
      <c r="II2" s="129" t="s">
        <v>49</v>
      </c>
      <c r="IJ2" s="129"/>
      <c r="IK2" s="129"/>
      <c r="IL2" s="129"/>
      <c r="IM2" s="98" t="s">
        <v>32</v>
      </c>
      <c r="IN2" s="98" t="s">
        <v>160</v>
      </c>
      <c r="IO2" s="18" t="s">
        <v>31</v>
      </c>
      <c r="IP2" s="18" t="s">
        <v>30</v>
      </c>
      <c r="IQ2" s="18" t="s">
        <v>25</v>
      </c>
      <c r="IR2" s="133" t="s">
        <v>44</v>
      </c>
      <c r="IS2" s="133"/>
      <c r="IT2" s="133"/>
      <c r="IU2" s="133"/>
      <c r="IV2" s="133" t="s">
        <v>47</v>
      </c>
      <c r="IW2" s="133"/>
      <c r="IX2" s="133"/>
      <c r="IY2" s="133"/>
      <c r="IZ2" s="133" t="s">
        <v>48</v>
      </c>
      <c r="JA2" s="133"/>
      <c r="JB2" s="133"/>
      <c r="JC2" s="133"/>
      <c r="JD2" s="133" t="s">
        <v>49</v>
      </c>
      <c r="JE2" s="133"/>
      <c r="JF2" s="133"/>
      <c r="JG2" s="133"/>
      <c r="JH2" s="97" t="s">
        <v>32</v>
      </c>
      <c r="JI2" s="97" t="s">
        <v>160</v>
      </c>
      <c r="JJ2" s="17" t="s">
        <v>31</v>
      </c>
      <c r="JK2" s="17" t="s">
        <v>30</v>
      </c>
      <c r="JL2" s="17" t="s">
        <v>25</v>
      </c>
      <c r="JM2" s="129" t="s">
        <v>44</v>
      </c>
      <c r="JN2" s="129"/>
      <c r="JO2" s="129"/>
      <c r="JP2" s="129"/>
      <c r="JQ2" s="129" t="s">
        <v>47</v>
      </c>
      <c r="JR2" s="129"/>
      <c r="JS2" s="129"/>
      <c r="JT2" s="129"/>
      <c r="JU2" s="129" t="s">
        <v>48</v>
      </c>
      <c r="JV2" s="129"/>
      <c r="JW2" s="129"/>
      <c r="JX2" s="129"/>
      <c r="JY2" s="129" t="s">
        <v>49</v>
      </c>
      <c r="JZ2" s="129"/>
      <c r="KA2" s="129"/>
      <c r="KB2" s="129"/>
      <c r="KC2" s="98" t="s">
        <v>32</v>
      </c>
      <c r="KD2" s="98" t="s">
        <v>160</v>
      </c>
      <c r="KE2" s="18" t="s">
        <v>31</v>
      </c>
      <c r="KF2" s="18" t="s">
        <v>30</v>
      </c>
      <c r="KG2" s="18" t="s">
        <v>25</v>
      </c>
      <c r="KH2" s="133" t="s">
        <v>44</v>
      </c>
      <c r="KI2" s="133"/>
      <c r="KJ2" s="133"/>
      <c r="KK2" s="133"/>
      <c r="KL2" s="133" t="s">
        <v>47</v>
      </c>
      <c r="KM2" s="133"/>
      <c r="KN2" s="133"/>
      <c r="KO2" s="133"/>
      <c r="KP2" s="133" t="s">
        <v>48</v>
      </c>
      <c r="KQ2" s="133"/>
      <c r="KR2" s="133"/>
      <c r="KS2" s="133"/>
      <c r="KT2" s="133" t="s">
        <v>49</v>
      </c>
      <c r="KU2" s="133"/>
      <c r="KV2" s="133"/>
      <c r="KW2" s="133"/>
      <c r="KX2" s="97" t="s">
        <v>32</v>
      </c>
      <c r="KY2" s="97" t="s">
        <v>160</v>
      </c>
      <c r="KZ2" s="17" t="s">
        <v>31</v>
      </c>
      <c r="LA2" s="17" t="s">
        <v>30</v>
      </c>
      <c r="LB2" s="17" t="s">
        <v>25</v>
      </c>
      <c r="LC2" s="121" t="s">
        <v>44</v>
      </c>
      <c r="LD2" s="121"/>
      <c r="LE2" s="121"/>
      <c r="LF2" s="121"/>
      <c r="LG2" s="121" t="s">
        <v>47</v>
      </c>
      <c r="LH2" s="121"/>
      <c r="LI2" s="121"/>
      <c r="LJ2" s="121"/>
      <c r="LK2" s="121" t="s">
        <v>48</v>
      </c>
      <c r="LL2" s="121"/>
      <c r="LM2" s="121"/>
      <c r="LN2" s="121"/>
      <c r="LO2" s="129" t="s">
        <v>49</v>
      </c>
      <c r="LP2" s="129"/>
      <c r="LQ2" s="129"/>
      <c r="LR2" s="129"/>
      <c r="LS2" s="111"/>
      <c r="LT2" s="111" t="s">
        <v>32</v>
      </c>
      <c r="LU2" s="111" t="s">
        <v>160</v>
      </c>
      <c r="LV2" s="10" t="s">
        <v>31</v>
      </c>
      <c r="LW2" s="10" t="s">
        <v>30</v>
      </c>
      <c r="LX2" s="10" t="s">
        <v>25</v>
      </c>
    </row>
    <row r="3" spans="1:336" x14ac:dyDescent="0.2">
      <c r="A3" s="124"/>
      <c r="B3" s="124"/>
      <c r="C3" s="124"/>
      <c r="D3" s="124"/>
      <c r="E3" s="124"/>
      <c r="F3" s="130"/>
      <c r="G3" s="130"/>
      <c r="H3" s="130"/>
      <c r="I3" s="124"/>
      <c r="J3" s="136"/>
      <c r="K3" s="126"/>
      <c r="L3" s="136"/>
      <c r="M3" s="126"/>
      <c r="N3" s="127"/>
      <c r="O3" s="126"/>
      <c r="P3" s="126"/>
      <c r="Q3" s="60" t="s">
        <v>22</v>
      </c>
      <c r="R3" s="60" t="s">
        <v>14</v>
      </c>
      <c r="S3" s="60" t="s">
        <v>45</v>
      </c>
      <c r="T3" s="60" t="s">
        <v>46</v>
      </c>
      <c r="U3" s="60" t="s">
        <v>22</v>
      </c>
      <c r="V3" s="60" t="s">
        <v>14</v>
      </c>
      <c r="W3" s="60" t="s">
        <v>45</v>
      </c>
      <c r="X3" s="60" t="s">
        <v>46</v>
      </c>
      <c r="Y3" s="60" t="s">
        <v>22</v>
      </c>
      <c r="Z3" s="60" t="s">
        <v>14</v>
      </c>
      <c r="AA3" s="60" t="s">
        <v>45</v>
      </c>
      <c r="AB3" s="60" t="s">
        <v>46</v>
      </c>
      <c r="AC3" s="63" t="s">
        <v>22</v>
      </c>
      <c r="AD3" s="63" t="s">
        <v>14</v>
      </c>
      <c r="AE3" s="63" t="s">
        <v>45</v>
      </c>
      <c r="AF3" s="63" t="s">
        <v>46</v>
      </c>
      <c r="AG3" s="80" t="s">
        <v>99</v>
      </c>
      <c r="AH3" s="11"/>
      <c r="AI3" s="11"/>
      <c r="AJ3" s="10"/>
      <c r="AK3" s="11"/>
      <c r="AL3" s="11"/>
      <c r="AM3" s="59" t="s">
        <v>22</v>
      </c>
      <c r="AN3" s="59" t="s">
        <v>14</v>
      </c>
      <c r="AO3" s="59" t="s">
        <v>45</v>
      </c>
      <c r="AP3" s="59" t="s">
        <v>46</v>
      </c>
      <c r="AQ3" s="59" t="s">
        <v>22</v>
      </c>
      <c r="AR3" s="59" t="s">
        <v>14</v>
      </c>
      <c r="AS3" s="59" t="s">
        <v>45</v>
      </c>
      <c r="AT3" s="59" t="s">
        <v>46</v>
      </c>
      <c r="AU3" s="59" t="s">
        <v>22</v>
      </c>
      <c r="AV3" s="59" t="s">
        <v>14</v>
      </c>
      <c r="AW3" s="59" t="s">
        <v>45</v>
      </c>
      <c r="AX3" s="59" t="s">
        <v>46</v>
      </c>
      <c r="AY3" s="64" t="s">
        <v>22</v>
      </c>
      <c r="AZ3" s="64" t="s">
        <v>14</v>
      </c>
      <c r="BA3" s="64" t="s">
        <v>45</v>
      </c>
      <c r="BB3" s="64" t="s">
        <v>46</v>
      </c>
      <c r="BC3" s="81" t="s">
        <v>99</v>
      </c>
      <c r="BD3" s="14"/>
      <c r="BE3" s="14"/>
      <c r="BF3" s="13"/>
      <c r="BG3" s="14"/>
      <c r="BH3" s="14"/>
      <c r="BI3" s="25"/>
      <c r="BJ3" s="25"/>
      <c r="BK3" s="60" t="s">
        <v>22</v>
      </c>
      <c r="BL3" s="60" t="s">
        <v>14</v>
      </c>
      <c r="BM3" s="60" t="s">
        <v>45</v>
      </c>
      <c r="BN3" s="60" t="s">
        <v>46</v>
      </c>
      <c r="BO3" s="60" t="s">
        <v>22</v>
      </c>
      <c r="BP3" s="60" t="s">
        <v>14</v>
      </c>
      <c r="BQ3" s="60" t="s">
        <v>45</v>
      </c>
      <c r="BR3" s="60" t="s">
        <v>46</v>
      </c>
      <c r="BS3" s="60" t="s">
        <v>22</v>
      </c>
      <c r="BT3" s="60" t="s">
        <v>14</v>
      </c>
      <c r="BU3" s="60" t="s">
        <v>45</v>
      </c>
      <c r="BV3" s="60" t="s">
        <v>46</v>
      </c>
      <c r="BW3" s="63" t="s">
        <v>22</v>
      </c>
      <c r="BX3" s="63" t="s">
        <v>14</v>
      </c>
      <c r="BY3" s="63" t="s">
        <v>45</v>
      </c>
      <c r="BZ3" s="63" t="s">
        <v>46</v>
      </c>
      <c r="CA3" s="11"/>
      <c r="CB3" s="11"/>
      <c r="CC3" s="10"/>
      <c r="CD3" s="11"/>
      <c r="CE3" s="11"/>
      <c r="CF3" s="64" t="s">
        <v>22</v>
      </c>
      <c r="CG3" s="64" t="s">
        <v>14</v>
      </c>
      <c r="CH3" s="64" t="s">
        <v>45</v>
      </c>
      <c r="CI3" s="64" t="s">
        <v>46</v>
      </c>
      <c r="CJ3" s="64" t="s">
        <v>22</v>
      </c>
      <c r="CK3" s="64" t="s">
        <v>14</v>
      </c>
      <c r="CL3" s="64" t="s">
        <v>45</v>
      </c>
      <c r="CM3" s="64" t="s">
        <v>46</v>
      </c>
      <c r="CN3" s="64" t="s">
        <v>22</v>
      </c>
      <c r="CO3" s="64" t="s">
        <v>14</v>
      </c>
      <c r="CP3" s="64" t="s">
        <v>45</v>
      </c>
      <c r="CQ3" s="64" t="s">
        <v>46</v>
      </c>
      <c r="CR3" s="64" t="s">
        <v>22</v>
      </c>
      <c r="CS3" s="64" t="s">
        <v>14</v>
      </c>
      <c r="CT3" s="64" t="s">
        <v>45</v>
      </c>
      <c r="CU3" s="64" t="s">
        <v>46</v>
      </c>
      <c r="CV3" s="14"/>
      <c r="CW3" s="14"/>
      <c r="CX3" s="17"/>
      <c r="CY3" s="17"/>
      <c r="CZ3" s="17"/>
      <c r="DA3" s="63" t="s">
        <v>22</v>
      </c>
      <c r="DB3" s="63" t="s">
        <v>14</v>
      </c>
      <c r="DC3" s="63" t="s">
        <v>45</v>
      </c>
      <c r="DD3" s="63" t="s">
        <v>46</v>
      </c>
      <c r="DE3" s="63" t="s">
        <v>22</v>
      </c>
      <c r="DF3" s="63" t="s">
        <v>14</v>
      </c>
      <c r="DG3" s="63" t="s">
        <v>45</v>
      </c>
      <c r="DH3" s="63" t="s">
        <v>46</v>
      </c>
      <c r="DI3" s="63" t="s">
        <v>22</v>
      </c>
      <c r="DJ3" s="63" t="s">
        <v>14</v>
      </c>
      <c r="DK3" s="63" t="s">
        <v>45</v>
      </c>
      <c r="DL3" s="63" t="s">
        <v>46</v>
      </c>
      <c r="DM3" s="63" t="s">
        <v>22</v>
      </c>
      <c r="DN3" s="63" t="s">
        <v>14</v>
      </c>
      <c r="DO3" s="63" t="s">
        <v>45</v>
      </c>
      <c r="DP3" s="63" t="s">
        <v>46</v>
      </c>
      <c r="DQ3" s="11"/>
      <c r="DR3" s="11"/>
      <c r="DS3" s="18"/>
      <c r="DT3" s="18"/>
      <c r="DU3" s="18"/>
      <c r="DV3" s="64" t="s">
        <v>22</v>
      </c>
      <c r="DW3" s="64" t="s">
        <v>14</v>
      </c>
      <c r="DX3" s="64" t="s">
        <v>45</v>
      </c>
      <c r="DY3" s="64" t="s">
        <v>46</v>
      </c>
      <c r="DZ3" s="64" t="s">
        <v>22</v>
      </c>
      <c r="EA3" s="64" t="s">
        <v>14</v>
      </c>
      <c r="EB3" s="64" t="s">
        <v>45</v>
      </c>
      <c r="EC3" s="64" t="s">
        <v>46</v>
      </c>
      <c r="ED3" s="64" t="s">
        <v>22</v>
      </c>
      <c r="EE3" s="64" t="s">
        <v>14</v>
      </c>
      <c r="EF3" s="64" t="s">
        <v>45</v>
      </c>
      <c r="EG3" s="64" t="s">
        <v>46</v>
      </c>
      <c r="EH3" s="64" t="s">
        <v>22</v>
      </c>
      <c r="EI3" s="64" t="s">
        <v>14</v>
      </c>
      <c r="EJ3" s="64" t="s">
        <v>45</v>
      </c>
      <c r="EK3" s="64" t="s">
        <v>46</v>
      </c>
      <c r="EL3" s="14"/>
      <c r="EM3" s="14"/>
      <c r="EN3" s="17"/>
      <c r="EO3" s="17"/>
      <c r="EP3" s="17"/>
      <c r="EQ3" s="36" t="s">
        <v>22</v>
      </c>
      <c r="ER3" s="36" t="s">
        <v>14</v>
      </c>
      <c r="ES3" s="36" t="s">
        <v>45</v>
      </c>
      <c r="ET3" s="36" t="s">
        <v>46</v>
      </c>
      <c r="EU3" s="36" t="s">
        <v>22</v>
      </c>
      <c r="EV3" s="36" t="s">
        <v>14</v>
      </c>
      <c r="EW3" s="36" t="s">
        <v>45</v>
      </c>
      <c r="EX3" s="36" t="s">
        <v>46</v>
      </c>
      <c r="EY3" s="36" t="s">
        <v>22</v>
      </c>
      <c r="EZ3" s="36" t="s">
        <v>14</v>
      </c>
      <c r="FA3" s="36" t="s">
        <v>45</v>
      </c>
      <c r="FB3" s="36" t="s">
        <v>46</v>
      </c>
      <c r="FC3" s="36" t="s">
        <v>22</v>
      </c>
      <c r="FD3" s="36" t="s">
        <v>14</v>
      </c>
      <c r="FE3" s="36" t="s">
        <v>45</v>
      </c>
      <c r="FF3" s="36" t="s">
        <v>46</v>
      </c>
      <c r="FG3" s="11"/>
      <c r="FH3" s="11"/>
      <c r="FI3" s="18"/>
      <c r="FJ3" s="18"/>
      <c r="FK3" s="18"/>
      <c r="FL3" s="35" t="s">
        <v>22</v>
      </c>
      <c r="FM3" s="35" t="s">
        <v>14</v>
      </c>
      <c r="FN3" s="35" t="s">
        <v>45</v>
      </c>
      <c r="FO3" s="35" t="s">
        <v>46</v>
      </c>
      <c r="FP3" s="35" t="s">
        <v>22</v>
      </c>
      <c r="FQ3" s="35" t="s">
        <v>14</v>
      </c>
      <c r="FR3" s="35" t="s">
        <v>45</v>
      </c>
      <c r="FS3" s="35" t="s">
        <v>46</v>
      </c>
      <c r="FT3" s="35" t="s">
        <v>22</v>
      </c>
      <c r="FU3" s="35" t="s">
        <v>14</v>
      </c>
      <c r="FV3" s="35" t="s">
        <v>45</v>
      </c>
      <c r="FW3" s="35" t="s">
        <v>46</v>
      </c>
      <c r="FX3" s="35" t="s">
        <v>22</v>
      </c>
      <c r="FY3" s="35" t="s">
        <v>14</v>
      </c>
      <c r="FZ3" s="35" t="s">
        <v>45</v>
      </c>
      <c r="GA3" s="35" t="s">
        <v>46</v>
      </c>
      <c r="GB3" s="14"/>
      <c r="GC3" s="14"/>
      <c r="GD3" s="17"/>
      <c r="GE3" s="17"/>
      <c r="GF3" s="17"/>
      <c r="GG3" s="36" t="s">
        <v>22</v>
      </c>
      <c r="GH3" s="36" t="s">
        <v>14</v>
      </c>
      <c r="GI3" s="36" t="s">
        <v>45</v>
      </c>
      <c r="GJ3" s="36" t="s">
        <v>46</v>
      </c>
      <c r="GK3" s="36" t="s">
        <v>22</v>
      </c>
      <c r="GL3" s="36" t="s">
        <v>14</v>
      </c>
      <c r="GM3" s="36" t="s">
        <v>45</v>
      </c>
      <c r="GN3" s="36" t="s">
        <v>46</v>
      </c>
      <c r="GO3" s="36" t="s">
        <v>22</v>
      </c>
      <c r="GP3" s="36" t="s">
        <v>14</v>
      </c>
      <c r="GQ3" s="36" t="s">
        <v>45</v>
      </c>
      <c r="GR3" s="36" t="s">
        <v>46</v>
      </c>
      <c r="GS3" s="36" t="s">
        <v>22</v>
      </c>
      <c r="GT3" s="36" t="s">
        <v>14</v>
      </c>
      <c r="GU3" s="36" t="s">
        <v>45</v>
      </c>
      <c r="GV3" s="36" t="s">
        <v>46</v>
      </c>
      <c r="GW3" s="11"/>
      <c r="GX3" s="11"/>
      <c r="GY3" s="18"/>
      <c r="GZ3" s="18"/>
      <c r="HA3" s="18"/>
      <c r="HB3" s="35" t="s">
        <v>22</v>
      </c>
      <c r="HC3" s="35" t="s">
        <v>14</v>
      </c>
      <c r="HD3" s="35" t="s">
        <v>45</v>
      </c>
      <c r="HE3" s="35" t="s">
        <v>46</v>
      </c>
      <c r="HF3" s="35" t="s">
        <v>22</v>
      </c>
      <c r="HG3" s="35" t="s">
        <v>14</v>
      </c>
      <c r="HH3" s="35" t="s">
        <v>45</v>
      </c>
      <c r="HI3" s="35" t="s">
        <v>46</v>
      </c>
      <c r="HJ3" s="35" t="s">
        <v>22</v>
      </c>
      <c r="HK3" s="35" t="s">
        <v>14</v>
      </c>
      <c r="HL3" s="35" t="s">
        <v>45</v>
      </c>
      <c r="HM3" s="35" t="s">
        <v>46</v>
      </c>
      <c r="HN3" s="35" t="s">
        <v>22</v>
      </c>
      <c r="HO3" s="35" t="s">
        <v>14</v>
      </c>
      <c r="HP3" s="35" t="s">
        <v>45</v>
      </c>
      <c r="HQ3" s="35" t="s">
        <v>46</v>
      </c>
      <c r="HR3" s="14"/>
      <c r="HS3" s="14"/>
      <c r="HT3" s="17"/>
      <c r="HU3" s="17"/>
      <c r="HV3" s="17"/>
      <c r="HW3" s="36" t="s">
        <v>22</v>
      </c>
      <c r="HX3" s="36" t="s">
        <v>14</v>
      </c>
      <c r="HY3" s="36" t="s">
        <v>45</v>
      </c>
      <c r="HZ3" s="36" t="s">
        <v>46</v>
      </c>
      <c r="IA3" s="36" t="s">
        <v>22</v>
      </c>
      <c r="IB3" s="36" t="s">
        <v>14</v>
      </c>
      <c r="IC3" s="36" t="s">
        <v>45</v>
      </c>
      <c r="ID3" s="36" t="s">
        <v>46</v>
      </c>
      <c r="IE3" s="36" t="s">
        <v>22</v>
      </c>
      <c r="IF3" s="36" t="s">
        <v>14</v>
      </c>
      <c r="IG3" s="36" t="s">
        <v>45</v>
      </c>
      <c r="IH3" s="36" t="s">
        <v>46</v>
      </c>
      <c r="II3" s="36" t="s">
        <v>22</v>
      </c>
      <c r="IJ3" s="36" t="s">
        <v>14</v>
      </c>
      <c r="IK3" s="36" t="s">
        <v>45</v>
      </c>
      <c r="IL3" s="36" t="s">
        <v>46</v>
      </c>
      <c r="IM3" s="11"/>
      <c r="IN3" s="11"/>
      <c r="IO3" s="18"/>
      <c r="IP3" s="18"/>
      <c r="IQ3" s="18"/>
      <c r="IR3" s="35" t="s">
        <v>22</v>
      </c>
      <c r="IS3" s="35" t="s">
        <v>14</v>
      </c>
      <c r="IT3" s="35" t="s">
        <v>45</v>
      </c>
      <c r="IU3" s="35" t="s">
        <v>46</v>
      </c>
      <c r="IV3" s="35" t="s">
        <v>22</v>
      </c>
      <c r="IW3" s="35" t="s">
        <v>14</v>
      </c>
      <c r="IX3" s="35" t="s">
        <v>45</v>
      </c>
      <c r="IY3" s="35" t="s">
        <v>46</v>
      </c>
      <c r="IZ3" s="35" t="s">
        <v>22</v>
      </c>
      <c r="JA3" s="35" t="s">
        <v>14</v>
      </c>
      <c r="JB3" s="35" t="s">
        <v>45</v>
      </c>
      <c r="JC3" s="35" t="s">
        <v>46</v>
      </c>
      <c r="JD3" s="35" t="s">
        <v>22</v>
      </c>
      <c r="JE3" s="35" t="s">
        <v>14</v>
      </c>
      <c r="JF3" s="35" t="s">
        <v>45</v>
      </c>
      <c r="JG3" s="35" t="s">
        <v>46</v>
      </c>
      <c r="JH3" s="14"/>
      <c r="JI3" s="14"/>
      <c r="JJ3" s="17"/>
      <c r="JK3" s="17"/>
      <c r="JL3" s="17"/>
      <c r="JM3" s="36" t="s">
        <v>22</v>
      </c>
      <c r="JN3" s="36" t="s">
        <v>14</v>
      </c>
      <c r="JO3" s="36" t="s">
        <v>45</v>
      </c>
      <c r="JP3" s="36" t="s">
        <v>46</v>
      </c>
      <c r="JQ3" s="36" t="s">
        <v>22</v>
      </c>
      <c r="JR3" s="36" t="s">
        <v>14</v>
      </c>
      <c r="JS3" s="36" t="s">
        <v>45</v>
      </c>
      <c r="JT3" s="36" t="s">
        <v>46</v>
      </c>
      <c r="JU3" s="36" t="s">
        <v>22</v>
      </c>
      <c r="JV3" s="36" t="s">
        <v>14</v>
      </c>
      <c r="JW3" s="36" t="s">
        <v>45</v>
      </c>
      <c r="JX3" s="36" t="s">
        <v>46</v>
      </c>
      <c r="JY3" s="36" t="s">
        <v>22</v>
      </c>
      <c r="JZ3" s="36" t="s">
        <v>14</v>
      </c>
      <c r="KA3" s="36" t="s">
        <v>45</v>
      </c>
      <c r="KB3" s="36" t="s">
        <v>46</v>
      </c>
      <c r="KC3" s="11"/>
      <c r="KD3" s="11"/>
      <c r="KE3" s="18"/>
      <c r="KF3" s="18"/>
      <c r="KG3" s="18"/>
      <c r="KH3" s="35" t="s">
        <v>22</v>
      </c>
      <c r="KI3" s="35" t="s">
        <v>14</v>
      </c>
      <c r="KJ3" s="35" t="s">
        <v>45</v>
      </c>
      <c r="KK3" s="35" t="s">
        <v>46</v>
      </c>
      <c r="KL3" s="35" t="s">
        <v>22</v>
      </c>
      <c r="KM3" s="35" t="s">
        <v>14</v>
      </c>
      <c r="KN3" s="35" t="s">
        <v>45</v>
      </c>
      <c r="KO3" s="35" t="s">
        <v>46</v>
      </c>
      <c r="KP3" s="35" t="s">
        <v>22</v>
      </c>
      <c r="KQ3" s="35" t="s">
        <v>14</v>
      </c>
      <c r="KR3" s="35" t="s">
        <v>45</v>
      </c>
      <c r="KS3" s="35" t="s">
        <v>46</v>
      </c>
      <c r="KT3" s="35" t="s">
        <v>22</v>
      </c>
      <c r="KU3" s="35" t="s">
        <v>14</v>
      </c>
      <c r="KV3" s="35" t="s">
        <v>45</v>
      </c>
      <c r="KW3" s="35" t="s">
        <v>46</v>
      </c>
      <c r="KX3" s="14"/>
      <c r="KY3" s="14"/>
      <c r="KZ3" s="17"/>
      <c r="LA3" s="17"/>
      <c r="LB3" s="17"/>
      <c r="LC3" s="111" t="s">
        <v>22</v>
      </c>
      <c r="LD3" s="111" t="s">
        <v>14</v>
      </c>
      <c r="LE3" s="111" t="s">
        <v>45</v>
      </c>
      <c r="LF3" s="111" t="s">
        <v>46</v>
      </c>
      <c r="LG3" s="111" t="s">
        <v>22</v>
      </c>
      <c r="LH3" s="111" t="s">
        <v>14</v>
      </c>
      <c r="LI3" s="111" t="s">
        <v>45</v>
      </c>
      <c r="LJ3" s="111" t="s">
        <v>46</v>
      </c>
      <c r="LK3" s="111" t="s">
        <v>22</v>
      </c>
      <c r="LL3" s="111" t="s">
        <v>14</v>
      </c>
      <c r="LM3" s="111" t="s">
        <v>45</v>
      </c>
      <c r="LN3" s="111" t="s">
        <v>46</v>
      </c>
      <c r="LO3" s="112" t="s">
        <v>22</v>
      </c>
      <c r="LP3" s="112" t="s">
        <v>14</v>
      </c>
      <c r="LQ3" s="112" t="s">
        <v>45</v>
      </c>
      <c r="LR3" s="112" t="s">
        <v>46</v>
      </c>
      <c r="LS3" s="111" t="s">
        <v>99</v>
      </c>
      <c r="LT3" s="11"/>
      <c r="LU3" s="11"/>
      <c r="LV3" s="10"/>
      <c r="LW3" s="11"/>
      <c r="LX3" s="11"/>
    </row>
    <row r="4" spans="1:336" x14ac:dyDescent="0.2">
      <c r="A4" s="6">
        <f t="shared" ref="A4:A15" si="0">IF(AND(F4="P",H4="P"),SUMPRODUCT((F$4:F$16="P")*(H$4:H$16="P")*(E$4:E$16&gt;E4))+1,IF(H4="P",SUMPRODUCT((F$4:F$16="")*(H$4:H$16="P")*(E$4:E$16&gt;E4))+1+SUMPRODUCT((F$4:F$16="P")*(H$4:H$16="P")),""))</f>
        <v>1</v>
      </c>
      <c r="B4" s="9" t="s">
        <v>51</v>
      </c>
      <c r="C4" s="5" t="s">
        <v>3</v>
      </c>
      <c r="D4" s="6">
        <v>1992</v>
      </c>
      <c r="E4" s="16">
        <f t="shared" ref="E4:E15" si="1">SUM(J4:N4)</f>
        <v>214.60000000000002</v>
      </c>
      <c r="F4" s="4" t="str">
        <f t="shared" ref="F4:F15" si="2">IF(OR(AND(AH4&gt;=AK$18,AJ4&gt;=AK$21,AJ4&lt;&gt;"",AG4=""),AND(BD4&gt;=BG$18,BF4&gt;=BG$21,BF4&lt;&gt;"",BC4=""),AND(CA4&gt;=CD$18,CC4&gt;=CD$21,CC4&lt;&gt;""),AND(CV4&gt;=CY$18,CX4&gt;=CY$21,CX4&lt;&gt;""),AND(DQ4&gt;=DT$18,DS4&gt;=DT$21,DS4&lt;&gt;""),AND(EL4&gt;=EO$18,EN4&gt;=EO$21,EN4&lt;&gt;""),AND(FG4&gt;=FJ$18,FI4&gt;=FJ$21,FI4&lt;&gt;""),AND(GB4&gt;=GE$18,GD4&gt;=GE$21,GD4&lt;&gt;""),AND(GW4&gt;=GZ$18,GY4&gt;=GZ$21,GY4&lt;&gt;""),AND(HR4&gt;=HU$18,HT4&gt;=HU$21,HT4&lt;&gt;""),AND(IM4&gt;=IP$18,IO4&gt;=IP$21,IO4&lt;&gt;""),AND(JH4&gt;=JK$18,JJ4&gt;=JK$21,JJ4&lt;&gt;""),AND(KC4&gt;=KF$18,KE4&gt;=KF$21,KE4&lt;&gt;""),AND(KX4&gt;=LA$18,KZ4&gt;=LA$21,KZ4&lt;&gt;"")),"P","")</f>
        <v>P</v>
      </c>
      <c r="G4" s="4" t="str">
        <f t="shared" ref="G4:G15" si="3">IF(OR(AND(AH4&gt;=AK$19,AJ4&gt;=AK$22,AJ4&lt;&gt;"",AG4=""),AND(BD4&gt;=BG$19,BF4&gt;=BG$22,BF4&lt;&gt;"",BC4=""),AND(CA4&gt;=CD$19,CC4&gt;=CD$22,CC4&lt;&gt;""),AND(CV4&gt;=CY$19,CX4&gt;=CY$22,CX4&lt;&gt;""),AND(DQ4&gt;=DT$19,DS4&gt;=DT$22,DS4&lt;&gt;""),AND(EL4&gt;=EO$19,EN4&gt;=EO$22,EN4&lt;&gt;""),AND(FG4&gt;=FJ$19,FI4&gt;=FJ$22,FI4&lt;&gt;""),AND(GB4&gt;=GE$19,GD4&gt;=GE$22,GD4&lt;&gt;""),AND(GW4&gt;=GZ$19,GY4&gt;=GZ$22,GY4&lt;&gt;""),AND(HR4&gt;=HU$19,HT4&gt;=HU$22,HT4&lt;&gt;""),AND(IM4&gt;=IP$19,IO4&gt;=IP$22,IO4&lt;&gt;""),AND(JH4&gt;=JK$19,JJ4&gt;=JK$22,JJ4&lt;&gt;""),AND(KC4&gt;=KF$19,KE4&gt;=KF$22,KE4&lt;&gt;""),AND(KX4&gt;=LA$19,KZ4&gt;=LA$22,KZ4&lt;&gt;"")),"P","")</f>
        <v>P</v>
      </c>
      <c r="H4" s="4" t="str">
        <f t="shared" ref="H4:H15" si="4">IF(OR(AND(AJ4&gt;=AK$21,AJ4&lt;&gt;"",AG4=""),AND(BF4&gt;=BG$21,BF4&lt;&gt;"",BC4=""),AND(CC4&gt;=CD$21,CC4&lt;&gt;""),AND(CX4&gt;=CY$21,CX4&lt;&gt;""),AND(DS4&gt;=DT$21,DS4&lt;&gt;""),AND(EN4&gt;=EO$21,EN4&lt;&gt;""),AND(FI4&gt;=FJ$21,FI4&lt;&gt;""),AND(GD4&gt;=GE$21,GD4&lt;&gt;""),AND(GY4&gt;=GZ$21,GY4&lt;&gt;""),AND(HT4&gt;=HU$21,HT4&lt;&gt;""),AND(IO4&gt;=IP$21,IO4&lt;&gt;""),AND(JJ4&gt;=JK$21,JJ4&lt;&gt;""),AND(KE4&gt;=KF$21,KE4&lt;&gt;""),AND(KZ4&gt;=LA$21,KZ4&lt;&gt;"")),"P","")</f>
        <v>P</v>
      </c>
      <c r="I4" t="str">
        <f t="shared" ref="I4:I15" si="5">IF(AND(H4="P",F4=""),"No DD",IF(OR(AND(AI4&gt;=AK$20,AI4&lt;&gt;"",AL4&gt;=AK$24,AL4&lt;&gt;"",AG4=""),AND(BE4&gt;=BG$20,BE4&lt;&gt;"",BH4&gt;=BG$24,BH4&lt;&gt;"",BC4=""),AND(CB4&gt;=CD$20,CB4&lt;&gt;"",CE4&gt;=CD$24,CE4&lt;&gt;""),AND(CW4&gt;=CY$20,CW4&lt;&gt;"",CZ4&gt;=CY$24,CZ4&lt;&gt;""),AND(DR4&gt;=DT$20,DR4&lt;&gt;"",DU4&gt;=DT$24,DU4&lt;&gt;""),AND(EM4&gt;=EO$20,EM4&lt;&gt;"",EP4&gt;=EO$24,EP4&lt;&gt;""),AND(FH4&gt;=FJ$20,FH4&lt;&gt;"",FK4&gt;=FJ$24,FK4&lt;&gt;""),AND(GC4&gt;=GE$20,GC4&lt;&gt;"",GF4&gt;=GE$24,GF4&lt;&gt;""),AND(GX4&gt;=GZ$20,GX4&lt;&gt;"",HA4&gt;=GZ$24,HA4&lt;&gt;""),AND(HS4&gt;=HU$20,HS4&lt;&gt;"",HV4&gt;=HU$24,HV4&lt;&gt;""),AND(IN4&gt;=IP$20,IN4&lt;&gt;"",IQ4&gt;=IP$24,IQ4&lt;&gt;""),AND(JI4&gt;=JK$20,JI4&lt;&gt;"",JL4&gt;=JK$24,JL4&lt;&gt;""),AND(KD4&gt;=KF$20,KD4&lt;&gt;"",KG4&gt;=KF$24,KG4&lt;&gt;""),AND(KY4&gt;=LA$20,KY4&lt;&gt;"",LB4&gt;=LA$24,LB4&lt;&gt;"")),"Merit",IF(OR(AND(AI4&gt;=AK$20,AI4&lt;&gt;"",AL4&gt;=AK$23,AL4&lt;&gt;"",AG4=""),AND(BE4&gt;=BG$20,BE4&lt;&gt;"",BH4&gt;=BG$23,BH4&lt;&gt;"",BC4=""),AND(CB4&gt;=CD$20,CB4&lt;&gt;"",CE4&gt;=CD$23,CE4&lt;&gt;""),AND(CW4&gt;=CY$20,CW4&lt;&gt;"",CZ4&gt;=CY$23,CZ4&lt;&gt;""),AND(DR4&gt;=DT$20,DR4&lt;&gt;"",DU4&gt;=DT$23,DU4&lt;&gt;""),AND(EM4&gt;=EO$20,EM4&lt;&gt;"",EP4&gt;=EO$23,EP4&lt;&gt;""),AND(FH4&gt;=FJ$20,FH4&lt;&gt;"",FK4&gt;=FJ$23,FK4&lt;&gt;""),AND(GC4&gt;=GE$20,GC4&lt;&gt;"",GF4&gt;=GE$23,GF4&lt;&gt;""),AND(GX4&gt;=GZ$20,GX4&lt;&gt;"",HA4&gt;=GZ$23,HA4&lt;&gt;""),AND(HS4&gt;=HU$20,HS4&lt;&gt;"",HV4&gt;=HU$23,HV4&lt;&gt;""),AND(IN4&gt;=IP$20,IN4&lt;&gt;"",IQ4&gt;=IP$23,IQ4&lt;&gt;""),AND(JI4&gt;=JK$20,JI4&lt;&gt;"",JL4&gt;=JK$23,JL4&lt;&gt;""),AND(KD4&gt;=KF$20,KD4&lt;&gt;"",KG4&gt;=KF$23,KG4&lt;&gt;""),AND(KY4&gt;=LA$20,KY4&lt;&gt;"",LB4&gt;=LA$23,LB4&lt;&gt;"")),"Excellence",IF(OR(AND(AH4&gt;=AK$19,AH4&lt;&gt;"",AJ4&gt;=AK$22,AJ4&lt;&gt;"",AG4=""),AND(BD4&gt;=BG$19,BD4&lt;&gt;"",BF4&gt;=BG$22,BF4&lt;&gt;"",BC4=""),AND(CA4&gt;=CD$19,CA4&lt;&gt;"",CC4&gt;=CD$22,CC4&lt;&gt;""),AND(CV4&gt;=CY$19,CV4&lt;&gt;"",CX4&gt;=CY$22,CX4&lt;&gt;""),AND(DQ4&gt;=DT$19,DQ4&lt;&gt;"",DS4&gt;=DT$22,DS4&lt;&gt;""),AND(EL4&gt;=EO$19,EL4&lt;&gt;"",EN4&gt;=EO$22,EN4&lt;&gt;""),AND(FG4&gt;=FJ$19,FG4&lt;&gt;"",FI4&gt;=FJ$22,FI4&lt;&gt;""),AND(GB4&gt;=GE$19,GB4&lt;&gt;"",GD4&gt;=GE$22,GD4&lt;&gt;""),AND(GW4&gt;=GZ$19,GW4&lt;&gt;"",GY4&gt;=GZ$22,GY4&lt;&gt;""),AND(HR4&gt;=HU$19,HR4&lt;&gt;"",HT4&gt;=HU$22,HT4&lt;&gt;""),AND(IM4&gt;=IP$19,IM4&lt;&gt;"",IO4&gt;=IP$22,IO4&lt;&gt;""),AND(JH4&gt;=JK$19,JH4&lt;&gt;"",JJ4&gt;=JK$22,JJ4&lt;&gt;""),AND(KC4&gt;=KF$19,KC4&lt;&gt;"",KE4&gt;=KF$22,KE4&lt;&gt;""),AND(KX4&gt;=LA$19,KX4&lt;&gt;"",KZ4&gt;=LA$22,KZ4&lt;&gt;"")),"Worlds Team",IF(OR(AND(AH4&gt;=AK$18,AH4&lt;&gt;"",AJ4&gt;=AK$21,AJ4&lt;&gt;"",AG4=""),AND(BD4&gt;=BG$18,BD4&lt;&gt;"",BF4&gt;=BG$21,BF4&lt;&gt;"",BC4=""),AND(CA4&gt;=CD$18,CA4&lt;&gt;"",CC4&gt;=CD$21,CC4&lt;&gt;""),AND(CV4&gt;=CY$18,CV4&lt;&gt;"",CX4&gt;=CY$21,CX4&lt;&gt;""),AND(DQ4&gt;=DT$18,DQ4&lt;&gt;"",DS4&gt;=DT$21,DS4&lt;&gt;""),AND(EL4&gt;=EO$18,EL4&lt;&gt;"",EN4&gt;=EO$21,EN4&lt;&gt;""),AND(FG4&gt;=FJ$18,FG4&lt;&gt;"",FI4&gt;=FJ$21,FI4&lt;&gt;""),AND(GB4&gt;=GE$18,GB4&lt;&gt;"",GD4&gt;=GE$21,GD4&lt;&gt;""),AND(GW4&gt;=GZ$18,GW4&lt;&gt;"",GY4&gt;=GZ$21,GY4&lt;&gt;""),AND(HR4&gt;=HU$18,HR4&lt;&gt;"",HT4&gt;=HU$21,HT4&lt;&gt;""),AND(IM4&gt;=IP$18,IM4&lt;&gt;"",IO4&gt;=IP$21,IO4&lt;&gt;""),AND(JH4&gt;=JK$18,JH4&lt;&gt;"",JJ4&gt;=JK$21,JJ4&lt;&gt;""),AND(KC4&gt;=KF$18,KC4&lt;&gt;"",KE4&gt;=KF$21,KE4&lt;&gt;""),AND(KX4&gt;=LA$18,KX4&lt;&gt;"",KZ4&gt;=LA$21,KZ4&lt;&gt;"")),"National Team","")))))</f>
        <v>Excellence</v>
      </c>
      <c r="J4" s="15">
        <f t="shared" ref="J4:J15" si="6">IF(MAX(AL4,BH4)&gt;0,MAX(AL4,BH4),"")</f>
        <v>143.5</v>
      </c>
      <c r="K4" s="15" t="str">
        <f t="shared" ref="K4:K15" si="7">IF(J4="","",IF(J4=BH4,$AM$1,IF(J4=AL4,$Q$1,"")))</f>
        <v>2019 Nationals</v>
      </c>
      <c r="L4" s="15">
        <f t="shared" ref="L4:L15" si="8">IF(J4=AL4,IF(MAX(BF4,BG4)&gt;0,MAX(BF4,BG4),""),IF(J4=BH4,IF(MAX(AJ4,AK4)&gt;0,MAX(AJ4,AK4),""),MAX(AJ4,AK4,BF4,BG4)))</f>
        <v>68.199999999999989</v>
      </c>
      <c r="M4" s="15" t="str">
        <f t="shared" ref="M4:M15" si="9">IF(L4="","",IF(AND(J4&lt;&gt;BH4,OR(L4=BG4,L4=BF4)),$AM$1,IF(OR(L4=AK4,L4=AJ4),$Q$1,"")))</f>
        <v>2019 Elite Canada</v>
      </c>
      <c r="N4" s="15">
        <f t="shared" ref="N4:N15" si="10">IF(MAX(BI4:BJ4)&gt;0,MAX(BI4:BJ4),"")</f>
        <v>2.9000000000000199</v>
      </c>
      <c r="O4" s="27" t="str">
        <f t="shared" ref="O4:O15" si="11">IF(N4="","",IF(N4=BI4,"(4 Pass)",IF(N4=BJ4,"(2 Pass)")))</f>
        <v>(2 Pass)</v>
      </c>
      <c r="P4" s="15" t="str">
        <f t="shared" ref="P4:P15" si="12">IF(N4="","",IF(N4=BI4,IF(N4+IF(J4="",0,J4)=CE4,$BK$1,IF(N4+IF(J4="",0,J4)=CZ4,$CF$1,IF(N4+IF(J4="",0,J4)=DU4,$DA$1,IF(N4+IF(J4="",0,J4)=EP4,$DV$1,IF(N4+IF(J4="",0,J4)=FK4,$EQ$1,IF(N4+IF(J4="",0,J4)=GF4,$FL$1,IF(N4+IF(J4="",0,J4)=HA4,$GG$1,IF(N4+IF(J4="",0,J4)=HV4,$HB$1,IF(N4+IF(J4="",0,J4)=IQ4,$HW$1,IF(N4+IF(J4="",0,J4)=JL4,$IR$1,IF(N4+IF(J4="",0,J4)=KG4,$JM$1,IF(N4+IF(J4="",0,J4)=LB4,$KH$1)))))))))))),IF(N4=BJ4,IF(OR(N4+IF(L4="",0,L4)=CC4,N4+IF(L4="",0,L4)=CD4),$BK$1,IF(OR(N4+IF(L4="",0,L4)=CX4,N4+IF(L4="",0,L4)=CY4),$CF$1,IF(OR(N4+IF(L4="",0,L4)=DS4,N4+IF(L4="",0,L4)=DT4),$DA$1,IF(OR(N4+IF(L4="",0,L4)=EN4,N4+IF(L4="",0,L4)=EO4),$DV$1,IF(OR(N4+IF(L4="",0,L4)=FI4,N4+IF(L4="",0,L4)=FJ4),$EQ$1,IF(OR(N4+IF(L4="",0,L4)=GD4,N4+IF(L4="",0,L4)=GE4),$FL$1,IF(OR(N4+IF(L4="",0,L4)=GY4,N4+IF(L4="",0,L4)=GZ4),$GG$1,IF(OR(N4+IF(L4="",0,L4)=HT4,N4+IF(L4="",0,L4)=HU4),$HB$1,IF(OR(N4+IF(L4="",0,L4)=IO4,N4+IF(L4="",0,L4)=IP4),$HW$1,IF(OR(N4+IF(L4="",0,L4)=JJ4,N4+IF(L4="",0,L4)=JK4),$IR$1,IF(OR(N4+IF(L4="",0,L4)=KE4,N4+IF(L4="",0,L4)=KF4),$JM$1,IF(OR(N4+IF(L4="",0,L4)=KZ4,N4+IF(L4="",0,L4)=LA4),$KH$1)))))))))))))))</f>
        <v>2018 World Championships (Nov 7)</v>
      </c>
      <c r="Q4" s="71">
        <v>27.9</v>
      </c>
      <c r="R4" s="71">
        <v>9.1999999999999993</v>
      </c>
      <c r="S4" s="71">
        <v>1.5</v>
      </c>
      <c r="T4" s="71">
        <v>0</v>
      </c>
      <c r="U4" s="71">
        <v>24.9</v>
      </c>
      <c r="V4" s="71">
        <v>9.1999999999999993</v>
      </c>
      <c r="W4" s="71">
        <v>1.5</v>
      </c>
      <c r="X4" s="71">
        <v>0</v>
      </c>
      <c r="Y4" s="71"/>
      <c r="Z4" s="71"/>
      <c r="AA4" s="71"/>
      <c r="AB4" s="71"/>
      <c r="AC4" s="71"/>
      <c r="AD4" s="71"/>
      <c r="AE4" s="71"/>
      <c r="AF4" s="71"/>
      <c r="AG4" s="82"/>
      <c r="AH4" s="12">
        <f t="shared" ref="AH4:AH15" si="13">IF(SUM(R4,V4)&gt;0,SUM(R4,V4),"")</f>
        <v>18.399999999999999</v>
      </c>
      <c r="AI4" s="12">
        <f t="shared" ref="AI4:AI15" si="14">IF(SUM(R4,V4,Z4,AD4)&gt;0,SUM(R4,V4,Z4,AD4),"")</f>
        <v>18.399999999999999</v>
      </c>
      <c r="AJ4" s="12">
        <f t="shared" ref="AJ4:AJ15" si="15">IF(SUM(Q4:R4,T4:V4,X4)-SUM(S4,W4)&gt;0,SUM(Q4:R4,T4:V4,X4)-SUM(S4,W4),"")</f>
        <v>68.199999999999989</v>
      </c>
      <c r="AK4" s="12" t="str">
        <f t="shared" ref="AK4:AK15" si="16">IF(SUM(Y4:Z4,AB4:AD4,AF4)-SUM(AA4,AE4)&gt;0,SUM(Y4:Z4,AB4:AD4,AF4)-SUM(AA4,AE4),"")</f>
        <v/>
      </c>
      <c r="AL4" s="12">
        <f t="shared" ref="AL4:AL15" si="17">IF(SUM(AJ4,AK4)&gt;0,SUM(AJ4,AK4),"")</f>
        <v>68.199999999999989</v>
      </c>
      <c r="AM4" s="40">
        <v>28.2</v>
      </c>
      <c r="AN4" s="40">
        <v>9.1999999999999993</v>
      </c>
      <c r="AO4" s="40">
        <v>1.2</v>
      </c>
      <c r="AP4" s="40">
        <v>0</v>
      </c>
      <c r="AQ4" s="40">
        <v>27.8</v>
      </c>
      <c r="AR4" s="40">
        <v>8</v>
      </c>
      <c r="AS4" s="40">
        <v>0</v>
      </c>
      <c r="AT4" s="40">
        <v>0</v>
      </c>
      <c r="AU4" s="40">
        <v>28</v>
      </c>
      <c r="AV4" s="40">
        <v>10.1</v>
      </c>
      <c r="AW4" s="40">
        <v>0.9</v>
      </c>
      <c r="AX4" s="40">
        <v>0</v>
      </c>
      <c r="AY4" s="40">
        <v>28.2</v>
      </c>
      <c r="AZ4" s="40">
        <v>7.3</v>
      </c>
      <c r="BA4" s="40">
        <v>1.2</v>
      </c>
      <c r="BB4" s="40">
        <v>0</v>
      </c>
      <c r="BC4" s="83"/>
      <c r="BD4" s="15">
        <f t="shared" ref="BD4:BD15" si="18">IF(SUM(AN4,AR4)&gt;0,SUM(AN4,AR4),"")</f>
        <v>17.2</v>
      </c>
      <c r="BE4" s="15">
        <f t="shared" ref="BE4:BE15" si="19">IF(SUM(AN4,AR4,AV4,AZ4)&gt;0,SUM(AN4,AR4,AV4,AZ4),"")</f>
        <v>34.599999999999994</v>
      </c>
      <c r="BF4" s="15">
        <f t="shared" ref="BF4:BF15" si="20">IF(SUM(AM4:AN4,AP4:AR4,AT4)-SUM(AO4,AS4)&gt;0,SUM(AM4:AN4,AP4:AR4,AT4)-SUM(AO4,AS4),"")</f>
        <v>72</v>
      </c>
      <c r="BG4" s="15">
        <f t="shared" ref="BG4:BG15" si="21">IF(SUM(AU4:AV4,AX4:AZ4,BB4)-SUM(AW4,BA4)&gt;0,SUM(AU4:AV4,AX4:AZ4,BB4)-SUM(AW4,BA4),"")</f>
        <v>71.5</v>
      </c>
      <c r="BH4" s="15">
        <f t="shared" ref="BH4:BH15" si="22">IF(SUM(BF4,BG4)&gt;0,SUM(BF4,BG4),"")</f>
        <v>143.5</v>
      </c>
      <c r="BI4" s="26" t="str">
        <f t="shared" ref="BI4:BI15" si="23">IF(MAX(CE4,CZ4,DU4,EP4,FK4,GF4,HA4,HV4,IQ4,JL4,KG4,LB4)-IF(J4="",0,J4)&gt;0.001,MAX(CE4,CZ4,DU4,EP4,FK4,GF4,HA4,HV4,IQ4,JL4,KG4,LB4)-IF(J4="",0,J4),"")</f>
        <v/>
      </c>
      <c r="BJ4" s="26">
        <f t="shared" ref="BJ4:BJ15" si="24">IF(MAX(CC4,CD4,CX4,CY4,DS4,DT4,EN4,EO4,FI4,FJ4,GD4,GE4,GY4,GZ4,HT4,HU4,IO4,IP4,JJ4,JK4,KE4,KF4,KZ4,LA4)-IF(L4="",0,L4)&gt;0.001,MAX(CC4,CD4,CX4,CY4,DS4,DT4,EN4,EO4,FI4,FJ4,GD4,GE4,GY4,GZ4,HT4,HU4,IO4,IP4,JJ4,JK4,KE4,KF4,KZ4,LA4)-IF(L4="",0,L4),"")</f>
        <v>2.9000000000000199</v>
      </c>
      <c r="BK4" s="46">
        <v>27.2</v>
      </c>
      <c r="BL4" s="46">
        <v>9.1999999999999993</v>
      </c>
      <c r="BM4" s="46">
        <v>1.2</v>
      </c>
      <c r="BN4" s="46">
        <v>0</v>
      </c>
      <c r="BO4" s="46">
        <v>27.6</v>
      </c>
      <c r="BP4" s="46">
        <v>9.1999999999999993</v>
      </c>
      <c r="BQ4" s="46">
        <v>0.9</v>
      </c>
      <c r="BR4" s="46">
        <v>0</v>
      </c>
      <c r="BS4" s="46"/>
      <c r="BT4" s="46"/>
      <c r="BU4" s="46"/>
      <c r="BV4" s="46"/>
      <c r="BW4" s="46"/>
      <c r="BX4" s="46"/>
      <c r="BY4" s="46"/>
      <c r="BZ4" s="46"/>
      <c r="CA4" s="12">
        <f t="shared" ref="CA4:CA15" si="25">IF(SUM(BL4,BP4)&gt;0,SUM(BL4,BP4),"")</f>
        <v>18.399999999999999</v>
      </c>
      <c r="CB4" s="12">
        <f t="shared" ref="CB4:CB15" si="26">IF(SUM(BL4,BP4,BT4,BX4)&gt;0,SUM(BL4,BP4,BT4,BX4),"")</f>
        <v>18.399999999999999</v>
      </c>
      <c r="CC4" s="12">
        <f t="shared" ref="CC4:CC15" si="27">IF(SUM(BK4:BL4,BN4:BP4,BR4)-SUM(BM4,BQ4)&gt;0,SUM(BK4:BL4,BN4:BP4,BR4)-SUM(BM4,BQ4),"")</f>
        <v>71.100000000000009</v>
      </c>
      <c r="CD4" s="12" t="str">
        <f t="shared" ref="CD4:CD15" si="28">IF(SUM(BS4:BT4,BV4:BX4,BZ4)-SUM(BU4,BY4)&gt;0,SUM(BS4:BT4,BV4:BX4,BZ4)-SUM(BU4,BY4),"")</f>
        <v/>
      </c>
      <c r="CE4" s="12">
        <f t="shared" ref="CE4:CE15" si="29">IF(SUM(CC4,CD4)&gt;0,SUM(CC4,CD4),"")</f>
        <v>71.100000000000009</v>
      </c>
      <c r="CF4" s="45"/>
      <c r="CG4" s="45"/>
      <c r="CH4" s="45"/>
      <c r="CI4" s="45"/>
      <c r="CJ4" s="45"/>
      <c r="CK4" s="45"/>
      <c r="CL4" s="45"/>
      <c r="CM4" s="45"/>
      <c r="CN4" s="45"/>
      <c r="CO4" s="45"/>
      <c r="CP4" s="45"/>
      <c r="CQ4" s="45"/>
      <c r="CR4" s="45"/>
      <c r="CS4" s="45"/>
      <c r="CT4" s="45"/>
      <c r="CU4" s="45"/>
      <c r="CV4" s="15" t="str">
        <f t="shared" ref="CV4:CV15" si="30">IF(SUM(CG4,CK4)&gt;0,SUM(CG4,CK4),"")</f>
        <v/>
      </c>
      <c r="CW4" s="15" t="str">
        <f t="shared" ref="CW4:CW15" si="31">IF(SUM(CG4,CK4,CO4,CS4)&gt;0,SUM(CG4,CK4,CO4,CS4),"")</f>
        <v/>
      </c>
      <c r="CX4" s="15" t="str">
        <f t="shared" ref="CX4:CX15" si="32">IF(SUM(CF4:CG4,CI4:CK4,CM4)-SUM(CH4,CL4)&gt;0,SUM(CF4:CG4,CI4:CK4,CM4)-SUM(CH4,CL4),"")</f>
        <v/>
      </c>
      <c r="CY4" s="15" t="str">
        <f t="shared" ref="CY4:CY15" si="33">IF(SUM(CN4:CO4,CQ4:CS4,CU4)-SUM(CP4,CT4)&gt;0,SUM(CN4:CO4,CQ4:CS4,CU4)-SUM(CP4,CT4),"")</f>
        <v/>
      </c>
      <c r="CZ4" s="15" t="str">
        <f t="shared" ref="CZ4:CZ15" si="34">IF(SUM(CX4,CY4)&gt;0,SUM(CX4,CY4),"")</f>
        <v/>
      </c>
      <c r="DA4" s="46"/>
      <c r="DB4" s="46"/>
      <c r="DC4" s="46"/>
      <c r="DD4" s="46"/>
      <c r="DE4" s="46"/>
      <c r="DF4" s="46"/>
      <c r="DG4" s="46"/>
      <c r="DH4" s="46"/>
      <c r="DI4" s="46"/>
      <c r="DJ4" s="46"/>
      <c r="DK4" s="46"/>
      <c r="DL4" s="46"/>
      <c r="DM4" s="46"/>
      <c r="DN4" s="46"/>
      <c r="DO4" s="46"/>
      <c r="DP4" s="46"/>
      <c r="DQ4" s="12" t="str">
        <f t="shared" ref="DQ4:DQ15" si="35">IF(SUM(DB4,DF4)&gt;0,SUM(DB4,DF4),"")</f>
        <v/>
      </c>
      <c r="DR4" s="12" t="str">
        <f t="shared" ref="DR4:DR15" si="36">IF(SUM(DB4,DF4,DJ4,DN4)&gt;0,SUM(DB4,DF4,DJ4,DN4),"")</f>
        <v/>
      </c>
      <c r="DS4" s="12" t="str">
        <f t="shared" ref="DS4:DS15" si="37">IF(SUM(DA4:DB4,DD4:DF4,DH4)-SUM(DC4,DG4)&gt;0,SUM(DA4:DB4,DD4:DF4,DH4)-SUM(DC4,DG4),"")</f>
        <v/>
      </c>
      <c r="DT4" s="12" t="str">
        <f t="shared" ref="DT4:DT15" si="38">IF(SUM(DI4:DJ4,DL4:DN4,DP4)-SUM(DK4,DO4)&gt;0,SUM(DI4:DJ4,DL4:DN4,DP4)-SUM(DK4,DO4),"")</f>
        <v/>
      </c>
      <c r="DU4" s="12" t="str">
        <f t="shared" ref="DU4:DU15" si="39">IF(SUM(DS4,DT4)&gt;0,SUM(DS4,DT4),"")</f>
        <v/>
      </c>
      <c r="DV4" s="45">
        <v>27.7</v>
      </c>
      <c r="DW4" s="45">
        <v>9.1999999999999993</v>
      </c>
      <c r="DX4" s="45">
        <v>0.9</v>
      </c>
      <c r="DY4" s="45">
        <v>0</v>
      </c>
      <c r="DZ4" s="45">
        <v>24.6</v>
      </c>
      <c r="EA4" s="45">
        <v>7.7</v>
      </c>
      <c r="EB4" s="45">
        <v>1.2</v>
      </c>
      <c r="EC4" s="45">
        <v>0</v>
      </c>
      <c r="ED4" s="45"/>
      <c r="EE4" s="45"/>
      <c r="EF4" s="45"/>
      <c r="EG4" s="45"/>
      <c r="EH4" s="45"/>
      <c r="EI4" s="45"/>
      <c r="EJ4" s="45"/>
      <c r="EK4" s="45"/>
      <c r="EL4" s="15">
        <f t="shared" ref="EL4:EL15" si="40">IF(SUM(DW4,EA4)&gt;0,SUM(DW4,EA4),"")</f>
        <v>16.899999999999999</v>
      </c>
      <c r="EM4" s="15">
        <f t="shared" ref="EM4:EM15" si="41">IF(SUM(DW4,EA4,EE4,EI4)&gt;0,SUM(DW4,EA4,EE4,EI4),"")</f>
        <v>16.899999999999999</v>
      </c>
      <c r="EN4" s="15">
        <f t="shared" ref="EN4:EN15" si="42">IF(SUM(DV4:DW4,DY4:EA4,EC4)-SUM(DX4,EB4)&gt;0,SUM(DV4:DW4,DY4:EA4,EC4)-SUM(DX4,EB4),"")</f>
        <v>67.100000000000009</v>
      </c>
      <c r="EO4" s="15" t="str">
        <f t="shared" ref="EO4:EO15" si="43">IF(SUM(ED4:EE4,EG4:EI4,EK4)-SUM(EF4,EJ4)&gt;0,SUM(ED4:EE4,EG4:EI4,EK4)-SUM(EF4,EJ4),"")</f>
        <v/>
      </c>
      <c r="EP4" s="15">
        <f t="shared" ref="EP4:EP15" si="44">IF(SUM(EN4,EO4)&gt;0,SUM(EN4,EO4),"")</f>
        <v>67.100000000000009</v>
      </c>
      <c r="EQ4" s="46"/>
      <c r="ER4" s="46"/>
      <c r="ES4" s="46"/>
      <c r="ET4" s="46"/>
      <c r="EU4" s="46"/>
      <c r="EV4" s="46"/>
      <c r="EW4" s="46"/>
      <c r="EX4" s="46"/>
      <c r="EY4" s="46"/>
      <c r="EZ4" s="46"/>
      <c r="FA4" s="46"/>
      <c r="FB4" s="46"/>
      <c r="FC4" s="46"/>
      <c r="FD4" s="46"/>
      <c r="FE4" s="46"/>
      <c r="FF4" s="46"/>
      <c r="FG4" s="12" t="str">
        <f t="shared" ref="FG4:FG15" si="45">IF(SUM(ER4,EV4)&gt;0,SUM(ER4,EV4),"")</f>
        <v/>
      </c>
      <c r="FH4" s="12" t="str">
        <f t="shared" ref="FH4:FH15" si="46">IF(SUM(ER4,EV4,EZ4,FD4)&gt;0,SUM(ER4,EV4,EZ4,FD4),"")</f>
        <v/>
      </c>
      <c r="FI4" s="12" t="str">
        <f t="shared" ref="FI4:FI15" si="47">IF(SUM(EQ4:ER4,ET4:EV4,EX4)-SUM(ES4,EW4)&gt;0,SUM(EQ4:ER4,ET4:EV4,EX4)-SUM(ES4,EW4),"")</f>
        <v/>
      </c>
      <c r="FJ4" s="12" t="str">
        <f t="shared" ref="FJ4:FJ15" si="48">IF(SUM(EY4:EZ4,FB4:FD4,FF4)-SUM(FA4,FE4)&gt;0,SUM(EY4:EZ4,FB4:FD4,FF4)-SUM(FA4,FE4),"")</f>
        <v/>
      </c>
      <c r="FK4" s="12" t="str">
        <f t="shared" ref="FK4:FK15" si="49">IF(SUM(FI4,FJ4)&gt;0,SUM(FI4,FJ4),"")</f>
        <v/>
      </c>
      <c r="FL4" s="45"/>
      <c r="FM4" s="45"/>
      <c r="FN4" s="45"/>
      <c r="FO4" s="45"/>
      <c r="FP4" s="45"/>
      <c r="FQ4" s="45"/>
      <c r="FR4" s="45"/>
      <c r="FS4" s="45"/>
      <c r="FT4" s="45"/>
      <c r="FU4" s="45"/>
      <c r="FV4" s="45"/>
      <c r="FW4" s="45"/>
      <c r="FX4" s="45"/>
      <c r="FY4" s="45"/>
      <c r="FZ4" s="45"/>
      <c r="GA4" s="45"/>
      <c r="GB4" s="15" t="str">
        <f t="shared" ref="GB4:GB15" si="50">IF(SUM(FM4,FQ4)&gt;0,SUM(FM4,FQ4),"")</f>
        <v/>
      </c>
      <c r="GC4" s="15" t="str">
        <f t="shared" ref="GC4:GC15" si="51">IF(SUM(FM4,FQ4,FU4,FY4)&gt;0,SUM(FM4,FQ4,FU4,FY4),"")</f>
        <v/>
      </c>
      <c r="GD4" s="15" t="str">
        <f t="shared" ref="GD4:GD15" si="52">IF(SUM(FL4:FM4,FO4:FQ4,FS4)-SUM(FN4,FR4)&gt;0,SUM(FL4:FM4,FO4:FQ4,FS4)-SUM(FN4,FR4),"")</f>
        <v/>
      </c>
      <c r="GE4" s="15" t="str">
        <f t="shared" ref="GE4:GE15" si="53">IF(SUM(FT4:FU4,FW4:FY4,GA4)-SUM(FV4,FZ4)&gt;0,SUM(FT4:FU4,FW4:FY4,GA4)-SUM(FV4,FZ4),"")</f>
        <v/>
      </c>
      <c r="GF4" s="15" t="str">
        <f t="shared" ref="GF4:GF15" si="54">IF(SUM(GD4,GE4)&gt;0,SUM(GD4,GE4),"")</f>
        <v/>
      </c>
      <c r="GG4" s="46"/>
      <c r="GH4" s="46"/>
      <c r="GI4" s="46"/>
      <c r="GJ4" s="46"/>
      <c r="GK4" s="46"/>
      <c r="GL4" s="46"/>
      <c r="GM4" s="46"/>
      <c r="GN4" s="46"/>
      <c r="GO4" s="46"/>
      <c r="GP4" s="46"/>
      <c r="GQ4" s="46"/>
      <c r="GR4" s="46"/>
      <c r="GS4" s="46"/>
      <c r="GT4" s="46"/>
      <c r="GU4" s="46"/>
      <c r="GV4" s="46"/>
      <c r="GW4" s="12" t="str">
        <f t="shared" ref="GW4:GW15" si="55">IF(SUM(GH4,GL4)&gt;0,SUM(GH4,GL4),"")</f>
        <v/>
      </c>
      <c r="GX4" s="12" t="str">
        <f t="shared" ref="GX4:GX15" si="56">IF(SUM(GH4,GL4,GP4,GT4)&gt;0,SUM(GH4,GL4,GP4,GT4),"")</f>
        <v/>
      </c>
      <c r="GY4" s="12" t="str">
        <f t="shared" ref="GY4:GY15" si="57">IF(SUM(GG4:GH4,GJ4:GL4,GN4)-SUM(GI4,GM4)&gt;0,SUM(GG4:GH4,GJ4:GL4,GN4)-SUM(GI4,GM4),"")</f>
        <v/>
      </c>
      <c r="GZ4" s="12" t="str">
        <f t="shared" ref="GZ4:GZ15" si="58">IF(SUM(GO4:GP4,GR4:GT4,GV4)-SUM(GQ4,GU4)&gt;0,SUM(GO4:GP4,GR4:GT4,GV4)-SUM(GQ4,GU4),"")</f>
        <v/>
      </c>
      <c r="HA4" s="12" t="str">
        <f t="shared" ref="HA4:HA15" si="59">IF(SUM(GY4,GZ4)&gt;0,SUM(GY4,GZ4),"")</f>
        <v/>
      </c>
      <c r="HB4" s="45"/>
      <c r="HC4" s="45"/>
      <c r="HD4" s="45"/>
      <c r="HE4" s="45"/>
      <c r="HF4" s="45"/>
      <c r="HG4" s="45"/>
      <c r="HH4" s="45"/>
      <c r="HI4" s="45"/>
      <c r="HJ4" s="45"/>
      <c r="HK4" s="45"/>
      <c r="HL4" s="45"/>
      <c r="HM4" s="45"/>
      <c r="HN4" s="45"/>
      <c r="HO4" s="45"/>
      <c r="HP4" s="45"/>
      <c r="HQ4" s="45"/>
      <c r="HR4" s="15" t="str">
        <f t="shared" ref="HR4:HR15" si="60">IF(SUM(HC4,HG4)&gt;0,SUM(HC4,HG4),"")</f>
        <v/>
      </c>
      <c r="HS4" s="15" t="str">
        <f t="shared" ref="HS4:HS15" si="61">IF(SUM(HC4,HG4,HK4,HO4)&gt;0,SUM(HC4,HG4,HK4,HO4),"")</f>
        <v/>
      </c>
      <c r="HT4" s="15" t="str">
        <f t="shared" ref="HT4:HT15" si="62">IF(SUM(HB4:HC4,HE4:HG4,HI4)-SUM(HD4,HH4)&gt;0,SUM(HB4:HC4,HE4:HG4,HI4)-SUM(HD4,HH4),"")</f>
        <v/>
      </c>
      <c r="HU4" s="15" t="str">
        <f t="shared" ref="HU4:HU15" si="63">IF(SUM(HJ4:HK4,HM4:HO4,HQ4)-SUM(HL4,HP4)&gt;0,SUM(HJ4:HK4,HM4:HO4,HQ4)-SUM(HL4,HP4),"")</f>
        <v/>
      </c>
      <c r="HV4" s="15" t="str">
        <f t="shared" ref="HV4:HV15" si="64">IF(SUM(HT4,HU4)&gt;0,SUM(HT4,HU4),"")</f>
        <v/>
      </c>
      <c r="HW4" s="46"/>
      <c r="HX4" s="46"/>
      <c r="HY4" s="46"/>
      <c r="HZ4" s="46"/>
      <c r="IA4" s="46"/>
      <c r="IB4" s="46"/>
      <c r="IC4" s="46"/>
      <c r="ID4" s="46"/>
      <c r="IE4" s="46"/>
      <c r="IF4" s="46"/>
      <c r="IG4" s="46"/>
      <c r="IH4" s="46"/>
      <c r="II4" s="46"/>
      <c r="IJ4" s="46"/>
      <c r="IK4" s="46"/>
      <c r="IL4" s="46"/>
      <c r="IM4" s="12" t="str">
        <f t="shared" ref="IM4:IM15" si="65">IF(SUM(HX4,IB4)&gt;0,SUM(HX4,IB4),"")</f>
        <v/>
      </c>
      <c r="IN4" s="12" t="str">
        <f t="shared" ref="IN4:IN15" si="66">IF(SUM(HX4,IB4,IF4,IJ4)&gt;0,SUM(HX4,IB4,IF4,IJ4),"")</f>
        <v/>
      </c>
      <c r="IO4" s="12" t="str">
        <f t="shared" ref="IO4:IO15" si="67">IF(SUM(HW4:HX4,HZ4:IB4,ID4)-SUM(HY4,IC4)&gt;0,SUM(HW4:HX4,HZ4:IB4,ID4)-SUM(HY4,IC4),"")</f>
        <v/>
      </c>
      <c r="IP4" s="12" t="str">
        <f t="shared" ref="IP4:IP15" si="68">IF(SUM(IE4:IF4,IH4:IJ4,IL4)-SUM(IG4,IK4)&gt;0,SUM(IE4:IF4,IH4:IJ4,IL4)-SUM(IG4,IK4),"")</f>
        <v/>
      </c>
      <c r="IQ4" s="12" t="str">
        <f t="shared" ref="IQ4:IQ15" si="69">IF(SUM(IO4,IP4)&gt;0,SUM(IO4,IP4),"")</f>
        <v/>
      </c>
      <c r="IR4" s="45"/>
      <c r="IS4" s="45"/>
      <c r="IT4" s="45"/>
      <c r="IU4" s="45"/>
      <c r="IV4" s="45"/>
      <c r="IW4" s="45"/>
      <c r="IX4" s="45"/>
      <c r="IY4" s="45"/>
      <c r="IZ4" s="45"/>
      <c r="JA4" s="45"/>
      <c r="JB4" s="45"/>
      <c r="JC4" s="45"/>
      <c r="JD4" s="45"/>
      <c r="JE4" s="45"/>
      <c r="JF4" s="45"/>
      <c r="JG4" s="45"/>
      <c r="JH4" s="15" t="str">
        <f t="shared" ref="JH4:JH15" si="70">IF(SUM(IS4,IW4)&gt;0,SUM(IS4,IW4),"")</f>
        <v/>
      </c>
      <c r="JI4" s="15" t="str">
        <f t="shared" ref="JI4:JI15" si="71">IF(SUM(IS4,IW4,JA4,JE4)&gt;0,SUM(IS4,IW4,JA4,JE4),"")</f>
        <v/>
      </c>
      <c r="JJ4" s="15" t="str">
        <f t="shared" ref="JJ4:JJ15" si="72">IF(SUM(IR4:IS4,IU4:IW4,IY4)-SUM(IT4,IX4)&gt;0,SUM(IR4:IS4,IU4:IW4,IY4)-SUM(IT4,IX4),"")</f>
        <v/>
      </c>
      <c r="JK4" s="15" t="str">
        <f t="shared" ref="JK4:JK15" si="73">IF(SUM(IZ4:JA4,JC4:JE4,JG4)-SUM(JB4,JF4)&gt;0,SUM(IZ4:JA4,JC4:JE4,JG4)-SUM(JB4,JF4),"")</f>
        <v/>
      </c>
      <c r="JL4" s="15" t="str">
        <f t="shared" ref="JL4:JL15" si="74">IF(SUM(JJ4,JK4)&gt;0,SUM(JJ4,JK4),"")</f>
        <v/>
      </c>
      <c r="JM4" s="46"/>
      <c r="JN4" s="46"/>
      <c r="JO4" s="46"/>
      <c r="JP4" s="46"/>
      <c r="JQ4" s="46"/>
      <c r="JR4" s="46"/>
      <c r="JS4" s="46"/>
      <c r="JT4" s="46"/>
      <c r="JU4" s="46"/>
      <c r="JV4" s="46"/>
      <c r="JW4" s="46"/>
      <c r="JX4" s="46"/>
      <c r="JY4" s="46"/>
      <c r="JZ4" s="46"/>
      <c r="KA4" s="46"/>
      <c r="KB4" s="46"/>
      <c r="KC4" s="12" t="str">
        <f t="shared" ref="KC4:KC15" si="75">IF(SUM(JN4,JR4)&gt;0,SUM(JN4,JR4),"")</f>
        <v/>
      </c>
      <c r="KD4" s="12" t="str">
        <f t="shared" ref="KD4:KD15" si="76">IF(SUM(JN4,JR4,JV4,JZ4)&gt;0,SUM(JN4,JR4,JV4,JZ4),"")</f>
        <v/>
      </c>
      <c r="KE4" s="12" t="str">
        <f t="shared" ref="KE4:KE15" si="77">IF(SUM(JM4:JN4,JP4:JR4,JT4)-SUM(JO4,JS4)&gt;0,SUM(JM4:JN4,JP4:JR4,JT4)-SUM(JO4,JS4),"")</f>
        <v/>
      </c>
      <c r="KF4" s="12" t="str">
        <f t="shared" ref="KF4:KF15" si="78">IF(SUM(JU4:JV4,JX4:JZ4,KB4)-SUM(JW4,KA4)&gt;0,SUM(JU4:JV4,JX4:JZ4,KB4)-SUM(JW4,KA4),"")</f>
        <v/>
      </c>
      <c r="KG4" s="12" t="str">
        <f t="shared" ref="KG4:KG15" si="79">IF(SUM(KE4,KF4)&gt;0,SUM(KE4,KF4),"")</f>
        <v/>
      </c>
      <c r="KH4" s="45"/>
      <c r="KI4" s="45"/>
      <c r="KJ4" s="45"/>
      <c r="KK4" s="45"/>
      <c r="KL4" s="45"/>
      <c r="KM4" s="45"/>
      <c r="KN4" s="45"/>
      <c r="KO4" s="45"/>
      <c r="KP4" s="45"/>
      <c r="KQ4" s="45"/>
      <c r="KR4" s="45"/>
      <c r="KS4" s="45"/>
      <c r="KT4" s="45"/>
      <c r="KU4" s="45"/>
      <c r="KV4" s="45"/>
      <c r="KW4" s="45"/>
      <c r="KX4" s="15" t="str">
        <f t="shared" ref="KX4:KX15" si="80">IF(SUM(KI4,KM4)&gt;0,SUM(KI4,KM4),"")</f>
        <v/>
      </c>
      <c r="KY4" s="15" t="str">
        <f t="shared" ref="KY4:KY15" si="81">IF(SUM(KI4,KM4,KQ4,KU4)&gt;0,SUM(KI4,KM4,KQ4,KU4),"")</f>
        <v/>
      </c>
      <c r="KZ4" s="15" t="str">
        <f t="shared" ref="KZ4:KZ15" si="82">IF(SUM(KH4:KI4,KK4:KM4,KO4)-SUM(KJ4,KN4)&gt;0,SUM(KH4:KI4,KK4:KM4,KO4)-SUM(KJ4,KN4),"")</f>
        <v/>
      </c>
      <c r="LA4" s="15" t="str">
        <f t="shared" ref="LA4:LA15" si="83">IF(SUM(KP4:KQ4,KS4:KU4,KW4)-SUM(KR4,KV4)&gt;0,SUM(KP4:KQ4,KS4:KU4,KW4)-SUM(KR4,KV4),"")</f>
        <v/>
      </c>
      <c r="LB4" s="15" t="str">
        <f t="shared" ref="LB4:LB15" si="84">IF(SUM(KZ4,LA4)&gt;0,SUM(KZ4,LA4),"")</f>
        <v/>
      </c>
      <c r="LC4" s="71">
        <f>IF($BC4="P",AM4,(Q4+AM4)/2)</f>
        <v>28.049999999999997</v>
      </c>
      <c r="LD4" s="71">
        <f t="shared" ref="LD4:LR15" si="85">IF($BC4="P",AN4,(R4+AN4)/2)</f>
        <v>9.1999999999999993</v>
      </c>
      <c r="LE4" s="71">
        <f t="shared" si="85"/>
        <v>1.35</v>
      </c>
      <c r="LF4" s="71">
        <f t="shared" si="85"/>
        <v>0</v>
      </c>
      <c r="LG4" s="71">
        <f t="shared" si="85"/>
        <v>26.35</v>
      </c>
      <c r="LH4" s="71">
        <f t="shared" si="85"/>
        <v>8.6</v>
      </c>
      <c r="LI4" s="71">
        <f t="shared" si="85"/>
        <v>0.75</v>
      </c>
      <c r="LJ4" s="71">
        <f t="shared" si="85"/>
        <v>0</v>
      </c>
      <c r="LK4" s="71">
        <f t="shared" si="85"/>
        <v>14</v>
      </c>
      <c r="LL4" s="71">
        <f t="shared" si="85"/>
        <v>5.05</v>
      </c>
      <c r="LM4" s="71">
        <f t="shared" si="85"/>
        <v>0.45</v>
      </c>
      <c r="LN4" s="71">
        <f t="shared" si="85"/>
        <v>0</v>
      </c>
      <c r="LO4" s="71">
        <f t="shared" si="85"/>
        <v>14.1</v>
      </c>
      <c r="LP4" s="71">
        <f t="shared" si="85"/>
        <v>3.65</v>
      </c>
      <c r="LQ4" s="71">
        <f t="shared" si="85"/>
        <v>0.6</v>
      </c>
      <c r="LR4" s="71">
        <f t="shared" si="85"/>
        <v>0</v>
      </c>
      <c r="LS4" s="82" t="s">
        <v>100</v>
      </c>
      <c r="LT4" s="12">
        <f t="shared" ref="LT4" si="86">IF(SUM(LD4,LH4)&gt;0,SUM(LD4,LH4),"")</f>
        <v>17.799999999999997</v>
      </c>
      <c r="LU4" s="12">
        <f t="shared" ref="LU4" si="87">IF(SUM(LD4,LH4,LL4,LP4)&gt;0,SUM(LD4,LH4,LL4,LP4),"")</f>
        <v>26.499999999999996</v>
      </c>
      <c r="LV4" s="12">
        <f t="shared" ref="LV4" si="88">IF(SUM(LC4:LD4,LF4:LH4,LJ4)-SUM(LE4,LI4)&gt;0,SUM(LC4:LD4,LF4:LH4,LJ4)-SUM(LE4,LI4),"")</f>
        <v>70.100000000000009</v>
      </c>
      <c r="LW4" s="12">
        <f t="shared" ref="LW4" si="89">IF(SUM(LK4:LL4,LN4:LP4,LR4)-SUM(LM4,LQ4)&gt;0,SUM(LK4:LL4,LN4:LP4,LR4)-SUM(LM4,LQ4),"")</f>
        <v>35.75</v>
      </c>
      <c r="LX4" s="12">
        <f t="shared" ref="LX4" si="90">IF(SUM(LV4,LW4)&gt;0,SUM(LV4,LW4),"")</f>
        <v>105.85000000000001</v>
      </c>
    </row>
    <row r="5" spans="1:336" x14ac:dyDescent="0.2">
      <c r="A5" s="6">
        <f t="shared" si="0"/>
        <v>2</v>
      </c>
      <c r="B5" s="9" t="s">
        <v>12</v>
      </c>
      <c r="C5" s="5" t="s">
        <v>6</v>
      </c>
      <c r="D5" s="6">
        <v>1996</v>
      </c>
      <c r="E5" s="16">
        <f t="shared" si="1"/>
        <v>214.40000000000003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Excellence</v>
      </c>
      <c r="J5" s="15">
        <f t="shared" si="6"/>
        <v>143.30000000000001</v>
      </c>
      <c r="K5" s="15" t="str">
        <f t="shared" si="7"/>
        <v>2019 Nationals</v>
      </c>
      <c r="L5" s="15">
        <f t="shared" si="8"/>
        <v>71.100000000000009</v>
      </c>
      <c r="M5" s="15" t="str">
        <f t="shared" si="9"/>
        <v>2019 Elite Canada</v>
      </c>
      <c r="N5" s="15" t="str">
        <f t="shared" si="10"/>
        <v/>
      </c>
      <c r="O5" s="27" t="str">
        <f t="shared" si="11"/>
        <v/>
      </c>
      <c r="P5" s="15" t="str">
        <f t="shared" si="12"/>
        <v/>
      </c>
      <c r="Q5" s="71">
        <v>28.5</v>
      </c>
      <c r="R5" s="71">
        <v>8</v>
      </c>
      <c r="S5" s="71">
        <v>0.9</v>
      </c>
      <c r="T5" s="71">
        <v>0</v>
      </c>
      <c r="U5" s="71">
        <v>28.4</v>
      </c>
      <c r="V5" s="71">
        <v>8</v>
      </c>
      <c r="W5" s="71">
        <v>0.9</v>
      </c>
      <c r="X5" s="71">
        <v>0</v>
      </c>
      <c r="Y5" s="71">
        <v>25.7</v>
      </c>
      <c r="Z5" s="71">
        <v>7.7</v>
      </c>
      <c r="AA5" s="71">
        <v>1.2</v>
      </c>
      <c r="AB5" s="71">
        <v>0</v>
      </c>
      <c r="AC5" s="71">
        <v>27.6</v>
      </c>
      <c r="AD5" s="71">
        <v>8.6999999999999993</v>
      </c>
      <c r="AE5" s="71">
        <v>1.2</v>
      </c>
      <c r="AF5" s="71">
        <v>0</v>
      </c>
      <c r="AG5" s="82"/>
      <c r="AH5" s="12">
        <f t="shared" si="13"/>
        <v>16</v>
      </c>
      <c r="AI5" s="12">
        <f t="shared" si="14"/>
        <v>32.4</v>
      </c>
      <c r="AJ5" s="12">
        <f t="shared" si="15"/>
        <v>71.100000000000009</v>
      </c>
      <c r="AK5" s="12">
        <f t="shared" si="16"/>
        <v>67.3</v>
      </c>
      <c r="AL5" s="12">
        <f t="shared" si="17"/>
        <v>138.4</v>
      </c>
      <c r="AM5" s="40">
        <v>28.8</v>
      </c>
      <c r="AN5" s="40">
        <v>8.8000000000000007</v>
      </c>
      <c r="AO5" s="40">
        <v>0</v>
      </c>
      <c r="AP5" s="40">
        <v>0</v>
      </c>
      <c r="AQ5" s="40">
        <v>28.6</v>
      </c>
      <c r="AR5" s="40">
        <v>8.4</v>
      </c>
      <c r="AS5" s="40">
        <v>0.9</v>
      </c>
      <c r="AT5" s="40">
        <v>0</v>
      </c>
      <c r="AU5" s="40">
        <v>28.5</v>
      </c>
      <c r="AV5" s="40">
        <v>7.3</v>
      </c>
      <c r="AW5" s="40">
        <v>0</v>
      </c>
      <c r="AX5" s="40">
        <v>0</v>
      </c>
      <c r="AY5" s="40">
        <v>27.4</v>
      </c>
      <c r="AZ5" s="40">
        <v>7.9</v>
      </c>
      <c r="BA5" s="40">
        <v>1.5</v>
      </c>
      <c r="BB5" s="40">
        <v>0</v>
      </c>
      <c r="BC5" s="83"/>
      <c r="BD5" s="15">
        <f t="shared" si="18"/>
        <v>17.200000000000003</v>
      </c>
      <c r="BE5" s="15">
        <f t="shared" si="19"/>
        <v>32.400000000000006</v>
      </c>
      <c r="BF5" s="15">
        <f t="shared" si="20"/>
        <v>73.7</v>
      </c>
      <c r="BG5" s="15">
        <f t="shared" si="21"/>
        <v>69.599999999999994</v>
      </c>
      <c r="BH5" s="15">
        <f t="shared" si="22"/>
        <v>143.30000000000001</v>
      </c>
      <c r="BI5" s="26" t="str">
        <f t="shared" si="23"/>
        <v/>
      </c>
      <c r="BJ5" s="26" t="str">
        <f t="shared" si="24"/>
        <v/>
      </c>
      <c r="BK5" s="46">
        <v>28</v>
      </c>
      <c r="BL5" s="46">
        <v>8</v>
      </c>
      <c r="BM5" s="46">
        <v>0.3</v>
      </c>
      <c r="BN5" s="46">
        <v>0</v>
      </c>
      <c r="BO5" s="46">
        <v>27.2</v>
      </c>
      <c r="BP5" s="46">
        <v>8</v>
      </c>
      <c r="BQ5" s="46">
        <v>0.9</v>
      </c>
      <c r="BR5" s="46">
        <v>0</v>
      </c>
      <c r="BS5" s="46"/>
      <c r="BT5" s="46"/>
      <c r="BU5" s="46"/>
      <c r="BV5" s="46"/>
      <c r="BW5" s="46"/>
      <c r="BX5" s="46"/>
      <c r="BY5" s="46"/>
      <c r="BZ5" s="46"/>
      <c r="CA5" s="12">
        <f t="shared" si="25"/>
        <v>16</v>
      </c>
      <c r="CB5" s="12">
        <f t="shared" si="26"/>
        <v>16</v>
      </c>
      <c r="CC5" s="12">
        <f t="shared" si="27"/>
        <v>70</v>
      </c>
      <c r="CD5" s="12" t="str">
        <f t="shared" si="28"/>
        <v/>
      </c>
      <c r="CE5" s="12">
        <f t="shared" si="29"/>
        <v>70</v>
      </c>
      <c r="CF5" s="45"/>
      <c r="CG5" s="45"/>
      <c r="CH5" s="45"/>
      <c r="CI5" s="45"/>
      <c r="CJ5" s="45"/>
      <c r="CK5" s="45"/>
      <c r="CL5" s="45"/>
      <c r="CM5" s="45"/>
      <c r="CN5" s="45"/>
      <c r="CO5" s="45"/>
      <c r="CP5" s="45"/>
      <c r="CQ5" s="45"/>
      <c r="CR5" s="45"/>
      <c r="CS5" s="45"/>
      <c r="CT5" s="45"/>
      <c r="CU5" s="45"/>
      <c r="CV5" s="15" t="str">
        <f t="shared" si="30"/>
        <v/>
      </c>
      <c r="CW5" s="15" t="str">
        <f t="shared" si="31"/>
        <v/>
      </c>
      <c r="CX5" s="15" t="str">
        <f t="shared" si="32"/>
        <v/>
      </c>
      <c r="CY5" s="15" t="str">
        <f t="shared" si="33"/>
        <v/>
      </c>
      <c r="CZ5" s="15" t="str">
        <f t="shared" si="34"/>
        <v/>
      </c>
      <c r="DA5" s="46">
        <v>28.2</v>
      </c>
      <c r="DB5" s="46">
        <v>7.2</v>
      </c>
      <c r="DC5" s="46">
        <v>0</v>
      </c>
      <c r="DD5" s="46">
        <v>0</v>
      </c>
      <c r="DE5" s="46">
        <v>27.7</v>
      </c>
      <c r="DF5" s="46">
        <v>8.8000000000000007</v>
      </c>
      <c r="DG5" s="46">
        <v>0.9</v>
      </c>
      <c r="DH5" s="46">
        <v>0</v>
      </c>
      <c r="DI5" s="46">
        <v>28.1</v>
      </c>
      <c r="DJ5" s="46">
        <v>7.6</v>
      </c>
      <c r="DK5" s="46">
        <v>1.5</v>
      </c>
      <c r="DL5" s="46">
        <v>0</v>
      </c>
      <c r="DM5" s="46">
        <v>19.5</v>
      </c>
      <c r="DN5" s="46">
        <v>5.0999999999999996</v>
      </c>
      <c r="DO5" s="46">
        <v>0</v>
      </c>
      <c r="DP5" s="46">
        <v>0</v>
      </c>
      <c r="DQ5" s="12">
        <f t="shared" si="35"/>
        <v>16</v>
      </c>
      <c r="DR5" s="12">
        <f t="shared" si="36"/>
        <v>28.700000000000003</v>
      </c>
      <c r="DS5" s="12">
        <f t="shared" si="37"/>
        <v>70.999999999999986</v>
      </c>
      <c r="DT5" s="12">
        <f t="shared" si="38"/>
        <v>58.800000000000004</v>
      </c>
      <c r="DU5" s="12">
        <f t="shared" si="39"/>
        <v>129.79999999999998</v>
      </c>
      <c r="DV5" s="45">
        <v>0</v>
      </c>
      <c r="DW5" s="45">
        <v>0</v>
      </c>
      <c r="DX5" s="45">
        <v>0</v>
      </c>
      <c r="DY5" s="45">
        <v>0</v>
      </c>
      <c r="DZ5" s="45">
        <v>27.9</v>
      </c>
      <c r="EA5" s="45">
        <v>8.1</v>
      </c>
      <c r="EB5" s="45">
        <v>0</v>
      </c>
      <c r="EC5" s="45">
        <v>0</v>
      </c>
      <c r="ED5" s="45"/>
      <c r="EE5" s="45"/>
      <c r="EF5" s="45"/>
      <c r="EG5" s="45"/>
      <c r="EH5" s="45"/>
      <c r="EI5" s="45"/>
      <c r="EJ5" s="45"/>
      <c r="EK5" s="45"/>
      <c r="EL5" s="15">
        <f t="shared" si="40"/>
        <v>8.1</v>
      </c>
      <c r="EM5" s="15">
        <f t="shared" si="41"/>
        <v>8.1</v>
      </c>
      <c r="EN5" s="15">
        <f t="shared" si="42"/>
        <v>36</v>
      </c>
      <c r="EO5" s="15" t="str">
        <f t="shared" si="43"/>
        <v/>
      </c>
      <c r="EP5" s="15">
        <f t="shared" si="44"/>
        <v>36</v>
      </c>
      <c r="EQ5" s="46"/>
      <c r="ER5" s="46"/>
      <c r="ES5" s="46"/>
      <c r="ET5" s="46"/>
      <c r="EU5" s="46"/>
      <c r="EV5" s="46"/>
      <c r="EW5" s="46"/>
      <c r="EX5" s="46"/>
      <c r="EY5" s="46"/>
      <c r="EZ5" s="46"/>
      <c r="FA5" s="46"/>
      <c r="FB5" s="46"/>
      <c r="FC5" s="46"/>
      <c r="FD5" s="46"/>
      <c r="FE5" s="46"/>
      <c r="FF5" s="46"/>
      <c r="FG5" s="12" t="str">
        <f t="shared" si="45"/>
        <v/>
      </c>
      <c r="FH5" s="12" t="str">
        <f t="shared" si="46"/>
        <v/>
      </c>
      <c r="FI5" s="12" t="str">
        <f t="shared" si="47"/>
        <v/>
      </c>
      <c r="FJ5" s="12" t="str">
        <f t="shared" si="48"/>
        <v/>
      </c>
      <c r="FK5" s="12" t="str">
        <f t="shared" si="49"/>
        <v/>
      </c>
      <c r="FL5" s="45"/>
      <c r="FM5" s="45"/>
      <c r="FN5" s="45"/>
      <c r="FO5" s="45"/>
      <c r="FP5" s="45"/>
      <c r="FQ5" s="45"/>
      <c r="FR5" s="45"/>
      <c r="FS5" s="45"/>
      <c r="FT5" s="45"/>
      <c r="FU5" s="45"/>
      <c r="FV5" s="45"/>
      <c r="FW5" s="45"/>
      <c r="FX5" s="45"/>
      <c r="FY5" s="45"/>
      <c r="FZ5" s="45"/>
      <c r="GA5" s="45"/>
      <c r="GB5" s="15" t="str">
        <f t="shared" si="50"/>
        <v/>
      </c>
      <c r="GC5" s="15" t="str">
        <f t="shared" si="51"/>
        <v/>
      </c>
      <c r="GD5" s="15" t="str">
        <f t="shared" si="52"/>
        <v/>
      </c>
      <c r="GE5" s="15" t="str">
        <f t="shared" si="53"/>
        <v/>
      </c>
      <c r="GF5" s="15" t="str">
        <f t="shared" si="54"/>
        <v/>
      </c>
      <c r="GG5" s="46"/>
      <c r="GH5" s="46"/>
      <c r="GI5" s="46"/>
      <c r="GJ5" s="46"/>
      <c r="GK5" s="46"/>
      <c r="GL5" s="46"/>
      <c r="GM5" s="46"/>
      <c r="GN5" s="46"/>
      <c r="GO5" s="46"/>
      <c r="GP5" s="46"/>
      <c r="GQ5" s="46"/>
      <c r="GR5" s="46"/>
      <c r="GS5" s="46"/>
      <c r="GT5" s="46"/>
      <c r="GU5" s="46"/>
      <c r="GV5" s="46"/>
      <c r="GW5" s="12" t="str">
        <f t="shared" si="55"/>
        <v/>
      </c>
      <c r="GX5" s="12" t="str">
        <f t="shared" si="56"/>
        <v/>
      </c>
      <c r="GY5" s="12" t="str">
        <f t="shared" si="57"/>
        <v/>
      </c>
      <c r="GZ5" s="12" t="str">
        <f t="shared" si="58"/>
        <v/>
      </c>
      <c r="HA5" s="12" t="str">
        <f t="shared" si="59"/>
        <v/>
      </c>
      <c r="HB5" s="45"/>
      <c r="HC5" s="45"/>
      <c r="HD5" s="45"/>
      <c r="HE5" s="45"/>
      <c r="HF5" s="45"/>
      <c r="HG5" s="45"/>
      <c r="HH5" s="45"/>
      <c r="HI5" s="45"/>
      <c r="HJ5" s="45"/>
      <c r="HK5" s="45"/>
      <c r="HL5" s="45"/>
      <c r="HM5" s="45"/>
      <c r="HN5" s="45"/>
      <c r="HO5" s="45"/>
      <c r="HP5" s="45"/>
      <c r="HQ5" s="45"/>
      <c r="HR5" s="15" t="str">
        <f t="shared" si="60"/>
        <v/>
      </c>
      <c r="HS5" s="15" t="str">
        <f t="shared" si="61"/>
        <v/>
      </c>
      <c r="HT5" s="15" t="str">
        <f t="shared" si="62"/>
        <v/>
      </c>
      <c r="HU5" s="15" t="str">
        <f t="shared" si="63"/>
        <v/>
      </c>
      <c r="HV5" s="15" t="str">
        <f t="shared" si="64"/>
        <v/>
      </c>
      <c r="HW5" s="46"/>
      <c r="HX5" s="46"/>
      <c r="HY5" s="46"/>
      <c r="HZ5" s="46"/>
      <c r="IA5" s="46"/>
      <c r="IB5" s="46"/>
      <c r="IC5" s="46"/>
      <c r="ID5" s="46"/>
      <c r="IE5" s="46"/>
      <c r="IF5" s="46"/>
      <c r="IG5" s="46"/>
      <c r="IH5" s="46"/>
      <c r="II5" s="46"/>
      <c r="IJ5" s="46"/>
      <c r="IK5" s="46"/>
      <c r="IL5" s="46"/>
      <c r="IM5" s="12" t="str">
        <f t="shared" si="65"/>
        <v/>
      </c>
      <c r="IN5" s="12" t="str">
        <f t="shared" si="66"/>
        <v/>
      </c>
      <c r="IO5" s="12" t="str">
        <f t="shared" si="67"/>
        <v/>
      </c>
      <c r="IP5" s="12" t="str">
        <f t="shared" si="68"/>
        <v/>
      </c>
      <c r="IQ5" s="12" t="str">
        <f t="shared" si="69"/>
        <v/>
      </c>
      <c r="IR5" s="45"/>
      <c r="IS5" s="45"/>
      <c r="IT5" s="45"/>
      <c r="IU5" s="45"/>
      <c r="IV5" s="45"/>
      <c r="IW5" s="45"/>
      <c r="IX5" s="45"/>
      <c r="IY5" s="45"/>
      <c r="IZ5" s="45"/>
      <c r="JA5" s="45"/>
      <c r="JB5" s="45"/>
      <c r="JC5" s="45"/>
      <c r="JD5" s="45"/>
      <c r="JE5" s="45"/>
      <c r="JF5" s="45"/>
      <c r="JG5" s="45"/>
      <c r="JH5" s="15" t="str">
        <f t="shared" si="70"/>
        <v/>
      </c>
      <c r="JI5" s="15" t="str">
        <f t="shared" si="71"/>
        <v/>
      </c>
      <c r="JJ5" s="15" t="str">
        <f t="shared" si="72"/>
        <v/>
      </c>
      <c r="JK5" s="15" t="str">
        <f t="shared" si="73"/>
        <v/>
      </c>
      <c r="JL5" s="15" t="str">
        <f t="shared" si="74"/>
        <v/>
      </c>
      <c r="JM5" s="46"/>
      <c r="JN5" s="46"/>
      <c r="JO5" s="46"/>
      <c r="JP5" s="46"/>
      <c r="JQ5" s="46"/>
      <c r="JR5" s="46"/>
      <c r="JS5" s="46"/>
      <c r="JT5" s="46"/>
      <c r="JU5" s="46"/>
      <c r="JV5" s="46"/>
      <c r="JW5" s="46"/>
      <c r="JX5" s="46"/>
      <c r="JY5" s="46"/>
      <c r="JZ5" s="46"/>
      <c r="KA5" s="46"/>
      <c r="KB5" s="46"/>
      <c r="KC5" s="12" t="str">
        <f t="shared" si="75"/>
        <v/>
      </c>
      <c r="KD5" s="12" t="str">
        <f t="shared" si="76"/>
        <v/>
      </c>
      <c r="KE5" s="12" t="str">
        <f t="shared" si="77"/>
        <v/>
      </c>
      <c r="KF5" s="12" t="str">
        <f t="shared" si="78"/>
        <v/>
      </c>
      <c r="KG5" s="12" t="str">
        <f t="shared" si="79"/>
        <v/>
      </c>
      <c r="KH5" s="45"/>
      <c r="KI5" s="45"/>
      <c r="KJ5" s="45"/>
      <c r="KK5" s="45"/>
      <c r="KL5" s="45"/>
      <c r="KM5" s="45"/>
      <c r="KN5" s="45"/>
      <c r="KO5" s="45"/>
      <c r="KP5" s="45"/>
      <c r="KQ5" s="45"/>
      <c r="KR5" s="45"/>
      <c r="KS5" s="45"/>
      <c r="KT5" s="45"/>
      <c r="KU5" s="45"/>
      <c r="KV5" s="45"/>
      <c r="KW5" s="45"/>
      <c r="KX5" s="15" t="str">
        <f t="shared" si="80"/>
        <v/>
      </c>
      <c r="KY5" s="15" t="str">
        <f t="shared" si="81"/>
        <v/>
      </c>
      <c r="KZ5" s="15" t="str">
        <f t="shared" si="82"/>
        <v/>
      </c>
      <c r="LA5" s="15" t="str">
        <f t="shared" si="83"/>
        <v/>
      </c>
      <c r="LB5" s="15" t="str">
        <f t="shared" si="84"/>
        <v/>
      </c>
      <c r="LC5" s="71">
        <f t="shared" ref="LC5:LC15" si="91">IF($BC5="P",AM5,(Q5+AM5)/2)</f>
        <v>28.65</v>
      </c>
      <c r="LD5" s="71">
        <f t="shared" si="85"/>
        <v>8.4</v>
      </c>
      <c r="LE5" s="71">
        <f t="shared" si="85"/>
        <v>0.45</v>
      </c>
      <c r="LF5" s="71">
        <f t="shared" si="85"/>
        <v>0</v>
      </c>
      <c r="LG5" s="71">
        <f t="shared" si="85"/>
        <v>28.5</v>
      </c>
      <c r="LH5" s="71">
        <f t="shared" si="85"/>
        <v>8.1999999999999993</v>
      </c>
      <c r="LI5" s="71">
        <f t="shared" si="85"/>
        <v>0.9</v>
      </c>
      <c r="LJ5" s="71">
        <f t="shared" si="85"/>
        <v>0</v>
      </c>
      <c r="LK5" s="71">
        <f t="shared" si="85"/>
        <v>27.1</v>
      </c>
      <c r="LL5" s="71">
        <f t="shared" si="85"/>
        <v>7.5</v>
      </c>
      <c r="LM5" s="71">
        <f t="shared" si="85"/>
        <v>0.6</v>
      </c>
      <c r="LN5" s="71">
        <f t="shared" si="85"/>
        <v>0</v>
      </c>
      <c r="LO5" s="71">
        <f t="shared" si="85"/>
        <v>27.5</v>
      </c>
      <c r="LP5" s="71">
        <f t="shared" si="85"/>
        <v>8.3000000000000007</v>
      </c>
      <c r="LQ5" s="71">
        <f t="shared" si="85"/>
        <v>1.35</v>
      </c>
      <c r="LR5" s="71">
        <f t="shared" si="85"/>
        <v>0</v>
      </c>
      <c r="LS5" s="82" t="s">
        <v>100</v>
      </c>
      <c r="LT5" s="12">
        <f t="shared" ref="LT5:LT15" si="92">IF(SUM(LD5,LH5)&gt;0,SUM(LD5,LH5),"")</f>
        <v>16.600000000000001</v>
      </c>
      <c r="LU5" s="12">
        <f t="shared" ref="LU5:LU15" si="93">IF(SUM(LD5,LH5,LL5,LP5)&gt;0,SUM(LD5,LH5,LL5,LP5),"")</f>
        <v>32.400000000000006</v>
      </c>
      <c r="LV5" s="12">
        <f t="shared" ref="LV5:LV15" si="94">IF(SUM(LC5:LD5,LF5:LH5,LJ5)-SUM(LE5,LI5)&gt;0,SUM(LC5:LD5,LF5:LH5,LJ5)-SUM(LE5,LI5),"")</f>
        <v>72.400000000000006</v>
      </c>
      <c r="LW5" s="12">
        <f t="shared" ref="LW5:LW15" si="95">IF(SUM(LK5:LL5,LN5:LP5,LR5)-SUM(LM5,LQ5)&gt;0,SUM(LK5:LL5,LN5:LP5,LR5)-SUM(LM5,LQ5),"")</f>
        <v>68.45</v>
      </c>
      <c r="LX5" s="12">
        <f t="shared" ref="LX5:LX15" si="96">IF(SUM(LV5,LW5)&gt;0,SUM(LV5,LW5),"")</f>
        <v>140.85000000000002</v>
      </c>
    </row>
    <row r="6" spans="1:336" x14ac:dyDescent="0.2">
      <c r="A6" s="6">
        <f t="shared" si="0"/>
        <v>3</v>
      </c>
      <c r="B6" s="9" t="s">
        <v>11</v>
      </c>
      <c r="C6" s="5" t="s">
        <v>5</v>
      </c>
      <c r="D6" s="6">
        <v>1994</v>
      </c>
      <c r="E6" s="16">
        <f t="shared" si="1"/>
        <v>210.59999999999997</v>
      </c>
      <c r="F6" s="4" t="str">
        <f t="shared" si="2"/>
        <v>P</v>
      </c>
      <c r="G6" s="4" t="str">
        <f t="shared" si="3"/>
        <v/>
      </c>
      <c r="H6" s="4" t="str">
        <f t="shared" si="4"/>
        <v>P</v>
      </c>
      <c r="I6" t="str">
        <f t="shared" si="5"/>
        <v>National Team</v>
      </c>
      <c r="J6" s="15">
        <f t="shared" si="6"/>
        <v>140.69999999999999</v>
      </c>
      <c r="K6" s="15" t="str">
        <f t="shared" si="7"/>
        <v>2019 Nationals</v>
      </c>
      <c r="L6" s="15">
        <f t="shared" si="8"/>
        <v>69.899999999999991</v>
      </c>
      <c r="M6" s="15" t="str">
        <f t="shared" si="9"/>
        <v>2019 Elite Canada</v>
      </c>
      <c r="N6" s="15" t="str">
        <f t="shared" si="10"/>
        <v/>
      </c>
      <c r="O6" s="27" t="str">
        <f t="shared" si="11"/>
        <v/>
      </c>
      <c r="P6" s="15" t="str">
        <f t="shared" si="12"/>
        <v/>
      </c>
      <c r="Q6" s="71">
        <v>27.6</v>
      </c>
      <c r="R6" s="71">
        <v>7.6</v>
      </c>
      <c r="S6" s="71">
        <v>0.9</v>
      </c>
      <c r="T6" s="71">
        <v>0</v>
      </c>
      <c r="U6" s="71">
        <v>28.4</v>
      </c>
      <c r="V6" s="71">
        <v>7.2</v>
      </c>
      <c r="W6" s="71">
        <v>0</v>
      </c>
      <c r="X6" s="71">
        <v>0</v>
      </c>
      <c r="Y6" s="71">
        <v>28.2</v>
      </c>
      <c r="Z6" s="71">
        <v>4.4000000000000004</v>
      </c>
      <c r="AA6" s="71">
        <v>2.5</v>
      </c>
      <c r="AB6" s="71">
        <v>0</v>
      </c>
      <c r="AC6" s="71">
        <v>28</v>
      </c>
      <c r="AD6" s="71">
        <v>6.8</v>
      </c>
      <c r="AE6" s="71">
        <v>1.2</v>
      </c>
      <c r="AF6" s="71">
        <v>0</v>
      </c>
      <c r="AG6" s="82"/>
      <c r="AH6" s="12">
        <f t="shared" si="13"/>
        <v>14.8</v>
      </c>
      <c r="AI6" s="12">
        <f t="shared" si="14"/>
        <v>26.000000000000004</v>
      </c>
      <c r="AJ6" s="12">
        <f t="shared" si="15"/>
        <v>69.899999999999991</v>
      </c>
      <c r="AK6" s="12">
        <f t="shared" si="16"/>
        <v>63.7</v>
      </c>
      <c r="AL6" s="12">
        <f t="shared" si="17"/>
        <v>133.6</v>
      </c>
      <c r="AM6" s="40">
        <v>28.6</v>
      </c>
      <c r="AN6" s="40">
        <v>7.3</v>
      </c>
      <c r="AO6" s="40">
        <v>0</v>
      </c>
      <c r="AP6" s="40">
        <v>0</v>
      </c>
      <c r="AQ6" s="40">
        <v>28.3</v>
      </c>
      <c r="AR6" s="40">
        <v>8.4</v>
      </c>
      <c r="AS6" s="40">
        <v>0.9</v>
      </c>
      <c r="AT6" s="40">
        <v>0</v>
      </c>
      <c r="AU6" s="40">
        <v>28.2</v>
      </c>
      <c r="AV6" s="40">
        <v>7.2</v>
      </c>
      <c r="AW6" s="40">
        <v>0</v>
      </c>
      <c r="AX6" s="40">
        <v>0</v>
      </c>
      <c r="AY6" s="40">
        <v>28</v>
      </c>
      <c r="AZ6" s="40">
        <v>6.8</v>
      </c>
      <c r="BA6" s="40">
        <v>1.2</v>
      </c>
      <c r="BB6" s="40">
        <v>0</v>
      </c>
      <c r="BC6" s="83"/>
      <c r="BD6" s="15">
        <f t="shared" si="18"/>
        <v>15.7</v>
      </c>
      <c r="BE6" s="15">
        <f t="shared" si="19"/>
        <v>29.7</v>
      </c>
      <c r="BF6" s="15">
        <f t="shared" si="20"/>
        <v>71.7</v>
      </c>
      <c r="BG6" s="15">
        <f t="shared" si="21"/>
        <v>69</v>
      </c>
      <c r="BH6" s="15">
        <f t="shared" si="22"/>
        <v>140.69999999999999</v>
      </c>
      <c r="BI6" s="26" t="str">
        <f t="shared" si="23"/>
        <v/>
      </c>
      <c r="BJ6" s="26" t="str">
        <f t="shared" si="24"/>
        <v/>
      </c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  <c r="BW6" s="46"/>
      <c r="BX6" s="46"/>
      <c r="BY6" s="46"/>
      <c r="BZ6" s="46"/>
      <c r="CA6" s="12" t="str">
        <f t="shared" si="25"/>
        <v/>
      </c>
      <c r="CB6" s="12" t="str">
        <f t="shared" si="26"/>
        <v/>
      </c>
      <c r="CC6" s="12" t="str">
        <f t="shared" si="27"/>
        <v/>
      </c>
      <c r="CD6" s="12" t="str">
        <f t="shared" si="28"/>
        <v/>
      </c>
      <c r="CE6" s="12" t="str">
        <f t="shared" si="29"/>
        <v/>
      </c>
      <c r="CF6" s="45"/>
      <c r="CG6" s="45"/>
      <c r="CH6" s="45"/>
      <c r="CI6" s="45"/>
      <c r="CJ6" s="45"/>
      <c r="CK6" s="45"/>
      <c r="CL6" s="45"/>
      <c r="CM6" s="45"/>
      <c r="CN6" s="45"/>
      <c r="CO6" s="45"/>
      <c r="CP6" s="45"/>
      <c r="CQ6" s="45"/>
      <c r="CR6" s="45"/>
      <c r="CS6" s="45"/>
      <c r="CT6" s="45"/>
      <c r="CU6" s="45"/>
      <c r="CV6" s="15" t="str">
        <f t="shared" si="30"/>
        <v/>
      </c>
      <c r="CW6" s="15" t="str">
        <f t="shared" si="31"/>
        <v/>
      </c>
      <c r="CX6" s="15" t="str">
        <f t="shared" si="32"/>
        <v/>
      </c>
      <c r="CY6" s="15" t="str">
        <f t="shared" si="33"/>
        <v/>
      </c>
      <c r="CZ6" s="15" t="str">
        <f t="shared" si="34"/>
        <v/>
      </c>
      <c r="DA6" s="46"/>
      <c r="DB6" s="46"/>
      <c r="DC6" s="46"/>
      <c r="DD6" s="46"/>
      <c r="DE6" s="46"/>
      <c r="DF6" s="46"/>
      <c r="DG6" s="46"/>
      <c r="DH6" s="46"/>
      <c r="DI6" s="46"/>
      <c r="DJ6" s="46"/>
      <c r="DK6" s="46"/>
      <c r="DL6" s="46"/>
      <c r="DM6" s="46"/>
      <c r="DN6" s="46"/>
      <c r="DO6" s="46"/>
      <c r="DP6" s="46"/>
      <c r="DQ6" s="12" t="str">
        <f t="shared" si="35"/>
        <v/>
      </c>
      <c r="DR6" s="12" t="str">
        <f t="shared" si="36"/>
        <v/>
      </c>
      <c r="DS6" s="12" t="str">
        <f t="shared" si="37"/>
        <v/>
      </c>
      <c r="DT6" s="12" t="str">
        <f t="shared" si="38"/>
        <v/>
      </c>
      <c r="DU6" s="12" t="str">
        <f t="shared" si="39"/>
        <v/>
      </c>
      <c r="DV6" s="45">
        <v>27.3</v>
      </c>
      <c r="DW6" s="45">
        <v>7.6</v>
      </c>
      <c r="DX6" s="45">
        <v>0</v>
      </c>
      <c r="DY6" s="45">
        <v>0</v>
      </c>
      <c r="DZ6" s="45">
        <v>28.4</v>
      </c>
      <c r="EA6" s="45">
        <v>6.4</v>
      </c>
      <c r="EB6" s="45">
        <v>0</v>
      </c>
      <c r="EC6" s="45">
        <v>0</v>
      </c>
      <c r="ED6" s="45"/>
      <c r="EE6" s="45"/>
      <c r="EF6" s="45"/>
      <c r="EG6" s="45"/>
      <c r="EH6" s="45"/>
      <c r="EI6" s="45"/>
      <c r="EJ6" s="45"/>
      <c r="EK6" s="45"/>
      <c r="EL6" s="15">
        <f t="shared" si="40"/>
        <v>14</v>
      </c>
      <c r="EM6" s="15">
        <f t="shared" si="41"/>
        <v>14</v>
      </c>
      <c r="EN6" s="15">
        <f t="shared" si="42"/>
        <v>69.7</v>
      </c>
      <c r="EO6" s="15" t="str">
        <f t="shared" si="43"/>
        <v/>
      </c>
      <c r="EP6" s="15">
        <f t="shared" si="44"/>
        <v>69.7</v>
      </c>
      <c r="EQ6" s="46"/>
      <c r="ER6" s="46"/>
      <c r="ES6" s="46"/>
      <c r="ET6" s="46"/>
      <c r="EU6" s="46"/>
      <c r="EV6" s="46"/>
      <c r="EW6" s="46"/>
      <c r="EX6" s="46"/>
      <c r="EY6" s="46"/>
      <c r="EZ6" s="46"/>
      <c r="FA6" s="46"/>
      <c r="FB6" s="46"/>
      <c r="FC6" s="46"/>
      <c r="FD6" s="46"/>
      <c r="FE6" s="46"/>
      <c r="FF6" s="46"/>
      <c r="FG6" s="12" t="str">
        <f t="shared" si="45"/>
        <v/>
      </c>
      <c r="FH6" s="12" t="str">
        <f t="shared" si="46"/>
        <v/>
      </c>
      <c r="FI6" s="12" t="str">
        <f t="shared" si="47"/>
        <v/>
      </c>
      <c r="FJ6" s="12" t="str">
        <f t="shared" si="48"/>
        <v/>
      </c>
      <c r="FK6" s="12" t="str">
        <f t="shared" si="49"/>
        <v/>
      </c>
      <c r="FL6" s="45"/>
      <c r="FM6" s="45"/>
      <c r="FN6" s="45"/>
      <c r="FO6" s="45"/>
      <c r="FP6" s="45"/>
      <c r="FQ6" s="45"/>
      <c r="FR6" s="45"/>
      <c r="FS6" s="45"/>
      <c r="FT6" s="45"/>
      <c r="FU6" s="45"/>
      <c r="FV6" s="45"/>
      <c r="FW6" s="45"/>
      <c r="FX6" s="45"/>
      <c r="FY6" s="45"/>
      <c r="FZ6" s="45"/>
      <c r="GA6" s="45"/>
      <c r="GB6" s="15" t="str">
        <f t="shared" si="50"/>
        <v/>
      </c>
      <c r="GC6" s="15" t="str">
        <f t="shared" si="51"/>
        <v/>
      </c>
      <c r="GD6" s="15" t="str">
        <f t="shared" si="52"/>
        <v/>
      </c>
      <c r="GE6" s="15" t="str">
        <f t="shared" si="53"/>
        <v/>
      </c>
      <c r="GF6" s="15" t="str">
        <f t="shared" si="54"/>
        <v/>
      </c>
      <c r="GG6" s="46"/>
      <c r="GH6" s="46"/>
      <c r="GI6" s="46"/>
      <c r="GJ6" s="46"/>
      <c r="GK6" s="46"/>
      <c r="GL6" s="46"/>
      <c r="GM6" s="46"/>
      <c r="GN6" s="46"/>
      <c r="GO6" s="46"/>
      <c r="GP6" s="46"/>
      <c r="GQ6" s="46"/>
      <c r="GR6" s="46"/>
      <c r="GS6" s="46"/>
      <c r="GT6" s="46"/>
      <c r="GU6" s="46"/>
      <c r="GV6" s="46"/>
      <c r="GW6" s="12" t="str">
        <f t="shared" si="55"/>
        <v/>
      </c>
      <c r="GX6" s="12" t="str">
        <f t="shared" si="56"/>
        <v/>
      </c>
      <c r="GY6" s="12" t="str">
        <f t="shared" si="57"/>
        <v/>
      </c>
      <c r="GZ6" s="12" t="str">
        <f t="shared" si="58"/>
        <v/>
      </c>
      <c r="HA6" s="12" t="str">
        <f t="shared" si="59"/>
        <v/>
      </c>
      <c r="HB6" s="45"/>
      <c r="HC6" s="45"/>
      <c r="HD6" s="45"/>
      <c r="HE6" s="45"/>
      <c r="HF6" s="45"/>
      <c r="HG6" s="45"/>
      <c r="HH6" s="45"/>
      <c r="HI6" s="45"/>
      <c r="HJ6" s="45"/>
      <c r="HK6" s="45"/>
      <c r="HL6" s="45"/>
      <c r="HM6" s="45"/>
      <c r="HN6" s="45"/>
      <c r="HO6" s="45"/>
      <c r="HP6" s="45"/>
      <c r="HQ6" s="45"/>
      <c r="HR6" s="15" t="str">
        <f t="shared" si="60"/>
        <v/>
      </c>
      <c r="HS6" s="15" t="str">
        <f t="shared" si="61"/>
        <v/>
      </c>
      <c r="HT6" s="15" t="str">
        <f t="shared" si="62"/>
        <v/>
      </c>
      <c r="HU6" s="15" t="str">
        <f t="shared" si="63"/>
        <v/>
      </c>
      <c r="HV6" s="15" t="str">
        <f t="shared" si="64"/>
        <v/>
      </c>
      <c r="HW6" s="46"/>
      <c r="HX6" s="46"/>
      <c r="HY6" s="46"/>
      <c r="HZ6" s="46"/>
      <c r="IA6" s="46"/>
      <c r="IB6" s="46"/>
      <c r="IC6" s="46"/>
      <c r="ID6" s="46"/>
      <c r="IE6" s="46"/>
      <c r="IF6" s="46"/>
      <c r="IG6" s="46"/>
      <c r="IH6" s="46"/>
      <c r="II6" s="46"/>
      <c r="IJ6" s="46"/>
      <c r="IK6" s="46"/>
      <c r="IL6" s="46"/>
      <c r="IM6" s="12" t="str">
        <f t="shared" si="65"/>
        <v/>
      </c>
      <c r="IN6" s="12" t="str">
        <f t="shared" si="66"/>
        <v/>
      </c>
      <c r="IO6" s="12" t="str">
        <f t="shared" si="67"/>
        <v/>
      </c>
      <c r="IP6" s="12" t="str">
        <f t="shared" si="68"/>
        <v/>
      </c>
      <c r="IQ6" s="12" t="str">
        <f t="shared" si="69"/>
        <v/>
      </c>
      <c r="IR6" s="45"/>
      <c r="IS6" s="45"/>
      <c r="IT6" s="45"/>
      <c r="IU6" s="45"/>
      <c r="IV6" s="45"/>
      <c r="IW6" s="45"/>
      <c r="IX6" s="45"/>
      <c r="IY6" s="45"/>
      <c r="IZ6" s="45"/>
      <c r="JA6" s="45"/>
      <c r="JB6" s="45"/>
      <c r="JC6" s="45"/>
      <c r="JD6" s="45"/>
      <c r="JE6" s="45"/>
      <c r="JF6" s="45"/>
      <c r="JG6" s="45"/>
      <c r="JH6" s="15" t="str">
        <f t="shared" si="70"/>
        <v/>
      </c>
      <c r="JI6" s="15" t="str">
        <f t="shared" si="71"/>
        <v/>
      </c>
      <c r="JJ6" s="15" t="str">
        <f t="shared" si="72"/>
        <v/>
      </c>
      <c r="JK6" s="15" t="str">
        <f t="shared" si="73"/>
        <v/>
      </c>
      <c r="JL6" s="15" t="str">
        <f t="shared" si="74"/>
        <v/>
      </c>
      <c r="JM6" s="46"/>
      <c r="JN6" s="46"/>
      <c r="JO6" s="46"/>
      <c r="JP6" s="46"/>
      <c r="JQ6" s="46"/>
      <c r="JR6" s="46"/>
      <c r="JS6" s="46"/>
      <c r="JT6" s="46"/>
      <c r="JU6" s="46"/>
      <c r="JV6" s="46"/>
      <c r="JW6" s="46"/>
      <c r="JX6" s="46"/>
      <c r="JY6" s="46"/>
      <c r="JZ6" s="46"/>
      <c r="KA6" s="46"/>
      <c r="KB6" s="46"/>
      <c r="KC6" s="12" t="str">
        <f t="shared" si="75"/>
        <v/>
      </c>
      <c r="KD6" s="12" t="str">
        <f t="shared" si="76"/>
        <v/>
      </c>
      <c r="KE6" s="12" t="str">
        <f t="shared" si="77"/>
        <v/>
      </c>
      <c r="KF6" s="12" t="str">
        <f t="shared" si="78"/>
        <v/>
      </c>
      <c r="KG6" s="12" t="str">
        <f t="shared" si="79"/>
        <v/>
      </c>
      <c r="KH6" s="45"/>
      <c r="KI6" s="45"/>
      <c r="KJ6" s="45"/>
      <c r="KK6" s="45"/>
      <c r="KL6" s="45"/>
      <c r="KM6" s="45"/>
      <c r="KN6" s="45"/>
      <c r="KO6" s="45"/>
      <c r="KP6" s="45"/>
      <c r="KQ6" s="45"/>
      <c r="KR6" s="45"/>
      <c r="KS6" s="45"/>
      <c r="KT6" s="45"/>
      <c r="KU6" s="45"/>
      <c r="KV6" s="45"/>
      <c r="KW6" s="45"/>
      <c r="KX6" s="15" t="str">
        <f t="shared" si="80"/>
        <v/>
      </c>
      <c r="KY6" s="15" t="str">
        <f t="shared" si="81"/>
        <v/>
      </c>
      <c r="KZ6" s="15" t="str">
        <f t="shared" si="82"/>
        <v/>
      </c>
      <c r="LA6" s="15" t="str">
        <f t="shared" si="83"/>
        <v/>
      </c>
      <c r="LB6" s="15" t="str">
        <f t="shared" si="84"/>
        <v/>
      </c>
      <c r="LC6" s="71">
        <f t="shared" si="91"/>
        <v>28.1</v>
      </c>
      <c r="LD6" s="71">
        <f t="shared" si="85"/>
        <v>7.4499999999999993</v>
      </c>
      <c r="LE6" s="71">
        <f t="shared" si="85"/>
        <v>0.45</v>
      </c>
      <c r="LF6" s="71">
        <f t="shared" si="85"/>
        <v>0</v>
      </c>
      <c r="LG6" s="71">
        <f t="shared" si="85"/>
        <v>28.35</v>
      </c>
      <c r="LH6" s="71">
        <f t="shared" si="85"/>
        <v>7.8000000000000007</v>
      </c>
      <c r="LI6" s="71">
        <f t="shared" si="85"/>
        <v>0.45</v>
      </c>
      <c r="LJ6" s="71">
        <f t="shared" si="85"/>
        <v>0</v>
      </c>
      <c r="LK6" s="71">
        <f t="shared" si="85"/>
        <v>28.2</v>
      </c>
      <c r="LL6" s="71">
        <f t="shared" si="85"/>
        <v>5.8000000000000007</v>
      </c>
      <c r="LM6" s="71">
        <f t="shared" si="85"/>
        <v>1.25</v>
      </c>
      <c r="LN6" s="71">
        <f t="shared" si="85"/>
        <v>0</v>
      </c>
      <c r="LO6" s="71">
        <f t="shared" si="85"/>
        <v>28</v>
      </c>
      <c r="LP6" s="71">
        <f t="shared" si="85"/>
        <v>6.8</v>
      </c>
      <c r="LQ6" s="71">
        <f t="shared" si="85"/>
        <v>1.2</v>
      </c>
      <c r="LR6" s="71">
        <f t="shared" si="85"/>
        <v>0</v>
      </c>
      <c r="LS6" s="82" t="s">
        <v>100</v>
      </c>
      <c r="LT6" s="12">
        <f t="shared" si="92"/>
        <v>15.25</v>
      </c>
      <c r="LU6" s="12">
        <f t="shared" si="93"/>
        <v>27.85</v>
      </c>
      <c r="LV6" s="12">
        <f t="shared" si="94"/>
        <v>70.8</v>
      </c>
      <c r="LW6" s="12">
        <f t="shared" si="95"/>
        <v>66.349999999999994</v>
      </c>
      <c r="LX6" s="12">
        <f t="shared" si="96"/>
        <v>137.14999999999998</v>
      </c>
    </row>
    <row r="7" spans="1:336" x14ac:dyDescent="0.2">
      <c r="A7" s="6">
        <f t="shared" si="0"/>
        <v>4</v>
      </c>
      <c r="B7" s="9" t="s">
        <v>169</v>
      </c>
      <c r="C7" s="5" t="s">
        <v>10</v>
      </c>
      <c r="D7" s="6">
        <v>2000</v>
      </c>
      <c r="E7" s="16">
        <f t="shared" si="1"/>
        <v>207.89999999999998</v>
      </c>
      <c r="F7" s="4" t="str">
        <f t="shared" si="2"/>
        <v>P</v>
      </c>
      <c r="G7" s="4" t="str">
        <f t="shared" si="3"/>
        <v/>
      </c>
      <c r="H7" s="4" t="str">
        <f t="shared" si="4"/>
        <v>P</v>
      </c>
      <c r="I7" t="str">
        <f t="shared" si="5"/>
        <v>National Team</v>
      </c>
      <c r="J7" s="15">
        <f t="shared" si="6"/>
        <v>136.89999999999998</v>
      </c>
      <c r="K7" s="15" t="str">
        <f t="shared" si="7"/>
        <v>2019 Nationals</v>
      </c>
      <c r="L7" s="15">
        <f t="shared" si="8"/>
        <v>50.7</v>
      </c>
      <c r="M7" s="15" t="str">
        <f t="shared" si="9"/>
        <v>2019 Elite Canada</v>
      </c>
      <c r="N7" s="15">
        <f t="shared" si="10"/>
        <v>20.299999999999997</v>
      </c>
      <c r="O7" s="27" t="str">
        <f t="shared" si="11"/>
        <v>(2 Pass)</v>
      </c>
      <c r="P7" s="15" t="str">
        <f t="shared" si="12"/>
        <v>2019 World Cup ESP (Oct 6)</v>
      </c>
      <c r="Q7" s="71">
        <v>27.6</v>
      </c>
      <c r="R7" s="71">
        <v>4.5999999999999996</v>
      </c>
      <c r="S7" s="71">
        <v>4.7</v>
      </c>
      <c r="T7" s="71">
        <v>0</v>
      </c>
      <c r="U7" s="71">
        <v>20</v>
      </c>
      <c r="V7" s="71">
        <v>3.2</v>
      </c>
      <c r="W7" s="71">
        <v>0</v>
      </c>
      <c r="X7" s="71">
        <v>0</v>
      </c>
      <c r="Y7" s="71"/>
      <c r="Z7" s="71"/>
      <c r="AA7" s="71"/>
      <c r="AB7" s="71"/>
      <c r="AC7" s="71"/>
      <c r="AD7" s="71"/>
      <c r="AE7" s="71"/>
      <c r="AF7" s="71"/>
      <c r="AG7" s="82"/>
      <c r="AH7" s="12">
        <f t="shared" si="13"/>
        <v>7.8</v>
      </c>
      <c r="AI7" s="12">
        <f t="shared" si="14"/>
        <v>7.8</v>
      </c>
      <c r="AJ7" s="12">
        <f t="shared" si="15"/>
        <v>50.7</v>
      </c>
      <c r="AK7" s="12" t="str">
        <f t="shared" si="16"/>
        <v/>
      </c>
      <c r="AL7" s="12">
        <f t="shared" si="17"/>
        <v>50.7</v>
      </c>
      <c r="AM7" s="40">
        <v>28.7</v>
      </c>
      <c r="AN7" s="40">
        <v>8</v>
      </c>
      <c r="AO7" s="40">
        <v>0</v>
      </c>
      <c r="AP7" s="40">
        <v>0</v>
      </c>
      <c r="AQ7" s="40">
        <v>27.9</v>
      </c>
      <c r="AR7" s="40">
        <v>7.6</v>
      </c>
      <c r="AS7" s="40">
        <v>1.2</v>
      </c>
      <c r="AT7" s="40">
        <v>0</v>
      </c>
      <c r="AU7" s="40">
        <v>28.5</v>
      </c>
      <c r="AV7" s="40">
        <v>8</v>
      </c>
      <c r="AW7" s="40">
        <v>0.9</v>
      </c>
      <c r="AX7" s="40">
        <v>0</v>
      </c>
      <c r="AY7" s="40">
        <v>24.4</v>
      </c>
      <c r="AZ7" s="40">
        <v>7.4</v>
      </c>
      <c r="BA7" s="40">
        <v>1.5</v>
      </c>
      <c r="BB7" s="40">
        <v>0</v>
      </c>
      <c r="BC7" s="83"/>
      <c r="BD7" s="15">
        <f t="shared" si="18"/>
        <v>15.6</v>
      </c>
      <c r="BE7" s="15">
        <f t="shared" si="19"/>
        <v>31</v>
      </c>
      <c r="BF7" s="15">
        <f t="shared" si="20"/>
        <v>70.999999999999986</v>
      </c>
      <c r="BG7" s="15">
        <f t="shared" si="21"/>
        <v>65.899999999999991</v>
      </c>
      <c r="BH7" s="15">
        <f t="shared" si="22"/>
        <v>136.89999999999998</v>
      </c>
      <c r="BI7" s="26" t="str">
        <f t="shared" si="23"/>
        <v/>
      </c>
      <c r="BJ7" s="26">
        <f t="shared" si="24"/>
        <v>20.299999999999997</v>
      </c>
      <c r="BK7" s="46"/>
      <c r="BL7" s="46"/>
      <c r="BM7" s="46"/>
      <c r="BN7" s="46"/>
      <c r="BO7" s="46"/>
      <c r="BP7" s="46"/>
      <c r="BQ7" s="46"/>
      <c r="BR7" s="46"/>
      <c r="BS7" s="46"/>
      <c r="BT7" s="46"/>
      <c r="BU7" s="46"/>
      <c r="BV7" s="46"/>
      <c r="BW7" s="46"/>
      <c r="BX7" s="46"/>
      <c r="BY7" s="46"/>
      <c r="BZ7" s="46"/>
      <c r="CA7" s="12" t="str">
        <f t="shared" si="25"/>
        <v/>
      </c>
      <c r="CB7" s="12" t="str">
        <f t="shared" si="26"/>
        <v/>
      </c>
      <c r="CC7" s="12" t="str">
        <f t="shared" si="27"/>
        <v/>
      </c>
      <c r="CD7" s="12" t="str">
        <f t="shared" si="28"/>
        <v/>
      </c>
      <c r="CE7" s="12" t="str">
        <f t="shared" si="29"/>
        <v/>
      </c>
      <c r="CF7" s="45"/>
      <c r="CG7" s="45"/>
      <c r="CH7" s="45"/>
      <c r="CI7" s="45"/>
      <c r="CJ7" s="45"/>
      <c r="CK7" s="45"/>
      <c r="CL7" s="45"/>
      <c r="CM7" s="45"/>
      <c r="CN7" s="45"/>
      <c r="CO7" s="45"/>
      <c r="CP7" s="45"/>
      <c r="CQ7" s="45"/>
      <c r="CR7" s="45"/>
      <c r="CS7" s="45"/>
      <c r="CT7" s="45"/>
      <c r="CU7" s="45"/>
      <c r="CV7" s="15" t="str">
        <f t="shared" si="30"/>
        <v/>
      </c>
      <c r="CW7" s="15" t="str">
        <f t="shared" si="31"/>
        <v/>
      </c>
      <c r="CX7" s="15" t="str">
        <f t="shared" si="32"/>
        <v/>
      </c>
      <c r="CY7" s="15" t="str">
        <f t="shared" si="33"/>
        <v/>
      </c>
      <c r="CZ7" s="15" t="str">
        <f t="shared" si="34"/>
        <v/>
      </c>
      <c r="DA7" s="46">
        <v>27.4</v>
      </c>
      <c r="DB7" s="46">
        <v>6.8</v>
      </c>
      <c r="DC7" s="46">
        <v>1.2</v>
      </c>
      <c r="DD7" s="46">
        <v>0</v>
      </c>
      <c r="DE7" s="46">
        <v>27.2</v>
      </c>
      <c r="DF7" s="46">
        <v>7.6</v>
      </c>
      <c r="DG7" s="46">
        <v>0.3</v>
      </c>
      <c r="DH7" s="46">
        <v>0</v>
      </c>
      <c r="DI7" s="46"/>
      <c r="DJ7" s="46"/>
      <c r="DK7" s="46"/>
      <c r="DL7" s="46"/>
      <c r="DM7" s="46"/>
      <c r="DN7" s="46"/>
      <c r="DO7" s="46"/>
      <c r="DP7" s="46"/>
      <c r="DQ7" s="12">
        <f t="shared" si="35"/>
        <v>14.399999999999999</v>
      </c>
      <c r="DR7" s="12">
        <f t="shared" si="36"/>
        <v>14.399999999999999</v>
      </c>
      <c r="DS7" s="12">
        <f t="shared" si="37"/>
        <v>67.499999999999986</v>
      </c>
      <c r="DT7" s="12" t="str">
        <f t="shared" si="38"/>
        <v/>
      </c>
      <c r="DU7" s="12">
        <f t="shared" si="39"/>
        <v>67.499999999999986</v>
      </c>
      <c r="DV7" s="45">
        <v>28.5</v>
      </c>
      <c r="DW7" s="45">
        <v>8</v>
      </c>
      <c r="DX7" s="45">
        <v>0</v>
      </c>
      <c r="DY7" s="45">
        <v>0</v>
      </c>
      <c r="DZ7" s="45">
        <v>27.3</v>
      </c>
      <c r="EA7" s="45">
        <v>7.2</v>
      </c>
      <c r="EB7" s="45">
        <v>0</v>
      </c>
      <c r="EC7" s="45">
        <v>0</v>
      </c>
      <c r="ED7" s="45">
        <v>27.3</v>
      </c>
      <c r="EE7" s="45">
        <v>8.4</v>
      </c>
      <c r="EF7" s="45">
        <v>0</v>
      </c>
      <c r="EG7" s="45">
        <v>0</v>
      </c>
      <c r="EH7" s="45">
        <v>0</v>
      </c>
      <c r="EI7" s="45">
        <v>0</v>
      </c>
      <c r="EJ7" s="45">
        <v>0</v>
      </c>
      <c r="EK7" s="45">
        <v>0</v>
      </c>
      <c r="EL7" s="15">
        <f t="shared" si="40"/>
        <v>15.2</v>
      </c>
      <c r="EM7" s="15">
        <f t="shared" si="41"/>
        <v>23.6</v>
      </c>
      <c r="EN7" s="15">
        <f t="shared" si="42"/>
        <v>71</v>
      </c>
      <c r="EO7" s="15">
        <f t="shared" si="43"/>
        <v>35.700000000000003</v>
      </c>
      <c r="EP7" s="15">
        <f t="shared" si="44"/>
        <v>106.7</v>
      </c>
      <c r="EQ7" s="46"/>
      <c r="ER7" s="46"/>
      <c r="ES7" s="46"/>
      <c r="ET7" s="46"/>
      <c r="EU7" s="46"/>
      <c r="EV7" s="46"/>
      <c r="EW7" s="46"/>
      <c r="EX7" s="46"/>
      <c r="EY7" s="46"/>
      <c r="EZ7" s="46"/>
      <c r="FA7" s="46"/>
      <c r="FB7" s="46"/>
      <c r="FC7" s="46"/>
      <c r="FD7" s="46"/>
      <c r="FE7" s="46"/>
      <c r="FF7" s="46"/>
      <c r="FG7" s="12" t="str">
        <f t="shared" si="45"/>
        <v/>
      </c>
      <c r="FH7" s="12" t="str">
        <f t="shared" si="46"/>
        <v/>
      </c>
      <c r="FI7" s="12" t="str">
        <f t="shared" si="47"/>
        <v/>
      </c>
      <c r="FJ7" s="12" t="str">
        <f t="shared" si="48"/>
        <v/>
      </c>
      <c r="FK7" s="12" t="str">
        <f t="shared" si="49"/>
        <v/>
      </c>
      <c r="FL7" s="45"/>
      <c r="FM7" s="45"/>
      <c r="FN7" s="45"/>
      <c r="FO7" s="45"/>
      <c r="FP7" s="45"/>
      <c r="FQ7" s="45"/>
      <c r="FR7" s="45"/>
      <c r="FS7" s="45"/>
      <c r="FT7" s="45"/>
      <c r="FU7" s="45"/>
      <c r="FV7" s="45"/>
      <c r="FW7" s="45"/>
      <c r="FX7" s="45"/>
      <c r="FY7" s="45"/>
      <c r="FZ7" s="45"/>
      <c r="GA7" s="45"/>
      <c r="GB7" s="15" t="str">
        <f t="shared" si="50"/>
        <v/>
      </c>
      <c r="GC7" s="15" t="str">
        <f t="shared" si="51"/>
        <v/>
      </c>
      <c r="GD7" s="15" t="str">
        <f t="shared" si="52"/>
        <v/>
      </c>
      <c r="GE7" s="15" t="str">
        <f t="shared" si="53"/>
        <v/>
      </c>
      <c r="GF7" s="15" t="str">
        <f t="shared" si="54"/>
        <v/>
      </c>
      <c r="GG7" s="46"/>
      <c r="GH7" s="46"/>
      <c r="GI7" s="46"/>
      <c r="GJ7" s="46"/>
      <c r="GK7" s="46"/>
      <c r="GL7" s="46"/>
      <c r="GM7" s="46"/>
      <c r="GN7" s="46"/>
      <c r="GO7" s="46"/>
      <c r="GP7" s="46"/>
      <c r="GQ7" s="46"/>
      <c r="GR7" s="46"/>
      <c r="GS7" s="46"/>
      <c r="GT7" s="46"/>
      <c r="GU7" s="46"/>
      <c r="GV7" s="46"/>
      <c r="GW7" s="12" t="str">
        <f t="shared" si="55"/>
        <v/>
      </c>
      <c r="GX7" s="12" t="str">
        <f t="shared" si="56"/>
        <v/>
      </c>
      <c r="GY7" s="12" t="str">
        <f t="shared" si="57"/>
        <v/>
      </c>
      <c r="GZ7" s="12" t="str">
        <f t="shared" si="58"/>
        <v/>
      </c>
      <c r="HA7" s="12" t="str">
        <f t="shared" si="59"/>
        <v/>
      </c>
      <c r="HB7" s="45"/>
      <c r="HC7" s="45"/>
      <c r="HD7" s="45"/>
      <c r="HE7" s="45"/>
      <c r="HF7" s="45"/>
      <c r="HG7" s="45"/>
      <c r="HH7" s="45"/>
      <c r="HI7" s="45"/>
      <c r="HJ7" s="45"/>
      <c r="HK7" s="45"/>
      <c r="HL7" s="45"/>
      <c r="HM7" s="45"/>
      <c r="HN7" s="45"/>
      <c r="HO7" s="45"/>
      <c r="HP7" s="45"/>
      <c r="HQ7" s="45"/>
      <c r="HR7" s="15" t="str">
        <f t="shared" si="60"/>
        <v/>
      </c>
      <c r="HS7" s="15" t="str">
        <f t="shared" si="61"/>
        <v/>
      </c>
      <c r="HT7" s="15" t="str">
        <f t="shared" si="62"/>
        <v/>
      </c>
      <c r="HU7" s="15" t="str">
        <f t="shared" si="63"/>
        <v/>
      </c>
      <c r="HV7" s="15" t="str">
        <f t="shared" si="64"/>
        <v/>
      </c>
      <c r="HW7" s="46"/>
      <c r="HX7" s="46"/>
      <c r="HY7" s="46"/>
      <c r="HZ7" s="46"/>
      <c r="IA7" s="46"/>
      <c r="IB7" s="46"/>
      <c r="IC7" s="46"/>
      <c r="ID7" s="46"/>
      <c r="IE7" s="46"/>
      <c r="IF7" s="46"/>
      <c r="IG7" s="46"/>
      <c r="IH7" s="46"/>
      <c r="II7" s="46"/>
      <c r="IJ7" s="46"/>
      <c r="IK7" s="46"/>
      <c r="IL7" s="46"/>
      <c r="IM7" s="12" t="str">
        <f t="shared" si="65"/>
        <v/>
      </c>
      <c r="IN7" s="12" t="str">
        <f t="shared" si="66"/>
        <v/>
      </c>
      <c r="IO7" s="12" t="str">
        <f t="shared" si="67"/>
        <v/>
      </c>
      <c r="IP7" s="12" t="str">
        <f t="shared" si="68"/>
        <v/>
      </c>
      <c r="IQ7" s="12" t="str">
        <f t="shared" si="69"/>
        <v/>
      </c>
      <c r="IR7" s="45"/>
      <c r="IS7" s="45"/>
      <c r="IT7" s="45"/>
      <c r="IU7" s="45"/>
      <c r="IV7" s="45"/>
      <c r="IW7" s="45"/>
      <c r="IX7" s="45"/>
      <c r="IY7" s="45"/>
      <c r="IZ7" s="45"/>
      <c r="JA7" s="45"/>
      <c r="JB7" s="45"/>
      <c r="JC7" s="45"/>
      <c r="JD7" s="45"/>
      <c r="JE7" s="45"/>
      <c r="JF7" s="45"/>
      <c r="JG7" s="45"/>
      <c r="JH7" s="15" t="str">
        <f t="shared" si="70"/>
        <v/>
      </c>
      <c r="JI7" s="15" t="str">
        <f t="shared" si="71"/>
        <v/>
      </c>
      <c r="JJ7" s="15" t="str">
        <f t="shared" si="72"/>
        <v/>
      </c>
      <c r="JK7" s="15" t="str">
        <f t="shared" si="73"/>
        <v/>
      </c>
      <c r="JL7" s="15" t="str">
        <f t="shared" si="74"/>
        <v/>
      </c>
      <c r="JM7" s="46"/>
      <c r="JN7" s="46"/>
      <c r="JO7" s="46"/>
      <c r="JP7" s="46"/>
      <c r="JQ7" s="46"/>
      <c r="JR7" s="46"/>
      <c r="JS7" s="46"/>
      <c r="JT7" s="46"/>
      <c r="JU7" s="46"/>
      <c r="JV7" s="46"/>
      <c r="JW7" s="46"/>
      <c r="JX7" s="46"/>
      <c r="JY7" s="46"/>
      <c r="JZ7" s="46"/>
      <c r="KA7" s="46"/>
      <c r="KB7" s="46"/>
      <c r="KC7" s="12" t="str">
        <f t="shared" si="75"/>
        <v/>
      </c>
      <c r="KD7" s="12" t="str">
        <f t="shared" si="76"/>
        <v/>
      </c>
      <c r="KE7" s="12" t="str">
        <f t="shared" si="77"/>
        <v/>
      </c>
      <c r="KF7" s="12" t="str">
        <f t="shared" si="78"/>
        <v/>
      </c>
      <c r="KG7" s="12" t="str">
        <f t="shared" si="79"/>
        <v/>
      </c>
      <c r="KH7" s="45"/>
      <c r="KI7" s="45"/>
      <c r="KJ7" s="45"/>
      <c r="KK7" s="45"/>
      <c r="KL7" s="45"/>
      <c r="KM7" s="45"/>
      <c r="KN7" s="45"/>
      <c r="KO7" s="45"/>
      <c r="KP7" s="45"/>
      <c r="KQ7" s="45"/>
      <c r="KR7" s="45"/>
      <c r="KS7" s="45"/>
      <c r="KT7" s="45"/>
      <c r="KU7" s="45"/>
      <c r="KV7" s="45"/>
      <c r="KW7" s="45"/>
      <c r="KX7" s="15" t="str">
        <f t="shared" si="80"/>
        <v/>
      </c>
      <c r="KY7" s="15" t="str">
        <f t="shared" si="81"/>
        <v/>
      </c>
      <c r="KZ7" s="15" t="str">
        <f t="shared" si="82"/>
        <v/>
      </c>
      <c r="LA7" s="15" t="str">
        <f t="shared" si="83"/>
        <v/>
      </c>
      <c r="LB7" s="15" t="str">
        <f t="shared" si="84"/>
        <v/>
      </c>
      <c r="LC7" s="71">
        <f t="shared" si="91"/>
        <v>28.15</v>
      </c>
      <c r="LD7" s="71">
        <f t="shared" si="85"/>
        <v>6.3</v>
      </c>
      <c r="LE7" s="71">
        <f t="shared" si="85"/>
        <v>2.35</v>
      </c>
      <c r="LF7" s="71">
        <f t="shared" si="85"/>
        <v>0</v>
      </c>
      <c r="LG7" s="71">
        <f t="shared" si="85"/>
        <v>23.95</v>
      </c>
      <c r="LH7" s="71">
        <f t="shared" si="85"/>
        <v>5.4</v>
      </c>
      <c r="LI7" s="71">
        <f t="shared" si="85"/>
        <v>0.6</v>
      </c>
      <c r="LJ7" s="71">
        <f t="shared" si="85"/>
        <v>0</v>
      </c>
      <c r="LK7" s="71">
        <f t="shared" si="85"/>
        <v>14.25</v>
      </c>
      <c r="LL7" s="71">
        <f t="shared" si="85"/>
        <v>4</v>
      </c>
      <c r="LM7" s="71">
        <f t="shared" si="85"/>
        <v>0.45</v>
      </c>
      <c r="LN7" s="71">
        <f t="shared" si="85"/>
        <v>0</v>
      </c>
      <c r="LO7" s="71">
        <f t="shared" si="85"/>
        <v>12.2</v>
      </c>
      <c r="LP7" s="71">
        <f t="shared" si="85"/>
        <v>3.7</v>
      </c>
      <c r="LQ7" s="71">
        <f t="shared" si="85"/>
        <v>0.75</v>
      </c>
      <c r="LR7" s="71">
        <f t="shared" si="85"/>
        <v>0</v>
      </c>
      <c r="LS7" s="82" t="s">
        <v>100</v>
      </c>
      <c r="LT7" s="12">
        <f t="shared" si="92"/>
        <v>11.7</v>
      </c>
      <c r="LU7" s="12">
        <f t="shared" si="93"/>
        <v>19.399999999999999</v>
      </c>
      <c r="LV7" s="12">
        <f t="shared" si="94"/>
        <v>60.849999999999987</v>
      </c>
      <c r="LW7" s="12">
        <f t="shared" si="95"/>
        <v>32.949999999999996</v>
      </c>
      <c r="LX7" s="12">
        <f t="shared" si="96"/>
        <v>93.799999999999983</v>
      </c>
    </row>
    <row r="8" spans="1:336" x14ac:dyDescent="0.2">
      <c r="A8" s="6">
        <f t="shared" si="0"/>
        <v>5</v>
      </c>
      <c r="B8" s="9" t="s">
        <v>173</v>
      </c>
      <c r="C8" s="5" t="s">
        <v>3</v>
      </c>
      <c r="D8" s="6">
        <v>2000</v>
      </c>
      <c r="E8" s="16">
        <f t="shared" si="1"/>
        <v>207.10000000000002</v>
      </c>
      <c r="F8" s="4" t="str">
        <f t="shared" si="2"/>
        <v/>
      </c>
      <c r="G8" s="4" t="str">
        <f t="shared" si="3"/>
        <v/>
      </c>
      <c r="H8" s="4" t="str">
        <f t="shared" si="4"/>
        <v>P</v>
      </c>
      <c r="I8" t="str">
        <f t="shared" si="5"/>
        <v>No DD</v>
      </c>
      <c r="J8" s="15">
        <f t="shared" si="6"/>
        <v>138.4</v>
      </c>
      <c r="K8" s="15" t="str">
        <f t="shared" si="7"/>
        <v>2019 Nationals</v>
      </c>
      <c r="L8" s="15">
        <f t="shared" si="8"/>
        <v>68.7</v>
      </c>
      <c r="M8" s="15" t="str">
        <f t="shared" si="9"/>
        <v>2019 Elite Canada</v>
      </c>
      <c r="N8" s="15" t="str">
        <f t="shared" si="10"/>
        <v/>
      </c>
      <c r="O8" s="27" t="str">
        <f t="shared" si="11"/>
        <v/>
      </c>
      <c r="P8" s="15" t="str">
        <f t="shared" si="12"/>
        <v/>
      </c>
      <c r="Q8" s="71">
        <v>27.7</v>
      </c>
      <c r="R8" s="71">
        <v>6.8</v>
      </c>
      <c r="S8" s="71">
        <v>0</v>
      </c>
      <c r="T8" s="71">
        <v>0</v>
      </c>
      <c r="U8" s="71">
        <v>27.8</v>
      </c>
      <c r="V8" s="71">
        <v>6.4</v>
      </c>
      <c r="W8" s="71">
        <v>0</v>
      </c>
      <c r="X8" s="71">
        <v>0</v>
      </c>
      <c r="Y8" s="71">
        <v>27</v>
      </c>
      <c r="Z8" s="71">
        <v>7.2</v>
      </c>
      <c r="AA8" s="71">
        <v>0.9</v>
      </c>
      <c r="AB8" s="71">
        <v>0</v>
      </c>
      <c r="AC8" s="71">
        <v>26.9</v>
      </c>
      <c r="AD8" s="71">
        <v>6.8</v>
      </c>
      <c r="AE8" s="71">
        <v>0</v>
      </c>
      <c r="AF8" s="71">
        <v>0</v>
      </c>
      <c r="AG8" s="82"/>
      <c r="AH8" s="12">
        <f t="shared" si="13"/>
        <v>13.2</v>
      </c>
      <c r="AI8" s="12">
        <f t="shared" si="14"/>
        <v>27.2</v>
      </c>
      <c r="AJ8" s="12">
        <f t="shared" si="15"/>
        <v>68.7</v>
      </c>
      <c r="AK8" s="12">
        <f t="shared" si="16"/>
        <v>67</v>
      </c>
      <c r="AL8" s="12">
        <f t="shared" si="17"/>
        <v>135.69999999999999</v>
      </c>
      <c r="AM8" s="40">
        <v>28</v>
      </c>
      <c r="AN8" s="40">
        <v>7.2</v>
      </c>
      <c r="AO8" s="40">
        <v>0.3</v>
      </c>
      <c r="AP8" s="40">
        <v>0</v>
      </c>
      <c r="AQ8" s="40">
        <v>28.1</v>
      </c>
      <c r="AR8" s="40">
        <v>7.2</v>
      </c>
      <c r="AS8" s="40">
        <v>0.3</v>
      </c>
      <c r="AT8" s="40">
        <v>0</v>
      </c>
      <c r="AU8" s="40">
        <v>28.2</v>
      </c>
      <c r="AV8" s="40">
        <v>7.6</v>
      </c>
      <c r="AW8" s="40">
        <v>1.2</v>
      </c>
      <c r="AX8" s="40">
        <v>0</v>
      </c>
      <c r="AY8" s="40">
        <v>27.4</v>
      </c>
      <c r="AZ8" s="40">
        <v>6.8</v>
      </c>
      <c r="BA8" s="40">
        <v>0.3</v>
      </c>
      <c r="BB8" s="40">
        <v>0</v>
      </c>
      <c r="BC8" s="83"/>
      <c r="BD8" s="15">
        <f t="shared" si="18"/>
        <v>14.4</v>
      </c>
      <c r="BE8" s="15">
        <f t="shared" si="19"/>
        <v>28.8</v>
      </c>
      <c r="BF8" s="15">
        <f t="shared" si="20"/>
        <v>69.900000000000006</v>
      </c>
      <c r="BG8" s="15">
        <f t="shared" si="21"/>
        <v>68.5</v>
      </c>
      <c r="BH8" s="15">
        <f t="shared" si="22"/>
        <v>138.4</v>
      </c>
      <c r="BI8" s="26" t="str">
        <f t="shared" si="23"/>
        <v/>
      </c>
      <c r="BJ8" s="26" t="str">
        <f t="shared" si="24"/>
        <v/>
      </c>
      <c r="BK8" s="46"/>
      <c r="BL8" s="46"/>
      <c r="BM8" s="46"/>
      <c r="BN8" s="46"/>
      <c r="BO8" s="46"/>
      <c r="BP8" s="46"/>
      <c r="BQ8" s="46"/>
      <c r="BR8" s="46"/>
      <c r="BS8" s="46"/>
      <c r="BT8" s="46"/>
      <c r="BU8" s="46"/>
      <c r="BV8" s="46"/>
      <c r="BW8" s="46"/>
      <c r="BX8" s="46"/>
      <c r="BY8" s="46"/>
      <c r="BZ8" s="46"/>
      <c r="CA8" s="12" t="str">
        <f t="shared" si="25"/>
        <v/>
      </c>
      <c r="CB8" s="12" t="str">
        <f t="shared" si="26"/>
        <v/>
      </c>
      <c r="CC8" s="12" t="str">
        <f t="shared" si="27"/>
        <v/>
      </c>
      <c r="CD8" s="12" t="str">
        <f t="shared" si="28"/>
        <v/>
      </c>
      <c r="CE8" s="12" t="str">
        <f t="shared" si="29"/>
        <v/>
      </c>
      <c r="CF8" s="45"/>
      <c r="CG8" s="45"/>
      <c r="CH8" s="45"/>
      <c r="CI8" s="45"/>
      <c r="CJ8" s="45"/>
      <c r="CK8" s="45"/>
      <c r="CL8" s="45"/>
      <c r="CM8" s="45"/>
      <c r="CN8" s="45"/>
      <c r="CO8" s="45"/>
      <c r="CP8" s="45"/>
      <c r="CQ8" s="45"/>
      <c r="CR8" s="45"/>
      <c r="CS8" s="45"/>
      <c r="CT8" s="45"/>
      <c r="CU8" s="45"/>
      <c r="CV8" s="15" t="str">
        <f t="shared" si="30"/>
        <v/>
      </c>
      <c r="CW8" s="15" t="str">
        <f t="shared" si="31"/>
        <v/>
      </c>
      <c r="CX8" s="15" t="str">
        <f t="shared" si="32"/>
        <v/>
      </c>
      <c r="CY8" s="15" t="str">
        <f t="shared" si="33"/>
        <v/>
      </c>
      <c r="CZ8" s="15" t="str">
        <f t="shared" si="34"/>
        <v/>
      </c>
      <c r="DA8" s="46"/>
      <c r="DB8" s="46"/>
      <c r="DC8" s="46"/>
      <c r="DD8" s="46"/>
      <c r="DE8" s="46"/>
      <c r="DF8" s="46"/>
      <c r="DG8" s="46"/>
      <c r="DH8" s="46"/>
      <c r="DI8" s="46"/>
      <c r="DJ8" s="46"/>
      <c r="DK8" s="46"/>
      <c r="DL8" s="46"/>
      <c r="DM8" s="46"/>
      <c r="DN8" s="46"/>
      <c r="DO8" s="46"/>
      <c r="DP8" s="46"/>
      <c r="DQ8" s="12" t="str">
        <f t="shared" si="35"/>
        <v/>
      </c>
      <c r="DR8" s="12" t="str">
        <f t="shared" si="36"/>
        <v/>
      </c>
      <c r="DS8" s="12" t="str">
        <f t="shared" si="37"/>
        <v/>
      </c>
      <c r="DT8" s="12" t="str">
        <f t="shared" si="38"/>
        <v/>
      </c>
      <c r="DU8" s="12" t="str">
        <f t="shared" si="39"/>
        <v/>
      </c>
      <c r="DV8" s="45"/>
      <c r="DW8" s="45"/>
      <c r="DX8" s="45"/>
      <c r="DY8" s="45"/>
      <c r="DZ8" s="45"/>
      <c r="EA8" s="45"/>
      <c r="EB8" s="45"/>
      <c r="EC8" s="45"/>
      <c r="ED8" s="45"/>
      <c r="EE8" s="45"/>
      <c r="EF8" s="45"/>
      <c r="EG8" s="45"/>
      <c r="EH8" s="45"/>
      <c r="EI8" s="45"/>
      <c r="EJ8" s="45"/>
      <c r="EK8" s="45"/>
      <c r="EL8" s="15" t="str">
        <f t="shared" si="40"/>
        <v/>
      </c>
      <c r="EM8" s="15" t="str">
        <f t="shared" si="41"/>
        <v/>
      </c>
      <c r="EN8" s="15" t="str">
        <f t="shared" si="42"/>
        <v/>
      </c>
      <c r="EO8" s="15" t="str">
        <f t="shared" si="43"/>
        <v/>
      </c>
      <c r="EP8" s="15" t="str">
        <f t="shared" si="44"/>
        <v/>
      </c>
      <c r="EQ8" s="46"/>
      <c r="ER8" s="46"/>
      <c r="ES8" s="46"/>
      <c r="ET8" s="46"/>
      <c r="EU8" s="46"/>
      <c r="EV8" s="46"/>
      <c r="EW8" s="46"/>
      <c r="EX8" s="46"/>
      <c r="EY8" s="46"/>
      <c r="EZ8" s="46"/>
      <c r="FA8" s="46"/>
      <c r="FB8" s="46"/>
      <c r="FC8" s="46"/>
      <c r="FD8" s="46"/>
      <c r="FE8" s="46"/>
      <c r="FF8" s="46"/>
      <c r="FG8" s="12" t="str">
        <f t="shared" si="45"/>
        <v/>
      </c>
      <c r="FH8" s="12" t="str">
        <f t="shared" si="46"/>
        <v/>
      </c>
      <c r="FI8" s="12" t="str">
        <f t="shared" si="47"/>
        <v/>
      </c>
      <c r="FJ8" s="12" t="str">
        <f t="shared" si="48"/>
        <v/>
      </c>
      <c r="FK8" s="12" t="str">
        <f t="shared" si="49"/>
        <v/>
      </c>
      <c r="FL8" s="45"/>
      <c r="FM8" s="45"/>
      <c r="FN8" s="45"/>
      <c r="FO8" s="45"/>
      <c r="FP8" s="45"/>
      <c r="FQ8" s="45"/>
      <c r="FR8" s="45"/>
      <c r="FS8" s="45"/>
      <c r="FT8" s="45"/>
      <c r="FU8" s="45"/>
      <c r="FV8" s="45"/>
      <c r="FW8" s="45"/>
      <c r="FX8" s="45"/>
      <c r="FY8" s="45"/>
      <c r="FZ8" s="45"/>
      <c r="GA8" s="45"/>
      <c r="GB8" s="15" t="str">
        <f t="shared" si="50"/>
        <v/>
      </c>
      <c r="GC8" s="15" t="str">
        <f t="shared" si="51"/>
        <v/>
      </c>
      <c r="GD8" s="15" t="str">
        <f t="shared" si="52"/>
        <v/>
      </c>
      <c r="GE8" s="15" t="str">
        <f t="shared" si="53"/>
        <v/>
      </c>
      <c r="GF8" s="15" t="str">
        <f t="shared" si="54"/>
        <v/>
      </c>
      <c r="GG8" s="46"/>
      <c r="GH8" s="46"/>
      <c r="GI8" s="46"/>
      <c r="GJ8" s="46"/>
      <c r="GK8" s="46"/>
      <c r="GL8" s="46"/>
      <c r="GM8" s="46"/>
      <c r="GN8" s="46"/>
      <c r="GO8" s="46"/>
      <c r="GP8" s="46"/>
      <c r="GQ8" s="46"/>
      <c r="GR8" s="46"/>
      <c r="GS8" s="46"/>
      <c r="GT8" s="46"/>
      <c r="GU8" s="46"/>
      <c r="GV8" s="46"/>
      <c r="GW8" s="12" t="str">
        <f t="shared" si="55"/>
        <v/>
      </c>
      <c r="GX8" s="12" t="str">
        <f t="shared" si="56"/>
        <v/>
      </c>
      <c r="GY8" s="12" t="str">
        <f t="shared" si="57"/>
        <v/>
      </c>
      <c r="GZ8" s="12" t="str">
        <f t="shared" si="58"/>
        <v/>
      </c>
      <c r="HA8" s="12" t="str">
        <f t="shared" si="59"/>
        <v/>
      </c>
      <c r="HB8" s="45"/>
      <c r="HC8" s="45"/>
      <c r="HD8" s="45"/>
      <c r="HE8" s="45"/>
      <c r="HF8" s="45"/>
      <c r="HG8" s="45"/>
      <c r="HH8" s="45"/>
      <c r="HI8" s="45"/>
      <c r="HJ8" s="45"/>
      <c r="HK8" s="45"/>
      <c r="HL8" s="45"/>
      <c r="HM8" s="45"/>
      <c r="HN8" s="45"/>
      <c r="HO8" s="45"/>
      <c r="HP8" s="45"/>
      <c r="HQ8" s="45"/>
      <c r="HR8" s="15" t="str">
        <f t="shared" si="60"/>
        <v/>
      </c>
      <c r="HS8" s="15" t="str">
        <f t="shared" si="61"/>
        <v/>
      </c>
      <c r="HT8" s="15" t="str">
        <f t="shared" si="62"/>
        <v/>
      </c>
      <c r="HU8" s="15" t="str">
        <f t="shared" si="63"/>
        <v/>
      </c>
      <c r="HV8" s="15" t="str">
        <f t="shared" si="64"/>
        <v/>
      </c>
      <c r="HW8" s="46"/>
      <c r="HX8" s="46"/>
      <c r="HY8" s="46"/>
      <c r="HZ8" s="46"/>
      <c r="IA8" s="46"/>
      <c r="IB8" s="46"/>
      <c r="IC8" s="46"/>
      <c r="ID8" s="46"/>
      <c r="IE8" s="46"/>
      <c r="IF8" s="46"/>
      <c r="IG8" s="46"/>
      <c r="IH8" s="46"/>
      <c r="II8" s="46"/>
      <c r="IJ8" s="46"/>
      <c r="IK8" s="46"/>
      <c r="IL8" s="46"/>
      <c r="IM8" s="12" t="str">
        <f t="shared" si="65"/>
        <v/>
      </c>
      <c r="IN8" s="12" t="str">
        <f t="shared" si="66"/>
        <v/>
      </c>
      <c r="IO8" s="12" t="str">
        <f t="shared" si="67"/>
        <v/>
      </c>
      <c r="IP8" s="12" t="str">
        <f t="shared" si="68"/>
        <v/>
      </c>
      <c r="IQ8" s="12" t="str">
        <f t="shared" si="69"/>
        <v/>
      </c>
      <c r="IR8" s="45"/>
      <c r="IS8" s="45"/>
      <c r="IT8" s="45"/>
      <c r="IU8" s="45"/>
      <c r="IV8" s="45"/>
      <c r="IW8" s="45"/>
      <c r="IX8" s="45"/>
      <c r="IY8" s="45"/>
      <c r="IZ8" s="45"/>
      <c r="JA8" s="45"/>
      <c r="JB8" s="45"/>
      <c r="JC8" s="45"/>
      <c r="JD8" s="45"/>
      <c r="JE8" s="45"/>
      <c r="JF8" s="45"/>
      <c r="JG8" s="45"/>
      <c r="JH8" s="15" t="str">
        <f t="shared" si="70"/>
        <v/>
      </c>
      <c r="JI8" s="15" t="str">
        <f t="shared" si="71"/>
        <v/>
      </c>
      <c r="JJ8" s="15" t="str">
        <f t="shared" si="72"/>
        <v/>
      </c>
      <c r="JK8" s="15" t="str">
        <f t="shared" si="73"/>
        <v/>
      </c>
      <c r="JL8" s="15" t="str">
        <f t="shared" si="74"/>
        <v/>
      </c>
      <c r="JM8" s="46"/>
      <c r="JN8" s="46"/>
      <c r="JO8" s="46"/>
      <c r="JP8" s="46"/>
      <c r="JQ8" s="46"/>
      <c r="JR8" s="46"/>
      <c r="JS8" s="46"/>
      <c r="JT8" s="46"/>
      <c r="JU8" s="46"/>
      <c r="JV8" s="46"/>
      <c r="JW8" s="46"/>
      <c r="JX8" s="46"/>
      <c r="JY8" s="46"/>
      <c r="JZ8" s="46"/>
      <c r="KA8" s="46"/>
      <c r="KB8" s="46"/>
      <c r="KC8" s="12" t="str">
        <f t="shared" si="75"/>
        <v/>
      </c>
      <c r="KD8" s="12" t="str">
        <f t="shared" si="76"/>
        <v/>
      </c>
      <c r="KE8" s="12" t="str">
        <f t="shared" si="77"/>
        <v/>
      </c>
      <c r="KF8" s="12" t="str">
        <f t="shared" si="78"/>
        <v/>
      </c>
      <c r="KG8" s="12" t="str">
        <f t="shared" si="79"/>
        <v/>
      </c>
      <c r="KH8" s="45"/>
      <c r="KI8" s="45"/>
      <c r="KJ8" s="45"/>
      <c r="KK8" s="45"/>
      <c r="KL8" s="45"/>
      <c r="KM8" s="45"/>
      <c r="KN8" s="45"/>
      <c r="KO8" s="45"/>
      <c r="KP8" s="45"/>
      <c r="KQ8" s="45"/>
      <c r="KR8" s="45"/>
      <c r="KS8" s="45"/>
      <c r="KT8" s="45"/>
      <c r="KU8" s="45"/>
      <c r="KV8" s="45"/>
      <c r="KW8" s="45"/>
      <c r="KX8" s="15" t="str">
        <f t="shared" si="80"/>
        <v/>
      </c>
      <c r="KY8" s="15" t="str">
        <f t="shared" si="81"/>
        <v/>
      </c>
      <c r="KZ8" s="15" t="str">
        <f t="shared" si="82"/>
        <v/>
      </c>
      <c r="LA8" s="15" t="str">
        <f t="shared" si="83"/>
        <v/>
      </c>
      <c r="LB8" s="15" t="str">
        <f t="shared" si="84"/>
        <v/>
      </c>
      <c r="LC8" s="71">
        <f t="shared" si="91"/>
        <v>27.85</v>
      </c>
      <c r="LD8" s="71">
        <f t="shared" si="85"/>
        <v>7</v>
      </c>
      <c r="LE8" s="71">
        <f t="shared" si="85"/>
        <v>0.15</v>
      </c>
      <c r="LF8" s="71">
        <f t="shared" si="85"/>
        <v>0</v>
      </c>
      <c r="LG8" s="71">
        <f t="shared" si="85"/>
        <v>27.950000000000003</v>
      </c>
      <c r="LH8" s="71">
        <f t="shared" si="85"/>
        <v>6.8000000000000007</v>
      </c>
      <c r="LI8" s="71">
        <f t="shared" si="85"/>
        <v>0.15</v>
      </c>
      <c r="LJ8" s="71">
        <f t="shared" si="85"/>
        <v>0</v>
      </c>
      <c r="LK8" s="71">
        <f t="shared" si="85"/>
        <v>27.6</v>
      </c>
      <c r="LL8" s="71">
        <f t="shared" si="85"/>
        <v>7.4</v>
      </c>
      <c r="LM8" s="71">
        <f t="shared" si="85"/>
        <v>1.05</v>
      </c>
      <c r="LN8" s="71">
        <f t="shared" si="85"/>
        <v>0</v>
      </c>
      <c r="LO8" s="71">
        <f t="shared" si="85"/>
        <v>27.15</v>
      </c>
      <c r="LP8" s="71">
        <f t="shared" si="85"/>
        <v>6.8</v>
      </c>
      <c r="LQ8" s="71">
        <f t="shared" si="85"/>
        <v>0.15</v>
      </c>
      <c r="LR8" s="71">
        <f t="shared" si="85"/>
        <v>0</v>
      </c>
      <c r="LS8" s="82" t="s">
        <v>100</v>
      </c>
      <c r="LT8" s="12">
        <f t="shared" si="92"/>
        <v>13.8</v>
      </c>
      <c r="LU8" s="12">
        <f t="shared" si="93"/>
        <v>28.000000000000004</v>
      </c>
      <c r="LV8" s="12">
        <f t="shared" si="94"/>
        <v>69.300000000000011</v>
      </c>
      <c r="LW8" s="12">
        <f t="shared" si="95"/>
        <v>67.75</v>
      </c>
      <c r="LX8" s="12">
        <f t="shared" si="96"/>
        <v>137.05000000000001</v>
      </c>
    </row>
    <row r="9" spans="1:336" x14ac:dyDescent="0.2">
      <c r="A9" s="6">
        <f t="shared" si="0"/>
        <v>6</v>
      </c>
      <c r="B9" s="9" t="s">
        <v>88</v>
      </c>
      <c r="C9" s="5" t="s">
        <v>5</v>
      </c>
      <c r="D9" s="6">
        <v>1999</v>
      </c>
      <c r="E9" s="16">
        <f t="shared" si="1"/>
        <v>204.2</v>
      </c>
      <c r="F9" s="4" t="str">
        <f t="shared" si="2"/>
        <v/>
      </c>
      <c r="G9" s="4" t="str">
        <f t="shared" si="3"/>
        <v/>
      </c>
      <c r="H9" s="4" t="str">
        <f t="shared" si="4"/>
        <v>P</v>
      </c>
      <c r="I9" t="str">
        <f t="shared" si="5"/>
        <v>No DD</v>
      </c>
      <c r="J9" s="15">
        <f t="shared" si="6"/>
        <v>128.30000000000001</v>
      </c>
      <c r="K9" s="15" t="str">
        <f t="shared" si="7"/>
        <v>2019 Nationals</v>
      </c>
      <c r="L9" s="15">
        <f t="shared" si="8"/>
        <v>66.899999999999991</v>
      </c>
      <c r="M9" s="15" t="str">
        <f t="shared" si="9"/>
        <v>2019 Elite Canada</v>
      </c>
      <c r="N9" s="15">
        <f t="shared" si="10"/>
        <v>9</v>
      </c>
      <c r="O9" s="27" t="str">
        <f t="shared" si="11"/>
        <v>(4 Pass)</v>
      </c>
      <c r="P9" s="15" t="str">
        <f t="shared" si="12"/>
        <v>2018 World Age Groups (Nov 18)</v>
      </c>
      <c r="Q9" s="71">
        <v>28.2</v>
      </c>
      <c r="R9" s="71">
        <v>7.6</v>
      </c>
      <c r="S9" s="71">
        <v>0.9</v>
      </c>
      <c r="T9" s="71">
        <v>0</v>
      </c>
      <c r="U9" s="71">
        <v>20.5</v>
      </c>
      <c r="V9" s="71">
        <v>2.8</v>
      </c>
      <c r="W9" s="71">
        <v>0</v>
      </c>
      <c r="X9" s="71">
        <v>0</v>
      </c>
      <c r="Y9" s="71">
        <v>28.7</v>
      </c>
      <c r="Z9" s="71">
        <v>7.2</v>
      </c>
      <c r="AA9" s="71">
        <v>0</v>
      </c>
      <c r="AB9" s="71">
        <v>0</v>
      </c>
      <c r="AC9" s="71">
        <v>26.2</v>
      </c>
      <c r="AD9" s="71">
        <v>6</v>
      </c>
      <c r="AE9" s="71">
        <v>1.2</v>
      </c>
      <c r="AF9" s="71">
        <v>0</v>
      </c>
      <c r="AG9" s="82"/>
      <c r="AH9" s="12">
        <f t="shared" si="13"/>
        <v>10.399999999999999</v>
      </c>
      <c r="AI9" s="12">
        <f t="shared" si="14"/>
        <v>23.599999999999998</v>
      </c>
      <c r="AJ9" s="12">
        <f t="shared" si="15"/>
        <v>58.199999999999996</v>
      </c>
      <c r="AK9" s="12">
        <f t="shared" si="16"/>
        <v>66.899999999999991</v>
      </c>
      <c r="AL9" s="12">
        <f t="shared" si="17"/>
        <v>125.1</v>
      </c>
      <c r="AM9" s="40">
        <v>28.2</v>
      </c>
      <c r="AN9" s="40">
        <v>7.2</v>
      </c>
      <c r="AO9" s="40">
        <v>0.3</v>
      </c>
      <c r="AP9" s="40">
        <v>0</v>
      </c>
      <c r="AQ9" s="40">
        <v>28.1</v>
      </c>
      <c r="AR9" s="40">
        <v>7.6</v>
      </c>
      <c r="AS9" s="40">
        <v>0</v>
      </c>
      <c r="AT9" s="40">
        <v>0</v>
      </c>
      <c r="AU9" s="40">
        <v>20.3</v>
      </c>
      <c r="AV9" s="40">
        <v>2.8</v>
      </c>
      <c r="AW9" s="40">
        <v>0</v>
      </c>
      <c r="AX9" s="40">
        <v>0</v>
      </c>
      <c r="AY9" s="40">
        <v>28.4</v>
      </c>
      <c r="AZ9" s="40">
        <v>6</v>
      </c>
      <c r="BA9" s="40"/>
      <c r="BB9" s="40"/>
      <c r="BC9" s="83"/>
      <c r="BD9" s="15">
        <f t="shared" si="18"/>
        <v>14.8</v>
      </c>
      <c r="BE9" s="15">
        <f t="shared" si="19"/>
        <v>23.6</v>
      </c>
      <c r="BF9" s="15">
        <f t="shared" si="20"/>
        <v>70.8</v>
      </c>
      <c r="BG9" s="15">
        <f t="shared" si="21"/>
        <v>57.5</v>
      </c>
      <c r="BH9" s="15">
        <f t="shared" si="22"/>
        <v>128.30000000000001</v>
      </c>
      <c r="BI9" s="26">
        <f t="shared" si="23"/>
        <v>9</v>
      </c>
      <c r="BJ9" s="26">
        <f t="shared" si="24"/>
        <v>3.9000000000000057</v>
      </c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12" t="str">
        <f t="shared" si="25"/>
        <v/>
      </c>
      <c r="CB9" s="12" t="str">
        <f t="shared" si="26"/>
        <v/>
      </c>
      <c r="CC9" s="12" t="str">
        <f t="shared" si="27"/>
        <v/>
      </c>
      <c r="CD9" s="12" t="str">
        <f t="shared" si="28"/>
        <v/>
      </c>
      <c r="CE9" s="12" t="str">
        <f t="shared" si="29"/>
        <v/>
      </c>
      <c r="CF9" s="45">
        <v>28.3</v>
      </c>
      <c r="CG9" s="45">
        <v>7.2</v>
      </c>
      <c r="CH9" s="45">
        <v>0</v>
      </c>
      <c r="CI9" s="45">
        <v>0</v>
      </c>
      <c r="CJ9" s="45">
        <v>28.5</v>
      </c>
      <c r="CK9" s="45">
        <v>6.8</v>
      </c>
      <c r="CL9" s="45">
        <v>0</v>
      </c>
      <c r="CM9" s="45">
        <v>0</v>
      </c>
      <c r="CN9" s="45">
        <v>26.7</v>
      </c>
      <c r="CO9" s="45">
        <v>6.4</v>
      </c>
      <c r="CP9" s="45">
        <v>1.5</v>
      </c>
      <c r="CQ9" s="45">
        <v>0</v>
      </c>
      <c r="CR9" s="45">
        <v>28</v>
      </c>
      <c r="CS9" s="45">
        <v>6.9</v>
      </c>
      <c r="CT9" s="45">
        <v>0</v>
      </c>
      <c r="CU9" s="45">
        <v>0</v>
      </c>
      <c r="CV9" s="15">
        <f t="shared" si="30"/>
        <v>14</v>
      </c>
      <c r="CW9" s="15">
        <f t="shared" si="31"/>
        <v>27.299999999999997</v>
      </c>
      <c r="CX9" s="15">
        <f t="shared" si="32"/>
        <v>70.8</v>
      </c>
      <c r="CY9" s="15">
        <f t="shared" si="33"/>
        <v>66.5</v>
      </c>
      <c r="CZ9" s="15">
        <f t="shared" si="34"/>
        <v>137.30000000000001</v>
      </c>
      <c r="DA9" s="46"/>
      <c r="DB9" s="46"/>
      <c r="DC9" s="46"/>
      <c r="DD9" s="46"/>
      <c r="DE9" s="46"/>
      <c r="DF9" s="46"/>
      <c r="DG9" s="46"/>
      <c r="DH9" s="46"/>
      <c r="DI9" s="46"/>
      <c r="DJ9" s="46"/>
      <c r="DK9" s="46"/>
      <c r="DL9" s="46"/>
      <c r="DM9" s="46"/>
      <c r="DN9" s="46"/>
      <c r="DO9" s="46"/>
      <c r="DP9" s="46"/>
      <c r="DQ9" s="12" t="str">
        <f t="shared" si="35"/>
        <v/>
      </c>
      <c r="DR9" s="12" t="str">
        <f t="shared" si="36"/>
        <v/>
      </c>
      <c r="DS9" s="12" t="str">
        <f t="shared" si="37"/>
        <v/>
      </c>
      <c r="DT9" s="12" t="str">
        <f t="shared" si="38"/>
        <v/>
      </c>
      <c r="DU9" s="12" t="str">
        <f t="shared" si="39"/>
        <v/>
      </c>
      <c r="DV9" s="45"/>
      <c r="DW9" s="45"/>
      <c r="DX9" s="45"/>
      <c r="DY9" s="45"/>
      <c r="DZ9" s="45"/>
      <c r="EA9" s="45"/>
      <c r="EB9" s="45"/>
      <c r="EC9" s="45"/>
      <c r="ED9" s="45"/>
      <c r="EE9" s="45"/>
      <c r="EF9" s="45"/>
      <c r="EG9" s="45"/>
      <c r="EH9" s="45"/>
      <c r="EI9" s="45"/>
      <c r="EJ9" s="45"/>
      <c r="EK9" s="45"/>
      <c r="EL9" s="15" t="str">
        <f t="shared" si="40"/>
        <v/>
      </c>
      <c r="EM9" s="15" t="str">
        <f t="shared" si="41"/>
        <v/>
      </c>
      <c r="EN9" s="15" t="str">
        <f t="shared" si="42"/>
        <v/>
      </c>
      <c r="EO9" s="15" t="str">
        <f t="shared" si="43"/>
        <v/>
      </c>
      <c r="EP9" s="15" t="str">
        <f t="shared" si="44"/>
        <v/>
      </c>
      <c r="EQ9" s="46"/>
      <c r="ER9" s="46"/>
      <c r="ES9" s="46"/>
      <c r="ET9" s="46"/>
      <c r="EU9" s="46"/>
      <c r="EV9" s="46"/>
      <c r="EW9" s="46"/>
      <c r="EX9" s="46"/>
      <c r="EY9" s="46"/>
      <c r="EZ9" s="46"/>
      <c r="FA9" s="46"/>
      <c r="FB9" s="46"/>
      <c r="FC9" s="46"/>
      <c r="FD9" s="46"/>
      <c r="FE9" s="46"/>
      <c r="FF9" s="46"/>
      <c r="FG9" s="12" t="str">
        <f t="shared" si="45"/>
        <v/>
      </c>
      <c r="FH9" s="12" t="str">
        <f t="shared" si="46"/>
        <v/>
      </c>
      <c r="FI9" s="12" t="str">
        <f t="shared" si="47"/>
        <v/>
      </c>
      <c r="FJ9" s="12" t="str">
        <f t="shared" si="48"/>
        <v/>
      </c>
      <c r="FK9" s="12" t="str">
        <f t="shared" si="49"/>
        <v/>
      </c>
      <c r="FL9" s="45"/>
      <c r="FM9" s="45"/>
      <c r="FN9" s="45"/>
      <c r="FO9" s="45"/>
      <c r="FP9" s="45"/>
      <c r="FQ9" s="45"/>
      <c r="FR9" s="45"/>
      <c r="FS9" s="45"/>
      <c r="FT9" s="45"/>
      <c r="FU9" s="45"/>
      <c r="FV9" s="45"/>
      <c r="FW9" s="45"/>
      <c r="FX9" s="45"/>
      <c r="FY9" s="45"/>
      <c r="FZ9" s="45"/>
      <c r="GA9" s="45"/>
      <c r="GB9" s="15" t="str">
        <f t="shared" si="50"/>
        <v/>
      </c>
      <c r="GC9" s="15" t="str">
        <f t="shared" si="51"/>
        <v/>
      </c>
      <c r="GD9" s="15" t="str">
        <f t="shared" si="52"/>
        <v/>
      </c>
      <c r="GE9" s="15" t="str">
        <f t="shared" si="53"/>
        <v/>
      </c>
      <c r="GF9" s="15" t="str">
        <f t="shared" si="54"/>
        <v/>
      </c>
      <c r="GG9" s="46"/>
      <c r="GH9" s="46"/>
      <c r="GI9" s="46"/>
      <c r="GJ9" s="46"/>
      <c r="GK9" s="46"/>
      <c r="GL9" s="46"/>
      <c r="GM9" s="46"/>
      <c r="GN9" s="46"/>
      <c r="GO9" s="46"/>
      <c r="GP9" s="46"/>
      <c r="GQ9" s="46"/>
      <c r="GR9" s="46"/>
      <c r="GS9" s="46"/>
      <c r="GT9" s="46"/>
      <c r="GU9" s="46"/>
      <c r="GV9" s="46"/>
      <c r="GW9" s="12" t="str">
        <f t="shared" si="55"/>
        <v/>
      </c>
      <c r="GX9" s="12" t="str">
        <f t="shared" si="56"/>
        <v/>
      </c>
      <c r="GY9" s="12" t="str">
        <f t="shared" si="57"/>
        <v/>
      </c>
      <c r="GZ9" s="12" t="str">
        <f t="shared" si="58"/>
        <v/>
      </c>
      <c r="HA9" s="12" t="str">
        <f t="shared" si="59"/>
        <v/>
      </c>
      <c r="HB9" s="45"/>
      <c r="HC9" s="45"/>
      <c r="HD9" s="45"/>
      <c r="HE9" s="45"/>
      <c r="HF9" s="45"/>
      <c r="HG9" s="45"/>
      <c r="HH9" s="45"/>
      <c r="HI9" s="45"/>
      <c r="HJ9" s="45"/>
      <c r="HK9" s="45"/>
      <c r="HL9" s="45"/>
      <c r="HM9" s="45"/>
      <c r="HN9" s="45"/>
      <c r="HO9" s="45"/>
      <c r="HP9" s="45"/>
      <c r="HQ9" s="45"/>
      <c r="HR9" s="15" t="str">
        <f t="shared" si="60"/>
        <v/>
      </c>
      <c r="HS9" s="15" t="str">
        <f t="shared" si="61"/>
        <v/>
      </c>
      <c r="HT9" s="15" t="str">
        <f t="shared" si="62"/>
        <v/>
      </c>
      <c r="HU9" s="15" t="str">
        <f t="shared" si="63"/>
        <v/>
      </c>
      <c r="HV9" s="15" t="str">
        <f t="shared" si="64"/>
        <v/>
      </c>
      <c r="HW9" s="46"/>
      <c r="HX9" s="46"/>
      <c r="HY9" s="46"/>
      <c r="HZ9" s="46"/>
      <c r="IA9" s="46"/>
      <c r="IB9" s="46"/>
      <c r="IC9" s="46"/>
      <c r="ID9" s="46"/>
      <c r="IE9" s="46"/>
      <c r="IF9" s="46"/>
      <c r="IG9" s="46"/>
      <c r="IH9" s="46"/>
      <c r="II9" s="46"/>
      <c r="IJ9" s="46"/>
      <c r="IK9" s="46"/>
      <c r="IL9" s="46"/>
      <c r="IM9" s="12" t="str">
        <f t="shared" si="65"/>
        <v/>
      </c>
      <c r="IN9" s="12" t="str">
        <f t="shared" si="66"/>
        <v/>
      </c>
      <c r="IO9" s="12" t="str">
        <f t="shared" si="67"/>
        <v/>
      </c>
      <c r="IP9" s="12" t="str">
        <f t="shared" si="68"/>
        <v/>
      </c>
      <c r="IQ9" s="12" t="str">
        <f t="shared" si="69"/>
        <v/>
      </c>
      <c r="IR9" s="45"/>
      <c r="IS9" s="45"/>
      <c r="IT9" s="45"/>
      <c r="IU9" s="45"/>
      <c r="IV9" s="45"/>
      <c r="IW9" s="45"/>
      <c r="IX9" s="45"/>
      <c r="IY9" s="45"/>
      <c r="IZ9" s="45"/>
      <c r="JA9" s="45"/>
      <c r="JB9" s="45"/>
      <c r="JC9" s="45"/>
      <c r="JD9" s="45"/>
      <c r="JE9" s="45"/>
      <c r="JF9" s="45"/>
      <c r="JG9" s="45"/>
      <c r="JH9" s="15" t="str">
        <f t="shared" si="70"/>
        <v/>
      </c>
      <c r="JI9" s="15" t="str">
        <f t="shared" si="71"/>
        <v/>
      </c>
      <c r="JJ9" s="15" t="str">
        <f t="shared" si="72"/>
        <v/>
      </c>
      <c r="JK9" s="15" t="str">
        <f t="shared" si="73"/>
        <v/>
      </c>
      <c r="JL9" s="15" t="str">
        <f t="shared" si="74"/>
        <v/>
      </c>
      <c r="JM9" s="46"/>
      <c r="JN9" s="46"/>
      <c r="JO9" s="46"/>
      <c r="JP9" s="46"/>
      <c r="JQ9" s="46"/>
      <c r="JR9" s="46"/>
      <c r="JS9" s="46"/>
      <c r="JT9" s="46"/>
      <c r="JU9" s="46"/>
      <c r="JV9" s="46"/>
      <c r="JW9" s="46"/>
      <c r="JX9" s="46"/>
      <c r="JY9" s="46"/>
      <c r="JZ9" s="46"/>
      <c r="KA9" s="46"/>
      <c r="KB9" s="46"/>
      <c r="KC9" s="12" t="str">
        <f t="shared" si="75"/>
        <v/>
      </c>
      <c r="KD9" s="12" t="str">
        <f t="shared" si="76"/>
        <v/>
      </c>
      <c r="KE9" s="12" t="str">
        <f t="shared" si="77"/>
        <v/>
      </c>
      <c r="KF9" s="12" t="str">
        <f t="shared" si="78"/>
        <v/>
      </c>
      <c r="KG9" s="12" t="str">
        <f t="shared" si="79"/>
        <v/>
      </c>
      <c r="KH9" s="45"/>
      <c r="KI9" s="45"/>
      <c r="KJ9" s="45"/>
      <c r="KK9" s="45"/>
      <c r="KL9" s="45"/>
      <c r="KM9" s="45"/>
      <c r="KN9" s="45"/>
      <c r="KO9" s="45"/>
      <c r="KP9" s="45"/>
      <c r="KQ9" s="45"/>
      <c r="KR9" s="45"/>
      <c r="KS9" s="45"/>
      <c r="KT9" s="45"/>
      <c r="KU9" s="45"/>
      <c r="KV9" s="45"/>
      <c r="KW9" s="45"/>
      <c r="KX9" s="15" t="str">
        <f t="shared" si="80"/>
        <v/>
      </c>
      <c r="KY9" s="15" t="str">
        <f t="shared" si="81"/>
        <v/>
      </c>
      <c r="KZ9" s="15" t="str">
        <f t="shared" si="82"/>
        <v/>
      </c>
      <c r="LA9" s="15" t="str">
        <f t="shared" si="83"/>
        <v/>
      </c>
      <c r="LB9" s="15" t="str">
        <f t="shared" si="84"/>
        <v/>
      </c>
      <c r="LC9" s="71">
        <f t="shared" si="91"/>
        <v>28.2</v>
      </c>
      <c r="LD9" s="71">
        <f t="shared" si="85"/>
        <v>7.4</v>
      </c>
      <c r="LE9" s="71">
        <f t="shared" si="85"/>
        <v>0.6</v>
      </c>
      <c r="LF9" s="71">
        <f t="shared" si="85"/>
        <v>0</v>
      </c>
      <c r="LG9" s="71">
        <f t="shared" si="85"/>
        <v>24.3</v>
      </c>
      <c r="LH9" s="71">
        <f t="shared" si="85"/>
        <v>5.1999999999999993</v>
      </c>
      <c r="LI9" s="71">
        <f t="shared" si="85"/>
        <v>0</v>
      </c>
      <c r="LJ9" s="71">
        <f t="shared" si="85"/>
        <v>0</v>
      </c>
      <c r="LK9" s="71">
        <f t="shared" si="85"/>
        <v>24.5</v>
      </c>
      <c r="LL9" s="71">
        <f t="shared" si="85"/>
        <v>5</v>
      </c>
      <c r="LM9" s="71">
        <f t="shared" si="85"/>
        <v>0</v>
      </c>
      <c r="LN9" s="71">
        <f t="shared" si="85"/>
        <v>0</v>
      </c>
      <c r="LO9" s="71">
        <f t="shared" si="85"/>
        <v>27.299999999999997</v>
      </c>
      <c r="LP9" s="71">
        <f t="shared" si="85"/>
        <v>6</v>
      </c>
      <c r="LQ9" s="71">
        <f t="shared" si="85"/>
        <v>0.6</v>
      </c>
      <c r="LR9" s="71">
        <f t="shared" si="85"/>
        <v>0</v>
      </c>
      <c r="LS9" s="82" t="s">
        <v>100</v>
      </c>
      <c r="LT9" s="12">
        <f t="shared" si="92"/>
        <v>12.6</v>
      </c>
      <c r="LU9" s="12">
        <f t="shared" si="93"/>
        <v>23.6</v>
      </c>
      <c r="LV9" s="12">
        <f t="shared" si="94"/>
        <v>64.500000000000014</v>
      </c>
      <c r="LW9" s="12">
        <f t="shared" si="95"/>
        <v>62.199999999999996</v>
      </c>
      <c r="LX9" s="12">
        <f t="shared" si="96"/>
        <v>126.70000000000002</v>
      </c>
    </row>
    <row r="10" spans="1:336" x14ac:dyDescent="0.2">
      <c r="A10" s="6" t="str">
        <f t="shared" si="0"/>
        <v/>
      </c>
      <c r="B10" s="9" t="s">
        <v>90</v>
      </c>
      <c r="C10" s="5" t="s">
        <v>5</v>
      </c>
      <c r="D10" s="6">
        <v>1999</v>
      </c>
      <c r="E10" s="16">
        <f t="shared" si="1"/>
        <v>201.8</v>
      </c>
      <c r="F10" s="4" t="str">
        <f t="shared" si="2"/>
        <v/>
      </c>
      <c r="G10" s="4" t="str">
        <f t="shared" si="3"/>
        <v/>
      </c>
      <c r="H10" s="4" t="str">
        <f t="shared" si="4"/>
        <v/>
      </c>
      <c r="I10" t="str">
        <f t="shared" si="5"/>
        <v/>
      </c>
      <c r="J10" s="15">
        <f t="shared" si="6"/>
        <v>132</v>
      </c>
      <c r="K10" s="15" t="str">
        <f t="shared" si="7"/>
        <v>2019 Elite Canada</v>
      </c>
      <c r="L10" s="15">
        <f t="shared" si="8"/>
        <v>69.8</v>
      </c>
      <c r="M10" s="15" t="str">
        <f t="shared" si="9"/>
        <v>2019 Nationals</v>
      </c>
      <c r="N10" s="15" t="str">
        <f t="shared" si="10"/>
        <v/>
      </c>
      <c r="O10" s="27" t="str">
        <f t="shared" si="11"/>
        <v/>
      </c>
      <c r="P10" s="15" t="str">
        <f t="shared" si="12"/>
        <v/>
      </c>
      <c r="Q10" s="71">
        <v>28.1</v>
      </c>
      <c r="R10" s="71">
        <v>7.2</v>
      </c>
      <c r="S10" s="71">
        <v>0</v>
      </c>
      <c r="T10" s="71">
        <v>0</v>
      </c>
      <c r="U10" s="71">
        <v>27.6</v>
      </c>
      <c r="V10" s="71">
        <v>7.2</v>
      </c>
      <c r="W10" s="71">
        <v>0.9</v>
      </c>
      <c r="X10" s="71">
        <v>0</v>
      </c>
      <c r="Y10" s="71">
        <v>28.2</v>
      </c>
      <c r="Z10" s="71">
        <v>7.6</v>
      </c>
      <c r="AA10" s="71">
        <v>0</v>
      </c>
      <c r="AB10" s="71">
        <v>0</v>
      </c>
      <c r="AC10" s="71">
        <v>27.5</v>
      </c>
      <c r="AD10" s="71">
        <v>3.2</v>
      </c>
      <c r="AE10" s="71">
        <v>3.7</v>
      </c>
      <c r="AF10" s="71">
        <v>0</v>
      </c>
      <c r="AG10" s="82"/>
      <c r="AH10" s="12">
        <f t="shared" si="13"/>
        <v>14.4</v>
      </c>
      <c r="AI10" s="12">
        <f t="shared" si="14"/>
        <v>25.2</v>
      </c>
      <c r="AJ10" s="12">
        <f t="shared" si="15"/>
        <v>69.2</v>
      </c>
      <c r="AK10" s="12">
        <f t="shared" si="16"/>
        <v>62.8</v>
      </c>
      <c r="AL10" s="12">
        <f t="shared" si="17"/>
        <v>132</v>
      </c>
      <c r="AM10" s="40">
        <v>28.2</v>
      </c>
      <c r="AN10" s="40">
        <v>8</v>
      </c>
      <c r="AO10" s="40">
        <v>1.2</v>
      </c>
      <c r="AP10" s="40">
        <v>0</v>
      </c>
      <c r="AQ10" s="40">
        <v>20.399999999999999</v>
      </c>
      <c r="AR10" s="40">
        <v>2.8</v>
      </c>
      <c r="AS10" s="40">
        <v>0</v>
      </c>
      <c r="AT10" s="40">
        <v>0</v>
      </c>
      <c r="AU10" s="40">
        <v>28.2</v>
      </c>
      <c r="AV10" s="40">
        <v>6.8</v>
      </c>
      <c r="AW10" s="40">
        <v>0.3</v>
      </c>
      <c r="AX10" s="40">
        <v>0</v>
      </c>
      <c r="AY10" s="40">
        <v>28.4</v>
      </c>
      <c r="AZ10" s="40">
        <v>7.6</v>
      </c>
      <c r="BA10" s="40">
        <v>0.9</v>
      </c>
      <c r="BB10" s="40">
        <v>0</v>
      </c>
      <c r="BC10" s="83"/>
      <c r="BD10" s="15">
        <f t="shared" si="18"/>
        <v>10.8</v>
      </c>
      <c r="BE10" s="15">
        <f t="shared" si="19"/>
        <v>25.200000000000003</v>
      </c>
      <c r="BF10" s="15">
        <f t="shared" si="20"/>
        <v>58.199999999999996</v>
      </c>
      <c r="BG10" s="15">
        <f t="shared" si="21"/>
        <v>69.8</v>
      </c>
      <c r="BH10" s="15">
        <f t="shared" si="22"/>
        <v>128</v>
      </c>
      <c r="BI10" s="26" t="str">
        <f t="shared" si="23"/>
        <v/>
      </c>
      <c r="BJ10" s="26" t="str">
        <f t="shared" si="24"/>
        <v/>
      </c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12" t="str">
        <f t="shared" si="25"/>
        <v/>
      </c>
      <c r="CB10" s="12" t="str">
        <f t="shared" si="26"/>
        <v/>
      </c>
      <c r="CC10" s="12" t="str">
        <f t="shared" si="27"/>
        <v/>
      </c>
      <c r="CD10" s="12" t="str">
        <f t="shared" si="28"/>
        <v/>
      </c>
      <c r="CE10" s="12" t="str">
        <f t="shared" si="29"/>
        <v/>
      </c>
      <c r="CF10" s="45"/>
      <c r="CG10" s="45"/>
      <c r="CH10" s="45"/>
      <c r="CI10" s="45"/>
      <c r="CJ10" s="45"/>
      <c r="CK10" s="45"/>
      <c r="CL10" s="45"/>
      <c r="CM10" s="45"/>
      <c r="CN10" s="45"/>
      <c r="CO10" s="45"/>
      <c r="CP10" s="45"/>
      <c r="CQ10" s="45"/>
      <c r="CR10" s="45"/>
      <c r="CS10" s="45"/>
      <c r="CT10" s="45"/>
      <c r="CU10" s="45"/>
      <c r="CV10" s="15" t="str">
        <f t="shared" si="30"/>
        <v/>
      </c>
      <c r="CW10" s="15" t="str">
        <f t="shared" si="31"/>
        <v/>
      </c>
      <c r="CX10" s="15" t="str">
        <f t="shared" si="32"/>
        <v/>
      </c>
      <c r="CY10" s="15" t="str">
        <f t="shared" si="33"/>
        <v/>
      </c>
      <c r="CZ10" s="15" t="str">
        <f t="shared" si="34"/>
        <v/>
      </c>
      <c r="DA10" s="46"/>
      <c r="DB10" s="46"/>
      <c r="DC10" s="46"/>
      <c r="DD10" s="46"/>
      <c r="DE10" s="46"/>
      <c r="DF10" s="46"/>
      <c r="DG10" s="46"/>
      <c r="DH10" s="46"/>
      <c r="DI10" s="46"/>
      <c r="DJ10" s="46"/>
      <c r="DK10" s="46"/>
      <c r="DL10" s="46"/>
      <c r="DM10" s="46"/>
      <c r="DN10" s="46"/>
      <c r="DO10" s="46"/>
      <c r="DP10" s="46"/>
      <c r="DQ10" s="12" t="str">
        <f t="shared" si="35"/>
        <v/>
      </c>
      <c r="DR10" s="12" t="str">
        <f t="shared" si="36"/>
        <v/>
      </c>
      <c r="DS10" s="12" t="str">
        <f t="shared" si="37"/>
        <v/>
      </c>
      <c r="DT10" s="12" t="str">
        <f t="shared" si="38"/>
        <v/>
      </c>
      <c r="DU10" s="12" t="str">
        <f t="shared" si="39"/>
        <v/>
      </c>
      <c r="DV10" s="45"/>
      <c r="DW10" s="45"/>
      <c r="DX10" s="45"/>
      <c r="DY10" s="45"/>
      <c r="DZ10" s="45"/>
      <c r="EA10" s="45"/>
      <c r="EB10" s="45"/>
      <c r="EC10" s="45"/>
      <c r="ED10" s="45"/>
      <c r="EE10" s="45"/>
      <c r="EF10" s="45"/>
      <c r="EG10" s="45"/>
      <c r="EH10" s="45"/>
      <c r="EI10" s="45"/>
      <c r="EJ10" s="45"/>
      <c r="EK10" s="45"/>
      <c r="EL10" s="15" t="str">
        <f t="shared" si="40"/>
        <v/>
      </c>
      <c r="EM10" s="15" t="str">
        <f t="shared" si="41"/>
        <v/>
      </c>
      <c r="EN10" s="15" t="str">
        <f t="shared" si="42"/>
        <v/>
      </c>
      <c r="EO10" s="15" t="str">
        <f t="shared" si="43"/>
        <v/>
      </c>
      <c r="EP10" s="15" t="str">
        <f t="shared" si="44"/>
        <v/>
      </c>
      <c r="EQ10" s="46"/>
      <c r="ER10" s="46"/>
      <c r="ES10" s="46"/>
      <c r="ET10" s="46"/>
      <c r="EU10" s="46"/>
      <c r="EV10" s="46"/>
      <c r="EW10" s="46"/>
      <c r="EX10" s="46"/>
      <c r="EY10" s="46"/>
      <c r="EZ10" s="46"/>
      <c r="FA10" s="46"/>
      <c r="FB10" s="46"/>
      <c r="FC10" s="46"/>
      <c r="FD10" s="46"/>
      <c r="FE10" s="46"/>
      <c r="FF10" s="46"/>
      <c r="FG10" s="12" t="str">
        <f t="shared" si="45"/>
        <v/>
      </c>
      <c r="FH10" s="12" t="str">
        <f t="shared" si="46"/>
        <v/>
      </c>
      <c r="FI10" s="12" t="str">
        <f t="shared" si="47"/>
        <v/>
      </c>
      <c r="FJ10" s="12" t="str">
        <f t="shared" si="48"/>
        <v/>
      </c>
      <c r="FK10" s="12" t="str">
        <f t="shared" si="49"/>
        <v/>
      </c>
      <c r="FL10" s="45"/>
      <c r="FM10" s="45"/>
      <c r="FN10" s="45"/>
      <c r="FO10" s="45"/>
      <c r="FP10" s="45"/>
      <c r="FQ10" s="45"/>
      <c r="FR10" s="45"/>
      <c r="FS10" s="45"/>
      <c r="FT10" s="45"/>
      <c r="FU10" s="45"/>
      <c r="FV10" s="45"/>
      <c r="FW10" s="45"/>
      <c r="FX10" s="45"/>
      <c r="FY10" s="45"/>
      <c r="FZ10" s="45"/>
      <c r="GA10" s="45"/>
      <c r="GB10" s="15" t="str">
        <f t="shared" si="50"/>
        <v/>
      </c>
      <c r="GC10" s="15" t="str">
        <f t="shared" si="51"/>
        <v/>
      </c>
      <c r="GD10" s="15" t="str">
        <f t="shared" si="52"/>
        <v/>
      </c>
      <c r="GE10" s="15" t="str">
        <f t="shared" si="53"/>
        <v/>
      </c>
      <c r="GF10" s="15" t="str">
        <f t="shared" si="54"/>
        <v/>
      </c>
      <c r="GG10" s="46"/>
      <c r="GH10" s="46"/>
      <c r="GI10" s="46"/>
      <c r="GJ10" s="46"/>
      <c r="GK10" s="46"/>
      <c r="GL10" s="46"/>
      <c r="GM10" s="46"/>
      <c r="GN10" s="46"/>
      <c r="GO10" s="46"/>
      <c r="GP10" s="46"/>
      <c r="GQ10" s="46"/>
      <c r="GR10" s="46"/>
      <c r="GS10" s="46"/>
      <c r="GT10" s="46"/>
      <c r="GU10" s="46"/>
      <c r="GV10" s="46"/>
      <c r="GW10" s="12" t="str">
        <f t="shared" si="55"/>
        <v/>
      </c>
      <c r="GX10" s="12" t="str">
        <f t="shared" si="56"/>
        <v/>
      </c>
      <c r="GY10" s="12" t="str">
        <f t="shared" si="57"/>
        <v/>
      </c>
      <c r="GZ10" s="12" t="str">
        <f t="shared" si="58"/>
        <v/>
      </c>
      <c r="HA10" s="12" t="str">
        <f t="shared" si="59"/>
        <v/>
      </c>
      <c r="HB10" s="45"/>
      <c r="HC10" s="45"/>
      <c r="HD10" s="45"/>
      <c r="HE10" s="45"/>
      <c r="HF10" s="45"/>
      <c r="HG10" s="45"/>
      <c r="HH10" s="45"/>
      <c r="HI10" s="45"/>
      <c r="HJ10" s="45"/>
      <c r="HK10" s="45"/>
      <c r="HL10" s="45"/>
      <c r="HM10" s="45"/>
      <c r="HN10" s="45"/>
      <c r="HO10" s="45"/>
      <c r="HP10" s="45"/>
      <c r="HQ10" s="45"/>
      <c r="HR10" s="15" t="str">
        <f t="shared" si="60"/>
        <v/>
      </c>
      <c r="HS10" s="15" t="str">
        <f t="shared" si="61"/>
        <v/>
      </c>
      <c r="HT10" s="15" t="str">
        <f t="shared" si="62"/>
        <v/>
      </c>
      <c r="HU10" s="15" t="str">
        <f t="shared" si="63"/>
        <v/>
      </c>
      <c r="HV10" s="15" t="str">
        <f t="shared" si="64"/>
        <v/>
      </c>
      <c r="HW10" s="46"/>
      <c r="HX10" s="46"/>
      <c r="HY10" s="46"/>
      <c r="HZ10" s="46"/>
      <c r="IA10" s="46"/>
      <c r="IB10" s="46"/>
      <c r="IC10" s="46"/>
      <c r="ID10" s="46"/>
      <c r="IE10" s="46"/>
      <c r="IF10" s="46"/>
      <c r="IG10" s="46"/>
      <c r="IH10" s="46"/>
      <c r="II10" s="46"/>
      <c r="IJ10" s="46"/>
      <c r="IK10" s="46"/>
      <c r="IL10" s="46"/>
      <c r="IM10" s="12" t="str">
        <f t="shared" si="65"/>
        <v/>
      </c>
      <c r="IN10" s="12" t="str">
        <f t="shared" si="66"/>
        <v/>
      </c>
      <c r="IO10" s="12" t="str">
        <f t="shared" si="67"/>
        <v/>
      </c>
      <c r="IP10" s="12" t="str">
        <f t="shared" si="68"/>
        <v/>
      </c>
      <c r="IQ10" s="12" t="str">
        <f t="shared" si="69"/>
        <v/>
      </c>
      <c r="IR10" s="45"/>
      <c r="IS10" s="45"/>
      <c r="IT10" s="45"/>
      <c r="IU10" s="45"/>
      <c r="IV10" s="45"/>
      <c r="IW10" s="45"/>
      <c r="IX10" s="45"/>
      <c r="IY10" s="45"/>
      <c r="IZ10" s="45"/>
      <c r="JA10" s="45"/>
      <c r="JB10" s="45"/>
      <c r="JC10" s="45"/>
      <c r="JD10" s="45"/>
      <c r="JE10" s="45"/>
      <c r="JF10" s="45"/>
      <c r="JG10" s="45"/>
      <c r="JH10" s="15" t="str">
        <f t="shared" si="70"/>
        <v/>
      </c>
      <c r="JI10" s="15" t="str">
        <f t="shared" si="71"/>
        <v/>
      </c>
      <c r="JJ10" s="15" t="str">
        <f t="shared" si="72"/>
        <v/>
      </c>
      <c r="JK10" s="15" t="str">
        <f t="shared" si="73"/>
        <v/>
      </c>
      <c r="JL10" s="15" t="str">
        <f t="shared" si="74"/>
        <v/>
      </c>
      <c r="JM10" s="46"/>
      <c r="JN10" s="46"/>
      <c r="JO10" s="46"/>
      <c r="JP10" s="46"/>
      <c r="JQ10" s="46"/>
      <c r="JR10" s="46"/>
      <c r="JS10" s="46"/>
      <c r="JT10" s="46"/>
      <c r="JU10" s="46"/>
      <c r="JV10" s="46"/>
      <c r="JW10" s="46"/>
      <c r="JX10" s="46"/>
      <c r="JY10" s="46"/>
      <c r="JZ10" s="46"/>
      <c r="KA10" s="46"/>
      <c r="KB10" s="46"/>
      <c r="KC10" s="12" t="str">
        <f t="shared" si="75"/>
        <v/>
      </c>
      <c r="KD10" s="12" t="str">
        <f t="shared" si="76"/>
        <v/>
      </c>
      <c r="KE10" s="12" t="str">
        <f t="shared" si="77"/>
        <v/>
      </c>
      <c r="KF10" s="12" t="str">
        <f t="shared" si="78"/>
        <v/>
      </c>
      <c r="KG10" s="12" t="str">
        <f t="shared" si="79"/>
        <v/>
      </c>
      <c r="KH10" s="45"/>
      <c r="KI10" s="45"/>
      <c r="KJ10" s="45"/>
      <c r="KK10" s="45"/>
      <c r="KL10" s="45"/>
      <c r="KM10" s="45"/>
      <c r="KN10" s="45"/>
      <c r="KO10" s="45"/>
      <c r="KP10" s="45"/>
      <c r="KQ10" s="45"/>
      <c r="KR10" s="45"/>
      <c r="KS10" s="45"/>
      <c r="KT10" s="45"/>
      <c r="KU10" s="45"/>
      <c r="KV10" s="45"/>
      <c r="KW10" s="45"/>
      <c r="KX10" s="15" t="str">
        <f t="shared" si="80"/>
        <v/>
      </c>
      <c r="KY10" s="15" t="str">
        <f t="shared" si="81"/>
        <v/>
      </c>
      <c r="KZ10" s="15" t="str">
        <f t="shared" si="82"/>
        <v/>
      </c>
      <c r="LA10" s="15" t="str">
        <f t="shared" si="83"/>
        <v/>
      </c>
      <c r="LB10" s="15" t="str">
        <f t="shared" si="84"/>
        <v/>
      </c>
      <c r="LC10" s="71">
        <f t="shared" si="91"/>
        <v>28.15</v>
      </c>
      <c r="LD10" s="71">
        <f t="shared" si="85"/>
        <v>7.6</v>
      </c>
      <c r="LE10" s="71">
        <f t="shared" si="85"/>
        <v>0.6</v>
      </c>
      <c r="LF10" s="71">
        <f t="shared" si="85"/>
        <v>0</v>
      </c>
      <c r="LG10" s="71">
        <f t="shared" si="85"/>
        <v>24</v>
      </c>
      <c r="LH10" s="71">
        <f t="shared" si="85"/>
        <v>5</v>
      </c>
      <c r="LI10" s="71">
        <f t="shared" si="85"/>
        <v>0.45</v>
      </c>
      <c r="LJ10" s="71">
        <f t="shared" si="85"/>
        <v>0</v>
      </c>
      <c r="LK10" s="71">
        <f t="shared" si="85"/>
        <v>28.2</v>
      </c>
      <c r="LL10" s="71">
        <f t="shared" si="85"/>
        <v>7.1999999999999993</v>
      </c>
      <c r="LM10" s="71">
        <f t="shared" si="85"/>
        <v>0.15</v>
      </c>
      <c r="LN10" s="71">
        <f t="shared" si="85"/>
        <v>0</v>
      </c>
      <c r="LO10" s="71">
        <f t="shared" si="85"/>
        <v>27.95</v>
      </c>
      <c r="LP10" s="71">
        <f t="shared" si="85"/>
        <v>5.4</v>
      </c>
      <c r="LQ10" s="71">
        <f t="shared" si="85"/>
        <v>2.3000000000000003</v>
      </c>
      <c r="LR10" s="71">
        <f t="shared" si="85"/>
        <v>0</v>
      </c>
      <c r="LS10" s="82" t="s">
        <v>100</v>
      </c>
      <c r="LT10" s="12">
        <f t="shared" si="92"/>
        <v>12.6</v>
      </c>
      <c r="LU10" s="12">
        <f t="shared" si="93"/>
        <v>25.199999999999996</v>
      </c>
      <c r="LV10" s="12">
        <f t="shared" si="94"/>
        <v>63.7</v>
      </c>
      <c r="LW10" s="12">
        <f t="shared" si="95"/>
        <v>66.3</v>
      </c>
      <c r="LX10" s="12">
        <f t="shared" si="96"/>
        <v>130</v>
      </c>
    </row>
    <row r="11" spans="1:336" x14ac:dyDescent="0.2">
      <c r="A11" s="6" t="str">
        <f t="shared" si="0"/>
        <v/>
      </c>
      <c r="B11" s="9" t="s">
        <v>55</v>
      </c>
      <c r="C11" s="5" t="s">
        <v>5</v>
      </c>
      <c r="D11" s="6">
        <v>1993</v>
      </c>
      <c r="E11" s="16">
        <f t="shared" si="1"/>
        <v>195.70000000000002</v>
      </c>
      <c r="F11" s="4" t="str">
        <f t="shared" si="2"/>
        <v/>
      </c>
      <c r="G11" s="4" t="str">
        <f t="shared" si="3"/>
        <v/>
      </c>
      <c r="H11" s="4" t="str">
        <f t="shared" si="4"/>
        <v/>
      </c>
      <c r="I11" t="str">
        <f t="shared" si="5"/>
        <v/>
      </c>
      <c r="J11" s="15">
        <f t="shared" si="6"/>
        <v>129.5</v>
      </c>
      <c r="K11" s="15" t="str">
        <f t="shared" si="7"/>
        <v>2019 Elite Canada</v>
      </c>
      <c r="L11" s="15">
        <f t="shared" si="8"/>
        <v>31.9</v>
      </c>
      <c r="M11" s="15" t="str">
        <f t="shared" si="9"/>
        <v>2019 Nationals</v>
      </c>
      <c r="N11" s="15">
        <f t="shared" si="10"/>
        <v>34.300000000000004</v>
      </c>
      <c r="O11" s="27" t="str">
        <f t="shared" si="11"/>
        <v>(2 Pass)</v>
      </c>
      <c r="P11" s="15" t="str">
        <f t="shared" si="12"/>
        <v>2018 World Championships (Nov 7)</v>
      </c>
      <c r="Q11" s="71">
        <v>24.9</v>
      </c>
      <c r="R11" s="71">
        <v>8</v>
      </c>
      <c r="S11" s="71">
        <v>1.5</v>
      </c>
      <c r="T11" s="71">
        <v>0</v>
      </c>
      <c r="U11" s="71">
        <v>28.9</v>
      </c>
      <c r="V11" s="71">
        <v>6.4</v>
      </c>
      <c r="W11" s="71">
        <v>0.9</v>
      </c>
      <c r="X11" s="71">
        <v>0</v>
      </c>
      <c r="Y11" s="71">
        <v>28.2</v>
      </c>
      <c r="Z11" s="71">
        <v>6.8</v>
      </c>
      <c r="AA11" s="71">
        <v>0.9</v>
      </c>
      <c r="AB11" s="71">
        <v>0</v>
      </c>
      <c r="AC11" s="71">
        <v>26.7</v>
      </c>
      <c r="AD11" s="71">
        <v>5.2</v>
      </c>
      <c r="AE11" s="71">
        <v>2.2999999999999998</v>
      </c>
      <c r="AF11" s="71">
        <v>0</v>
      </c>
      <c r="AG11" s="82"/>
      <c r="AH11" s="12">
        <f t="shared" si="13"/>
        <v>14.4</v>
      </c>
      <c r="AI11" s="12">
        <f t="shared" si="14"/>
        <v>26.4</v>
      </c>
      <c r="AJ11" s="12">
        <f t="shared" si="15"/>
        <v>65.8</v>
      </c>
      <c r="AK11" s="12">
        <f t="shared" si="16"/>
        <v>63.7</v>
      </c>
      <c r="AL11" s="12">
        <f t="shared" si="17"/>
        <v>129.5</v>
      </c>
      <c r="AM11" s="40">
        <v>0</v>
      </c>
      <c r="AN11" s="40">
        <v>0</v>
      </c>
      <c r="AO11" s="40">
        <v>0</v>
      </c>
      <c r="AP11" s="40">
        <v>0</v>
      </c>
      <c r="AQ11" s="40">
        <v>25.2</v>
      </c>
      <c r="AR11" s="40">
        <v>7.6</v>
      </c>
      <c r="AS11" s="40">
        <v>0.9</v>
      </c>
      <c r="AT11" s="40">
        <v>0</v>
      </c>
      <c r="AU11" s="40"/>
      <c r="AV11" s="40"/>
      <c r="AW11" s="40"/>
      <c r="AX11" s="40"/>
      <c r="AY11" s="40"/>
      <c r="AZ11" s="40"/>
      <c r="BA11" s="40"/>
      <c r="BB11" s="40"/>
      <c r="BC11" s="83"/>
      <c r="BD11" s="15">
        <f t="shared" si="18"/>
        <v>7.6</v>
      </c>
      <c r="BE11" s="15">
        <f t="shared" si="19"/>
        <v>7.6</v>
      </c>
      <c r="BF11" s="15">
        <f t="shared" si="20"/>
        <v>31.9</v>
      </c>
      <c r="BG11" s="15" t="str">
        <f t="shared" si="21"/>
        <v/>
      </c>
      <c r="BH11" s="15">
        <f t="shared" si="22"/>
        <v>31.9</v>
      </c>
      <c r="BI11" s="26" t="str">
        <f t="shared" si="23"/>
        <v/>
      </c>
      <c r="BJ11" s="26">
        <f t="shared" si="24"/>
        <v>34.300000000000004</v>
      </c>
      <c r="BK11" s="46">
        <v>26.8</v>
      </c>
      <c r="BL11" s="46">
        <v>6</v>
      </c>
      <c r="BM11" s="46">
        <v>1.5</v>
      </c>
      <c r="BN11" s="46">
        <v>0</v>
      </c>
      <c r="BO11" s="46">
        <v>27.2</v>
      </c>
      <c r="BP11" s="46">
        <v>8</v>
      </c>
      <c r="BQ11" s="46">
        <v>0.3</v>
      </c>
      <c r="BR11" s="46">
        <v>0</v>
      </c>
      <c r="BS11" s="46"/>
      <c r="BT11" s="46"/>
      <c r="BU11" s="46"/>
      <c r="BV11" s="46"/>
      <c r="BW11" s="46"/>
      <c r="BX11" s="46"/>
      <c r="BY11" s="46"/>
      <c r="BZ11" s="46"/>
      <c r="CA11" s="12">
        <f t="shared" si="25"/>
        <v>14</v>
      </c>
      <c r="CB11" s="12">
        <f t="shared" si="26"/>
        <v>14</v>
      </c>
      <c r="CC11" s="12">
        <f t="shared" si="27"/>
        <v>66.2</v>
      </c>
      <c r="CD11" s="12" t="str">
        <f t="shared" si="28"/>
        <v/>
      </c>
      <c r="CE11" s="12">
        <f t="shared" si="29"/>
        <v>66.2</v>
      </c>
      <c r="CF11" s="45"/>
      <c r="CG11" s="45"/>
      <c r="CH11" s="45"/>
      <c r="CI11" s="45"/>
      <c r="CJ11" s="45"/>
      <c r="CK11" s="45"/>
      <c r="CL11" s="45"/>
      <c r="CM11" s="45"/>
      <c r="CN11" s="45"/>
      <c r="CO11" s="45"/>
      <c r="CP11" s="45"/>
      <c r="CQ11" s="45"/>
      <c r="CR11" s="45"/>
      <c r="CS11" s="45"/>
      <c r="CT11" s="45"/>
      <c r="CU11" s="45"/>
      <c r="CV11" s="15" t="str">
        <f t="shared" si="30"/>
        <v/>
      </c>
      <c r="CW11" s="15" t="str">
        <f t="shared" si="31"/>
        <v/>
      </c>
      <c r="CX11" s="15" t="str">
        <f t="shared" si="32"/>
        <v/>
      </c>
      <c r="CY11" s="15" t="str">
        <f t="shared" si="33"/>
        <v/>
      </c>
      <c r="CZ11" s="15" t="str">
        <f t="shared" si="34"/>
        <v/>
      </c>
      <c r="DA11" s="46">
        <v>0</v>
      </c>
      <c r="DB11" s="46">
        <v>0</v>
      </c>
      <c r="DC11" s="46">
        <v>0</v>
      </c>
      <c r="DD11" s="46">
        <v>0</v>
      </c>
      <c r="DE11" s="46">
        <v>27.8</v>
      </c>
      <c r="DF11" s="46">
        <v>6.4</v>
      </c>
      <c r="DG11" s="46">
        <v>0.9</v>
      </c>
      <c r="DH11" s="46">
        <v>0</v>
      </c>
      <c r="DI11" s="46"/>
      <c r="DJ11" s="46"/>
      <c r="DK11" s="46"/>
      <c r="DL11" s="46"/>
      <c r="DM11" s="46"/>
      <c r="DN11" s="46"/>
      <c r="DO11" s="46"/>
      <c r="DP11" s="46"/>
      <c r="DQ11" s="12">
        <f t="shared" si="35"/>
        <v>6.4</v>
      </c>
      <c r="DR11" s="12">
        <f t="shared" si="36"/>
        <v>6.4</v>
      </c>
      <c r="DS11" s="12">
        <f t="shared" si="37"/>
        <v>33.300000000000004</v>
      </c>
      <c r="DT11" s="12" t="str">
        <f t="shared" si="38"/>
        <v/>
      </c>
      <c r="DU11" s="12">
        <f t="shared" si="39"/>
        <v>33.300000000000004</v>
      </c>
      <c r="DV11" s="45"/>
      <c r="DW11" s="45"/>
      <c r="DX11" s="45"/>
      <c r="DY11" s="45"/>
      <c r="DZ11" s="45"/>
      <c r="EA11" s="45"/>
      <c r="EB11" s="45"/>
      <c r="EC11" s="45"/>
      <c r="ED11" s="45"/>
      <c r="EE11" s="45"/>
      <c r="EF11" s="45"/>
      <c r="EG11" s="45"/>
      <c r="EH11" s="45"/>
      <c r="EI11" s="45"/>
      <c r="EJ11" s="45"/>
      <c r="EK11" s="45"/>
      <c r="EL11" s="15" t="str">
        <f t="shared" si="40"/>
        <v/>
      </c>
      <c r="EM11" s="15" t="str">
        <f t="shared" si="41"/>
        <v/>
      </c>
      <c r="EN11" s="15" t="str">
        <f t="shared" si="42"/>
        <v/>
      </c>
      <c r="EO11" s="15" t="str">
        <f t="shared" si="43"/>
        <v/>
      </c>
      <c r="EP11" s="15" t="str">
        <f t="shared" si="44"/>
        <v/>
      </c>
      <c r="EQ11" s="46"/>
      <c r="ER11" s="46"/>
      <c r="ES11" s="46"/>
      <c r="ET11" s="46"/>
      <c r="EU11" s="46"/>
      <c r="EV11" s="46"/>
      <c r="EW11" s="46"/>
      <c r="EX11" s="46"/>
      <c r="EY11" s="46"/>
      <c r="EZ11" s="46"/>
      <c r="FA11" s="46"/>
      <c r="FB11" s="46"/>
      <c r="FC11" s="46"/>
      <c r="FD11" s="46"/>
      <c r="FE11" s="46"/>
      <c r="FF11" s="46"/>
      <c r="FG11" s="12" t="str">
        <f t="shared" si="45"/>
        <v/>
      </c>
      <c r="FH11" s="12" t="str">
        <f t="shared" si="46"/>
        <v/>
      </c>
      <c r="FI11" s="12" t="str">
        <f t="shared" si="47"/>
        <v/>
      </c>
      <c r="FJ11" s="12" t="str">
        <f t="shared" si="48"/>
        <v/>
      </c>
      <c r="FK11" s="12" t="str">
        <f t="shared" si="49"/>
        <v/>
      </c>
      <c r="FL11" s="45"/>
      <c r="FM11" s="45"/>
      <c r="FN11" s="45"/>
      <c r="FO11" s="45"/>
      <c r="FP11" s="45"/>
      <c r="FQ11" s="45"/>
      <c r="FR11" s="45"/>
      <c r="FS11" s="45"/>
      <c r="FT11" s="45"/>
      <c r="FU11" s="45"/>
      <c r="FV11" s="45"/>
      <c r="FW11" s="45"/>
      <c r="FX11" s="45"/>
      <c r="FY11" s="45"/>
      <c r="FZ11" s="45"/>
      <c r="GA11" s="45"/>
      <c r="GB11" s="15" t="str">
        <f t="shared" si="50"/>
        <v/>
      </c>
      <c r="GC11" s="15" t="str">
        <f t="shared" si="51"/>
        <v/>
      </c>
      <c r="GD11" s="15" t="str">
        <f t="shared" si="52"/>
        <v/>
      </c>
      <c r="GE11" s="15" t="str">
        <f t="shared" si="53"/>
        <v/>
      </c>
      <c r="GF11" s="15" t="str">
        <f t="shared" si="54"/>
        <v/>
      </c>
      <c r="GG11" s="46"/>
      <c r="GH11" s="46"/>
      <c r="GI11" s="46"/>
      <c r="GJ11" s="46"/>
      <c r="GK11" s="46"/>
      <c r="GL11" s="46"/>
      <c r="GM11" s="46"/>
      <c r="GN11" s="46"/>
      <c r="GO11" s="46"/>
      <c r="GP11" s="46"/>
      <c r="GQ11" s="46"/>
      <c r="GR11" s="46"/>
      <c r="GS11" s="46"/>
      <c r="GT11" s="46"/>
      <c r="GU11" s="46"/>
      <c r="GV11" s="46"/>
      <c r="GW11" s="12" t="str">
        <f t="shared" si="55"/>
        <v/>
      </c>
      <c r="GX11" s="12" t="str">
        <f t="shared" si="56"/>
        <v/>
      </c>
      <c r="GY11" s="12" t="str">
        <f t="shared" si="57"/>
        <v/>
      </c>
      <c r="GZ11" s="12" t="str">
        <f t="shared" si="58"/>
        <v/>
      </c>
      <c r="HA11" s="12" t="str">
        <f t="shared" si="59"/>
        <v/>
      </c>
      <c r="HB11" s="45"/>
      <c r="HC11" s="45"/>
      <c r="HD11" s="45"/>
      <c r="HE11" s="45"/>
      <c r="HF11" s="45"/>
      <c r="HG11" s="45"/>
      <c r="HH11" s="45"/>
      <c r="HI11" s="45"/>
      <c r="HJ11" s="45"/>
      <c r="HK11" s="45"/>
      <c r="HL11" s="45"/>
      <c r="HM11" s="45"/>
      <c r="HN11" s="45"/>
      <c r="HO11" s="45"/>
      <c r="HP11" s="45"/>
      <c r="HQ11" s="45"/>
      <c r="HR11" s="15" t="str">
        <f t="shared" si="60"/>
        <v/>
      </c>
      <c r="HS11" s="15" t="str">
        <f t="shared" si="61"/>
        <v/>
      </c>
      <c r="HT11" s="15" t="str">
        <f t="shared" si="62"/>
        <v/>
      </c>
      <c r="HU11" s="15" t="str">
        <f t="shared" si="63"/>
        <v/>
      </c>
      <c r="HV11" s="15" t="str">
        <f t="shared" si="64"/>
        <v/>
      </c>
      <c r="HW11" s="46"/>
      <c r="HX11" s="46"/>
      <c r="HY11" s="46"/>
      <c r="HZ11" s="46"/>
      <c r="IA11" s="46"/>
      <c r="IB11" s="46"/>
      <c r="IC11" s="46"/>
      <c r="ID11" s="46"/>
      <c r="IE11" s="46"/>
      <c r="IF11" s="46"/>
      <c r="IG11" s="46"/>
      <c r="IH11" s="46"/>
      <c r="II11" s="46"/>
      <c r="IJ11" s="46"/>
      <c r="IK11" s="46"/>
      <c r="IL11" s="46"/>
      <c r="IM11" s="12" t="str">
        <f t="shared" si="65"/>
        <v/>
      </c>
      <c r="IN11" s="12" t="str">
        <f t="shared" si="66"/>
        <v/>
      </c>
      <c r="IO11" s="12" t="str">
        <f t="shared" si="67"/>
        <v/>
      </c>
      <c r="IP11" s="12" t="str">
        <f t="shared" si="68"/>
        <v/>
      </c>
      <c r="IQ11" s="12" t="str">
        <f t="shared" si="69"/>
        <v/>
      </c>
      <c r="IR11" s="45"/>
      <c r="IS11" s="45"/>
      <c r="IT11" s="45"/>
      <c r="IU11" s="45"/>
      <c r="IV11" s="45"/>
      <c r="IW11" s="45"/>
      <c r="IX11" s="45"/>
      <c r="IY11" s="45"/>
      <c r="IZ11" s="45"/>
      <c r="JA11" s="45"/>
      <c r="JB11" s="45"/>
      <c r="JC11" s="45"/>
      <c r="JD11" s="45"/>
      <c r="JE11" s="45"/>
      <c r="JF11" s="45"/>
      <c r="JG11" s="45"/>
      <c r="JH11" s="15" t="str">
        <f t="shared" si="70"/>
        <v/>
      </c>
      <c r="JI11" s="15" t="str">
        <f t="shared" si="71"/>
        <v/>
      </c>
      <c r="JJ11" s="15" t="str">
        <f t="shared" si="72"/>
        <v/>
      </c>
      <c r="JK11" s="15" t="str">
        <f t="shared" si="73"/>
        <v/>
      </c>
      <c r="JL11" s="15" t="str">
        <f t="shared" si="74"/>
        <v/>
      </c>
      <c r="JM11" s="46"/>
      <c r="JN11" s="46"/>
      <c r="JO11" s="46"/>
      <c r="JP11" s="46"/>
      <c r="JQ11" s="46"/>
      <c r="JR11" s="46"/>
      <c r="JS11" s="46"/>
      <c r="JT11" s="46"/>
      <c r="JU11" s="46"/>
      <c r="JV11" s="46"/>
      <c r="JW11" s="46"/>
      <c r="JX11" s="46"/>
      <c r="JY11" s="46"/>
      <c r="JZ11" s="46"/>
      <c r="KA11" s="46"/>
      <c r="KB11" s="46"/>
      <c r="KC11" s="12" t="str">
        <f t="shared" si="75"/>
        <v/>
      </c>
      <c r="KD11" s="12" t="str">
        <f t="shared" si="76"/>
        <v/>
      </c>
      <c r="KE11" s="12" t="str">
        <f t="shared" si="77"/>
        <v/>
      </c>
      <c r="KF11" s="12" t="str">
        <f t="shared" si="78"/>
        <v/>
      </c>
      <c r="KG11" s="12" t="str">
        <f t="shared" si="79"/>
        <v/>
      </c>
      <c r="KH11" s="45"/>
      <c r="KI11" s="45"/>
      <c r="KJ11" s="45"/>
      <c r="KK11" s="45"/>
      <c r="KL11" s="45"/>
      <c r="KM11" s="45"/>
      <c r="KN11" s="45"/>
      <c r="KO11" s="45"/>
      <c r="KP11" s="45"/>
      <c r="KQ11" s="45"/>
      <c r="KR11" s="45"/>
      <c r="KS11" s="45"/>
      <c r="KT11" s="45"/>
      <c r="KU11" s="45"/>
      <c r="KV11" s="45"/>
      <c r="KW11" s="45"/>
      <c r="KX11" s="15" t="str">
        <f t="shared" si="80"/>
        <v/>
      </c>
      <c r="KY11" s="15" t="str">
        <f t="shared" si="81"/>
        <v/>
      </c>
      <c r="KZ11" s="15" t="str">
        <f t="shared" si="82"/>
        <v/>
      </c>
      <c r="LA11" s="15" t="str">
        <f t="shared" si="83"/>
        <v/>
      </c>
      <c r="LB11" s="15" t="str">
        <f t="shared" si="84"/>
        <v/>
      </c>
      <c r="LC11" s="71">
        <f t="shared" si="91"/>
        <v>12.45</v>
      </c>
      <c r="LD11" s="71">
        <f t="shared" si="85"/>
        <v>4</v>
      </c>
      <c r="LE11" s="71">
        <f t="shared" si="85"/>
        <v>0.75</v>
      </c>
      <c r="LF11" s="71">
        <f t="shared" si="85"/>
        <v>0</v>
      </c>
      <c r="LG11" s="71">
        <f t="shared" si="85"/>
        <v>27.049999999999997</v>
      </c>
      <c r="LH11" s="71">
        <f t="shared" si="85"/>
        <v>7</v>
      </c>
      <c r="LI11" s="71">
        <f t="shared" si="85"/>
        <v>0.9</v>
      </c>
      <c r="LJ11" s="71">
        <f t="shared" si="85"/>
        <v>0</v>
      </c>
      <c r="LK11" s="71">
        <f t="shared" si="85"/>
        <v>14.1</v>
      </c>
      <c r="LL11" s="71">
        <f t="shared" si="85"/>
        <v>3.4</v>
      </c>
      <c r="LM11" s="71">
        <f t="shared" si="85"/>
        <v>0.45</v>
      </c>
      <c r="LN11" s="71">
        <f t="shared" si="85"/>
        <v>0</v>
      </c>
      <c r="LO11" s="71">
        <f t="shared" si="85"/>
        <v>13.35</v>
      </c>
      <c r="LP11" s="71">
        <f t="shared" si="85"/>
        <v>2.6</v>
      </c>
      <c r="LQ11" s="71">
        <f t="shared" si="85"/>
        <v>1.1499999999999999</v>
      </c>
      <c r="LR11" s="71">
        <f t="shared" si="85"/>
        <v>0</v>
      </c>
      <c r="LS11" s="82" t="s">
        <v>100</v>
      </c>
      <c r="LT11" s="12">
        <f t="shared" si="92"/>
        <v>11</v>
      </c>
      <c r="LU11" s="12">
        <f t="shared" si="93"/>
        <v>17</v>
      </c>
      <c r="LV11" s="12">
        <f t="shared" si="94"/>
        <v>48.85</v>
      </c>
      <c r="LW11" s="12">
        <f t="shared" si="95"/>
        <v>31.85</v>
      </c>
      <c r="LX11" s="12">
        <f t="shared" si="96"/>
        <v>80.7</v>
      </c>
    </row>
    <row r="12" spans="1:336" x14ac:dyDescent="0.2">
      <c r="A12" s="6" t="str">
        <f t="shared" si="0"/>
        <v/>
      </c>
      <c r="B12" s="9" t="s">
        <v>52</v>
      </c>
      <c r="C12" s="5" t="s">
        <v>5</v>
      </c>
      <c r="D12" s="6">
        <v>1998</v>
      </c>
      <c r="E12" s="16">
        <f t="shared" si="1"/>
        <v>194.75</v>
      </c>
      <c r="F12" s="4" t="str">
        <f t="shared" si="2"/>
        <v/>
      </c>
      <c r="G12" s="4" t="str">
        <f t="shared" si="3"/>
        <v/>
      </c>
      <c r="H12" s="4" t="str">
        <f t="shared" si="4"/>
        <v/>
      </c>
      <c r="I12" t="str">
        <f t="shared" si="5"/>
        <v/>
      </c>
      <c r="J12" s="15">
        <f t="shared" si="6"/>
        <v>124.10000000000001</v>
      </c>
      <c r="K12" s="15" t="str">
        <f t="shared" si="7"/>
        <v>2019 Nationals</v>
      </c>
      <c r="L12" s="15">
        <f t="shared" si="8"/>
        <v>70.650000000000006</v>
      </c>
      <c r="M12" s="15" t="str">
        <f t="shared" si="9"/>
        <v>2019 Elite Canada</v>
      </c>
      <c r="N12" s="15" t="str">
        <f t="shared" si="10"/>
        <v/>
      </c>
      <c r="O12" s="27" t="str">
        <f t="shared" si="11"/>
        <v/>
      </c>
      <c r="P12" s="15" t="str">
        <f t="shared" si="12"/>
        <v/>
      </c>
      <c r="Q12" s="71">
        <v>27.65</v>
      </c>
      <c r="R12" s="71">
        <v>8.4</v>
      </c>
      <c r="S12" s="71">
        <v>0.3</v>
      </c>
      <c r="T12" s="71">
        <v>0</v>
      </c>
      <c r="U12" s="71">
        <v>27.1</v>
      </c>
      <c r="V12" s="71">
        <v>8.1</v>
      </c>
      <c r="W12" s="71">
        <v>0.3</v>
      </c>
      <c r="X12" s="71">
        <v>0</v>
      </c>
      <c r="Y12" s="71">
        <v>14.25</v>
      </c>
      <c r="Z12" s="71">
        <v>3.4</v>
      </c>
      <c r="AA12" s="71">
        <v>0.15</v>
      </c>
      <c r="AB12" s="71">
        <v>0</v>
      </c>
      <c r="AC12" s="71">
        <v>28.5</v>
      </c>
      <c r="AD12" s="71">
        <v>7.6</v>
      </c>
      <c r="AE12" s="71">
        <v>0.15</v>
      </c>
      <c r="AF12" s="71">
        <v>0</v>
      </c>
      <c r="AG12" s="82" t="s">
        <v>100</v>
      </c>
      <c r="AH12" s="12">
        <f t="shared" si="13"/>
        <v>16.5</v>
      </c>
      <c r="AI12" s="12">
        <f t="shared" si="14"/>
        <v>27.5</v>
      </c>
      <c r="AJ12" s="12">
        <f t="shared" si="15"/>
        <v>70.650000000000006</v>
      </c>
      <c r="AK12" s="12">
        <f t="shared" si="16"/>
        <v>53.45</v>
      </c>
      <c r="AL12" s="12">
        <f t="shared" si="17"/>
        <v>124.10000000000001</v>
      </c>
      <c r="AM12" s="40">
        <v>27.65</v>
      </c>
      <c r="AN12" s="40">
        <v>8.4</v>
      </c>
      <c r="AO12" s="40">
        <v>0.3</v>
      </c>
      <c r="AP12" s="40">
        <v>0</v>
      </c>
      <c r="AQ12" s="40">
        <v>27.1</v>
      </c>
      <c r="AR12" s="40">
        <v>8.1</v>
      </c>
      <c r="AS12" s="40">
        <v>0.3</v>
      </c>
      <c r="AT12" s="40">
        <v>0</v>
      </c>
      <c r="AU12" s="40">
        <v>14.25</v>
      </c>
      <c r="AV12" s="40">
        <v>3.4</v>
      </c>
      <c r="AW12" s="40">
        <v>0.15</v>
      </c>
      <c r="AX12" s="40">
        <v>0</v>
      </c>
      <c r="AY12" s="40">
        <v>28.5</v>
      </c>
      <c r="AZ12" s="40">
        <v>7.6</v>
      </c>
      <c r="BA12" s="40">
        <v>0.15</v>
      </c>
      <c r="BB12" s="40">
        <v>0</v>
      </c>
      <c r="BC12" s="83" t="s">
        <v>100</v>
      </c>
      <c r="BD12" s="15">
        <f t="shared" si="18"/>
        <v>16.5</v>
      </c>
      <c r="BE12" s="15">
        <f t="shared" si="19"/>
        <v>27.5</v>
      </c>
      <c r="BF12" s="15">
        <f t="shared" si="20"/>
        <v>70.650000000000006</v>
      </c>
      <c r="BG12" s="15">
        <f t="shared" si="21"/>
        <v>53.45</v>
      </c>
      <c r="BH12" s="15">
        <f t="shared" si="22"/>
        <v>124.10000000000001</v>
      </c>
      <c r="BI12" s="26" t="str">
        <f t="shared" si="23"/>
        <v/>
      </c>
      <c r="BJ12" s="26" t="str">
        <f t="shared" si="24"/>
        <v/>
      </c>
      <c r="BK12" s="46">
        <v>27.2</v>
      </c>
      <c r="BL12" s="46">
        <v>8.4</v>
      </c>
      <c r="BM12" s="46">
        <v>1.2</v>
      </c>
      <c r="BN12" s="46">
        <v>0</v>
      </c>
      <c r="BO12" s="46">
        <v>27.6</v>
      </c>
      <c r="BP12" s="46">
        <v>8.4</v>
      </c>
      <c r="BQ12" s="46">
        <v>1.2</v>
      </c>
      <c r="BR12" s="46">
        <v>0</v>
      </c>
      <c r="BS12" s="46"/>
      <c r="BT12" s="46"/>
      <c r="BU12" s="46"/>
      <c r="BV12" s="46"/>
      <c r="BW12" s="46"/>
      <c r="BX12" s="46"/>
      <c r="BY12" s="46"/>
      <c r="BZ12" s="46"/>
      <c r="CA12" s="12">
        <f t="shared" si="25"/>
        <v>16.8</v>
      </c>
      <c r="CB12" s="12">
        <f t="shared" si="26"/>
        <v>16.8</v>
      </c>
      <c r="CC12" s="12">
        <f t="shared" si="27"/>
        <v>69.2</v>
      </c>
      <c r="CD12" s="12" t="str">
        <f t="shared" si="28"/>
        <v/>
      </c>
      <c r="CE12" s="12">
        <f t="shared" si="29"/>
        <v>69.2</v>
      </c>
      <c r="CF12" s="45"/>
      <c r="CG12" s="45"/>
      <c r="CH12" s="45"/>
      <c r="CI12" s="45"/>
      <c r="CJ12" s="45"/>
      <c r="CK12" s="45"/>
      <c r="CL12" s="45"/>
      <c r="CM12" s="45"/>
      <c r="CN12" s="45"/>
      <c r="CO12" s="45"/>
      <c r="CP12" s="45"/>
      <c r="CQ12" s="45"/>
      <c r="CR12" s="45"/>
      <c r="CS12" s="45"/>
      <c r="CT12" s="45"/>
      <c r="CU12" s="45"/>
      <c r="CV12" s="15" t="str">
        <f t="shared" si="30"/>
        <v/>
      </c>
      <c r="CW12" s="15" t="str">
        <f t="shared" si="31"/>
        <v/>
      </c>
      <c r="CX12" s="15" t="str">
        <f t="shared" si="32"/>
        <v/>
      </c>
      <c r="CY12" s="15" t="str">
        <f t="shared" si="33"/>
        <v/>
      </c>
      <c r="CZ12" s="15" t="str">
        <f t="shared" si="34"/>
        <v/>
      </c>
      <c r="DA12" s="46"/>
      <c r="DB12" s="46"/>
      <c r="DC12" s="46"/>
      <c r="DD12" s="46"/>
      <c r="DE12" s="46"/>
      <c r="DF12" s="46"/>
      <c r="DG12" s="46"/>
      <c r="DH12" s="46"/>
      <c r="DI12" s="46"/>
      <c r="DJ12" s="46"/>
      <c r="DK12" s="46"/>
      <c r="DL12" s="46"/>
      <c r="DM12" s="46"/>
      <c r="DN12" s="46"/>
      <c r="DO12" s="46"/>
      <c r="DP12" s="46"/>
      <c r="DQ12" s="12" t="str">
        <f t="shared" si="35"/>
        <v/>
      </c>
      <c r="DR12" s="12" t="str">
        <f t="shared" si="36"/>
        <v/>
      </c>
      <c r="DS12" s="12" t="str">
        <f t="shared" si="37"/>
        <v/>
      </c>
      <c r="DT12" s="12" t="str">
        <f t="shared" si="38"/>
        <v/>
      </c>
      <c r="DU12" s="12" t="str">
        <f t="shared" si="39"/>
        <v/>
      </c>
      <c r="DV12" s="45"/>
      <c r="DW12" s="45"/>
      <c r="DX12" s="45"/>
      <c r="DY12" s="45"/>
      <c r="DZ12" s="45"/>
      <c r="EA12" s="45"/>
      <c r="EB12" s="45"/>
      <c r="EC12" s="45"/>
      <c r="ED12" s="45"/>
      <c r="EE12" s="45"/>
      <c r="EF12" s="45"/>
      <c r="EG12" s="45"/>
      <c r="EH12" s="45"/>
      <c r="EI12" s="45"/>
      <c r="EJ12" s="45"/>
      <c r="EK12" s="45"/>
      <c r="EL12" s="15" t="str">
        <f t="shared" si="40"/>
        <v/>
      </c>
      <c r="EM12" s="15" t="str">
        <f t="shared" si="41"/>
        <v/>
      </c>
      <c r="EN12" s="15" t="str">
        <f t="shared" si="42"/>
        <v/>
      </c>
      <c r="EO12" s="15" t="str">
        <f t="shared" si="43"/>
        <v/>
      </c>
      <c r="EP12" s="15" t="str">
        <f t="shared" si="44"/>
        <v/>
      </c>
      <c r="EQ12" s="46"/>
      <c r="ER12" s="46"/>
      <c r="ES12" s="46"/>
      <c r="ET12" s="46"/>
      <c r="EU12" s="46"/>
      <c r="EV12" s="46"/>
      <c r="EW12" s="46"/>
      <c r="EX12" s="46"/>
      <c r="EY12" s="46"/>
      <c r="EZ12" s="46"/>
      <c r="FA12" s="46"/>
      <c r="FB12" s="46"/>
      <c r="FC12" s="46"/>
      <c r="FD12" s="46"/>
      <c r="FE12" s="46"/>
      <c r="FF12" s="46"/>
      <c r="FG12" s="12" t="str">
        <f t="shared" si="45"/>
        <v/>
      </c>
      <c r="FH12" s="12" t="str">
        <f t="shared" si="46"/>
        <v/>
      </c>
      <c r="FI12" s="12" t="str">
        <f t="shared" si="47"/>
        <v/>
      </c>
      <c r="FJ12" s="12" t="str">
        <f t="shared" si="48"/>
        <v/>
      </c>
      <c r="FK12" s="12" t="str">
        <f t="shared" si="49"/>
        <v/>
      </c>
      <c r="FL12" s="45"/>
      <c r="FM12" s="45"/>
      <c r="FN12" s="45"/>
      <c r="FO12" s="45"/>
      <c r="FP12" s="45"/>
      <c r="FQ12" s="45"/>
      <c r="FR12" s="45"/>
      <c r="FS12" s="45"/>
      <c r="FT12" s="45"/>
      <c r="FU12" s="45"/>
      <c r="FV12" s="45"/>
      <c r="FW12" s="45"/>
      <c r="FX12" s="45"/>
      <c r="FY12" s="45"/>
      <c r="FZ12" s="45"/>
      <c r="GA12" s="45"/>
      <c r="GB12" s="15" t="str">
        <f t="shared" si="50"/>
        <v/>
      </c>
      <c r="GC12" s="15" t="str">
        <f t="shared" si="51"/>
        <v/>
      </c>
      <c r="GD12" s="15" t="str">
        <f t="shared" si="52"/>
        <v/>
      </c>
      <c r="GE12" s="15" t="str">
        <f t="shared" si="53"/>
        <v/>
      </c>
      <c r="GF12" s="15" t="str">
        <f t="shared" si="54"/>
        <v/>
      </c>
      <c r="GG12" s="46"/>
      <c r="GH12" s="46"/>
      <c r="GI12" s="46"/>
      <c r="GJ12" s="46"/>
      <c r="GK12" s="46"/>
      <c r="GL12" s="46"/>
      <c r="GM12" s="46"/>
      <c r="GN12" s="46"/>
      <c r="GO12" s="46"/>
      <c r="GP12" s="46"/>
      <c r="GQ12" s="46"/>
      <c r="GR12" s="46"/>
      <c r="GS12" s="46"/>
      <c r="GT12" s="46"/>
      <c r="GU12" s="46"/>
      <c r="GV12" s="46"/>
      <c r="GW12" s="12" t="str">
        <f t="shared" si="55"/>
        <v/>
      </c>
      <c r="GX12" s="12" t="str">
        <f t="shared" si="56"/>
        <v/>
      </c>
      <c r="GY12" s="12" t="str">
        <f t="shared" si="57"/>
        <v/>
      </c>
      <c r="GZ12" s="12" t="str">
        <f t="shared" si="58"/>
        <v/>
      </c>
      <c r="HA12" s="12" t="str">
        <f t="shared" si="59"/>
        <v/>
      </c>
      <c r="HB12" s="45"/>
      <c r="HC12" s="45"/>
      <c r="HD12" s="45"/>
      <c r="HE12" s="45"/>
      <c r="HF12" s="45"/>
      <c r="HG12" s="45"/>
      <c r="HH12" s="45"/>
      <c r="HI12" s="45"/>
      <c r="HJ12" s="45"/>
      <c r="HK12" s="45"/>
      <c r="HL12" s="45"/>
      <c r="HM12" s="45"/>
      <c r="HN12" s="45"/>
      <c r="HO12" s="45"/>
      <c r="HP12" s="45"/>
      <c r="HQ12" s="45"/>
      <c r="HR12" s="15" t="str">
        <f t="shared" si="60"/>
        <v/>
      </c>
      <c r="HS12" s="15" t="str">
        <f t="shared" si="61"/>
        <v/>
      </c>
      <c r="HT12" s="15" t="str">
        <f t="shared" si="62"/>
        <v/>
      </c>
      <c r="HU12" s="15" t="str">
        <f t="shared" si="63"/>
        <v/>
      </c>
      <c r="HV12" s="15" t="str">
        <f t="shared" si="64"/>
        <v/>
      </c>
      <c r="HW12" s="46"/>
      <c r="HX12" s="46"/>
      <c r="HY12" s="46"/>
      <c r="HZ12" s="46"/>
      <c r="IA12" s="46"/>
      <c r="IB12" s="46"/>
      <c r="IC12" s="46"/>
      <c r="ID12" s="46"/>
      <c r="IE12" s="46"/>
      <c r="IF12" s="46"/>
      <c r="IG12" s="46"/>
      <c r="IH12" s="46"/>
      <c r="II12" s="46"/>
      <c r="IJ12" s="46"/>
      <c r="IK12" s="46"/>
      <c r="IL12" s="46"/>
      <c r="IM12" s="12" t="str">
        <f t="shared" si="65"/>
        <v/>
      </c>
      <c r="IN12" s="12" t="str">
        <f t="shared" si="66"/>
        <v/>
      </c>
      <c r="IO12" s="12" t="str">
        <f t="shared" si="67"/>
        <v/>
      </c>
      <c r="IP12" s="12" t="str">
        <f t="shared" si="68"/>
        <v/>
      </c>
      <c r="IQ12" s="12" t="str">
        <f t="shared" si="69"/>
        <v/>
      </c>
      <c r="IR12" s="45"/>
      <c r="IS12" s="45"/>
      <c r="IT12" s="45"/>
      <c r="IU12" s="45"/>
      <c r="IV12" s="45"/>
      <c r="IW12" s="45"/>
      <c r="IX12" s="45"/>
      <c r="IY12" s="45"/>
      <c r="IZ12" s="45"/>
      <c r="JA12" s="45"/>
      <c r="JB12" s="45"/>
      <c r="JC12" s="45"/>
      <c r="JD12" s="45"/>
      <c r="JE12" s="45"/>
      <c r="JF12" s="45"/>
      <c r="JG12" s="45"/>
      <c r="JH12" s="15" t="str">
        <f t="shared" si="70"/>
        <v/>
      </c>
      <c r="JI12" s="15" t="str">
        <f t="shared" si="71"/>
        <v/>
      </c>
      <c r="JJ12" s="15" t="str">
        <f t="shared" si="72"/>
        <v/>
      </c>
      <c r="JK12" s="15" t="str">
        <f t="shared" si="73"/>
        <v/>
      </c>
      <c r="JL12" s="15" t="str">
        <f t="shared" si="74"/>
        <v/>
      </c>
      <c r="JM12" s="46"/>
      <c r="JN12" s="46"/>
      <c r="JO12" s="46"/>
      <c r="JP12" s="46"/>
      <c r="JQ12" s="46"/>
      <c r="JR12" s="46"/>
      <c r="JS12" s="46"/>
      <c r="JT12" s="46"/>
      <c r="JU12" s="46"/>
      <c r="JV12" s="46"/>
      <c r="JW12" s="46"/>
      <c r="JX12" s="46"/>
      <c r="JY12" s="46"/>
      <c r="JZ12" s="46"/>
      <c r="KA12" s="46"/>
      <c r="KB12" s="46"/>
      <c r="KC12" s="12" t="str">
        <f t="shared" si="75"/>
        <v/>
      </c>
      <c r="KD12" s="12" t="str">
        <f t="shared" si="76"/>
        <v/>
      </c>
      <c r="KE12" s="12" t="str">
        <f t="shared" si="77"/>
        <v/>
      </c>
      <c r="KF12" s="12" t="str">
        <f t="shared" si="78"/>
        <v/>
      </c>
      <c r="KG12" s="12" t="str">
        <f t="shared" si="79"/>
        <v/>
      </c>
      <c r="KH12" s="45"/>
      <c r="KI12" s="45"/>
      <c r="KJ12" s="45"/>
      <c r="KK12" s="45"/>
      <c r="KL12" s="45"/>
      <c r="KM12" s="45"/>
      <c r="KN12" s="45"/>
      <c r="KO12" s="45"/>
      <c r="KP12" s="45"/>
      <c r="KQ12" s="45"/>
      <c r="KR12" s="45"/>
      <c r="KS12" s="45"/>
      <c r="KT12" s="45"/>
      <c r="KU12" s="45"/>
      <c r="KV12" s="45"/>
      <c r="KW12" s="45"/>
      <c r="KX12" s="15" t="str">
        <f t="shared" si="80"/>
        <v/>
      </c>
      <c r="KY12" s="15" t="str">
        <f t="shared" si="81"/>
        <v/>
      </c>
      <c r="KZ12" s="15" t="str">
        <f t="shared" si="82"/>
        <v/>
      </c>
      <c r="LA12" s="15" t="str">
        <f t="shared" si="83"/>
        <v/>
      </c>
      <c r="LB12" s="15" t="str">
        <f t="shared" si="84"/>
        <v/>
      </c>
      <c r="LC12" s="71">
        <f t="shared" si="91"/>
        <v>27.65</v>
      </c>
      <c r="LD12" s="71">
        <f t="shared" si="85"/>
        <v>8.4</v>
      </c>
      <c r="LE12" s="71">
        <f t="shared" si="85"/>
        <v>0.3</v>
      </c>
      <c r="LF12" s="71">
        <f t="shared" si="85"/>
        <v>0</v>
      </c>
      <c r="LG12" s="71">
        <f t="shared" si="85"/>
        <v>27.1</v>
      </c>
      <c r="LH12" s="71">
        <f t="shared" si="85"/>
        <v>8.1</v>
      </c>
      <c r="LI12" s="71">
        <f t="shared" si="85"/>
        <v>0.3</v>
      </c>
      <c r="LJ12" s="71">
        <f t="shared" si="85"/>
        <v>0</v>
      </c>
      <c r="LK12" s="71">
        <f t="shared" si="85"/>
        <v>14.25</v>
      </c>
      <c r="LL12" s="71">
        <f t="shared" si="85"/>
        <v>3.4</v>
      </c>
      <c r="LM12" s="71">
        <f t="shared" si="85"/>
        <v>0.15</v>
      </c>
      <c r="LN12" s="71">
        <f t="shared" si="85"/>
        <v>0</v>
      </c>
      <c r="LO12" s="71">
        <f t="shared" si="85"/>
        <v>28.5</v>
      </c>
      <c r="LP12" s="71">
        <f t="shared" si="85"/>
        <v>7.6</v>
      </c>
      <c r="LQ12" s="71">
        <f t="shared" si="85"/>
        <v>0.15</v>
      </c>
      <c r="LR12" s="71">
        <f t="shared" si="85"/>
        <v>0</v>
      </c>
      <c r="LS12" s="82" t="s">
        <v>100</v>
      </c>
      <c r="LT12" s="12">
        <f t="shared" si="92"/>
        <v>16.5</v>
      </c>
      <c r="LU12" s="12">
        <f t="shared" si="93"/>
        <v>27.5</v>
      </c>
      <c r="LV12" s="12">
        <f t="shared" si="94"/>
        <v>70.650000000000006</v>
      </c>
      <c r="LW12" s="12">
        <f t="shared" si="95"/>
        <v>53.45</v>
      </c>
      <c r="LX12" s="12">
        <f t="shared" si="96"/>
        <v>124.10000000000001</v>
      </c>
    </row>
    <row r="13" spans="1:336" x14ac:dyDescent="0.2">
      <c r="A13" s="6">
        <f t="shared" si="0"/>
        <v>7</v>
      </c>
      <c r="B13" s="9" t="s">
        <v>53</v>
      </c>
      <c r="C13" s="5" t="s">
        <v>10</v>
      </c>
      <c r="D13" s="6">
        <v>1998</v>
      </c>
      <c r="E13" s="16">
        <f t="shared" si="1"/>
        <v>188.4</v>
      </c>
      <c r="F13" s="4" t="str">
        <f t="shared" si="2"/>
        <v/>
      </c>
      <c r="G13" s="4" t="str">
        <f t="shared" si="3"/>
        <v/>
      </c>
      <c r="H13" s="4" t="str">
        <f t="shared" si="4"/>
        <v>P</v>
      </c>
      <c r="I13" t="str">
        <f t="shared" si="5"/>
        <v>No DD</v>
      </c>
      <c r="J13" s="15">
        <f t="shared" si="6"/>
        <v>136.80000000000001</v>
      </c>
      <c r="K13" s="15" t="str">
        <f t="shared" si="7"/>
        <v>2019 Elite Canada</v>
      </c>
      <c r="L13" s="15">
        <f t="shared" si="8"/>
        <v>51.599999999999994</v>
      </c>
      <c r="M13" s="15" t="str">
        <f t="shared" si="9"/>
        <v>2019 Nationals</v>
      </c>
      <c r="N13" s="15" t="str">
        <f t="shared" si="10"/>
        <v/>
      </c>
      <c r="O13" s="27" t="str">
        <f t="shared" si="11"/>
        <v/>
      </c>
      <c r="P13" s="15" t="str">
        <f t="shared" si="12"/>
        <v/>
      </c>
      <c r="Q13" s="71">
        <v>28.7</v>
      </c>
      <c r="R13" s="71">
        <v>6.8</v>
      </c>
      <c r="S13" s="71">
        <v>0.3</v>
      </c>
      <c r="T13" s="71">
        <v>0</v>
      </c>
      <c r="U13" s="71">
        <v>28.3</v>
      </c>
      <c r="V13" s="71">
        <v>6.4</v>
      </c>
      <c r="W13" s="71">
        <v>0</v>
      </c>
      <c r="X13" s="71">
        <v>0</v>
      </c>
      <c r="Y13" s="71">
        <v>27.6</v>
      </c>
      <c r="Z13" s="71">
        <v>7</v>
      </c>
      <c r="AA13" s="71">
        <v>0.9</v>
      </c>
      <c r="AB13" s="71">
        <v>0</v>
      </c>
      <c r="AC13" s="71">
        <v>27.7</v>
      </c>
      <c r="AD13" s="71">
        <v>6.4</v>
      </c>
      <c r="AE13" s="71">
        <v>0.9</v>
      </c>
      <c r="AF13" s="71">
        <v>0</v>
      </c>
      <c r="AG13" s="82"/>
      <c r="AH13" s="12">
        <f t="shared" si="13"/>
        <v>13.2</v>
      </c>
      <c r="AI13" s="12">
        <f t="shared" si="14"/>
        <v>26.6</v>
      </c>
      <c r="AJ13" s="12">
        <f t="shared" si="15"/>
        <v>69.900000000000006</v>
      </c>
      <c r="AK13" s="12">
        <f t="shared" si="16"/>
        <v>66.900000000000006</v>
      </c>
      <c r="AL13" s="12">
        <f t="shared" si="17"/>
        <v>136.80000000000001</v>
      </c>
      <c r="AM13" s="40">
        <v>27.5</v>
      </c>
      <c r="AN13" s="40">
        <v>3.7</v>
      </c>
      <c r="AO13" s="40">
        <v>2.6</v>
      </c>
      <c r="AP13" s="40">
        <v>0</v>
      </c>
      <c r="AQ13" s="40">
        <v>20.2</v>
      </c>
      <c r="AR13" s="40">
        <v>2.8</v>
      </c>
      <c r="AS13" s="40">
        <v>0</v>
      </c>
      <c r="AT13" s="40">
        <v>0</v>
      </c>
      <c r="AU13" s="40"/>
      <c r="AV13" s="40"/>
      <c r="AW13" s="40"/>
      <c r="AX13" s="40"/>
      <c r="AY13" s="40"/>
      <c r="AZ13" s="40"/>
      <c r="BA13" s="40"/>
      <c r="BB13" s="40"/>
      <c r="BC13" s="83"/>
      <c r="BD13" s="15">
        <f t="shared" si="18"/>
        <v>6.5</v>
      </c>
      <c r="BE13" s="15">
        <f t="shared" si="19"/>
        <v>6.5</v>
      </c>
      <c r="BF13" s="15">
        <f t="shared" si="20"/>
        <v>51.599999999999994</v>
      </c>
      <c r="BG13" s="15" t="str">
        <f t="shared" si="21"/>
        <v/>
      </c>
      <c r="BH13" s="15">
        <f t="shared" si="22"/>
        <v>51.599999999999994</v>
      </c>
      <c r="BI13" s="26" t="str">
        <f t="shared" si="23"/>
        <v/>
      </c>
      <c r="BJ13" s="26" t="str">
        <f t="shared" si="24"/>
        <v/>
      </c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12" t="str">
        <f t="shared" si="25"/>
        <v/>
      </c>
      <c r="CB13" s="12" t="str">
        <f t="shared" si="26"/>
        <v/>
      </c>
      <c r="CC13" s="12" t="str">
        <f t="shared" si="27"/>
        <v/>
      </c>
      <c r="CD13" s="12" t="str">
        <f t="shared" si="28"/>
        <v/>
      </c>
      <c r="CE13" s="12" t="str">
        <f t="shared" si="29"/>
        <v/>
      </c>
      <c r="CF13" s="45"/>
      <c r="CG13" s="45"/>
      <c r="CH13" s="45"/>
      <c r="CI13" s="45"/>
      <c r="CJ13" s="45"/>
      <c r="CK13" s="45"/>
      <c r="CL13" s="45"/>
      <c r="CM13" s="45"/>
      <c r="CN13" s="45"/>
      <c r="CO13" s="45"/>
      <c r="CP13" s="45"/>
      <c r="CQ13" s="45"/>
      <c r="CR13" s="45"/>
      <c r="CS13" s="45"/>
      <c r="CT13" s="45"/>
      <c r="CU13" s="45"/>
      <c r="CV13" s="15" t="str">
        <f t="shared" si="30"/>
        <v/>
      </c>
      <c r="CW13" s="15" t="str">
        <f t="shared" si="31"/>
        <v/>
      </c>
      <c r="CX13" s="15" t="str">
        <f t="shared" si="32"/>
        <v/>
      </c>
      <c r="CY13" s="15" t="str">
        <f t="shared" si="33"/>
        <v/>
      </c>
      <c r="CZ13" s="15" t="str">
        <f t="shared" si="34"/>
        <v/>
      </c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12" t="str">
        <f t="shared" si="35"/>
        <v/>
      </c>
      <c r="DR13" s="12" t="str">
        <f t="shared" si="36"/>
        <v/>
      </c>
      <c r="DS13" s="12" t="str">
        <f t="shared" si="37"/>
        <v/>
      </c>
      <c r="DT13" s="12" t="str">
        <f t="shared" si="38"/>
        <v/>
      </c>
      <c r="DU13" s="12" t="str">
        <f t="shared" si="39"/>
        <v/>
      </c>
      <c r="DV13" s="45"/>
      <c r="DW13" s="45"/>
      <c r="DX13" s="45"/>
      <c r="DY13" s="45"/>
      <c r="DZ13" s="45"/>
      <c r="EA13" s="45"/>
      <c r="EB13" s="45"/>
      <c r="EC13" s="45"/>
      <c r="ED13" s="45"/>
      <c r="EE13" s="45"/>
      <c r="EF13" s="45"/>
      <c r="EG13" s="45"/>
      <c r="EH13" s="45"/>
      <c r="EI13" s="45"/>
      <c r="EJ13" s="45"/>
      <c r="EK13" s="45"/>
      <c r="EL13" s="15" t="str">
        <f t="shared" si="40"/>
        <v/>
      </c>
      <c r="EM13" s="15" t="str">
        <f t="shared" si="41"/>
        <v/>
      </c>
      <c r="EN13" s="15" t="str">
        <f t="shared" si="42"/>
        <v/>
      </c>
      <c r="EO13" s="15" t="str">
        <f t="shared" si="43"/>
        <v/>
      </c>
      <c r="EP13" s="15" t="str">
        <f t="shared" si="44"/>
        <v/>
      </c>
      <c r="EQ13" s="46"/>
      <c r="ER13" s="46"/>
      <c r="ES13" s="46"/>
      <c r="ET13" s="46"/>
      <c r="EU13" s="46"/>
      <c r="EV13" s="46"/>
      <c r="EW13" s="46"/>
      <c r="EX13" s="46"/>
      <c r="EY13" s="46"/>
      <c r="EZ13" s="46"/>
      <c r="FA13" s="46"/>
      <c r="FB13" s="46"/>
      <c r="FC13" s="46"/>
      <c r="FD13" s="46"/>
      <c r="FE13" s="46"/>
      <c r="FF13" s="46"/>
      <c r="FG13" s="12" t="str">
        <f t="shared" si="45"/>
        <v/>
      </c>
      <c r="FH13" s="12" t="str">
        <f t="shared" si="46"/>
        <v/>
      </c>
      <c r="FI13" s="12" t="str">
        <f t="shared" si="47"/>
        <v/>
      </c>
      <c r="FJ13" s="12" t="str">
        <f t="shared" si="48"/>
        <v/>
      </c>
      <c r="FK13" s="12" t="str">
        <f t="shared" si="49"/>
        <v/>
      </c>
      <c r="FL13" s="45"/>
      <c r="FM13" s="45"/>
      <c r="FN13" s="45"/>
      <c r="FO13" s="45"/>
      <c r="FP13" s="45"/>
      <c r="FQ13" s="45"/>
      <c r="FR13" s="45"/>
      <c r="FS13" s="45"/>
      <c r="FT13" s="45"/>
      <c r="FU13" s="45"/>
      <c r="FV13" s="45"/>
      <c r="FW13" s="45"/>
      <c r="FX13" s="45"/>
      <c r="FY13" s="45"/>
      <c r="FZ13" s="45"/>
      <c r="GA13" s="45"/>
      <c r="GB13" s="15" t="str">
        <f t="shared" si="50"/>
        <v/>
      </c>
      <c r="GC13" s="15" t="str">
        <f t="shared" si="51"/>
        <v/>
      </c>
      <c r="GD13" s="15" t="str">
        <f t="shared" si="52"/>
        <v/>
      </c>
      <c r="GE13" s="15" t="str">
        <f t="shared" si="53"/>
        <v/>
      </c>
      <c r="GF13" s="15" t="str">
        <f t="shared" si="54"/>
        <v/>
      </c>
      <c r="GG13" s="46"/>
      <c r="GH13" s="46"/>
      <c r="GI13" s="46"/>
      <c r="GJ13" s="46"/>
      <c r="GK13" s="46"/>
      <c r="GL13" s="46"/>
      <c r="GM13" s="46"/>
      <c r="GN13" s="46"/>
      <c r="GO13" s="46"/>
      <c r="GP13" s="46"/>
      <c r="GQ13" s="46"/>
      <c r="GR13" s="46"/>
      <c r="GS13" s="46"/>
      <c r="GT13" s="46"/>
      <c r="GU13" s="46"/>
      <c r="GV13" s="46"/>
      <c r="GW13" s="12" t="str">
        <f t="shared" si="55"/>
        <v/>
      </c>
      <c r="GX13" s="12" t="str">
        <f t="shared" si="56"/>
        <v/>
      </c>
      <c r="GY13" s="12" t="str">
        <f t="shared" si="57"/>
        <v/>
      </c>
      <c r="GZ13" s="12" t="str">
        <f t="shared" si="58"/>
        <v/>
      </c>
      <c r="HA13" s="12" t="str">
        <f t="shared" si="59"/>
        <v/>
      </c>
      <c r="HB13" s="45"/>
      <c r="HC13" s="45"/>
      <c r="HD13" s="45"/>
      <c r="HE13" s="45"/>
      <c r="HF13" s="45"/>
      <c r="HG13" s="45"/>
      <c r="HH13" s="45"/>
      <c r="HI13" s="45"/>
      <c r="HJ13" s="45"/>
      <c r="HK13" s="45"/>
      <c r="HL13" s="45"/>
      <c r="HM13" s="45"/>
      <c r="HN13" s="45"/>
      <c r="HO13" s="45"/>
      <c r="HP13" s="45"/>
      <c r="HQ13" s="45"/>
      <c r="HR13" s="15" t="str">
        <f t="shared" si="60"/>
        <v/>
      </c>
      <c r="HS13" s="15" t="str">
        <f t="shared" si="61"/>
        <v/>
      </c>
      <c r="HT13" s="15" t="str">
        <f t="shared" si="62"/>
        <v/>
      </c>
      <c r="HU13" s="15" t="str">
        <f t="shared" si="63"/>
        <v/>
      </c>
      <c r="HV13" s="15" t="str">
        <f t="shared" si="64"/>
        <v/>
      </c>
      <c r="HW13" s="46"/>
      <c r="HX13" s="46"/>
      <c r="HY13" s="46"/>
      <c r="HZ13" s="46"/>
      <c r="IA13" s="46"/>
      <c r="IB13" s="46"/>
      <c r="IC13" s="46"/>
      <c r="ID13" s="46"/>
      <c r="IE13" s="46"/>
      <c r="IF13" s="46"/>
      <c r="IG13" s="46"/>
      <c r="IH13" s="46"/>
      <c r="II13" s="46"/>
      <c r="IJ13" s="46"/>
      <c r="IK13" s="46"/>
      <c r="IL13" s="46"/>
      <c r="IM13" s="12" t="str">
        <f t="shared" si="65"/>
        <v/>
      </c>
      <c r="IN13" s="12" t="str">
        <f t="shared" si="66"/>
        <v/>
      </c>
      <c r="IO13" s="12" t="str">
        <f t="shared" si="67"/>
        <v/>
      </c>
      <c r="IP13" s="12" t="str">
        <f t="shared" si="68"/>
        <v/>
      </c>
      <c r="IQ13" s="12" t="str">
        <f t="shared" si="69"/>
        <v/>
      </c>
      <c r="IR13" s="45"/>
      <c r="IS13" s="45"/>
      <c r="IT13" s="45"/>
      <c r="IU13" s="45"/>
      <c r="IV13" s="45"/>
      <c r="IW13" s="45"/>
      <c r="IX13" s="45"/>
      <c r="IY13" s="45"/>
      <c r="IZ13" s="45"/>
      <c r="JA13" s="45"/>
      <c r="JB13" s="45"/>
      <c r="JC13" s="45"/>
      <c r="JD13" s="45"/>
      <c r="JE13" s="45"/>
      <c r="JF13" s="45"/>
      <c r="JG13" s="45"/>
      <c r="JH13" s="15" t="str">
        <f t="shared" si="70"/>
        <v/>
      </c>
      <c r="JI13" s="15" t="str">
        <f t="shared" si="71"/>
        <v/>
      </c>
      <c r="JJ13" s="15" t="str">
        <f t="shared" si="72"/>
        <v/>
      </c>
      <c r="JK13" s="15" t="str">
        <f t="shared" si="73"/>
        <v/>
      </c>
      <c r="JL13" s="15" t="str">
        <f t="shared" si="74"/>
        <v/>
      </c>
      <c r="JM13" s="46"/>
      <c r="JN13" s="46"/>
      <c r="JO13" s="46"/>
      <c r="JP13" s="46"/>
      <c r="JQ13" s="46"/>
      <c r="JR13" s="46"/>
      <c r="JS13" s="46"/>
      <c r="JT13" s="46"/>
      <c r="JU13" s="46"/>
      <c r="JV13" s="46"/>
      <c r="JW13" s="46"/>
      <c r="JX13" s="46"/>
      <c r="JY13" s="46"/>
      <c r="JZ13" s="46"/>
      <c r="KA13" s="46"/>
      <c r="KB13" s="46"/>
      <c r="KC13" s="12" t="str">
        <f t="shared" si="75"/>
        <v/>
      </c>
      <c r="KD13" s="12" t="str">
        <f t="shared" si="76"/>
        <v/>
      </c>
      <c r="KE13" s="12" t="str">
        <f t="shared" si="77"/>
        <v/>
      </c>
      <c r="KF13" s="12" t="str">
        <f t="shared" si="78"/>
        <v/>
      </c>
      <c r="KG13" s="12" t="str">
        <f t="shared" si="79"/>
        <v/>
      </c>
      <c r="KH13" s="45"/>
      <c r="KI13" s="45"/>
      <c r="KJ13" s="45"/>
      <c r="KK13" s="45"/>
      <c r="KL13" s="45"/>
      <c r="KM13" s="45"/>
      <c r="KN13" s="45"/>
      <c r="KO13" s="45"/>
      <c r="KP13" s="45"/>
      <c r="KQ13" s="45"/>
      <c r="KR13" s="45"/>
      <c r="KS13" s="45"/>
      <c r="KT13" s="45"/>
      <c r="KU13" s="45"/>
      <c r="KV13" s="45"/>
      <c r="KW13" s="45"/>
      <c r="KX13" s="15" t="str">
        <f t="shared" si="80"/>
        <v/>
      </c>
      <c r="KY13" s="15" t="str">
        <f t="shared" si="81"/>
        <v/>
      </c>
      <c r="KZ13" s="15" t="str">
        <f t="shared" si="82"/>
        <v/>
      </c>
      <c r="LA13" s="15" t="str">
        <f t="shared" si="83"/>
        <v/>
      </c>
      <c r="LB13" s="15" t="str">
        <f t="shared" si="84"/>
        <v/>
      </c>
      <c r="LC13" s="71">
        <f t="shared" si="91"/>
        <v>28.1</v>
      </c>
      <c r="LD13" s="71">
        <f t="shared" si="85"/>
        <v>5.25</v>
      </c>
      <c r="LE13" s="71">
        <f t="shared" si="85"/>
        <v>1.45</v>
      </c>
      <c r="LF13" s="71">
        <f t="shared" si="85"/>
        <v>0</v>
      </c>
      <c r="LG13" s="71">
        <f t="shared" si="85"/>
        <v>24.25</v>
      </c>
      <c r="LH13" s="71">
        <f t="shared" si="85"/>
        <v>4.5999999999999996</v>
      </c>
      <c r="LI13" s="71">
        <f t="shared" si="85"/>
        <v>0</v>
      </c>
      <c r="LJ13" s="71">
        <f t="shared" si="85"/>
        <v>0</v>
      </c>
      <c r="LK13" s="71">
        <f t="shared" si="85"/>
        <v>13.8</v>
      </c>
      <c r="LL13" s="71">
        <f t="shared" si="85"/>
        <v>3.5</v>
      </c>
      <c r="LM13" s="71">
        <f t="shared" si="85"/>
        <v>0.45</v>
      </c>
      <c r="LN13" s="71">
        <f t="shared" si="85"/>
        <v>0</v>
      </c>
      <c r="LO13" s="71">
        <f t="shared" si="85"/>
        <v>13.85</v>
      </c>
      <c r="LP13" s="71">
        <f t="shared" si="85"/>
        <v>3.2</v>
      </c>
      <c r="LQ13" s="71">
        <f t="shared" si="85"/>
        <v>0.45</v>
      </c>
      <c r="LR13" s="71">
        <f t="shared" si="85"/>
        <v>0</v>
      </c>
      <c r="LS13" s="82" t="s">
        <v>100</v>
      </c>
      <c r="LT13" s="12">
        <f t="shared" si="92"/>
        <v>9.85</v>
      </c>
      <c r="LU13" s="12">
        <f t="shared" si="93"/>
        <v>16.55</v>
      </c>
      <c r="LV13" s="12">
        <f t="shared" si="94"/>
        <v>60.75</v>
      </c>
      <c r="LW13" s="12">
        <f t="shared" si="95"/>
        <v>33.450000000000003</v>
      </c>
      <c r="LX13" s="12">
        <f t="shared" si="96"/>
        <v>94.2</v>
      </c>
    </row>
    <row r="14" spans="1:336" x14ac:dyDescent="0.2">
      <c r="A14" s="6" t="str">
        <f t="shared" si="0"/>
        <v/>
      </c>
      <c r="B14" s="9" t="s">
        <v>113</v>
      </c>
      <c r="C14" s="5" t="s">
        <v>6</v>
      </c>
      <c r="D14" s="6">
        <v>2001</v>
      </c>
      <c r="E14" s="16">
        <f t="shared" si="1"/>
        <v>187.6</v>
      </c>
      <c r="F14" s="4" t="str">
        <f t="shared" si="2"/>
        <v/>
      </c>
      <c r="G14" s="4" t="str">
        <f t="shared" si="3"/>
        <v/>
      </c>
      <c r="H14" s="4" t="str">
        <f t="shared" si="4"/>
        <v/>
      </c>
      <c r="I14" t="str">
        <f t="shared" si="5"/>
        <v/>
      </c>
      <c r="J14" s="15">
        <f t="shared" si="6"/>
        <v>121.30000000000001</v>
      </c>
      <c r="K14" s="15" t="str">
        <f t="shared" si="7"/>
        <v>2019 Nationals</v>
      </c>
      <c r="L14" s="15">
        <f t="shared" si="8"/>
        <v>24.1</v>
      </c>
      <c r="M14" s="15" t="str">
        <f t="shared" si="9"/>
        <v>2019 Elite Canada</v>
      </c>
      <c r="N14" s="15">
        <f t="shared" si="10"/>
        <v>42.199999999999996</v>
      </c>
      <c r="O14" s="27" t="str">
        <f t="shared" si="11"/>
        <v>(2 Pass)</v>
      </c>
      <c r="P14" s="15" t="str">
        <f t="shared" si="12"/>
        <v>2018 World Age Groups (Nov 18)</v>
      </c>
      <c r="Q14" s="71">
        <v>0</v>
      </c>
      <c r="R14" s="71">
        <v>0</v>
      </c>
      <c r="S14" s="71">
        <v>0</v>
      </c>
      <c r="T14" s="71">
        <v>0</v>
      </c>
      <c r="U14" s="71">
        <v>20.100000000000001</v>
      </c>
      <c r="V14" s="71">
        <v>4</v>
      </c>
      <c r="W14" s="71">
        <v>0</v>
      </c>
      <c r="X14" s="71">
        <v>0</v>
      </c>
      <c r="Y14" s="71"/>
      <c r="Z14" s="71"/>
      <c r="AA14" s="71"/>
      <c r="AB14" s="71"/>
      <c r="AC14" s="71"/>
      <c r="AD14" s="71"/>
      <c r="AE14" s="71"/>
      <c r="AF14" s="71"/>
      <c r="AG14" s="82"/>
      <c r="AH14" s="12">
        <f t="shared" si="13"/>
        <v>4</v>
      </c>
      <c r="AI14" s="12">
        <f t="shared" si="14"/>
        <v>4</v>
      </c>
      <c r="AJ14" s="12">
        <f t="shared" si="15"/>
        <v>24.1</v>
      </c>
      <c r="AK14" s="12" t="str">
        <f t="shared" si="16"/>
        <v/>
      </c>
      <c r="AL14" s="12">
        <f t="shared" si="17"/>
        <v>24.1</v>
      </c>
      <c r="AM14" s="40">
        <v>25.2</v>
      </c>
      <c r="AN14" s="40">
        <v>8</v>
      </c>
      <c r="AO14" s="40">
        <v>0.9</v>
      </c>
      <c r="AP14" s="40">
        <v>0</v>
      </c>
      <c r="AQ14" s="40">
        <v>27.8</v>
      </c>
      <c r="AR14" s="40">
        <v>8.4</v>
      </c>
      <c r="AS14" s="40">
        <v>1.2</v>
      </c>
      <c r="AT14" s="40">
        <v>0</v>
      </c>
      <c r="AU14" s="40">
        <v>20.6</v>
      </c>
      <c r="AV14" s="40">
        <v>2.4</v>
      </c>
      <c r="AW14" s="40">
        <v>0</v>
      </c>
      <c r="AX14" s="40">
        <v>0</v>
      </c>
      <c r="AY14" s="40">
        <v>24.5</v>
      </c>
      <c r="AZ14" s="40">
        <v>7.7</v>
      </c>
      <c r="BA14" s="40">
        <v>1.2</v>
      </c>
      <c r="BB14" s="40">
        <v>0</v>
      </c>
      <c r="BC14" s="83"/>
      <c r="BD14" s="15">
        <f t="shared" si="18"/>
        <v>16.399999999999999</v>
      </c>
      <c r="BE14" s="15">
        <f t="shared" si="19"/>
        <v>26.499999999999996</v>
      </c>
      <c r="BF14" s="15">
        <f t="shared" si="20"/>
        <v>67.300000000000011</v>
      </c>
      <c r="BG14" s="15">
        <f t="shared" si="21"/>
        <v>54</v>
      </c>
      <c r="BH14" s="15">
        <f t="shared" si="22"/>
        <v>121.30000000000001</v>
      </c>
      <c r="BI14" s="26" t="str">
        <f t="shared" si="23"/>
        <v/>
      </c>
      <c r="BJ14" s="26">
        <f t="shared" si="24"/>
        <v>42.199999999999996</v>
      </c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12" t="str">
        <f t="shared" si="25"/>
        <v/>
      </c>
      <c r="CB14" s="12" t="str">
        <f t="shared" si="26"/>
        <v/>
      </c>
      <c r="CC14" s="12" t="str">
        <f t="shared" si="27"/>
        <v/>
      </c>
      <c r="CD14" s="12" t="str">
        <f t="shared" si="28"/>
        <v/>
      </c>
      <c r="CE14" s="12" t="str">
        <f t="shared" si="29"/>
        <v/>
      </c>
      <c r="CF14" s="45">
        <v>27.7</v>
      </c>
      <c r="CG14" s="45">
        <v>7.2</v>
      </c>
      <c r="CH14" s="45">
        <v>1.2</v>
      </c>
      <c r="CI14" s="45">
        <v>0</v>
      </c>
      <c r="CJ14" s="45">
        <v>27</v>
      </c>
      <c r="CK14" s="45">
        <v>6.8</v>
      </c>
      <c r="CL14" s="45">
        <v>1.2</v>
      </c>
      <c r="CM14" s="45">
        <v>0</v>
      </c>
      <c r="CN14" s="45"/>
      <c r="CO14" s="45"/>
      <c r="CP14" s="45"/>
      <c r="CQ14" s="45"/>
      <c r="CR14" s="45"/>
      <c r="CS14" s="45"/>
      <c r="CT14" s="45"/>
      <c r="CU14" s="45"/>
      <c r="CV14" s="15">
        <f t="shared" si="30"/>
        <v>14</v>
      </c>
      <c r="CW14" s="15">
        <f t="shared" si="31"/>
        <v>14</v>
      </c>
      <c r="CX14" s="15">
        <f t="shared" si="32"/>
        <v>66.3</v>
      </c>
      <c r="CY14" s="15" t="str">
        <f t="shared" si="33"/>
        <v/>
      </c>
      <c r="CZ14" s="15">
        <f t="shared" si="34"/>
        <v>66.3</v>
      </c>
      <c r="DA14" s="46"/>
      <c r="DB14" s="46"/>
      <c r="DC14" s="46"/>
      <c r="DD14" s="46"/>
      <c r="DE14" s="46"/>
      <c r="DF14" s="46"/>
      <c r="DG14" s="46"/>
      <c r="DH14" s="46"/>
      <c r="DI14" s="46"/>
      <c r="DJ14" s="46"/>
      <c r="DK14" s="46"/>
      <c r="DL14" s="46"/>
      <c r="DM14" s="46"/>
      <c r="DN14" s="46"/>
      <c r="DO14" s="46"/>
      <c r="DP14" s="46"/>
      <c r="DQ14" s="12" t="str">
        <f t="shared" si="35"/>
        <v/>
      </c>
      <c r="DR14" s="12" t="str">
        <f t="shared" si="36"/>
        <v/>
      </c>
      <c r="DS14" s="12" t="str">
        <f t="shared" si="37"/>
        <v/>
      </c>
      <c r="DT14" s="12" t="str">
        <f t="shared" si="38"/>
        <v/>
      </c>
      <c r="DU14" s="12" t="str">
        <f t="shared" si="39"/>
        <v/>
      </c>
      <c r="DV14" s="45"/>
      <c r="DW14" s="45"/>
      <c r="DX14" s="45"/>
      <c r="DY14" s="45"/>
      <c r="DZ14" s="45"/>
      <c r="EA14" s="45"/>
      <c r="EB14" s="45"/>
      <c r="EC14" s="45"/>
      <c r="ED14" s="45"/>
      <c r="EE14" s="45"/>
      <c r="EF14" s="45"/>
      <c r="EG14" s="45"/>
      <c r="EH14" s="45"/>
      <c r="EI14" s="45"/>
      <c r="EJ14" s="45"/>
      <c r="EK14" s="45"/>
      <c r="EL14" s="15" t="str">
        <f t="shared" si="40"/>
        <v/>
      </c>
      <c r="EM14" s="15" t="str">
        <f t="shared" si="41"/>
        <v/>
      </c>
      <c r="EN14" s="15" t="str">
        <f t="shared" si="42"/>
        <v/>
      </c>
      <c r="EO14" s="15" t="str">
        <f t="shared" si="43"/>
        <v/>
      </c>
      <c r="EP14" s="15" t="str">
        <f t="shared" si="44"/>
        <v/>
      </c>
      <c r="EQ14" s="46"/>
      <c r="ER14" s="46"/>
      <c r="ES14" s="46"/>
      <c r="ET14" s="46"/>
      <c r="EU14" s="46"/>
      <c r="EV14" s="46"/>
      <c r="EW14" s="46"/>
      <c r="EX14" s="46"/>
      <c r="EY14" s="46"/>
      <c r="EZ14" s="46"/>
      <c r="FA14" s="46"/>
      <c r="FB14" s="46"/>
      <c r="FC14" s="46"/>
      <c r="FD14" s="46"/>
      <c r="FE14" s="46"/>
      <c r="FF14" s="46"/>
      <c r="FG14" s="12" t="str">
        <f t="shared" si="45"/>
        <v/>
      </c>
      <c r="FH14" s="12" t="str">
        <f t="shared" si="46"/>
        <v/>
      </c>
      <c r="FI14" s="12" t="str">
        <f t="shared" si="47"/>
        <v/>
      </c>
      <c r="FJ14" s="12" t="str">
        <f t="shared" si="48"/>
        <v/>
      </c>
      <c r="FK14" s="12" t="str">
        <f t="shared" si="49"/>
        <v/>
      </c>
      <c r="FL14" s="45"/>
      <c r="FM14" s="45"/>
      <c r="FN14" s="45"/>
      <c r="FO14" s="45"/>
      <c r="FP14" s="45"/>
      <c r="FQ14" s="45"/>
      <c r="FR14" s="45"/>
      <c r="FS14" s="45"/>
      <c r="FT14" s="45"/>
      <c r="FU14" s="45"/>
      <c r="FV14" s="45"/>
      <c r="FW14" s="45"/>
      <c r="FX14" s="45"/>
      <c r="FY14" s="45"/>
      <c r="FZ14" s="45"/>
      <c r="GA14" s="45"/>
      <c r="GB14" s="15" t="str">
        <f t="shared" si="50"/>
        <v/>
      </c>
      <c r="GC14" s="15" t="str">
        <f t="shared" si="51"/>
        <v/>
      </c>
      <c r="GD14" s="15" t="str">
        <f t="shared" si="52"/>
        <v/>
      </c>
      <c r="GE14" s="15" t="str">
        <f t="shared" si="53"/>
        <v/>
      </c>
      <c r="GF14" s="15" t="str">
        <f t="shared" si="54"/>
        <v/>
      </c>
      <c r="GG14" s="46"/>
      <c r="GH14" s="46"/>
      <c r="GI14" s="46"/>
      <c r="GJ14" s="46"/>
      <c r="GK14" s="46"/>
      <c r="GL14" s="46"/>
      <c r="GM14" s="46"/>
      <c r="GN14" s="46"/>
      <c r="GO14" s="46"/>
      <c r="GP14" s="46"/>
      <c r="GQ14" s="46"/>
      <c r="GR14" s="46"/>
      <c r="GS14" s="46"/>
      <c r="GT14" s="46"/>
      <c r="GU14" s="46"/>
      <c r="GV14" s="46"/>
      <c r="GW14" s="12" t="str">
        <f t="shared" si="55"/>
        <v/>
      </c>
      <c r="GX14" s="12" t="str">
        <f t="shared" si="56"/>
        <v/>
      </c>
      <c r="GY14" s="12" t="str">
        <f t="shared" si="57"/>
        <v/>
      </c>
      <c r="GZ14" s="12" t="str">
        <f t="shared" si="58"/>
        <v/>
      </c>
      <c r="HA14" s="12" t="str">
        <f t="shared" si="59"/>
        <v/>
      </c>
      <c r="HB14" s="45"/>
      <c r="HC14" s="45"/>
      <c r="HD14" s="45"/>
      <c r="HE14" s="45"/>
      <c r="HF14" s="45"/>
      <c r="HG14" s="45"/>
      <c r="HH14" s="45"/>
      <c r="HI14" s="45"/>
      <c r="HJ14" s="45"/>
      <c r="HK14" s="45"/>
      <c r="HL14" s="45"/>
      <c r="HM14" s="45"/>
      <c r="HN14" s="45"/>
      <c r="HO14" s="45"/>
      <c r="HP14" s="45"/>
      <c r="HQ14" s="45"/>
      <c r="HR14" s="15" t="str">
        <f t="shared" si="60"/>
        <v/>
      </c>
      <c r="HS14" s="15" t="str">
        <f t="shared" si="61"/>
        <v/>
      </c>
      <c r="HT14" s="15" t="str">
        <f t="shared" si="62"/>
        <v/>
      </c>
      <c r="HU14" s="15" t="str">
        <f t="shared" si="63"/>
        <v/>
      </c>
      <c r="HV14" s="15" t="str">
        <f t="shared" si="64"/>
        <v/>
      </c>
      <c r="HW14" s="46"/>
      <c r="HX14" s="46"/>
      <c r="HY14" s="46"/>
      <c r="HZ14" s="46"/>
      <c r="IA14" s="46"/>
      <c r="IB14" s="46"/>
      <c r="IC14" s="46"/>
      <c r="ID14" s="46"/>
      <c r="IE14" s="46"/>
      <c r="IF14" s="46"/>
      <c r="IG14" s="46"/>
      <c r="IH14" s="46"/>
      <c r="II14" s="46"/>
      <c r="IJ14" s="46"/>
      <c r="IK14" s="46"/>
      <c r="IL14" s="46"/>
      <c r="IM14" s="12" t="str">
        <f t="shared" si="65"/>
        <v/>
      </c>
      <c r="IN14" s="12" t="str">
        <f t="shared" si="66"/>
        <v/>
      </c>
      <c r="IO14" s="12" t="str">
        <f t="shared" si="67"/>
        <v/>
      </c>
      <c r="IP14" s="12" t="str">
        <f t="shared" si="68"/>
        <v/>
      </c>
      <c r="IQ14" s="12" t="str">
        <f t="shared" si="69"/>
        <v/>
      </c>
      <c r="IR14" s="45"/>
      <c r="IS14" s="45"/>
      <c r="IT14" s="45"/>
      <c r="IU14" s="45"/>
      <c r="IV14" s="45"/>
      <c r="IW14" s="45"/>
      <c r="IX14" s="45"/>
      <c r="IY14" s="45"/>
      <c r="IZ14" s="45"/>
      <c r="JA14" s="45"/>
      <c r="JB14" s="45"/>
      <c r="JC14" s="45"/>
      <c r="JD14" s="45"/>
      <c r="JE14" s="45"/>
      <c r="JF14" s="45"/>
      <c r="JG14" s="45"/>
      <c r="JH14" s="15" t="str">
        <f t="shared" si="70"/>
        <v/>
      </c>
      <c r="JI14" s="15" t="str">
        <f t="shared" si="71"/>
        <v/>
      </c>
      <c r="JJ14" s="15" t="str">
        <f t="shared" si="72"/>
        <v/>
      </c>
      <c r="JK14" s="15" t="str">
        <f t="shared" si="73"/>
        <v/>
      </c>
      <c r="JL14" s="15" t="str">
        <f t="shared" si="74"/>
        <v/>
      </c>
      <c r="JM14" s="46"/>
      <c r="JN14" s="46"/>
      <c r="JO14" s="46"/>
      <c r="JP14" s="46"/>
      <c r="JQ14" s="46"/>
      <c r="JR14" s="46"/>
      <c r="JS14" s="46"/>
      <c r="JT14" s="46"/>
      <c r="JU14" s="46"/>
      <c r="JV14" s="46"/>
      <c r="JW14" s="46"/>
      <c r="JX14" s="46"/>
      <c r="JY14" s="46"/>
      <c r="JZ14" s="46"/>
      <c r="KA14" s="46"/>
      <c r="KB14" s="46"/>
      <c r="KC14" s="12" t="str">
        <f t="shared" si="75"/>
        <v/>
      </c>
      <c r="KD14" s="12" t="str">
        <f t="shared" si="76"/>
        <v/>
      </c>
      <c r="KE14" s="12" t="str">
        <f t="shared" si="77"/>
        <v/>
      </c>
      <c r="KF14" s="12" t="str">
        <f t="shared" si="78"/>
        <v/>
      </c>
      <c r="KG14" s="12" t="str">
        <f t="shared" si="79"/>
        <v/>
      </c>
      <c r="KH14" s="45"/>
      <c r="KI14" s="45"/>
      <c r="KJ14" s="45"/>
      <c r="KK14" s="45"/>
      <c r="KL14" s="45"/>
      <c r="KM14" s="45"/>
      <c r="KN14" s="45"/>
      <c r="KO14" s="45"/>
      <c r="KP14" s="45"/>
      <c r="KQ14" s="45"/>
      <c r="KR14" s="45"/>
      <c r="KS14" s="45"/>
      <c r="KT14" s="45"/>
      <c r="KU14" s="45"/>
      <c r="KV14" s="45"/>
      <c r="KW14" s="45"/>
      <c r="KX14" s="15" t="str">
        <f t="shared" si="80"/>
        <v/>
      </c>
      <c r="KY14" s="15" t="str">
        <f t="shared" si="81"/>
        <v/>
      </c>
      <c r="KZ14" s="15" t="str">
        <f t="shared" si="82"/>
        <v/>
      </c>
      <c r="LA14" s="15" t="str">
        <f t="shared" si="83"/>
        <v/>
      </c>
      <c r="LB14" s="15" t="str">
        <f t="shared" si="84"/>
        <v/>
      </c>
      <c r="LC14" s="71">
        <f t="shared" si="91"/>
        <v>12.6</v>
      </c>
      <c r="LD14" s="71">
        <f t="shared" si="85"/>
        <v>4</v>
      </c>
      <c r="LE14" s="71">
        <f t="shared" si="85"/>
        <v>0.45</v>
      </c>
      <c r="LF14" s="71">
        <f t="shared" si="85"/>
        <v>0</v>
      </c>
      <c r="LG14" s="71">
        <f t="shared" si="85"/>
        <v>23.950000000000003</v>
      </c>
      <c r="LH14" s="71">
        <f t="shared" si="85"/>
        <v>6.2</v>
      </c>
      <c r="LI14" s="71">
        <f t="shared" si="85"/>
        <v>0.6</v>
      </c>
      <c r="LJ14" s="71">
        <f t="shared" si="85"/>
        <v>0</v>
      </c>
      <c r="LK14" s="71">
        <f t="shared" si="85"/>
        <v>10.3</v>
      </c>
      <c r="LL14" s="71">
        <f t="shared" si="85"/>
        <v>1.2</v>
      </c>
      <c r="LM14" s="71">
        <f t="shared" si="85"/>
        <v>0</v>
      </c>
      <c r="LN14" s="71">
        <f t="shared" si="85"/>
        <v>0</v>
      </c>
      <c r="LO14" s="71">
        <f t="shared" si="85"/>
        <v>12.25</v>
      </c>
      <c r="LP14" s="71">
        <f t="shared" si="85"/>
        <v>3.85</v>
      </c>
      <c r="LQ14" s="71">
        <f t="shared" si="85"/>
        <v>0.6</v>
      </c>
      <c r="LR14" s="71">
        <f t="shared" si="85"/>
        <v>0</v>
      </c>
      <c r="LS14" s="82" t="s">
        <v>100</v>
      </c>
      <c r="LT14" s="12">
        <f t="shared" si="92"/>
        <v>10.199999999999999</v>
      </c>
      <c r="LU14" s="12">
        <f t="shared" si="93"/>
        <v>15.249999999999998</v>
      </c>
      <c r="LV14" s="12">
        <f t="shared" si="94"/>
        <v>45.70000000000001</v>
      </c>
      <c r="LW14" s="12">
        <f t="shared" si="95"/>
        <v>27</v>
      </c>
      <c r="LX14" s="12">
        <f t="shared" si="96"/>
        <v>72.700000000000017</v>
      </c>
    </row>
    <row r="15" spans="1:336" x14ac:dyDescent="0.2">
      <c r="A15" s="6" t="str">
        <f t="shared" si="0"/>
        <v/>
      </c>
      <c r="B15" s="9" t="s">
        <v>54</v>
      </c>
      <c r="C15" s="5" t="s">
        <v>6</v>
      </c>
      <c r="D15" s="6">
        <v>1993</v>
      </c>
      <c r="E15" s="16">
        <f t="shared" si="1"/>
        <v>0</v>
      </c>
      <c r="F15" s="4" t="str">
        <f t="shared" si="2"/>
        <v/>
      </c>
      <c r="G15" s="4" t="str">
        <f t="shared" si="3"/>
        <v/>
      </c>
      <c r="H15" s="4" t="str">
        <f t="shared" si="4"/>
        <v/>
      </c>
      <c r="I15" t="str">
        <f t="shared" si="5"/>
        <v/>
      </c>
      <c r="J15" s="15" t="str">
        <f t="shared" si="6"/>
        <v/>
      </c>
      <c r="K15" s="15" t="str">
        <f t="shared" si="7"/>
        <v/>
      </c>
      <c r="L15" s="15" t="str">
        <f t="shared" si="8"/>
        <v/>
      </c>
      <c r="M15" s="15" t="str">
        <f t="shared" si="9"/>
        <v/>
      </c>
      <c r="N15" s="15" t="str">
        <f t="shared" si="10"/>
        <v/>
      </c>
      <c r="O15" s="27" t="str">
        <f t="shared" si="11"/>
        <v/>
      </c>
      <c r="P15" s="15" t="str">
        <f t="shared" si="12"/>
        <v/>
      </c>
      <c r="Q15" s="71"/>
      <c r="R15" s="71"/>
      <c r="S15" s="71"/>
      <c r="T15" s="71"/>
      <c r="U15" s="71"/>
      <c r="V15" s="71"/>
      <c r="W15" s="71"/>
      <c r="X15" s="71"/>
      <c r="Y15" s="71"/>
      <c r="Z15" s="71"/>
      <c r="AA15" s="71"/>
      <c r="AB15" s="71"/>
      <c r="AC15" s="71"/>
      <c r="AD15" s="71"/>
      <c r="AE15" s="71"/>
      <c r="AF15" s="71"/>
      <c r="AG15" s="82"/>
      <c r="AH15" s="12" t="str">
        <f t="shared" si="13"/>
        <v/>
      </c>
      <c r="AI15" s="12" t="str">
        <f t="shared" si="14"/>
        <v/>
      </c>
      <c r="AJ15" s="12" t="str">
        <f t="shared" si="15"/>
        <v/>
      </c>
      <c r="AK15" s="12" t="str">
        <f t="shared" si="16"/>
        <v/>
      </c>
      <c r="AL15" s="12" t="str">
        <f t="shared" si="17"/>
        <v/>
      </c>
      <c r="AM15" s="40"/>
      <c r="AN15" s="40"/>
      <c r="AO15" s="40"/>
      <c r="AP15" s="40"/>
      <c r="AQ15" s="40"/>
      <c r="AR15" s="40"/>
      <c r="AS15" s="40"/>
      <c r="AT15" s="40"/>
      <c r="AU15" s="40"/>
      <c r="AV15" s="40"/>
      <c r="AW15" s="40"/>
      <c r="AX15" s="40"/>
      <c r="AY15" s="40"/>
      <c r="AZ15" s="40"/>
      <c r="BA15" s="40"/>
      <c r="BB15" s="40"/>
      <c r="BC15" s="83"/>
      <c r="BD15" s="15" t="str">
        <f t="shared" si="18"/>
        <v/>
      </c>
      <c r="BE15" s="15" t="str">
        <f t="shared" si="19"/>
        <v/>
      </c>
      <c r="BF15" s="15" t="str">
        <f t="shared" si="20"/>
        <v/>
      </c>
      <c r="BG15" s="15" t="str">
        <f t="shared" si="21"/>
        <v/>
      </c>
      <c r="BH15" s="15" t="str">
        <f t="shared" si="22"/>
        <v/>
      </c>
      <c r="BI15" s="26" t="str">
        <f t="shared" si="23"/>
        <v/>
      </c>
      <c r="BJ15" s="26" t="str">
        <f t="shared" si="24"/>
        <v/>
      </c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12" t="str">
        <f t="shared" si="25"/>
        <v/>
      </c>
      <c r="CB15" s="12" t="str">
        <f t="shared" si="26"/>
        <v/>
      </c>
      <c r="CC15" s="12" t="str">
        <f t="shared" si="27"/>
        <v/>
      </c>
      <c r="CD15" s="12" t="str">
        <f t="shared" si="28"/>
        <v/>
      </c>
      <c r="CE15" s="12" t="str">
        <f t="shared" si="29"/>
        <v/>
      </c>
      <c r="CF15" s="45"/>
      <c r="CG15" s="45"/>
      <c r="CH15" s="45"/>
      <c r="CI15" s="45"/>
      <c r="CJ15" s="45"/>
      <c r="CK15" s="45"/>
      <c r="CL15" s="45"/>
      <c r="CM15" s="45"/>
      <c r="CN15" s="45"/>
      <c r="CO15" s="45"/>
      <c r="CP15" s="45"/>
      <c r="CQ15" s="45"/>
      <c r="CR15" s="45"/>
      <c r="CS15" s="45"/>
      <c r="CT15" s="45"/>
      <c r="CU15" s="45"/>
      <c r="CV15" s="15" t="str">
        <f t="shared" si="30"/>
        <v/>
      </c>
      <c r="CW15" s="15" t="str">
        <f t="shared" si="31"/>
        <v/>
      </c>
      <c r="CX15" s="15" t="str">
        <f t="shared" si="32"/>
        <v/>
      </c>
      <c r="CY15" s="15" t="str">
        <f t="shared" si="33"/>
        <v/>
      </c>
      <c r="CZ15" s="15" t="str">
        <f t="shared" si="34"/>
        <v/>
      </c>
      <c r="DA15" s="46"/>
      <c r="DB15" s="46"/>
      <c r="DC15" s="46"/>
      <c r="DD15" s="46"/>
      <c r="DE15" s="46"/>
      <c r="DF15" s="46"/>
      <c r="DG15" s="46"/>
      <c r="DH15" s="46"/>
      <c r="DI15" s="46"/>
      <c r="DJ15" s="46"/>
      <c r="DK15" s="46"/>
      <c r="DL15" s="46"/>
      <c r="DM15" s="46"/>
      <c r="DN15" s="46"/>
      <c r="DO15" s="46"/>
      <c r="DP15" s="46"/>
      <c r="DQ15" s="12" t="str">
        <f t="shared" si="35"/>
        <v/>
      </c>
      <c r="DR15" s="12" t="str">
        <f t="shared" si="36"/>
        <v/>
      </c>
      <c r="DS15" s="12" t="str">
        <f t="shared" si="37"/>
        <v/>
      </c>
      <c r="DT15" s="12" t="str">
        <f t="shared" si="38"/>
        <v/>
      </c>
      <c r="DU15" s="12" t="str">
        <f t="shared" si="39"/>
        <v/>
      </c>
      <c r="DV15" s="45"/>
      <c r="DW15" s="45"/>
      <c r="DX15" s="45"/>
      <c r="DY15" s="45"/>
      <c r="DZ15" s="45"/>
      <c r="EA15" s="45"/>
      <c r="EB15" s="45"/>
      <c r="EC15" s="45"/>
      <c r="ED15" s="45"/>
      <c r="EE15" s="45"/>
      <c r="EF15" s="45"/>
      <c r="EG15" s="45"/>
      <c r="EH15" s="45"/>
      <c r="EI15" s="45"/>
      <c r="EJ15" s="45"/>
      <c r="EK15" s="45"/>
      <c r="EL15" s="15" t="str">
        <f t="shared" si="40"/>
        <v/>
      </c>
      <c r="EM15" s="15" t="str">
        <f t="shared" si="41"/>
        <v/>
      </c>
      <c r="EN15" s="15" t="str">
        <f t="shared" si="42"/>
        <v/>
      </c>
      <c r="EO15" s="15" t="str">
        <f t="shared" si="43"/>
        <v/>
      </c>
      <c r="EP15" s="15" t="str">
        <f t="shared" si="44"/>
        <v/>
      </c>
      <c r="EQ15" s="46"/>
      <c r="ER15" s="46"/>
      <c r="ES15" s="46"/>
      <c r="ET15" s="46"/>
      <c r="EU15" s="46"/>
      <c r="EV15" s="46"/>
      <c r="EW15" s="46"/>
      <c r="EX15" s="46"/>
      <c r="EY15" s="46"/>
      <c r="EZ15" s="46"/>
      <c r="FA15" s="46"/>
      <c r="FB15" s="46"/>
      <c r="FC15" s="46"/>
      <c r="FD15" s="46"/>
      <c r="FE15" s="46"/>
      <c r="FF15" s="46"/>
      <c r="FG15" s="12" t="str">
        <f t="shared" si="45"/>
        <v/>
      </c>
      <c r="FH15" s="12" t="str">
        <f t="shared" si="46"/>
        <v/>
      </c>
      <c r="FI15" s="12" t="str">
        <f t="shared" si="47"/>
        <v/>
      </c>
      <c r="FJ15" s="12" t="str">
        <f t="shared" si="48"/>
        <v/>
      </c>
      <c r="FK15" s="12" t="str">
        <f t="shared" si="49"/>
        <v/>
      </c>
      <c r="FL15" s="45"/>
      <c r="FM15" s="45"/>
      <c r="FN15" s="45"/>
      <c r="FO15" s="45"/>
      <c r="FP15" s="45"/>
      <c r="FQ15" s="45"/>
      <c r="FR15" s="45"/>
      <c r="FS15" s="45"/>
      <c r="FT15" s="45"/>
      <c r="FU15" s="45"/>
      <c r="FV15" s="45"/>
      <c r="FW15" s="45"/>
      <c r="FX15" s="45"/>
      <c r="FY15" s="45"/>
      <c r="FZ15" s="45"/>
      <c r="GA15" s="45"/>
      <c r="GB15" s="15" t="str">
        <f t="shared" si="50"/>
        <v/>
      </c>
      <c r="GC15" s="15" t="str">
        <f t="shared" si="51"/>
        <v/>
      </c>
      <c r="GD15" s="15" t="str">
        <f t="shared" si="52"/>
        <v/>
      </c>
      <c r="GE15" s="15" t="str">
        <f t="shared" si="53"/>
        <v/>
      </c>
      <c r="GF15" s="15" t="str">
        <f t="shared" si="54"/>
        <v/>
      </c>
      <c r="GG15" s="46"/>
      <c r="GH15" s="46"/>
      <c r="GI15" s="46"/>
      <c r="GJ15" s="46"/>
      <c r="GK15" s="46"/>
      <c r="GL15" s="46"/>
      <c r="GM15" s="46"/>
      <c r="GN15" s="46"/>
      <c r="GO15" s="46"/>
      <c r="GP15" s="46"/>
      <c r="GQ15" s="46"/>
      <c r="GR15" s="46"/>
      <c r="GS15" s="46"/>
      <c r="GT15" s="46"/>
      <c r="GU15" s="46"/>
      <c r="GV15" s="46"/>
      <c r="GW15" s="12" t="str">
        <f t="shared" si="55"/>
        <v/>
      </c>
      <c r="GX15" s="12" t="str">
        <f t="shared" si="56"/>
        <v/>
      </c>
      <c r="GY15" s="12" t="str">
        <f t="shared" si="57"/>
        <v/>
      </c>
      <c r="GZ15" s="12" t="str">
        <f t="shared" si="58"/>
        <v/>
      </c>
      <c r="HA15" s="12" t="str">
        <f t="shared" si="59"/>
        <v/>
      </c>
      <c r="HB15" s="45"/>
      <c r="HC15" s="45"/>
      <c r="HD15" s="45"/>
      <c r="HE15" s="45"/>
      <c r="HF15" s="45"/>
      <c r="HG15" s="45"/>
      <c r="HH15" s="45"/>
      <c r="HI15" s="45"/>
      <c r="HJ15" s="45"/>
      <c r="HK15" s="45"/>
      <c r="HL15" s="45"/>
      <c r="HM15" s="45"/>
      <c r="HN15" s="45"/>
      <c r="HO15" s="45"/>
      <c r="HP15" s="45"/>
      <c r="HQ15" s="45"/>
      <c r="HR15" s="15" t="str">
        <f t="shared" si="60"/>
        <v/>
      </c>
      <c r="HS15" s="15" t="str">
        <f t="shared" si="61"/>
        <v/>
      </c>
      <c r="HT15" s="15" t="str">
        <f t="shared" si="62"/>
        <v/>
      </c>
      <c r="HU15" s="15" t="str">
        <f t="shared" si="63"/>
        <v/>
      </c>
      <c r="HV15" s="15" t="str">
        <f t="shared" si="64"/>
        <v/>
      </c>
      <c r="HW15" s="46"/>
      <c r="HX15" s="46"/>
      <c r="HY15" s="46"/>
      <c r="HZ15" s="46"/>
      <c r="IA15" s="46"/>
      <c r="IB15" s="46"/>
      <c r="IC15" s="46"/>
      <c r="ID15" s="46"/>
      <c r="IE15" s="46"/>
      <c r="IF15" s="46"/>
      <c r="IG15" s="46"/>
      <c r="IH15" s="46"/>
      <c r="II15" s="46"/>
      <c r="IJ15" s="46"/>
      <c r="IK15" s="46"/>
      <c r="IL15" s="46"/>
      <c r="IM15" s="12" t="str">
        <f t="shared" si="65"/>
        <v/>
      </c>
      <c r="IN15" s="12" t="str">
        <f t="shared" si="66"/>
        <v/>
      </c>
      <c r="IO15" s="12" t="str">
        <f t="shared" si="67"/>
        <v/>
      </c>
      <c r="IP15" s="12" t="str">
        <f t="shared" si="68"/>
        <v/>
      </c>
      <c r="IQ15" s="12" t="str">
        <f t="shared" si="69"/>
        <v/>
      </c>
      <c r="IR15" s="45"/>
      <c r="IS15" s="45"/>
      <c r="IT15" s="45"/>
      <c r="IU15" s="45"/>
      <c r="IV15" s="45"/>
      <c r="IW15" s="45"/>
      <c r="IX15" s="45"/>
      <c r="IY15" s="45"/>
      <c r="IZ15" s="45"/>
      <c r="JA15" s="45"/>
      <c r="JB15" s="45"/>
      <c r="JC15" s="45"/>
      <c r="JD15" s="45"/>
      <c r="JE15" s="45"/>
      <c r="JF15" s="45"/>
      <c r="JG15" s="45"/>
      <c r="JH15" s="15" t="str">
        <f t="shared" si="70"/>
        <v/>
      </c>
      <c r="JI15" s="15" t="str">
        <f t="shared" si="71"/>
        <v/>
      </c>
      <c r="JJ15" s="15" t="str">
        <f t="shared" si="72"/>
        <v/>
      </c>
      <c r="JK15" s="15" t="str">
        <f t="shared" si="73"/>
        <v/>
      </c>
      <c r="JL15" s="15" t="str">
        <f t="shared" si="74"/>
        <v/>
      </c>
      <c r="JM15" s="46"/>
      <c r="JN15" s="46"/>
      <c r="JO15" s="46"/>
      <c r="JP15" s="46"/>
      <c r="JQ15" s="46"/>
      <c r="JR15" s="46"/>
      <c r="JS15" s="46"/>
      <c r="JT15" s="46"/>
      <c r="JU15" s="46"/>
      <c r="JV15" s="46"/>
      <c r="JW15" s="46"/>
      <c r="JX15" s="46"/>
      <c r="JY15" s="46"/>
      <c r="JZ15" s="46"/>
      <c r="KA15" s="46"/>
      <c r="KB15" s="46"/>
      <c r="KC15" s="12" t="str">
        <f t="shared" si="75"/>
        <v/>
      </c>
      <c r="KD15" s="12" t="str">
        <f t="shared" si="76"/>
        <v/>
      </c>
      <c r="KE15" s="12" t="str">
        <f t="shared" si="77"/>
        <v/>
      </c>
      <c r="KF15" s="12" t="str">
        <f t="shared" si="78"/>
        <v/>
      </c>
      <c r="KG15" s="12" t="str">
        <f t="shared" si="79"/>
        <v/>
      </c>
      <c r="KH15" s="45"/>
      <c r="KI15" s="45"/>
      <c r="KJ15" s="45"/>
      <c r="KK15" s="45"/>
      <c r="KL15" s="45"/>
      <c r="KM15" s="45"/>
      <c r="KN15" s="45"/>
      <c r="KO15" s="45"/>
      <c r="KP15" s="45"/>
      <c r="KQ15" s="45"/>
      <c r="KR15" s="45"/>
      <c r="KS15" s="45"/>
      <c r="KT15" s="45"/>
      <c r="KU15" s="45"/>
      <c r="KV15" s="45"/>
      <c r="KW15" s="45"/>
      <c r="KX15" s="15" t="str">
        <f t="shared" si="80"/>
        <v/>
      </c>
      <c r="KY15" s="15" t="str">
        <f t="shared" si="81"/>
        <v/>
      </c>
      <c r="KZ15" s="15" t="str">
        <f t="shared" si="82"/>
        <v/>
      </c>
      <c r="LA15" s="15" t="str">
        <f t="shared" si="83"/>
        <v/>
      </c>
      <c r="LB15" s="15" t="str">
        <f t="shared" si="84"/>
        <v/>
      </c>
      <c r="LC15" s="71">
        <f t="shared" si="91"/>
        <v>0</v>
      </c>
      <c r="LD15" s="71">
        <f t="shared" si="85"/>
        <v>0</v>
      </c>
      <c r="LE15" s="71">
        <f t="shared" si="85"/>
        <v>0</v>
      </c>
      <c r="LF15" s="71">
        <f t="shared" si="85"/>
        <v>0</v>
      </c>
      <c r="LG15" s="71">
        <f t="shared" si="85"/>
        <v>0</v>
      </c>
      <c r="LH15" s="71">
        <f t="shared" si="85"/>
        <v>0</v>
      </c>
      <c r="LI15" s="71">
        <f t="shared" si="85"/>
        <v>0</v>
      </c>
      <c r="LJ15" s="71">
        <f t="shared" si="85"/>
        <v>0</v>
      </c>
      <c r="LK15" s="71">
        <f t="shared" si="85"/>
        <v>0</v>
      </c>
      <c r="LL15" s="71">
        <f t="shared" si="85"/>
        <v>0</v>
      </c>
      <c r="LM15" s="71">
        <f t="shared" si="85"/>
        <v>0</v>
      </c>
      <c r="LN15" s="71">
        <f t="shared" si="85"/>
        <v>0</v>
      </c>
      <c r="LO15" s="71">
        <f t="shared" si="85"/>
        <v>0</v>
      </c>
      <c r="LP15" s="71">
        <f t="shared" si="85"/>
        <v>0</v>
      </c>
      <c r="LQ15" s="71">
        <f t="shared" si="85"/>
        <v>0</v>
      </c>
      <c r="LR15" s="71">
        <f t="shared" si="85"/>
        <v>0</v>
      </c>
      <c r="LS15" s="82" t="s">
        <v>100</v>
      </c>
      <c r="LT15" s="12" t="str">
        <f t="shared" si="92"/>
        <v/>
      </c>
      <c r="LU15" s="12" t="str">
        <f t="shared" si="93"/>
        <v/>
      </c>
      <c r="LV15" s="12" t="str">
        <f t="shared" si="94"/>
        <v/>
      </c>
      <c r="LW15" s="12" t="str">
        <f t="shared" si="95"/>
        <v/>
      </c>
      <c r="LX15" s="12" t="str">
        <f t="shared" si="96"/>
        <v/>
      </c>
    </row>
    <row r="18" spans="1:313" x14ac:dyDescent="0.2">
      <c r="B18" s="72" t="s">
        <v>85</v>
      </c>
      <c r="AH18" s="58"/>
      <c r="AI18" s="58"/>
      <c r="AK18" s="66">
        <v>15.6</v>
      </c>
      <c r="BD18" s="58"/>
      <c r="BE18" s="58"/>
      <c r="BG18" s="66">
        <v>15.6</v>
      </c>
      <c r="CA18" s="58"/>
      <c r="CB18" s="58"/>
      <c r="CD18" s="66">
        <v>28.8</v>
      </c>
      <c r="CV18" s="58"/>
      <c r="CW18" s="58"/>
      <c r="CY18" s="66">
        <v>28.8</v>
      </c>
      <c r="DQ18" s="58"/>
      <c r="DR18" s="58"/>
      <c r="DT18" s="66">
        <v>15.6</v>
      </c>
      <c r="EL18" s="58"/>
      <c r="EM18" s="58"/>
      <c r="EO18" s="66">
        <v>15.6</v>
      </c>
      <c r="FG18" s="58"/>
      <c r="FH18" s="58"/>
      <c r="FJ18" s="66">
        <v>15.6</v>
      </c>
      <c r="GB18" s="58"/>
      <c r="GC18" s="58"/>
      <c r="GE18" s="66">
        <v>15.6</v>
      </c>
      <c r="GW18" s="58"/>
      <c r="GX18" s="58"/>
      <c r="GZ18" s="66">
        <v>15.6</v>
      </c>
      <c r="HR18" s="58"/>
      <c r="HS18" s="58"/>
      <c r="HU18" s="66">
        <v>15.6</v>
      </c>
      <c r="IM18" s="58"/>
      <c r="IN18" s="58"/>
      <c r="IP18" s="66">
        <v>15.6</v>
      </c>
      <c r="JH18" s="58"/>
      <c r="JI18" s="58"/>
      <c r="JK18" s="66">
        <v>15.6</v>
      </c>
      <c r="KC18" s="58"/>
      <c r="KD18" s="58"/>
      <c r="KF18" s="66">
        <v>15.6</v>
      </c>
      <c r="KX18" s="58"/>
      <c r="KY18" s="58"/>
      <c r="LA18" s="66">
        <v>15.6</v>
      </c>
    </row>
    <row r="19" spans="1:313" x14ac:dyDescent="0.2">
      <c r="B19" s="99" t="s">
        <v>84</v>
      </c>
      <c r="AH19" s="58"/>
      <c r="AI19" s="58"/>
      <c r="AK19" s="113">
        <v>16</v>
      </c>
      <c r="BD19" s="58"/>
      <c r="BE19" s="58"/>
      <c r="BG19" s="115">
        <v>16</v>
      </c>
      <c r="CA19" s="58"/>
      <c r="CB19" s="58"/>
      <c r="CD19" s="115">
        <v>28.8</v>
      </c>
      <c r="CV19" s="58"/>
      <c r="CW19" s="58"/>
      <c r="CY19" s="115">
        <v>28.8</v>
      </c>
      <c r="DQ19" s="58"/>
      <c r="DR19" s="58"/>
      <c r="DT19" s="115">
        <v>16</v>
      </c>
      <c r="EL19" s="58"/>
      <c r="EM19" s="58"/>
      <c r="EO19" s="115">
        <v>16</v>
      </c>
      <c r="FG19" s="58"/>
      <c r="FH19" s="58"/>
      <c r="FJ19" s="115">
        <v>16</v>
      </c>
      <c r="GB19" s="58"/>
      <c r="GC19" s="58"/>
      <c r="GE19" s="115">
        <v>16</v>
      </c>
      <c r="GW19" s="58"/>
      <c r="GX19" s="58"/>
      <c r="GZ19" s="115">
        <v>16</v>
      </c>
      <c r="HR19" s="58"/>
      <c r="HS19" s="58"/>
      <c r="HU19" s="115">
        <v>16</v>
      </c>
      <c r="IM19" s="58"/>
      <c r="IN19" s="58"/>
      <c r="IP19" s="115">
        <v>16</v>
      </c>
      <c r="JH19" s="58"/>
      <c r="JI19" s="58"/>
      <c r="JK19" s="115">
        <v>16</v>
      </c>
      <c r="KC19" s="58"/>
      <c r="KD19" s="58"/>
      <c r="KF19" s="115">
        <v>16</v>
      </c>
      <c r="KX19" s="58"/>
      <c r="KY19" s="58"/>
      <c r="LA19" s="115">
        <v>16</v>
      </c>
    </row>
    <row r="20" spans="1:313" x14ac:dyDescent="0.2">
      <c r="A20" s="58"/>
      <c r="B20" s="100" t="s">
        <v>159</v>
      </c>
      <c r="C20" s="57"/>
      <c r="AH20" s="58"/>
      <c r="AI20" s="58"/>
      <c r="AK20" s="114">
        <v>31.2</v>
      </c>
      <c r="BD20" s="58"/>
      <c r="BE20" s="58"/>
      <c r="BG20" s="103">
        <v>31.2</v>
      </c>
      <c r="CA20" s="58"/>
      <c r="CB20" s="58"/>
      <c r="CD20" s="103">
        <v>28.8</v>
      </c>
      <c r="CV20" s="58"/>
      <c r="CW20" s="58"/>
      <c r="CY20" s="103">
        <v>28.8</v>
      </c>
      <c r="DQ20" s="58"/>
      <c r="DR20" s="58"/>
      <c r="DT20" s="103">
        <v>31.2</v>
      </c>
      <c r="EL20" s="58"/>
      <c r="EM20" s="58"/>
      <c r="EO20" s="103">
        <v>31.2</v>
      </c>
      <c r="FG20" s="58"/>
      <c r="FH20" s="58"/>
      <c r="FJ20" s="103">
        <v>31.2</v>
      </c>
      <c r="GB20" s="58"/>
      <c r="GC20" s="58"/>
      <c r="GE20" s="103">
        <v>31.2</v>
      </c>
      <c r="GW20" s="58"/>
      <c r="GX20" s="58"/>
      <c r="GZ20" s="103">
        <v>31.2</v>
      </c>
      <c r="HR20" s="58"/>
      <c r="HS20" s="58"/>
      <c r="HU20" s="103">
        <v>31.2</v>
      </c>
      <c r="IM20" s="58"/>
      <c r="IN20" s="58"/>
      <c r="IP20" s="103">
        <v>31.2</v>
      </c>
      <c r="JH20" s="58"/>
      <c r="JI20" s="58"/>
      <c r="JK20" s="103">
        <v>31.2</v>
      </c>
      <c r="KC20" s="58"/>
      <c r="KD20" s="58"/>
      <c r="KF20" s="103">
        <v>31.2</v>
      </c>
      <c r="KX20" s="58"/>
      <c r="KY20" s="58"/>
      <c r="LA20" s="103">
        <v>31.2</v>
      </c>
    </row>
    <row r="21" spans="1:313" x14ac:dyDescent="0.2">
      <c r="A21" s="58"/>
      <c r="B21" s="73" t="s">
        <v>82</v>
      </c>
      <c r="C21" s="57"/>
      <c r="AH21" s="58"/>
      <c r="AI21" s="58"/>
      <c r="AK21" s="67">
        <v>69.5</v>
      </c>
      <c r="BD21" s="58"/>
      <c r="BE21" s="58"/>
      <c r="BG21" s="67">
        <v>69.5</v>
      </c>
      <c r="CA21" s="58"/>
      <c r="CB21" s="58"/>
      <c r="CD21" s="67">
        <v>136</v>
      </c>
      <c r="CV21" s="58"/>
      <c r="CW21" s="58"/>
      <c r="CY21" s="67">
        <v>136</v>
      </c>
      <c r="DQ21" s="58"/>
      <c r="DR21" s="58"/>
      <c r="DT21" s="67">
        <v>69.5</v>
      </c>
      <c r="EL21" s="58"/>
      <c r="EM21" s="58"/>
      <c r="EO21" s="67">
        <v>69.5</v>
      </c>
      <c r="FG21" s="58"/>
      <c r="FH21" s="58"/>
      <c r="FJ21" s="67">
        <v>69.5</v>
      </c>
      <c r="GB21" s="58"/>
      <c r="GC21" s="58"/>
      <c r="GE21" s="67">
        <v>69.5</v>
      </c>
      <c r="GW21" s="58"/>
      <c r="GX21" s="58"/>
      <c r="GZ21" s="67">
        <v>69.5</v>
      </c>
      <c r="HR21" s="58"/>
      <c r="HS21" s="58"/>
      <c r="HU21" s="67">
        <v>69.5</v>
      </c>
      <c r="IM21" s="58"/>
      <c r="IN21" s="58"/>
      <c r="IP21" s="67">
        <v>69.5</v>
      </c>
      <c r="JH21" s="58"/>
      <c r="JI21" s="58"/>
      <c r="JK21" s="67">
        <v>69.5</v>
      </c>
      <c r="KC21" s="58"/>
      <c r="KD21" s="58"/>
      <c r="KF21" s="67">
        <v>69.5</v>
      </c>
      <c r="KX21" s="58"/>
      <c r="KY21" s="58"/>
      <c r="LA21" s="67">
        <v>69.5</v>
      </c>
    </row>
    <row r="22" spans="1:313" x14ac:dyDescent="0.2">
      <c r="A22" s="58"/>
      <c r="B22" s="74" t="s">
        <v>83</v>
      </c>
      <c r="C22" s="57"/>
      <c r="AH22" s="58"/>
      <c r="AI22" s="58"/>
      <c r="AK22" s="68">
        <v>71</v>
      </c>
      <c r="BD22" s="58"/>
      <c r="BE22" s="58"/>
      <c r="BG22" s="68">
        <v>71</v>
      </c>
      <c r="CA22" s="58"/>
      <c r="CB22" s="58"/>
      <c r="CD22" s="68">
        <v>138</v>
      </c>
      <c r="CV22" s="58"/>
      <c r="CW22" s="58"/>
      <c r="CY22" s="68">
        <v>138</v>
      </c>
      <c r="DQ22" s="58"/>
      <c r="DR22" s="58"/>
      <c r="DT22" s="68">
        <v>71</v>
      </c>
      <c r="EL22" s="58"/>
      <c r="EM22" s="58"/>
      <c r="EO22" s="68">
        <v>71</v>
      </c>
      <c r="FG22" s="58"/>
      <c r="FH22" s="58"/>
      <c r="FJ22" s="68">
        <v>71</v>
      </c>
      <c r="GB22" s="58"/>
      <c r="GC22" s="58"/>
      <c r="GE22" s="68">
        <v>71</v>
      </c>
      <c r="GW22" s="58"/>
      <c r="GX22" s="58"/>
      <c r="GZ22" s="68">
        <v>71</v>
      </c>
      <c r="HR22" s="58"/>
      <c r="HS22" s="58"/>
      <c r="HU22" s="68">
        <v>71</v>
      </c>
      <c r="IM22" s="58"/>
      <c r="IN22" s="58"/>
      <c r="IP22" s="68">
        <v>71</v>
      </c>
      <c r="JH22" s="58"/>
      <c r="JI22" s="58"/>
      <c r="JK22" s="68">
        <v>71</v>
      </c>
      <c r="KC22" s="58"/>
      <c r="KD22" s="58"/>
      <c r="KF22" s="68">
        <v>71</v>
      </c>
      <c r="KX22" s="58"/>
      <c r="KY22" s="58"/>
      <c r="LA22" s="68">
        <v>71</v>
      </c>
    </row>
    <row r="23" spans="1:313" x14ac:dyDescent="0.2">
      <c r="A23" s="58"/>
      <c r="B23" s="75" t="s">
        <v>151</v>
      </c>
      <c r="C23" s="57"/>
      <c r="AH23" s="58"/>
      <c r="AI23" s="58"/>
      <c r="AK23" s="69">
        <v>143</v>
      </c>
      <c r="BD23" s="58"/>
      <c r="BE23" s="58"/>
      <c r="BG23" s="69">
        <v>143</v>
      </c>
      <c r="CA23" s="58"/>
      <c r="CB23" s="58"/>
      <c r="CD23" s="69">
        <v>143</v>
      </c>
      <c r="CV23" s="58"/>
      <c r="CW23" s="58"/>
      <c r="CY23" s="69">
        <v>143</v>
      </c>
      <c r="DQ23" s="58"/>
      <c r="DR23" s="58"/>
      <c r="DT23" s="69">
        <v>143</v>
      </c>
      <c r="EL23" s="58"/>
      <c r="EM23" s="58"/>
      <c r="EO23" s="69">
        <v>143</v>
      </c>
      <c r="FG23" s="58"/>
      <c r="FH23" s="58"/>
      <c r="FJ23" s="69">
        <v>143</v>
      </c>
      <c r="GB23" s="58"/>
      <c r="GC23" s="58"/>
      <c r="GE23" s="69">
        <v>143</v>
      </c>
      <c r="GW23" s="58"/>
      <c r="GX23" s="58"/>
      <c r="GZ23" s="69">
        <v>143</v>
      </c>
      <c r="HR23" s="58"/>
      <c r="HS23" s="58"/>
      <c r="HU23" s="69">
        <v>143</v>
      </c>
      <c r="IM23" s="58"/>
      <c r="IN23" s="58"/>
      <c r="IP23" s="69">
        <v>143</v>
      </c>
      <c r="JH23" s="58"/>
      <c r="JI23" s="58"/>
      <c r="JK23" s="69">
        <v>143</v>
      </c>
      <c r="KC23" s="58"/>
      <c r="KD23" s="58"/>
      <c r="KF23" s="69">
        <v>143</v>
      </c>
      <c r="KX23" s="58"/>
      <c r="KY23" s="58"/>
      <c r="LA23" s="69">
        <v>143</v>
      </c>
    </row>
    <row r="24" spans="1:313" x14ac:dyDescent="0.2">
      <c r="A24" s="58"/>
      <c r="B24" s="76" t="s">
        <v>64</v>
      </c>
      <c r="C24" s="57"/>
      <c r="AH24" s="58"/>
      <c r="AI24" s="58"/>
      <c r="AK24" s="70">
        <v>145</v>
      </c>
      <c r="BD24" s="58"/>
      <c r="BE24" s="58"/>
      <c r="BG24" s="70">
        <v>145</v>
      </c>
      <c r="CA24" s="58"/>
      <c r="CB24" s="58"/>
      <c r="CD24" s="70">
        <v>146</v>
      </c>
      <c r="CV24" s="58"/>
      <c r="CW24" s="58"/>
      <c r="CY24" s="70">
        <v>146</v>
      </c>
      <c r="DQ24" s="58"/>
      <c r="DR24" s="58"/>
      <c r="DT24" s="70">
        <v>145</v>
      </c>
      <c r="EL24" s="58"/>
      <c r="EM24" s="58"/>
      <c r="EO24" s="70">
        <v>145</v>
      </c>
      <c r="FG24" s="58"/>
      <c r="FH24" s="58"/>
      <c r="FJ24" s="70">
        <v>145</v>
      </c>
      <c r="GB24" s="58"/>
      <c r="GC24" s="58"/>
      <c r="GE24" s="70">
        <v>145</v>
      </c>
      <c r="GW24" s="58"/>
      <c r="GX24" s="58"/>
      <c r="GZ24" s="70">
        <v>145</v>
      </c>
      <c r="HR24" s="58"/>
      <c r="HS24" s="58"/>
      <c r="HU24" s="70">
        <v>145</v>
      </c>
      <c r="IM24" s="58"/>
      <c r="IN24" s="58"/>
      <c r="IP24" s="70">
        <v>145</v>
      </c>
      <c r="JH24" s="58"/>
      <c r="JI24" s="58"/>
      <c r="JK24" s="70">
        <v>145</v>
      </c>
      <c r="KC24" s="58"/>
      <c r="KD24" s="58"/>
      <c r="KF24" s="70">
        <v>145</v>
      </c>
      <c r="KX24" s="58"/>
      <c r="KY24" s="58"/>
      <c r="LA24" s="70">
        <v>145</v>
      </c>
    </row>
    <row r="25" spans="1:313" x14ac:dyDescent="0.2">
      <c r="B25" s="84" t="s">
        <v>101</v>
      </c>
      <c r="C25" s="3"/>
      <c r="CC25" s="7"/>
      <c r="JJ25" s="7"/>
    </row>
    <row r="26" spans="1:313" x14ac:dyDescent="0.2">
      <c r="A26" s="58"/>
      <c r="B26" s="58"/>
      <c r="C26" s="57"/>
    </row>
    <row r="27" spans="1:313" x14ac:dyDescent="0.2">
      <c r="A27" s="58"/>
      <c r="B27" s="58"/>
      <c r="C27" s="57"/>
    </row>
    <row r="28" spans="1:313" x14ac:dyDescent="0.2">
      <c r="A28" s="58"/>
      <c r="B28" s="58"/>
      <c r="C28" s="57"/>
    </row>
  </sheetData>
  <sheetProtection sheet="1" formatCells="0" formatColumns="0" formatRows="0"/>
  <autoFilter ref="A1:LB1" xr:uid="{39E202D5-9E50-D84C-9698-E2E5C20E9023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sortState xmlns:xlrd2="http://schemas.microsoft.com/office/spreadsheetml/2017/richdata2" ref="A6:LB15">
      <sortCondition descending="1" ref="F1:F21"/>
    </sortState>
  </autoFilter>
  <mergeCells count="92">
    <mergeCell ref="K1:K3"/>
    <mergeCell ref="M1:M3"/>
    <mergeCell ref="H1:H3"/>
    <mergeCell ref="D1:D3"/>
    <mergeCell ref="O1:O3"/>
    <mergeCell ref="I1:I3"/>
    <mergeCell ref="J1:J3"/>
    <mergeCell ref="L1:L3"/>
    <mergeCell ref="N1:N3"/>
    <mergeCell ref="P1:P3"/>
    <mergeCell ref="KH1:LB1"/>
    <mergeCell ref="KH2:KK2"/>
    <mergeCell ref="KL2:KO2"/>
    <mergeCell ref="KP2:KS2"/>
    <mergeCell ref="KT2:KW2"/>
    <mergeCell ref="IR1:JL1"/>
    <mergeCell ref="JM1:KG1"/>
    <mergeCell ref="IR2:IU2"/>
    <mergeCell ref="IV2:IY2"/>
    <mergeCell ref="IZ2:JC2"/>
    <mergeCell ref="JD2:JG2"/>
    <mergeCell ref="JM2:JP2"/>
    <mergeCell ref="JQ2:JT2"/>
    <mergeCell ref="JU2:JX2"/>
    <mergeCell ref="JY2:KB2"/>
    <mergeCell ref="HB1:HV1"/>
    <mergeCell ref="HW1:IQ1"/>
    <mergeCell ref="HB2:HE2"/>
    <mergeCell ref="HF2:HI2"/>
    <mergeCell ref="HJ2:HM2"/>
    <mergeCell ref="HN2:HQ2"/>
    <mergeCell ref="HW2:HZ2"/>
    <mergeCell ref="IA2:ID2"/>
    <mergeCell ref="IE2:IH2"/>
    <mergeCell ref="II2:IL2"/>
    <mergeCell ref="FL1:GF1"/>
    <mergeCell ref="GG1:HA1"/>
    <mergeCell ref="FL2:FO2"/>
    <mergeCell ref="FP2:FS2"/>
    <mergeCell ref="FT2:FW2"/>
    <mergeCell ref="FX2:GA2"/>
    <mergeCell ref="GG2:GJ2"/>
    <mergeCell ref="GK2:GN2"/>
    <mergeCell ref="GO2:GR2"/>
    <mergeCell ref="GS2:GV2"/>
    <mergeCell ref="EQ1:FK1"/>
    <mergeCell ref="DV2:DY2"/>
    <mergeCell ref="DZ2:EC2"/>
    <mergeCell ref="ED2:EG2"/>
    <mergeCell ref="EH2:EK2"/>
    <mergeCell ref="EQ2:ET2"/>
    <mergeCell ref="EU2:EX2"/>
    <mergeCell ref="EY2:FB2"/>
    <mergeCell ref="FC2:FF2"/>
    <mergeCell ref="DV1:EP1"/>
    <mergeCell ref="A1:A3"/>
    <mergeCell ref="B1:B3"/>
    <mergeCell ref="C1:C3"/>
    <mergeCell ref="E1:E3"/>
    <mergeCell ref="G1:G3"/>
    <mergeCell ref="F1:F3"/>
    <mergeCell ref="DE2:DH2"/>
    <mergeCell ref="DI2:DL2"/>
    <mergeCell ref="DM2:DP2"/>
    <mergeCell ref="BK1:CE1"/>
    <mergeCell ref="CF1:CZ1"/>
    <mergeCell ref="CR2:CU2"/>
    <mergeCell ref="BK2:BN2"/>
    <mergeCell ref="BO2:BR2"/>
    <mergeCell ref="BS2:BV2"/>
    <mergeCell ref="BW2:BZ2"/>
    <mergeCell ref="CF2:CI2"/>
    <mergeCell ref="DA1:DU1"/>
    <mergeCell ref="DA2:DD2"/>
    <mergeCell ref="Q1:AL1"/>
    <mergeCell ref="AM1:BH1"/>
    <mergeCell ref="BI1:BJ1"/>
    <mergeCell ref="CJ2:CM2"/>
    <mergeCell ref="CN2:CQ2"/>
    <mergeCell ref="Q2:T2"/>
    <mergeCell ref="U2:X2"/>
    <mergeCell ref="Y2:AB2"/>
    <mergeCell ref="AC2:AF2"/>
    <mergeCell ref="AM2:AP2"/>
    <mergeCell ref="AQ2:AT2"/>
    <mergeCell ref="AU2:AX2"/>
    <mergeCell ref="AY2:BB2"/>
    <mergeCell ref="LC1:LX1"/>
    <mergeCell ref="LC2:LF2"/>
    <mergeCell ref="LG2:LJ2"/>
    <mergeCell ref="LK2:LN2"/>
    <mergeCell ref="LO2:LR2"/>
  </mergeCells>
  <conditionalFormatting sqref="A1:A1048576">
    <cfRule type="expression" dxfId="52" priority="189">
      <formula>AND(H1="P",F1="")</formula>
    </cfRule>
  </conditionalFormatting>
  <conditionalFormatting sqref="I16:I1048576">
    <cfRule type="containsText" dxfId="51" priority="190" operator="containsText" text="Merit">
      <formula>NOT(ISERROR(SEARCH("Merit",I16)))</formula>
    </cfRule>
    <cfRule type="containsText" dxfId="50" priority="191" operator="containsText" text="Excellence">
      <formula>NOT(ISERROR(SEARCH("Excellence",I16)))</formula>
    </cfRule>
    <cfRule type="containsText" dxfId="49" priority="192" operator="containsText" text="Worlds Team">
      <formula>NOT(ISERROR(SEARCH("Worlds Team",I16)))</formula>
    </cfRule>
    <cfRule type="containsText" dxfId="48" priority="821" operator="containsText" text="National Team">
      <formula>NOT(ISERROR(SEARCH("National Team",I16)))</formula>
    </cfRule>
  </conditionalFormatting>
  <conditionalFormatting sqref="JJ1:JJ1048576 KE1:KE1048576 KZ1:KZ1048576 CC1:CC1048576 CX1:CX1048576 DS1:DS1048576 EN1:EN1048576 FI1:FI1048576 GD1:GD1048576 GY1:GY1048576 HT1:HT1048576 IO1:IO1048576">
    <cfRule type="expression" dxfId="47" priority="8847">
      <formula>IF(AND(CC1&gt;=CD$22,CC1&lt;CD$23),1,0)</formula>
    </cfRule>
    <cfRule type="expression" dxfId="46" priority="8848">
      <formula>IF(AND(CC1&gt;=CD$21,CC1&lt;CD$22),1,0)</formula>
    </cfRule>
  </conditionalFormatting>
  <conditionalFormatting sqref="K1:K1048576 M1:M1048576">
    <cfRule type="expression" dxfId="45" priority="8865">
      <formula>IF(K1=$AM$1,1,0)</formula>
    </cfRule>
    <cfRule type="expression" dxfId="44" priority="8866">
      <formula>IF(K1=$Q$1,1,0)</formula>
    </cfRule>
  </conditionalFormatting>
  <conditionalFormatting sqref="AM4:BH15">
    <cfRule type="expression" dxfId="43" priority="8867">
      <formula>IF($BC4&lt;&gt;"",1,0)</formula>
    </cfRule>
  </conditionalFormatting>
  <conditionalFormatting sqref="CE1:CE1048576 CZ1:CZ1048576 DU1:DU1048576 EP1:EP1048576 FK1:FK1048576 GF1:GF1048576 HA1:HA1048576 HV1:HV1048576 IQ1:IQ1048576 JL1:JL1048576 KG1:KG1048576 LB1:LB1048576">
    <cfRule type="expression" dxfId="42" priority="8845">
      <formula>IF(AND(CE1&gt;=CD$24,CE1&lt;1000),1,0)</formula>
    </cfRule>
    <cfRule type="expression" dxfId="41" priority="8846">
      <formula>IF(AND(CE1&gt;=CD$23,CE1&lt;CD$24),1,0)</formula>
    </cfRule>
  </conditionalFormatting>
  <conditionalFormatting sqref="Q4:AL15">
    <cfRule type="expression" dxfId="40" priority="122">
      <formula>IF($AG4&lt;&gt;"",1,0)</formula>
    </cfRule>
  </conditionalFormatting>
  <conditionalFormatting sqref="AH1:AH1048576 BD1:BD1048576">
    <cfRule type="expression" dxfId="39" priority="17">
      <formula>IF(AND(AH1&gt;=AK$19,AH1&lt;1000,AG1=""),1,0)</formula>
    </cfRule>
    <cfRule type="expression" dxfId="38" priority="110">
      <formula>IF(AND(AH1&gt;=AK$18,AH1&lt;AK$19,AG1=""),1,0)</formula>
    </cfRule>
  </conditionalFormatting>
  <conditionalFormatting sqref="BF1:BF1048576 AJ1:AJ1048576">
    <cfRule type="expression" dxfId="37" priority="9232">
      <formula>IF(AND(AJ1&gt;=AK$22,AJ1&lt;AK$23,AG1=""),1,0)</formula>
    </cfRule>
    <cfRule type="expression" dxfId="36" priority="9233">
      <formula>IF(AND(AJ1&gt;=AK$21,AJ1&lt;AK$22,AG1=""),1,0)</formula>
    </cfRule>
  </conditionalFormatting>
  <conditionalFormatting sqref="BH1:BH1048576 AL1:AL1048576">
    <cfRule type="expression" dxfId="35" priority="9236">
      <formula>IF(AND(AL1&gt;=AK$24,AL1&lt;1000,AG1=""),1,0)</formula>
    </cfRule>
    <cfRule type="expression" dxfId="34" priority="9237">
      <formula>IF(AND(AL1&gt;=AK$23,AL1&lt;AK$24,AG1=""),1,0)</formula>
    </cfRule>
  </conditionalFormatting>
  <conditionalFormatting sqref="AI1:AI1048576 BE1:BE1048576">
    <cfRule type="expression" dxfId="33" priority="9262">
      <formula>IF(AND(AI1&gt;=AK$20,AI1&lt;1000,AG1=""),1,0)</formula>
    </cfRule>
  </conditionalFormatting>
  <conditionalFormatting sqref="CA1:CA1048576 CV1:CV1048576 EL1:EL1048576 FG1:FG1048576 GB1:GB1048576 GW1:GW1048576 HR1:HR1048576 IM1:IM1048576 JH1:JH1048576 KC1:KC1048576 KX1:KX1048576">
    <cfRule type="expression" dxfId="32" priority="16">
      <formula>IF(AND(CA1&gt;=CD$19,CA1&lt;1000),1,0)</formula>
    </cfRule>
    <cfRule type="expression" dxfId="31" priority="27">
      <formula>IF(AND(CA1&gt;=CD$18,CA1&lt;CD$19),1,0)</formula>
    </cfRule>
  </conditionalFormatting>
  <conditionalFormatting sqref="I1:I1048576">
    <cfRule type="containsText" dxfId="30" priority="11" operator="containsText" text="No DD">
      <formula>NOT(ISERROR(SEARCH("No DD",I1)))</formula>
    </cfRule>
    <cfRule type="containsText" dxfId="29" priority="12" operator="containsText" text="Merit">
      <formula>NOT(ISERROR(SEARCH("Merit",I1)))</formula>
    </cfRule>
    <cfRule type="containsText" dxfId="28" priority="13" operator="containsText" text="Excellence">
      <formula>NOT(ISERROR(SEARCH("Excellence",I1)))</formula>
    </cfRule>
    <cfRule type="containsText" dxfId="27" priority="14" operator="containsText" text="Worlds Team">
      <formula>NOT(ISERROR(SEARCH("Worlds Team",I1)))</formula>
    </cfRule>
    <cfRule type="containsText" dxfId="26" priority="15" operator="containsText" text="National Team">
      <formula>NOT(ISERROR(SEARCH("National Team",I1)))</formula>
    </cfRule>
  </conditionalFormatting>
  <conditionalFormatting sqref="CB1:CB1048576 CW1:CW1048576 DR1:DR1048576 EM1:EM1048576 FH1:FH1048576 GC1:GC1048576 GX1:GX1048576 HS1:HS1048576 IN1:IN1048576 JI1:JI1048576 KD1:KD1048576 KY1:KY1048576">
    <cfRule type="expression" dxfId="25" priority="76">
      <formula>IF(AND(CB1&gt;=CD$20,CB1&lt;1000),1,0)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1F594-8680-D546-B3F5-C3E5E4A8E4B9}">
  <sheetPr codeName="Sheet10"/>
  <dimension ref="A1:LX24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7" max="7" width="17.33203125" bestFit="1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5" width="10.83203125" customWidth="1"/>
    <col min="37" max="38" width="10.83203125" customWidth="1"/>
    <col min="39" max="55" width="10.83203125" hidden="1" customWidth="1"/>
    <col min="56" max="60" width="10.83203125" customWidth="1"/>
    <col min="63" max="78" width="10.83203125" hidden="1" customWidth="1"/>
    <col min="79" max="83" width="10.83203125" customWidth="1"/>
    <col min="84" max="99" width="10.83203125" hidden="1" customWidth="1"/>
    <col min="100" max="104" width="10.83203125" customWidth="1"/>
    <col min="105" max="120" width="10.83203125" hidden="1" customWidth="1"/>
    <col min="121" max="125" width="10.83203125" customWidth="1"/>
    <col min="126" max="141" width="10.83203125" hidden="1" customWidth="1"/>
    <col min="142" max="146" width="10.83203125" customWidth="1"/>
    <col min="147" max="336" width="10.83203125" hidden="1" customWidth="1"/>
  </cols>
  <sheetData>
    <row r="1" spans="1:336" ht="16" customHeight="1" x14ac:dyDescent="0.2">
      <c r="A1" s="124" t="s">
        <v>1</v>
      </c>
      <c r="B1" s="124" t="s">
        <v>41</v>
      </c>
      <c r="C1" s="124" t="s">
        <v>0</v>
      </c>
      <c r="D1" s="124" t="s">
        <v>102</v>
      </c>
      <c r="E1" s="124" t="s">
        <v>2</v>
      </c>
      <c r="F1" s="130" t="s">
        <v>149</v>
      </c>
      <c r="G1" s="130" t="s">
        <v>150</v>
      </c>
      <c r="H1" s="130" t="s">
        <v>15</v>
      </c>
      <c r="I1" s="124" t="s">
        <v>16</v>
      </c>
      <c r="J1" s="136" t="s">
        <v>153</v>
      </c>
      <c r="K1" s="126" t="s">
        <v>62</v>
      </c>
      <c r="L1" s="136" t="s">
        <v>152</v>
      </c>
      <c r="M1" s="126" t="s">
        <v>62</v>
      </c>
      <c r="N1" s="127" t="s">
        <v>21</v>
      </c>
      <c r="O1" s="126" t="s">
        <v>63</v>
      </c>
      <c r="P1" s="126" t="s">
        <v>62</v>
      </c>
      <c r="Q1" s="120" t="s">
        <v>166</v>
      </c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  <c r="AK1" s="120"/>
      <c r="AL1" s="120"/>
      <c r="AM1" s="123" t="s">
        <v>184</v>
      </c>
      <c r="AN1" s="123"/>
      <c r="AO1" s="123"/>
      <c r="AP1" s="123"/>
      <c r="AQ1" s="123"/>
      <c r="AR1" s="123"/>
      <c r="AS1" s="123"/>
      <c r="AT1" s="123"/>
      <c r="AU1" s="123"/>
      <c r="AV1" s="123"/>
      <c r="AW1" s="123"/>
      <c r="AX1" s="123"/>
      <c r="AY1" s="123"/>
      <c r="AZ1" s="123"/>
      <c r="BA1" s="123"/>
      <c r="BB1" s="123"/>
      <c r="BC1" s="123"/>
      <c r="BD1" s="123"/>
      <c r="BE1" s="123"/>
      <c r="BF1" s="123"/>
      <c r="BG1" s="123"/>
      <c r="BH1" s="123"/>
      <c r="BI1" s="128" t="s">
        <v>148</v>
      </c>
      <c r="BJ1" s="128"/>
      <c r="BK1" s="134" t="s">
        <v>120</v>
      </c>
      <c r="BL1" s="134"/>
      <c r="BM1" s="134"/>
      <c r="BN1" s="134"/>
      <c r="BO1" s="134"/>
      <c r="BP1" s="134"/>
      <c r="BQ1" s="134"/>
      <c r="BR1" s="134"/>
      <c r="BS1" s="134"/>
      <c r="BT1" s="134"/>
      <c r="BU1" s="134"/>
      <c r="BV1" s="134"/>
      <c r="BW1" s="134"/>
      <c r="BX1" s="134"/>
      <c r="BY1" s="134"/>
      <c r="BZ1" s="134"/>
      <c r="CA1" s="134"/>
      <c r="CB1" s="134"/>
      <c r="CC1" s="134"/>
      <c r="CD1" s="134"/>
      <c r="CE1" s="134"/>
      <c r="CF1" s="135" t="s">
        <v>145</v>
      </c>
      <c r="CG1" s="135"/>
      <c r="CH1" s="135"/>
      <c r="CI1" s="135"/>
      <c r="CJ1" s="135"/>
      <c r="CK1" s="135"/>
      <c r="CL1" s="135"/>
      <c r="CM1" s="135"/>
      <c r="CN1" s="135"/>
      <c r="CO1" s="135"/>
      <c r="CP1" s="135"/>
      <c r="CQ1" s="135"/>
      <c r="CR1" s="135"/>
      <c r="CS1" s="135"/>
      <c r="CT1" s="135"/>
      <c r="CU1" s="135"/>
      <c r="CV1" s="135"/>
      <c r="CW1" s="135"/>
      <c r="CX1" s="135"/>
      <c r="CY1" s="135"/>
      <c r="CZ1" s="135"/>
      <c r="DA1" s="134" t="s">
        <v>183</v>
      </c>
      <c r="DB1" s="134"/>
      <c r="DC1" s="134"/>
      <c r="DD1" s="134"/>
      <c r="DE1" s="134"/>
      <c r="DF1" s="134"/>
      <c r="DG1" s="134"/>
      <c r="DH1" s="134"/>
      <c r="DI1" s="134"/>
      <c r="DJ1" s="134"/>
      <c r="DK1" s="134"/>
      <c r="DL1" s="134"/>
      <c r="DM1" s="134"/>
      <c r="DN1" s="134"/>
      <c r="DO1" s="134"/>
      <c r="DP1" s="134"/>
      <c r="DQ1" s="134"/>
      <c r="DR1" s="134"/>
      <c r="DS1" s="134"/>
      <c r="DT1" s="134"/>
      <c r="DU1" s="134"/>
      <c r="DV1" s="135" t="s">
        <v>211</v>
      </c>
      <c r="DW1" s="135"/>
      <c r="DX1" s="135"/>
      <c r="DY1" s="135"/>
      <c r="DZ1" s="135"/>
      <c r="EA1" s="135"/>
      <c r="EB1" s="135"/>
      <c r="EC1" s="135"/>
      <c r="ED1" s="135"/>
      <c r="EE1" s="135"/>
      <c r="EF1" s="135"/>
      <c r="EG1" s="135"/>
      <c r="EH1" s="135"/>
      <c r="EI1" s="135"/>
      <c r="EJ1" s="135"/>
      <c r="EK1" s="135"/>
      <c r="EL1" s="135"/>
      <c r="EM1" s="135"/>
      <c r="EN1" s="135"/>
      <c r="EO1" s="135"/>
      <c r="EP1" s="135"/>
      <c r="EQ1" s="134"/>
      <c r="ER1" s="134"/>
      <c r="ES1" s="134"/>
      <c r="ET1" s="134"/>
      <c r="EU1" s="134"/>
      <c r="EV1" s="134"/>
      <c r="EW1" s="134"/>
      <c r="EX1" s="134"/>
      <c r="EY1" s="134"/>
      <c r="EZ1" s="134"/>
      <c r="FA1" s="134"/>
      <c r="FB1" s="134"/>
      <c r="FC1" s="134"/>
      <c r="FD1" s="134"/>
      <c r="FE1" s="134"/>
      <c r="FF1" s="134"/>
      <c r="FG1" s="134"/>
      <c r="FH1" s="134"/>
      <c r="FI1" s="134"/>
      <c r="FJ1" s="134"/>
      <c r="FK1" s="134"/>
      <c r="FL1" s="135"/>
      <c r="FM1" s="135"/>
      <c r="FN1" s="135"/>
      <c r="FO1" s="135"/>
      <c r="FP1" s="135"/>
      <c r="FQ1" s="135"/>
      <c r="FR1" s="135"/>
      <c r="FS1" s="135"/>
      <c r="FT1" s="135"/>
      <c r="FU1" s="135"/>
      <c r="FV1" s="135"/>
      <c r="FW1" s="135"/>
      <c r="FX1" s="135"/>
      <c r="FY1" s="135"/>
      <c r="FZ1" s="135"/>
      <c r="GA1" s="135"/>
      <c r="GB1" s="135"/>
      <c r="GC1" s="135"/>
      <c r="GD1" s="135"/>
      <c r="GE1" s="135"/>
      <c r="GF1" s="135"/>
      <c r="GG1" s="134"/>
      <c r="GH1" s="134"/>
      <c r="GI1" s="134"/>
      <c r="GJ1" s="134"/>
      <c r="GK1" s="134"/>
      <c r="GL1" s="134"/>
      <c r="GM1" s="134"/>
      <c r="GN1" s="134"/>
      <c r="GO1" s="134"/>
      <c r="GP1" s="134"/>
      <c r="GQ1" s="134"/>
      <c r="GR1" s="134"/>
      <c r="GS1" s="134"/>
      <c r="GT1" s="134"/>
      <c r="GU1" s="134"/>
      <c r="GV1" s="134"/>
      <c r="GW1" s="134"/>
      <c r="GX1" s="134"/>
      <c r="GY1" s="134"/>
      <c r="GZ1" s="134"/>
      <c r="HA1" s="134"/>
      <c r="HB1" s="135"/>
      <c r="HC1" s="135"/>
      <c r="HD1" s="135"/>
      <c r="HE1" s="135"/>
      <c r="HF1" s="135"/>
      <c r="HG1" s="135"/>
      <c r="HH1" s="135"/>
      <c r="HI1" s="135"/>
      <c r="HJ1" s="135"/>
      <c r="HK1" s="135"/>
      <c r="HL1" s="135"/>
      <c r="HM1" s="135"/>
      <c r="HN1" s="135"/>
      <c r="HO1" s="135"/>
      <c r="HP1" s="135"/>
      <c r="HQ1" s="135"/>
      <c r="HR1" s="135"/>
      <c r="HS1" s="135"/>
      <c r="HT1" s="135"/>
      <c r="HU1" s="135"/>
      <c r="HV1" s="135"/>
      <c r="HW1" s="134"/>
      <c r="HX1" s="134"/>
      <c r="HY1" s="134"/>
      <c r="HZ1" s="134"/>
      <c r="IA1" s="134"/>
      <c r="IB1" s="134"/>
      <c r="IC1" s="134"/>
      <c r="ID1" s="134"/>
      <c r="IE1" s="134"/>
      <c r="IF1" s="134"/>
      <c r="IG1" s="134"/>
      <c r="IH1" s="134"/>
      <c r="II1" s="134"/>
      <c r="IJ1" s="134"/>
      <c r="IK1" s="134"/>
      <c r="IL1" s="134"/>
      <c r="IM1" s="134"/>
      <c r="IN1" s="134"/>
      <c r="IO1" s="134"/>
      <c r="IP1" s="134"/>
      <c r="IQ1" s="134"/>
      <c r="IR1" s="135"/>
      <c r="IS1" s="135"/>
      <c r="IT1" s="135"/>
      <c r="IU1" s="135"/>
      <c r="IV1" s="135"/>
      <c r="IW1" s="135"/>
      <c r="IX1" s="135"/>
      <c r="IY1" s="135"/>
      <c r="IZ1" s="135"/>
      <c r="JA1" s="135"/>
      <c r="JB1" s="135"/>
      <c r="JC1" s="135"/>
      <c r="JD1" s="135"/>
      <c r="JE1" s="135"/>
      <c r="JF1" s="135"/>
      <c r="JG1" s="135"/>
      <c r="JH1" s="135"/>
      <c r="JI1" s="135"/>
      <c r="JJ1" s="135"/>
      <c r="JK1" s="135"/>
      <c r="JL1" s="135"/>
      <c r="JM1" s="134"/>
      <c r="JN1" s="134"/>
      <c r="JO1" s="134"/>
      <c r="JP1" s="134"/>
      <c r="JQ1" s="134"/>
      <c r="JR1" s="134"/>
      <c r="JS1" s="134"/>
      <c r="JT1" s="134"/>
      <c r="JU1" s="134"/>
      <c r="JV1" s="134"/>
      <c r="JW1" s="134"/>
      <c r="JX1" s="134"/>
      <c r="JY1" s="134"/>
      <c r="JZ1" s="134"/>
      <c r="KA1" s="134"/>
      <c r="KB1" s="134"/>
      <c r="KC1" s="134"/>
      <c r="KD1" s="134"/>
      <c r="KE1" s="134"/>
      <c r="KF1" s="134"/>
      <c r="KG1" s="134"/>
      <c r="KH1" s="135"/>
      <c r="KI1" s="135"/>
      <c r="KJ1" s="135"/>
      <c r="KK1" s="135"/>
      <c r="KL1" s="135"/>
      <c r="KM1" s="135"/>
      <c r="KN1" s="135"/>
      <c r="KO1" s="135"/>
      <c r="KP1" s="135"/>
      <c r="KQ1" s="135"/>
      <c r="KR1" s="135"/>
      <c r="KS1" s="135"/>
      <c r="KT1" s="135"/>
      <c r="KU1" s="135"/>
      <c r="KV1" s="135"/>
      <c r="KW1" s="135"/>
      <c r="KX1" s="135"/>
      <c r="KY1" s="135"/>
      <c r="KZ1" s="135"/>
      <c r="LA1" s="135"/>
      <c r="LB1" s="135"/>
      <c r="LC1" s="120" t="s">
        <v>161</v>
      </c>
      <c r="LD1" s="120"/>
      <c r="LE1" s="120"/>
      <c r="LF1" s="120"/>
      <c r="LG1" s="120"/>
      <c r="LH1" s="120"/>
      <c r="LI1" s="120"/>
      <c r="LJ1" s="120"/>
      <c r="LK1" s="120"/>
      <c r="LL1" s="120"/>
      <c r="LM1" s="120"/>
      <c r="LN1" s="120"/>
      <c r="LO1" s="120"/>
      <c r="LP1" s="120"/>
      <c r="LQ1" s="120"/>
      <c r="LR1" s="120"/>
      <c r="LS1" s="120"/>
      <c r="LT1" s="120"/>
      <c r="LU1" s="120"/>
      <c r="LV1" s="120"/>
      <c r="LW1" s="120"/>
      <c r="LX1" s="120"/>
    </row>
    <row r="2" spans="1:336" x14ac:dyDescent="0.2">
      <c r="A2" s="124"/>
      <c r="B2" s="124"/>
      <c r="C2" s="124"/>
      <c r="D2" s="124"/>
      <c r="E2" s="124"/>
      <c r="F2" s="130"/>
      <c r="G2" s="130"/>
      <c r="H2" s="130"/>
      <c r="I2" s="124"/>
      <c r="J2" s="136"/>
      <c r="K2" s="126"/>
      <c r="L2" s="136"/>
      <c r="M2" s="126"/>
      <c r="N2" s="127"/>
      <c r="O2" s="126"/>
      <c r="P2" s="126"/>
      <c r="Q2" s="121" t="s">
        <v>44</v>
      </c>
      <c r="R2" s="121"/>
      <c r="S2" s="121"/>
      <c r="T2" s="121"/>
      <c r="U2" s="121" t="s">
        <v>47</v>
      </c>
      <c r="V2" s="121"/>
      <c r="W2" s="121"/>
      <c r="X2" s="121"/>
      <c r="Y2" s="121" t="s">
        <v>48</v>
      </c>
      <c r="Z2" s="121"/>
      <c r="AA2" s="121"/>
      <c r="AB2" s="121"/>
      <c r="AC2" s="129" t="s">
        <v>49</v>
      </c>
      <c r="AD2" s="129"/>
      <c r="AE2" s="129"/>
      <c r="AF2" s="129"/>
      <c r="AG2" s="92"/>
      <c r="AH2" s="95" t="s">
        <v>32</v>
      </c>
      <c r="AI2" s="95" t="s">
        <v>160</v>
      </c>
      <c r="AJ2" s="10" t="s">
        <v>31</v>
      </c>
      <c r="AK2" s="10" t="s">
        <v>30</v>
      </c>
      <c r="AL2" s="10" t="s">
        <v>25</v>
      </c>
      <c r="AM2" s="122" t="s">
        <v>44</v>
      </c>
      <c r="AN2" s="122"/>
      <c r="AO2" s="122"/>
      <c r="AP2" s="122"/>
      <c r="AQ2" s="122" t="s">
        <v>47</v>
      </c>
      <c r="AR2" s="122"/>
      <c r="AS2" s="122"/>
      <c r="AT2" s="122"/>
      <c r="AU2" s="122" t="s">
        <v>48</v>
      </c>
      <c r="AV2" s="122"/>
      <c r="AW2" s="122"/>
      <c r="AX2" s="122"/>
      <c r="AY2" s="133" t="s">
        <v>49</v>
      </c>
      <c r="AZ2" s="133"/>
      <c r="BA2" s="133"/>
      <c r="BB2" s="133"/>
      <c r="BC2" s="91"/>
      <c r="BD2" s="96" t="s">
        <v>32</v>
      </c>
      <c r="BE2" s="96" t="s">
        <v>160</v>
      </c>
      <c r="BF2" s="13" t="s">
        <v>31</v>
      </c>
      <c r="BG2" s="13" t="s">
        <v>30</v>
      </c>
      <c r="BH2" s="13" t="s">
        <v>25</v>
      </c>
      <c r="BI2" s="24" t="s">
        <v>155</v>
      </c>
      <c r="BJ2" s="24" t="s">
        <v>154</v>
      </c>
      <c r="BK2" s="121" t="s">
        <v>44</v>
      </c>
      <c r="BL2" s="121"/>
      <c r="BM2" s="121"/>
      <c r="BN2" s="121"/>
      <c r="BO2" s="121" t="s">
        <v>47</v>
      </c>
      <c r="BP2" s="121"/>
      <c r="BQ2" s="121"/>
      <c r="BR2" s="121"/>
      <c r="BS2" s="121" t="s">
        <v>48</v>
      </c>
      <c r="BT2" s="121"/>
      <c r="BU2" s="121"/>
      <c r="BV2" s="121"/>
      <c r="BW2" s="129" t="s">
        <v>49</v>
      </c>
      <c r="BX2" s="129"/>
      <c r="BY2" s="129"/>
      <c r="BZ2" s="129"/>
      <c r="CA2" s="95" t="s">
        <v>32</v>
      </c>
      <c r="CB2" s="95" t="s">
        <v>160</v>
      </c>
      <c r="CC2" s="10" t="s">
        <v>31</v>
      </c>
      <c r="CD2" s="10" t="s">
        <v>30</v>
      </c>
      <c r="CE2" s="10" t="s">
        <v>25</v>
      </c>
      <c r="CF2" s="133" t="s">
        <v>44</v>
      </c>
      <c r="CG2" s="133"/>
      <c r="CH2" s="133"/>
      <c r="CI2" s="133"/>
      <c r="CJ2" s="133" t="s">
        <v>47</v>
      </c>
      <c r="CK2" s="133"/>
      <c r="CL2" s="133"/>
      <c r="CM2" s="133"/>
      <c r="CN2" s="133" t="s">
        <v>48</v>
      </c>
      <c r="CO2" s="133"/>
      <c r="CP2" s="133"/>
      <c r="CQ2" s="133"/>
      <c r="CR2" s="133" t="s">
        <v>49</v>
      </c>
      <c r="CS2" s="133"/>
      <c r="CT2" s="133"/>
      <c r="CU2" s="133"/>
      <c r="CV2" s="96" t="s">
        <v>32</v>
      </c>
      <c r="CW2" s="96" t="s">
        <v>160</v>
      </c>
      <c r="CX2" s="17" t="s">
        <v>31</v>
      </c>
      <c r="CY2" s="17" t="s">
        <v>30</v>
      </c>
      <c r="CZ2" s="17" t="s">
        <v>25</v>
      </c>
      <c r="DA2" s="129" t="s">
        <v>44</v>
      </c>
      <c r="DB2" s="129"/>
      <c r="DC2" s="129"/>
      <c r="DD2" s="129"/>
      <c r="DE2" s="129" t="s">
        <v>47</v>
      </c>
      <c r="DF2" s="129"/>
      <c r="DG2" s="129"/>
      <c r="DH2" s="129"/>
      <c r="DI2" s="129" t="s">
        <v>48</v>
      </c>
      <c r="DJ2" s="129"/>
      <c r="DK2" s="129"/>
      <c r="DL2" s="129"/>
      <c r="DM2" s="129" t="s">
        <v>49</v>
      </c>
      <c r="DN2" s="129"/>
      <c r="DO2" s="129"/>
      <c r="DP2" s="129"/>
      <c r="DQ2" s="95" t="s">
        <v>32</v>
      </c>
      <c r="DR2" s="95" t="s">
        <v>160</v>
      </c>
      <c r="DS2" s="18" t="s">
        <v>31</v>
      </c>
      <c r="DT2" s="18" t="s">
        <v>30</v>
      </c>
      <c r="DU2" s="18" t="s">
        <v>25</v>
      </c>
      <c r="DV2" s="133" t="s">
        <v>44</v>
      </c>
      <c r="DW2" s="133"/>
      <c r="DX2" s="133"/>
      <c r="DY2" s="133"/>
      <c r="DZ2" s="133" t="s">
        <v>47</v>
      </c>
      <c r="EA2" s="133"/>
      <c r="EB2" s="133"/>
      <c r="EC2" s="133"/>
      <c r="ED2" s="133" t="s">
        <v>48</v>
      </c>
      <c r="EE2" s="133"/>
      <c r="EF2" s="133"/>
      <c r="EG2" s="133"/>
      <c r="EH2" s="133" t="s">
        <v>49</v>
      </c>
      <c r="EI2" s="133"/>
      <c r="EJ2" s="133"/>
      <c r="EK2" s="133"/>
      <c r="EL2" s="96" t="s">
        <v>32</v>
      </c>
      <c r="EM2" s="96" t="s">
        <v>160</v>
      </c>
      <c r="EN2" s="17" t="s">
        <v>31</v>
      </c>
      <c r="EO2" s="17" t="s">
        <v>30</v>
      </c>
      <c r="EP2" s="17" t="s">
        <v>25</v>
      </c>
      <c r="EQ2" s="129" t="s">
        <v>44</v>
      </c>
      <c r="ER2" s="129"/>
      <c r="ES2" s="129"/>
      <c r="ET2" s="129"/>
      <c r="EU2" s="129" t="s">
        <v>47</v>
      </c>
      <c r="EV2" s="129"/>
      <c r="EW2" s="129"/>
      <c r="EX2" s="129"/>
      <c r="EY2" s="129" t="s">
        <v>48</v>
      </c>
      <c r="EZ2" s="129"/>
      <c r="FA2" s="129"/>
      <c r="FB2" s="129"/>
      <c r="FC2" s="129" t="s">
        <v>49</v>
      </c>
      <c r="FD2" s="129"/>
      <c r="FE2" s="129"/>
      <c r="FF2" s="129"/>
      <c r="FG2" s="95" t="s">
        <v>32</v>
      </c>
      <c r="FH2" s="95" t="s">
        <v>160</v>
      </c>
      <c r="FI2" s="18" t="s">
        <v>31</v>
      </c>
      <c r="FJ2" s="18" t="s">
        <v>30</v>
      </c>
      <c r="FK2" s="18" t="s">
        <v>25</v>
      </c>
      <c r="FL2" s="133" t="s">
        <v>44</v>
      </c>
      <c r="FM2" s="133"/>
      <c r="FN2" s="133"/>
      <c r="FO2" s="133"/>
      <c r="FP2" s="133" t="s">
        <v>47</v>
      </c>
      <c r="FQ2" s="133"/>
      <c r="FR2" s="133"/>
      <c r="FS2" s="133"/>
      <c r="FT2" s="133" t="s">
        <v>48</v>
      </c>
      <c r="FU2" s="133"/>
      <c r="FV2" s="133"/>
      <c r="FW2" s="133"/>
      <c r="FX2" s="133" t="s">
        <v>49</v>
      </c>
      <c r="FY2" s="133"/>
      <c r="FZ2" s="133"/>
      <c r="GA2" s="133"/>
      <c r="GB2" s="96" t="s">
        <v>32</v>
      </c>
      <c r="GC2" s="96" t="s">
        <v>160</v>
      </c>
      <c r="GD2" s="17" t="s">
        <v>31</v>
      </c>
      <c r="GE2" s="17" t="s">
        <v>30</v>
      </c>
      <c r="GF2" s="17" t="s">
        <v>25</v>
      </c>
      <c r="GG2" s="129" t="s">
        <v>44</v>
      </c>
      <c r="GH2" s="129"/>
      <c r="GI2" s="129"/>
      <c r="GJ2" s="129"/>
      <c r="GK2" s="129" t="s">
        <v>47</v>
      </c>
      <c r="GL2" s="129"/>
      <c r="GM2" s="129"/>
      <c r="GN2" s="129"/>
      <c r="GO2" s="129" t="s">
        <v>48</v>
      </c>
      <c r="GP2" s="129"/>
      <c r="GQ2" s="129"/>
      <c r="GR2" s="129"/>
      <c r="GS2" s="129" t="s">
        <v>49</v>
      </c>
      <c r="GT2" s="129"/>
      <c r="GU2" s="129"/>
      <c r="GV2" s="129"/>
      <c r="GW2" s="95" t="s">
        <v>32</v>
      </c>
      <c r="GX2" s="95" t="s">
        <v>160</v>
      </c>
      <c r="GY2" s="18" t="s">
        <v>31</v>
      </c>
      <c r="GZ2" s="18" t="s">
        <v>30</v>
      </c>
      <c r="HA2" s="18" t="s">
        <v>25</v>
      </c>
      <c r="HB2" s="133" t="s">
        <v>44</v>
      </c>
      <c r="HC2" s="133"/>
      <c r="HD2" s="133"/>
      <c r="HE2" s="133"/>
      <c r="HF2" s="133" t="s">
        <v>47</v>
      </c>
      <c r="HG2" s="133"/>
      <c r="HH2" s="133"/>
      <c r="HI2" s="133"/>
      <c r="HJ2" s="133" t="s">
        <v>48</v>
      </c>
      <c r="HK2" s="133"/>
      <c r="HL2" s="133"/>
      <c r="HM2" s="133"/>
      <c r="HN2" s="133" t="s">
        <v>49</v>
      </c>
      <c r="HO2" s="133"/>
      <c r="HP2" s="133"/>
      <c r="HQ2" s="133"/>
      <c r="HR2" s="96" t="s">
        <v>32</v>
      </c>
      <c r="HS2" s="96" t="s">
        <v>160</v>
      </c>
      <c r="HT2" s="17" t="s">
        <v>31</v>
      </c>
      <c r="HU2" s="17" t="s">
        <v>30</v>
      </c>
      <c r="HV2" s="17" t="s">
        <v>25</v>
      </c>
      <c r="HW2" s="129" t="s">
        <v>44</v>
      </c>
      <c r="HX2" s="129"/>
      <c r="HY2" s="129"/>
      <c r="HZ2" s="129"/>
      <c r="IA2" s="129" t="s">
        <v>47</v>
      </c>
      <c r="IB2" s="129"/>
      <c r="IC2" s="129"/>
      <c r="ID2" s="129"/>
      <c r="IE2" s="129" t="s">
        <v>48</v>
      </c>
      <c r="IF2" s="129"/>
      <c r="IG2" s="129"/>
      <c r="IH2" s="129"/>
      <c r="II2" s="129" t="s">
        <v>49</v>
      </c>
      <c r="IJ2" s="129"/>
      <c r="IK2" s="129"/>
      <c r="IL2" s="129"/>
      <c r="IM2" s="95" t="s">
        <v>32</v>
      </c>
      <c r="IN2" s="95" t="s">
        <v>160</v>
      </c>
      <c r="IO2" s="18" t="s">
        <v>31</v>
      </c>
      <c r="IP2" s="18" t="s">
        <v>30</v>
      </c>
      <c r="IQ2" s="18" t="s">
        <v>25</v>
      </c>
      <c r="IR2" s="133" t="s">
        <v>44</v>
      </c>
      <c r="IS2" s="133"/>
      <c r="IT2" s="133"/>
      <c r="IU2" s="133"/>
      <c r="IV2" s="133" t="s">
        <v>47</v>
      </c>
      <c r="IW2" s="133"/>
      <c r="IX2" s="133"/>
      <c r="IY2" s="133"/>
      <c r="IZ2" s="133" t="s">
        <v>48</v>
      </c>
      <c r="JA2" s="133"/>
      <c r="JB2" s="133"/>
      <c r="JC2" s="133"/>
      <c r="JD2" s="133" t="s">
        <v>49</v>
      </c>
      <c r="JE2" s="133"/>
      <c r="JF2" s="133"/>
      <c r="JG2" s="133"/>
      <c r="JH2" s="96" t="s">
        <v>32</v>
      </c>
      <c r="JI2" s="96" t="s">
        <v>160</v>
      </c>
      <c r="JJ2" s="17" t="s">
        <v>31</v>
      </c>
      <c r="JK2" s="17" t="s">
        <v>30</v>
      </c>
      <c r="JL2" s="17" t="s">
        <v>25</v>
      </c>
      <c r="JM2" s="129" t="s">
        <v>44</v>
      </c>
      <c r="JN2" s="129"/>
      <c r="JO2" s="129"/>
      <c r="JP2" s="129"/>
      <c r="JQ2" s="129" t="s">
        <v>47</v>
      </c>
      <c r="JR2" s="129"/>
      <c r="JS2" s="129"/>
      <c r="JT2" s="129"/>
      <c r="JU2" s="129" t="s">
        <v>48</v>
      </c>
      <c r="JV2" s="129"/>
      <c r="JW2" s="129"/>
      <c r="JX2" s="129"/>
      <c r="JY2" s="129" t="s">
        <v>49</v>
      </c>
      <c r="JZ2" s="129"/>
      <c r="KA2" s="129"/>
      <c r="KB2" s="129"/>
      <c r="KC2" s="95" t="s">
        <v>32</v>
      </c>
      <c r="KD2" s="95" t="s">
        <v>160</v>
      </c>
      <c r="KE2" s="18" t="s">
        <v>31</v>
      </c>
      <c r="KF2" s="18" t="s">
        <v>30</v>
      </c>
      <c r="KG2" s="18" t="s">
        <v>25</v>
      </c>
      <c r="KH2" s="133" t="s">
        <v>44</v>
      </c>
      <c r="KI2" s="133"/>
      <c r="KJ2" s="133"/>
      <c r="KK2" s="133"/>
      <c r="KL2" s="133" t="s">
        <v>47</v>
      </c>
      <c r="KM2" s="133"/>
      <c r="KN2" s="133"/>
      <c r="KO2" s="133"/>
      <c r="KP2" s="133" t="s">
        <v>48</v>
      </c>
      <c r="KQ2" s="133"/>
      <c r="KR2" s="133"/>
      <c r="KS2" s="133"/>
      <c r="KT2" s="133" t="s">
        <v>49</v>
      </c>
      <c r="KU2" s="133"/>
      <c r="KV2" s="133"/>
      <c r="KW2" s="133"/>
      <c r="KX2" s="96" t="s">
        <v>32</v>
      </c>
      <c r="KY2" s="96" t="s">
        <v>160</v>
      </c>
      <c r="KZ2" s="17" t="s">
        <v>31</v>
      </c>
      <c r="LA2" s="17" t="s">
        <v>30</v>
      </c>
      <c r="LB2" s="17" t="s">
        <v>25</v>
      </c>
      <c r="LC2" s="121" t="s">
        <v>44</v>
      </c>
      <c r="LD2" s="121"/>
      <c r="LE2" s="121"/>
      <c r="LF2" s="121"/>
      <c r="LG2" s="121" t="s">
        <v>47</v>
      </c>
      <c r="LH2" s="121"/>
      <c r="LI2" s="121"/>
      <c r="LJ2" s="121"/>
      <c r="LK2" s="121" t="s">
        <v>48</v>
      </c>
      <c r="LL2" s="121"/>
      <c r="LM2" s="121"/>
      <c r="LN2" s="121"/>
      <c r="LO2" s="129" t="s">
        <v>49</v>
      </c>
      <c r="LP2" s="129"/>
      <c r="LQ2" s="129"/>
      <c r="LR2" s="129"/>
      <c r="LS2" s="111"/>
      <c r="LT2" s="111" t="s">
        <v>32</v>
      </c>
      <c r="LU2" s="111" t="s">
        <v>160</v>
      </c>
      <c r="LV2" s="10" t="s">
        <v>31</v>
      </c>
      <c r="LW2" s="10" t="s">
        <v>30</v>
      </c>
      <c r="LX2" s="10" t="s">
        <v>25</v>
      </c>
    </row>
    <row r="3" spans="1:336" x14ac:dyDescent="0.2">
      <c r="A3" s="124"/>
      <c r="B3" s="124"/>
      <c r="C3" s="124"/>
      <c r="D3" s="124"/>
      <c r="E3" s="124"/>
      <c r="F3" s="130"/>
      <c r="G3" s="130"/>
      <c r="H3" s="130"/>
      <c r="I3" s="124"/>
      <c r="J3" s="136"/>
      <c r="K3" s="126"/>
      <c r="L3" s="136"/>
      <c r="M3" s="126"/>
      <c r="N3" s="127"/>
      <c r="O3" s="126"/>
      <c r="P3" s="126"/>
      <c r="Q3" s="92" t="s">
        <v>22</v>
      </c>
      <c r="R3" s="92" t="s">
        <v>14</v>
      </c>
      <c r="S3" s="92" t="s">
        <v>45</v>
      </c>
      <c r="T3" s="92" t="s">
        <v>46</v>
      </c>
      <c r="U3" s="92" t="s">
        <v>22</v>
      </c>
      <c r="V3" s="92" t="s">
        <v>14</v>
      </c>
      <c r="W3" s="92" t="s">
        <v>45</v>
      </c>
      <c r="X3" s="92" t="s">
        <v>46</v>
      </c>
      <c r="Y3" s="92" t="s">
        <v>22</v>
      </c>
      <c r="Z3" s="92" t="s">
        <v>14</v>
      </c>
      <c r="AA3" s="92" t="s">
        <v>45</v>
      </c>
      <c r="AB3" s="92" t="s">
        <v>46</v>
      </c>
      <c r="AC3" s="93" t="s">
        <v>22</v>
      </c>
      <c r="AD3" s="93" t="s">
        <v>14</v>
      </c>
      <c r="AE3" s="93" t="s">
        <v>45</v>
      </c>
      <c r="AF3" s="93" t="s">
        <v>46</v>
      </c>
      <c r="AG3" s="92" t="s">
        <v>99</v>
      </c>
      <c r="AH3" s="11"/>
      <c r="AI3" s="11"/>
      <c r="AJ3" s="10"/>
      <c r="AK3" s="11"/>
      <c r="AL3" s="11"/>
      <c r="AM3" s="91" t="s">
        <v>22</v>
      </c>
      <c r="AN3" s="91" t="s">
        <v>14</v>
      </c>
      <c r="AO3" s="91" t="s">
        <v>45</v>
      </c>
      <c r="AP3" s="91" t="s">
        <v>46</v>
      </c>
      <c r="AQ3" s="91" t="s">
        <v>22</v>
      </c>
      <c r="AR3" s="91" t="s">
        <v>14</v>
      </c>
      <c r="AS3" s="91" t="s">
        <v>45</v>
      </c>
      <c r="AT3" s="91" t="s">
        <v>46</v>
      </c>
      <c r="AU3" s="91" t="s">
        <v>22</v>
      </c>
      <c r="AV3" s="91" t="s">
        <v>14</v>
      </c>
      <c r="AW3" s="91" t="s">
        <v>45</v>
      </c>
      <c r="AX3" s="91" t="s">
        <v>46</v>
      </c>
      <c r="AY3" s="94" t="s">
        <v>22</v>
      </c>
      <c r="AZ3" s="94" t="s">
        <v>14</v>
      </c>
      <c r="BA3" s="94" t="s">
        <v>45</v>
      </c>
      <c r="BB3" s="94" t="s">
        <v>46</v>
      </c>
      <c r="BC3" s="91" t="s">
        <v>99</v>
      </c>
      <c r="BD3" s="14"/>
      <c r="BE3" s="14"/>
      <c r="BF3" s="13"/>
      <c r="BG3" s="14"/>
      <c r="BH3" s="14"/>
      <c r="BI3" s="25"/>
      <c r="BJ3" s="25"/>
      <c r="BK3" s="92" t="s">
        <v>22</v>
      </c>
      <c r="BL3" s="92" t="s">
        <v>14</v>
      </c>
      <c r="BM3" s="92" t="s">
        <v>45</v>
      </c>
      <c r="BN3" s="92" t="s">
        <v>46</v>
      </c>
      <c r="BO3" s="92" t="s">
        <v>22</v>
      </c>
      <c r="BP3" s="92" t="s">
        <v>14</v>
      </c>
      <c r="BQ3" s="92" t="s">
        <v>45</v>
      </c>
      <c r="BR3" s="92" t="s">
        <v>46</v>
      </c>
      <c r="BS3" s="92" t="s">
        <v>22</v>
      </c>
      <c r="BT3" s="92" t="s">
        <v>14</v>
      </c>
      <c r="BU3" s="92" t="s">
        <v>45</v>
      </c>
      <c r="BV3" s="92" t="s">
        <v>46</v>
      </c>
      <c r="BW3" s="93" t="s">
        <v>22</v>
      </c>
      <c r="BX3" s="93" t="s">
        <v>14</v>
      </c>
      <c r="BY3" s="93" t="s">
        <v>45</v>
      </c>
      <c r="BZ3" s="93" t="s">
        <v>46</v>
      </c>
      <c r="CA3" s="11"/>
      <c r="CB3" s="11"/>
      <c r="CC3" s="10"/>
      <c r="CD3" s="11"/>
      <c r="CE3" s="11"/>
      <c r="CF3" s="94" t="s">
        <v>22</v>
      </c>
      <c r="CG3" s="94" t="s">
        <v>14</v>
      </c>
      <c r="CH3" s="94" t="s">
        <v>45</v>
      </c>
      <c r="CI3" s="94" t="s">
        <v>46</v>
      </c>
      <c r="CJ3" s="94" t="s">
        <v>22</v>
      </c>
      <c r="CK3" s="94" t="s">
        <v>14</v>
      </c>
      <c r="CL3" s="94" t="s">
        <v>45</v>
      </c>
      <c r="CM3" s="94" t="s">
        <v>46</v>
      </c>
      <c r="CN3" s="94" t="s">
        <v>22</v>
      </c>
      <c r="CO3" s="94" t="s">
        <v>14</v>
      </c>
      <c r="CP3" s="94" t="s">
        <v>45</v>
      </c>
      <c r="CQ3" s="94" t="s">
        <v>46</v>
      </c>
      <c r="CR3" s="94" t="s">
        <v>22</v>
      </c>
      <c r="CS3" s="94" t="s">
        <v>14</v>
      </c>
      <c r="CT3" s="94" t="s">
        <v>45</v>
      </c>
      <c r="CU3" s="94" t="s">
        <v>46</v>
      </c>
      <c r="CV3" s="14"/>
      <c r="CW3" s="14"/>
      <c r="CX3" s="17"/>
      <c r="CY3" s="17"/>
      <c r="CZ3" s="17"/>
      <c r="DA3" s="93" t="s">
        <v>22</v>
      </c>
      <c r="DB3" s="93" t="s">
        <v>14</v>
      </c>
      <c r="DC3" s="93" t="s">
        <v>45</v>
      </c>
      <c r="DD3" s="93" t="s">
        <v>46</v>
      </c>
      <c r="DE3" s="93" t="s">
        <v>22</v>
      </c>
      <c r="DF3" s="93" t="s">
        <v>14</v>
      </c>
      <c r="DG3" s="93" t="s">
        <v>45</v>
      </c>
      <c r="DH3" s="93" t="s">
        <v>46</v>
      </c>
      <c r="DI3" s="93" t="s">
        <v>22</v>
      </c>
      <c r="DJ3" s="93" t="s">
        <v>14</v>
      </c>
      <c r="DK3" s="93" t="s">
        <v>45</v>
      </c>
      <c r="DL3" s="93" t="s">
        <v>46</v>
      </c>
      <c r="DM3" s="93" t="s">
        <v>22</v>
      </c>
      <c r="DN3" s="93" t="s">
        <v>14</v>
      </c>
      <c r="DO3" s="93" t="s">
        <v>45</v>
      </c>
      <c r="DP3" s="93" t="s">
        <v>46</v>
      </c>
      <c r="DQ3" s="11"/>
      <c r="DR3" s="11"/>
      <c r="DS3" s="18"/>
      <c r="DT3" s="18"/>
      <c r="DU3" s="18"/>
      <c r="DV3" s="94" t="s">
        <v>22</v>
      </c>
      <c r="DW3" s="94" t="s">
        <v>14</v>
      </c>
      <c r="DX3" s="94" t="s">
        <v>45</v>
      </c>
      <c r="DY3" s="94" t="s">
        <v>46</v>
      </c>
      <c r="DZ3" s="94" t="s">
        <v>22</v>
      </c>
      <c r="EA3" s="94" t="s">
        <v>14</v>
      </c>
      <c r="EB3" s="94" t="s">
        <v>45</v>
      </c>
      <c r="EC3" s="94" t="s">
        <v>46</v>
      </c>
      <c r="ED3" s="94" t="s">
        <v>22</v>
      </c>
      <c r="EE3" s="94" t="s">
        <v>14</v>
      </c>
      <c r="EF3" s="94" t="s">
        <v>45</v>
      </c>
      <c r="EG3" s="94" t="s">
        <v>46</v>
      </c>
      <c r="EH3" s="94" t="s">
        <v>22</v>
      </c>
      <c r="EI3" s="94" t="s">
        <v>14</v>
      </c>
      <c r="EJ3" s="94" t="s">
        <v>45</v>
      </c>
      <c r="EK3" s="94" t="s">
        <v>46</v>
      </c>
      <c r="EL3" s="14"/>
      <c r="EM3" s="14"/>
      <c r="EN3" s="17"/>
      <c r="EO3" s="17"/>
      <c r="EP3" s="17"/>
      <c r="EQ3" s="93" t="s">
        <v>22</v>
      </c>
      <c r="ER3" s="93" t="s">
        <v>14</v>
      </c>
      <c r="ES3" s="93" t="s">
        <v>45</v>
      </c>
      <c r="ET3" s="93" t="s">
        <v>46</v>
      </c>
      <c r="EU3" s="93" t="s">
        <v>22</v>
      </c>
      <c r="EV3" s="93" t="s">
        <v>14</v>
      </c>
      <c r="EW3" s="93" t="s">
        <v>45</v>
      </c>
      <c r="EX3" s="93" t="s">
        <v>46</v>
      </c>
      <c r="EY3" s="93" t="s">
        <v>22</v>
      </c>
      <c r="EZ3" s="93" t="s">
        <v>14</v>
      </c>
      <c r="FA3" s="93" t="s">
        <v>45</v>
      </c>
      <c r="FB3" s="93" t="s">
        <v>46</v>
      </c>
      <c r="FC3" s="93" t="s">
        <v>22</v>
      </c>
      <c r="FD3" s="93" t="s">
        <v>14</v>
      </c>
      <c r="FE3" s="93" t="s">
        <v>45</v>
      </c>
      <c r="FF3" s="93" t="s">
        <v>46</v>
      </c>
      <c r="FG3" s="11"/>
      <c r="FH3" s="11"/>
      <c r="FI3" s="18"/>
      <c r="FJ3" s="18"/>
      <c r="FK3" s="18"/>
      <c r="FL3" s="94" t="s">
        <v>22</v>
      </c>
      <c r="FM3" s="94" t="s">
        <v>14</v>
      </c>
      <c r="FN3" s="94" t="s">
        <v>45</v>
      </c>
      <c r="FO3" s="94" t="s">
        <v>46</v>
      </c>
      <c r="FP3" s="94" t="s">
        <v>22</v>
      </c>
      <c r="FQ3" s="94" t="s">
        <v>14</v>
      </c>
      <c r="FR3" s="94" t="s">
        <v>45</v>
      </c>
      <c r="FS3" s="94" t="s">
        <v>46</v>
      </c>
      <c r="FT3" s="94" t="s">
        <v>22</v>
      </c>
      <c r="FU3" s="94" t="s">
        <v>14</v>
      </c>
      <c r="FV3" s="94" t="s">
        <v>45</v>
      </c>
      <c r="FW3" s="94" t="s">
        <v>46</v>
      </c>
      <c r="FX3" s="94" t="s">
        <v>22</v>
      </c>
      <c r="FY3" s="94" t="s">
        <v>14</v>
      </c>
      <c r="FZ3" s="94" t="s">
        <v>45</v>
      </c>
      <c r="GA3" s="94" t="s">
        <v>46</v>
      </c>
      <c r="GB3" s="14"/>
      <c r="GC3" s="14"/>
      <c r="GD3" s="17"/>
      <c r="GE3" s="17"/>
      <c r="GF3" s="17"/>
      <c r="GG3" s="93" t="s">
        <v>22</v>
      </c>
      <c r="GH3" s="93" t="s">
        <v>14</v>
      </c>
      <c r="GI3" s="93" t="s">
        <v>45</v>
      </c>
      <c r="GJ3" s="93" t="s">
        <v>46</v>
      </c>
      <c r="GK3" s="93" t="s">
        <v>22</v>
      </c>
      <c r="GL3" s="93" t="s">
        <v>14</v>
      </c>
      <c r="GM3" s="93" t="s">
        <v>45</v>
      </c>
      <c r="GN3" s="93" t="s">
        <v>46</v>
      </c>
      <c r="GO3" s="93" t="s">
        <v>22</v>
      </c>
      <c r="GP3" s="93" t="s">
        <v>14</v>
      </c>
      <c r="GQ3" s="93" t="s">
        <v>45</v>
      </c>
      <c r="GR3" s="93" t="s">
        <v>46</v>
      </c>
      <c r="GS3" s="93" t="s">
        <v>22</v>
      </c>
      <c r="GT3" s="93" t="s">
        <v>14</v>
      </c>
      <c r="GU3" s="93" t="s">
        <v>45</v>
      </c>
      <c r="GV3" s="93" t="s">
        <v>46</v>
      </c>
      <c r="GW3" s="11"/>
      <c r="GX3" s="11"/>
      <c r="GY3" s="18"/>
      <c r="GZ3" s="18"/>
      <c r="HA3" s="18"/>
      <c r="HB3" s="94" t="s">
        <v>22</v>
      </c>
      <c r="HC3" s="94" t="s">
        <v>14</v>
      </c>
      <c r="HD3" s="94" t="s">
        <v>45</v>
      </c>
      <c r="HE3" s="94" t="s">
        <v>46</v>
      </c>
      <c r="HF3" s="94" t="s">
        <v>22</v>
      </c>
      <c r="HG3" s="94" t="s">
        <v>14</v>
      </c>
      <c r="HH3" s="94" t="s">
        <v>45</v>
      </c>
      <c r="HI3" s="94" t="s">
        <v>46</v>
      </c>
      <c r="HJ3" s="94" t="s">
        <v>22</v>
      </c>
      <c r="HK3" s="94" t="s">
        <v>14</v>
      </c>
      <c r="HL3" s="94" t="s">
        <v>45</v>
      </c>
      <c r="HM3" s="94" t="s">
        <v>46</v>
      </c>
      <c r="HN3" s="94" t="s">
        <v>22</v>
      </c>
      <c r="HO3" s="94" t="s">
        <v>14</v>
      </c>
      <c r="HP3" s="94" t="s">
        <v>45</v>
      </c>
      <c r="HQ3" s="94" t="s">
        <v>46</v>
      </c>
      <c r="HR3" s="14"/>
      <c r="HS3" s="14"/>
      <c r="HT3" s="17"/>
      <c r="HU3" s="17"/>
      <c r="HV3" s="17"/>
      <c r="HW3" s="93" t="s">
        <v>22</v>
      </c>
      <c r="HX3" s="93" t="s">
        <v>14</v>
      </c>
      <c r="HY3" s="93" t="s">
        <v>45</v>
      </c>
      <c r="HZ3" s="93" t="s">
        <v>46</v>
      </c>
      <c r="IA3" s="93" t="s">
        <v>22</v>
      </c>
      <c r="IB3" s="93" t="s">
        <v>14</v>
      </c>
      <c r="IC3" s="93" t="s">
        <v>45</v>
      </c>
      <c r="ID3" s="93" t="s">
        <v>46</v>
      </c>
      <c r="IE3" s="93" t="s">
        <v>22</v>
      </c>
      <c r="IF3" s="93" t="s">
        <v>14</v>
      </c>
      <c r="IG3" s="93" t="s">
        <v>45</v>
      </c>
      <c r="IH3" s="93" t="s">
        <v>46</v>
      </c>
      <c r="II3" s="93" t="s">
        <v>22</v>
      </c>
      <c r="IJ3" s="93" t="s">
        <v>14</v>
      </c>
      <c r="IK3" s="93" t="s">
        <v>45</v>
      </c>
      <c r="IL3" s="93" t="s">
        <v>46</v>
      </c>
      <c r="IM3" s="11"/>
      <c r="IN3" s="11"/>
      <c r="IO3" s="18"/>
      <c r="IP3" s="18"/>
      <c r="IQ3" s="18"/>
      <c r="IR3" s="94" t="s">
        <v>22</v>
      </c>
      <c r="IS3" s="94" t="s">
        <v>14</v>
      </c>
      <c r="IT3" s="94" t="s">
        <v>45</v>
      </c>
      <c r="IU3" s="94" t="s">
        <v>46</v>
      </c>
      <c r="IV3" s="94" t="s">
        <v>22</v>
      </c>
      <c r="IW3" s="94" t="s">
        <v>14</v>
      </c>
      <c r="IX3" s="94" t="s">
        <v>45</v>
      </c>
      <c r="IY3" s="94" t="s">
        <v>46</v>
      </c>
      <c r="IZ3" s="94" t="s">
        <v>22</v>
      </c>
      <c r="JA3" s="94" t="s">
        <v>14</v>
      </c>
      <c r="JB3" s="94" t="s">
        <v>45</v>
      </c>
      <c r="JC3" s="94" t="s">
        <v>46</v>
      </c>
      <c r="JD3" s="94" t="s">
        <v>22</v>
      </c>
      <c r="JE3" s="94" t="s">
        <v>14</v>
      </c>
      <c r="JF3" s="94" t="s">
        <v>45</v>
      </c>
      <c r="JG3" s="94" t="s">
        <v>46</v>
      </c>
      <c r="JH3" s="14"/>
      <c r="JI3" s="14"/>
      <c r="JJ3" s="17"/>
      <c r="JK3" s="17"/>
      <c r="JL3" s="17"/>
      <c r="JM3" s="93" t="s">
        <v>22</v>
      </c>
      <c r="JN3" s="93" t="s">
        <v>14</v>
      </c>
      <c r="JO3" s="93" t="s">
        <v>45</v>
      </c>
      <c r="JP3" s="93" t="s">
        <v>46</v>
      </c>
      <c r="JQ3" s="93" t="s">
        <v>22</v>
      </c>
      <c r="JR3" s="93" t="s">
        <v>14</v>
      </c>
      <c r="JS3" s="93" t="s">
        <v>45</v>
      </c>
      <c r="JT3" s="93" t="s">
        <v>46</v>
      </c>
      <c r="JU3" s="93" t="s">
        <v>22</v>
      </c>
      <c r="JV3" s="93" t="s">
        <v>14</v>
      </c>
      <c r="JW3" s="93" t="s">
        <v>45</v>
      </c>
      <c r="JX3" s="93" t="s">
        <v>46</v>
      </c>
      <c r="JY3" s="93" t="s">
        <v>22</v>
      </c>
      <c r="JZ3" s="93" t="s">
        <v>14</v>
      </c>
      <c r="KA3" s="93" t="s">
        <v>45</v>
      </c>
      <c r="KB3" s="93" t="s">
        <v>46</v>
      </c>
      <c r="KC3" s="11"/>
      <c r="KD3" s="11"/>
      <c r="KE3" s="18"/>
      <c r="KF3" s="18"/>
      <c r="KG3" s="18"/>
      <c r="KH3" s="94" t="s">
        <v>22</v>
      </c>
      <c r="KI3" s="94" t="s">
        <v>14</v>
      </c>
      <c r="KJ3" s="94" t="s">
        <v>45</v>
      </c>
      <c r="KK3" s="94" t="s">
        <v>46</v>
      </c>
      <c r="KL3" s="94" t="s">
        <v>22</v>
      </c>
      <c r="KM3" s="94" t="s">
        <v>14</v>
      </c>
      <c r="KN3" s="94" t="s">
        <v>45</v>
      </c>
      <c r="KO3" s="94" t="s">
        <v>46</v>
      </c>
      <c r="KP3" s="94" t="s">
        <v>22</v>
      </c>
      <c r="KQ3" s="94" t="s">
        <v>14</v>
      </c>
      <c r="KR3" s="94" t="s">
        <v>45</v>
      </c>
      <c r="KS3" s="94" t="s">
        <v>46</v>
      </c>
      <c r="KT3" s="94" t="s">
        <v>22</v>
      </c>
      <c r="KU3" s="94" t="s">
        <v>14</v>
      </c>
      <c r="KV3" s="94" t="s">
        <v>45</v>
      </c>
      <c r="KW3" s="94" t="s">
        <v>46</v>
      </c>
      <c r="KX3" s="14"/>
      <c r="KY3" s="14"/>
      <c r="KZ3" s="17"/>
      <c r="LA3" s="17"/>
      <c r="LB3" s="17"/>
      <c r="LC3" s="111" t="s">
        <v>22</v>
      </c>
      <c r="LD3" s="111" t="s">
        <v>14</v>
      </c>
      <c r="LE3" s="111" t="s">
        <v>45</v>
      </c>
      <c r="LF3" s="111" t="s">
        <v>46</v>
      </c>
      <c r="LG3" s="111" t="s">
        <v>22</v>
      </c>
      <c r="LH3" s="111" t="s">
        <v>14</v>
      </c>
      <c r="LI3" s="111" t="s">
        <v>45</v>
      </c>
      <c r="LJ3" s="111" t="s">
        <v>46</v>
      </c>
      <c r="LK3" s="111" t="s">
        <v>22</v>
      </c>
      <c r="LL3" s="111" t="s">
        <v>14</v>
      </c>
      <c r="LM3" s="111" t="s">
        <v>45</v>
      </c>
      <c r="LN3" s="111" t="s">
        <v>46</v>
      </c>
      <c r="LO3" s="112" t="s">
        <v>22</v>
      </c>
      <c r="LP3" s="112" t="s">
        <v>14</v>
      </c>
      <c r="LQ3" s="112" t="s">
        <v>45</v>
      </c>
      <c r="LR3" s="112" t="s">
        <v>46</v>
      </c>
      <c r="LS3" s="111" t="s">
        <v>99</v>
      </c>
      <c r="LT3" s="11"/>
      <c r="LU3" s="11"/>
      <c r="LV3" s="10"/>
      <c r="LW3" s="11"/>
      <c r="LX3" s="11"/>
    </row>
    <row r="4" spans="1:336" x14ac:dyDescent="0.2">
      <c r="A4" s="6">
        <f t="shared" ref="A4:A11" si="0">IF(AND(F4="P",H4="P"),SUMPRODUCT((F$4:F$12="P")*(H$4:H$12="P")*(E$4:E$12&gt;E4))+1,IF(H4="P",SUMPRODUCT((F$4:F$12="")*(H$4:H$12="P")*(E$4:E$12&gt;E4))+1+SUMPRODUCT((F$4:F$12="P")*(H$4:H$12="P")),""))</f>
        <v>1</v>
      </c>
      <c r="B4" s="9" t="s">
        <v>50</v>
      </c>
      <c r="C4" s="5" t="s">
        <v>3</v>
      </c>
      <c r="D4" s="6">
        <v>1994</v>
      </c>
      <c r="E4" s="16">
        <f t="shared" ref="E4:E11" si="1">SUM(J4:N4)</f>
        <v>209.9</v>
      </c>
      <c r="F4" s="4" t="str">
        <f t="shared" ref="F4:F11" si="2">IF(OR(AND(AH4&gt;=AK$14,AJ4&gt;=AK$17,AJ4&lt;&gt;"",AG4=""),AND(BD4&gt;=BG$14,BF4&gt;=BG$17,BF4&lt;&gt;"",BC4=""),AND(CA4&gt;=CD$14,CC4&gt;=CD$17,CC4&lt;&gt;""),AND(CV4&gt;=CY$14,CX4&gt;=CY$17,CX4&lt;&gt;""),AND(DQ4&gt;=DT$14,DS4&gt;=DT$17,DS4&lt;&gt;""),AND(EL4&gt;=EO$14,EN4&gt;=EO$17,EN4&lt;&gt;""),AND(FG4&gt;=FJ$14,FI4&gt;=FJ$17,FI4&lt;&gt;""),AND(GB4&gt;=GE$14,GD4&gt;=GE$17,GD4&lt;&gt;""),AND(GW4&gt;=GZ$14,GY4&gt;=GZ$17,GY4&lt;&gt;""),AND(HR4&gt;=HU$14,HT4&gt;=HU$17,HT4&lt;&gt;""),AND(IM4&gt;=IP$14,IO4&gt;=IP$17,IO4&lt;&gt;""),AND(JH4&gt;=JK$14,JJ4&gt;=JK$17,JJ4&lt;&gt;""),AND(KC4&gt;=KF$14,KE4&gt;=KF$17,KE4&lt;&gt;""),AND(KX4&gt;=LA$14,KZ4&gt;=LA$17,KZ4&lt;&gt;"")),"P","")</f>
        <v>P</v>
      </c>
      <c r="G4" s="4" t="str">
        <f t="shared" ref="G4:G11" si="3">IF(OR(AND(AH4&gt;=AK$15,AJ4&gt;=AK$18,AJ4&lt;&gt;"",AG4=""),AND(BD4&gt;=BG$15,BF4&gt;=BG$18,BF4&lt;&gt;"",BC4=""),AND(CA4&gt;=CD$15,CC4&gt;=CD$18,CC4&lt;&gt;""),AND(CV4&gt;=CY$15,CX4&gt;=CY$18,CX4&lt;&gt;""),AND(DQ4&gt;=DT$15,DS4&gt;=DT$18,DS4&lt;&gt;""),AND(EL4&gt;=EO$15,EN4&gt;=EO$18,EN4&lt;&gt;""),AND(FG4&gt;=FJ$15,FI4&gt;=FJ$18,FI4&lt;&gt;""),AND(GB4&gt;=GE$15,GD4&gt;=GE$18,GD4&lt;&gt;""),AND(GW4&gt;=GZ$15,GY4&gt;=GZ$18,GY4&lt;&gt;""),AND(HR4&gt;=HU$15,HT4&gt;=HU$18,HT4&lt;&gt;""),AND(IM4&gt;=IP$15,IO4&gt;=IP$18,IO4&lt;&gt;""),AND(JH4&gt;=JK$15,JJ4&gt;=JK$18,JJ4&lt;&gt;""),AND(KC4&gt;=KF$15,KE4&gt;=KF$18,KE4&lt;&gt;""),AND(KX4&gt;=LA$15,KZ4&gt;=LA$18,KZ4&lt;&gt;"")),"P","")</f>
        <v>P</v>
      </c>
      <c r="H4" s="4" t="str">
        <f t="shared" ref="H4:H11" si="4">IF(OR(AND(AJ4&gt;=AK$17,AJ4&lt;&gt;"",AG4=""),AND(BF4&gt;=BG$17,BF4&lt;&gt;"",BC4=""),AND(CC4&gt;=CD$17,CC4&lt;&gt;""),AND(CX4&gt;=CY$17,CX4&lt;&gt;""),AND(DS4&gt;=DT$17,DS4&lt;&gt;""),AND(EN4&gt;=EO$17,EN4&lt;&gt;""),AND(FI4&gt;=FJ$17,FI4&lt;&gt;""),AND(GD4&gt;=GE$17,GD4&lt;&gt;""),AND(GY4&gt;=GZ$17,GY4&lt;&gt;""),AND(HT4&gt;=HU$17,HT4&lt;&gt;""),AND(IO4&gt;=IP$17,IO4&lt;&gt;""),AND(JJ4&gt;=JK$17,JJ4&lt;&gt;""),AND(KE4&gt;=KF$17,KE4&lt;&gt;""),AND(KZ4&gt;=LA$17,KZ4&lt;&gt;"")),"P","")</f>
        <v>P</v>
      </c>
      <c r="I4" t="str">
        <f t="shared" ref="I4:I11" si="5">IF(AND(H4="P",F4=""),"No DD",IF(OR(AND(AI4&gt;=AK$16,AI4&lt;&gt;"",AL4&gt;=AK$20,AL4&lt;&gt;"",AG4=""),AND(BE4&gt;=BG$16,BE4&lt;&gt;"",BH4&gt;=BG$20,BH4&lt;&gt;"",BC4=""),AND(CB4&gt;=CD$16,CB4&lt;&gt;"",CE4&gt;=CD$20,CE4&lt;&gt;""),AND(CW4&gt;=CY$16,CW4&lt;&gt;"",CZ4&gt;=CY$20,CZ4&lt;&gt;""),AND(DR4&gt;=DT$16,DR4&lt;&gt;"",DU4&gt;=DT$20,DU4&lt;&gt;""),AND(EM4&gt;=EO$16,EM4&lt;&gt;"",EP4&gt;=EO$20,EP4&lt;&gt;""),AND(FH4&gt;=FJ$16,FH4&lt;&gt;"",FK4&gt;=FJ$20,FK4&lt;&gt;""),AND(GC4&gt;=GE$16,GC4&lt;&gt;"",GF4&gt;=GE$20,GF4&lt;&gt;""),AND(GX4&gt;=GZ$16,GX4&lt;&gt;"",HA4&gt;=GZ$20,HA4&lt;&gt;""),AND(HS4&gt;=HU$16,HS4&lt;&gt;"",HV4&gt;=HU$20,HV4&lt;&gt;""),AND(IN4&gt;=IP$16,IN4&lt;&gt;"",IQ4&gt;=IP$20,IQ4&lt;&gt;""),AND(JI4&gt;=JK$16,JI4&lt;&gt;"",JL4&gt;=JK$20,JL4&lt;&gt;""),AND(KD4&gt;=KF$16,KD4&lt;&gt;"",KG4&gt;=KF$20,KG4&lt;&gt;""),AND(KY4&gt;=LA$16,KY4&lt;&gt;"",LB4&gt;=LA$20,LB4&lt;&gt;"")),"Merit",IF(OR(AND(AI4&gt;=AK$16,AI4&lt;&gt;"",AL4&gt;=AK$19,AL4&lt;&gt;"",AG4=""),AND(BE4&gt;=BG$16,BE4&lt;&gt;"",BH4&gt;=BG$19,BH4&lt;&gt;"",BC4=""),AND(CB4&gt;=CD$16,CB4&lt;&gt;"",CE4&gt;=CD$19,CE4&lt;&gt;""),AND(CW4&gt;=CY$16,CW4&lt;&gt;"",CZ4&gt;=CY$19,CZ4&lt;&gt;""),AND(DR4&gt;=DT$16,DR4&lt;&gt;"",DU4&gt;=DT$19,DU4&lt;&gt;""),AND(EM4&gt;=EO$16,EM4&lt;&gt;"",EP4&gt;=EO$19,EP4&lt;&gt;""),AND(FH4&gt;=FJ$16,FH4&lt;&gt;"",FK4&gt;=FJ$19,FK4&lt;&gt;""),AND(GC4&gt;=GE$16,GC4&lt;&gt;"",GF4&gt;=GE$19,GF4&lt;&gt;""),AND(GX4&gt;=GZ$16,GX4&lt;&gt;"",HA4&gt;=GZ$19,HA4&lt;&gt;""),AND(HS4&gt;=HU$16,HS4&lt;&gt;"",HV4&gt;=HU$19,HV4&lt;&gt;""),AND(IN4&gt;=IP$16,IN4&lt;&gt;"",IQ4&gt;=IP$19,IQ4&lt;&gt;""),AND(JI4&gt;=JK$16,JI4&lt;&gt;"",JL4&gt;=JK$19,JL4&lt;&gt;""),AND(KD4&gt;=KF$16,KD4&lt;&gt;"",KG4&gt;=KF$19,KG4&lt;&gt;""),AND(KY4&gt;=LA$16,KY4&lt;&gt;"",LB4&gt;=LA$19,LB4&lt;&gt;"")),"Excellence",IF(OR(AND(AH4&gt;=AK$15,AH4&lt;&gt;"",AJ4&gt;=AK$18,AJ4&lt;&gt;"",AG4=""),AND(BD4&gt;=BG$15,BD4&lt;&gt;"",BF4&gt;=BG$18,BF4&lt;&gt;"",BC4=""),AND(CA4&gt;=CD$15,CA4&lt;&gt;"",CC4&gt;=CD$18,CC4&lt;&gt;""),AND(CV4&gt;=CY$15,CV4&lt;&gt;"",CX4&gt;=CY$18,CX4&lt;&gt;""),AND(DQ4&gt;=DT$15,DQ4&lt;&gt;"",DS4&gt;=DT$18,DS4&lt;&gt;""),AND(EL4&gt;=EO$15,EL4&lt;&gt;"",EN4&gt;=EO$18,EN4&lt;&gt;""),AND(FG4&gt;=FJ$15,FG4&lt;&gt;"",FI4&gt;=FJ$18,FI4&lt;&gt;""),AND(GB4&gt;=GE$15,GB4&lt;&gt;"",GD4&gt;=GE$18,GD4&lt;&gt;""),AND(GW4&gt;=GZ$15,GW4&lt;&gt;"",GY4&gt;=GZ$18,GY4&lt;&gt;""),AND(HR4&gt;=HU$15,HR4&lt;&gt;"",HT4&gt;=HU$18,HT4&lt;&gt;""),AND(IM4&gt;=IP$15,IM4&lt;&gt;"",IO4&gt;=IP$18,IO4&lt;&gt;""),AND(JH4&gt;=JK$15,JH4&lt;&gt;"",JJ4&gt;=JK$18,JJ4&lt;&gt;""),AND(KC4&gt;=KF$15,KC4&lt;&gt;"",KE4&gt;=KF$18,KE4&lt;&gt;""),AND(KX4&gt;=LA$15,KX4&lt;&gt;"",KZ4&gt;=LA$18,KZ4&lt;&gt;"")),"Worlds Team",IF(OR(AND(AH4&gt;=AK$14,AH4&lt;&gt;"",AJ4&gt;=AK$17,AJ4&lt;&gt;"",AG4=""),AND(BD4&gt;=BG$14,BD4&lt;&gt;"",BF4&gt;=BG$17,BF4&lt;&gt;"",BC4=""),AND(CA4&gt;=CD$14,CA4&lt;&gt;"",CC4&gt;=CD$17,CC4&lt;&gt;""),AND(CV4&gt;=CY$14,CV4&lt;&gt;"",CX4&gt;=CY$17,CX4&lt;&gt;""),AND(DQ4&gt;=DT$14,DQ4&lt;&gt;"",DS4&gt;=DT$17,DS4&lt;&gt;""),AND(EL4&gt;=EO$14,EL4&lt;&gt;"",EN4&gt;=EO$17,EN4&lt;&gt;""),AND(FG4&gt;=FJ$14,FG4&lt;&gt;"",FI4&gt;=FJ$17,FI4&lt;&gt;""),AND(GB4&gt;=GE$14,GB4&lt;&gt;"",GD4&gt;=GE$17,GD4&lt;&gt;""),AND(GW4&gt;=GZ$14,GW4&lt;&gt;"",GY4&gt;=GZ$17,GY4&lt;&gt;""),AND(HR4&gt;=HU$14,HR4&lt;&gt;"",HT4&gt;=HU$17,HT4&lt;&gt;""),AND(IM4&gt;=IP$14,IM4&lt;&gt;"",IO4&gt;=IP$17,IO4&lt;&gt;""),AND(JH4&gt;=JK$14,JH4&lt;&gt;"",JJ4&gt;=JK$17,JJ4&lt;&gt;""),AND(KC4&gt;=KF$14,KC4&lt;&gt;"",KE4&gt;=KF$17,KE4&lt;&gt;""),AND(KX4&gt;=LA$14,KX4&lt;&gt;"",KZ4&gt;=LA$17,KZ4&lt;&gt;"")),"National Team","")))))</f>
        <v>Merit</v>
      </c>
      <c r="J4" s="15">
        <f t="shared" ref="J4:J11" si="6">IF(MAX(AL4,BH4)&gt;0,MAX(AL4,BH4),"")</f>
        <v>139.60000000000002</v>
      </c>
      <c r="K4" s="15" t="str">
        <f t="shared" ref="K4:K11" si="7">IF(J4="","",IF(J4=BH4,$AM$1,IF(J4=AL4,$Q$1,"")))</f>
        <v>2019 Nationals</v>
      </c>
      <c r="L4" s="15">
        <f t="shared" ref="L4:L11" si="8">IF(J4=AL4,IF(MAX(BF4,BG4)&gt;0,MAX(BF4,BG4),""),IF(J4=BH4,IF(MAX(AJ4,AK4)&gt;0,MAX(AJ4,AK4),""),MAX(AJ4,AK4,BF4,BG4)))</f>
        <v>70.299999999999983</v>
      </c>
      <c r="M4" s="15" t="str">
        <f t="shared" ref="M4:M11" si="9">IF(L4="","",IF(AND(J4&lt;&gt;BH4,OR(L4=BG4,L4=BF4)),$AM$1,IF(OR(L4=AK4,L4=AJ4),$Q$1,"")))</f>
        <v>2019 Elite Canada</v>
      </c>
      <c r="N4" s="15" t="str">
        <f t="shared" ref="N4:N11" si="10">IF(MAX(BI4:BJ4)&gt;0,MAX(BI4:BJ4),"")</f>
        <v/>
      </c>
      <c r="O4" s="27" t="str">
        <f t="shared" ref="O4:O11" si="11">IF(N4="","",IF(N4=BI4,"(4 Pass)",IF(N4=BJ4,"(2 Pass)")))</f>
        <v/>
      </c>
      <c r="P4" s="15" t="str">
        <f t="shared" ref="P4:P11" si="12">IF(N4="","",IF(N4=BI4,IF(N4+IF(J4="",0,J4)=CE4,$BK$1,IF(N4+IF(J4="",0,J4)=CZ4,$CF$1,IF(N4+IF(J4="",0,J4)=DU4,$DA$1,IF(N4+IF(J4="",0,J4)=EP4,$DV$1,IF(N4+IF(J4="",0,J4)=FK4,$EQ$1,IF(N4+IF(J4="",0,J4)=GF4,$FL$1,IF(N4+IF(J4="",0,J4)=HA4,$GG$1,IF(N4+IF(J4="",0,J4)=HV4,$HB$1,IF(N4+IF(J4="",0,J4)=IQ4,$HW$1,IF(N4+IF(J4="",0,J4)=JL4,$IR$1,IF(N4+IF(J4="",0,J4)=KG4,$JM$1,IF(N4+IF(J4="",0,J4)=LB4,$KH$1)))))))))))),IF(N4=BJ4,IF(OR(N4+IF(L4="",0,L4)=CC4,N4+IF(L4="",0,L4)=CD4),$BK$1,IF(OR(N4+IF(L4="",0,L4)=CX4,N4+IF(L4="",0,L4)=CY4),$CF$1,IF(OR(N4+IF(L4="",0,L4)=DS4,N4+IF(L4="",0,L4)=DT4),$DA$1,IF(OR(N4+IF(L4="",0,L4)=EN4,N4+IF(L4="",0,L4)=EO4),$DV$1,IF(OR(N4+IF(L4="",0,L4)=FI4,N4+IF(L4="",0,L4)=FJ4),$EQ$1,IF(OR(N4+IF(L4="",0,L4)=GD4,N4+IF(L4="",0,L4)=GE4),$FL$1,IF(OR(N4+IF(L4="",0,L4)=GY4,N4+IF(L4="",0,L4)=GZ4),$GG$1,IF(OR(N4+IF(L4="",0,L4)=HT4,N4+IF(L4="",0,L4)=HU4),$HB$1,IF(OR(N4+IF(L4="",0,L4)=IO4,N4+IF(L4="",0,L4)=IP4),$HW$1,IF(OR(N4+IF(L4="",0,L4)=JJ4,N4+IF(L4="",0,L4)=JK4),$IR$1,IF(OR(N4+IF(L4="",0,L4)=KE4,N4+IF(L4="",0,L4)=KF4),$JM$1,IF(OR(N4+IF(L4="",0,L4)=KZ4,N4+IF(L4="",0,L4)=LA4),$KH$1)))))))))))))))</f>
        <v/>
      </c>
      <c r="Q4" s="71">
        <v>28.3</v>
      </c>
      <c r="R4" s="71">
        <v>7.2</v>
      </c>
      <c r="S4" s="71">
        <v>0</v>
      </c>
      <c r="T4" s="71">
        <v>0.3</v>
      </c>
      <c r="U4" s="71">
        <v>27.8</v>
      </c>
      <c r="V4" s="71">
        <v>6.8</v>
      </c>
      <c r="W4" s="71">
        <v>0.9</v>
      </c>
      <c r="X4" s="71">
        <v>0.8</v>
      </c>
      <c r="Y4" s="71">
        <v>28.8</v>
      </c>
      <c r="Z4" s="71">
        <v>5.2</v>
      </c>
      <c r="AA4" s="71">
        <v>0</v>
      </c>
      <c r="AB4" s="71">
        <v>0</v>
      </c>
      <c r="AC4" s="71">
        <v>27.7</v>
      </c>
      <c r="AD4" s="71">
        <v>4</v>
      </c>
      <c r="AE4" s="71">
        <v>1.7</v>
      </c>
      <c r="AF4" s="71">
        <v>0.5</v>
      </c>
      <c r="AG4" s="82"/>
      <c r="AH4" s="12">
        <f t="shared" ref="AH4:AH11" si="13">IF(SUM(R4,V4)&gt;0,SUM(R4,V4),"")</f>
        <v>14</v>
      </c>
      <c r="AI4" s="12">
        <f t="shared" ref="AI4:AI11" si="14">IF(SUM(R4,V4,Z4,AD4)&gt;0,SUM(R4,V4,Z4,AD4),"")</f>
        <v>23.2</v>
      </c>
      <c r="AJ4" s="12">
        <f t="shared" ref="AJ4:AJ11" si="15">IF(SUM(Q4:R4,T4:V4,X4)-SUM(S4,W4)&gt;0,SUM(Q4:R4,T4:V4,X4)-SUM(S4,W4),"")</f>
        <v>70.299999999999983</v>
      </c>
      <c r="AK4" s="12">
        <f t="shared" ref="AK4:AK11" si="16">IF(SUM(Y4:Z4,AB4:AD4,AF4)-SUM(AA4,AE4)&gt;0,SUM(Y4:Z4,AB4:AD4,AF4)-SUM(AA4,AE4),"")</f>
        <v>64.5</v>
      </c>
      <c r="AL4" s="12">
        <f t="shared" ref="AL4:AL11" si="17">IF(SUM(AJ4,AK4)&gt;0,SUM(AJ4,AK4),"")</f>
        <v>134.79999999999998</v>
      </c>
      <c r="AM4" s="40">
        <v>28.3</v>
      </c>
      <c r="AN4" s="40">
        <v>7.2</v>
      </c>
      <c r="AO4" s="40">
        <v>0</v>
      </c>
      <c r="AP4" s="40">
        <v>0.3</v>
      </c>
      <c r="AQ4" s="40">
        <v>28.1</v>
      </c>
      <c r="AR4" s="40">
        <v>6.8</v>
      </c>
      <c r="AS4" s="40">
        <v>0</v>
      </c>
      <c r="AT4" s="40">
        <v>0.5</v>
      </c>
      <c r="AU4" s="40">
        <v>28.8</v>
      </c>
      <c r="AV4" s="40">
        <v>6</v>
      </c>
      <c r="AW4" s="40">
        <v>0.3</v>
      </c>
      <c r="AX4" s="40">
        <v>0.3</v>
      </c>
      <c r="AY4" s="40">
        <v>27.4</v>
      </c>
      <c r="AZ4" s="40">
        <v>6</v>
      </c>
      <c r="BA4" s="40">
        <v>0.3</v>
      </c>
      <c r="BB4" s="40">
        <v>0.5</v>
      </c>
      <c r="BC4" s="83"/>
      <c r="BD4" s="15">
        <f t="shared" ref="BD4:BD11" si="18">IF(SUM(AN4,AR4)&gt;0,SUM(AN4,AR4),"")</f>
        <v>14</v>
      </c>
      <c r="BE4" s="15">
        <f t="shared" ref="BE4:BE11" si="19">IF(SUM(AN4,AR4,AV4,AZ4)&gt;0,SUM(AN4,AR4,AV4,AZ4),"")</f>
        <v>26</v>
      </c>
      <c r="BF4" s="15">
        <f t="shared" ref="BF4:BF11" si="20">IF(SUM(AM4:AN4,AP4:AR4,AT4)-SUM(AO4,AS4)&gt;0,SUM(AM4:AN4,AP4:AR4,AT4)-SUM(AO4,AS4),"")</f>
        <v>71.2</v>
      </c>
      <c r="BG4" s="15">
        <f t="shared" ref="BG4:BG11" si="21">IF(SUM(AU4:AV4,AX4:AZ4,BB4)-SUM(AW4,BA4)&gt;0,SUM(AU4:AV4,AX4:AZ4,BB4)-SUM(AW4,BA4),"")</f>
        <v>68.400000000000006</v>
      </c>
      <c r="BH4" s="15">
        <f t="shared" ref="BH4:BH11" si="22">IF(SUM(BF4,BG4)&gt;0,SUM(BF4,BG4),"")</f>
        <v>139.60000000000002</v>
      </c>
      <c r="BI4" s="26" t="str">
        <f t="shared" ref="BI4:BI9" si="23">IF(MAX(CE4,CZ4,DU4,EP4,FK4,GF4,HA4,HV4,IQ4,JL4,KG4,LB4)-IF(J4="",0,J4)&gt;0.001,MAX(CE4,CZ4,DU4,EP4,FK4,GF4,HA4,HV4,IQ4,JL4,KG4,LB4)-IF(J4="",0,J4),"")</f>
        <v/>
      </c>
      <c r="BJ4" s="26" t="str">
        <f t="shared" ref="BJ4:BJ9" si="24">IF(MAX(CC4,CD4,CX4,CY4,DS4,DT4,EN4,EO4,FI4,FJ4,GD4,GE4,GY4,GZ4,HT4,HU4,IO4,IP4,JJ4,JK4,KE4,KF4,KZ4,LA4)-IF(L4="",0,L4)&gt;0.001,MAX(CC4,CD4,CX4,CY4,DS4,DT4,EN4,EO4,FI4,FJ4,GD4,GE4,GY4,GZ4,HT4,HU4,IO4,IP4,JJ4,JK4,KE4,KF4,KZ4,LA4)-IF(L4="",0,L4),"")</f>
        <v/>
      </c>
      <c r="BK4" s="46">
        <v>25.3</v>
      </c>
      <c r="BL4" s="46">
        <v>6.8</v>
      </c>
      <c r="BM4" s="46">
        <v>0</v>
      </c>
      <c r="BN4" s="46">
        <v>0</v>
      </c>
      <c r="BO4" s="46">
        <v>27.5</v>
      </c>
      <c r="BP4" s="46">
        <v>6.4</v>
      </c>
      <c r="BQ4" s="46">
        <v>0</v>
      </c>
      <c r="BR4" s="46">
        <v>0</v>
      </c>
      <c r="BS4" s="46"/>
      <c r="BT4" s="46"/>
      <c r="BU4" s="46"/>
      <c r="BV4" s="46"/>
      <c r="BW4" s="46"/>
      <c r="BX4" s="46"/>
      <c r="BY4" s="46"/>
      <c r="BZ4" s="46"/>
      <c r="CA4" s="12">
        <f t="shared" ref="CA4:CA9" si="25">IF(SUM(BL4,BP4)&gt;0,SUM(BL4,BP4),"")</f>
        <v>13.2</v>
      </c>
      <c r="CB4" s="12">
        <f t="shared" ref="CB4:CB9" si="26">IF(SUM(BL4,BP4,BT4,BX4)&gt;0,SUM(BL4,BP4,BT4,BX4),"")</f>
        <v>13.2</v>
      </c>
      <c r="CC4" s="12">
        <f t="shared" ref="CC4:CC9" si="27">IF(SUM(BK4:BL4,BN4:BP4,BR4)-SUM(BM4,BQ4)&gt;0,SUM(BK4:BL4,BN4:BP4,BR4)-SUM(BM4,BQ4),"")</f>
        <v>66</v>
      </c>
      <c r="CD4" s="12" t="str">
        <f t="shared" ref="CD4:CD9" si="28">IF(SUM(BS4:BT4,BV4:BX4,BZ4)-SUM(BU4,BY4)&gt;0,SUM(BS4:BT4,BV4:BX4,BZ4)-SUM(BU4,BY4),"")</f>
        <v/>
      </c>
      <c r="CE4" s="12">
        <f t="shared" ref="CE4:CE9" si="29">IF(SUM(CC4,CD4)&gt;0,SUM(CC4,CD4),"")</f>
        <v>66</v>
      </c>
      <c r="CF4" s="45"/>
      <c r="CG4" s="45"/>
      <c r="CH4" s="45"/>
      <c r="CI4" s="45"/>
      <c r="CJ4" s="45"/>
      <c r="CK4" s="45"/>
      <c r="CL4" s="45"/>
      <c r="CM4" s="45"/>
      <c r="CN4" s="45"/>
      <c r="CO4" s="45"/>
      <c r="CP4" s="45"/>
      <c r="CQ4" s="45"/>
      <c r="CR4" s="45"/>
      <c r="CS4" s="45"/>
      <c r="CT4" s="45"/>
      <c r="CU4" s="45"/>
      <c r="CV4" s="15" t="str">
        <f t="shared" ref="CV4:CV9" si="30">IF(SUM(CG4,CK4)&gt;0,SUM(CG4,CK4),"")</f>
        <v/>
      </c>
      <c r="CW4" s="15" t="str">
        <f t="shared" ref="CW4:CW9" si="31">IF(SUM(CG4,CK4,CO4,CS4)&gt;0,SUM(CG4,CK4,CO4,CS4),"")</f>
        <v/>
      </c>
      <c r="CX4" s="15" t="str">
        <f t="shared" ref="CX4:CX9" si="32">IF(SUM(CF4:CG4,CI4:CK4,CM4)-SUM(CH4,CL4)&gt;0,SUM(CF4:CG4,CI4:CK4,CM4)-SUM(CH4,CL4),"")</f>
        <v/>
      </c>
      <c r="CY4" s="15" t="str">
        <f t="shared" ref="CY4:CY9" si="33">IF(SUM(CN4:CO4,CQ4:CS4,CU4)-SUM(CP4,CT4)&gt;0,SUM(CN4:CO4,CQ4:CS4,CU4)-SUM(CP4,CT4),"")</f>
        <v/>
      </c>
      <c r="CZ4" s="15" t="str">
        <f t="shared" ref="CZ4:CZ9" si="34">IF(SUM(CX4,CY4)&gt;0,SUM(CX4,CY4),"")</f>
        <v/>
      </c>
      <c r="DA4" s="46"/>
      <c r="DB4" s="46"/>
      <c r="DC4" s="46"/>
      <c r="DD4" s="46"/>
      <c r="DE4" s="46"/>
      <c r="DF4" s="46"/>
      <c r="DG4" s="46"/>
      <c r="DH4" s="46"/>
      <c r="DI4" s="46"/>
      <c r="DJ4" s="46"/>
      <c r="DK4" s="46"/>
      <c r="DL4" s="46"/>
      <c r="DM4" s="46"/>
      <c r="DN4" s="46"/>
      <c r="DO4" s="46"/>
      <c r="DP4" s="46"/>
      <c r="DQ4" s="12" t="str">
        <f t="shared" ref="DQ4:DQ9" si="35">IF(SUM(DB4,DF4)&gt;0,SUM(DB4,DF4),"")</f>
        <v/>
      </c>
      <c r="DR4" s="12" t="str">
        <f t="shared" ref="DR4:DR9" si="36">IF(SUM(DB4,DF4,DJ4,DN4)&gt;0,SUM(DB4,DF4,DJ4,DN4),"")</f>
        <v/>
      </c>
      <c r="DS4" s="12" t="str">
        <f t="shared" ref="DS4:DS9" si="37">IF(SUM(DA4:DB4,DD4:DF4,DH4)-SUM(DC4,DG4)&gt;0,SUM(DA4:DB4,DD4:DF4,DH4)-SUM(DC4,DG4),"")</f>
        <v/>
      </c>
      <c r="DT4" s="12" t="str">
        <f t="shared" ref="DT4:DT9" si="38">IF(SUM(DI4:DJ4,DL4:DN4,DP4)-SUM(DK4,DO4)&gt;0,SUM(DI4:DJ4,DL4:DN4,DP4)-SUM(DK4,DO4),"")</f>
        <v/>
      </c>
      <c r="DU4" s="12" t="str">
        <f t="shared" ref="DU4:DU9" si="39">IF(SUM(DS4,DT4)&gt;0,SUM(DS4,DT4),"")</f>
        <v/>
      </c>
      <c r="DV4" s="45">
        <v>28.5</v>
      </c>
      <c r="DW4" s="45">
        <v>6.4</v>
      </c>
      <c r="DX4" s="45">
        <v>0</v>
      </c>
      <c r="DY4" s="45">
        <v>0</v>
      </c>
      <c r="DZ4" s="45">
        <v>20</v>
      </c>
      <c r="EA4" s="45">
        <v>3.2</v>
      </c>
      <c r="EB4" s="45">
        <v>0</v>
      </c>
      <c r="EC4" s="45">
        <v>0</v>
      </c>
      <c r="ED4" s="45"/>
      <c r="EE4" s="45"/>
      <c r="EF4" s="45"/>
      <c r="EG4" s="45"/>
      <c r="EH4" s="45"/>
      <c r="EI4" s="45"/>
      <c r="EJ4" s="45"/>
      <c r="EK4" s="45"/>
      <c r="EL4" s="15">
        <f t="shared" ref="EL4:EL9" si="40">IF(SUM(DW4,EA4)&gt;0,SUM(DW4,EA4),"")</f>
        <v>9.6000000000000014</v>
      </c>
      <c r="EM4" s="15">
        <f t="shared" ref="EM4:EM9" si="41">IF(SUM(DW4,EA4,EE4,EI4)&gt;0,SUM(DW4,EA4,EE4,EI4),"")</f>
        <v>9.6000000000000014</v>
      </c>
      <c r="EN4" s="15">
        <f t="shared" ref="EN4:EN9" si="42">IF(SUM(DV4:DW4,DY4:EA4,EC4)-SUM(DX4,EB4)&gt;0,SUM(DV4:DW4,DY4:EA4,EC4)-SUM(DX4,EB4),"")</f>
        <v>58.1</v>
      </c>
      <c r="EO4" s="15" t="str">
        <f t="shared" ref="EO4:EO9" si="43">IF(SUM(ED4:EE4,EG4:EI4,EK4)-SUM(EF4,EJ4)&gt;0,SUM(ED4:EE4,EG4:EI4,EK4)-SUM(EF4,EJ4),"")</f>
        <v/>
      </c>
      <c r="EP4" s="15">
        <f t="shared" ref="EP4:EP9" si="44">IF(SUM(EN4,EO4)&gt;0,SUM(EN4,EO4),"")</f>
        <v>58.1</v>
      </c>
      <c r="EQ4" s="46"/>
      <c r="ER4" s="46"/>
      <c r="ES4" s="46"/>
      <c r="ET4" s="46"/>
      <c r="EU4" s="46"/>
      <c r="EV4" s="46"/>
      <c r="EW4" s="46"/>
      <c r="EX4" s="46"/>
      <c r="EY4" s="46"/>
      <c r="EZ4" s="46"/>
      <c r="FA4" s="46"/>
      <c r="FB4" s="46"/>
      <c r="FC4" s="46"/>
      <c r="FD4" s="46"/>
      <c r="FE4" s="46"/>
      <c r="FF4" s="46"/>
      <c r="FG4" s="12" t="str">
        <f t="shared" ref="FG4:FG9" si="45">IF(SUM(ER4,EV4)&gt;0,SUM(ER4,EV4),"")</f>
        <v/>
      </c>
      <c r="FH4" s="12" t="str">
        <f t="shared" ref="FH4:FH9" si="46">IF(SUM(ER4,EV4,EZ4,FD4)&gt;0,SUM(ER4,EV4,EZ4,FD4),"")</f>
        <v/>
      </c>
      <c r="FI4" s="12" t="str">
        <f t="shared" ref="FI4:FI9" si="47">IF(SUM(EQ4:ER4,ET4:EV4,EX4)-SUM(ES4,EW4)&gt;0,SUM(EQ4:ER4,ET4:EV4,EX4)-SUM(ES4,EW4),"")</f>
        <v/>
      </c>
      <c r="FJ4" s="12" t="str">
        <f t="shared" ref="FJ4:FJ9" si="48">IF(SUM(EY4:EZ4,FB4:FD4,FF4)-SUM(FA4,FE4)&gt;0,SUM(EY4:EZ4,FB4:FD4,FF4)-SUM(FA4,FE4),"")</f>
        <v/>
      </c>
      <c r="FK4" s="12" t="str">
        <f t="shared" ref="FK4:FK9" si="49">IF(SUM(FI4,FJ4)&gt;0,SUM(FI4,FJ4),"")</f>
        <v/>
      </c>
      <c r="FL4" s="45"/>
      <c r="FM4" s="45"/>
      <c r="FN4" s="45"/>
      <c r="FO4" s="45"/>
      <c r="FP4" s="45"/>
      <c r="FQ4" s="45"/>
      <c r="FR4" s="45"/>
      <c r="FS4" s="45"/>
      <c r="FT4" s="45"/>
      <c r="FU4" s="45"/>
      <c r="FV4" s="45"/>
      <c r="FW4" s="45"/>
      <c r="FX4" s="45"/>
      <c r="FY4" s="45"/>
      <c r="FZ4" s="45"/>
      <c r="GA4" s="45"/>
      <c r="GB4" s="15" t="str">
        <f t="shared" ref="GB4:GB9" si="50">IF(SUM(FM4,FQ4)&gt;0,SUM(FM4,FQ4),"")</f>
        <v/>
      </c>
      <c r="GC4" s="15" t="str">
        <f t="shared" ref="GC4:GC9" si="51">IF(SUM(FM4,FQ4,FU4,FY4)&gt;0,SUM(FM4,FQ4,FU4,FY4),"")</f>
        <v/>
      </c>
      <c r="GD4" s="15" t="str">
        <f t="shared" ref="GD4:GD9" si="52">IF(SUM(FL4:FM4,FO4:FQ4,FS4)-SUM(FN4,FR4)&gt;0,SUM(FL4:FM4,FO4:FQ4,FS4)-SUM(FN4,FR4),"")</f>
        <v/>
      </c>
      <c r="GE4" s="15" t="str">
        <f t="shared" ref="GE4:GE9" si="53">IF(SUM(FT4:FU4,FW4:FY4,GA4)-SUM(FV4,FZ4)&gt;0,SUM(FT4:FU4,FW4:FY4,GA4)-SUM(FV4,FZ4),"")</f>
        <v/>
      </c>
      <c r="GF4" s="15" t="str">
        <f t="shared" ref="GF4:GF9" si="54">IF(SUM(GD4,GE4)&gt;0,SUM(GD4,GE4),"")</f>
        <v/>
      </c>
      <c r="GG4" s="46"/>
      <c r="GH4" s="46"/>
      <c r="GI4" s="46"/>
      <c r="GJ4" s="46"/>
      <c r="GK4" s="46"/>
      <c r="GL4" s="46"/>
      <c r="GM4" s="46"/>
      <c r="GN4" s="46"/>
      <c r="GO4" s="46"/>
      <c r="GP4" s="46"/>
      <c r="GQ4" s="46"/>
      <c r="GR4" s="46"/>
      <c r="GS4" s="46"/>
      <c r="GT4" s="46"/>
      <c r="GU4" s="46"/>
      <c r="GV4" s="46"/>
      <c r="GW4" s="12" t="str">
        <f t="shared" ref="GW4:GW9" si="55">IF(SUM(GH4,GL4)&gt;0,SUM(GH4,GL4),"")</f>
        <v/>
      </c>
      <c r="GX4" s="12" t="str">
        <f t="shared" ref="GX4:GX9" si="56">IF(SUM(GH4,GL4,GP4,GT4)&gt;0,SUM(GH4,GL4,GP4,GT4),"")</f>
        <v/>
      </c>
      <c r="GY4" s="12" t="str">
        <f t="shared" ref="GY4:GY9" si="57">IF(SUM(GG4:GH4,GJ4:GL4,GN4)-SUM(GI4,GM4)&gt;0,SUM(GG4:GH4,GJ4:GL4,GN4)-SUM(GI4,GM4),"")</f>
        <v/>
      </c>
      <c r="GZ4" s="12" t="str">
        <f t="shared" ref="GZ4:GZ9" si="58">IF(SUM(GO4:GP4,GR4:GT4,GV4)-SUM(GQ4,GU4)&gt;0,SUM(GO4:GP4,GR4:GT4,GV4)-SUM(GQ4,GU4),"")</f>
        <v/>
      </c>
      <c r="HA4" s="12" t="str">
        <f t="shared" ref="HA4:HA9" si="59">IF(SUM(GY4,GZ4)&gt;0,SUM(GY4,GZ4),"")</f>
        <v/>
      </c>
      <c r="HB4" s="45"/>
      <c r="HC4" s="45"/>
      <c r="HD4" s="45"/>
      <c r="HE4" s="45"/>
      <c r="HF4" s="45"/>
      <c r="HG4" s="45"/>
      <c r="HH4" s="45"/>
      <c r="HI4" s="45"/>
      <c r="HJ4" s="45"/>
      <c r="HK4" s="45"/>
      <c r="HL4" s="45"/>
      <c r="HM4" s="45"/>
      <c r="HN4" s="45"/>
      <c r="HO4" s="45"/>
      <c r="HP4" s="45"/>
      <c r="HQ4" s="45"/>
      <c r="HR4" s="15" t="str">
        <f t="shared" ref="HR4:HR9" si="60">IF(SUM(HC4,HG4)&gt;0,SUM(HC4,HG4),"")</f>
        <v/>
      </c>
      <c r="HS4" s="15" t="str">
        <f t="shared" ref="HS4:HS9" si="61">IF(SUM(HC4,HG4,HK4,HO4)&gt;0,SUM(HC4,HG4,HK4,HO4),"")</f>
        <v/>
      </c>
      <c r="HT4" s="15" t="str">
        <f t="shared" ref="HT4:HT9" si="62">IF(SUM(HB4:HC4,HE4:HG4,HI4)-SUM(HD4,HH4)&gt;0,SUM(HB4:HC4,HE4:HG4,HI4)-SUM(HD4,HH4),"")</f>
        <v/>
      </c>
      <c r="HU4" s="15" t="str">
        <f t="shared" ref="HU4:HU9" si="63">IF(SUM(HJ4:HK4,HM4:HO4,HQ4)-SUM(HL4,HP4)&gt;0,SUM(HJ4:HK4,HM4:HO4,HQ4)-SUM(HL4,HP4),"")</f>
        <v/>
      </c>
      <c r="HV4" s="15" t="str">
        <f t="shared" ref="HV4:HV9" si="64">IF(SUM(HT4,HU4)&gt;0,SUM(HT4,HU4),"")</f>
        <v/>
      </c>
      <c r="HW4" s="46"/>
      <c r="HX4" s="46"/>
      <c r="HY4" s="46"/>
      <c r="HZ4" s="46"/>
      <c r="IA4" s="46"/>
      <c r="IB4" s="46"/>
      <c r="IC4" s="46"/>
      <c r="ID4" s="46"/>
      <c r="IE4" s="46"/>
      <c r="IF4" s="46"/>
      <c r="IG4" s="46"/>
      <c r="IH4" s="46"/>
      <c r="II4" s="46"/>
      <c r="IJ4" s="46"/>
      <c r="IK4" s="46"/>
      <c r="IL4" s="46"/>
      <c r="IM4" s="12" t="str">
        <f t="shared" ref="IM4:IM9" si="65">IF(SUM(HX4,IB4)&gt;0,SUM(HX4,IB4),"")</f>
        <v/>
      </c>
      <c r="IN4" s="12" t="str">
        <f t="shared" ref="IN4:IN9" si="66">IF(SUM(HX4,IB4,IF4,IJ4)&gt;0,SUM(HX4,IB4,IF4,IJ4),"")</f>
        <v/>
      </c>
      <c r="IO4" s="12" t="str">
        <f t="shared" ref="IO4:IO9" si="67">IF(SUM(HW4:HX4,HZ4:IB4,ID4)-SUM(HY4,IC4)&gt;0,SUM(HW4:HX4,HZ4:IB4,ID4)-SUM(HY4,IC4),"")</f>
        <v/>
      </c>
      <c r="IP4" s="12" t="str">
        <f t="shared" ref="IP4:IP9" si="68">IF(SUM(IE4:IF4,IH4:IJ4,IL4)-SUM(IG4,IK4)&gt;0,SUM(IE4:IF4,IH4:IJ4,IL4)-SUM(IG4,IK4),"")</f>
        <v/>
      </c>
      <c r="IQ4" s="12" t="str">
        <f t="shared" ref="IQ4:IQ9" si="69">IF(SUM(IO4,IP4)&gt;0,SUM(IO4,IP4),"")</f>
        <v/>
      </c>
      <c r="IR4" s="45"/>
      <c r="IS4" s="45"/>
      <c r="IT4" s="45"/>
      <c r="IU4" s="45"/>
      <c r="IV4" s="45"/>
      <c r="IW4" s="45"/>
      <c r="IX4" s="45"/>
      <c r="IY4" s="45"/>
      <c r="IZ4" s="45"/>
      <c r="JA4" s="45"/>
      <c r="JB4" s="45"/>
      <c r="JC4" s="45"/>
      <c r="JD4" s="45"/>
      <c r="JE4" s="45"/>
      <c r="JF4" s="45"/>
      <c r="JG4" s="45"/>
      <c r="JH4" s="15" t="str">
        <f t="shared" ref="JH4:JH11" si="70">IF(SUM(IS4,IW4)&gt;0,SUM(IS4,IW4),"")</f>
        <v/>
      </c>
      <c r="JI4" s="15" t="str">
        <f t="shared" ref="JI4:JI11" si="71">IF(SUM(IS4,IW4,JA4,JE4)&gt;0,SUM(IS4,IW4,JA4,JE4),"")</f>
        <v/>
      </c>
      <c r="JJ4" s="15" t="str">
        <f t="shared" ref="JJ4:JJ11" si="72">IF(SUM(IR4:IS4,IU4:IW4,IY4)-SUM(IT4,IX4)&gt;0,SUM(IR4:IS4,IU4:IW4,IY4)-SUM(IT4,IX4),"")</f>
        <v/>
      </c>
      <c r="JK4" s="15" t="str">
        <f t="shared" ref="JK4:JK11" si="73">IF(SUM(IZ4:JA4,JC4:JE4,JG4)-SUM(JB4,JF4)&gt;0,SUM(IZ4:JA4,JC4:JE4,JG4)-SUM(JB4,JF4),"")</f>
        <v/>
      </c>
      <c r="JL4" s="15" t="str">
        <f t="shared" ref="JL4:JL11" si="74">IF(SUM(JJ4,JK4)&gt;0,SUM(JJ4,JK4),"")</f>
        <v/>
      </c>
      <c r="JM4" s="46"/>
      <c r="JN4" s="46"/>
      <c r="JO4" s="46"/>
      <c r="JP4" s="46"/>
      <c r="JQ4" s="46"/>
      <c r="JR4" s="46"/>
      <c r="JS4" s="46"/>
      <c r="JT4" s="46"/>
      <c r="JU4" s="46"/>
      <c r="JV4" s="46"/>
      <c r="JW4" s="46"/>
      <c r="JX4" s="46"/>
      <c r="JY4" s="46"/>
      <c r="JZ4" s="46"/>
      <c r="KA4" s="46"/>
      <c r="KB4" s="46"/>
      <c r="KC4" s="12" t="str">
        <f t="shared" ref="KC4:KC11" si="75">IF(SUM(JN4,JR4)&gt;0,SUM(JN4,JR4),"")</f>
        <v/>
      </c>
      <c r="KD4" s="12" t="str">
        <f t="shared" ref="KD4:KD11" si="76">IF(SUM(JN4,JR4,JV4,JZ4)&gt;0,SUM(JN4,JR4,JV4,JZ4),"")</f>
        <v/>
      </c>
      <c r="KE4" s="12" t="str">
        <f t="shared" ref="KE4:KE11" si="77">IF(SUM(JM4:JN4,JP4:JR4,JT4)-SUM(JO4,JS4)&gt;0,SUM(JM4:JN4,JP4:JR4,JT4)-SUM(JO4,JS4),"")</f>
        <v/>
      </c>
      <c r="KF4" s="12" t="str">
        <f t="shared" ref="KF4:KF11" si="78">IF(SUM(JU4:JV4,JX4:JZ4,KB4)-SUM(JW4,KA4)&gt;0,SUM(JU4:JV4,JX4:JZ4,KB4)-SUM(JW4,KA4),"")</f>
        <v/>
      </c>
      <c r="KG4" s="12" t="str">
        <f t="shared" ref="KG4:KG11" si="79">IF(SUM(KE4,KF4)&gt;0,SUM(KE4,KF4),"")</f>
        <v/>
      </c>
      <c r="KH4" s="45"/>
      <c r="KI4" s="45"/>
      <c r="KJ4" s="45"/>
      <c r="KK4" s="45"/>
      <c r="KL4" s="45"/>
      <c r="KM4" s="45"/>
      <c r="KN4" s="45"/>
      <c r="KO4" s="45"/>
      <c r="KP4" s="45"/>
      <c r="KQ4" s="45"/>
      <c r="KR4" s="45"/>
      <c r="KS4" s="45"/>
      <c r="KT4" s="45"/>
      <c r="KU4" s="45"/>
      <c r="KV4" s="45"/>
      <c r="KW4" s="45"/>
      <c r="KX4" s="15" t="str">
        <f t="shared" ref="KX4:KX11" si="80">IF(SUM(KI4,KM4)&gt;0,SUM(KI4,KM4),"")</f>
        <v/>
      </c>
      <c r="KY4" s="15" t="str">
        <f t="shared" ref="KY4:KY11" si="81">IF(SUM(KI4,KM4,KQ4,KU4)&gt;0,SUM(KI4,KM4,KQ4,KU4),"")</f>
        <v/>
      </c>
      <c r="KZ4" s="15" t="str">
        <f t="shared" ref="KZ4:KZ11" si="82">IF(SUM(KH4:KI4,KK4:KM4,KO4)-SUM(KJ4,KN4)&gt;0,SUM(KH4:KI4,KK4:KM4,KO4)-SUM(KJ4,KN4),"")</f>
        <v/>
      </c>
      <c r="LA4" s="15" t="str">
        <f t="shared" ref="LA4:LA11" si="83">IF(SUM(KP4:KQ4,KS4:KU4,KW4)-SUM(KR4,KV4)&gt;0,SUM(KP4:KQ4,KS4:KU4,KW4)-SUM(KR4,KV4),"")</f>
        <v/>
      </c>
      <c r="LB4" s="15" t="str">
        <f t="shared" ref="LB4:LB11" si="84">IF(SUM(KZ4,LA4)&gt;0,SUM(KZ4,LA4),"")</f>
        <v/>
      </c>
      <c r="LC4" s="71">
        <f>IF($BC4="P",AM4,(Q4+AM4)/2)</f>
        <v>28.3</v>
      </c>
      <c r="LD4" s="71">
        <f t="shared" ref="LD4:LR11" si="85">IF($BC4="P",AN4,(R4+AN4)/2)</f>
        <v>7.2</v>
      </c>
      <c r="LE4" s="71">
        <f t="shared" si="85"/>
        <v>0</v>
      </c>
      <c r="LF4" s="71">
        <f t="shared" si="85"/>
        <v>0.3</v>
      </c>
      <c r="LG4" s="71">
        <f t="shared" si="85"/>
        <v>27.950000000000003</v>
      </c>
      <c r="LH4" s="71">
        <f t="shared" si="85"/>
        <v>6.8</v>
      </c>
      <c r="LI4" s="71">
        <f t="shared" si="85"/>
        <v>0.45</v>
      </c>
      <c r="LJ4" s="71">
        <f t="shared" si="85"/>
        <v>0.65</v>
      </c>
      <c r="LK4" s="71">
        <f t="shared" si="85"/>
        <v>28.8</v>
      </c>
      <c r="LL4" s="71">
        <f t="shared" si="85"/>
        <v>5.6</v>
      </c>
      <c r="LM4" s="71">
        <f t="shared" si="85"/>
        <v>0.15</v>
      </c>
      <c r="LN4" s="71">
        <f t="shared" si="85"/>
        <v>0.15</v>
      </c>
      <c r="LO4" s="71">
        <f t="shared" si="85"/>
        <v>27.549999999999997</v>
      </c>
      <c r="LP4" s="71">
        <f t="shared" si="85"/>
        <v>5</v>
      </c>
      <c r="LQ4" s="71">
        <f t="shared" si="85"/>
        <v>1</v>
      </c>
      <c r="LR4" s="71">
        <f t="shared" si="85"/>
        <v>0.5</v>
      </c>
      <c r="LS4" s="82" t="s">
        <v>100</v>
      </c>
      <c r="LT4" s="12">
        <f t="shared" ref="LT4" si="86">IF(SUM(LD4,LH4)&gt;0,SUM(LD4,LH4),"")</f>
        <v>14</v>
      </c>
      <c r="LU4" s="12">
        <f t="shared" ref="LU4" si="87">IF(SUM(LD4,LH4,LL4,LP4)&gt;0,SUM(LD4,LH4,LL4,LP4),"")</f>
        <v>24.6</v>
      </c>
      <c r="LV4" s="12">
        <f t="shared" ref="LV4" si="88">IF(SUM(LC4:LD4,LF4:LH4,LJ4)-SUM(LE4,LI4)&gt;0,SUM(LC4:LD4,LF4:LH4,LJ4)-SUM(LE4,LI4),"")</f>
        <v>70.75</v>
      </c>
      <c r="LW4" s="12">
        <f t="shared" ref="LW4" si="89">IF(SUM(LK4:LL4,LN4:LP4,LR4)-SUM(LM4,LQ4)&gt;0,SUM(LK4:LL4,LN4:LP4,LR4)-SUM(LM4,LQ4),"")</f>
        <v>66.449999999999989</v>
      </c>
      <c r="LX4" s="12">
        <f t="shared" ref="LX4" si="90">IF(SUM(LV4,LW4)&gt;0,SUM(LV4,LW4),"")</f>
        <v>137.19999999999999</v>
      </c>
    </row>
    <row r="5" spans="1:336" x14ac:dyDescent="0.2">
      <c r="A5" s="6">
        <f t="shared" si="0"/>
        <v>2</v>
      </c>
      <c r="B5" s="9" t="s">
        <v>39</v>
      </c>
      <c r="C5" s="5" t="s">
        <v>10</v>
      </c>
      <c r="D5" s="6">
        <v>1998</v>
      </c>
      <c r="E5" s="16">
        <f t="shared" si="1"/>
        <v>208.5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Merit</v>
      </c>
      <c r="J5" s="15">
        <f t="shared" si="6"/>
        <v>139.30000000000001</v>
      </c>
      <c r="K5" s="15" t="str">
        <f t="shared" si="7"/>
        <v>2019 Elite Canada</v>
      </c>
      <c r="L5" s="15">
        <f t="shared" si="8"/>
        <v>69</v>
      </c>
      <c r="M5" s="15" t="str">
        <f t="shared" si="9"/>
        <v>2019 Nationals</v>
      </c>
      <c r="N5" s="15">
        <f t="shared" si="10"/>
        <v>0.20000000000000284</v>
      </c>
      <c r="O5" s="27" t="str">
        <f t="shared" si="11"/>
        <v>(2 Pass)</v>
      </c>
      <c r="P5" s="15" t="str">
        <f t="shared" si="12"/>
        <v>2018 World Championships (Nov 7)</v>
      </c>
      <c r="Q5" s="71">
        <v>28.3</v>
      </c>
      <c r="R5" s="71">
        <v>6.8</v>
      </c>
      <c r="S5" s="71">
        <v>0</v>
      </c>
      <c r="T5" s="71">
        <v>0.3</v>
      </c>
      <c r="U5" s="71">
        <v>27.9</v>
      </c>
      <c r="V5" s="71">
        <v>6.4</v>
      </c>
      <c r="W5" s="71">
        <v>0</v>
      </c>
      <c r="X5" s="71">
        <v>0.3</v>
      </c>
      <c r="Y5" s="71">
        <v>28.4</v>
      </c>
      <c r="Z5" s="71">
        <v>6</v>
      </c>
      <c r="AA5" s="71">
        <v>0</v>
      </c>
      <c r="AB5" s="71">
        <v>0.5</v>
      </c>
      <c r="AC5" s="71">
        <v>28.4</v>
      </c>
      <c r="AD5" s="71">
        <v>6</v>
      </c>
      <c r="AE5" s="71">
        <v>0</v>
      </c>
      <c r="AF5" s="71">
        <v>0</v>
      </c>
      <c r="AG5" s="82"/>
      <c r="AH5" s="12">
        <f t="shared" si="13"/>
        <v>13.2</v>
      </c>
      <c r="AI5" s="12">
        <f t="shared" si="14"/>
        <v>25.2</v>
      </c>
      <c r="AJ5" s="12">
        <f t="shared" si="15"/>
        <v>70</v>
      </c>
      <c r="AK5" s="12">
        <f t="shared" si="16"/>
        <v>69.3</v>
      </c>
      <c r="AL5" s="12">
        <f t="shared" si="17"/>
        <v>139.30000000000001</v>
      </c>
      <c r="AM5" s="40">
        <v>28.4</v>
      </c>
      <c r="AN5" s="40">
        <v>6.8</v>
      </c>
      <c r="AO5" s="40">
        <v>0</v>
      </c>
      <c r="AP5" s="40">
        <v>0.3</v>
      </c>
      <c r="AQ5" s="40">
        <v>25</v>
      </c>
      <c r="AR5" s="40">
        <v>6.4</v>
      </c>
      <c r="AS5" s="40">
        <v>0</v>
      </c>
      <c r="AT5" s="40">
        <v>0.3</v>
      </c>
      <c r="AU5" s="40">
        <v>28.1</v>
      </c>
      <c r="AV5" s="40">
        <v>6</v>
      </c>
      <c r="AW5" s="40">
        <v>0.9</v>
      </c>
      <c r="AX5" s="40">
        <v>0.5</v>
      </c>
      <c r="AY5" s="40">
        <v>28.8</v>
      </c>
      <c r="AZ5" s="40">
        <v>6</v>
      </c>
      <c r="BA5" s="40">
        <v>0</v>
      </c>
      <c r="BB5" s="40">
        <v>0.5</v>
      </c>
      <c r="BC5" s="83"/>
      <c r="BD5" s="15">
        <f t="shared" si="18"/>
        <v>13.2</v>
      </c>
      <c r="BE5" s="15">
        <f t="shared" si="19"/>
        <v>25.2</v>
      </c>
      <c r="BF5" s="15">
        <f t="shared" si="20"/>
        <v>67.199999999999989</v>
      </c>
      <c r="BG5" s="15">
        <f t="shared" si="21"/>
        <v>69</v>
      </c>
      <c r="BH5" s="15">
        <f t="shared" si="22"/>
        <v>136.19999999999999</v>
      </c>
      <c r="BI5" s="26" t="str">
        <f t="shared" si="23"/>
        <v/>
      </c>
      <c r="BJ5" s="26">
        <f t="shared" si="24"/>
        <v>0.20000000000000284</v>
      </c>
      <c r="BK5" s="46">
        <v>28.4</v>
      </c>
      <c r="BL5" s="46">
        <v>6.8</v>
      </c>
      <c r="BM5" s="46">
        <v>0</v>
      </c>
      <c r="BN5" s="46">
        <v>0</v>
      </c>
      <c r="BO5" s="46">
        <v>27.6</v>
      </c>
      <c r="BP5" s="46">
        <v>6.4</v>
      </c>
      <c r="BQ5" s="46">
        <v>0</v>
      </c>
      <c r="BR5" s="46">
        <v>0</v>
      </c>
      <c r="BS5" s="46">
        <v>27.8</v>
      </c>
      <c r="BT5" s="46">
        <v>6</v>
      </c>
      <c r="BU5" s="46">
        <v>0</v>
      </c>
      <c r="BV5" s="46">
        <v>0</v>
      </c>
      <c r="BW5" s="46">
        <v>27.4</v>
      </c>
      <c r="BX5" s="46">
        <v>2.8</v>
      </c>
      <c r="BY5" s="46">
        <v>0.9</v>
      </c>
      <c r="BZ5" s="46">
        <v>0</v>
      </c>
      <c r="CA5" s="12">
        <f t="shared" si="25"/>
        <v>13.2</v>
      </c>
      <c r="CB5" s="12">
        <f t="shared" si="26"/>
        <v>22</v>
      </c>
      <c r="CC5" s="12">
        <f t="shared" si="27"/>
        <v>69.2</v>
      </c>
      <c r="CD5" s="12">
        <f t="shared" si="28"/>
        <v>63.099999999999994</v>
      </c>
      <c r="CE5" s="12">
        <f t="shared" si="29"/>
        <v>132.30000000000001</v>
      </c>
      <c r="CF5" s="45"/>
      <c r="CG5" s="45"/>
      <c r="CH5" s="45"/>
      <c r="CI5" s="45"/>
      <c r="CJ5" s="45"/>
      <c r="CK5" s="45"/>
      <c r="CL5" s="45"/>
      <c r="CM5" s="45"/>
      <c r="CN5" s="45"/>
      <c r="CO5" s="45"/>
      <c r="CP5" s="45"/>
      <c r="CQ5" s="45"/>
      <c r="CR5" s="45"/>
      <c r="CS5" s="45"/>
      <c r="CT5" s="45"/>
      <c r="CU5" s="45"/>
      <c r="CV5" s="15" t="str">
        <f t="shared" si="30"/>
        <v/>
      </c>
      <c r="CW5" s="15" t="str">
        <f t="shared" si="31"/>
        <v/>
      </c>
      <c r="CX5" s="15" t="str">
        <f t="shared" si="32"/>
        <v/>
      </c>
      <c r="CY5" s="15" t="str">
        <f t="shared" si="33"/>
        <v/>
      </c>
      <c r="CZ5" s="15" t="str">
        <f t="shared" si="34"/>
        <v/>
      </c>
      <c r="DA5" s="46">
        <v>28</v>
      </c>
      <c r="DB5" s="46">
        <v>6.8</v>
      </c>
      <c r="DC5" s="46">
        <v>0.9</v>
      </c>
      <c r="DD5" s="46">
        <v>0</v>
      </c>
      <c r="DE5" s="46">
        <v>27.7</v>
      </c>
      <c r="DF5" s="46">
        <v>6.4</v>
      </c>
      <c r="DG5" s="46">
        <v>0.9</v>
      </c>
      <c r="DH5" s="46">
        <v>0</v>
      </c>
      <c r="DI5" s="46">
        <v>26.8</v>
      </c>
      <c r="DJ5" s="46">
        <v>5.2</v>
      </c>
      <c r="DK5" s="46">
        <v>0.3</v>
      </c>
      <c r="DL5" s="46">
        <v>0</v>
      </c>
      <c r="DM5" s="46">
        <v>19.7</v>
      </c>
      <c r="DN5" s="46">
        <v>4</v>
      </c>
      <c r="DO5" s="46">
        <v>0</v>
      </c>
      <c r="DP5" s="46">
        <v>0</v>
      </c>
      <c r="DQ5" s="12">
        <f t="shared" si="35"/>
        <v>13.2</v>
      </c>
      <c r="DR5" s="12">
        <f t="shared" si="36"/>
        <v>22.4</v>
      </c>
      <c r="DS5" s="12">
        <f t="shared" si="37"/>
        <v>67.100000000000009</v>
      </c>
      <c r="DT5" s="12">
        <f t="shared" si="38"/>
        <v>55.400000000000006</v>
      </c>
      <c r="DU5" s="12">
        <f t="shared" si="39"/>
        <v>122.50000000000001</v>
      </c>
      <c r="DV5" s="45">
        <v>20.100000000000001</v>
      </c>
      <c r="DW5" s="45">
        <v>2.4</v>
      </c>
      <c r="DX5" s="45">
        <v>0</v>
      </c>
      <c r="DY5" s="45">
        <v>0</v>
      </c>
      <c r="DZ5" s="45">
        <v>28.2</v>
      </c>
      <c r="EA5" s="45">
        <v>6</v>
      </c>
      <c r="EB5" s="45">
        <v>0</v>
      </c>
      <c r="EC5" s="45">
        <v>0</v>
      </c>
      <c r="ED5" s="45"/>
      <c r="EE5" s="45"/>
      <c r="EF5" s="45"/>
      <c r="EG5" s="45"/>
      <c r="EH5" s="45"/>
      <c r="EI5" s="45"/>
      <c r="EJ5" s="45"/>
      <c r="EK5" s="45"/>
      <c r="EL5" s="15">
        <f t="shared" si="40"/>
        <v>8.4</v>
      </c>
      <c r="EM5" s="15">
        <f t="shared" si="41"/>
        <v>8.4</v>
      </c>
      <c r="EN5" s="15">
        <f t="shared" si="42"/>
        <v>56.7</v>
      </c>
      <c r="EO5" s="15" t="str">
        <f t="shared" si="43"/>
        <v/>
      </c>
      <c r="EP5" s="15">
        <f t="shared" si="44"/>
        <v>56.7</v>
      </c>
      <c r="EQ5" s="46"/>
      <c r="ER5" s="46"/>
      <c r="ES5" s="46"/>
      <c r="ET5" s="46"/>
      <c r="EU5" s="46"/>
      <c r="EV5" s="46"/>
      <c r="EW5" s="46"/>
      <c r="EX5" s="46"/>
      <c r="EY5" s="46"/>
      <c r="EZ5" s="46"/>
      <c r="FA5" s="46"/>
      <c r="FB5" s="46"/>
      <c r="FC5" s="46"/>
      <c r="FD5" s="46"/>
      <c r="FE5" s="46"/>
      <c r="FF5" s="46"/>
      <c r="FG5" s="12" t="str">
        <f t="shared" si="45"/>
        <v/>
      </c>
      <c r="FH5" s="12" t="str">
        <f t="shared" si="46"/>
        <v/>
      </c>
      <c r="FI5" s="12" t="str">
        <f t="shared" si="47"/>
        <v/>
      </c>
      <c r="FJ5" s="12" t="str">
        <f t="shared" si="48"/>
        <v/>
      </c>
      <c r="FK5" s="12" t="str">
        <f t="shared" si="49"/>
        <v/>
      </c>
      <c r="FL5" s="45"/>
      <c r="FM5" s="45"/>
      <c r="FN5" s="45"/>
      <c r="FO5" s="45"/>
      <c r="FP5" s="45"/>
      <c r="FQ5" s="45"/>
      <c r="FR5" s="45"/>
      <c r="FS5" s="45"/>
      <c r="FT5" s="45"/>
      <c r="FU5" s="45"/>
      <c r="FV5" s="45"/>
      <c r="FW5" s="45"/>
      <c r="FX5" s="45"/>
      <c r="FY5" s="45"/>
      <c r="FZ5" s="45"/>
      <c r="GA5" s="45"/>
      <c r="GB5" s="15" t="str">
        <f t="shared" si="50"/>
        <v/>
      </c>
      <c r="GC5" s="15" t="str">
        <f t="shared" si="51"/>
        <v/>
      </c>
      <c r="GD5" s="15" t="str">
        <f t="shared" si="52"/>
        <v/>
      </c>
      <c r="GE5" s="15" t="str">
        <f t="shared" si="53"/>
        <v/>
      </c>
      <c r="GF5" s="15" t="str">
        <f t="shared" si="54"/>
        <v/>
      </c>
      <c r="GG5" s="46"/>
      <c r="GH5" s="46"/>
      <c r="GI5" s="46"/>
      <c r="GJ5" s="46"/>
      <c r="GK5" s="46"/>
      <c r="GL5" s="46"/>
      <c r="GM5" s="46"/>
      <c r="GN5" s="46"/>
      <c r="GO5" s="46"/>
      <c r="GP5" s="46"/>
      <c r="GQ5" s="46"/>
      <c r="GR5" s="46"/>
      <c r="GS5" s="46"/>
      <c r="GT5" s="46"/>
      <c r="GU5" s="46"/>
      <c r="GV5" s="46"/>
      <c r="GW5" s="12" t="str">
        <f t="shared" si="55"/>
        <v/>
      </c>
      <c r="GX5" s="12" t="str">
        <f t="shared" si="56"/>
        <v/>
      </c>
      <c r="GY5" s="12" t="str">
        <f t="shared" si="57"/>
        <v/>
      </c>
      <c r="GZ5" s="12" t="str">
        <f t="shared" si="58"/>
        <v/>
      </c>
      <c r="HA5" s="12" t="str">
        <f t="shared" si="59"/>
        <v/>
      </c>
      <c r="HB5" s="45"/>
      <c r="HC5" s="45"/>
      <c r="HD5" s="45"/>
      <c r="HE5" s="45"/>
      <c r="HF5" s="45"/>
      <c r="HG5" s="45"/>
      <c r="HH5" s="45"/>
      <c r="HI5" s="45"/>
      <c r="HJ5" s="45"/>
      <c r="HK5" s="45"/>
      <c r="HL5" s="45"/>
      <c r="HM5" s="45"/>
      <c r="HN5" s="45"/>
      <c r="HO5" s="45"/>
      <c r="HP5" s="45"/>
      <c r="HQ5" s="45"/>
      <c r="HR5" s="15" t="str">
        <f t="shared" si="60"/>
        <v/>
      </c>
      <c r="HS5" s="15" t="str">
        <f t="shared" si="61"/>
        <v/>
      </c>
      <c r="HT5" s="15" t="str">
        <f t="shared" si="62"/>
        <v/>
      </c>
      <c r="HU5" s="15" t="str">
        <f t="shared" si="63"/>
        <v/>
      </c>
      <c r="HV5" s="15" t="str">
        <f t="shared" si="64"/>
        <v/>
      </c>
      <c r="HW5" s="46"/>
      <c r="HX5" s="46"/>
      <c r="HY5" s="46"/>
      <c r="HZ5" s="46"/>
      <c r="IA5" s="46"/>
      <c r="IB5" s="46"/>
      <c r="IC5" s="46"/>
      <c r="ID5" s="46"/>
      <c r="IE5" s="46"/>
      <c r="IF5" s="46"/>
      <c r="IG5" s="46"/>
      <c r="IH5" s="46"/>
      <c r="II5" s="46"/>
      <c r="IJ5" s="46"/>
      <c r="IK5" s="46"/>
      <c r="IL5" s="46"/>
      <c r="IM5" s="12" t="str">
        <f t="shared" si="65"/>
        <v/>
      </c>
      <c r="IN5" s="12" t="str">
        <f t="shared" si="66"/>
        <v/>
      </c>
      <c r="IO5" s="12" t="str">
        <f t="shared" si="67"/>
        <v/>
      </c>
      <c r="IP5" s="12" t="str">
        <f t="shared" si="68"/>
        <v/>
      </c>
      <c r="IQ5" s="12" t="str">
        <f t="shared" si="69"/>
        <v/>
      </c>
      <c r="IR5" s="45"/>
      <c r="IS5" s="45"/>
      <c r="IT5" s="45"/>
      <c r="IU5" s="45"/>
      <c r="IV5" s="45"/>
      <c r="IW5" s="45"/>
      <c r="IX5" s="45"/>
      <c r="IY5" s="45"/>
      <c r="IZ5" s="45"/>
      <c r="JA5" s="45"/>
      <c r="JB5" s="45"/>
      <c r="JC5" s="45"/>
      <c r="JD5" s="45"/>
      <c r="JE5" s="45"/>
      <c r="JF5" s="45"/>
      <c r="JG5" s="45"/>
      <c r="JH5" s="15" t="str">
        <f t="shared" si="70"/>
        <v/>
      </c>
      <c r="JI5" s="15" t="str">
        <f t="shared" si="71"/>
        <v/>
      </c>
      <c r="JJ5" s="15" t="str">
        <f t="shared" si="72"/>
        <v/>
      </c>
      <c r="JK5" s="15" t="str">
        <f t="shared" si="73"/>
        <v/>
      </c>
      <c r="JL5" s="15" t="str">
        <f t="shared" si="74"/>
        <v/>
      </c>
      <c r="JM5" s="46"/>
      <c r="JN5" s="46"/>
      <c r="JO5" s="46"/>
      <c r="JP5" s="46"/>
      <c r="JQ5" s="46"/>
      <c r="JR5" s="46"/>
      <c r="JS5" s="46"/>
      <c r="JT5" s="46"/>
      <c r="JU5" s="46"/>
      <c r="JV5" s="46"/>
      <c r="JW5" s="46"/>
      <c r="JX5" s="46"/>
      <c r="JY5" s="46"/>
      <c r="JZ5" s="46"/>
      <c r="KA5" s="46"/>
      <c r="KB5" s="46"/>
      <c r="KC5" s="12" t="str">
        <f t="shared" si="75"/>
        <v/>
      </c>
      <c r="KD5" s="12" t="str">
        <f t="shared" si="76"/>
        <v/>
      </c>
      <c r="KE5" s="12" t="str">
        <f t="shared" si="77"/>
        <v/>
      </c>
      <c r="KF5" s="12" t="str">
        <f t="shared" si="78"/>
        <v/>
      </c>
      <c r="KG5" s="12" t="str">
        <f t="shared" si="79"/>
        <v/>
      </c>
      <c r="KH5" s="45"/>
      <c r="KI5" s="45"/>
      <c r="KJ5" s="45"/>
      <c r="KK5" s="45"/>
      <c r="KL5" s="45"/>
      <c r="KM5" s="45"/>
      <c r="KN5" s="45"/>
      <c r="KO5" s="45"/>
      <c r="KP5" s="45"/>
      <c r="KQ5" s="45"/>
      <c r="KR5" s="45"/>
      <c r="KS5" s="45"/>
      <c r="KT5" s="45"/>
      <c r="KU5" s="45"/>
      <c r="KV5" s="45"/>
      <c r="KW5" s="45"/>
      <c r="KX5" s="15" t="str">
        <f t="shared" si="80"/>
        <v/>
      </c>
      <c r="KY5" s="15" t="str">
        <f t="shared" si="81"/>
        <v/>
      </c>
      <c r="KZ5" s="15" t="str">
        <f t="shared" si="82"/>
        <v/>
      </c>
      <c r="LA5" s="15" t="str">
        <f t="shared" si="83"/>
        <v/>
      </c>
      <c r="LB5" s="15" t="str">
        <f t="shared" si="84"/>
        <v/>
      </c>
      <c r="LC5" s="71">
        <f t="shared" ref="LC5:LC11" si="91">IF($BC5="P",AM5,(Q5+AM5)/2)</f>
        <v>28.35</v>
      </c>
      <c r="LD5" s="71">
        <f t="shared" si="85"/>
        <v>6.8</v>
      </c>
      <c r="LE5" s="71">
        <f t="shared" si="85"/>
        <v>0</v>
      </c>
      <c r="LF5" s="71">
        <f t="shared" si="85"/>
        <v>0.3</v>
      </c>
      <c r="LG5" s="71">
        <f t="shared" si="85"/>
        <v>26.45</v>
      </c>
      <c r="LH5" s="71">
        <f t="shared" si="85"/>
        <v>6.4</v>
      </c>
      <c r="LI5" s="71">
        <f t="shared" si="85"/>
        <v>0</v>
      </c>
      <c r="LJ5" s="71">
        <f t="shared" si="85"/>
        <v>0.3</v>
      </c>
      <c r="LK5" s="71">
        <f t="shared" si="85"/>
        <v>28.25</v>
      </c>
      <c r="LL5" s="71">
        <f t="shared" si="85"/>
        <v>6</v>
      </c>
      <c r="LM5" s="71">
        <f t="shared" si="85"/>
        <v>0.45</v>
      </c>
      <c r="LN5" s="71">
        <f t="shared" si="85"/>
        <v>0.5</v>
      </c>
      <c r="LO5" s="71">
        <f t="shared" si="85"/>
        <v>28.6</v>
      </c>
      <c r="LP5" s="71">
        <f t="shared" si="85"/>
        <v>6</v>
      </c>
      <c r="LQ5" s="71">
        <f t="shared" si="85"/>
        <v>0</v>
      </c>
      <c r="LR5" s="71">
        <f t="shared" si="85"/>
        <v>0.25</v>
      </c>
      <c r="LS5" s="82" t="s">
        <v>100</v>
      </c>
      <c r="LT5" s="12">
        <f t="shared" ref="LT5:LT11" si="92">IF(SUM(LD5,LH5)&gt;0,SUM(LD5,LH5),"")</f>
        <v>13.2</v>
      </c>
      <c r="LU5" s="12">
        <f t="shared" ref="LU5:LU11" si="93">IF(SUM(LD5,LH5,LL5,LP5)&gt;0,SUM(LD5,LH5,LL5,LP5),"")</f>
        <v>25.2</v>
      </c>
      <c r="LV5" s="12">
        <f t="shared" ref="LV5:LV11" si="94">IF(SUM(LC5:LD5,LF5:LH5,LJ5)-SUM(LE5,LI5)&gt;0,SUM(LC5:LD5,LF5:LH5,LJ5)-SUM(LE5,LI5),"")</f>
        <v>68.599999999999994</v>
      </c>
      <c r="LW5" s="12">
        <f t="shared" ref="LW5:LW11" si="95">IF(SUM(LK5:LL5,LN5:LP5,LR5)-SUM(LM5,LQ5)&gt;0,SUM(LK5:LL5,LN5:LP5,LR5)-SUM(LM5,LQ5),"")</f>
        <v>69.149999999999991</v>
      </c>
      <c r="LX5" s="12">
        <f t="shared" ref="LX5:LX11" si="96">IF(SUM(LV5,LW5)&gt;0,SUM(LV5,LW5),"")</f>
        <v>137.75</v>
      </c>
    </row>
    <row r="6" spans="1:336" x14ac:dyDescent="0.2">
      <c r="A6" s="6">
        <f t="shared" si="0"/>
        <v>3</v>
      </c>
      <c r="B6" s="9" t="s">
        <v>87</v>
      </c>
      <c r="C6" s="5" t="s">
        <v>5</v>
      </c>
      <c r="D6" s="6">
        <v>1999</v>
      </c>
      <c r="E6" s="16">
        <f t="shared" si="1"/>
        <v>204.1</v>
      </c>
      <c r="F6" s="4" t="str">
        <f t="shared" si="2"/>
        <v>P</v>
      </c>
      <c r="G6" s="4" t="str">
        <f t="shared" si="3"/>
        <v>P</v>
      </c>
      <c r="H6" s="4" t="str">
        <f t="shared" si="4"/>
        <v>P</v>
      </c>
      <c r="I6" t="str">
        <f t="shared" si="5"/>
        <v>Excellence</v>
      </c>
      <c r="J6" s="15">
        <f t="shared" si="6"/>
        <v>135.30000000000001</v>
      </c>
      <c r="K6" s="15" t="str">
        <f t="shared" si="7"/>
        <v>2019 Elite Canada</v>
      </c>
      <c r="L6" s="15">
        <f t="shared" si="8"/>
        <v>67.899999999999991</v>
      </c>
      <c r="M6" s="15" t="str">
        <f t="shared" si="9"/>
        <v>2019 Nationals</v>
      </c>
      <c r="N6" s="15">
        <f t="shared" si="10"/>
        <v>0.90000000000000568</v>
      </c>
      <c r="O6" s="27" t="str">
        <f t="shared" si="11"/>
        <v>(2 Pass)</v>
      </c>
      <c r="P6" s="15" t="str">
        <f t="shared" si="12"/>
        <v>2019 World Cup ESP (Oct 6)</v>
      </c>
      <c r="Q6" s="71">
        <v>28.5</v>
      </c>
      <c r="R6" s="71">
        <v>5.6</v>
      </c>
      <c r="S6" s="71">
        <v>0</v>
      </c>
      <c r="T6" s="71">
        <v>0</v>
      </c>
      <c r="U6" s="71">
        <v>28.2</v>
      </c>
      <c r="V6" s="71">
        <v>5.6</v>
      </c>
      <c r="W6" s="71">
        <v>0</v>
      </c>
      <c r="X6" s="71">
        <v>0</v>
      </c>
      <c r="Y6" s="71">
        <v>28.1</v>
      </c>
      <c r="Z6" s="71">
        <v>5.2</v>
      </c>
      <c r="AA6" s="71">
        <v>0</v>
      </c>
      <c r="AB6" s="71">
        <v>0.5</v>
      </c>
      <c r="AC6" s="71">
        <v>28.4</v>
      </c>
      <c r="AD6" s="71">
        <v>5.2</v>
      </c>
      <c r="AE6" s="71">
        <v>0</v>
      </c>
      <c r="AF6" s="71">
        <v>0</v>
      </c>
      <c r="AG6" s="82"/>
      <c r="AH6" s="12">
        <f t="shared" si="13"/>
        <v>11.2</v>
      </c>
      <c r="AI6" s="12">
        <f t="shared" si="14"/>
        <v>21.599999999999998</v>
      </c>
      <c r="AJ6" s="12">
        <f t="shared" si="15"/>
        <v>67.899999999999991</v>
      </c>
      <c r="AK6" s="12">
        <f t="shared" si="16"/>
        <v>67.400000000000006</v>
      </c>
      <c r="AL6" s="12">
        <f t="shared" si="17"/>
        <v>135.30000000000001</v>
      </c>
      <c r="AM6" s="40">
        <v>28.5</v>
      </c>
      <c r="AN6" s="40">
        <v>5.6</v>
      </c>
      <c r="AO6" s="40">
        <v>0</v>
      </c>
      <c r="AP6" s="40">
        <v>0</v>
      </c>
      <c r="AQ6" s="40">
        <v>28.2</v>
      </c>
      <c r="AR6" s="40">
        <v>5.6</v>
      </c>
      <c r="AS6" s="40">
        <v>0</v>
      </c>
      <c r="AT6" s="40">
        <v>0</v>
      </c>
      <c r="AU6" s="40">
        <v>19.600000000000001</v>
      </c>
      <c r="AV6" s="40">
        <v>3.6</v>
      </c>
      <c r="AW6" s="40">
        <v>0</v>
      </c>
      <c r="AX6" s="40">
        <v>0.5</v>
      </c>
      <c r="AY6" s="40">
        <v>27.5</v>
      </c>
      <c r="AZ6" s="40">
        <v>5.2</v>
      </c>
      <c r="BA6" s="40">
        <v>0</v>
      </c>
      <c r="BB6" s="40">
        <v>0</v>
      </c>
      <c r="BC6" s="83"/>
      <c r="BD6" s="15">
        <f t="shared" si="18"/>
        <v>11.2</v>
      </c>
      <c r="BE6" s="15">
        <f t="shared" si="19"/>
        <v>20</v>
      </c>
      <c r="BF6" s="15">
        <f t="shared" si="20"/>
        <v>67.899999999999991</v>
      </c>
      <c r="BG6" s="15">
        <f t="shared" si="21"/>
        <v>56.400000000000006</v>
      </c>
      <c r="BH6" s="15">
        <f t="shared" si="22"/>
        <v>124.3</v>
      </c>
      <c r="BI6" s="26">
        <f t="shared" si="23"/>
        <v>0.89999999999997726</v>
      </c>
      <c r="BJ6" s="26">
        <f t="shared" si="24"/>
        <v>0.90000000000000568</v>
      </c>
      <c r="BK6" s="46">
        <v>28.5</v>
      </c>
      <c r="BL6" s="46">
        <v>5.6</v>
      </c>
      <c r="BM6" s="46">
        <v>0</v>
      </c>
      <c r="BN6" s="46">
        <v>0</v>
      </c>
      <c r="BO6" s="46">
        <v>28.8</v>
      </c>
      <c r="BP6" s="46">
        <v>5.6</v>
      </c>
      <c r="BQ6" s="46">
        <v>0</v>
      </c>
      <c r="BR6" s="46">
        <v>0</v>
      </c>
      <c r="BS6" s="46">
        <v>27.5</v>
      </c>
      <c r="BT6" s="46">
        <v>5.6</v>
      </c>
      <c r="BU6" s="46">
        <v>0</v>
      </c>
      <c r="BV6" s="46">
        <v>0</v>
      </c>
      <c r="BW6" s="46">
        <v>28.5</v>
      </c>
      <c r="BX6" s="46">
        <v>5.6</v>
      </c>
      <c r="BY6" s="46">
        <v>0</v>
      </c>
      <c r="BZ6" s="46">
        <v>0</v>
      </c>
      <c r="CA6" s="12">
        <f t="shared" si="25"/>
        <v>11.2</v>
      </c>
      <c r="CB6" s="12">
        <f t="shared" si="26"/>
        <v>22.4</v>
      </c>
      <c r="CC6" s="12">
        <f t="shared" si="27"/>
        <v>68.5</v>
      </c>
      <c r="CD6" s="12">
        <f t="shared" si="28"/>
        <v>67.2</v>
      </c>
      <c r="CE6" s="12">
        <f t="shared" si="29"/>
        <v>135.69999999999999</v>
      </c>
      <c r="CF6" s="45"/>
      <c r="CG6" s="45"/>
      <c r="CH6" s="45"/>
      <c r="CI6" s="45"/>
      <c r="CJ6" s="45"/>
      <c r="CK6" s="45"/>
      <c r="CL6" s="45"/>
      <c r="CM6" s="45"/>
      <c r="CN6" s="45"/>
      <c r="CO6" s="45"/>
      <c r="CP6" s="45"/>
      <c r="CQ6" s="45"/>
      <c r="CR6" s="45"/>
      <c r="CS6" s="45"/>
      <c r="CT6" s="45"/>
      <c r="CU6" s="45"/>
      <c r="CV6" s="15" t="str">
        <f t="shared" si="30"/>
        <v/>
      </c>
      <c r="CW6" s="15" t="str">
        <f t="shared" si="31"/>
        <v/>
      </c>
      <c r="CX6" s="15" t="str">
        <f t="shared" si="32"/>
        <v/>
      </c>
      <c r="CY6" s="15" t="str">
        <f t="shared" si="33"/>
        <v/>
      </c>
      <c r="CZ6" s="15" t="str">
        <f t="shared" si="34"/>
        <v/>
      </c>
      <c r="DA6" s="46"/>
      <c r="DB6" s="46"/>
      <c r="DC6" s="46"/>
      <c r="DD6" s="46"/>
      <c r="DE6" s="46"/>
      <c r="DF6" s="46"/>
      <c r="DG6" s="46"/>
      <c r="DH6" s="46"/>
      <c r="DI6" s="46"/>
      <c r="DJ6" s="46"/>
      <c r="DK6" s="46"/>
      <c r="DL6" s="46"/>
      <c r="DM6" s="46"/>
      <c r="DN6" s="46"/>
      <c r="DO6" s="46"/>
      <c r="DP6" s="46"/>
      <c r="DQ6" s="12" t="str">
        <f t="shared" si="35"/>
        <v/>
      </c>
      <c r="DR6" s="12" t="str">
        <f t="shared" si="36"/>
        <v/>
      </c>
      <c r="DS6" s="12" t="str">
        <f t="shared" si="37"/>
        <v/>
      </c>
      <c r="DT6" s="12" t="str">
        <f t="shared" si="38"/>
        <v/>
      </c>
      <c r="DU6" s="12" t="str">
        <f t="shared" si="39"/>
        <v/>
      </c>
      <c r="DV6" s="45">
        <v>28.6</v>
      </c>
      <c r="DW6" s="45">
        <v>6.8</v>
      </c>
      <c r="DX6" s="45">
        <v>0.9</v>
      </c>
      <c r="DY6" s="45">
        <v>0</v>
      </c>
      <c r="DZ6" s="45">
        <v>28.3</v>
      </c>
      <c r="EA6" s="45">
        <v>6</v>
      </c>
      <c r="EB6" s="45">
        <v>0</v>
      </c>
      <c r="EC6" s="45">
        <v>0</v>
      </c>
      <c r="ED6" s="45">
        <v>28.4</v>
      </c>
      <c r="EE6" s="45">
        <v>6</v>
      </c>
      <c r="EF6" s="45">
        <v>0.9</v>
      </c>
      <c r="EG6" s="45">
        <v>0</v>
      </c>
      <c r="EH6" s="45">
        <v>27.5</v>
      </c>
      <c r="EI6" s="45">
        <v>6.4</v>
      </c>
      <c r="EJ6" s="45">
        <v>0</v>
      </c>
      <c r="EK6" s="45">
        <v>0</v>
      </c>
      <c r="EL6" s="15">
        <f t="shared" si="40"/>
        <v>12.8</v>
      </c>
      <c r="EM6" s="15">
        <f t="shared" si="41"/>
        <v>25.200000000000003</v>
      </c>
      <c r="EN6" s="15">
        <f t="shared" si="42"/>
        <v>68.8</v>
      </c>
      <c r="EO6" s="15">
        <f t="shared" si="43"/>
        <v>67.399999999999991</v>
      </c>
      <c r="EP6" s="15">
        <f t="shared" si="44"/>
        <v>136.19999999999999</v>
      </c>
      <c r="EQ6" s="46"/>
      <c r="ER6" s="46"/>
      <c r="ES6" s="46"/>
      <c r="ET6" s="46"/>
      <c r="EU6" s="46"/>
      <c r="EV6" s="46"/>
      <c r="EW6" s="46"/>
      <c r="EX6" s="46"/>
      <c r="EY6" s="46"/>
      <c r="EZ6" s="46"/>
      <c r="FA6" s="46"/>
      <c r="FB6" s="46"/>
      <c r="FC6" s="46"/>
      <c r="FD6" s="46"/>
      <c r="FE6" s="46"/>
      <c r="FF6" s="46"/>
      <c r="FG6" s="12" t="str">
        <f t="shared" si="45"/>
        <v/>
      </c>
      <c r="FH6" s="12" t="str">
        <f t="shared" si="46"/>
        <v/>
      </c>
      <c r="FI6" s="12" t="str">
        <f t="shared" si="47"/>
        <v/>
      </c>
      <c r="FJ6" s="12" t="str">
        <f t="shared" si="48"/>
        <v/>
      </c>
      <c r="FK6" s="12" t="str">
        <f t="shared" si="49"/>
        <v/>
      </c>
      <c r="FL6" s="45"/>
      <c r="FM6" s="45"/>
      <c r="FN6" s="45"/>
      <c r="FO6" s="45"/>
      <c r="FP6" s="45"/>
      <c r="FQ6" s="45"/>
      <c r="FR6" s="45"/>
      <c r="FS6" s="45"/>
      <c r="FT6" s="45"/>
      <c r="FU6" s="45"/>
      <c r="FV6" s="45"/>
      <c r="FW6" s="45"/>
      <c r="FX6" s="45"/>
      <c r="FY6" s="45"/>
      <c r="FZ6" s="45"/>
      <c r="GA6" s="45"/>
      <c r="GB6" s="15" t="str">
        <f t="shared" si="50"/>
        <v/>
      </c>
      <c r="GC6" s="15" t="str">
        <f t="shared" si="51"/>
        <v/>
      </c>
      <c r="GD6" s="15" t="str">
        <f t="shared" si="52"/>
        <v/>
      </c>
      <c r="GE6" s="15" t="str">
        <f t="shared" si="53"/>
        <v/>
      </c>
      <c r="GF6" s="15" t="str">
        <f t="shared" si="54"/>
        <v/>
      </c>
      <c r="GG6" s="46"/>
      <c r="GH6" s="46"/>
      <c r="GI6" s="46"/>
      <c r="GJ6" s="46"/>
      <c r="GK6" s="46"/>
      <c r="GL6" s="46"/>
      <c r="GM6" s="46"/>
      <c r="GN6" s="46"/>
      <c r="GO6" s="46"/>
      <c r="GP6" s="46"/>
      <c r="GQ6" s="46"/>
      <c r="GR6" s="46"/>
      <c r="GS6" s="46"/>
      <c r="GT6" s="46"/>
      <c r="GU6" s="46"/>
      <c r="GV6" s="46"/>
      <c r="GW6" s="12" t="str">
        <f t="shared" si="55"/>
        <v/>
      </c>
      <c r="GX6" s="12" t="str">
        <f t="shared" si="56"/>
        <v/>
      </c>
      <c r="GY6" s="12" t="str">
        <f t="shared" si="57"/>
        <v/>
      </c>
      <c r="GZ6" s="12" t="str">
        <f t="shared" si="58"/>
        <v/>
      </c>
      <c r="HA6" s="12" t="str">
        <f t="shared" si="59"/>
        <v/>
      </c>
      <c r="HB6" s="45"/>
      <c r="HC6" s="45"/>
      <c r="HD6" s="45"/>
      <c r="HE6" s="45"/>
      <c r="HF6" s="45"/>
      <c r="HG6" s="45"/>
      <c r="HH6" s="45"/>
      <c r="HI6" s="45"/>
      <c r="HJ6" s="45"/>
      <c r="HK6" s="45"/>
      <c r="HL6" s="45"/>
      <c r="HM6" s="45"/>
      <c r="HN6" s="45"/>
      <c r="HO6" s="45"/>
      <c r="HP6" s="45"/>
      <c r="HQ6" s="45"/>
      <c r="HR6" s="15" t="str">
        <f t="shared" si="60"/>
        <v/>
      </c>
      <c r="HS6" s="15" t="str">
        <f t="shared" si="61"/>
        <v/>
      </c>
      <c r="HT6" s="15" t="str">
        <f t="shared" si="62"/>
        <v/>
      </c>
      <c r="HU6" s="15" t="str">
        <f t="shared" si="63"/>
        <v/>
      </c>
      <c r="HV6" s="15" t="str">
        <f t="shared" si="64"/>
        <v/>
      </c>
      <c r="HW6" s="46"/>
      <c r="HX6" s="46"/>
      <c r="HY6" s="46"/>
      <c r="HZ6" s="46"/>
      <c r="IA6" s="46"/>
      <c r="IB6" s="46"/>
      <c r="IC6" s="46"/>
      <c r="ID6" s="46"/>
      <c r="IE6" s="46"/>
      <c r="IF6" s="46"/>
      <c r="IG6" s="46"/>
      <c r="IH6" s="46"/>
      <c r="II6" s="46"/>
      <c r="IJ6" s="46"/>
      <c r="IK6" s="46"/>
      <c r="IL6" s="46"/>
      <c r="IM6" s="12" t="str">
        <f t="shared" si="65"/>
        <v/>
      </c>
      <c r="IN6" s="12" t="str">
        <f t="shared" si="66"/>
        <v/>
      </c>
      <c r="IO6" s="12" t="str">
        <f t="shared" si="67"/>
        <v/>
      </c>
      <c r="IP6" s="12" t="str">
        <f t="shared" si="68"/>
        <v/>
      </c>
      <c r="IQ6" s="12" t="str">
        <f t="shared" si="69"/>
        <v/>
      </c>
      <c r="IR6" s="45"/>
      <c r="IS6" s="45"/>
      <c r="IT6" s="45"/>
      <c r="IU6" s="45"/>
      <c r="IV6" s="45"/>
      <c r="IW6" s="45"/>
      <c r="IX6" s="45"/>
      <c r="IY6" s="45"/>
      <c r="IZ6" s="45"/>
      <c r="JA6" s="45"/>
      <c r="JB6" s="45"/>
      <c r="JC6" s="45"/>
      <c r="JD6" s="45"/>
      <c r="JE6" s="45"/>
      <c r="JF6" s="45"/>
      <c r="JG6" s="45"/>
      <c r="JH6" s="15" t="str">
        <f t="shared" si="70"/>
        <v/>
      </c>
      <c r="JI6" s="15" t="str">
        <f t="shared" si="71"/>
        <v/>
      </c>
      <c r="JJ6" s="15" t="str">
        <f t="shared" si="72"/>
        <v/>
      </c>
      <c r="JK6" s="15" t="str">
        <f t="shared" si="73"/>
        <v/>
      </c>
      <c r="JL6" s="15" t="str">
        <f t="shared" si="74"/>
        <v/>
      </c>
      <c r="JM6" s="46"/>
      <c r="JN6" s="46"/>
      <c r="JO6" s="46"/>
      <c r="JP6" s="46"/>
      <c r="JQ6" s="46"/>
      <c r="JR6" s="46"/>
      <c r="JS6" s="46"/>
      <c r="JT6" s="46"/>
      <c r="JU6" s="46"/>
      <c r="JV6" s="46"/>
      <c r="JW6" s="46"/>
      <c r="JX6" s="46"/>
      <c r="JY6" s="46"/>
      <c r="JZ6" s="46"/>
      <c r="KA6" s="46"/>
      <c r="KB6" s="46"/>
      <c r="KC6" s="12" t="str">
        <f t="shared" si="75"/>
        <v/>
      </c>
      <c r="KD6" s="12" t="str">
        <f t="shared" si="76"/>
        <v/>
      </c>
      <c r="KE6" s="12" t="str">
        <f t="shared" si="77"/>
        <v/>
      </c>
      <c r="KF6" s="12" t="str">
        <f t="shared" si="78"/>
        <v/>
      </c>
      <c r="KG6" s="12" t="str">
        <f t="shared" si="79"/>
        <v/>
      </c>
      <c r="KH6" s="45"/>
      <c r="KI6" s="45"/>
      <c r="KJ6" s="45"/>
      <c r="KK6" s="45"/>
      <c r="KL6" s="45"/>
      <c r="KM6" s="45"/>
      <c r="KN6" s="45"/>
      <c r="KO6" s="45"/>
      <c r="KP6" s="45"/>
      <c r="KQ6" s="45"/>
      <c r="KR6" s="45"/>
      <c r="KS6" s="45"/>
      <c r="KT6" s="45"/>
      <c r="KU6" s="45"/>
      <c r="KV6" s="45"/>
      <c r="KW6" s="45"/>
      <c r="KX6" s="15" t="str">
        <f t="shared" si="80"/>
        <v/>
      </c>
      <c r="KY6" s="15" t="str">
        <f t="shared" si="81"/>
        <v/>
      </c>
      <c r="KZ6" s="15" t="str">
        <f t="shared" si="82"/>
        <v/>
      </c>
      <c r="LA6" s="15" t="str">
        <f t="shared" si="83"/>
        <v/>
      </c>
      <c r="LB6" s="15" t="str">
        <f t="shared" si="84"/>
        <v/>
      </c>
      <c r="LC6" s="71">
        <f t="shared" si="91"/>
        <v>28.5</v>
      </c>
      <c r="LD6" s="71">
        <f t="shared" si="85"/>
        <v>5.6</v>
      </c>
      <c r="LE6" s="71">
        <f t="shared" si="85"/>
        <v>0</v>
      </c>
      <c r="LF6" s="71">
        <f t="shared" si="85"/>
        <v>0</v>
      </c>
      <c r="LG6" s="71">
        <f t="shared" si="85"/>
        <v>28.2</v>
      </c>
      <c r="LH6" s="71">
        <f t="shared" si="85"/>
        <v>5.6</v>
      </c>
      <c r="LI6" s="71">
        <f t="shared" si="85"/>
        <v>0</v>
      </c>
      <c r="LJ6" s="71">
        <f t="shared" si="85"/>
        <v>0</v>
      </c>
      <c r="LK6" s="71">
        <f t="shared" si="85"/>
        <v>23.85</v>
      </c>
      <c r="LL6" s="71">
        <f t="shared" si="85"/>
        <v>4.4000000000000004</v>
      </c>
      <c r="LM6" s="71">
        <f t="shared" si="85"/>
        <v>0</v>
      </c>
      <c r="LN6" s="71">
        <f t="shared" si="85"/>
        <v>0.5</v>
      </c>
      <c r="LO6" s="71">
        <f t="shared" si="85"/>
        <v>27.95</v>
      </c>
      <c r="LP6" s="71">
        <f t="shared" si="85"/>
        <v>5.2</v>
      </c>
      <c r="LQ6" s="71">
        <f t="shared" si="85"/>
        <v>0</v>
      </c>
      <c r="LR6" s="71">
        <f t="shared" si="85"/>
        <v>0</v>
      </c>
      <c r="LS6" s="82" t="s">
        <v>100</v>
      </c>
      <c r="LT6" s="12">
        <f t="shared" si="92"/>
        <v>11.2</v>
      </c>
      <c r="LU6" s="12">
        <f t="shared" si="93"/>
        <v>20.8</v>
      </c>
      <c r="LV6" s="12">
        <f t="shared" si="94"/>
        <v>67.899999999999991</v>
      </c>
      <c r="LW6" s="12">
        <f t="shared" si="95"/>
        <v>61.900000000000006</v>
      </c>
      <c r="LX6" s="12">
        <f t="shared" si="96"/>
        <v>129.80000000000001</v>
      </c>
    </row>
    <row r="7" spans="1:336" x14ac:dyDescent="0.2">
      <c r="A7" s="6">
        <f t="shared" si="0"/>
        <v>4</v>
      </c>
      <c r="B7" s="9" t="s">
        <v>68</v>
      </c>
      <c r="C7" s="5" t="s">
        <v>69</v>
      </c>
      <c r="D7" s="6">
        <v>1998</v>
      </c>
      <c r="E7" s="16">
        <f t="shared" si="1"/>
        <v>203.7</v>
      </c>
      <c r="F7" s="4" t="str">
        <f t="shared" si="2"/>
        <v>P</v>
      </c>
      <c r="G7" s="4" t="str">
        <f t="shared" si="3"/>
        <v>P</v>
      </c>
      <c r="H7" s="4" t="str">
        <f t="shared" si="4"/>
        <v>P</v>
      </c>
      <c r="I7" t="str">
        <f t="shared" si="5"/>
        <v>Merit</v>
      </c>
      <c r="J7" s="15">
        <f t="shared" si="6"/>
        <v>137.1</v>
      </c>
      <c r="K7" s="15" t="str">
        <f t="shared" si="7"/>
        <v>2019 Elite Canada</v>
      </c>
      <c r="L7" s="15">
        <f t="shared" si="8"/>
        <v>66.599999999999994</v>
      </c>
      <c r="M7" s="15" t="str">
        <f t="shared" si="9"/>
        <v>2019 Nationals</v>
      </c>
      <c r="N7" s="15" t="str">
        <f t="shared" si="10"/>
        <v/>
      </c>
      <c r="O7" s="27" t="str">
        <f t="shared" si="11"/>
        <v/>
      </c>
      <c r="P7" s="15" t="str">
        <f t="shared" si="12"/>
        <v/>
      </c>
      <c r="Q7" s="71">
        <v>27.7</v>
      </c>
      <c r="R7" s="71">
        <v>6.4</v>
      </c>
      <c r="S7" s="71">
        <v>0</v>
      </c>
      <c r="T7" s="71">
        <v>0</v>
      </c>
      <c r="U7" s="71">
        <v>28.1</v>
      </c>
      <c r="V7" s="71">
        <v>6.8</v>
      </c>
      <c r="W7" s="71">
        <v>0</v>
      </c>
      <c r="X7" s="71">
        <v>0.3</v>
      </c>
      <c r="Y7" s="71">
        <v>28.6</v>
      </c>
      <c r="Z7" s="71">
        <v>5.6</v>
      </c>
      <c r="AA7" s="71">
        <v>0</v>
      </c>
      <c r="AB7" s="71">
        <v>0</v>
      </c>
      <c r="AC7" s="71">
        <v>27.9</v>
      </c>
      <c r="AD7" s="71">
        <v>6</v>
      </c>
      <c r="AE7" s="71">
        <v>0.3</v>
      </c>
      <c r="AF7" s="71">
        <v>0</v>
      </c>
      <c r="AG7" s="82"/>
      <c r="AH7" s="12">
        <f t="shared" si="13"/>
        <v>13.2</v>
      </c>
      <c r="AI7" s="12">
        <f t="shared" si="14"/>
        <v>24.799999999999997</v>
      </c>
      <c r="AJ7" s="12">
        <f t="shared" si="15"/>
        <v>69.3</v>
      </c>
      <c r="AK7" s="12">
        <f t="shared" si="16"/>
        <v>67.8</v>
      </c>
      <c r="AL7" s="12">
        <f t="shared" si="17"/>
        <v>137.1</v>
      </c>
      <c r="AM7" s="40">
        <v>28.2</v>
      </c>
      <c r="AN7" s="40">
        <v>6.4</v>
      </c>
      <c r="AO7" s="40">
        <v>0.3</v>
      </c>
      <c r="AP7" s="40">
        <v>0</v>
      </c>
      <c r="AQ7" s="40">
        <v>28.2</v>
      </c>
      <c r="AR7" s="40">
        <v>5.2</v>
      </c>
      <c r="AS7" s="40">
        <v>1.2</v>
      </c>
      <c r="AT7" s="40">
        <v>0</v>
      </c>
      <c r="AU7" s="40">
        <v>28.3</v>
      </c>
      <c r="AV7" s="40">
        <v>4.8</v>
      </c>
      <c r="AW7" s="40">
        <v>0</v>
      </c>
      <c r="AX7" s="40">
        <v>0</v>
      </c>
      <c r="AY7" s="40">
        <v>28.7</v>
      </c>
      <c r="AZ7" s="40">
        <v>4.8</v>
      </c>
      <c r="BA7" s="40">
        <v>0</v>
      </c>
      <c r="BB7" s="40">
        <v>0</v>
      </c>
      <c r="BC7" s="83"/>
      <c r="BD7" s="15">
        <f t="shared" si="18"/>
        <v>11.600000000000001</v>
      </c>
      <c r="BE7" s="15">
        <f t="shared" si="19"/>
        <v>21.200000000000003</v>
      </c>
      <c r="BF7" s="15">
        <f t="shared" si="20"/>
        <v>66.5</v>
      </c>
      <c r="BG7" s="15">
        <f t="shared" si="21"/>
        <v>66.599999999999994</v>
      </c>
      <c r="BH7" s="15">
        <f t="shared" si="22"/>
        <v>133.1</v>
      </c>
      <c r="BI7" s="26" t="str">
        <f t="shared" si="23"/>
        <v/>
      </c>
      <c r="BJ7" s="26" t="str">
        <f t="shared" si="24"/>
        <v/>
      </c>
      <c r="BK7" s="46"/>
      <c r="BL7" s="46"/>
      <c r="BM7" s="46"/>
      <c r="BN7" s="46"/>
      <c r="BO7" s="46"/>
      <c r="BP7" s="46"/>
      <c r="BQ7" s="46"/>
      <c r="BR7" s="46"/>
      <c r="BS7" s="46"/>
      <c r="BT7" s="46"/>
      <c r="BU7" s="46"/>
      <c r="BV7" s="46"/>
      <c r="BW7" s="46"/>
      <c r="BX7" s="46"/>
      <c r="BY7" s="46"/>
      <c r="BZ7" s="46"/>
      <c r="CA7" s="12" t="str">
        <f t="shared" si="25"/>
        <v/>
      </c>
      <c r="CB7" s="12" t="str">
        <f t="shared" si="26"/>
        <v/>
      </c>
      <c r="CC7" s="12" t="str">
        <f t="shared" si="27"/>
        <v/>
      </c>
      <c r="CD7" s="12" t="str">
        <f t="shared" si="28"/>
        <v/>
      </c>
      <c r="CE7" s="12" t="str">
        <f t="shared" si="29"/>
        <v/>
      </c>
      <c r="CF7" s="45"/>
      <c r="CG7" s="45"/>
      <c r="CH7" s="45"/>
      <c r="CI7" s="45"/>
      <c r="CJ7" s="45"/>
      <c r="CK7" s="45"/>
      <c r="CL7" s="45"/>
      <c r="CM7" s="45"/>
      <c r="CN7" s="45"/>
      <c r="CO7" s="45"/>
      <c r="CP7" s="45"/>
      <c r="CQ7" s="45"/>
      <c r="CR7" s="45"/>
      <c r="CS7" s="45"/>
      <c r="CT7" s="45"/>
      <c r="CU7" s="45"/>
      <c r="CV7" s="15" t="str">
        <f t="shared" si="30"/>
        <v/>
      </c>
      <c r="CW7" s="15" t="str">
        <f t="shared" si="31"/>
        <v/>
      </c>
      <c r="CX7" s="15" t="str">
        <f t="shared" si="32"/>
        <v/>
      </c>
      <c r="CY7" s="15" t="str">
        <f t="shared" si="33"/>
        <v/>
      </c>
      <c r="CZ7" s="15" t="str">
        <f t="shared" si="34"/>
        <v/>
      </c>
      <c r="DA7" s="46">
        <v>27.9</v>
      </c>
      <c r="DB7" s="46">
        <v>6.4</v>
      </c>
      <c r="DC7" s="46">
        <v>0.9</v>
      </c>
      <c r="DD7" s="46">
        <v>0</v>
      </c>
      <c r="DE7" s="46">
        <v>24.9</v>
      </c>
      <c r="DF7" s="46">
        <v>6.8</v>
      </c>
      <c r="DG7" s="46">
        <v>1.2</v>
      </c>
      <c r="DH7" s="46">
        <v>0</v>
      </c>
      <c r="DI7" s="46"/>
      <c r="DJ7" s="46"/>
      <c r="DK7" s="46"/>
      <c r="DL7" s="46"/>
      <c r="DM7" s="46"/>
      <c r="DN7" s="46"/>
      <c r="DO7" s="46"/>
      <c r="DP7" s="46"/>
      <c r="DQ7" s="12">
        <f t="shared" si="35"/>
        <v>13.2</v>
      </c>
      <c r="DR7" s="12">
        <f t="shared" si="36"/>
        <v>13.2</v>
      </c>
      <c r="DS7" s="12">
        <f t="shared" si="37"/>
        <v>63.9</v>
      </c>
      <c r="DT7" s="12" t="str">
        <f t="shared" si="38"/>
        <v/>
      </c>
      <c r="DU7" s="12">
        <f t="shared" si="39"/>
        <v>63.9</v>
      </c>
      <c r="DV7" s="45">
        <v>28.3</v>
      </c>
      <c r="DW7" s="45">
        <v>6.4</v>
      </c>
      <c r="DX7" s="45">
        <v>0</v>
      </c>
      <c r="DY7" s="45">
        <v>0</v>
      </c>
      <c r="DZ7" s="45">
        <v>27.4</v>
      </c>
      <c r="EA7" s="45">
        <v>3</v>
      </c>
      <c r="EB7" s="45">
        <v>0.9</v>
      </c>
      <c r="EC7" s="45">
        <v>0</v>
      </c>
      <c r="ED7" s="45"/>
      <c r="EE7" s="45"/>
      <c r="EF7" s="45"/>
      <c r="EG7" s="45"/>
      <c r="EH7" s="45"/>
      <c r="EI7" s="45"/>
      <c r="EJ7" s="45"/>
      <c r="EK7" s="45"/>
      <c r="EL7" s="15">
        <f t="shared" si="40"/>
        <v>9.4</v>
      </c>
      <c r="EM7" s="15">
        <f t="shared" si="41"/>
        <v>9.4</v>
      </c>
      <c r="EN7" s="15">
        <f t="shared" si="42"/>
        <v>64.199999999999989</v>
      </c>
      <c r="EO7" s="15" t="str">
        <f t="shared" si="43"/>
        <v/>
      </c>
      <c r="EP7" s="15">
        <f t="shared" si="44"/>
        <v>64.199999999999989</v>
      </c>
      <c r="EQ7" s="46"/>
      <c r="ER7" s="46"/>
      <c r="ES7" s="46"/>
      <c r="ET7" s="46"/>
      <c r="EU7" s="46"/>
      <c r="EV7" s="46"/>
      <c r="EW7" s="46"/>
      <c r="EX7" s="46"/>
      <c r="EY7" s="46"/>
      <c r="EZ7" s="46"/>
      <c r="FA7" s="46"/>
      <c r="FB7" s="46"/>
      <c r="FC7" s="46"/>
      <c r="FD7" s="46"/>
      <c r="FE7" s="46"/>
      <c r="FF7" s="46"/>
      <c r="FG7" s="12" t="str">
        <f t="shared" si="45"/>
        <v/>
      </c>
      <c r="FH7" s="12" t="str">
        <f t="shared" si="46"/>
        <v/>
      </c>
      <c r="FI7" s="12" t="str">
        <f t="shared" si="47"/>
        <v/>
      </c>
      <c r="FJ7" s="12" t="str">
        <f t="shared" si="48"/>
        <v/>
      </c>
      <c r="FK7" s="12" t="str">
        <f t="shared" si="49"/>
        <v/>
      </c>
      <c r="FL7" s="45"/>
      <c r="FM7" s="45"/>
      <c r="FN7" s="45"/>
      <c r="FO7" s="45"/>
      <c r="FP7" s="45"/>
      <c r="FQ7" s="45"/>
      <c r="FR7" s="45"/>
      <c r="FS7" s="45"/>
      <c r="FT7" s="45"/>
      <c r="FU7" s="45"/>
      <c r="FV7" s="45"/>
      <c r="FW7" s="45"/>
      <c r="FX7" s="45"/>
      <c r="FY7" s="45"/>
      <c r="FZ7" s="45"/>
      <c r="GA7" s="45"/>
      <c r="GB7" s="15" t="str">
        <f t="shared" si="50"/>
        <v/>
      </c>
      <c r="GC7" s="15" t="str">
        <f t="shared" si="51"/>
        <v/>
      </c>
      <c r="GD7" s="15" t="str">
        <f t="shared" si="52"/>
        <v/>
      </c>
      <c r="GE7" s="15" t="str">
        <f t="shared" si="53"/>
        <v/>
      </c>
      <c r="GF7" s="15" t="str">
        <f t="shared" si="54"/>
        <v/>
      </c>
      <c r="GG7" s="46"/>
      <c r="GH7" s="46"/>
      <c r="GI7" s="46"/>
      <c r="GJ7" s="46"/>
      <c r="GK7" s="46"/>
      <c r="GL7" s="46"/>
      <c r="GM7" s="46"/>
      <c r="GN7" s="46"/>
      <c r="GO7" s="46"/>
      <c r="GP7" s="46"/>
      <c r="GQ7" s="46"/>
      <c r="GR7" s="46"/>
      <c r="GS7" s="46"/>
      <c r="GT7" s="46"/>
      <c r="GU7" s="46"/>
      <c r="GV7" s="46"/>
      <c r="GW7" s="12" t="str">
        <f t="shared" si="55"/>
        <v/>
      </c>
      <c r="GX7" s="12" t="str">
        <f t="shared" si="56"/>
        <v/>
      </c>
      <c r="GY7" s="12" t="str">
        <f t="shared" si="57"/>
        <v/>
      </c>
      <c r="GZ7" s="12" t="str">
        <f t="shared" si="58"/>
        <v/>
      </c>
      <c r="HA7" s="12" t="str">
        <f t="shared" si="59"/>
        <v/>
      </c>
      <c r="HB7" s="45"/>
      <c r="HC7" s="45"/>
      <c r="HD7" s="45"/>
      <c r="HE7" s="45"/>
      <c r="HF7" s="45"/>
      <c r="HG7" s="45"/>
      <c r="HH7" s="45"/>
      <c r="HI7" s="45"/>
      <c r="HJ7" s="45"/>
      <c r="HK7" s="45"/>
      <c r="HL7" s="45"/>
      <c r="HM7" s="45"/>
      <c r="HN7" s="45"/>
      <c r="HO7" s="45"/>
      <c r="HP7" s="45"/>
      <c r="HQ7" s="45"/>
      <c r="HR7" s="15" t="str">
        <f t="shared" si="60"/>
        <v/>
      </c>
      <c r="HS7" s="15" t="str">
        <f t="shared" si="61"/>
        <v/>
      </c>
      <c r="HT7" s="15" t="str">
        <f t="shared" si="62"/>
        <v/>
      </c>
      <c r="HU7" s="15" t="str">
        <f t="shared" si="63"/>
        <v/>
      </c>
      <c r="HV7" s="15" t="str">
        <f t="shared" si="64"/>
        <v/>
      </c>
      <c r="HW7" s="46"/>
      <c r="HX7" s="46"/>
      <c r="HY7" s="46"/>
      <c r="HZ7" s="46"/>
      <c r="IA7" s="46"/>
      <c r="IB7" s="46"/>
      <c r="IC7" s="46"/>
      <c r="ID7" s="46"/>
      <c r="IE7" s="46"/>
      <c r="IF7" s="46"/>
      <c r="IG7" s="46"/>
      <c r="IH7" s="46"/>
      <c r="II7" s="46"/>
      <c r="IJ7" s="46"/>
      <c r="IK7" s="46"/>
      <c r="IL7" s="46"/>
      <c r="IM7" s="12" t="str">
        <f t="shared" si="65"/>
        <v/>
      </c>
      <c r="IN7" s="12" t="str">
        <f t="shared" si="66"/>
        <v/>
      </c>
      <c r="IO7" s="12" t="str">
        <f t="shared" si="67"/>
        <v/>
      </c>
      <c r="IP7" s="12" t="str">
        <f t="shared" si="68"/>
        <v/>
      </c>
      <c r="IQ7" s="12" t="str">
        <f t="shared" si="69"/>
        <v/>
      </c>
      <c r="IR7" s="45"/>
      <c r="IS7" s="45"/>
      <c r="IT7" s="45"/>
      <c r="IU7" s="45"/>
      <c r="IV7" s="45"/>
      <c r="IW7" s="45"/>
      <c r="IX7" s="45"/>
      <c r="IY7" s="45"/>
      <c r="IZ7" s="45"/>
      <c r="JA7" s="45"/>
      <c r="JB7" s="45"/>
      <c r="JC7" s="45"/>
      <c r="JD7" s="45"/>
      <c r="JE7" s="45"/>
      <c r="JF7" s="45"/>
      <c r="JG7" s="45"/>
      <c r="JH7" s="15" t="str">
        <f t="shared" si="70"/>
        <v/>
      </c>
      <c r="JI7" s="15" t="str">
        <f t="shared" si="71"/>
        <v/>
      </c>
      <c r="JJ7" s="15" t="str">
        <f t="shared" si="72"/>
        <v/>
      </c>
      <c r="JK7" s="15" t="str">
        <f t="shared" si="73"/>
        <v/>
      </c>
      <c r="JL7" s="15" t="str">
        <f t="shared" si="74"/>
        <v/>
      </c>
      <c r="JM7" s="46"/>
      <c r="JN7" s="46"/>
      <c r="JO7" s="46"/>
      <c r="JP7" s="46"/>
      <c r="JQ7" s="46"/>
      <c r="JR7" s="46"/>
      <c r="JS7" s="46"/>
      <c r="JT7" s="46"/>
      <c r="JU7" s="46"/>
      <c r="JV7" s="46"/>
      <c r="JW7" s="46"/>
      <c r="JX7" s="46"/>
      <c r="JY7" s="46"/>
      <c r="JZ7" s="46"/>
      <c r="KA7" s="46"/>
      <c r="KB7" s="46"/>
      <c r="KC7" s="12" t="str">
        <f t="shared" si="75"/>
        <v/>
      </c>
      <c r="KD7" s="12" t="str">
        <f t="shared" si="76"/>
        <v/>
      </c>
      <c r="KE7" s="12" t="str">
        <f t="shared" si="77"/>
        <v/>
      </c>
      <c r="KF7" s="12" t="str">
        <f t="shared" si="78"/>
        <v/>
      </c>
      <c r="KG7" s="12" t="str">
        <f t="shared" si="79"/>
        <v/>
      </c>
      <c r="KH7" s="45"/>
      <c r="KI7" s="45"/>
      <c r="KJ7" s="45"/>
      <c r="KK7" s="45"/>
      <c r="KL7" s="45"/>
      <c r="KM7" s="45"/>
      <c r="KN7" s="45"/>
      <c r="KO7" s="45"/>
      <c r="KP7" s="45"/>
      <c r="KQ7" s="45"/>
      <c r="KR7" s="45"/>
      <c r="KS7" s="45"/>
      <c r="KT7" s="45"/>
      <c r="KU7" s="45"/>
      <c r="KV7" s="45"/>
      <c r="KW7" s="45"/>
      <c r="KX7" s="15" t="str">
        <f t="shared" si="80"/>
        <v/>
      </c>
      <c r="KY7" s="15" t="str">
        <f t="shared" si="81"/>
        <v/>
      </c>
      <c r="KZ7" s="15" t="str">
        <f t="shared" si="82"/>
        <v/>
      </c>
      <c r="LA7" s="15" t="str">
        <f t="shared" si="83"/>
        <v/>
      </c>
      <c r="LB7" s="15" t="str">
        <f t="shared" si="84"/>
        <v/>
      </c>
      <c r="LC7" s="71">
        <f t="shared" si="91"/>
        <v>27.95</v>
      </c>
      <c r="LD7" s="71">
        <f t="shared" si="85"/>
        <v>6.4</v>
      </c>
      <c r="LE7" s="71">
        <f t="shared" si="85"/>
        <v>0.15</v>
      </c>
      <c r="LF7" s="71">
        <f t="shared" si="85"/>
        <v>0</v>
      </c>
      <c r="LG7" s="71">
        <f t="shared" si="85"/>
        <v>28.15</v>
      </c>
      <c r="LH7" s="71">
        <f t="shared" si="85"/>
        <v>6</v>
      </c>
      <c r="LI7" s="71">
        <f t="shared" si="85"/>
        <v>0.6</v>
      </c>
      <c r="LJ7" s="71">
        <f t="shared" si="85"/>
        <v>0.15</v>
      </c>
      <c r="LK7" s="71">
        <f t="shared" si="85"/>
        <v>28.450000000000003</v>
      </c>
      <c r="LL7" s="71">
        <f t="shared" si="85"/>
        <v>5.1999999999999993</v>
      </c>
      <c r="LM7" s="71">
        <f t="shared" si="85"/>
        <v>0</v>
      </c>
      <c r="LN7" s="71">
        <f t="shared" si="85"/>
        <v>0</v>
      </c>
      <c r="LO7" s="71">
        <f t="shared" si="85"/>
        <v>28.299999999999997</v>
      </c>
      <c r="LP7" s="71">
        <f t="shared" si="85"/>
        <v>5.4</v>
      </c>
      <c r="LQ7" s="71">
        <f t="shared" si="85"/>
        <v>0.15</v>
      </c>
      <c r="LR7" s="71">
        <f t="shared" si="85"/>
        <v>0</v>
      </c>
      <c r="LS7" s="82" t="s">
        <v>100</v>
      </c>
      <c r="LT7" s="12">
        <f t="shared" si="92"/>
        <v>12.4</v>
      </c>
      <c r="LU7" s="12">
        <f t="shared" si="93"/>
        <v>23</v>
      </c>
      <c r="LV7" s="12">
        <f t="shared" si="94"/>
        <v>67.900000000000006</v>
      </c>
      <c r="LW7" s="12">
        <f t="shared" si="95"/>
        <v>67.2</v>
      </c>
      <c r="LX7" s="12">
        <f t="shared" si="96"/>
        <v>135.10000000000002</v>
      </c>
    </row>
    <row r="8" spans="1:336" x14ac:dyDescent="0.2">
      <c r="A8" s="6">
        <f t="shared" si="0"/>
        <v>5</v>
      </c>
      <c r="B8" s="9" t="s">
        <v>70</v>
      </c>
      <c r="C8" s="5" t="s">
        <v>69</v>
      </c>
      <c r="D8" s="6">
        <v>1999</v>
      </c>
      <c r="E8" s="16">
        <f t="shared" si="1"/>
        <v>202.2</v>
      </c>
      <c r="F8" s="4" t="str">
        <f t="shared" si="2"/>
        <v>P</v>
      </c>
      <c r="G8" s="4" t="str">
        <f t="shared" si="3"/>
        <v/>
      </c>
      <c r="H8" s="4" t="str">
        <f t="shared" si="4"/>
        <v>P</v>
      </c>
      <c r="I8" t="str">
        <f t="shared" si="5"/>
        <v>National Team</v>
      </c>
      <c r="J8" s="15">
        <f t="shared" si="6"/>
        <v>134.30000000000001</v>
      </c>
      <c r="K8" s="15" t="str">
        <f t="shared" si="7"/>
        <v>2019 Elite Canada</v>
      </c>
      <c r="L8" s="15">
        <f t="shared" si="8"/>
        <v>65.7</v>
      </c>
      <c r="M8" s="15" t="str">
        <f t="shared" si="9"/>
        <v>2019 Nationals</v>
      </c>
      <c r="N8" s="15">
        <f t="shared" si="10"/>
        <v>2.2000000000000028</v>
      </c>
      <c r="O8" s="27" t="str">
        <f t="shared" si="11"/>
        <v>(2 Pass)</v>
      </c>
      <c r="P8" s="15" t="str">
        <f t="shared" si="12"/>
        <v>2019 Scalabis Cup (July 6)</v>
      </c>
      <c r="Q8" s="71">
        <v>28.1</v>
      </c>
      <c r="R8" s="71">
        <v>6</v>
      </c>
      <c r="S8" s="71">
        <v>0</v>
      </c>
      <c r="T8" s="71">
        <v>0</v>
      </c>
      <c r="U8" s="71">
        <v>28.4</v>
      </c>
      <c r="V8" s="71">
        <v>5.6</v>
      </c>
      <c r="W8" s="71">
        <v>0</v>
      </c>
      <c r="X8" s="71">
        <v>0</v>
      </c>
      <c r="Y8" s="71">
        <v>27.3</v>
      </c>
      <c r="Z8" s="71">
        <v>5.2</v>
      </c>
      <c r="AA8" s="71">
        <v>0.3</v>
      </c>
      <c r="AB8" s="71">
        <v>0.5</v>
      </c>
      <c r="AC8" s="71">
        <v>28.3</v>
      </c>
      <c r="AD8" s="71">
        <v>5.2</v>
      </c>
      <c r="AE8" s="71">
        <v>0</v>
      </c>
      <c r="AF8" s="71">
        <v>0</v>
      </c>
      <c r="AG8" s="82"/>
      <c r="AH8" s="12">
        <f t="shared" si="13"/>
        <v>11.6</v>
      </c>
      <c r="AI8" s="12">
        <f t="shared" si="14"/>
        <v>22</v>
      </c>
      <c r="AJ8" s="12">
        <f t="shared" si="15"/>
        <v>68.099999999999994</v>
      </c>
      <c r="AK8" s="12">
        <f t="shared" si="16"/>
        <v>66.2</v>
      </c>
      <c r="AL8" s="12">
        <f t="shared" si="17"/>
        <v>134.30000000000001</v>
      </c>
      <c r="AM8" s="40">
        <v>28.3</v>
      </c>
      <c r="AN8" s="40">
        <v>6</v>
      </c>
      <c r="AO8" s="40">
        <v>0.3</v>
      </c>
      <c r="AP8" s="40">
        <v>0</v>
      </c>
      <c r="AQ8" s="40">
        <v>25.6</v>
      </c>
      <c r="AR8" s="40">
        <v>6.4</v>
      </c>
      <c r="AS8" s="40">
        <v>0.3</v>
      </c>
      <c r="AT8" s="40">
        <v>0</v>
      </c>
      <c r="AU8" s="40">
        <v>27</v>
      </c>
      <c r="AV8" s="40">
        <v>5.2</v>
      </c>
      <c r="AW8" s="40">
        <v>1.2</v>
      </c>
      <c r="AX8" s="40">
        <v>0.5</v>
      </c>
      <c r="AY8" s="40">
        <v>28.2</v>
      </c>
      <c r="AZ8" s="40">
        <v>5.2</v>
      </c>
      <c r="BA8" s="40">
        <v>0</v>
      </c>
      <c r="BB8" s="40">
        <v>0</v>
      </c>
      <c r="BC8" s="83"/>
      <c r="BD8" s="15">
        <f t="shared" si="18"/>
        <v>12.4</v>
      </c>
      <c r="BE8" s="15">
        <f t="shared" si="19"/>
        <v>22.8</v>
      </c>
      <c r="BF8" s="15">
        <f t="shared" si="20"/>
        <v>65.7</v>
      </c>
      <c r="BG8" s="15">
        <f t="shared" si="21"/>
        <v>64.900000000000006</v>
      </c>
      <c r="BH8" s="15">
        <f t="shared" si="22"/>
        <v>130.60000000000002</v>
      </c>
      <c r="BI8" s="26" t="str">
        <f t="shared" si="23"/>
        <v/>
      </c>
      <c r="BJ8" s="26">
        <f t="shared" si="24"/>
        <v>2.2000000000000028</v>
      </c>
      <c r="BK8" s="46"/>
      <c r="BL8" s="46"/>
      <c r="BM8" s="46"/>
      <c r="BN8" s="46"/>
      <c r="BO8" s="46"/>
      <c r="BP8" s="46"/>
      <c r="BQ8" s="46"/>
      <c r="BR8" s="46"/>
      <c r="BS8" s="46"/>
      <c r="BT8" s="46"/>
      <c r="BU8" s="46"/>
      <c r="BV8" s="46"/>
      <c r="BW8" s="46"/>
      <c r="BX8" s="46"/>
      <c r="BY8" s="46"/>
      <c r="BZ8" s="46"/>
      <c r="CA8" s="12" t="str">
        <f t="shared" si="25"/>
        <v/>
      </c>
      <c r="CB8" s="12" t="str">
        <f t="shared" si="26"/>
        <v/>
      </c>
      <c r="CC8" s="12" t="str">
        <f t="shared" si="27"/>
        <v/>
      </c>
      <c r="CD8" s="12" t="str">
        <f t="shared" si="28"/>
        <v/>
      </c>
      <c r="CE8" s="12" t="str">
        <f t="shared" si="29"/>
        <v/>
      </c>
      <c r="CF8" s="45">
        <v>27.8</v>
      </c>
      <c r="CG8" s="45">
        <v>5.6</v>
      </c>
      <c r="CH8" s="45">
        <v>0.3</v>
      </c>
      <c r="CI8" s="45">
        <v>0</v>
      </c>
      <c r="CJ8" s="45">
        <v>27.9</v>
      </c>
      <c r="CK8" s="45">
        <v>6</v>
      </c>
      <c r="CL8" s="45">
        <v>0.3</v>
      </c>
      <c r="CM8" s="45">
        <v>0</v>
      </c>
      <c r="CN8" s="45">
        <v>27.1</v>
      </c>
      <c r="CO8" s="45">
        <v>5.6</v>
      </c>
      <c r="CP8" s="45">
        <v>1.2</v>
      </c>
      <c r="CQ8" s="45">
        <v>0</v>
      </c>
      <c r="CR8" s="45">
        <v>27.4</v>
      </c>
      <c r="CS8" s="45">
        <v>5.2</v>
      </c>
      <c r="CT8" s="45">
        <v>0.9</v>
      </c>
      <c r="CU8" s="45">
        <v>0</v>
      </c>
      <c r="CV8" s="15">
        <f t="shared" si="30"/>
        <v>11.6</v>
      </c>
      <c r="CW8" s="15">
        <f t="shared" si="31"/>
        <v>22.4</v>
      </c>
      <c r="CX8" s="15">
        <f t="shared" si="32"/>
        <v>66.7</v>
      </c>
      <c r="CY8" s="15">
        <f t="shared" si="33"/>
        <v>63.199999999999996</v>
      </c>
      <c r="CZ8" s="15">
        <f t="shared" si="34"/>
        <v>129.9</v>
      </c>
      <c r="DA8" s="46">
        <v>28.1</v>
      </c>
      <c r="DB8" s="46">
        <v>6</v>
      </c>
      <c r="DC8" s="46">
        <v>0.3</v>
      </c>
      <c r="DD8" s="46">
        <v>0</v>
      </c>
      <c r="DE8" s="46">
        <v>27.7</v>
      </c>
      <c r="DF8" s="46">
        <v>6.4</v>
      </c>
      <c r="DG8" s="46">
        <v>0</v>
      </c>
      <c r="DH8" s="46">
        <v>0</v>
      </c>
      <c r="DI8" s="46">
        <v>27.6</v>
      </c>
      <c r="DJ8" s="46">
        <v>6</v>
      </c>
      <c r="DK8" s="46">
        <v>1.2</v>
      </c>
      <c r="DL8" s="46">
        <v>0</v>
      </c>
      <c r="DM8" s="46">
        <v>27.2</v>
      </c>
      <c r="DN8" s="46">
        <v>5.2</v>
      </c>
      <c r="DO8" s="46">
        <v>0</v>
      </c>
      <c r="DP8" s="46">
        <v>0</v>
      </c>
      <c r="DQ8" s="12">
        <f t="shared" si="35"/>
        <v>12.4</v>
      </c>
      <c r="DR8" s="12">
        <f t="shared" si="36"/>
        <v>23.599999999999998</v>
      </c>
      <c r="DS8" s="12">
        <f t="shared" si="37"/>
        <v>67.900000000000006</v>
      </c>
      <c r="DT8" s="12">
        <f t="shared" si="38"/>
        <v>64.8</v>
      </c>
      <c r="DU8" s="12">
        <f t="shared" si="39"/>
        <v>132.69999999999999</v>
      </c>
      <c r="DV8" s="45"/>
      <c r="DW8" s="45"/>
      <c r="DX8" s="45"/>
      <c r="DY8" s="45"/>
      <c r="DZ8" s="45"/>
      <c r="EA8" s="45"/>
      <c r="EB8" s="45"/>
      <c r="EC8" s="45"/>
      <c r="ED8" s="45"/>
      <c r="EE8" s="45"/>
      <c r="EF8" s="45"/>
      <c r="EG8" s="45"/>
      <c r="EH8" s="45"/>
      <c r="EI8" s="45"/>
      <c r="EJ8" s="45"/>
      <c r="EK8" s="45"/>
      <c r="EL8" s="15" t="str">
        <f t="shared" si="40"/>
        <v/>
      </c>
      <c r="EM8" s="15" t="str">
        <f t="shared" si="41"/>
        <v/>
      </c>
      <c r="EN8" s="15" t="str">
        <f t="shared" si="42"/>
        <v/>
      </c>
      <c r="EO8" s="15" t="str">
        <f t="shared" si="43"/>
        <v/>
      </c>
      <c r="EP8" s="15" t="str">
        <f t="shared" si="44"/>
        <v/>
      </c>
      <c r="EQ8" s="46"/>
      <c r="ER8" s="46"/>
      <c r="ES8" s="46"/>
      <c r="ET8" s="46"/>
      <c r="EU8" s="46"/>
      <c r="EV8" s="46"/>
      <c r="EW8" s="46"/>
      <c r="EX8" s="46"/>
      <c r="EY8" s="46"/>
      <c r="EZ8" s="46"/>
      <c r="FA8" s="46"/>
      <c r="FB8" s="46"/>
      <c r="FC8" s="46"/>
      <c r="FD8" s="46"/>
      <c r="FE8" s="46"/>
      <c r="FF8" s="46"/>
      <c r="FG8" s="12" t="str">
        <f t="shared" si="45"/>
        <v/>
      </c>
      <c r="FH8" s="12" t="str">
        <f t="shared" si="46"/>
        <v/>
      </c>
      <c r="FI8" s="12" t="str">
        <f t="shared" si="47"/>
        <v/>
      </c>
      <c r="FJ8" s="12" t="str">
        <f t="shared" si="48"/>
        <v/>
      </c>
      <c r="FK8" s="12" t="str">
        <f t="shared" si="49"/>
        <v/>
      </c>
      <c r="FL8" s="45"/>
      <c r="FM8" s="45"/>
      <c r="FN8" s="45"/>
      <c r="FO8" s="45"/>
      <c r="FP8" s="45"/>
      <c r="FQ8" s="45"/>
      <c r="FR8" s="45"/>
      <c r="FS8" s="45"/>
      <c r="FT8" s="45"/>
      <c r="FU8" s="45"/>
      <c r="FV8" s="45"/>
      <c r="FW8" s="45"/>
      <c r="FX8" s="45"/>
      <c r="FY8" s="45"/>
      <c r="FZ8" s="45"/>
      <c r="GA8" s="45"/>
      <c r="GB8" s="15" t="str">
        <f t="shared" si="50"/>
        <v/>
      </c>
      <c r="GC8" s="15" t="str">
        <f t="shared" si="51"/>
        <v/>
      </c>
      <c r="GD8" s="15" t="str">
        <f t="shared" si="52"/>
        <v/>
      </c>
      <c r="GE8" s="15" t="str">
        <f t="shared" si="53"/>
        <v/>
      </c>
      <c r="GF8" s="15" t="str">
        <f t="shared" si="54"/>
        <v/>
      </c>
      <c r="GG8" s="46"/>
      <c r="GH8" s="46"/>
      <c r="GI8" s="46"/>
      <c r="GJ8" s="46"/>
      <c r="GK8" s="46"/>
      <c r="GL8" s="46"/>
      <c r="GM8" s="46"/>
      <c r="GN8" s="46"/>
      <c r="GO8" s="46"/>
      <c r="GP8" s="46"/>
      <c r="GQ8" s="46"/>
      <c r="GR8" s="46"/>
      <c r="GS8" s="46"/>
      <c r="GT8" s="46"/>
      <c r="GU8" s="46"/>
      <c r="GV8" s="46"/>
      <c r="GW8" s="12" t="str">
        <f t="shared" si="55"/>
        <v/>
      </c>
      <c r="GX8" s="12" t="str">
        <f t="shared" si="56"/>
        <v/>
      </c>
      <c r="GY8" s="12" t="str">
        <f t="shared" si="57"/>
        <v/>
      </c>
      <c r="GZ8" s="12" t="str">
        <f t="shared" si="58"/>
        <v/>
      </c>
      <c r="HA8" s="12" t="str">
        <f t="shared" si="59"/>
        <v/>
      </c>
      <c r="HB8" s="45"/>
      <c r="HC8" s="45"/>
      <c r="HD8" s="45"/>
      <c r="HE8" s="45"/>
      <c r="HF8" s="45"/>
      <c r="HG8" s="45"/>
      <c r="HH8" s="45"/>
      <c r="HI8" s="45"/>
      <c r="HJ8" s="45"/>
      <c r="HK8" s="45"/>
      <c r="HL8" s="45"/>
      <c r="HM8" s="45"/>
      <c r="HN8" s="45"/>
      <c r="HO8" s="45"/>
      <c r="HP8" s="45"/>
      <c r="HQ8" s="45"/>
      <c r="HR8" s="15" t="str">
        <f t="shared" si="60"/>
        <v/>
      </c>
      <c r="HS8" s="15" t="str">
        <f t="shared" si="61"/>
        <v/>
      </c>
      <c r="HT8" s="15" t="str">
        <f t="shared" si="62"/>
        <v/>
      </c>
      <c r="HU8" s="15" t="str">
        <f t="shared" si="63"/>
        <v/>
      </c>
      <c r="HV8" s="15" t="str">
        <f t="shared" si="64"/>
        <v/>
      </c>
      <c r="HW8" s="46"/>
      <c r="HX8" s="46"/>
      <c r="HY8" s="46"/>
      <c r="HZ8" s="46"/>
      <c r="IA8" s="46"/>
      <c r="IB8" s="46"/>
      <c r="IC8" s="46"/>
      <c r="ID8" s="46"/>
      <c r="IE8" s="46"/>
      <c r="IF8" s="46"/>
      <c r="IG8" s="46"/>
      <c r="IH8" s="46"/>
      <c r="II8" s="46"/>
      <c r="IJ8" s="46"/>
      <c r="IK8" s="46"/>
      <c r="IL8" s="46"/>
      <c r="IM8" s="12" t="str">
        <f t="shared" si="65"/>
        <v/>
      </c>
      <c r="IN8" s="12" t="str">
        <f t="shared" si="66"/>
        <v/>
      </c>
      <c r="IO8" s="12" t="str">
        <f t="shared" si="67"/>
        <v/>
      </c>
      <c r="IP8" s="12" t="str">
        <f t="shared" si="68"/>
        <v/>
      </c>
      <c r="IQ8" s="12" t="str">
        <f t="shared" si="69"/>
        <v/>
      </c>
      <c r="IR8" s="45"/>
      <c r="IS8" s="45"/>
      <c r="IT8" s="45"/>
      <c r="IU8" s="45"/>
      <c r="IV8" s="45"/>
      <c r="IW8" s="45"/>
      <c r="IX8" s="45"/>
      <c r="IY8" s="45"/>
      <c r="IZ8" s="45"/>
      <c r="JA8" s="45"/>
      <c r="JB8" s="45"/>
      <c r="JC8" s="45"/>
      <c r="JD8" s="45"/>
      <c r="JE8" s="45"/>
      <c r="JF8" s="45"/>
      <c r="JG8" s="45"/>
      <c r="JH8" s="15" t="str">
        <f t="shared" si="70"/>
        <v/>
      </c>
      <c r="JI8" s="15" t="str">
        <f t="shared" si="71"/>
        <v/>
      </c>
      <c r="JJ8" s="15" t="str">
        <f t="shared" si="72"/>
        <v/>
      </c>
      <c r="JK8" s="15" t="str">
        <f t="shared" si="73"/>
        <v/>
      </c>
      <c r="JL8" s="15" t="str">
        <f t="shared" si="74"/>
        <v/>
      </c>
      <c r="JM8" s="46"/>
      <c r="JN8" s="46"/>
      <c r="JO8" s="46"/>
      <c r="JP8" s="46"/>
      <c r="JQ8" s="46"/>
      <c r="JR8" s="46"/>
      <c r="JS8" s="46"/>
      <c r="JT8" s="46"/>
      <c r="JU8" s="46"/>
      <c r="JV8" s="46"/>
      <c r="JW8" s="46"/>
      <c r="JX8" s="46"/>
      <c r="JY8" s="46"/>
      <c r="JZ8" s="46"/>
      <c r="KA8" s="46"/>
      <c r="KB8" s="46"/>
      <c r="KC8" s="12" t="str">
        <f t="shared" si="75"/>
        <v/>
      </c>
      <c r="KD8" s="12" t="str">
        <f t="shared" si="76"/>
        <v/>
      </c>
      <c r="KE8" s="12" t="str">
        <f t="shared" si="77"/>
        <v/>
      </c>
      <c r="KF8" s="12" t="str">
        <f t="shared" si="78"/>
        <v/>
      </c>
      <c r="KG8" s="12" t="str">
        <f t="shared" si="79"/>
        <v/>
      </c>
      <c r="KH8" s="45"/>
      <c r="KI8" s="45"/>
      <c r="KJ8" s="45"/>
      <c r="KK8" s="45"/>
      <c r="KL8" s="45"/>
      <c r="KM8" s="45"/>
      <c r="KN8" s="45"/>
      <c r="KO8" s="45"/>
      <c r="KP8" s="45"/>
      <c r="KQ8" s="45"/>
      <c r="KR8" s="45"/>
      <c r="KS8" s="45"/>
      <c r="KT8" s="45"/>
      <c r="KU8" s="45"/>
      <c r="KV8" s="45"/>
      <c r="KW8" s="45"/>
      <c r="KX8" s="15" t="str">
        <f t="shared" si="80"/>
        <v/>
      </c>
      <c r="KY8" s="15" t="str">
        <f t="shared" si="81"/>
        <v/>
      </c>
      <c r="KZ8" s="15" t="str">
        <f t="shared" si="82"/>
        <v/>
      </c>
      <c r="LA8" s="15" t="str">
        <f t="shared" si="83"/>
        <v/>
      </c>
      <c r="LB8" s="15" t="str">
        <f t="shared" si="84"/>
        <v/>
      </c>
      <c r="LC8" s="71">
        <f t="shared" si="91"/>
        <v>28.200000000000003</v>
      </c>
      <c r="LD8" s="71">
        <f t="shared" si="85"/>
        <v>6</v>
      </c>
      <c r="LE8" s="71">
        <f t="shared" si="85"/>
        <v>0.15</v>
      </c>
      <c r="LF8" s="71">
        <f t="shared" si="85"/>
        <v>0</v>
      </c>
      <c r="LG8" s="71">
        <f t="shared" si="85"/>
        <v>27</v>
      </c>
      <c r="LH8" s="71">
        <f t="shared" si="85"/>
        <v>6</v>
      </c>
      <c r="LI8" s="71">
        <f t="shared" si="85"/>
        <v>0.15</v>
      </c>
      <c r="LJ8" s="71">
        <f t="shared" si="85"/>
        <v>0</v>
      </c>
      <c r="LK8" s="71">
        <f t="shared" si="85"/>
        <v>27.15</v>
      </c>
      <c r="LL8" s="71">
        <f t="shared" si="85"/>
        <v>5.2</v>
      </c>
      <c r="LM8" s="71">
        <f t="shared" si="85"/>
        <v>0.75</v>
      </c>
      <c r="LN8" s="71">
        <f t="shared" si="85"/>
        <v>0.5</v>
      </c>
      <c r="LO8" s="71">
        <f t="shared" si="85"/>
        <v>28.25</v>
      </c>
      <c r="LP8" s="71">
        <f t="shared" si="85"/>
        <v>5.2</v>
      </c>
      <c r="LQ8" s="71">
        <f t="shared" si="85"/>
        <v>0</v>
      </c>
      <c r="LR8" s="71">
        <f t="shared" si="85"/>
        <v>0</v>
      </c>
      <c r="LS8" s="82" t="s">
        <v>100</v>
      </c>
      <c r="LT8" s="12">
        <f t="shared" si="92"/>
        <v>12</v>
      </c>
      <c r="LU8" s="12">
        <f t="shared" si="93"/>
        <v>22.4</v>
      </c>
      <c r="LV8" s="12">
        <f t="shared" si="94"/>
        <v>66.900000000000006</v>
      </c>
      <c r="LW8" s="12">
        <f t="shared" si="95"/>
        <v>65.55</v>
      </c>
      <c r="LX8" s="12">
        <f t="shared" si="96"/>
        <v>132.44999999999999</v>
      </c>
    </row>
    <row r="9" spans="1:336" x14ac:dyDescent="0.2">
      <c r="A9" s="6" t="str">
        <f t="shared" si="0"/>
        <v/>
      </c>
      <c r="B9" s="9" t="s">
        <v>91</v>
      </c>
      <c r="C9" s="5" t="s">
        <v>5</v>
      </c>
      <c r="D9" s="6">
        <v>2000</v>
      </c>
      <c r="E9" s="16">
        <f t="shared" si="1"/>
        <v>197.25</v>
      </c>
      <c r="F9" s="4" t="str">
        <f t="shared" si="2"/>
        <v/>
      </c>
      <c r="G9" s="4" t="str">
        <f t="shared" si="3"/>
        <v/>
      </c>
      <c r="H9" s="4" t="str">
        <f t="shared" si="4"/>
        <v/>
      </c>
      <c r="I9" t="str">
        <f t="shared" si="5"/>
        <v/>
      </c>
      <c r="J9" s="15">
        <f t="shared" si="6"/>
        <v>129.25</v>
      </c>
      <c r="K9" s="15" t="str">
        <f t="shared" si="7"/>
        <v>2019 Nationals</v>
      </c>
      <c r="L9" s="15">
        <f t="shared" si="8"/>
        <v>67.599999999999994</v>
      </c>
      <c r="M9" s="15" t="str">
        <f t="shared" si="9"/>
        <v>2019 Elite Canada</v>
      </c>
      <c r="N9" s="15">
        <f t="shared" si="10"/>
        <v>0.40000000000000568</v>
      </c>
      <c r="O9" s="27" t="str">
        <f t="shared" si="11"/>
        <v>(2 Pass)</v>
      </c>
      <c r="P9" s="15" t="str">
        <f t="shared" si="12"/>
        <v>2018 World Championships (Nov 7)</v>
      </c>
      <c r="Q9" s="71">
        <v>27.85</v>
      </c>
      <c r="R9" s="71">
        <v>6</v>
      </c>
      <c r="S9" s="71">
        <v>0</v>
      </c>
      <c r="T9" s="71">
        <v>0</v>
      </c>
      <c r="U9" s="71">
        <v>28.6</v>
      </c>
      <c r="V9" s="71">
        <v>5.6</v>
      </c>
      <c r="W9" s="71">
        <v>0.45</v>
      </c>
      <c r="X9" s="71">
        <v>0</v>
      </c>
      <c r="Y9" s="71">
        <v>23.950000000000003</v>
      </c>
      <c r="Z9" s="71">
        <v>4</v>
      </c>
      <c r="AA9" s="71">
        <v>0</v>
      </c>
      <c r="AB9" s="71">
        <v>0</v>
      </c>
      <c r="AC9" s="71">
        <v>28.5</v>
      </c>
      <c r="AD9" s="71">
        <v>5.2</v>
      </c>
      <c r="AE9" s="71">
        <v>0</v>
      </c>
      <c r="AF9" s="71">
        <v>0</v>
      </c>
      <c r="AG9" s="82" t="s">
        <v>100</v>
      </c>
      <c r="AH9" s="12">
        <f t="shared" si="13"/>
        <v>11.6</v>
      </c>
      <c r="AI9" s="12">
        <f t="shared" si="14"/>
        <v>20.8</v>
      </c>
      <c r="AJ9" s="12">
        <f t="shared" si="15"/>
        <v>67.599999999999994</v>
      </c>
      <c r="AK9" s="12">
        <f t="shared" si="16"/>
        <v>61.650000000000006</v>
      </c>
      <c r="AL9" s="12">
        <f t="shared" si="17"/>
        <v>129.25</v>
      </c>
      <c r="AM9" s="40">
        <v>27.85</v>
      </c>
      <c r="AN9" s="40">
        <v>6</v>
      </c>
      <c r="AO9" s="40">
        <v>0</v>
      </c>
      <c r="AP9" s="40">
        <v>0</v>
      </c>
      <c r="AQ9" s="40">
        <v>28.6</v>
      </c>
      <c r="AR9" s="40">
        <v>5.6</v>
      </c>
      <c r="AS9" s="40">
        <v>0.45</v>
      </c>
      <c r="AT9" s="40">
        <v>0</v>
      </c>
      <c r="AU9" s="40">
        <v>23.950000000000003</v>
      </c>
      <c r="AV9" s="40">
        <v>4</v>
      </c>
      <c r="AW9" s="40">
        <v>0</v>
      </c>
      <c r="AX9" s="40">
        <v>0</v>
      </c>
      <c r="AY9" s="40">
        <v>28.5</v>
      </c>
      <c r="AZ9" s="40">
        <v>5.2</v>
      </c>
      <c r="BA9" s="40">
        <v>0</v>
      </c>
      <c r="BB9" s="40">
        <v>0</v>
      </c>
      <c r="BC9" s="83" t="s">
        <v>100</v>
      </c>
      <c r="BD9" s="15">
        <f t="shared" si="18"/>
        <v>11.6</v>
      </c>
      <c r="BE9" s="15">
        <f t="shared" si="19"/>
        <v>20.8</v>
      </c>
      <c r="BF9" s="15">
        <f t="shared" si="20"/>
        <v>67.599999999999994</v>
      </c>
      <c r="BG9" s="15">
        <f t="shared" si="21"/>
        <v>61.650000000000006</v>
      </c>
      <c r="BH9" s="15">
        <f t="shared" si="22"/>
        <v>129.25</v>
      </c>
      <c r="BI9" s="26" t="str">
        <f t="shared" si="23"/>
        <v/>
      </c>
      <c r="BJ9" s="26">
        <f t="shared" si="24"/>
        <v>0.40000000000000568</v>
      </c>
      <c r="BK9" s="46">
        <v>27.9</v>
      </c>
      <c r="BL9" s="46">
        <v>6.4</v>
      </c>
      <c r="BM9" s="46">
        <v>0</v>
      </c>
      <c r="BN9" s="46">
        <v>0</v>
      </c>
      <c r="BO9" s="46">
        <v>28.1</v>
      </c>
      <c r="BP9" s="46">
        <v>5.6</v>
      </c>
      <c r="BQ9" s="46">
        <v>0</v>
      </c>
      <c r="BR9" s="46">
        <v>0</v>
      </c>
      <c r="BS9" s="46"/>
      <c r="BT9" s="46"/>
      <c r="BU9" s="46"/>
      <c r="BV9" s="46"/>
      <c r="BW9" s="46"/>
      <c r="BX9" s="46"/>
      <c r="BY9" s="46"/>
      <c r="BZ9" s="46"/>
      <c r="CA9" s="12">
        <f t="shared" si="25"/>
        <v>12</v>
      </c>
      <c r="CB9" s="12">
        <f t="shared" si="26"/>
        <v>12</v>
      </c>
      <c r="CC9" s="12">
        <f t="shared" si="27"/>
        <v>68</v>
      </c>
      <c r="CD9" s="12" t="str">
        <f t="shared" si="28"/>
        <v/>
      </c>
      <c r="CE9" s="12">
        <f t="shared" si="29"/>
        <v>68</v>
      </c>
      <c r="CF9" s="45"/>
      <c r="CG9" s="45"/>
      <c r="CH9" s="45"/>
      <c r="CI9" s="45"/>
      <c r="CJ9" s="45"/>
      <c r="CK9" s="45"/>
      <c r="CL9" s="45"/>
      <c r="CM9" s="45"/>
      <c r="CN9" s="45"/>
      <c r="CO9" s="45"/>
      <c r="CP9" s="45"/>
      <c r="CQ9" s="45"/>
      <c r="CR9" s="45"/>
      <c r="CS9" s="45"/>
      <c r="CT9" s="45"/>
      <c r="CU9" s="45"/>
      <c r="CV9" s="15" t="str">
        <f t="shared" si="30"/>
        <v/>
      </c>
      <c r="CW9" s="15" t="str">
        <f t="shared" si="31"/>
        <v/>
      </c>
      <c r="CX9" s="15" t="str">
        <f t="shared" si="32"/>
        <v/>
      </c>
      <c r="CY9" s="15" t="str">
        <f t="shared" si="33"/>
        <v/>
      </c>
      <c r="CZ9" s="15" t="str">
        <f t="shared" si="34"/>
        <v/>
      </c>
      <c r="DA9" s="46"/>
      <c r="DB9" s="46"/>
      <c r="DC9" s="46"/>
      <c r="DD9" s="46"/>
      <c r="DE9" s="46"/>
      <c r="DF9" s="46"/>
      <c r="DG9" s="46"/>
      <c r="DH9" s="46"/>
      <c r="DI9" s="46"/>
      <c r="DJ9" s="46"/>
      <c r="DK9" s="46"/>
      <c r="DL9" s="46"/>
      <c r="DM9" s="46"/>
      <c r="DN9" s="46"/>
      <c r="DO9" s="46"/>
      <c r="DP9" s="46"/>
      <c r="DQ9" s="12" t="str">
        <f t="shared" si="35"/>
        <v/>
      </c>
      <c r="DR9" s="12" t="str">
        <f t="shared" si="36"/>
        <v/>
      </c>
      <c r="DS9" s="12" t="str">
        <f t="shared" si="37"/>
        <v/>
      </c>
      <c r="DT9" s="12" t="str">
        <f t="shared" si="38"/>
        <v/>
      </c>
      <c r="DU9" s="12" t="str">
        <f t="shared" si="39"/>
        <v/>
      </c>
      <c r="DV9" s="45"/>
      <c r="DW9" s="45"/>
      <c r="DX9" s="45"/>
      <c r="DY9" s="45"/>
      <c r="DZ9" s="45"/>
      <c r="EA9" s="45"/>
      <c r="EB9" s="45"/>
      <c r="EC9" s="45"/>
      <c r="ED9" s="45"/>
      <c r="EE9" s="45"/>
      <c r="EF9" s="45"/>
      <c r="EG9" s="45"/>
      <c r="EH9" s="45"/>
      <c r="EI9" s="45"/>
      <c r="EJ9" s="45"/>
      <c r="EK9" s="45"/>
      <c r="EL9" s="15" t="str">
        <f t="shared" si="40"/>
        <v/>
      </c>
      <c r="EM9" s="15" t="str">
        <f t="shared" si="41"/>
        <v/>
      </c>
      <c r="EN9" s="15" t="str">
        <f t="shared" si="42"/>
        <v/>
      </c>
      <c r="EO9" s="15" t="str">
        <f t="shared" si="43"/>
        <v/>
      </c>
      <c r="EP9" s="15" t="str">
        <f t="shared" si="44"/>
        <v/>
      </c>
      <c r="EQ9" s="46"/>
      <c r="ER9" s="46"/>
      <c r="ES9" s="46"/>
      <c r="ET9" s="46"/>
      <c r="EU9" s="46"/>
      <c r="EV9" s="46"/>
      <c r="EW9" s="46"/>
      <c r="EX9" s="46"/>
      <c r="EY9" s="46"/>
      <c r="EZ9" s="46"/>
      <c r="FA9" s="46"/>
      <c r="FB9" s="46"/>
      <c r="FC9" s="46"/>
      <c r="FD9" s="46"/>
      <c r="FE9" s="46"/>
      <c r="FF9" s="46"/>
      <c r="FG9" s="12" t="str">
        <f t="shared" si="45"/>
        <v/>
      </c>
      <c r="FH9" s="12" t="str">
        <f t="shared" si="46"/>
        <v/>
      </c>
      <c r="FI9" s="12" t="str">
        <f t="shared" si="47"/>
        <v/>
      </c>
      <c r="FJ9" s="12" t="str">
        <f t="shared" si="48"/>
        <v/>
      </c>
      <c r="FK9" s="12" t="str">
        <f t="shared" si="49"/>
        <v/>
      </c>
      <c r="FL9" s="45"/>
      <c r="FM9" s="45"/>
      <c r="FN9" s="45"/>
      <c r="FO9" s="45"/>
      <c r="FP9" s="45"/>
      <c r="FQ9" s="45"/>
      <c r="FR9" s="45"/>
      <c r="FS9" s="45"/>
      <c r="FT9" s="45"/>
      <c r="FU9" s="45"/>
      <c r="FV9" s="45"/>
      <c r="FW9" s="45"/>
      <c r="FX9" s="45"/>
      <c r="FY9" s="45"/>
      <c r="FZ9" s="45"/>
      <c r="GA9" s="45"/>
      <c r="GB9" s="15" t="str">
        <f t="shared" si="50"/>
        <v/>
      </c>
      <c r="GC9" s="15" t="str">
        <f t="shared" si="51"/>
        <v/>
      </c>
      <c r="GD9" s="15" t="str">
        <f t="shared" si="52"/>
        <v/>
      </c>
      <c r="GE9" s="15" t="str">
        <f t="shared" si="53"/>
        <v/>
      </c>
      <c r="GF9" s="15" t="str">
        <f t="shared" si="54"/>
        <v/>
      </c>
      <c r="GG9" s="46"/>
      <c r="GH9" s="46"/>
      <c r="GI9" s="46"/>
      <c r="GJ9" s="46"/>
      <c r="GK9" s="46"/>
      <c r="GL9" s="46"/>
      <c r="GM9" s="46"/>
      <c r="GN9" s="46"/>
      <c r="GO9" s="46"/>
      <c r="GP9" s="46"/>
      <c r="GQ9" s="46"/>
      <c r="GR9" s="46"/>
      <c r="GS9" s="46"/>
      <c r="GT9" s="46"/>
      <c r="GU9" s="46"/>
      <c r="GV9" s="46"/>
      <c r="GW9" s="12" t="str">
        <f t="shared" si="55"/>
        <v/>
      </c>
      <c r="GX9" s="12" t="str">
        <f t="shared" si="56"/>
        <v/>
      </c>
      <c r="GY9" s="12" t="str">
        <f t="shared" si="57"/>
        <v/>
      </c>
      <c r="GZ9" s="12" t="str">
        <f t="shared" si="58"/>
        <v/>
      </c>
      <c r="HA9" s="12" t="str">
        <f t="shared" si="59"/>
        <v/>
      </c>
      <c r="HB9" s="45"/>
      <c r="HC9" s="45"/>
      <c r="HD9" s="45"/>
      <c r="HE9" s="45"/>
      <c r="HF9" s="45"/>
      <c r="HG9" s="45"/>
      <c r="HH9" s="45"/>
      <c r="HI9" s="45"/>
      <c r="HJ9" s="45"/>
      <c r="HK9" s="45"/>
      <c r="HL9" s="45"/>
      <c r="HM9" s="45"/>
      <c r="HN9" s="45"/>
      <c r="HO9" s="45"/>
      <c r="HP9" s="45"/>
      <c r="HQ9" s="45"/>
      <c r="HR9" s="15" t="str">
        <f t="shared" si="60"/>
        <v/>
      </c>
      <c r="HS9" s="15" t="str">
        <f t="shared" si="61"/>
        <v/>
      </c>
      <c r="HT9" s="15" t="str">
        <f t="shared" si="62"/>
        <v/>
      </c>
      <c r="HU9" s="15" t="str">
        <f t="shared" si="63"/>
        <v/>
      </c>
      <c r="HV9" s="15" t="str">
        <f t="shared" si="64"/>
        <v/>
      </c>
      <c r="HW9" s="46"/>
      <c r="HX9" s="46"/>
      <c r="HY9" s="46"/>
      <c r="HZ9" s="46"/>
      <c r="IA9" s="46"/>
      <c r="IB9" s="46"/>
      <c r="IC9" s="46"/>
      <c r="ID9" s="46"/>
      <c r="IE9" s="46"/>
      <c r="IF9" s="46"/>
      <c r="IG9" s="46"/>
      <c r="IH9" s="46"/>
      <c r="II9" s="46"/>
      <c r="IJ9" s="46"/>
      <c r="IK9" s="46"/>
      <c r="IL9" s="46"/>
      <c r="IM9" s="12" t="str">
        <f t="shared" si="65"/>
        <v/>
      </c>
      <c r="IN9" s="12" t="str">
        <f t="shared" si="66"/>
        <v/>
      </c>
      <c r="IO9" s="12" t="str">
        <f t="shared" si="67"/>
        <v/>
      </c>
      <c r="IP9" s="12" t="str">
        <f t="shared" si="68"/>
        <v/>
      </c>
      <c r="IQ9" s="12" t="str">
        <f t="shared" si="69"/>
        <v/>
      </c>
      <c r="IR9" s="45"/>
      <c r="IS9" s="45"/>
      <c r="IT9" s="45"/>
      <c r="IU9" s="45"/>
      <c r="IV9" s="45"/>
      <c r="IW9" s="45"/>
      <c r="IX9" s="45"/>
      <c r="IY9" s="45"/>
      <c r="IZ9" s="45"/>
      <c r="JA9" s="45"/>
      <c r="JB9" s="45"/>
      <c r="JC9" s="45"/>
      <c r="JD9" s="45"/>
      <c r="JE9" s="45"/>
      <c r="JF9" s="45"/>
      <c r="JG9" s="45"/>
      <c r="JH9" s="15" t="str">
        <f t="shared" si="70"/>
        <v/>
      </c>
      <c r="JI9" s="15" t="str">
        <f t="shared" si="71"/>
        <v/>
      </c>
      <c r="JJ9" s="15" t="str">
        <f t="shared" si="72"/>
        <v/>
      </c>
      <c r="JK9" s="15" t="str">
        <f t="shared" si="73"/>
        <v/>
      </c>
      <c r="JL9" s="15" t="str">
        <f t="shared" si="74"/>
        <v/>
      </c>
      <c r="JM9" s="46"/>
      <c r="JN9" s="46"/>
      <c r="JO9" s="46"/>
      <c r="JP9" s="46"/>
      <c r="JQ9" s="46"/>
      <c r="JR9" s="46"/>
      <c r="JS9" s="46"/>
      <c r="JT9" s="46"/>
      <c r="JU9" s="46"/>
      <c r="JV9" s="46"/>
      <c r="JW9" s="46"/>
      <c r="JX9" s="46"/>
      <c r="JY9" s="46"/>
      <c r="JZ9" s="46"/>
      <c r="KA9" s="46"/>
      <c r="KB9" s="46"/>
      <c r="KC9" s="12" t="str">
        <f t="shared" si="75"/>
        <v/>
      </c>
      <c r="KD9" s="12" t="str">
        <f t="shared" si="76"/>
        <v/>
      </c>
      <c r="KE9" s="12" t="str">
        <f t="shared" si="77"/>
        <v/>
      </c>
      <c r="KF9" s="12" t="str">
        <f t="shared" si="78"/>
        <v/>
      </c>
      <c r="KG9" s="12" t="str">
        <f t="shared" si="79"/>
        <v/>
      </c>
      <c r="KH9" s="45"/>
      <c r="KI9" s="45"/>
      <c r="KJ9" s="45"/>
      <c r="KK9" s="45"/>
      <c r="KL9" s="45"/>
      <c r="KM9" s="45"/>
      <c r="KN9" s="45"/>
      <c r="KO9" s="45"/>
      <c r="KP9" s="45"/>
      <c r="KQ9" s="45"/>
      <c r="KR9" s="45"/>
      <c r="KS9" s="45"/>
      <c r="KT9" s="45"/>
      <c r="KU9" s="45"/>
      <c r="KV9" s="45"/>
      <c r="KW9" s="45"/>
      <c r="KX9" s="15" t="str">
        <f t="shared" si="80"/>
        <v/>
      </c>
      <c r="KY9" s="15" t="str">
        <f t="shared" si="81"/>
        <v/>
      </c>
      <c r="KZ9" s="15" t="str">
        <f t="shared" si="82"/>
        <v/>
      </c>
      <c r="LA9" s="15" t="str">
        <f t="shared" si="83"/>
        <v/>
      </c>
      <c r="LB9" s="15" t="str">
        <f t="shared" si="84"/>
        <v/>
      </c>
      <c r="LC9" s="71">
        <f t="shared" si="91"/>
        <v>27.85</v>
      </c>
      <c r="LD9" s="71">
        <f t="shared" si="85"/>
        <v>6</v>
      </c>
      <c r="LE9" s="71">
        <f t="shared" si="85"/>
        <v>0</v>
      </c>
      <c r="LF9" s="71">
        <f t="shared" si="85"/>
        <v>0</v>
      </c>
      <c r="LG9" s="71">
        <f t="shared" si="85"/>
        <v>28.6</v>
      </c>
      <c r="LH9" s="71">
        <f t="shared" si="85"/>
        <v>5.6</v>
      </c>
      <c r="LI9" s="71">
        <f t="shared" si="85"/>
        <v>0.45</v>
      </c>
      <c r="LJ9" s="71">
        <f t="shared" si="85"/>
        <v>0</v>
      </c>
      <c r="LK9" s="71">
        <f t="shared" si="85"/>
        <v>23.950000000000003</v>
      </c>
      <c r="LL9" s="71">
        <f t="shared" si="85"/>
        <v>4</v>
      </c>
      <c r="LM9" s="71">
        <f t="shared" si="85"/>
        <v>0</v>
      </c>
      <c r="LN9" s="71">
        <f t="shared" si="85"/>
        <v>0</v>
      </c>
      <c r="LO9" s="71">
        <f t="shared" si="85"/>
        <v>28.5</v>
      </c>
      <c r="LP9" s="71">
        <f t="shared" si="85"/>
        <v>5.2</v>
      </c>
      <c r="LQ9" s="71">
        <f t="shared" si="85"/>
        <v>0</v>
      </c>
      <c r="LR9" s="71">
        <f t="shared" si="85"/>
        <v>0</v>
      </c>
      <c r="LS9" s="82" t="s">
        <v>100</v>
      </c>
      <c r="LT9" s="12">
        <f t="shared" si="92"/>
        <v>11.6</v>
      </c>
      <c r="LU9" s="12">
        <f t="shared" si="93"/>
        <v>20.8</v>
      </c>
      <c r="LV9" s="12">
        <f t="shared" si="94"/>
        <v>67.599999999999994</v>
      </c>
      <c r="LW9" s="12">
        <f t="shared" si="95"/>
        <v>61.650000000000006</v>
      </c>
      <c r="LX9" s="12">
        <f t="shared" si="96"/>
        <v>129.25</v>
      </c>
    </row>
    <row r="10" spans="1:336" x14ac:dyDescent="0.2">
      <c r="A10" s="6" t="str">
        <f t="shared" si="0"/>
        <v/>
      </c>
      <c r="B10" s="9" t="s">
        <v>174</v>
      </c>
      <c r="C10" s="5" t="s">
        <v>5</v>
      </c>
      <c r="D10" s="6">
        <v>2000</v>
      </c>
      <c r="E10" s="16">
        <f t="shared" si="1"/>
        <v>170.4</v>
      </c>
      <c r="F10" s="4" t="str">
        <f t="shared" si="2"/>
        <v/>
      </c>
      <c r="G10" s="4" t="str">
        <f t="shared" si="3"/>
        <v/>
      </c>
      <c r="H10" s="4" t="str">
        <f t="shared" si="4"/>
        <v/>
      </c>
      <c r="I10" t="str">
        <f t="shared" si="5"/>
        <v/>
      </c>
      <c r="J10" s="15">
        <f t="shared" si="6"/>
        <v>113.9</v>
      </c>
      <c r="K10" s="15" t="str">
        <f t="shared" si="7"/>
        <v>2019 Nationals</v>
      </c>
      <c r="L10" s="15">
        <f t="shared" si="8"/>
        <v>56.499999999999993</v>
      </c>
      <c r="M10" s="15" t="str">
        <f t="shared" si="9"/>
        <v>2019 Elite Canada</v>
      </c>
      <c r="N10" s="15" t="str">
        <f t="shared" si="10"/>
        <v/>
      </c>
      <c r="O10" s="27" t="str">
        <f t="shared" si="11"/>
        <v/>
      </c>
      <c r="P10" s="15" t="str">
        <f t="shared" si="12"/>
        <v/>
      </c>
      <c r="Q10" s="71">
        <v>24.4</v>
      </c>
      <c r="R10" s="71">
        <v>6</v>
      </c>
      <c r="S10" s="71">
        <v>1.2</v>
      </c>
      <c r="T10" s="71">
        <v>0</v>
      </c>
      <c r="U10" s="71">
        <v>26.5</v>
      </c>
      <c r="V10" s="71">
        <v>2.8</v>
      </c>
      <c r="W10" s="71">
        <v>2</v>
      </c>
      <c r="X10" s="71">
        <v>0</v>
      </c>
      <c r="Y10" s="71"/>
      <c r="Z10" s="71"/>
      <c r="AA10" s="71"/>
      <c r="AB10" s="71"/>
      <c r="AC10" s="71"/>
      <c r="AD10" s="71"/>
      <c r="AE10" s="71"/>
      <c r="AF10" s="71"/>
      <c r="AG10" s="82"/>
      <c r="AH10" s="12">
        <f t="shared" si="13"/>
        <v>8.8000000000000007</v>
      </c>
      <c r="AI10" s="12">
        <f t="shared" si="14"/>
        <v>8.8000000000000007</v>
      </c>
      <c r="AJ10" s="12">
        <f t="shared" si="15"/>
        <v>56.499999999999993</v>
      </c>
      <c r="AK10" s="12" t="str">
        <f t="shared" si="16"/>
        <v/>
      </c>
      <c r="AL10" s="12">
        <f t="shared" si="17"/>
        <v>56.499999999999993</v>
      </c>
      <c r="AM10" s="40">
        <v>28.4</v>
      </c>
      <c r="AN10" s="40">
        <v>6</v>
      </c>
      <c r="AO10" s="40">
        <v>0</v>
      </c>
      <c r="AP10" s="40">
        <v>0</v>
      </c>
      <c r="AQ10" s="40">
        <v>27</v>
      </c>
      <c r="AR10" s="40">
        <v>5.6</v>
      </c>
      <c r="AS10" s="40">
        <v>0.3</v>
      </c>
      <c r="AT10" s="40">
        <v>0</v>
      </c>
      <c r="AU10" s="40">
        <v>19.8</v>
      </c>
      <c r="AV10" s="40">
        <v>2.4</v>
      </c>
      <c r="AW10" s="40">
        <v>0</v>
      </c>
      <c r="AX10" s="40">
        <v>0</v>
      </c>
      <c r="AY10" s="40">
        <v>27</v>
      </c>
      <c r="AZ10" s="40">
        <v>2</v>
      </c>
      <c r="BA10" s="40">
        <v>4</v>
      </c>
      <c r="BB10" s="40">
        <v>0</v>
      </c>
      <c r="BC10" s="83"/>
      <c r="BD10" s="15">
        <f t="shared" si="18"/>
        <v>11.6</v>
      </c>
      <c r="BE10" s="15">
        <f t="shared" si="19"/>
        <v>16</v>
      </c>
      <c r="BF10" s="15">
        <f t="shared" si="20"/>
        <v>66.7</v>
      </c>
      <c r="BG10" s="15">
        <f t="shared" si="21"/>
        <v>47.2</v>
      </c>
      <c r="BH10" s="15">
        <f t="shared" si="22"/>
        <v>113.9</v>
      </c>
      <c r="BI10" s="26"/>
      <c r="BJ10" s="26"/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12"/>
      <c r="CB10" s="12"/>
      <c r="CC10" s="12"/>
      <c r="CD10" s="12"/>
      <c r="CE10" s="12"/>
      <c r="CF10" s="45"/>
      <c r="CG10" s="45"/>
      <c r="CH10" s="45"/>
      <c r="CI10" s="45"/>
      <c r="CJ10" s="45"/>
      <c r="CK10" s="45"/>
      <c r="CL10" s="45"/>
      <c r="CM10" s="45"/>
      <c r="CN10" s="45"/>
      <c r="CO10" s="45"/>
      <c r="CP10" s="45"/>
      <c r="CQ10" s="45"/>
      <c r="CR10" s="45"/>
      <c r="CS10" s="45"/>
      <c r="CT10" s="45"/>
      <c r="CU10" s="45"/>
      <c r="CV10" s="15"/>
      <c r="CW10" s="15"/>
      <c r="CX10" s="15"/>
      <c r="CY10" s="15"/>
      <c r="CZ10" s="15"/>
      <c r="DA10" s="46"/>
      <c r="DB10" s="46"/>
      <c r="DC10" s="46"/>
      <c r="DD10" s="46"/>
      <c r="DE10" s="46"/>
      <c r="DF10" s="46"/>
      <c r="DG10" s="46"/>
      <c r="DH10" s="46"/>
      <c r="DI10" s="46"/>
      <c r="DJ10" s="46"/>
      <c r="DK10" s="46"/>
      <c r="DL10" s="46"/>
      <c r="DM10" s="46"/>
      <c r="DN10" s="46"/>
      <c r="DO10" s="46"/>
      <c r="DP10" s="46"/>
      <c r="DQ10" s="12"/>
      <c r="DR10" s="12"/>
      <c r="DS10" s="12"/>
      <c r="DT10" s="12"/>
      <c r="DU10" s="12"/>
      <c r="DV10" s="45"/>
      <c r="DW10" s="45"/>
      <c r="DX10" s="45"/>
      <c r="DY10" s="45"/>
      <c r="DZ10" s="45"/>
      <c r="EA10" s="45"/>
      <c r="EB10" s="45"/>
      <c r="EC10" s="45"/>
      <c r="ED10" s="45"/>
      <c r="EE10" s="45"/>
      <c r="EF10" s="45"/>
      <c r="EG10" s="45"/>
      <c r="EH10" s="45"/>
      <c r="EI10" s="45"/>
      <c r="EJ10" s="45"/>
      <c r="EK10" s="45"/>
      <c r="EL10" s="15"/>
      <c r="EM10" s="15"/>
      <c r="EN10" s="15"/>
      <c r="EO10" s="15"/>
      <c r="EP10" s="15"/>
      <c r="EQ10" s="46"/>
      <c r="ER10" s="46"/>
      <c r="ES10" s="46"/>
      <c r="ET10" s="46"/>
      <c r="EU10" s="46"/>
      <c r="EV10" s="46"/>
      <c r="EW10" s="46"/>
      <c r="EX10" s="46"/>
      <c r="EY10" s="46"/>
      <c r="EZ10" s="46"/>
      <c r="FA10" s="46"/>
      <c r="FB10" s="46"/>
      <c r="FC10" s="46"/>
      <c r="FD10" s="46"/>
      <c r="FE10" s="46"/>
      <c r="FF10" s="46"/>
      <c r="FG10" s="12"/>
      <c r="FH10" s="12"/>
      <c r="FI10" s="12"/>
      <c r="FJ10" s="12"/>
      <c r="FK10" s="12"/>
      <c r="FL10" s="45"/>
      <c r="FM10" s="45"/>
      <c r="FN10" s="45"/>
      <c r="FO10" s="45"/>
      <c r="FP10" s="45"/>
      <c r="FQ10" s="45"/>
      <c r="FR10" s="45"/>
      <c r="FS10" s="45"/>
      <c r="FT10" s="45"/>
      <c r="FU10" s="45"/>
      <c r="FV10" s="45"/>
      <c r="FW10" s="45"/>
      <c r="FX10" s="45"/>
      <c r="FY10" s="45"/>
      <c r="FZ10" s="45"/>
      <c r="GA10" s="45"/>
      <c r="GB10" s="15"/>
      <c r="GC10" s="15"/>
      <c r="GD10" s="15"/>
      <c r="GE10" s="15"/>
      <c r="GF10" s="15"/>
      <c r="GG10" s="46"/>
      <c r="GH10" s="46"/>
      <c r="GI10" s="46"/>
      <c r="GJ10" s="46"/>
      <c r="GK10" s="46"/>
      <c r="GL10" s="46"/>
      <c r="GM10" s="46"/>
      <c r="GN10" s="46"/>
      <c r="GO10" s="46"/>
      <c r="GP10" s="46"/>
      <c r="GQ10" s="46"/>
      <c r="GR10" s="46"/>
      <c r="GS10" s="46"/>
      <c r="GT10" s="46"/>
      <c r="GU10" s="46"/>
      <c r="GV10" s="46"/>
      <c r="GW10" s="12"/>
      <c r="GX10" s="12"/>
      <c r="GY10" s="12"/>
      <c r="GZ10" s="12"/>
      <c r="HA10" s="12"/>
      <c r="HB10" s="45"/>
      <c r="HC10" s="45"/>
      <c r="HD10" s="45"/>
      <c r="HE10" s="45"/>
      <c r="HF10" s="45"/>
      <c r="HG10" s="45"/>
      <c r="HH10" s="45"/>
      <c r="HI10" s="45"/>
      <c r="HJ10" s="45"/>
      <c r="HK10" s="45"/>
      <c r="HL10" s="45"/>
      <c r="HM10" s="45"/>
      <c r="HN10" s="45"/>
      <c r="HO10" s="45"/>
      <c r="HP10" s="45"/>
      <c r="HQ10" s="45"/>
      <c r="HR10" s="15"/>
      <c r="HS10" s="15"/>
      <c r="HT10" s="15"/>
      <c r="HU10" s="15"/>
      <c r="HV10" s="15"/>
      <c r="HW10" s="46"/>
      <c r="HX10" s="46"/>
      <c r="HY10" s="46"/>
      <c r="HZ10" s="46"/>
      <c r="IA10" s="46"/>
      <c r="IB10" s="46"/>
      <c r="IC10" s="46"/>
      <c r="ID10" s="46"/>
      <c r="IE10" s="46"/>
      <c r="IF10" s="46"/>
      <c r="IG10" s="46"/>
      <c r="IH10" s="46"/>
      <c r="II10" s="46"/>
      <c r="IJ10" s="46"/>
      <c r="IK10" s="46"/>
      <c r="IL10" s="46"/>
      <c r="IM10" s="12"/>
      <c r="IN10" s="12"/>
      <c r="IO10" s="12"/>
      <c r="IP10" s="12"/>
      <c r="IQ10" s="12"/>
      <c r="IR10" s="45"/>
      <c r="IS10" s="45"/>
      <c r="IT10" s="45"/>
      <c r="IU10" s="45"/>
      <c r="IV10" s="45"/>
      <c r="IW10" s="45"/>
      <c r="IX10" s="45"/>
      <c r="IY10" s="45"/>
      <c r="IZ10" s="45"/>
      <c r="JA10" s="45"/>
      <c r="JB10" s="45"/>
      <c r="JC10" s="45"/>
      <c r="JD10" s="45"/>
      <c r="JE10" s="45"/>
      <c r="JF10" s="45"/>
      <c r="JG10" s="45"/>
      <c r="JH10" s="15" t="str">
        <f t="shared" si="70"/>
        <v/>
      </c>
      <c r="JI10" s="15" t="str">
        <f t="shared" si="71"/>
        <v/>
      </c>
      <c r="JJ10" s="15" t="str">
        <f t="shared" si="72"/>
        <v/>
      </c>
      <c r="JK10" s="15" t="str">
        <f t="shared" si="73"/>
        <v/>
      </c>
      <c r="JL10" s="15" t="str">
        <f t="shared" si="74"/>
        <v/>
      </c>
      <c r="JM10" s="46"/>
      <c r="JN10" s="46"/>
      <c r="JO10" s="46"/>
      <c r="JP10" s="46"/>
      <c r="JQ10" s="46"/>
      <c r="JR10" s="46"/>
      <c r="JS10" s="46"/>
      <c r="JT10" s="46"/>
      <c r="JU10" s="46"/>
      <c r="JV10" s="46"/>
      <c r="JW10" s="46"/>
      <c r="JX10" s="46"/>
      <c r="JY10" s="46"/>
      <c r="JZ10" s="46"/>
      <c r="KA10" s="46"/>
      <c r="KB10" s="46"/>
      <c r="KC10" s="12" t="str">
        <f t="shared" si="75"/>
        <v/>
      </c>
      <c r="KD10" s="12" t="str">
        <f t="shared" si="76"/>
        <v/>
      </c>
      <c r="KE10" s="12" t="str">
        <f t="shared" si="77"/>
        <v/>
      </c>
      <c r="KF10" s="12" t="str">
        <f t="shared" si="78"/>
        <v/>
      </c>
      <c r="KG10" s="12" t="str">
        <f t="shared" si="79"/>
        <v/>
      </c>
      <c r="KH10" s="45"/>
      <c r="KI10" s="45"/>
      <c r="KJ10" s="45"/>
      <c r="KK10" s="45"/>
      <c r="KL10" s="45"/>
      <c r="KM10" s="45"/>
      <c r="KN10" s="45"/>
      <c r="KO10" s="45"/>
      <c r="KP10" s="45"/>
      <c r="KQ10" s="45"/>
      <c r="KR10" s="45"/>
      <c r="KS10" s="45"/>
      <c r="KT10" s="45"/>
      <c r="KU10" s="45"/>
      <c r="KV10" s="45"/>
      <c r="KW10" s="45"/>
      <c r="KX10" s="15" t="str">
        <f t="shared" si="80"/>
        <v/>
      </c>
      <c r="KY10" s="15" t="str">
        <f t="shared" si="81"/>
        <v/>
      </c>
      <c r="KZ10" s="15" t="str">
        <f t="shared" si="82"/>
        <v/>
      </c>
      <c r="LA10" s="15" t="str">
        <f t="shared" si="83"/>
        <v/>
      </c>
      <c r="LB10" s="15" t="str">
        <f t="shared" si="84"/>
        <v/>
      </c>
      <c r="LC10" s="71">
        <f t="shared" si="91"/>
        <v>26.4</v>
      </c>
      <c r="LD10" s="71">
        <f t="shared" si="85"/>
        <v>6</v>
      </c>
      <c r="LE10" s="71">
        <f t="shared" si="85"/>
        <v>0.6</v>
      </c>
      <c r="LF10" s="71">
        <f t="shared" si="85"/>
        <v>0</v>
      </c>
      <c r="LG10" s="71">
        <f t="shared" si="85"/>
        <v>26.75</v>
      </c>
      <c r="LH10" s="71">
        <f t="shared" si="85"/>
        <v>4.1999999999999993</v>
      </c>
      <c r="LI10" s="71">
        <f t="shared" si="85"/>
        <v>1.1499999999999999</v>
      </c>
      <c r="LJ10" s="71">
        <f t="shared" si="85"/>
        <v>0</v>
      </c>
      <c r="LK10" s="71">
        <f t="shared" si="85"/>
        <v>9.9</v>
      </c>
      <c r="LL10" s="71">
        <f t="shared" si="85"/>
        <v>1.2</v>
      </c>
      <c r="LM10" s="71">
        <f t="shared" si="85"/>
        <v>0</v>
      </c>
      <c r="LN10" s="71">
        <f t="shared" si="85"/>
        <v>0</v>
      </c>
      <c r="LO10" s="71">
        <f t="shared" si="85"/>
        <v>13.5</v>
      </c>
      <c r="LP10" s="71">
        <f t="shared" si="85"/>
        <v>1</v>
      </c>
      <c r="LQ10" s="71">
        <f t="shared" si="85"/>
        <v>2</v>
      </c>
      <c r="LR10" s="71">
        <f t="shared" si="85"/>
        <v>0</v>
      </c>
      <c r="LS10" s="82" t="s">
        <v>100</v>
      </c>
      <c r="LT10" s="12">
        <f t="shared" si="92"/>
        <v>10.199999999999999</v>
      </c>
      <c r="LU10" s="12">
        <f t="shared" si="93"/>
        <v>12.399999999999999</v>
      </c>
      <c r="LV10" s="12">
        <f t="shared" si="94"/>
        <v>61.599999999999994</v>
      </c>
      <c r="LW10" s="12">
        <f t="shared" si="95"/>
        <v>23.6</v>
      </c>
      <c r="LX10" s="12">
        <f t="shared" si="96"/>
        <v>85.199999999999989</v>
      </c>
    </row>
    <row r="11" spans="1:336" x14ac:dyDescent="0.2">
      <c r="A11" s="6" t="str">
        <f t="shared" si="0"/>
        <v/>
      </c>
      <c r="B11" s="9" t="s">
        <v>92</v>
      </c>
      <c r="C11" s="5" t="s">
        <v>6</v>
      </c>
      <c r="D11" s="6">
        <v>1991</v>
      </c>
      <c r="E11" s="16">
        <f t="shared" si="1"/>
        <v>66.900000000000006</v>
      </c>
      <c r="F11" s="4" t="str">
        <f t="shared" si="2"/>
        <v/>
      </c>
      <c r="G11" s="4" t="str">
        <f t="shared" si="3"/>
        <v/>
      </c>
      <c r="H11" s="4" t="str">
        <f t="shared" si="4"/>
        <v/>
      </c>
      <c r="I11" t="str">
        <f t="shared" si="5"/>
        <v/>
      </c>
      <c r="J11" s="15">
        <f t="shared" si="6"/>
        <v>66.900000000000006</v>
      </c>
      <c r="K11" s="15" t="str">
        <f t="shared" si="7"/>
        <v>2019 Elite Canada</v>
      </c>
      <c r="L11" s="15" t="str">
        <f t="shared" si="8"/>
        <v/>
      </c>
      <c r="M11" s="15" t="str">
        <f t="shared" si="9"/>
        <v/>
      </c>
      <c r="N11" s="15" t="str">
        <f t="shared" si="10"/>
        <v/>
      </c>
      <c r="O11" s="27" t="str">
        <f t="shared" si="11"/>
        <v/>
      </c>
      <c r="P11" s="15" t="str">
        <f t="shared" si="12"/>
        <v/>
      </c>
      <c r="Q11" s="71">
        <v>28.1</v>
      </c>
      <c r="R11" s="71">
        <v>5.6</v>
      </c>
      <c r="S11" s="71">
        <v>0</v>
      </c>
      <c r="T11" s="71">
        <v>0</v>
      </c>
      <c r="U11" s="71">
        <v>27.2</v>
      </c>
      <c r="V11" s="71">
        <v>6</v>
      </c>
      <c r="W11" s="71">
        <v>0</v>
      </c>
      <c r="X11" s="71">
        <v>0</v>
      </c>
      <c r="Y11" s="71"/>
      <c r="Z11" s="71"/>
      <c r="AA11" s="71"/>
      <c r="AB11" s="71"/>
      <c r="AC11" s="71"/>
      <c r="AD11" s="71"/>
      <c r="AE11" s="71"/>
      <c r="AF11" s="71"/>
      <c r="AG11" s="82"/>
      <c r="AH11" s="12">
        <f t="shared" si="13"/>
        <v>11.6</v>
      </c>
      <c r="AI11" s="12">
        <f t="shared" si="14"/>
        <v>11.6</v>
      </c>
      <c r="AJ11" s="12">
        <f t="shared" si="15"/>
        <v>66.900000000000006</v>
      </c>
      <c r="AK11" s="12" t="str">
        <f t="shared" si="16"/>
        <v/>
      </c>
      <c r="AL11" s="12">
        <f t="shared" si="17"/>
        <v>66.900000000000006</v>
      </c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  <c r="AZ11" s="40"/>
      <c r="BA11" s="40"/>
      <c r="BB11" s="40"/>
      <c r="BC11" s="83"/>
      <c r="BD11" s="15" t="str">
        <f t="shared" si="18"/>
        <v/>
      </c>
      <c r="BE11" s="15" t="str">
        <f t="shared" si="19"/>
        <v/>
      </c>
      <c r="BF11" s="15" t="str">
        <f t="shared" si="20"/>
        <v/>
      </c>
      <c r="BG11" s="15" t="str">
        <f t="shared" si="21"/>
        <v/>
      </c>
      <c r="BH11" s="15" t="str">
        <f t="shared" si="22"/>
        <v/>
      </c>
      <c r="BI11" s="26" t="str">
        <f>IF(MAX(CE11,CZ11,DU11,EP11,FK11,GF11,HA11,HV11,IQ11,JL11,KG11,LB11)-IF(J11="",0,J11)&gt;0.001,MAX(CE11,CZ11,DU11,EP11,FK11,GF11,HA11,HV11,IQ11,JL11,KG11,LB11)-IF(J11="",0,J11),"")</f>
        <v/>
      </c>
      <c r="BJ11" s="26" t="str">
        <f>IF(MAX(CC11,CD11,CX11,CY11,DS11,DT11,EN11,EO11,FI11,FJ11,GD11,GE11,GY11,GZ11,HT11,HU11,IO11,IP11,JJ11,JK11,KE11,KF11,KZ11,LA11)-IF(L11="",0,L11)&gt;0.001,MAX(CC11,CD11,CX11,CY11,DS11,DT11,EN11,EO11,FI11,FJ11,GD11,GE11,GY11,GZ11,HT11,HU11,IO11,IP11,JJ11,JK11,KE11,KF11,KZ11,LA11)-IF(L11="",0,L11),"")</f>
        <v/>
      </c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12" t="str">
        <f>IF(SUM(BL11,BP11)&gt;0,SUM(BL11,BP11),"")</f>
        <v/>
      </c>
      <c r="CB11" s="12" t="str">
        <f>IF(SUM(BL11,BP11,BT11,BX11)&gt;0,SUM(BL11,BP11,BT11,BX11),"")</f>
        <v/>
      </c>
      <c r="CC11" s="12" t="str">
        <f>IF(SUM(BK11:BL11,BN11:BP11,BR11)-SUM(BM11,BQ11)&gt;0,SUM(BK11:BL11,BN11:BP11,BR11)-SUM(BM11,BQ11),"")</f>
        <v/>
      </c>
      <c r="CD11" s="12" t="str">
        <f>IF(SUM(BS11:BT11,BV11:BX11,BZ11)-SUM(BU11,BY11)&gt;0,SUM(BS11:BT11,BV11:BX11,BZ11)-SUM(BU11,BY11),"")</f>
        <v/>
      </c>
      <c r="CE11" s="12" t="str">
        <f>IF(SUM(CC11,CD11)&gt;0,SUM(CC11,CD11),"")</f>
        <v/>
      </c>
      <c r="CF11" s="45"/>
      <c r="CG11" s="45"/>
      <c r="CH11" s="45"/>
      <c r="CI11" s="45"/>
      <c r="CJ11" s="45"/>
      <c r="CK11" s="45"/>
      <c r="CL11" s="45"/>
      <c r="CM11" s="45"/>
      <c r="CN11" s="45"/>
      <c r="CO11" s="45"/>
      <c r="CP11" s="45"/>
      <c r="CQ11" s="45"/>
      <c r="CR11" s="45"/>
      <c r="CS11" s="45"/>
      <c r="CT11" s="45"/>
      <c r="CU11" s="45"/>
      <c r="CV11" s="15" t="str">
        <f>IF(SUM(CG11,CK11)&gt;0,SUM(CG11,CK11),"")</f>
        <v/>
      </c>
      <c r="CW11" s="15" t="str">
        <f>IF(SUM(CG11,CK11,CO11,CS11)&gt;0,SUM(CG11,CK11,CO11,CS11),"")</f>
        <v/>
      </c>
      <c r="CX11" s="15" t="str">
        <f>IF(SUM(CF11:CG11,CI11:CK11,CM11)-SUM(CH11,CL11)&gt;0,SUM(CF11:CG11,CI11:CK11,CM11)-SUM(CH11,CL11),"")</f>
        <v/>
      </c>
      <c r="CY11" s="15" t="str">
        <f>IF(SUM(CN11:CO11,CQ11:CS11,CU11)-SUM(CP11,CT11)&gt;0,SUM(CN11:CO11,CQ11:CS11,CU11)-SUM(CP11,CT11),"")</f>
        <v/>
      </c>
      <c r="CZ11" s="15" t="str">
        <f>IF(SUM(CX11,CY11)&gt;0,SUM(CX11,CY11),"")</f>
        <v/>
      </c>
      <c r="DA11" s="46"/>
      <c r="DB11" s="46"/>
      <c r="DC11" s="46"/>
      <c r="DD11" s="46"/>
      <c r="DE11" s="46"/>
      <c r="DF11" s="46"/>
      <c r="DG11" s="46"/>
      <c r="DH11" s="46"/>
      <c r="DI11" s="46"/>
      <c r="DJ11" s="46"/>
      <c r="DK11" s="46"/>
      <c r="DL11" s="46"/>
      <c r="DM11" s="46"/>
      <c r="DN11" s="46"/>
      <c r="DO11" s="46"/>
      <c r="DP11" s="46"/>
      <c r="DQ11" s="12" t="str">
        <f>IF(SUM(DB11,DF11)&gt;0,SUM(DB11,DF11),"")</f>
        <v/>
      </c>
      <c r="DR11" s="12" t="str">
        <f>IF(SUM(DB11,DF11,DJ11,DN11)&gt;0,SUM(DB11,DF11,DJ11,DN11),"")</f>
        <v/>
      </c>
      <c r="DS11" s="12" t="str">
        <f>IF(SUM(DA11:DB11,DD11:DF11,DH11)-SUM(DC11,DG11)&gt;0,SUM(DA11:DB11,DD11:DF11,DH11)-SUM(DC11,DG11),"")</f>
        <v/>
      </c>
      <c r="DT11" s="12" t="str">
        <f>IF(SUM(DI11:DJ11,DL11:DN11,DP11)-SUM(DK11,DO11)&gt;0,SUM(DI11:DJ11,DL11:DN11,DP11)-SUM(DK11,DO11),"")</f>
        <v/>
      </c>
      <c r="DU11" s="12" t="str">
        <f>IF(SUM(DS11,DT11)&gt;0,SUM(DS11,DT11),"")</f>
        <v/>
      </c>
      <c r="DV11" s="45"/>
      <c r="DW11" s="45"/>
      <c r="DX11" s="45"/>
      <c r="DY11" s="45"/>
      <c r="DZ11" s="45"/>
      <c r="EA11" s="45"/>
      <c r="EB11" s="45"/>
      <c r="EC11" s="45"/>
      <c r="ED11" s="45"/>
      <c r="EE11" s="45"/>
      <c r="EF11" s="45"/>
      <c r="EG11" s="45"/>
      <c r="EH11" s="45"/>
      <c r="EI11" s="45"/>
      <c r="EJ11" s="45"/>
      <c r="EK11" s="45"/>
      <c r="EL11" s="15" t="str">
        <f>IF(SUM(DW11,EA11)&gt;0,SUM(DW11,EA11),"")</f>
        <v/>
      </c>
      <c r="EM11" s="15" t="str">
        <f>IF(SUM(DW11,EA11,EE11,EI11)&gt;0,SUM(DW11,EA11,EE11,EI11),"")</f>
        <v/>
      </c>
      <c r="EN11" s="15" t="str">
        <f>IF(SUM(DV11:DW11,DY11:EA11,EC11)-SUM(DX11,EB11)&gt;0,SUM(DV11:DW11,DY11:EA11,EC11)-SUM(DX11,EB11),"")</f>
        <v/>
      </c>
      <c r="EO11" s="15" t="str">
        <f>IF(SUM(ED11:EE11,EG11:EI11,EK11)-SUM(EF11,EJ11)&gt;0,SUM(ED11:EE11,EG11:EI11,EK11)-SUM(EF11,EJ11),"")</f>
        <v/>
      </c>
      <c r="EP11" s="15" t="str">
        <f>IF(SUM(EN11,EO11)&gt;0,SUM(EN11,EO11),"")</f>
        <v/>
      </c>
      <c r="EQ11" s="46"/>
      <c r="ER11" s="46"/>
      <c r="ES11" s="46"/>
      <c r="ET11" s="46"/>
      <c r="EU11" s="46"/>
      <c r="EV11" s="46"/>
      <c r="EW11" s="46"/>
      <c r="EX11" s="46"/>
      <c r="EY11" s="46"/>
      <c r="EZ11" s="46"/>
      <c r="FA11" s="46"/>
      <c r="FB11" s="46"/>
      <c r="FC11" s="46"/>
      <c r="FD11" s="46"/>
      <c r="FE11" s="46"/>
      <c r="FF11" s="46"/>
      <c r="FG11" s="12" t="str">
        <f>IF(SUM(ER11,EV11)&gt;0,SUM(ER11,EV11),"")</f>
        <v/>
      </c>
      <c r="FH11" s="12" t="str">
        <f>IF(SUM(ER11,EV11,EZ11,FD11)&gt;0,SUM(ER11,EV11,EZ11,FD11),"")</f>
        <v/>
      </c>
      <c r="FI11" s="12" t="str">
        <f>IF(SUM(EQ11:ER11,ET11:EV11,EX11)-SUM(ES11,EW11)&gt;0,SUM(EQ11:ER11,ET11:EV11,EX11)-SUM(ES11,EW11),"")</f>
        <v/>
      </c>
      <c r="FJ11" s="12" t="str">
        <f>IF(SUM(EY11:EZ11,FB11:FD11,FF11)-SUM(FA11,FE11)&gt;0,SUM(EY11:EZ11,FB11:FD11,FF11)-SUM(FA11,FE11),"")</f>
        <v/>
      </c>
      <c r="FK11" s="12" t="str">
        <f>IF(SUM(FI11,FJ11)&gt;0,SUM(FI11,FJ11),"")</f>
        <v/>
      </c>
      <c r="FL11" s="45"/>
      <c r="FM11" s="45"/>
      <c r="FN11" s="45"/>
      <c r="FO11" s="45"/>
      <c r="FP11" s="45"/>
      <c r="FQ11" s="45"/>
      <c r="FR11" s="45"/>
      <c r="FS11" s="45"/>
      <c r="FT11" s="45"/>
      <c r="FU11" s="45"/>
      <c r="FV11" s="45"/>
      <c r="FW11" s="45"/>
      <c r="FX11" s="45"/>
      <c r="FY11" s="45"/>
      <c r="FZ11" s="45"/>
      <c r="GA11" s="45"/>
      <c r="GB11" s="15" t="str">
        <f>IF(SUM(FM11,FQ11)&gt;0,SUM(FM11,FQ11),"")</f>
        <v/>
      </c>
      <c r="GC11" s="15" t="str">
        <f>IF(SUM(FM11,FQ11,FU11,FY11)&gt;0,SUM(FM11,FQ11,FU11,FY11),"")</f>
        <v/>
      </c>
      <c r="GD11" s="15" t="str">
        <f>IF(SUM(FL11:FM11,FO11:FQ11,FS11)-SUM(FN11,FR11)&gt;0,SUM(FL11:FM11,FO11:FQ11,FS11)-SUM(FN11,FR11),"")</f>
        <v/>
      </c>
      <c r="GE11" s="15" t="str">
        <f>IF(SUM(FT11:FU11,FW11:FY11,GA11)-SUM(FV11,FZ11)&gt;0,SUM(FT11:FU11,FW11:FY11,GA11)-SUM(FV11,FZ11),"")</f>
        <v/>
      </c>
      <c r="GF11" s="15" t="str">
        <f>IF(SUM(GD11,GE11)&gt;0,SUM(GD11,GE11),"")</f>
        <v/>
      </c>
      <c r="GG11" s="46"/>
      <c r="GH11" s="46"/>
      <c r="GI11" s="46"/>
      <c r="GJ11" s="46"/>
      <c r="GK11" s="46"/>
      <c r="GL11" s="46"/>
      <c r="GM11" s="46"/>
      <c r="GN11" s="46"/>
      <c r="GO11" s="46"/>
      <c r="GP11" s="46"/>
      <c r="GQ11" s="46"/>
      <c r="GR11" s="46"/>
      <c r="GS11" s="46"/>
      <c r="GT11" s="46"/>
      <c r="GU11" s="46"/>
      <c r="GV11" s="46"/>
      <c r="GW11" s="12" t="str">
        <f>IF(SUM(GH11,GL11)&gt;0,SUM(GH11,GL11),"")</f>
        <v/>
      </c>
      <c r="GX11" s="12" t="str">
        <f>IF(SUM(GH11,GL11,GP11,GT11)&gt;0,SUM(GH11,GL11,GP11,GT11),"")</f>
        <v/>
      </c>
      <c r="GY11" s="12" t="str">
        <f>IF(SUM(GG11:GH11,GJ11:GL11,GN11)-SUM(GI11,GM11)&gt;0,SUM(GG11:GH11,GJ11:GL11,GN11)-SUM(GI11,GM11),"")</f>
        <v/>
      </c>
      <c r="GZ11" s="12" t="str">
        <f>IF(SUM(GO11:GP11,GR11:GT11,GV11)-SUM(GQ11,GU11)&gt;0,SUM(GO11:GP11,GR11:GT11,GV11)-SUM(GQ11,GU11),"")</f>
        <v/>
      </c>
      <c r="HA11" s="12" t="str">
        <f>IF(SUM(GY11,GZ11)&gt;0,SUM(GY11,GZ11),"")</f>
        <v/>
      </c>
      <c r="HB11" s="45"/>
      <c r="HC11" s="45"/>
      <c r="HD11" s="45"/>
      <c r="HE11" s="45"/>
      <c r="HF11" s="45"/>
      <c r="HG11" s="45"/>
      <c r="HH11" s="45"/>
      <c r="HI11" s="45"/>
      <c r="HJ11" s="45"/>
      <c r="HK11" s="45"/>
      <c r="HL11" s="45"/>
      <c r="HM11" s="45"/>
      <c r="HN11" s="45"/>
      <c r="HO11" s="45"/>
      <c r="HP11" s="45"/>
      <c r="HQ11" s="45"/>
      <c r="HR11" s="15" t="str">
        <f>IF(SUM(HC11,HG11)&gt;0,SUM(HC11,HG11),"")</f>
        <v/>
      </c>
      <c r="HS11" s="15" t="str">
        <f>IF(SUM(HC11,HG11,HK11,HO11)&gt;0,SUM(HC11,HG11,HK11,HO11),"")</f>
        <v/>
      </c>
      <c r="HT11" s="15" t="str">
        <f>IF(SUM(HB11:HC11,HE11:HG11,HI11)-SUM(HD11,HH11)&gt;0,SUM(HB11:HC11,HE11:HG11,HI11)-SUM(HD11,HH11),"")</f>
        <v/>
      </c>
      <c r="HU11" s="15" t="str">
        <f>IF(SUM(HJ11:HK11,HM11:HO11,HQ11)-SUM(HL11,HP11)&gt;0,SUM(HJ11:HK11,HM11:HO11,HQ11)-SUM(HL11,HP11),"")</f>
        <v/>
      </c>
      <c r="HV11" s="15" t="str">
        <f>IF(SUM(HT11,HU11)&gt;0,SUM(HT11,HU11),"")</f>
        <v/>
      </c>
      <c r="HW11" s="46"/>
      <c r="HX11" s="46"/>
      <c r="HY11" s="46"/>
      <c r="HZ11" s="46"/>
      <c r="IA11" s="46"/>
      <c r="IB11" s="46"/>
      <c r="IC11" s="46"/>
      <c r="ID11" s="46"/>
      <c r="IE11" s="46"/>
      <c r="IF11" s="46"/>
      <c r="IG11" s="46"/>
      <c r="IH11" s="46"/>
      <c r="II11" s="46"/>
      <c r="IJ11" s="46"/>
      <c r="IK11" s="46"/>
      <c r="IL11" s="46"/>
      <c r="IM11" s="12" t="str">
        <f>IF(SUM(HX11,IB11)&gt;0,SUM(HX11,IB11),"")</f>
        <v/>
      </c>
      <c r="IN11" s="12" t="str">
        <f>IF(SUM(HX11,IB11,IF11,IJ11)&gt;0,SUM(HX11,IB11,IF11,IJ11),"")</f>
        <v/>
      </c>
      <c r="IO11" s="12" t="str">
        <f>IF(SUM(HW11:HX11,HZ11:IB11,ID11)-SUM(HY11,IC11)&gt;0,SUM(HW11:HX11,HZ11:IB11,ID11)-SUM(HY11,IC11),"")</f>
        <v/>
      </c>
      <c r="IP11" s="12" t="str">
        <f>IF(SUM(IE11:IF11,IH11:IJ11,IL11)-SUM(IG11,IK11)&gt;0,SUM(IE11:IF11,IH11:IJ11,IL11)-SUM(IG11,IK11),"")</f>
        <v/>
      </c>
      <c r="IQ11" s="12" t="str">
        <f>IF(SUM(IO11,IP11)&gt;0,SUM(IO11,IP11),"")</f>
        <v/>
      </c>
      <c r="IR11" s="45"/>
      <c r="IS11" s="45"/>
      <c r="IT11" s="45"/>
      <c r="IU11" s="45"/>
      <c r="IV11" s="45"/>
      <c r="IW11" s="45"/>
      <c r="IX11" s="45"/>
      <c r="IY11" s="45"/>
      <c r="IZ11" s="45"/>
      <c r="JA11" s="45"/>
      <c r="JB11" s="45"/>
      <c r="JC11" s="45"/>
      <c r="JD11" s="45"/>
      <c r="JE11" s="45"/>
      <c r="JF11" s="45"/>
      <c r="JG11" s="45"/>
      <c r="JH11" s="15" t="str">
        <f t="shared" si="70"/>
        <v/>
      </c>
      <c r="JI11" s="15" t="str">
        <f t="shared" si="71"/>
        <v/>
      </c>
      <c r="JJ11" s="15" t="str">
        <f t="shared" si="72"/>
        <v/>
      </c>
      <c r="JK11" s="15" t="str">
        <f t="shared" si="73"/>
        <v/>
      </c>
      <c r="JL11" s="15" t="str">
        <f t="shared" si="74"/>
        <v/>
      </c>
      <c r="JM11" s="46"/>
      <c r="JN11" s="46"/>
      <c r="JO11" s="46"/>
      <c r="JP11" s="46"/>
      <c r="JQ11" s="46"/>
      <c r="JR11" s="46"/>
      <c r="JS11" s="46"/>
      <c r="JT11" s="46"/>
      <c r="JU11" s="46"/>
      <c r="JV11" s="46"/>
      <c r="JW11" s="46"/>
      <c r="JX11" s="46"/>
      <c r="JY11" s="46"/>
      <c r="JZ11" s="46"/>
      <c r="KA11" s="46"/>
      <c r="KB11" s="46"/>
      <c r="KC11" s="12" t="str">
        <f t="shared" si="75"/>
        <v/>
      </c>
      <c r="KD11" s="12" t="str">
        <f t="shared" si="76"/>
        <v/>
      </c>
      <c r="KE11" s="12" t="str">
        <f t="shared" si="77"/>
        <v/>
      </c>
      <c r="KF11" s="12" t="str">
        <f t="shared" si="78"/>
        <v/>
      </c>
      <c r="KG11" s="12" t="str">
        <f t="shared" si="79"/>
        <v/>
      </c>
      <c r="KH11" s="45"/>
      <c r="KI11" s="45"/>
      <c r="KJ11" s="45"/>
      <c r="KK11" s="45"/>
      <c r="KL11" s="45"/>
      <c r="KM11" s="45"/>
      <c r="KN11" s="45"/>
      <c r="KO11" s="45"/>
      <c r="KP11" s="45"/>
      <c r="KQ11" s="45"/>
      <c r="KR11" s="45"/>
      <c r="KS11" s="45"/>
      <c r="KT11" s="45"/>
      <c r="KU11" s="45"/>
      <c r="KV11" s="45"/>
      <c r="KW11" s="45"/>
      <c r="KX11" s="15" t="str">
        <f t="shared" si="80"/>
        <v/>
      </c>
      <c r="KY11" s="15" t="str">
        <f t="shared" si="81"/>
        <v/>
      </c>
      <c r="KZ11" s="15" t="str">
        <f t="shared" si="82"/>
        <v/>
      </c>
      <c r="LA11" s="15" t="str">
        <f t="shared" si="83"/>
        <v/>
      </c>
      <c r="LB11" s="15" t="str">
        <f t="shared" si="84"/>
        <v/>
      </c>
      <c r="LC11" s="71">
        <f t="shared" si="91"/>
        <v>14.05</v>
      </c>
      <c r="LD11" s="71">
        <f t="shared" si="85"/>
        <v>2.8</v>
      </c>
      <c r="LE11" s="71">
        <f t="shared" si="85"/>
        <v>0</v>
      </c>
      <c r="LF11" s="71">
        <f t="shared" si="85"/>
        <v>0</v>
      </c>
      <c r="LG11" s="71">
        <f t="shared" si="85"/>
        <v>13.6</v>
      </c>
      <c r="LH11" s="71">
        <f t="shared" si="85"/>
        <v>3</v>
      </c>
      <c r="LI11" s="71">
        <f t="shared" si="85"/>
        <v>0</v>
      </c>
      <c r="LJ11" s="71">
        <f t="shared" si="85"/>
        <v>0</v>
      </c>
      <c r="LK11" s="71">
        <f t="shared" si="85"/>
        <v>0</v>
      </c>
      <c r="LL11" s="71">
        <f t="shared" si="85"/>
        <v>0</v>
      </c>
      <c r="LM11" s="71">
        <f t="shared" si="85"/>
        <v>0</v>
      </c>
      <c r="LN11" s="71">
        <f t="shared" si="85"/>
        <v>0</v>
      </c>
      <c r="LO11" s="71">
        <f t="shared" si="85"/>
        <v>0</v>
      </c>
      <c r="LP11" s="71">
        <f t="shared" si="85"/>
        <v>0</v>
      </c>
      <c r="LQ11" s="71">
        <f t="shared" si="85"/>
        <v>0</v>
      </c>
      <c r="LR11" s="71">
        <f t="shared" si="85"/>
        <v>0</v>
      </c>
      <c r="LS11" s="82" t="s">
        <v>100</v>
      </c>
      <c r="LT11" s="12">
        <f t="shared" si="92"/>
        <v>5.8</v>
      </c>
      <c r="LU11" s="12">
        <f t="shared" si="93"/>
        <v>5.8</v>
      </c>
      <c r="LV11" s="12">
        <f t="shared" si="94"/>
        <v>33.450000000000003</v>
      </c>
      <c r="LW11" s="12" t="str">
        <f t="shared" si="95"/>
        <v/>
      </c>
      <c r="LX11" s="12">
        <f t="shared" si="96"/>
        <v>33.450000000000003</v>
      </c>
    </row>
    <row r="12" spans="1:336" s="55" customFormat="1" x14ac:dyDescent="0.2">
      <c r="A12" s="8"/>
      <c r="B12" s="9"/>
      <c r="C12" s="5"/>
      <c r="D12" s="8"/>
      <c r="E12" s="104"/>
      <c r="F12" s="105"/>
      <c r="G12" s="105"/>
      <c r="H12" s="105"/>
      <c r="J12" s="56"/>
      <c r="K12" s="56"/>
      <c r="L12" s="56"/>
      <c r="M12" s="56"/>
      <c r="N12" s="56"/>
      <c r="O12" s="106"/>
      <c r="P12" s="56"/>
      <c r="Q12" s="107"/>
      <c r="R12" s="107"/>
      <c r="S12" s="107"/>
      <c r="T12" s="107"/>
      <c r="U12" s="107"/>
      <c r="V12" s="107"/>
      <c r="W12" s="107"/>
      <c r="X12" s="107"/>
      <c r="Y12" s="107"/>
      <c r="Z12" s="107"/>
      <c r="AA12" s="107"/>
      <c r="AB12" s="107"/>
      <c r="AC12" s="107"/>
      <c r="AD12" s="107"/>
      <c r="AE12" s="107"/>
      <c r="AF12" s="107"/>
      <c r="AG12" s="108"/>
      <c r="AH12" s="56"/>
      <c r="AI12" s="56"/>
      <c r="AJ12" s="56"/>
      <c r="AK12" s="56"/>
      <c r="AL12" s="56"/>
      <c r="AM12" s="109"/>
      <c r="AN12" s="109"/>
      <c r="AO12" s="109"/>
      <c r="AP12" s="109"/>
      <c r="AQ12" s="109"/>
      <c r="AR12" s="109"/>
      <c r="AS12" s="109"/>
      <c r="AT12" s="109"/>
      <c r="AU12" s="109"/>
      <c r="AV12" s="109"/>
      <c r="AW12" s="109"/>
      <c r="AX12" s="109"/>
      <c r="AY12" s="109"/>
      <c r="AZ12" s="109"/>
      <c r="BA12" s="109"/>
      <c r="BB12" s="109"/>
      <c r="BC12" s="108"/>
      <c r="BD12" s="56"/>
      <c r="BE12" s="56"/>
      <c r="BF12" s="56"/>
      <c r="BG12" s="56"/>
      <c r="BH12" s="56"/>
      <c r="BI12" s="56"/>
      <c r="BJ12" s="56"/>
      <c r="BK12" s="110"/>
      <c r="BL12" s="110"/>
      <c r="BM12" s="110"/>
      <c r="BN12" s="110"/>
      <c r="BO12" s="110"/>
      <c r="BP12" s="110"/>
      <c r="BQ12" s="110"/>
      <c r="BR12" s="110"/>
      <c r="BS12" s="110"/>
      <c r="BT12" s="110"/>
      <c r="BU12" s="110"/>
      <c r="BV12" s="110"/>
      <c r="BW12" s="110"/>
      <c r="BX12" s="110"/>
      <c r="BY12" s="110"/>
      <c r="BZ12" s="110"/>
      <c r="CA12" s="56"/>
      <c r="CB12" s="56"/>
      <c r="CC12" s="56"/>
      <c r="CD12" s="56"/>
      <c r="CE12" s="56"/>
      <c r="CF12" s="110"/>
      <c r="CG12" s="110"/>
      <c r="CH12" s="110"/>
      <c r="CI12" s="110"/>
      <c r="CJ12" s="110"/>
      <c r="CK12" s="110"/>
      <c r="CL12" s="110"/>
      <c r="CM12" s="110"/>
      <c r="CN12" s="110"/>
      <c r="CO12" s="110"/>
      <c r="CP12" s="110"/>
      <c r="CQ12" s="110"/>
      <c r="CR12" s="110"/>
      <c r="CS12" s="110"/>
      <c r="CT12" s="110"/>
      <c r="CU12" s="110"/>
      <c r="CV12" s="56"/>
      <c r="CW12" s="56"/>
      <c r="CX12" s="56"/>
      <c r="CY12" s="56"/>
      <c r="CZ12" s="56"/>
      <c r="DA12" s="110"/>
      <c r="DB12" s="110"/>
      <c r="DC12" s="110"/>
      <c r="DD12" s="110"/>
      <c r="DE12" s="110"/>
      <c r="DF12" s="110"/>
      <c r="DG12" s="110"/>
      <c r="DH12" s="110"/>
      <c r="DI12" s="110"/>
      <c r="DJ12" s="110"/>
      <c r="DK12" s="110"/>
      <c r="DL12" s="110"/>
      <c r="DM12" s="110"/>
      <c r="DN12" s="110"/>
      <c r="DO12" s="110"/>
      <c r="DP12" s="110"/>
      <c r="DQ12" s="56"/>
      <c r="DR12" s="56"/>
      <c r="DS12" s="56"/>
      <c r="DT12" s="56"/>
      <c r="DU12" s="56"/>
      <c r="DV12" s="110"/>
      <c r="DW12" s="110"/>
      <c r="DX12" s="110"/>
      <c r="DY12" s="110"/>
      <c r="DZ12" s="110"/>
      <c r="EA12" s="110"/>
      <c r="EB12" s="110"/>
      <c r="EC12" s="110"/>
      <c r="ED12" s="110"/>
      <c r="EE12" s="110"/>
      <c r="EF12" s="110"/>
      <c r="EG12" s="110"/>
      <c r="EH12" s="110"/>
      <c r="EI12" s="110"/>
      <c r="EJ12" s="110"/>
      <c r="EK12" s="110"/>
      <c r="EL12" s="56"/>
      <c r="EM12" s="56"/>
      <c r="EN12" s="56"/>
      <c r="EO12" s="56"/>
      <c r="EP12" s="56"/>
      <c r="EQ12" s="110"/>
      <c r="ER12" s="110"/>
      <c r="ES12" s="110"/>
      <c r="ET12" s="110"/>
      <c r="EU12" s="110"/>
      <c r="EV12" s="110"/>
      <c r="EW12" s="110"/>
      <c r="EX12" s="110"/>
      <c r="EY12" s="110"/>
      <c r="EZ12" s="110"/>
      <c r="FA12" s="110"/>
      <c r="FB12" s="110"/>
      <c r="FC12" s="110"/>
      <c r="FD12" s="110"/>
      <c r="FE12" s="110"/>
      <c r="FF12" s="110"/>
      <c r="FG12" s="56"/>
      <c r="FH12" s="56"/>
      <c r="FI12" s="56"/>
      <c r="FJ12" s="56"/>
      <c r="FK12" s="56"/>
      <c r="FL12" s="110"/>
      <c r="FM12" s="110"/>
      <c r="FN12" s="110"/>
      <c r="FO12" s="110"/>
      <c r="FP12" s="110"/>
      <c r="FQ12" s="110"/>
      <c r="FR12" s="110"/>
      <c r="FS12" s="110"/>
      <c r="FT12" s="110"/>
      <c r="FU12" s="110"/>
      <c r="FV12" s="110"/>
      <c r="FW12" s="110"/>
      <c r="FX12" s="110"/>
      <c r="FY12" s="110"/>
      <c r="FZ12" s="110"/>
      <c r="GA12" s="110"/>
      <c r="GB12" s="56"/>
      <c r="GC12" s="56"/>
      <c r="GD12" s="56"/>
      <c r="GE12" s="56"/>
      <c r="GF12" s="56"/>
      <c r="GG12" s="110"/>
      <c r="GH12" s="110"/>
      <c r="GI12" s="110"/>
      <c r="GJ12" s="110"/>
      <c r="GK12" s="110"/>
      <c r="GL12" s="110"/>
      <c r="GM12" s="110"/>
      <c r="GN12" s="110"/>
      <c r="GO12" s="110"/>
      <c r="GP12" s="110"/>
      <c r="GQ12" s="110"/>
      <c r="GR12" s="110"/>
      <c r="GS12" s="110"/>
      <c r="GT12" s="110"/>
      <c r="GU12" s="110"/>
      <c r="GV12" s="110"/>
      <c r="GW12" s="56"/>
      <c r="GX12" s="56"/>
      <c r="GY12" s="56"/>
      <c r="GZ12" s="56"/>
      <c r="HA12" s="56"/>
      <c r="HB12" s="110"/>
      <c r="HC12" s="110"/>
      <c r="HD12" s="110"/>
      <c r="HE12" s="110"/>
      <c r="HF12" s="110"/>
      <c r="HG12" s="110"/>
      <c r="HH12" s="110"/>
      <c r="HI12" s="110"/>
      <c r="HJ12" s="110"/>
      <c r="HK12" s="110"/>
      <c r="HL12" s="110"/>
      <c r="HM12" s="110"/>
      <c r="HN12" s="110"/>
      <c r="HO12" s="110"/>
      <c r="HP12" s="110"/>
      <c r="HQ12" s="110"/>
      <c r="HR12" s="56"/>
      <c r="HS12" s="56"/>
      <c r="HT12" s="56"/>
      <c r="HU12" s="56"/>
      <c r="HV12" s="56"/>
      <c r="HW12" s="110"/>
      <c r="HX12" s="110"/>
      <c r="HY12" s="110"/>
      <c r="HZ12" s="110"/>
      <c r="IA12" s="110"/>
      <c r="IB12" s="110"/>
      <c r="IC12" s="110"/>
      <c r="ID12" s="110"/>
      <c r="IE12" s="110"/>
      <c r="IF12" s="110"/>
      <c r="IG12" s="110"/>
      <c r="IH12" s="110"/>
      <c r="II12" s="110"/>
      <c r="IJ12" s="110"/>
      <c r="IK12" s="110"/>
      <c r="IL12" s="110"/>
      <c r="IM12" s="56"/>
      <c r="IN12" s="56"/>
      <c r="IO12" s="56"/>
      <c r="IP12" s="56"/>
      <c r="IQ12" s="56"/>
      <c r="IR12" s="110"/>
      <c r="IS12" s="110"/>
      <c r="IT12" s="110"/>
      <c r="IU12" s="110"/>
      <c r="IV12" s="110"/>
      <c r="IW12" s="110"/>
      <c r="IX12" s="110"/>
      <c r="IY12" s="110"/>
      <c r="IZ12" s="110"/>
      <c r="JA12" s="110"/>
      <c r="JB12" s="110"/>
      <c r="JC12" s="110"/>
      <c r="JD12" s="110"/>
      <c r="JE12" s="110"/>
      <c r="JF12" s="110"/>
      <c r="JG12" s="110"/>
      <c r="JH12" s="56"/>
      <c r="JI12" s="56"/>
      <c r="JJ12" s="56"/>
      <c r="JK12" s="56"/>
      <c r="JL12" s="56"/>
      <c r="JM12" s="110"/>
      <c r="JN12" s="110"/>
      <c r="JO12" s="110"/>
      <c r="JP12" s="110"/>
      <c r="JQ12" s="110"/>
      <c r="JR12" s="110"/>
      <c r="JS12" s="110"/>
      <c r="JT12" s="110"/>
      <c r="JU12" s="110"/>
      <c r="JV12" s="110"/>
      <c r="JW12" s="110"/>
      <c r="JX12" s="110"/>
      <c r="JY12" s="110"/>
      <c r="JZ12" s="110"/>
      <c r="KA12" s="110"/>
      <c r="KB12" s="110"/>
      <c r="KC12" s="56"/>
      <c r="KD12" s="56"/>
      <c r="KE12" s="56"/>
      <c r="KF12" s="56"/>
      <c r="KG12" s="56"/>
      <c r="KH12" s="110"/>
      <c r="KI12" s="110"/>
      <c r="KJ12" s="110"/>
      <c r="KK12" s="110"/>
      <c r="KL12" s="110"/>
      <c r="KM12" s="110"/>
      <c r="KN12" s="110"/>
      <c r="KO12" s="110"/>
      <c r="KP12" s="110"/>
      <c r="KQ12" s="110"/>
      <c r="KR12" s="110"/>
      <c r="KS12" s="110"/>
      <c r="KT12" s="110"/>
      <c r="KU12" s="110"/>
      <c r="KV12" s="110"/>
      <c r="KW12" s="110"/>
      <c r="KX12" s="56"/>
      <c r="KY12" s="56"/>
      <c r="KZ12" s="56"/>
      <c r="LA12" s="56"/>
      <c r="LB12" s="56"/>
    </row>
    <row r="13" spans="1:336" x14ac:dyDescent="0.2">
      <c r="AH13" s="56"/>
      <c r="AI13" s="56"/>
      <c r="BD13" s="56"/>
      <c r="BE13" s="56"/>
      <c r="CA13" s="56"/>
      <c r="CB13" s="56"/>
      <c r="CV13" s="56"/>
      <c r="CW13" s="56"/>
      <c r="DQ13" s="56"/>
      <c r="DR13" s="56"/>
      <c r="EL13" s="56"/>
      <c r="EM13" s="56"/>
      <c r="FG13" s="56"/>
      <c r="FH13" s="56"/>
      <c r="GB13" s="56"/>
      <c r="GC13" s="56"/>
      <c r="GW13" s="56"/>
      <c r="GX13" s="56"/>
      <c r="HR13" s="56"/>
      <c r="HS13" s="56"/>
      <c r="IM13" s="56"/>
      <c r="IN13" s="56"/>
      <c r="JH13" s="56"/>
      <c r="JI13" s="56"/>
      <c r="KC13" s="56"/>
      <c r="KD13" s="56"/>
      <c r="KX13" s="56"/>
      <c r="KY13" s="56"/>
    </row>
    <row r="14" spans="1:336" x14ac:dyDescent="0.2">
      <c r="B14" s="72" t="s">
        <v>85</v>
      </c>
      <c r="AH14" s="56"/>
      <c r="AI14" s="56"/>
      <c r="AK14" s="66">
        <v>11.6</v>
      </c>
      <c r="BD14" s="56"/>
      <c r="BE14" s="56"/>
      <c r="BG14" s="66">
        <v>11.6</v>
      </c>
      <c r="CA14" s="56"/>
      <c r="CB14" s="56"/>
      <c r="CD14" s="66">
        <v>11.2</v>
      </c>
      <c r="CV14" s="56"/>
      <c r="CW14" s="56"/>
      <c r="CY14" s="66">
        <v>22</v>
      </c>
      <c r="DQ14" s="56"/>
      <c r="DR14" s="56"/>
      <c r="DT14" s="66">
        <v>11.6</v>
      </c>
      <c r="EL14" s="56"/>
      <c r="EM14" s="56"/>
      <c r="EO14" s="66">
        <v>11.6</v>
      </c>
      <c r="FG14" s="56"/>
      <c r="FH14" s="56"/>
      <c r="FJ14" s="66">
        <v>11.6</v>
      </c>
      <c r="GB14" s="56"/>
      <c r="GC14" s="56"/>
      <c r="GE14" s="66">
        <v>11.6</v>
      </c>
      <c r="GW14" s="56"/>
      <c r="GX14" s="56"/>
      <c r="GZ14" s="66">
        <v>11.6</v>
      </c>
      <c r="HR14" s="56"/>
      <c r="HS14" s="56"/>
      <c r="HU14" s="66">
        <v>11.6</v>
      </c>
      <c r="IM14" s="56"/>
      <c r="IN14" s="56"/>
      <c r="IP14" s="66">
        <v>11.6</v>
      </c>
      <c r="JH14" s="56"/>
      <c r="JI14" s="56"/>
      <c r="JK14" s="66">
        <v>11.6</v>
      </c>
      <c r="KC14" s="56"/>
      <c r="KD14" s="56"/>
      <c r="KF14" s="66">
        <v>11.6</v>
      </c>
      <c r="KX14" s="56"/>
      <c r="KY14" s="56"/>
      <c r="LA14" s="66">
        <v>11.6</v>
      </c>
    </row>
    <row r="15" spans="1:336" x14ac:dyDescent="0.2">
      <c r="B15" s="99" t="s">
        <v>84</v>
      </c>
      <c r="AH15" s="56"/>
      <c r="AI15" s="56"/>
      <c r="AK15" s="101">
        <v>11.6</v>
      </c>
      <c r="BD15" s="56"/>
      <c r="BE15" s="56"/>
      <c r="BG15" s="101">
        <v>11.6</v>
      </c>
      <c r="CA15" s="56"/>
      <c r="CB15" s="56"/>
      <c r="CD15" s="101">
        <v>11.2</v>
      </c>
      <c r="CV15" s="56"/>
      <c r="CW15" s="56"/>
      <c r="CY15" s="101">
        <v>22</v>
      </c>
      <c r="DQ15" s="56"/>
      <c r="DR15" s="56"/>
      <c r="DT15" s="101">
        <v>11.6</v>
      </c>
      <c r="EL15" s="56"/>
      <c r="EM15" s="56"/>
      <c r="EO15" s="101">
        <v>11.6</v>
      </c>
      <c r="FG15" s="56"/>
      <c r="FH15" s="56"/>
      <c r="FJ15" s="101">
        <v>11.6</v>
      </c>
      <c r="GB15" s="56"/>
      <c r="GC15" s="56"/>
      <c r="GE15" s="101">
        <v>11.6</v>
      </c>
      <c r="GW15" s="56"/>
      <c r="GX15" s="56"/>
      <c r="GZ15" s="101">
        <v>11.6</v>
      </c>
      <c r="HR15" s="56"/>
      <c r="HS15" s="56"/>
      <c r="HU15" s="101">
        <v>11.6</v>
      </c>
      <c r="IM15" s="56"/>
      <c r="IN15" s="56"/>
      <c r="IP15" s="101">
        <v>11.6</v>
      </c>
      <c r="JH15" s="56"/>
      <c r="JI15" s="56"/>
      <c r="JK15" s="101">
        <v>11.6</v>
      </c>
      <c r="KC15" s="56"/>
      <c r="KD15" s="56"/>
      <c r="KF15" s="101">
        <v>11.6</v>
      </c>
      <c r="KX15" s="56"/>
      <c r="KY15" s="56"/>
      <c r="LA15" s="101">
        <v>11.6</v>
      </c>
    </row>
    <row r="16" spans="1:336" x14ac:dyDescent="0.2">
      <c r="A16" s="58"/>
      <c r="B16" s="100" t="s">
        <v>84</v>
      </c>
      <c r="C16" s="57"/>
      <c r="AK16" s="102">
        <v>22.8</v>
      </c>
      <c r="BG16" s="102">
        <v>22.8</v>
      </c>
      <c r="CD16" s="102">
        <v>22</v>
      </c>
      <c r="CY16" s="102">
        <v>22</v>
      </c>
      <c r="DT16" s="102">
        <v>22.8</v>
      </c>
      <c r="EO16" s="102">
        <v>22.8</v>
      </c>
      <c r="FJ16" s="102">
        <v>22.8</v>
      </c>
      <c r="GE16" s="102">
        <v>22.8</v>
      </c>
      <c r="GZ16" s="102">
        <v>22.8</v>
      </c>
      <c r="HU16" s="102">
        <v>22.8</v>
      </c>
      <c r="IP16" s="102">
        <v>22.8</v>
      </c>
      <c r="JK16" s="102">
        <v>22.8</v>
      </c>
      <c r="KF16" s="102">
        <v>22.8</v>
      </c>
      <c r="LA16" s="102">
        <v>22.8</v>
      </c>
    </row>
    <row r="17" spans="1:313" x14ac:dyDescent="0.2">
      <c r="A17" s="58"/>
      <c r="B17" s="73" t="s">
        <v>82</v>
      </c>
      <c r="C17" s="57"/>
      <c r="AK17" s="67">
        <v>67</v>
      </c>
      <c r="BG17" s="67">
        <v>67</v>
      </c>
      <c r="CD17" s="67">
        <v>68.5</v>
      </c>
      <c r="CY17" s="67">
        <v>130.5</v>
      </c>
      <c r="DT17" s="67">
        <v>67</v>
      </c>
      <c r="EO17" s="67">
        <v>67</v>
      </c>
      <c r="FJ17" s="67">
        <v>67</v>
      </c>
      <c r="GE17" s="67">
        <v>67</v>
      </c>
      <c r="GZ17" s="67">
        <v>67</v>
      </c>
      <c r="HU17" s="67">
        <v>67</v>
      </c>
      <c r="IP17" s="67">
        <v>67</v>
      </c>
      <c r="JK17" s="67">
        <v>67</v>
      </c>
      <c r="KF17" s="67">
        <v>67</v>
      </c>
      <c r="LA17" s="67">
        <v>67</v>
      </c>
    </row>
    <row r="18" spans="1:313" x14ac:dyDescent="0.2">
      <c r="A18" s="58"/>
      <c r="B18" s="74" t="s">
        <v>83</v>
      </c>
      <c r="C18" s="57"/>
      <c r="AH18" s="58"/>
      <c r="AI18" s="58"/>
      <c r="AK18" s="68">
        <v>68.2</v>
      </c>
      <c r="BD18" s="58"/>
      <c r="BE18" s="58"/>
      <c r="BG18" s="68">
        <v>68.2</v>
      </c>
      <c r="CA18" s="58"/>
      <c r="CB18" s="58"/>
      <c r="CD18" s="68">
        <v>68.5</v>
      </c>
      <c r="CV18" s="58"/>
      <c r="CW18" s="58"/>
      <c r="CY18" s="68">
        <v>132</v>
      </c>
      <c r="DQ18" s="58"/>
      <c r="DR18" s="58"/>
      <c r="DT18" s="68">
        <v>68.2</v>
      </c>
      <c r="EL18" s="58"/>
      <c r="EM18" s="58"/>
      <c r="EO18" s="68">
        <v>68.2</v>
      </c>
      <c r="FG18" s="58"/>
      <c r="FH18" s="58"/>
      <c r="FJ18" s="68">
        <v>68.2</v>
      </c>
      <c r="GB18" s="58"/>
      <c r="GC18" s="58"/>
      <c r="GE18" s="68">
        <v>68.2</v>
      </c>
      <c r="GW18" s="58"/>
      <c r="GX18" s="58"/>
      <c r="GZ18" s="68">
        <v>68.2</v>
      </c>
      <c r="HR18" s="58"/>
      <c r="HS18" s="58"/>
      <c r="HU18" s="68">
        <v>68.2</v>
      </c>
      <c r="IM18" s="58"/>
      <c r="IN18" s="58"/>
      <c r="IP18" s="68">
        <v>68.2</v>
      </c>
      <c r="JH18" s="58"/>
      <c r="JI18" s="58"/>
      <c r="JK18" s="68">
        <v>68.2</v>
      </c>
      <c r="KC18" s="58"/>
      <c r="KD18" s="58"/>
      <c r="KF18" s="68">
        <v>68.2</v>
      </c>
      <c r="KX18" s="58"/>
      <c r="KY18" s="58"/>
      <c r="LA18" s="68">
        <v>68.2</v>
      </c>
    </row>
    <row r="19" spans="1:313" x14ac:dyDescent="0.2">
      <c r="A19" s="58"/>
      <c r="B19" s="75" t="s">
        <v>151</v>
      </c>
      <c r="C19" s="57"/>
      <c r="AH19" s="58"/>
      <c r="AI19" s="58"/>
      <c r="AK19" s="69">
        <v>135.80000000000001</v>
      </c>
      <c r="BD19" s="58"/>
      <c r="BE19" s="58"/>
      <c r="BG19" s="69">
        <v>135.80000000000001</v>
      </c>
      <c r="CA19" s="58"/>
      <c r="CB19" s="58"/>
      <c r="CD19" s="69">
        <v>134</v>
      </c>
      <c r="CV19" s="58"/>
      <c r="CW19" s="58"/>
      <c r="CY19" s="69">
        <v>134</v>
      </c>
      <c r="DQ19" s="58"/>
      <c r="DR19" s="58"/>
      <c r="DT19" s="69">
        <v>135.80000000000001</v>
      </c>
      <c r="EL19" s="58"/>
      <c r="EM19" s="58"/>
      <c r="EO19" s="69">
        <v>135.80000000000001</v>
      </c>
      <c r="FG19" s="58"/>
      <c r="FH19" s="58"/>
      <c r="FJ19" s="69">
        <v>135.80000000000001</v>
      </c>
      <c r="GB19" s="58"/>
      <c r="GC19" s="58"/>
      <c r="GE19" s="69">
        <v>135.80000000000001</v>
      </c>
      <c r="GW19" s="58"/>
      <c r="GX19" s="58"/>
      <c r="GZ19" s="69">
        <v>135.80000000000001</v>
      </c>
      <c r="HR19" s="58"/>
      <c r="HS19" s="58"/>
      <c r="HU19" s="69">
        <v>135.80000000000001</v>
      </c>
      <c r="IM19" s="58"/>
      <c r="IN19" s="58"/>
      <c r="IP19" s="69">
        <v>135.80000000000001</v>
      </c>
      <c r="JH19" s="58"/>
      <c r="JI19" s="58"/>
      <c r="JK19" s="69">
        <v>135.80000000000001</v>
      </c>
      <c r="KC19" s="58"/>
      <c r="KD19" s="58"/>
      <c r="KF19" s="69">
        <v>135.80000000000001</v>
      </c>
      <c r="KX19" s="58"/>
      <c r="KY19" s="58"/>
      <c r="LA19" s="69">
        <v>135.80000000000001</v>
      </c>
    </row>
    <row r="20" spans="1:313" x14ac:dyDescent="0.2">
      <c r="A20" s="58"/>
      <c r="B20" s="76" t="s">
        <v>64</v>
      </c>
      <c r="C20" s="57"/>
      <c r="AH20" s="58"/>
      <c r="AI20" s="58"/>
      <c r="AK20" s="70">
        <v>136.69999999999999</v>
      </c>
      <c r="BD20" s="58"/>
      <c r="BE20" s="58"/>
      <c r="BG20" s="70">
        <v>136.69999999999999</v>
      </c>
      <c r="CA20" s="58"/>
      <c r="CB20" s="58"/>
      <c r="CD20" s="70">
        <v>137</v>
      </c>
      <c r="CV20" s="58"/>
      <c r="CW20" s="58"/>
      <c r="CY20" s="70">
        <v>137</v>
      </c>
      <c r="DQ20" s="58"/>
      <c r="DR20" s="58"/>
      <c r="DT20" s="70">
        <v>136.69999999999999</v>
      </c>
      <c r="EL20" s="58"/>
      <c r="EM20" s="58"/>
      <c r="EO20" s="70">
        <v>136.69999999999999</v>
      </c>
      <c r="FG20" s="58"/>
      <c r="FH20" s="58"/>
      <c r="FJ20" s="70">
        <v>136.69999999999999</v>
      </c>
      <c r="GB20" s="58"/>
      <c r="GC20" s="58"/>
      <c r="GE20" s="70">
        <v>136.69999999999999</v>
      </c>
      <c r="GW20" s="58"/>
      <c r="GX20" s="58"/>
      <c r="GZ20" s="70">
        <v>136.69999999999999</v>
      </c>
      <c r="HR20" s="58"/>
      <c r="HS20" s="58"/>
      <c r="HU20" s="70">
        <v>136.69999999999999</v>
      </c>
      <c r="IM20" s="58"/>
      <c r="IN20" s="58"/>
      <c r="IP20" s="70">
        <v>136.69999999999999</v>
      </c>
      <c r="JH20" s="58"/>
      <c r="JI20" s="58"/>
      <c r="JK20" s="70">
        <v>136.69999999999999</v>
      </c>
      <c r="KC20" s="58"/>
      <c r="KD20" s="58"/>
      <c r="KF20" s="70">
        <v>136.69999999999999</v>
      </c>
      <c r="KX20" s="58"/>
      <c r="KY20" s="58"/>
      <c r="LA20" s="70">
        <v>136.69999999999999</v>
      </c>
    </row>
    <row r="21" spans="1:313" x14ac:dyDescent="0.2">
      <c r="B21" s="84" t="s">
        <v>101</v>
      </c>
      <c r="C21" s="3"/>
      <c r="AH21" s="58"/>
      <c r="AI21" s="58"/>
      <c r="BD21" s="58"/>
      <c r="BE21" s="58"/>
      <c r="CA21" s="58"/>
      <c r="CB21" s="58"/>
      <c r="CC21" s="7"/>
      <c r="CD21" t="s">
        <v>156</v>
      </c>
      <c r="CV21" s="58"/>
      <c r="CW21" s="58"/>
      <c r="DQ21" s="58"/>
      <c r="DR21" s="58"/>
      <c r="EL21" s="58"/>
      <c r="EM21" s="58"/>
      <c r="FG21" s="58"/>
      <c r="FH21" s="58"/>
      <c r="GB21" s="58"/>
      <c r="GC21" s="58"/>
      <c r="GW21" s="58"/>
      <c r="GX21" s="58"/>
      <c r="HR21" s="58"/>
      <c r="HS21" s="58"/>
      <c r="IM21" s="58"/>
      <c r="IN21" s="58"/>
      <c r="JH21" s="58"/>
      <c r="JI21" s="58"/>
      <c r="JJ21" s="7"/>
      <c r="KC21" s="58"/>
      <c r="KD21" s="58"/>
      <c r="KX21" s="58"/>
      <c r="KY21" s="58"/>
    </row>
    <row r="22" spans="1:313" x14ac:dyDescent="0.2">
      <c r="A22" s="58"/>
      <c r="B22" s="58"/>
      <c r="C22" s="57"/>
      <c r="AH22" s="58"/>
      <c r="AI22" s="58"/>
      <c r="BD22" s="58"/>
      <c r="BE22" s="58"/>
      <c r="CA22" s="58"/>
      <c r="CB22" s="58"/>
      <c r="CV22" s="58"/>
      <c r="CW22" s="58"/>
      <c r="DQ22" s="58"/>
      <c r="DR22" s="58"/>
      <c r="EL22" s="58"/>
      <c r="EM22" s="58"/>
      <c r="FG22" s="58"/>
      <c r="FH22" s="58"/>
      <c r="GB22" s="58"/>
      <c r="GC22" s="58"/>
      <c r="GW22" s="58"/>
      <c r="GX22" s="58"/>
      <c r="HR22" s="58"/>
      <c r="HS22" s="58"/>
      <c r="IM22" s="58"/>
      <c r="IN22" s="58"/>
      <c r="JH22" s="58"/>
      <c r="JI22" s="58"/>
      <c r="KC22" s="58"/>
      <c r="KD22" s="58"/>
      <c r="KX22" s="58"/>
      <c r="KY22" s="58"/>
    </row>
    <row r="23" spans="1:313" x14ac:dyDescent="0.2">
      <c r="A23" s="58"/>
      <c r="B23" s="58"/>
      <c r="C23" s="57"/>
      <c r="AH23" s="58"/>
      <c r="AI23" s="58"/>
      <c r="BD23" s="58"/>
      <c r="BE23" s="58"/>
      <c r="CA23" s="58"/>
      <c r="CB23" s="58"/>
      <c r="CV23" s="58"/>
      <c r="CW23" s="58"/>
      <c r="DQ23" s="58"/>
      <c r="DR23" s="58"/>
      <c r="EL23" s="58"/>
      <c r="EM23" s="58"/>
      <c r="FG23" s="58"/>
      <c r="FH23" s="58"/>
      <c r="GB23" s="58"/>
      <c r="GC23" s="58"/>
      <c r="GW23" s="58"/>
      <c r="GX23" s="58"/>
      <c r="HR23" s="58"/>
      <c r="HS23" s="58"/>
      <c r="IM23" s="58"/>
      <c r="IN23" s="58"/>
      <c r="JH23" s="58"/>
      <c r="JI23" s="58"/>
      <c r="KC23" s="58"/>
      <c r="KD23" s="58"/>
      <c r="KX23" s="58"/>
      <c r="KY23" s="58"/>
    </row>
    <row r="24" spans="1:313" x14ac:dyDescent="0.2">
      <c r="A24" s="58"/>
      <c r="B24" s="58"/>
      <c r="C24" s="57"/>
    </row>
  </sheetData>
  <sheetProtection sheet="1" formatCells="0" formatColumns="0" formatRows="0"/>
  <autoFilter ref="A1:LB1" xr:uid="{39E202D5-9E50-D84C-9698-E2E5C20E9023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sortState xmlns:xlrd2="http://schemas.microsoft.com/office/spreadsheetml/2017/richdata2" ref="A6:LB11">
      <sortCondition descending="1" ref="F1:F21"/>
    </sortState>
  </autoFilter>
  <mergeCells count="92">
    <mergeCell ref="F1:F3"/>
    <mergeCell ref="A1:A3"/>
    <mergeCell ref="B1:B3"/>
    <mergeCell ref="C1:C3"/>
    <mergeCell ref="D1:D3"/>
    <mergeCell ref="E1:E3"/>
    <mergeCell ref="AM1:BH1"/>
    <mergeCell ref="G1:G3"/>
    <mergeCell ref="H1:H3"/>
    <mergeCell ref="I1:I3"/>
    <mergeCell ref="J1:J3"/>
    <mergeCell ref="K1:K3"/>
    <mergeCell ref="L1:L3"/>
    <mergeCell ref="M1:M3"/>
    <mergeCell ref="N1:N3"/>
    <mergeCell ref="O1:O3"/>
    <mergeCell ref="P1:P3"/>
    <mergeCell ref="Q1:AL1"/>
    <mergeCell ref="JM1:KG1"/>
    <mergeCell ref="BI1:BJ1"/>
    <mergeCell ref="BK1:CE1"/>
    <mergeCell ref="CF1:CZ1"/>
    <mergeCell ref="DA1:DU1"/>
    <mergeCell ref="DV1:EP1"/>
    <mergeCell ref="EQ1:FK1"/>
    <mergeCell ref="CN2:CQ2"/>
    <mergeCell ref="KH1:LB1"/>
    <mergeCell ref="Q2:T2"/>
    <mergeCell ref="U2:X2"/>
    <mergeCell ref="Y2:AB2"/>
    <mergeCell ref="AC2:AF2"/>
    <mergeCell ref="AM2:AP2"/>
    <mergeCell ref="AQ2:AT2"/>
    <mergeCell ref="AU2:AX2"/>
    <mergeCell ref="AY2:BB2"/>
    <mergeCell ref="BK2:BN2"/>
    <mergeCell ref="FL1:GF1"/>
    <mergeCell ref="GG1:HA1"/>
    <mergeCell ref="HB1:HV1"/>
    <mergeCell ref="HW1:IQ1"/>
    <mergeCell ref="IR1:JL1"/>
    <mergeCell ref="BO2:BR2"/>
    <mergeCell ref="BS2:BV2"/>
    <mergeCell ref="BW2:BZ2"/>
    <mergeCell ref="CF2:CI2"/>
    <mergeCell ref="CJ2:CM2"/>
    <mergeCell ref="EY2:FB2"/>
    <mergeCell ref="CR2:CU2"/>
    <mergeCell ref="DA2:DD2"/>
    <mergeCell ref="DE2:DH2"/>
    <mergeCell ref="DI2:DL2"/>
    <mergeCell ref="DM2:DP2"/>
    <mergeCell ref="DV2:DY2"/>
    <mergeCell ref="DZ2:EC2"/>
    <mergeCell ref="ED2:EG2"/>
    <mergeCell ref="EH2:EK2"/>
    <mergeCell ref="EQ2:ET2"/>
    <mergeCell ref="EU2:EX2"/>
    <mergeCell ref="HJ2:HM2"/>
    <mergeCell ref="FC2:FF2"/>
    <mergeCell ref="FL2:FO2"/>
    <mergeCell ref="FP2:FS2"/>
    <mergeCell ref="FT2:FW2"/>
    <mergeCell ref="FX2:GA2"/>
    <mergeCell ref="GG2:GJ2"/>
    <mergeCell ref="GK2:GN2"/>
    <mergeCell ref="GO2:GR2"/>
    <mergeCell ref="GS2:GV2"/>
    <mergeCell ref="HB2:HE2"/>
    <mergeCell ref="HF2:HI2"/>
    <mergeCell ref="JU2:JX2"/>
    <mergeCell ref="HN2:HQ2"/>
    <mergeCell ref="HW2:HZ2"/>
    <mergeCell ref="IA2:ID2"/>
    <mergeCell ref="IE2:IH2"/>
    <mergeCell ref="II2:IL2"/>
    <mergeCell ref="IR2:IU2"/>
    <mergeCell ref="IV2:IY2"/>
    <mergeCell ref="IZ2:JC2"/>
    <mergeCell ref="JD2:JG2"/>
    <mergeCell ref="JM2:JP2"/>
    <mergeCell ref="JQ2:JT2"/>
    <mergeCell ref="JY2:KB2"/>
    <mergeCell ref="KH2:KK2"/>
    <mergeCell ref="KL2:KO2"/>
    <mergeCell ref="KP2:KS2"/>
    <mergeCell ref="KT2:KW2"/>
    <mergeCell ref="LC1:LX1"/>
    <mergeCell ref="LC2:LF2"/>
    <mergeCell ref="LG2:LJ2"/>
    <mergeCell ref="LK2:LN2"/>
    <mergeCell ref="LO2:LR2"/>
  </mergeCells>
  <conditionalFormatting sqref="A1:A1048576">
    <cfRule type="expression" dxfId="24" priority="57">
      <formula>AND(H1="P",F1="")</formula>
    </cfRule>
  </conditionalFormatting>
  <conditionalFormatting sqref="I12:I1048576">
    <cfRule type="containsText" dxfId="23" priority="55" operator="containsText" text="No DD">
      <formula>NOT(ISERROR(SEARCH("No DD",I12)))</formula>
    </cfRule>
  </conditionalFormatting>
  <conditionalFormatting sqref="K1:K1048576 M1:M1048576">
    <cfRule type="expression" dxfId="22" priority="76">
      <formula>IF(K1=$AM$1,1,0)</formula>
    </cfRule>
    <cfRule type="expression" dxfId="21" priority="77">
      <formula>IF(K1=$Q$1,1,0)</formula>
    </cfRule>
  </conditionalFormatting>
  <conditionalFormatting sqref="AM4:BH12">
    <cfRule type="expression" dxfId="20" priority="78">
      <formula>IF($BC4&lt;&gt;"",1,0)</formula>
    </cfRule>
  </conditionalFormatting>
  <conditionalFormatting sqref="Q4:AL12">
    <cfRule type="expression" dxfId="19" priority="56">
      <formula>IF($AG4&lt;&gt;"",1,0)</formula>
    </cfRule>
  </conditionalFormatting>
  <conditionalFormatting sqref="I1:I1048576">
    <cfRule type="containsText" dxfId="18" priority="1" operator="containsText" text="No DD">
      <formula>NOT(ISERROR(SEARCH("No DD",I1)))</formula>
    </cfRule>
    <cfRule type="containsText" dxfId="17" priority="2" operator="containsText" text="Merit">
      <formula>NOT(ISERROR(SEARCH("Merit",I1)))</formula>
    </cfRule>
    <cfRule type="containsText" dxfId="16" priority="3" operator="containsText" text="Excellence">
      <formula>NOT(ISERROR(SEARCH("Excellence",I1)))</formula>
    </cfRule>
    <cfRule type="containsText" dxfId="15" priority="4" operator="containsText" text="Worlds Team">
      <formula>NOT(ISERROR(SEARCH("Worlds Team",I1)))</formula>
    </cfRule>
    <cfRule type="containsText" dxfId="14" priority="5" operator="containsText" text="National Team">
      <formula>NOT(ISERROR(SEARCH("National Team",I1)))</formula>
    </cfRule>
  </conditionalFormatting>
  <conditionalFormatting sqref="JJ1:JJ1048576 KE1:KE1048576 KZ1:KZ1048576 CC1:CC1048576 CX1:CX1048576 DS1:DS1048576 EN1:EN1048576 FI1:FI1048576 GD1:GD1048576 GY1:GY1048576 HT1:HT1048576 IO1:IO1048576">
    <cfRule type="expression" dxfId="13" priority="17536">
      <formula>IF(AND(CC1&gt;=CD$18,CC1&lt;CD$19),1,0)</formula>
    </cfRule>
    <cfRule type="expression" dxfId="12" priority="17537">
      <formula>IF(AND(CC1&gt;=CD$17,CC1&lt;CD$18),1,0)</formula>
    </cfRule>
  </conditionalFormatting>
  <conditionalFormatting sqref="CE1:CE1048576 CZ1:CZ1048576 DU1:DU1048576 EP1:EP1048576 FK1:FK1048576 GF1:GF1048576 HA1:HA1048576 HV1:HV1048576 IQ1:IQ1048576 JL1:JL1048576 KG1:KG1048576 LB1:LB1048576">
    <cfRule type="expression" dxfId="11" priority="17608">
      <formula>IF(AND(CE1&gt;=CD$20,CE1&lt;1000),1,0)</formula>
    </cfRule>
    <cfRule type="expression" dxfId="10" priority="17609">
      <formula>IF(AND(CE1&gt;=CD$19,CE1&lt;CD$20),1,0)</formula>
    </cfRule>
  </conditionalFormatting>
  <conditionalFormatting sqref="CB1:CB1048576 CW1:CW1048576 DR1:DR1048576 EM1:EM1048576 FH1:FH1048576 GC1:GC1048576 GX1:GX1048576 HS1:HS1048576 IN1:IN1048576 JI1:JI1048576 KD1:KD1048576 KY1:KY1048576">
    <cfRule type="expression" dxfId="9" priority="17680">
      <formula>IF(AND(CB1&gt;=CD$16,CB1&lt;1000),1,0)</formula>
    </cfRule>
  </conditionalFormatting>
  <conditionalFormatting sqref="CA1:CA1048576 CV1:CV1048576 DQ1:DQ1048576 EL1:EL1048576 FG1:FG1048576 GB1:GB1048576 GW1:GW1048576 HR1:HR1048576 IM1:IM1048576 JH1:JH1048576 KC1:KC1048576 KX1:KX1048576">
    <cfRule type="expression" dxfId="8" priority="17716">
      <formula>IF(AND(CA1&gt;=CD$15,CA1&lt;1000),1,0)</formula>
    </cfRule>
    <cfRule type="expression" dxfId="7" priority="17717">
      <formula>IF(AND(CA1&gt;=CD$14,CA1&lt;CD$15),1,0)</formula>
    </cfRule>
  </conditionalFormatting>
  <conditionalFormatting sqref="AH1:AH1048576 BD1:BD1048576">
    <cfRule type="expression" dxfId="6" priority="17788">
      <formula>IF(AND(AH1&gt;=AK$15,AH1&lt;1000,AG1=""),1,0)</formula>
    </cfRule>
    <cfRule type="expression" dxfId="5" priority="17789">
      <formula>IF(AND(AH1&gt;=AK$14,AH1&lt;AK$15,AG1=""),1,0)</formula>
    </cfRule>
  </conditionalFormatting>
  <conditionalFormatting sqref="BF1:BF1048576 AJ1:AJ1048576">
    <cfRule type="expression" dxfId="4" priority="17800">
      <formula>IF(AND(AJ1&gt;=AK$18,AJ1&lt;AK$19,AG1=""),1,0)</formula>
    </cfRule>
    <cfRule type="expression" dxfId="3" priority="17801">
      <formula>IF(AND(AJ1&gt;=AK$17,AJ1&lt;AK$18,AG1=""),1,0)</formula>
    </cfRule>
  </conditionalFormatting>
  <conditionalFormatting sqref="BH1:BH1048576 AL1:AL1048576">
    <cfRule type="expression" dxfId="2" priority="17812">
      <formula>IF(AND(AL1&gt;=AK$20,AL1&lt;1000,AG1=""),1,0)</formula>
    </cfRule>
    <cfRule type="expression" dxfId="1" priority="17813">
      <formula>IF(AND(AL1&gt;=AK$19,AL1&lt;AK$20,AG1=""),1,0)</formula>
    </cfRule>
  </conditionalFormatting>
  <conditionalFormatting sqref="AI1:AI1048576 BE1:BE1048576">
    <cfRule type="expression" dxfId="0" priority="17824">
      <formula>IF(AND(AI1&gt;=AK$16,AI1&lt;1000,AG1=""),1,0)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2019-10-24T20:00:45Z</dcterms:modified>
</cp:coreProperties>
</file>