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F8048CC-FF53-804A-BCB9-232360FACB66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D26" i="21" l="1"/>
  <c r="SC26" i="21"/>
  <c r="SA26" i="21"/>
  <c r="RZ26" i="21"/>
  <c r="RY26" i="21"/>
  <c r="SE26" i="21" s="1"/>
  <c r="RX26" i="21"/>
  <c r="SD25" i="21"/>
  <c r="SC25" i="21"/>
  <c r="SA25" i="21"/>
  <c r="RZ25" i="21"/>
  <c r="RY25" i="21"/>
  <c r="RX25" i="21"/>
  <c r="SD24" i="21"/>
  <c r="SC24" i="21"/>
  <c r="SA24" i="21"/>
  <c r="RZ24" i="21"/>
  <c r="RY24" i="21"/>
  <c r="RX24" i="21"/>
  <c r="SD23" i="21"/>
  <c r="SC23" i="21"/>
  <c r="SA23" i="21"/>
  <c r="RZ23" i="21"/>
  <c r="RY23" i="21"/>
  <c r="SB23" i="21" s="1"/>
  <c r="RX23" i="21"/>
  <c r="SD22" i="21"/>
  <c r="SC22" i="21"/>
  <c r="SA22" i="21"/>
  <c r="RZ22" i="21"/>
  <c r="RY22" i="21"/>
  <c r="RX22" i="21"/>
  <c r="SD21" i="21"/>
  <c r="SC21" i="21"/>
  <c r="SA21" i="21"/>
  <c r="RZ21" i="21"/>
  <c r="RY21" i="21"/>
  <c r="SB21" i="21" s="1"/>
  <c r="RX21" i="21"/>
  <c r="SD20" i="21"/>
  <c r="SC20" i="21"/>
  <c r="SA20" i="21"/>
  <c r="RZ20" i="21"/>
  <c r="RY20" i="21"/>
  <c r="SE20" i="21" s="1"/>
  <c r="RX20" i="21"/>
  <c r="SD19" i="21"/>
  <c r="SC19" i="21"/>
  <c r="SA19" i="21"/>
  <c r="RZ19" i="21"/>
  <c r="RY19" i="21"/>
  <c r="SE19" i="21" s="1"/>
  <c r="RX19" i="21"/>
  <c r="SD18" i="21"/>
  <c r="SC18" i="21"/>
  <c r="SA18" i="21"/>
  <c r="RZ18" i="21"/>
  <c r="RY18" i="21"/>
  <c r="RX18" i="21"/>
  <c r="SD17" i="21"/>
  <c r="SC17" i="21"/>
  <c r="SA17" i="21"/>
  <c r="RZ17" i="21"/>
  <c r="RY17" i="21"/>
  <c r="RX17" i="21"/>
  <c r="SD15" i="21"/>
  <c r="SC15" i="21"/>
  <c r="SA15" i="21"/>
  <c r="RZ15" i="21"/>
  <c r="RY15" i="21"/>
  <c r="SB15" i="21" s="1"/>
  <c r="RX15" i="21"/>
  <c r="SD14" i="21"/>
  <c r="SC14" i="21"/>
  <c r="SA14" i="21"/>
  <c r="RZ14" i="21"/>
  <c r="RY14" i="21"/>
  <c r="RX14" i="21"/>
  <c r="SD16" i="21"/>
  <c r="SC16" i="21"/>
  <c r="SA16" i="21"/>
  <c r="RZ16" i="21"/>
  <c r="RY16" i="21"/>
  <c r="SB16" i="21" s="1"/>
  <c r="RX16" i="21"/>
  <c r="SD13" i="21"/>
  <c r="SC13" i="21"/>
  <c r="SA13" i="21"/>
  <c r="RZ13" i="21"/>
  <c r="RY13" i="21"/>
  <c r="RX13" i="21"/>
  <c r="SD8" i="21"/>
  <c r="SC8" i="21"/>
  <c r="SA8" i="21"/>
  <c r="RZ8" i="21"/>
  <c r="RY8" i="21"/>
  <c r="SE8" i="21" s="1"/>
  <c r="RX8" i="21"/>
  <c r="SD11" i="21"/>
  <c r="SC11" i="21"/>
  <c r="SA11" i="21"/>
  <c r="RZ11" i="21"/>
  <c r="RY11" i="21"/>
  <c r="RX11" i="21"/>
  <c r="SD10" i="21"/>
  <c r="SC10" i="21"/>
  <c r="SA10" i="21"/>
  <c r="RZ10" i="21"/>
  <c r="RY10" i="21"/>
  <c r="RX10" i="21"/>
  <c r="SD9" i="21"/>
  <c r="SC9" i="21"/>
  <c r="SA9" i="21"/>
  <c r="RZ9" i="21"/>
  <c r="RY9" i="21"/>
  <c r="SB9" i="21" s="1"/>
  <c r="RX9" i="21"/>
  <c r="SD12" i="21"/>
  <c r="SC12" i="21"/>
  <c r="SA12" i="21"/>
  <c r="RZ12" i="21"/>
  <c r="RY12" i="21"/>
  <c r="RX12" i="21"/>
  <c r="SD7" i="21"/>
  <c r="SC7" i="21"/>
  <c r="SA7" i="21"/>
  <c r="RZ7" i="21"/>
  <c r="RY7" i="21"/>
  <c r="SB7" i="21" s="1"/>
  <c r="RX7" i="21"/>
  <c r="SD6" i="21"/>
  <c r="SC6" i="21"/>
  <c r="SA6" i="21"/>
  <c r="RZ6" i="21"/>
  <c r="RY6" i="21"/>
  <c r="RX6" i="21"/>
  <c r="SD5" i="21"/>
  <c r="SC5" i="21"/>
  <c r="SA5" i="21"/>
  <c r="RZ5" i="21"/>
  <c r="RY5" i="21"/>
  <c r="SE5" i="21" s="1"/>
  <c r="RX5" i="21"/>
  <c r="SD4" i="21"/>
  <c r="SC4" i="21"/>
  <c r="SA4" i="21"/>
  <c r="RZ4" i="21"/>
  <c r="RY4" i="21"/>
  <c r="RX4" i="21"/>
  <c r="RB26" i="21"/>
  <c r="RA26" i="21"/>
  <c r="QY26" i="21"/>
  <c r="QX26" i="21"/>
  <c r="QW26" i="21"/>
  <c r="QV26" i="21"/>
  <c r="RB25" i="21"/>
  <c r="RA25" i="21"/>
  <c r="QY25" i="21"/>
  <c r="QX25" i="21"/>
  <c r="QW25" i="21"/>
  <c r="QV25" i="21"/>
  <c r="RB24" i="21"/>
  <c r="RA24" i="21"/>
  <c r="QY24" i="21"/>
  <c r="QX24" i="21"/>
  <c r="QW24" i="21"/>
  <c r="QV24" i="21"/>
  <c r="RB23" i="21"/>
  <c r="RA23" i="21"/>
  <c r="QY23" i="21"/>
  <c r="QX23" i="21"/>
  <c r="QW23" i="21"/>
  <c r="QZ23" i="21" s="1"/>
  <c r="QV23" i="21"/>
  <c r="RB22" i="21"/>
  <c r="RA22" i="21"/>
  <c r="QY22" i="21"/>
  <c r="QX22" i="21"/>
  <c r="QW22" i="21"/>
  <c r="QV22" i="21"/>
  <c r="RB21" i="21"/>
  <c r="RA21" i="21"/>
  <c r="QY21" i="21"/>
  <c r="QX21" i="21"/>
  <c r="QW21" i="21"/>
  <c r="QZ21" i="21" s="1"/>
  <c r="QV21" i="21"/>
  <c r="RB20" i="21"/>
  <c r="RA20" i="21"/>
  <c r="QY20" i="21"/>
  <c r="QX20" i="21"/>
  <c r="QW20" i="21"/>
  <c r="QV20" i="21"/>
  <c r="RB19" i="21"/>
  <c r="RA19" i="21"/>
  <c r="QY19" i="21"/>
  <c r="QX19" i="21"/>
  <c r="QW19" i="21"/>
  <c r="QV19" i="21"/>
  <c r="RB18" i="21"/>
  <c r="RA18" i="21"/>
  <c r="QY18" i="21"/>
  <c r="QX18" i="21"/>
  <c r="QW18" i="21"/>
  <c r="QV18" i="21"/>
  <c r="RB17" i="21"/>
  <c r="RA17" i="21"/>
  <c r="QY17" i="21"/>
  <c r="QX17" i="21"/>
  <c r="QW17" i="21"/>
  <c r="QV17" i="21"/>
  <c r="RB15" i="21"/>
  <c r="RA15" i="21"/>
  <c r="QY15" i="21"/>
  <c r="QX15" i="21"/>
  <c r="QW15" i="21"/>
  <c r="QZ15" i="21" s="1"/>
  <c r="QV15" i="21"/>
  <c r="RB14" i="21"/>
  <c r="RA14" i="21"/>
  <c r="QY14" i="21"/>
  <c r="QX14" i="21"/>
  <c r="QW14" i="21"/>
  <c r="QV14" i="21"/>
  <c r="RB16" i="21"/>
  <c r="RA16" i="21"/>
  <c r="QY16" i="21"/>
  <c r="QX16" i="21"/>
  <c r="QW16" i="21"/>
  <c r="QV1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11" i="21"/>
  <c r="RA11" i="21"/>
  <c r="QY11" i="21"/>
  <c r="QX11" i="21"/>
  <c r="QW11" i="21"/>
  <c r="QV11" i="21"/>
  <c r="RB10" i="21"/>
  <c r="RA10" i="21"/>
  <c r="QY10" i="21"/>
  <c r="QX10" i="21"/>
  <c r="QW10" i="21"/>
  <c r="QV10" i="21"/>
  <c r="RB9" i="21"/>
  <c r="RA9" i="21"/>
  <c r="QY9" i="21"/>
  <c r="QX9" i="21"/>
  <c r="QW9" i="21"/>
  <c r="QZ9" i="21" s="1"/>
  <c r="QV9" i="21"/>
  <c r="RB12" i="21"/>
  <c r="RA12" i="21"/>
  <c r="QY12" i="21"/>
  <c r="QX12" i="21"/>
  <c r="QW12" i="21"/>
  <c r="RC12" i="21" s="1"/>
  <c r="QV12" i="21"/>
  <c r="RB7" i="21"/>
  <c r="RA7" i="21"/>
  <c r="QY7" i="21"/>
  <c r="QX7" i="21"/>
  <c r="QW7" i="21"/>
  <c r="QV7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6" i="21"/>
  <c r="PY26" i="21"/>
  <c r="PW26" i="21"/>
  <c r="PV26" i="21"/>
  <c r="PU26" i="21"/>
  <c r="PT26" i="21"/>
  <c r="PZ25" i="21"/>
  <c r="PY25" i="21"/>
  <c r="PW25" i="21"/>
  <c r="PV25" i="21"/>
  <c r="PU25" i="21"/>
  <c r="PT25" i="21"/>
  <c r="PZ24" i="21"/>
  <c r="PY24" i="21"/>
  <c r="PW24" i="21"/>
  <c r="PV24" i="21"/>
  <c r="PU24" i="21"/>
  <c r="QA24" i="21" s="1"/>
  <c r="PT24" i="21"/>
  <c r="PZ23" i="21"/>
  <c r="PY23" i="21"/>
  <c r="PW23" i="21"/>
  <c r="PV23" i="21"/>
  <c r="PU23" i="21"/>
  <c r="PX23" i="21" s="1"/>
  <c r="PT23" i="21"/>
  <c r="PZ22" i="21"/>
  <c r="PY22" i="21"/>
  <c r="PW22" i="21"/>
  <c r="PV22" i="21"/>
  <c r="PU22" i="21"/>
  <c r="PT22" i="21"/>
  <c r="PZ21" i="21"/>
  <c r="PY21" i="21"/>
  <c r="PW21" i="21"/>
  <c r="PV21" i="21"/>
  <c r="PU21" i="21"/>
  <c r="PT21" i="21"/>
  <c r="PZ20" i="21"/>
  <c r="PY20" i="21"/>
  <c r="PW20" i="21"/>
  <c r="PV20" i="21"/>
  <c r="PU20" i="21"/>
  <c r="PT20" i="21"/>
  <c r="PZ19" i="21"/>
  <c r="PY19" i="21"/>
  <c r="PW19" i="21"/>
  <c r="PV19" i="21"/>
  <c r="PU19" i="21"/>
  <c r="PT19" i="21"/>
  <c r="PZ18" i="21"/>
  <c r="PY18" i="21"/>
  <c r="PW18" i="21"/>
  <c r="PV18" i="21"/>
  <c r="PU18" i="21"/>
  <c r="PT18" i="21"/>
  <c r="PZ17" i="21"/>
  <c r="PY17" i="21"/>
  <c r="PW17" i="21"/>
  <c r="PV17" i="21"/>
  <c r="PU17" i="21"/>
  <c r="QA17" i="21" s="1"/>
  <c r="PT17" i="21"/>
  <c r="PZ15" i="21"/>
  <c r="PY15" i="21"/>
  <c r="PW15" i="21"/>
  <c r="PV15" i="21"/>
  <c r="PU15" i="21"/>
  <c r="PX15" i="21" s="1"/>
  <c r="PT15" i="21"/>
  <c r="PZ14" i="21"/>
  <c r="PY14" i="21"/>
  <c r="PW14" i="21"/>
  <c r="PV14" i="21"/>
  <c r="PU14" i="21"/>
  <c r="QA14" i="21" s="1"/>
  <c r="PT14" i="21"/>
  <c r="PZ16" i="21"/>
  <c r="PY16" i="21"/>
  <c r="PW16" i="21"/>
  <c r="PV16" i="21"/>
  <c r="PU16" i="21"/>
  <c r="PT1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11" i="21"/>
  <c r="PY11" i="21"/>
  <c r="PW11" i="21"/>
  <c r="PV11" i="21"/>
  <c r="PU11" i="21"/>
  <c r="PT11" i="21"/>
  <c r="PZ10" i="21"/>
  <c r="PY10" i="21"/>
  <c r="PW10" i="21"/>
  <c r="PV10" i="21"/>
  <c r="PU10" i="21"/>
  <c r="QA10" i="21" s="1"/>
  <c r="PT10" i="21"/>
  <c r="PZ9" i="21"/>
  <c r="PY9" i="21"/>
  <c r="PW9" i="21"/>
  <c r="PV9" i="21"/>
  <c r="PU9" i="21"/>
  <c r="PX9" i="21" s="1"/>
  <c r="PT9" i="21"/>
  <c r="PZ12" i="21"/>
  <c r="PY12" i="21"/>
  <c r="PW12" i="21"/>
  <c r="PV12" i="21"/>
  <c r="PU12" i="21"/>
  <c r="QA12" i="21" s="1"/>
  <c r="PT12" i="21"/>
  <c r="PZ7" i="21"/>
  <c r="PY7" i="21"/>
  <c r="PW7" i="21"/>
  <c r="PV7" i="21"/>
  <c r="PU7" i="21"/>
  <c r="PT7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6" i="21"/>
  <c r="OW26" i="21"/>
  <c r="OU26" i="21"/>
  <c r="OT26" i="21"/>
  <c r="OS26" i="21"/>
  <c r="OY26" i="21" s="1"/>
  <c r="OR26" i="21"/>
  <c r="OX25" i="21"/>
  <c r="OW25" i="21"/>
  <c r="OU25" i="21"/>
  <c r="OT25" i="21"/>
  <c r="OS25" i="21"/>
  <c r="OR25" i="21"/>
  <c r="OX24" i="21"/>
  <c r="OW24" i="21"/>
  <c r="OU24" i="21"/>
  <c r="OT24" i="21"/>
  <c r="OS24" i="21"/>
  <c r="OY24" i="21" s="1"/>
  <c r="OR24" i="21"/>
  <c r="OX23" i="21"/>
  <c r="OW23" i="21"/>
  <c r="OU23" i="21"/>
  <c r="OT23" i="21"/>
  <c r="OS23" i="21"/>
  <c r="OR23" i="21"/>
  <c r="OX22" i="21"/>
  <c r="OW22" i="21"/>
  <c r="OU22" i="21"/>
  <c r="OT22" i="21"/>
  <c r="OS22" i="21"/>
  <c r="OY22" i="21" s="1"/>
  <c r="OR22" i="21"/>
  <c r="OX21" i="21"/>
  <c r="OW21" i="21"/>
  <c r="OU21" i="21"/>
  <c r="OT21" i="21"/>
  <c r="OS21" i="21"/>
  <c r="OR21" i="21"/>
  <c r="OX20" i="21"/>
  <c r="OW20" i="21"/>
  <c r="OU20" i="21"/>
  <c r="OT20" i="21"/>
  <c r="OS20" i="21"/>
  <c r="OR20" i="21"/>
  <c r="OX19" i="21"/>
  <c r="OW19" i="21"/>
  <c r="OU19" i="21"/>
  <c r="OT19" i="21"/>
  <c r="OS19" i="21"/>
  <c r="OY19" i="21" s="1"/>
  <c r="OR19" i="21"/>
  <c r="OX18" i="21"/>
  <c r="OW18" i="21"/>
  <c r="OU18" i="21"/>
  <c r="OT18" i="21"/>
  <c r="OS18" i="21"/>
  <c r="OR18" i="21"/>
  <c r="OX17" i="21"/>
  <c r="OW17" i="21"/>
  <c r="OU17" i="21"/>
  <c r="OT17" i="21"/>
  <c r="OS17" i="21"/>
  <c r="OR17" i="21"/>
  <c r="OX15" i="21"/>
  <c r="OW15" i="21"/>
  <c r="OU15" i="21"/>
  <c r="OT15" i="21"/>
  <c r="OS15" i="21"/>
  <c r="OR15" i="21"/>
  <c r="OX14" i="21"/>
  <c r="OW14" i="21"/>
  <c r="OU14" i="21"/>
  <c r="OT14" i="21"/>
  <c r="OS14" i="21"/>
  <c r="OY14" i="21" s="1"/>
  <c r="OR14" i="21"/>
  <c r="OX16" i="21"/>
  <c r="OW16" i="21"/>
  <c r="OU16" i="21"/>
  <c r="OT16" i="21"/>
  <c r="OS16" i="21"/>
  <c r="OR16" i="21"/>
  <c r="OX13" i="21"/>
  <c r="OW13" i="21"/>
  <c r="OU13" i="21"/>
  <c r="OT13" i="21"/>
  <c r="OS13" i="21"/>
  <c r="OR13" i="21"/>
  <c r="OX8" i="21"/>
  <c r="OW8" i="21"/>
  <c r="OU8" i="21"/>
  <c r="OT8" i="21"/>
  <c r="OS8" i="21"/>
  <c r="OY8" i="21" s="1"/>
  <c r="OR8" i="21"/>
  <c r="OX11" i="21"/>
  <c r="OW11" i="21"/>
  <c r="OU11" i="21"/>
  <c r="OT11" i="21"/>
  <c r="OS11" i="21"/>
  <c r="OR11" i="21"/>
  <c r="OX10" i="21"/>
  <c r="OW10" i="21"/>
  <c r="OU10" i="21"/>
  <c r="OT10" i="21"/>
  <c r="OS10" i="21"/>
  <c r="OY10" i="21" s="1"/>
  <c r="OR10" i="21"/>
  <c r="OX9" i="21"/>
  <c r="OW9" i="21"/>
  <c r="OU9" i="21"/>
  <c r="OT9" i="21"/>
  <c r="OS9" i="21"/>
  <c r="OR9" i="21"/>
  <c r="OX12" i="21"/>
  <c r="OW12" i="21"/>
  <c r="OU12" i="21"/>
  <c r="OT12" i="21"/>
  <c r="OS12" i="21"/>
  <c r="OY12" i="21" s="1"/>
  <c r="OR12" i="21"/>
  <c r="OX7" i="21"/>
  <c r="OW7" i="21"/>
  <c r="OU7" i="21"/>
  <c r="OT7" i="21"/>
  <c r="OS7" i="21"/>
  <c r="OR7" i="21"/>
  <c r="OX6" i="21"/>
  <c r="OW6" i="21"/>
  <c r="OU6" i="21"/>
  <c r="OT6" i="21"/>
  <c r="OS6" i="21"/>
  <c r="OY6" i="21" s="1"/>
  <c r="OR6" i="21"/>
  <c r="OX5" i="21"/>
  <c r="OW5" i="21"/>
  <c r="OU5" i="21"/>
  <c r="OT5" i="21"/>
  <c r="OS5" i="21"/>
  <c r="OY5" i="21" s="1"/>
  <c r="OR5" i="21"/>
  <c r="OX4" i="21"/>
  <c r="OW4" i="21"/>
  <c r="OU4" i="21"/>
  <c r="OT4" i="21"/>
  <c r="OS4" i="21"/>
  <c r="OR4" i="21"/>
  <c r="NV26" i="21"/>
  <c r="NU26" i="21"/>
  <c r="NS26" i="21"/>
  <c r="NR26" i="21"/>
  <c r="NQ26" i="21"/>
  <c r="NW26" i="21" s="1"/>
  <c r="NP26" i="21"/>
  <c r="NV25" i="21"/>
  <c r="NU25" i="21"/>
  <c r="NS25" i="21"/>
  <c r="NR25" i="21"/>
  <c r="NQ25" i="21"/>
  <c r="NP25" i="21"/>
  <c r="NV24" i="21"/>
  <c r="NU24" i="21"/>
  <c r="NS24" i="21"/>
  <c r="NR24" i="21"/>
  <c r="NQ24" i="21"/>
  <c r="NW24" i="21" s="1"/>
  <c r="NP24" i="21"/>
  <c r="NV23" i="21"/>
  <c r="NU23" i="21"/>
  <c r="NS23" i="21"/>
  <c r="NR23" i="21"/>
  <c r="NQ23" i="21"/>
  <c r="NP23" i="21"/>
  <c r="NV22" i="21"/>
  <c r="NU22" i="21"/>
  <c r="NS22" i="21"/>
  <c r="NR22" i="21"/>
  <c r="NQ22" i="21"/>
  <c r="NW22" i="21" s="1"/>
  <c r="NP22" i="21"/>
  <c r="NV21" i="21"/>
  <c r="NU21" i="21"/>
  <c r="NS21" i="21"/>
  <c r="NR21" i="21"/>
  <c r="NQ21" i="21"/>
  <c r="NT21" i="21" s="1"/>
  <c r="NP21" i="21"/>
  <c r="NV20" i="21"/>
  <c r="NU20" i="21"/>
  <c r="NS20" i="21"/>
  <c r="NR20" i="21"/>
  <c r="NQ20" i="21"/>
  <c r="NP20" i="21"/>
  <c r="NV19" i="21"/>
  <c r="NU19" i="21"/>
  <c r="NS19" i="21"/>
  <c r="NR19" i="21"/>
  <c r="NQ19" i="21"/>
  <c r="NW19" i="21" s="1"/>
  <c r="NP19" i="21"/>
  <c r="NV18" i="21"/>
  <c r="NU18" i="21"/>
  <c r="NS18" i="21"/>
  <c r="NR18" i="21"/>
  <c r="NQ18" i="21"/>
  <c r="NP18" i="21"/>
  <c r="NV17" i="21"/>
  <c r="NU17" i="21"/>
  <c r="NS17" i="21"/>
  <c r="NR17" i="21"/>
  <c r="NQ17" i="21"/>
  <c r="NW17" i="21" s="1"/>
  <c r="NP17" i="21"/>
  <c r="NV15" i="21"/>
  <c r="NU15" i="21"/>
  <c r="NS15" i="21"/>
  <c r="NR15" i="21"/>
  <c r="NT15" i="21" s="1"/>
  <c r="NQ15" i="21"/>
  <c r="NP15" i="21"/>
  <c r="NV14" i="21"/>
  <c r="NU14" i="21"/>
  <c r="NS14" i="21"/>
  <c r="NR14" i="21"/>
  <c r="NQ14" i="21"/>
  <c r="NW14" i="21" s="1"/>
  <c r="NP14" i="21"/>
  <c r="NV16" i="21"/>
  <c r="NU16" i="21"/>
  <c r="NS16" i="21"/>
  <c r="NR16" i="21"/>
  <c r="NQ16" i="21"/>
  <c r="NT16" i="21" s="1"/>
  <c r="NP16" i="21"/>
  <c r="NV13" i="21"/>
  <c r="NU13" i="21"/>
  <c r="NS13" i="21"/>
  <c r="NR13" i="21"/>
  <c r="NQ13" i="21"/>
  <c r="NW13" i="21" s="1"/>
  <c r="NP13" i="21"/>
  <c r="NV8" i="21"/>
  <c r="NU8" i="21"/>
  <c r="NS8" i="21"/>
  <c r="NR8" i="21"/>
  <c r="NQ8" i="21"/>
  <c r="NW8" i="21" s="1"/>
  <c r="NP8" i="21"/>
  <c r="NV11" i="21"/>
  <c r="NU11" i="21"/>
  <c r="NS11" i="21"/>
  <c r="NR11" i="21"/>
  <c r="NQ11" i="21"/>
  <c r="NP11" i="21"/>
  <c r="NV10" i="21"/>
  <c r="NU10" i="21"/>
  <c r="NS10" i="21"/>
  <c r="NR10" i="21"/>
  <c r="NQ10" i="21"/>
  <c r="NW10" i="21" s="1"/>
  <c r="NP10" i="21"/>
  <c r="NV9" i="21"/>
  <c r="NW9" i="21" s="1"/>
  <c r="NU9" i="21"/>
  <c r="NT9" i="21"/>
  <c r="NS9" i="21"/>
  <c r="NR9" i="21"/>
  <c r="NQ9" i="21"/>
  <c r="NP9" i="21"/>
  <c r="NV12" i="21"/>
  <c r="NU12" i="21"/>
  <c r="NS12" i="21"/>
  <c r="NR12" i="21"/>
  <c r="NQ12" i="21"/>
  <c r="NW12" i="21" s="1"/>
  <c r="NP12" i="21"/>
  <c r="NV7" i="21"/>
  <c r="NU7" i="21"/>
  <c r="NS7" i="21"/>
  <c r="NR7" i="21"/>
  <c r="NQ7" i="21"/>
  <c r="NT7" i="21" s="1"/>
  <c r="NP7" i="21"/>
  <c r="NV6" i="21"/>
  <c r="NU6" i="21"/>
  <c r="NS6" i="21"/>
  <c r="NR6" i="21"/>
  <c r="NQ6" i="21"/>
  <c r="NW6" i="21" s="1"/>
  <c r="NP6" i="21"/>
  <c r="NV5" i="21"/>
  <c r="NU5" i="21"/>
  <c r="NS5" i="21"/>
  <c r="NR5" i="21"/>
  <c r="NQ5" i="21"/>
  <c r="NW5" i="21" s="1"/>
  <c r="NP5" i="21"/>
  <c r="NV4" i="21"/>
  <c r="NU4" i="21"/>
  <c r="NS4" i="21"/>
  <c r="NR4" i="21"/>
  <c r="NQ4" i="21"/>
  <c r="NP4" i="21"/>
  <c r="MT26" i="21"/>
  <c r="MS26" i="21"/>
  <c r="MQ26" i="21"/>
  <c r="MP26" i="21"/>
  <c r="MO26" i="21"/>
  <c r="MU26" i="21" s="1"/>
  <c r="MN26" i="21"/>
  <c r="MT25" i="21"/>
  <c r="MS25" i="21"/>
  <c r="MQ25" i="21"/>
  <c r="MP25" i="21"/>
  <c r="MO25" i="21"/>
  <c r="MN25" i="21"/>
  <c r="MT24" i="21"/>
  <c r="MS24" i="21"/>
  <c r="MQ24" i="21"/>
  <c r="MP24" i="21"/>
  <c r="MO24" i="21"/>
  <c r="MU24" i="21" s="1"/>
  <c r="MN24" i="21"/>
  <c r="MT23" i="21"/>
  <c r="MS23" i="21"/>
  <c r="MQ23" i="21"/>
  <c r="MP23" i="21"/>
  <c r="MO23" i="21"/>
  <c r="MN23" i="21"/>
  <c r="MT22" i="21"/>
  <c r="MS22" i="21"/>
  <c r="MQ22" i="21"/>
  <c r="MP22" i="21"/>
  <c r="MO22" i="21"/>
  <c r="MU22" i="21" s="1"/>
  <c r="MN22" i="21"/>
  <c r="MT21" i="21"/>
  <c r="MS21" i="21"/>
  <c r="MQ21" i="21"/>
  <c r="MP21" i="21"/>
  <c r="MO21" i="21"/>
  <c r="MR21" i="21" s="1"/>
  <c r="MN21" i="21"/>
  <c r="MT20" i="21"/>
  <c r="MS20" i="21"/>
  <c r="MQ20" i="21"/>
  <c r="MP20" i="21"/>
  <c r="MO20" i="21"/>
  <c r="MN20" i="21"/>
  <c r="MT19" i="21"/>
  <c r="MS19" i="21"/>
  <c r="MQ19" i="21"/>
  <c r="MP19" i="21"/>
  <c r="MO19" i="21"/>
  <c r="MU19" i="21" s="1"/>
  <c r="MN19" i="21"/>
  <c r="MT18" i="21"/>
  <c r="MS18" i="21"/>
  <c r="MQ18" i="21"/>
  <c r="MP18" i="21"/>
  <c r="MO18" i="21"/>
  <c r="MN18" i="21"/>
  <c r="MT17" i="21"/>
  <c r="MS17" i="21"/>
  <c r="MQ17" i="21"/>
  <c r="MP17" i="21"/>
  <c r="MO17" i="21"/>
  <c r="MU17" i="21" s="1"/>
  <c r="MN17" i="21"/>
  <c r="MT15" i="21"/>
  <c r="MS15" i="21"/>
  <c r="MQ15" i="21"/>
  <c r="MP15" i="21"/>
  <c r="MO15" i="21"/>
  <c r="MN15" i="21"/>
  <c r="MT14" i="21"/>
  <c r="MS14" i="21"/>
  <c r="MQ14" i="21"/>
  <c r="MP14" i="21"/>
  <c r="MO14" i="21"/>
  <c r="MU14" i="21" s="1"/>
  <c r="MN14" i="21"/>
  <c r="MT16" i="21"/>
  <c r="MS16" i="21"/>
  <c r="MQ16" i="21"/>
  <c r="MP16" i="21"/>
  <c r="MO16" i="21"/>
  <c r="MR16" i="21" s="1"/>
  <c r="MN16" i="21"/>
  <c r="MT13" i="21"/>
  <c r="MS13" i="21"/>
  <c r="MQ13" i="21"/>
  <c r="MP13" i="21"/>
  <c r="MO13" i="21"/>
  <c r="MN13" i="21"/>
  <c r="MT8" i="21"/>
  <c r="MS8" i="21"/>
  <c r="MQ8" i="21"/>
  <c r="MP8" i="21"/>
  <c r="MO8" i="21"/>
  <c r="MU8" i="21" s="1"/>
  <c r="MN8" i="21"/>
  <c r="MT11" i="21"/>
  <c r="MS11" i="21"/>
  <c r="MQ11" i="21"/>
  <c r="MP11" i="21"/>
  <c r="MO11" i="21"/>
  <c r="MN11" i="21"/>
  <c r="MT10" i="21"/>
  <c r="MS10" i="21"/>
  <c r="MQ10" i="21"/>
  <c r="MP10" i="21"/>
  <c r="MO10" i="21"/>
  <c r="MU10" i="21" s="1"/>
  <c r="MN10" i="21"/>
  <c r="MT9" i="21"/>
  <c r="MS9" i="21"/>
  <c r="MQ9" i="21"/>
  <c r="MP9" i="21"/>
  <c r="MO9" i="21"/>
  <c r="MN9" i="21"/>
  <c r="MT12" i="21"/>
  <c r="MS12" i="21"/>
  <c r="MQ12" i="21"/>
  <c r="MP12" i="21"/>
  <c r="MO12" i="21"/>
  <c r="MR12" i="21" s="1"/>
  <c r="MN12" i="21"/>
  <c r="MT7" i="21"/>
  <c r="MS7" i="21"/>
  <c r="MQ7" i="21"/>
  <c r="MP7" i="21"/>
  <c r="MO7" i="21"/>
  <c r="MN7" i="21"/>
  <c r="MT6" i="21"/>
  <c r="MS6" i="21"/>
  <c r="MQ6" i="21"/>
  <c r="MP6" i="21"/>
  <c r="MO6" i="21"/>
  <c r="MN6" i="21"/>
  <c r="MT5" i="21"/>
  <c r="MS5" i="21"/>
  <c r="MQ5" i="21"/>
  <c r="MP5" i="21"/>
  <c r="MO5" i="21"/>
  <c r="MU5" i="21" s="1"/>
  <c r="MN5" i="21"/>
  <c r="MT4" i="21"/>
  <c r="MS4" i="21"/>
  <c r="MQ4" i="21"/>
  <c r="MP4" i="21"/>
  <c r="MO4" i="21"/>
  <c r="MN4" i="21"/>
  <c r="LR26" i="21"/>
  <c r="LQ26" i="21"/>
  <c r="LO26" i="21"/>
  <c r="LN26" i="21"/>
  <c r="LM26" i="21"/>
  <c r="LS26" i="21" s="1"/>
  <c r="LL26" i="21"/>
  <c r="LR25" i="21"/>
  <c r="LQ25" i="21"/>
  <c r="LO25" i="21"/>
  <c r="LN25" i="21"/>
  <c r="LM25" i="21"/>
  <c r="LL25" i="21"/>
  <c r="LR24" i="21"/>
  <c r="LQ24" i="21"/>
  <c r="LO24" i="21"/>
  <c r="LN24" i="21"/>
  <c r="LM24" i="21"/>
  <c r="LS24" i="21" s="1"/>
  <c r="LL24" i="21"/>
  <c r="LR23" i="21"/>
  <c r="LQ23" i="21"/>
  <c r="LO23" i="21"/>
  <c r="LN23" i="21"/>
  <c r="LM23" i="21"/>
  <c r="LL23" i="21"/>
  <c r="LR22" i="21"/>
  <c r="LQ22" i="21"/>
  <c r="LO22" i="21"/>
  <c r="LN22" i="21"/>
  <c r="LM22" i="21"/>
  <c r="LL22" i="21"/>
  <c r="LR21" i="21"/>
  <c r="LQ21" i="21"/>
  <c r="LO21" i="21"/>
  <c r="LN21" i="21"/>
  <c r="LM21" i="21"/>
  <c r="LP21" i="21" s="1"/>
  <c r="LL21" i="21"/>
  <c r="LR20" i="21"/>
  <c r="LQ20" i="21"/>
  <c r="LO20" i="21"/>
  <c r="LN20" i="21"/>
  <c r="LM20" i="21"/>
  <c r="LP20" i="21" s="1"/>
  <c r="LL20" i="21"/>
  <c r="LR19" i="21"/>
  <c r="LQ19" i="21"/>
  <c r="LO19" i="21"/>
  <c r="LN19" i="21"/>
  <c r="LM19" i="21"/>
  <c r="LS19" i="21" s="1"/>
  <c r="LL19" i="21"/>
  <c r="LR18" i="21"/>
  <c r="LQ18" i="21"/>
  <c r="LO18" i="21"/>
  <c r="LN18" i="21"/>
  <c r="LM18" i="21"/>
  <c r="LL18" i="21"/>
  <c r="LR17" i="21"/>
  <c r="LQ17" i="21"/>
  <c r="LO17" i="21"/>
  <c r="LN17" i="21"/>
  <c r="LM17" i="21"/>
  <c r="LL17" i="21"/>
  <c r="LR15" i="21"/>
  <c r="LQ15" i="21"/>
  <c r="LO15" i="21"/>
  <c r="LN15" i="21"/>
  <c r="LM15" i="21"/>
  <c r="LP15" i="21" s="1"/>
  <c r="LL15" i="21"/>
  <c r="LR14" i="21"/>
  <c r="LQ14" i="21"/>
  <c r="LO14" i="21"/>
  <c r="LN14" i="21"/>
  <c r="LM14" i="21"/>
  <c r="LL14" i="21"/>
  <c r="LR16" i="21"/>
  <c r="LQ16" i="21"/>
  <c r="LO16" i="21"/>
  <c r="LN16" i="21"/>
  <c r="LM16" i="21"/>
  <c r="LL16" i="21"/>
  <c r="LR13" i="21"/>
  <c r="LQ13" i="21"/>
  <c r="LO13" i="21"/>
  <c r="LN13" i="21"/>
  <c r="LM13" i="21"/>
  <c r="LL13" i="21"/>
  <c r="LR8" i="21"/>
  <c r="LQ8" i="21"/>
  <c r="LO8" i="21"/>
  <c r="LN8" i="21"/>
  <c r="LM8" i="21"/>
  <c r="LS8" i="21" s="1"/>
  <c r="LL8" i="21"/>
  <c r="LR11" i="21"/>
  <c r="LQ11" i="21"/>
  <c r="LO11" i="21"/>
  <c r="LN11" i="21"/>
  <c r="LM11" i="21"/>
  <c r="LL11" i="21"/>
  <c r="LR10" i="21"/>
  <c r="LQ10" i="21"/>
  <c r="LO10" i="21"/>
  <c r="LN10" i="21"/>
  <c r="LM10" i="21"/>
  <c r="LS10" i="21" s="1"/>
  <c r="LL10" i="21"/>
  <c r="LR9" i="21"/>
  <c r="LQ9" i="21"/>
  <c r="LO9" i="21"/>
  <c r="LN9" i="21"/>
  <c r="LM9" i="21"/>
  <c r="LP9" i="21" s="1"/>
  <c r="LL9" i="21"/>
  <c r="LR12" i="21"/>
  <c r="LQ12" i="21"/>
  <c r="LO12" i="21"/>
  <c r="LN12" i="21"/>
  <c r="LM12" i="21"/>
  <c r="LL12" i="21"/>
  <c r="LR7" i="21"/>
  <c r="LQ7" i="21"/>
  <c r="LO7" i="21"/>
  <c r="LN7" i="21"/>
  <c r="LM7" i="21"/>
  <c r="LP7" i="21" s="1"/>
  <c r="LL7" i="21"/>
  <c r="LR6" i="21"/>
  <c r="LQ6" i="21"/>
  <c r="LO6" i="21"/>
  <c r="LN6" i="21"/>
  <c r="LM6" i="21"/>
  <c r="LL6" i="21"/>
  <c r="LR5" i="21"/>
  <c r="LQ5" i="21"/>
  <c r="LO5" i="21"/>
  <c r="LN5" i="21"/>
  <c r="LM5" i="21"/>
  <c r="LS5" i="21" s="1"/>
  <c r="LL5" i="21"/>
  <c r="LR4" i="21"/>
  <c r="LQ4" i="21"/>
  <c r="LO4" i="21"/>
  <c r="LN4" i="21"/>
  <c r="LM4" i="21"/>
  <c r="LL4" i="21"/>
  <c r="KP26" i="21"/>
  <c r="KO26" i="21"/>
  <c r="KM26" i="21"/>
  <c r="KL26" i="21"/>
  <c r="KK26" i="21"/>
  <c r="KQ26" i="21" s="1"/>
  <c r="KJ26" i="21"/>
  <c r="KP25" i="21"/>
  <c r="KO25" i="21"/>
  <c r="KM25" i="21"/>
  <c r="KL25" i="21"/>
  <c r="KK25" i="21"/>
  <c r="KJ25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2" i="21"/>
  <c r="KO22" i="21"/>
  <c r="KM22" i="21"/>
  <c r="KL22" i="21"/>
  <c r="KK22" i="21"/>
  <c r="KJ22" i="21"/>
  <c r="KP21" i="21"/>
  <c r="KO21" i="21"/>
  <c r="KM21" i="21"/>
  <c r="KL21" i="21"/>
  <c r="KK21" i="21"/>
  <c r="KJ21" i="21"/>
  <c r="KP20" i="21"/>
  <c r="KO20" i="21"/>
  <c r="KM20" i="21"/>
  <c r="KL20" i="21"/>
  <c r="KK20" i="21"/>
  <c r="KJ20" i="21"/>
  <c r="KP19" i="21"/>
  <c r="KO19" i="21"/>
  <c r="KM19" i="21"/>
  <c r="KL19" i="21"/>
  <c r="KK19" i="21"/>
  <c r="KQ19" i="21" s="1"/>
  <c r="KJ19" i="21"/>
  <c r="KP18" i="21"/>
  <c r="KO18" i="21"/>
  <c r="KM18" i="21"/>
  <c r="KL18" i="21"/>
  <c r="KK18" i="21"/>
  <c r="KJ18" i="21"/>
  <c r="KP17" i="21"/>
  <c r="KO17" i="21"/>
  <c r="KM17" i="21"/>
  <c r="KL17" i="21"/>
  <c r="KK17" i="21"/>
  <c r="KJ17" i="21"/>
  <c r="KP15" i="21"/>
  <c r="KO15" i="21"/>
  <c r="KM15" i="21"/>
  <c r="KL15" i="21"/>
  <c r="KK15" i="21"/>
  <c r="KJ15" i="21"/>
  <c r="KP14" i="21"/>
  <c r="KO14" i="21"/>
  <c r="KM14" i="21"/>
  <c r="KL14" i="21"/>
  <c r="KK14" i="21"/>
  <c r="KJ14" i="21"/>
  <c r="KP16" i="21"/>
  <c r="KO16" i="21"/>
  <c r="KM16" i="21"/>
  <c r="KL16" i="21"/>
  <c r="KK16" i="21"/>
  <c r="KN16" i="21" s="1"/>
  <c r="KJ16" i="21"/>
  <c r="KP13" i="21"/>
  <c r="KO13" i="21"/>
  <c r="KM13" i="21"/>
  <c r="KL13" i="21"/>
  <c r="KK13" i="21"/>
  <c r="KJ13" i="21"/>
  <c r="KP8" i="21"/>
  <c r="KO8" i="21"/>
  <c r="KM8" i="21"/>
  <c r="KL8" i="21"/>
  <c r="KK8" i="21"/>
  <c r="KQ8" i="21" s="1"/>
  <c r="KJ8" i="21"/>
  <c r="KP11" i="21"/>
  <c r="KO11" i="21"/>
  <c r="KM11" i="21"/>
  <c r="KL11" i="21"/>
  <c r="KK11" i="21"/>
  <c r="KJ11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12" i="21"/>
  <c r="KO12" i="21"/>
  <c r="KM12" i="21"/>
  <c r="KL12" i="21"/>
  <c r="KK12" i="21"/>
  <c r="KJ12" i="21"/>
  <c r="KP7" i="21"/>
  <c r="KO7" i="21"/>
  <c r="KM7" i="21"/>
  <c r="KL7" i="21"/>
  <c r="KK7" i="21"/>
  <c r="KJ7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6" i="21"/>
  <c r="JM26" i="21"/>
  <c r="JK26" i="21"/>
  <c r="JJ26" i="21"/>
  <c r="JI26" i="21"/>
  <c r="JH26" i="21"/>
  <c r="JN25" i="21"/>
  <c r="JM25" i="21"/>
  <c r="JK25" i="21"/>
  <c r="JJ25" i="21"/>
  <c r="JI25" i="21"/>
  <c r="JH25" i="21"/>
  <c r="JN24" i="21"/>
  <c r="JM24" i="21"/>
  <c r="JK24" i="21"/>
  <c r="JJ24" i="21"/>
  <c r="JI24" i="21"/>
  <c r="JH24" i="21"/>
  <c r="JN23" i="21"/>
  <c r="JM23" i="21"/>
  <c r="JK23" i="21"/>
  <c r="JJ23" i="21"/>
  <c r="JI23" i="21"/>
  <c r="JL23" i="21" s="1"/>
  <c r="JH23" i="21"/>
  <c r="JN22" i="21"/>
  <c r="JM22" i="21"/>
  <c r="JK22" i="21"/>
  <c r="JJ22" i="21"/>
  <c r="JI22" i="21"/>
  <c r="JH22" i="21"/>
  <c r="JN21" i="21"/>
  <c r="JM21" i="21"/>
  <c r="JK21" i="21"/>
  <c r="JJ21" i="21"/>
  <c r="JI21" i="21"/>
  <c r="JH21" i="21"/>
  <c r="JN20" i="21"/>
  <c r="JM20" i="21"/>
  <c r="JK20" i="21"/>
  <c r="JJ20" i="21"/>
  <c r="JI20" i="21"/>
  <c r="JH20" i="21"/>
  <c r="JN19" i="21"/>
  <c r="JM19" i="21"/>
  <c r="JK19" i="21"/>
  <c r="JJ19" i="21"/>
  <c r="JI19" i="21"/>
  <c r="JH19" i="21"/>
  <c r="JN18" i="21"/>
  <c r="JM18" i="21"/>
  <c r="JK18" i="21"/>
  <c r="JJ18" i="21"/>
  <c r="JI18" i="21"/>
  <c r="JH18" i="21"/>
  <c r="JN17" i="21"/>
  <c r="JM17" i="21"/>
  <c r="JK17" i="21"/>
  <c r="JJ17" i="21"/>
  <c r="JI17" i="21"/>
  <c r="JH17" i="21"/>
  <c r="JN15" i="21"/>
  <c r="JM15" i="21"/>
  <c r="JK15" i="21"/>
  <c r="JJ15" i="21"/>
  <c r="JI15" i="21"/>
  <c r="JO15" i="21" s="1"/>
  <c r="JH15" i="21"/>
  <c r="JN14" i="21"/>
  <c r="JM14" i="21"/>
  <c r="JK14" i="21"/>
  <c r="JJ14" i="21"/>
  <c r="JI14" i="21"/>
  <c r="JH14" i="21"/>
  <c r="JN16" i="21"/>
  <c r="JM16" i="21"/>
  <c r="JK16" i="21"/>
  <c r="JJ16" i="21"/>
  <c r="JI16" i="21"/>
  <c r="JL16" i="21" s="1"/>
  <c r="JH1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11" i="21"/>
  <c r="JM11" i="21"/>
  <c r="JK11" i="21"/>
  <c r="JJ11" i="21"/>
  <c r="JI11" i="21"/>
  <c r="JH11" i="21"/>
  <c r="JN10" i="21"/>
  <c r="JM10" i="21"/>
  <c r="JK10" i="21"/>
  <c r="JJ10" i="21"/>
  <c r="JI10" i="21"/>
  <c r="JH10" i="21"/>
  <c r="JN9" i="21"/>
  <c r="JM9" i="21"/>
  <c r="JK9" i="21"/>
  <c r="JJ9" i="21"/>
  <c r="JI9" i="21"/>
  <c r="JO9" i="21" s="1"/>
  <c r="JH9" i="21"/>
  <c r="JN12" i="21"/>
  <c r="JM12" i="21"/>
  <c r="JK12" i="21"/>
  <c r="JJ12" i="21"/>
  <c r="JI12" i="21"/>
  <c r="JH12" i="21"/>
  <c r="JN7" i="21"/>
  <c r="JM7" i="21"/>
  <c r="JK7" i="21"/>
  <c r="JJ7" i="21"/>
  <c r="JI7" i="21"/>
  <c r="JL7" i="21" s="1"/>
  <c r="JH7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6" i="21"/>
  <c r="IK26" i="21"/>
  <c r="II26" i="21"/>
  <c r="IH26" i="21"/>
  <c r="IG26" i="21"/>
  <c r="IF26" i="21"/>
  <c r="IL25" i="21"/>
  <c r="IK25" i="21"/>
  <c r="II25" i="21"/>
  <c r="IH25" i="21"/>
  <c r="IG25" i="21"/>
  <c r="IF25" i="21"/>
  <c r="IL24" i="21"/>
  <c r="IK24" i="21"/>
  <c r="II24" i="21"/>
  <c r="IH24" i="21"/>
  <c r="IG24" i="21"/>
  <c r="IF24" i="21"/>
  <c r="IL23" i="21"/>
  <c r="IK23" i="21"/>
  <c r="II23" i="21"/>
  <c r="IH23" i="21"/>
  <c r="IG23" i="21"/>
  <c r="IJ23" i="21" s="1"/>
  <c r="IF23" i="21"/>
  <c r="IL22" i="21"/>
  <c r="IK22" i="21"/>
  <c r="II22" i="21"/>
  <c r="IH22" i="21"/>
  <c r="IG22" i="21"/>
  <c r="IF22" i="21"/>
  <c r="IL21" i="21"/>
  <c r="IK21" i="21"/>
  <c r="II21" i="21"/>
  <c r="IH21" i="21"/>
  <c r="IG21" i="21"/>
  <c r="IF21" i="21"/>
  <c r="IL20" i="21"/>
  <c r="IK20" i="21"/>
  <c r="II20" i="21"/>
  <c r="IH20" i="21"/>
  <c r="IG20" i="21"/>
  <c r="IF20" i="21"/>
  <c r="IL19" i="21"/>
  <c r="IK19" i="21"/>
  <c r="II19" i="21"/>
  <c r="IH19" i="21"/>
  <c r="IG19" i="21"/>
  <c r="IF19" i="21"/>
  <c r="IL18" i="21"/>
  <c r="IK18" i="21"/>
  <c r="II18" i="21"/>
  <c r="IH18" i="21"/>
  <c r="IG18" i="21"/>
  <c r="IF18" i="21"/>
  <c r="IL17" i="21"/>
  <c r="IK17" i="21"/>
  <c r="II17" i="21"/>
  <c r="IH17" i="21"/>
  <c r="IG17" i="21"/>
  <c r="IF17" i="21"/>
  <c r="IL15" i="21"/>
  <c r="IK15" i="21"/>
  <c r="II15" i="21"/>
  <c r="IH15" i="21"/>
  <c r="IG15" i="21"/>
  <c r="IJ15" i="21" s="1"/>
  <c r="IF15" i="21"/>
  <c r="IL14" i="21"/>
  <c r="IK14" i="21"/>
  <c r="II14" i="21"/>
  <c r="IH14" i="21"/>
  <c r="IG14" i="21"/>
  <c r="IF14" i="21"/>
  <c r="IL16" i="21"/>
  <c r="IK16" i="21"/>
  <c r="II16" i="21"/>
  <c r="IH16" i="21"/>
  <c r="IG16" i="21"/>
  <c r="IF1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11" i="21"/>
  <c r="IK11" i="21"/>
  <c r="II11" i="21"/>
  <c r="IH11" i="21"/>
  <c r="IG11" i="21"/>
  <c r="IF11" i="21"/>
  <c r="IL10" i="21"/>
  <c r="IK10" i="21"/>
  <c r="II10" i="21"/>
  <c r="IH10" i="21"/>
  <c r="IG10" i="21"/>
  <c r="IF10" i="21"/>
  <c r="IL9" i="21"/>
  <c r="IK9" i="21"/>
  <c r="II9" i="21"/>
  <c r="IH9" i="21"/>
  <c r="IG9" i="21"/>
  <c r="IJ9" i="21" s="1"/>
  <c r="IF9" i="21"/>
  <c r="IL12" i="21"/>
  <c r="IK12" i="21"/>
  <c r="II12" i="21"/>
  <c r="IH12" i="21"/>
  <c r="IG12" i="21"/>
  <c r="IF12" i="21"/>
  <c r="IL7" i="21"/>
  <c r="IK7" i="21"/>
  <c r="II7" i="21"/>
  <c r="IH7" i="21"/>
  <c r="IG7" i="21"/>
  <c r="IF7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6" i="21"/>
  <c r="HI26" i="21"/>
  <c r="HG26" i="21"/>
  <c r="HF26" i="21"/>
  <c r="HE26" i="21"/>
  <c r="HD26" i="21"/>
  <c r="HJ25" i="21"/>
  <c r="HI25" i="21"/>
  <c r="HG25" i="21"/>
  <c r="HF25" i="21"/>
  <c r="HE25" i="21"/>
  <c r="HD25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2" i="21"/>
  <c r="HI22" i="21"/>
  <c r="HG22" i="21"/>
  <c r="HF22" i="21"/>
  <c r="HE22" i="21"/>
  <c r="HD22" i="21"/>
  <c r="HJ21" i="21"/>
  <c r="HI21" i="21"/>
  <c r="HG21" i="21"/>
  <c r="HF21" i="21"/>
  <c r="HE21" i="21"/>
  <c r="HH21" i="21" s="1"/>
  <c r="HD21" i="21"/>
  <c r="HJ20" i="21"/>
  <c r="HI20" i="21"/>
  <c r="HG20" i="21"/>
  <c r="HF20" i="21"/>
  <c r="HE20" i="21"/>
  <c r="HK20" i="21" s="1"/>
  <c r="HD20" i="21"/>
  <c r="HJ19" i="21"/>
  <c r="HI19" i="21"/>
  <c r="HG19" i="21"/>
  <c r="HF19" i="21"/>
  <c r="HE19" i="21"/>
  <c r="HD19" i="21"/>
  <c r="HJ18" i="21"/>
  <c r="HI18" i="21"/>
  <c r="HG18" i="21"/>
  <c r="HF18" i="21"/>
  <c r="HE18" i="21"/>
  <c r="HD18" i="21"/>
  <c r="HJ17" i="21"/>
  <c r="HI17" i="21"/>
  <c r="HG17" i="21"/>
  <c r="HF17" i="21"/>
  <c r="HE17" i="21"/>
  <c r="HD17" i="21"/>
  <c r="HJ15" i="21"/>
  <c r="HI15" i="21"/>
  <c r="HG15" i="21"/>
  <c r="HF15" i="21"/>
  <c r="HE15" i="21"/>
  <c r="HD15" i="21"/>
  <c r="HJ14" i="21"/>
  <c r="HI14" i="21"/>
  <c r="HG14" i="21"/>
  <c r="HF14" i="21"/>
  <c r="HE14" i="21"/>
  <c r="HD14" i="21"/>
  <c r="HJ16" i="21"/>
  <c r="HI16" i="21"/>
  <c r="HG16" i="21"/>
  <c r="HF16" i="21"/>
  <c r="HE16" i="21"/>
  <c r="HH16" i="21" s="1"/>
  <c r="HD16" i="21"/>
  <c r="HJ13" i="21"/>
  <c r="HI13" i="21"/>
  <c r="HG13" i="21"/>
  <c r="HF13" i="21"/>
  <c r="HE13" i="21"/>
  <c r="HK13" i="21" s="1"/>
  <c r="HD13" i="21"/>
  <c r="HJ8" i="21"/>
  <c r="HI8" i="21"/>
  <c r="HG8" i="21"/>
  <c r="HF8" i="21"/>
  <c r="HE8" i="21"/>
  <c r="HD8" i="21"/>
  <c r="HJ11" i="21"/>
  <c r="HI11" i="21"/>
  <c r="HG11" i="21"/>
  <c r="HF11" i="21"/>
  <c r="HE11" i="21"/>
  <c r="HD11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12" i="21"/>
  <c r="HI12" i="21"/>
  <c r="HG12" i="21"/>
  <c r="HF12" i="21"/>
  <c r="HE12" i="21"/>
  <c r="HD12" i="21"/>
  <c r="HJ7" i="21"/>
  <c r="HI7" i="21"/>
  <c r="HG7" i="21"/>
  <c r="HF7" i="21"/>
  <c r="HE7" i="21"/>
  <c r="HH7" i="21" s="1"/>
  <c r="HD7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6" i="21"/>
  <c r="GG26" i="21"/>
  <c r="GE26" i="21"/>
  <c r="GD26" i="21"/>
  <c r="GC26" i="21"/>
  <c r="GB26" i="21"/>
  <c r="GH25" i="21"/>
  <c r="GG25" i="21"/>
  <c r="GE25" i="21"/>
  <c r="GD25" i="21"/>
  <c r="GC25" i="21"/>
  <c r="GB25" i="21"/>
  <c r="GH24" i="21"/>
  <c r="GG24" i="21"/>
  <c r="GE24" i="21"/>
  <c r="GD24" i="21"/>
  <c r="GC24" i="21"/>
  <c r="GB24" i="21"/>
  <c r="GH23" i="21"/>
  <c r="GG23" i="21"/>
  <c r="GE23" i="21"/>
  <c r="GD23" i="21"/>
  <c r="GC23" i="21"/>
  <c r="GF23" i="21" s="1"/>
  <c r="GB23" i="21"/>
  <c r="GH22" i="21"/>
  <c r="GG22" i="21"/>
  <c r="GE22" i="21"/>
  <c r="GD22" i="21"/>
  <c r="GC22" i="21"/>
  <c r="GB22" i="21"/>
  <c r="GH21" i="21"/>
  <c r="GG21" i="21"/>
  <c r="GE21" i="21"/>
  <c r="GD21" i="21"/>
  <c r="GC21" i="21"/>
  <c r="GF21" i="21" s="1"/>
  <c r="GB21" i="21"/>
  <c r="GH20" i="21"/>
  <c r="GG20" i="21"/>
  <c r="GE20" i="21"/>
  <c r="GD20" i="21"/>
  <c r="GC20" i="21"/>
  <c r="GF20" i="21" s="1"/>
  <c r="GB20" i="21"/>
  <c r="GH19" i="21"/>
  <c r="GG19" i="21"/>
  <c r="GE19" i="21"/>
  <c r="GD19" i="21"/>
  <c r="GC19" i="21"/>
  <c r="GB19" i="21"/>
  <c r="GH18" i="21"/>
  <c r="GG18" i="21"/>
  <c r="GE18" i="21"/>
  <c r="GD18" i="21"/>
  <c r="GC18" i="21"/>
  <c r="GB18" i="21"/>
  <c r="GH17" i="21"/>
  <c r="GG17" i="21"/>
  <c r="GE17" i="21"/>
  <c r="GD17" i="21"/>
  <c r="GC17" i="21"/>
  <c r="GB17" i="21"/>
  <c r="GH15" i="21"/>
  <c r="GG15" i="21"/>
  <c r="GE15" i="21"/>
  <c r="GD15" i="21"/>
  <c r="GC15" i="21"/>
  <c r="GF15" i="21" s="1"/>
  <c r="GB15" i="21"/>
  <c r="GH14" i="21"/>
  <c r="GG14" i="21"/>
  <c r="GE14" i="21"/>
  <c r="GD14" i="21"/>
  <c r="GC14" i="21"/>
  <c r="GB14" i="21"/>
  <c r="GH16" i="21"/>
  <c r="GG16" i="21"/>
  <c r="GE16" i="21"/>
  <c r="GD16" i="21"/>
  <c r="GC16" i="21"/>
  <c r="GF16" i="21" s="1"/>
  <c r="GB1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11" i="21"/>
  <c r="GG11" i="21"/>
  <c r="GE11" i="21"/>
  <c r="GD11" i="21"/>
  <c r="GC11" i="21"/>
  <c r="GB11" i="21"/>
  <c r="GH10" i="21"/>
  <c r="GG10" i="21"/>
  <c r="GE10" i="21"/>
  <c r="GD10" i="21"/>
  <c r="GC10" i="21"/>
  <c r="GB10" i="21"/>
  <c r="GH9" i="21"/>
  <c r="GG9" i="21"/>
  <c r="GE9" i="21"/>
  <c r="GD9" i="21"/>
  <c r="GC9" i="21"/>
  <c r="GF9" i="21" s="1"/>
  <c r="GB9" i="21"/>
  <c r="GH12" i="21"/>
  <c r="GG12" i="21"/>
  <c r="GE12" i="21"/>
  <c r="GD12" i="21"/>
  <c r="GC12" i="21"/>
  <c r="GB12" i="21"/>
  <c r="GH7" i="21"/>
  <c r="GG7" i="21"/>
  <c r="GE7" i="21"/>
  <c r="GD7" i="21"/>
  <c r="GC7" i="21"/>
  <c r="GF7" i="21" s="1"/>
  <c r="GB7" i="21"/>
  <c r="GH6" i="21"/>
  <c r="GG6" i="21"/>
  <c r="GE6" i="21"/>
  <c r="GD6" i="21"/>
  <c r="GC6" i="21"/>
  <c r="GF6" i="21" s="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6" i="21"/>
  <c r="FE26" i="21"/>
  <c r="FC26" i="21"/>
  <c r="FB26" i="21"/>
  <c r="FA26" i="21"/>
  <c r="EZ26" i="21"/>
  <c r="FF25" i="21"/>
  <c r="FE25" i="21"/>
  <c r="FC25" i="21"/>
  <c r="FB25" i="21"/>
  <c r="FA25" i="21"/>
  <c r="EZ25" i="21"/>
  <c r="FF24" i="21"/>
  <c r="FE24" i="21"/>
  <c r="FC24" i="21"/>
  <c r="FB24" i="21"/>
  <c r="FA24" i="21"/>
  <c r="EZ24" i="21"/>
  <c r="FF23" i="21"/>
  <c r="FE23" i="21"/>
  <c r="FC23" i="21"/>
  <c r="FB23" i="21"/>
  <c r="FA23" i="21"/>
  <c r="FD23" i="21" s="1"/>
  <c r="EZ23" i="21"/>
  <c r="FF22" i="21"/>
  <c r="FE22" i="21"/>
  <c r="FC22" i="21"/>
  <c r="FB22" i="21"/>
  <c r="FA22" i="21"/>
  <c r="EZ22" i="21"/>
  <c r="FF21" i="21"/>
  <c r="FE21" i="21"/>
  <c r="FC21" i="21"/>
  <c r="FB21" i="21"/>
  <c r="FA21" i="21"/>
  <c r="FD21" i="21" s="1"/>
  <c r="EZ21" i="21"/>
  <c r="FF20" i="21"/>
  <c r="FE20" i="21"/>
  <c r="FC20" i="21"/>
  <c r="FB20" i="21"/>
  <c r="FA20" i="21"/>
  <c r="EZ20" i="21"/>
  <c r="FF19" i="21"/>
  <c r="FE19" i="21"/>
  <c r="FC19" i="21"/>
  <c r="FB19" i="21"/>
  <c r="FA19" i="21"/>
  <c r="EZ19" i="21"/>
  <c r="FF18" i="21"/>
  <c r="FE18" i="21"/>
  <c r="FC18" i="21"/>
  <c r="FB18" i="21"/>
  <c r="FA18" i="21"/>
  <c r="EZ18" i="21"/>
  <c r="FF17" i="21"/>
  <c r="FE17" i="21"/>
  <c r="FC17" i="21"/>
  <c r="FB17" i="21"/>
  <c r="FA17" i="21"/>
  <c r="FG17" i="21" s="1"/>
  <c r="EZ17" i="21"/>
  <c r="FF15" i="21"/>
  <c r="FE15" i="21"/>
  <c r="FC15" i="21"/>
  <c r="FB15" i="21"/>
  <c r="FA15" i="21"/>
  <c r="FD15" i="21" s="1"/>
  <c r="EZ15" i="21"/>
  <c r="FF14" i="21"/>
  <c r="FE14" i="21"/>
  <c r="FC14" i="21"/>
  <c r="FB14" i="21"/>
  <c r="FA14" i="21"/>
  <c r="EZ14" i="21"/>
  <c r="FF16" i="21"/>
  <c r="FE16" i="21"/>
  <c r="FC16" i="21"/>
  <c r="FB16" i="21"/>
  <c r="FA16" i="21"/>
  <c r="FD16" i="21" s="1"/>
  <c r="EZ1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11" i="21"/>
  <c r="FE11" i="21"/>
  <c r="FC11" i="21"/>
  <c r="FB11" i="21"/>
  <c r="FA11" i="21"/>
  <c r="EZ11" i="21"/>
  <c r="FF10" i="21"/>
  <c r="FE10" i="21"/>
  <c r="FC10" i="21"/>
  <c r="FB10" i="21"/>
  <c r="FA10" i="21"/>
  <c r="FG10" i="21" s="1"/>
  <c r="EZ10" i="21"/>
  <c r="FF9" i="21"/>
  <c r="FE9" i="21"/>
  <c r="FC9" i="21"/>
  <c r="FB9" i="21"/>
  <c r="FA9" i="21"/>
  <c r="FD9" i="21" s="1"/>
  <c r="EZ9" i="21"/>
  <c r="FF12" i="21"/>
  <c r="FE12" i="21"/>
  <c r="FC12" i="21"/>
  <c r="FB12" i="21"/>
  <c r="FA12" i="21"/>
  <c r="EZ12" i="21"/>
  <c r="FF7" i="21"/>
  <c r="FE7" i="21"/>
  <c r="FC7" i="21"/>
  <c r="FB7" i="21"/>
  <c r="FA7" i="21"/>
  <c r="FD7" i="21" s="1"/>
  <c r="EZ7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6" i="21"/>
  <c r="EC26" i="21"/>
  <c r="EA26" i="21"/>
  <c r="DZ26" i="21"/>
  <c r="DY26" i="21"/>
  <c r="EE26" i="21" s="1"/>
  <c r="DX26" i="21"/>
  <c r="ED25" i="21"/>
  <c r="EC25" i="21"/>
  <c r="EA25" i="21"/>
  <c r="DZ25" i="21"/>
  <c r="DY25" i="21"/>
  <c r="DX25" i="21"/>
  <c r="ED24" i="21"/>
  <c r="EC24" i="21"/>
  <c r="EA24" i="21"/>
  <c r="DZ24" i="21"/>
  <c r="DY24" i="21"/>
  <c r="DX24" i="21"/>
  <c r="ED23" i="21"/>
  <c r="EC23" i="21"/>
  <c r="EA23" i="21"/>
  <c r="DZ23" i="21"/>
  <c r="DY23" i="21"/>
  <c r="EB23" i="21" s="1"/>
  <c r="DX23" i="21"/>
  <c r="ED22" i="21"/>
  <c r="EC22" i="21"/>
  <c r="EA22" i="21"/>
  <c r="DZ22" i="21"/>
  <c r="DY22" i="21"/>
  <c r="DX22" i="21"/>
  <c r="ED21" i="21"/>
  <c r="EC21" i="21"/>
  <c r="EA21" i="21"/>
  <c r="DZ21" i="21"/>
  <c r="DY21" i="21"/>
  <c r="DX21" i="21"/>
  <c r="ED20" i="21"/>
  <c r="EC20" i="21"/>
  <c r="EA20" i="21"/>
  <c r="DZ20" i="21"/>
  <c r="DY20" i="21"/>
  <c r="DX20" i="21"/>
  <c r="ED19" i="21"/>
  <c r="EC19" i="21"/>
  <c r="EA19" i="21"/>
  <c r="DZ19" i="21"/>
  <c r="DY19" i="21"/>
  <c r="EE19" i="21" s="1"/>
  <c r="DX19" i="21"/>
  <c r="ED18" i="21"/>
  <c r="EC18" i="21"/>
  <c r="EA18" i="21"/>
  <c r="DZ18" i="21"/>
  <c r="DY18" i="21"/>
  <c r="DX18" i="21"/>
  <c r="ED17" i="21"/>
  <c r="EC17" i="21"/>
  <c r="EA17" i="21"/>
  <c r="DZ17" i="21"/>
  <c r="DY17" i="21"/>
  <c r="EE17" i="21" s="1"/>
  <c r="DX17" i="21"/>
  <c r="ED15" i="21"/>
  <c r="EC15" i="21"/>
  <c r="EA15" i="21"/>
  <c r="DZ15" i="21"/>
  <c r="DY15" i="21"/>
  <c r="EB15" i="21" s="1"/>
  <c r="DX15" i="21"/>
  <c r="ED14" i="21"/>
  <c r="EC14" i="21"/>
  <c r="EA14" i="21"/>
  <c r="DZ14" i="21"/>
  <c r="DY14" i="21"/>
  <c r="DX14" i="21"/>
  <c r="ED16" i="21"/>
  <c r="EC16" i="21"/>
  <c r="EA16" i="21"/>
  <c r="DZ16" i="21"/>
  <c r="DY16" i="21"/>
  <c r="DX16" i="21"/>
  <c r="ED13" i="21"/>
  <c r="EC13" i="21"/>
  <c r="EA13" i="21"/>
  <c r="DZ13" i="21"/>
  <c r="DY13" i="21"/>
  <c r="DX13" i="21"/>
  <c r="ED8" i="21"/>
  <c r="EC8" i="21"/>
  <c r="EA8" i="21"/>
  <c r="DZ8" i="21"/>
  <c r="DY8" i="21"/>
  <c r="EE8" i="21" s="1"/>
  <c r="DX8" i="21"/>
  <c r="ED11" i="21"/>
  <c r="EC11" i="21"/>
  <c r="EA11" i="21"/>
  <c r="DZ11" i="21"/>
  <c r="DY11" i="21"/>
  <c r="DX11" i="21"/>
  <c r="ED10" i="21"/>
  <c r="EC10" i="21"/>
  <c r="EA10" i="21"/>
  <c r="DZ10" i="21"/>
  <c r="DY10" i="21"/>
  <c r="EE10" i="21" s="1"/>
  <c r="DX10" i="21"/>
  <c r="ED9" i="21"/>
  <c r="EC9" i="21"/>
  <c r="EA9" i="21"/>
  <c r="DZ9" i="21"/>
  <c r="DY9" i="21"/>
  <c r="EB9" i="21" s="1"/>
  <c r="DX9" i="21"/>
  <c r="ED12" i="21"/>
  <c r="EC12" i="21"/>
  <c r="EA12" i="21"/>
  <c r="DZ12" i="21"/>
  <c r="DY12" i="21"/>
  <c r="DX12" i="21"/>
  <c r="ED7" i="21"/>
  <c r="EC7" i="21"/>
  <c r="EA7" i="21"/>
  <c r="DZ7" i="21"/>
  <c r="DY7" i="21"/>
  <c r="DX7" i="21"/>
  <c r="ED6" i="21"/>
  <c r="EC6" i="21"/>
  <c r="EA6" i="21"/>
  <c r="DZ6" i="21"/>
  <c r="DY6" i="21"/>
  <c r="DX6" i="21"/>
  <c r="ED5" i="21"/>
  <c r="EC5" i="21"/>
  <c r="EA5" i="21"/>
  <c r="DZ5" i="21"/>
  <c r="DY5" i="21"/>
  <c r="EE5" i="21" s="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30" i="19"/>
  <c r="SC30" i="19"/>
  <c r="SA30" i="19"/>
  <c r="RZ30" i="19"/>
  <c r="RY30" i="19"/>
  <c r="RX30" i="19"/>
  <c r="SD28" i="19"/>
  <c r="SC28" i="19"/>
  <c r="SA28" i="19"/>
  <c r="RZ28" i="19"/>
  <c r="RY28" i="19"/>
  <c r="SB28" i="19" s="1"/>
  <c r="RX28" i="19"/>
  <c r="SD27" i="19"/>
  <c r="SC27" i="19"/>
  <c r="SA27" i="19"/>
  <c r="RZ27" i="19"/>
  <c r="RY27" i="19"/>
  <c r="RX27" i="19"/>
  <c r="SD29" i="19"/>
  <c r="SC29" i="19"/>
  <c r="SA29" i="19"/>
  <c r="RZ29" i="19"/>
  <c r="RY29" i="19"/>
  <c r="SB29" i="19" s="1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1" i="19"/>
  <c r="SC21" i="19"/>
  <c r="SA21" i="19"/>
  <c r="RZ21" i="19"/>
  <c r="RY21" i="19"/>
  <c r="SB21" i="19" s="1"/>
  <c r="RX21" i="19"/>
  <c r="SD20" i="19"/>
  <c r="SC20" i="19"/>
  <c r="SA20" i="19"/>
  <c r="RZ20" i="19"/>
  <c r="RY20" i="19"/>
  <c r="RX20" i="19"/>
  <c r="SD19" i="19"/>
  <c r="SC19" i="19"/>
  <c r="SA19" i="19"/>
  <c r="RZ19" i="19"/>
  <c r="RY19" i="19"/>
  <c r="SB19" i="19" s="1"/>
  <c r="RX19" i="19"/>
  <c r="SD18" i="19"/>
  <c r="SC18" i="19"/>
  <c r="SA18" i="19"/>
  <c r="RZ18" i="19"/>
  <c r="RY18" i="19"/>
  <c r="RX18" i="19"/>
  <c r="SD17" i="19"/>
  <c r="SC17" i="19"/>
  <c r="SA17" i="19"/>
  <c r="RZ17" i="19"/>
  <c r="RY17" i="19"/>
  <c r="RX17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14" i="19"/>
  <c r="SC14" i="19"/>
  <c r="SA14" i="19"/>
  <c r="RZ14" i="19"/>
  <c r="RY14" i="19"/>
  <c r="SB14" i="19" s="1"/>
  <c r="RX14" i="19"/>
  <c r="SD13" i="19"/>
  <c r="SC13" i="19"/>
  <c r="SA13" i="19"/>
  <c r="RZ13" i="19"/>
  <c r="RY13" i="19"/>
  <c r="RX13" i="19"/>
  <c r="SD24" i="19"/>
  <c r="SC24" i="19"/>
  <c r="SA24" i="19"/>
  <c r="RZ24" i="19"/>
  <c r="RY24" i="19"/>
  <c r="SB24" i="19" s="1"/>
  <c r="RX24" i="19"/>
  <c r="SD11" i="19"/>
  <c r="SC11" i="19"/>
  <c r="SA11" i="19"/>
  <c r="RZ11" i="19"/>
  <c r="RY11" i="19"/>
  <c r="RX11" i="19"/>
  <c r="SD12" i="19"/>
  <c r="SC12" i="19"/>
  <c r="SA12" i="19"/>
  <c r="RZ12" i="19"/>
  <c r="RY12" i="19"/>
  <c r="RX12" i="19"/>
  <c r="SD10" i="19"/>
  <c r="SC10" i="19"/>
  <c r="SA10" i="19"/>
  <c r="RZ10" i="19"/>
  <c r="RY10" i="19"/>
  <c r="RX10" i="19"/>
  <c r="SD9" i="19"/>
  <c r="SC9" i="19"/>
  <c r="SA9" i="19"/>
  <c r="RZ9" i="19"/>
  <c r="RY9" i="19"/>
  <c r="RX9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7" i="19"/>
  <c r="SC7" i="19"/>
  <c r="SA7" i="19"/>
  <c r="RZ7" i="19"/>
  <c r="RY7" i="19"/>
  <c r="SB7" i="19" s="1"/>
  <c r="RX7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30" i="19"/>
  <c r="RA30" i="19"/>
  <c r="QY30" i="19"/>
  <c r="QX30" i="19"/>
  <c r="QW30" i="19"/>
  <c r="QV30" i="19"/>
  <c r="RB28" i="19"/>
  <c r="RA28" i="19"/>
  <c r="QY28" i="19"/>
  <c r="QX28" i="19"/>
  <c r="QW28" i="19"/>
  <c r="QZ28" i="19" s="1"/>
  <c r="QV28" i="19"/>
  <c r="RB27" i="19"/>
  <c r="RA27" i="19"/>
  <c r="QY27" i="19"/>
  <c r="QX27" i="19"/>
  <c r="QW27" i="19"/>
  <c r="RC27" i="19" s="1"/>
  <c r="QV27" i="19"/>
  <c r="RB29" i="19"/>
  <c r="RA29" i="19"/>
  <c r="QY29" i="19"/>
  <c r="QX29" i="19"/>
  <c r="QW29" i="19"/>
  <c r="QV29" i="19"/>
  <c r="RB26" i="19"/>
  <c r="RA26" i="19"/>
  <c r="QY26" i="19"/>
  <c r="QX26" i="19"/>
  <c r="QW26" i="19"/>
  <c r="QZ26" i="19" s="1"/>
  <c r="QV26" i="19"/>
  <c r="RB25" i="19"/>
  <c r="RA25" i="19"/>
  <c r="QY25" i="19"/>
  <c r="QX25" i="19"/>
  <c r="QW25" i="19"/>
  <c r="QV25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1" i="19"/>
  <c r="RA21" i="19"/>
  <c r="QY21" i="19"/>
  <c r="QX21" i="19"/>
  <c r="QW21" i="19"/>
  <c r="QZ21" i="19" s="1"/>
  <c r="QV21" i="19"/>
  <c r="RB20" i="19"/>
  <c r="RA20" i="19"/>
  <c r="QY20" i="19"/>
  <c r="QX20" i="19"/>
  <c r="QW20" i="19"/>
  <c r="QV20" i="19"/>
  <c r="RB19" i="19"/>
  <c r="RA19" i="19"/>
  <c r="QY19" i="19"/>
  <c r="QX19" i="19"/>
  <c r="QW19" i="19"/>
  <c r="QV19" i="19"/>
  <c r="RB18" i="19"/>
  <c r="RA18" i="19"/>
  <c r="QY18" i="19"/>
  <c r="QX18" i="19"/>
  <c r="QW18" i="19"/>
  <c r="RC18" i="19" s="1"/>
  <c r="QV18" i="19"/>
  <c r="RB17" i="19"/>
  <c r="RA17" i="19"/>
  <c r="QY17" i="19"/>
  <c r="QX17" i="19"/>
  <c r="QW17" i="19"/>
  <c r="QV17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14" i="19"/>
  <c r="RA14" i="19"/>
  <c r="QY14" i="19"/>
  <c r="QX14" i="19"/>
  <c r="QW14" i="19"/>
  <c r="QZ14" i="19" s="1"/>
  <c r="QV14" i="19"/>
  <c r="RB13" i="19"/>
  <c r="RA13" i="19"/>
  <c r="QY13" i="19"/>
  <c r="QX13" i="19"/>
  <c r="QW13" i="19"/>
  <c r="QV13" i="19"/>
  <c r="RB24" i="19"/>
  <c r="RA24" i="19"/>
  <c r="QY24" i="19"/>
  <c r="QX24" i="19"/>
  <c r="QW24" i="19"/>
  <c r="QV24" i="19"/>
  <c r="RB11" i="19"/>
  <c r="RA11" i="19"/>
  <c r="QY11" i="19"/>
  <c r="QX11" i="19"/>
  <c r="QW11" i="19"/>
  <c r="QZ11" i="19" s="1"/>
  <c r="QV11" i="19"/>
  <c r="RB12" i="19"/>
  <c r="RA12" i="19"/>
  <c r="QY12" i="19"/>
  <c r="QX12" i="19"/>
  <c r="QW12" i="19"/>
  <c r="QV12" i="19"/>
  <c r="RB10" i="19"/>
  <c r="RA10" i="19"/>
  <c r="QY10" i="19"/>
  <c r="QX10" i="19"/>
  <c r="QW10" i="19"/>
  <c r="QV10" i="19"/>
  <c r="RB9" i="19"/>
  <c r="RA9" i="19"/>
  <c r="QY9" i="19"/>
  <c r="QX9" i="19"/>
  <c r="QW9" i="19"/>
  <c r="QV9" i="19"/>
  <c r="RB8" i="19"/>
  <c r="RA8" i="19"/>
  <c r="QY8" i="19"/>
  <c r="QX8" i="19"/>
  <c r="QW8" i="19"/>
  <c r="QZ8" i="19" s="1"/>
  <c r="QV8" i="19"/>
  <c r="RB6" i="19"/>
  <c r="RA6" i="19"/>
  <c r="QY6" i="19"/>
  <c r="QX6" i="19"/>
  <c r="QW6" i="19"/>
  <c r="QV6" i="19"/>
  <c r="RB7" i="19"/>
  <c r="RA7" i="19"/>
  <c r="QY7" i="19"/>
  <c r="QX7" i="19"/>
  <c r="QW7" i="19"/>
  <c r="QV7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30" i="19"/>
  <c r="PY30" i="19"/>
  <c r="PW30" i="19"/>
  <c r="PV30" i="19"/>
  <c r="PU30" i="19"/>
  <c r="PT30" i="19"/>
  <c r="PZ28" i="19"/>
  <c r="PY28" i="19"/>
  <c r="PW28" i="19"/>
  <c r="PV28" i="19"/>
  <c r="PU28" i="19"/>
  <c r="PX28" i="19" s="1"/>
  <c r="PT28" i="19"/>
  <c r="PZ27" i="19"/>
  <c r="PY27" i="19"/>
  <c r="PW27" i="19"/>
  <c r="PV27" i="19"/>
  <c r="PU27" i="19"/>
  <c r="PT27" i="19"/>
  <c r="PZ29" i="19"/>
  <c r="PY29" i="19"/>
  <c r="PW29" i="19"/>
  <c r="PV29" i="19"/>
  <c r="PU29" i="19"/>
  <c r="PX29" i="19" s="1"/>
  <c r="PT29" i="19"/>
  <c r="PZ26" i="19"/>
  <c r="PY26" i="19"/>
  <c r="PW26" i="19"/>
  <c r="PV26" i="19"/>
  <c r="PU26" i="19"/>
  <c r="QA26" i="19" s="1"/>
  <c r="PT26" i="19"/>
  <c r="PZ25" i="19"/>
  <c r="PY25" i="19"/>
  <c r="PW25" i="19"/>
  <c r="PV25" i="19"/>
  <c r="PU25" i="19"/>
  <c r="PT25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1" i="19"/>
  <c r="PY21" i="19"/>
  <c r="PW21" i="19"/>
  <c r="PV21" i="19"/>
  <c r="PU21" i="19"/>
  <c r="PX21" i="19" s="1"/>
  <c r="PT21" i="19"/>
  <c r="PZ20" i="19"/>
  <c r="PY20" i="19"/>
  <c r="PW20" i="19"/>
  <c r="PV20" i="19"/>
  <c r="PU20" i="19"/>
  <c r="PT20" i="19"/>
  <c r="PZ19" i="19"/>
  <c r="PY19" i="19"/>
  <c r="PW19" i="19"/>
  <c r="PV19" i="19"/>
  <c r="PU19" i="19"/>
  <c r="PX19" i="19" s="1"/>
  <c r="PT19" i="19"/>
  <c r="PZ18" i="19"/>
  <c r="PY18" i="19"/>
  <c r="PW18" i="19"/>
  <c r="PV18" i="19"/>
  <c r="PU18" i="19"/>
  <c r="QA18" i="19" s="1"/>
  <c r="PT18" i="19"/>
  <c r="PZ17" i="19"/>
  <c r="PY17" i="19"/>
  <c r="PW17" i="19"/>
  <c r="PV17" i="19"/>
  <c r="PU17" i="19"/>
  <c r="PT17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14" i="19"/>
  <c r="PY14" i="19"/>
  <c r="PW14" i="19"/>
  <c r="PV14" i="19"/>
  <c r="PU14" i="19"/>
  <c r="PX14" i="19" s="1"/>
  <c r="PT14" i="19"/>
  <c r="PZ13" i="19"/>
  <c r="PY13" i="19"/>
  <c r="PW13" i="19"/>
  <c r="PV13" i="19"/>
  <c r="PU13" i="19"/>
  <c r="PT13" i="19"/>
  <c r="PZ24" i="19"/>
  <c r="PY24" i="19"/>
  <c r="PW24" i="19"/>
  <c r="PV24" i="19"/>
  <c r="PU24" i="19"/>
  <c r="PX24" i="19" s="1"/>
  <c r="PT24" i="19"/>
  <c r="PZ11" i="19"/>
  <c r="PY11" i="19"/>
  <c r="PW11" i="19"/>
  <c r="PV11" i="19"/>
  <c r="PU11" i="19"/>
  <c r="QA11" i="19" s="1"/>
  <c r="PT11" i="19"/>
  <c r="PZ12" i="19"/>
  <c r="PY12" i="19"/>
  <c r="PW12" i="19"/>
  <c r="PV12" i="19"/>
  <c r="PU12" i="19"/>
  <c r="PT12" i="19"/>
  <c r="PZ10" i="19"/>
  <c r="PY10" i="19"/>
  <c r="PW10" i="19"/>
  <c r="PV10" i="19"/>
  <c r="PU10" i="19"/>
  <c r="PT10" i="19"/>
  <c r="PZ9" i="19"/>
  <c r="PY9" i="19"/>
  <c r="PW9" i="19"/>
  <c r="PV9" i="19"/>
  <c r="PU9" i="19"/>
  <c r="PT9" i="19"/>
  <c r="PZ8" i="19"/>
  <c r="PY8" i="19"/>
  <c r="PW8" i="19"/>
  <c r="PV8" i="19"/>
  <c r="PU8" i="19"/>
  <c r="PX8" i="19" s="1"/>
  <c r="PT8" i="19"/>
  <c r="PZ6" i="19"/>
  <c r="PY6" i="19"/>
  <c r="PW6" i="19"/>
  <c r="PV6" i="19"/>
  <c r="PU6" i="19"/>
  <c r="PT6" i="19"/>
  <c r="PZ7" i="19"/>
  <c r="PY7" i="19"/>
  <c r="PW7" i="19"/>
  <c r="PV7" i="19"/>
  <c r="PU7" i="19"/>
  <c r="PX7" i="19" s="1"/>
  <c r="PT7" i="19"/>
  <c r="PZ5" i="19"/>
  <c r="PY5" i="19"/>
  <c r="PW5" i="19"/>
  <c r="PV5" i="19"/>
  <c r="PU5" i="19"/>
  <c r="QA5" i="19" s="1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7" i="19"/>
  <c r="OW27" i="19"/>
  <c r="OU27" i="19"/>
  <c r="OT27" i="19"/>
  <c r="OS27" i="19"/>
  <c r="OY27" i="19" s="1"/>
  <c r="OR27" i="19"/>
  <c r="OX29" i="19"/>
  <c r="OW29" i="19"/>
  <c r="OU29" i="19"/>
  <c r="OT29" i="19"/>
  <c r="OS29" i="19"/>
  <c r="OV29" i="19" s="1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23" i="19"/>
  <c r="OW23" i="19"/>
  <c r="OU23" i="19"/>
  <c r="OT23" i="19"/>
  <c r="OS23" i="19"/>
  <c r="OR23" i="19"/>
  <c r="OX22" i="19"/>
  <c r="OW22" i="19"/>
  <c r="OU22" i="19"/>
  <c r="OT22" i="19"/>
  <c r="OS22" i="19"/>
  <c r="OY22" i="19" s="1"/>
  <c r="OR22" i="19"/>
  <c r="OX21" i="19"/>
  <c r="OW21" i="19"/>
  <c r="OU21" i="19"/>
  <c r="OT21" i="19"/>
  <c r="OS21" i="19"/>
  <c r="OR21" i="19"/>
  <c r="OX20" i="19"/>
  <c r="OW20" i="19"/>
  <c r="OU20" i="19"/>
  <c r="OT20" i="19"/>
  <c r="OS20" i="19"/>
  <c r="OR20" i="19"/>
  <c r="OX19" i="19"/>
  <c r="OW19" i="19"/>
  <c r="OU19" i="19"/>
  <c r="OT19" i="19"/>
  <c r="OS19" i="19"/>
  <c r="OV19" i="19" s="1"/>
  <c r="OR19" i="19"/>
  <c r="OX18" i="19"/>
  <c r="OW18" i="19"/>
  <c r="OU18" i="19"/>
  <c r="OT18" i="19"/>
  <c r="OS18" i="19"/>
  <c r="OR18" i="19"/>
  <c r="OX17" i="19"/>
  <c r="OW17" i="19"/>
  <c r="OU17" i="19"/>
  <c r="OT17" i="19"/>
  <c r="OS17" i="19"/>
  <c r="OR17" i="19"/>
  <c r="OX16" i="19"/>
  <c r="OW16" i="19"/>
  <c r="OU16" i="19"/>
  <c r="OT16" i="19"/>
  <c r="OS16" i="19"/>
  <c r="OR16" i="19"/>
  <c r="OX15" i="19"/>
  <c r="OW15" i="19"/>
  <c r="OU15" i="19"/>
  <c r="OT15" i="19"/>
  <c r="OS15" i="19"/>
  <c r="OY15" i="19" s="1"/>
  <c r="OR15" i="19"/>
  <c r="OX14" i="19"/>
  <c r="OW14" i="19"/>
  <c r="OU14" i="19"/>
  <c r="OT14" i="19"/>
  <c r="OS14" i="19"/>
  <c r="OV14" i="19" s="1"/>
  <c r="OR14" i="19"/>
  <c r="OX13" i="19"/>
  <c r="OW13" i="19"/>
  <c r="OU13" i="19"/>
  <c r="OT13" i="19"/>
  <c r="OS13" i="19"/>
  <c r="OY13" i="19" s="1"/>
  <c r="OR13" i="19"/>
  <c r="OX24" i="19"/>
  <c r="OW24" i="19"/>
  <c r="OU24" i="19"/>
  <c r="OT24" i="19"/>
  <c r="OS24" i="19"/>
  <c r="OV24" i="19" s="1"/>
  <c r="OR24" i="19"/>
  <c r="OX11" i="19"/>
  <c r="OW11" i="19"/>
  <c r="OU11" i="19"/>
  <c r="OT11" i="19"/>
  <c r="OS11" i="19"/>
  <c r="OY11" i="19" s="1"/>
  <c r="OR11" i="19"/>
  <c r="OX12" i="19"/>
  <c r="OW12" i="19"/>
  <c r="OU12" i="19"/>
  <c r="OT12" i="19"/>
  <c r="OS12" i="19"/>
  <c r="OR12" i="19"/>
  <c r="OX10" i="19"/>
  <c r="OW10" i="19"/>
  <c r="OU10" i="19"/>
  <c r="OT10" i="19"/>
  <c r="OS10" i="19"/>
  <c r="OR10" i="19"/>
  <c r="OX9" i="19"/>
  <c r="OW9" i="19"/>
  <c r="OU9" i="19"/>
  <c r="OT9" i="19"/>
  <c r="OS9" i="19"/>
  <c r="OR9" i="19"/>
  <c r="OX8" i="19"/>
  <c r="OW8" i="19"/>
  <c r="OU8" i="19"/>
  <c r="OT8" i="19"/>
  <c r="OS8" i="19"/>
  <c r="OV8" i="19" s="1"/>
  <c r="OR8" i="19"/>
  <c r="OX6" i="19"/>
  <c r="OW6" i="19"/>
  <c r="OU6" i="19"/>
  <c r="OT6" i="19"/>
  <c r="OS6" i="19"/>
  <c r="OY6" i="19" s="1"/>
  <c r="OR6" i="19"/>
  <c r="OX7" i="19"/>
  <c r="OW7" i="19"/>
  <c r="OU7" i="19"/>
  <c r="OT7" i="19"/>
  <c r="OS7" i="19"/>
  <c r="OR7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30" i="19"/>
  <c r="NU30" i="19"/>
  <c r="NS30" i="19"/>
  <c r="NR30" i="19"/>
  <c r="NQ30" i="19"/>
  <c r="NP30" i="19"/>
  <c r="NV28" i="19"/>
  <c r="NU28" i="19"/>
  <c r="NS28" i="19"/>
  <c r="NR28" i="19"/>
  <c r="NQ28" i="19"/>
  <c r="NT28" i="19" s="1"/>
  <c r="NP28" i="19"/>
  <c r="NV27" i="19"/>
  <c r="NU27" i="19"/>
  <c r="NS27" i="19"/>
  <c r="NR27" i="19"/>
  <c r="NQ27" i="19"/>
  <c r="NP27" i="19"/>
  <c r="NV29" i="19"/>
  <c r="NU29" i="19"/>
  <c r="NS29" i="19"/>
  <c r="NR29" i="19"/>
  <c r="NQ29" i="19"/>
  <c r="NT29" i="19" s="1"/>
  <c r="NP29" i="19"/>
  <c r="NV26" i="19"/>
  <c r="NU26" i="19"/>
  <c r="NS26" i="19"/>
  <c r="NR26" i="19"/>
  <c r="NQ26" i="19"/>
  <c r="NW26" i="19" s="1"/>
  <c r="NP26" i="19"/>
  <c r="NV25" i="19"/>
  <c r="NU25" i="19"/>
  <c r="NS25" i="19"/>
  <c r="NR25" i="19"/>
  <c r="NQ25" i="19"/>
  <c r="NP25" i="19"/>
  <c r="NV23" i="19"/>
  <c r="NU23" i="19"/>
  <c r="NS23" i="19"/>
  <c r="NR23" i="19"/>
  <c r="NQ23" i="19"/>
  <c r="NP23" i="19"/>
  <c r="NV22" i="19"/>
  <c r="NU22" i="19"/>
  <c r="NS22" i="19"/>
  <c r="NR22" i="19"/>
  <c r="NQ22" i="19"/>
  <c r="NP22" i="19"/>
  <c r="NV21" i="19"/>
  <c r="NU21" i="19"/>
  <c r="NS21" i="19"/>
  <c r="NR21" i="19"/>
  <c r="NQ21" i="19"/>
  <c r="NT21" i="19" s="1"/>
  <c r="NP21" i="19"/>
  <c r="NV20" i="19"/>
  <c r="NU20" i="19"/>
  <c r="NS20" i="19"/>
  <c r="NR20" i="19"/>
  <c r="NQ20" i="19"/>
  <c r="NP20" i="19"/>
  <c r="NV19" i="19"/>
  <c r="NU19" i="19"/>
  <c r="NS19" i="19"/>
  <c r="NR19" i="19"/>
  <c r="NQ19" i="19"/>
  <c r="NT19" i="19" s="1"/>
  <c r="NP19" i="19"/>
  <c r="NV18" i="19"/>
  <c r="NU18" i="19"/>
  <c r="NS18" i="19"/>
  <c r="NR18" i="19"/>
  <c r="NQ18" i="19"/>
  <c r="NP18" i="19"/>
  <c r="NV17" i="19"/>
  <c r="NU17" i="19"/>
  <c r="NS17" i="19"/>
  <c r="NR17" i="19"/>
  <c r="NQ17" i="19"/>
  <c r="NP17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14" i="19"/>
  <c r="NU14" i="19"/>
  <c r="NS14" i="19"/>
  <c r="NR14" i="19"/>
  <c r="NQ14" i="19"/>
  <c r="NT14" i="19" s="1"/>
  <c r="NP14" i="19"/>
  <c r="NV13" i="19"/>
  <c r="NU13" i="19"/>
  <c r="NS13" i="19"/>
  <c r="NR13" i="19"/>
  <c r="NQ13" i="19"/>
  <c r="NP13" i="19"/>
  <c r="NV24" i="19"/>
  <c r="NU24" i="19"/>
  <c r="NS24" i="19"/>
  <c r="NR24" i="19"/>
  <c r="NQ24" i="19"/>
  <c r="NT24" i="19" s="1"/>
  <c r="NP24" i="19"/>
  <c r="NV11" i="19"/>
  <c r="NU11" i="19"/>
  <c r="NS11" i="19"/>
  <c r="NR11" i="19"/>
  <c r="NQ11" i="19"/>
  <c r="NP11" i="19"/>
  <c r="NV12" i="19"/>
  <c r="NU12" i="19"/>
  <c r="NS12" i="19"/>
  <c r="NR12" i="19"/>
  <c r="NQ12" i="19"/>
  <c r="NP12" i="19"/>
  <c r="NV10" i="19"/>
  <c r="NU10" i="19"/>
  <c r="NS10" i="19"/>
  <c r="NR10" i="19"/>
  <c r="NQ10" i="19"/>
  <c r="NP10" i="19"/>
  <c r="NV9" i="19"/>
  <c r="NU9" i="19"/>
  <c r="NS9" i="19"/>
  <c r="NR9" i="19"/>
  <c r="NQ9" i="19"/>
  <c r="NP9" i="19"/>
  <c r="NV8" i="19"/>
  <c r="NU8" i="19"/>
  <c r="NS8" i="19"/>
  <c r="NR8" i="19"/>
  <c r="NQ8" i="19"/>
  <c r="NT8" i="19" s="1"/>
  <c r="NP8" i="19"/>
  <c r="NV6" i="19"/>
  <c r="NU6" i="19"/>
  <c r="NS6" i="19"/>
  <c r="NR6" i="19"/>
  <c r="NQ6" i="19"/>
  <c r="NP6" i="19"/>
  <c r="NV7" i="19"/>
  <c r="NU7" i="19"/>
  <c r="NS7" i="19"/>
  <c r="NR7" i="19"/>
  <c r="NQ7" i="19"/>
  <c r="NT7" i="19" s="1"/>
  <c r="NP7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7" i="19"/>
  <c r="MS27" i="19"/>
  <c r="MQ27" i="19"/>
  <c r="MP27" i="19"/>
  <c r="MO27" i="19"/>
  <c r="MU27" i="19" s="1"/>
  <c r="MN27" i="19"/>
  <c r="MT29" i="19"/>
  <c r="MS29" i="19"/>
  <c r="MQ29" i="19"/>
  <c r="MP29" i="19"/>
  <c r="MO29" i="19"/>
  <c r="MR29" i="19" s="1"/>
  <c r="MN29" i="19"/>
  <c r="MT26" i="19"/>
  <c r="MS26" i="19"/>
  <c r="MQ26" i="19"/>
  <c r="MP26" i="19"/>
  <c r="MO26" i="19"/>
  <c r="MN26" i="19"/>
  <c r="MT25" i="19"/>
  <c r="MS25" i="19"/>
  <c r="MQ25" i="19"/>
  <c r="MP25" i="19"/>
  <c r="MO25" i="19"/>
  <c r="MN25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1" i="19"/>
  <c r="MS21" i="19"/>
  <c r="MQ21" i="19"/>
  <c r="MP21" i="19"/>
  <c r="MO21" i="19"/>
  <c r="MN21" i="19"/>
  <c r="MT20" i="19"/>
  <c r="MS20" i="19"/>
  <c r="MQ20" i="19"/>
  <c r="MP20" i="19"/>
  <c r="MO20" i="19"/>
  <c r="MN20" i="19"/>
  <c r="MT19" i="19"/>
  <c r="MS19" i="19"/>
  <c r="MQ19" i="19"/>
  <c r="MP19" i="19"/>
  <c r="MO19" i="19"/>
  <c r="MN19" i="19"/>
  <c r="MT18" i="19"/>
  <c r="MS18" i="19"/>
  <c r="MQ18" i="19"/>
  <c r="MP18" i="19"/>
  <c r="MO18" i="19"/>
  <c r="MN18" i="19"/>
  <c r="MT17" i="19"/>
  <c r="MS17" i="19"/>
  <c r="MQ17" i="19"/>
  <c r="MP17" i="19"/>
  <c r="MO17" i="19"/>
  <c r="MN17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24" i="19"/>
  <c r="MS24" i="19"/>
  <c r="MQ24" i="19"/>
  <c r="MP24" i="19"/>
  <c r="MO24" i="19"/>
  <c r="MR24" i="19" s="1"/>
  <c r="MN24" i="19"/>
  <c r="MT11" i="19"/>
  <c r="MS11" i="19"/>
  <c r="MQ11" i="19"/>
  <c r="MP11" i="19"/>
  <c r="MO11" i="19"/>
  <c r="MN11" i="19"/>
  <c r="MT12" i="19"/>
  <c r="MS12" i="19"/>
  <c r="MQ12" i="19"/>
  <c r="MP12" i="19"/>
  <c r="MO12" i="19"/>
  <c r="MN12" i="19"/>
  <c r="MT10" i="19"/>
  <c r="MS10" i="19"/>
  <c r="MQ10" i="19"/>
  <c r="MP10" i="19"/>
  <c r="MO10" i="19"/>
  <c r="MN10" i="19"/>
  <c r="MT9" i="19"/>
  <c r="MS9" i="19"/>
  <c r="MQ9" i="19"/>
  <c r="MP9" i="19"/>
  <c r="MO9" i="19"/>
  <c r="MN9" i="19"/>
  <c r="MT8" i="19"/>
  <c r="MS8" i="19"/>
  <c r="MQ8" i="19"/>
  <c r="MP8" i="19"/>
  <c r="MO8" i="19"/>
  <c r="MN8" i="19"/>
  <c r="MT6" i="19"/>
  <c r="MS6" i="19"/>
  <c r="MQ6" i="19"/>
  <c r="MP6" i="19"/>
  <c r="MO6" i="19"/>
  <c r="MU6" i="19" s="1"/>
  <c r="MN6" i="19"/>
  <c r="MT7" i="19"/>
  <c r="MS7" i="19"/>
  <c r="MQ7" i="19"/>
  <c r="MP7" i="19"/>
  <c r="MO7" i="19"/>
  <c r="MR7" i="19" s="1"/>
  <c r="MN7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30" i="19"/>
  <c r="LQ30" i="19"/>
  <c r="LO30" i="19"/>
  <c r="LN30" i="19"/>
  <c r="LM30" i="19"/>
  <c r="LL30" i="19"/>
  <c r="LR28" i="19"/>
  <c r="LQ28" i="19"/>
  <c r="LO28" i="19"/>
  <c r="LN28" i="19"/>
  <c r="LM28" i="19"/>
  <c r="LP28" i="19" s="1"/>
  <c r="LL28" i="19"/>
  <c r="LR27" i="19"/>
  <c r="LQ27" i="19"/>
  <c r="LO27" i="19"/>
  <c r="LN27" i="19"/>
  <c r="LM27" i="19"/>
  <c r="LS27" i="19" s="1"/>
  <c r="LL27" i="19"/>
  <c r="LR29" i="19"/>
  <c r="LQ29" i="19"/>
  <c r="LO29" i="19"/>
  <c r="LN29" i="19"/>
  <c r="LM29" i="19"/>
  <c r="LL29" i="19"/>
  <c r="LR26" i="19"/>
  <c r="LQ26" i="19"/>
  <c r="LO26" i="19"/>
  <c r="LN26" i="19"/>
  <c r="LM26" i="19"/>
  <c r="LP26" i="19" s="1"/>
  <c r="LL26" i="19"/>
  <c r="LR25" i="19"/>
  <c r="LQ25" i="19"/>
  <c r="LO25" i="19"/>
  <c r="LN25" i="19"/>
  <c r="LM25" i="19"/>
  <c r="LL25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1" i="19"/>
  <c r="LQ21" i="19"/>
  <c r="LO21" i="19"/>
  <c r="LN21" i="19"/>
  <c r="LM21" i="19"/>
  <c r="LP21" i="19" s="1"/>
  <c r="LL21" i="19"/>
  <c r="LR20" i="19"/>
  <c r="LQ20" i="19"/>
  <c r="LO20" i="19"/>
  <c r="LN20" i="19"/>
  <c r="LM20" i="19"/>
  <c r="LS20" i="19" s="1"/>
  <c r="LL20" i="19"/>
  <c r="LR19" i="19"/>
  <c r="LQ19" i="19"/>
  <c r="LO19" i="19"/>
  <c r="LN19" i="19"/>
  <c r="LM19" i="19"/>
  <c r="LL19" i="19"/>
  <c r="LR18" i="19"/>
  <c r="LQ18" i="19"/>
  <c r="LO18" i="19"/>
  <c r="LN18" i="19"/>
  <c r="LM18" i="19"/>
  <c r="LP18" i="19" s="1"/>
  <c r="LL18" i="19"/>
  <c r="LR17" i="19"/>
  <c r="LQ17" i="19"/>
  <c r="LO17" i="19"/>
  <c r="LN17" i="19"/>
  <c r="LM17" i="19"/>
  <c r="LL17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14" i="19"/>
  <c r="LQ14" i="19"/>
  <c r="LO14" i="19"/>
  <c r="LN14" i="19"/>
  <c r="LM14" i="19"/>
  <c r="LP14" i="19" s="1"/>
  <c r="LL14" i="19"/>
  <c r="LR13" i="19"/>
  <c r="LQ13" i="19"/>
  <c r="LO13" i="19"/>
  <c r="LN13" i="19"/>
  <c r="LM13" i="19"/>
  <c r="LS13" i="19" s="1"/>
  <c r="LL13" i="19"/>
  <c r="LR24" i="19"/>
  <c r="LQ24" i="19"/>
  <c r="LO24" i="19"/>
  <c r="LN24" i="19"/>
  <c r="LM24" i="19"/>
  <c r="LL24" i="19"/>
  <c r="LR11" i="19"/>
  <c r="LQ11" i="19"/>
  <c r="LO11" i="19"/>
  <c r="LN11" i="19"/>
  <c r="LM11" i="19"/>
  <c r="LS11" i="19" s="1"/>
  <c r="LL11" i="19"/>
  <c r="LR12" i="19"/>
  <c r="LQ12" i="19"/>
  <c r="LO12" i="19"/>
  <c r="LN12" i="19"/>
  <c r="LM12" i="19"/>
  <c r="LL12" i="19"/>
  <c r="LR10" i="19"/>
  <c r="LQ10" i="19"/>
  <c r="LO10" i="19"/>
  <c r="LN10" i="19"/>
  <c r="LM10" i="19"/>
  <c r="LL10" i="19"/>
  <c r="LR9" i="19"/>
  <c r="LQ9" i="19"/>
  <c r="LO9" i="19"/>
  <c r="LN9" i="19"/>
  <c r="LM9" i="19"/>
  <c r="LL9" i="19"/>
  <c r="LR8" i="19"/>
  <c r="LQ8" i="19"/>
  <c r="LO8" i="19"/>
  <c r="LN8" i="19"/>
  <c r="LM8" i="19"/>
  <c r="LP8" i="19" s="1"/>
  <c r="LL8" i="19"/>
  <c r="LR6" i="19"/>
  <c r="LQ6" i="19"/>
  <c r="LO6" i="19"/>
  <c r="LN6" i="19"/>
  <c r="LM6" i="19"/>
  <c r="LL6" i="19"/>
  <c r="LR7" i="19"/>
  <c r="LQ7" i="19"/>
  <c r="LO7" i="19"/>
  <c r="LN7" i="19"/>
  <c r="LM7" i="19"/>
  <c r="LL7" i="19"/>
  <c r="LR5" i="19"/>
  <c r="LQ5" i="19"/>
  <c r="LO5" i="19"/>
  <c r="LN5" i="19"/>
  <c r="LM5" i="19"/>
  <c r="LS5" i="19" s="1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30" i="19"/>
  <c r="KO30" i="19"/>
  <c r="KM30" i="19"/>
  <c r="KL30" i="19"/>
  <c r="KK30" i="19"/>
  <c r="KJ30" i="19"/>
  <c r="KP28" i="19"/>
  <c r="KO28" i="19"/>
  <c r="KM28" i="19"/>
  <c r="KL28" i="19"/>
  <c r="KK28" i="19"/>
  <c r="KN28" i="19" s="1"/>
  <c r="KJ28" i="19"/>
  <c r="KP27" i="19"/>
  <c r="KO27" i="19"/>
  <c r="KM27" i="19"/>
  <c r="KL27" i="19"/>
  <c r="KK27" i="19"/>
  <c r="KQ27" i="19" s="1"/>
  <c r="KJ27" i="19"/>
  <c r="KP29" i="19"/>
  <c r="KO29" i="19"/>
  <c r="KM29" i="19"/>
  <c r="KL29" i="19"/>
  <c r="KK29" i="19"/>
  <c r="KN29" i="19" s="1"/>
  <c r="KJ29" i="19"/>
  <c r="KP26" i="19"/>
  <c r="KO26" i="19"/>
  <c r="KM26" i="19"/>
  <c r="KL26" i="19"/>
  <c r="KK26" i="19"/>
  <c r="KJ26" i="19"/>
  <c r="KP25" i="19"/>
  <c r="KO25" i="19"/>
  <c r="KM25" i="19"/>
  <c r="KL25" i="19"/>
  <c r="KK25" i="19"/>
  <c r="KJ25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1" i="19"/>
  <c r="KO21" i="19"/>
  <c r="KM21" i="19"/>
  <c r="KL21" i="19"/>
  <c r="KK21" i="19"/>
  <c r="KJ21" i="19"/>
  <c r="KP20" i="19"/>
  <c r="KO20" i="19"/>
  <c r="KM20" i="19"/>
  <c r="KL20" i="19"/>
  <c r="KK20" i="19"/>
  <c r="KQ20" i="19" s="1"/>
  <c r="KJ20" i="19"/>
  <c r="KP19" i="19"/>
  <c r="KO19" i="19"/>
  <c r="KM19" i="19"/>
  <c r="KL19" i="19"/>
  <c r="KK19" i="19"/>
  <c r="KJ19" i="19"/>
  <c r="KP18" i="19"/>
  <c r="KO18" i="19"/>
  <c r="KM18" i="19"/>
  <c r="KL18" i="19"/>
  <c r="KK18" i="19"/>
  <c r="KJ18" i="19"/>
  <c r="KP17" i="19"/>
  <c r="KO17" i="19"/>
  <c r="KM17" i="19"/>
  <c r="KL17" i="19"/>
  <c r="KK17" i="19"/>
  <c r="KJ17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14" i="19"/>
  <c r="KO14" i="19"/>
  <c r="KM14" i="19"/>
  <c r="KL14" i="19"/>
  <c r="KK14" i="19"/>
  <c r="KJ14" i="19"/>
  <c r="KP13" i="19"/>
  <c r="KO13" i="19"/>
  <c r="KM13" i="19"/>
  <c r="KL13" i="19"/>
  <c r="KK13" i="19"/>
  <c r="KQ13" i="19" s="1"/>
  <c r="KJ13" i="19"/>
  <c r="KP24" i="19"/>
  <c r="KO24" i="19"/>
  <c r="KM24" i="19"/>
  <c r="KL24" i="19"/>
  <c r="KK24" i="19"/>
  <c r="KN24" i="19" s="1"/>
  <c r="KJ24" i="19"/>
  <c r="KP11" i="19"/>
  <c r="KO11" i="19"/>
  <c r="KM11" i="19"/>
  <c r="KL11" i="19"/>
  <c r="KK11" i="19"/>
  <c r="KJ11" i="19"/>
  <c r="KP12" i="19"/>
  <c r="KO12" i="19"/>
  <c r="KM12" i="19"/>
  <c r="KL12" i="19"/>
  <c r="KK12" i="19"/>
  <c r="KJ12" i="19"/>
  <c r="KP10" i="19"/>
  <c r="KO10" i="19"/>
  <c r="KM10" i="19"/>
  <c r="KL10" i="19"/>
  <c r="KK10" i="19"/>
  <c r="KJ10" i="19"/>
  <c r="KP9" i="19"/>
  <c r="KO9" i="19"/>
  <c r="KM9" i="19"/>
  <c r="KL9" i="19"/>
  <c r="KK9" i="19"/>
  <c r="KJ9" i="19"/>
  <c r="KP8" i="19"/>
  <c r="KO8" i="19"/>
  <c r="KM8" i="19"/>
  <c r="KL8" i="19"/>
  <c r="KK8" i="19"/>
  <c r="KJ8" i="19"/>
  <c r="KP6" i="19"/>
  <c r="KO6" i="19"/>
  <c r="KM6" i="19"/>
  <c r="KL6" i="19"/>
  <c r="KK6" i="19"/>
  <c r="KQ6" i="19" s="1"/>
  <c r="KJ6" i="19"/>
  <c r="KP7" i="19"/>
  <c r="KO7" i="19"/>
  <c r="KM7" i="19"/>
  <c r="KL7" i="19"/>
  <c r="KK7" i="19"/>
  <c r="KN7" i="19" s="1"/>
  <c r="KJ7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30" i="19"/>
  <c r="JM30" i="19"/>
  <c r="JK30" i="19"/>
  <c r="JJ30" i="19"/>
  <c r="JI30" i="19"/>
  <c r="JH30" i="19"/>
  <c r="JN28" i="19"/>
  <c r="JM28" i="19"/>
  <c r="JK28" i="19"/>
  <c r="JJ28" i="19"/>
  <c r="JI28" i="19"/>
  <c r="JL28" i="19" s="1"/>
  <c r="JH28" i="19"/>
  <c r="JN27" i="19"/>
  <c r="JM27" i="19"/>
  <c r="JK27" i="19"/>
  <c r="JJ27" i="19"/>
  <c r="JI27" i="19"/>
  <c r="JO27" i="19" s="1"/>
  <c r="JH27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H25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1" i="19"/>
  <c r="JM21" i="19"/>
  <c r="JK21" i="19"/>
  <c r="JJ21" i="19"/>
  <c r="JI21" i="19"/>
  <c r="JL21" i="19" s="1"/>
  <c r="JH21" i="19"/>
  <c r="JN20" i="19"/>
  <c r="JM20" i="19"/>
  <c r="JK20" i="19"/>
  <c r="JJ20" i="19"/>
  <c r="JI20" i="19"/>
  <c r="JO20" i="19" s="1"/>
  <c r="JH20" i="19"/>
  <c r="JN19" i="19"/>
  <c r="JM19" i="19"/>
  <c r="JK19" i="19"/>
  <c r="JJ19" i="19"/>
  <c r="JI19" i="19"/>
  <c r="JL19" i="19" s="1"/>
  <c r="JH19" i="19"/>
  <c r="JN18" i="19"/>
  <c r="JM18" i="19"/>
  <c r="JK18" i="19"/>
  <c r="JJ18" i="19"/>
  <c r="JI18" i="19"/>
  <c r="JO18" i="19" s="1"/>
  <c r="JH18" i="19"/>
  <c r="JN17" i="19"/>
  <c r="JM17" i="19"/>
  <c r="JK17" i="19"/>
  <c r="JJ17" i="19"/>
  <c r="JI17" i="19"/>
  <c r="JH17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14" i="19"/>
  <c r="JM14" i="19"/>
  <c r="JK14" i="19"/>
  <c r="JJ14" i="19"/>
  <c r="JI14" i="19"/>
  <c r="JL14" i="19" s="1"/>
  <c r="JH14" i="19"/>
  <c r="JN13" i="19"/>
  <c r="JM13" i="19"/>
  <c r="JK13" i="19"/>
  <c r="JJ13" i="19"/>
  <c r="JI13" i="19"/>
  <c r="JO13" i="19" s="1"/>
  <c r="JH13" i="19"/>
  <c r="JN24" i="19"/>
  <c r="JM24" i="19"/>
  <c r="JK24" i="19"/>
  <c r="JJ24" i="19"/>
  <c r="JI24" i="19"/>
  <c r="JL24" i="19" s="1"/>
  <c r="JH24" i="19"/>
  <c r="JN11" i="19"/>
  <c r="JM11" i="19"/>
  <c r="JK11" i="19"/>
  <c r="JJ11" i="19"/>
  <c r="JI11" i="19"/>
  <c r="JO11" i="19" s="1"/>
  <c r="JH11" i="19"/>
  <c r="JN12" i="19"/>
  <c r="JM12" i="19"/>
  <c r="JK12" i="19"/>
  <c r="JJ12" i="19"/>
  <c r="JI12" i="19"/>
  <c r="JH12" i="19"/>
  <c r="JN10" i="19"/>
  <c r="JM10" i="19"/>
  <c r="JK10" i="19"/>
  <c r="JJ10" i="19"/>
  <c r="JI10" i="19"/>
  <c r="JH10" i="19"/>
  <c r="JN9" i="19"/>
  <c r="JM9" i="19"/>
  <c r="JK9" i="19"/>
  <c r="JJ9" i="19"/>
  <c r="JI9" i="19"/>
  <c r="JH9" i="19"/>
  <c r="JN8" i="19"/>
  <c r="JM8" i="19"/>
  <c r="JK8" i="19"/>
  <c r="JJ8" i="19"/>
  <c r="JI8" i="19"/>
  <c r="JL8" i="19" s="1"/>
  <c r="JH8" i="19"/>
  <c r="JN6" i="19"/>
  <c r="JM6" i="19"/>
  <c r="JK6" i="19"/>
  <c r="JJ6" i="19"/>
  <c r="JI6" i="19"/>
  <c r="JO6" i="19" s="1"/>
  <c r="JH6" i="19"/>
  <c r="JN7" i="19"/>
  <c r="JM7" i="19"/>
  <c r="JK7" i="19"/>
  <c r="JJ7" i="19"/>
  <c r="JI7" i="19"/>
  <c r="JL7" i="19" s="1"/>
  <c r="JH7" i="19"/>
  <c r="JN5" i="19"/>
  <c r="JM5" i="19"/>
  <c r="JK5" i="19"/>
  <c r="JJ5" i="19"/>
  <c r="JI5" i="19"/>
  <c r="JO5" i="19" s="1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30" i="19"/>
  <c r="IK30" i="19"/>
  <c r="II30" i="19"/>
  <c r="IH30" i="19"/>
  <c r="IG30" i="19"/>
  <c r="IF30" i="19"/>
  <c r="IL28" i="19"/>
  <c r="IK28" i="19"/>
  <c r="II28" i="19"/>
  <c r="IH28" i="19"/>
  <c r="IG28" i="19"/>
  <c r="IJ28" i="19" s="1"/>
  <c r="IF28" i="19"/>
  <c r="IL27" i="19"/>
  <c r="IK27" i="19"/>
  <c r="II27" i="19"/>
  <c r="IH27" i="19"/>
  <c r="IG27" i="19"/>
  <c r="IM27" i="19" s="1"/>
  <c r="IF27" i="19"/>
  <c r="IL29" i="19"/>
  <c r="IK29" i="19"/>
  <c r="II29" i="19"/>
  <c r="IH29" i="19"/>
  <c r="IG29" i="19"/>
  <c r="IJ29" i="19" s="1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23" i="19"/>
  <c r="IK23" i="19"/>
  <c r="II23" i="19"/>
  <c r="IH23" i="19"/>
  <c r="IG23" i="19"/>
  <c r="IF23" i="19"/>
  <c r="IL22" i="19"/>
  <c r="IK22" i="19"/>
  <c r="II22" i="19"/>
  <c r="IH22" i="19"/>
  <c r="IG22" i="19"/>
  <c r="IF22" i="19"/>
  <c r="IL21" i="19"/>
  <c r="IK21" i="19"/>
  <c r="II21" i="19"/>
  <c r="IH21" i="19"/>
  <c r="IG21" i="19"/>
  <c r="IJ21" i="19" s="1"/>
  <c r="IF21" i="19"/>
  <c r="IL20" i="19"/>
  <c r="IK20" i="19"/>
  <c r="II20" i="19"/>
  <c r="IH20" i="19"/>
  <c r="IG20" i="19"/>
  <c r="IM20" i="19" s="1"/>
  <c r="IF20" i="19"/>
  <c r="IL19" i="19"/>
  <c r="IK19" i="19"/>
  <c r="II19" i="19"/>
  <c r="IH19" i="19"/>
  <c r="IG19" i="19"/>
  <c r="IJ19" i="19" s="1"/>
  <c r="IF19" i="19"/>
  <c r="IL18" i="19"/>
  <c r="IK18" i="19"/>
  <c r="II18" i="19"/>
  <c r="IH18" i="19"/>
  <c r="IG18" i="19"/>
  <c r="IF18" i="19"/>
  <c r="IL17" i="19"/>
  <c r="IK17" i="19"/>
  <c r="II17" i="19"/>
  <c r="IH17" i="19"/>
  <c r="IG17" i="19"/>
  <c r="IF17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14" i="19"/>
  <c r="IK14" i="19"/>
  <c r="II14" i="19"/>
  <c r="IH14" i="19"/>
  <c r="IG14" i="19"/>
  <c r="IF14" i="19"/>
  <c r="IL13" i="19"/>
  <c r="IK13" i="19"/>
  <c r="II13" i="19"/>
  <c r="IH13" i="19"/>
  <c r="IG13" i="19"/>
  <c r="IM13" i="19" s="1"/>
  <c r="IF13" i="19"/>
  <c r="IL24" i="19"/>
  <c r="IK24" i="19"/>
  <c r="II24" i="19"/>
  <c r="IH24" i="19"/>
  <c r="IG24" i="19"/>
  <c r="IJ24" i="19" s="1"/>
  <c r="IF24" i="19"/>
  <c r="IL11" i="19"/>
  <c r="IK11" i="19"/>
  <c r="II11" i="19"/>
  <c r="IH11" i="19"/>
  <c r="IG11" i="19"/>
  <c r="IF11" i="19"/>
  <c r="IL12" i="19"/>
  <c r="IK12" i="19"/>
  <c r="II12" i="19"/>
  <c r="IH12" i="19"/>
  <c r="IG12" i="19"/>
  <c r="IF12" i="19"/>
  <c r="IL10" i="19"/>
  <c r="IK10" i="19"/>
  <c r="II10" i="19"/>
  <c r="IH10" i="19"/>
  <c r="IG10" i="19"/>
  <c r="IF10" i="19"/>
  <c r="IL9" i="19"/>
  <c r="IK9" i="19"/>
  <c r="II9" i="19"/>
  <c r="IH9" i="19"/>
  <c r="IG9" i="19"/>
  <c r="IF9" i="19"/>
  <c r="IL8" i="19"/>
  <c r="IK8" i="19"/>
  <c r="II8" i="19"/>
  <c r="IH8" i="19"/>
  <c r="IG8" i="19"/>
  <c r="IF8" i="19"/>
  <c r="IL6" i="19"/>
  <c r="IK6" i="19"/>
  <c r="II6" i="19"/>
  <c r="IH6" i="19"/>
  <c r="IG6" i="19"/>
  <c r="IM6" i="19" s="1"/>
  <c r="IF6" i="19"/>
  <c r="IL7" i="19"/>
  <c r="IK7" i="19"/>
  <c r="II7" i="19"/>
  <c r="IH7" i="19"/>
  <c r="IG7" i="19"/>
  <c r="IJ7" i="19" s="1"/>
  <c r="IF7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30" i="19"/>
  <c r="HI30" i="19"/>
  <c r="HG30" i="19"/>
  <c r="HF30" i="19"/>
  <c r="HE30" i="19"/>
  <c r="HD30" i="19"/>
  <c r="HJ28" i="19"/>
  <c r="HI28" i="19"/>
  <c r="HG28" i="19"/>
  <c r="HF28" i="19"/>
  <c r="HE28" i="19"/>
  <c r="HH28" i="19" s="1"/>
  <c r="HD28" i="19"/>
  <c r="HJ27" i="19"/>
  <c r="HI27" i="19"/>
  <c r="HG27" i="19"/>
  <c r="HF27" i="19"/>
  <c r="HE27" i="19"/>
  <c r="HD27" i="19"/>
  <c r="HJ29" i="19"/>
  <c r="HI29" i="19"/>
  <c r="HG29" i="19"/>
  <c r="HF29" i="19"/>
  <c r="HE29" i="19"/>
  <c r="HD29" i="19"/>
  <c r="HJ26" i="19"/>
  <c r="HI26" i="19"/>
  <c r="HG26" i="19"/>
  <c r="HF26" i="19"/>
  <c r="HE26" i="19"/>
  <c r="HK26" i="19" s="1"/>
  <c r="HD26" i="19"/>
  <c r="HJ25" i="19"/>
  <c r="HI25" i="19"/>
  <c r="HG25" i="19"/>
  <c r="HF25" i="19"/>
  <c r="HE25" i="19"/>
  <c r="HD25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1" i="19"/>
  <c r="HI21" i="19"/>
  <c r="HG21" i="19"/>
  <c r="HF21" i="19"/>
  <c r="HE21" i="19"/>
  <c r="HH21" i="19" s="1"/>
  <c r="HD21" i="19"/>
  <c r="HJ20" i="19"/>
  <c r="HI20" i="19"/>
  <c r="HG20" i="19"/>
  <c r="HF20" i="19"/>
  <c r="HE20" i="19"/>
  <c r="HD20" i="19"/>
  <c r="HJ19" i="19"/>
  <c r="HI19" i="19"/>
  <c r="HG19" i="19"/>
  <c r="HF19" i="19"/>
  <c r="HE19" i="19"/>
  <c r="HD19" i="19"/>
  <c r="HJ18" i="19"/>
  <c r="HI18" i="19"/>
  <c r="HG18" i="19"/>
  <c r="HF18" i="19"/>
  <c r="HE18" i="19"/>
  <c r="HK18" i="19" s="1"/>
  <c r="HD18" i="19"/>
  <c r="HJ17" i="19"/>
  <c r="HI17" i="19"/>
  <c r="HG17" i="19"/>
  <c r="HF17" i="19"/>
  <c r="HE17" i="19"/>
  <c r="HD17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14" i="19"/>
  <c r="HI14" i="19"/>
  <c r="HG14" i="19"/>
  <c r="HF14" i="19"/>
  <c r="HE14" i="19"/>
  <c r="HH14" i="19" s="1"/>
  <c r="HD14" i="19"/>
  <c r="HJ13" i="19"/>
  <c r="HI13" i="19"/>
  <c r="HG13" i="19"/>
  <c r="HF13" i="19"/>
  <c r="HE13" i="19"/>
  <c r="HD13" i="19"/>
  <c r="HJ24" i="19"/>
  <c r="HI24" i="19"/>
  <c r="HG24" i="19"/>
  <c r="HF24" i="19"/>
  <c r="HE24" i="19"/>
  <c r="HD24" i="19"/>
  <c r="HJ11" i="19"/>
  <c r="HI11" i="19"/>
  <c r="HG11" i="19"/>
  <c r="HF11" i="19"/>
  <c r="HE11" i="19"/>
  <c r="HD11" i="19"/>
  <c r="HJ12" i="19"/>
  <c r="HI12" i="19"/>
  <c r="HG12" i="19"/>
  <c r="HF12" i="19"/>
  <c r="HE12" i="19"/>
  <c r="HD12" i="19"/>
  <c r="HJ10" i="19"/>
  <c r="HI10" i="19"/>
  <c r="HG10" i="19"/>
  <c r="HF10" i="19"/>
  <c r="HE10" i="19"/>
  <c r="HD10" i="19"/>
  <c r="HJ9" i="19"/>
  <c r="HI9" i="19"/>
  <c r="HG9" i="19"/>
  <c r="HF9" i="19"/>
  <c r="HE9" i="19"/>
  <c r="HD9" i="19"/>
  <c r="HJ8" i="19"/>
  <c r="HI8" i="19"/>
  <c r="HG8" i="19"/>
  <c r="HF8" i="19"/>
  <c r="HE8" i="19"/>
  <c r="HH8" i="19" s="1"/>
  <c r="HD8" i="19"/>
  <c r="HJ6" i="19"/>
  <c r="HI6" i="19"/>
  <c r="HG6" i="19"/>
  <c r="HF6" i="19"/>
  <c r="HE6" i="19"/>
  <c r="HD6" i="19"/>
  <c r="HJ7" i="19"/>
  <c r="HI7" i="19"/>
  <c r="HG7" i="19"/>
  <c r="HF7" i="19"/>
  <c r="HE7" i="19"/>
  <c r="HD7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30" i="19"/>
  <c r="GG30" i="19"/>
  <c r="GE30" i="19"/>
  <c r="GD30" i="19"/>
  <c r="GC30" i="19"/>
  <c r="GB30" i="19"/>
  <c r="GH28" i="19"/>
  <c r="GG28" i="19"/>
  <c r="GE28" i="19"/>
  <c r="GD28" i="19"/>
  <c r="GC28" i="19"/>
  <c r="GF28" i="19" s="1"/>
  <c r="GB28" i="19"/>
  <c r="GH27" i="19"/>
  <c r="GG27" i="19"/>
  <c r="GE27" i="19"/>
  <c r="GD27" i="19"/>
  <c r="GC27" i="19"/>
  <c r="GB27" i="19"/>
  <c r="GH29" i="19"/>
  <c r="GG29" i="19"/>
  <c r="GE29" i="19"/>
  <c r="GD29" i="19"/>
  <c r="GC29" i="19"/>
  <c r="GF29" i="19" s="1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23" i="19"/>
  <c r="GG23" i="19"/>
  <c r="GE23" i="19"/>
  <c r="GD23" i="19"/>
  <c r="GC23" i="19"/>
  <c r="GB23" i="19"/>
  <c r="GH22" i="19"/>
  <c r="GG22" i="19"/>
  <c r="GE22" i="19"/>
  <c r="GD22" i="19"/>
  <c r="GC22" i="19"/>
  <c r="GB22" i="19"/>
  <c r="GH21" i="19"/>
  <c r="GG21" i="19"/>
  <c r="GE21" i="19"/>
  <c r="GD21" i="19"/>
  <c r="GC21" i="19"/>
  <c r="GF21" i="19" s="1"/>
  <c r="GB21" i="19"/>
  <c r="GH20" i="19"/>
  <c r="GG20" i="19"/>
  <c r="GE20" i="19"/>
  <c r="GD20" i="19"/>
  <c r="GC20" i="19"/>
  <c r="GB20" i="19"/>
  <c r="GH19" i="19"/>
  <c r="GG19" i="19"/>
  <c r="GE19" i="19"/>
  <c r="GD19" i="19"/>
  <c r="GC19" i="19"/>
  <c r="GF19" i="19" s="1"/>
  <c r="GB19" i="19"/>
  <c r="GH18" i="19"/>
  <c r="GG18" i="19"/>
  <c r="GE18" i="19"/>
  <c r="GD18" i="19"/>
  <c r="GC18" i="19"/>
  <c r="GB18" i="19"/>
  <c r="GH17" i="19"/>
  <c r="GG17" i="19"/>
  <c r="GE17" i="19"/>
  <c r="GD17" i="19"/>
  <c r="GC17" i="19"/>
  <c r="GB17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14" i="19"/>
  <c r="GG14" i="19"/>
  <c r="GE14" i="19"/>
  <c r="GD14" i="19"/>
  <c r="GC14" i="19"/>
  <c r="GF14" i="19" s="1"/>
  <c r="GB14" i="19"/>
  <c r="GH13" i="19"/>
  <c r="GG13" i="19"/>
  <c r="GE13" i="19"/>
  <c r="GD13" i="19"/>
  <c r="GC13" i="19"/>
  <c r="GB13" i="19"/>
  <c r="GH24" i="19"/>
  <c r="GG24" i="19"/>
  <c r="GE24" i="19"/>
  <c r="GD24" i="19"/>
  <c r="GC24" i="19"/>
  <c r="GF24" i="19" s="1"/>
  <c r="GB24" i="19"/>
  <c r="GH11" i="19"/>
  <c r="GG11" i="19"/>
  <c r="GE11" i="19"/>
  <c r="GD11" i="19"/>
  <c r="GC11" i="19"/>
  <c r="GB11" i="19"/>
  <c r="GH12" i="19"/>
  <c r="GG12" i="19"/>
  <c r="GE12" i="19"/>
  <c r="GD12" i="19"/>
  <c r="GC12" i="19"/>
  <c r="GB12" i="19"/>
  <c r="GH10" i="19"/>
  <c r="GG10" i="19"/>
  <c r="GE10" i="19"/>
  <c r="GD10" i="19"/>
  <c r="GC10" i="19"/>
  <c r="GB10" i="19"/>
  <c r="GH9" i="19"/>
  <c r="GG9" i="19"/>
  <c r="GE9" i="19"/>
  <c r="GD9" i="19"/>
  <c r="GC9" i="19"/>
  <c r="GB9" i="19"/>
  <c r="GH8" i="19"/>
  <c r="GG8" i="19"/>
  <c r="GE8" i="19"/>
  <c r="GD8" i="19"/>
  <c r="GC8" i="19"/>
  <c r="GF8" i="19" s="1"/>
  <c r="GB8" i="19"/>
  <c r="GH6" i="19"/>
  <c r="GG6" i="19"/>
  <c r="GE6" i="19"/>
  <c r="GD6" i="19"/>
  <c r="GC6" i="19"/>
  <c r="GB6" i="19"/>
  <c r="GH7" i="19"/>
  <c r="GG7" i="19"/>
  <c r="GE7" i="19"/>
  <c r="GD7" i="19"/>
  <c r="GC7" i="19"/>
  <c r="GF7" i="19" s="1"/>
  <c r="GB7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30" i="19"/>
  <c r="FE30" i="19"/>
  <c r="FC30" i="19"/>
  <c r="FB30" i="19"/>
  <c r="FA30" i="19"/>
  <c r="EZ30" i="19"/>
  <c r="FF28" i="19"/>
  <c r="FE28" i="19"/>
  <c r="FC28" i="19"/>
  <c r="FB28" i="19"/>
  <c r="FA28" i="19"/>
  <c r="FD28" i="19" s="1"/>
  <c r="EZ28" i="19"/>
  <c r="FF27" i="19"/>
  <c r="FE27" i="19"/>
  <c r="FC27" i="19"/>
  <c r="FB27" i="19"/>
  <c r="FA27" i="19"/>
  <c r="FG27" i="19" s="1"/>
  <c r="EZ27" i="19"/>
  <c r="FF29" i="19"/>
  <c r="FE29" i="19"/>
  <c r="FC29" i="19"/>
  <c r="FB29" i="19"/>
  <c r="FA29" i="19"/>
  <c r="FD29" i="19" s="1"/>
  <c r="EZ29" i="19"/>
  <c r="FF26" i="19"/>
  <c r="FE26" i="19"/>
  <c r="FC26" i="19"/>
  <c r="FB26" i="19"/>
  <c r="FA26" i="19"/>
  <c r="FD26" i="19" s="1"/>
  <c r="EZ26" i="19"/>
  <c r="FF25" i="19"/>
  <c r="FE25" i="19"/>
  <c r="FC25" i="19"/>
  <c r="FB25" i="19"/>
  <c r="FA25" i="19"/>
  <c r="EZ25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1" i="19"/>
  <c r="FE21" i="19"/>
  <c r="FC21" i="19"/>
  <c r="FB21" i="19"/>
  <c r="FA21" i="19"/>
  <c r="FD21" i="19" s="1"/>
  <c r="EZ21" i="19"/>
  <c r="FF20" i="19"/>
  <c r="FE20" i="19"/>
  <c r="FC20" i="19"/>
  <c r="FB20" i="19"/>
  <c r="FA20" i="19"/>
  <c r="FG20" i="19" s="1"/>
  <c r="EZ20" i="19"/>
  <c r="FF19" i="19"/>
  <c r="FE19" i="19"/>
  <c r="FC19" i="19"/>
  <c r="FB19" i="19"/>
  <c r="FA19" i="19"/>
  <c r="EZ19" i="19"/>
  <c r="FF18" i="19"/>
  <c r="FE18" i="19"/>
  <c r="FC18" i="19"/>
  <c r="FB18" i="19"/>
  <c r="FA18" i="19"/>
  <c r="FG18" i="19" s="1"/>
  <c r="EZ18" i="19"/>
  <c r="FF17" i="19"/>
  <c r="FE17" i="19"/>
  <c r="FC17" i="19"/>
  <c r="FB17" i="19"/>
  <c r="FA17" i="19"/>
  <c r="EZ17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14" i="19"/>
  <c r="FE14" i="19"/>
  <c r="FC14" i="19"/>
  <c r="FB14" i="19"/>
  <c r="FA14" i="19"/>
  <c r="FD14" i="19" s="1"/>
  <c r="EZ14" i="19"/>
  <c r="FF13" i="19"/>
  <c r="FE13" i="19"/>
  <c r="FC13" i="19"/>
  <c r="FB13" i="19"/>
  <c r="FA13" i="19"/>
  <c r="FG13" i="19" s="1"/>
  <c r="EZ13" i="19"/>
  <c r="FF24" i="19"/>
  <c r="FE24" i="19"/>
  <c r="FC24" i="19"/>
  <c r="FB24" i="19"/>
  <c r="FA24" i="19"/>
  <c r="EZ24" i="19"/>
  <c r="FF11" i="19"/>
  <c r="FE11" i="19"/>
  <c r="FC11" i="19"/>
  <c r="FB11" i="19"/>
  <c r="FA11" i="19"/>
  <c r="FD11" i="19" s="1"/>
  <c r="EZ11" i="19"/>
  <c r="FF12" i="19"/>
  <c r="FE12" i="19"/>
  <c r="FC12" i="19"/>
  <c r="FB12" i="19"/>
  <c r="FA12" i="19"/>
  <c r="EZ12" i="19"/>
  <c r="FF10" i="19"/>
  <c r="FE10" i="19"/>
  <c r="FC10" i="19"/>
  <c r="FB10" i="19"/>
  <c r="FA10" i="19"/>
  <c r="EZ10" i="19"/>
  <c r="FF9" i="19"/>
  <c r="FE9" i="19"/>
  <c r="FC9" i="19"/>
  <c r="FB9" i="19"/>
  <c r="FA9" i="19"/>
  <c r="EZ9" i="19"/>
  <c r="FF8" i="19"/>
  <c r="FE8" i="19"/>
  <c r="FC8" i="19"/>
  <c r="FB8" i="19"/>
  <c r="FA8" i="19"/>
  <c r="FD8" i="19" s="1"/>
  <c r="EZ8" i="19"/>
  <c r="FF6" i="19"/>
  <c r="FE6" i="19"/>
  <c r="FC6" i="19"/>
  <c r="FB6" i="19"/>
  <c r="FA6" i="19"/>
  <c r="FG6" i="19" s="1"/>
  <c r="EZ6" i="19"/>
  <c r="FF7" i="19"/>
  <c r="FE7" i="19"/>
  <c r="FC7" i="19"/>
  <c r="FB7" i="19"/>
  <c r="FA7" i="19"/>
  <c r="EZ7" i="19"/>
  <c r="FF5" i="19"/>
  <c r="FE5" i="19"/>
  <c r="FC5" i="19"/>
  <c r="FB5" i="19"/>
  <c r="FA5" i="19"/>
  <c r="FD5" i="19" s="1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30" i="19"/>
  <c r="EC30" i="19"/>
  <c r="EA30" i="19"/>
  <c r="DZ30" i="19"/>
  <c r="DY30" i="19"/>
  <c r="DX30" i="19"/>
  <c r="ED28" i="19"/>
  <c r="EC28" i="19"/>
  <c r="EA28" i="19"/>
  <c r="DZ28" i="19"/>
  <c r="DY28" i="19"/>
  <c r="EB28" i="19" s="1"/>
  <c r="DX28" i="19"/>
  <c r="ED27" i="19"/>
  <c r="EC27" i="19"/>
  <c r="EA27" i="19"/>
  <c r="DZ27" i="19"/>
  <c r="DY27" i="19"/>
  <c r="DX27" i="19"/>
  <c r="ED29" i="19"/>
  <c r="EC29" i="19"/>
  <c r="EA29" i="19"/>
  <c r="DZ29" i="19"/>
  <c r="DY29" i="19"/>
  <c r="EB29" i="19" s="1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1" i="19"/>
  <c r="EC21" i="19"/>
  <c r="EA21" i="19"/>
  <c r="DZ21" i="19"/>
  <c r="DY21" i="19"/>
  <c r="EB21" i="19" s="1"/>
  <c r="DX21" i="19"/>
  <c r="ED20" i="19"/>
  <c r="EC20" i="19"/>
  <c r="EA20" i="19"/>
  <c r="DZ20" i="19"/>
  <c r="DY20" i="19"/>
  <c r="DX20" i="19"/>
  <c r="ED19" i="19"/>
  <c r="EC19" i="19"/>
  <c r="EA19" i="19"/>
  <c r="DZ19" i="19"/>
  <c r="DY19" i="19"/>
  <c r="EB19" i="19" s="1"/>
  <c r="DX19" i="19"/>
  <c r="ED18" i="19"/>
  <c r="EC18" i="19"/>
  <c r="EA18" i="19"/>
  <c r="DZ18" i="19"/>
  <c r="DY18" i="19"/>
  <c r="EB18" i="19" s="1"/>
  <c r="DX18" i="19"/>
  <c r="ED17" i="19"/>
  <c r="EC17" i="19"/>
  <c r="EA17" i="19"/>
  <c r="DZ17" i="19"/>
  <c r="DY17" i="19"/>
  <c r="DX17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24" i="19"/>
  <c r="EC24" i="19"/>
  <c r="EA24" i="19"/>
  <c r="DZ24" i="19"/>
  <c r="DY24" i="19"/>
  <c r="EB24" i="19" s="1"/>
  <c r="DX24" i="19"/>
  <c r="ED11" i="19"/>
  <c r="EC11" i="19"/>
  <c r="EA11" i="19"/>
  <c r="DZ11" i="19"/>
  <c r="DY11" i="19"/>
  <c r="DX11" i="19"/>
  <c r="ED12" i="19"/>
  <c r="EC12" i="19"/>
  <c r="EA12" i="19"/>
  <c r="DZ12" i="19"/>
  <c r="DY12" i="19"/>
  <c r="DX12" i="19"/>
  <c r="ED10" i="19"/>
  <c r="EC10" i="19"/>
  <c r="EA10" i="19"/>
  <c r="DZ10" i="19"/>
  <c r="DY10" i="19"/>
  <c r="DX10" i="19"/>
  <c r="ED9" i="19"/>
  <c r="EC9" i="19"/>
  <c r="EA9" i="19"/>
  <c r="DZ9" i="19"/>
  <c r="DY9" i="19"/>
  <c r="DX9" i="19"/>
  <c r="ED8" i="19"/>
  <c r="EC8" i="19"/>
  <c r="EA8" i="19"/>
  <c r="DZ8" i="19"/>
  <c r="DY8" i="19"/>
  <c r="EB8" i="19" s="1"/>
  <c r="DX8" i="19"/>
  <c r="ED6" i="19"/>
  <c r="EC6" i="19"/>
  <c r="EA6" i="19"/>
  <c r="DZ6" i="19"/>
  <c r="DY6" i="19"/>
  <c r="EE6" i="19" s="1"/>
  <c r="DX6" i="19"/>
  <c r="ED7" i="19"/>
  <c r="EC7" i="19"/>
  <c r="EA7" i="19"/>
  <c r="DZ7" i="19"/>
  <c r="DY7" i="19"/>
  <c r="EB7" i="19" s="1"/>
  <c r="DX7" i="19"/>
  <c r="ED5" i="19"/>
  <c r="EC5" i="19"/>
  <c r="EA5" i="19"/>
  <c r="DZ5" i="19"/>
  <c r="DY5" i="19"/>
  <c r="EB5" i="19" s="1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7" i="27"/>
  <c r="SC17" i="27"/>
  <c r="SA17" i="27"/>
  <c r="RZ17" i="27"/>
  <c r="RY17" i="27"/>
  <c r="RX17" i="27"/>
  <c r="SD15" i="27"/>
  <c r="SC15" i="27"/>
  <c r="SA15" i="27"/>
  <c r="RZ15" i="27"/>
  <c r="RY15" i="27"/>
  <c r="SB15" i="27" s="1"/>
  <c r="RX15" i="27"/>
  <c r="SD16" i="27"/>
  <c r="SC16" i="27"/>
  <c r="SA16" i="27"/>
  <c r="RZ16" i="27"/>
  <c r="RY16" i="27"/>
  <c r="SB16" i="27" s="1"/>
  <c r="RX16" i="27"/>
  <c r="SD14" i="27"/>
  <c r="SC14" i="27"/>
  <c r="SA14" i="27"/>
  <c r="RZ14" i="27"/>
  <c r="RY14" i="27"/>
  <c r="RX14" i="27"/>
  <c r="SD12" i="27"/>
  <c r="SC12" i="27"/>
  <c r="SA12" i="27"/>
  <c r="RZ12" i="27"/>
  <c r="RY12" i="27"/>
  <c r="SB12" i="27" s="1"/>
  <c r="RX12" i="27"/>
  <c r="SD11" i="27"/>
  <c r="SC11" i="27"/>
  <c r="SA11" i="27"/>
  <c r="RZ11" i="27"/>
  <c r="RY11" i="27"/>
  <c r="SB11" i="27" s="1"/>
  <c r="RX11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8" i="27"/>
  <c r="SC8" i="27"/>
  <c r="SA8" i="27"/>
  <c r="RZ8" i="27"/>
  <c r="RY8" i="27"/>
  <c r="SB8" i="27" s="1"/>
  <c r="RX8" i="27"/>
  <c r="SD6" i="27"/>
  <c r="SC6" i="27"/>
  <c r="SA6" i="27"/>
  <c r="RZ6" i="27"/>
  <c r="RY6" i="27"/>
  <c r="RX6" i="27"/>
  <c r="SD7" i="27"/>
  <c r="SC7" i="27"/>
  <c r="SA7" i="27"/>
  <c r="RZ7" i="27"/>
  <c r="RY7" i="27"/>
  <c r="SB7" i="27" s="1"/>
  <c r="RX7" i="27"/>
  <c r="SD4" i="27"/>
  <c r="SC4" i="27"/>
  <c r="SA4" i="27"/>
  <c r="RZ4" i="27"/>
  <c r="RY4" i="27"/>
  <c r="SB4" i="27" s="1"/>
  <c r="RX4" i="27"/>
  <c r="SD5" i="27"/>
  <c r="SC5" i="27"/>
  <c r="SA5" i="27"/>
  <c r="RZ5" i="27"/>
  <c r="RY5" i="27"/>
  <c r="RX5" i="27"/>
  <c r="RB18" i="27"/>
  <c r="RA18" i="27"/>
  <c r="QY18" i="27"/>
  <c r="QX18" i="27"/>
  <c r="QW18" i="27"/>
  <c r="QV18" i="27"/>
  <c r="RB17" i="27"/>
  <c r="RA17" i="27"/>
  <c r="QY17" i="27"/>
  <c r="QX17" i="27"/>
  <c r="QW17" i="27"/>
  <c r="QV17" i="27"/>
  <c r="RB15" i="27"/>
  <c r="RA15" i="27"/>
  <c r="QY15" i="27"/>
  <c r="QX15" i="27"/>
  <c r="QW15" i="27"/>
  <c r="RC15" i="27" s="1"/>
  <c r="QV15" i="27"/>
  <c r="RB16" i="27"/>
  <c r="RA16" i="27"/>
  <c r="QY16" i="27"/>
  <c r="QX16" i="27"/>
  <c r="QW16" i="27"/>
  <c r="QV16" i="27"/>
  <c r="RB14" i="27"/>
  <c r="RA14" i="27"/>
  <c r="QY14" i="27"/>
  <c r="QX14" i="27"/>
  <c r="QW14" i="27"/>
  <c r="RC14" i="27" s="1"/>
  <c r="QV14" i="27"/>
  <c r="RB12" i="27"/>
  <c r="RA12" i="27"/>
  <c r="QY12" i="27"/>
  <c r="QX12" i="27"/>
  <c r="QW12" i="27"/>
  <c r="QZ12" i="27" s="1"/>
  <c r="QV12" i="27"/>
  <c r="RB11" i="27"/>
  <c r="RA11" i="27"/>
  <c r="QY11" i="27"/>
  <c r="QX11" i="27"/>
  <c r="QW11" i="27"/>
  <c r="QV11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9" i="27"/>
  <c r="RA9" i="27"/>
  <c r="QY9" i="27"/>
  <c r="QX9" i="27"/>
  <c r="QW9" i="27"/>
  <c r="RC9" i="27" s="1"/>
  <c r="QV9" i="27"/>
  <c r="RB8" i="27"/>
  <c r="RA8" i="27"/>
  <c r="QY8" i="27"/>
  <c r="QX8" i="27"/>
  <c r="QW8" i="27"/>
  <c r="QV8" i="27"/>
  <c r="RB6" i="27"/>
  <c r="RA6" i="27"/>
  <c r="QY6" i="27"/>
  <c r="QX6" i="27"/>
  <c r="QW6" i="27"/>
  <c r="RC6" i="27" s="1"/>
  <c r="QV6" i="27"/>
  <c r="RB7" i="27"/>
  <c r="RA7" i="27"/>
  <c r="QY7" i="27"/>
  <c r="QX7" i="27"/>
  <c r="QW7" i="27"/>
  <c r="QZ7" i="27" s="1"/>
  <c r="QV7" i="27"/>
  <c r="RB4" i="27"/>
  <c r="RA4" i="27"/>
  <c r="QY4" i="27"/>
  <c r="QX4" i="27"/>
  <c r="QW4" i="27"/>
  <c r="QV4" i="27"/>
  <c r="RB5" i="27"/>
  <c r="RA5" i="27"/>
  <c r="QY5" i="27"/>
  <c r="QX5" i="27"/>
  <c r="QW5" i="27"/>
  <c r="QV5" i="27"/>
  <c r="PZ18" i="27"/>
  <c r="PY18" i="27"/>
  <c r="PW18" i="27"/>
  <c r="PV18" i="27"/>
  <c r="PU18" i="27"/>
  <c r="PT18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6" i="27"/>
  <c r="PY16" i="27"/>
  <c r="PW16" i="27"/>
  <c r="PV16" i="27"/>
  <c r="PU16" i="27"/>
  <c r="PX16" i="27" s="1"/>
  <c r="PT16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1" i="27"/>
  <c r="PY11" i="27"/>
  <c r="PW11" i="27"/>
  <c r="PV11" i="27"/>
  <c r="PU11" i="27"/>
  <c r="PT11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8" i="27"/>
  <c r="PY8" i="27"/>
  <c r="PW8" i="27"/>
  <c r="PV8" i="27"/>
  <c r="PU8" i="27"/>
  <c r="PX8" i="27" s="1"/>
  <c r="PT8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5" i="27"/>
  <c r="PY5" i="27"/>
  <c r="PW5" i="27"/>
  <c r="PV5" i="27"/>
  <c r="PU5" i="27"/>
  <c r="PT5" i="27"/>
  <c r="OX18" i="27"/>
  <c r="OW18" i="27"/>
  <c r="OU18" i="27"/>
  <c r="OT18" i="27"/>
  <c r="OS18" i="27"/>
  <c r="OR18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6" i="27"/>
  <c r="OW16" i="27"/>
  <c r="OU16" i="27"/>
  <c r="OT16" i="27"/>
  <c r="OS16" i="27"/>
  <c r="OV16" i="27" s="1"/>
  <c r="OR16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1" i="27"/>
  <c r="OW11" i="27"/>
  <c r="OU11" i="27"/>
  <c r="OT11" i="27"/>
  <c r="OS11" i="27"/>
  <c r="OR11" i="27"/>
  <c r="OX10" i="27"/>
  <c r="OW10" i="27"/>
  <c r="OU10" i="27"/>
  <c r="OT10" i="27"/>
  <c r="OS10" i="27"/>
  <c r="OY10" i="27" s="1"/>
  <c r="OR10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8" i="27"/>
  <c r="OW8" i="27"/>
  <c r="OU8" i="27"/>
  <c r="OT8" i="27"/>
  <c r="OS8" i="27"/>
  <c r="OV8" i="27" s="1"/>
  <c r="OR8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5" i="27"/>
  <c r="OW5" i="27"/>
  <c r="OU5" i="27"/>
  <c r="OT5" i="27"/>
  <c r="OS5" i="27"/>
  <c r="OY5" i="27" s="1"/>
  <c r="OR5" i="27"/>
  <c r="NV18" i="27"/>
  <c r="NU18" i="27"/>
  <c r="NS18" i="27"/>
  <c r="NR18" i="27"/>
  <c r="NQ18" i="27"/>
  <c r="NP18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6" i="27"/>
  <c r="NU16" i="27"/>
  <c r="NS16" i="27"/>
  <c r="NR16" i="27"/>
  <c r="NQ16" i="27"/>
  <c r="NP16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1" i="27"/>
  <c r="NU11" i="27"/>
  <c r="NS11" i="27"/>
  <c r="NR11" i="27"/>
  <c r="NQ11" i="27"/>
  <c r="NP11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8" i="27"/>
  <c r="NU8" i="27"/>
  <c r="NS8" i="27"/>
  <c r="NR8" i="27"/>
  <c r="NQ8" i="27"/>
  <c r="NP8" i="27"/>
  <c r="NV6" i="27"/>
  <c r="NU6" i="27"/>
  <c r="NS6" i="27"/>
  <c r="NR6" i="27"/>
  <c r="NQ6" i="27"/>
  <c r="NP6" i="27"/>
  <c r="NV7" i="27"/>
  <c r="NU7" i="27"/>
  <c r="NS7" i="27"/>
  <c r="NR7" i="27"/>
  <c r="NQ7" i="27"/>
  <c r="NT7" i="27" s="1"/>
  <c r="NP7" i="27"/>
  <c r="NV4" i="27"/>
  <c r="NU4" i="27"/>
  <c r="NS4" i="27"/>
  <c r="NR4" i="27"/>
  <c r="NQ4" i="27"/>
  <c r="NW4" i="27" s="1"/>
  <c r="NP4" i="27"/>
  <c r="NV5" i="27"/>
  <c r="NU5" i="27"/>
  <c r="NS5" i="27"/>
  <c r="NR5" i="27"/>
  <c r="NQ5" i="27"/>
  <c r="NP5" i="27"/>
  <c r="MT18" i="27"/>
  <c r="MS18" i="27"/>
  <c r="MQ18" i="27"/>
  <c r="MP18" i="27"/>
  <c r="MO18" i="27"/>
  <c r="MU18" i="27" s="1"/>
  <c r="MN18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6" i="27"/>
  <c r="MS16" i="27"/>
  <c r="MQ16" i="27"/>
  <c r="MP16" i="27"/>
  <c r="MO16" i="27"/>
  <c r="MN16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1" i="27"/>
  <c r="MS11" i="27"/>
  <c r="MQ11" i="27"/>
  <c r="MP11" i="27"/>
  <c r="MO11" i="27"/>
  <c r="MN11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8" i="27"/>
  <c r="MS8" i="27"/>
  <c r="MQ8" i="27"/>
  <c r="MP8" i="27"/>
  <c r="MO8" i="27"/>
  <c r="MN8" i="27"/>
  <c r="MT6" i="27"/>
  <c r="MS6" i="27"/>
  <c r="MQ6" i="27"/>
  <c r="MP6" i="27"/>
  <c r="MO6" i="27"/>
  <c r="MN6" i="27"/>
  <c r="MT7" i="27"/>
  <c r="MS7" i="27"/>
  <c r="MQ7" i="27"/>
  <c r="MP7" i="27"/>
  <c r="MO7" i="27"/>
  <c r="MR7" i="27" s="1"/>
  <c r="MN7" i="27"/>
  <c r="MT4" i="27"/>
  <c r="MS4" i="27"/>
  <c r="MQ4" i="27"/>
  <c r="MP4" i="27"/>
  <c r="MO4" i="27"/>
  <c r="MR4" i="27" s="1"/>
  <c r="MN4" i="27"/>
  <c r="MT5" i="27"/>
  <c r="MS5" i="27"/>
  <c r="MQ5" i="27"/>
  <c r="MP5" i="27"/>
  <c r="MO5" i="27"/>
  <c r="MU5" i="27" s="1"/>
  <c r="MN5" i="27"/>
  <c r="LR18" i="27"/>
  <c r="LQ18" i="27"/>
  <c r="LO18" i="27"/>
  <c r="LN18" i="27"/>
  <c r="LM18" i="27"/>
  <c r="LL18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6" i="27"/>
  <c r="LQ16" i="27"/>
  <c r="LO16" i="27"/>
  <c r="LN16" i="27"/>
  <c r="LM16" i="27"/>
  <c r="LP16" i="27" s="1"/>
  <c r="LL16" i="27"/>
  <c r="LR14" i="27"/>
  <c r="LQ14" i="27"/>
  <c r="LO14" i="27"/>
  <c r="LN14" i="27"/>
  <c r="LM14" i="27"/>
  <c r="LS14" i="27" s="1"/>
  <c r="LL14" i="27"/>
  <c r="LR12" i="27"/>
  <c r="LQ12" i="27"/>
  <c r="LO12" i="27"/>
  <c r="LN12" i="27"/>
  <c r="LM12" i="27"/>
  <c r="LP12" i="27" s="1"/>
  <c r="LL12" i="27"/>
  <c r="LR11" i="27"/>
  <c r="LQ11" i="27"/>
  <c r="LO11" i="27"/>
  <c r="LN11" i="27"/>
  <c r="LM11" i="27"/>
  <c r="LL11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8" i="27"/>
  <c r="LQ8" i="27"/>
  <c r="LO8" i="27"/>
  <c r="LN8" i="27"/>
  <c r="LM8" i="27"/>
  <c r="LL8" i="27"/>
  <c r="LR6" i="27"/>
  <c r="LQ6" i="27"/>
  <c r="LO6" i="27"/>
  <c r="LN6" i="27"/>
  <c r="LM6" i="27"/>
  <c r="LS6" i="27" s="1"/>
  <c r="LL6" i="27"/>
  <c r="LR7" i="27"/>
  <c r="LQ7" i="27"/>
  <c r="LO7" i="27"/>
  <c r="LN7" i="27"/>
  <c r="LM7" i="27"/>
  <c r="LP7" i="27" s="1"/>
  <c r="LL7" i="27"/>
  <c r="LR4" i="27"/>
  <c r="LQ4" i="27"/>
  <c r="LO4" i="27"/>
  <c r="LN4" i="27"/>
  <c r="LM4" i="27"/>
  <c r="LS4" i="27" s="1"/>
  <c r="LL4" i="27"/>
  <c r="LR5" i="27"/>
  <c r="LQ5" i="27"/>
  <c r="LO5" i="27"/>
  <c r="LN5" i="27"/>
  <c r="LM5" i="27"/>
  <c r="LL5" i="27"/>
  <c r="KP18" i="27"/>
  <c r="KO18" i="27"/>
  <c r="KM18" i="27"/>
  <c r="KL18" i="27"/>
  <c r="KK18" i="27"/>
  <c r="KJ18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6" i="27"/>
  <c r="KO16" i="27"/>
  <c r="KM16" i="27"/>
  <c r="KL16" i="27"/>
  <c r="KK16" i="27"/>
  <c r="KN16" i="27" s="1"/>
  <c r="KJ16" i="27"/>
  <c r="KP14" i="27"/>
  <c r="KO14" i="27"/>
  <c r="KM14" i="27"/>
  <c r="KL14" i="27"/>
  <c r="KK14" i="27"/>
  <c r="KJ14" i="27"/>
  <c r="KP12" i="27"/>
  <c r="KO12" i="27"/>
  <c r="KM12" i="27"/>
  <c r="KL12" i="27"/>
  <c r="KK12" i="27"/>
  <c r="KN12" i="27" s="1"/>
  <c r="KJ12" i="27"/>
  <c r="KP11" i="27"/>
  <c r="KO11" i="27"/>
  <c r="KM11" i="27"/>
  <c r="KL11" i="27"/>
  <c r="KK11" i="27"/>
  <c r="KJ11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8" i="27"/>
  <c r="KO8" i="27"/>
  <c r="KM8" i="27"/>
  <c r="KL8" i="27"/>
  <c r="KK8" i="27"/>
  <c r="KJ8" i="27"/>
  <c r="KP6" i="27"/>
  <c r="KO6" i="27"/>
  <c r="KM6" i="27"/>
  <c r="KL6" i="27"/>
  <c r="KK6" i="27"/>
  <c r="KJ6" i="27"/>
  <c r="KP7" i="27"/>
  <c r="KO7" i="27"/>
  <c r="KM7" i="27"/>
  <c r="KL7" i="27"/>
  <c r="KK7" i="27"/>
  <c r="KN7" i="27" s="1"/>
  <c r="KJ7" i="27"/>
  <c r="KP4" i="27"/>
  <c r="KO4" i="27"/>
  <c r="KM4" i="27"/>
  <c r="KL4" i="27"/>
  <c r="KK4" i="27"/>
  <c r="KJ4" i="27"/>
  <c r="KP5" i="27"/>
  <c r="KO5" i="27"/>
  <c r="KM5" i="27"/>
  <c r="KL5" i="27"/>
  <c r="KK5" i="27"/>
  <c r="KJ5" i="27"/>
  <c r="JN18" i="27"/>
  <c r="JM18" i="27"/>
  <c r="JK18" i="27"/>
  <c r="JJ18" i="27"/>
  <c r="JI18" i="27"/>
  <c r="JH18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6" i="27"/>
  <c r="JM16" i="27"/>
  <c r="JK16" i="27"/>
  <c r="JJ16" i="27"/>
  <c r="JI16" i="27"/>
  <c r="JL16" i="27" s="1"/>
  <c r="JH16" i="27"/>
  <c r="JN14" i="27"/>
  <c r="JM14" i="27"/>
  <c r="JK14" i="27"/>
  <c r="JJ14" i="27"/>
  <c r="JI14" i="27"/>
  <c r="JO14" i="27" s="1"/>
  <c r="JH14" i="27"/>
  <c r="JN12" i="27"/>
  <c r="JM12" i="27"/>
  <c r="JK12" i="27"/>
  <c r="JJ12" i="27"/>
  <c r="JI12" i="27"/>
  <c r="JH12" i="27"/>
  <c r="JN11" i="27"/>
  <c r="JM11" i="27"/>
  <c r="JK11" i="27"/>
  <c r="JJ11" i="27"/>
  <c r="JI11" i="27"/>
  <c r="JH11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8" i="27"/>
  <c r="JM8" i="27"/>
  <c r="JK8" i="27"/>
  <c r="JJ8" i="27"/>
  <c r="JI8" i="27"/>
  <c r="JL8" i="27" s="1"/>
  <c r="JH8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5" i="27"/>
  <c r="JM5" i="27"/>
  <c r="JK5" i="27"/>
  <c r="JJ5" i="27"/>
  <c r="JI5" i="27"/>
  <c r="JH5" i="27"/>
  <c r="IL18" i="27"/>
  <c r="IK18" i="27"/>
  <c r="II18" i="27"/>
  <c r="IH18" i="27"/>
  <c r="IG18" i="27"/>
  <c r="IF18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6" i="27"/>
  <c r="IK16" i="27"/>
  <c r="II16" i="27"/>
  <c r="IH16" i="27"/>
  <c r="IG16" i="27"/>
  <c r="IJ16" i="27" s="1"/>
  <c r="IF16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1" i="27"/>
  <c r="IK11" i="27"/>
  <c r="II11" i="27"/>
  <c r="IH11" i="27"/>
  <c r="IG11" i="27"/>
  <c r="IF11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8" i="27"/>
  <c r="IK8" i="27"/>
  <c r="II8" i="27"/>
  <c r="IH8" i="27"/>
  <c r="IG8" i="27"/>
  <c r="IJ8" i="27" s="1"/>
  <c r="IF8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5" i="27"/>
  <c r="IK5" i="27"/>
  <c r="II5" i="27"/>
  <c r="IH5" i="27"/>
  <c r="IG5" i="27"/>
  <c r="IF5" i="27"/>
  <c r="HJ18" i="27"/>
  <c r="HI18" i="27"/>
  <c r="HG18" i="27"/>
  <c r="HF18" i="27"/>
  <c r="HE18" i="27"/>
  <c r="HK18" i="27" s="1"/>
  <c r="HD18" i="27"/>
  <c r="HJ17" i="27"/>
  <c r="HI17" i="27"/>
  <c r="HG17" i="27"/>
  <c r="HF17" i="27"/>
  <c r="HE17" i="27"/>
  <c r="HD17" i="27"/>
  <c r="HJ15" i="27"/>
  <c r="HI15" i="27"/>
  <c r="HG15" i="27"/>
  <c r="HF15" i="27"/>
  <c r="HE15" i="27"/>
  <c r="HK15" i="27" s="1"/>
  <c r="HD15" i="27"/>
  <c r="HJ16" i="27"/>
  <c r="HI16" i="27"/>
  <c r="HG16" i="27"/>
  <c r="HF16" i="27"/>
  <c r="HE16" i="27"/>
  <c r="HH16" i="27" s="1"/>
  <c r="HD16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1" i="27"/>
  <c r="HI11" i="27"/>
  <c r="HG11" i="27"/>
  <c r="HF11" i="27"/>
  <c r="HE11" i="27"/>
  <c r="HD11" i="27"/>
  <c r="HJ10" i="27"/>
  <c r="HI10" i="27"/>
  <c r="HG10" i="27"/>
  <c r="HF10" i="27"/>
  <c r="HE10" i="27"/>
  <c r="HK10" i="27" s="1"/>
  <c r="HD10" i="27"/>
  <c r="HJ13" i="27"/>
  <c r="HI13" i="27"/>
  <c r="HG13" i="27"/>
  <c r="HF13" i="27"/>
  <c r="HE13" i="27"/>
  <c r="HD13" i="27"/>
  <c r="HJ9" i="27"/>
  <c r="HI9" i="27"/>
  <c r="HG9" i="27"/>
  <c r="HF9" i="27"/>
  <c r="HE9" i="27"/>
  <c r="HK9" i="27" s="1"/>
  <c r="HD9" i="27"/>
  <c r="HJ8" i="27"/>
  <c r="HI8" i="27"/>
  <c r="HG8" i="27"/>
  <c r="HF8" i="27"/>
  <c r="HE8" i="27"/>
  <c r="HH8" i="27" s="1"/>
  <c r="HD8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5" i="27"/>
  <c r="HI5" i="27"/>
  <c r="HG5" i="27"/>
  <c r="HF5" i="27"/>
  <c r="HE5" i="27"/>
  <c r="HD5" i="27"/>
  <c r="GH18" i="27"/>
  <c r="GG18" i="27"/>
  <c r="GE18" i="27"/>
  <c r="GD18" i="27"/>
  <c r="GC18" i="27"/>
  <c r="GB18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6" i="27"/>
  <c r="GG16" i="27"/>
  <c r="GE16" i="27"/>
  <c r="GD16" i="27"/>
  <c r="GC16" i="27"/>
  <c r="GB16" i="27"/>
  <c r="GH14" i="27"/>
  <c r="GG14" i="27"/>
  <c r="GE14" i="27"/>
  <c r="GD14" i="27"/>
  <c r="GC14" i="27"/>
  <c r="GB14" i="27"/>
  <c r="GH12" i="27"/>
  <c r="GG12" i="27"/>
  <c r="GE12" i="27"/>
  <c r="GD12" i="27"/>
  <c r="GC12" i="27"/>
  <c r="GF12" i="27" s="1"/>
  <c r="GB12" i="27"/>
  <c r="GH11" i="27"/>
  <c r="GG11" i="27"/>
  <c r="GE11" i="27"/>
  <c r="GD11" i="27"/>
  <c r="GC11" i="27"/>
  <c r="GF11" i="27" s="1"/>
  <c r="GB11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8" i="27"/>
  <c r="GG8" i="27"/>
  <c r="GE8" i="27"/>
  <c r="GD8" i="27"/>
  <c r="GC8" i="27"/>
  <c r="GB8" i="27"/>
  <c r="GH6" i="27"/>
  <c r="GG6" i="27"/>
  <c r="GE6" i="27"/>
  <c r="GD6" i="27"/>
  <c r="GC6" i="27"/>
  <c r="GB6" i="27"/>
  <c r="GH7" i="27"/>
  <c r="GG7" i="27"/>
  <c r="GE7" i="27"/>
  <c r="GD7" i="27"/>
  <c r="GC7" i="27"/>
  <c r="GF7" i="27" s="1"/>
  <c r="GB7" i="27"/>
  <c r="GH4" i="27"/>
  <c r="GG4" i="27"/>
  <c r="GE4" i="27"/>
  <c r="GD4" i="27"/>
  <c r="GC4" i="27"/>
  <c r="GF4" i="27" s="1"/>
  <c r="GB4" i="27"/>
  <c r="GH5" i="27"/>
  <c r="GG5" i="27"/>
  <c r="GE5" i="27"/>
  <c r="GD5" i="27"/>
  <c r="GC5" i="27"/>
  <c r="GB5" i="27"/>
  <c r="FF18" i="27"/>
  <c r="FE18" i="27"/>
  <c r="FC18" i="27"/>
  <c r="FB18" i="27"/>
  <c r="FA18" i="27"/>
  <c r="FG18" i="27" s="1"/>
  <c r="EZ18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6" i="27"/>
  <c r="FE16" i="27"/>
  <c r="FC16" i="27"/>
  <c r="FB16" i="27"/>
  <c r="FA16" i="27"/>
  <c r="EZ16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1" i="27"/>
  <c r="FE11" i="27"/>
  <c r="FC11" i="27"/>
  <c r="FB11" i="27"/>
  <c r="FA11" i="27"/>
  <c r="FD11" i="27" s="1"/>
  <c r="EZ11" i="27"/>
  <c r="FF10" i="27"/>
  <c r="FE10" i="27"/>
  <c r="FC10" i="27"/>
  <c r="FB10" i="27"/>
  <c r="FA10" i="27"/>
  <c r="FG10" i="27" s="1"/>
  <c r="EZ10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8" i="27"/>
  <c r="FE8" i="27"/>
  <c r="FC8" i="27"/>
  <c r="FB8" i="27"/>
  <c r="FA8" i="27"/>
  <c r="EZ8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4" i="27"/>
  <c r="FE4" i="27"/>
  <c r="FC4" i="27"/>
  <c r="FB4" i="27"/>
  <c r="FA4" i="27"/>
  <c r="EZ4" i="27"/>
  <c r="FF5" i="27"/>
  <c r="FE5" i="27"/>
  <c r="FC5" i="27"/>
  <c r="FB5" i="27"/>
  <c r="FA5" i="27"/>
  <c r="FG5" i="27" s="1"/>
  <c r="EZ5" i="27"/>
  <c r="ED18" i="27"/>
  <c r="EC18" i="27"/>
  <c r="EA18" i="27"/>
  <c r="DZ18" i="27"/>
  <c r="DY18" i="27"/>
  <c r="DX18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6" i="27"/>
  <c r="EC16" i="27"/>
  <c r="EA16" i="27"/>
  <c r="DZ16" i="27"/>
  <c r="DY16" i="27"/>
  <c r="EB16" i="27" s="1"/>
  <c r="DX16" i="27"/>
  <c r="ED14" i="27"/>
  <c r="EC14" i="27"/>
  <c r="EA14" i="27"/>
  <c r="DZ14" i="27"/>
  <c r="DY14" i="27"/>
  <c r="EE14" i="27" s="1"/>
  <c r="DX14" i="27"/>
  <c r="ED12" i="27"/>
  <c r="EC12" i="27"/>
  <c r="EA12" i="27"/>
  <c r="DZ12" i="27"/>
  <c r="DY12" i="27"/>
  <c r="EB12" i="27" s="1"/>
  <c r="DX12" i="27"/>
  <c r="ED11" i="27"/>
  <c r="EC11" i="27"/>
  <c r="EA11" i="27"/>
  <c r="DZ11" i="27"/>
  <c r="DY11" i="27"/>
  <c r="EE11" i="27" s="1"/>
  <c r="DX11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8" i="27"/>
  <c r="EC8" i="27"/>
  <c r="EA8" i="27"/>
  <c r="DZ8" i="27"/>
  <c r="DY8" i="27"/>
  <c r="DX8" i="27"/>
  <c r="ED6" i="27"/>
  <c r="EC6" i="27"/>
  <c r="EA6" i="27"/>
  <c r="DZ6" i="27"/>
  <c r="DY6" i="27"/>
  <c r="EE6" i="27" s="1"/>
  <c r="DX6" i="27"/>
  <c r="ED7" i="27"/>
  <c r="EC7" i="27"/>
  <c r="EA7" i="27"/>
  <c r="DZ7" i="27"/>
  <c r="DY7" i="27"/>
  <c r="EB7" i="27" s="1"/>
  <c r="DX7" i="27"/>
  <c r="ED4" i="27"/>
  <c r="EC4" i="27"/>
  <c r="EA4" i="27"/>
  <c r="DZ4" i="27"/>
  <c r="DY4" i="27"/>
  <c r="EB4" i="27" s="1"/>
  <c r="DX4" i="27"/>
  <c r="ED5" i="27"/>
  <c r="EC5" i="27"/>
  <c r="EA5" i="27"/>
  <c r="DZ5" i="27"/>
  <c r="DY5" i="27"/>
  <c r="DX5" i="27"/>
  <c r="SD13" i="26"/>
  <c r="SC13" i="26"/>
  <c r="SA13" i="26"/>
  <c r="RZ13" i="26"/>
  <c r="RY13" i="26"/>
  <c r="SE13" i="26" s="1"/>
  <c r="RX13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SB8" i="26" s="1"/>
  <c r="RX8" i="26"/>
  <c r="SD6" i="26"/>
  <c r="SC6" i="26"/>
  <c r="SA6" i="26"/>
  <c r="RZ6" i="26"/>
  <c r="RY6" i="26"/>
  <c r="RX6" i="26"/>
  <c r="SD7" i="26"/>
  <c r="SC7" i="26"/>
  <c r="SA7" i="26"/>
  <c r="RZ7" i="26"/>
  <c r="RY7" i="26"/>
  <c r="SE7" i="26" s="1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3" i="26"/>
  <c r="RA13" i="26"/>
  <c r="QY13" i="26"/>
  <c r="QX13" i="26"/>
  <c r="QW13" i="26"/>
  <c r="QV13" i="26"/>
  <c r="RB12" i="26"/>
  <c r="RA12" i="26"/>
  <c r="QY12" i="26"/>
  <c r="QX12" i="26"/>
  <c r="QW12" i="26"/>
  <c r="QV12" i="26"/>
  <c r="RB11" i="26"/>
  <c r="RA11" i="26"/>
  <c r="QY11" i="26"/>
  <c r="QX11" i="26"/>
  <c r="QW11" i="26"/>
  <c r="RC11" i="26" s="1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RC9" i="26" s="1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RC4" i="26" s="1"/>
  <c r="QV4" i="26"/>
  <c r="PZ13" i="26"/>
  <c r="PY13" i="26"/>
  <c r="PW13" i="26"/>
  <c r="PV13" i="26"/>
  <c r="PU13" i="26"/>
  <c r="PT13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X8" i="26" s="1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3" i="26"/>
  <c r="OW13" i="26"/>
  <c r="OU13" i="26"/>
  <c r="OT13" i="26"/>
  <c r="OS13" i="26"/>
  <c r="OR13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V8" i="26" s="1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3" i="26"/>
  <c r="NU13" i="26"/>
  <c r="NS13" i="26"/>
  <c r="NR13" i="26"/>
  <c r="NQ13" i="26"/>
  <c r="NP13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3" i="26"/>
  <c r="MS13" i="26"/>
  <c r="MQ13" i="26"/>
  <c r="MP13" i="26"/>
  <c r="MO13" i="26"/>
  <c r="MN13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R10" i="26" s="1"/>
  <c r="MN10" i="26"/>
  <c r="MT9" i="26"/>
  <c r="MS9" i="26"/>
  <c r="MQ9" i="26"/>
  <c r="MP9" i="26"/>
  <c r="MO9" i="26"/>
  <c r="MU9" i="26" s="1"/>
  <c r="MN9" i="26"/>
  <c r="MT8" i="26"/>
  <c r="MS8" i="26"/>
  <c r="MQ8" i="26"/>
  <c r="MP8" i="26"/>
  <c r="MO8" i="26"/>
  <c r="MR8" i="26" s="1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3" i="26"/>
  <c r="LQ13" i="26"/>
  <c r="LO13" i="26"/>
  <c r="LN13" i="26"/>
  <c r="LM13" i="26"/>
  <c r="LL13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P10" i="26" s="1"/>
  <c r="LL10" i="26"/>
  <c r="LR9" i="26"/>
  <c r="LQ9" i="26"/>
  <c r="LO9" i="26"/>
  <c r="LN9" i="26"/>
  <c r="LM9" i="26"/>
  <c r="LL9" i="26"/>
  <c r="LR8" i="26"/>
  <c r="LQ8" i="26"/>
  <c r="LO8" i="26"/>
  <c r="LN8" i="26"/>
  <c r="LM8" i="26"/>
  <c r="LP8" i="26" s="1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3" i="26"/>
  <c r="KO13" i="26"/>
  <c r="KM13" i="26"/>
  <c r="KL13" i="26"/>
  <c r="KK13" i="26"/>
  <c r="KJ13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N8" i="26" s="1"/>
  <c r="KJ8" i="26"/>
  <c r="KP6" i="26"/>
  <c r="KO6" i="26"/>
  <c r="KM6" i="26"/>
  <c r="KL6" i="26"/>
  <c r="KK6" i="26"/>
  <c r="KN6" i="26" s="1"/>
  <c r="KJ6" i="26"/>
  <c r="KP7" i="26"/>
  <c r="KO7" i="26"/>
  <c r="KM7" i="26"/>
  <c r="KL7" i="26"/>
  <c r="KK7" i="26"/>
  <c r="KQ7" i="26" s="1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3" i="26"/>
  <c r="JM13" i="26"/>
  <c r="JK13" i="26"/>
  <c r="JJ13" i="26"/>
  <c r="JI13" i="26"/>
  <c r="JH13" i="26"/>
  <c r="JN12" i="26"/>
  <c r="JM12" i="26"/>
  <c r="JK12" i="26"/>
  <c r="JJ12" i="26"/>
  <c r="JI12" i="26"/>
  <c r="JH12" i="26"/>
  <c r="JN11" i="26"/>
  <c r="JM11" i="26"/>
  <c r="JK11" i="26"/>
  <c r="JJ11" i="26"/>
  <c r="JI11" i="26"/>
  <c r="JO11" i="26" s="1"/>
  <c r="JH11" i="26"/>
  <c r="JN10" i="26"/>
  <c r="JM10" i="26"/>
  <c r="JK10" i="26"/>
  <c r="JJ10" i="26"/>
  <c r="JI10" i="26"/>
  <c r="JL10" i="26" s="1"/>
  <c r="JH10" i="26"/>
  <c r="JN9" i="26"/>
  <c r="JM9" i="26"/>
  <c r="JK9" i="26"/>
  <c r="JJ9" i="26"/>
  <c r="JI9" i="26"/>
  <c r="JO9" i="26" s="1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O4" i="26" s="1"/>
  <c r="JH4" i="26"/>
  <c r="IL13" i="26"/>
  <c r="IK13" i="26"/>
  <c r="II13" i="26"/>
  <c r="IH13" i="26"/>
  <c r="IG13" i="26"/>
  <c r="IF13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J10" i="26" s="1"/>
  <c r="IF10" i="26"/>
  <c r="IL9" i="26"/>
  <c r="IK9" i="26"/>
  <c r="II9" i="26"/>
  <c r="IH9" i="26"/>
  <c r="IG9" i="26"/>
  <c r="IF9" i="26"/>
  <c r="IL8" i="26"/>
  <c r="IK8" i="26"/>
  <c r="II8" i="26"/>
  <c r="IH8" i="26"/>
  <c r="IG8" i="26"/>
  <c r="IJ8" i="26" s="1"/>
  <c r="IF8" i="26"/>
  <c r="IL6" i="26"/>
  <c r="IK6" i="26"/>
  <c r="II6" i="26"/>
  <c r="IH6" i="26"/>
  <c r="IG6" i="26"/>
  <c r="IM6" i="26" s="1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3" i="26"/>
  <c r="HI13" i="26"/>
  <c r="HG13" i="26"/>
  <c r="HF13" i="26"/>
  <c r="HE13" i="26"/>
  <c r="HD13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H8" i="26" s="1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3" i="26"/>
  <c r="GG13" i="26"/>
  <c r="GE13" i="26"/>
  <c r="GD13" i="26"/>
  <c r="GC13" i="26"/>
  <c r="GI13" i="26" s="1"/>
  <c r="GB13" i="26"/>
  <c r="GH12" i="26"/>
  <c r="GG12" i="26"/>
  <c r="GE12" i="26"/>
  <c r="GD12" i="26"/>
  <c r="GC12" i="26"/>
  <c r="GB12" i="26"/>
  <c r="GH11" i="26"/>
  <c r="GG11" i="26"/>
  <c r="GE11" i="26"/>
  <c r="GD11" i="26"/>
  <c r="GC11" i="26"/>
  <c r="GI11" i="26" s="1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I7" i="26" s="1"/>
  <c r="GB7" i="26"/>
  <c r="GH5" i="26"/>
  <c r="GG5" i="26"/>
  <c r="GE5" i="26"/>
  <c r="GD5" i="26"/>
  <c r="GC5" i="26"/>
  <c r="GB5" i="26"/>
  <c r="GH4" i="26"/>
  <c r="GG4" i="26"/>
  <c r="GE4" i="26"/>
  <c r="GD4" i="26"/>
  <c r="GC4" i="26"/>
  <c r="GI4" i="26" s="1"/>
  <c r="GB4" i="26"/>
  <c r="FF13" i="26"/>
  <c r="FE13" i="26"/>
  <c r="FC13" i="26"/>
  <c r="FB13" i="26"/>
  <c r="FA13" i="26"/>
  <c r="EZ13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FG9" i="26" s="1"/>
  <c r="EZ9" i="26"/>
  <c r="FF8" i="26"/>
  <c r="FE8" i="26"/>
  <c r="FC8" i="26"/>
  <c r="FB8" i="26"/>
  <c r="FA8" i="26"/>
  <c r="FD8" i="26" s="1"/>
  <c r="EZ8" i="26"/>
  <c r="FF6" i="26"/>
  <c r="FE6" i="26"/>
  <c r="FC6" i="26"/>
  <c r="FB6" i="26"/>
  <c r="FA6" i="26"/>
  <c r="FG6" i="26" s="1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3" i="26"/>
  <c r="EC13" i="26"/>
  <c r="EA13" i="26"/>
  <c r="DZ13" i="26"/>
  <c r="DY13" i="26"/>
  <c r="DX13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EB10" i="26" s="1"/>
  <c r="DX10" i="26"/>
  <c r="ED9" i="26"/>
  <c r="EC9" i="26"/>
  <c r="EA9" i="26"/>
  <c r="DZ9" i="26"/>
  <c r="DY9" i="26"/>
  <c r="DX9" i="26"/>
  <c r="ED8" i="26"/>
  <c r="EC8" i="26"/>
  <c r="EA8" i="26"/>
  <c r="DZ8" i="26"/>
  <c r="DY8" i="26"/>
  <c r="EB8" i="26" s="1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V11" i="24" s="1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V9" i="24" s="1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N10" i="24" s="1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N5" i="24" s="1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F11" i="24" s="1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F6" i="24" s="1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H6" i="24" s="1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J5" i="24" s="1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JB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JB6" i="24" s="1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JB4" i="24" s="1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T5" i="24" s="1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L5" i="24" s="1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V10" i="24" s="1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V13" i="23" s="1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V12" i="23" s="1"/>
  <c r="UQ12" i="23"/>
  <c r="UP12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V6" i="23" s="1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V4" i="23" s="1"/>
  <c r="UQ4" i="23"/>
  <c r="UP4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N12" i="23" s="1"/>
  <c r="TI12" i="23"/>
  <c r="TH12" i="23"/>
  <c r="TT10" i="23"/>
  <c r="TS10" i="23"/>
  <c r="TR10" i="23"/>
  <c r="TQ10" i="23"/>
  <c r="TP10" i="23"/>
  <c r="TO10" i="23"/>
  <c r="TM10" i="23"/>
  <c r="TL10" i="23"/>
  <c r="TK10" i="23"/>
  <c r="TJ10" i="23"/>
  <c r="TN10" i="23" s="1"/>
  <c r="TI10" i="23"/>
  <c r="TH10" i="23"/>
  <c r="TT9" i="23"/>
  <c r="TS9" i="23"/>
  <c r="TR9" i="23"/>
  <c r="TQ9" i="23"/>
  <c r="TP9" i="23"/>
  <c r="TO9" i="23"/>
  <c r="TM9" i="23"/>
  <c r="TL9" i="23"/>
  <c r="TK9" i="23"/>
  <c r="TJ9" i="23"/>
  <c r="TN9" i="23" s="1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N4" i="23" s="1"/>
  <c r="TI4" i="23"/>
  <c r="TH4" i="23"/>
  <c r="TT11" i="23"/>
  <c r="TS11" i="23"/>
  <c r="TR11" i="23"/>
  <c r="TQ11" i="23"/>
  <c r="TP11" i="23"/>
  <c r="TO11" i="23"/>
  <c r="TM11" i="23"/>
  <c r="TL11" i="23"/>
  <c r="TK11" i="23"/>
  <c r="TJ11" i="23"/>
  <c r="TN11" i="23" s="1"/>
  <c r="TI11" i="23"/>
  <c r="TH11" i="23"/>
  <c r="SL15" i="23"/>
  <c r="SK15" i="23"/>
  <c r="SJ15" i="23"/>
  <c r="SI15" i="23"/>
  <c r="SH15" i="23"/>
  <c r="SG15" i="23"/>
  <c r="SE15" i="23"/>
  <c r="SD15" i="23"/>
  <c r="SC15" i="23"/>
  <c r="SB15" i="23"/>
  <c r="SF15" i="23" s="1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F9" i="23" s="1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F7" i="23" s="1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X6" i="23" s="1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P13" i="23" s="1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0" i="23"/>
  <c r="PU10" i="23"/>
  <c r="PT10" i="23"/>
  <c r="PS10" i="23"/>
  <c r="PR10" i="23"/>
  <c r="PQ10" i="23"/>
  <c r="PO10" i="23"/>
  <c r="PN10" i="23"/>
  <c r="PM10" i="23"/>
  <c r="PL10" i="23"/>
  <c r="PP10" i="23" s="1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1" i="23"/>
  <c r="PU11" i="23"/>
  <c r="PT11" i="23"/>
  <c r="PS11" i="23"/>
  <c r="PR11" i="23"/>
  <c r="PQ11" i="23"/>
  <c r="PO11" i="23"/>
  <c r="PN11" i="23"/>
  <c r="PM11" i="23"/>
  <c r="PL11" i="23"/>
  <c r="PP11" i="23" s="1"/>
  <c r="PK11" i="23"/>
  <c r="PJ11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H9" i="23" s="1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NF15" i="23"/>
  <c r="NE15" i="23"/>
  <c r="ND15" i="23"/>
  <c r="NC15" i="23"/>
  <c r="NB15" i="23"/>
  <c r="NA15" i="23"/>
  <c r="MY15" i="23"/>
  <c r="MX15" i="23"/>
  <c r="MW15" i="23"/>
  <c r="MV15" i="23"/>
  <c r="MZ15" i="23" s="1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Z14" i="23" s="1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Z6" i="23" s="1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R13" i="23" s="1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R12" i="23" s="1"/>
  <c r="LM12" i="23"/>
  <c r="LL12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0" i="23"/>
  <c r="KO10" i="23"/>
  <c r="KN10" i="23"/>
  <c r="KM10" i="23"/>
  <c r="KL10" i="23"/>
  <c r="KK10" i="23"/>
  <c r="KI10" i="23"/>
  <c r="KH10" i="23"/>
  <c r="KG10" i="23"/>
  <c r="KF10" i="23"/>
  <c r="KJ10" i="23" s="1"/>
  <c r="KE10" i="23"/>
  <c r="KD10" i="23"/>
  <c r="KP9" i="23"/>
  <c r="KO9" i="23"/>
  <c r="KN9" i="23"/>
  <c r="KM9" i="23"/>
  <c r="KL9" i="23"/>
  <c r="KK9" i="23"/>
  <c r="KI9" i="23"/>
  <c r="KH9" i="23"/>
  <c r="KG9" i="23"/>
  <c r="KF9" i="23"/>
  <c r="KJ9" i="23" s="1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J4" i="23" s="1"/>
  <c r="KE4" i="23"/>
  <c r="KD4" i="23"/>
  <c r="KP11" i="23"/>
  <c r="KO11" i="23"/>
  <c r="KN11" i="23"/>
  <c r="KM11" i="23"/>
  <c r="KL11" i="23"/>
  <c r="KK11" i="23"/>
  <c r="KI11" i="23"/>
  <c r="KH11" i="23"/>
  <c r="KG11" i="23"/>
  <c r="KF11" i="23"/>
  <c r="KJ11" i="23" s="1"/>
  <c r="KE11" i="23"/>
  <c r="KD11" i="23"/>
  <c r="JH15" i="23"/>
  <c r="JG15" i="23"/>
  <c r="JF15" i="23"/>
  <c r="JE15" i="23"/>
  <c r="JD15" i="23"/>
  <c r="JC15" i="23"/>
  <c r="JA15" i="23"/>
  <c r="IZ15" i="23"/>
  <c r="IY15" i="23"/>
  <c r="IX15" i="23"/>
  <c r="JB15" i="23" s="1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JB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JB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HZ15" i="23"/>
  <c r="HY15" i="23"/>
  <c r="HX15" i="23"/>
  <c r="HW15" i="23"/>
  <c r="HV15" i="23"/>
  <c r="HU15" i="23"/>
  <c r="HS15" i="23"/>
  <c r="HR15" i="23"/>
  <c r="HQ15" i="23"/>
  <c r="HP15" i="23"/>
  <c r="HT15" i="23" s="1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T6" i="23" s="1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L13" i="23" s="1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0" i="23"/>
  <c r="GQ10" i="23"/>
  <c r="GP10" i="23"/>
  <c r="GO10" i="23"/>
  <c r="GN10" i="23"/>
  <c r="GM10" i="23"/>
  <c r="GK10" i="23"/>
  <c r="GJ10" i="23"/>
  <c r="GI10" i="23"/>
  <c r="GH10" i="23"/>
  <c r="GL10" i="23" s="1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L5" i="23" s="1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1" i="23"/>
  <c r="GQ11" i="23"/>
  <c r="GP11" i="23"/>
  <c r="GO11" i="23"/>
  <c r="GN11" i="23"/>
  <c r="GM11" i="23"/>
  <c r="GK11" i="23"/>
  <c r="GJ11" i="23"/>
  <c r="GI11" i="23"/>
  <c r="GH11" i="23"/>
  <c r="GL11" i="23" s="1"/>
  <c r="GG11" i="23"/>
  <c r="GF11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FD9" i="23" s="1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EB15" i="23"/>
  <c r="EA15" i="23"/>
  <c r="DZ15" i="23"/>
  <c r="DY15" i="23"/>
  <c r="DX15" i="23"/>
  <c r="DW15" i="23"/>
  <c r="DU15" i="23"/>
  <c r="DT15" i="23"/>
  <c r="DS15" i="23"/>
  <c r="DR15" i="23"/>
  <c r="DV15" i="23" s="1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V14" i="23" s="1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V6" i="23" s="1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VD13" i="22" s="1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VD12" i="22" s="1"/>
  <c r="UY12" i="22"/>
  <c r="UX12" i="22"/>
  <c r="VJ10" i="22"/>
  <c r="VI10" i="22"/>
  <c r="VH10" i="22"/>
  <c r="VG10" i="22"/>
  <c r="VF10" i="22"/>
  <c r="VE10" i="22"/>
  <c r="VC10" i="22"/>
  <c r="VB10" i="22"/>
  <c r="VA10" i="22"/>
  <c r="UZ10" i="22"/>
  <c r="VD10" i="22" s="1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5" i="22"/>
  <c r="VI5" i="22"/>
  <c r="VH5" i="22"/>
  <c r="VG5" i="22"/>
  <c r="VF5" i="22"/>
  <c r="VE5" i="22"/>
  <c r="VC5" i="22"/>
  <c r="VB5" i="22"/>
  <c r="VA5" i="22"/>
  <c r="UZ5" i="22"/>
  <c r="VD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VD4" i="22" s="1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TQ8" i="22"/>
  <c r="TP8" i="22"/>
  <c r="UB11" i="22"/>
  <c r="UA11" i="22"/>
  <c r="TZ11" i="22"/>
  <c r="TY11" i="22"/>
  <c r="TX11" i="22"/>
  <c r="TW11" i="22"/>
  <c r="TU11" i="22"/>
  <c r="TT11" i="22"/>
  <c r="TS11" i="22"/>
  <c r="TR11" i="22"/>
  <c r="TV11" i="22" s="1"/>
  <c r="TQ11" i="22"/>
  <c r="TP11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N14" i="22" s="1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N12" i="22" s="1"/>
  <c r="SI12" i="22"/>
  <c r="SH12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7" i="22"/>
  <c r="SS7" i="22"/>
  <c r="SR7" i="22"/>
  <c r="SQ7" i="22"/>
  <c r="SP7" i="22"/>
  <c r="SO7" i="22"/>
  <c r="SM7" i="22"/>
  <c r="SL7" i="22"/>
  <c r="SK7" i="22"/>
  <c r="SJ7" i="22"/>
  <c r="SN7" i="22" s="1"/>
  <c r="SI7" i="22"/>
  <c r="SH7" i="22"/>
  <c r="ST6" i="22"/>
  <c r="SS6" i="22"/>
  <c r="SR6" i="22"/>
  <c r="SQ6" i="22"/>
  <c r="SP6" i="22"/>
  <c r="SO6" i="22"/>
  <c r="SM6" i="22"/>
  <c r="SL6" i="22"/>
  <c r="SK6" i="22"/>
  <c r="SJ6" i="22"/>
  <c r="SN6" i="22" s="1"/>
  <c r="SI6" i="22"/>
  <c r="SH6" i="22"/>
  <c r="ST5" i="22"/>
  <c r="SS5" i="22"/>
  <c r="SR5" i="22"/>
  <c r="SQ5" i="22"/>
  <c r="SP5" i="22"/>
  <c r="SO5" i="22"/>
  <c r="SM5" i="22"/>
  <c r="SL5" i="22"/>
  <c r="SK5" i="22"/>
  <c r="SJ5" i="22"/>
  <c r="SN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A8" i="22"/>
  <c r="QZ8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1" i="22"/>
  <c r="QC11" i="22"/>
  <c r="QB11" i="22"/>
  <c r="QA11" i="22"/>
  <c r="PZ11" i="22"/>
  <c r="PY11" i="22"/>
  <c r="PW11" i="22"/>
  <c r="PV11" i="22"/>
  <c r="PU11" i="22"/>
  <c r="PT11" i="22"/>
  <c r="PX11" i="22" s="1"/>
  <c r="PS11" i="22"/>
  <c r="PR11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H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1" i="22"/>
  <c r="NM11" i="22"/>
  <c r="NL11" i="22"/>
  <c r="NK11" i="22"/>
  <c r="NJ11" i="22"/>
  <c r="NI11" i="22"/>
  <c r="NG11" i="22"/>
  <c r="NF11" i="22"/>
  <c r="NE11" i="22"/>
  <c r="ND11" i="22"/>
  <c r="NH11" i="22" s="1"/>
  <c r="NC11" i="22"/>
  <c r="NB11" i="22"/>
  <c r="NN7" i="22"/>
  <c r="NM7" i="22"/>
  <c r="NL7" i="22"/>
  <c r="NK7" i="22"/>
  <c r="NJ7" i="22"/>
  <c r="NI7" i="22"/>
  <c r="NG7" i="22"/>
  <c r="NF7" i="22"/>
  <c r="NE7" i="22"/>
  <c r="ND7" i="22"/>
  <c r="NH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M8" i="22"/>
  <c r="KL8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1" i="22"/>
  <c r="GY11" i="22"/>
  <c r="GX11" i="22"/>
  <c r="GW11" i="22"/>
  <c r="GV11" i="22"/>
  <c r="GU11" i="22"/>
  <c r="GS11" i="22"/>
  <c r="GR11" i="22"/>
  <c r="GQ11" i="22"/>
  <c r="GP11" i="22"/>
  <c r="GT11" i="22" s="1"/>
  <c r="GO11" i="22"/>
  <c r="GN11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0" i="4"/>
  <c r="VI20" i="4"/>
  <c r="VH20" i="4"/>
  <c r="VG20" i="4"/>
  <c r="VF20" i="4"/>
  <c r="VE20" i="4"/>
  <c r="VC20" i="4"/>
  <c r="VB20" i="4"/>
  <c r="VA20" i="4"/>
  <c r="UZ20" i="4"/>
  <c r="VD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VD16" i="4" s="1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3" i="4"/>
  <c r="VI13" i="4"/>
  <c r="VH13" i="4"/>
  <c r="VG13" i="4"/>
  <c r="VF13" i="4"/>
  <c r="VE13" i="4"/>
  <c r="VC13" i="4"/>
  <c r="VB13" i="4"/>
  <c r="VA13" i="4"/>
  <c r="UZ13" i="4"/>
  <c r="VD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VD12" i="4" s="1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VD9" i="4" s="1"/>
  <c r="UY9" i="4"/>
  <c r="UX9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8" i="4"/>
  <c r="VI8" i="4"/>
  <c r="VH8" i="4"/>
  <c r="VG8" i="4"/>
  <c r="VF8" i="4"/>
  <c r="VE8" i="4"/>
  <c r="VC8" i="4"/>
  <c r="VB8" i="4"/>
  <c r="VA8" i="4"/>
  <c r="UZ8" i="4"/>
  <c r="VD8" i="4" s="1"/>
  <c r="UY8" i="4"/>
  <c r="UX8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4" i="4"/>
  <c r="UA24" i="4"/>
  <c r="TZ24" i="4"/>
  <c r="TY24" i="4"/>
  <c r="TX24" i="4"/>
  <c r="TW24" i="4"/>
  <c r="TU24" i="4"/>
  <c r="TT24" i="4"/>
  <c r="TS24" i="4"/>
  <c r="TR24" i="4"/>
  <c r="TV24" i="4" s="1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0" i="4"/>
  <c r="UA20" i="4"/>
  <c r="TZ20" i="4"/>
  <c r="TY20" i="4"/>
  <c r="TX20" i="4"/>
  <c r="TW20" i="4"/>
  <c r="TU20" i="4"/>
  <c r="TT20" i="4"/>
  <c r="TS20" i="4"/>
  <c r="TR20" i="4"/>
  <c r="TV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V16" i="4" s="1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2" i="4"/>
  <c r="UA12" i="4"/>
  <c r="TZ12" i="4"/>
  <c r="TY12" i="4"/>
  <c r="TX12" i="4"/>
  <c r="TW12" i="4"/>
  <c r="TU12" i="4"/>
  <c r="TT12" i="4"/>
  <c r="TS12" i="4"/>
  <c r="TR12" i="4"/>
  <c r="TV12" i="4" s="1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V9" i="4" s="1"/>
  <c r="TQ9" i="4"/>
  <c r="TP9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8" i="4"/>
  <c r="UA8" i="4"/>
  <c r="TZ8" i="4"/>
  <c r="TY8" i="4"/>
  <c r="TX8" i="4"/>
  <c r="TW8" i="4"/>
  <c r="TU8" i="4"/>
  <c r="TT8" i="4"/>
  <c r="TS8" i="4"/>
  <c r="TR8" i="4"/>
  <c r="TV8" i="4" s="1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0" i="4"/>
  <c r="SS20" i="4"/>
  <c r="SR20" i="4"/>
  <c r="SQ20" i="4"/>
  <c r="SP20" i="4"/>
  <c r="SO20" i="4"/>
  <c r="SM20" i="4"/>
  <c r="SL20" i="4"/>
  <c r="SK20" i="4"/>
  <c r="SJ20" i="4"/>
  <c r="SN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I19" i="4"/>
  <c r="SH1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3" i="4"/>
  <c r="SS13" i="4"/>
  <c r="SR13" i="4"/>
  <c r="SQ13" i="4"/>
  <c r="SP13" i="4"/>
  <c r="SO13" i="4"/>
  <c r="SM13" i="4"/>
  <c r="SL13" i="4"/>
  <c r="SK13" i="4"/>
  <c r="SJ13" i="4"/>
  <c r="SN13" i="4" s="1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N9" i="4" s="1"/>
  <c r="SI9" i="4"/>
  <c r="SH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8" i="4"/>
  <c r="SS8" i="4"/>
  <c r="SR8" i="4"/>
  <c r="SQ8" i="4"/>
  <c r="SP8" i="4"/>
  <c r="SO8" i="4"/>
  <c r="SM8" i="4"/>
  <c r="SL8" i="4"/>
  <c r="SK8" i="4"/>
  <c r="SJ8" i="4"/>
  <c r="SN8" i="4" s="1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4" i="4"/>
  <c r="RK24" i="4"/>
  <c r="RJ24" i="4"/>
  <c r="RI24" i="4"/>
  <c r="RH24" i="4"/>
  <c r="RG24" i="4"/>
  <c r="RE24" i="4"/>
  <c r="RD24" i="4"/>
  <c r="RC24" i="4"/>
  <c r="RB24" i="4"/>
  <c r="RF24" i="4" s="1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P24" i="4" s="1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P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Z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8" i="4"/>
  <c r="ME8" i="4"/>
  <c r="MD8" i="4"/>
  <c r="MC8" i="4"/>
  <c r="MB8" i="4"/>
  <c r="MA8" i="4"/>
  <c r="LY8" i="4"/>
  <c r="LX8" i="4"/>
  <c r="LW8" i="4"/>
  <c r="LV8" i="4"/>
  <c r="LZ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J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3" i="4"/>
  <c r="JO13" i="4"/>
  <c r="JN13" i="4"/>
  <c r="JM13" i="4"/>
  <c r="JL13" i="4"/>
  <c r="JK13" i="4"/>
  <c r="JI13" i="4"/>
  <c r="JH13" i="4"/>
  <c r="JG13" i="4"/>
  <c r="JF13" i="4"/>
  <c r="JJ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T24" i="4" s="1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L20" i="4" s="1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ED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K16" i="19"/>
  <c r="CL16" i="19"/>
  <c r="CM16" i="19"/>
  <c r="CN16" i="19"/>
  <c r="CO16" i="19"/>
  <c r="CP16" i="19"/>
  <c r="CQ16" i="19"/>
  <c r="CR16" i="19"/>
  <c r="BZ16" i="19"/>
  <c r="CA16" i="19"/>
  <c r="CB16" i="19"/>
  <c r="CC16" i="19"/>
  <c r="CD16" i="19"/>
  <c r="CE16" i="19"/>
  <c r="CF16" i="19"/>
  <c r="BY16" i="19"/>
  <c r="CR8" i="26"/>
  <c r="CR10" i="26"/>
  <c r="BZ8" i="26"/>
  <c r="CA8" i="26"/>
  <c r="CB8" i="26"/>
  <c r="CC8" i="26"/>
  <c r="CD8" i="26"/>
  <c r="CE8" i="26"/>
  <c r="CF8" i="26"/>
  <c r="CK8" i="26"/>
  <c r="CL8" i="26"/>
  <c r="CM8" i="26"/>
  <c r="CN8" i="26"/>
  <c r="CO8" i="26"/>
  <c r="CP8" i="26"/>
  <c r="CQ8" i="26"/>
  <c r="BZ10" i="26"/>
  <c r="CA10" i="26"/>
  <c r="CB10" i="26"/>
  <c r="CC10" i="26"/>
  <c r="CD10" i="26"/>
  <c r="CE10" i="26"/>
  <c r="CF10" i="26"/>
  <c r="CK10" i="26"/>
  <c r="CL10" i="26"/>
  <c r="CM10" i="26"/>
  <c r="CN10" i="26"/>
  <c r="CO10" i="26"/>
  <c r="CP10" i="26"/>
  <c r="CQ10" i="26"/>
  <c r="BY10" i="26"/>
  <c r="BY8" i="26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R22" i="21" s="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X22" i="21"/>
  <c r="CY22" i="21"/>
  <c r="CZ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19" i="19"/>
  <c r="AO19" i="19"/>
  <c r="AR19" i="19" s="1"/>
  <c r="AP19" i="19"/>
  <c r="AQ19" i="19"/>
  <c r="AS19" i="19"/>
  <c r="AT19" i="19"/>
  <c r="AU19" i="19" s="1"/>
  <c r="BQ19" i="19"/>
  <c r="BR19" i="19"/>
  <c r="BS19" i="19"/>
  <c r="BT19" i="19"/>
  <c r="BV19" i="19"/>
  <c r="BW19" i="19"/>
  <c r="CT19" i="19"/>
  <c r="CU19" i="19"/>
  <c r="CV19" i="19"/>
  <c r="CW19" i="19"/>
  <c r="CY19" i="19"/>
  <c r="CZ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AN12" i="27"/>
  <c r="AO12" i="27"/>
  <c r="AP12" i="27"/>
  <c r="AQ12" i="27"/>
  <c r="AS12" i="27"/>
  <c r="AT12" i="27"/>
  <c r="BQ12" i="27"/>
  <c r="BR12" i="27"/>
  <c r="BS12" i="27"/>
  <c r="BT12" i="27"/>
  <c r="BV12" i="27"/>
  <c r="BW12" i="27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AG6" i="23"/>
  <c r="AH6" i="23"/>
  <c r="AI6" i="23"/>
  <c r="AM6" i="23" s="1"/>
  <c r="AJ6" i="23"/>
  <c r="AK6" i="23"/>
  <c r="AL6" i="23"/>
  <c r="AN6" i="23"/>
  <c r="AO6" i="23"/>
  <c r="AP6" i="23"/>
  <c r="BH6" i="23"/>
  <c r="BI6" i="23"/>
  <c r="BJ6" i="23"/>
  <c r="BN6" i="23" s="1"/>
  <c r="BK6" i="23"/>
  <c r="BL6" i="23"/>
  <c r="BM6" i="23"/>
  <c r="BO6" i="23"/>
  <c r="BP6" i="23"/>
  <c r="BQ6" i="23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G8" i="23"/>
  <c r="AH8" i="23"/>
  <c r="AI8" i="23"/>
  <c r="AM8" i="23" s="1"/>
  <c r="AJ8" i="23"/>
  <c r="AK8" i="23"/>
  <c r="AL8" i="23"/>
  <c r="AN8" i="23"/>
  <c r="AO8" i="23"/>
  <c r="AP8" i="23"/>
  <c r="BH8" i="23"/>
  <c r="BI8" i="23"/>
  <c r="BJ8" i="23"/>
  <c r="BK8" i="23"/>
  <c r="BL8" i="23"/>
  <c r="BM8" i="23"/>
  <c r="BO8" i="23"/>
  <c r="BP8" i="23"/>
  <c r="BQ8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AO19" i="4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BW15" i="21"/>
  <c r="BV15" i="21"/>
  <c r="BT15" i="21"/>
  <c r="BS15" i="21"/>
  <c r="BR15" i="21"/>
  <c r="BQ15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6" i="21"/>
  <c r="BV16" i="21"/>
  <c r="BT16" i="21"/>
  <c r="BS16" i="21"/>
  <c r="BR16" i="21"/>
  <c r="BQ16" i="21"/>
  <c r="BW14" i="21"/>
  <c r="BV14" i="21"/>
  <c r="BT14" i="21"/>
  <c r="BS14" i="21"/>
  <c r="BR14" i="21"/>
  <c r="BQ14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12" i="21"/>
  <c r="BV12" i="21"/>
  <c r="BT12" i="21"/>
  <c r="BS12" i="21"/>
  <c r="BR12" i="21"/>
  <c r="BQ12" i="21"/>
  <c r="BW8" i="21"/>
  <c r="BV8" i="21"/>
  <c r="BT8" i="21"/>
  <c r="BS8" i="21"/>
  <c r="BR8" i="21"/>
  <c r="BQ8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5" i="21"/>
  <c r="AS15" i="21"/>
  <c r="AQ15" i="21"/>
  <c r="AP15" i="21"/>
  <c r="AO15" i="21"/>
  <c r="AN15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6" i="21"/>
  <c r="AS16" i="21"/>
  <c r="AQ16" i="21"/>
  <c r="AP16" i="21"/>
  <c r="AO16" i="21"/>
  <c r="AN16" i="21"/>
  <c r="AT14" i="21"/>
  <c r="AS14" i="21"/>
  <c r="AQ14" i="21"/>
  <c r="AP14" i="21"/>
  <c r="AO14" i="21"/>
  <c r="AN14" i="21"/>
  <c r="AT9" i="21"/>
  <c r="AS9" i="21"/>
  <c r="AQ9" i="21"/>
  <c r="AP9" i="21"/>
  <c r="AO9" i="21"/>
  <c r="AN9" i="21"/>
  <c r="AT19" i="21"/>
  <c r="AS19" i="21"/>
  <c r="AQ19" i="21"/>
  <c r="AP19" i="21"/>
  <c r="AO19" i="21"/>
  <c r="AN19" i="21"/>
  <c r="AT12" i="21"/>
  <c r="AS12" i="21"/>
  <c r="AQ12" i="21"/>
  <c r="AP12" i="21"/>
  <c r="AO12" i="21"/>
  <c r="AN12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N6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8" i="19"/>
  <c r="BV28" i="19"/>
  <c r="BT28" i="19"/>
  <c r="BS28" i="19"/>
  <c r="BR28" i="19"/>
  <c r="BQ28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0" i="19"/>
  <c r="BV30" i="19"/>
  <c r="BT30" i="19"/>
  <c r="BS30" i="19"/>
  <c r="BR30" i="19"/>
  <c r="BQ30" i="19"/>
  <c r="BW27" i="19"/>
  <c r="BV27" i="19"/>
  <c r="BT27" i="19"/>
  <c r="BS27" i="19"/>
  <c r="BR27" i="19"/>
  <c r="BQ27" i="19"/>
  <c r="BW20" i="19"/>
  <c r="BV20" i="19"/>
  <c r="BT20" i="19"/>
  <c r="BS20" i="19"/>
  <c r="BR20" i="19"/>
  <c r="BQ20" i="19"/>
  <c r="BW23" i="19"/>
  <c r="BV23" i="19"/>
  <c r="BT23" i="19"/>
  <c r="BS23" i="19"/>
  <c r="BR23" i="19"/>
  <c r="BQ23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9" i="19"/>
  <c r="BV29" i="19"/>
  <c r="BT29" i="19"/>
  <c r="BS29" i="19"/>
  <c r="BR29" i="19"/>
  <c r="BQ29" i="19"/>
  <c r="BW17" i="19"/>
  <c r="BV17" i="19"/>
  <c r="BT17" i="19"/>
  <c r="BS17" i="19"/>
  <c r="BR17" i="19"/>
  <c r="BQ17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4" i="19"/>
  <c r="BV14" i="19"/>
  <c r="BT14" i="19"/>
  <c r="BS14" i="19"/>
  <c r="BR14" i="19"/>
  <c r="BQ14" i="19"/>
  <c r="BW18" i="19"/>
  <c r="BV18" i="19"/>
  <c r="BT18" i="19"/>
  <c r="BS18" i="19"/>
  <c r="BR18" i="19"/>
  <c r="BQ18" i="19"/>
  <c r="BW9" i="19"/>
  <c r="BV9" i="19"/>
  <c r="BT9" i="19"/>
  <c r="BS9" i="19"/>
  <c r="BR9" i="19"/>
  <c r="BQ9" i="19"/>
  <c r="BW13" i="19"/>
  <c r="BV13" i="19"/>
  <c r="BT13" i="19"/>
  <c r="BS13" i="19"/>
  <c r="BR13" i="19"/>
  <c r="BQ13" i="19"/>
  <c r="BW24" i="19"/>
  <c r="BV24" i="19"/>
  <c r="BT24" i="19"/>
  <c r="BS24" i="19"/>
  <c r="BR24" i="19"/>
  <c r="BQ2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16" i="19"/>
  <c r="BV16" i="19"/>
  <c r="BT16" i="19"/>
  <c r="BS16" i="19"/>
  <c r="BR16" i="19"/>
  <c r="BQ16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7" i="19"/>
  <c r="BV7" i="19"/>
  <c r="BT7" i="19"/>
  <c r="BS7" i="19"/>
  <c r="BR7" i="19"/>
  <c r="BQ7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8" i="19"/>
  <c r="AS28" i="19"/>
  <c r="AQ28" i="19"/>
  <c r="AP28" i="19"/>
  <c r="AO28" i="19"/>
  <c r="AN28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0" i="19"/>
  <c r="AS30" i="19"/>
  <c r="AQ30" i="19"/>
  <c r="AP30" i="19"/>
  <c r="AO30" i="19"/>
  <c r="AN30" i="19"/>
  <c r="AT27" i="19"/>
  <c r="AS27" i="19"/>
  <c r="AQ27" i="19"/>
  <c r="AP27" i="19"/>
  <c r="AO27" i="19"/>
  <c r="AN27" i="19"/>
  <c r="AT20" i="19"/>
  <c r="AS20" i="19"/>
  <c r="AQ20" i="19"/>
  <c r="AP20" i="19"/>
  <c r="AO20" i="19"/>
  <c r="AN20" i="19"/>
  <c r="AT23" i="19"/>
  <c r="AS23" i="19"/>
  <c r="AQ23" i="19"/>
  <c r="AP23" i="19"/>
  <c r="AO23" i="19"/>
  <c r="AN23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9" i="19"/>
  <c r="AS29" i="19"/>
  <c r="AQ29" i="19"/>
  <c r="AP29" i="19"/>
  <c r="AO29" i="19"/>
  <c r="AN29" i="19"/>
  <c r="AT17" i="19"/>
  <c r="AS17" i="19"/>
  <c r="AQ17" i="19"/>
  <c r="AP17" i="19"/>
  <c r="AO17" i="19"/>
  <c r="AN17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4" i="19"/>
  <c r="AS14" i="19"/>
  <c r="AQ14" i="19"/>
  <c r="AP14" i="19"/>
  <c r="AO14" i="19"/>
  <c r="AN14" i="19"/>
  <c r="AT18" i="19"/>
  <c r="AS18" i="19"/>
  <c r="AQ18" i="19"/>
  <c r="AP18" i="19"/>
  <c r="AO18" i="19"/>
  <c r="AN18" i="19"/>
  <c r="AT9" i="19"/>
  <c r="AS9" i="19"/>
  <c r="AQ9" i="19"/>
  <c r="AP9" i="19"/>
  <c r="AO9" i="19"/>
  <c r="AN9" i="19"/>
  <c r="AT13" i="19"/>
  <c r="AS13" i="19"/>
  <c r="AQ13" i="19"/>
  <c r="AP13" i="19"/>
  <c r="AO13" i="19"/>
  <c r="AN13" i="19"/>
  <c r="AT24" i="19"/>
  <c r="AS24" i="19"/>
  <c r="AQ24" i="19"/>
  <c r="AP24" i="19"/>
  <c r="AO24" i="19"/>
  <c r="AN2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16" i="19"/>
  <c r="AS16" i="19"/>
  <c r="AQ16" i="19"/>
  <c r="AP16" i="19"/>
  <c r="AO16" i="19"/>
  <c r="AN16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7" i="19"/>
  <c r="AS7" i="19"/>
  <c r="AQ7" i="19"/>
  <c r="AP7" i="19"/>
  <c r="AO7" i="19"/>
  <c r="AN7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5" i="27"/>
  <c r="BV15" i="27"/>
  <c r="BT15" i="27"/>
  <c r="BS15" i="27"/>
  <c r="BR15" i="27"/>
  <c r="BQ15" i="27"/>
  <c r="BW16" i="27"/>
  <c r="BV16" i="27"/>
  <c r="BT16" i="27"/>
  <c r="BS16" i="27"/>
  <c r="BR16" i="27"/>
  <c r="BQ16" i="27"/>
  <c r="BW14" i="27"/>
  <c r="BV14" i="27"/>
  <c r="BT14" i="27"/>
  <c r="BS14" i="27"/>
  <c r="BR14" i="27"/>
  <c r="BQ14" i="27"/>
  <c r="BW11" i="27"/>
  <c r="BV11" i="27"/>
  <c r="BT11" i="27"/>
  <c r="BS11" i="27"/>
  <c r="BR11" i="27"/>
  <c r="BQ11" i="27"/>
  <c r="BW17" i="27"/>
  <c r="BV17" i="27"/>
  <c r="BT17" i="27"/>
  <c r="BS17" i="27"/>
  <c r="BR17" i="27"/>
  <c r="BQ17" i="27"/>
  <c r="BW10" i="27"/>
  <c r="BV10" i="27"/>
  <c r="BT10" i="27"/>
  <c r="BS10" i="27"/>
  <c r="BR10" i="27"/>
  <c r="BQ10" i="27"/>
  <c r="BW13" i="27"/>
  <c r="BV13" i="27"/>
  <c r="BT13" i="27"/>
  <c r="BS13" i="27"/>
  <c r="BR13" i="27"/>
  <c r="BQ13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5" i="27"/>
  <c r="BV5" i="27"/>
  <c r="BT5" i="27"/>
  <c r="BS5" i="27"/>
  <c r="BR5" i="27"/>
  <c r="BQ5" i="27"/>
  <c r="BW4" i="27"/>
  <c r="BV4" i="27"/>
  <c r="BT4" i="27"/>
  <c r="BS4" i="27"/>
  <c r="BR4" i="27"/>
  <c r="BQ4" i="27"/>
  <c r="AT18" i="27"/>
  <c r="AS18" i="27"/>
  <c r="AQ18" i="27"/>
  <c r="AP18" i="27"/>
  <c r="AO18" i="27"/>
  <c r="AN18" i="27"/>
  <c r="AT15" i="27"/>
  <c r="AS15" i="27"/>
  <c r="AQ15" i="27"/>
  <c r="AP15" i="27"/>
  <c r="AO15" i="27"/>
  <c r="AN15" i="27"/>
  <c r="AT16" i="27"/>
  <c r="AS16" i="27"/>
  <c r="AQ16" i="27"/>
  <c r="AP16" i="27"/>
  <c r="AO16" i="27"/>
  <c r="AN16" i="27"/>
  <c r="AT14" i="27"/>
  <c r="AS14" i="27"/>
  <c r="AQ14" i="27"/>
  <c r="AP14" i="27"/>
  <c r="AO14" i="27"/>
  <c r="AN14" i="27"/>
  <c r="AT11" i="27"/>
  <c r="AS11" i="27"/>
  <c r="AQ11" i="27"/>
  <c r="AP11" i="27"/>
  <c r="AO11" i="27"/>
  <c r="AN11" i="27"/>
  <c r="AT17" i="27"/>
  <c r="AS17" i="27"/>
  <c r="AQ17" i="27"/>
  <c r="AP17" i="27"/>
  <c r="AO17" i="27"/>
  <c r="AN17" i="27"/>
  <c r="AT10" i="27"/>
  <c r="AS10" i="27"/>
  <c r="AQ10" i="27"/>
  <c r="AP10" i="27"/>
  <c r="AO10" i="27"/>
  <c r="AN10" i="27"/>
  <c r="AT13" i="27"/>
  <c r="AS13" i="27"/>
  <c r="AQ13" i="27"/>
  <c r="AP13" i="27"/>
  <c r="AO13" i="27"/>
  <c r="AN13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5" i="27"/>
  <c r="AS5" i="27"/>
  <c r="AQ5" i="27"/>
  <c r="AP5" i="27"/>
  <c r="AO5" i="27"/>
  <c r="AN5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7" i="26"/>
  <c r="BV7" i="26"/>
  <c r="BT7" i="26"/>
  <c r="BS7" i="26"/>
  <c r="BR7" i="26"/>
  <c r="BQ7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7" i="26"/>
  <c r="AS7" i="26"/>
  <c r="AQ7" i="26"/>
  <c r="AP7" i="26"/>
  <c r="AO7" i="26"/>
  <c r="AN7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M6" i="24" s="1"/>
  <c r="AH6" i="24"/>
  <c r="AG6" i="24"/>
  <c r="AP4" i="24"/>
  <c r="AO4" i="24"/>
  <c r="AN4" i="24"/>
  <c r="AL4" i="24"/>
  <c r="AK4" i="24"/>
  <c r="AJ4" i="24"/>
  <c r="AI4" i="24"/>
  <c r="AM4" i="24" s="1"/>
  <c r="AH4" i="24"/>
  <c r="AG4" i="24"/>
  <c r="BQ15" i="23"/>
  <c r="BP15" i="23"/>
  <c r="BO15" i="23"/>
  <c r="BM15" i="23"/>
  <c r="BL15" i="23"/>
  <c r="BK15" i="23"/>
  <c r="BJ15" i="23"/>
  <c r="BI15" i="23"/>
  <c r="BH15" i="23"/>
  <c r="BQ7" i="23"/>
  <c r="BP7" i="23"/>
  <c r="BO7" i="23"/>
  <c r="BM7" i="23"/>
  <c r="BL7" i="23"/>
  <c r="BK7" i="23"/>
  <c r="BJ7" i="23"/>
  <c r="BI7" i="23"/>
  <c r="BH7" i="23"/>
  <c r="BQ14" i="23"/>
  <c r="BP14" i="23"/>
  <c r="BO14" i="23"/>
  <c r="BM14" i="23"/>
  <c r="BL14" i="23"/>
  <c r="BK14" i="23"/>
  <c r="BJ14" i="23"/>
  <c r="BN14" i="23" s="1"/>
  <c r="BI14" i="23"/>
  <c r="BH14" i="23"/>
  <c r="BQ12" i="23"/>
  <c r="BP12" i="23"/>
  <c r="BO12" i="23"/>
  <c r="BM12" i="23"/>
  <c r="BL12" i="23"/>
  <c r="BK12" i="23"/>
  <c r="BJ12" i="23"/>
  <c r="BI12" i="23"/>
  <c r="BH12" i="23"/>
  <c r="BQ13" i="23"/>
  <c r="BP13" i="23"/>
  <c r="BO13" i="23"/>
  <c r="BM13" i="23"/>
  <c r="BL13" i="23"/>
  <c r="BK13" i="23"/>
  <c r="BJ13" i="23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I4" i="23"/>
  <c r="BH4" i="23"/>
  <c r="BQ11" i="23"/>
  <c r="BP11" i="23"/>
  <c r="BO11" i="23"/>
  <c r="BM11" i="23"/>
  <c r="BL11" i="23"/>
  <c r="BK11" i="23"/>
  <c r="BJ11" i="23"/>
  <c r="BN11" i="23" s="1"/>
  <c r="BI11" i="23"/>
  <c r="BH11" i="23"/>
  <c r="AP15" i="23"/>
  <c r="AO15" i="23"/>
  <c r="AN15" i="23"/>
  <c r="AL15" i="23"/>
  <c r="AK15" i="23"/>
  <c r="AJ15" i="23"/>
  <c r="AI15" i="23"/>
  <c r="AM15" i="23" s="1"/>
  <c r="AH15" i="23"/>
  <c r="AG15" i="23"/>
  <c r="AP7" i="23"/>
  <c r="AO7" i="23"/>
  <c r="AN7" i="23"/>
  <c r="AL7" i="23"/>
  <c r="AK7" i="23"/>
  <c r="AJ7" i="23"/>
  <c r="AI7" i="23"/>
  <c r="AM7" i="23" s="1"/>
  <c r="AH7" i="23"/>
  <c r="AG7" i="23"/>
  <c r="AP14" i="23"/>
  <c r="AO14" i="23"/>
  <c r="AN14" i="23"/>
  <c r="AL14" i="23"/>
  <c r="AK14" i="23"/>
  <c r="AJ14" i="23"/>
  <c r="AI14" i="23"/>
  <c r="AM14" i="23" s="1"/>
  <c r="AH14" i="23"/>
  <c r="AG14" i="23"/>
  <c r="AP12" i="23"/>
  <c r="AO12" i="23"/>
  <c r="AN12" i="23"/>
  <c r="AL12" i="23"/>
  <c r="AK12" i="23"/>
  <c r="AJ12" i="23"/>
  <c r="AI12" i="23"/>
  <c r="AM12" i="23" s="1"/>
  <c r="AH12" i="23"/>
  <c r="AG12" i="23"/>
  <c r="AP13" i="23"/>
  <c r="AO13" i="23"/>
  <c r="AN13" i="23"/>
  <c r="AL13" i="23"/>
  <c r="AK13" i="23"/>
  <c r="AJ13" i="23"/>
  <c r="AI13" i="23"/>
  <c r="AM13" i="23" s="1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AP11" i="23"/>
  <c r="AO11" i="23"/>
  <c r="AN11" i="23"/>
  <c r="AL11" i="23"/>
  <c r="AK11" i="23"/>
  <c r="AJ11" i="23"/>
  <c r="AI11" i="23"/>
  <c r="AM11" i="23" s="1"/>
  <c r="AH11" i="23"/>
  <c r="AG11" i="23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11" i="22"/>
  <c r="BX11" i="22"/>
  <c r="BW11" i="22"/>
  <c r="BU11" i="22"/>
  <c r="BT11" i="22"/>
  <c r="BS11" i="22"/>
  <c r="BR11" i="22"/>
  <c r="BQ11" i="22"/>
  <c r="BP11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11" i="22"/>
  <c r="AW11" i="22"/>
  <c r="AV11" i="22"/>
  <c r="AT11" i="22"/>
  <c r="AS11" i="22"/>
  <c r="AR11" i="22"/>
  <c r="AQ11" i="22"/>
  <c r="AP11" i="22"/>
  <c r="AO11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Q20" i="4"/>
  <c r="BP20" i="4"/>
  <c r="BY18" i="4"/>
  <c r="BX18" i="4"/>
  <c r="BW18" i="4"/>
  <c r="BU18" i="4"/>
  <c r="BT18" i="4"/>
  <c r="BS18" i="4"/>
  <c r="BR18" i="4"/>
  <c r="BQ18" i="4"/>
  <c r="BP18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1" i="4"/>
  <c r="BX11" i="4"/>
  <c r="BW11" i="4"/>
  <c r="BU11" i="4"/>
  <c r="BT11" i="4"/>
  <c r="BS11" i="4"/>
  <c r="BR11" i="4"/>
  <c r="BQ11" i="4"/>
  <c r="BP11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23" i="4"/>
  <c r="BX23" i="4"/>
  <c r="BW23" i="4"/>
  <c r="BU23" i="4"/>
  <c r="BT23" i="4"/>
  <c r="BS23" i="4"/>
  <c r="BR23" i="4"/>
  <c r="BQ23" i="4"/>
  <c r="BP23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14" i="4"/>
  <c r="BX14" i="4"/>
  <c r="BW14" i="4"/>
  <c r="BU14" i="4"/>
  <c r="BT14" i="4"/>
  <c r="BS14" i="4"/>
  <c r="BR14" i="4"/>
  <c r="BQ14" i="4"/>
  <c r="BP14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U24" i="4" s="1"/>
  <c r="AP24" i="4"/>
  <c r="AO2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8" i="4"/>
  <c r="AW18" i="4"/>
  <c r="AV18" i="4"/>
  <c r="AT18" i="4"/>
  <c r="AS18" i="4"/>
  <c r="AR18" i="4"/>
  <c r="AQ18" i="4"/>
  <c r="AP18" i="4"/>
  <c r="AO18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23" i="4"/>
  <c r="AW23" i="4"/>
  <c r="AV23" i="4"/>
  <c r="AT23" i="4"/>
  <c r="AS23" i="4"/>
  <c r="AR23" i="4"/>
  <c r="AQ23" i="4"/>
  <c r="AP23" i="4"/>
  <c r="AO23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14" i="4"/>
  <c r="AW14" i="4"/>
  <c r="AV14" i="4"/>
  <c r="AT14" i="4"/>
  <c r="AS14" i="4"/>
  <c r="AR14" i="4"/>
  <c r="AQ14" i="4"/>
  <c r="AP14" i="4"/>
  <c r="AO14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FD6" i="21" l="1"/>
  <c r="HH9" i="21"/>
  <c r="HH15" i="21"/>
  <c r="HH23" i="21"/>
  <c r="IJ7" i="21"/>
  <c r="IJ16" i="21"/>
  <c r="IJ21" i="21"/>
  <c r="OV15" i="21"/>
  <c r="OV23" i="21"/>
  <c r="EE8" i="27"/>
  <c r="FG6" i="27"/>
  <c r="FG14" i="27"/>
  <c r="IM10" i="27"/>
  <c r="IM18" i="27"/>
  <c r="KQ9" i="27"/>
  <c r="KQ15" i="27"/>
  <c r="LS8" i="27"/>
  <c r="AR7" i="27"/>
  <c r="GI9" i="26"/>
  <c r="HK7" i="26"/>
  <c r="HK13" i="26"/>
  <c r="GI6" i="26"/>
  <c r="LS7" i="26"/>
  <c r="LS13" i="26"/>
  <c r="NW6" i="26"/>
  <c r="OY11" i="26"/>
  <c r="SE9" i="26"/>
  <c r="EC8" i="24"/>
  <c r="FK7" i="24"/>
  <c r="IA5" i="24"/>
  <c r="JI4" i="24"/>
  <c r="JI11" i="24"/>
  <c r="KQ10" i="24"/>
  <c r="LY9" i="24"/>
  <c r="NG8" i="24"/>
  <c r="OO7" i="24"/>
  <c r="PW6" i="24"/>
  <c r="RE5" i="24"/>
  <c r="SM4" i="24"/>
  <c r="SM11" i="24"/>
  <c r="TU10" i="24"/>
  <c r="VC9" i="24"/>
  <c r="DV6" i="24"/>
  <c r="FD5" i="24"/>
  <c r="GL4" i="24"/>
  <c r="GL11" i="24"/>
  <c r="GS11" i="24" s="1"/>
  <c r="HT10" i="24"/>
  <c r="JB9" i="24"/>
  <c r="KJ8" i="24"/>
  <c r="LR7" i="24"/>
  <c r="MZ6" i="24"/>
  <c r="OH5" i="24"/>
  <c r="OO5" i="24" s="1"/>
  <c r="PP4" i="24"/>
  <c r="PW4" i="24" s="1"/>
  <c r="PP11" i="24"/>
  <c r="PW11" i="24" s="1"/>
  <c r="QX10" i="24"/>
  <c r="RE10" i="24" s="1"/>
  <c r="SF9" i="24"/>
  <c r="TN8" i="24"/>
  <c r="UV7" i="24"/>
  <c r="DV5" i="24"/>
  <c r="FD4" i="24"/>
  <c r="FK4" i="24" s="1"/>
  <c r="FD11" i="24"/>
  <c r="GL10" i="24"/>
  <c r="HT9" i="24"/>
  <c r="JB8" i="24"/>
  <c r="KJ7" i="24"/>
  <c r="KQ7" i="24" s="1"/>
  <c r="LR6" i="24"/>
  <c r="LY6" i="24" s="1"/>
  <c r="MZ5" i="24"/>
  <c r="NG5" i="24" s="1"/>
  <c r="OH4" i="24"/>
  <c r="OO4" i="24" s="1"/>
  <c r="OH11" i="24"/>
  <c r="OO11" i="24" s="1"/>
  <c r="PP10" i="24"/>
  <c r="QX9" i="24"/>
  <c r="SF8" i="24"/>
  <c r="TN7" i="24"/>
  <c r="UV6" i="24"/>
  <c r="VC6" i="24" s="1"/>
  <c r="LY6" i="23"/>
  <c r="LY14" i="23"/>
  <c r="VC6" i="23"/>
  <c r="VC14" i="23"/>
  <c r="LY5" i="23"/>
  <c r="LY13" i="23"/>
  <c r="NG7" i="23"/>
  <c r="VC5" i="23"/>
  <c r="VC13" i="23"/>
  <c r="DV5" i="23"/>
  <c r="EC5" i="23" s="1"/>
  <c r="DV13" i="23"/>
  <c r="EC13" i="23" s="1"/>
  <c r="FD7" i="23"/>
  <c r="FK7" i="23" s="1"/>
  <c r="FD15" i="23"/>
  <c r="FK15" i="23" s="1"/>
  <c r="GL9" i="23"/>
  <c r="GS9" i="23" s="1"/>
  <c r="HT4" i="23"/>
  <c r="HT12" i="23"/>
  <c r="JB14" i="23"/>
  <c r="LR11" i="23"/>
  <c r="LR10" i="23"/>
  <c r="MZ5" i="23"/>
  <c r="MZ13" i="23"/>
  <c r="OH7" i="23"/>
  <c r="OH15" i="23"/>
  <c r="PP9" i="23"/>
  <c r="PW9" i="23" s="1"/>
  <c r="QX4" i="23"/>
  <c r="RE4" i="23" s="1"/>
  <c r="QX12" i="23"/>
  <c r="RE12" i="23" s="1"/>
  <c r="SF14" i="23"/>
  <c r="SM14" i="23" s="1"/>
  <c r="UV11" i="23"/>
  <c r="VC11" i="23" s="1"/>
  <c r="UV10" i="23"/>
  <c r="EC7" i="23"/>
  <c r="DV4" i="23"/>
  <c r="DV12" i="23"/>
  <c r="FD6" i="23"/>
  <c r="FK6" i="23" s="1"/>
  <c r="FD14" i="23"/>
  <c r="HT11" i="23"/>
  <c r="HT10" i="23"/>
  <c r="JB5" i="23"/>
  <c r="JB13" i="23"/>
  <c r="JI13" i="23" s="1"/>
  <c r="KJ15" i="23"/>
  <c r="KQ15" i="23" s="1"/>
  <c r="LR9" i="23"/>
  <c r="LY9" i="23" s="1"/>
  <c r="MZ4" i="23"/>
  <c r="NG4" i="23" s="1"/>
  <c r="MZ12" i="23"/>
  <c r="NG12" i="23" s="1"/>
  <c r="OH6" i="23"/>
  <c r="OH14" i="23"/>
  <c r="QX11" i="23"/>
  <c r="QX10" i="23"/>
  <c r="SF5" i="23"/>
  <c r="SF13" i="23"/>
  <c r="TN15" i="23"/>
  <c r="UV9" i="23"/>
  <c r="JQ7" i="22"/>
  <c r="JQ14" i="22"/>
  <c r="KY9" i="22"/>
  <c r="MG6" i="22"/>
  <c r="MG13" i="22"/>
  <c r="SU7" i="22"/>
  <c r="SU14" i="22"/>
  <c r="UC9" i="22"/>
  <c r="VK6" i="22"/>
  <c r="VK13" i="22"/>
  <c r="NO11" i="22"/>
  <c r="EK11" i="22"/>
  <c r="VK12" i="22"/>
  <c r="KY8" i="22"/>
  <c r="UC8" i="22"/>
  <c r="VK5" i="22"/>
  <c r="ED6" i="22"/>
  <c r="ED13" i="22"/>
  <c r="FL8" i="22"/>
  <c r="GT5" i="22"/>
  <c r="GT12" i="22"/>
  <c r="JJ4" i="22"/>
  <c r="JJ10" i="22"/>
  <c r="KR7" i="22"/>
  <c r="KY7" i="22" s="1"/>
  <c r="KR14" i="22"/>
  <c r="LZ9" i="22"/>
  <c r="MG9" i="22" s="1"/>
  <c r="NH6" i="22"/>
  <c r="NO6" i="22" s="1"/>
  <c r="NH13" i="22"/>
  <c r="NO13" i="22" s="1"/>
  <c r="OP8" i="22"/>
  <c r="PX5" i="22"/>
  <c r="PX12" i="22"/>
  <c r="SN4" i="22"/>
  <c r="SN10" i="22"/>
  <c r="TV7" i="22"/>
  <c r="UC7" i="22" s="1"/>
  <c r="TV14" i="22"/>
  <c r="VD9" i="22"/>
  <c r="MG12" i="22"/>
  <c r="MG5" i="22"/>
  <c r="BV14" i="22"/>
  <c r="BZ14" i="22" s="1"/>
  <c r="ED5" i="22"/>
  <c r="EK5" i="22" s="1"/>
  <c r="ED12" i="22"/>
  <c r="EK12" i="22" s="1"/>
  <c r="FL11" i="22"/>
  <c r="FS11" i="22" s="1"/>
  <c r="GT4" i="22"/>
  <c r="GT10" i="22"/>
  <c r="IB7" i="22"/>
  <c r="IB14" i="22"/>
  <c r="KR6" i="22"/>
  <c r="KR13" i="22"/>
  <c r="KY13" i="22" s="1"/>
  <c r="LZ8" i="22"/>
  <c r="NH5" i="22"/>
  <c r="NH12" i="22"/>
  <c r="OP11" i="22"/>
  <c r="OW11" i="22" s="1"/>
  <c r="PX4" i="22"/>
  <c r="QE4" i="22" s="1"/>
  <c r="PX10" i="22"/>
  <c r="QE10" i="22" s="1"/>
  <c r="RF7" i="22"/>
  <c r="RM7" i="22" s="1"/>
  <c r="RF14" i="22"/>
  <c r="RM14" i="22" s="1"/>
  <c r="TV6" i="22"/>
  <c r="TV13" i="22"/>
  <c r="VD8" i="22"/>
  <c r="VD24" i="4"/>
  <c r="KY20" i="4"/>
  <c r="NO13" i="4"/>
  <c r="NO20" i="4"/>
  <c r="OW8" i="4"/>
  <c r="OW13" i="4"/>
  <c r="OW20" i="4"/>
  <c r="QE8" i="4"/>
  <c r="QE13" i="4"/>
  <c r="RM8" i="4"/>
  <c r="RM20" i="4"/>
  <c r="SU8" i="4"/>
  <c r="SU13" i="4"/>
  <c r="SU20" i="4"/>
  <c r="UC8" i="4"/>
  <c r="UC13" i="4"/>
  <c r="UC20" i="4"/>
  <c r="VK8" i="4"/>
  <c r="VK13" i="4"/>
  <c r="VK20" i="4"/>
  <c r="FS8" i="4"/>
  <c r="JQ20" i="4"/>
  <c r="CW19" i="4"/>
  <c r="DA19" i="4" s="1"/>
  <c r="HA8" i="4"/>
  <c r="JQ8" i="4"/>
  <c r="QE20" i="4"/>
  <c r="EK8" i="4"/>
  <c r="HA20" i="4"/>
  <c r="II8" i="4"/>
  <c r="KY8" i="4"/>
  <c r="ED6" i="4"/>
  <c r="ED11" i="4"/>
  <c r="ED21" i="4"/>
  <c r="FL6" i="4"/>
  <c r="FS6" i="4" s="1"/>
  <c r="FL11" i="4"/>
  <c r="FS11" i="4" s="1"/>
  <c r="FL21" i="4"/>
  <c r="FS21" i="4" s="1"/>
  <c r="GT6" i="4"/>
  <c r="HA6" i="4" s="1"/>
  <c r="GT11" i="4"/>
  <c r="HA11" i="4" s="1"/>
  <c r="GT21" i="4"/>
  <c r="HA21" i="4" s="1"/>
  <c r="IB6" i="4"/>
  <c r="II6" i="4" s="1"/>
  <c r="IB21" i="4"/>
  <c r="II21" i="4" s="1"/>
  <c r="JJ6" i="4"/>
  <c r="JQ6" i="4" s="1"/>
  <c r="JJ11" i="4"/>
  <c r="JQ11" i="4" s="1"/>
  <c r="JJ21" i="4"/>
  <c r="KR6" i="4"/>
  <c r="KR11" i="4"/>
  <c r="KR21" i="4"/>
  <c r="KY21" i="4" s="1"/>
  <c r="LZ6" i="4"/>
  <c r="LZ11" i="4"/>
  <c r="LZ21" i="4"/>
  <c r="NH6" i="4"/>
  <c r="NH11" i="4"/>
  <c r="NH21" i="4"/>
  <c r="NO21" i="4" s="1"/>
  <c r="OP6" i="4"/>
  <c r="OW6" i="4" s="1"/>
  <c r="OP11" i="4"/>
  <c r="OW11" i="4" s="1"/>
  <c r="OP21" i="4"/>
  <c r="OW21" i="4" s="1"/>
  <c r="PX6" i="4"/>
  <c r="QE6" i="4" s="1"/>
  <c r="PX11" i="4"/>
  <c r="PX21" i="4"/>
  <c r="RF6" i="4"/>
  <c r="RF11" i="4"/>
  <c r="RM11" i="4" s="1"/>
  <c r="RF21" i="4"/>
  <c r="RM21" i="4" s="1"/>
  <c r="SN6" i="4"/>
  <c r="SU6" i="4" s="1"/>
  <c r="SN11" i="4"/>
  <c r="SU11" i="4" s="1"/>
  <c r="SN21" i="4"/>
  <c r="SU21" i="4" s="1"/>
  <c r="TV6" i="4"/>
  <c r="UC6" i="4" s="1"/>
  <c r="TV11" i="4"/>
  <c r="UC11" i="4" s="1"/>
  <c r="TV21" i="4"/>
  <c r="UC21" i="4" s="1"/>
  <c r="VD6" i="4"/>
  <c r="VK6" i="4" s="1"/>
  <c r="VD11" i="4"/>
  <c r="VK11" i="4" s="1"/>
  <c r="VD21" i="4"/>
  <c r="VK21" i="4" s="1"/>
  <c r="FS20" i="4"/>
  <c r="KY13" i="4"/>
  <c r="MG13" i="4"/>
  <c r="MG20" i="4"/>
  <c r="NO8" i="4"/>
  <c r="RM13" i="4"/>
  <c r="EK13" i="4"/>
  <c r="EK20" i="4"/>
  <c r="FS13" i="4"/>
  <c r="HA13" i="4"/>
  <c r="II20" i="4"/>
  <c r="JQ13" i="4"/>
  <c r="MG8" i="4"/>
  <c r="ED5" i="4"/>
  <c r="EK5" i="4" s="1"/>
  <c r="ED23" i="4"/>
  <c r="ED18" i="4"/>
  <c r="FL5" i="4"/>
  <c r="FL23" i="4"/>
  <c r="FL18" i="4"/>
  <c r="GT23" i="4"/>
  <c r="GT18" i="4"/>
  <c r="IB5" i="4"/>
  <c r="IB23" i="4"/>
  <c r="II23" i="4" s="1"/>
  <c r="IB18" i="4"/>
  <c r="II18" i="4" s="1"/>
  <c r="JJ5" i="4"/>
  <c r="JQ5" i="4" s="1"/>
  <c r="JJ23" i="4"/>
  <c r="JQ23" i="4" s="1"/>
  <c r="JJ18" i="4"/>
  <c r="JQ18" i="4" s="1"/>
  <c r="KR5" i="4"/>
  <c r="KR23" i="4"/>
  <c r="KR18" i="4"/>
  <c r="LZ5" i="4"/>
  <c r="LZ23" i="4"/>
  <c r="LZ18" i="4"/>
  <c r="MG18" i="4" s="1"/>
  <c r="NH5" i="4"/>
  <c r="NH23" i="4"/>
  <c r="NH18" i="4"/>
  <c r="NO18" i="4" s="1"/>
  <c r="OP5" i="4"/>
  <c r="OP23" i="4"/>
  <c r="OP18" i="4"/>
  <c r="OW18" i="4" s="1"/>
  <c r="PX5" i="4"/>
  <c r="QE5" i="4" s="1"/>
  <c r="PX23" i="4"/>
  <c r="QE23" i="4" s="1"/>
  <c r="PX18" i="4"/>
  <c r="QE18" i="4" s="1"/>
  <c r="RF5" i="4"/>
  <c r="RF23" i="4"/>
  <c r="RF18" i="4"/>
  <c r="SN5" i="4"/>
  <c r="SU5" i="4" s="1"/>
  <c r="SN23" i="4"/>
  <c r="SU23" i="4" s="1"/>
  <c r="SN18" i="4"/>
  <c r="SU18" i="4" s="1"/>
  <c r="TV5" i="4"/>
  <c r="TV23" i="4"/>
  <c r="TV18" i="4"/>
  <c r="UC18" i="4" s="1"/>
  <c r="VD5" i="4"/>
  <c r="VK5" i="4" s="1"/>
  <c r="VD23" i="4"/>
  <c r="VK23" i="4" s="1"/>
  <c r="VD18" i="4"/>
  <c r="VK18" i="4" s="1"/>
  <c r="EE12" i="21"/>
  <c r="JO5" i="21"/>
  <c r="JO26" i="21"/>
  <c r="KQ10" i="21"/>
  <c r="KQ17" i="21"/>
  <c r="KQ24" i="21"/>
  <c r="LS12" i="21"/>
  <c r="LS14" i="21"/>
  <c r="LS22" i="21"/>
  <c r="MU6" i="21"/>
  <c r="MR9" i="21"/>
  <c r="LS15" i="21"/>
  <c r="LS17" i="21"/>
  <c r="LP23" i="21"/>
  <c r="IM5" i="21"/>
  <c r="IM8" i="21"/>
  <c r="JO17" i="21"/>
  <c r="JO24" i="21"/>
  <c r="KQ12" i="21"/>
  <c r="KQ14" i="21"/>
  <c r="KQ22" i="21"/>
  <c r="LS6" i="21"/>
  <c r="LS13" i="21"/>
  <c r="MU13" i="21"/>
  <c r="MR15" i="21"/>
  <c r="KN23" i="21"/>
  <c r="LS9" i="21"/>
  <c r="MU9" i="21"/>
  <c r="HK5" i="21"/>
  <c r="HK8" i="21"/>
  <c r="HK19" i="21"/>
  <c r="JO14" i="21"/>
  <c r="JO22" i="21"/>
  <c r="KQ6" i="21"/>
  <c r="KQ13" i="21"/>
  <c r="KQ20" i="21"/>
  <c r="FG9" i="27"/>
  <c r="FG15" i="27"/>
  <c r="GF8" i="27"/>
  <c r="GF16" i="27"/>
  <c r="HK6" i="27"/>
  <c r="IJ7" i="27"/>
  <c r="IJ12" i="27"/>
  <c r="JL4" i="27"/>
  <c r="JL11" i="27"/>
  <c r="KQ5" i="27"/>
  <c r="KQ10" i="27"/>
  <c r="MU9" i="27"/>
  <c r="NT8" i="27"/>
  <c r="NT16" i="27"/>
  <c r="PX7" i="27"/>
  <c r="PX12" i="27"/>
  <c r="QZ4" i="27"/>
  <c r="SE5" i="27"/>
  <c r="SE10" i="27"/>
  <c r="BU5" i="27"/>
  <c r="PX9" i="27"/>
  <c r="NW15" i="27"/>
  <c r="QA14" i="27"/>
  <c r="FD16" i="27"/>
  <c r="JO5" i="27"/>
  <c r="LS9" i="27"/>
  <c r="LS12" i="27"/>
  <c r="LS15" i="27"/>
  <c r="MR8" i="27"/>
  <c r="MR16" i="27"/>
  <c r="NW6" i="27"/>
  <c r="OV7" i="27"/>
  <c r="PX4" i="27"/>
  <c r="RC18" i="27"/>
  <c r="SE11" i="26"/>
  <c r="NW9" i="26"/>
  <c r="OY7" i="26"/>
  <c r="OY13" i="26"/>
  <c r="PX10" i="26"/>
  <c r="RC6" i="26"/>
  <c r="SE4" i="26"/>
  <c r="EE4" i="26"/>
  <c r="IM13" i="26"/>
  <c r="LS4" i="26"/>
  <c r="LS11" i="26"/>
  <c r="OY9" i="26"/>
  <c r="RC8" i="26"/>
  <c r="JL8" i="26"/>
  <c r="NT10" i="26"/>
  <c r="QZ8" i="26"/>
  <c r="EC7" i="24"/>
  <c r="FK6" i="24"/>
  <c r="GS5" i="24"/>
  <c r="IA4" i="24"/>
  <c r="IA11" i="24"/>
  <c r="JI10" i="24"/>
  <c r="KQ9" i="24"/>
  <c r="LY8" i="24"/>
  <c r="NG7" i="24"/>
  <c r="OO6" i="24"/>
  <c r="PW5" i="24"/>
  <c r="RE4" i="24"/>
  <c r="RE11" i="24"/>
  <c r="SM10" i="24"/>
  <c r="TU9" i="24"/>
  <c r="VC8" i="24"/>
  <c r="EC6" i="24"/>
  <c r="FK5" i="24"/>
  <c r="GS4" i="24"/>
  <c r="IA10" i="24"/>
  <c r="JI9" i="24"/>
  <c r="KQ8" i="24"/>
  <c r="LY7" i="24"/>
  <c r="NG6" i="24"/>
  <c r="SM9" i="24"/>
  <c r="TU8" i="24"/>
  <c r="VC7" i="24"/>
  <c r="DV4" i="24"/>
  <c r="DV11" i="24"/>
  <c r="FD10" i="24"/>
  <c r="GL9" i="24"/>
  <c r="HT8" i="24"/>
  <c r="JB7" i="24"/>
  <c r="JI7" i="24" s="1"/>
  <c r="KJ6" i="24"/>
  <c r="KQ6" i="24" s="1"/>
  <c r="LR5" i="24"/>
  <c r="LY5" i="24" s="1"/>
  <c r="MZ4" i="24"/>
  <c r="NG4" i="24" s="1"/>
  <c r="MZ11" i="24"/>
  <c r="NG11" i="24" s="1"/>
  <c r="OH10" i="24"/>
  <c r="OO10" i="24" s="1"/>
  <c r="PP9" i="24"/>
  <c r="PW9" i="24" s="1"/>
  <c r="QX8" i="24"/>
  <c r="RE8" i="24" s="1"/>
  <c r="SF7" i="24"/>
  <c r="SM7" i="24" s="1"/>
  <c r="TN6" i="24"/>
  <c r="UV5" i="24"/>
  <c r="NG14" i="23"/>
  <c r="NG6" i="23"/>
  <c r="EC6" i="23"/>
  <c r="EC14" i="23"/>
  <c r="DV11" i="23"/>
  <c r="DV10" i="23"/>
  <c r="EC10" i="23" s="1"/>
  <c r="FD5" i="23"/>
  <c r="FK5" i="23" s="1"/>
  <c r="FD13" i="23"/>
  <c r="FK13" i="23" s="1"/>
  <c r="GL7" i="23"/>
  <c r="GS7" i="23" s="1"/>
  <c r="GL15" i="23"/>
  <c r="GS15" i="23" s="1"/>
  <c r="HT9" i="23"/>
  <c r="JB4" i="23"/>
  <c r="JB12" i="23"/>
  <c r="KJ6" i="23"/>
  <c r="KQ6" i="23" s="1"/>
  <c r="MZ11" i="23"/>
  <c r="NG11" i="23" s="1"/>
  <c r="MZ10" i="23"/>
  <c r="OH5" i="23"/>
  <c r="OO5" i="23" s="1"/>
  <c r="OH13" i="23"/>
  <c r="OO13" i="23" s="1"/>
  <c r="PP7" i="23"/>
  <c r="PW7" i="23" s="1"/>
  <c r="PP15" i="23"/>
  <c r="PW15" i="23" s="1"/>
  <c r="QX9" i="23"/>
  <c r="RE9" i="23" s="1"/>
  <c r="SF4" i="23"/>
  <c r="SM4" i="23" s="1"/>
  <c r="SF12" i="23"/>
  <c r="SM12" i="23" s="1"/>
  <c r="TN6" i="23"/>
  <c r="TU6" i="23" s="1"/>
  <c r="EK7" i="22"/>
  <c r="EK14" i="22"/>
  <c r="FS9" i="22"/>
  <c r="MG10" i="22"/>
  <c r="NO7" i="22"/>
  <c r="NO14" i="22"/>
  <c r="OW9" i="22"/>
  <c r="VK4" i="22"/>
  <c r="VK10" i="22"/>
  <c r="MG4" i="22"/>
  <c r="ED4" i="22"/>
  <c r="EK4" i="22" s="1"/>
  <c r="ED10" i="22"/>
  <c r="EK10" i="22" s="1"/>
  <c r="FL7" i="22"/>
  <c r="FS7" i="22" s="1"/>
  <c r="FL14" i="22"/>
  <c r="FS14" i="22" s="1"/>
  <c r="GT9" i="22"/>
  <c r="HA9" i="22" s="1"/>
  <c r="IB6" i="22"/>
  <c r="II6" i="22" s="1"/>
  <c r="IB13" i="22"/>
  <c r="II13" i="22" s="1"/>
  <c r="JJ8" i="22"/>
  <c r="JQ8" i="22" s="1"/>
  <c r="LZ11" i="22"/>
  <c r="MG11" i="22" s="1"/>
  <c r="NH4" i="22"/>
  <c r="NH10" i="22"/>
  <c r="NO10" i="22" s="1"/>
  <c r="OP7" i="22"/>
  <c r="OW7" i="22" s="1"/>
  <c r="OP14" i="22"/>
  <c r="OW14" i="22" s="1"/>
  <c r="PX9" i="22"/>
  <c r="QE9" i="22" s="1"/>
  <c r="RF6" i="22"/>
  <c r="RM6" i="22" s="1"/>
  <c r="RF13" i="22"/>
  <c r="RM13" i="22" s="1"/>
  <c r="SN8" i="22"/>
  <c r="SU8" i="22" s="1"/>
  <c r="VD11" i="22"/>
  <c r="VK11" i="22" s="1"/>
  <c r="BV5" i="22"/>
  <c r="EK12" i="4"/>
  <c r="HA19" i="4"/>
  <c r="QE12" i="4"/>
  <c r="QE19" i="4"/>
  <c r="RM7" i="4"/>
  <c r="RM12" i="4"/>
  <c r="RM19" i="4"/>
  <c r="SU7" i="4"/>
  <c r="SU12" i="4"/>
  <c r="SU19" i="4"/>
  <c r="UC7" i="4"/>
  <c r="UC19" i="4"/>
  <c r="VK7" i="4"/>
  <c r="VK12" i="4"/>
  <c r="VK19" i="4"/>
  <c r="FS12" i="4"/>
  <c r="MG21" i="4"/>
  <c r="EK19" i="4"/>
  <c r="FS7" i="4"/>
  <c r="JQ19" i="4"/>
  <c r="NO12" i="4"/>
  <c r="OW7" i="4"/>
  <c r="EK6" i="4"/>
  <c r="JQ7" i="4"/>
  <c r="MG12" i="4"/>
  <c r="NO7" i="4"/>
  <c r="UC12" i="4"/>
  <c r="EK11" i="4"/>
  <c r="KY6" i="4"/>
  <c r="RM6" i="4"/>
  <c r="FS19" i="4"/>
  <c r="KY12" i="4"/>
  <c r="KY19" i="4"/>
  <c r="QE7" i="4"/>
  <c r="HA12" i="4"/>
  <c r="II19" i="4"/>
  <c r="MG7" i="4"/>
  <c r="NO19" i="4"/>
  <c r="OW19" i="4"/>
  <c r="KY11" i="4"/>
  <c r="MG11" i="4"/>
  <c r="NO6" i="4"/>
  <c r="NO11" i="4"/>
  <c r="QE11" i="4"/>
  <c r="QE21" i="4"/>
  <c r="ED4" i="4"/>
  <c r="ED10" i="4"/>
  <c r="ED17" i="4"/>
  <c r="FL4" i="4"/>
  <c r="FL10" i="4"/>
  <c r="FS10" i="4" s="1"/>
  <c r="FL17" i="4"/>
  <c r="FS17" i="4" s="1"/>
  <c r="GT4" i="4"/>
  <c r="GT10" i="4"/>
  <c r="HA10" i="4" s="1"/>
  <c r="GT17" i="4"/>
  <c r="IB4" i="4"/>
  <c r="II4" i="4" s="1"/>
  <c r="IB10" i="4"/>
  <c r="II10" i="4" s="1"/>
  <c r="IB17" i="4"/>
  <c r="JJ4" i="4"/>
  <c r="JJ10" i="4"/>
  <c r="JJ17" i="4"/>
  <c r="JQ17" i="4" s="1"/>
  <c r="KR4" i="4"/>
  <c r="KY4" i="4" s="1"/>
  <c r="KR10" i="4"/>
  <c r="KY10" i="4" s="1"/>
  <c r="KR17" i="4"/>
  <c r="KY17" i="4" s="1"/>
  <c r="LZ4" i="4"/>
  <c r="MG4" i="4" s="1"/>
  <c r="LZ10" i="4"/>
  <c r="MG10" i="4" s="1"/>
  <c r="LZ17" i="4"/>
  <c r="MG17" i="4" s="1"/>
  <c r="NH4" i="4"/>
  <c r="NO4" i="4" s="1"/>
  <c r="NH10" i="4"/>
  <c r="NO10" i="4" s="1"/>
  <c r="NH17" i="4"/>
  <c r="NO17" i="4" s="1"/>
  <c r="OP4" i="4"/>
  <c r="OW4" i="4" s="1"/>
  <c r="OP10" i="4"/>
  <c r="OP17" i="4"/>
  <c r="PX4" i="4"/>
  <c r="PX10" i="4"/>
  <c r="PX17" i="4"/>
  <c r="RF4" i="4"/>
  <c r="RM4" i="4" s="1"/>
  <c r="RF10" i="4"/>
  <c r="RM10" i="4" s="1"/>
  <c r="RF17" i="4"/>
  <c r="SN4" i="4"/>
  <c r="SU4" i="4" s="1"/>
  <c r="SN10" i="4"/>
  <c r="SU10" i="4" s="1"/>
  <c r="SN17" i="4"/>
  <c r="SU17" i="4" s="1"/>
  <c r="TV4" i="4"/>
  <c r="UC4" i="4" s="1"/>
  <c r="TV10" i="4"/>
  <c r="UC10" i="4" s="1"/>
  <c r="TV17" i="4"/>
  <c r="UC17" i="4" s="1"/>
  <c r="VD4" i="4"/>
  <c r="VD10" i="4"/>
  <c r="VD17" i="4"/>
  <c r="EK7" i="4"/>
  <c r="II7" i="4"/>
  <c r="JQ12" i="4"/>
  <c r="KY7" i="4"/>
  <c r="MG19" i="4"/>
  <c r="OW12" i="4"/>
  <c r="EK21" i="4"/>
  <c r="JQ21" i="4"/>
  <c r="MG6" i="4"/>
  <c r="EB23" i="19"/>
  <c r="IJ8" i="19"/>
  <c r="KN21" i="19"/>
  <c r="OV21" i="19"/>
  <c r="EE4" i="19"/>
  <c r="EE12" i="19"/>
  <c r="EE17" i="19"/>
  <c r="EE25" i="19"/>
  <c r="GI4" i="19"/>
  <c r="IM4" i="19"/>
  <c r="IM12" i="19"/>
  <c r="IM17" i="19"/>
  <c r="IM25" i="19"/>
  <c r="KQ12" i="19"/>
  <c r="KQ17" i="19"/>
  <c r="KQ25" i="19"/>
  <c r="MU4" i="19"/>
  <c r="MU17" i="19"/>
  <c r="OY4" i="19"/>
  <c r="OY8" i="19"/>
  <c r="OY12" i="19"/>
  <c r="EE9" i="19"/>
  <c r="EE15" i="19"/>
  <c r="EE22" i="19"/>
  <c r="EE30" i="19"/>
  <c r="FG22" i="19"/>
  <c r="FG30" i="19"/>
  <c r="GI15" i="19"/>
  <c r="GI22" i="19"/>
  <c r="GI30" i="19"/>
  <c r="IM9" i="19"/>
  <c r="IM15" i="19"/>
  <c r="IM22" i="19"/>
  <c r="IM30" i="19"/>
  <c r="KQ9" i="19"/>
  <c r="KQ15" i="19"/>
  <c r="KQ22" i="19"/>
  <c r="KQ30" i="19"/>
  <c r="MU9" i="19"/>
  <c r="MU30" i="19"/>
  <c r="OY14" i="19"/>
  <c r="OY17" i="19"/>
  <c r="OY25" i="19"/>
  <c r="RC12" i="19"/>
  <c r="RC17" i="19"/>
  <c r="SE4" i="19"/>
  <c r="SE12" i="19"/>
  <c r="SE17" i="19"/>
  <c r="OY9" i="19"/>
  <c r="OO7" i="23"/>
  <c r="OO14" i="23"/>
  <c r="SM5" i="23"/>
  <c r="SM13" i="23"/>
  <c r="FK14" i="23"/>
  <c r="JI5" i="23"/>
  <c r="FD4" i="23"/>
  <c r="FK4" i="23" s="1"/>
  <c r="FD12" i="23"/>
  <c r="FK12" i="23" s="1"/>
  <c r="GL6" i="23"/>
  <c r="GS6" i="23" s="1"/>
  <c r="GL14" i="23"/>
  <c r="GS14" i="23" s="1"/>
  <c r="JB11" i="23"/>
  <c r="JB10" i="23"/>
  <c r="JI10" i="23" s="1"/>
  <c r="KJ5" i="23"/>
  <c r="KQ5" i="23" s="1"/>
  <c r="KJ13" i="23"/>
  <c r="KQ13" i="23" s="1"/>
  <c r="LR7" i="23"/>
  <c r="LY7" i="23" s="1"/>
  <c r="OH4" i="23"/>
  <c r="OH12" i="23"/>
  <c r="OO12" i="23" s="1"/>
  <c r="PP6" i="23"/>
  <c r="PW6" i="23" s="1"/>
  <c r="PP14" i="23"/>
  <c r="PW14" i="23" s="1"/>
  <c r="SF11" i="23"/>
  <c r="SM11" i="23" s="1"/>
  <c r="SF10" i="23"/>
  <c r="SM10" i="23" s="1"/>
  <c r="TN5" i="23"/>
  <c r="TU5" i="23" s="1"/>
  <c r="TN13" i="23"/>
  <c r="TU13" i="23" s="1"/>
  <c r="UV7" i="23"/>
  <c r="VC7" i="23" s="1"/>
  <c r="NG5" i="23"/>
  <c r="NG13" i="23"/>
  <c r="OO6" i="23"/>
  <c r="IA7" i="23"/>
  <c r="GS5" i="23"/>
  <c r="GS13" i="23"/>
  <c r="IA6" i="23"/>
  <c r="JI7" i="23"/>
  <c r="JI14" i="23"/>
  <c r="PW5" i="23"/>
  <c r="PW13" i="23"/>
  <c r="RE6" i="23"/>
  <c r="SM7" i="23"/>
  <c r="DV9" i="23"/>
  <c r="EC9" i="23" s="1"/>
  <c r="FD11" i="23"/>
  <c r="FK11" i="23" s="1"/>
  <c r="FD10" i="23"/>
  <c r="FK10" i="23" s="1"/>
  <c r="GL4" i="23"/>
  <c r="GS4" i="23" s="1"/>
  <c r="GL12" i="23"/>
  <c r="GS12" i="23" s="1"/>
  <c r="HT5" i="23"/>
  <c r="IA5" i="23" s="1"/>
  <c r="HT13" i="23"/>
  <c r="IA13" i="23" s="1"/>
  <c r="JB6" i="23"/>
  <c r="JI6" i="23" s="1"/>
  <c r="KJ7" i="23"/>
  <c r="KQ7" i="23" s="1"/>
  <c r="KJ14" i="23"/>
  <c r="KQ14" i="23" s="1"/>
  <c r="LR15" i="23"/>
  <c r="LY15" i="23" s="1"/>
  <c r="MZ9" i="23"/>
  <c r="NG9" i="23" s="1"/>
  <c r="OH11" i="23"/>
  <c r="OH10" i="23"/>
  <c r="OO10" i="23" s="1"/>
  <c r="PP4" i="23"/>
  <c r="PW4" i="23" s="1"/>
  <c r="PP12" i="23"/>
  <c r="PW12" i="23" s="1"/>
  <c r="QX5" i="23"/>
  <c r="RE5" i="23" s="1"/>
  <c r="QX13" i="23"/>
  <c r="RE13" i="23" s="1"/>
  <c r="SF6" i="23"/>
  <c r="SM6" i="23" s="1"/>
  <c r="TN7" i="23"/>
  <c r="TU7" i="23" s="1"/>
  <c r="TN14" i="23"/>
  <c r="TU14" i="23" s="1"/>
  <c r="UV15" i="23"/>
  <c r="VC15" i="23" s="1"/>
  <c r="IA14" i="23"/>
  <c r="RE7" i="23"/>
  <c r="RE14" i="23"/>
  <c r="EK13" i="22"/>
  <c r="QE5" i="22"/>
  <c r="QE12" i="22"/>
  <c r="HA4" i="22"/>
  <c r="II7" i="22"/>
  <c r="HA10" i="22"/>
  <c r="EK6" i="22"/>
  <c r="HA12" i="22"/>
  <c r="HA5" i="22"/>
  <c r="ED9" i="22"/>
  <c r="EK9" i="22" s="1"/>
  <c r="FL6" i="22"/>
  <c r="FS6" i="22" s="1"/>
  <c r="FL13" i="22"/>
  <c r="FS13" i="22" s="1"/>
  <c r="GT8" i="22"/>
  <c r="HA8" i="22" s="1"/>
  <c r="IB5" i="22"/>
  <c r="II5" i="22" s="1"/>
  <c r="IB12" i="22"/>
  <c r="II12" i="22" s="1"/>
  <c r="JJ11" i="22"/>
  <c r="JQ11" i="22" s="1"/>
  <c r="KR4" i="22"/>
  <c r="KY4" i="22" s="1"/>
  <c r="KR10" i="22"/>
  <c r="KY10" i="22" s="1"/>
  <c r="NH9" i="22"/>
  <c r="NO9" i="22" s="1"/>
  <c r="OP6" i="22"/>
  <c r="OW6" i="22" s="1"/>
  <c r="OP13" i="22"/>
  <c r="OW13" i="22" s="1"/>
  <c r="PX8" i="22"/>
  <c r="QE8" i="22" s="1"/>
  <c r="RF5" i="22"/>
  <c r="RM5" i="22" s="1"/>
  <c r="RF12" i="22"/>
  <c r="RM12" i="22" s="1"/>
  <c r="SN11" i="22"/>
  <c r="SU11" i="22" s="1"/>
  <c r="TV4" i="22"/>
  <c r="UC4" i="22" s="1"/>
  <c r="TV10" i="22"/>
  <c r="UC10" i="22" s="1"/>
  <c r="FS8" i="22"/>
  <c r="OW8" i="22"/>
  <c r="II14" i="22"/>
  <c r="KQ9" i="21"/>
  <c r="KQ23" i="21"/>
  <c r="LS7" i="21"/>
  <c r="LS23" i="21"/>
  <c r="MU15" i="21"/>
  <c r="KQ15" i="21"/>
  <c r="JO23" i="21"/>
  <c r="KQ7" i="21"/>
  <c r="KQ16" i="21"/>
  <c r="AR6" i="21"/>
  <c r="AR9" i="21"/>
  <c r="RC4" i="21"/>
  <c r="JO21" i="21"/>
  <c r="QA11" i="21"/>
  <c r="EE4" i="21"/>
  <c r="MU20" i="21"/>
  <c r="OY18" i="21"/>
  <c r="AR20" i="21"/>
  <c r="GI5" i="21"/>
  <c r="GI8" i="21"/>
  <c r="GI19" i="21"/>
  <c r="GI26" i="21"/>
  <c r="IM22" i="21"/>
  <c r="JO6" i="21"/>
  <c r="JO13" i="21"/>
  <c r="JO20" i="21"/>
  <c r="RC5" i="21"/>
  <c r="RC8" i="21"/>
  <c r="RC19" i="21"/>
  <c r="RC26" i="21"/>
  <c r="SE10" i="21"/>
  <c r="MR23" i="21"/>
  <c r="NW25" i="21"/>
  <c r="OV9" i="21"/>
  <c r="CX20" i="21"/>
  <c r="EB7" i="21"/>
  <c r="EB16" i="21"/>
  <c r="EB21" i="21"/>
  <c r="FG5" i="21"/>
  <c r="FG8" i="21"/>
  <c r="FG19" i="21"/>
  <c r="FG26" i="21"/>
  <c r="GI10" i="21"/>
  <c r="IM6" i="21"/>
  <c r="IM13" i="21"/>
  <c r="IM20" i="21"/>
  <c r="KN9" i="21"/>
  <c r="KN15" i="21"/>
  <c r="LP25" i="21"/>
  <c r="NT23" i="21"/>
  <c r="OV7" i="21"/>
  <c r="OV16" i="21"/>
  <c r="OV21" i="21"/>
  <c r="QA5" i="21"/>
  <c r="QA8" i="21"/>
  <c r="QA19" i="21"/>
  <c r="QA26" i="21"/>
  <c r="RC10" i="21"/>
  <c r="RC17" i="21"/>
  <c r="SE25" i="21"/>
  <c r="HK25" i="21"/>
  <c r="IM18" i="21"/>
  <c r="MU21" i="21"/>
  <c r="NW16" i="21"/>
  <c r="NW23" i="21"/>
  <c r="OY7" i="21"/>
  <c r="OY15" i="21"/>
  <c r="QA9" i="21"/>
  <c r="PX21" i="21"/>
  <c r="QZ16" i="21"/>
  <c r="AR18" i="21"/>
  <c r="EE9" i="21"/>
  <c r="IM25" i="21"/>
  <c r="JO11" i="21"/>
  <c r="NW21" i="21"/>
  <c r="OY16" i="21"/>
  <c r="OY23" i="21"/>
  <c r="QA7" i="21"/>
  <c r="QA15" i="21"/>
  <c r="RC9" i="21"/>
  <c r="EE7" i="21"/>
  <c r="EE15" i="21"/>
  <c r="FG15" i="21"/>
  <c r="GI9" i="21"/>
  <c r="OY17" i="21"/>
  <c r="OY21" i="21"/>
  <c r="QA16" i="21"/>
  <c r="QA23" i="21"/>
  <c r="RC7" i="21"/>
  <c r="RC15" i="21"/>
  <c r="SE9" i="21"/>
  <c r="SE11" i="21"/>
  <c r="EE16" i="21"/>
  <c r="EE23" i="21"/>
  <c r="FG7" i="21"/>
  <c r="FG16" i="21"/>
  <c r="FG23" i="21"/>
  <c r="GI7" i="21"/>
  <c r="GI15" i="21"/>
  <c r="HK9" i="21"/>
  <c r="JL9" i="21"/>
  <c r="JO18" i="21"/>
  <c r="KQ4" i="21"/>
  <c r="QA21" i="21"/>
  <c r="RC16" i="21"/>
  <c r="RC23" i="21"/>
  <c r="SE7" i="21"/>
  <c r="SE15" i="21"/>
  <c r="RC11" i="21"/>
  <c r="SE4" i="21"/>
  <c r="RC18" i="21"/>
  <c r="EE25" i="21"/>
  <c r="LS16" i="21"/>
  <c r="MU7" i="21"/>
  <c r="NW7" i="21"/>
  <c r="DA20" i="21"/>
  <c r="AU20" i="21"/>
  <c r="EE21" i="21"/>
  <c r="FG21" i="21"/>
  <c r="GI16" i="21"/>
  <c r="GI23" i="21"/>
  <c r="HK7" i="21"/>
  <c r="HK15" i="21"/>
  <c r="IM9" i="21"/>
  <c r="KQ11" i="21"/>
  <c r="LP4" i="21"/>
  <c r="RC21" i="21"/>
  <c r="SE16" i="21"/>
  <c r="SE23" i="21"/>
  <c r="EE11" i="21"/>
  <c r="FD4" i="21"/>
  <c r="QA18" i="21"/>
  <c r="FD18" i="21"/>
  <c r="RC25" i="21"/>
  <c r="JO4" i="21"/>
  <c r="LS21" i="21"/>
  <c r="NW15" i="21"/>
  <c r="EE14" i="21"/>
  <c r="EE24" i="21"/>
  <c r="FG12" i="21"/>
  <c r="FG14" i="21"/>
  <c r="FG24" i="21"/>
  <c r="GI12" i="21"/>
  <c r="GI17" i="21"/>
  <c r="GI21" i="21"/>
  <c r="HK10" i="21"/>
  <c r="HK16" i="21"/>
  <c r="HK23" i="21"/>
  <c r="HK26" i="21"/>
  <c r="IM7" i="21"/>
  <c r="IM15" i="21"/>
  <c r="IM19" i="21"/>
  <c r="JL15" i="21"/>
  <c r="JO25" i="21"/>
  <c r="KQ18" i="21"/>
  <c r="LP11" i="21"/>
  <c r="MU4" i="21"/>
  <c r="NW20" i="21"/>
  <c r="OY13" i="21"/>
  <c r="QA6" i="21"/>
  <c r="QA22" i="21"/>
  <c r="RC14" i="21"/>
  <c r="RC24" i="21"/>
  <c r="SE12" i="21"/>
  <c r="SE17" i="21"/>
  <c r="SE21" i="21"/>
  <c r="GF11" i="21"/>
  <c r="HK11" i="21"/>
  <c r="GF25" i="21"/>
  <c r="IM11" i="21"/>
  <c r="MU16" i="21"/>
  <c r="PX16" i="21"/>
  <c r="EE6" i="21"/>
  <c r="EE22" i="21"/>
  <c r="FG22" i="21"/>
  <c r="GI14" i="21"/>
  <c r="GI24" i="21"/>
  <c r="HK12" i="21"/>
  <c r="HK17" i="21"/>
  <c r="HK21" i="21"/>
  <c r="IM10" i="21"/>
  <c r="IM16" i="21"/>
  <c r="IM23" i="21"/>
  <c r="IM26" i="21"/>
  <c r="JO7" i="21"/>
  <c r="JO8" i="21"/>
  <c r="JL21" i="21"/>
  <c r="KN7" i="21"/>
  <c r="KQ25" i="21"/>
  <c r="LP18" i="21"/>
  <c r="MU11" i="21"/>
  <c r="NW4" i="21"/>
  <c r="OY20" i="21"/>
  <c r="QA13" i="21"/>
  <c r="RC6" i="21"/>
  <c r="RC22" i="21"/>
  <c r="SE14" i="21"/>
  <c r="SE24" i="21"/>
  <c r="EE18" i="21"/>
  <c r="QA25" i="21"/>
  <c r="GF18" i="21"/>
  <c r="IM4" i="21"/>
  <c r="KQ21" i="21"/>
  <c r="SE18" i="21"/>
  <c r="MU23" i="21"/>
  <c r="OY9" i="21"/>
  <c r="QZ7" i="21"/>
  <c r="EE13" i="21"/>
  <c r="FG13" i="21"/>
  <c r="GI22" i="21"/>
  <c r="HK14" i="21"/>
  <c r="HK24" i="21"/>
  <c r="IM12" i="21"/>
  <c r="IM17" i="21"/>
  <c r="IM21" i="21"/>
  <c r="MU18" i="21"/>
  <c r="NW11" i="21"/>
  <c r="OY4" i="21"/>
  <c r="QA20" i="21"/>
  <c r="RC13" i="21"/>
  <c r="SE6" i="21"/>
  <c r="SE22" i="21"/>
  <c r="GF4" i="21"/>
  <c r="OY25" i="21"/>
  <c r="HK4" i="21"/>
  <c r="FD25" i="21"/>
  <c r="PX7" i="21"/>
  <c r="HK18" i="21"/>
  <c r="EE20" i="21"/>
  <c r="FD20" i="21"/>
  <c r="GI13" i="21"/>
  <c r="HK6" i="21"/>
  <c r="HK22" i="21"/>
  <c r="IM14" i="21"/>
  <c r="IM24" i="21"/>
  <c r="JO12" i="21"/>
  <c r="JO10" i="21"/>
  <c r="JO16" i="21"/>
  <c r="JO19" i="21"/>
  <c r="KQ5" i="21"/>
  <c r="KN21" i="21"/>
  <c r="LP16" i="21"/>
  <c r="MR7" i="21"/>
  <c r="MU25" i="21"/>
  <c r="NW18" i="21"/>
  <c r="OY11" i="21"/>
  <c r="QA4" i="21"/>
  <c r="RC20" i="21"/>
  <c r="SE13" i="21"/>
  <c r="LS31" i="19"/>
  <c r="GI19" i="19"/>
  <c r="SE25" i="19"/>
  <c r="KQ14" i="19"/>
  <c r="GI28" i="19"/>
  <c r="EE13" i="19"/>
  <c r="EE20" i="19"/>
  <c r="EE27" i="19"/>
  <c r="FD7" i="19"/>
  <c r="FD24" i="19"/>
  <c r="FD19" i="19"/>
  <c r="GI13" i="19"/>
  <c r="GI20" i="19"/>
  <c r="GI27" i="19"/>
  <c r="HH7" i="19"/>
  <c r="HH24" i="19"/>
  <c r="HH19" i="19"/>
  <c r="HH29" i="19"/>
  <c r="IM5" i="19"/>
  <c r="JL29" i="19"/>
  <c r="KQ5" i="19"/>
  <c r="KQ11" i="19"/>
  <c r="KQ18" i="19"/>
  <c r="LP24" i="19"/>
  <c r="LP19" i="19"/>
  <c r="LP29" i="19"/>
  <c r="MU18" i="19"/>
  <c r="MU26" i="19"/>
  <c r="NW4" i="19"/>
  <c r="NW12" i="19"/>
  <c r="NW25" i="19"/>
  <c r="OY18" i="19"/>
  <c r="QA21" i="19"/>
  <c r="QA25" i="19"/>
  <c r="QA28" i="19"/>
  <c r="SE9" i="19"/>
  <c r="SE22" i="19"/>
  <c r="SE30" i="19"/>
  <c r="SE16" i="19"/>
  <c r="IM8" i="19"/>
  <c r="QA16" i="19"/>
  <c r="KQ28" i="19"/>
  <c r="IM11" i="19"/>
  <c r="JO12" i="19"/>
  <c r="JO14" i="19"/>
  <c r="JO17" i="19"/>
  <c r="KQ26" i="19"/>
  <c r="IJ14" i="19"/>
  <c r="SB8" i="19"/>
  <c r="EE8" i="19"/>
  <c r="GI29" i="19"/>
  <c r="EE11" i="19"/>
  <c r="FG14" i="19"/>
  <c r="FG17" i="19"/>
  <c r="GI5" i="19"/>
  <c r="GI11" i="19"/>
  <c r="GI18" i="19"/>
  <c r="GI26" i="19"/>
  <c r="HK4" i="19"/>
  <c r="HK12" i="19"/>
  <c r="HK17" i="19"/>
  <c r="HK25" i="19"/>
  <c r="JO21" i="19"/>
  <c r="JO25" i="19"/>
  <c r="LS4" i="19"/>
  <c r="NW9" i="19"/>
  <c r="NW15" i="19"/>
  <c r="QA9" i="19"/>
  <c r="QA24" i="19"/>
  <c r="QA15" i="19"/>
  <c r="QA19" i="19"/>
  <c r="QA22" i="19"/>
  <c r="QA29" i="19"/>
  <c r="QA30" i="19"/>
  <c r="SE13" i="19"/>
  <c r="SE20" i="19"/>
  <c r="EB14" i="19"/>
  <c r="KQ8" i="19"/>
  <c r="KQ21" i="19"/>
  <c r="FG21" i="19"/>
  <c r="FG25" i="19"/>
  <c r="JO7" i="19"/>
  <c r="JO9" i="19"/>
  <c r="JO24" i="19"/>
  <c r="JO15" i="19"/>
  <c r="MU31" i="19"/>
  <c r="OY31" i="19"/>
  <c r="KQ7" i="19"/>
  <c r="KQ24" i="19"/>
  <c r="AR21" i="19"/>
  <c r="BU9" i="19"/>
  <c r="BU21" i="19"/>
  <c r="FG9" i="19"/>
  <c r="FG24" i="19"/>
  <c r="FG15" i="19"/>
  <c r="FG19" i="19"/>
  <c r="FG28" i="19"/>
  <c r="GI10" i="19"/>
  <c r="HK9" i="19"/>
  <c r="IM23" i="19"/>
  <c r="JO22" i="19"/>
  <c r="JO30" i="19"/>
  <c r="KN8" i="19"/>
  <c r="KN14" i="19"/>
  <c r="LS22" i="19"/>
  <c r="LS29" i="19"/>
  <c r="LS30" i="19"/>
  <c r="MR8" i="19"/>
  <c r="MU14" i="19"/>
  <c r="MU21" i="19"/>
  <c r="MU28" i="19"/>
  <c r="NW6" i="19"/>
  <c r="OV28" i="19"/>
  <c r="QA6" i="19"/>
  <c r="QA13" i="19"/>
  <c r="QA20" i="19"/>
  <c r="QA27" i="19"/>
  <c r="QZ7" i="19"/>
  <c r="QZ24" i="19"/>
  <c r="QZ29" i="19"/>
  <c r="SE5" i="19"/>
  <c r="EE24" i="19"/>
  <c r="EE21" i="19"/>
  <c r="GF10" i="19"/>
  <c r="HK31" i="19"/>
  <c r="IM24" i="19"/>
  <c r="IM21" i="19"/>
  <c r="JO28" i="19"/>
  <c r="LS10" i="19"/>
  <c r="OY19" i="19"/>
  <c r="OY28" i="19"/>
  <c r="QZ23" i="19"/>
  <c r="SE7" i="19"/>
  <c r="SE14" i="19"/>
  <c r="EE19" i="19"/>
  <c r="EE28" i="19"/>
  <c r="IM19" i="19"/>
  <c r="IM28" i="19"/>
  <c r="JL15" i="19"/>
  <c r="JO29" i="19"/>
  <c r="LP16" i="19"/>
  <c r="MR14" i="19"/>
  <c r="MU23" i="19"/>
  <c r="NW8" i="19"/>
  <c r="OY29" i="19"/>
  <c r="QZ31" i="19"/>
  <c r="SE24" i="19"/>
  <c r="SE21" i="19"/>
  <c r="EE29" i="19"/>
  <c r="GI16" i="19"/>
  <c r="HK8" i="19"/>
  <c r="IM29" i="19"/>
  <c r="LP7" i="19"/>
  <c r="LP23" i="19"/>
  <c r="MU7" i="19"/>
  <c r="MU8" i="19"/>
  <c r="MU12" i="19"/>
  <c r="MR19" i="19"/>
  <c r="NW7" i="19"/>
  <c r="NW14" i="19"/>
  <c r="NW17" i="19"/>
  <c r="OY5" i="19"/>
  <c r="OY20" i="19"/>
  <c r="OY30" i="19"/>
  <c r="QA10" i="19"/>
  <c r="RC4" i="19"/>
  <c r="QZ19" i="19"/>
  <c r="SE6" i="19"/>
  <c r="SE15" i="19"/>
  <c r="SE19" i="19"/>
  <c r="SE28" i="19"/>
  <c r="HK14" i="19"/>
  <c r="MR21" i="19"/>
  <c r="NW24" i="19"/>
  <c r="NW21" i="19"/>
  <c r="RC8" i="19"/>
  <c r="MU10" i="19"/>
  <c r="KQ19" i="19"/>
  <c r="NW23" i="19"/>
  <c r="HK23" i="19"/>
  <c r="JL9" i="19"/>
  <c r="FD16" i="19"/>
  <c r="GI31" i="19"/>
  <c r="HK24" i="19"/>
  <c r="HK21" i="19"/>
  <c r="JO10" i="19"/>
  <c r="KQ10" i="19"/>
  <c r="MU24" i="19"/>
  <c r="NW19" i="19"/>
  <c r="NW28" i="19"/>
  <c r="QA23" i="19"/>
  <c r="RC7" i="19"/>
  <c r="RC14" i="19"/>
  <c r="EB31" i="19"/>
  <c r="JL31" i="19"/>
  <c r="HK16" i="19"/>
  <c r="QZ10" i="19"/>
  <c r="FG29" i="19"/>
  <c r="IM7" i="19"/>
  <c r="NW31" i="19"/>
  <c r="HK7" i="19"/>
  <c r="GI8" i="19"/>
  <c r="HK6" i="19"/>
  <c r="HK15" i="19"/>
  <c r="HK19" i="19"/>
  <c r="HK28" i="19"/>
  <c r="IM18" i="19"/>
  <c r="JO26" i="19"/>
  <c r="JL30" i="19"/>
  <c r="KQ16" i="19"/>
  <c r="LS8" i="19"/>
  <c r="LS12" i="19"/>
  <c r="MR28" i="19"/>
  <c r="NW13" i="19"/>
  <c r="NW22" i="19"/>
  <c r="NW29" i="19"/>
  <c r="OY26" i="19"/>
  <c r="QA31" i="19"/>
  <c r="RC9" i="19"/>
  <c r="RC24" i="19"/>
  <c r="RC21" i="19"/>
  <c r="RC25" i="19"/>
  <c r="SE11" i="19"/>
  <c r="SE27" i="19"/>
  <c r="SE23" i="19"/>
  <c r="EE14" i="19"/>
  <c r="JO19" i="19"/>
  <c r="OY24" i="19"/>
  <c r="OY21" i="19"/>
  <c r="QZ16" i="19"/>
  <c r="SE29" i="19"/>
  <c r="EE26" i="19"/>
  <c r="FD23" i="19"/>
  <c r="GI7" i="19"/>
  <c r="GI12" i="19"/>
  <c r="HK13" i="19"/>
  <c r="HK22" i="19"/>
  <c r="HK29" i="19"/>
  <c r="IM26" i="19"/>
  <c r="JL16" i="19"/>
  <c r="KQ23" i="19"/>
  <c r="LS7" i="19"/>
  <c r="LS14" i="19"/>
  <c r="LS17" i="19"/>
  <c r="MU5" i="19"/>
  <c r="MU13" i="19"/>
  <c r="MU15" i="19"/>
  <c r="MU19" i="19"/>
  <c r="MU25" i="19"/>
  <c r="NW5" i="19"/>
  <c r="NW20" i="19"/>
  <c r="NW30" i="19"/>
  <c r="OY10" i="19"/>
  <c r="QA4" i="19"/>
  <c r="RC6" i="19"/>
  <c r="RC15" i="19"/>
  <c r="RC19" i="19"/>
  <c r="RC28" i="19"/>
  <c r="SE18" i="19"/>
  <c r="NW10" i="19"/>
  <c r="HK10" i="19"/>
  <c r="NW16" i="19"/>
  <c r="EE7" i="19"/>
  <c r="IM14" i="19"/>
  <c r="KQ29" i="19"/>
  <c r="EE10" i="19"/>
  <c r="FD31" i="19"/>
  <c r="GI9" i="19"/>
  <c r="GI14" i="19"/>
  <c r="HK5" i="19"/>
  <c r="HK20" i="19"/>
  <c r="HK30" i="19"/>
  <c r="IM10" i="19"/>
  <c r="JO4" i="19"/>
  <c r="KQ4" i="19"/>
  <c r="KQ31" i="19"/>
  <c r="LS9" i="19"/>
  <c r="LS24" i="19"/>
  <c r="LS21" i="19"/>
  <c r="LS25" i="19"/>
  <c r="NW11" i="19"/>
  <c r="NW27" i="19"/>
  <c r="OY16" i="19"/>
  <c r="QA8" i="19"/>
  <c r="QA12" i="19"/>
  <c r="RC13" i="19"/>
  <c r="RC22" i="19"/>
  <c r="RC29" i="19"/>
  <c r="SE26" i="19"/>
  <c r="IM31" i="19"/>
  <c r="SE31" i="19"/>
  <c r="OY7" i="19"/>
  <c r="MU16" i="19"/>
  <c r="SE8" i="19"/>
  <c r="GI23" i="19"/>
  <c r="JL22" i="19"/>
  <c r="EB16" i="19"/>
  <c r="FG8" i="19"/>
  <c r="FG12" i="19"/>
  <c r="GI6" i="19"/>
  <c r="GI24" i="19"/>
  <c r="GI21" i="19"/>
  <c r="GI25" i="19"/>
  <c r="HK11" i="19"/>
  <c r="HK27" i="19"/>
  <c r="IM16" i="19"/>
  <c r="JO8" i="19"/>
  <c r="JL23" i="19"/>
  <c r="KN19" i="19"/>
  <c r="LS6" i="19"/>
  <c r="LS15" i="19"/>
  <c r="LS19" i="19"/>
  <c r="LS28" i="19"/>
  <c r="MU11" i="19"/>
  <c r="MU20" i="19"/>
  <c r="MU22" i="19"/>
  <c r="MU29" i="19"/>
  <c r="NW18" i="19"/>
  <c r="OV7" i="19"/>
  <c r="OY23" i="19"/>
  <c r="QA7" i="19"/>
  <c r="QA14" i="19"/>
  <c r="QA17" i="19"/>
  <c r="QZ5" i="19"/>
  <c r="RC20" i="19"/>
  <c r="RC30" i="19"/>
  <c r="SE10" i="19"/>
  <c r="GI6" i="27"/>
  <c r="GI14" i="27"/>
  <c r="HH7" i="27"/>
  <c r="HH12" i="27"/>
  <c r="IM11" i="27"/>
  <c r="QA6" i="27"/>
  <c r="FD8" i="27"/>
  <c r="KQ17" i="27"/>
  <c r="KN8" i="27"/>
  <c r="RC7" i="27"/>
  <c r="RC12" i="27"/>
  <c r="EB17" i="27"/>
  <c r="IM8" i="27"/>
  <c r="LS13" i="27"/>
  <c r="IM16" i="27"/>
  <c r="FG4" i="27"/>
  <c r="IM7" i="27"/>
  <c r="IM9" i="27"/>
  <c r="JL17" i="27"/>
  <c r="OY4" i="27"/>
  <c r="OY11" i="27"/>
  <c r="QA5" i="27"/>
  <c r="RC16" i="27"/>
  <c r="KQ6" i="27"/>
  <c r="KQ14" i="27"/>
  <c r="NW5" i="27"/>
  <c r="NW8" i="27"/>
  <c r="NW10" i="27"/>
  <c r="QA8" i="27"/>
  <c r="QA10" i="27"/>
  <c r="QA18" i="27"/>
  <c r="SE7" i="27"/>
  <c r="GI9" i="27"/>
  <c r="GI12" i="27"/>
  <c r="GI15" i="27"/>
  <c r="IM6" i="27"/>
  <c r="IM14" i="27"/>
  <c r="NW16" i="27"/>
  <c r="NW18" i="27"/>
  <c r="QZ13" i="27"/>
  <c r="FD17" i="27"/>
  <c r="JL7" i="27"/>
  <c r="JL12" i="27"/>
  <c r="KQ4" i="27"/>
  <c r="LS16" i="27"/>
  <c r="LS18" i="27"/>
  <c r="NW7" i="27"/>
  <c r="NW9" i="27"/>
  <c r="QZ8" i="27"/>
  <c r="QZ16" i="27"/>
  <c r="FG8" i="27"/>
  <c r="IM12" i="27"/>
  <c r="KQ8" i="27"/>
  <c r="OY13" i="27"/>
  <c r="QA7" i="27"/>
  <c r="EB13" i="27"/>
  <c r="FG7" i="27"/>
  <c r="FG16" i="27"/>
  <c r="HK5" i="27"/>
  <c r="IM4" i="27"/>
  <c r="IM15" i="27"/>
  <c r="JL13" i="27"/>
  <c r="KQ7" i="27"/>
  <c r="KQ16" i="27"/>
  <c r="KQ18" i="27"/>
  <c r="LS11" i="27"/>
  <c r="MR12" i="27"/>
  <c r="NW14" i="27"/>
  <c r="OY17" i="27"/>
  <c r="QA9" i="27"/>
  <c r="QA16" i="27"/>
  <c r="RC11" i="27"/>
  <c r="SB17" i="27"/>
  <c r="FG12" i="27"/>
  <c r="HK8" i="27"/>
  <c r="KQ12" i="27"/>
  <c r="QA12" i="27"/>
  <c r="GF13" i="27"/>
  <c r="HK7" i="27"/>
  <c r="HK16" i="27"/>
  <c r="MU8" i="27"/>
  <c r="MU10" i="27"/>
  <c r="NW11" i="27"/>
  <c r="OV12" i="27"/>
  <c r="QA15" i="27"/>
  <c r="SE8" i="27"/>
  <c r="PX17" i="27"/>
  <c r="GI17" i="27"/>
  <c r="LS17" i="27"/>
  <c r="MU12" i="27"/>
  <c r="OY8" i="27"/>
  <c r="QZ17" i="27"/>
  <c r="SE9" i="27"/>
  <c r="SE16" i="27"/>
  <c r="NW12" i="27"/>
  <c r="IJ4" i="27"/>
  <c r="EE5" i="27"/>
  <c r="EE10" i="27"/>
  <c r="HK14" i="27"/>
  <c r="IM13" i="27"/>
  <c r="IJ11" i="27"/>
  <c r="JO8" i="27"/>
  <c r="JO10" i="27"/>
  <c r="KQ11" i="27"/>
  <c r="LP8" i="27"/>
  <c r="MU6" i="27"/>
  <c r="MU15" i="27"/>
  <c r="NW13" i="27"/>
  <c r="OY7" i="27"/>
  <c r="OY16" i="27"/>
  <c r="OY18" i="27"/>
  <c r="QA11" i="27"/>
  <c r="PX15" i="27"/>
  <c r="SE6" i="27"/>
  <c r="SE12" i="27"/>
  <c r="SE18" i="27"/>
  <c r="HK17" i="27"/>
  <c r="MR13" i="27"/>
  <c r="MR17" i="27"/>
  <c r="EE16" i="27"/>
  <c r="EE18" i="27"/>
  <c r="GI5" i="27"/>
  <c r="HK4" i="27"/>
  <c r="JO7" i="27"/>
  <c r="JO16" i="27"/>
  <c r="JO18" i="27"/>
  <c r="LS5" i="27"/>
  <c r="MU14" i="27"/>
  <c r="NW17" i="27"/>
  <c r="OY9" i="27"/>
  <c r="OY12" i="27"/>
  <c r="SE15" i="27"/>
  <c r="HK13" i="27"/>
  <c r="SB13" i="27"/>
  <c r="EE7" i="27"/>
  <c r="EE9" i="27"/>
  <c r="EE12" i="27"/>
  <c r="GI8" i="27"/>
  <c r="GI10" i="27"/>
  <c r="HK11" i="27"/>
  <c r="IM17" i="27"/>
  <c r="JO9" i="27"/>
  <c r="JO12" i="27"/>
  <c r="OY6" i="27"/>
  <c r="OY15" i="27"/>
  <c r="RC5" i="27"/>
  <c r="SB9" i="27"/>
  <c r="SE14" i="27"/>
  <c r="HK12" i="27"/>
  <c r="MU7" i="27"/>
  <c r="MU16" i="27"/>
  <c r="EE15" i="27"/>
  <c r="FD13" i="27"/>
  <c r="GI7" i="27"/>
  <c r="GI16" i="27"/>
  <c r="GI18" i="27"/>
  <c r="IM5" i="27"/>
  <c r="JO6" i="27"/>
  <c r="JO15" i="27"/>
  <c r="KQ13" i="27"/>
  <c r="LS7" i="27"/>
  <c r="LS10" i="27"/>
  <c r="MR11" i="27"/>
  <c r="NT12" i="27"/>
  <c r="OY14" i="27"/>
  <c r="PX13" i="27"/>
  <c r="RC8" i="27"/>
  <c r="RC10" i="27"/>
  <c r="SB10" i="26"/>
  <c r="MU5" i="26"/>
  <c r="OY10" i="26"/>
  <c r="EE7" i="26"/>
  <c r="EE13" i="26"/>
  <c r="FD10" i="26"/>
  <c r="LS10" i="26"/>
  <c r="OY4" i="26"/>
  <c r="JO12" i="26"/>
  <c r="IM10" i="26"/>
  <c r="LS8" i="26"/>
  <c r="QA13" i="26"/>
  <c r="QZ10" i="26"/>
  <c r="SE6" i="26"/>
  <c r="HK6" i="26"/>
  <c r="IM4" i="26"/>
  <c r="IM8" i="26"/>
  <c r="IM11" i="26"/>
  <c r="LS9" i="26"/>
  <c r="MU7" i="26"/>
  <c r="MU13" i="26"/>
  <c r="OY6" i="26"/>
  <c r="GF10" i="26"/>
  <c r="QA4" i="26"/>
  <c r="EB6" i="26"/>
  <c r="FG4" i="26"/>
  <c r="FG8" i="26"/>
  <c r="FG11" i="26"/>
  <c r="GF8" i="26"/>
  <c r="IM9" i="26"/>
  <c r="JO7" i="26"/>
  <c r="JO13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3" i="26"/>
  <c r="LS12" i="26"/>
  <c r="NW7" i="26"/>
  <c r="OY5" i="26"/>
  <c r="OV6" i="26"/>
  <c r="QA11" i="26"/>
  <c r="IM5" i="26"/>
  <c r="HK11" i="26"/>
  <c r="KQ4" i="26"/>
  <c r="KQ8" i="26"/>
  <c r="MU6" i="26"/>
  <c r="NW10" i="26"/>
  <c r="NW13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3" i="26"/>
  <c r="GI12" i="26"/>
  <c r="IM7" i="26"/>
  <c r="JO5" i="26"/>
  <c r="KQ9" i="26"/>
  <c r="NW11" i="26"/>
  <c r="QA6" i="26"/>
  <c r="RC10" i="26"/>
  <c r="RC13" i="26"/>
  <c r="SE12" i="26"/>
  <c r="EC5" i="24"/>
  <c r="FK11" i="24"/>
  <c r="GS10" i="24"/>
  <c r="IA9" i="24"/>
  <c r="JI8" i="24"/>
  <c r="PW10" i="24"/>
  <c r="RE9" i="24"/>
  <c r="SM8" i="24"/>
  <c r="TU7" i="24"/>
  <c r="EC4" i="24"/>
  <c r="EC11" i="24"/>
  <c r="FK10" i="24"/>
  <c r="GS9" i="24"/>
  <c r="IA8" i="24"/>
  <c r="TU6" i="24"/>
  <c r="VC5" i="24"/>
  <c r="EC10" i="24"/>
  <c r="FK9" i="24"/>
  <c r="GS8" i="24"/>
  <c r="IA7" i="24"/>
  <c r="JI6" i="24"/>
  <c r="KQ5" i="24"/>
  <c r="LY4" i="24"/>
  <c r="LY11" i="24"/>
  <c r="NG10" i="24"/>
  <c r="OO9" i="24"/>
  <c r="PW8" i="24"/>
  <c r="RE7" i="24"/>
  <c r="SM6" i="24"/>
  <c r="TU5" i="24"/>
  <c r="VC4" i="24"/>
  <c r="VC11" i="24"/>
  <c r="DV9" i="24"/>
  <c r="EC9" i="24" s="1"/>
  <c r="FD8" i="24"/>
  <c r="FK8" i="24" s="1"/>
  <c r="GL7" i="24"/>
  <c r="GS7" i="24" s="1"/>
  <c r="HT6" i="24"/>
  <c r="IA6" i="24" s="1"/>
  <c r="JB5" i="24"/>
  <c r="JI5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6" i="24"/>
  <c r="RE6" i="24" s="1"/>
  <c r="SF5" i="24"/>
  <c r="SM5" i="24" s="1"/>
  <c r="TN4" i="24"/>
  <c r="TU4" i="24" s="1"/>
  <c r="TN11" i="24"/>
  <c r="TU11" i="24" s="1"/>
  <c r="UV10" i="24"/>
  <c r="VC10" i="24" s="1"/>
  <c r="EC4" i="23"/>
  <c r="EC12" i="23"/>
  <c r="IA4" i="23"/>
  <c r="IA12" i="23"/>
  <c r="JI4" i="23"/>
  <c r="JI12" i="23"/>
  <c r="KQ4" i="23"/>
  <c r="KQ12" i="23"/>
  <c r="LY4" i="23"/>
  <c r="LY12" i="23"/>
  <c r="OO4" i="23"/>
  <c r="TU4" i="23"/>
  <c r="TU12" i="23"/>
  <c r="VC4" i="23"/>
  <c r="VC12" i="23"/>
  <c r="GS11" i="23"/>
  <c r="KQ11" i="23"/>
  <c r="LY10" i="23"/>
  <c r="GS10" i="23"/>
  <c r="JI11" i="23"/>
  <c r="RE11" i="23"/>
  <c r="RE10" i="23"/>
  <c r="TU11" i="23"/>
  <c r="TU10" i="23"/>
  <c r="VC10" i="23"/>
  <c r="EC15" i="23"/>
  <c r="FK9" i="23"/>
  <c r="IA9" i="23"/>
  <c r="IA15" i="23"/>
  <c r="JI9" i="23"/>
  <c r="JI15" i="23"/>
  <c r="KQ9" i="23"/>
  <c r="NG15" i="23"/>
  <c r="OO9" i="23"/>
  <c r="OO15" i="23"/>
  <c r="RE15" i="23"/>
  <c r="SM9" i="23"/>
  <c r="SM15" i="23"/>
  <c r="TU9" i="23"/>
  <c r="TU15" i="23"/>
  <c r="VC9" i="23"/>
  <c r="EC11" i="23"/>
  <c r="KQ10" i="23"/>
  <c r="IA10" i="23"/>
  <c r="LY11" i="23"/>
  <c r="NG10" i="23"/>
  <c r="OO11" i="23"/>
  <c r="PW11" i="23"/>
  <c r="PW10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IA11" i="23"/>
  <c r="II4" i="22"/>
  <c r="JQ6" i="22"/>
  <c r="NO5" i="22"/>
  <c r="NO12" i="22"/>
  <c r="RM4" i="22"/>
  <c r="RM10" i="22"/>
  <c r="SU6" i="22"/>
  <c r="SU13" i="22"/>
  <c r="UC11" i="22"/>
  <c r="VK9" i="22"/>
  <c r="JQ13" i="22"/>
  <c r="JQ12" i="22"/>
  <c r="MG8" i="22"/>
  <c r="SU12" i="22"/>
  <c r="FS5" i="22"/>
  <c r="FS12" i="22"/>
  <c r="HA7" i="22"/>
  <c r="HA14" i="22"/>
  <c r="II8" i="22"/>
  <c r="JQ4" i="22"/>
  <c r="JQ10" i="22"/>
  <c r="KY6" i="22"/>
  <c r="OW5" i="22"/>
  <c r="OW12" i="22"/>
  <c r="QE7" i="22"/>
  <c r="QE14" i="22"/>
  <c r="RM8" i="22"/>
  <c r="SU4" i="22"/>
  <c r="SU10" i="22"/>
  <c r="UC6" i="22"/>
  <c r="UC13" i="22"/>
  <c r="KY11" i="22"/>
  <c r="NO4" i="22"/>
  <c r="HA11" i="22"/>
  <c r="II9" i="22"/>
  <c r="ED8" i="22"/>
  <c r="EK8" i="22" s="1"/>
  <c r="FL4" i="22"/>
  <c r="FS4" i="22" s="1"/>
  <c r="FL10" i="22"/>
  <c r="FS10" i="22" s="1"/>
  <c r="GT6" i="22"/>
  <c r="HA6" i="22" s="1"/>
  <c r="GT13" i="22"/>
  <c r="HA13" i="22" s="1"/>
  <c r="JJ9" i="22"/>
  <c r="JQ9" i="22" s="1"/>
  <c r="KR5" i="22"/>
  <c r="KY5" i="22" s="1"/>
  <c r="KR12" i="22"/>
  <c r="KY12" i="22" s="1"/>
  <c r="LZ7" i="22"/>
  <c r="MG7" i="22" s="1"/>
  <c r="LZ14" i="22"/>
  <c r="MG14" i="22" s="1"/>
  <c r="NH8" i="22"/>
  <c r="NO8" i="22" s="1"/>
  <c r="OP4" i="22"/>
  <c r="OW4" i="22" s="1"/>
  <c r="OP10" i="22"/>
  <c r="OW10" i="22" s="1"/>
  <c r="PX6" i="22"/>
  <c r="QE6" i="22" s="1"/>
  <c r="PX13" i="22"/>
  <c r="QE13" i="22" s="1"/>
  <c r="RF11" i="22"/>
  <c r="RM11" i="22" s="1"/>
  <c r="SN9" i="22"/>
  <c r="SU9" i="22" s="1"/>
  <c r="TV5" i="22"/>
  <c r="UC5" i="22" s="1"/>
  <c r="TV12" i="22"/>
  <c r="UC12" i="22" s="1"/>
  <c r="VD7" i="22"/>
  <c r="VK7" i="22" s="1"/>
  <c r="VD14" i="22"/>
  <c r="VK14" i="22" s="1"/>
  <c r="JQ5" i="22"/>
  <c r="KY14" i="22"/>
  <c r="QE11" i="22"/>
  <c r="RM9" i="22"/>
  <c r="SU5" i="22"/>
  <c r="UC14" i="22"/>
  <c r="VK8" i="22"/>
  <c r="OW23" i="4"/>
  <c r="RM5" i="4"/>
  <c r="RM23" i="4"/>
  <c r="RM18" i="4"/>
  <c r="UC5" i="4"/>
  <c r="UC23" i="4"/>
  <c r="OW10" i="4"/>
  <c r="QE17" i="4"/>
  <c r="FS5" i="4"/>
  <c r="HA23" i="4"/>
  <c r="OW5" i="4"/>
  <c r="EK4" i="4"/>
  <c r="EK9" i="4"/>
  <c r="EK16" i="4"/>
  <c r="EK24" i="4"/>
  <c r="FS9" i="4"/>
  <c r="FS16" i="4"/>
  <c r="FS24" i="4"/>
  <c r="HA9" i="4"/>
  <c r="HA16" i="4"/>
  <c r="HA24" i="4"/>
  <c r="II9" i="4"/>
  <c r="II16" i="4"/>
  <c r="II24" i="4"/>
  <c r="JQ9" i="4"/>
  <c r="JQ16" i="4"/>
  <c r="JQ24" i="4"/>
  <c r="KY9" i="4"/>
  <c r="KY16" i="4"/>
  <c r="KY24" i="4"/>
  <c r="MG9" i="4"/>
  <c r="MG16" i="4"/>
  <c r="MG24" i="4"/>
  <c r="NO9" i="4"/>
  <c r="NO16" i="4"/>
  <c r="NO24" i="4"/>
  <c r="OW9" i="4"/>
  <c r="OW16" i="4"/>
  <c r="OW24" i="4"/>
  <c r="QE9" i="4"/>
  <c r="QE16" i="4"/>
  <c r="QE24" i="4"/>
  <c r="RM9" i="4"/>
  <c r="RM16" i="4"/>
  <c r="RM24" i="4"/>
  <c r="SU9" i="4"/>
  <c r="SU16" i="4"/>
  <c r="SU24" i="4"/>
  <c r="UC9" i="4"/>
  <c r="UC16" i="4"/>
  <c r="UC24" i="4"/>
  <c r="VK9" i="4"/>
  <c r="VK16" i="4"/>
  <c r="VK24" i="4"/>
  <c r="EK23" i="4"/>
  <c r="EK18" i="4"/>
  <c r="FS23" i="4"/>
  <c r="FS18" i="4"/>
  <c r="JQ4" i="4"/>
  <c r="II5" i="4"/>
  <c r="KY5" i="4"/>
  <c r="KY18" i="4"/>
  <c r="HA4" i="4"/>
  <c r="HA17" i="4"/>
  <c r="II17" i="4"/>
  <c r="OW17" i="4"/>
  <c r="ED14" i="4"/>
  <c r="EK14" i="4" s="1"/>
  <c r="ED15" i="4"/>
  <c r="EK15" i="4" s="1"/>
  <c r="ED22" i="4"/>
  <c r="EK22" i="4" s="1"/>
  <c r="FL14" i="4"/>
  <c r="FS14" i="4" s="1"/>
  <c r="FL15" i="4"/>
  <c r="FS15" i="4" s="1"/>
  <c r="FL22" i="4"/>
  <c r="FS22" i="4" s="1"/>
  <c r="GT14" i="4"/>
  <c r="HA14" i="4" s="1"/>
  <c r="GT15" i="4"/>
  <c r="HA15" i="4" s="1"/>
  <c r="GT22" i="4"/>
  <c r="HA22" i="4" s="1"/>
  <c r="IB14" i="4"/>
  <c r="II14" i="4" s="1"/>
  <c r="IB22" i="4"/>
  <c r="II22" i="4" s="1"/>
  <c r="JJ14" i="4"/>
  <c r="JQ14" i="4" s="1"/>
  <c r="JJ15" i="4"/>
  <c r="JQ15" i="4" s="1"/>
  <c r="JJ22" i="4"/>
  <c r="JQ22" i="4" s="1"/>
  <c r="KR14" i="4"/>
  <c r="KY14" i="4" s="1"/>
  <c r="KR15" i="4"/>
  <c r="KY15" i="4" s="1"/>
  <c r="KR22" i="4"/>
  <c r="KY22" i="4" s="1"/>
  <c r="LZ14" i="4"/>
  <c r="MG14" i="4" s="1"/>
  <c r="LZ15" i="4"/>
  <c r="MG15" i="4" s="1"/>
  <c r="LZ22" i="4"/>
  <c r="MG22" i="4" s="1"/>
  <c r="NH14" i="4"/>
  <c r="NO14" i="4" s="1"/>
  <c r="NH15" i="4"/>
  <c r="NO15" i="4" s="1"/>
  <c r="NH22" i="4"/>
  <c r="NO22" i="4" s="1"/>
  <c r="OP14" i="4"/>
  <c r="OW14" i="4" s="1"/>
  <c r="OP15" i="4"/>
  <c r="OW15" i="4" s="1"/>
  <c r="OP22" i="4"/>
  <c r="OW22" i="4" s="1"/>
  <c r="PX14" i="4"/>
  <c r="QE14" i="4" s="1"/>
  <c r="PX15" i="4"/>
  <c r="QE15" i="4" s="1"/>
  <c r="PX22" i="4"/>
  <c r="QE22" i="4" s="1"/>
  <c r="RF14" i="4"/>
  <c r="RM14" i="4" s="1"/>
  <c r="RF15" i="4"/>
  <c r="RM15" i="4" s="1"/>
  <c r="RF22" i="4"/>
  <c r="RM22" i="4" s="1"/>
  <c r="SN14" i="4"/>
  <c r="SU14" i="4" s="1"/>
  <c r="SN15" i="4"/>
  <c r="SU15" i="4" s="1"/>
  <c r="SN22" i="4"/>
  <c r="SU22" i="4" s="1"/>
  <c r="TV14" i="4"/>
  <c r="UC14" i="4" s="1"/>
  <c r="TV15" i="4"/>
  <c r="UC15" i="4" s="1"/>
  <c r="TV22" i="4"/>
  <c r="UC22" i="4" s="1"/>
  <c r="VD14" i="4"/>
  <c r="VK14" i="4" s="1"/>
  <c r="VD15" i="4"/>
  <c r="VK15" i="4" s="1"/>
  <c r="VD22" i="4"/>
  <c r="VK22" i="4" s="1"/>
  <c r="HA18" i="4"/>
  <c r="KY23" i="4"/>
  <c r="MG5" i="4"/>
  <c r="MG23" i="4"/>
  <c r="NO5" i="4"/>
  <c r="NO23" i="4"/>
  <c r="EK10" i="4"/>
  <c r="EK17" i="4"/>
  <c r="FS4" i="4"/>
  <c r="JQ10" i="4"/>
  <c r="QE4" i="4"/>
  <c r="QE10" i="4"/>
  <c r="RM17" i="4"/>
  <c r="VK4" i="4"/>
  <c r="VK10" i="4"/>
  <c r="VK17" i="4"/>
  <c r="GI17" i="19"/>
  <c r="IB15" i="4"/>
  <c r="II15" i="4" s="1"/>
  <c r="IB12" i="4"/>
  <c r="II12" i="4" s="1"/>
  <c r="IB11" i="4"/>
  <c r="II11" i="4" s="1"/>
  <c r="II13" i="4"/>
  <c r="EB8" i="27"/>
  <c r="EB5" i="26"/>
  <c r="FD11" i="21"/>
  <c r="FG9" i="21"/>
  <c r="FG4" i="19"/>
  <c r="FD10" i="19"/>
  <c r="FG7" i="19"/>
  <c r="GL6" i="24"/>
  <c r="GS6" i="24" s="1"/>
  <c r="IB10" i="22"/>
  <c r="II10" i="22" s="1"/>
  <c r="IB11" i="22"/>
  <c r="II11" i="22" s="1"/>
  <c r="GT7" i="4"/>
  <c r="HA7" i="4" s="1"/>
  <c r="GT5" i="4"/>
  <c r="HA5" i="4" s="1"/>
  <c r="SB4" i="21"/>
  <c r="SB11" i="21"/>
  <c r="SB18" i="21"/>
  <c r="SB25" i="21"/>
  <c r="SB6" i="21"/>
  <c r="SB13" i="21"/>
  <c r="SB20" i="21"/>
  <c r="SB12" i="21"/>
  <c r="SB14" i="21"/>
  <c r="SB22" i="21"/>
  <c r="SB10" i="21"/>
  <c r="SB17" i="21"/>
  <c r="SB24" i="21"/>
  <c r="SB5" i="21"/>
  <c r="SB8" i="21"/>
  <c r="SB19" i="21"/>
  <c r="SB26" i="21"/>
  <c r="QZ4" i="21"/>
  <c r="QZ11" i="21"/>
  <c r="QZ18" i="21"/>
  <c r="QZ25" i="21"/>
  <c r="QZ6" i="21"/>
  <c r="QZ13" i="21"/>
  <c r="QZ20" i="21"/>
  <c r="QZ12" i="21"/>
  <c r="QZ14" i="21"/>
  <c r="QZ22" i="21"/>
  <c r="QZ10" i="21"/>
  <c r="QZ17" i="21"/>
  <c r="QZ24" i="21"/>
  <c r="QZ5" i="21"/>
  <c r="QZ8" i="21"/>
  <c r="QZ19" i="21"/>
  <c r="QZ26" i="21"/>
  <c r="PX4" i="21"/>
  <c r="PX11" i="21"/>
  <c r="PX18" i="21"/>
  <c r="PX25" i="21"/>
  <c r="PX6" i="21"/>
  <c r="PX13" i="21"/>
  <c r="PX20" i="21"/>
  <c r="PX12" i="21"/>
  <c r="PX14" i="21"/>
  <c r="PX22" i="21"/>
  <c r="PX10" i="21"/>
  <c r="PX17" i="21"/>
  <c r="PX24" i="21"/>
  <c r="PX5" i="21"/>
  <c r="PX8" i="21"/>
  <c r="PX19" i="21"/>
  <c r="PX26" i="21"/>
  <c r="OV4" i="21"/>
  <c r="OV11" i="21"/>
  <c r="OV18" i="21"/>
  <c r="OV25" i="21"/>
  <c r="OV6" i="21"/>
  <c r="OV13" i="21"/>
  <c r="OV20" i="21"/>
  <c r="OV12" i="21"/>
  <c r="OV14" i="21"/>
  <c r="OV22" i="21"/>
  <c r="OV10" i="21"/>
  <c r="OV17" i="21"/>
  <c r="OV24" i="21"/>
  <c r="OV5" i="21"/>
  <c r="OV8" i="21"/>
  <c r="OV19" i="21"/>
  <c r="OV26" i="21"/>
  <c r="NT4" i="21"/>
  <c r="NT11" i="21"/>
  <c r="NT18" i="21"/>
  <c r="NT25" i="21"/>
  <c r="NT6" i="21"/>
  <c r="NT13" i="21"/>
  <c r="NT20" i="21"/>
  <c r="NT12" i="21"/>
  <c r="NT14" i="21"/>
  <c r="NT22" i="21"/>
  <c r="NT10" i="21"/>
  <c r="NT17" i="21"/>
  <c r="NT24" i="21"/>
  <c r="NT5" i="21"/>
  <c r="NT8" i="21"/>
  <c r="NT19" i="21"/>
  <c r="NT26" i="21"/>
  <c r="MR4" i="21"/>
  <c r="MR11" i="21"/>
  <c r="MR18" i="21"/>
  <c r="MR25" i="21"/>
  <c r="MR6" i="21"/>
  <c r="MR13" i="21"/>
  <c r="MR20" i="21"/>
  <c r="MR14" i="21"/>
  <c r="MR10" i="21"/>
  <c r="MR17" i="21"/>
  <c r="MR24" i="21"/>
  <c r="MR22" i="21"/>
  <c r="MU12" i="21"/>
  <c r="MR5" i="21"/>
  <c r="MR8" i="21"/>
  <c r="MR19" i="21"/>
  <c r="MR26" i="21"/>
  <c r="LP6" i="21"/>
  <c r="LS4" i="21"/>
  <c r="LS11" i="21"/>
  <c r="LS18" i="21"/>
  <c r="LS25" i="21"/>
  <c r="LP12" i="21"/>
  <c r="LP14" i="21"/>
  <c r="LP22" i="21"/>
  <c r="LP13" i="21"/>
  <c r="LS20" i="21"/>
  <c r="LP10" i="21"/>
  <c r="LP17" i="21"/>
  <c r="LP24" i="21"/>
  <c r="LP5" i="21"/>
  <c r="LP8" i="21"/>
  <c r="LP19" i="21"/>
  <c r="LP26" i="21"/>
  <c r="KN4" i="21"/>
  <c r="KN11" i="21"/>
  <c r="KN18" i="21"/>
  <c r="KN25" i="21"/>
  <c r="KN6" i="21"/>
  <c r="KN13" i="21"/>
  <c r="KN20" i="21"/>
  <c r="KN12" i="21"/>
  <c r="KN14" i="21"/>
  <c r="KN22" i="21"/>
  <c r="KN10" i="21"/>
  <c r="KN17" i="21"/>
  <c r="KN24" i="21"/>
  <c r="KN5" i="21"/>
  <c r="KN8" i="21"/>
  <c r="KN19" i="21"/>
  <c r="KN26" i="21"/>
  <c r="JL4" i="21"/>
  <c r="JL11" i="21"/>
  <c r="JL18" i="21"/>
  <c r="JL25" i="21"/>
  <c r="JL6" i="21"/>
  <c r="JL13" i="21"/>
  <c r="JL20" i="21"/>
  <c r="JL12" i="21"/>
  <c r="JL14" i="21"/>
  <c r="JL22" i="21"/>
  <c r="JL10" i="21"/>
  <c r="JL17" i="21"/>
  <c r="JL24" i="21"/>
  <c r="JL5" i="21"/>
  <c r="JL8" i="21"/>
  <c r="JL19" i="21"/>
  <c r="JL26" i="21"/>
  <c r="IJ4" i="21"/>
  <c r="IJ11" i="21"/>
  <c r="IJ18" i="21"/>
  <c r="IJ25" i="21"/>
  <c r="IJ6" i="21"/>
  <c r="IJ13" i="21"/>
  <c r="IJ20" i="21"/>
  <c r="IJ12" i="21"/>
  <c r="IJ14" i="21"/>
  <c r="IJ22" i="21"/>
  <c r="IJ10" i="21"/>
  <c r="IJ17" i="21"/>
  <c r="IJ24" i="21"/>
  <c r="IJ5" i="21"/>
  <c r="IJ8" i="21"/>
  <c r="IJ19" i="21"/>
  <c r="IJ26" i="21"/>
  <c r="HH4" i="21"/>
  <c r="HH11" i="21"/>
  <c r="HH18" i="21"/>
  <c r="HH25" i="21"/>
  <c r="HH6" i="21"/>
  <c r="HH13" i="21"/>
  <c r="HH20" i="21"/>
  <c r="HH12" i="21"/>
  <c r="HH14" i="21"/>
  <c r="HH22" i="21"/>
  <c r="HH10" i="21"/>
  <c r="HH17" i="21"/>
  <c r="HH24" i="21"/>
  <c r="HH5" i="21"/>
  <c r="HH8" i="21"/>
  <c r="HH19" i="21"/>
  <c r="HH26" i="21"/>
  <c r="GI4" i="21"/>
  <c r="GI11" i="21"/>
  <c r="GI18" i="21"/>
  <c r="GI25" i="21"/>
  <c r="GF13" i="21"/>
  <c r="GF12" i="21"/>
  <c r="GF14" i="21"/>
  <c r="GF22" i="21"/>
  <c r="GI6" i="21"/>
  <c r="GI20" i="21"/>
  <c r="GF10" i="21"/>
  <c r="GF17" i="21"/>
  <c r="GF24" i="21"/>
  <c r="GF5" i="21"/>
  <c r="GF8" i="21"/>
  <c r="GF19" i="21"/>
  <c r="GF26" i="21"/>
  <c r="FG4" i="21"/>
  <c r="FG11" i="21"/>
  <c r="FG18" i="21"/>
  <c r="FG25" i="21"/>
  <c r="FD13" i="21"/>
  <c r="FD12" i="21"/>
  <c r="FD14" i="21"/>
  <c r="FD22" i="21"/>
  <c r="FG6" i="21"/>
  <c r="FG20" i="21"/>
  <c r="FD10" i="21"/>
  <c r="FD17" i="21"/>
  <c r="FD24" i="21"/>
  <c r="FD5" i="21"/>
  <c r="FD8" i="21"/>
  <c r="FD19" i="21"/>
  <c r="FD26" i="21"/>
  <c r="EB4" i="21"/>
  <c r="EB25" i="21"/>
  <c r="EB6" i="21"/>
  <c r="EB13" i="21"/>
  <c r="EB20" i="21"/>
  <c r="EB11" i="21"/>
  <c r="EB12" i="21"/>
  <c r="EB14" i="21"/>
  <c r="EB22" i="21"/>
  <c r="EB10" i="21"/>
  <c r="EB17" i="21"/>
  <c r="EB24" i="21"/>
  <c r="EB18" i="21"/>
  <c r="EB5" i="21"/>
  <c r="EB8" i="21"/>
  <c r="EB19" i="21"/>
  <c r="EB26" i="21"/>
  <c r="SB10" i="19"/>
  <c r="SB16" i="19"/>
  <c r="SB23" i="19"/>
  <c r="SB31" i="19"/>
  <c r="SB5" i="19"/>
  <c r="SB11" i="19"/>
  <c r="SB18" i="19"/>
  <c r="SB26" i="19"/>
  <c r="SB6" i="19"/>
  <c r="SB13" i="19"/>
  <c r="SB20" i="19"/>
  <c r="SB27" i="19"/>
  <c r="SB9" i="19"/>
  <c r="SB15" i="19"/>
  <c r="SB22" i="19"/>
  <c r="SB30" i="19"/>
  <c r="SB4" i="19"/>
  <c r="SB12" i="19"/>
  <c r="SB17" i="19"/>
  <c r="SB25" i="19"/>
  <c r="RC10" i="19"/>
  <c r="RC16" i="19"/>
  <c r="RC23" i="19"/>
  <c r="RC31" i="19"/>
  <c r="QZ18" i="19"/>
  <c r="QZ6" i="19"/>
  <c r="QZ13" i="19"/>
  <c r="QZ20" i="19"/>
  <c r="QZ27" i="19"/>
  <c r="RC5" i="19"/>
  <c r="RC11" i="19"/>
  <c r="RC26" i="19"/>
  <c r="QZ9" i="19"/>
  <c r="QZ15" i="19"/>
  <c r="QZ22" i="19"/>
  <c r="QZ30" i="19"/>
  <c r="QZ4" i="19"/>
  <c r="QZ12" i="19"/>
  <c r="QZ17" i="19"/>
  <c r="QZ25" i="19"/>
  <c r="PX10" i="19"/>
  <c r="PX16" i="19"/>
  <c r="PX23" i="19"/>
  <c r="PX31" i="19"/>
  <c r="PX5" i="19"/>
  <c r="PX11" i="19"/>
  <c r="PX18" i="19"/>
  <c r="PX26" i="19"/>
  <c r="PX6" i="19"/>
  <c r="PX13" i="19"/>
  <c r="PX20" i="19"/>
  <c r="PX27" i="19"/>
  <c r="PX9" i="19"/>
  <c r="PX15" i="19"/>
  <c r="PX22" i="19"/>
  <c r="PX30" i="19"/>
  <c r="PX4" i="19"/>
  <c r="PX12" i="19"/>
  <c r="PX17" i="19"/>
  <c r="PX25" i="19"/>
  <c r="OV10" i="19"/>
  <c r="OV16" i="19"/>
  <c r="OV23" i="19"/>
  <c r="OV31" i="19"/>
  <c r="OV5" i="19"/>
  <c r="OV11" i="19"/>
  <c r="OV18" i="19"/>
  <c r="OV26" i="19"/>
  <c r="OV6" i="19"/>
  <c r="OV13" i="19"/>
  <c r="OV20" i="19"/>
  <c r="OV27" i="19"/>
  <c r="OV9" i="19"/>
  <c r="OV15" i="19"/>
  <c r="OV22" i="19"/>
  <c r="OV30" i="19"/>
  <c r="OV4" i="19"/>
  <c r="OV12" i="19"/>
  <c r="OV17" i="19"/>
  <c r="OV25" i="19"/>
  <c r="NT10" i="19"/>
  <c r="NT16" i="19"/>
  <c r="NT23" i="19"/>
  <c r="NT31" i="19"/>
  <c r="NT5" i="19"/>
  <c r="NT11" i="19"/>
  <c r="NT18" i="19"/>
  <c r="NT26" i="19"/>
  <c r="NT6" i="19"/>
  <c r="NT13" i="19"/>
  <c r="NT20" i="19"/>
  <c r="NT27" i="19"/>
  <c r="NT9" i="19"/>
  <c r="NT15" i="19"/>
  <c r="NT22" i="19"/>
  <c r="NT30" i="19"/>
  <c r="NT4" i="19"/>
  <c r="NT12" i="19"/>
  <c r="NT17" i="19"/>
  <c r="NT25" i="19"/>
  <c r="MR10" i="19"/>
  <c r="MR16" i="19"/>
  <c r="MR23" i="19"/>
  <c r="MR31" i="19"/>
  <c r="MR5" i="19"/>
  <c r="MR11" i="19"/>
  <c r="MR18" i="19"/>
  <c r="MR26" i="19"/>
  <c r="MR6" i="19"/>
  <c r="MR13" i="19"/>
  <c r="MR20" i="19"/>
  <c r="MR27" i="19"/>
  <c r="MR9" i="19"/>
  <c r="MR15" i="19"/>
  <c r="MR22" i="19"/>
  <c r="MR30" i="19"/>
  <c r="MR4" i="19"/>
  <c r="MR12" i="19"/>
  <c r="MR17" i="19"/>
  <c r="MR25" i="19"/>
  <c r="LP10" i="19"/>
  <c r="LP31" i="19"/>
  <c r="LP5" i="19"/>
  <c r="LP11" i="19"/>
  <c r="LS16" i="19"/>
  <c r="LS23" i="19"/>
  <c r="LP6" i="19"/>
  <c r="LP13" i="19"/>
  <c r="LP20" i="19"/>
  <c r="LP27" i="19"/>
  <c r="LS18" i="19"/>
  <c r="LS26" i="19"/>
  <c r="LP9" i="19"/>
  <c r="LP15" i="19"/>
  <c r="LP22" i="19"/>
  <c r="LP30" i="19"/>
  <c r="LP4" i="19"/>
  <c r="LP12" i="19"/>
  <c r="LP17" i="19"/>
  <c r="LP25" i="19"/>
  <c r="KN10" i="19"/>
  <c r="KN16" i="19"/>
  <c r="KN23" i="19"/>
  <c r="KN31" i="19"/>
  <c r="KN5" i="19"/>
  <c r="KN11" i="19"/>
  <c r="KN18" i="19"/>
  <c r="KN26" i="19"/>
  <c r="KN6" i="19"/>
  <c r="KN13" i="19"/>
  <c r="KN20" i="19"/>
  <c r="KN27" i="19"/>
  <c r="KN9" i="19"/>
  <c r="KN15" i="19"/>
  <c r="KN22" i="19"/>
  <c r="KN30" i="19"/>
  <c r="KN4" i="19"/>
  <c r="KN12" i="19"/>
  <c r="KN17" i="19"/>
  <c r="KN25" i="19"/>
  <c r="JL10" i="19"/>
  <c r="JL5" i="19"/>
  <c r="JL11" i="19"/>
  <c r="JL18" i="19"/>
  <c r="JL26" i="19"/>
  <c r="JO16" i="19"/>
  <c r="JO23" i="19"/>
  <c r="JO31" i="19"/>
  <c r="JL6" i="19"/>
  <c r="JL13" i="19"/>
  <c r="JL20" i="19"/>
  <c r="JL27" i="19"/>
  <c r="JL4" i="19"/>
  <c r="JL12" i="19"/>
  <c r="JL17" i="19"/>
  <c r="JL25" i="19"/>
  <c r="IJ10" i="19"/>
  <c r="IJ16" i="19"/>
  <c r="IJ23" i="19"/>
  <c r="IJ31" i="19"/>
  <c r="IJ5" i="19"/>
  <c r="IJ11" i="19"/>
  <c r="IJ18" i="19"/>
  <c r="IJ26" i="19"/>
  <c r="IJ6" i="19"/>
  <c r="IJ13" i="19"/>
  <c r="IJ20" i="19"/>
  <c r="IJ27" i="19"/>
  <c r="IJ9" i="19"/>
  <c r="IJ15" i="19"/>
  <c r="IJ22" i="19"/>
  <c r="IJ30" i="19"/>
  <c r="IJ4" i="19"/>
  <c r="IJ12" i="19"/>
  <c r="IJ17" i="19"/>
  <c r="IJ25" i="19"/>
  <c r="HH10" i="19"/>
  <c r="HH16" i="19"/>
  <c r="HH23" i="19"/>
  <c r="HH31" i="19"/>
  <c r="HH5" i="19"/>
  <c r="HH11" i="19"/>
  <c r="HH18" i="19"/>
  <c r="HH26" i="19"/>
  <c r="HH6" i="19"/>
  <c r="HH13" i="19"/>
  <c r="HH20" i="19"/>
  <c r="HH27" i="19"/>
  <c r="HH9" i="19"/>
  <c r="HH15" i="19"/>
  <c r="HH22" i="19"/>
  <c r="HH30" i="19"/>
  <c r="HH4" i="19"/>
  <c r="HH12" i="19"/>
  <c r="HH17" i="19"/>
  <c r="HH25" i="19"/>
  <c r="GF16" i="19"/>
  <c r="GF23" i="19"/>
  <c r="GF31" i="19"/>
  <c r="GF5" i="19"/>
  <c r="GF11" i="19"/>
  <c r="GF18" i="19"/>
  <c r="GF26" i="19"/>
  <c r="GF6" i="19"/>
  <c r="GF13" i="19"/>
  <c r="GF20" i="19"/>
  <c r="GF27" i="19"/>
  <c r="GF9" i="19"/>
  <c r="GF15" i="19"/>
  <c r="GF22" i="19"/>
  <c r="GF30" i="19"/>
  <c r="GF4" i="19"/>
  <c r="GF12" i="19"/>
  <c r="GF17" i="19"/>
  <c r="GF25" i="19"/>
  <c r="FG10" i="19"/>
  <c r="FG16" i="19"/>
  <c r="FG23" i="19"/>
  <c r="FG31" i="19"/>
  <c r="FD18" i="19"/>
  <c r="FD6" i="19"/>
  <c r="FD13" i="19"/>
  <c r="FD20" i="19"/>
  <c r="FD27" i="19"/>
  <c r="FG5" i="19"/>
  <c r="FG11" i="19"/>
  <c r="FG26" i="19"/>
  <c r="FD9" i="19"/>
  <c r="FD15" i="19"/>
  <c r="FD22" i="19"/>
  <c r="FD30" i="19"/>
  <c r="FD4" i="19"/>
  <c r="FD12" i="19"/>
  <c r="FD17" i="19"/>
  <c r="FD25" i="19"/>
  <c r="EB10" i="19"/>
  <c r="EE16" i="19"/>
  <c r="EE23" i="19"/>
  <c r="EE31" i="19"/>
  <c r="EB26" i="19"/>
  <c r="EB6" i="19"/>
  <c r="EB13" i="19"/>
  <c r="EB20" i="19"/>
  <c r="EB27" i="19"/>
  <c r="EB11" i="19"/>
  <c r="EE5" i="19"/>
  <c r="EE18" i="19"/>
  <c r="EB9" i="19"/>
  <c r="EB15" i="19"/>
  <c r="EB22" i="19"/>
  <c r="EB30" i="19"/>
  <c r="EB4" i="19"/>
  <c r="EB12" i="19"/>
  <c r="EB17" i="19"/>
  <c r="EB25" i="19"/>
  <c r="SE13" i="27"/>
  <c r="SE17" i="27"/>
  <c r="SB6" i="27"/>
  <c r="SB14" i="27"/>
  <c r="SE4" i="27"/>
  <c r="SE11" i="27"/>
  <c r="SB5" i="27"/>
  <c r="SB10" i="27"/>
  <c r="SB18" i="27"/>
  <c r="RC13" i="27"/>
  <c r="RC17" i="27"/>
  <c r="QZ11" i="27"/>
  <c r="QZ6" i="27"/>
  <c r="QZ14" i="27"/>
  <c r="RC4" i="27"/>
  <c r="QZ9" i="27"/>
  <c r="QZ15" i="27"/>
  <c r="QZ5" i="27"/>
  <c r="QZ10" i="27"/>
  <c r="QZ18" i="27"/>
  <c r="QA13" i="27"/>
  <c r="QA17" i="27"/>
  <c r="PX6" i="27"/>
  <c r="PX14" i="27"/>
  <c r="PX11" i="27"/>
  <c r="QA4" i="27"/>
  <c r="PX5" i="27"/>
  <c r="PX10" i="27"/>
  <c r="PX18" i="27"/>
  <c r="OV13" i="27"/>
  <c r="OV17" i="27"/>
  <c r="OV4" i="27"/>
  <c r="OV11" i="27"/>
  <c r="OV6" i="27"/>
  <c r="OV14" i="27"/>
  <c r="OV9" i="27"/>
  <c r="OV15" i="27"/>
  <c r="OV5" i="27"/>
  <c r="OV10" i="27"/>
  <c r="OV18" i="27"/>
  <c r="NT13" i="27"/>
  <c r="NT17" i="27"/>
  <c r="NT4" i="27"/>
  <c r="NT11" i="27"/>
  <c r="NT6" i="27"/>
  <c r="NT14" i="27"/>
  <c r="NT9" i="27"/>
  <c r="NT15" i="27"/>
  <c r="NT5" i="27"/>
  <c r="NT10" i="27"/>
  <c r="NT18" i="27"/>
  <c r="MU13" i="27"/>
  <c r="MU17" i="27"/>
  <c r="MR6" i="27"/>
  <c r="MR14" i="27"/>
  <c r="MU4" i="27"/>
  <c r="MU11" i="27"/>
  <c r="MR9" i="27"/>
  <c r="MR15" i="27"/>
  <c r="MR5" i="27"/>
  <c r="MR10" i="27"/>
  <c r="MR18" i="27"/>
  <c r="LP13" i="27"/>
  <c r="LP17" i="27"/>
  <c r="LP4" i="27"/>
  <c r="LP11" i="27"/>
  <c r="LP6" i="27"/>
  <c r="LP14" i="27"/>
  <c r="LP9" i="27"/>
  <c r="LP15" i="27"/>
  <c r="LP5" i="27"/>
  <c r="LP10" i="27"/>
  <c r="LP18" i="27"/>
  <c r="KN13" i="27"/>
  <c r="KN17" i="27"/>
  <c r="KN4" i="27"/>
  <c r="KN11" i="27"/>
  <c r="KN6" i="27"/>
  <c r="KN14" i="27"/>
  <c r="KN9" i="27"/>
  <c r="KN15" i="27"/>
  <c r="KN5" i="27"/>
  <c r="KN10" i="27"/>
  <c r="KN18" i="27"/>
  <c r="JO13" i="27"/>
  <c r="JO17" i="27"/>
  <c r="JL6" i="27"/>
  <c r="JL14" i="27"/>
  <c r="JO4" i="27"/>
  <c r="JO11" i="27"/>
  <c r="JL9" i="27"/>
  <c r="JL15" i="27"/>
  <c r="JL5" i="27"/>
  <c r="JL10" i="27"/>
  <c r="JL18" i="27"/>
  <c r="IJ13" i="27"/>
  <c r="IJ17" i="27"/>
  <c r="IJ6" i="27"/>
  <c r="IJ14" i="27"/>
  <c r="IJ9" i="27"/>
  <c r="IJ15" i="27"/>
  <c r="IJ5" i="27"/>
  <c r="IJ10" i="27"/>
  <c r="IJ18" i="27"/>
  <c r="HH13" i="27"/>
  <c r="HH17" i="27"/>
  <c r="HH4" i="27"/>
  <c r="HH11" i="27"/>
  <c r="HH6" i="27"/>
  <c r="HH14" i="27"/>
  <c r="HH9" i="27"/>
  <c r="HH15" i="27"/>
  <c r="HH5" i="27"/>
  <c r="HH10" i="27"/>
  <c r="HH18" i="27"/>
  <c r="GF17" i="27"/>
  <c r="GI13" i="27"/>
  <c r="GF6" i="27"/>
  <c r="GF14" i="27"/>
  <c r="GI4" i="27"/>
  <c r="GI11" i="27"/>
  <c r="GF9" i="27"/>
  <c r="GF15" i="27"/>
  <c r="GF5" i="27"/>
  <c r="GF10" i="27"/>
  <c r="GF18" i="27"/>
  <c r="FG13" i="27"/>
  <c r="FG17" i="27"/>
  <c r="FD4" i="27"/>
  <c r="FD6" i="27"/>
  <c r="FD14" i="27"/>
  <c r="FG11" i="27"/>
  <c r="FD9" i="27"/>
  <c r="FD15" i="27"/>
  <c r="FD5" i="27"/>
  <c r="FD10" i="27"/>
  <c r="FD18" i="27"/>
  <c r="EE13" i="27"/>
  <c r="EE17" i="27"/>
  <c r="EB6" i="27"/>
  <c r="EB14" i="27"/>
  <c r="EB11" i="27"/>
  <c r="EE4" i="27"/>
  <c r="EB9" i="27"/>
  <c r="EB15" i="27"/>
  <c r="EB5" i="27"/>
  <c r="EB10" i="27"/>
  <c r="EB18" i="27"/>
  <c r="SB5" i="26"/>
  <c r="SB12" i="26"/>
  <c r="SB6" i="26"/>
  <c r="SB9" i="26"/>
  <c r="SB4" i="26"/>
  <c r="SB11" i="26"/>
  <c r="SB7" i="26"/>
  <c r="SB13" i="26"/>
  <c r="QZ5" i="26"/>
  <c r="QZ12" i="26"/>
  <c r="QZ6" i="26"/>
  <c r="QZ9" i="26"/>
  <c r="QZ4" i="26"/>
  <c r="QZ11" i="26"/>
  <c r="QZ7" i="26"/>
  <c r="QZ13" i="26"/>
  <c r="PX5" i="26"/>
  <c r="PX12" i="26"/>
  <c r="PX6" i="26"/>
  <c r="PX9" i="26"/>
  <c r="PX4" i="26"/>
  <c r="PX11" i="26"/>
  <c r="PX7" i="26"/>
  <c r="PX13" i="26"/>
  <c r="OV5" i="26"/>
  <c r="OV12" i="26"/>
  <c r="OV4" i="26"/>
  <c r="OV11" i="26"/>
  <c r="OV7" i="26"/>
  <c r="OV13" i="26"/>
  <c r="NT5" i="26"/>
  <c r="NT12" i="26"/>
  <c r="NT6" i="26"/>
  <c r="NT9" i="26"/>
  <c r="NT4" i="26"/>
  <c r="NT11" i="26"/>
  <c r="NT7" i="26"/>
  <c r="NT13" i="26"/>
  <c r="MR5" i="26"/>
  <c r="MR12" i="26"/>
  <c r="MR6" i="26"/>
  <c r="MR9" i="26"/>
  <c r="MR4" i="26"/>
  <c r="MR11" i="26"/>
  <c r="MR7" i="26"/>
  <c r="MR13" i="26"/>
  <c r="LP5" i="26"/>
  <c r="LP12" i="26"/>
  <c r="LP6" i="26"/>
  <c r="LP9" i="26"/>
  <c r="LP4" i="26"/>
  <c r="LP11" i="26"/>
  <c r="LP7" i="26"/>
  <c r="LP13" i="26"/>
  <c r="KQ5" i="26"/>
  <c r="KQ12" i="26"/>
  <c r="KN9" i="26"/>
  <c r="KQ6" i="26"/>
  <c r="KN4" i="26"/>
  <c r="KN11" i="26"/>
  <c r="KN7" i="26"/>
  <c r="KN13" i="26"/>
  <c r="JL5" i="26"/>
  <c r="JL12" i="26"/>
  <c r="JL6" i="26"/>
  <c r="JL9" i="26"/>
  <c r="JL4" i="26"/>
  <c r="JL11" i="26"/>
  <c r="JL7" i="26"/>
  <c r="JL13" i="26"/>
  <c r="IJ5" i="26"/>
  <c r="IJ12" i="26"/>
  <c r="IJ6" i="26"/>
  <c r="IJ9" i="26"/>
  <c r="IJ4" i="26"/>
  <c r="IJ11" i="26"/>
  <c r="IJ7" i="26"/>
  <c r="IJ13" i="26"/>
  <c r="HH5" i="26"/>
  <c r="HH12" i="26"/>
  <c r="HH6" i="26"/>
  <c r="HH9" i="26"/>
  <c r="HH4" i="26"/>
  <c r="HH11" i="26"/>
  <c r="HH7" i="26"/>
  <c r="HH13" i="26"/>
  <c r="GF5" i="26"/>
  <c r="GF12" i="26"/>
  <c r="GF6" i="26"/>
  <c r="GF9" i="26"/>
  <c r="GF4" i="26"/>
  <c r="GF11" i="26"/>
  <c r="GF7" i="26"/>
  <c r="GF13" i="26"/>
  <c r="FD5" i="26"/>
  <c r="FD12" i="26"/>
  <c r="FD6" i="26"/>
  <c r="FD9" i="26"/>
  <c r="FD4" i="26"/>
  <c r="FD11" i="26"/>
  <c r="FD7" i="26"/>
  <c r="FD13" i="26"/>
  <c r="EE5" i="26"/>
  <c r="EE12" i="26"/>
  <c r="EB9" i="26"/>
  <c r="EE6" i="26"/>
  <c r="EB7" i="26"/>
  <c r="EB13" i="26"/>
  <c r="CX18" i="21"/>
  <c r="TD20" i="21"/>
  <c r="CX19" i="19"/>
  <c r="AQ9" i="28"/>
  <c r="AQ7" i="24"/>
  <c r="BX7" i="21"/>
  <c r="BX24" i="21"/>
  <c r="BX13" i="27"/>
  <c r="AU7" i="27"/>
  <c r="AU8" i="27"/>
  <c r="AQ8" i="28"/>
  <c r="BN9" i="28"/>
  <c r="BR9" i="28" s="1"/>
  <c r="BN7" i="28"/>
  <c r="BR7" i="28" s="1"/>
  <c r="AQ6" i="24"/>
  <c r="BN9" i="24"/>
  <c r="BR9" i="24" s="1"/>
  <c r="BN5" i="24"/>
  <c r="BR5" i="24" s="1"/>
  <c r="AU8" i="22"/>
  <c r="AY8" i="22" s="1"/>
  <c r="BV12" i="22"/>
  <c r="BZ12" i="22" s="1"/>
  <c r="BV9" i="4"/>
  <c r="BZ9" i="4" s="1"/>
  <c r="TD18" i="21"/>
  <c r="TD19" i="19"/>
  <c r="AU7" i="19"/>
  <c r="TG19" i="19"/>
  <c r="G19" i="19" s="1"/>
  <c r="DA19" i="19"/>
  <c r="AR12" i="27"/>
  <c r="CX12" i="27"/>
  <c r="AU14" i="27"/>
  <c r="TD12" i="27"/>
  <c r="TG12" i="27"/>
  <c r="G12" i="27" s="1"/>
  <c r="DA12" i="27"/>
  <c r="AU12" i="27"/>
  <c r="BU7" i="27"/>
  <c r="AR10" i="26"/>
  <c r="AU10" i="26"/>
  <c r="AQ7" i="28"/>
  <c r="BN6" i="28"/>
  <c r="BR6" i="28" s="1"/>
  <c r="BN4" i="28"/>
  <c r="BR4" i="28" s="1"/>
  <c r="QX8" i="28"/>
  <c r="RE8" i="28" s="1"/>
  <c r="BR7" i="24"/>
  <c r="AQ10" i="24"/>
  <c r="BN10" i="24"/>
  <c r="BR10" i="24" s="1"/>
  <c r="BR6" i="23"/>
  <c r="AQ6" i="23"/>
  <c r="XD9" i="23"/>
  <c r="AU11" i="22"/>
  <c r="AY11" i="22" s="1"/>
  <c r="BV9" i="22"/>
  <c r="BZ9" i="22" s="1"/>
  <c r="BV13" i="22"/>
  <c r="BZ13" i="22" s="1"/>
  <c r="AU7" i="22"/>
  <c r="AY7" i="22" s="1"/>
  <c r="BV4" i="22"/>
  <c r="BZ4" i="22" s="1"/>
  <c r="AU12" i="22"/>
  <c r="AY12" i="22" s="1"/>
  <c r="BV10" i="22"/>
  <c r="BZ10" i="22" s="1"/>
  <c r="AU6" i="22"/>
  <c r="AY6" i="22" s="1"/>
  <c r="BV4" i="4"/>
  <c r="BZ4" i="4" s="1"/>
  <c r="AU14" i="4"/>
  <c r="AY14" i="4" s="1"/>
  <c r="WL19" i="4"/>
  <c r="WS19" i="4" s="1"/>
  <c r="AU4" i="4"/>
  <c r="AY4" i="4" s="1"/>
  <c r="TD22" i="21"/>
  <c r="AU22" i="21"/>
  <c r="TG20" i="21"/>
  <c r="F20" i="21" s="1"/>
  <c r="AU11" i="21"/>
  <c r="AR16" i="19"/>
  <c r="AR14" i="19"/>
  <c r="AU30" i="19"/>
  <c r="BU16" i="19"/>
  <c r="BU14" i="19"/>
  <c r="BU23" i="19"/>
  <c r="BU26" i="19"/>
  <c r="BX10" i="26"/>
  <c r="BX8" i="26"/>
  <c r="WD8" i="23"/>
  <c r="WK8" i="23" s="1"/>
  <c r="AQ8" i="23"/>
  <c r="AQ9" i="23"/>
  <c r="BR9" i="23"/>
  <c r="WD6" i="23"/>
  <c r="WK6" i="23" s="1"/>
  <c r="WD9" i="23"/>
  <c r="WK9" i="23" s="1"/>
  <c r="BN4" i="23"/>
  <c r="BR4" i="23" s="1"/>
  <c r="AY24" i="4"/>
  <c r="AU13" i="4"/>
  <c r="AY13" i="4" s="1"/>
  <c r="AU12" i="4"/>
  <c r="AY12" i="4" s="1"/>
  <c r="AY21" i="4"/>
  <c r="BV13" i="4"/>
  <c r="BZ13" i="4" s="1"/>
  <c r="BV12" i="4"/>
  <c r="BZ12" i="4" s="1"/>
  <c r="BV19" i="4"/>
  <c r="BZ19" i="4" s="1"/>
  <c r="BV10" i="4"/>
  <c r="BZ10" i="4" s="1"/>
  <c r="BV8" i="4"/>
  <c r="BZ8" i="4" s="1"/>
  <c r="BV17" i="4"/>
  <c r="BZ17" i="4" s="1"/>
  <c r="XO19" i="4"/>
  <c r="DA22" i="21"/>
  <c r="DA18" i="21"/>
  <c r="AU18" i="21"/>
  <c r="BU20" i="21"/>
  <c r="UD20" i="21"/>
  <c r="UC20" i="21"/>
  <c r="UH20" i="21"/>
  <c r="UE20" i="21"/>
  <c r="N20" i="21"/>
  <c r="J20" i="21"/>
  <c r="L20" i="21"/>
  <c r="DB20" i="21" s="1"/>
  <c r="UI20" i="21"/>
  <c r="UF20" i="21"/>
  <c r="BX20" i="21"/>
  <c r="TG22" i="21"/>
  <c r="G22" i="21" s="1"/>
  <c r="BU22" i="21"/>
  <c r="UD22" i="21"/>
  <c r="UC22" i="21"/>
  <c r="UH22" i="21"/>
  <c r="UE22" i="21"/>
  <c r="N22" i="21"/>
  <c r="L22" i="21"/>
  <c r="DB22" i="21" s="1"/>
  <c r="J22" i="21"/>
  <c r="UI22" i="21"/>
  <c r="UF22" i="21"/>
  <c r="BX22" i="21"/>
  <c r="TG18" i="21"/>
  <c r="G18" i="21" s="1"/>
  <c r="BX13" i="21"/>
  <c r="BX26" i="21"/>
  <c r="BU18" i="21"/>
  <c r="UD18" i="21"/>
  <c r="UC18" i="21"/>
  <c r="UH18" i="21"/>
  <c r="UE18" i="21"/>
  <c r="N18" i="21"/>
  <c r="J18" i="21"/>
  <c r="UI18" i="21"/>
  <c r="UF18" i="21"/>
  <c r="BX18" i="21"/>
  <c r="L18" i="21"/>
  <c r="DB18" i="21" s="1"/>
  <c r="BX16" i="21"/>
  <c r="AU7" i="21"/>
  <c r="AU19" i="21"/>
  <c r="BU10" i="21"/>
  <c r="BU16" i="21"/>
  <c r="BU19" i="19"/>
  <c r="UD19" i="19"/>
  <c r="UC19" i="19"/>
  <c r="UH19" i="19"/>
  <c r="UE19" i="19"/>
  <c r="N19" i="19"/>
  <c r="L19" i="19"/>
  <c r="DB19" i="19" s="1"/>
  <c r="J19" i="19"/>
  <c r="UI19" i="19"/>
  <c r="UF19" i="19"/>
  <c r="BX19" i="19"/>
  <c r="AR9" i="19"/>
  <c r="BX21" i="19"/>
  <c r="BX27" i="19"/>
  <c r="AU15" i="19"/>
  <c r="AU12" i="19"/>
  <c r="BX31" i="19"/>
  <c r="BU12" i="27"/>
  <c r="UD12" i="27"/>
  <c r="UC12" i="27"/>
  <c r="UH12" i="27"/>
  <c r="UE12" i="27"/>
  <c r="N12" i="27"/>
  <c r="J12" i="27"/>
  <c r="UI12" i="27"/>
  <c r="L12" i="27"/>
  <c r="DB12" i="27" s="1"/>
  <c r="UF12" i="27"/>
  <c r="BX12" i="27"/>
  <c r="BU10" i="27"/>
  <c r="BU15" i="27"/>
  <c r="AU5" i="27"/>
  <c r="AR14" i="27"/>
  <c r="BU14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BN15" i="23"/>
  <c r="BR15" i="23" s="1"/>
  <c r="XD8" i="23"/>
  <c r="XG8" i="23"/>
  <c r="J8" i="23"/>
  <c r="K8" i="23" s="1"/>
  <c r="XK8" i="23"/>
  <c r="I8" i="23"/>
  <c r="G8" i="23"/>
  <c r="F8" i="23"/>
  <c r="BN8" i="23"/>
  <c r="BR8" i="23" s="1"/>
  <c r="BR10" i="23"/>
  <c r="BN7" i="23"/>
  <c r="BR7" i="23" s="1"/>
  <c r="AQ12" i="23"/>
  <c r="AQ10" i="23"/>
  <c r="BN5" i="23"/>
  <c r="BR5" i="23" s="1"/>
  <c r="XL19" i="4"/>
  <c r="P19" i="4"/>
  <c r="Q19" i="4" s="1"/>
  <c r="XS19" i="4"/>
  <c r="N19" i="4"/>
  <c r="O19" i="4" s="1"/>
  <c r="AY19" i="4"/>
  <c r="R19" i="4"/>
  <c r="S19" i="4" s="1"/>
  <c r="L19" i="4"/>
  <c r="M19" i="4" s="1"/>
  <c r="J19" i="4"/>
  <c r="I19" i="4"/>
  <c r="G19" i="4"/>
  <c r="T19" i="4"/>
  <c r="U19" i="4" s="1"/>
  <c r="F19" i="4"/>
  <c r="BV20" i="4"/>
  <c r="BZ20" i="4" s="1"/>
  <c r="AU15" i="4"/>
  <c r="AY15" i="4" s="1"/>
  <c r="BV5" i="4"/>
  <c r="BZ5" i="4" s="1"/>
  <c r="BV16" i="4"/>
  <c r="BZ16" i="4" s="1"/>
  <c r="BX6" i="21"/>
  <c r="BX9" i="21"/>
  <c r="BX17" i="21"/>
  <c r="AU9" i="21"/>
  <c r="AU25" i="21"/>
  <c r="AU17" i="21"/>
  <c r="BX14" i="21"/>
  <c r="BX4" i="21"/>
  <c r="BX8" i="21"/>
  <c r="AU8" i="21"/>
  <c r="AU21" i="21"/>
  <c r="AR10" i="21"/>
  <c r="AR16" i="21"/>
  <c r="BU6" i="21"/>
  <c r="BU17" i="21"/>
  <c r="AU13" i="21"/>
  <c r="BX23" i="21"/>
  <c r="AU14" i="21"/>
  <c r="AU26" i="21"/>
  <c r="BX11" i="21"/>
  <c r="BX25" i="21"/>
  <c r="AU24" i="21"/>
  <c r="BX19" i="21"/>
  <c r="AU4" i="21"/>
  <c r="AU15" i="21"/>
  <c r="BX21" i="21"/>
  <c r="BX15" i="21"/>
  <c r="AU5" i="21"/>
  <c r="AR17" i="21"/>
  <c r="BU9" i="21"/>
  <c r="AU10" i="21"/>
  <c r="AU12" i="21"/>
  <c r="BX5" i="21"/>
  <c r="AU6" i="21"/>
  <c r="AU16" i="21"/>
  <c r="AU23" i="21"/>
  <c r="BX10" i="21"/>
  <c r="BX12" i="21"/>
  <c r="AU11" i="19"/>
  <c r="AU10" i="19"/>
  <c r="BX25" i="19"/>
  <c r="AU25" i="19"/>
  <c r="AU27" i="19"/>
  <c r="AR23" i="19"/>
  <c r="AR26" i="19"/>
  <c r="AR6" i="19"/>
  <c r="AU5" i="19"/>
  <c r="AU24" i="19"/>
  <c r="BX18" i="19"/>
  <c r="BX20" i="19"/>
  <c r="BX7" i="19"/>
  <c r="BX22" i="19"/>
  <c r="BX28" i="19"/>
  <c r="BX13" i="19"/>
  <c r="BX29" i="19"/>
  <c r="BX4" i="19"/>
  <c r="AU16" i="19"/>
  <c r="BX12" i="19"/>
  <c r="AU6" i="19"/>
  <c r="AU31" i="19"/>
  <c r="BX15" i="19"/>
  <c r="AU8" i="19"/>
  <c r="AU14" i="19"/>
  <c r="AU17" i="19"/>
  <c r="BU6" i="19"/>
  <c r="AU9" i="19"/>
  <c r="AU23" i="19"/>
  <c r="BX5" i="19"/>
  <c r="AU18" i="19"/>
  <c r="AU21" i="19"/>
  <c r="BX16" i="19"/>
  <c r="BX24" i="19"/>
  <c r="AU13" i="19"/>
  <c r="AU20" i="19"/>
  <c r="AU26" i="19"/>
  <c r="BX6" i="19"/>
  <c r="BX14" i="19"/>
  <c r="BX17" i="19"/>
  <c r="AU4" i="19"/>
  <c r="AU22" i="19"/>
  <c r="BX8" i="19"/>
  <c r="BX9" i="19"/>
  <c r="BX23" i="19"/>
  <c r="BX30" i="19"/>
  <c r="AU29" i="19"/>
  <c r="AU28" i="19"/>
  <c r="BX10" i="19"/>
  <c r="BX11" i="19"/>
  <c r="BX26" i="19"/>
  <c r="BU17" i="27"/>
  <c r="BX7" i="27"/>
  <c r="AU11" i="27"/>
  <c r="BX8" i="27"/>
  <c r="AU10" i="27"/>
  <c r="BX11" i="27"/>
  <c r="BU4" i="27"/>
  <c r="AR17" i="27"/>
  <c r="AU13" i="27"/>
  <c r="AU18" i="27"/>
  <c r="AU17" i="27"/>
  <c r="AU6" i="27"/>
  <c r="AU16" i="27"/>
  <c r="BX5" i="27"/>
  <c r="BX14" i="27"/>
  <c r="BX18" i="27"/>
  <c r="BX17" i="27"/>
  <c r="AU4" i="27"/>
  <c r="BX6" i="27"/>
  <c r="BX16" i="27"/>
  <c r="AU9" i="27"/>
  <c r="AU15" i="27"/>
  <c r="AR5" i="27"/>
  <c r="BU9" i="27"/>
  <c r="AU4" i="26"/>
  <c r="BX12" i="26"/>
  <c r="AU5" i="26"/>
  <c r="AU8" i="26"/>
  <c r="BX7" i="26"/>
  <c r="BU4" i="26"/>
  <c r="BX13" i="26"/>
  <c r="AU7" i="26"/>
  <c r="AR4" i="26"/>
  <c r="AU6" i="26"/>
  <c r="BX5" i="26"/>
  <c r="AU12" i="26"/>
  <c r="BX11" i="26"/>
  <c r="AU11" i="26"/>
  <c r="BX9" i="26"/>
  <c r="AU9" i="26"/>
  <c r="AU13" i="26"/>
  <c r="BU8" i="26"/>
  <c r="AR8" i="26"/>
  <c r="BX4" i="26"/>
  <c r="BX6" i="26"/>
  <c r="BR8" i="28"/>
  <c r="AQ6" i="28"/>
  <c r="AQ4" i="28"/>
  <c r="LR8" i="28"/>
  <c r="LY8" i="28" s="1"/>
  <c r="BN5" i="28"/>
  <c r="BR5" i="28" s="1"/>
  <c r="GL8" i="28"/>
  <c r="GS8" i="28" s="1"/>
  <c r="AQ5" i="28"/>
  <c r="BR11" i="24"/>
  <c r="BN6" i="24"/>
  <c r="BR6" i="24" s="1"/>
  <c r="AQ4" i="24"/>
  <c r="AQ8" i="24"/>
  <c r="BN4" i="24"/>
  <c r="BR4" i="24" s="1"/>
  <c r="BN12" i="23"/>
  <c r="BR12" i="23" s="1"/>
  <c r="AQ15" i="23"/>
  <c r="AQ7" i="23"/>
  <c r="AQ4" i="23"/>
  <c r="AQ5" i="23"/>
  <c r="BN13" i="23"/>
  <c r="BR13" i="23" s="1"/>
  <c r="BR11" i="23"/>
  <c r="BR14" i="23"/>
  <c r="AQ11" i="23"/>
  <c r="AQ13" i="23"/>
  <c r="AQ14" i="23"/>
  <c r="AU4" i="22"/>
  <c r="AY4" i="22" s="1"/>
  <c r="AU13" i="22"/>
  <c r="AY13" i="22" s="1"/>
  <c r="BV6" i="22"/>
  <c r="BZ6" i="22" s="1"/>
  <c r="AU14" i="22"/>
  <c r="AY14" i="22" s="1"/>
  <c r="AU9" i="22"/>
  <c r="AY9" i="22" s="1"/>
  <c r="BZ5" i="22"/>
  <c r="AU10" i="22"/>
  <c r="AY10" i="22" s="1"/>
  <c r="BV7" i="22"/>
  <c r="BZ7" i="22" s="1"/>
  <c r="AU5" i="22"/>
  <c r="AY5" i="22" s="1"/>
  <c r="BV8" i="22"/>
  <c r="BZ8" i="22" s="1"/>
  <c r="BV11" i="22"/>
  <c r="BZ11" i="22" s="1"/>
  <c r="BV11" i="4"/>
  <c r="BZ11" i="4" s="1"/>
  <c r="BV14" i="4"/>
  <c r="BZ14" i="4" s="1"/>
  <c r="BV24" i="4"/>
  <c r="BZ24" i="4" s="1"/>
  <c r="AU5" i="4"/>
  <c r="AY5" i="4" s="1"/>
  <c r="BV23" i="4"/>
  <c r="BZ23" i="4" s="1"/>
  <c r="AU10" i="4"/>
  <c r="AY10" i="4" s="1"/>
  <c r="AU8" i="4"/>
  <c r="AY8" i="4" s="1"/>
  <c r="AU22" i="4"/>
  <c r="AY22" i="4" s="1"/>
  <c r="AU11" i="4"/>
  <c r="AY11" i="4" s="1"/>
  <c r="AU9" i="4"/>
  <c r="AY9" i="4" s="1"/>
  <c r="AU16" i="4"/>
  <c r="AY16" i="4" s="1"/>
  <c r="AU23" i="4"/>
  <c r="AY23" i="4" s="1"/>
  <c r="AU20" i="4"/>
  <c r="AY20" i="4" s="1"/>
  <c r="BV21" i="4"/>
  <c r="BZ21" i="4" s="1"/>
  <c r="AU17" i="4"/>
  <c r="AY17" i="4" s="1"/>
  <c r="BV18" i="4"/>
  <c r="BZ18" i="4" s="1"/>
  <c r="AU18" i="4"/>
  <c r="AY18" i="4" s="1"/>
  <c r="BV7" i="4"/>
  <c r="BZ7" i="4" s="1"/>
  <c r="AU7" i="4"/>
  <c r="AY7" i="4" s="1"/>
  <c r="BV6" i="4"/>
  <c r="BZ6" i="4" s="1"/>
  <c r="AU6" i="4"/>
  <c r="AY6" i="4" s="1"/>
  <c r="BV15" i="4"/>
  <c r="BZ15" i="4" s="1"/>
  <c r="BV22" i="4"/>
  <c r="BZ22" i="4" s="1"/>
  <c r="AQ5" i="24"/>
  <c r="AQ11" i="24"/>
  <c r="BR8" i="24"/>
  <c r="AQ9" i="24"/>
  <c r="BU4" i="21"/>
  <c r="BU8" i="21"/>
  <c r="BU21" i="21"/>
  <c r="BU15" i="21"/>
  <c r="BU7" i="21"/>
  <c r="BU19" i="21"/>
  <c r="BU24" i="21"/>
  <c r="BU11" i="21"/>
  <c r="BU14" i="21"/>
  <c r="BU13" i="21"/>
  <c r="BU25" i="21"/>
  <c r="BU26" i="21"/>
  <c r="BU5" i="21"/>
  <c r="BU12" i="21"/>
  <c r="BU23" i="21"/>
  <c r="AR4" i="21"/>
  <c r="AR8" i="21"/>
  <c r="AR21" i="21"/>
  <c r="AR15" i="21"/>
  <c r="AR7" i="21"/>
  <c r="AR19" i="21"/>
  <c r="AR24" i="21"/>
  <c r="AR11" i="21"/>
  <c r="AR14" i="21"/>
  <c r="AR13" i="21"/>
  <c r="AR25" i="21"/>
  <c r="AR26" i="21"/>
  <c r="AR5" i="21"/>
  <c r="AR12" i="21"/>
  <c r="AR23" i="21"/>
  <c r="BU4" i="19"/>
  <c r="BU12" i="19"/>
  <c r="BU15" i="19"/>
  <c r="BU27" i="19"/>
  <c r="BU31" i="19"/>
  <c r="BU7" i="19"/>
  <c r="BU13" i="19"/>
  <c r="BU29" i="19"/>
  <c r="BU10" i="19"/>
  <c r="BU18" i="19"/>
  <c r="BU22" i="19"/>
  <c r="BU25" i="19"/>
  <c r="BU8" i="19"/>
  <c r="BU11" i="19"/>
  <c r="BU20" i="19"/>
  <c r="BU28" i="19"/>
  <c r="BU5" i="19"/>
  <c r="BU24" i="19"/>
  <c r="BU17" i="19"/>
  <c r="BU30" i="19"/>
  <c r="AR4" i="19"/>
  <c r="AR12" i="19"/>
  <c r="AR15" i="19"/>
  <c r="AR27" i="19"/>
  <c r="AR31" i="19"/>
  <c r="AR7" i="19"/>
  <c r="AR13" i="19"/>
  <c r="AR29" i="19"/>
  <c r="AR10" i="19"/>
  <c r="AR18" i="19"/>
  <c r="AR22" i="19"/>
  <c r="AR25" i="19"/>
  <c r="AR8" i="19"/>
  <c r="AR11" i="19"/>
  <c r="AR20" i="19"/>
  <c r="AR28" i="19"/>
  <c r="AR5" i="19"/>
  <c r="AR24" i="19"/>
  <c r="AR17" i="19"/>
  <c r="AR30" i="19"/>
  <c r="BX15" i="27"/>
  <c r="BU6" i="27"/>
  <c r="BU11" i="27"/>
  <c r="BX9" i="27"/>
  <c r="BX4" i="27"/>
  <c r="BX10" i="27"/>
  <c r="BU8" i="27"/>
  <c r="BU16" i="27"/>
  <c r="BU13" i="27"/>
  <c r="BU18" i="27"/>
  <c r="AR9" i="27"/>
  <c r="AR15" i="27"/>
  <c r="AR4" i="27"/>
  <c r="AR10" i="27"/>
  <c r="AR6" i="27"/>
  <c r="AR11" i="27"/>
  <c r="AR8" i="27"/>
  <c r="AR16" i="27"/>
  <c r="AR13" i="27"/>
  <c r="AR18" i="27"/>
  <c r="BU7" i="26"/>
  <c r="BU13" i="26"/>
  <c r="BU9" i="26"/>
  <c r="BU11" i="26"/>
  <c r="BU5" i="26"/>
  <c r="BU12" i="26"/>
  <c r="BU6" i="26"/>
  <c r="AR7" i="26"/>
  <c r="AR13" i="26"/>
  <c r="AR9" i="26"/>
  <c r="AR11" i="26"/>
  <c r="AR5" i="26"/>
  <c r="AR12" i="26"/>
  <c r="AR6" i="26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3" i="19"/>
  <c r="CU23" i="19"/>
  <c r="CV23" i="19"/>
  <c r="CW23" i="19"/>
  <c r="CY23" i="19"/>
  <c r="CZ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F19" i="19" l="1"/>
  <c r="F12" i="27"/>
  <c r="G20" i="21"/>
  <c r="XK5" i="28"/>
  <c r="F22" i="21"/>
  <c r="I12" i="27"/>
  <c r="H12" i="27" s="1"/>
  <c r="A12" i="27" s="1" a="1"/>
  <c r="A12" i="27" s="1"/>
  <c r="XH9" i="23"/>
  <c r="XL9" i="23" s="1"/>
  <c r="XH8" i="23"/>
  <c r="F18" i="21"/>
  <c r="I20" i="21"/>
  <c r="H20" i="21" s="1"/>
  <c r="A20" i="21" s="1" a="1"/>
  <c r="A20" i="21" s="1"/>
  <c r="I22" i="21"/>
  <c r="I19" i="19"/>
  <c r="H19" i="19" s="1"/>
  <c r="A19" i="19" s="1" a="1"/>
  <c r="A19" i="19" s="1"/>
  <c r="XH6" i="23"/>
  <c r="XL6" i="23" s="1"/>
  <c r="XP19" i="4"/>
  <c r="XT19" i="4" s="1"/>
  <c r="UG20" i="21"/>
  <c r="UJ20" i="21"/>
  <c r="O20" i="21"/>
  <c r="DC20" i="21"/>
  <c r="P20" i="21" s="1"/>
  <c r="K20" i="21"/>
  <c r="M20" i="21" s="1"/>
  <c r="UG18" i="21"/>
  <c r="UJ22" i="21"/>
  <c r="I18" i="21"/>
  <c r="UG22" i="2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19" i="19"/>
  <c r="UG19" i="19"/>
  <c r="O19" i="19"/>
  <c r="DC19" i="19"/>
  <c r="P19" i="19" s="1"/>
  <c r="K19" i="19"/>
  <c r="M19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XL8" i="23"/>
  <c r="H8" i="23"/>
  <c r="A8" i="23" s="1" a="1"/>
  <c r="A8" i="23" s="1"/>
  <c r="DC19" i="4"/>
  <c r="DB19" i="4"/>
  <c r="H19" i="4"/>
  <c r="A19" i="4" s="1" a="1"/>
  <c r="A19" i="4" s="1"/>
  <c r="K19" i="4"/>
  <c r="XH8" i="28"/>
  <c r="XH5" i="28"/>
  <c r="XH6" i="28"/>
  <c r="XL6" i="28" s="1"/>
  <c r="XL8" i="28"/>
  <c r="H8" i="28"/>
  <c r="CT8" i="28"/>
  <c r="CU8" i="28"/>
  <c r="M8" i="28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CW16" i="4"/>
  <c r="DA16" i="4" s="1"/>
  <c r="TD30" i="19"/>
  <c r="TG30" i="19"/>
  <c r="G30" i="19" s="1"/>
  <c r="CX6" i="26"/>
  <c r="UH12" i="26"/>
  <c r="DA12" i="26"/>
  <c r="TD15" i="21"/>
  <c r="CX17" i="21"/>
  <c r="TG17" i="21"/>
  <c r="G17" i="21" s="1"/>
  <c r="DA17" i="21"/>
  <c r="TD24" i="21"/>
  <c r="UE30" i="19"/>
  <c r="CX30" i="19"/>
  <c r="TG23" i="19"/>
  <c r="G23" i="19" s="1"/>
  <c r="TD10" i="27"/>
  <c r="TG12" i="26"/>
  <c r="F12" i="26" s="1"/>
  <c r="TD12" i="26"/>
  <c r="TD6" i="26"/>
  <c r="CW15" i="4"/>
  <c r="DA15" i="4" s="1"/>
  <c r="WL16" i="4"/>
  <c r="WS16" i="4" s="1"/>
  <c r="L17" i="21"/>
  <c r="DB17" i="21" s="1"/>
  <c r="XL16" i="4"/>
  <c r="J12" i="26"/>
  <c r="K12" i="26" s="1"/>
  <c r="DA18" i="27"/>
  <c r="UH10" i="27"/>
  <c r="CX10" i="27"/>
  <c r="TG18" i="27"/>
  <c r="G18" i="27" s="1"/>
  <c r="TD10" i="19"/>
  <c r="TD23" i="19"/>
  <c r="CX15" i="21"/>
  <c r="DA24" i="21"/>
  <c r="UD17" i="21"/>
  <c r="UF17" i="21"/>
  <c r="UI17" i="21"/>
  <c r="N17" i="21"/>
  <c r="O17" i="21" s="1"/>
  <c r="UE17" i="21"/>
  <c r="UH17" i="21"/>
  <c r="UC17" i="21"/>
  <c r="J17" i="21"/>
  <c r="L15" i="21"/>
  <c r="DB15" i="21" s="1"/>
  <c r="TG15" i="21"/>
  <c r="G15" i="21" s="1"/>
  <c r="DA15" i="21"/>
  <c r="UH15" i="21"/>
  <c r="UD15" i="21"/>
  <c r="UC15" i="21"/>
  <c r="N15" i="21"/>
  <c r="O15" i="21" s="1"/>
  <c r="UE15" i="21"/>
  <c r="UF15" i="21"/>
  <c r="UI15" i="21"/>
  <c r="J15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3" i="19"/>
  <c r="UE23" i="19"/>
  <c r="N23" i="19"/>
  <c r="O23" i="19" s="1"/>
  <c r="UD23" i="19"/>
  <c r="UC23" i="19"/>
  <c r="UH23" i="19"/>
  <c r="DA23" i="19"/>
  <c r="UI23" i="19"/>
  <c r="L23" i="19"/>
  <c r="DB23" i="19" s="1"/>
  <c r="UF23" i="19"/>
  <c r="J23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6" i="4"/>
  <c r="WL15" i="4"/>
  <c r="WS15" i="4" s="1"/>
  <c r="XO15" i="4"/>
  <c r="P16" i="4"/>
  <c r="Q16" i="4" s="1"/>
  <c r="XS16" i="4"/>
  <c r="N16" i="4"/>
  <c r="R16" i="4"/>
  <c r="S16" i="4" s="1"/>
  <c r="L16" i="4"/>
  <c r="M16" i="4" s="1"/>
  <c r="J16" i="4"/>
  <c r="I16" i="4"/>
  <c r="G16" i="4"/>
  <c r="T16" i="4"/>
  <c r="U16" i="4" s="1"/>
  <c r="F16" i="4"/>
  <c r="WL13" i="4"/>
  <c r="WS13" i="4" s="1"/>
  <c r="XO13" i="4"/>
  <c r="P15" i="4"/>
  <c r="Q15" i="4" s="1"/>
  <c r="XL15" i="4"/>
  <c r="XS15" i="4"/>
  <c r="N15" i="4"/>
  <c r="O15" i="4" s="1"/>
  <c r="F15" i="4"/>
  <c r="L15" i="4"/>
  <c r="M15" i="4" s="1"/>
  <c r="G15" i="4"/>
  <c r="T15" i="4"/>
  <c r="U15" i="4" s="1"/>
  <c r="I15" i="4"/>
  <c r="R15" i="4"/>
  <c r="S15" i="4" s="1"/>
  <c r="J15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H22" i="21" l="1"/>
  <c r="A22" i="21" s="1" a="1"/>
  <c r="A22" i="21" s="1"/>
  <c r="V19" i="4"/>
  <c r="W19" i="4" s="1"/>
  <c r="N8" i="23"/>
  <c r="H18" i="21"/>
  <c r="A18" i="21" s="1" a="1"/>
  <c r="A18" i="21" s="1"/>
  <c r="F6" i="26"/>
  <c r="XL5" i="28"/>
  <c r="G12" i="26"/>
  <c r="Q20" i="21"/>
  <c r="R20" i="21"/>
  <c r="E20" i="21"/>
  <c r="Q22" i="21"/>
  <c r="R22" i="21"/>
  <c r="E22" i="21"/>
  <c r="Q18" i="21"/>
  <c r="R18" i="21"/>
  <c r="E18" i="21"/>
  <c r="Q19" i="19"/>
  <c r="R19" i="19"/>
  <c r="E19" i="19"/>
  <c r="R12" i="27"/>
  <c r="Q12" i="27"/>
  <c r="E12" i="27"/>
  <c r="N6" i="23"/>
  <c r="N9" i="23"/>
  <c r="O8" i="23"/>
  <c r="P8" i="23"/>
  <c r="E8" i="23"/>
  <c r="E19" i="4"/>
  <c r="I18" i="27"/>
  <c r="I10" i="27"/>
  <c r="I12" i="26"/>
  <c r="N8" i="28"/>
  <c r="I10" i="19"/>
  <c r="I30" i="19"/>
  <c r="I23" i="19"/>
  <c r="I6" i="26"/>
  <c r="F18" i="27"/>
  <c r="I15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5" i="4"/>
  <c r="XT15" i="4" s="1"/>
  <c r="UJ17" i="21"/>
  <c r="UG17" i="21"/>
  <c r="DC15" i="21"/>
  <c r="P15" i="21" s="1"/>
  <c r="F15" i="21"/>
  <c r="F24" i="21"/>
  <c r="F23" i="19"/>
  <c r="H23" i="19" s="1"/>
  <c r="DC6" i="26"/>
  <c r="P6" i="26" s="1"/>
  <c r="XP13" i="4"/>
  <c r="XT13" i="4" s="1"/>
  <c r="XP16" i="4"/>
  <c r="XT16" i="4" s="1"/>
  <c r="DB15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30" i="19"/>
  <c r="P30" i="19" s="1"/>
  <c r="F10" i="19"/>
  <c r="H10" i="19" s="1"/>
  <c r="DC17" i="21"/>
  <c r="P17" i="21" s="1"/>
  <c r="UG15" i="21"/>
  <c r="K17" i="21"/>
  <c r="M17" i="21" s="1"/>
  <c r="UG24" i="21"/>
  <c r="UJ15" i="21"/>
  <c r="K15" i="21"/>
  <c r="M15" i="21" s="1"/>
  <c r="UJ24" i="21"/>
  <c r="DC24" i="21"/>
  <c r="P24" i="21" s="1"/>
  <c r="K24" i="21"/>
  <c r="M24" i="21" s="1"/>
  <c r="DC23" i="19"/>
  <c r="P23" i="19" s="1"/>
  <c r="UG23" i="19"/>
  <c r="K30" i="19"/>
  <c r="M30" i="19" s="1"/>
  <c r="UJ23" i="19"/>
  <c r="K23" i="19"/>
  <c r="M23" i="19" s="1"/>
  <c r="UJ10" i="19"/>
  <c r="UG10" i="19"/>
  <c r="DC10" i="19"/>
  <c r="K10" i="19"/>
  <c r="M10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5" i="4"/>
  <c r="DB16" i="4"/>
  <c r="DC16" i="4"/>
  <c r="O16" i="4"/>
  <c r="H16" i="4"/>
  <c r="A16" i="4" s="1" a="1"/>
  <c r="A16" i="4" s="1"/>
  <c r="K16" i="4"/>
  <c r="DC13" i="4"/>
  <c r="H15" i="4"/>
  <c r="K15" i="4"/>
  <c r="DB13" i="4"/>
  <c r="H13" i="4"/>
  <c r="K13" i="4"/>
  <c r="X19" i="4" l="1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4" i="21"/>
  <c r="A24" i="21" s="1" a="1"/>
  <c r="A24" i="21" s="1"/>
  <c r="H15" i="21"/>
  <c r="E7" i="28"/>
  <c r="V16" i="4"/>
  <c r="E16" i="4" s="1"/>
  <c r="O8" i="28"/>
  <c r="P8" i="28"/>
  <c r="E8" i="28"/>
  <c r="O4" i="28"/>
  <c r="P4" i="28"/>
  <c r="A23" i="19" a="1"/>
  <c r="A23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5" i="21"/>
  <c r="R15" i="21"/>
  <c r="R23" i="19"/>
  <c r="Q23" i="19"/>
  <c r="Q30" i="19"/>
  <c r="R30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5" i="4"/>
  <c r="E15" i="4" s="1"/>
  <c r="E12" i="26"/>
  <c r="E17" i="21"/>
  <c r="E15" i="21"/>
  <c r="E24" i="21"/>
  <c r="E30" i="19"/>
  <c r="P10" i="19"/>
  <c r="E23" i="19"/>
  <c r="E18" i="27"/>
  <c r="E10" i="27"/>
  <c r="E6" i="26"/>
  <c r="A4" i="28" l="1" a="1"/>
  <c r="A4" i="28" s="1"/>
  <c r="A7" i="28" a="1"/>
  <c r="A7" i="28" s="1"/>
  <c r="X16" i="4"/>
  <c r="W16" i="4"/>
  <c r="A8" i="28" a="1"/>
  <c r="A8" i="28" s="1"/>
  <c r="W13" i="4"/>
  <c r="E13" i="4"/>
  <c r="X15" i="4"/>
  <c r="W15" i="4"/>
  <c r="R10" i="19"/>
  <c r="Q10" i="19"/>
  <c r="A5" i="28" a="1"/>
  <c r="A5" i="28" s="1"/>
  <c r="A6" i="28" a="1"/>
  <c r="A6" i="28" s="1"/>
  <c r="E10" i="19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7" i="19"/>
  <c r="CU17" i="19"/>
  <c r="CV17" i="19"/>
  <c r="CW17" i="19"/>
  <c r="CY17" i="19"/>
  <c r="CZ17" i="19"/>
  <c r="SZ17" i="19"/>
  <c r="TA17" i="19"/>
  <c r="TB17" i="19"/>
  <c r="TC17" i="19"/>
  <c r="TE17" i="19"/>
  <c r="TF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D27" i="11" l="1"/>
  <c r="D28" i="11"/>
  <c r="D29" i="11"/>
  <c r="D26" i="11"/>
  <c r="C27" i="11"/>
  <c r="C28" i="11"/>
  <c r="C29" i="11"/>
  <c r="C26" i="11"/>
  <c r="TD16" i="21"/>
  <c r="TD7" i="19"/>
  <c r="CX7" i="19"/>
  <c r="CX11" i="26"/>
  <c r="DA11" i="26"/>
  <c r="CX16" i="21"/>
  <c r="DA16" i="21"/>
  <c r="TD11" i="26"/>
  <c r="TG16" i="21"/>
  <c r="G16" i="21" s="1"/>
  <c r="TD17" i="19"/>
  <c r="DA7" i="19"/>
  <c r="DA17" i="19"/>
  <c r="TG11" i="26"/>
  <c r="G11" i="26" s="1"/>
  <c r="CX17" i="19"/>
  <c r="J7" i="19"/>
  <c r="K7" i="19" s="1"/>
  <c r="UF16" i="21"/>
  <c r="UD16" i="21"/>
  <c r="UH16" i="21"/>
  <c r="N16" i="21"/>
  <c r="O16" i="21" s="1"/>
  <c r="UE16" i="21"/>
  <c r="UC16" i="21"/>
  <c r="UI16" i="21"/>
  <c r="L16" i="21"/>
  <c r="DB16" i="21" s="1"/>
  <c r="J16" i="21"/>
  <c r="TG7" i="19"/>
  <c r="G7" i="19" s="1"/>
  <c r="UD7" i="19"/>
  <c r="UF7" i="19"/>
  <c r="UH7" i="19"/>
  <c r="N7" i="19"/>
  <c r="O7" i="19" s="1"/>
  <c r="UE7" i="19"/>
  <c r="UC7" i="19"/>
  <c r="UI7" i="19"/>
  <c r="L7" i="19"/>
  <c r="DB7" i="19" s="1"/>
  <c r="TG17" i="19"/>
  <c r="F17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7" i="19"/>
  <c r="UH17" i="19"/>
  <c r="UC17" i="19"/>
  <c r="UE17" i="19"/>
  <c r="N17" i="19"/>
  <c r="O17" i="19" s="1"/>
  <c r="UI17" i="19"/>
  <c r="L17" i="19"/>
  <c r="DB17" i="19" s="1"/>
  <c r="J17" i="19"/>
  <c r="UF17" i="19"/>
  <c r="I16" i="21" l="1"/>
  <c r="I17" i="19"/>
  <c r="I7" i="19"/>
  <c r="I11" i="26"/>
  <c r="F11" i="26"/>
  <c r="H11" i="26" s="1"/>
  <c r="UG16" i="21"/>
  <c r="F16" i="21"/>
  <c r="H16" i="21" s="1"/>
  <c r="UG7" i="19"/>
  <c r="F7" i="19"/>
  <c r="H7" i="19" s="1"/>
  <c r="UG11" i="26"/>
  <c r="UJ11" i="26"/>
  <c r="G17" i="19"/>
  <c r="H17" i="19" s="1"/>
  <c r="UJ16" i="21"/>
  <c r="DC16" i="21"/>
  <c r="P16" i="21" s="1"/>
  <c r="K16" i="21"/>
  <c r="M16" i="21" s="1"/>
  <c r="UJ7" i="19"/>
  <c r="UG17" i="19"/>
  <c r="DC7" i="19"/>
  <c r="P7" i="19" s="1"/>
  <c r="M7" i="19"/>
  <c r="DC11" i="26"/>
  <c r="P11" i="26" s="1"/>
  <c r="K11" i="26"/>
  <c r="M11" i="26" s="1"/>
  <c r="DC17" i="19"/>
  <c r="P17" i="19" s="1"/>
  <c r="UJ17" i="19"/>
  <c r="K17" i="19"/>
  <c r="M17" i="19" s="1"/>
  <c r="Q16" i="21" l="1"/>
  <c r="R16" i="21"/>
  <c r="Q17" i="19"/>
  <c r="R17" i="19"/>
  <c r="Q7" i="19"/>
  <c r="R7" i="19"/>
  <c r="Q11" i="26"/>
  <c r="R11" i="26"/>
  <c r="E16" i="21"/>
  <c r="E7" i="19"/>
  <c r="E11" i="26"/>
  <c r="E17" i="19"/>
  <c r="CT12" i="21" l="1"/>
  <c r="CU12" i="21"/>
  <c r="CV12" i="21"/>
  <c r="CX12" i="21" s="1"/>
  <c r="CW12" i="21"/>
  <c r="CY12" i="21"/>
  <c r="CZ12" i="21"/>
  <c r="DA12" i="21" s="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9" i="4"/>
  <c r="CR9" i="4"/>
  <c r="CS9" i="4"/>
  <c r="CT9" i="4"/>
  <c r="CU9" i="4"/>
  <c r="CV9" i="4"/>
  <c r="CX9" i="4"/>
  <c r="CY9" i="4"/>
  <c r="CZ9" i="4"/>
  <c r="WF9" i="4"/>
  <c r="WG9" i="4"/>
  <c r="WH9" i="4"/>
  <c r="WI9" i="4"/>
  <c r="WJ9" i="4"/>
  <c r="WK9" i="4"/>
  <c r="WM9" i="4"/>
  <c r="WN9" i="4"/>
  <c r="WO9" i="4"/>
  <c r="WP9" i="4"/>
  <c r="WQ9" i="4"/>
  <c r="WR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CW9" i="4" l="1"/>
  <c r="T9" i="4"/>
  <c r="U9" i="4" s="1"/>
  <c r="TD12" i="21"/>
  <c r="TD14" i="19"/>
  <c r="XO9" i="4"/>
  <c r="TG12" i="21"/>
  <c r="G12" i="21" s="1"/>
  <c r="DA14" i="19"/>
  <c r="CX14" i="19"/>
  <c r="I14" i="19" s="1"/>
  <c r="TG14" i="19"/>
  <c r="F14" i="19" s="1"/>
  <c r="XL9" i="4"/>
  <c r="WL9" i="4"/>
  <c r="WS9" i="4" s="1"/>
  <c r="UF12" i="21"/>
  <c r="UD12" i="21"/>
  <c r="UI12" i="21"/>
  <c r="N12" i="21"/>
  <c r="O12" i="21" s="1"/>
  <c r="UE12" i="21"/>
  <c r="UH12" i="21"/>
  <c r="J12" i="21"/>
  <c r="L12" i="21"/>
  <c r="DB12" i="21" s="1"/>
  <c r="UC12" i="21"/>
  <c r="DA9" i="4"/>
  <c r="P9" i="4"/>
  <c r="Q9" i="4" s="1"/>
  <c r="XS9" i="4"/>
  <c r="N9" i="4"/>
  <c r="R9" i="4"/>
  <c r="S9" i="4" s="1"/>
  <c r="L9" i="4"/>
  <c r="M9" i="4" s="1"/>
  <c r="J9" i="4"/>
  <c r="I9" i="4"/>
  <c r="G9" i="4"/>
  <c r="F9" i="4"/>
  <c r="UC14" i="19"/>
  <c r="UH14" i="19"/>
  <c r="N14" i="19"/>
  <c r="O14" i="19" s="1"/>
  <c r="UE14" i="19"/>
  <c r="UD14" i="19"/>
  <c r="UI14" i="19"/>
  <c r="L14" i="19"/>
  <c r="DB14" i="19" s="1"/>
  <c r="J14" i="19"/>
  <c r="UF14" i="19"/>
  <c r="F12" i="21" l="1"/>
  <c r="H12" i="21" s="1"/>
  <c r="UG14" i="19"/>
  <c r="I12" i="21"/>
  <c r="G14" i="19"/>
  <c r="H14" i="19" s="1"/>
  <c r="XP9" i="4"/>
  <c r="XT9" i="4" s="1"/>
  <c r="DC14" i="19"/>
  <c r="DB9" i="4"/>
  <c r="UG12" i="21"/>
  <c r="UJ12" i="21"/>
  <c r="DC12" i="21"/>
  <c r="P12" i="21" s="1"/>
  <c r="K12" i="21"/>
  <c r="M12" i="21" s="1"/>
  <c r="DC9" i="4"/>
  <c r="O9" i="4"/>
  <c r="H9" i="4"/>
  <c r="K9" i="4"/>
  <c r="UJ14" i="19"/>
  <c r="K14" i="19"/>
  <c r="M14" i="19" s="1"/>
  <c r="Q12" i="21" l="1"/>
  <c r="R12" i="21"/>
  <c r="V9" i="4"/>
  <c r="W9" i="4" s="1"/>
  <c r="P14" i="19"/>
  <c r="E14" i="19" s="1"/>
  <c r="E12" i="21"/>
  <c r="X9" i="4" l="1"/>
  <c r="E9" i="4"/>
  <c r="Q14" i="19"/>
  <c r="R14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7" i="27"/>
  <c r="O17" i="27" s="1"/>
  <c r="UH9" i="26"/>
  <c r="TD21" i="21"/>
  <c r="TD17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6" i="24" l="1"/>
  <c r="VY6" i="24"/>
  <c r="VZ6" i="24"/>
  <c r="WA6" i="24"/>
  <c r="WB6" i="24"/>
  <c r="WC6" i="24"/>
  <c r="WE6" i="24"/>
  <c r="WF6" i="24"/>
  <c r="WG6" i="24"/>
  <c r="WH6" i="24"/>
  <c r="WI6" i="24"/>
  <c r="WJ6" i="24"/>
  <c r="WD6" i="24" l="1"/>
  <c r="WK6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7" i="21"/>
  <c r="TE7" i="21"/>
  <c r="TC7" i="21"/>
  <c r="TB7" i="21"/>
  <c r="TA7" i="21"/>
  <c r="SZ7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22" i="19"/>
  <c r="TE22" i="19"/>
  <c r="TC22" i="19"/>
  <c r="TB22" i="19"/>
  <c r="TA22" i="19"/>
  <c r="SZ22" i="19"/>
  <c r="TF26" i="19"/>
  <c r="TE26" i="19"/>
  <c r="TC26" i="19"/>
  <c r="TB26" i="19"/>
  <c r="TA26" i="19"/>
  <c r="SZ26" i="19"/>
  <c r="TF21" i="19"/>
  <c r="TE21" i="19"/>
  <c r="TC21" i="19"/>
  <c r="TB21" i="19"/>
  <c r="TA21" i="19"/>
  <c r="SZ21" i="19"/>
  <c r="TF27" i="19"/>
  <c r="TE27" i="19"/>
  <c r="TC27" i="19"/>
  <c r="TB27" i="19"/>
  <c r="TA27" i="19"/>
  <c r="SZ27" i="19"/>
  <c r="TF25" i="19"/>
  <c r="TE25" i="19"/>
  <c r="TC25" i="19"/>
  <c r="TB25" i="19"/>
  <c r="TA25" i="19"/>
  <c r="SZ25" i="19"/>
  <c r="TF28" i="19"/>
  <c r="TE28" i="19"/>
  <c r="TC28" i="19"/>
  <c r="TB28" i="19"/>
  <c r="TA28" i="19"/>
  <c r="SZ28" i="19"/>
  <c r="TF31" i="19"/>
  <c r="TE31" i="19"/>
  <c r="TC31" i="19"/>
  <c r="TB31" i="19"/>
  <c r="TA31" i="19"/>
  <c r="SZ31" i="19"/>
  <c r="TF6" i="19"/>
  <c r="TE6" i="19"/>
  <c r="TC6" i="19"/>
  <c r="TB6" i="19"/>
  <c r="TA6" i="19"/>
  <c r="SZ6" i="19"/>
  <c r="TF11" i="19"/>
  <c r="TE11" i="19"/>
  <c r="TC11" i="19"/>
  <c r="TB11" i="19"/>
  <c r="TA11" i="19"/>
  <c r="SZ11" i="19"/>
  <c r="TF13" i="19"/>
  <c r="TE13" i="19"/>
  <c r="TC13" i="19"/>
  <c r="TB13" i="19"/>
  <c r="TA13" i="19"/>
  <c r="SZ13" i="19"/>
  <c r="TF18" i="19"/>
  <c r="TE18" i="19"/>
  <c r="TC18" i="19"/>
  <c r="TB18" i="19"/>
  <c r="TA18" i="19"/>
  <c r="SZ18" i="19"/>
  <c r="TF24" i="19"/>
  <c r="TE24" i="19"/>
  <c r="TC24" i="19"/>
  <c r="TB24" i="19"/>
  <c r="TA24" i="19"/>
  <c r="SZ24" i="19"/>
  <c r="TF29" i="19"/>
  <c r="TE29" i="19"/>
  <c r="TC29" i="19"/>
  <c r="TB29" i="19"/>
  <c r="TA29" i="19"/>
  <c r="SZ29" i="19"/>
  <c r="TF9" i="19"/>
  <c r="TE9" i="19"/>
  <c r="TC9" i="19"/>
  <c r="TB9" i="19"/>
  <c r="TA9" i="19"/>
  <c r="SZ9" i="19"/>
  <c r="TF15" i="19"/>
  <c r="TE15" i="19"/>
  <c r="TC15" i="19"/>
  <c r="TB15" i="19"/>
  <c r="TA15" i="19"/>
  <c r="SZ15" i="19"/>
  <c r="TF5" i="19"/>
  <c r="TE5" i="19"/>
  <c r="TC5" i="19"/>
  <c r="TB5" i="19"/>
  <c r="TA5" i="19"/>
  <c r="SZ5" i="19"/>
  <c r="TF16" i="19"/>
  <c r="TE16" i="19"/>
  <c r="TC16" i="19"/>
  <c r="TB16" i="19"/>
  <c r="TA16" i="19"/>
  <c r="SZ16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5" i="27"/>
  <c r="TE15" i="27"/>
  <c r="TC15" i="27"/>
  <c r="TB15" i="27"/>
  <c r="TA15" i="27"/>
  <c r="SZ15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1" i="27"/>
  <c r="TE11" i="27"/>
  <c r="TC11" i="27"/>
  <c r="TB11" i="27"/>
  <c r="TA11" i="27"/>
  <c r="SZ11" i="27"/>
  <c r="TF13" i="27"/>
  <c r="TE13" i="27"/>
  <c r="TC13" i="27"/>
  <c r="TB13" i="27"/>
  <c r="TA13" i="27"/>
  <c r="SZ13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0" i="4"/>
  <c r="WQ10" i="4"/>
  <c r="WP10" i="4"/>
  <c r="WO10" i="4"/>
  <c r="WN10" i="4"/>
  <c r="WM10" i="4"/>
  <c r="WK10" i="4"/>
  <c r="WJ10" i="4"/>
  <c r="WI10" i="4"/>
  <c r="WH10" i="4"/>
  <c r="WG10" i="4"/>
  <c r="WF10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6" i="4"/>
  <c r="WQ6" i="4"/>
  <c r="WP6" i="4"/>
  <c r="WO6" i="4"/>
  <c r="WN6" i="4"/>
  <c r="WM6" i="4"/>
  <c r="WK6" i="4"/>
  <c r="WJ6" i="4"/>
  <c r="WI6" i="4"/>
  <c r="WH6" i="4"/>
  <c r="WG6" i="4"/>
  <c r="WF6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TG5" i="26" l="1"/>
  <c r="WD7" i="24"/>
  <c r="WK7" i="24" s="1"/>
  <c r="TG13" i="26"/>
  <c r="TG16" i="19"/>
  <c r="TG29" i="19"/>
  <c r="WD4" i="24"/>
  <c r="WK4" i="24" s="1"/>
  <c r="WD5" i="24"/>
  <c r="WK5" i="24" s="1"/>
  <c r="WD13" i="23"/>
  <c r="WK13" i="23" s="1"/>
  <c r="WD7" i="23"/>
  <c r="WK7" i="23" s="1"/>
  <c r="WD15" i="23"/>
  <c r="WK15" i="23" s="1"/>
  <c r="WD12" i="23"/>
  <c r="WK12" i="23" s="1"/>
  <c r="TG6" i="21"/>
  <c r="TG25" i="21"/>
  <c r="TG8" i="21"/>
  <c r="TG5" i="21"/>
  <c r="TG19" i="21"/>
  <c r="TG9" i="21"/>
  <c r="TG26" i="21"/>
  <c r="TG28" i="19"/>
  <c r="TG26" i="19"/>
  <c r="TG8" i="19"/>
  <c r="TG9" i="19"/>
  <c r="TG13" i="19"/>
  <c r="TG6" i="19"/>
  <c r="TG31" i="19"/>
  <c r="TG21" i="19"/>
  <c r="TG12" i="19"/>
  <c r="TG7" i="27"/>
  <c r="TG13" i="27"/>
  <c r="TG15" i="27"/>
  <c r="WL6" i="22"/>
  <c r="WS6" i="22" s="1"/>
  <c r="WL8" i="22"/>
  <c r="WS8" i="22" s="1"/>
  <c r="WL13" i="22"/>
  <c r="WS13" i="22" s="1"/>
  <c r="WL12" i="22"/>
  <c r="WS12" i="22" s="1"/>
  <c r="WL14" i="4"/>
  <c r="WS14" i="4" s="1"/>
  <c r="WL7" i="4"/>
  <c r="WS7" i="4" s="1"/>
  <c r="WL6" i="4"/>
  <c r="WS6" i="4" s="1"/>
  <c r="WL18" i="4"/>
  <c r="WS18" i="4" s="1"/>
  <c r="WL4" i="4"/>
  <c r="WS4" i="4" s="1"/>
  <c r="WL8" i="4"/>
  <c r="WS8" i="4" s="1"/>
  <c r="WL23" i="4"/>
  <c r="WS23" i="4" s="1"/>
  <c r="WL11" i="4"/>
  <c r="WS11" i="4" s="1"/>
  <c r="WL12" i="4"/>
  <c r="WS12" i="4" s="1"/>
  <c r="WL17" i="4"/>
  <c r="WS17" i="4" s="1"/>
  <c r="WL10" i="4"/>
  <c r="WS10" i="4" s="1"/>
  <c r="XS17" i="4"/>
  <c r="XS10" i="4"/>
  <c r="XL11" i="4"/>
  <c r="XS23" i="4"/>
  <c r="WD11" i="23"/>
  <c r="WK11" i="23" s="1"/>
  <c r="TG4" i="21"/>
  <c r="TG11" i="21"/>
  <c r="TG23" i="21"/>
  <c r="TG7" i="21"/>
  <c r="TG10" i="21"/>
  <c r="TG13" i="21"/>
  <c r="TG14" i="21"/>
  <c r="TG4" i="19"/>
  <c r="TG15" i="19"/>
  <c r="TG18" i="19"/>
  <c r="TG27" i="19"/>
  <c r="TG20" i="19"/>
  <c r="TG5" i="19"/>
  <c r="TG24" i="19"/>
  <c r="TG11" i="19"/>
  <c r="TG25" i="19"/>
  <c r="TG22" i="19"/>
  <c r="TG16" i="27"/>
  <c r="TG11" i="27"/>
  <c r="TG6" i="27"/>
  <c r="TG8" i="27"/>
  <c r="TG5" i="27"/>
  <c r="TG4" i="27"/>
  <c r="TG9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0" i="23"/>
  <c r="WK10" i="23" s="1"/>
  <c r="WD4" i="23"/>
  <c r="WK4" i="23" s="1"/>
  <c r="WD5" i="23"/>
  <c r="WK5" i="23" s="1"/>
  <c r="WD14" i="23"/>
  <c r="WK14" i="23" s="1"/>
  <c r="WL9" i="22"/>
  <c r="WS9" i="22" s="1"/>
  <c r="WL7" i="22"/>
  <c r="WS7" i="22" s="1"/>
  <c r="WL10" i="22"/>
  <c r="WS10" i="22" s="1"/>
  <c r="WL5" i="22"/>
  <c r="WS5" i="22" s="1"/>
  <c r="WL4" i="22"/>
  <c r="WS4" i="22" s="1"/>
  <c r="WL11" i="22"/>
  <c r="WS11" i="22" s="1"/>
  <c r="WL14" i="22"/>
  <c r="WS14" i="22" s="1"/>
  <c r="XS20" i="4"/>
  <c r="XL8" i="4"/>
  <c r="XL17" i="4"/>
  <c r="XO17" i="4"/>
  <c r="WL21" i="4"/>
  <c r="WS21" i="4" s="1"/>
  <c r="XO21" i="4"/>
  <c r="XL18" i="4"/>
  <c r="XO8" i="4"/>
  <c r="XO22" i="4"/>
  <c r="XL23" i="4"/>
  <c r="XL21" i="4"/>
  <c r="XS18" i="4"/>
  <c r="XS5" i="4"/>
  <c r="XO4" i="4"/>
  <c r="XL14" i="4"/>
  <c r="XO10" i="4"/>
  <c r="XO18" i="4"/>
  <c r="XS6" i="4"/>
  <c r="XO11" i="4"/>
  <c r="XL4" i="4"/>
  <c r="XS12" i="4"/>
  <c r="XO6" i="4"/>
  <c r="WL5" i="4"/>
  <c r="WS5" i="4" s="1"/>
  <c r="XO24" i="4"/>
  <c r="XL6" i="4"/>
  <c r="XS7" i="4"/>
  <c r="WL20" i="4"/>
  <c r="WS20" i="4" s="1"/>
  <c r="XO12" i="4"/>
  <c r="XS11" i="4"/>
  <c r="XO20" i="4"/>
  <c r="XO7" i="4"/>
  <c r="WL24" i="4"/>
  <c r="WS24" i="4" s="1"/>
  <c r="XS22" i="4"/>
  <c r="XL7" i="4"/>
  <c r="XS8" i="4"/>
  <c r="XO5" i="4"/>
  <c r="WL22" i="4"/>
  <c r="WS22" i="4" s="1"/>
  <c r="XS21" i="4"/>
  <c r="XS24" i="4"/>
  <c r="XO23" i="4"/>
  <c r="XS14" i="4"/>
  <c r="TD4" i="21"/>
  <c r="TD5" i="21"/>
  <c r="TD6" i="21"/>
  <c r="TD10" i="21"/>
  <c r="TD19" i="21"/>
  <c r="TD25" i="21"/>
  <c r="TD13" i="21"/>
  <c r="TD11" i="21"/>
  <c r="TD9" i="21"/>
  <c r="TD23" i="21"/>
  <c r="TD26" i="21"/>
  <c r="TD8" i="21"/>
  <c r="TD14" i="21"/>
  <c r="TD7" i="21"/>
  <c r="TD4" i="19"/>
  <c r="TD8" i="19"/>
  <c r="TD16" i="19"/>
  <c r="TD5" i="19"/>
  <c r="TD15" i="19"/>
  <c r="TD9" i="19"/>
  <c r="TD29" i="19"/>
  <c r="TD24" i="19"/>
  <c r="TD18" i="19"/>
  <c r="TD13" i="19"/>
  <c r="TD11" i="19"/>
  <c r="TD6" i="19"/>
  <c r="TD31" i="19"/>
  <c r="TD28" i="19"/>
  <c r="TD25" i="19"/>
  <c r="TD27" i="19"/>
  <c r="TD21" i="19"/>
  <c r="TD26" i="19"/>
  <c r="TD22" i="19"/>
  <c r="TD20" i="19"/>
  <c r="TD12" i="19"/>
  <c r="TD5" i="27"/>
  <c r="TD6" i="27"/>
  <c r="TD4" i="27"/>
  <c r="TD7" i="27"/>
  <c r="TD16" i="27"/>
  <c r="TD9" i="27"/>
  <c r="TD13" i="27"/>
  <c r="TD11" i="27"/>
  <c r="TD8" i="27"/>
  <c r="TD14" i="27"/>
  <c r="TD15" i="27"/>
  <c r="TD4" i="26"/>
  <c r="TD5" i="26"/>
  <c r="TD10" i="26"/>
  <c r="TD8" i="26"/>
  <c r="TD7" i="26"/>
  <c r="TD13" i="26"/>
  <c r="XL5" i="4"/>
  <c r="XL22" i="4"/>
  <c r="XL24" i="4"/>
  <c r="XL20" i="4"/>
  <c r="XO14" i="4"/>
  <c r="XL10" i="4"/>
  <c r="XL12" i="4"/>
  <c r="XS4" i="4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XP6" i="4" l="1"/>
  <c r="XT6" i="4" s="1"/>
  <c r="XP22" i="4"/>
  <c r="XT22" i="4" s="1"/>
  <c r="F26" i="21"/>
  <c r="G26" i="21"/>
  <c r="XP7" i="4"/>
  <c r="XT7" i="4" s="1"/>
  <c r="XP11" i="4"/>
  <c r="XT11" i="4" s="1"/>
  <c r="XP17" i="4"/>
  <c r="XT17" i="4" s="1"/>
  <c r="XP24" i="4"/>
  <c r="XT24" i="4" s="1"/>
  <c r="XP21" i="4"/>
  <c r="XT21" i="4" s="1"/>
  <c r="XP20" i="4"/>
  <c r="XT20" i="4" s="1"/>
  <c r="XP18" i="4"/>
  <c r="XT18" i="4" s="1"/>
  <c r="XP23" i="4"/>
  <c r="XT23" i="4" s="1"/>
  <c r="XP12" i="4"/>
  <c r="XT12" i="4" s="1"/>
  <c r="XP8" i="4"/>
  <c r="XT8" i="4" s="1"/>
  <c r="XP14" i="4"/>
  <c r="XT14" i="4" s="1"/>
  <c r="XP5" i="4"/>
  <c r="XT5" i="4" s="1"/>
  <c r="XP10" i="4"/>
  <c r="XT10" i="4" s="1"/>
  <c r="XP4" i="4"/>
  <c r="XT4" i="4" s="1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26" i="21" l="1"/>
  <c r="A26" i="21" s="1" a="1"/>
  <c r="A26" i="21" s="1"/>
  <c r="DB26" i="21"/>
  <c r="UG26" i="21"/>
  <c r="UJ26" i="21"/>
  <c r="K26" i="21"/>
  <c r="M26" i="21" s="1"/>
  <c r="O26" i="21"/>
  <c r="P26" i="21" l="1"/>
  <c r="R26" i="21" l="1"/>
  <c r="Q26" i="21"/>
  <c r="E26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O14" i="23" s="1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G4" i="27" l="1"/>
  <c r="F4" i="27"/>
  <c r="F14" i="23"/>
  <c r="I14" i="23"/>
  <c r="G14" i="23"/>
  <c r="F11" i="24"/>
  <c r="I11" i="24"/>
  <c r="G11" i="24"/>
  <c r="CS11" i="24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XD11" i="24"/>
  <c r="CS14" i="23"/>
  <c r="L11" i="24"/>
  <c r="XK11" i="24"/>
  <c r="XG11" i="24"/>
  <c r="J11" i="24"/>
  <c r="K11" i="24" s="1"/>
  <c r="XK14" i="23"/>
  <c r="XG14" i="23"/>
  <c r="L14" i="23"/>
  <c r="J14" i="23"/>
  <c r="K14" i="23" s="1"/>
  <c r="XD14" i="23"/>
  <c r="H4" i="27" l="1"/>
  <c r="H14" i="23"/>
  <c r="M4" i="27"/>
  <c r="H11" i="24"/>
  <c r="DB4" i="27"/>
  <c r="O4" i="27"/>
  <c r="DC4" i="27"/>
  <c r="M11" i="24"/>
  <c r="CT11" i="24"/>
  <c r="CU11" i="24"/>
  <c r="M14" i="23"/>
  <c r="CU14" i="23"/>
  <c r="CT14" i="23"/>
  <c r="UG4" i="27"/>
  <c r="UJ4" i="27"/>
  <c r="XH11" i="24"/>
  <c r="XL11" i="24" s="1"/>
  <c r="XH14" i="23"/>
  <c r="XL14" i="23" s="1"/>
  <c r="P4" i="27" l="1"/>
  <c r="N14" i="23"/>
  <c r="N11" i="24"/>
  <c r="R4" i="27" l="1"/>
  <c r="Q4" i="27"/>
  <c r="E4" i="27"/>
  <c r="E11" i="24"/>
  <c r="P11" i="24"/>
  <c r="E14" i="23"/>
  <c r="P14" i="23"/>
  <c r="O14" i="23"/>
  <c r="O11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DA21" i="19"/>
  <c r="UD21" i="19"/>
  <c r="UI21" i="19"/>
  <c r="L21" i="19"/>
  <c r="UF21" i="19"/>
  <c r="J21" i="19"/>
  <c r="H21" i="19" l="1"/>
  <c r="A21" i="19" s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8" i="21" l="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7" i="21"/>
  <c r="CU7" i="21"/>
  <c r="CV7" i="21"/>
  <c r="CW7" i="21"/>
  <c r="CY7" i="21"/>
  <c r="CZ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17" i="4"/>
  <c r="CR17" i="4"/>
  <c r="CS17" i="4"/>
  <c r="CT17" i="4"/>
  <c r="CU17" i="4"/>
  <c r="CV17" i="4"/>
  <c r="CX17" i="4"/>
  <c r="CY17" i="4"/>
  <c r="CZ17" i="4"/>
  <c r="CQ18" i="4"/>
  <c r="CR18" i="4"/>
  <c r="CS18" i="4"/>
  <c r="CT18" i="4"/>
  <c r="CU18" i="4"/>
  <c r="CV18" i="4"/>
  <c r="CX18" i="4"/>
  <c r="CY18" i="4"/>
  <c r="CZ18" i="4"/>
  <c r="T17" i="4" l="1"/>
  <c r="U17" i="4" s="1"/>
  <c r="T18" i="4"/>
  <c r="U18" i="4" s="1"/>
  <c r="G8" i="21"/>
  <c r="G7" i="21"/>
  <c r="F7" i="21"/>
  <c r="F8" i="21"/>
  <c r="G25" i="19"/>
  <c r="G26" i="19"/>
  <c r="G22" i="19"/>
  <c r="G31" i="19"/>
  <c r="F25" i="19"/>
  <c r="F26" i="19"/>
  <c r="F22" i="19"/>
  <c r="F31" i="19"/>
  <c r="G13" i="27"/>
  <c r="F13" i="27"/>
  <c r="G15" i="27"/>
  <c r="F15" i="27"/>
  <c r="G8" i="27"/>
  <c r="F8" i="27"/>
  <c r="F17" i="4"/>
  <c r="I17" i="4"/>
  <c r="G17" i="4"/>
  <c r="G18" i="4"/>
  <c r="F18" i="4"/>
  <c r="I18" i="4"/>
  <c r="G9" i="24"/>
  <c r="F15" i="23"/>
  <c r="I15" i="23"/>
  <c r="I12" i="23"/>
  <c r="F12" i="23"/>
  <c r="I13" i="23"/>
  <c r="F13" i="23"/>
  <c r="G5" i="23"/>
  <c r="F5" i="23"/>
  <c r="I5" i="23"/>
  <c r="G4" i="23"/>
  <c r="F4" i="23"/>
  <c r="I4" i="23"/>
  <c r="G13" i="23"/>
  <c r="G15" i="23"/>
  <c r="G12" i="23"/>
  <c r="I9" i="24"/>
  <c r="F9" i="24"/>
  <c r="R17" i="4"/>
  <c r="S17" i="4" s="1"/>
  <c r="R18" i="4"/>
  <c r="S18" i="4" s="1"/>
  <c r="CO9" i="24"/>
  <c r="CS9" i="24" s="1"/>
  <c r="CO15" i="23"/>
  <c r="CS15" i="23" s="1"/>
  <c r="CO4" i="23"/>
  <c r="CS4" i="23" s="1"/>
  <c r="CO5" i="23"/>
  <c r="CS5" i="23" s="1"/>
  <c r="CO13" i="23"/>
  <c r="CS13" i="23" s="1"/>
  <c r="CO12" i="23"/>
  <c r="CS12" i="23" s="1"/>
  <c r="N15" i="27"/>
  <c r="DC15" i="27" s="1"/>
  <c r="N31" i="19"/>
  <c r="DC31" i="19" s="1"/>
  <c r="UH7" i="21"/>
  <c r="UC7" i="21"/>
  <c r="DA7" i="21"/>
  <c r="N22" i="19"/>
  <c r="UH31" i="19"/>
  <c r="UC31" i="19"/>
  <c r="DA31" i="19"/>
  <c r="N13" i="27"/>
  <c r="DA8" i="27"/>
  <c r="XD9" i="24"/>
  <c r="XG9" i="24"/>
  <c r="XG12" i="23"/>
  <c r="CW18" i="4"/>
  <c r="DA18" i="4" s="1"/>
  <c r="CW17" i="4"/>
  <c r="DA17" i="4" s="1"/>
  <c r="UC8" i="21"/>
  <c r="L8" i="21"/>
  <c r="DB8" i="21" s="1"/>
  <c r="J8" i="21"/>
  <c r="K8" i="21" s="1"/>
  <c r="UI8" i="21"/>
  <c r="UH8" i="21"/>
  <c r="CX8" i="21"/>
  <c r="I8" i="21" s="1"/>
  <c r="N8" i="21"/>
  <c r="DC8" i="21" s="1"/>
  <c r="UE8" i="21"/>
  <c r="UD8" i="21"/>
  <c r="UF8" i="21"/>
  <c r="DA8" i="21"/>
  <c r="UE7" i="21"/>
  <c r="UD7" i="21"/>
  <c r="N7" i="21"/>
  <c r="UI7" i="21"/>
  <c r="CX7" i="21"/>
  <c r="I7" i="21" s="1"/>
  <c r="L7" i="21"/>
  <c r="J7" i="21"/>
  <c r="K7" i="21" s="1"/>
  <c r="UF7" i="21"/>
  <c r="UE31" i="19"/>
  <c r="UD31" i="19"/>
  <c r="UI31" i="19"/>
  <c r="CX31" i="19"/>
  <c r="I31" i="19" s="1"/>
  <c r="L31" i="19"/>
  <c r="J31" i="19"/>
  <c r="K31" i="19" s="1"/>
  <c r="UF31" i="19"/>
  <c r="UC22" i="19"/>
  <c r="UH26" i="19"/>
  <c r="UC26" i="19"/>
  <c r="UH25" i="19"/>
  <c r="UC25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5" i="27"/>
  <c r="DA13" i="27"/>
  <c r="UC13" i="27"/>
  <c r="DA15" i="27"/>
  <c r="UI15" i="27"/>
  <c r="UH15" i="27"/>
  <c r="CX15" i="27"/>
  <c r="I15" i="27" s="1"/>
  <c r="UE15" i="27"/>
  <c r="UD15" i="27"/>
  <c r="L15" i="27"/>
  <c r="J15" i="27"/>
  <c r="K15" i="27" s="1"/>
  <c r="UF15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2" i="23"/>
  <c r="L12" i="23"/>
  <c r="XK12" i="23"/>
  <c r="J12" i="23"/>
  <c r="XD5" i="23"/>
  <c r="XK5" i="23"/>
  <c r="XG5" i="23"/>
  <c r="L5" i="23"/>
  <c r="J5" i="23"/>
  <c r="K5" i="23" s="1"/>
  <c r="XD15" i="23"/>
  <c r="J15" i="23"/>
  <c r="K15" i="23" s="1"/>
  <c r="XK15" i="23"/>
  <c r="XG15" i="23"/>
  <c r="L15" i="23"/>
  <c r="XD4" i="23"/>
  <c r="L4" i="23"/>
  <c r="J4" i="23"/>
  <c r="K4" i="23" s="1"/>
  <c r="XK4" i="23"/>
  <c r="XG4" i="23"/>
  <c r="XG13" i="23"/>
  <c r="XD13" i="23"/>
  <c r="XK13" i="23"/>
  <c r="L13" i="23"/>
  <c r="J13" i="23"/>
  <c r="P17" i="4"/>
  <c r="DC17" i="4" s="1"/>
  <c r="L17" i="4"/>
  <c r="M17" i="4" s="1"/>
  <c r="J17" i="4"/>
  <c r="K17" i="4" s="1"/>
  <c r="N17" i="4"/>
  <c r="N18" i="4"/>
  <c r="P18" i="4"/>
  <c r="DC18" i="4" s="1"/>
  <c r="L18" i="4"/>
  <c r="M18" i="4" s="1"/>
  <c r="J18" i="4"/>
  <c r="K18" i="4" s="1"/>
  <c r="H15" i="27" l="1"/>
  <c r="A15" i="27" s="1" a="1"/>
  <c r="A15" i="27" s="1"/>
  <c r="H26" i="19"/>
  <c r="A26" i="19" s="1" a="1"/>
  <c r="A26" i="19" s="1"/>
  <c r="H25" i="19"/>
  <c r="A25" i="19" s="1" a="1"/>
  <c r="A25" i="19" s="1"/>
  <c r="H22" i="19"/>
  <c r="A22" i="19" s="1" a="1"/>
  <c r="A22" i="19" s="1"/>
  <c r="H31" i="19"/>
  <c r="A31" i="19" s="1" a="1"/>
  <c r="A31" i="19" s="1"/>
  <c r="H8" i="27"/>
  <c r="H13" i="27"/>
  <c r="H8" i="21"/>
  <c r="H7" i="21"/>
  <c r="H12" i="23"/>
  <c r="H5" i="23"/>
  <c r="H15" i="23"/>
  <c r="H13" i="23"/>
  <c r="H4" i="23"/>
  <c r="M26" i="19"/>
  <c r="M8" i="27"/>
  <c r="M25" i="19"/>
  <c r="H9" i="24"/>
  <c r="M22" i="19"/>
  <c r="M13" i="27"/>
  <c r="DB17" i="4"/>
  <c r="V17" i="4" s="1"/>
  <c r="X17" i="4" s="1"/>
  <c r="M7" i="21"/>
  <c r="M15" i="27"/>
  <c r="H17" i="4"/>
  <c r="A17" i="4" s="1" a="1"/>
  <c r="A17" i="4" s="1"/>
  <c r="DB18" i="4"/>
  <c r="V18" i="4" s="1"/>
  <c r="X18" i="4" s="1"/>
  <c r="H18" i="4"/>
  <c r="A18" i="4" s="1" a="1"/>
  <c r="A18" i="4" s="1"/>
  <c r="M31" i="19"/>
  <c r="M8" i="21"/>
  <c r="DB7" i="21"/>
  <c r="P8" i="21"/>
  <c r="O7" i="21"/>
  <c r="DC7" i="21"/>
  <c r="DB31" i="19"/>
  <c r="P31" i="19" s="1"/>
  <c r="DB25" i="19"/>
  <c r="O22" i="19"/>
  <c r="DC22" i="19"/>
  <c r="O25" i="19"/>
  <c r="DC25" i="19"/>
  <c r="DB22" i="19"/>
  <c r="P26" i="19"/>
  <c r="DB13" i="27"/>
  <c r="DB15" i="27"/>
  <c r="DB8" i="27"/>
  <c r="O13" i="27"/>
  <c r="DC13" i="27"/>
  <c r="CU9" i="24"/>
  <c r="CT9" i="24"/>
  <c r="CT4" i="23"/>
  <c r="CU4" i="23"/>
  <c r="CU5" i="23"/>
  <c r="CT5" i="23"/>
  <c r="CU12" i="23"/>
  <c r="CT12" i="23"/>
  <c r="M13" i="23"/>
  <c r="CU13" i="23"/>
  <c r="CT13" i="23"/>
  <c r="CU15" i="23"/>
  <c r="CT15" i="23"/>
  <c r="O18" i="4"/>
  <c r="O15" i="27"/>
  <c r="XH12" i="23"/>
  <c r="XL12" i="23" s="1"/>
  <c r="UJ7" i="21"/>
  <c r="UG7" i="21"/>
  <c r="O31" i="19"/>
  <c r="UJ31" i="19"/>
  <c r="UG26" i="19"/>
  <c r="UG31" i="19"/>
  <c r="UJ26" i="19"/>
  <c r="UG15" i="27"/>
  <c r="O8" i="27"/>
  <c r="XH9" i="24"/>
  <c r="XL9" i="24" s="1"/>
  <c r="M9" i="24"/>
  <c r="XH5" i="23"/>
  <c r="XL5" i="23" s="1"/>
  <c r="M4" i="23"/>
  <c r="UJ8" i="21"/>
  <c r="O8" i="21"/>
  <c r="UG8" i="21"/>
  <c r="UJ25" i="19"/>
  <c r="UJ22" i="19"/>
  <c r="UG25" i="19"/>
  <c r="UG22" i="19"/>
  <c r="O26" i="19"/>
  <c r="UJ8" i="27"/>
  <c r="UG8" i="27"/>
  <c r="UJ13" i="27"/>
  <c r="UG13" i="27"/>
  <c r="UJ15" i="27"/>
  <c r="M12" i="23"/>
  <c r="K12" i="23"/>
  <c r="XH13" i="23"/>
  <c r="XL13" i="23" s="1"/>
  <c r="XH15" i="23"/>
  <c r="XL15" i="23" s="1"/>
  <c r="M5" i="23"/>
  <c r="M15" i="23"/>
  <c r="XH4" i="23"/>
  <c r="XL4" i="23" s="1"/>
  <c r="K13" i="23"/>
  <c r="Q18" i="4"/>
  <c r="Q17" i="4"/>
  <c r="O17" i="4"/>
  <c r="R8" i="21" l="1"/>
  <c r="Q8" i="21"/>
  <c r="Q31" i="19"/>
  <c r="R31" i="19"/>
  <c r="R26" i="19"/>
  <c r="Q26" i="19"/>
  <c r="N9" i="24"/>
  <c r="P9" i="24" s="1"/>
  <c r="N4" i="23"/>
  <c r="E4" i="23" s="1"/>
  <c r="N15" i="23"/>
  <c r="P15" i="23" s="1"/>
  <c r="P22" i="19"/>
  <c r="P13" i="27"/>
  <c r="P15" i="27"/>
  <c r="P7" i="21"/>
  <c r="E31" i="19"/>
  <c r="N13" i="23"/>
  <c r="N12" i="23"/>
  <c r="E8" i="21"/>
  <c r="P25" i="19"/>
  <c r="E26" i="19"/>
  <c r="P8" i="27"/>
  <c r="N5" i="23"/>
  <c r="P5" i="23" s="1"/>
  <c r="E18" i="4"/>
  <c r="W17" i="4"/>
  <c r="E17" i="4"/>
  <c r="W18" i="4"/>
  <c r="Q7" i="21" l="1"/>
  <c r="R7" i="21"/>
  <c r="Q22" i="19"/>
  <c r="R22" i="19"/>
  <c r="R25" i="19"/>
  <c r="Q25" i="19"/>
  <c r="Q15" i="27"/>
  <c r="R15" i="27"/>
  <c r="R8" i="27"/>
  <c r="Q8" i="27"/>
  <c r="Q13" i="27"/>
  <c r="R13" i="27"/>
  <c r="O4" i="23"/>
  <c r="E15" i="23"/>
  <c r="E9" i="24"/>
  <c r="O9" i="24"/>
  <c r="P4" i="23"/>
  <c r="O15" i="23"/>
  <c r="E7" i="21"/>
  <c r="E22" i="19"/>
  <c r="E25" i="19"/>
  <c r="E15" i="27"/>
  <c r="E13" i="27"/>
  <c r="O12" i="23"/>
  <c r="P12" i="23"/>
  <c r="E13" i="23"/>
  <c r="P13" i="23"/>
  <c r="O13" i="23"/>
  <c r="E12" i="23"/>
  <c r="E8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4" i="19"/>
  <c r="CU24" i="19"/>
  <c r="G24" i="19" s="1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2" i="4"/>
  <c r="CR12" i="4"/>
  <c r="CS12" i="4"/>
  <c r="CT12" i="4"/>
  <c r="CU12" i="4"/>
  <c r="CV12" i="4"/>
  <c r="CX12" i="4"/>
  <c r="CY12" i="4"/>
  <c r="CZ12" i="4"/>
  <c r="T12" i="4" l="1"/>
  <c r="U12" i="4" s="1"/>
  <c r="T10" i="22"/>
  <c r="U10" i="22" s="1"/>
  <c r="G5" i="21"/>
  <c r="G27" i="19"/>
  <c r="F5" i="21"/>
  <c r="F27" i="19"/>
  <c r="F24" i="19"/>
  <c r="H24" i="19" s="1"/>
  <c r="G12" i="4"/>
  <c r="F12" i="4"/>
  <c r="I12" i="4"/>
  <c r="I10" i="22"/>
  <c r="F10" i="22"/>
  <c r="G10" i="22"/>
  <c r="R12" i="4"/>
  <c r="S12" i="4" s="1"/>
  <c r="R10" i="22"/>
  <c r="S10" i="22" s="1"/>
  <c r="UC5" i="21"/>
  <c r="DA5" i="21"/>
  <c r="UF27" i="19"/>
  <c r="DA27" i="19"/>
  <c r="N24" i="19"/>
  <c r="N27" i="19"/>
  <c r="UC24" i="19"/>
  <c r="UH24" i="19"/>
  <c r="CW10" i="22"/>
  <c r="DA10" i="22" s="1"/>
  <c r="XO10" i="22"/>
  <c r="XL10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7" i="19"/>
  <c r="UD27" i="19"/>
  <c r="UI27" i="19"/>
  <c r="CX27" i="19"/>
  <c r="I27" i="19" s="1"/>
  <c r="UH27" i="19"/>
  <c r="L27" i="19"/>
  <c r="J27" i="19"/>
  <c r="K27" i="19" s="1"/>
  <c r="UC27" i="19"/>
  <c r="UD24" i="19"/>
  <c r="UE24" i="19"/>
  <c r="DA24" i="19"/>
  <c r="UI24" i="19"/>
  <c r="CX24" i="19"/>
  <c r="I24" i="19" s="1"/>
  <c r="L24" i="19"/>
  <c r="J24" i="19"/>
  <c r="K24" i="19" s="1"/>
  <c r="UF24" i="19"/>
  <c r="J10" i="22"/>
  <c r="K10" i="22" s="1"/>
  <c r="XS10" i="22"/>
  <c r="P10" i="22"/>
  <c r="L10" i="22"/>
  <c r="M10" i="22" s="1"/>
  <c r="N10" i="22"/>
  <c r="DB10" i="22" s="1"/>
  <c r="L12" i="4"/>
  <c r="M12" i="4" s="1"/>
  <c r="N12" i="4"/>
  <c r="P12" i="4"/>
  <c r="DC12" i="4" s="1"/>
  <c r="J12" i="4"/>
  <c r="H27" i="19" l="1"/>
  <c r="A27" i="19" s="1" a="1"/>
  <c r="A27" i="19" s="1"/>
  <c r="H5" i="21"/>
  <c r="M5" i="21"/>
  <c r="M24" i="19"/>
  <c r="H10" i="22"/>
  <c r="DB12" i="4"/>
  <c r="V12" i="4" s="1"/>
  <c r="X12" i="4" s="1"/>
  <c r="H12" i="4"/>
  <c r="M27" i="19"/>
  <c r="DB27" i="19"/>
  <c r="O27" i="19"/>
  <c r="DC27" i="19"/>
  <c r="O24" i="19"/>
  <c r="DC24" i="19"/>
  <c r="DB24" i="19"/>
  <c r="Q10" i="22"/>
  <c r="DC10" i="22"/>
  <c r="O12" i="4"/>
  <c r="XP10" i="22"/>
  <c r="XT10" i="22" s="1"/>
  <c r="UG5" i="21"/>
  <c r="UJ24" i="19"/>
  <c r="UJ27" i="19"/>
  <c r="O5" i="21"/>
  <c r="UG24" i="19"/>
  <c r="UG27" i="19"/>
  <c r="UJ5" i="21"/>
  <c r="P5" i="21"/>
  <c r="O10" i="22"/>
  <c r="Q12" i="4"/>
  <c r="K12" i="4"/>
  <c r="Q5" i="21" l="1"/>
  <c r="R5" i="21"/>
  <c r="P27" i="19"/>
  <c r="P24" i="19"/>
  <c r="V10" i="22"/>
  <c r="X10" i="22" s="1"/>
  <c r="E5" i="21"/>
  <c r="E12" i="4"/>
  <c r="W12" i="4"/>
  <c r="Q24" i="19" l="1"/>
  <c r="R24" i="19"/>
  <c r="Q27" i="19"/>
  <c r="R27" i="19"/>
  <c r="E27" i="19"/>
  <c r="E24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1" i="4"/>
  <c r="T21" i="4" s="1"/>
  <c r="CR21" i="4"/>
  <c r="CS21" i="4"/>
  <c r="CT21" i="4"/>
  <c r="CU21" i="4"/>
  <c r="CV21" i="4"/>
  <c r="CX21" i="4"/>
  <c r="CY21" i="4"/>
  <c r="CZ21" i="4"/>
  <c r="CQ20" i="4"/>
  <c r="CR20" i="4"/>
  <c r="CS20" i="4"/>
  <c r="CT20" i="4"/>
  <c r="CU20" i="4"/>
  <c r="CV20" i="4"/>
  <c r="CX20" i="4"/>
  <c r="CY20" i="4"/>
  <c r="CZ20" i="4"/>
  <c r="T20" i="4" l="1"/>
  <c r="U20" i="4" s="1"/>
  <c r="G20" i="4"/>
  <c r="A14" i="27" a="1"/>
  <c r="A14" i="27" s="1"/>
  <c r="F20" i="4"/>
  <c r="I20" i="4"/>
  <c r="F21" i="4"/>
  <c r="I21" i="4"/>
  <c r="G21" i="4"/>
  <c r="G5" i="26"/>
  <c r="F5" i="26"/>
  <c r="R20" i="4"/>
  <c r="S20" i="4" s="1"/>
  <c r="U21" i="4"/>
  <c r="R21" i="4"/>
  <c r="S21" i="4" s="1"/>
  <c r="DB14" i="27"/>
  <c r="P14" i="27" s="1"/>
  <c r="UJ14" i="27"/>
  <c r="O14" i="27"/>
  <c r="DA5" i="26"/>
  <c r="CW20" i="4"/>
  <c r="DA20" i="4" s="1"/>
  <c r="CW21" i="4"/>
  <c r="DA21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1" i="4"/>
  <c r="M21" i="4" s="1"/>
  <c r="P21" i="4"/>
  <c r="DC21" i="4" s="1"/>
  <c r="J21" i="4"/>
  <c r="K21" i="4" s="1"/>
  <c r="N21" i="4"/>
  <c r="L20" i="4"/>
  <c r="M20" i="4" s="1"/>
  <c r="P20" i="4"/>
  <c r="DC20" i="4" s="1"/>
  <c r="N20" i="4"/>
  <c r="J20" i="4"/>
  <c r="K20" i="4" s="1"/>
  <c r="H5" i="26" l="1"/>
  <c r="Q14" i="27"/>
  <c r="R14" i="27"/>
  <c r="H20" i="4"/>
  <c r="DB20" i="4"/>
  <c r="V20" i="4" s="1"/>
  <c r="X20" i="4" s="1"/>
  <c r="M5" i="26"/>
  <c r="DB21" i="4"/>
  <c r="V21" i="4" s="1"/>
  <c r="X21" i="4" s="1"/>
  <c r="H21" i="4"/>
  <c r="DB5" i="26"/>
  <c r="P5" i="26" s="1"/>
  <c r="O20" i="4"/>
  <c r="UJ5" i="26"/>
  <c r="E14" i="27"/>
  <c r="UG5" i="26"/>
  <c r="O5" i="26"/>
  <c r="Q21" i="4"/>
  <c r="O21" i="4"/>
  <c r="Q20" i="4"/>
  <c r="Q5" i="26" l="1"/>
  <c r="R5" i="26"/>
  <c r="E5" i="26"/>
  <c r="E21" i="4"/>
  <c r="W21" i="4"/>
  <c r="W20" i="4"/>
  <c r="E20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8" i="19"/>
  <c r="CU18" i="19"/>
  <c r="CV18" i="19"/>
  <c r="CW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G23" i="21" l="1"/>
  <c r="F23" i="21"/>
  <c r="G18" i="19"/>
  <c r="F18" i="19"/>
  <c r="DA23" i="21"/>
  <c r="DA18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8" i="19"/>
  <c r="UI18" i="19"/>
  <c r="UH18" i="19"/>
  <c r="CX18" i="19"/>
  <c r="I18" i="19" s="1"/>
  <c r="UE18" i="19"/>
  <c r="UD18" i="19"/>
  <c r="L18" i="19"/>
  <c r="J18" i="19"/>
  <c r="K18" i="19" s="1"/>
  <c r="N18" i="19"/>
  <c r="DC18" i="19" s="1"/>
  <c r="UF18" i="19"/>
  <c r="CT11" i="27"/>
  <c r="CU11" i="27"/>
  <c r="CV11" i="27"/>
  <c r="CW11" i="27"/>
  <c r="CY11" i="27"/>
  <c r="CZ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H18" i="19" l="1"/>
  <c r="H23" i="21"/>
  <c r="M23" i="21"/>
  <c r="G11" i="27"/>
  <c r="F11" i="27"/>
  <c r="M18" i="19"/>
  <c r="P23" i="21"/>
  <c r="DB18" i="19"/>
  <c r="UJ23" i="21"/>
  <c r="UJ18" i="19"/>
  <c r="DA11" i="27"/>
  <c r="UC11" i="27"/>
  <c r="N11" i="27"/>
  <c r="DC11" i="27" s="1"/>
  <c r="O23" i="21"/>
  <c r="UG23" i="21"/>
  <c r="UG18" i="19"/>
  <c r="O18" i="19"/>
  <c r="UE11" i="27"/>
  <c r="UD11" i="27"/>
  <c r="UH11" i="27"/>
  <c r="CX11" i="27"/>
  <c r="I11" i="27" s="1"/>
  <c r="L11" i="27"/>
  <c r="DB11" i="27" s="1"/>
  <c r="UI11" i="27"/>
  <c r="J11" i="27"/>
  <c r="K11" i="27" s="1"/>
  <c r="UF11" i="27"/>
  <c r="H11" i="27" l="1"/>
  <c r="Q23" i="21"/>
  <c r="R23" i="21"/>
  <c r="M11" i="27"/>
  <c r="P11" i="27"/>
  <c r="UJ11" i="27"/>
  <c r="O11" i="27"/>
  <c r="P18" i="19"/>
  <c r="E23" i="21"/>
  <c r="UG11" i="27"/>
  <c r="R18" i="19" l="1"/>
  <c r="Q18" i="19"/>
  <c r="Q11" i="27"/>
  <c r="R11" i="27"/>
  <c r="E18" i="19"/>
  <c r="A23" i="21" a="1"/>
  <c r="A23" i="21" s="1"/>
  <c r="E11" i="27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1" i="23" l="1"/>
  <c r="F11" i="23"/>
  <c r="I11" i="23"/>
  <c r="F8" i="24"/>
  <c r="I8" i="24"/>
  <c r="CO8" i="24"/>
  <c r="CS8" i="24" s="1"/>
  <c r="G8" i="24"/>
  <c r="CO11" i="23"/>
  <c r="CS11" i="23" s="1"/>
  <c r="J11" i="23"/>
  <c r="K11" i="23" s="1"/>
  <c r="XD11" i="23"/>
  <c r="XK11" i="23"/>
  <c r="L11" i="23"/>
  <c r="XG11" i="23"/>
  <c r="XD8" i="24"/>
  <c r="L8" i="24"/>
  <c r="XK8" i="24"/>
  <c r="XG8" i="24"/>
  <c r="J8" i="24"/>
  <c r="K8" i="24" s="1"/>
  <c r="H11" i="23" l="1"/>
  <c r="H8" i="24"/>
  <c r="CT8" i="24"/>
  <c r="CU8" i="24"/>
  <c r="CU11" i="23"/>
  <c r="CT11" i="23"/>
  <c r="XH11" i="23"/>
  <c r="XL11" i="23" s="1"/>
  <c r="M11" i="23"/>
  <c r="XH8" i="24"/>
  <c r="XL8" i="24" s="1"/>
  <c r="M8" i="24"/>
  <c r="N8" i="24" l="1"/>
  <c r="O8" i="24" s="1"/>
  <c r="N11" i="23"/>
  <c r="P11" i="23" s="1"/>
  <c r="P8" i="24" l="1"/>
  <c r="E8" i="24"/>
  <c r="E11" i="23"/>
  <c r="O11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6" i="19"/>
  <c r="CU6" i="19"/>
  <c r="CV6" i="19"/>
  <c r="CW6" i="19"/>
  <c r="CY6" i="19"/>
  <c r="CZ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2" i="19"/>
  <c r="CU12" i="19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20" i="19"/>
  <c r="CU20" i="19"/>
  <c r="CV20" i="19"/>
  <c r="CW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0" i="19"/>
  <c r="G12" i="19"/>
  <c r="G6" i="19"/>
  <c r="F20" i="19"/>
  <c r="F12" i="19"/>
  <c r="F6" i="19"/>
  <c r="G16" i="27"/>
  <c r="F16" i="27"/>
  <c r="G13" i="26"/>
  <c r="F13" i="26"/>
  <c r="N7" i="23"/>
  <c r="P7" i="23" s="1"/>
  <c r="DA9" i="21"/>
  <c r="DA20" i="19"/>
  <c r="DA6" i="19"/>
  <c r="DA12" i="19"/>
  <c r="DA16" i="27"/>
  <c r="DA4" i="26"/>
  <c r="DA13" i="26"/>
  <c r="UH6" i="19"/>
  <c r="UC4" i="26"/>
  <c r="UH4" i="26"/>
  <c r="UH12" i="19"/>
  <c r="UC12" i="19"/>
  <c r="CX6" i="19"/>
  <c r="I6" i="19" s="1"/>
  <c r="N16" i="27"/>
  <c r="DC16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6" i="19"/>
  <c r="UI6" i="19"/>
  <c r="UE6" i="19"/>
  <c r="L6" i="19"/>
  <c r="UD6" i="19"/>
  <c r="J6" i="19"/>
  <c r="K6" i="19" s="1"/>
  <c r="N6" i="19"/>
  <c r="DC6" i="19" s="1"/>
  <c r="UF6" i="19"/>
  <c r="UE12" i="19"/>
  <c r="UD12" i="19"/>
  <c r="CX12" i="19"/>
  <c r="I12" i="19" s="1"/>
  <c r="L12" i="19"/>
  <c r="DB12" i="19" s="1"/>
  <c r="N12" i="19"/>
  <c r="UI12" i="19"/>
  <c r="J12" i="19"/>
  <c r="K12" i="19" s="1"/>
  <c r="UF12" i="19"/>
  <c r="UC20" i="19"/>
  <c r="UE20" i="19"/>
  <c r="UD20" i="19"/>
  <c r="N20" i="19"/>
  <c r="UH20" i="19"/>
  <c r="CX20" i="19"/>
  <c r="I20" i="19" s="1"/>
  <c r="L20" i="19"/>
  <c r="UI20" i="19"/>
  <c r="J20" i="19"/>
  <c r="K20" i="19" s="1"/>
  <c r="UF20" i="19"/>
  <c r="UH16" i="27"/>
  <c r="UC16" i="27"/>
  <c r="UD16" i="27"/>
  <c r="UE16" i="27"/>
  <c r="CX16" i="27"/>
  <c r="I16" i="27" s="1"/>
  <c r="L16" i="27"/>
  <c r="DB16" i="27" s="1"/>
  <c r="UI16" i="27"/>
  <c r="J16" i="27"/>
  <c r="K16" i="27" s="1"/>
  <c r="UF16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6" i="27" l="1"/>
  <c r="H12" i="19"/>
  <c r="H20" i="19"/>
  <c r="H6" i="19"/>
  <c r="H13" i="26"/>
  <c r="H9" i="21"/>
  <c r="M20" i="19"/>
  <c r="E7" i="23"/>
  <c r="M9" i="21"/>
  <c r="M16" i="27"/>
  <c r="M6" i="19"/>
  <c r="M12" i="19"/>
  <c r="O7" i="23"/>
  <c r="DB9" i="21"/>
  <c r="P9" i="21" s="1"/>
  <c r="O12" i="19"/>
  <c r="DC12" i="19"/>
  <c r="P12" i="19" s="1"/>
  <c r="DB6" i="19"/>
  <c r="O20" i="19"/>
  <c r="DC20" i="19"/>
  <c r="DB20" i="19"/>
  <c r="DB13" i="26"/>
  <c r="O13" i="26"/>
  <c r="DC13" i="26"/>
  <c r="UJ20" i="19"/>
  <c r="UJ13" i="26"/>
  <c r="UJ9" i="21"/>
  <c r="UJ6" i="19"/>
  <c r="UJ12" i="19"/>
  <c r="UJ16" i="27"/>
  <c r="UJ4" i="26"/>
  <c r="UG6" i="19"/>
  <c r="UG16" i="27"/>
  <c r="UG12" i="19"/>
  <c r="UG9" i="21"/>
  <c r="UG20" i="19"/>
  <c r="O16" i="27"/>
  <c r="O9" i="21"/>
  <c r="O6" i="19"/>
  <c r="P16" i="27"/>
  <c r="UG13" i="26"/>
  <c r="K13" i="26"/>
  <c r="M13" i="26" s="1"/>
  <c r="UG4" i="26"/>
  <c r="R9" i="21" l="1"/>
  <c r="Q9" i="21"/>
  <c r="Q12" i="19"/>
  <c r="R12" i="19"/>
  <c r="Q16" i="27"/>
  <c r="R16" i="27"/>
  <c r="P6" i="19"/>
  <c r="P13" i="26"/>
  <c r="E9" i="21"/>
  <c r="E12" i="19"/>
  <c r="P20" i="19"/>
  <c r="E16" i="27"/>
  <c r="Q20" i="19" l="1"/>
  <c r="R20" i="19"/>
  <c r="R6" i="19"/>
  <c r="Q6" i="19"/>
  <c r="R13" i="26"/>
  <c r="Q13" i="26"/>
  <c r="E6" i="19"/>
  <c r="A20" i="19" a="1"/>
  <c r="A20" i="19" s="1"/>
  <c r="A13" i="26" a="1"/>
  <c r="A13" i="26" s="1"/>
  <c r="E13" i="26"/>
  <c r="E20" i="19"/>
  <c r="CQ13" i="22" l="1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G13" i="22"/>
  <c r="F13" i="22"/>
  <c r="I13" i="22"/>
  <c r="R13" i="22"/>
  <c r="S13" i="22" s="1"/>
  <c r="CW13" i="22"/>
  <c r="DA13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Q13" i="22"/>
  <c r="DC13" i="22"/>
  <c r="XP13" i="22"/>
  <c r="XT13" i="22" s="1"/>
  <c r="O13" i="22"/>
  <c r="V13" i="22" l="1"/>
  <c r="X13" i="22" s="1"/>
  <c r="E13" i="22" l="1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8" i="4" l="1"/>
  <c r="U8" i="4" s="1"/>
  <c r="F5" i="27"/>
  <c r="F9" i="27"/>
  <c r="G5" i="27"/>
  <c r="F7" i="27"/>
  <c r="F6" i="27"/>
  <c r="G9" i="27"/>
  <c r="G7" i="27"/>
  <c r="G6" i="27"/>
  <c r="G8" i="4"/>
  <c r="I8" i="4"/>
  <c r="F8" i="4"/>
  <c r="F7" i="26"/>
  <c r="F10" i="26"/>
  <c r="F8" i="26"/>
  <c r="G7" i="26"/>
  <c r="G10" i="26"/>
  <c r="G8" i="26"/>
  <c r="R8" i="4"/>
  <c r="S8" i="4" s="1"/>
  <c r="DA9" i="27"/>
  <c r="DA5" i="27"/>
  <c r="DA7" i="27"/>
  <c r="DA6" i="27"/>
  <c r="DA7" i="26"/>
  <c r="DA10" i="26"/>
  <c r="DA8" i="26"/>
  <c r="N7" i="26"/>
  <c r="CW8" i="4"/>
  <c r="DA8" i="4" s="1"/>
  <c r="J8" i="4"/>
  <c r="K8" i="4" s="1"/>
  <c r="UF9" i="27"/>
  <c r="UH9" i="27"/>
  <c r="CX9" i="27"/>
  <c r="I9" i="27" s="1"/>
  <c r="N8" i="4"/>
  <c r="DB8" i="4" s="1"/>
  <c r="P8" i="4"/>
  <c r="DC8" i="4" s="1"/>
  <c r="L8" i="4"/>
  <c r="M8" i="4" s="1"/>
  <c r="UC8" i="26"/>
  <c r="N9" i="27"/>
  <c r="N6" i="27"/>
  <c r="UE9" i="27"/>
  <c r="UE8" i="26"/>
  <c r="UC10" i="26"/>
  <c r="CX10" i="26"/>
  <c r="I10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5" i="27"/>
  <c r="I5" i="27" s="1"/>
  <c r="UD7" i="27"/>
  <c r="L7" i="27"/>
  <c r="DB7" i="27" s="1"/>
  <c r="UF7" i="27"/>
  <c r="UF6" i="27"/>
  <c r="CX7" i="27"/>
  <c r="I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9" i="27"/>
  <c r="H5" i="27"/>
  <c r="H7" i="26"/>
  <c r="H10" i="26"/>
  <c r="H6" i="27"/>
  <c r="M5" i="27"/>
  <c r="M7" i="27"/>
  <c r="H8" i="4"/>
  <c r="M6" i="27"/>
  <c r="O7" i="27"/>
  <c r="DC7" i="27"/>
  <c r="DB6" i="27"/>
  <c r="O6" i="27"/>
  <c r="DC6" i="27"/>
  <c r="O9" i="27"/>
  <c r="DC9" i="27"/>
  <c r="O5" i="27"/>
  <c r="DC5" i="27"/>
  <c r="DB8" i="26"/>
  <c r="O8" i="26"/>
  <c r="DC8" i="26"/>
  <c r="O7" i="26"/>
  <c r="DC7" i="26"/>
  <c r="O10" i="26"/>
  <c r="DC10" i="26"/>
  <c r="UJ7" i="27"/>
  <c r="UJ5" i="27"/>
  <c r="UJ6" i="27"/>
  <c r="UJ9" i="27"/>
  <c r="UJ8" i="26"/>
  <c r="UJ7" i="26"/>
  <c r="UJ10" i="26"/>
  <c r="V8" i="4"/>
  <c r="X8" i="4" s="1"/>
  <c r="O8" i="4"/>
  <c r="Q8" i="4"/>
  <c r="UG8" i="26"/>
  <c r="UG6" i="27"/>
  <c r="UG7" i="26"/>
  <c r="UG9" i="27"/>
  <c r="UG5" i="27"/>
  <c r="UG10" i="26"/>
  <c r="UG7" i="27"/>
  <c r="K9" i="27"/>
  <c r="M9" i="27" s="1"/>
  <c r="K10" i="26"/>
  <c r="M10" i="26" s="1"/>
  <c r="K8" i="26"/>
  <c r="M8" i="26" s="1"/>
  <c r="K7" i="26"/>
  <c r="M7" i="26" s="1"/>
  <c r="P7" i="26" l="1"/>
  <c r="P6" i="27"/>
  <c r="E8" i="4"/>
  <c r="P9" i="27"/>
  <c r="W8" i="4"/>
  <c r="P8" i="26"/>
  <c r="P5" i="27"/>
  <c r="P7" i="27"/>
  <c r="P10" i="26"/>
  <c r="R7" i="27" l="1"/>
  <c r="Q7" i="27"/>
  <c r="Q9" i="27"/>
  <c r="R9" i="27"/>
  <c r="Q5" i="27"/>
  <c r="R5" i="27"/>
  <c r="Q6" i="27"/>
  <c r="R6" i="27"/>
  <c r="Q8" i="26"/>
  <c r="R8" i="26"/>
  <c r="R10" i="26"/>
  <c r="Q10" i="26"/>
  <c r="Q7" i="26"/>
  <c r="R7" i="26"/>
  <c r="E9" i="27"/>
  <c r="E6" i="27"/>
  <c r="E7" i="26"/>
  <c r="E8" i="26"/>
  <c r="E7" i="27"/>
  <c r="E5" i="27"/>
  <c r="A10" i="27" s="1" a="1"/>
  <c r="A10" i="27" s="1"/>
  <c r="E10" i="26"/>
  <c r="A17" i="27" l="1" a="1"/>
  <c r="A17" i="27" s="1"/>
  <c r="A11" i="27" a="1"/>
  <c r="A11" i="27" s="1"/>
  <c r="A4" i="27" a="1"/>
  <c r="A4" i="27" s="1"/>
  <c r="A8" i="27" a="1"/>
  <c r="A8" i="27" s="1"/>
  <c r="A13" i="27" a="1"/>
  <c r="A13" i="27" s="1"/>
  <c r="A16" i="27" a="1"/>
  <c r="A16" i="27" s="1"/>
  <c r="A7" i="27" a="1"/>
  <c r="A7" i="27" s="1"/>
  <c r="A6" i="27" a="1"/>
  <c r="A6" i="27" s="1"/>
  <c r="A5" i="27" a="1"/>
  <c r="A5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8" i="19" l="1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G28" i="19" l="1"/>
  <c r="F28" i="19"/>
  <c r="DA28" i="19"/>
  <c r="UH28" i="19"/>
  <c r="UC28" i="19"/>
  <c r="N28" i="19"/>
  <c r="DC28" i="19" s="1"/>
  <c r="CX28" i="19"/>
  <c r="I28" i="19" s="1"/>
  <c r="UE28" i="19"/>
  <c r="UD28" i="19"/>
  <c r="UI28" i="19"/>
  <c r="L28" i="19"/>
  <c r="DB28" i="19" s="1"/>
  <c r="J28" i="19"/>
  <c r="UF28" i="19"/>
  <c r="H28" i="19" l="1"/>
  <c r="UJ28" i="19"/>
  <c r="O28" i="19"/>
  <c r="UG28" i="19"/>
  <c r="K28" i="19"/>
  <c r="M28" i="19" s="1"/>
  <c r="A28" i="19" l="1" a="1"/>
  <c r="A28" i="19" s="1"/>
  <c r="P28" i="19"/>
  <c r="Q28" i="19" l="1"/>
  <c r="R28" i="19"/>
  <c r="E28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8" i="22" l="1"/>
  <c r="U8" i="22" s="1"/>
  <c r="T11" i="22"/>
  <c r="U11" i="22" s="1"/>
  <c r="T14" i="22"/>
  <c r="U14" i="22" s="1"/>
  <c r="G14" i="22"/>
  <c r="G10" i="24"/>
  <c r="F10" i="24"/>
  <c r="I10" i="24"/>
  <c r="I11" i="22"/>
  <c r="F11" i="22"/>
  <c r="G8" i="22"/>
  <c r="I8" i="22"/>
  <c r="F8" i="22"/>
  <c r="I14" i="22"/>
  <c r="F14" i="22"/>
  <c r="G11" i="22"/>
  <c r="R11" i="22"/>
  <c r="S11" i="22" s="1"/>
  <c r="R14" i="22"/>
  <c r="S14" i="22" s="1"/>
  <c r="R8" i="22"/>
  <c r="S8" i="22" s="1"/>
  <c r="L10" i="24"/>
  <c r="CW8" i="22"/>
  <c r="DA8" i="22" s="1"/>
  <c r="CW11" i="22"/>
  <c r="DA11" i="22" s="1"/>
  <c r="CO10" i="24"/>
  <c r="CS10" i="24" s="1"/>
  <c r="XG10" i="24"/>
  <c r="XD10" i="24"/>
  <c r="XK10" i="24"/>
  <c r="J10" i="24"/>
  <c r="J8" i="22"/>
  <c r="K8" i="22" s="1"/>
  <c r="XS8" i="22"/>
  <c r="XO8" i="22"/>
  <c r="XL8" i="22"/>
  <c r="L8" i="22"/>
  <c r="M8" i="22" s="1"/>
  <c r="P8" i="22"/>
  <c r="DC8" i="22" s="1"/>
  <c r="N8" i="22"/>
  <c r="CW14" i="22"/>
  <c r="DA14" i="22" s="1"/>
  <c r="J11" i="22"/>
  <c r="K11" i="22" s="1"/>
  <c r="XO11" i="22"/>
  <c r="XL11" i="22"/>
  <c r="XS11" i="22"/>
  <c r="L11" i="22"/>
  <c r="M11" i="22" s="1"/>
  <c r="P11" i="22"/>
  <c r="DC11" i="22" s="1"/>
  <c r="N11" i="22"/>
  <c r="DB11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8" i="22"/>
  <c r="H10" i="24"/>
  <c r="H8" i="22"/>
  <c r="H11" i="22"/>
  <c r="CT10" i="24"/>
  <c r="CU10" i="24"/>
  <c r="M10" i="24"/>
  <c r="XP8" i="22"/>
  <c r="XT8" i="22" s="1"/>
  <c r="XP11" i="22"/>
  <c r="XT11" i="22" s="1"/>
  <c r="XH10" i="24"/>
  <c r="XL10" i="24" s="1"/>
  <c r="K10" i="24"/>
  <c r="O8" i="22"/>
  <c r="Q8" i="22"/>
  <c r="XP14" i="22"/>
  <c r="XT14" i="22" s="1"/>
  <c r="Q11" i="22"/>
  <c r="O11" i="22"/>
  <c r="O14" i="22"/>
  <c r="Q14" i="22"/>
  <c r="N10" i="24" l="1"/>
  <c r="P10" i="24" s="1"/>
  <c r="V8" i="22"/>
  <c r="X8" i="22" s="1"/>
  <c r="V11" i="22"/>
  <c r="X11" i="22" s="1"/>
  <c r="V14" i="22"/>
  <c r="X14" i="22" s="1"/>
  <c r="W14" i="22" l="1"/>
  <c r="W11" i="22"/>
  <c r="W8" i="22"/>
  <c r="E10" i="24"/>
  <c r="O10" i="24"/>
  <c r="E8" i="22"/>
  <c r="E11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0" i="23" l="1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U4" i="22" s="1"/>
  <c r="T7" i="22"/>
  <c r="T9" i="22"/>
  <c r="U9" i="22" s="1"/>
  <c r="T6" i="22"/>
  <c r="U6" i="22" s="1"/>
  <c r="T12" i="22"/>
  <c r="T5" i="22"/>
  <c r="U5" i="22" s="1"/>
  <c r="G5" i="22"/>
  <c r="G4" i="22"/>
  <c r="G10" i="23"/>
  <c r="F10" i="23"/>
  <c r="I10" i="23"/>
  <c r="F6" i="22"/>
  <c r="I6" i="22"/>
  <c r="F5" i="22"/>
  <c r="I5" i="22"/>
  <c r="I4" i="22"/>
  <c r="F4" i="22"/>
  <c r="F9" i="22"/>
  <c r="I9" i="22"/>
  <c r="I7" i="22"/>
  <c r="F7" i="22"/>
  <c r="G9" i="22"/>
  <c r="G7" i="22"/>
  <c r="F12" i="22"/>
  <c r="I12" i="22"/>
  <c r="G6" i="22"/>
  <c r="G12" i="22"/>
  <c r="R9" i="22"/>
  <c r="S9" i="22" s="1"/>
  <c r="R7" i="22"/>
  <c r="S7" i="22" s="1"/>
  <c r="U7" i="22"/>
  <c r="R5" i="22"/>
  <c r="S5" i="22" s="1"/>
  <c r="R4" i="22"/>
  <c r="S4" i="22" s="1"/>
  <c r="R12" i="22"/>
  <c r="S12" i="22" s="1"/>
  <c r="U12" i="22"/>
  <c r="R6" i="22"/>
  <c r="S6" i="22" s="1"/>
  <c r="L10" i="23"/>
  <c r="CO10" i="23"/>
  <c r="CS10" i="23" s="1"/>
  <c r="P4" i="22"/>
  <c r="DC4" i="22" s="1"/>
  <c r="XK10" i="23"/>
  <c r="XG10" i="23"/>
  <c r="XD10" i="23"/>
  <c r="J10" i="23"/>
  <c r="K10" i="23" s="1"/>
  <c r="P9" i="22"/>
  <c r="DC9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7" i="22"/>
  <c r="DC7" i="22" s="1"/>
  <c r="L5" i="22"/>
  <c r="M5" i="22" s="1"/>
  <c r="J4" i="22"/>
  <c r="K4" i="22" s="1"/>
  <c r="XS9" i="22"/>
  <c r="XO12" i="22"/>
  <c r="XL7" i="22"/>
  <c r="N5" i="22"/>
  <c r="DB5" i="22" s="1"/>
  <c r="XO5" i="22"/>
  <c r="CW6" i="22"/>
  <c r="DA6" i="22" s="1"/>
  <c r="N4" i="22"/>
  <c r="XO7" i="22"/>
  <c r="P5" i="22"/>
  <c r="DC5" i="22" s="1"/>
  <c r="CW9" i="22"/>
  <c r="DA9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9" i="22"/>
  <c r="L4" i="22"/>
  <c r="N7" i="22"/>
  <c r="L7" i="22"/>
  <c r="H10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9" i="22"/>
  <c r="H12" i="22"/>
  <c r="H7" i="22"/>
  <c r="CU10" i="23"/>
  <c r="CT10" i="23"/>
  <c r="M10" i="23"/>
  <c r="Q6" i="22"/>
  <c r="Q9" i="22"/>
  <c r="XP9" i="22"/>
  <c r="XT9" i="22" s="1"/>
  <c r="Q4" i="22"/>
  <c r="XP5" i="22"/>
  <c r="XT5" i="22" s="1"/>
  <c r="Q7" i="22"/>
  <c r="Q12" i="22"/>
  <c r="O9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0" i="23"/>
  <c r="XL10" i="23" s="1"/>
  <c r="XP6" i="22"/>
  <c r="XT6" i="22" s="1"/>
  <c r="K9" i="22"/>
  <c r="M4" i="22"/>
  <c r="K6" i="22"/>
  <c r="K12" i="22"/>
  <c r="M6" i="22"/>
  <c r="M7" i="22"/>
  <c r="K7" i="22"/>
  <c r="N10" i="23" l="1"/>
  <c r="P10" i="23" s="1"/>
  <c r="V9" i="22"/>
  <c r="X9" i="22" s="1"/>
  <c r="V6" i="22"/>
  <c r="X6" i="22" s="1"/>
  <c r="V5" i="22"/>
  <c r="X5" i="22" s="1"/>
  <c r="E4" i="22"/>
  <c r="E12" i="22"/>
  <c r="E7" i="22"/>
  <c r="W12" i="22"/>
  <c r="W7" i="22"/>
  <c r="W4" i="22"/>
  <c r="O10" i="23" l="1"/>
  <c r="E10" i="23"/>
  <c r="W9" i="22"/>
  <c r="E9" i="22"/>
  <c r="W6" i="22"/>
  <c r="E5" i="22"/>
  <c r="W5" i="22"/>
  <c r="E6" i="22"/>
  <c r="A10" i="23" l="1" a="1"/>
  <c r="A10" i="23" s="1"/>
  <c r="A12" i="23" a="1"/>
  <c r="A12" i="23" s="1"/>
  <c r="A15" i="23" a="1"/>
  <c r="A15" i="23" s="1"/>
  <c r="A5" i="23" a="1"/>
  <c r="A5" i="23" s="1"/>
  <c r="A14" i="23" a="1"/>
  <c r="A14" i="23" s="1"/>
  <c r="A7" i="23" a="1"/>
  <c r="A7" i="23" s="1"/>
  <c r="A4" i="23" a="1"/>
  <c r="A4" i="23" s="1"/>
  <c r="A13" i="23" a="1"/>
  <c r="A13" i="23" s="1"/>
  <c r="A10" i="22" a="1"/>
  <c r="A10" i="22" s="1"/>
  <c r="A8" i="22" a="1"/>
  <c r="A8" i="22" s="1"/>
  <c r="A12" i="22" a="1"/>
  <c r="A12" i="22" s="1"/>
  <c r="A10" i="24" a="1"/>
  <c r="A10" i="24" s="1"/>
  <c r="A11" i="23" a="1"/>
  <c r="A11" i="23" s="1"/>
  <c r="A5" i="22" a="1"/>
  <c r="A5" i="22" s="1"/>
  <c r="A6" i="22" a="1"/>
  <c r="A6" i="22" s="1"/>
  <c r="A9" i="22" a="1"/>
  <c r="A9" i="22" s="1"/>
  <c r="A11" i="22" a="1"/>
  <c r="A11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6" i="19"/>
  <c r="CW11" i="19"/>
  <c r="CW15" i="19"/>
  <c r="CW29" i="19"/>
  <c r="CW8" i="19"/>
  <c r="CW13" i="19"/>
  <c r="CW4" i="19"/>
  <c r="CW5" i="19"/>
  <c r="CV5" i="19"/>
  <c r="CV4" i="19"/>
  <c r="CV13" i="19"/>
  <c r="CV8" i="19"/>
  <c r="CV29" i="19"/>
  <c r="CV15" i="19"/>
  <c r="CV11" i="19"/>
  <c r="CV16" i="19"/>
  <c r="CT29" i="19"/>
  <c r="CU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5" i="19"/>
  <c r="CU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4" i="21"/>
  <c r="F10" i="21"/>
  <c r="F6" i="21"/>
  <c r="G10" i="21"/>
  <c r="G6" i="21"/>
  <c r="G13" i="21"/>
  <c r="G16" i="19"/>
  <c r="F16" i="19"/>
  <c r="F13" i="19"/>
  <c r="F5" i="19"/>
  <c r="G13" i="19"/>
  <c r="G5" i="19"/>
  <c r="G11" i="19"/>
  <c r="G29" i="19"/>
  <c r="F11" i="19"/>
  <c r="F29" i="19"/>
  <c r="F8" i="19"/>
  <c r="G8" i="19"/>
  <c r="G15" i="19"/>
  <c r="F15" i="19"/>
  <c r="DA25" i="21"/>
  <c r="DA10" i="21"/>
  <c r="DA13" i="21"/>
  <c r="DA11" i="21"/>
  <c r="DA14" i="21"/>
  <c r="DA4" i="21"/>
  <c r="DA6" i="21"/>
  <c r="DA13" i="19"/>
  <c r="DA5" i="19"/>
  <c r="DA16" i="19"/>
  <c r="DA11" i="19"/>
  <c r="DA15" i="19"/>
  <c r="DA8" i="19"/>
  <c r="DA4" i="19"/>
  <c r="DA29" i="19"/>
  <c r="CX8" i="19"/>
  <c r="I8" i="19" s="1"/>
  <c r="CX29" i="19"/>
  <c r="I29" i="19" s="1"/>
  <c r="CX11" i="19"/>
  <c r="I11" i="19" s="1"/>
  <c r="CX4" i="19"/>
  <c r="N6" i="21"/>
  <c r="DC6" i="21" s="1"/>
  <c r="CX6" i="21"/>
  <c r="I6" i="21" s="1"/>
  <c r="UE10" i="21"/>
  <c r="UC25" i="21"/>
  <c r="UH25" i="21"/>
  <c r="N4" i="21"/>
  <c r="DC4" i="21" s="1"/>
  <c r="UF14" i="21"/>
  <c r="L6" i="21"/>
  <c r="DB6" i="21" s="1"/>
  <c r="N14" i="21"/>
  <c r="DC14" i="21" s="1"/>
  <c r="UC4" i="21"/>
  <c r="UF10" i="21"/>
  <c r="CX16" i="19"/>
  <c r="I16" i="19" s="1"/>
  <c r="CX13" i="19"/>
  <c r="I13" i="19" s="1"/>
  <c r="UC13" i="21"/>
  <c r="N11" i="21"/>
  <c r="DC11" i="21" s="1"/>
  <c r="CX11" i="21"/>
  <c r="I11" i="21" s="1"/>
  <c r="CX25" i="21"/>
  <c r="I25" i="21" s="1"/>
  <c r="UF6" i="21"/>
  <c r="UH14" i="21"/>
  <c r="CX4" i="21"/>
  <c r="I4" i="21" s="1"/>
  <c r="UD14" i="21"/>
  <c r="UE14" i="21"/>
  <c r="UI14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4" i="21"/>
  <c r="I14" i="21" s="1"/>
  <c r="UH13" i="21"/>
  <c r="UE11" i="21"/>
  <c r="UE6" i="21"/>
  <c r="UD4" i="21"/>
  <c r="UE4" i="21"/>
  <c r="CX13" i="21"/>
  <c r="I13" i="21" s="1"/>
  <c r="UI11" i="21"/>
  <c r="UF5" i="19"/>
  <c r="UF8" i="19"/>
  <c r="CX15" i="19"/>
  <c r="I15" i="19" s="1"/>
  <c r="UF29" i="19"/>
  <c r="UF4" i="19"/>
  <c r="UF16" i="19"/>
  <c r="UF11" i="19"/>
  <c r="UF13" i="19"/>
  <c r="UF15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4" i="21"/>
  <c r="L14" i="21"/>
  <c r="DB14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4" i="21"/>
  <c r="J6" i="21"/>
  <c r="J5" i="19"/>
  <c r="UH11" i="19"/>
  <c r="UE11" i="19"/>
  <c r="J16" i="19"/>
  <c r="K16" i="19" s="1"/>
  <c r="UC11" i="19"/>
  <c r="N15" i="19"/>
  <c r="DC15" i="19" s="1"/>
  <c r="UD15" i="19"/>
  <c r="UH16" i="19"/>
  <c r="N11" i="19"/>
  <c r="DC11" i="19" s="1"/>
  <c r="UE15" i="19"/>
  <c r="UD11" i="19"/>
  <c r="N29" i="19"/>
  <c r="DC29" i="19" s="1"/>
  <c r="UI16" i="19"/>
  <c r="UE16" i="19"/>
  <c r="UD16" i="19"/>
  <c r="UI11" i="19"/>
  <c r="J11" i="19"/>
  <c r="N16" i="19"/>
  <c r="DC16" i="19" s="1"/>
  <c r="UH15" i="19"/>
  <c r="UC15" i="19"/>
  <c r="UC16" i="19"/>
  <c r="UI15" i="19"/>
  <c r="UE29" i="19"/>
  <c r="UD29" i="19"/>
  <c r="UH29" i="19"/>
  <c r="UC29" i="19"/>
  <c r="L29" i="19"/>
  <c r="DB29" i="19" s="1"/>
  <c r="L15" i="19"/>
  <c r="DB15" i="19" s="1"/>
  <c r="J29" i="19"/>
  <c r="UI29" i="19"/>
  <c r="L11" i="19"/>
  <c r="DB11" i="19" s="1"/>
  <c r="J15" i="19"/>
  <c r="L16" i="19"/>
  <c r="DB16" i="19" s="1"/>
  <c r="UI8" i="19"/>
  <c r="UH8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8" i="19"/>
  <c r="DB8" i="19" s="1"/>
  <c r="UD4" i="19"/>
  <c r="UE4" i="19"/>
  <c r="UH13" i="19"/>
  <c r="N8" i="19"/>
  <c r="DC8" i="19" s="1"/>
  <c r="UC5" i="19"/>
  <c r="J8" i="19"/>
  <c r="UC8" i="19"/>
  <c r="UD5" i="19"/>
  <c r="UE5" i="19"/>
  <c r="J13" i="19"/>
  <c r="UD8" i="19"/>
  <c r="UE8" i="19"/>
  <c r="UE13" i="19"/>
  <c r="UH4" i="19"/>
  <c r="L13" i="19"/>
  <c r="DB13" i="19" s="1"/>
  <c r="H15" i="19" l="1"/>
  <c r="H16" i="19"/>
  <c r="H8" i="19"/>
  <c r="H13" i="19"/>
  <c r="H29" i="19"/>
  <c r="H11" i="19"/>
  <c r="H5" i="19"/>
  <c r="H14" i="21"/>
  <c r="H4" i="21"/>
  <c r="H13" i="21"/>
  <c r="H25" i="21"/>
  <c r="H6" i="21"/>
  <c r="H10" i="21"/>
  <c r="H11" i="21"/>
  <c r="M16" i="19"/>
  <c r="UJ6" i="21"/>
  <c r="UJ25" i="21"/>
  <c r="UJ8" i="19"/>
  <c r="UJ16" i="19"/>
  <c r="UJ4" i="21"/>
  <c r="UJ14" i="21"/>
  <c r="UJ13" i="21"/>
  <c r="UJ10" i="21"/>
  <c r="UJ11" i="21"/>
  <c r="UJ15" i="19"/>
  <c r="UJ5" i="19"/>
  <c r="UJ29" i="19"/>
  <c r="UJ13" i="19"/>
  <c r="UJ4" i="19"/>
  <c r="UJ11" i="19"/>
  <c r="K11" i="21"/>
  <c r="M11" i="21" s="1"/>
  <c r="P29" i="19"/>
  <c r="O11" i="21"/>
  <c r="O4" i="21"/>
  <c r="O6" i="21"/>
  <c r="P13" i="21"/>
  <c r="P14" i="21"/>
  <c r="O10" i="21"/>
  <c r="P11" i="21"/>
  <c r="O13" i="19"/>
  <c r="O11" i="19"/>
  <c r="O16" i="19"/>
  <c r="O15" i="19"/>
  <c r="O8" i="19"/>
  <c r="UG11" i="21"/>
  <c r="UG14" i="21"/>
  <c r="UG16" i="19"/>
  <c r="UG8" i="19"/>
  <c r="UG4" i="21"/>
  <c r="O14" i="21"/>
  <c r="K25" i="21"/>
  <c r="M25" i="21" s="1"/>
  <c r="K13" i="21"/>
  <c r="M13" i="21" s="1"/>
  <c r="K14" i="21"/>
  <c r="M14" i="21" s="1"/>
  <c r="K8" i="19"/>
  <c r="M8" i="19" s="1"/>
  <c r="K13" i="19"/>
  <c r="M13" i="19" s="1"/>
  <c r="K11" i="19"/>
  <c r="M11" i="19" s="1"/>
  <c r="UG13" i="21"/>
  <c r="UG29" i="19"/>
  <c r="UG4" i="19"/>
  <c r="UG13" i="19"/>
  <c r="UG15" i="19"/>
  <c r="UG5" i="19"/>
  <c r="UG11" i="19"/>
  <c r="K4" i="21"/>
  <c r="M4" i="21" s="1"/>
  <c r="UG25" i="21"/>
  <c r="UG6" i="21"/>
  <c r="K10" i="21"/>
  <c r="M10" i="21" s="1"/>
  <c r="O13" i="21"/>
  <c r="UG10" i="21"/>
  <c r="O25" i="21"/>
  <c r="K6" i="21"/>
  <c r="M6" i="21" s="1"/>
  <c r="O29" i="19"/>
  <c r="K29" i="19"/>
  <c r="M29" i="19" s="1"/>
  <c r="K15" i="19"/>
  <c r="M15" i="19" s="1"/>
  <c r="O5" i="19"/>
  <c r="K5" i="19"/>
  <c r="M5" i="19" s="1"/>
  <c r="R11" i="21" l="1"/>
  <c r="Q11" i="21"/>
  <c r="Q14" i="21"/>
  <c r="R14" i="21"/>
  <c r="Q13" i="21"/>
  <c r="R13" i="21"/>
  <c r="Q29" i="19"/>
  <c r="R29" i="19"/>
  <c r="E11" i="21"/>
  <c r="E14" i="21"/>
  <c r="E13" i="21"/>
  <c r="P25" i="21"/>
  <c r="P6" i="21"/>
  <c r="P5" i="19"/>
  <c r="P10" i="21"/>
  <c r="P4" i="21"/>
  <c r="E29" i="19"/>
  <c r="P15" i="19"/>
  <c r="P11" i="19"/>
  <c r="P16" i="19"/>
  <c r="P13" i="19"/>
  <c r="P8" i="19"/>
  <c r="Q25" i="21" l="1"/>
  <c r="R25" i="21"/>
  <c r="Q10" i="21"/>
  <c r="R10" i="21"/>
  <c r="Q6" i="21"/>
  <c r="R6" i="21"/>
  <c r="R4" i="21"/>
  <c r="Q4" i="21"/>
  <c r="Q15" i="19"/>
  <c r="R15" i="19"/>
  <c r="Q5" i="19"/>
  <c r="R5" i="19"/>
  <c r="Q8" i="19"/>
  <c r="R8" i="19"/>
  <c r="Q13" i="19"/>
  <c r="R13" i="19"/>
  <c r="Q16" i="19"/>
  <c r="R16" i="19"/>
  <c r="Q11" i="19"/>
  <c r="R11" i="19"/>
  <c r="E4" i="21"/>
  <c r="E11" i="19"/>
  <c r="E8" i="19"/>
  <c r="E6" i="21"/>
  <c r="E25" i="21"/>
  <c r="E10" i="21"/>
  <c r="E5" i="19"/>
  <c r="E15" i="19"/>
  <c r="E13" i="19"/>
  <c r="E16" i="19"/>
  <c r="A15" i="21" l="1" a="1"/>
  <c r="A15" i="21" s="1"/>
  <c r="A14" i="21" a="1"/>
  <c r="A14" i="21" s="1"/>
  <c r="A16" i="21" a="1"/>
  <c r="A16" i="21" s="1"/>
  <c r="A12" i="21" a="1"/>
  <c r="A12" i="21" s="1"/>
  <c r="A8" i="21" a="1"/>
  <c r="A8" i="21" s="1"/>
  <c r="A7" i="21" a="1"/>
  <c r="A7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23" i="4"/>
  <c r="CY4" i="4"/>
  <c r="CY11" i="4"/>
  <c r="CY22" i="4"/>
  <c r="CY10" i="4"/>
  <c r="CY24" i="4"/>
  <c r="CY6" i="4"/>
  <c r="CY14" i="4"/>
  <c r="CX14" i="4"/>
  <c r="CU14" i="4"/>
  <c r="CU4" i="4"/>
  <c r="CU11" i="4"/>
  <c r="CU22" i="4"/>
  <c r="CU10" i="4"/>
  <c r="CU24" i="4"/>
  <c r="CU6" i="4"/>
  <c r="CU23" i="4"/>
  <c r="CT23" i="4"/>
  <c r="CR14" i="4"/>
  <c r="CR4" i="4"/>
  <c r="CR11" i="4"/>
  <c r="CR22" i="4"/>
  <c r="CR10" i="4"/>
  <c r="CR24" i="4"/>
  <c r="CR6" i="4"/>
  <c r="CR23" i="4"/>
  <c r="CQ23" i="4"/>
  <c r="CQ14" i="4"/>
  <c r="CQ4" i="4"/>
  <c r="CQ11" i="4"/>
  <c r="CQ22" i="4"/>
  <c r="CQ10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2" i="4"/>
  <c r="CT22" i="4"/>
  <c r="CV22" i="4"/>
  <c r="CX22" i="4"/>
  <c r="CZ22" i="4"/>
  <c r="P22" i="4" s="1"/>
  <c r="DC22" i="4" s="1"/>
  <c r="T24" i="4" l="1"/>
  <c r="T22" i="4"/>
  <c r="U22" i="4" s="1"/>
  <c r="G22" i="4"/>
  <c r="F22" i="4"/>
  <c r="I22" i="4"/>
  <c r="G24" i="4"/>
  <c r="I24" i="4"/>
  <c r="F24" i="4"/>
  <c r="H6" i="4"/>
  <c r="R24" i="4"/>
  <c r="S24" i="4" s="1"/>
  <c r="U24" i="4"/>
  <c r="R22" i="4"/>
  <c r="S22" i="4" s="1"/>
  <c r="O6" i="4"/>
  <c r="V6" i="4"/>
  <c r="X6" i="4" s="1"/>
  <c r="N22" i="4"/>
  <c r="DB22" i="4" s="1"/>
  <c r="N24" i="4"/>
  <c r="DB24" i="4" s="1"/>
  <c r="K6" i="4"/>
  <c r="L22" i="4"/>
  <c r="J24" i="4"/>
  <c r="K24" i="4" s="1"/>
  <c r="J22" i="4"/>
  <c r="L24" i="4"/>
  <c r="Q24" i="4"/>
  <c r="Q22" i="4"/>
  <c r="M6" i="4"/>
  <c r="Q6" i="4"/>
  <c r="CW22" i="4"/>
  <c r="DA22" i="4" s="1"/>
  <c r="CW24" i="4"/>
  <c r="DA24" i="4" s="1"/>
  <c r="H24" i="4" l="1"/>
  <c r="A24" i="4" s="1" a="1"/>
  <c r="A24" i="4" s="1"/>
  <c r="H22" i="4"/>
  <c r="O24" i="4"/>
  <c r="V24" i="4"/>
  <c r="X24" i="4" s="1"/>
  <c r="O22" i="4"/>
  <c r="V22" i="4"/>
  <c r="X22" i="4" s="1"/>
  <c r="W6" i="4"/>
  <c r="K22" i="4"/>
  <c r="M24" i="4"/>
  <c r="M22" i="4"/>
  <c r="A22" i="4" l="1" a="1"/>
  <c r="A22" i="4" s="1"/>
  <c r="W22" i="4"/>
  <c r="W24" i="4"/>
  <c r="E6" i="4" l="1"/>
  <c r="E24" i="4"/>
  <c r="E22" i="4" l="1"/>
  <c r="CS4" i="4"/>
  <c r="CT4" i="4"/>
  <c r="CV4" i="4"/>
  <c r="CX4" i="4"/>
  <c r="CZ4" i="4"/>
  <c r="P4" i="4" s="1"/>
  <c r="DC4" i="4" s="1"/>
  <c r="CS11" i="4"/>
  <c r="CT11" i="4"/>
  <c r="CV11" i="4"/>
  <c r="CX11" i="4"/>
  <c r="CZ11" i="4"/>
  <c r="P11" i="4" s="1"/>
  <c r="DC11" i="4" s="1"/>
  <c r="CS14" i="4"/>
  <c r="CT14" i="4"/>
  <c r="T14" i="4" s="1"/>
  <c r="CV14" i="4"/>
  <c r="CZ14" i="4"/>
  <c r="P14" i="4" s="1"/>
  <c r="DC14" i="4" s="1"/>
  <c r="CS10" i="4"/>
  <c r="CT10" i="4"/>
  <c r="CV10" i="4"/>
  <c r="CX10" i="4"/>
  <c r="CZ10" i="4"/>
  <c r="P10" i="4" s="1"/>
  <c r="DC10" i="4" s="1"/>
  <c r="CV23" i="4"/>
  <c r="CS23" i="4"/>
  <c r="T4" i="4" l="1"/>
  <c r="U4" i="4" s="1"/>
  <c r="T10" i="4"/>
  <c r="U10" i="4" s="1"/>
  <c r="T11" i="4"/>
  <c r="U11" i="4" s="1"/>
  <c r="G11" i="4"/>
  <c r="F11" i="4"/>
  <c r="I11" i="4"/>
  <c r="G14" i="4"/>
  <c r="F14" i="4"/>
  <c r="I14" i="4"/>
  <c r="G10" i="4"/>
  <c r="F10" i="4"/>
  <c r="I10" i="4"/>
  <c r="G4" i="4"/>
  <c r="I4" i="4"/>
  <c r="F4" i="4"/>
  <c r="R11" i="4"/>
  <c r="S11" i="4" s="1"/>
  <c r="R4" i="4"/>
  <c r="S4" i="4" s="1"/>
  <c r="R10" i="4"/>
  <c r="S10" i="4" s="1"/>
  <c r="U14" i="4"/>
  <c r="R14" i="4"/>
  <c r="S14" i="4" s="1"/>
  <c r="L23" i="4"/>
  <c r="N4" i="4"/>
  <c r="DB4" i="4" s="1"/>
  <c r="N10" i="4"/>
  <c r="DB10" i="4" s="1"/>
  <c r="N23" i="4"/>
  <c r="DB23" i="4" s="1"/>
  <c r="N11" i="4"/>
  <c r="DB11" i="4" s="1"/>
  <c r="L14" i="4"/>
  <c r="M14" i="4" s="1"/>
  <c r="N14" i="4"/>
  <c r="DB14" i="4" s="1"/>
  <c r="J10" i="4"/>
  <c r="K10" i="4" s="1"/>
  <c r="L10" i="4"/>
  <c r="J23" i="4"/>
  <c r="L11" i="4"/>
  <c r="J11" i="4"/>
  <c r="L4" i="4"/>
  <c r="J4" i="4"/>
  <c r="K4" i="4" s="1"/>
  <c r="J14" i="4"/>
  <c r="K14" i="4" s="1"/>
  <c r="Q10" i="4"/>
  <c r="Q14" i="4"/>
  <c r="Q4" i="4"/>
  <c r="Q11" i="4"/>
  <c r="CW11" i="4"/>
  <c r="DA11" i="4" s="1"/>
  <c r="CW4" i="4"/>
  <c r="DA4" i="4" s="1"/>
  <c r="CW23" i="4"/>
  <c r="CW14" i="4"/>
  <c r="DA14" i="4" s="1"/>
  <c r="CW10" i="4"/>
  <c r="DA10" i="4" s="1"/>
  <c r="H4" i="4" l="1"/>
  <c r="H10" i="4"/>
  <c r="H14" i="4"/>
  <c r="H11" i="4"/>
  <c r="O14" i="4"/>
  <c r="O10" i="4"/>
  <c r="V10" i="4"/>
  <c r="X10" i="4" s="1"/>
  <c r="O4" i="4"/>
  <c r="V4" i="4"/>
  <c r="X4" i="4" s="1"/>
  <c r="O11" i="4"/>
  <c r="V11" i="4"/>
  <c r="X11" i="4" s="1"/>
  <c r="O23" i="4"/>
  <c r="K11" i="4"/>
  <c r="M10" i="4"/>
  <c r="M23" i="4"/>
  <c r="M11" i="4"/>
  <c r="M4" i="4"/>
  <c r="K23" i="4"/>
  <c r="CZ23" i="4"/>
  <c r="G23" i="4" s="1"/>
  <c r="CX23" i="4"/>
  <c r="T23" i="4" s="1"/>
  <c r="F23" i="4" l="1"/>
  <c r="H23" i="4" s="1"/>
  <c r="I23" i="4"/>
  <c r="R23" i="4"/>
  <c r="S23" i="4" s="1"/>
  <c r="U23" i="4"/>
  <c r="W10" i="4"/>
  <c r="W4" i="4"/>
  <c r="W11" i="4"/>
  <c r="P23" i="4"/>
  <c r="DC23" i="4" s="1"/>
  <c r="DA23" i="4"/>
  <c r="V23" i="4" l="1"/>
  <c r="X23" i="4" s="1"/>
  <c r="Q23" i="4"/>
  <c r="W23" i="4" l="1"/>
  <c r="E10" i="4"/>
  <c r="E23" i="4" l="1"/>
  <c r="E11" i="4" l="1"/>
  <c r="E4" i="4" l="1"/>
  <c r="V14" i="4" l="1"/>
  <c r="X14" i="4" s="1"/>
  <c r="W14" i="4" l="1"/>
  <c r="E14" i="4"/>
  <c r="A9" i="4" s="1" a="1"/>
  <c r="A9" i="4" s="1"/>
  <c r="A15" i="4" l="1" a="1"/>
  <c r="A15" i="4" s="1"/>
  <c r="A13" i="4" a="1"/>
  <c r="A13" i="4" s="1"/>
  <c r="A7" i="4" a="1"/>
  <c r="A7" i="4" s="1"/>
  <c r="A6" i="4" a="1"/>
  <c r="A6" i="4" s="1"/>
  <c r="A10" i="4" a="1"/>
  <c r="A10" i="4" s="1"/>
  <c r="A12" i="4" a="1"/>
  <c r="A12" i="4" s="1"/>
  <c r="A20" i="4" a="1"/>
  <c r="A20" i="4" s="1"/>
  <c r="A21" i="4" a="1"/>
  <c r="A21" i="4" s="1"/>
  <c r="A5" i="4" a="1"/>
  <c r="A5" i="4" s="1"/>
  <c r="A23" i="4" a="1"/>
  <c r="A23" i="4" s="1"/>
  <c r="A8" i="4" a="1"/>
  <c r="A8" i="4" s="1"/>
  <c r="A11" i="4" a="1"/>
  <c r="A11" i="4" s="1"/>
  <c r="A14" i="4" a="1"/>
  <c r="A14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M4" i="19" s="1"/>
  <c r="I4" i="19"/>
  <c r="DC4" i="19"/>
  <c r="O4" i="19"/>
  <c r="P4" i="19" l="1"/>
  <c r="E4" i="19" s="1"/>
  <c r="R4" i="19" l="1"/>
  <c r="Q4" i="19"/>
  <c r="A13" i="19" a="1"/>
  <c r="A13" i="19" s="1"/>
  <c r="A15" i="19" a="1"/>
  <c r="A15" i="19" s="1"/>
  <c r="A10" i="19" a="1"/>
  <c r="A10" i="19" s="1"/>
  <c r="A7" i="19" a="1"/>
  <c r="A7" i="19" s="1"/>
  <c r="A16" i="19" a="1"/>
  <c r="A16" i="19" s="1"/>
  <c r="A11" i="19" a="1"/>
  <c r="A11" i="19" s="1"/>
  <c r="A18" i="19" a="1"/>
  <c r="A18" i="19" s="1"/>
  <c r="A29" i="19" a="1"/>
  <c r="A29" i="19" s="1"/>
  <c r="A14" i="19" a="1"/>
  <c r="A14" i="19" s="1"/>
  <c r="A24" i="19" a="1"/>
  <c r="A24" i="19" s="1"/>
  <c r="A12" i="19" a="1"/>
  <c r="A12" i="19" s="1"/>
  <c r="A9" i="19" a="1"/>
  <c r="A9" i="19" s="1"/>
  <c r="A17" i="19" a="1"/>
  <c r="A17" i="19" s="1"/>
  <c r="A5" i="19" a="1"/>
  <c r="A5" i="19" s="1"/>
  <c r="A8" i="19" a="1"/>
  <c r="A8" i="19" s="1"/>
  <c r="A6" i="19" a="1"/>
  <c r="A6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5" i="24"/>
  <c r="CI5" i="24"/>
  <c r="WQ5" i="24"/>
  <c r="WV5" i="24"/>
  <c r="WP5" i="24"/>
  <c r="WY5" i="24"/>
  <c r="XJ5" i="24" s="1"/>
  <c r="CQ5" i="24"/>
  <c r="WU5" i="24"/>
  <c r="WR5" i="24"/>
  <c r="WN5" i="24"/>
  <c r="XB5" i="24" s="1"/>
  <c r="WW5" i="24"/>
  <c r="WT5" i="24"/>
  <c r="XF5" i="24" s="1"/>
  <c r="CM5" i="24"/>
  <c r="CL5" i="24"/>
  <c r="WS5" i="24"/>
  <c r="XE5" i="24" s="1"/>
  <c r="CJ5" i="24"/>
  <c r="WO5" i="24"/>
  <c r="XC5" i="24" s="1"/>
  <c r="WM5" i="24"/>
  <c r="WZ5" i="24"/>
  <c r="CP5" i="24"/>
  <c r="WX5" i="24"/>
  <c r="XI5" i="24" s="1"/>
  <c r="CR5" i="24"/>
  <c r="CK5" i="24"/>
  <c r="CN5" i="24"/>
  <c r="WL7" i="24"/>
  <c r="WV7" i="24"/>
  <c r="WL6" i="24"/>
  <c r="WQ7" i="24"/>
  <c r="CI7" i="24"/>
  <c r="WU7" i="24"/>
  <c r="CM7" i="24"/>
  <c r="WT7" i="24"/>
  <c r="XF7" i="24" s="1"/>
  <c r="WW7" i="24"/>
  <c r="WV6" i="24"/>
  <c r="WS7" i="24"/>
  <c r="XE7" i="24" s="1"/>
  <c r="CL7" i="24"/>
  <c r="WR7" i="24"/>
  <c r="WQ6" i="24"/>
  <c r="CN7" i="24"/>
  <c r="CI6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6" i="24"/>
  <c r="WM6" i="24"/>
  <c r="CQ6" i="24"/>
  <c r="WY6" i="24"/>
  <c r="XJ6" i="24" s="1"/>
  <c r="CP6" i="24"/>
  <c r="WX6" i="24"/>
  <c r="XI6" i="24" s="1"/>
  <c r="WW6" i="24"/>
  <c r="CR6" i="24"/>
  <c r="WO6" i="24"/>
  <c r="XC6" i="24" s="1"/>
  <c r="CJ6" i="24"/>
  <c r="WP6" i="24"/>
  <c r="WZ6" i="24"/>
  <c r="CN6" i="24"/>
  <c r="WT6" i="24"/>
  <c r="XF6" i="24" s="1"/>
  <c r="CM6" i="24"/>
  <c r="WU6" i="24"/>
  <c r="CL6" i="24"/>
  <c r="WS6" i="24"/>
  <c r="XE6" i="24" s="1"/>
  <c r="CK6" i="24"/>
  <c r="WN6" i="24"/>
  <c r="XB6" i="24" s="1"/>
  <c r="CK4" i="24"/>
  <c r="CO7" i="24" l="1"/>
  <c r="L5" i="24"/>
  <c r="I5" i="24"/>
  <c r="CO5" i="24"/>
  <c r="CS5" i="24" s="1"/>
  <c r="XD4" i="24"/>
  <c r="M5" i="24"/>
  <c r="CU5" i="24"/>
  <c r="XK7" i="24"/>
  <c r="XK4" i="24"/>
  <c r="G6" i="24"/>
  <c r="XG6" i="24"/>
  <c r="J5" i="24"/>
  <c r="K5" i="24" s="1"/>
  <c r="XD7" i="24"/>
  <c r="L4" i="24"/>
  <c r="M4" i="24" s="1"/>
  <c r="XG4" i="24"/>
  <c r="G5" i="24"/>
  <c r="XD5" i="24"/>
  <c r="XK6" i="24"/>
  <c r="J4" i="24"/>
  <c r="K4" i="24" s="1"/>
  <c r="XG5" i="24"/>
  <c r="G4" i="24"/>
  <c r="F4" i="24"/>
  <c r="F6" i="24"/>
  <c r="CO6" i="24"/>
  <c r="CS6" i="24" s="1"/>
  <c r="CT5" i="24"/>
  <c r="N5" i="24" s="1"/>
  <c r="O5" i="24" s="1"/>
  <c r="F7" i="24"/>
  <c r="L7" i="24"/>
  <c r="M7" i="24" s="1"/>
  <c r="XG7" i="24"/>
  <c r="XK5" i="24"/>
  <c r="XD6" i="24"/>
  <c r="CO4" i="24"/>
  <c r="CS4" i="24" s="1"/>
  <c r="J7" i="24"/>
  <c r="J6" i="24"/>
  <c r="F5" i="24"/>
  <c r="H5" i="24" s="1"/>
  <c r="CS7" i="24"/>
  <c r="I7" i="24"/>
  <c r="L6" i="24"/>
  <c r="I4" i="24"/>
  <c r="I6" i="24"/>
  <c r="G7" i="24"/>
  <c r="XH7" i="24" l="1"/>
  <c r="XL7" i="24" s="1"/>
  <c r="H6" i="24"/>
  <c r="XH4" i="24"/>
  <c r="XL4" i="24" s="1"/>
  <c r="CU4" i="24"/>
  <c r="XH6" i="24"/>
  <c r="XL6" i="24" s="1"/>
  <c r="H4" i="24"/>
  <c r="CT4" i="24"/>
  <c r="H7" i="24"/>
  <c r="E5" i="24"/>
  <c r="P5" i="24"/>
  <c r="CU7" i="24"/>
  <c r="XH5" i="24"/>
  <c r="XL5" i="24" s="1"/>
  <c r="CT7" i="24"/>
  <c r="K6" i="24"/>
  <c r="K7" i="24"/>
  <c r="CT6" i="24"/>
  <c r="CU6" i="24"/>
  <c r="M6" i="24"/>
  <c r="N7" i="24" l="1"/>
  <c r="P7" i="24" s="1"/>
  <c r="N4" i="24"/>
  <c r="E4" i="24" s="1"/>
  <c r="O7" i="24"/>
  <c r="N6" i="24"/>
  <c r="E7" i="24" l="1"/>
  <c r="O4" i="24"/>
  <c r="P4" i="24"/>
  <c r="P6" i="24"/>
  <c r="O6" i="24"/>
  <c r="E6" i="24"/>
  <c r="A6" i="24" l="1" a="1"/>
  <c r="A6" i="24" s="1"/>
  <c r="A9" i="24" a="1"/>
  <c r="A9" i="24" s="1"/>
  <c r="A5" i="24" a="1"/>
  <c r="A5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<sst xmlns="http://schemas.openxmlformats.org/spreadsheetml/2006/main" count="6792" uniqueCount="255">
  <si>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</si>
  <si>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</si>
  <si>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</si>
  <si>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</si>
  <si>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</si>
  <si>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</si>
  <si>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</si>
  <si>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</si>
  <si>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</si>
  <si>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</si>
  <si>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</si>
  <si>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</si>
  <si>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</si>
  <si>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</si>
  <si>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</si>
  <si>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</si>
  <si>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</si>
  <si>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</si>
  <si>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</si>
  <si>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</si>
  <si>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</si>
  <si>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</si>
  <si>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</si>
  <si>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</si>
  <si>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</si>
  <si>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</si>
  <si>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</si>
  <si>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</si>
  <si>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</si>
  <si>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</si>
  <si>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</si>
  <si>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</si>
  <si>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</si>
  <si>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</si>
  <si>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</si>
  <si>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</si>
  <si>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</si>
  <si>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</si>
  <si>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</si>
  <si>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</si>
  <si>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</si>
  <si>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</si>
  <si>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</si>
  <si>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</si>
  <si>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</si>
  <si>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</si>
  <si>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</si>
  <si>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</si>
  <si>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</si>
  <si>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</si>
  <si>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</si>
  <si>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</si>
  <si>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</si>
  <si>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</si>
  <si>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</si>
  <si>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</si>
  <si>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</si>
  <si>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</si>
  <si>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</si>
  <si>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</si>
  <si>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</si>
  <si>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</si>
  <si>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</si>
  <si>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</si>
  <si>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</si>
  <si>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</si>
  <si>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</si>
  <si>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</si>
  <si>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</si>
  <si>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</si>
  <si>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</si>
  <si>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</si>
  <si>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</si>
  <si>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</si>
  <si>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</si>
  <si>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</si>
  <si>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</si>
  <si>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</si>
  <si>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</si>
  <si>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</si>
  <si>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</si>
  <si>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</si>
  <si>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</si>
  <si>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</si>
  <si>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</si>
  <si>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</si>
  <si>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</si>
  <si>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</si>
  <si>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</si>
  <si>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</si>
  <si>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</si>
  <si>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</si>
  <si>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</si>
  <si>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</si>
  <si>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</si>
  <si>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</si>
  <si>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</si>
  <si>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</si>
  <si>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</si>
  <si>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</si>
  <si>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</si>
  <si>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</si>
  <si>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</si>
  <si>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</si>
  <si>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</si>
  <si>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</si>
  <si>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</si>
  <si>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</si>
  <si>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</si>
  <si>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</si>
  <si>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</si>
  <si>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</si>
  <si>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</si>
  <si>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</si>
  <si>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</si>
  <si>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</si>
  <si>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</si>
  <si>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</si>
  <si>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</si>
  <si>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</si>
  <si>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</si>
  <si>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</si>
  <si>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</si>
  <si>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</si>
  <si>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</si>
  <si>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</si>
  <si>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</si>
  <si>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</si>
  <si>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</si>
  <si>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</si>
  <si>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</si>
  <si>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</si>
  <si>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</si>
  <si>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</si>
  <si>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</si>
  <si>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</si>
  <si>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</si>
  <si>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</si>
  <si>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</si>
  <si>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</si>
  <si>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</si>
  <si>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</si>
  <si>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</si>
  <si>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</si>
  <si>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</si>
  <si>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</si>
  <si>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</si>
  <si>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</si>
  <si>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</si>
  <si>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</si>
  <si>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</si>
  <si>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</si>
  <si>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</si>
  <si>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</si>
  <si>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</si>
  <si>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</si>
  <si>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</si>
  <si>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</si>
  <si>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</si>
  <si>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</si>
  <si>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</si>
  <si>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</si>
  <si>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</si>
  <si>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</si>
  <si>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</si>
  <si>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</si>
  <si>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</si>
  <si>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</si>
  <si>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</si>
  <si>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</si>
  <si>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</si>
  <si>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</si>
  <si>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</si>
  <si>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</si>
  <si>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</si>
  <si>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</si>
  <si>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</si>
  <si>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</si>
  <si>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</si>
  <si>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</si>
  <si>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</si>
  <si>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</si>
  <si>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</si>
  <si>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</si>
  <si>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</si>
  <si>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</si>
  <si>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</si>
  <si>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</si>
  <si>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</si>
  <si>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</si>
  <si>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</si>
  <si>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</si>
  <si>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</si>
  <si>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</si>
  <si>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</si>
  <si>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</si>
  <si>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</si>
  <si>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</si>
  <si>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</si>
  <si>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</si>
  <si>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</si>
  <si>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</si>
  <si>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</si>
  <si>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</si>
  <si>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</si>
  <si>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</si>
  <si>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</si>
  <si>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</si>
  <si>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</si>
  <si>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</si>
  <si>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</si>
  <si>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</si>
  <si>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</si>
  <si>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</si>
  <si>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</si>
  <si>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</si>
  <si>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</si>
  <si>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</si>
  <si>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</si>
  <si>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</si>
  <si>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</si>
  <si>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</si>
  <si>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</si>
  <si>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</si>
  <si>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</si>
  <si>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</si>
  <si>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</si>
  <si>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</si>
  <si>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</si>
  <si>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</si>
  <si>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</si>
  <si>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</si>
  <si>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</si>
  <si>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</si>
  <si>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</si>
  <si>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</si>
  <si>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</si>
  <si>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</si>
  <si>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</si>
  <si>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</si>
  <si>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</si>
  <si>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</si>
  <si>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</si>
  <si>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</si>
  <si>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</si>
  <si>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</si>
  <si>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</si>
  <si>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</t>
  </si>
  <si>
    <t>2025 World Cup POR (July 6)</t>
  </si>
  <si>
    <t>DODD &amp; SOEHN</t>
  </si>
  <si>
    <t>2003/1992</t>
  </si>
  <si>
    <t>2025 Coimbra Gym Fest (July 6)</t>
  </si>
  <si>
    <t>2025 Coimbra Gym Fest</t>
  </si>
  <si>
    <t>*Merit adjusted for 2024 Rules</t>
  </si>
  <si>
    <t>Updated International DD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</si>
</sst>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BEAULIEU, Alex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RICHARD, Dexter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VIAU, Nathan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National Team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SOEHN, Kalena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BONNE, Rielle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hidden="1" x14ac:dyDescent="0.2">
      <c r="A19" s="6"/>
      <c r="B19" s="6">
        <v>2</v>
      </c>
      <c r="C19" s="6" t="str">
        <f>IF(B3&gt;MAX('SYN-M'!A:A),"",INDEX('SYN-M'!B:B,MATCH(B3,'SYN-M'!A:A,0)))</f>
        <v/>
      </c>
      <c r="D19" s="14" t="str">
        <f>IF(B3&gt;MAX('SYN-M'!A:A),"",INDEX('SYN-M'!H:H,MATCH(B3,'SYN-M'!A:A,0)))</f>
        <v/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BONNE &amp; CORRIVEAU</v>
      </c>
      <c r="D24" s="13" t="str">
        <f>IF(B4&gt;MAX('SYN-W'!A:A),"",INDEX('SYN-W'!H:H,MATCH(B4,'SYN-W'!A:A,0)))</f>
        <v>Merit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226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DALGETTY, McKayla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MALLAIS, Rylan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BLOOM, Tristan</v>
      </c>
      <c r="D49" s="14" t="str">
        <f>IF(B5&gt;MAX('DMT-M'!A:A),"",INDEX('DMT-M'!H:H,MATCH(B5,'DMT-M'!A:A,0)))</f>
        <v>Merit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OLSEN, Brooklyn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WAX, Sophie</v>
      </c>
      <c r="D58" s="13" t="str">
        <f>IF(B6&gt;MAX('DMT-W'!A:A),"",INDEX('DMT-W'!H:H,MATCH(B6,'DMT-W'!A:A,0)))</f>
        <v>Excellence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45857</v>
      </c>
      <c r="C70" s="65"/>
    </row>
    <row r="71" spans="1:5" x14ac:dyDescent="0.2">
      <c r="B71" t="s">
        <v>247</v>
      </c>
    </row>
    <row r="72" spans="1:5" x14ac:dyDescent="0.2">
      <c r="B72" t="s">
        <v>252</v>
      </c>
    </row>
    <row r="73" spans="1:5" x14ac:dyDescent="0.2">
      <c r="B73" t="s">
        <v>254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activeCell="B28" sqref="B28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200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228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230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251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270.2300270230059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4" si="7">IF(N4="","",IF(OR(N4=CS4,N4=CV4),$CA$1,IF(OR(N4=BR4,N4=BU4),$AZ$1,IF(OR(N4=AQ4,N4=AT4),$Y$1,""))))</f>
        <v>2025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POR (July 6)</v>
      </c>
      <c r="T4" s="8">
        <f t="shared" ref="T4:T24" si="12"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 t="shared" ref="AO4:AO24" si="17">IF(AA4&gt;0,AA4,"")</f>
        <v>15.6</v>
      </c>
      <c r="AP4" s="38">
        <f t="shared" ref="AP4:AP24" si="18">IF(AB4&gt;0,AB4,"")</f>
        <v>16.82</v>
      </c>
      <c r="AQ4" s="40">
        <f t="shared" ref="AQ4:AQ24" si="19">IF(SUM(Y4:AB4)-AC4&gt;0,SUM(Y4:AB4)-AC4,"")</f>
        <v>59.32</v>
      </c>
      <c r="AR4" s="40">
        <f t="shared" ref="AR4:AR24" si="20">IF(AF4&gt;0,AF4,"")</f>
        <v>16.2</v>
      </c>
      <c r="AS4" s="40">
        <f t="shared" ref="AS4:AS24" si="21">IF(AG4&gt;0,AG4,"")</f>
        <v>16.88</v>
      </c>
      <c r="AT4" s="40">
        <f t="shared" ref="AT4:AT24" si="22">IF(SUM(AD4:AG4)-AH4&gt;0,SUM(AD4:AG4)-AH4,"")</f>
        <v>58.97999999999999</v>
      </c>
      <c r="AU4" s="40">
        <f t="shared" ref="AU4:AU24" si="23">IF(AQ4="","",MAX(AQ4,AT4))</f>
        <v>59.32</v>
      </c>
      <c r="AV4" s="40">
        <f t="shared" ref="AV4:AV24" si="24">IF(AK4&gt;0,AK4,"")</f>
        <v>16.2</v>
      </c>
      <c r="AW4" s="40">
        <f t="shared" ref="AW4:AW24" si="25">IF(AL4&gt;0,AL4,"")</f>
        <v>16.77</v>
      </c>
      <c r="AX4" s="40">
        <f t="shared" ref="AX4:AX24" si="26">IF(SUM(AI4:AL4)-AM4&gt;0,SUM(AI4:AL4)-AM4,"")</f>
        <v>59.47</v>
      </c>
      <c r="AY4" s="40">
        <f t="shared" ref="AY4:AY24" si="27"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 t="shared" ref="BP4:BP24" si="28">IF(BB4&gt;0,BB4,"")</f>
        <v>16.5</v>
      </c>
      <c r="BQ4" s="39">
        <f t="shared" ref="BQ4:BQ24" si="29">IF(BC4&gt;0,BC4,"")</f>
        <v>15.98</v>
      </c>
      <c r="BR4" s="11">
        <f t="shared" ref="BR4:BR24" si="30">IF(SUM(AZ4:BC4)-BD4&gt;0,SUM(AZ4:BC4)-BD4,"")</f>
        <v>58.58</v>
      </c>
      <c r="BS4" s="11">
        <f t="shared" ref="BS4:BS24" si="31">IF(BG4&gt;0,BG4,"")</f>
        <v>2</v>
      </c>
      <c r="BT4" s="11">
        <f t="shared" ref="BT4:BT24" si="32">IF(BH4&gt;0,BH4,"")</f>
        <v>1.75</v>
      </c>
      <c r="BU4" s="11">
        <f t="shared" ref="BU4:BU24" si="33">IF(SUM(BE4:BH4)-BI4&gt;0,SUM(BE4:BH4)-BI4,"")</f>
        <v>6.35</v>
      </c>
      <c r="BV4" s="11">
        <f t="shared" ref="BV4:BV24" si="34">IF(BR4="","",MAX(BR4,BU4))</f>
        <v>58.58</v>
      </c>
      <c r="BW4" s="11">
        <f t="shared" ref="BW4:BW24" si="35">IF(BL4&gt;0,BL4,"")</f>
        <v>16.100000000000001</v>
      </c>
      <c r="BX4" s="11">
        <f t="shared" ref="BX4:BX24" si="36">IF(BM4&gt;0,BM4,"")</f>
        <v>16.190000000000001</v>
      </c>
      <c r="BY4" s="11">
        <f t="shared" ref="BY4:BY24" si="37">IF(SUM(BJ4:BM4)-BN4&gt;0,SUM(BJ4:BM4)-BN4,"")</f>
        <v>57.89</v>
      </c>
      <c r="BZ4" s="11">
        <f t="shared" ref="BZ4:BZ24" si="38"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 t="shared" ref="CQ4:CQ24" si="39">IF(CC4&gt;0,CC4,"")</f>
        <v>14.9</v>
      </c>
      <c r="CR4" s="38">
        <f t="shared" ref="CR4:CR24" si="40">IF(CD4&gt;0,CD4,"")</f>
        <v>15.86</v>
      </c>
      <c r="CS4" s="40">
        <f t="shared" ref="CS4:CS24" si="41">IF(SUM(CA4:CD4)-CE4&gt;0,SUM(CA4:CD4)-CE4,"")</f>
        <v>55.660000000000004</v>
      </c>
      <c r="CT4" s="40">
        <f t="shared" ref="CT4:CT24" si="42">IF(CH4&gt;0,CH4,"")</f>
        <v>6.7</v>
      </c>
      <c r="CU4" s="40">
        <f t="shared" ref="CU4:CU24" si="43">IF(CI4&gt;0,CI4,"")</f>
        <v>6.41</v>
      </c>
      <c r="CV4" s="40">
        <f t="shared" ref="CV4:CV24" si="44">IF(SUM(CF4:CI4)-CJ4&gt;0,SUM(CF4:CI4)-CJ4,"")</f>
        <v>22.31</v>
      </c>
      <c r="CW4" s="40">
        <f t="shared" ref="CW4:CW24" si="45">IF(CS4="","",MAX(CS4,CV4))</f>
        <v>55.660000000000004</v>
      </c>
      <c r="CX4" s="40">
        <f t="shared" ref="CX4:CX24" si="46">IF(CM4&gt;0,CM4,"")</f>
        <v>15.7</v>
      </c>
      <c r="CY4" s="40">
        <f t="shared" ref="CY4:CY24" si="47">IF(CN4&gt;0,CN4,"")</f>
        <v>15.35</v>
      </c>
      <c r="CZ4" s="40">
        <f t="shared" ref="CZ4:CZ24" si="48">IF(SUM(CK4:CN4)-CO4&gt;0,SUM(CK4:CN4)-CO4,"")</f>
        <v>55.65</v>
      </c>
      <c r="DA4" s="40">
        <f t="shared" ref="DA4:DA24" si="49">IF(SUM(CW4,CZ4)&gt;0,SUM(CW4,CZ4),"")</f>
        <v>111.31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4" si="52">IF(DF4&gt;0,DF4,"")</f>
        <v/>
      </c>
      <c r="DY4" s="40" t="str">
        <f t="shared" ref="DY4:DY24" si="53">IF(DG4&gt;0,DG4,"")</f>
        <v/>
      </c>
      <c r="DZ4" s="40" t="str">
        <f t="shared" ref="DZ4:DZ24" si="54">IF(SUM(DD4:DG4)-DH4&gt;0,SUM(DD4:DG4)-DH4,"")</f>
        <v/>
      </c>
      <c r="EA4" s="40" t="str">
        <f t="shared" ref="EA4:EA24" si="55">IF(DK4&gt;0,DK4,"")</f>
        <v/>
      </c>
      <c r="EB4" s="40" t="str">
        <f t="shared" ref="EB4:EB24" si="56">IF(DL4&gt;0,DL4,"")</f>
        <v/>
      </c>
      <c r="EC4" s="40" t="str">
        <f t="shared" ref="EC4:EC24" si="57">IF(SUM(DI4:DL4)-DM4&gt;0,SUM(DI4:DL4)-DM4,"")</f>
        <v/>
      </c>
      <c r="ED4" s="40" t="str">
        <f t="shared" ref="ED4:ED24" si="58">IF(MAX(DZ4,EC4)&gt;0,MAX(DZ4,EC4),"")</f>
        <v/>
      </c>
      <c r="EE4" s="40" t="str">
        <f t="shared" ref="EE4:EE24" si="59">IF(DP4&gt;0,DP4,"")</f>
        <v/>
      </c>
      <c r="EF4" s="40" t="str">
        <f t="shared" ref="EF4:EF24" si="60">IF(DQ4&gt;0,DQ4,"")</f>
        <v/>
      </c>
      <c r="EG4" s="40" t="str">
        <f t="shared" ref="EG4:EG24" si="61">IF(SUM(DN4:DQ4)-DR4&gt;0,SUM(DN4:DQ4)-DR4,"")</f>
        <v/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 t="str">
        <f t="shared" ref="EK4:EK24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4" si="66">IF(EN4&gt;0,EN4,"")</f>
        <v/>
      </c>
      <c r="FG4" s="11" t="str">
        <f t="shared" ref="FG4:FG24" si="67">IF(EO4&gt;0,EO4,"")</f>
        <v/>
      </c>
      <c r="FH4" s="11" t="str">
        <f t="shared" ref="FH4:FH24" si="68">IF(SUM(EL4:EO4)-EP4&gt;0,SUM(EL4:EO4)-EP4,"")</f>
        <v/>
      </c>
      <c r="FI4" s="11" t="str">
        <f t="shared" ref="FI4:FI24" si="69">IF(ES4&gt;0,ES4,"")</f>
        <v/>
      </c>
      <c r="FJ4" s="11" t="str">
        <f t="shared" ref="FJ4:FJ24" si="70">IF(ET4&gt;0,ET4,"")</f>
        <v/>
      </c>
      <c r="FK4" s="11" t="str">
        <f t="shared" ref="FK4:FK24" si="71">IF(SUM(EQ4:ET4)-EU4&gt;0,SUM(EQ4:ET4)-EU4,"")</f>
        <v/>
      </c>
      <c r="FL4" s="11" t="str">
        <f t="shared" ref="FL4:FL24" si="72">IF(MAX(FH4,FK4)&gt;0,MAX(FH4,FK4),"")</f>
        <v/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 t="str">
        <f t="shared" ref="FS4:FS24" si="79">IF(SUM(FL4,FO4,FR4)&gt;0,SUM(FL4,FO4,FR4),"")</f>
        <v/>
      </c>
      <c r="FT4" s="17">
        <v>15.3</v>
      </c>
      <c r="FU4" s="17">
        <v>9.1999999999999993</v>
      </c>
      <c r="FV4" s="17">
        <v>17</v>
      </c>
      <c r="FW4" s="17">
        <v>15.79</v>
      </c>
      <c r="FX4" s="17">
        <v>0</v>
      </c>
      <c r="FY4" s="17">
        <v>15.2</v>
      </c>
      <c r="FZ4" s="17">
        <v>9.3000000000000007</v>
      </c>
      <c r="GA4" s="17">
        <v>17</v>
      </c>
      <c r="GB4" s="17">
        <v>15.86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24" si="80">IF(FV4&gt;0,FV4,"")</f>
        <v>17</v>
      </c>
      <c r="GO4" s="40">
        <f t="shared" ref="GO4:GO24" si="81">IF(FW4&gt;0,FW4,"")</f>
        <v>15.79</v>
      </c>
      <c r="GP4" s="40">
        <f t="shared" ref="GP4:GP24" si="82">IF(SUM(FT4:FW4)-FX4&gt;0,SUM(FT4:FW4)-FX4,"")</f>
        <v>57.29</v>
      </c>
      <c r="GQ4" s="40">
        <f t="shared" ref="GQ4:GQ24" si="83">IF(GA4&gt;0,GA4,"")</f>
        <v>17</v>
      </c>
      <c r="GR4" s="40">
        <f t="shared" ref="GR4:GR24" si="84">IF(GB4&gt;0,GB4,"")</f>
        <v>15.86</v>
      </c>
      <c r="GS4" s="40">
        <f t="shared" ref="GS4:GS24" si="85">IF(SUM(FY4:GB4)-GC4&gt;0,SUM(FY4:GB4)-GC4,"")</f>
        <v>57.36</v>
      </c>
      <c r="GT4" s="40">
        <f t="shared" ref="GT4:GT24" si="86">IF(MAX(GP4,GS4)&gt;0,MAX(GP4,GS4),"")</f>
        <v>57.36</v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 t="str">
        <f t="shared" ref="GX4:GX24" si="90">IF(GK4&gt;0,GK4,"")</f>
        <v/>
      </c>
      <c r="GY4" s="40" t="str">
        <f t="shared" ref="GY4:GY24" si="91">IF(GL4&gt;0,GL4,"")</f>
        <v/>
      </c>
      <c r="GZ4" s="40" t="str">
        <f t="shared" ref="GZ4:GZ24" si="92">IF(SUM(GI4:GL4)-GM4&gt;0,SUM(GI4:GL4)-GM4,"")</f>
        <v/>
      </c>
      <c r="HA4" s="40">
        <f t="shared" ref="HA4:HA24" si="93">IF(SUM(GT4,GW4,GZ4)&gt;0,SUM(GT4,GW4,GZ4),"")</f>
        <v>57.36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4" si="122">IF(JT4&gt;0,JT4,"")</f>
        <v/>
      </c>
      <c r="KM4" s="11" t="str">
        <f t="shared" ref="KM4:KM24" si="123">IF(JU4&gt;0,JU4,"")</f>
        <v/>
      </c>
      <c r="KN4" s="11" t="str">
        <f t="shared" ref="KN4:KN24" si="124">IF(SUM(JR4:JU4)-JV4&gt;0,SUM(JR4:JU4)-JV4,"")</f>
        <v/>
      </c>
      <c r="KO4" s="11" t="str">
        <f t="shared" ref="KO4:KO24" si="125">IF(JY4&gt;0,JY4,"")</f>
        <v/>
      </c>
      <c r="KP4" s="11" t="str">
        <f t="shared" ref="KP4:KP24" si="126">IF(JZ4&gt;0,JZ4,"")</f>
        <v/>
      </c>
      <c r="KQ4" s="11" t="str">
        <f t="shared" ref="KQ4:KQ24" si="127">IF(SUM(JW4:JZ4)-KA4&gt;0,SUM(JW4:JZ4)-KA4,"")</f>
        <v/>
      </c>
      <c r="KR4" s="11" t="str">
        <f t="shared" ref="KR4:KR24" si="128">IF(MAX(KN4,KQ4)&gt;0,MAX(KN4,KQ4),"")</f>
        <v/>
      </c>
      <c r="KS4" s="11" t="str">
        <f t="shared" ref="KS4:KS24" si="129">IF(KD4&gt;0,KD4,"")</f>
        <v/>
      </c>
      <c r="KT4" s="11" t="str">
        <f t="shared" ref="KT4:KT24" si="130">IF(KE4&gt;0,KE4,"")</f>
        <v/>
      </c>
      <c r="KU4" s="11" t="str">
        <f t="shared" ref="KU4:KU24" si="131">IF(SUM(KB4:KE4)-KF4&gt;0,SUM(KB4:KE4)-KF4,"")</f>
        <v/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 t="str">
        <f t="shared" ref="KY4:KY2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16.450000000000003</v>
      </c>
      <c r="WU4" s="26">
        <f t="shared" ref="WU4:WU24" si="263">IF($CP4="P",CB4,(CB4+BA4)/2)</f>
        <v>9.0500000000000007</v>
      </c>
      <c r="WV4" s="26">
        <f t="shared" ref="WV4:WV24" si="264">IF($CP4="P",CC4,(CC4+BB4)/2)</f>
        <v>15.7</v>
      </c>
      <c r="WW4" s="26">
        <f t="shared" ref="WW4:WW24" si="265">IF($CP4="P",CD4,(CD4+BC4)/2)</f>
        <v>15.92</v>
      </c>
      <c r="WX4" s="26">
        <f t="shared" ref="WX4:WX24" si="266">IF($CP4="P",CE4,(CE4+BD4)/2)</f>
        <v>0</v>
      </c>
      <c r="WY4" s="26">
        <f t="shared" ref="WY4:WY24" si="267">IF($CP4="P",CF4,(CF4+BE4)/2)</f>
        <v>3.8</v>
      </c>
      <c r="WZ4" s="26">
        <f t="shared" ref="WZ4:WZ24" si="268">IF($CP4="P",CG4,(CG4+BF4)/2)</f>
        <v>2.1</v>
      </c>
      <c r="XA4" s="26">
        <f t="shared" ref="XA4:XA24" si="269">IF($CP4="P",CH4,(CH4+BG4)/2)</f>
        <v>4.3499999999999996</v>
      </c>
      <c r="XB4" s="26">
        <f t="shared" ref="XB4:XB24" si="270">IF($CP4="P",CI4,(CI4+BH4)/2)</f>
        <v>4.08</v>
      </c>
      <c r="XC4" s="26">
        <f t="shared" ref="XC4:XC24" si="271">IF($CP4="P",CJ4,(CJ4+BI4)/2)</f>
        <v>0</v>
      </c>
      <c r="XD4" s="26">
        <f t="shared" ref="XD4:XD24" si="272">IF($CP4="P",CK4,(CK4+BJ4)/2)</f>
        <v>16.2</v>
      </c>
      <c r="XE4" s="26">
        <f t="shared" ref="XE4:XE24" si="273">IF($CP4="P",CL4,(CL4+BK4)/2)</f>
        <v>8.9</v>
      </c>
      <c r="XF4" s="26">
        <f t="shared" ref="XF4:XF24" si="274">IF($CP4="P",CM4,(CM4+BL4)/2)</f>
        <v>15.9</v>
      </c>
      <c r="XG4" s="26">
        <f t="shared" ref="XG4:XG24" si="275">IF($CP4="P",CN4,(CN4+BM4)/2)</f>
        <v>15.77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15.7</v>
      </c>
      <c r="XK4" s="11">
        <f t="shared" ref="XK4:XK24" si="278">IF(WW4&gt;0,WW4,"")</f>
        <v>15.92</v>
      </c>
      <c r="XL4" s="11">
        <f t="shared" ref="XL4:XL24" si="279">IF(SUM(WT4:WW4)-WX4&gt;0,SUM(WT4:WW4)-WX4,"")</f>
        <v>57.120000000000005</v>
      </c>
      <c r="XM4" s="11">
        <f t="shared" ref="XM4:XM24" si="280">IF(XA4&gt;0,XA4,"")</f>
        <v>4.3499999999999996</v>
      </c>
      <c r="XN4" s="11">
        <f t="shared" ref="XN4:XN24" si="281">IF(XB4&gt;0,XB4,"")</f>
        <v>4.08</v>
      </c>
      <c r="XO4" s="11">
        <f t="shared" ref="XO4:XO24" si="282">IF(SUM(WY4:XB4)-XC4&gt;0,SUM(WY4:XB4)-XC4,"")</f>
        <v>14.33</v>
      </c>
      <c r="XP4" s="11">
        <f t="shared" ref="XP4:XP24" si="283">IF(MAX(XL4,XO4)&gt;0,MAX(XL4,XO4),"")</f>
        <v>57.120000000000005</v>
      </c>
      <c r="XQ4" s="11">
        <f t="shared" ref="XQ4:XQ24" si="284">IF(XF4&gt;0,XF4,"")</f>
        <v>15.9</v>
      </c>
      <c r="XR4" s="11">
        <f t="shared" ref="XR4:XR24" si="285">IF(XG4&gt;0,XG4,"")</f>
        <v>15.77</v>
      </c>
      <c r="XS4" s="11">
        <f t="shared" ref="XS4:XS24" si="286">IF(SUM(XD4:XG4)-XH4&gt;0,SUM(XD4:XG4)-XH4,"")</f>
        <v>56.769999999999996</v>
      </c>
      <c r="XT4" s="11">
        <f t="shared" ref="XT4:XT24" si="287"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 t="shared" si="0"/>
        <v>267.89002673500596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58.01</v>
      </c>
      <c r="M5" s="8" t="str">
        <f t="shared" si="6"/>
        <v>2025 Nationals</v>
      </c>
      <c r="N5" s="8">
        <f>IF(COUNT(AQ5,AT5,BR5,BU5,CS5,CV5)&gt;2,LARGE((AQ5,AT5,BR5,BU5,CS5,CV5),3),0)</f>
        <v>57.55</v>
      </c>
      <c r="O5" s="8" t="str">
        <f t="shared" si="7"/>
        <v>2024 3rd Domestic Trial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17</v>
      </c>
      <c r="S5" s="8" t="str">
        <f t="shared" si="11"/>
        <v>2025 Nationals</v>
      </c>
      <c r="T5" s="8">
        <f t="shared" si="12"/>
        <v>17.14</v>
      </c>
      <c r="U5" s="8" t="str">
        <f t="shared" si="13"/>
        <v>2024 3rd Domestic Trial</v>
      </c>
      <c r="V5" s="8">
        <f t="shared" si="14"/>
        <v>0.54000000000000625</v>
      </c>
      <c r="W5" s="11" t="str">
        <f t="shared" si="15"/>
        <v>(Prelim)</v>
      </c>
      <c r="X5" s="8" t="str">
        <f t="shared" si="16"/>
        <v>2025 World Cup POR (July 6)</v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 t="shared" si="17"/>
        <v>15.2</v>
      </c>
      <c r="AP5" s="38">
        <f t="shared" si="18"/>
        <v>17.05</v>
      </c>
      <c r="AQ5" s="40">
        <f t="shared" si="19"/>
        <v>57.55</v>
      </c>
      <c r="AR5" s="40">
        <f t="shared" si="20"/>
        <v>15.8</v>
      </c>
      <c r="AS5" s="40">
        <f t="shared" si="21"/>
        <v>17.14</v>
      </c>
      <c r="AT5" s="40">
        <f t="shared" si="22"/>
        <v>59.84</v>
      </c>
      <c r="AU5" s="40">
        <f t="shared" si="23"/>
        <v>59.84</v>
      </c>
      <c r="AV5" s="40">
        <f t="shared" si="24"/>
        <v>16.2</v>
      </c>
      <c r="AW5" s="40">
        <f t="shared" si="25"/>
        <v>17.010000000000002</v>
      </c>
      <c r="AX5" s="40">
        <f t="shared" si="26"/>
        <v>57.81</v>
      </c>
      <c r="AY5" s="40">
        <f t="shared" si="27"/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 t="shared" si="28"/>
        <v>16.399999999999999</v>
      </c>
      <c r="BQ5" s="39">
        <f t="shared" si="29"/>
        <v>16.37</v>
      </c>
      <c r="BR5" s="11">
        <f t="shared" si="30"/>
        <v>56.17</v>
      </c>
      <c r="BS5" s="11">
        <f t="shared" si="31"/>
        <v>4</v>
      </c>
      <c r="BT5" s="11">
        <f t="shared" si="32"/>
        <v>3.52</v>
      </c>
      <c r="BU5" s="11">
        <f t="shared" si="33"/>
        <v>12.62</v>
      </c>
      <c r="BV5" s="11">
        <f t="shared" si="34"/>
        <v>56.17</v>
      </c>
      <c r="BW5" s="11">
        <f t="shared" si="35"/>
        <v>16.600000000000001</v>
      </c>
      <c r="BX5" s="11">
        <f t="shared" si="36"/>
        <v>17.04</v>
      </c>
      <c r="BY5" s="11">
        <f t="shared" si="37"/>
        <v>57.64</v>
      </c>
      <c r="BZ5" s="11">
        <f t="shared" si="38"/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 t="shared" si="39"/>
        <v>17</v>
      </c>
      <c r="CR5" s="38">
        <f t="shared" si="40"/>
        <v>16.71</v>
      </c>
      <c r="CS5" s="40">
        <f t="shared" si="41"/>
        <v>58.01</v>
      </c>
      <c r="CT5" s="40">
        <f t="shared" si="42"/>
        <v>9.4</v>
      </c>
      <c r="CU5" s="40">
        <f t="shared" si="43"/>
        <v>8.41</v>
      </c>
      <c r="CV5" s="40">
        <f t="shared" si="44"/>
        <v>29.41</v>
      </c>
      <c r="CW5" s="40">
        <f t="shared" si="45"/>
        <v>58.01</v>
      </c>
      <c r="CX5" s="40" t="str">
        <f t="shared" si="46"/>
        <v/>
      </c>
      <c r="CY5" s="40" t="str">
        <f t="shared" si="47"/>
        <v/>
      </c>
      <c r="CZ5" s="40" t="str">
        <f t="shared" si="48"/>
        <v/>
      </c>
      <c r="DA5" s="40">
        <f t="shared" si="49"/>
        <v>58.01</v>
      </c>
      <c r="DB5" s="51">
        <f t="shared" si="50"/>
        <v>0.54000000000000625</v>
      </c>
      <c r="DC5" s="51" t="str">
        <f t="shared" si="51"/>
        <v/>
      </c>
      <c r="DD5" s="17">
        <v>13.8</v>
      </c>
      <c r="DE5" s="17">
        <v>8.9</v>
      </c>
      <c r="DF5" s="17">
        <v>6.8</v>
      </c>
      <c r="DG5" s="17">
        <v>16.62</v>
      </c>
      <c r="DH5" s="17">
        <v>0</v>
      </c>
      <c r="DI5" s="17">
        <v>14.6</v>
      </c>
      <c r="DJ5" s="17">
        <v>8.9</v>
      </c>
      <c r="DK5" s="17">
        <v>16.600000000000001</v>
      </c>
      <c r="DL5" s="17">
        <v>16.84</v>
      </c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6.8</v>
      </c>
      <c r="DY5" s="40">
        <f t="shared" si="53"/>
        <v>16.62</v>
      </c>
      <c r="DZ5" s="40">
        <f t="shared" si="54"/>
        <v>46.120000000000005</v>
      </c>
      <c r="EA5" s="40">
        <f t="shared" si="55"/>
        <v>16.600000000000001</v>
      </c>
      <c r="EB5" s="40">
        <f t="shared" si="56"/>
        <v>16.84</v>
      </c>
      <c r="EC5" s="40">
        <f t="shared" si="57"/>
        <v>56.94</v>
      </c>
      <c r="ED5" s="40">
        <f t="shared" si="58"/>
        <v>56.94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56.94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14.9</v>
      </c>
      <c r="FU5" s="17">
        <v>9.3000000000000007</v>
      </c>
      <c r="FV5" s="17">
        <v>17</v>
      </c>
      <c r="FW5" s="17">
        <v>16.89</v>
      </c>
      <c r="FX5" s="17">
        <v>0</v>
      </c>
      <c r="FY5" s="17">
        <v>10.8</v>
      </c>
      <c r="FZ5" s="17">
        <v>6.7</v>
      </c>
      <c r="GA5" s="17">
        <v>11.7</v>
      </c>
      <c r="GB5" s="17">
        <v>12.48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80"/>
        <v>17</v>
      </c>
      <c r="GO5" s="40">
        <f t="shared" si="81"/>
        <v>16.89</v>
      </c>
      <c r="GP5" s="40">
        <f t="shared" si="82"/>
        <v>58.09</v>
      </c>
      <c r="GQ5" s="40">
        <f t="shared" si="83"/>
        <v>11.7</v>
      </c>
      <c r="GR5" s="40">
        <f t="shared" si="84"/>
        <v>12.48</v>
      </c>
      <c r="GS5" s="40">
        <f t="shared" si="85"/>
        <v>41.68</v>
      </c>
      <c r="GT5" s="40">
        <f t="shared" si="86"/>
        <v>58.09</v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58.09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14.75</v>
      </c>
      <c r="WU5" s="26">
        <f t="shared" si="263"/>
        <v>9.1</v>
      </c>
      <c r="WV5" s="26">
        <f t="shared" si="264"/>
        <v>16.7</v>
      </c>
      <c r="WW5" s="26">
        <f t="shared" si="265"/>
        <v>16.54</v>
      </c>
      <c r="WX5" s="26">
        <f t="shared" si="266"/>
        <v>0</v>
      </c>
      <c r="WY5" s="26">
        <f t="shared" si="267"/>
        <v>5.2</v>
      </c>
      <c r="WZ5" s="26">
        <f t="shared" si="268"/>
        <v>3.1500000000000004</v>
      </c>
      <c r="XA5" s="26">
        <f t="shared" si="269"/>
        <v>6.7</v>
      </c>
      <c r="XB5" s="26">
        <f t="shared" si="270"/>
        <v>5.9649999999999999</v>
      </c>
      <c r="XC5" s="26">
        <f t="shared" si="271"/>
        <v>0</v>
      </c>
      <c r="XD5" s="26">
        <f t="shared" si="272"/>
        <v>7.55</v>
      </c>
      <c r="XE5" s="26">
        <f t="shared" si="273"/>
        <v>4.45</v>
      </c>
      <c r="XF5" s="26">
        <f t="shared" si="274"/>
        <v>8.3000000000000007</v>
      </c>
      <c r="XG5" s="26">
        <f t="shared" si="275"/>
        <v>8.52</v>
      </c>
      <c r="XH5" s="26">
        <f t="shared" si="276"/>
        <v>0</v>
      </c>
      <c r="XI5" s="28" t="s">
        <v>53</v>
      </c>
      <c r="XJ5" s="11">
        <f t="shared" si="277"/>
        <v>16.7</v>
      </c>
      <c r="XK5" s="11">
        <f t="shared" si="278"/>
        <v>16.54</v>
      </c>
      <c r="XL5" s="11">
        <f t="shared" si="279"/>
        <v>57.089999999999996</v>
      </c>
      <c r="XM5" s="11">
        <f t="shared" si="280"/>
        <v>6.7</v>
      </c>
      <c r="XN5" s="11">
        <f t="shared" si="281"/>
        <v>5.9649999999999999</v>
      </c>
      <c r="XO5" s="11">
        <f t="shared" si="282"/>
        <v>21.015000000000001</v>
      </c>
      <c r="XP5" s="11">
        <f t="shared" si="283"/>
        <v>57.089999999999996</v>
      </c>
      <c r="XQ5" s="11">
        <f t="shared" si="284"/>
        <v>8.3000000000000007</v>
      </c>
      <c r="XR5" s="11">
        <f t="shared" si="285"/>
        <v>8.52</v>
      </c>
      <c r="XS5" s="11">
        <f t="shared" si="286"/>
        <v>28.82</v>
      </c>
      <c r="XT5" s="11">
        <f t="shared" si="287"/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259.64002307900591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55.760000000000005</v>
      </c>
      <c r="O6" s="8" t="str">
        <f t="shared" si="7"/>
        <v>2024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Pan Am Championships (May 18)</v>
      </c>
      <c r="T6" s="8">
        <f t="shared" si="12"/>
        <v>15.87</v>
      </c>
      <c r="U6" s="8" t="str">
        <f t="shared" si="13"/>
        <v>2025 Nationals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 t="shared" si="17"/>
        <v>15.6</v>
      </c>
      <c r="AP6" s="38">
        <f t="shared" si="18"/>
        <v>15.33</v>
      </c>
      <c r="AQ6" s="40">
        <f t="shared" si="19"/>
        <v>53.93</v>
      </c>
      <c r="AR6" s="40">
        <f t="shared" si="20"/>
        <v>15.5</v>
      </c>
      <c r="AS6" s="40">
        <f t="shared" si="21"/>
        <v>15.66</v>
      </c>
      <c r="AT6" s="40">
        <f t="shared" si="22"/>
        <v>55.760000000000005</v>
      </c>
      <c r="AU6" s="40">
        <f t="shared" si="23"/>
        <v>55.760000000000005</v>
      </c>
      <c r="AV6" s="40">
        <f t="shared" si="24"/>
        <v>2</v>
      </c>
      <c r="AW6" s="40">
        <f t="shared" si="25"/>
        <v>1.76</v>
      </c>
      <c r="AX6" s="40">
        <f t="shared" si="26"/>
        <v>6.3599999999999994</v>
      </c>
      <c r="AY6" s="40">
        <f t="shared" si="27"/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 t="shared" si="28"/>
        <v>2</v>
      </c>
      <c r="BQ6" s="39">
        <f t="shared" si="29"/>
        <v>1.7</v>
      </c>
      <c r="BR6" s="11">
        <f t="shared" si="30"/>
        <v>6.3</v>
      </c>
      <c r="BS6" s="11">
        <f t="shared" si="31"/>
        <v>4</v>
      </c>
      <c r="BT6" s="11">
        <f t="shared" si="32"/>
        <v>3.34</v>
      </c>
      <c r="BU6" s="11">
        <f t="shared" si="33"/>
        <v>12.14</v>
      </c>
      <c r="BV6" s="11">
        <f t="shared" si="34"/>
        <v>12.14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 t="shared" si="39"/>
        <v>16</v>
      </c>
      <c r="CR6" s="38">
        <f t="shared" si="40"/>
        <v>15.19</v>
      </c>
      <c r="CS6" s="40">
        <f t="shared" si="41"/>
        <v>56.39</v>
      </c>
      <c r="CT6" s="40">
        <f t="shared" si="42"/>
        <v>16.8</v>
      </c>
      <c r="CU6" s="40">
        <f t="shared" si="43"/>
        <v>15.87</v>
      </c>
      <c r="CV6" s="40">
        <f t="shared" si="44"/>
        <v>58.769999999999996</v>
      </c>
      <c r="CW6" s="40">
        <f t="shared" si="45"/>
        <v>58.769999999999996</v>
      </c>
      <c r="CX6" s="40">
        <f t="shared" si="46"/>
        <v>7.1</v>
      </c>
      <c r="CY6" s="40">
        <f t="shared" si="47"/>
        <v>7.7</v>
      </c>
      <c r="CZ6" s="40">
        <f t="shared" si="48"/>
        <v>26.999999999999996</v>
      </c>
      <c r="DA6" s="40">
        <f t="shared" si="49"/>
        <v>85.77</v>
      </c>
      <c r="DB6" s="51">
        <f t="shared" si="50"/>
        <v>0.48499999999999943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 t="shared" si="66"/>
        <v>8.6999999999999993</v>
      </c>
      <c r="FG6" s="11">
        <f t="shared" si="67"/>
        <v>15.39</v>
      </c>
      <c r="FH6" s="11">
        <f t="shared" si="68"/>
        <v>55.39</v>
      </c>
      <c r="FI6" s="11">
        <f t="shared" si="69"/>
        <v>17</v>
      </c>
      <c r="FJ6" s="11">
        <f t="shared" si="70"/>
        <v>15.545</v>
      </c>
      <c r="FK6" s="11">
        <f t="shared" si="71"/>
        <v>56.245000000000005</v>
      </c>
      <c r="FL6" s="11">
        <f t="shared" si="72"/>
        <v>56.245000000000005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>
        <f t="shared" si="76"/>
        <v>17</v>
      </c>
      <c r="FQ6" s="11">
        <f t="shared" si="77"/>
        <v>15.25</v>
      </c>
      <c r="FR6" s="11">
        <f t="shared" si="78"/>
        <v>55.85</v>
      </c>
      <c r="FS6" s="11">
        <f t="shared" si="79"/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8.8000000000000007</v>
      </c>
      <c r="WU6" s="26">
        <f t="shared" si="263"/>
        <v>5.1000000000000005</v>
      </c>
      <c r="WV6" s="26">
        <f t="shared" si="264"/>
        <v>9</v>
      </c>
      <c r="WW6" s="26">
        <f t="shared" si="265"/>
        <v>8.4450000000000003</v>
      </c>
      <c r="WX6" s="26">
        <f t="shared" si="266"/>
        <v>0</v>
      </c>
      <c r="WY6" s="26">
        <f t="shared" si="267"/>
        <v>9.6999999999999993</v>
      </c>
      <c r="WZ6" s="26">
        <f t="shared" si="268"/>
        <v>5.75</v>
      </c>
      <c r="XA6" s="26">
        <f t="shared" si="269"/>
        <v>10.4</v>
      </c>
      <c r="XB6" s="26">
        <f t="shared" si="270"/>
        <v>9.6050000000000004</v>
      </c>
      <c r="XC6" s="26">
        <f t="shared" si="271"/>
        <v>0</v>
      </c>
      <c r="XD6" s="26">
        <f t="shared" si="272"/>
        <v>3.95</v>
      </c>
      <c r="XE6" s="26">
        <f t="shared" si="273"/>
        <v>2.15</v>
      </c>
      <c r="XF6" s="26">
        <f t="shared" si="274"/>
        <v>3.55</v>
      </c>
      <c r="XG6" s="26">
        <f t="shared" si="275"/>
        <v>3.85</v>
      </c>
      <c r="XH6" s="26">
        <f t="shared" si="276"/>
        <v>0</v>
      </c>
      <c r="XI6" s="28" t="s">
        <v>53</v>
      </c>
      <c r="XJ6" s="11">
        <f t="shared" si="277"/>
        <v>9</v>
      </c>
      <c r="XK6" s="11">
        <f t="shared" si="278"/>
        <v>8.4450000000000003</v>
      </c>
      <c r="XL6" s="11">
        <f t="shared" si="279"/>
        <v>31.345000000000002</v>
      </c>
      <c r="XM6" s="11">
        <f t="shared" si="280"/>
        <v>10.4</v>
      </c>
      <c r="XN6" s="11">
        <f t="shared" si="281"/>
        <v>9.6050000000000004</v>
      </c>
      <c r="XO6" s="11">
        <f t="shared" si="282"/>
        <v>35.454999999999998</v>
      </c>
      <c r="XP6" s="11">
        <f t="shared" si="283"/>
        <v>35.454999999999998</v>
      </c>
      <c r="XQ6" s="11">
        <f t="shared" si="284"/>
        <v>3.55</v>
      </c>
      <c r="XR6" s="11">
        <f t="shared" si="285"/>
        <v>3.85</v>
      </c>
      <c r="XS6" s="11">
        <f t="shared" si="286"/>
        <v>13.499999999999998</v>
      </c>
      <c r="XT6" s="11">
        <f t="shared" si="287"/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 t="shared" si="0"/>
        <v>256.89002564100565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15.9</v>
      </c>
      <c r="S7" s="8" t="str">
        <f t="shared" si="11"/>
        <v>2025 Nationals</v>
      </c>
      <c r="T7" s="8">
        <f t="shared" si="12"/>
        <v>15.33</v>
      </c>
      <c r="U7" s="8" t="str">
        <f t="shared" si="13"/>
        <v>2025 Nationals</v>
      </c>
      <c r="V7" s="8">
        <f t="shared" si="14"/>
        <v>0.48000000000000398</v>
      </c>
      <c r="W7" s="11" t="str">
        <f t="shared" si="15"/>
        <v>(Prelim)</v>
      </c>
      <c r="X7" s="8" t="str">
        <f t="shared" si="16"/>
        <v>2025 World Cup POR (July 6)</v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 t="shared" si="17"/>
        <v>14.2</v>
      </c>
      <c r="AP7" s="38">
        <f t="shared" si="18"/>
        <v>15.76</v>
      </c>
      <c r="AQ7" s="40">
        <f t="shared" si="19"/>
        <v>56.26</v>
      </c>
      <c r="AR7" s="40">
        <f t="shared" si="20"/>
        <v>14.4</v>
      </c>
      <c r="AS7" s="40">
        <f t="shared" si="21"/>
        <v>15.83</v>
      </c>
      <c r="AT7" s="40">
        <f t="shared" si="22"/>
        <v>56.529999999999994</v>
      </c>
      <c r="AU7" s="40">
        <f t="shared" si="23"/>
        <v>56.529999999999994</v>
      </c>
      <c r="AV7" s="40">
        <f t="shared" si="24"/>
        <v>14.4</v>
      </c>
      <c r="AW7" s="40">
        <f t="shared" si="25"/>
        <v>15.66</v>
      </c>
      <c r="AX7" s="40">
        <f t="shared" si="26"/>
        <v>56.36</v>
      </c>
      <c r="AY7" s="40">
        <f t="shared" si="27"/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 t="shared" si="28"/>
        <v>14.2</v>
      </c>
      <c r="BQ7" s="39">
        <f t="shared" si="29"/>
        <v>13.71</v>
      </c>
      <c r="BR7" s="11">
        <f t="shared" si="30"/>
        <v>48.71</v>
      </c>
      <c r="BS7" s="11">
        <f t="shared" si="31"/>
        <v>15.1</v>
      </c>
      <c r="BT7" s="11">
        <f t="shared" si="32"/>
        <v>15.19</v>
      </c>
      <c r="BU7" s="11">
        <f t="shared" si="33"/>
        <v>51.989999999999995</v>
      </c>
      <c r="BV7" s="11">
        <f t="shared" si="34"/>
        <v>51.989999999999995</v>
      </c>
      <c r="BW7" s="11">
        <f t="shared" si="35"/>
        <v>14.7</v>
      </c>
      <c r="BX7" s="11">
        <f t="shared" si="36"/>
        <v>15.29</v>
      </c>
      <c r="BY7" s="11">
        <f t="shared" si="37"/>
        <v>54.589999999999996</v>
      </c>
      <c r="BZ7" s="11">
        <f t="shared" si="38"/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 t="shared" si="39"/>
        <v>15.9</v>
      </c>
      <c r="CR7" s="38">
        <f t="shared" si="40"/>
        <v>15.33</v>
      </c>
      <c r="CS7" s="40">
        <f t="shared" si="41"/>
        <v>56.03</v>
      </c>
      <c r="CT7" s="40">
        <f t="shared" si="42"/>
        <v>6.9</v>
      </c>
      <c r="CU7" s="40">
        <f t="shared" si="43"/>
        <v>6.43</v>
      </c>
      <c r="CV7" s="40">
        <f t="shared" si="44"/>
        <v>23.73</v>
      </c>
      <c r="CW7" s="40">
        <f t="shared" si="45"/>
        <v>56.03</v>
      </c>
      <c r="CX7" s="40">
        <f t="shared" si="46"/>
        <v>13.9</v>
      </c>
      <c r="CY7" s="40">
        <f t="shared" si="47"/>
        <v>15.04</v>
      </c>
      <c r="CZ7" s="40">
        <f t="shared" si="48"/>
        <v>53.339999999999996</v>
      </c>
      <c r="DA7" s="40">
        <f t="shared" si="49"/>
        <v>109.37</v>
      </c>
      <c r="DB7" s="51">
        <f t="shared" si="50"/>
        <v>0.48000000000000398</v>
      </c>
      <c r="DC7" s="51" t="str">
        <f t="shared" si="51"/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15.5</v>
      </c>
      <c r="DY7" s="40">
        <f t="shared" si="53"/>
        <v>15.27</v>
      </c>
      <c r="DZ7" s="40">
        <f t="shared" si="54"/>
        <v>53.269999999999996</v>
      </c>
      <c r="EA7" s="40">
        <f t="shared" si="55"/>
        <v>3.5</v>
      </c>
      <c r="EB7" s="40">
        <f t="shared" si="56"/>
        <v>3.22</v>
      </c>
      <c r="EC7" s="40">
        <f t="shared" si="57"/>
        <v>11.32</v>
      </c>
      <c r="ED7" s="40">
        <f t="shared" si="58"/>
        <v>53.269999999999996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14.9</v>
      </c>
      <c r="GO7" s="40">
        <f t="shared" si="81"/>
        <v>15.44</v>
      </c>
      <c r="GP7" s="40">
        <f t="shared" si="82"/>
        <v>54.839999999999996</v>
      </c>
      <c r="GQ7" s="40">
        <f t="shared" si="83"/>
        <v>15.3</v>
      </c>
      <c r="GR7" s="40">
        <f t="shared" si="84"/>
        <v>15.81</v>
      </c>
      <c r="GS7" s="40">
        <f t="shared" si="85"/>
        <v>56.510000000000005</v>
      </c>
      <c r="GT7" s="40">
        <f t="shared" si="86"/>
        <v>56.510000000000005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14.350000000000001</v>
      </c>
      <c r="WU7" s="26">
        <f t="shared" si="263"/>
        <v>8.4499999999999993</v>
      </c>
      <c r="WV7" s="26">
        <f t="shared" si="264"/>
        <v>15.05</v>
      </c>
      <c r="WW7" s="26">
        <f t="shared" si="265"/>
        <v>14.52</v>
      </c>
      <c r="WX7" s="26">
        <f t="shared" si="266"/>
        <v>0</v>
      </c>
      <c r="WY7" s="26">
        <f t="shared" si="267"/>
        <v>9.9</v>
      </c>
      <c r="WZ7" s="26">
        <f t="shared" si="268"/>
        <v>6.1499999999999995</v>
      </c>
      <c r="XA7" s="26">
        <f t="shared" si="269"/>
        <v>11</v>
      </c>
      <c r="XB7" s="26">
        <f t="shared" si="270"/>
        <v>10.809999999999999</v>
      </c>
      <c r="XC7" s="26">
        <f t="shared" si="271"/>
        <v>0</v>
      </c>
      <c r="XD7" s="26">
        <f t="shared" si="272"/>
        <v>15.4</v>
      </c>
      <c r="XE7" s="26">
        <f t="shared" si="273"/>
        <v>9.4</v>
      </c>
      <c r="XF7" s="26">
        <f t="shared" si="274"/>
        <v>14.3</v>
      </c>
      <c r="XG7" s="26">
        <f t="shared" si="275"/>
        <v>15.164999999999999</v>
      </c>
      <c r="XH7" s="26">
        <f t="shared" si="276"/>
        <v>0.3</v>
      </c>
      <c r="XI7" s="28" t="s">
        <v>53</v>
      </c>
      <c r="XJ7" s="11">
        <f t="shared" si="277"/>
        <v>15.05</v>
      </c>
      <c r="XK7" s="11">
        <f t="shared" si="278"/>
        <v>14.52</v>
      </c>
      <c r="XL7" s="11">
        <f t="shared" si="279"/>
        <v>52.370000000000005</v>
      </c>
      <c r="XM7" s="11">
        <f t="shared" si="280"/>
        <v>11</v>
      </c>
      <c r="XN7" s="11">
        <f t="shared" si="281"/>
        <v>10.809999999999999</v>
      </c>
      <c r="XO7" s="11">
        <f t="shared" si="282"/>
        <v>37.86</v>
      </c>
      <c r="XP7" s="11">
        <f t="shared" si="283"/>
        <v>52.370000000000005</v>
      </c>
      <c r="XQ7" s="11">
        <f t="shared" si="284"/>
        <v>14.3</v>
      </c>
      <c r="XR7" s="11">
        <f t="shared" si="285"/>
        <v>15.164999999999999</v>
      </c>
      <c r="XS7" s="11">
        <f t="shared" si="286"/>
        <v>53.965000000000003</v>
      </c>
      <c r="XT7" s="11">
        <f t="shared" si="287"/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147</v>
      </c>
      <c r="C8" s="4" t="s">
        <v>7</v>
      </c>
      <c r="D8" s="4">
        <v>2006</v>
      </c>
      <c r="E8" s="9">
        <f t="shared" si="0"/>
        <v>249.10002366600565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56.190000000000005</v>
      </c>
      <c r="K8" s="8" t="str">
        <f t="shared" si="5"/>
        <v>2024 3rd Domestic Trial</v>
      </c>
      <c r="L8" s="8">
        <f>IF(COUNT(AQ8,AT8,BR8,BU8,CS8,CV8)&gt;1,LARGE((AQ8,AT8,BR8,BU8,CS8,CV8),2),0)</f>
        <v>50.3</v>
      </c>
      <c r="M8" s="8" t="str">
        <f t="shared" si="6"/>
        <v>2025 Nationals</v>
      </c>
      <c r="N8" s="8">
        <f>IF(COUNT(AQ8,AT8,BR8,BU8,CS8,CV8)&gt;2,LARGE((AQ8,AT8,BR8,BU8,CS8,CV8),3),0)</f>
        <v>40.43</v>
      </c>
      <c r="O8" s="8" t="str">
        <f t="shared" si="7"/>
        <v>2025 Nationals</v>
      </c>
      <c r="P8" s="8">
        <f t="shared" si="8"/>
        <v>57.120000000000005</v>
      </c>
      <c r="Q8" s="8" t="str">
        <f t="shared" si="9"/>
        <v>2024 3rd Domestic Trial</v>
      </c>
      <c r="R8" s="8">
        <f t="shared" si="10"/>
        <v>16.2</v>
      </c>
      <c r="S8" s="8" t="str">
        <f t="shared" si="11"/>
        <v>2024 3rd Domestic Trial</v>
      </c>
      <c r="T8" s="8">
        <f t="shared" si="12"/>
        <v>16.420000000000002</v>
      </c>
      <c r="U8" s="8" t="str">
        <f t="shared" si="13"/>
        <v>2024 3rd Domestic Trial</v>
      </c>
      <c r="V8" s="8">
        <f t="shared" si="14"/>
        <v>12.439999999999998</v>
      </c>
      <c r="W8" s="11" t="str">
        <f t="shared" si="15"/>
        <v>(Prelim)</v>
      </c>
      <c r="X8" s="8" t="str">
        <f t="shared" si="16"/>
        <v>2025 World Cup ITA (April 5)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 t="shared" si="17"/>
        <v>3.8</v>
      </c>
      <c r="AP8" s="38">
        <f t="shared" si="18"/>
        <v>3.5</v>
      </c>
      <c r="AQ8" s="40">
        <f t="shared" si="19"/>
        <v>12.2</v>
      </c>
      <c r="AR8" s="40">
        <f t="shared" si="20"/>
        <v>16.2</v>
      </c>
      <c r="AS8" s="40">
        <f t="shared" si="21"/>
        <v>15.99</v>
      </c>
      <c r="AT8" s="40">
        <f t="shared" si="22"/>
        <v>56.190000000000005</v>
      </c>
      <c r="AU8" s="40">
        <f t="shared" si="23"/>
        <v>56.190000000000005</v>
      </c>
      <c r="AV8" s="40">
        <f t="shared" si="24"/>
        <v>16.2</v>
      </c>
      <c r="AW8" s="40">
        <f t="shared" si="25"/>
        <v>16.420000000000002</v>
      </c>
      <c r="AX8" s="40">
        <f t="shared" si="26"/>
        <v>57.120000000000005</v>
      </c>
      <c r="AY8" s="40">
        <f t="shared" si="27"/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2</v>
      </c>
      <c r="BQ8" s="39">
        <f t="shared" si="29"/>
        <v>1.72</v>
      </c>
      <c r="BR8" s="11">
        <f t="shared" si="30"/>
        <v>6.3199999999999994</v>
      </c>
      <c r="BS8" s="11">
        <f t="shared" si="31"/>
        <v>9</v>
      </c>
      <c r="BT8" s="11">
        <f t="shared" si="32"/>
        <v>11.15</v>
      </c>
      <c r="BU8" s="11">
        <f t="shared" si="33"/>
        <v>35.85</v>
      </c>
      <c r="BV8" s="11">
        <f t="shared" si="34"/>
        <v>35.85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 t="shared" si="39"/>
        <v>11</v>
      </c>
      <c r="CR8" s="38">
        <f t="shared" si="40"/>
        <v>11.13</v>
      </c>
      <c r="CS8" s="40">
        <f t="shared" si="41"/>
        <v>40.43</v>
      </c>
      <c r="CT8" s="40">
        <f t="shared" si="42"/>
        <v>13.8</v>
      </c>
      <c r="CU8" s="40">
        <f t="shared" si="43"/>
        <v>14.2</v>
      </c>
      <c r="CV8" s="40">
        <f t="shared" si="44"/>
        <v>50.3</v>
      </c>
      <c r="CW8" s="40">
        <f t="shared" si="45"/>
        <v>50.3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50.3</v>
      </c>
      <c r="DB8" s="51">
        <f t="shared" si="50"/>
        <v>12.439999999999998</v>
      </c>
      <c r="DC8" s="51" t="str">
        <f t="shared" si="51"/>
        <v/>
      </c>
      <c r="DD8" s="17">
        <v>14.3</v>
      </c>
      <c r="DE8" s="17">
        <v>8.6999999999999993</v>
      </c>
      <c r="DF8" s="17">
        <v>14.8</v>
      </c>
      <c r="DG8" s="17">
        <v>15.07</v>
      </c>
      <c r="DH8" s="17">
        <v>0</v>
      </c>
      <c r="DI8" s="17">
        <v>13.8</v>
      </c>
      <c r="DJ8" s="17">
        <v>8.6999999999999993</v>
      </c>
      <c r="DK8" s="17">
        <v>14.4</v>
      </c>
      <c r="DL8" s="17">
        <v>15.35</v>
      </c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52"/>
        <v>14.8</v>
      </c>
      <c r="DY8" s="40">
        <f t="shared" si="53"/>
        <v>15.07</v>
      </c>
      <c r="DZ8" s="40">
        <f t="shared" si="54"/>
        <v>52.87</v>
      </c>
      <c r="EA8" s="40">
        <f t="shared" si="55"/>
        <v>14.4</v>
      </c>
      <c r="EB8" s="40">
        <f t="shared" si="56"/>
        <v>15.35</v>
      </c>
      <c r="EC8" s="40">
        <f t="shared" si="57"/>
        <v>52.25</v>
      </c>
      <c r="ED8" s="40">
        <f t="shared" si="58"/>
        <v>52.87</v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52.87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6.8</v>
      </c>
      <c r="WU8" s="26">
        <f t="shared" si="263"/>
        <v>3.65</v>
      </c>
      <c r="WV8" s="26">
        <f t="shared" si="264"/>
        <v>6.5</v>
      </c>
      <c r="WW8" s="26">
        <f t="shared" si="265"/>
        <v>6.4250000000000007</v>
      </c>
      <c r="WX8" s="26">
        <f t="shared" si="266"/>
        <v>0</v>
      </c>
      <c r="WY8" s="26">
        <f t="shared" si="267"/>
        <v>12.25</v>
      </c>
      <c r="WZ8" s="26">
        <f t="shared" si="268"/>
        <v>6.75</v>
      </c>
      <c r="XA8" s="26">
        <f t="shared" si="269"/>
        <v>11.4</v>
      </c>
      <c r="XB8" s="26">
        <f t="shared" si="270"/>
        <v>12.675000000000001</v>
      </c>
      <c r="XC8" s="26">
        <f t="shared" si="271"/>
        <v>0</v>
      </c>
      <c r="XD8" s="26">
        <f t="shared" si="272"/>
        <v>0</v>
      </c>
      <c r="XE8" s="26">
        <f t="shared" si="273"/>
        <v>0</v>
      </c>
      <c r="XF8" s="26">
        <f t="shared" si="274"/>
        <v>0</v>
      </c>
      <c r="XG8" s="26">
        <f t="shared" si="275"/>
        <v>0</v>
      </c>
      <c r="XH8" s="26">
        <f t="shared" si="276"/>
        <v>0</v>
      </c>
      <c r="XI8" s="28" t="s">
        <v>53</v>
      </c>
      <c r="XJ8" s="11">
        <f t="shared" si="277"/>
        <v>6.5</v>
      </c>
      <c r="XK8" s="11">
        <f t="shared" si="278"/>
        <v>6.4250000000000007</v>
      </c>
      <c r="XL8" s="11">
        <f t="shared" si="279"/>
        <v>23.375</v>
      </c>
      <c r="XM8" s="11">
        <f t="shared" si="280"/>
        <v>11.4</v>
      </c>
      <c r="XN8" s="11">
        <f t="shared" si="281"/>
        <v>12.675000000000001</v>
      </c>
      <c r="XO8" s="11">
        <f t="shared" si="282"/>
        <v>43.075000000000003</v>
      </c>
      <c r="XP8" s="11">
        <f t="shared" si="283"/>
        <v>43.075000000000003</v>
      </c>
      <c r="XQ8" s="11" t="str">
        <f t="shared" si="284"/>
        <v/>
      </c>
      <c r="XR8" s="11" t="str">
        <f t="shared" si="285"/>
        <v/>
      </c>
      <c r="XS8" s="11" t="str">
        <f t="shared" si="286"/>
        <v/>
      </c>
      <c r="XT8" s="11">
        <f t="shared" si="287"/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194</v>
      </c>
      <c r="C9" s="4" t="s">
        <v>7</v>
      </c>
      <c r="D9" s="4">
        <v>2008</v>
      </c>
      <c r="E9" s="9">
        <f t="shared" si="0"/>
        <v>241.56002415600557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55.58</v>
      </c>
      <c r="K9" s="8" t="str">
        <f t="shared" si="5"/>
        <v>2025 Nationals</v>
      </c>
      <c r="L9" s="8">
        <f>IF(COUNT(AQ9,AT9,BR9,BU9,CS9,CV9)&gt;1,LARGE((AQ9,AT9,BR9,BU9,CS9,CV9),2),0)</f>
        <v>50.71</v>
      </c>
      <c r="M9" s="8" t="str">
        <f t="shared" si="6"/>
        <v>2025 Elite Canada</v>
      </c>
      <c r="N9" s="8">
        <f>IF(COUNT(AQ9,AT9,BR9,BU9,CS9,CV9)&gt;2,LARGE((AQ9,AT9,BR9,BU9,CS9,CV9),3),0)</f>
        <v>49.12</v>
      </c>
      <c r="O9" s="8" t="str">
        <f t="shared" si="7"/>
        <v>2024 3rd Domestic Trial</v>
      </c>
      <c r="P9" s="8">
        <f t="shared" si="8"/>
        <v>54.57</v>
      </c>
      <c r="Q9" s="8" t="str">
        <f t="shared" si="9"/>
        <v>2025 Nationals</v>
      </c>
      <c r="R9" s="8">
        <f t="shared" si="10"/>
        <v>15.9</v>
      </c>
      <c r="S9" s="8" t="str">
        <f t="shared" si="11"/>
        <v>2025 Nationals</v>
      </c>
      <c r="T9" s="8">
        <f t="shared" si="12"/>
        <v>15.68</v>
      </c>
      <c r="U9" s="8" t="str">
        <f t="shared" si="13"/>
        <v>2025 Nationals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18</v>
      </c>
      <c r="Z9" s="22">
        <v>9.4</v>
      </c>
      <c r="AA9" s="22">
        <v>0</v>
      </c>
      <c r="AB9" s="22">
        <v>16.57</v>
      </c>
      <c r="AC9" s="22">
        <v>0</v>
      </c>
      <c r="AD9" s="22">
        <v>13.5</v>
      </c>
      <c r="AE9" s="22">
        <v>8.5</v>
      </c>
      <c r="AF9" s="22">
        <v>12.8</v>
      </c>
      <c r="AG9" s="22">
        <v>14.32</v>
      </c>
      <c r="AH9" s="22">
        <v>0</v>
      </c>
      <c r="AI9" s="22">
        <v>14.7</v>
      </c>
      <c r="AJ9" s="22">
        <v>8.8000000000000007</v>
      </c>
      <c r="AK9" s="22">
        <v>14.4</v>
      </c>
      <c r="AL9" s="22">
        <v>15.99</v>
      </c>
      <c r="AM9" s="22">
        <v>0</v>
      </c>
      <c r="AN9" s="27"/>
      <c r="AO9" s="38" t="str">
        <f t="shared" si="17"/>
        <v/>
      </c>
      <c r="AP9" s="38">
        <f t="shared" si="18"/>
        <v>16.57</v>
      </c>
      <c r="AQ9" s="40">
        <f t="shared" si="19"/>
        <v>43.97</v>
      </c>
      <c r="AR9" s="40">
        <f t="shared" si="20"/>
        <v>12.8</v>
      </c>
      <c r="AS9" s="40">
        <f t="shared" si="21"/>
        <v>14.32</v>
      </c>
      <c r="AT9" s="40">
        <f t="shared" si="22"/>
        <v>49.12</v>
      </c>
      <c r="AU9" s="40">
        <f t="shared" si="23"/>
        <v>49.12</v>
      </c>
      <c r="AV9" s="40">
        <f t="shared" si="24"/>
        <v>14.4</v>
      </c>
      <c r="AW9" s="40">
        <f t="shared" si="25"/>
        <v>15.99</v>
      </c>
      <c r="AX9" s="40">
        <f t="shared" si="26"/>
        <v>53.89</v>
      </c>
      <c r="AY9" s="40">
        <f t="shared" si="27"/>
        <v>103.00999999999999</v>
      </c>
      <c r="AZ9" s="26">
        <v>14</v>
      </c>
      <c r="BA9" s="26">
        <v>9.1999999999999993</v>
      </c>
      <c r="BB9" s="26">
        <v>13.4</v>
      </c>
      <c r="BC9" s="26">
        <v>15.21</v>
      </c>
      <c r="BD9" s="26">
        <v>1.1000000000000001</v>
      </c>
      <c r="BE9" s="26">
        <v>4.7</v>
      </c>
      <c r="BF9" s="26">
        <v>3</v>
      </c>
      <c r="BG9" s="26">
        <v>5</v>
      </c>
      <c r="BH9" s="26">
        <v>5.03</v>
      </c>
      <c r="BI9" s="26">
        <v>0</v>
      </c>
      <c r="BJ9" s="26">
        <v>7.6</v>
      </c>
      <c r="BK9" s="26">
        <v>5.3</v>
      </c>
      <c r="BL9" s="26">
        <v>6.9</v>
      </c>
      <c r="BM9" s="26">
        <v>9.18</v>
      </c>
      <c r="BN9" s="26">
        <v>0</v>
      </c>
      <c r="BO9" s="28"/>
      <c r="BP9" s="39">
        <f t="shared" si="28"/>
        <v>13.4</v>
      </c>
      <c r="BQ9" s="39">
        <f t="shared" si="29"/>
        <v>15.21</v>
      </c>
      <c r="BR9" s="11">
        <f t="shared" si="30"/>
        <v>50.71</v>
      </c>
      <c r="BS9" s="11">
        <f t="shared" si="31"/>
        <v>5</v>
      </c>
      <c r="BT9" s="11">
        <f t="shared" si="32"/>
        <v>5.03</v>
      </c>
      <c r="BU9" s="11">
        <f t="shared" si="33"/>
        <v>17.73</v>
      </c>
      <c r="BV9" s="11">
        <f t="shared" si="34"/>
        <v>50.71</v>
      </c>
      <c r="BW9" s="11">
        <f t="shared" si="35"/>
        <v>6.9</v>
      </c>
      <c r="BX9" s="11">
        <f t="shared" si="36"/>
        <v>9.18</v>
      </c>
      <c r="BY9" s="11">
        <f t="shared" si="37"/>
        <v>28.979999999999997</v>
      </c>
      <c r="BZ9" s="11">
        <f t="shared" si="38"/>
        <v>79.69</v>
      </c>
      <c r="CA9" s="22">
        <v>5.7</v>
      </c>
      <c r="CB9" s="22">
        <v>3.7</v>
      </c>
      <c r="CC9" s="22">
        <v>6.9</v>
      </c>
      <c r="CD9" s="22">
        <v>6.48</v>
      </c>
      <c r="CE9" s="22">
        <v>0</v>
      </c>
      <c r="CF9" s="22">
        <v>14.7</v>
      </c>
      <c r="CG9" s="22">
        <v>9.3000000000000007</v>
      </c>
      <c r="CH9" s="22">
        <v>15.9</v>
      </c>
      <c r="CI9" s="22">
        <v>15.68</v>
      </c>
      <c r="CJ9" s="22">
        <v>0</v>
      </c>
      <c r="CK9" s="22">
        <v>15.3</v>
      </c>
      <c r="CL9" s="22">
        <v>9.1999999999999993</v>
      </c>
      <c r="CM9" s="22">
        <v>14.9</v>
      </c>
      <c r="CN9" s="22">
        <v>15.17</v>
      </c>
      <c r="CO9" s="22">
        <v>0</v>
      </c>
      <c r="CP9" s="27"/>
      <c r="CQ9" s="38">
        <f t="shared" si="39"/>
        <v>6.9</v>
      </c>
      <c r="CR9" s="38">
        <f t="shared" si="40"/>
        <v>6.48</v>
      </c>
      <c r="CS9" s="40">
        <f t="shared" si="41"/>
        <v>22.78</v>
      </c>
      <c r="CT9" s="40">
        <f t="shared" si="42"/>
        <v>15.9</v>
      </c>
      <c r="CU9" s="40">
        <f t="shared" si="43"/>
        <v>15.68</v>
      </c>
      <c r="CV9" s="40">
        <f t="shared" si="44"/>
        <v>55.58</v>
      </c>
      <c r="CW9" s="40">
        <f t="shared" si="45"/>
        <v>55.58</v>
      </c>
      <c r="CX9" s="40">
        <f t="shared" si="46"/>
        <v>14.9</v>
      </c>
      <c r="CY9" s="40">
        <f t="shared" si="47"/>
        <v>15.17</v>
      </c>
      <c r="CZ9" s="40">
        <f t="shared" si="48"/>
        <v>54.57</v>
      </c>
      <c r="DA9" s="40">
        <f t="shared" si="49"/>
        <v>110.15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9.85</v>
      </c>
      <c r="WU9" s="26">
        <f t="shared" si="263"/>
        <v>6.4499999999999993</v>
      </c>
      <c r="WV9" s="26">
        <f t="shared" si="264"/>
        <v>10.15</v>
      </c>
      <c r="WW9" s="26">
        <f t="shared" si="265"/>
        <v>10.845000000000001</v>
      </c>
      <c r="WX9" s="26">
        <f t="shared" si="266"/>
        <v>0.55000000000000004</v>
      </c>
      <c r="WY9" s="26">
        <f t="shared" si="267"/>
        <v>9.6999999999999993</v>
      </c>
      <c r="WZ9" s="26">
        <f t="shared" si="268"/>
        <v>6.15</v>
      </c>
      <c r="XA9" s="26">
        <f t="shared" si="269"/>
        <v>10.45</v>
      </c>
      <c r="XB9" s="26">
        <f t="shared" si="270"/>
        <v>10.355</v>
      </c>
      <c r="XC9" s="26">
        <f t="shared" si="271"/>
        <v>0</v>
      </c>
      <c r="XD9" s="26">
        <f t="shared" si="272"/>
        <v>11.45</v>
      </c>
      <c r="XE9" s="26">
        <f t="shared" si="273"/>
        <v>7.25</v>
      </c>
      <c r="XF9" s="26">
        <f t="shared" si="274"/>
        <v>10.9</v>
      </c>
      <c r="XG9" s="26">
        <f t="shared" si="275"/>
        <v>12.175000000000001</v>
      </c>
      <c r="XH9" s="26">
        <f t="shared" si="276"/>
        <v>0</v>
      </c>
      <c r="XI9" s="28" t="s">
        <v>53</v>
      </c>
      <c r="XJ9" s="11">
        <f t="shared" si="277"/>
        <v>10.15</v>
      </c>
      <c r="XK9" s="11">
        <f t="shared" si="278"/>
        <v>10.845000000000001</v>
      </c>
      <c r="XL9" s="11">
        <f t="shared" si="279"/>
        <v>36.744999999999997</v>
      </c>
      <c r="XM9" s="11">
        <f t="shared" si="280"/>
        <v>10.45</v>
      </c>
      <c r="XN9" s="11">
        <f t="shared" si="281"/>
        <v>10.355</v>
      </c>
      <c r="XO9" s="11">
        <f t="shared" si="282"/>
        <v>36.655000000000001</v>
      </c>
      <c r="XP9" s="11">
        <f t="shared" si="283"/>
        <v>36.744999999999997</v>
      </c>
      <c r="XQ9" s="11">
        <f t="shared" si="284"/>
        <v>10.9</v>
      </c>
      <c r="XR9" s="11">
        <f t="shared" si="285"/>
        <v>12.175000000000001</v>
      </c>
      <c r="XS9" s="11">
        <f t="shared" si="286"/>
        <v>41.775000000000006</v>
      </c>
      <c r="XT9" s="11">
        <f t="shared" si="287"/>
        <v>78.52000000000001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72</v>
      </c>
      <c r="C10" s="4" t="s">
        <v>71</v>
      </c>
      <c r="D10" s="4">
        <v>2001</v>
      </c>
      <c r="E10" s="9">
        <f t="shared" si="0"/>
        <v>237.74502256300542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54.739999999999995</v>
      </c>
      <c r="K10" s="8" t="str">
        <f t="shared" si="5"/>
        <v>2024 3rd Domestic Trial</v>
      </c>
      <c r="L10" s="8">
        <f>IF(COUNT(AQ10,AT10,BR10,BU10,CS10,CV10)&gt;1,LARGE((AQ10,AT10,BR10,BU10,CS10,CV10),2),0)</f>
        <v>50.87</v>
      </c>
      <c r="M10" s="8" t="str">
        <f t="shared" si="6"/>
        <v>2025 Nationals</v>
      </c>
      <c r="N10" s="8">
        <f>IF(COUNT(AQ10,AT10,BR10,BU10,CS10,CV10)&gt;2,LARGE((AQ10,AT10,BR10,BU10,CS10,CV10),3),0)</f>
        <v>34.660000000000004</v>
      </c>
      <c r="O10" s="8" t="str">
        <f t="shared" si="7"/>
        <v>2024 3rd Domestic Trial</v>
      </c>
      <c r="P10" s="8">
        <f t="shared" si="8"/>
        <v>53.83</v>
      </c>
      <c r="Q10" s="8" t="str">
        <f t="shared" si="9"/>
        <v>2024 3rd Domestic Trial</v>
      </c>
      <c r="R10" s="8">
        <f t="shared" si="10"/>
        <v>15.6</v>
      </c>
      <c r="S10" s="8" t="str">
        <f t="shared" si="11"/>
        <v>2025 Nationals</v>
      </c>
      <c r="T10" s="8">
        <f t="shared" si="12"/>
        <v>15.93</v>
      </c>
      <c r="U10" s="8" t="str">
        <f t="shared" si="13"/>
        <v>2024 3rd Domestic Trial</v>
      </c>
      <c r="V10" s="8">
        <f t="shared" si="14"/>
        <v>12.114999999999995</v>
      </c>
      <c r="W10" s="11" t="str">
        <f t="shared" si="15"/>
        <v>(Prelim)</v>
      </c>
      <c r="X10" s="8" t="str">
        <f t="shared" si="16"/>
        <v>2025 Pan Am Championships (May 18)</v>
      </c>
      <c r="Y10" s="22">
        <v>11.1</v>
      </c>
      <c r="Z10" s="22">
        <v>6</v>
      </c>
      <c r="AA10" s="22">
        <v>6.5</v>
      </c>
      <c r="AB10" s="22">
        <v>11.06</v>
      </c>
      <c r="AC10" s="22">
        <v>0</v>
      </c>
      <c r="AD10" s="22">
        <v>14.8</v>
      </c>
      <c r="AE10" s="22">
        <v>8.6999999999999993</v>
      </c>
      <c r="AF10" s="22">
        <v>15.4</v>
      </c>
      <c r="AG10" s="22">
        <v>15.84</v>
      </c>
      <c r="AH10" s="22">
        <v>0</v>
      </c>
      <c r="AI10" s="22">
        <v>13.1</v>
      </c>
      <c r="AJ10" s="22">
        <v>9.1999999999999993</v>
      </c>
      <c r="AK10" s="22">
        <v>15.6</v>
      </c>
      <c r="AL10" s="22">
        <v>15.93</v>
      </c>
      <c r="AM10" s="22">
        <v>0</v>
      </c>
      <c r="AN10" s="27"/>
      <c r="AO10" s="38">
        <f t="shared" si="17"/>
        <v>6.5</v>
      </c>
      <c r="AP10" s="38">
        <f t="shared" si="18"/>
        <v>11.06</v>
      </c>
      <c r="AQ10" s="40">
        <f t="shared" si="19"/>
        <v>34.660000000000004</v>
      </c>
      <c r="AR10" s="40">
        <f t="shared" si="20"/>
        <v>15.4</v>
      </c>
      <c r="AS10" s="40">
        <f t="shared" si="21"/>
        <v>15.84</v>
      </c>
      <c r="AT10" s="40">
        <f t="shared" si="22"/>
        <v>54.739999999999995</v>
      </c>
      <c r="AU10" s="40">
        <f t="shared" si="23"/>
        <v>54.739999999999995</v>
      </c>
      <c r="AV10" s="40">
        <f t="shared" si="24"/>
        <v>15.6</v>
      </c>
      <c r="AW10" s="40">
        <f t="shared" si="25"/>
        <v>15.93</v>
      </c>
      <c r="AX10" s="40">
        <f t="shared" si="26"/>
        <v>53.83</v>
      </c>
      <c r="AY10" s="40">
        <f t="shared" si="27"/>
        <v>108.57</v>
      </c>
      <c r="AZ10" s="26">
        <v>3.2</v>
      </c>
      <c r="BA10" s="26">
        <v>1.6</v>
      </c>
      <c r="BB10" s="26">
        <v>3.3</v>
      </c>
      <c r="BC10" s="26">
        <v>3.24</v>
      </c>
      <c r="BD10" s="26">
        <v>0</v>
      </c>
      <c r="BE10" s="26">
        <v>8.1</v>
      </c>
      <c r="BF10" s="26">
        <v>5.3</v>
      </c>
      <c r="BG10" s="26">
        <v>7</v>
      </c>
      <c r="BH10" s="26">
        <v>8.89</v>
      </c>
      <c r="BI10" s="26">
        <v>0</v>
      </c>
      <c r="BJ10" s="26"/>
      <c r="BK10" s="26"/>
      <c r="BL10" s="26"/>
      <c r="BM10" s="26"/>
      <c r="BN10" s="26"/>
      <c r="BO10" s="28"/>
      <c r="BP10" s="39">
        <f t="shared" si="28"/>
        <v>3.3</v>
      </c>
      <c r="BQ10" s="39">
        <f t="shared" si="29"/>
        <v>3.24</v>
      </c>
      <c r="BR10" s="11">
        <f t="shared" si="30"/>
        <v>11.340000000000002</v>
      </c>
      <c r="BS10" s="11">
        <f t="shared" si="31"/>
        <v>7</v>
      </c>
      <c r="BT10" s="11">
        <f t="shared" si="32"/>
        <v>8.89</v>
      </c>
      <c r="BU10" s="11">
        <f t="shared" si="33"/>
        <v>29.29</v>
      </c>
      <c r="BV10" s="11">
        <f t="shared" si="34"/>
        <v>29.29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29.29</v>
      </c>
      <c r="CA10" s="22">
        <v>1.8</v>
      </c>
      <c r="CB10" s="22">
        <v>1</v>
      </c>
      <c r="CC10" s="22">
        <v>2</v>
      </c>
      <c r="CD10" s="22">
        <v>1.66</v>
      </c>
      <c r="CE10" s="22">
        <v>0</v>
      </c>
      <c r="CF10" s="22">
        <v>10.9</v>
      </c>
      <c r="CG10" s="22">
        <v>8.9</v>
      </c>
      <c r="CH10" s="22">
        <v>15.6</v>
      </c>
      <c r="CI10" s="22">
        <v>15.47</v>
      </c>
      <c r="CJ10" s="22">
        <v>0</v>
      </c>
      <c r="CK10" s="22">
        <v>3.2</v>
      </c>
      <c r="CL10" s="22">
        <v>2</v>
      </c>
      <c r="CM10" s="22">
        <v>4</v>
      </c>
      <c r="CN10" s="22">
        <v>3.29</v>
      </c>
      <c r="CO10" s="22">
        <v>0</v>
      </c>
      <c r="CP10" s="27"/>
      <c r="CQ10" s="38">
        <f t="shared" si="39"/>
        <v>2</v>
      </c>
      <c r="CR10" s="38">
        <f t="shared" si="40"/>
        <v>1.66</v>
      </c>
      <c r="CS10" s="40">
        <f t="shared" si="41"/>
        <v>6.46</v>
      </c>
      <c r="CT10" s="40">
        <f t="shared" si="42"/>
        <v>15.6</v>
      </c>
      <c r="CU10" s="40">
        <f t="shared" si="43"/>
        <v>15.47</v>
      </c>
      <c r="CV10" s="40">
        <f t="shared" si="44"/>
        <v>50.87</v>
      </c>
      <c r="CW10" s="40">
        <f t="shared" si="45"/>
        <v>50.87</v>
      </c>
      <c r="CX10" s="40">
        <f t="shared" si="46"/>
        <v>4</v>
      </c>
      <c r="CY10" s="40">
        <f t="shared" si="47"/>
        <v>3.29</v>
      </c>
      <c r="CZ10" s="40">
        <f t="shared" si="48"/>
        <v>12.489999999999998</v>
      </c>
      <c r="DA10" s="40">
        <f t="shared" si="49"/>
        <v>63.36</v>
      </c>
      <c r="DB10" s="51">
        <f t="shared" si="50"/>
        <v>12.114999999999995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>
        <v>1.4</v>
      </c>
      <c r="EM10" s="18">
        <v>0.8</v>
      </c>
      <c r="EN10" s="18">
        <v>2</v>
      </c>
      <c r="EO10" s="18">
        <v>1.69</v>
      </c>
      <c r="EP10" s="18">
        <v>0</v>
      </c>
      <c r="EQ10" s="18">
        <v>12.7</v>
      </c>
      <c r="ER10" s="18">
        <v>8</v>
      </c>
      <c r="ES10" s="18">
        <v>12.8</v>
      </c>
      <c r="ET10" s="18">
        <v>13.275</v>
      </c>
      <c r="EU10" s="18">
        <v>0</v>
      </c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>
        <f t="shared" si="66"/>
        <v>2</v>
      </c>
      <c r="FG10" s="11">
        <f t="shared" si="67"/>
        <v>1.69</v>
      </c>
      <c r="FH10" s="11">
        <f t="shared" si="68"/>
        <v>5.8900000000000006</v>
      </c>
      <c r="FI10" s="11">
        <f t="shared" si="69"/>
        <v>12.8</v>
      </c>
      <c r="FJ10" s="11">
        <f t="shared" si="70"/>
        <v>13.275</v>
      </c>
      <c r="FK10" s="11">
        <f t="shared" si="71"/>
        <v>46.774999999999999</v>
      </c>
      <c r="FL10" s="11">
        <f t="shared" si="72"/>
        <v>46.774999999999999</v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>
        <f t="shared" si="79"/>
        <v>46.774999999999999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2.5</v>
      </c>
      <c r="WU10" s="26">
        <f t="shared" si="263"/>
        <v>1.3</v>
      </c>
      <c r="WV10" s="26">
        <f t="shared" si="264"/>
        <v>2.65</v>
      </c>
      <c r="WW10" s="26">
        <f t="shared" si="265"/>
        <v>2.4500000000000002</v>
      </c>
      <c r="WX10" s="26">
        <f t="shared" si="266"/>
        <v>0</v>
      </c>
      <c r="WY10" s="26">
        <f t="shared" si="267"/>
        <v>9.5</v>
      </c>
      <c r="WZ10" s="26">
        <f t="shared" si="268"/>
        <v>7.1</v>
      </c>
      <c r="XA10" s="26">
        <f t="shared" si="269"/>
        <v>11.3</v>
      </c>
      <c r="XB10" s="26">
        <f t="shared" si="270"/>
        <v>12.18</v>
      </c>
      <c r="XC10" s="26">
        <f t="shared" si="271"/>
        <v>0</v>
      </c>
      <c r="XD10" s="26">
        <f t="shared" si="272"/>
        <v>1.6</v>
      </c>
      <c r="XE10" s="26">
        <f t="shared" si="273"/>
        <v>1</v>
      </c>
      <c r="XF10" s="26">
        <f t="shared" si="274"/>
        <v>2</v>
      </c>
      <c r="XG10" s="26">
        <f t="shared" si="275"/>
        <v>1.645</v>
      </c>
      <c r="XH10" s="26">
        <f t="shared" si="276"/>
        <v>0</v>
      </c>
      <c r="XI10" s="28" t="s">
        <v>53</v>
      </c>
      <c r="XJ10" s="11">
        <f t="shared" si="277"/>
        <v>2.65</v>
      </c>
      <c r="XK10" s="11">
        <f t="shared" si="278"/>
        <v>2.4500000000000002</v>
      </c>
      <c r="XL10" s="11">
        <f t="shared" si="279"/>
        <v>8.8999999999999986</v>
      </c>
      <c r="XM10" s="11">
        <f t="shared" si="280"/>
        <v>11.3</v>
      </c>
      <c r="XN10" s="11">
        <f t="shared" si="281"/>
        <v>12.18</v>
      </c>
      <c r="XO10" s="11">
        <f t="shared" si="282"/>
        <v>40.08</v>
      </c>
      <c r="XP10" s="11">
        <f t="shared" si="283"/>
        <v>40.08</v>
      </c>
      <c r="XQ10" s="11">
        <f t="shared" si="284"/>
        <v>2</v>
      </c>
      <c r="XR10" s="11">
        <f t="shared" si="285"/>
        <v>1.645</v>
      </c>
      <c r="XS10" s="11">
        <f t="shared" si="286"/>
        <v>6.2449999999999992</v>
      </c>
      <c r="XT10" s="11">
        <f t="shared" si="287"/>
        <v>46.324999999999996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143</v>
      </c>
      <c r="C11" s="4" t="s">
        <v>7</v>
      </c>
      <c r="D11" s="4">
        <v>2006</v>
      </c>
      <c r="E11" s="9">
        <f t="shared" si="0"/>
        <v>230.29002302900548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54.92</v>
      </c>
      <c r="K11" s="8" t="str">
        <f t="shared" si="5"/>
        <v>2025 Elite Canada</v>
      </c>
      <c r="L11" s="8">
        <f>IF(COUNT(AQ11,AT11,BR11,BU11,CS11,CV11)&gt;1,LARGE((AQ11,AT11,BR11,BU11,CS11,CV11),2),0)</f>
        <v>54.11</v>
      </c>
      <c r="M11" s="8" t="str">
        <f t="shared" si="6"/>
        <v>2024 3rd Domestic Trial</v>
      </c>
      <c r="N11" s="8">
        <f>IF(COUNT(AQ11,AT11,BR11,BU11,CS11,CV11)&gt;2,LARGE((AQ11,AT11,BR11,BU11,CS11,CV11),3),0)</f>
        <v>51.75</v>
      </c>
      <c r="O11" s="8" t="str">
        <f t="shared" si="7"/>
        <v>2025 Elite Canada</v>
      </c>
      <c r="P11" s="8">
        <f t="shared" si="8"/>
        <v>54.41</v>
      </c>
      <c r="Q11" s="8" t="str">
        <f t="shared" si="9"/>
        <v>2025 Elite Canada</v>
      </c>
      <c r="R11" s="8">
        <f t="shared" si="10"/>
        <v>15.1</v>
      </c>
      <c r="S11" s="8" t="str">
        <f t="shared" si="11"/>
        <v>2025 Nationals</v>
      </c>
      <c r="T11" s="8">
        <f t="shared" si="12"/>
        <v>0</v>
      </c>
      <c r="U11" s="8" t="str">
        <f t="shared" si="13"/>
        <v/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13.4</v>
      </c>
      <c r="Z11" s="22">
        <v>7.9</v>
      </c>
      <c r="AA11" s="22">
        <v>12.8</v>
      </c>
      <c r="AB11" s="22">
        <v>14.64</v>
      </c>
      <c r="AC11" s="22">
        <v>0</v>
      </c>
      <c r="AD11" s="22">
        <v>14.1</v>
      </c>
      <c r="AE11" s="22">
        <v>9.6</v>
      </c>
      <c r="AF11" s="22">
        <v>14.4</v>
      </c>
      <c r="AG11" s="22">
        <v>16.010000000000002</v>
      </c>
      <c r="AH11" s="22">
        <v>0</v>
      </c>
      <c r="AI11" s="22">
        <v>14.4</v>
      </c>
      <c r="AJ11" s="22">
        <v>9</v>
      </c>
      <c r="AK11" s="22">
        <v>14.4</v>
      </c>
      <c r="AL11" s="22">
        <v>16.03</v>
      </c>
      <c r="AM11" s="22">
        <v>0</v>
      </c>
      <c r="AN11" s="27"/>
      <c r="AO11" s="38">
        <f t="shared" si="17"/>
        <v>12.8</v>
      </c>
      <c r="AP11" s="38">
        <f t="shared" si="18"/>
        <v>14.64</v>
      </c>
      <c r="AQ11" s="40">
        <f t="shared" si="19"/>
        <v>48.74</v>
      </c>
      <c r="AR11" s="40">
        <f t="shared" si="20"/>
        <v>14.4</v>
      </c>
      <c r="AS11" s="40">
        <f t="shared" si="21"/>
        <v>16.010000000000002</v>
      </c>
      <c r="AT11" s="40">
        <f t="shared" si="22"/>
        <v>54.11</v>
      </c>
      <c r="AU11" s="40">
        <f t="shared" si="23"/>
        <v>54.11</v>
      </c>
      <c r="AV11" s="40">
        <f t="shared" si="24"/>
        <v>14.4</v>
      </c>
      <c r="AW11" s="40">
        <f t="shared" si="25"/>
        <v>16.03</v>
      </c>
      <c r="AX11" s="40">
        <f t="shared" si="26"/>
        <v>53.83</v>
      </c>
      <c r="AY11" s="40">
        <f t="shared" si="27"/>
        <v>107.94</v>
      </c>
      <c r="AZ11" s="26">
        <v>15.5</v>
      </c>
      <c r="BA11" s="26">
        <v>9.1999999999999993</v>
      </c>
      <c r="BB11" s="26">
        <v>14.9</v>
      </c>
      <c r="BC11" s="26">
        <v>15.32</v>
      </c>
      <c r="BD11" s="26">
        <v>0</v>
      </c>
      <c r="BE11" s="26">
        <v>14.1</v>
      </c>
      <c r="BF11" s="26">
        <v>9.1999999999999993</v>
      </c>
      <c r="BG11" s="26">
        <v>13.7</v>
      </c>
      <c r="BH11" s="26">
        <v>15.55</v>
      </c>
      <c r="BI11" s="26">
        <v>0.8</v>
      </c>
      <c r="BJ11" s="26">
        <v>14.8</v>
      </c>
      <c r="BK11" s="26">
        <v>9.3000000000000007</v>
      </c>
      <c r="BL11" s="26">
        <v>14.9</v>
      </c>
      <c r="BM11" s="26">
        <v>15.41</v>
      </c>
      <c r="BN11" s="26">
        <v>0</v>
      </c>
      <c r="BO11" s="28"/>
      <c r="BP11" s="39">
        <f t="shared" si="28"/>
        <v>14.9</v>
      </c>
      <c r="BQ11" s="39">
        <f t="shared" si="29"/>
        <v>15.32</v>
      </c>
      <c r="BR11" s="11">
        <f t="shared" si="30"/>
        <v>54.92</v>
      </c>
      <c r="BS11" s="11">
        <f t="shared" si="31"/>
        <v>13.7</v>
      </c>
      <c r="BT11" s="11">
        <f t="shared" si="32"/>
        <v>15.55</v>
      </c>
      <c r="BU11" s="11">
        <f t="shared" si="33"/>
        <v>51.75</v>
      </c>
      <c r="BV11" s="11">
        <f t="shared" si="34"/>
        <v>54.92</v>
      </c>
      <c r="BW11" s="11">
        <f t="shared" si="35"/>
        <v>14.9</v>
      </c>
      <c r="BX11" s="11">
        <f t="shared" si="36"/>
        <v>15.41</v>
      </c>
      <c r="BY11" s="11">
        <f t="shared" si="37"/>
        <v>54.41</v>
      </c>
      <c r="BZ11" s="11">
        <f t="shared" si="38"/>
        <v>109.33</v>
      </c>
      <c r="CA11" s="22">
        <v>2.7</v>
      </c>
      <c r="CB11" s="22">
        <v>1.9</v>
      </c>
      <c r="CC11" s="22">
        <v>3.5</v>
      </c>
      <c r="CD11" s="22">
        <v>3.26</v>
      </c>
      <c r="CE11" s="22">
        <v>0</v>
      </c>
      <c r="CF11" s="22">
        <v>10.9</v>
      </c>
      <c r="CG11" s="22">
        <v>9.1999999999999993</v>
      </c>
      <c r="CH11" s="22">
        <v>15.1</v>
      </c>
      <c r="CI11" s="22">
        <v>15.1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9"/>
        <v>3.5</v>
      </c>
      <c r="CR11" s="38">
        <f t="shared" si="40"/>
        <v>3.26</v>
      </c>
      <c r="CS11" s="40">
        <f t="shared" si="41"/>
        <v>11.36</v>
      </c>
      <c r="CT11" s="40">
        <f t="shared" si="42"/>
        <v>15.1</v>
      </c>
      <c r="CU11" s="40">
        <f t="shared" si="43"/>
        <v>15.1</v>
      </c>
      <c r="CV11" s="40">
        <f t="shared" si="44"/>
        <v>50.300000000000004</v>
      </c>
      <c r="CW11" s="40">
        <f t="shared" si="45"/>
        <v>50.300000000000004</v>
      </c>
      <c r="CX11" s="40" t="str">
        <f t="shared" si="46"/>
        <v/>
      </c>
      <c r="CY11" s="40" t="str">
        <f t="shared" si="47"/>
        <v/>
      </c>
      <c r="CZ11" s="40" t="str">
        <f t="shared" si="48"/>
        <v/>
      </c>
      <c r="DA11" s="40">
        <f t="shared" si="49"/>
        <v>50.300000000000004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11.7</v>
      </c>
      <c r="HC11" s="18">
        <v>9.3000000000000007</v>
      </c>
      <c r="HD11" s="18">
        <v>14.7</v>
      </c>
      <c r="HE11" s="18">
        <v>15.66</v>
      </c>
      <c r="HF11" s="18">
        <v>0</v>
      </c>
      <c r="HG11" s="18">
        <v>12.2</v>
      </c>
      <c r="HH11" s="18">
        <v>9</v>
      </c>
      <c r="HI11" s="18">
        <v>14.9</v>
      </c>
      <c r="HJ11" s="18">
        <v>15.38</v>
      </c>
      <c r="HK11" s="18">
        <v>0</v>
      </c>
      <c r="HL11" s="18">
        <v>1.4</v>
      </c>
      <c r="HM11" s="18">
        <v>0.9</v>
      </c>
      <c r="HN11" s="18">
        <v>2</v>
      </c>
      <c r="HO11" s="18">
        <v>1.75</v>
      </c>
      <c r="HP11" s="18">
        <v>0</v>
      </c>
      <c r="HQ11" s="18"/>
      <c r="HR11" s="18"/>
      <c r="HS11" s="18"/>
      <c r="HT11" s="18"/>
      <c r="HU11" s="18"/>
      <c r="HV11" s="11">
        <f t="shared" si="94"/>
        <v>14.7</v>
      </c>
      <c r="HW11" s="11">
        <f t="shared" si="95"/>
        <v>15.66</v>
      </c>
      <c r="HX11" s="11">
        <f t="shared" si="96"/>
        <v>51.36</v>
      </c>
      <c r="HY11" s="11">
        <f t="shared" si="97"/>
        <v>14.9</v>
      </c>
      <c r="HZ11" s="11">
        <f t="shared" si="98"/>
        <v>15.38</v>
      </c>
      <c r="IA11" s="11">
        <f t="shared" si="99"/>
        <v>51.480000000000004</v>
      </c>
      <c r="IB11" s="11">
        <f t="shared" si="100"/>
        <v>51.480000000000004</v>
      </c>
      <c r="IC11" s="11">
        <f t="shared" si="101"/>
        <v>2</v>
      </c>
      <c r="ID11" s="11">
        <f t="shared" si="102"/>
        <v>1.75</v>
      </c>
      <c r="IE11" s="11">
        <f t="shared" si="103"/>
        <v>6.05</v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57.53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9.1</v>
      </c>
      <c r="WU11" s="26">
        <f t="shared" si="263"/>
        <v>5.55</v>
      </c>
      <c r="WV11" s="26">
        <f t="shared" si="264"/>
        <v>9.1999999999999993</v>
      </c>
      <c r="WW11" s="26">
        <f t="shared" si="265"/>
        <v>9.2899999999999991</v>
      </c>
      <c r="WX11" s="26">
        <f t="shared" si="266"/>
        <v>0</v>
      </c>
      <c r="WY11" s="26">
        <f t="shared" si="267"/>
        <v>12.5</v>
      </c>
      <c r="WZ11" s="26">
        <f t="shared" si="268"/>
        <v>9.1999999999999993</v>
      </c>
      <c r="XA11" s="26">
        <f t="shared" si="269"/>
        <v>14.399999999999999</v>
      </c>
      <c r="XB11" s="26">
        <f t="shared" si="270"/>
        <v>15.324999999999999</v>
      </c>
      <c r="XC11" s="26">
        <f t="shared" si="271"/>
        <v>0.4</v>
      </c>
      <c r="XD11" s="26">
        <f t="shared" si="272"/>
        <v>7.4</v>
      </c>
      <c r="XE11" s="26">
        <f t="shared" si="273"/>
        <v>4.6500000000000004</v>
      </c>
      <c r="XF11" s="26">
        <f t="shared" si="274"/>
        <v>7.45</v>
      </c>
      <c r="XG11" s="26">
        <f t="shared" si="275"/>
        <v>7.7050000000000001</v>
      </c>
      <c r="XH11" s="26">
        <f t="shared" si="276"/>
        <v>0</v>
      </c>
      <c r="XI11" s="28" t="s">
        <v>53</v>
      </c>
      <c r="XJ11" s="11">
        <f t="shared" si="277"/>
        <v>9.1999999999999993</v>
      </c>
      <c r="XK11" s="11">
        <f t="shared" si="278"/>
        <v>9.2899999999999991</v>
      </c>
      <c r="XL11" s="11">
        <f t="shared" si="279"/>
        <v>33.14</v>
      </c>
      <c r="XM11" s="11">
        <f t="shared" si="280"/>
        <v>14.399999999999999</v>
      </c>
      <c r="XN11" s="11">
        <f t="shared" si="281"/>
        <v>15.324999999999999</v>
      </c>
      <c r="XO11" s="11">
        <f t="shared" si="282"/>
        <v>51.024999999999999</v>
      </c>
      <c r="XP11" s="11">
        <f t="shared" si="283"/>
        <v>51.024999999999999</v>
      </c>
      <c r="XQ11" s="11">
        <f t="shared" si="284"/>
        <v>7.45</v>
      </c>
      <c r="XR11" s="11">
        <f t="shared" si="285"/>
        <v>7.7050000000000001</v>
      </c>
      <c r="XS11" s="11">
        <f t="shared" si="286"/>
        <v>27.204999999999998</v>
      </c>
      <c r="XT11" s="11">
        <f t="shared" si="287"/>
        <v>78.22999999999999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158</v>
      </c>
      <c r="C12" s="4" t="s">
        <v>5</v>
      </c>
      <c r="D12" s="4">
        <v>2007</v>
      </c>
      <c r="E12" s="9">
        <f t="shared" si="0"/>
        <v>230.02002258500559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56.019999999999996</v>
      </c>
      <c r="K12" s="8" t="str">
        <f t="shared" si="5"/>
        <v>2025 Nationals</v>
      </c>
      <c r="L12" s="8">
        <f>IF(COUNT(AQ12,AT12,BR12,BU12,CS12,CV12)&gt;1,LARGE((AQ12,AT12,BR12,BU12,CS12,CV12),2),0)</f>
        <v>55.410000000000004</v>
      </c>
      <c r="M12" s="8" t="str">
        <f t="shared" si="6"/>
        <v>2025 Elite Canada</v>
      </c>
      <c r="N12" s="8">
        <f>IF(COUNT(AQ12,AT12,BR12,BU12,CS12,CV12)&gt;2,LARGE((AQ12,AT12,BR12,BU12,CS12,CV12),3),0)</f>
        <v>51.910000000000004</v>
      </c>
      <c r="O12" s="8" t="str">
        <f t="shared" si="7"/>
        <v>2024 3rd Domestic Trial</v>
      </c>
      <c r="P12" s="8">
        <f t="shared" si="8"/>
        <v>47.009999999999991</v>
      </c>
      <c r="Q12" s="8" t="str">
        <f t="shared" si="9"/>
        <v>2024 3rd Domestic Trial</v>
      </c>
      <c r="R12" s="8">
        <f t="shared" si="10"/>
        <v>15.5</v>
      </c>
      <c r="S12" s="8" t="str">
        <f t="shared" si="11"/>
        <v>2025 Nationals</v>
      </c>
      <c r="T12" s="8">
        <f t="shared" si="12"/>
        <v>0</v>
      </c>
      <c r="U12" s="8" t="str">
        <f t="shared" si="13"/>
        <v/>
      </c>
      <c r="V12" s="8">
        <f t="shared" si="14"/>
        <v>4.1700000000000017</v>
      </c>
      <c r="W12" s="11" t="str">
        <f t="shared" si="15"/>
        <v>(Prelim)</v>
      </c>
      <c r="X12" s="8" t="str">
        <f t="shared" si="16"/>
        <v>2025 Coimbra Gym Fest (July 6)</v>
      </c>
      <c r="Y12" s="22">
        <v>11.9</v>
      </c>
      <c r="Z12" s="22">
        <v>6.2</v>
      </c>
      <c r="AA12" s="22">
        <v>10.3</v>
      </c>
      <c r="AB12" s="22">
        <v>12.19</v>
      </c>
      <c r="AC12" s="22">
        <v>0</v>
      </c>
      <c r="AD12" s="22">
        <v>15.3</v>
      </c>
      <c r="AE12" s="22">
        <v>7.9</v>
      </c>
      <c r="AF12" s="22">
        <v>13.2</v>
      </c>
      <c r="AG12" s="22">
        <v>15.51</v>
      </c>
      <c r="AH12" s="22">
        <v>0</v>
      </c>
      <c r="AI12" s="22">
        <v>14.2</v>
      </c>
      <c r="AJ12" s="22">
        <v>7.2</v>
      </c>
      <c r="AK12" s="22">
        <v>11.7</v>
      </c>
      <c r="AL12" s="22">
        <v>13.91</v>
      </c>
      <c r="AM12" s="22">
        <v>0</v>
      </c>
      <c r="AN12" s="27"/>
      <c r="AO12" s="38">
        <f t="shared" si="17"/>
        <v>10.3</v>
      </c>
      <c r="AP12" s="38">
        <f t="shared" si="18"/>
        <v>12.19</v>
      </c>
      <c r="AQ12" s="40">
        <f t="shared" si="19"/>
        <v>40.590000000000003</v>
      </c>
      <c r="AR12" s="40">
        <f t="shared" si="20"/>
        <v>13.2</v>
      </c>
      <c r="AS12" s="40">
        <f t="shared" si="21"/>
        <v>15.51</v>
      </c>
      <c r="AT12" s="40">
        <f t="shared" si="22"/>
        <v>51.910000000000004</v>
      </c>
      <c r="AU12" s="40">
        <f t="shared" si="23"/>
        <v>51.910000000000004</v>
      </c>
      <c r="AV12" s="40">
        <f t="shared" si="24"/>
        <v>11.7</v>
      </c>
      <c r="AW12" s="40">
        <f t="shared" si="25"/>
        <v>13.91</v>
      </c>
      <c r="AX12" s="40">
        <f t="shared" si="26"/>
        <v>47.009999999999991</v>
      </c>
      <c r="AY12" s="40">
        <f t="shared" si="27"/>
        <v>98.919999999999987</v>
      </c>
      <c r="AZ12" s="26">
        <v>16</v>
      </c>
      <c r="BA12" s="26">
        <v>9.3000000000000007</v>
      </c>
      <c r="BB12" s="26">
        <v>14.4</v>
      </c>
      <c r="BC12" s="26">
        <v>15.81</v>
      </c>
      <c r="BD12" s="26">
        <v>0.1</v>
      </c>
      <c r="BE12" s="26">
        <v>1.6</v>
      </c>
      <c r="BF12" s="26">
        <v>1</v>
      </c>
      <c r="BG12" s="26">
        <v>2</v>
      </c>
      <c r="BH12" s="26">
        <v>1.67</v>
      </c>
      <c r="BI12" s="26">
        <v>0</v>
      </c>
      <c r="BJ12" s="26">
        <v>7.3</v>
      </c>
      <c r="BK12" s="26">
        <v>4.4000000000000004</v>
      </c>
      <c r="BL12" s="26">
        <v>7.6</v>
      </c>
      <c r="BM12" s="26">
        <v>7.8</v>
      </c>
      <c r="BN12" s="26">
        <v>0</v>
      </c>
      <c r="BO12" s="28"/>
      <c r="BP12" s="39">
        <f t="shared" si="28"/>
        <v>14.4</v>
      </c>
      <c r="BQ12" s="39">
        <f t="shared" si="29"/>
        <v>15.81</v>
      </c>
      <c r="BR12" s="11">
        <f t="shared" si="30"/>
        <v>55.410000000000004</v>
      </c>
      <c r="BS12" s="11">
        <f t="shared" si="31"/>
        <v>2</v>
      </c>
      <c r="BT12" s="11">
        <f t="shared" si="32"/>
        <v>1.67</v>
      </c>
      <c r="BU12" s="11">
        <f t="shared" si="33"/>
        <v>6.27</v>
      </c>
      <c r="BV12" s="11">
        <f t="shared" si="34"/>
        <v>55.410000000000004</v>
      </c>
      <c r="BW12" s="11">
        <f t="shared" si="35"/>
        <v>7.6</v>
      </c>
      <c r="BX12" s="11">
        <f t="shared" si="36"/>
        <v>7.8</v>
      </c>
      <c r="BY12" s="11">
        <f t="shared" si="37"/>
        <v>27.099999999999998</v>
      </c>
      <c r="BZ12" s="11">
        <f t="shared" si="38"/>
        <v>82.51</v>
      </c>
      <c r="CA12" s="22">
        <v>12.1</v>
      </c>
      <c r="CB12" s="22">
        <v>7.2</v>
      </c>
      <c r="CC12" s="22">
        <v>12.3</v>
      </c>
      <c r="CD12" s="22">
        <v>13.37</v>
      </c>
      <c r="CE12" s="22">
        <v>0</v>
      </c>
      <c r="CF12" s="22">
        <v>14.9</v>
      </c>
      <c r="CG12" s="22">
        <v>9.1</v>
      </c>
      <c r="CH12" s="22">
        <v>15.5</v>
      </c>
      <c r="CI12" s="22">
        <v>16.52</v>
      </c>
      <c r="CJ12" s="22">
        <v>0</v>
      </c>
      <c r="CK12" s="22">
        <v>3.5</v>
      </c>
      <c r="CL12" s="22">
        <v>1.8</v>
      </c>
      <c r="CM12" s="22">
        <v>3.5</v>
      </c>
      <c r="CN12" s="22">
        <v>3.55</v>
      </c>
      <c r="CO12" s="22">
        <v>0</v>
      </c>
      <c r="CP12" s="27"/>
      <c r="CQ12" s="38">
        <f t="shared" si="39"/>
        <v>12.3</v>
      </c>
      <c r="CR12" s="38">
        <f t="shared" si="40"/>
        <v>13.37</v>
      </c>
      <c r="CS12" s="40">
        <f t="shared" si="41"/>
        <v>44.97</v>
      </c>
      <c r="CT12" s="40">
        <f t="shared" si="42"/>
        <v>15.5</v>
      </c>
      <c r="CU12" s="40">
        <f t="shared" si="43"/>
        <v>16.52</v>
      </c>
      <c r="CV12" s="40">
        <f t="shared" si="44"/>
        <v>56.019999999999996</v>
      </c>
      <c r="CW12" s="40">
        <f t="shared" si="45"/>
        <v>56.019999999999996</v>
      </c>
      <c r="CX12" s="40">
        <f t="shared" si="46"/>
        <v>3.5</v>
      </c>
      <c r="CY12" s="40">
        <f t="shared" si="47"/>
        <v>3.55</v>
      </c>
      <c r="CZ12" s="40">
        <f t="shared" si="48"/>
        <v>12.350000000000001</v>
      </c>
      <c r="DA12" s="40">
        <f t="shared" si="49"/>
        <v>68.37</v>
      </c>
      <c r="DB12" s="51">
        <f t="shared" si="50"/>
        <v>4.1700000000000017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>
        <v>14.8</v>
      </c>
      <c r="HC12" s="18">
        <v>9.3000000000000007</v>
      </c>
      <c r="HD12" s="18">
        <v>15.3</v>
      </c>
      <c r="HE12" s="18">
        <v>16.68</v>
      </c>
      <c r="HF12" s="18">
        <v>0</v>
      </c>
      <c r="HG12" s="18">
        <v>13.6</v>
      </c>
      <c r="HH12" s="18">
        <v>9.3000000000000007</v>
      </c>
      <c r="HI12" s="18">
        <v>14.5</v>
      </c>
      <c r="HJ12" s="18">
        <v>16.47</v>
      </c>
      <c r="HK12" s="18">
        <v>0</v>
      </c>
      <c r="HL12" s="18">
        <v>2.8</v>
      </c>
      <c r="HM12" s="18">
        <v>1.8</v>
      </c>
      <c r="HN12" s="18">
        <v>3.5</v>
      </c>
      <c r="HO12" s="18">
        <v>3.52</v>
      </c>
      <c r="HP12" s="18">
        <v>0</v>
      </c>
      <c r="HQ12" s="18"/>
      <c r="HR12" s="18"/>
      <c r="HS12" s="18"/>
      <c r="HT12" s="18"/>
      <c r="HU12" s="18"/>
      <c r="HV12" s="11">
        <f t="shared" si="94"/>
        <v>15.3</v>
      </c>
      <c r="HW12" s="11">
        <f t="shared" si="95"/>
        <v>16.68</v>
      </c>
      <c r="HX12" s="11">
        <f t="shared" si="96"/>
        <v>56.080000000000005</v>
      </c>
      <c r="HY12" s="11">
        <f t="shared" si="97"/>
        <v>14.5</v>
      </c>
      <c r="HZ12" s="11">
        <f t="shared" si="98"/>
        <v>16.47</v>
      </c>
      <c r="IA12" s="11">
        <f t="shared" si="99"/>
        <v>53.87</v>
      </c>
      <c r="IB12" s="11">
        <f t="shared" si="100"/>
        <v>56.080000000000005</v>
      </c>
      <c r="IC12" s="11">
        <f t="shared" si="101"/>
        <v>3.5</v>
      </c>
      <c r="ID12" s="11">
        <f t="shared" si="102"/>
        <v>3.52</v>
      </c>
      <c r="IE12" s="11">
        <f t="shared" si="103"/>
        <v>11.62</v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67.7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14.05</v>
      </c>
      <c r="WU12" s="26">
        <f t="shared" si="263"/>
        <v>8.25</v>
      </c>
      <c r="WV12" s="26">
        <f t="shared" si="264"/>
        <v>13.350000000000001</v>
      </c>
      <c r="WW12" s="26">
        <f t="shared" si="265"/>
        <v>14.59</v>
      </c>
      <c r="WX12" s="26">
        <f t="shared" si="266"/>
        <v>0.05</v>
      </c>
      <c r="WY12" s="26">
        <f t="shared" si="267"/>
        <v>8.25</v>
      </c>
      <c r="WZ12" s="26">
        <f t="shared" si="268"/>
        <v>5.05</v>
      </c>
      <c r="XA12" s="26">
        <f t="shared" si="269"/>
        <v>8.75</v>
      </c>
      <c r="XB12" s="26">
        <f t="shared" si="270"/>
        <v>9.0949999999999989</v>
      </c>
      <c r="XC12" s="26">
        <f t="shared" si="271"/>
        <v>0</v>
      </c>
      <c r="XD12" s="26">
        <f t="shared" si="272"/>
        <v>5.4</v>
      </c>
      <c r="XE12" s="26">
        <f t="shared" si="273"/>
        <v>3.1</v>
      </c>
      <c r="XF12" s="26">
        <f t="shared" si="274"/>
        <v>5.55</v>
      </c>
      <c r="XG12" s="26">
        <f t="shared" si="275"/>
        <v>5.6749999999999998</v>
      </c>
      <c r="XH12" s="26">
        <f t="shared" si="276"/>
        <v>0</v>
      </c>
      <c r="XI12" s="28" t="s">
        <v>53</v>
      </c>
      <c r="XJ12" s="11">
        <f t="shared" si="277"/>
        <v>13.350000000000001</v>
      </c>
      <c r="XK12" s="11">
        <f t="shared" si="278"/>
        <v>14.59</v>
      </c>
      <c r="XL12" s="11">
        <f t="shared" si="279"/>
        <v>50.190000000000012</v>
      </c>
      <c r="XM12" s="11">
        <f t="shared" si="280"/>
        <v>8.75</v>
      </c>
      <c r="XN12" s="11">
        <f t="shared" si="281"/>
        <v>9.0949999999999989</v>
      </c>
      <c r="XO12" s="11">
        <f t="shared" si="282"/>
        <v>31.145</v>
      </c>
      <c r="XP12" s="11">
        <f t="shared" si="283"/>
        <v>50.190000000000012</v>
      </c>
      <c r="XQ12" s="11">
        <f t="shared" si="284"/>
        <v>5.55</v>
      </c>
      <c r="XR12" s="11">
        <f t="shared" si="285"/>
        <v>5.6749999999999998</v>
      </c>
      <c r="XS12" s="11">
        <f t="shared" si="286"/>
        <v>19.725000000000001</v>
      </c>
      <c r="XT12" s="11">
        <f t="shared" si="287"/>
        <v>69.91500000000002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142</v>
      </c>
      <c r="C13" s="4" t="s">
        <v>3</v>
      </c>
      <c r="D13" s="4">
        <v>2005</v>
      </c>
      <c r="E13" s="9">
        <f t="shared" si="0"/>
        <v>227.15002265900534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53.7</v>
      </c>
      <c r="K13" s="8" t="str">
        <f t="shared" si="5"/>
        <v>2024 3rd Domestic Trial</v>
      </c>
      <c r="L13" s="8">
        <f>IF(COUNT(AQ13,AT13,BR13,BU13,CS13,CV13)&gt;1,LARGE((AQ13,AT13,BR13,BU13,CS13,CV13),2),0)</f>
        <v>52.44</v>
      </c>
      <c r="M13" s="8" t="str">
        <f t="shared" si="6"/>
        <v>2024 3rd Domestic Trial</v>
      </c>
      <c r="N13" s="8">
        <f>IF(COUNT(AQ13,AT13,BR13,BU13,CS13,CV13)&gt;2,LARGE((AQ13,AT13,BR13,BU13,CS13,CV13),3),0)</f>
        <v>51.749999999999993</v>
      </c>
      <c r="O13" s="8" t="str">
        <f t="shared" si="7"/>
        <v>2025 Elite Canada</v>
      </c>
      <c r="P13" s="8">
        <f t="shared" si="8"/>
        <v>54.6</v>
      </c>
      <c r="Q13" s="8" t="str">
        <f t="shared" si="9"/>
        <v>2024 3rd Domestic Trial</v>
      </c>
      <c r="R13" s="8">
        <f t="shared" si="10"/>
        <v>14.1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0.56000000000000938</v>
      </c>
      <c r="W13" s="11" t="str">
        <f t="shared" si="15"/>
        <v>(Prelim)</v>
      </c>
      <c r="X13" s="8" t="str">
        <f t="shared" si="16"/>
        <v>2025 Coimbra Gym Fest (July 6)</v>
      </c>
      <c r="Y13" s="22">
        <v>14.9</v>
      </c>
      <c r="Z13" s="22">
        <v>9.1999999999999993</v>
      </c>
      <c r="AA13" s="22">
        <v>12.2</v>
      </c>
      <c r="AB13" s="22">
        <v>16.14</v>
      </c>
      <c r="AC13" s="22">
        <v>0</v>
      </c>
      <c r="AD13" s="22">
        <v>14.4</v>
      </c>
      <c r="AE13" s="22">
        <v>9.3000000000000007</v>
      </c>
      <c r="AF13" s="22">
        <v>13.7</v>
      </c>
      <c r="AG13" s="22">
        <v>16.3</v>
      </c>
      <c r="AH13" s="22">
        <v>0</v>
      </c>
      <c r="AI13" s="22">
        <v>15.2</v>
      </c>
      <c r="AJ13" s="22">
        <v>9.3000000000000007</v>
      </c>
      <c r="AK13" s="22">
        <v>13.7</v>
      </c>
      <c r="AL13" s="22">
        <v>16.399999999999999</v>
      </c>
      <c r="AM13" s="22">
        <v>0</v>
      </c>
      <c r="AN13" s="27"/>
      <c r="AO13" s="38">
        <f t="shared" si="17"/>
        <v>12.2</v>
      </c>
      <c r="AP13" s="38">
        <f t="shared" si="18"/>
        <v>16.14</v>
      </c>
      <c r="AQ13" s="40">
        <f t="shared" si="19"/>
        <v>52.44</v>
      </c>
      <c r="AR13" s="40">
        <f t="shared" si="20"/>
        <v>13.7</v>
      </c>
      <c r="AS13" s="40">
        <f t="shared" si="21"/>
        <v>16.3</v>
      </c>
      <c r="AT13" s="40">
        <f t="shared" si="22"/>
        <v>53.7</v>
      </c>
      <c r="AU13" s="40">
        <f t="shared" si="23"/>
        <v>53.7</v>
      </c>
      <c r="AV13" s="40">
        <f t="shared" si="24"/>
        <v>13.7</v>
      </c>
      <c r="AW13" s="40">
        <f t="shared" si="25"/>
        <v>16.399999999999999</v>
      </c>
      <c r="AX13" s="40">
        <f t="shared" si="26"/>
        <v>54.6</v>
      </c>
      <c r="AY13" s="40">
        <f t="shared" si="27"/>
        <v>108.30000000000001</v>
      </c>
      <c r="AZ13" s="26">
        <v>13.1</v>
      </c>
      <c r="BA13" s="26">
        <v>9</v>
      </c>
      <c r="BB13" s="26">
        <v>12.5</v>
      </c>
      <c r="BC13" s="26">
        <v>15.37</v>
      </c>
      <c r="BD13" s="26">
        <v>2.4</v>
      </c>
      <c r="BE13" s="26">
        <v>14</v>
      </c>
      <c r="BF13" s="26">
        <v>8.9</v>
      </c>
      <c r="BG13" s="26">
        <v>13.9</v>
      </c>
      <c r="BH13" s="26">
        <v>15.55</v>
      </c>
      <c r="BI13" s="26">
        <v>0.6</v>
      </c>
      <c r="BJ13" s="26">
        <v>1.6</v>
      </c>
      <c r="BK13" s="26">
        <v>1</v>
      </c>
      <c r="BL13" s="26">
        <v>2</v>
      </c>
      <c r="BM13" s="26">
        <v>1.72</v>
      </c>
      <c r="BN13" s="26">
        <v>0</v>
      </c>
      <c r="BO13" s="28"/>
      <c r="BP13" s="39">
        <f t="shared" si="28"/>
        <v>12.5</v>
      </c>
      <c r="BQ13" s="39">
        <f t="shared" si="29"/>
        <v>15.37</v>
      </c>
      <c r="BR13" s="11">
        <f t="shared" si="30"/>
        <v>47.57</v>
      </c>
      <c r="BS13" s="11">
        <f t="shared" si="31"/>
        <v>13.9</v>
      </c>
      <c r="BT13" s="11">
        <f t="shared" si="32"/>
        <v>15.55</v>
      </c>
      <c r="BU13" s="11">
        <f t="shared" si="33"/>
        <v>51.749999999999993</v>
      </c>
      <c r="BV13" s="11">
        <f t="shared" si="34"/>
        <v>51.749999999999993</v>
      </c>
      <c r="BW13" s="11">
        <f t="shared" si="35"/>
        <v>2</v>
      </c>
      <c r="BX13" s="11">
        <f t="shared" si="36"/>
        <v>1.72</v>
      </c>
      <c r="BY13" s="11">
        <f t="shared" si="37"/>
        <v>6.3199999999999994</v>
      </c>
      <c r="BZ13" s="11">
        <f t="shared" si="38"/>
        <v>58.069999999999993</v>
      </c>
      <c r="CA13" s="22">
        <v>12.8</v>
      </c>
      <c r="CB13" s="22">
        <v>9.1</v>
      </c>
      <c r="CC13" s="22">
        <v>14.1</v>
      </c>
      <c r="CD13" s="22">
        <v>15.41</v>
      </c>
      <c r="CE13" s="22">
        <v>0.4</v>
      </c>
      <c r="CF13" s="22">
        <v>12.3</v>
      </c>
      <c r="CG13" s="22">
        <v>9.5</v>
      </c>
      <c r="CH13" s="22">
        <v>11.1</v>
      </c>
      <c r="CI13" s="22">
        <v>15.73</v>
      </c>
      <c r="CJ13" s="22">
        <v>3.4</v>
      </c>
      <c r="CK13" s="22">
        <v>14.3</v>
      </c>
      <c r="CL13" s="22">
        <v>9</v>
      </c>
      <c r="CM13" s="22">
        <v>13.1</v>
      </c>
      <c r="CN13" s="22">
        <v>15.58</v>
      </c>
      <c r="CO13" s="22">
        <v>1.4</v>
      </c>
      <c r="CP13" s="27"/>
      <c r="CQ13" s="38">
        <f t="shared" si="39"/>
        <v>14.1</v>
      </c>
      <c r="CR13" s="38">
        <f t="shared" si="40"/>
        <v>15.41</v>
      </c>
      <c r="CS13" s="40">
        <f t="shared" si="41"/>
        <v>51.01</v>
      </c>
      <c r="CT13" s="40">
        <f t="shared" si="42"/>
        <v>11.1</v>
      </c>
      <c r="CU13" s="40">
        <f t="shared" si="43"/>
        <v>15.73</v>
      </c>
      <c r="CV13" s="40">
        <f t="shared" si="44"/>
        <v>45.23</v>
      </c>
      <c r="CW13" s="40">
        <f t="shared" si="45"/>
        <v>51.01</v>
      </c>
      <c r="CX13" s="40">
        <f t="shared" si="46"/>
        <v>13.1</v>
      </c>
      <c r="CY13" s="40">
        <f t="shared" si="47"/>
        <v>15.58</v>
      </c>
      <c r="CZ13" s="40">
        <f t="shared" si="48"/>
        <v>50.58</v>
      </c>
      <c r="DA13" s="40">
        <f t="shared" si="49"/>
        <v>101.59</v>
      </c>
      <c r="DB13" s="51">
        <f t="shared" si="50"/>
        <v>0.56000000000000938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 t="shared" si="94"/>
        <v>12.9</v>
      </c>
      <c r="HW13" s="11">
        <f t="shared" si="95"/>
        <v>15.91</v>
      </c>
      <c r="HX13" s="11">
        <f t="shared" si="96"/>
        <v>52.31</v>
      </c>
      <c r="HY13" s="11">
        <f t="shared" si="97"/>
        <v>12.9</v>
      </c>
      <c r="HZ13" s="11">
        <f t="shared" si="98"/>
        <v>15.75</v>
      </c>
      <c r="IA13" s="11">
        <f t="shared" si="99"/>
        <v>50.75</v>
      </c>
      <c r="IB13" s="11">
        <f t="shared" si="100"/>
        <v>52.31</v>
      </c>
      <c r="IC13" s="11">
        <f t="shared" si="101"/>
        <v>12.9</v>
      </c>
      <c r="ID13" s="11">
        <f t="shared" si="102"/>
        <v>16.010000000000002</v>
      </c>
      <c r="IE13" s="11">
        <f t="shared" si="103"/>
        <v>52.209999999999994</v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>
        <f t="shared" si="107"/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12.95</v>
      </c>
      <c r="WU13" s="26">
        <f t="shared" si="263"/>
        <v>9.0500000000000007</v>
      </c>
      <c r="WV13" s="26">
        <f t="shared" si="264"/>
        <v>13.3</v>
      </c>
      <c r="WW13" s="26">
        <f t="shared" si="265"/>
        <v>15.39</v>
      </c>
      <c r="WX13" s="26">
        <f t="shared" si="266"/>
        <v>1.4</v>
      </c>
      <c r="WY13" s="26">
        <f t="shared" si="267"/>
        <v>13.15</v>
      </c>
      <c r="WZ13" s="26">
        <f t="shared" si="268"/>
        <v>9.1999999999999993</v>
      </c>
      <c r="XA13" s="26">
        <f t="shared" si="269"/>
        <v>12.5</v>
      </c>
      <c r="XB13" s="26">
        <f t="shared" si="270"/>
        <v>15.64</v>
      </c>
      <c r="XC13" s="26">
        <f t="shared" si="271"/>
        <v>2</v>
      </c>
      <c r="XD13" s="26">
        <f t="shared" si="272"/>
        <v>7.95</v>
      </c>
      <c r="XE13" s="26">
        <f t="shared" si="273"/>
        <v>5</v>
      </c>
      <c r="XF13" s="26">
        <f t="shared" si="274"/>
        <v>7.55</v>
      </c>
      <c r="XG13" s="26">
        <f t="shared" si="275"/>
        <v>8.65</v>
      </c>
      <c r="XH13" s="26">
        <f t="shared" si="276"/>
        <v>0.7</v>
      </c>
      <c r="XI13" s="28" t="s">
        <v>53</v>
      </c>
      <c r="XJ13" s="11">
        <f t="shared" si="277"/>
        <v>13.3</v>
      </c>
      <c r="XK13" s="11">
        <f t="shared" si="278"/>
        <v>15.39</v>
      </c>
      <c r="XL13" s="11">
        <f t="shared" si="279"/>
        <v>49.29</v>
      </c>
      <c r="XM13" s="11">
        <f t="shared" si="280"/>
        <v>12.5</v>
      </c>
      <c r="XN13" s="11">
        <f t="shared" si="281"/>
        <v>15.64</v>
      </c>
      <c r="XO13" s="11">
        <f t="shared" si="282"/>
        <v>48.49</v>
      </c>
      <c r="XP13" s="11">
        <f t="shared" si="283"/>
        <v>49.29</v>
      </c>
      <c r="XQ13" s="11">
        <f t="shared" si="284"/>
        <v>7.55</v>
      </c>
      <c r="XR13" s="11">
        <f t="shared" si="285"/>
        <v>8.65</v>
      </c>
      <c r="XS13" s="11">
        <f t="shared" si="286"/>
        <v>28.45</v>
      </c>
      <c r="XT13" s="11">
        <f t="shared" si="287"/>
        <v>77.739999999999995</v>
      </c>
    </row>
    <row r="14" spans="1:644" x14ac:dyDescent="0.2">
      <c r="A14" s="4" t="str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/>
      </c>
      <c r="B14" s="5" t="s">
        <v>68</v>
      </c>
      <c r="C14" s="4" t="s">
        <v>7</v>
      </c>
      <c r="D14" s="4">
        <v>2001</v>
      </c>
      <c r="E14" s="9">
        <f t="shared" si="0"/>
        <v>225.83002258300451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45.17</v>
      </c>
      <c r="K14" s="8" t="str">
        <f t="shared" si="5"/>
        <v>2025 Nationals</v>
      </c>
      <c r="L14" s="8">
        <f>IF(COUNT(AQ14,AT14,BR14,BU14,CS14,CV14)&gt;1,LARGE((AQ14,AT14,BR14,BU14,CS14,CV14),2),0)</f>
        <v>45.17</v>
      </c>
      <c r="M14" s="8" t="str">
        <f t="shared" si="6"/>
        <v>2025 Nationals</v>
      </c>
      <c r="N14" s="8">
        <f>IF(COUNT(AQ14,AT14,BR14,BU14,CS14,CV14)&gt;2,LARGE((AQ14,AT14,BR14,BU14,CS14,CV14),3),0)</f>
        <v>45.17</v>
      </c>
      <c r="O14" s="8" t="str">
        <f t="shared" si="7"/>
        <v>2025 Nationals</v>
      </c>
      <c r="P14" s="8">
        <f t="shared" si="8"/>
        <v>57.697499999999998</v>
      </c>
      <c r="Q14" s="8" t="str">
        <f t="shared" si="9"/>
        <v>2025 Nationals</v>
      </c>
      <c r="R14" s="8">
        <f t="shared" si="10"/>
        <v>15.95</v>
      </c>
      <c r="S14" s="8" t="str">
        <f t="shared" si="11"/>
        <v>2025 Nationals</v>
      </c>
      <c r="T14" s="8">
        <f t="shared" si="12"/>
        <v>16.672499999999999</v>
      </c>
      <c r="U14" s="8" t="str">
        <f t="shared" si="13"/>
        <v>2025 Nationals</v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12.475</v>
      </c>
      <c r="Z14" s="22">
        <v>7.2</v>
      </c>
      <c r="AA14" s="22">
        <v>12.324999999999999</v>
      </c>
      <c r="AB14" s="22">
        <v>13.17</v>
      </c>
      <c r="AC14" s="22">
        <v>0</v>
      </c>
      <c r="AD14" s="22">
        <v>9.2249999999999996</v>
      </c>
      <c r="AE14" s="22">
        <v>5.5750000000000002</v>
      </c>
      <c r="AF14" s="22">
        <v>10.15</v>
      </c>
      <c r="AG14" s="22">
        <v>10.1175</v>
      </c>
      <c r="AH14" s="22">
        <v>0</v>
      </c>
      <c r="AI14" s="22">
        <v>15.85</v>
      </c>
      <c r="AJ14" s="22">
        <v>9.2249999999999996</v>
      </c>
      <c r="AK14" s="22">
        <v>15.95</v>
      </c>
      <c r="AL14" s="22">
        <v>16.672499999999999</v>
      </c>
      <c r="AM14" s="22">
        <v>0</v>
      </c>
      <c r="AN14" s="27" t="s">
        <v>53</v>
      </c>
      <c r="AO14" s="38">
        <f t="shared" si="17"/>
        <v>12.324999999999999</v>
      </c>
      <c r="AP14" s="38">
        <f t="shared" si="18"/>
        <v>13.17</v>
      </c>
      <c r="AQ14" s="40">
        <f t="shared" si="19"/>
        <v>45.17</v>
      </c>
      <c r="AR14" s="40">
        <f t="shared" si="20"/>
        <v>10.15</v>
      </c>
      <c r="AS14" s="40">
        <f t="shared" si="21"/>
        <v>10.1175</v>
      </c>
      <c r="AT14" s="40">
        <f t="shared" si="22"/>
        <v>35.067500000000003</v>
      </c>
      <c r="AU14" s="40">
        <f t="shared" si="23"/>
        <v>45.17</v>
      </c>
      <c r="AV14" s="40">
        <f t="shared" si="24"/>
        <v>15.95</v>
      </c>
      <c r="AW14" s="40">
        <f t="shared" si="25"/>
        <v>16.672499999999999</v>
      </c>
      <c r="AX14" s="40">
        <f t="shared" si="26"/>
        <v>57.697499999999998</v>
      </c>
      <c r="AY14" s="40">
        <f t="shared" si="27"/>
        <v>102.86750000000001</v>
      </c>
      <c r="AZ14" s="26">
        <v>12.475</v>
      </c>
      <c r="BA14" s="26">
        <v>7.2</v>
      </c>
      <c r="BB14" s="26">
        <v>12.324999999999999</v>
      </c>
      <c r="BC14" s="26">
        <v>13.17</v>
      </c>
      <c r="BD14" s="26">
        <v>0</v>
      </c>
      <c r="BE14" s="26">
        <v>9.2249999999999996</v>
      </c>
      <c r="BF14" s="26">
        <v>5.5750000000000002</v>
      </c>
      <c r="BG14" s="26">
        <v>10.15</v>
      </c>
      <c r="BH14" s="26">
        <v>10.1175</v>
      </c>
      <c r="BI14" s="26">
        <v>0</v>
      </c>
      <c r="BJ14" s="26">
        <v>15.85</v>
      </c>
      <c r="BK14" s="26">
        <v>9.2249999999999996</v>
      </c>
      <c r="BL14" s="26">
        <v>15.95</v>
      </c>
      <c r="BM14" s="26">
        <v>16.672499999999999</v>
      </c>
      <c r="BN14" s="26">
        <v>0</v>
      </c>
      <c r="BO14" s="28" t="s">
        <v>53</v>
      </c>
      <c r="BP14" s="39">
        <f t="shared" si="28"/>
        <v>12.324999999999999</v>
      </c>
      <c r="BQ14" s="39">
        <f t="shared" si="29"/>
        <v>13.17</v>
      </c>
      <c r="BR14" s="11">
        <f t="shared" si="30"/>
        <v>45.17</v>
      </c>
      <c r="BS14" s="11">
        <f t="shared" si="31"/>
        <v>10.15</v>
      </c>
      <c r="BT14" s="11">
        <f t="shared" si="32"/>
        <v>10.1175</v>
      </c>
      <c r="BU14" s="11">
        <f t="shared" si="33"/>
        <v>35.067500000000003</v>
      </c>
      <c r="BV14" s="11">
        <f t="shared" si="34"/>
        <v>45.17</v>
      </c>
      <c r="BW14" s="11">
        <f t="shared" si="35"/>
        <v>15.95</v>
      </c>
      <c r="BX14" s="11">
        <f t="shared" si="36"/>
        <v>16.672499999999999</v>
      </c>
      <c r="BY14" s="11">
        <f t="shared" si="37"/>
        <v>57.697499999999998</v>
      </c>
      <c r="BZ14" s="11">
        <f t="shared" si="38"/>
        <v>102.86750000000001</v>
      </c>
      <c r="CA14" s="22">
        <v>12.475</v>
      </c>
      <c r="CB14" s="22">
        <v>7.2</v>
      </c>
      <c r="CC14" s="22">
        <v>12.324999999999999</v>
      </c>
      <c r="CD14" s="22">
        <v>13.17</v>
      </c>
      <c r="CE14" s="22">
        <v>0</v>
      </c>
      <c r="CF14" s="22">
        <v>9.2249999999999996</v>
      </c>
      <c r="CG14" s="22">
        <v>5.5750000000000002</v>
      </c>
      <c r="CH14" s="22">
        <v>10.15</v>
      </c>
      <c r="CI14" s="22">
        <v>10.1175</v>
      </c>
      <c r="CJ14" s="22">
        <v>0</v>
      </c>
      <c r="CK14" s="22">
        <v>15.85</v>
      </c>
      <c r="CL14" s="22">
        <v>9.2249999999999996</v>
      </c>
      <c r="CM14" s="22">
        <v>15.95</v>
      </c>
      <c r="CN14" s="22">
        <v>16.672499999999999</v>
      </c>
      <c r="CO14" s="22">
        <v>0</v>
      </c>
      <c r="CP14" s="27" t="s">
        <v>53</v>
      </c>
      <c r="CQ14" s="38">
        <f t="shared" si="39"/>
        <v>12.324999999999999</v>
      </c>
      <c r="CR14" s="38">
        <f t="shared" si="40"/>
        <v>13.17</v>
      </c>
      <c r="CS14" s="40">
        <f t="shared" si="41"/>
        <v>45.17</v>
      </c>
      <c r="CT14" s="40">
        <f t="shared" si="42"/>
        <v>10.15</v>
      </c>
      <c r="CU14" s="40">
        <f t="shared" si="43"/>
        <v>10.1175</v>
      </c>
      <c r="CV14" s="40">
        <f t="shared" si="44"/>
        <v>35.067500000000003</v>
      </c>
      <c r="CW14" s="40">
        <f t="shared" si="45"/>
        <v>45.17</v>
      </c>
      <c r="CX14" s="40">
        <f t="shared" si="46"/>
        <v>15.95</v>
      </c>
      <c r="CY14" s="40">
        <f t="shared" si="47"/>
        <v>16.672499999999999</v>
      </c>
      <c r="CZ14" s="40">
        <f t="shared" si="48"/>
        <v>57.697499999999998</v>
      </c>
      <c r="DA14" s="40">
        <f t="shared" si="49"/>
        <v>102.86750000000001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12.475</v>
      </c>
      <c r="WU14" s="26">
        <f t="shared" si="263"/>
        <v>7.2</v>
      </c>
      <c r="WV14" s="26">
        <f t="shared" si="264"/>
        <v>12.324999999999999</v>
      </c>
      <c r="WW14" s="26">
        <f t="shared" si="265"/>
        <v>13.17</v>
      </c>
      <c r="WX14" s="26">
        <f t="shared" si="266"/>
        <v>0</v>
      </c>
      <c r="WY14" s="26">
        <f t="shared" si="267"/>
        <v>9.2249999999999996</v>
      </c>
      <c r="WZ14" s="26">
        <f t="shared" si="268"/>
        <v>5.5750000000000002</v>
      </c>
      <c r="XA14" s="26">
        <f t="shared" si="269"/>
        <v>10.15</v>
      </c>
      <c r="XB14" s="26">
        <f t="shared" si="270"/>
        <v>10.1175</v>
      </c>
      <c r="XC14" s="26">
        <f t="shared" si="271"/>
        <v>0</v>
      </c>
      <c r="XD14" s="26">
        <f t="shared" si="272"/>
        <v>15.85</v>
      </c>
      <c r="XE14" s="26">
        <f t="shared" si="273"/>
        <v>9.2249999999999996</v>
      </c>
      <c r="XF14" s="26">
        <f t="shared" si="274"/>
        <v>15.95</v>
      </c>
      <c r="XG14" s="26">
        <f t="shared" si="275"/>
        <v>16.672499999999999</v>
      </c>
      <c r="XH14" s="26">
        <f t="shared" si="276"/>
        <v>0</v>
      </c>
      <c r="XI14" s="28" t="s">
        <v>53</v>
      </c>
      <c r="XJ14" s="11">
        <f t="shared" si="277"/>
        <v>12.324999999999999</v>
      </c>
      <c r="XK14" s="11">
        <f t="shared" si="278"/>
        <v>13.17</v>
      </c>
      <c r="XL14" s="11">
        <f t="shared" si="279"/>
        <v>45.17</v>
      </c>
      <c r="XM14" s="11">
        <f t="shared" si="280"/>
        <v>10.15</v>
      </c>
      <c r="XN14" s="11">
        <f t="shared" si="281"/>
        <v>10.1175</v>
      </c>
      <c r="XO14" s="11">
        <f t="shared" si="282"/>
        <v>35.067500000000003</v>
      </c>
      <c r="XP14" s="11">
        <f t="shared" si="283"/>
        <v>45.17</v>
      </c>
      <c r="XQ14" s="11">
        <f t="shared" si="284"/>
        <v>15.95</v>
      </c>
      <c r="XR14" s="11">
        <f t="shared" si="285"/>
        <v>16.672499999999999</v>
      </c>
      <c r="XS14" s="11">
        <f t="shared" si="286"/>
        <v>57.697499999999998</v>
      </c>
      <c r="XT14" s="11">
        <f t="shared" si="287"/>
        <v>102.86750000000001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201</v>
      </c>
      <c r="C15" s="4" t="s">
        <v>3</v>
      </c>
      <c r="D15" s="4">
        <v>2007</v>
      </c>
      <c r="E15" s="9">
        <f t="shared" si="0"/>
        <v>223.47002234700537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53.67</v>
      </c>
      <c r="K15" s="8" t="str">
        <f t="shared" si="5"/>
        <v>2024 3rd Domestic Trial</v>
      </c>
      <c r="L15" s="8">
        <f>IF(COUNT(AQ15,AT15,BR15,BU15,CS15,CV15)&gt;1,LARGE((AQ15,AT15,BR15,BU15,CS15,CV15),2),0)</f>
        <v>50.37</v>
      </c>
      <c r="M15" s="8" t="str">
        <f t="shared" si="6"/>
        <v>2025 Elite Canada</v>
      </c>
      <c r="N15" s="8">
        <f>IF(COUNT(AQ15,AT15,BR15,BU15,CS15,CV15)&gt;2,LARGE((AQ15,AT15,BR15,BU15,CS15,CV15),3),0)</f>
        <v>49.59</v>
      </c>
      <c r="O15" s="8" t="str">
        <f t="shared" si="7"/>
        <v>2024 3rd Domestic Trial</v>
      </c>
      <c r="P15" s="8">
        <f t="shared" si="8"/>
        <v>54.74</v>
      </c>
      <c r="Q15" s="8" t="str">
        <f t="shared" si="9"/>
        <v>2025 Elite Canada</v>
      </c>
      <c r="R15" s="8">
        <f t="shared" si="10"/>
        <v>15.1</v>
      </c>
      <c r="S15" s="8" t="str">
        <f t="shared" si="11"/>
        <v>2025 Elite Canada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15.6</v>
      </c>
      <c r="Z15" s="22">
        <v>9.1999999999999993</v>
      </c>
      <c r="AA15" s="22">
        <v>13.6</v>
      </c>
      <c r="AB15" s="22">
        <v>15.27</v>
      </c>
      <c r="AC15" s="22">
        <v>0</v>
      </c>
      <c r="AD15" s="22">
        <v>14.8</v>
      </c>
      <c r="AE15" s="22">
        <v>8.4</v>
      </c>
      <c r="AF15" s="22">
        <v>11.3</v>
      </c>
      <c r="AG15" s="22">
        <v>15.09</v>
      </c>
      <c r="AH15" s="22">
        <v>0</v>
      </c>
      <c r="AI15" s="22">
        <v>13.7</v>
      </c>
      <c r="AJ15" s="22">
        <v>8.1999999999999993</v>
      </c>
      <c r="AK15" s="22">
        <v>10.9</v>
      </c>
      <c r="AL15" s="22">
        <v>13.71</v>
      </c>
      <c r="AM15" s="22">
        <v>0</v>
      </c>
      <c r="AN15" s="27"/>
      <c r="AO15" s="38">
        <f t="shared" si="17"/>
        <v>13.6</v>
      </c>
      <c r="AP15" s="38">
        <f t="shared" si="18"/>
        <v>15.27</v>
      </c>
      <c r="AQ15" s="40">
        <f t="shared" si="19"/>
        <v>53.67</v>
      </c>
      <c r="AR15" s="40">
        <f t="shared" si="20"/>
        <v>11.3</v>
      </c>
      <c r="AS15" s="40">
        <f t="shared" si="21"/>
        <v>15.09</v>
      </c>
      <c r="AT15" s="40">
        <f t="shared" si="22"/>
        <v>49.59</v>
      </c>
      <c r="AU15" s="40">
        <f t="shared" si="23"/>
        <v>53.67</v>
      </c>
      <c r="AV15" s="40">
        <f t="shared" si="24"/>
        <v>10.9</v>
      </c>
      <c r="AW15" s="40">
        <f t="shared" si="25"/>
        <v>13.71</v>
      </c>
      <c r="AX15" s="40">
        <f t="shared" si="26"/>
        <v>46.51</v>
      </c>
      <c r="AY15" s="40">
        <f t="shared" si="27"/>
        <v>100.18</v>
      </c>
      <c r="AZ15" s="26">
        <v>12.2</v>
      </c>
      <c r="BA15" s="26">
        <v>8.4</v>
      </c>
      <c r="BB15" s="26">
        <v>12.8</v>
      </c>
      <c r="BC15" s="26">
        <v>13.33</v>
      </c>
      <c r="BD15" s="26">
        <v>0.2</v>
      </c>
      <c r="BE15" s="26">
        <v>15.2</v>
      </c>
      <c r="BF15" s="26">
        <v>9.1999999999999993</v>
      </c>
      <c r="BG15" s="26">
        <v>12.6</v>
      </c>
      <c r="BH15" s="26">
        <v>15.27</v>
      </c>
      <c r="BI15" s="26">
        <v>1.9</v>
      </c>
      <c r="BJ15" s="26">
        <v>15.3</v>
      </c>
      <c r="BK15" s="26">
        <v>9.1</v>
      </c>
      <c r="BL15" s="26">
        <v>15.1</v>
      </c>
      <c r="BM15" s="26">
        <v>15.24</v>
      </c>
      <c r="BN15" s="26">
        <v>0</v>
      </c>
      <c r="BO15" s="28"/>
      <c r="BP15" s="39">
        <f t="shared" si="28"/>
        <v>12.8</v>
      </c>
      <c r="BQ15" s="39">
        <f t="shared" si="29"/>
        <v>13.33</v>
      </c>
      <c r="BR15" s="11">
        <f t="shared" si="30"/>
        <v>46.53</v>
      </c>
      <c r="BS15" s="11">
        <f t="shared" si="31"/>
        <v>12.6</v>
      </c>
      <c r="BT15" s="11">
        <f t="shared" si="32"/>
        <v>15.27</v>
      </c>
      <c r="BU15" s="11">
        <f t="shared" si="33"/>
        <v>50.37</v>
      </c>
      <c r="BV15" s="11">
        <f t="shared" si="34"/>
        <v>50.37</v>
      </c>
      <c r="BW15" s="11">
        <f t="shared" si="35"/>
        <v>15.1</v>
      </c>
      <c r="BX15" s="11">
        <f t="shared" si="36"/>
        <v>15.24</v>
      </c>
      <c r="BY15" s="11">
        <f t="shared" si="37"/>
        <v>54.74</v>
      </c>
      <c r="BZ15" s="11">
        <f t="shared" si="38"/>
        <v>105.11</v>
      </c>
      <c r="CA15" s="22">
        <v>11.8</v>
      </c>
      <c r="CB15" s="22">
        <v>8.6999999999999993</v>
      </c>
      <c r="CC15" s="22">
        <v>10.5</v>
      </c>
      <c r="CD15" s="22">
        <v>15.53</v>
      </c>
      <c r="CE15" s="22">
        <v>4</v>
      </c>
      <c r="CF15" s="22">
        <v>10.4</v>
      </c>
      <c r="CG15" s="22">
        <v>8.4</v>
      </c>
      <c r="CH15" s="22">
        <v>9.6999999999999993</v>
      </c>
      <c r="CI15" s="22">
        <v>13.32</v>
      </c>
      <c r="CJ15" s="22">
        <v>0</v>
      </c>
      <c r="CK15" s="22"/>
      <c r="CL15" s="22"/>
      <c r="CM15" s="22"/>
      <c r="CN15" s="22"/>
      <c r="CO15" s="22"/>
      <c r="CP15" s="27"/>
      <c r="CQ15" s="38">
        <f t="shared" si="39"/>
        <v>10.5</v>
      </c>
      <c r="CR15" s="38">
        <f t="shared" si="40"/>
        <v>15.53</v>
      </c>
      <c r="CS15" s="40">
        <f t="shared" si="41"/>
        <v>42.53</v>
      </c>
      <c r="CT15" s="40">
        <f t="shared" si="42"/>
        <v>9.6999999999999993</v>
      </c>
      <c r="CU15" s="40">
        <f t="shared" si="43"/>
        <v>13.32</v>
      </c>
      <c r="CV15" s="40">
        <f t="shared" si="44"/>
        <v>41.82</v>
      </c>
      <c r="CW15" s="40">
        <f t="shared" si="45"/>
        <v>42.53</v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>
        <f t="shared" si="49"/>
        <v>42.53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>
        <v>1.5</v>
      </c>
      <c r="HC15" s="18">
        <v>1</v>
      </c>
      <c r="HD15" s="18">
        <v>2</v>
      </c>
      <c r="HE15" s="18">
        <v>1.65</v>
      </c>
      <c r="HF15" s="18">
        <v>0</v>
      </c>
      <c r="HG15" s="18">
        <v>2.4</v>
      </c>
      <c r="HH15" s="18">
        <v>1.6</v>
      </c>
      <c r="HI15" s="18">
        <v>3.5</v>
      </c>
      <c r="HJ15" s="18">
        <v>3.19</v>
      </c>
      <c r="HK15" s="18">
        <v>0</v>
      </c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>
        <f t="shared" si="94"/>
        <v>2</v>
      </c>
      <c r="HW15" s="11">
        <f t="shared" si="95"/>
        <v>1.65</v>
      </c>
      <c r="HX15" s="11">
        <f t="shared" si="96"/>
        <v>6.15</v>
      </c>
      <c r="HY15" s="11">
        <f t="shared" si="97"/>
        <v>3.5</v>
      </c>
      <c r="HZ15" s="11">
        <f t="shared" si="98"/>
        <v>3.19</v>
      </c>
      <c r="IA15" s="11">
        <f t="shared" si="99"/>
        <v>10.69</v>
      </c>
      <c r="IB15" s="11">
        <f t="shared" si="100"/>
        <v>10.69</v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>
        <f t="shared" si="107"/>
        <v>10.69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12</v>
      </c>
      <c r="WU15" s="26">
        <f t="shared" si="263"/>
        <v>8.5500000000000007</v>
      </c>
      <c r="WV15" s="26">
        <f t="shared" si="264"/>
        <v>11.65</v>
      </c>
      <c r="WW15" s="26">
        <f t="shared" si="265"/>
        <v>14.43</v>
      </c>
      <c r="WX15" s="26">
        <f t="shared" si="266"/>
        <v>2.1</v>
      </c>
      <c r="WY15" s="26">
        <f t="shared" si="267"/>
        <v>12.8</v>
      </c>
      <c r="WZ15" s="26">
        <f t="shared" si="268"/>
        <v>8.8000000000000007</v>
      </c>
      <c r="XA15" s="26">
        <f t="shared" si="269"/>
        <v>11.149999999999999</v>
      </c>
      <c r="XB15" s="26">
        <f t="shared" si="270"/>
        <v>14.295</v>
      </c>
      <c r="XC15" s="26">
        <f t="shared" si="271"/>
        <v>0.95</v>
      </c>
      <c r="XD15" s="26">
        <f t="shared" si="272"/>
        <v>7.65</v>
      </c>
      <c r="XE15" s="26">
        <f t="shared" si="273"/>
        <v>4.55</v>
      </c>
      <c r="XF15" s="26">
        <f t="shared" si="274"/>
        <v>7.55</v>
      </c>
      <c r="XG15" s="26">
        <f t="shared" si="275"/>
        <v>7.62</v>
      </c>
      <c r="XH15" s="26">
        <f t="shared" si="276"/>
        <v>0</v>
      </c>
      <c r="XI15" s="28" t="s">
        <v>53</v>
      </c>
      <c r="XJ15" s="11">
        <f t="shared" si="277"/>
        <v>11.65</v>
      </c>
      <c r="XK15" s="11">
        <f t="shared" si="278"/>
        <v>14.43</v>
      </c>
      <c r="XL15" s="11">
        <f t="shared" si="279"/>
        <v>44.53</v>
      </c>
      <c r="XM15" s="11">
        <f t="shared" si="280"/>
        <v>11.149999999999999</v>
      </c>
      <c r="XN15" s="11">
        <f t="shared" si="281"/>
        <v>14.295</v>
      </c>
      <c r="XO15" s="11">
        <f t="shared" si="282"/>
        <v>46.094999999999999</v>
      </c>
      <c r="XP15" s="11">
        <f t="shared" si="283"/>
        <v>46.094999999999999</v>
      </c>
      <c r="XQ15" s="11">
        <f t="shared" si="284"/>
        <v>7.55</v>
      </c>
      <c r="XR15" s="11">
        <f t="shared" si="285"/>
        <v>7.62</v>
      </c>
      <c r="XS15" s="11">
        <f t="shared" si="286"/>
        <v>27.37</v>
      </c>
      <c r="XT15" s="11">
        <f t="shared" si="287"/>
        <v>73.465000000000003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202</v>
      </c>
      <c r="C16" s="4" t="s">
        <v>5</v>
      </c>
      <c r="D16" s="4">
        <v>2007</v>
      </c>
      <c r="E16" s="9">
        <f t="shared" si="0"/>
        <v>212.98002129800525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52.320000000000007</v>
      </c>
      <c r="K16" s="8" t="str">
        <f t="shared" si="5"/>
        <v>2024 3rd Domestic Trial</v>
      </c>
      <c r="L16" s="8">
        <f>IF(COUNT(AQ16,AT16,BR16,BU16,CS16,CV16)&gt;1,LARGE((AQ16,AT16,BR16,BU16,CS16,CV16),2),0)</f>
        <v>51.67</v>
      </c>
      <c r="M16" s="8" t="str">
        <f t="shared" si="6"/>
        <v>2025 Nationals</v>
      </c>
      <c r="N16" s="8">
        <f>IF(COUNT(AQ16,AT16,BR16,BU16,CS16,CV16)&gt;2,LARGE((AQ16,AT16,BR16,BU16,CS16,CV16),3),0)</f>
        <v>49.86</v>
      </c>
      <c r="O16" s="8" t="str">
        <f t="shared" si="7"/>
        <v>2025 Nationals</v>
      </c>
      <c r="P16" s="8">
        <f t="shared" si="8"/>
        <v>44.23</v>
      </c>
      <c r="Q16" s="8" t="str">
        <f t="shared" si="9"/>
        <v>2024 3rd Domestic Trial</v>
      </c>
      <c r="R16" s="8">
        <f t="shared" si="10"/>
        <v>14.9</v>
      </c>
      <c r="S16" s="8" t="str">
        <f t="shared" si="11"/>
        <v>2025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12.1</v>
      </c>
      <c r="Z16" s="22">
        <v>7.8</v>
      </c>
      <c r="AA16" s="22">
        <v>10.199999999999999</v>
      </c>
      <c r="AB16" s="22">
        <v>13.86</v>
      </c>
      <c r="AC16" s="22">
        <v>0</v>
      </c>
      <c r="AD16" s="22">
        <v>14.9</v>
      </c>
      <c r="AE16" s="22">
        <v>8.8000000000000007</v>
      </c>
      <c r="AF16" s="22">
        <v>12.7</v>
      </c>
      <c r="AG16" s="22">
        <v>15.92</v>
      </c>
      <c r="AH16" s="22">
        <v>0</v>
      </c>
      <c r="AI16" s="22">
        <v>12.5</v>
      </c>
      <c r="AJ16" s="22">
        <v>7.4</v>
      </c>
      <c r="AK16" s="22">
        <v>11.3</v>
      </c>
      <c r="AL16" s="22">
        <v>13.03</v>
      </c>
      <c r="AM16" s="22">
        <v>0</v>
      </c>
      <c r="AN16" s="27"/>
      <c r="AO16" s="38">
        <f t="shared" si="17"/>
        <v>10.199999999999999</v>
      </c>
      <c r="AP16" s="38">
        <f t="shared" si="18"/>
        <v>13.86</v>
      </c>
      <c r="AQ16" s="40">
        <f t="shared" si="19"/>
        <v>43.959999999999994</v>
      </c>
      <c r="AR16" s="40">
        <f t="shared" si="20"/>
        <v>12.7</v>
      </c>
      <c r="AS16" s="40">
        <f t="shared" si="21"/>
        <v>15.92</v>
      </c>
      <c r="AT16" s="40">
        <f t="shared" si="22"/>
        <v>52.320000000000007</v>
      </c>
      <c r="AU16" s="40">
        <f t="shared" si="23"/>
        <v>52.320000000000007</v>
      </c>
      <c r="AV16" s="40">
        <f t="shared" si="24"/>
        <v>11.3</v>
      </c>
      <c r="AW16" s="40">
        <f t="shared" si="25"/>
        <v>13.03</v>
      </c>
      <c r="AX16" s="40">
        <f t="shared" si="26"/>
        <v>44.23</v>
      </c>
      <c r="AY16" s="40">
        <f t="shared" si="27"/>
        <v>96.550000000000011</v>
      </c>
      <c r="AZ16" s="26">
        <v>11.3</v>
      </c>
      <c r="BA16" s="26">
        <v>7.7</v>
      </c>
      <c r="BB16" s="26">
        <v>11.7</v>
      </c>
      <c r="BC16" s="26">
        <v>12.46</v>
      </c>
      <c r="BD16" s="26">
        <v>0</v>
      </c>
      <c r="BE16" s="26">
        <v>2.8</v>
      </c>
      <c r="BF16" s="26">
        <v>1.7</v>
      </c>
      <c r="BG16" s="26">
        <v>3.3</v>
      </c>
      <c r="BH16" s="26">
        <v>3.3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8"/>
        <v>11.7</v>
      </c>
      <c r="BQ16" s="39">
        <f t="shared" si="29"/>
        <v>12.46</v>
      </c>
      <c r="BR16" s="11">
        <f t="shared" si="30"/>
        <v>43.16</v>
      </c>
      <c r="BS16" s="11">
        <f t="shared" si="31"/>
        <v>3.3</v>
      </c>
      <c r="BT16" s="11">
        <f t="shared" si="32"/>
        <v>3.3</v>
      </c>
      <c r="BU16" s="11">
        <f t="shared" si="33"/>
        <v>11.1</v>
      </c>
      <c r="BV16" s="11">
        <f t="shared" si="34"/>
        <v>43.16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43.16</v>
      </c>
      <c r="CA16" s="22">
        <v>12.1</v>
      </c>
      <c r="CB16" s="22">
        <v>9.1</v>
      </c>
      <c r="CC16" s="22">
        <v>14.9</v>
      </c>
      <c r="CD16" s="22">
        <v>15.57</v>
      </c>
      <c r="CE16" s="22">
        <v>0</v>
      </c>
      <c r="CF16" s="22">
        <v>12.1</v>
      </c>
      <c r="CG16" s="22">
        <v>8.6999999999999993</v>
      </c>
      <c r="CH16" s="22">
        <v>14</v>
      </c>
      <c r="CI16" s="22">
        <v>15.56</v>
      </c>
      <c r="CJ16" s="22">
        <v>0.5</v>
      </c>
      <c r="CK16" s="22">
        <v>1.2</v>
      </c>
      <c r="CL16" s="22">
        <v>1</v>
      </c>
      <c r="CM16" s="22">
        <v>2</v>
      </c>
      <c r="CN16" s="22">
        <v>1.68</v>
      </c>
      <c r="CO16" s="22">
        <v>0.2</v>
      </c>
      <c r="CP16" s="27"/>
      <c r="CQ16" s="38">
        <f t="shared" si="39"/>
        <v>14.9</v>
      </c>
      <c r="CR16" s="38">
        <f t="shared" si="40"/>
        <v>15.57</v>
      </c>
      <c r="CS16" s="40">
        <f t="shared" si="41"/>
        <v>51.67</v>
      </c>
      <c r="CT16" s="40">
        <f t="shared" si="42"/>
        <v>14</v>
      </c>
      <c r="CU16" s="40">
        <f t="shared" si="43"/>
        <v>15.56</v>
      </c>
      <c r="CV16" s="40">
        <f t="shared" si="44"/>
        <v>49.86</v>
      </c>
      <c r="CW16" s="40">
        <f t="shared" si="45"/>
        <v>51.67</v>
      </c>
      <c r="CX16" s="40">
        <f t="shared" si="46"/>
        <v>2</v>
      </c>
      <c r="CY16" s="40">
        <f t="shared" si="47"/>
        <v>1.68</v>
      </c>
      <c r="CZ16" s="40">
        <f t="shared" si="48"/>
        <v>5.68</v>
      </c>
      <c r="DA16" s="40">
        <f t="shared" si="49"/>
        <v>57.35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11.7</v>
      </c>
      <c r="WU16" s="26">
        <f t="shared" si="263"/>
        <v>8.4</v>
      </c>
      <c r="WV16" s="26">
        <f t="shared" si="264"/>
        <v>13.3</v>
      </c>
      <c r="WW16" s="26">
        <f t="shared" si="265"/>
        <v>14.015000000000001</v>
      </c>
      <c r="WX16" s="26">
        <f t="shared" si="266"/>
        <v>0</v>
      </c>
      <c r="WY16" s="26">
        <f t="shared" si="267"/>
        <v>7.4499999999999993</v>
      </c>
      <c r="WZ16" s="26">
        <f t="shared" si="268"/>
        <v>5.1999999999999993</v>
      </c>
      <c r="XA16" s="26">
        <f t="shared" si="269"/>
        <v>8.65</v>
      </c>
      <c r="XB16" s="26">
        <f t="shared" si="270"/>
        <v>9.43</v>
      </c>
      <c r="XC16" s="26">
        <f t="shared" si="271"/>
        <v>0.25</v>
      </c>
      <c r="XD16" s="26">
        <f t="shared" si="272"/>
        <v>0.6</v>
      </c>
      <c r="XE16" s="26">
        <f t="shared" si="273"/>
        <v>0.5</v>
      </c>
      <c r="XF16" s="26">
        <f t="shared" si="274"/>
        <v>1</v>
      </c>
      <c r="XG16" s="26">
        <f t="shared" si="275"/>
        <v>0.84</v>
      </c>
      <c r="XH16" s="26">
        <f t="shared" si="276"/>
        <v>0.1</v>
      </c>
      <c r="XI16" s="28" t="s">
        <v>53</v>
      </c>
      <c r="XJ16" s="11">
        <f t="shared" si="277"/>
        <v>13.3</v>
      </c>
      <c r="XK16" s="11">
        <f t="shared" si="278"/>
        <v>14.015000000000001</v>
      </c>
      <c r="XL16" s="11">
        <f t="shared" si="279"/>
        <v>47.415000000000006</v>
      </c>
      <c r="XM16" s="11">
        <f t="shared" si="280"/>
        <v>8.65</v>
      </c>
      <c r="XN16" s="11">
        <f t="shared" si="281"/>
        <v>9.43</v>
      </c>
      <c r="XO16" s="11">
        <f t="shared" si="282"/>
        <v>30.479999999999997</v>
      </c>
      <c r="XP16" s="11">
        <f t="shared" si="283"/>
        <v>47.415000000000006</v>
      </c>
      <c r="XQ16" s="11">
        <f t="shared" si="284"/>
        <v>1</v>
      </c>
      <c r="XR16" s="11">
        <f t="shared" si="285"/>
        <v>0.84</v>
      </c>
      <c r="XS16" s="11">
        <f t="shared" si="286"/>
        <v>2.84</v>
      </c>
      <c r="XT16" s="11">
        <f t="shared" si="287"/>
        <v>50.25500000000001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162</v>
      </c>
      <c r="C17" s="4" t="s">
        <v>3</v>
      </c>
      <c r="D17" s="4">
        <v>2002</v>
      </c>
      <c r="E17" s="9">
        <f t="shared" si="0"/>
        <v>201.22002012200531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53.129999999999995</v>
      </c>
      <c r="K17" s="8" t="str">
        <f t="shared" si="5"/>
        <v>2024 3rd Domestic Trial</v>
      </c>
      <c r="L17" s="8">
        <f>IF(COUNT(AQ17,AT17,BR17,BU17,CS17,CV17)&gt;1,LARGE((AQ17,AT17,BR17,BU17,CS17,CV17),2),0)</f>
        <v>45.010000000000005</v>
      </c>
      <c r="M17" s="8" t="str">
        <f t="shared" si="6"/>
        <v>2025 Elite Canada</v>
      </c>
      <c r="N17" s="8">
        <f>IF(COUNT(AQ17,AT17,BR17,BU17,CS17,CV17)&gt;2,LARGE((AQ17,AT17,BR17,BU17,CS17,CV17),3),0)</f>
        <v>37.1</v>
      </c>
      <c r="O17" s="8" t="str">
        <f t="shared" si="7"/>
        <v>2024 3rd Domestic Trial</v>
      </c>
      <c r="P17" s="8">
        <f t="shared" si="8"/>
        <v>51.98</v>
      </c>
      <c r="Q17" s="8" t="str">
        <f t="shared" si="9"/>
        <v>2024 3rd Domestic Trial</v>
      </c>
      <c r="R17" s="8">
        <f t="shared" si="10"/>
        <v>14</v>
      </c>
      <c r="S17" s="8" t="str">
        <f t="shared" si="11"/>
        <v>2024 3rd Domestic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14.6</v>
      </c>
      <c r="Z17" s="22">
        <v>9.1999999999999993</v>
      </c>
      <c r="AA17" s="22">
        <v>14</v>
      </c>
      <c r="AB17" s="22">
        <v>15.33</v>
      </c>
      <c r="AC17" s="22">
        <v>0</v>
      </c>
      <c r="AD17" s="22">
        <v>10.5</v>
      </c>
      <c r="AE17" s="22">
        <v>8.6999999999999993</v>
      </c>
      <c r="AF17" s="22">
        <v>8.5</v>
      </c>
      <c r="AG17" s="22">
        <v>14.4</v>
      </c>
      <c r="AH17" s="22">
        <v>5</v>
      </c>
      <c r="AI17" s="22">
        <v>13.8</v>
      </c>
      <c r="AJ17" s="22">
        <v>9.1999999999999993</v>
      </c>
      <c r="AK17" s="22">
        <v>13.8</v>
      </c>
      <c r="AL17" s="22">
        <v>15.18</v>
      </c>
      <c r="AM17" s="22">
        <v>0</v>
      </c>
      <c r="AN17" s="27"/>
      <c r="AO17" s="38">
        <f t="shared" si="17"/>
        <v>14</v>
      </c>
      <c r="AP17" s="38">
        <f t="shared" si="18"/>
        <v>15.33</v>
      </c>
      <c r="AQ17" s="40">
        <f t="shared" si="19"/>
        <v>53.129999999999995</v>
      </c>
      <c r="AR17" s="40">
        <f t="shared" si="20"/>
        <v>8.5</v>
      </c>
      <c r="AS17" s="40">
        <f t="shared" si="21"/>
        <v>14.4</v>
      </c>
      <c r="AT17" s="40">
        <f t="shared" si="22"/>
        <v>37.1</v>
      </c>
      <c r="AU17" s="40">
        <f t="shared" si="23"/>
        <v>53.129999999999995</v>
      </c>
      <c r="AV17" s="40">
        <f t="shared" si="24"/>
        <v>13.8</v>
      </c>
      <c r="AW17" s="40">
        <f t="shared" si="25"/>
        <v>15.18</v>
      </c>
      <c r="AX17" s="40">
        <f t="shared" si="26"/>
        <v>51.98</v>
      </c>
      <c r="AY17" s="40">
        <f t="shared" si="27"/>
        <v>105.10999999999999</v>
      </c>
      <c r="AZ17" s="26">
        <v>9</v>
      </c>
      <c r="BA17" s="26">
        <v>6.3</v>
      </c>
      <c r="BB17" s="26">
        <v>5.5</v>
      </c>
      <c r="BC17" s="26">
        <v>9.69</v>
      </c>
      <c r="BD17" s="26">
        <v>0</v>
      </c>
      <c r="BE17" s="26">
        <v>9.6999999999999993</v>
      </c>
      <c r="BF17" s="26">
        <v>9.3000000000000007</v>
      </c>
      <c r="BG17" s="26">
        <v>13.2</v>
      </c>
      <c r="BH17" s="26">
        <v>14.11</v>
      </c>
      <c r="BI17" s="26">
        <v>1.3</v>
      </c>
      <c r="BJ17" s="26"/>
      <c r="BK17" s="26"/>
      <c r="BL17" s="26"/>
      <c r="BM17" s="26"/>
      <c r="BN17" s="26"/>
      <c r="BO17" s="28"/>
      <c r="BP17" s="39">
        <f t="shared" si="28"/>
        <v>5.5</v>
      </c>
      <c r="BQ17" s="39">
        <f t="shared" si="29"/>
        <v>9.69</v>
      </c>
      <c r="BR17" s="11">
        <f t="shared" si="30"/>
        <v>30.490000000000002</v>
      </c>
      <c r="BS17" s="11">
        <f t="shared" si="31"/>
        <v>13.2</v>
      </c>
      <c r="BT17" s="11">
        <f t="shared" si="32"/>
        <v>14.11</v>
      </c>
      <c r="BU17" s="11">
        <f t="shared" si="33"/>
        <v>45.010000000000005</v>
      </c>
      <c r="BV17" s="11">
        <f t="shared" si="34"/>
        <v>45.010000000000005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45.010000000000005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9"/>
        <v/>
      </c>
      <c r="CR17" s="38" t="str">
        <f t="shared" si="40"/>
        <v/>
      </c>
      <c r="CS17" s="40" t="str">
        <f t="shared" si="41"/>
        <v/>
      </c>
      <c r="CT17" s="40" t="str">
        <f t="shared" si="42"/>
        <v/>
      </c>
      <c r="CU17" s="40" t="str">
        <f t="shared" si="43"/>
        <v/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 t="str">
        <f t="shared" si="47"/>
        <v/>
      </c>
      <c r="CZ17" s="40" t="str">
        <f t="shared" si="48"/>
        <v/>
      </c>
      <c r="DA17" s="40" t="str">
        <f t="shared" si="49"/>
        <v/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4.5</v>
      </c>
      <c r="WU17" s="26">
        <f t="shared" si="263"/>
        <v>3.15</v>
      </c>
      <c r="WV17" s="26">
        <f t="shared" si="264"/>
        <v>2.75</v>
      </c>
      <c r="WW17" s="26">
        <f t="shared" si="265"/>
        <v>4.8449999999999998</v>
      </c>
      <c r="WX17" s="26">
        <f t="shared" si="266"/>
        <v>0</v>
      </c>
      <c r="WY17" s="26">
        <f t="shared" si="267"/>
        <v>4.8499999999999996</v>
      </c>
      <c r="WZ17" s="26">
        <f t="shared" si="268"/>
        <v>4.6500000000000004</v>
      </c>
      <c r="XA17" s="26">
        <f t="shared" si="269"/>
        <v>6.6</v>
      </c>
      <c r="XB17" s="26">
        <f t="shared" si="270"/>
        <v>7.0549999999999997</v>
      </c>
      <c r="XC17" s="26">
        <f t="shared" si="271"/>
        <v>0.65</v>
      </c>
      <c r="XD17" s="26">
        <f t="shared" si="272"/>
        <v>0</v>
      </c>
      <c r="XE17" s="26">
        <f t="shared" si="273"/>
        <v>0</v>
      </c>
      <c r="XF17" s="26">
        <f t="shared" si="274"/>
        <v>0</v>
      </c>
      <c r="XG17" s="26">
        <f t="shared" si="275"/>
        <v>0</v>
      </c>
      <c r="XH17" s="26">
        <f t="shared" si="276"/>
        <v>0</v>
      </c>
      <c r="XI17" s="28" t="s">
        <v>53</v>
      </c>
      <c r="XJ17" s="11">
        <f t="shared" si="277"/>
        <v>2.75</v>
      </c>
      <c r="XK17" s="11">
        <f t="shared" si="278"/>
        <v>4.8449999999999998</v>
      </c>
      <c r="XL17" s="11">
        <f t="shared" si="279"/>
        <v>15.245000000000001</v>
      </c>
      <c r="XM17" s="11">
        <f t="shared" si="280"/>
        <v>6.6</v>
      </c>
      <c r="XN17" s="11">
        <f t="shared" si="281"/>
        <v>7.0549999999999997</v>
      </c>
      <c r="XO17" s="11">
        <f t="shared" si="282"/>
        <v>22.505000000000003</v>
      </c>
      <c r="XP17" s="11">
        <f t="shared" si="283"/>
        <v>22.505000000000003</v>
      </c>
      <c r="XQ17" s="11" t="str">
        <f t="shared" si="284"/>
        <v/>
      </c>
      <c r="XR17" s="11" t="str">
        <f t="shared" si="285"/>
        <v/>
      </c>
      <c r="XS17" s="11" t="str">
        <f t="shared" si="286"/>
        <v/>
      </c>
      <c r="XT17" s="11">
        <f t="shared" si="287"/>
        <v>22.505000000000003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161</v>
      </c>
      <c r="C18" s="4" t="s">
        <v>5</v>
      </c>
      <c r="D18" s="4">
        <v>2002</v>
      </c>
      <c r="E18" s="9">
        <f t="shared" si="0"/>
        <v>195.54001955400491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49.419999999999987</v>
      </c>
      <c r="K18" s="8" t="str">
        <f t="shared" si="5"/>
        <v>2025 Elite Canada</v>
      </c>
      <c r="L18" s="8">
        <f>IF(COUNT(AQ18,AT18,BR18,BU18,CS18,CV18)&gt;1,LARGE((AQ18,AT18,BR18,BU18,CS18,CV18),2),0)</f>
        <v>46.82</v>
      </c>
      <c r="M18" s="8" t="str">
        <f t="shared" si="6"/>
        <v>2025 Nationals</v>
      </c>
      <c r="N18" s="8">
        <f>IF(COUNT(AQ18,AT18,BR18,BU18,CS18,CV18)&gt;2,LARGE((AQ18,AT18,BR18,BU18,CS18,CV18),3),0)</f>
        <v>41.83</v>
      </c>
      <c r="O18" s="8" t="str">
        <f t="shared" si="7"/>
        <v>2025 Nationals</v>
      </c>
      <c r="P18" s="8">
        <f t="shared" si="8"/>
        <v>42.769999999999996</v>
      </c>
      <c r="Q18" s="8" t="str">
        <f t="shared" si="9"/>
        <v>2025 Elite Canada</v>
      </c>
      <c r="R18" s="8">
        <f t="shared" si="10"/>
        <v>14.7</v>
      </c>
      <c r="S18" s="8" t="str">
        <f t="shared" si="11"/>
        <v>2025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5.7</v>
      </c>
      <c r="Z18" s="22">
        <v>3.3</v>
      </c>
      <c r="AA18" s="22">
        <v>6.3</v>
      </c>
      <c r="AB18" s="22">
        <v>6.6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 t="shared" si="17"/>
        <v>6.3</v>
      </c>
      <c r="AP18" s="38">
        <f t="shared" si="18"/>
        <v>6.6</v>
      </c>
      <c r="AQ18" s="40">
        <f t="shared" si="19"/>
        <v>21.9</v>
      </c>
      <c r="AR18" s="40" t="str">
        <f t="shared" si="20"/>
        <v/>
      </c>
      <c r="AS18" s="40" t="str">
        <f t="shared" si="21"/>
        <v/>
      </c>
      <c r="AT18" s="40" t="str">
        <f t="shared" si="22"/>
        <v/>
      </c>
      <c r="AU18" s="40">
        <f t="shared" si="23"/>
        <v>21.9</v>
      </c>
      <c r="AV18" s="40" t="str">
        <f t="shared" si="24"/>
        <v/>
      </c>
      <c r="AW18" s="40" t="str">
        <f t="shared" si="25"/>
        <v/>
      </c>
      <c r="AX18" s="40" t="str">
        <f t="shared" si="26"/>
        <v/>
      </c>
      <c r="AY18" s="40">
        <f t="shared" si="27"/>
        <v>21.9</v>
      </c>
      <c r="AZ18" s="26">
        <v>6.7</v>
      </c>
      <c r="BA18" s="26">
        <v>4.5999999999999996</v>
      </c>
      <c r="BB18" s="26">
        <v>7.6</v>
      </c>
      <c r="BC18" s="26">
        <v>7.67</v>
      </c>
      <c r="BD18" s="26">
        <v>0</v>
      </c>
      <c r="BE18" s="26">
        <v>10.7</v>
      </c>
      <c r="BF18" s="26">
        <v>9.1999999999999993</v>
      </c>
      <c r="BG18" s="26">
        <v>14.7</v>
      </c>
      <c r="BH18" s="26">
        <v>15.02</v>
      </c>
      <c r="BI18" s="26">
        <v>0.2</v>
      </c>
      <c r="BJ18" s="26">
        <v>12.2</v>
      </c>
      <c r="BK18" s="26">
        <v>8.8000000000000007</v>
      </c>
      <c r="BL18" s="26">
        <v>10.8</v>
      </c>
      <c r="BM18" s="26">
        <v>14.67</v>
      </c>
      <c r="BN18" s="26">
        <v>3.7</v>
      </c>
      <c r="BO18" s="28"/>
      <c r="BP18" s="39">
        <f t="shared" si="28"/>
        <v>7.6</v>
      </c>
      <c r="BQ18" s="39">
        <f t="shared" si="29"/>
        <v>7.67</v>
      </c>
      <c r="BR18" s="11">
        <f t="shared" si="30"/>
        <v>26.57</v>
      </c>
      <c r="BS18" s="11">
        <f t="shared" si="31"/>
        <v>14.7</v>
      </c>
      <c r="BT18" s="11">
        <f t="shared" si="32"/>
        <v>15.02</v>
      </c>
      <c r="BU18" s="11">
        <f t="shared" si="33"/>
        <v>49.419999999999987</v>
      </c>
      <c r="BV18" s="11">
        <f t="shared" si="34"/>
        <v>49.419999999999987</v>
      </c>
      <c r="BW18" s="11">
        <f t="shared" si="35"/>
        <v>10.8</v>
      </c>
      <c r="BX18" s="11">
        <f t="shared" si="36"/>
        <v>14.67</v>
      </c>
      <c r="BY18" s="11">
        <f t="shared" si="37"/>
        <v>42.769999999999996</v>
      </c>
      <c r="BZ18" s="11">
        <f t="shared" si="38"/>
        <v>92.189999999999984</v>
      </c>
      <c r="CA18" s="22">
        <v>10.9</v>
      </c>
      <c r="CB18" s="22">
        <v>9.4</v>
      </c>
      <c r="CC18" s="22">
        <v>13.2</v>
      </c>
      <c r="CD18" s="22">
        <v>14.62</v>
      </c>
      <c r="CE18" s="22">
        <v>1.3</v>
      </c>
      <c r="CF18" s="22">
        <v>10.1</v>
      </c>
      <c r="CG18" s="22">
        <v>8</v>
      </c>
      <c r="CH18" s="22">
        <v>10.8</v>
      </c>
      <c r="CI18" s="22">
        <v>12.93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9"/>
        <v>13.2</v>
      </c>
      <c r="CR18" s="38">
        <f t="shared" si="40"/>
        <v>14.62</v>
      </c>
      <c r="CS18" s="40">
        <f t="shared" si="41"/>
        <v>46.82</v>
      </c>
      <c r="CT18" s="40">
        <f t="shared" si="42"/>
        <v>10.8</v>
      </c>
      <c r="CU18" s="40">
        <f t="shared" si="43"/>
        <v>12.93</v>
      </c>
      <c r="CV18" s="40">
        <f t="shared" si="44"/>
        <v>41.83</v>
      </c>
      <c r="CW18" s="40">
        <f t="shared" si="45"/>
        <v>46.82</v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>
        <f t="shared" si="49"/>
        <v>46.82</v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8.8000000000000007</v>
      </c>
      <c r="WU18" s="26">
        <f t="shared" si="263"/>
        <v>7</v>
      </c>
      <c r="WV18" s="26">
        <f t="shared" si="264"/>
        <v>10.399999999999999</v>
      </c>
      <c r="WW18" s="26">
        <f t="shared" si="265"/>
        <v>11.145</v>
      </c>
      <c r="WX18" s="26">
        <f t="shared" si="266"/>
        <v>0.65</v>
      </c>
      <c r="WY18" s="26">
        <f t="shared" si="267"/>
        <v>10.399999999999999</v>
      </c>
      <c r="WZ18" s="26">
        <f t="shared" si="268"/>
        <v>8.6</v>
      </c>
      <c r="XA18" s="26">
        <f t="shared" si="269"/>
        <v>12.75</v>
      </c>
      <c r="XB18" s="26">
        <f t="shared" si="270"/>
        <v>13.975</v>
      </c>
      <c r="XC18" s="26">
        <f t="shared" si="271"/>
        <v>0.1</v>
      </c>
      <c r="XD18" s="26">
        <f t="shared" si="272"/>
        <v>6.1</v>
      </c>
      <c r="XE18" s="26">
        <f t="shared" si="273"/>
        <v>4.4000000000000004</v>
      </c>
      <c r="XF18" s="26">
        <f t="shared" si="274"/>
        <v>5.4</v>
      </c>
      <c r="XG18" s="26">
        <f t="shared" si="275"/>
        <v>7.335</v>
      </c>
      <c r="XH18" s="26">
        <f t="shared" si="276"/>
        <v>1.85</v>
      </c>
      <c r="XI18" s="28" t="s">
        <v>53</v>
      </c>
      <c r="XJ18" s="11">
        <f t="shared" si="277"/>
        <v>10.399999999999999</v>
      </c>
      <c r="XK18" s="11">
        <f t="shared" si="278"/>
        <v>11.145</v>
      </c>
      <c r="XL18" s="11">
        <f t="shared" si="279"/>
        <v>36.695</v>
      </c>
      <c r="XM18" s="11">
        <f t="shared" si="280"/>
        <v>12.75</v>
      </c>
      <c r="XN18" s="11">
        <f t="shared" si="281"/>
        <v>13.975</v>
      </c>
      <c r="XO18" s="11">
        <f t="shared" si="282"/>
        <v>45.625</v>
      </c>
      <c r="XP18" s="11">
        <f t="shared" si="283"/>
        <v>45.625</v>
      </c>
      <c r="XQ18" s="11">
        <f t="shared" si="284"/>
        <v>5.4</v>
      </c>
      <c r="XR18" s="11">
        <f t="shared" si="285"/>
        <v>7.335</v>
      </c>
      <c r="XS18" s="11">
        <f t="shared" si="286"/>
        <v>21.384999999999998</v>
      </c>
      <c r="XT18" s="11">
        <f t="shared" si="287"/>
        <v>67.009999999999991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125</v>
      </c>
      <c r="C19" s="4" t="s">
        <v>5</v>
      </c>
      <c r="D19" s="4">
        <v>2004</v>
      </c>
      <c r="E19" s="9">
        <f t="shared" si="0"/>
        <v>192.14001921400509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50.97</v>
      </c>
      <c r="K19" s="8" t="str">
        <f t="shared" si="5"/>
        <v>2025 Elite Canada</v>
      </c>
      <c r="L19" s="8">
        <f>IF(COUNT(AQ19,AT19,BR19,BU19,CS19,CV19)&gt;1,LARGE((AQ19,AT19,BR19,BU19,CS19,CV19),2),0)</f>
        <v>36.21</v>
      </c>
      <c r="M19" s="8" t="str">
        <f t="shared" si="6"/>
        <v>2025 Elite Canada</v>
      </c>
      <c r="N19" s="8">
        <f>IF(COUNT(AQ19,AT19,BR19,BU19,CS19,CV19)&gt;2,LARGE((AQ19,AT19,BR19,BU19,CS19,CV19),3),0)</f>
        <v>36.15</v>
      </c>
      <c r="O19" s="8" t="str">
        <f t="shared" si="7"/>
        <v>2025 Nationals</v>
      </c>
      <c r="P19" s="8">
        <f t="shared" si="8"/>
        <v>53.91</v>
      </c>
      <c r="Q19" s="8" t="str">
        <f t="shared" si="9"/>
        <v>2025 Elite Canada</v>
      </c>
      <c r="R19" s="8">
        <f t="shared" si="10"/>
        <v>14.9</v>
      </c>
      <c r="S19" s="8" t="str">
        <f t="shared" si="11"/>
        <v>2025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7"/>
        <v/>
      </c>
      <c r="AP19" s="38" t="str">
        <f t="shared" si="18"/>
        <v/>
      </c>
      <c r="AQ19" s="40" t="str">
        <f t="shared" si="19"/>
        <v/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 t="str">
        <f t="shared" si="23"/>
        <v/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 t="str">
        <f t="shared" si="27"/>
        <v/>
      </c>
      <c r="AZ19" s="26">
        <v>11.3</v>
      </c>
      <c r="BA19" s="26">
        <v>9.5</v>
      </c>
      <c r="BB19" s="26">
        <v>14.5</v>
      </c>
      <c r="BC19" s="26">
        <v>15.67</v>
      </c>
      <c r="BD19" s="26">
        <v>0</v>
      </c>
      <c r="BE19" s="26">
        <v>8.3000000000000007</v>
      </c>
      <c r="BF19" s="26">
        <v>6.2</v>
      </c>
      <c r="BG19" s="26">
        <v>10.4</v>
      </c>
      <c r="BH19" s="26">
        <v>11.31</v>
      </c>
      <c r="BI19" s="26">
        <v>0</v>
      </c>
      <c r="BJ19" s="26">
        <v>12.9</v>
      </c>
      <c r="BK19" s="26">
        <v>9.6999999999999993</v>
      </c>
      <c r="BL19" s="26">
        <v>14.9</v>
      </c>
      <c r="BM19" s="26">
        <v>16.41</v>
      </c>
      <c r="BN19" s="26">
        <v>0</v>
      </c>
      <c r="BO19" s="28"/>
      <c r="BP19" s="39">
        <f t="shared" si="28"/>
        <v>14.5</v>
      </c>
      <c r="BQ19" s="39">
        <f t="shared" si="29"/>
        <v>15.67</v>
      </c>
      <c r="BR19" s="11">
        <f t="shared" si="30"/>
        <v>50.97</v>
      </c>
      <c r="BS19" s="11">
        <f t="shared" si="31"/>
        <v>10.4</v>
      </c>
      <c r="BT19" s="11">
        <f t="shared" si="32"/>
        <v>11.31</v>
      </c>
      <c r="BU19" s="11">
        <f t="shared" si="33"/>
        <v>36.21</v>
      </c>
      <c r="BV19" s="11">
        <f t="shared" si="34"/>
        <v>50.97</v>
      </c>
      <c r="BW19" s="11">
        <f t="shared" si="35"/>
        <v>14.9</v>
      </c>
      <c r="BX19" s="11">
        <f t="shared" si="36"/>
        <v>16.41</v>
      </c>
      <c r="BY19" s="11">
        <f t="shared" si="37"/>
        <v>53.91</v>
      </c>
      <c r="BZ19" s="11">
        <f t="shared" si="38"/>
        <v>104.88</v>
      </c>
      <c r="CA19" s="22">
        <v>2.6</v>
      </c>
      <c r="CB19" s="22">
        <v>1.8</v>
      </c>
      <c r="CC19" s="22">
        <v>3.3</v>
      </c>
      <c r="CD19" s="22">
        <v>3.4</v>
      </c>
      <c r="CE19" s="22">
        <v>0</v>
      </c>
      <c r="CF19" s="22">
        <v>7.9</v>
      </c>
      <c r="CG19" s="22">
        <v>6.5</v>
      </c>
      <c r="CH19" s="22">
        <v>10.6</v>
      </c>
      <c r="CI19" s="22">
        <v>11.15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3.3</v>
      </c>
      <c r="CR19" s="38">
        <f t="shared" si="40"/>
        <v>3.4</v>
      </c>
      <c r="CS19" s="40">
        <f t="shared" si="41"/>
        <v>11.1</v>
      </c>
      <c r="CT19" s="40">
        <f t="shared" si="42"/>
        <v>10.6</v>
      </c>
      <c r="CU19" s="40">
        <f t="shared" si="43"/>
        <v>11.15</v>
      </c>
      <c r="CV19" s="40">
        <f t="shared" si="44"/>
        <v>36.15</v>
      </c>
      <c r="CW19" s="40">
        <f t="shared" si="45"/>
        <v>36.15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36.15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6.95</v>
      </c>
      <c r="WU19" s="26">
        <f t="shared" si="263"/>
        <v>5.65</v>
      </c>
      <c r="WV19" s="26">
        <f t="shared" si="264"/>
        <v>8.9</v>
      </c>
      <c r="WW19" s="26">
        <f t="shared" si="265"/>
        <v>9.5350000000000001</v>
      </c>
      <c r="WX19" s="26">
        <f t="shared" si="266"/>
        <v>0</v>
      </c>
      <c r="WY19" s="26">
        <f t="shared" si="267"/>
        <v>8.1000000000000014</v>
      </c>
      <c r="WZ19" s="26">
        <f t="shared" si="268"/>
        <v>6.35</v>
      </c>
      <c r="XA19" s="26">
        <f t="shared" si="269"/>
        <v>10.5</v>
      </c>
      <c r="XB19" s="26">
        <f t="shared" si="270"/>
        <v>11.23</v>
      </c>
      <c r="XC19" s="26">
        <f t="shared" si="271"/>
        <v>0</v>
      </c>
      <c r="XD19" s="26">
        <f t="shared" si="272"/>
        <v>6.45</v>
      </c>
      <c r="XE19" s="26">
        <f t="shared" si="273"/>
        <v>4.8499999999999996</v>
      </c>
      <c r="XF19" s="26">
        <f t="shared" si="274"/>
        <v>7.45</v>
      </c>
      <c r="XG19" s="26">
        <f t="shared" si="275"/>
        <v>8.2050000000000001</v>
      </c>
      <c r="XH19" s="26">
        <f t="shared" si="276"/>
        <v>0</v>
      </c>
      <c r="XI19" s="28" t="s">
        <v>53</v>
      </c>
      <c r="XJ19" s="11">
        <f t="shared" si="277"/>
        <v>8.9</v>
      </c>
      <c r="XK19" s="11">
        <f t="shared" si="278"/>
        <v>9.5350000000000001</v>
      </c>
      <c r="XL19" s="11">
        <f t="shared" si="279"/>
        <v>31.035</v>
      </c>
      <c r="XM19" s="11">
        <f t="shared" si="280"/>
        <v>10.5</v>
      </c>
      <c r="XN19" s="11">
        <f t="shared" si="281"/>
        <v>11.23</v>
      </c>
      <c r="XO19" s="11">
        <f t="shared" si="282"/>
        <v>36.180000000000007</v>
      </c>
      <c r="XP19" s="11">
        <f t="shared" si="283"/>
        <v>36.180000000000007</v>
      </c>
      <c r="XQ19" s="11">
        <f t="shared" si="284"/>
        <v>7.45</v>
      </c>
      <c r="XR19" s="11">
        <f t="shared" si="285"/>
        <v>8.2050000000000001</v>
      </c>
      <c r="XS19" s="11">
        <f t="shared" si="286"/>
        <v>26.954999999999998</v>
      </c>
      <c r="XT19" s="11">
        <f t="shared" si="287"/>
        <v>63.135000000000005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152</v>
      </c>
      <c r="C20" s="4" t="s">
        <v>6</v>
      </c>
      <c r="D20" s="4">
        <v>2001</v>
      </c>
      <c r="E20" s="9">
        <f t="shared" si="0"/>
        <v>177.53501775350543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54.07</v>
      </c>
      <c r="K20" s="8" t="str">
        <f t="shared" si="5"/>
        <v>2024 3rd Domestic Trial</v>
      </c>
      <c r="L20" s="8">
        <f>IF(COUNT(AQ20,AT20,BR20,BU20,CS20,CV20)&gt;1,LARGE((AQ20,AT20,BR20,BU20,CS20,CV20),2),0)</f>
        <v>32.11</v>
      </c>
      <c r="M20" s="8" t="str">
        <f t="shared" si="6"/>
        <v>2025 Elite Canada</v>
      </c>
      <c r="N20" s="8">
        <f>IF(COUNT(AQ20,AT20,BR20,BU20,CS20,CV20)&gt;2,LARGE((AQ20,AT20,BR20,BU20,CS20,CV20),3),0)</f>
        <v>22.95</v>
      </c>
      <c r="O20" s="8" t="str">
        <f t="shared" si="7"/>
        <v>2024 3rd Domestic Trial</v>
      </c>
      <c r="P20" s="8">
        <f t="shared" si="8"/>
        <v>53.505000000000003</v>
      </c>
      <c r="Q20" s="8" t="str">
        <f t="shared" si="9"/>
        <v>2024 3rd Domestic Trial</v>
      </c>
      <c r="R20" s="8">
        <f t="shared" si="10"/>
        <v>14.9</v>
      </c>
      <c r="S20" s="8" t="str">
        <f t="shared" si="11"/>
        <v>2024 3rd Domestic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2">
        <v>6.2</v>
      </c>
      <c r="Z20" s="22">
        <v>3.65</v>
      </c>
      <c r="AA20" s="22">
        <v>6.3000000000000007</v>
      </c>
      <c r="AB20" s="22">
        <v>6.8000000000000007</v>
      </c>
      <c r="AC20" s="22">
        <v>0</v>
      </c>
      <c r="AD20" s="22">
        <v>14.8</v>
      </c>
      <c r="AE20" s="22">
        <v>9.1000000000000014</v>
      </c>
      <c r="AF20" s="22">
        <v>14.2</v>
      </c>
      <c r="AG20" s="22">
        <v>15.969999999999999</v>
      </c>
      <c r="AH20" s="22">
        <v>0</v>
      </c>
      <c r="AI20" s="22">
        <v>13.6</v>
      </c>
      <c r="AJ20" s="22">
        <v>9.1000000000000014</v>
      </c>
      <c r="AK20" s="22">
        <v>14.9</v>
      </c>
      <c r="AL20" s="22">
        <v>15.905000000000001</v>
      </c>
      <c r="AM20" s="22">
        <v>0</v>
      </c>
      <c r="AN20" s="27" t="s">
        <v>53</v>
      </c>
      <c r="AO20" s="38">
        <f t="shared" si="17"/>
        <v>6.3000000000000007</v>
      </c>
      <c r="AP20" s="38">
        <f t="shared" si="18"/>
        <v>6.8000000000000007</v>
      </c>
      <c r="AQ20" s="40">
        <f t="shared" si="19"/>
        <v>22.95</v>
      </c>
      <c r="AR20" s="40">
        <f t="shared" si="20"/>
        <v>14.2</v>
      </c>
      <c r="AS20" s="40">
        <f t="shared" si="21"/>
        <v>15.969999999999999</v>
      </c>
      <c r="AT20" s="40">
        <f t="shared" si="22"/>
        <v>54.07</v>
      </c>
      <c r="AU20" s="40">
        <f t="shared" si="23"/>
        <v>54.07</v>
      </c>
      <c r="AV20" s="40">
        <f t="shared" si="24"/>
        <v>14.9</v>
      </c>
      <c r="AW20" s="40">
        <f t="shared" si="25"/>
        <v>15.905000000000001</v>
      </c>
      <c r="AX20" s="40">
        <f t="shared" si="26"/>
        <v>53.505000000000003</v>
      </c>
      <c r="AY20" s="40">
        <f t="shared" si="27"/>
        <v>107.575</v>
      </c>
      <c r="AZ20" s="26">
        <v>9</v>
      </c>
      <c r="BA20" s="26">
        <v>5.5</v>
      </c>
      <c r="BB20" s="26">
        <v>7.7</v>
      </c>
      <c r="BC20" s="26">
        <v>9.91</v>
      </c>
      <c r="BD20" s="26">
        <v>0</v>
      </c>
      <c r="BE20" s="26">
        <v>6.2</v>
      </c>
      <c r="BF20" s="26">
        <v>3.7</v>
      </c>
      <c r="BG20" s="26">
        <v>5.0999999999999996</v>
      </c>
      <c r="BH20" s="26">
        <v>6.75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8"/>
        <v>7.7</v>
      </c>
      <c r="BQ20" s="39">
        <f t="shared" si="29"/>
        <v>9.91</v>
      </c>
      <c r="BR20" s="11">
        <f t="shared" si="30"/>
        <v>32.11</v>
      </c>
      <c r="BS20" s="11">
        <f t="shared" si="31"/>
        <v>5.0999999999999996</v>
      </c>
      <c r="BT20" s="11">
        <f t="shared" si="32"/>
        <v>6.75</v>
      </c>
      <c r="BU20" s="11">
        <f t="shared" si="33"/>
        <v>21.75</v>
      </c>
      <c r="BV20" s="11">
        <f t="shared" si="34"/>
        <v>32.11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32.11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9"/>
        <v/>
      </c>
      <c r="CR20" s="38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 t="str">
        <f t="shared" si="49"/>
        <v/>
      </c>
      <c r="DB20" s="51" t="str">
        <f t="shared" si="50"/>
        <v/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4.5</v>
      </c>
      <c r="WU20" s="26">
        <f t="shared" si="263"/>
        <v>2.75</v>
      </c>
      <c r="WV20" s="26">
        <f t="shared" si="264"/>
        <v>3.85</v>
      </c>
      <c r="WW20" s="26">
        <f t="shared" si="265"/>
        <v>4.9550000000000001</v>
      </c>
      <c r="WX20" s="26">
        <f t="shared" si="266"/>
        <v>0</v>
      </c>
      <c r="WY20" s="26">
        <f t="shared" si="267"/>
        <v>3.1</v>
      </c>
      <c r="WZ20" s="26">
        <f t="shared" si="268"/>
        <v>1.85</v>
      </c>
      <c r="XA20" s="26">
        <f t="shared" si="269"/>
        <v>2.5499999999999998</v>
      </c>
      <c r="XB20" s="26">
        <f t="shared" si="270"/>
        <v>3.375</v>
      </c>
      <c r="XC20" s="26">
        <f t="shared" si="271"/>
        <v>0</v>
      </c>
      <c r="XD20" s="26">
        <f t="shared" si="272"/>
        <v>0</v>
      </c>
      <c r="XE20" s="26">
        <f t="shared" si="273"/>
        <v>0</v>
      </c>
      <c r="XF20" s="26">
        <f t="shared" si="274"/>
        <v>0</v>
      </c>
      <c r="XG20" s="26">
        <f t="shared" si="275"/>
        <v>0</v>
      </c>
      <c r="XH20" s="26">
        <f t="shared" si="276"/>
        <v>0</v>
      </c>
      <c r="XI20" s="28" t="s">
        <v>53</v>
      </c>
      <c r="XJ20" s="11">
        <f t="shared" si="277"/>
        <v>3.85</v>
      </c>
      <c r="XK20" s="11">
        <f t="shared" si="278"/>
        <v>4.9550000000000001</v>
      </c>
      <c r="XL20" s="11">
        <f t="shared" si="279"/>
        <v>16.055</v>
      </c>
      <c r="XM20" s="11">
        <f t="shared" si="280"/>
        <v>2.5499999999999998</v>
      </c>
      <c r="XN20" s="11">
        <f t="shared" si="281"/>
        <v>3.375</v>
      </c>
      <c r="XO20" s="11">
        <f t="shared" si="282"/>
        <v>10.875</v>
      </c>
      <c r="XP20" s="11">
        <f t="shared" si="283"/>
        <v>16.055</v>
      </c>
      <c r="XQ20" s="11" t="str">
        <f t="shared" si="284"/>
        <v/>
      </c>
      <c r="XR20" s="11" t="str">
        <f t="shared" si="285"/>
        <v/>
      </c>
      <c r="XS20" s="11" t="str">
        <f t="shared" si="286"/>
        <v/>
      </c>
      <c r="XT20" s="11">
        <f t="shared" si="287"/>
        <v>16.055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153</v>
      </c>
      <c r="C21" s="4" t="s">
        <v>3</v>
      </c>
      <c r="D21" s="4">
        <v>2005</v>
      </c>
      <c r="E21" s="9">
        <f t="shared" si="0"/>
        <v>158.05001580500527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52.61</v>
      </c>
      <c r="K21" s="8" t="str">
        <f t="shared" si="5"/>
        <v>2025 Nationals</v>
      </c>
      <c r="L21" s="8">
        <f>IF(COUNT(AQ21,AT21,BR21,BU21,CS21,CV21)&gt;1,LARGE((AQ21,AT21,BR21,BU21,CS21,CV21),2),0)</f>
        <v>21.73</v>
      </c>
      <c r="M21" s="8" t="str">
        <f t="shared" si="6"/>
        <v>2025 Elite Canada</v>
      </c>
      <c r="N21" s="8">
        <f>IF(COUNT(AQ21,AT21,BR21,BU21,CS21,CV21)&gt;2,LARGE((AQ21,AT21,BR21,BU21,CS21,CV21),3),0)</f>
        <v>16.260000000000002</v>
      </c>
      <c r="O21" s="8" t="str">
        <f t="shared" si="7"/>
        <v>2025 Elite Canada</v>
      </c>
      <c r="P21" s="8">
        <f t="shared" si="8"/>
        <v>52.850000000000009</v>
      </c>
      <c r="Q21" s="8" t="str">
        <f t="shared" si="9"/>
        <v>2025 Nationals</v>
      </c>
      <c r="R21" s="8">
        <f t="shared" si="10"/>
        <v>14.6</v>
      </c>
      <c r="S21" s="8" t="str">
        <f t="shared" si="11"/>
        <v>2025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7"/>
        <v/>
      </c>
      <c r="AP21" s="38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 t="str">
        <f t="shared" si="27"/>
        <v/>
      </c>
      <c r="AZ21" s="26">
        <v>4.2</v>
      </c>
      <c r="BA21" s="26">
        <v>2.7</v>
      </c>
      <c r="BB21" s="26">
        <v>4.7</v>
      </c>
      <c r="BC21" s="26">
        <v>4.66</v>
      </c>
      <c r="BD21" s="26">
        <v>0</v>
      </c>
      <c r="BE21" s="26">
        <v>5.6</v>
      </c>
      <c r="BF21" s="26">
        <v>3.4</v>
      </c>
      <c r="BG21" s="26">
        <v>6.4</v>
      </c>
      <c r="BH21" s="26">
        <v>6.33</v>
      </c>
      <c r="BI21" s="26">
        <v>0</v>
      </c>
      <c r="BJ21" s="26"/>
      <c r="BK21" s="26"/>
      <c r="BL21" s="26"/>
      <c r="BM21" s="26"/>
      <c r="BN21" s="26"/>
      <c r="BO21" s="28"/>
      <c r="BP21" s="39">
        <f t="shared" si="28"/>
        <v>4.7</v>
      </c>
      <c r="BQ21" s="39">
        <f t="shared" si="29"/>
        <v>4.66</v>
      </c>
      <c r="BR21" s="11">
        <f t="shared" si="30"/>
        <v>16.260000000000002</v>
      </c>
      <c r="BS21" s="11">
        <f t="shared" si="31"/>
        <v>6.4</v>
      </c>
      <c r="BT21" s="11">
        <f t="shared" si="32"/>
        <v>6.33</v>
      </c>
      <c r="BU21" s="11">
        <f t="shared" si="33"/>
        <v>21.73</v>
      </c>
      <c r="BV21" s="11">
        <f t="shared" si="34"/>
        <v>21.73</v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>
        <f t="shared" si="38"/>
        <v>21.73</v>
      </c>
      <c r="CA21" s="22">
        <v>13.5</v>
      </c>
      <c r="CB21" s="22">
        <v>9.5</v>
      </c>
      <c r="CC21" s="22">
        <v>14.6</v>
      </c>
      <c r="CD21" s="22">
        <v>15.01</v>
      </c>
      <c r="CE21" s="22">
        <v>0</v>
      </c>
      <c r="CF21" s="22">
        <v>1.3</v>
      </c>
      <c r="CG21" s="22">
        <v>0.9</v>
      </c>
      <c r="CH21" s="22">
        <v>2</v>
      </c>
      <c r="CI21" s="22">
        <v>1.64</v>
      </c>
      <c r="CJ21" s="22">
        <v>0</v>
      </c>
      <c r="CK21" s="22">
        <v>13.9</v>
      </c>
      <c r="CL21" s="22">
        <v>9.3000000000000007</v>
      </c>
      <c r="CM21" s="22">
        <v>14.6</v>
      </c>
      <c r="CN21" s="22">
        <v>15.05</v>
      </c>
      <c r="CO21" s="22">
        <v>0</v>
      </c>
      <c r="CP21" s="27"/>
      <c r="CQ21" s="38">
        <f t="shared" si="39"/>
        <v>14.6</v>
      </c>
      <c r="CR21" s="38">
        <f t="shared" si="40"/>
        <v>15.01</v>
      </c>
      <c r="CS21" s="40">
        <f t="shared" si="41"/>
        <v>52.61</v>
      </c>
      <c r="CT21" s="40">
        <f t="shared" si="42"/>
        <v>2</v>
      </c>
      <c r="CU21" s="40">
        <f t="shared" si="43"/>
        <v>1.64</v>
      </c>
      <c r="CV21" s="40">
        <f t="shared" si="44"/>
        <v>5.84</v>
      </c>
      <c r="CW21" s="40">
        <f t="shared" si="45"/>
        <v>52.61</v>
      </c>
      <c r="CX21" s="40">
        <f t="shared" si="46"/>
        <v>14.6</v>
      </c>
      <c r="CY21" s="40">
        <f t="shared" si="47"/>
        <v>15.05</v>
      </c>
      <c r="CZ21" s="40">
        <f t="shared" si="48"/>
        <v>52.850000000000009</v>
      </c>
      <c r="DA21" s="40">
        <f t="shared" si="49"/>
        <v>105.46000000000001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8.85</v>
      </c>
      <c r="WU21" s="26">
        <f t="shared" si="263"/>
        <v>6.1</v>
      </c>
      <c r="WV21" s="26">
        <f t="shared" si="264"/>
        <v>9.65</v>
      </c>
      <c r="WW21" s="26">
        <f t="shared" si="265"/>
        <v>9.8350000000000009</v>
      </c>
      <c r="WX21" s="26">
        <f t="shared" si="266"/>
        <v>0</v>
      </c>
      <c r="WY21" s="26">
        <f t="shared" si="267"/>
        <v>3.4499999999999997</v>
      </c>
      <c r="WZ21" s="26">
        <f t="shared" si="268"/>
        <v>2.15</v>
      </c>
      <c r="XA21" s="26">
        <f t="shared" si="269"/>
        <v>4.2</v>
      </c>
      <c r="XB21" s="26">
        <f t="shared" si="270"/>
        <v>3.9849999999999999</v>
      </c>
      <c r="XC21" s="26">
        <f t="shared" si="271"/>
        <v>0</v>
      </c>
      <c r="XD21" s="26">
        <f t="shared" si="272"/>
        <v>6.95</v>
      </c>
      <c r="XE21" s="26">
        <f t="shared" si="273"/>
        <v>4.6500000000000004</v>
      </c>
      <c r="XF21" s="26">
        <f t="shared" si="274"/>
        <v>7.3</v>
      </c>
      <c r="XG21" s="26">
        <f t="shared" si="275"/>
        <v>7.5250000000000004</v>
      </c>
      <c r="XH21" s="26">
        <f t="shared" si="276"/>
        <v>0</v>
      </c>
      <c r="XI21" s="28" t="s">
        <v>53</v>
      </c>
      <c r="XJ21" s="11">
        <f t="shared" si="277"/>
        <v>9.65</v>
      </c>
      <c r="XK21" s="11">
        <f t="shared" si="278"/>
        <v>9.8350000000000009</v>
      </c>
      <c r="XL21" s="11">
        <f t="shared" si="279"/>
        <v>34.435000000000002</v>
      </c>
      <c r="XM21" s="11">
        <f t="shared" si="280"/>
        <v>4.2</v>
      </c>
      <c r="XN21" s="11">
        <f t="shared" si="281"/>
        <v>3.9849999999999999</v>
      </c>
      <c r="XO21" s="11">
        <f t="shared" si="282"/>
        <v>13.785</v>
      </c>
      <c r="XP21" s="11">
        <f t="shared" si="283"/>
        <v>34.435000000000002</v>
      </c>
      <c r="XQ21" s="11">
        <f t="shared" si="284"/>
        <v>7.3</v>
      </c>
      <c r="XR21" s="11">
        <f t="shared" si="285"/>
        <v>7.5250000000000004</v>
      </c>
      <c r="XS21" s="11">
        <f t="shared" si="286"/>
        <v>26.425000000000004</v>
      </c>
      <c r="XT21" s="11">
        <f t="shared" si="287"/>
        <v>60.860000000000007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84</v>
      </c>
      <c r="C22" s="4" t="s">
        <v>3</v>
      </c>
      <c r="D22" s="4">
        <v>1988</v>
      </c>
      <c r="E22" s="9">
        <f t="shared" si="0"/>
        <v>137.09001370900521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52.019999999999996</v>
      </c>
      <c r="K22" s="8" t="str">
        <f t="shared" si="5"/>
        <v>2024 3rd Domestic Trial</v>
      </c>
      <c r="L22" s="8">
        <f>IF(COUNT(AQ22,AT22,BR22,BU22,CS22,CV22)&gt;1,LARGE((AQ22,AT22,BR22,BU22,CS22,CV22),2),0)</f>
        <v>42.25</v>
      </c>
      <c r="M22" s="8" t="str">
        <f t="shared" si="6"/>
        <v>2025 Elite Canada</v>
      </c>
      <c r="N22" s="8">
        <f>IF(COUNT(AQ22,AT22,BR22,BU22,CS22,CV22)&gt;2,LARGE((AQ22,AT22,BR22,BU22,CS22,CV22),3),0)</f>
        <v>21.56</v>
      </c>
      <c r="O22" s="8" t="str">
        <f t="shared" si="7"/>
        <v>2025 Elite Canada</v>
      </c>
      <c r="P22" s="8">
        <f t="shared" si="8"/>
        <v>6.0600000000000005</v>
      </c>
      <c r="Q22" s="8" t="str">
        <f t="shared" si="9"/>
        <v>2024 3rd Domestic Trial</v>
      </c>
      <c r="R22" s="8">
        <f t="shared" si="10"/>
        <v>15.2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1.5</v>
      </c>
      <c r="Z22" s="22">
        <v>1</v>
      </c>
      <c r="AA22" s="22">
        <v>2</v>
      </c>
      <c r="AB22" s="22">
        <v>1.65</v>
      </c>
      <c r="AC22" s="22">
        <v>0</v>
      </c>
      <c r="AD22" s="22">
        <v>13.3</v>
      </c>
      <c r="AE22" s="22">
        <v>8.6</v>
      </c>
      <c r="AF22" s="22">
        <v>15.2</v>
      </c>
      <c r="AG22" s="22">
        <v>14.92</v>
      </c>
      <c r="AH22" s="22">
        <v>0</v>
      </c>
      <c r="AI22" s="22">
        <v>1.6</v>
      </c>
      <c r="AJ22" s="22">
        <v>0.8</v>
      </c>
      <c r="AK22" s="22">
        <v>2</v>
      </c>
      <c r="AL22" s="22">
        <v>1.66</v>
      </c>
      <c r="AM22" s="22">
        <v>0</v>
      </c>
      <c r="AN22" s="27"/>
      <c r="AO22" s="38">
        <f t="shared" si="17"/>
        <v>2</v>
      </c>
      <c r="AP22" s="38">
        <f t="shared" si="18"/>
        <v>1.65</v>
      </c>
      <c r="AQ22" s="40">
        <f t="shared" si="19"/>
        <v>6.15</v>
      </c>
      <c r="AR22" s="40">
        <f t="shared" si="20"/>
        <v>15.2</v>
      </c>
      <c r="AS22" s="40">
        <f t="shared" si="21"/>
        <v>14.92</v>
      </c>
      <c r="AT22" s="40">
        <f t="shared" si="22"/>
        <v>52.019999999999996</v>
      </c>
      <c r="AU22" s="40">
        <f t="shared" si="23"/>
        <v>52.019999999999996</v>
      </c>
      <c r="AV22" s="40">
        <f t="shared" si="24"/>
        <v>2</v>
      </c>
      <c r="AW22" s="40">
        <f t="shared" si="25"/>
        <v>1.66</v>
      </c>
      <c r="AX22" s="40">
        <f t="shared" si="26"/>
        <v>6.0600000000000005</v>
      </c>
      <c r="AY22" s="40">
        <f t="shared" si="27"/>
        <v>58.08</v>
      </c>
      <c r="AZ22" s="26">
        <v>12.6</v>
      </c>
      <c r="BA22" s="26">
        <v>9.1999999999999993</v>
      </c>
      <c r="BB22" s="26">
        <v>10.5</v>
      </c>
      <c r="BC22" s="26">
        <v>13.95</v>
      </c>
      <c r="BD22" s="26">
        <v>4</v>
      </c>
      <c r="BE22" s="26">
        <v>5.5</v>
      </c>
      <c r="BF22" s="26">
        <v>3.7</v>
      </c>
      <c r="BG22" s="26">
        <v>6.3</v>
      </c>
      <c r="BH22" s="26">
        <v>6.06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10.5</v>
      </c>
      <c r="BQ22" s="39">
        <f t="shared" si="29"/>
        <v>13.95</v>
      </c>
      <c r="BR22" s="11">
        <f t="shared" si="30"/>
        <v>42.25</v>
      </c>
      <c r="BS22" s="11">
        <f t="shared" si="31"/>
        <v>6.3</v>
      </c>
      <c r="BT22" s="11">
        <f t="shared" si="32"/>
        <v>6.06</v>
      </c>
      <c r="BU22" s="11">
        <f t="shared" si="33"/>
        <v>21.56</v>
      </c>
      <c r="BV22" s="11">
        <f t="shared" si="34"/>
        <v>42.25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42.25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9"/>
        <v/>
      </c>
      <c r="CR22" s="38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 t="str">
        <f t="shared" si="49"/>
        <v/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6.3</v>
      </c>
      <c r="WU22" s="26">
        <f t="shared" si="263"/>
        <v>4.5999999999999996</v>
      </c>
      <c r="WV22" s="26">
        <f t="shared" si="264"/>
        <v>5.25</v>
      </c>
      <c r="WW22" s="26">
        <f t="shared" si="265"/>
        <v>6.9749999999999996</v>
      </c>
      <c r="WX22" s="26">
        <f t="shared" si="266"/>
        <v>2</v>
      </c>
      <c r="WY22" s="26">
        <f t="shared" si="267"/>
        <v>2.75</v>
      </c>
      <c r="WZ22" s="26">
        <f t="shared" si="268"/>
        <v>1.85</v>
      </c>
      <c r="XA22" s="26">
        <f t="shared" si="269"/>
        <v>3.15</v>
      </c>
      <c r="XB22" s="26">
        <f t="shared" si="270"/>
        <v>3.03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5.25</v>
      </c>
      <c r="XK22" s="11">
        <f t="shared" si="278"/>
        <v>6.9749999999999996</v>
      </c>
      <c r="XL22" s="11">
        <f t="shared" si="279"/>
        <v>21.125</v>
      </c>
      <c r="XM22" s="11">
        <f t="shared" si="280"/>
        <v>3.15</v>
      </c>
      <c r="XN22" s="11">
        <f t="shared" si="281"/>
        <v>3.03</v>
      </c>
      <c r="XO22" s="11">
        <f t="shared" si="282"/>
        <v>10.78</v>
      </c>
      <c r="XP22" s="11">
        <f t="shared" si="283"/>
        <v>21.125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21.125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59</v>
      </c>
      <c r="C23" s="4" t="s">
        <v>7</v>
      </c>
      <c r="D23" s="4">
        <v>2001</v>
      </c>
      <c r="E23" s="9">
        <f t="shared" si="0"/>
        <v>136.13001361300326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32.664999999999999</v>
      </c>
      <c r="K23" s="8" t="str">
        <f t="shared" si="5"/>
        <v>2025 Nationals</v>
      </c>
      <c r="L23" s="8">
        <f>IF(COUNT(AQ23,AT23,BR23,BU23,CS23,CV23)&gt;1,LARGE((AQ23,AT23,BR23,BU23,CS23,CV23),2),0)</f>
        <v>32.664999999999999</v>
      </c>
      <c r="M23" s="8" t="str">
        <f t="shared" si="6"/>
        <v>2025 Nationals</v>
      </c>
      <c r="N23" s="8">
        <f>IF(COUNT(AQ23,AT23,BR23,BU23,CS23,CV23)&gt;2,LARGE((AQ23,AT23,BR23,BU23,CS23,CV23),3),0)</f>
        <v>32.664999999999999</v>
      </c>
      <c r="O23" s="8" t="str">
        <f t="shared" si="7"/>
        <v>2025 Nationals</v>
      </c>
      <c r="P23" s="8">
        <f t="shared" si="8"/>
        <v>28.884999999999998</v>
      </c>
      <c r="Q23" s="8" t="str">
        <f t="shared" si="9"/>
        <v>2025 Nationals</v>
      </c>
      <c r="R23" s="8">
        <f t="shared" si="10"/>
        <v>9.25</v>
      </c>
      <c r="S23" s="8" t="str">
        <f t="shared" si="11"/>
        <v>2025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6.65</v>
      </c>
      <c r="Z23" s="22">
        <v>3.35</v>
      </c>
      <c r="AA23" s="22">
        <v>6.9</v>
      </c>
      <c r="AB23" s="22">
        <v>6.8149999999999995</v>
      </c>
      <c r="AC23" s="22">
        <v>0</v>
      </c>
      <c r="AD23" s="22">
        <v>9.1</v>
      </c>
      <c r="AE23" s="22">
        <v>5.0999999999999996</v>
      </c>
      <c r="AF23" s="22">
        <v>9.25</v>
      </c>
      <c r="AG23" s="22">
        <v>9.2149999999999999</v>
      </c>
      <c r="AH23" s="22">
        <v>0</v>
      </c>
      <c r="AI23" s="22">
        <v>8.1</v>
      </c>
      <c r="AJ23" s="22">
        <v>4.1500000000000004</v>
      </c>
      <c r="AK23" s="22">
        <v>8.25</v>
      </c>
      <c r="AL23" s="22">
        <v>8.3849999999999998</v>
      </c>
      <c r="AM23" s="22">
        <v>0</v>
      </c>
      <c r="AN23" s="27" t="s">
        <v>53</v>
      </c>
      <c r="AO23" s="38">
        <f t="shared" si="17"/>
        <v>6.9</v>
      </c>
      <c r="AP23" s="38">
        <f t="shared" si="18"/>
        <v>6.8149999999999995</v>
      </c>
      <c r="AQ23" s="40">
        <f t="shared" si="19"/>
        <v>23.714999999999996</v>
      </c>
      <c r="AR23" s="40">
        <f t="shared" si="20"/>
        <v>9.25</v>
      </c>
      <c r="AS23" s="40">
        <f t="shared" si="21"/>
        <v>9.2149999999999999</v>
      </c>
      <c r="AT23" s="40">
        <f t="shared" si="22"/>
        <v>32.664999999999999</v>
      </c>
      <c r="AU23" s="40">
        <f t="shared" si="23"/>
        <v>32.664999999999999</v>
      </c>
      <c r="AV23" s="40">
        <f t="shared" si="24"/>
        <v>8.25</v>
      </c>
      <c r="AW23" s="40">
        <f t="shared" si="25"/>
        <v>8.3849999999999998</v>
      </c>
      <c r="AX23" s="40">
        <f t="shared" si="26"/>
        <v>28.884999999999998</v>
      </c>
      <c r="AY23" s="40">
        <f t="shared" si="27"/>
        <v>61.55</v>
      </c>
      <c r="AZ23" s="26">
        <v>6.65</v>
      </c>
      <c r="BA23" s="26">
        <v>3.35</v>
      </c>
      <c r="BB23" s="26">
        <v>6.9</v>
      </c>
      <c r="BC23" s="26">
        <v>6.8149999999999995</v>
      </c>
      <c r="BD23" s="26">
        <v>0</v>
      </c>
      <c r="BE23" s="26">
        <v>9.1</v>
      </c>
      <c r="BF23" s="26">
        <v>5.0999999999999996</v>
      </c>
      <c r="BG23" s="26">
        <v>9.25</v>
      </c>
      <c r="BH23" s="26">
        <v>9.2149999999999999</v>
      </c>
      <c r="BI23" s="26">
        <v>0</v>
      </c>
      <c r="BJ23" s="26">
        <v>8.1</v>
      </c>
      <c r="BK23" s="26">
        <v>4.1500000000000004</v>
      </c>
      <c r="BL23" s="26">
        <v>8.25</v>
      </c>
      <c r="BM23" s="26">
        <v>8.3849999999999998</v>
      </c>
      <c r="BN23" s="26">
        <v>0</v>
      </c>
      <c r="BO23" s="28" t="s">
        <v>53</v>
      </c>
      <c r="BP23" s="39">
        <f t="shared" si="28"/>
        <v>6.9</v>
      </c>
      <c r="BQ23" s="39">
        <f t="shared" si="29"/>
        <v>6.8149999999999995</v>
      </c>
      <c r="BR23" s="11">
        <f t="shared" si="30"/>
        <v>23.714999999999996</v>
      </c>
      <c r="BS23" s="11">
        <f t="shared" si="31"/>
        <v>9.25</v>
      </c>
      <c r="BT23" s="11">
        <f t="shared" si="32"/>
        <v>9.2149999999999999</v>
      </c>
      <c r="BU23" s="11">
        <f t="shared" si="33"/>
        <v>32.664999999999999</v>
      </c>
      <c r="BV23" s="11">
        <f t="shared" si="34"/>
        <v>32.664999999999999</v>
      </c>
      <c r="BW23" s="11">
        <f t="shared" si="35"/>
        <v>8.25</v>
      </c>
      <c r="BX23" s="11">
        <f t="shared" si="36"/>
        <v>8.3849999999999998</v>
      </c>
      <c r="BY23" s="11">
        <f t="shared" si="37"/>
        <v>28.884999999999998</v>
      </c>
      <c r="BZ23" s="11">
        <f t="shared" si="38"/>
        <v>61.55</v>
      </c>
      <c r="CA23" s="22">
        <v>6.65</v>
      </c>
      <c r="CB23" s="22">
        <v>3.35</v>
      </c>
      <c r="CC23" s="22">
        <v>6.9</v>
      </c>
      <c r="CD23" s="22">
        <v>6.8149999999999995</v>
      </c>
      <c r="CE23" s="22">
        <v>0</v>
      </c>
      <c r="CF23" s="22">
        <v>9.1</v>
      </c>
      <c r="CG23" s="22">
        <v>5.0999999999999996</v>
      </c>
      <c r="CH23" s="22">
        <v>9.25</v>
      </c>
      <c r="CI23" s="22">
        <v>9.2149999999999999</v>
      </c>
      <c r="CJ23" s="22">
        <v>0</v>
      </c>
      <c r="CK23" s="22">
        <v>8.1</v>
      </c>
      <c r="CL23" s="22">
        <v>4.1500000000000004</v>
      </c>
      <c r="CM23" s="22">
        <v>8.25</v>
      </c>
      <c r="CN23" s="22">
        <v>8.3849999999999998</v>
      </c>
      <c r="CO23" s="22">
        <v>0</v>
      </c>
      <c r="CP23" s="27" t="s">
        <v>53</v>
      </c>
      <c r="CQ23" s="38">
        <f t="shared" si="39"/>
        <v>6.9</v>
      </c>
      <c r="CR23" s="38">
        <f t="shared" si="40"/>
        <v>6.8149999999999995</v>
      </c>
      <c r="CS23" s="40">
        <f t="shared" si="41"/>
        <v>23.714999999999996</v>
      </c>
      <c r="CT23" s="40">
        <f t="shared" si="42"/>
        <v>9.25</v>
      </c>
      <c r="CU23" s="40">
        <f t="shared" si="43"/>
        <v>9.2149999999999999</v>
      </c>
      <c r="CV23" s="40">
        <f t="shared" si="44"/>
        <v>32.664999999999999</v>
      </c>
      <c r="CW23" s="40">
        <f t="shared" si="45"/>
        <v>32.664999999999999</v>
      </c>
      <c r="CX23" s="40">
        <f t="shared" si="46"/>
        <v>8.25</v>
      </c>
      <c r="CY23" s="40">
        <f t="shared" si="47"/>
        <v>8.3849999999999998</v>
      </c>
      <c r="CZ23" s="40">
        <f t="shared" si="48"/>
        <v>28.884999999999998</v>
      </c>
      <c r="DA23" s="40">
        <f t="shared" si="49"/>
        <v>61.55</v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6.65</v>
      </c>
      <c r="WU23" s="26">
        <f t="shared" si="263"/>
        <v>3.35</v>
      </c>
      <c r="WV23" s="26">
        <f t="shared" si="264"/>
        <v>6.9</v>
      </c>
      <c r="WW23" s="26">
        <f t="shared" si="265"/>
        <v>6.8149999999999995</v>
      </c>
      <c r="WX23" s="26">
        <f t="shared" si="266"/>
        <v>0</v>
      </c>
      <c r="WY23" s="26">
        <f t="shared" si="267"/>
        <v>9.1</v>
      </c>
      <c r="WZ23" s="26">
        <f t="shared" si="268"/>
        <v>5.0999999999999996</v>
      </c>
      <c r="XA23" s="26">
        <f t="shared" si="269"/>
        <v>9.25</v>
      </c>
      <c r="XB23" s="26">
        <f t="shared" si="270"/>
        <v>9.2149999999999999</v>
      </c>
      <c r="XC23" s="26">
        <f t="shared" si="271"/>
        <v>0</v>
      </c>
      <c r="XD23" s="26">
        <f t="shared" si="272"/>
        <v>8.1</v>
      </c>
      <c r="XE23" s="26">
        <f t="shared" si="273"/>
        <v>4.1500000000000004</v>
      </c>
      <c r="XF23" s="26">
        <f t="shared" si="274"/>
        <v>8.25</v>
      </c>
      <c r="XG23" s="26">
        <f t="shared" si="275"/>
        <v>8.3849999999999998</v>
      </c>
      <c r="XH23" s="26">
        <f t="shared" si="276"/>
        <v>0</v>
      </c>
      <c r="XI23" s="28" t="s">
        <v>53</v>
      </c>
      <c r="XJ23" s="11">
        <f t="shared" si="277"/>
        <v>6.9</v>
      </c>
      <c r="XK23" s="11">
        <f t="shared" si="278"/>
        <v>6.8149999999999995</v>
      </c>
      <c r="XL23" s="11">
        <f t="shared" si="279"/>
        <v>23.714999999999996</v>
      </c>
      <c r="XM23" s="11">
        <f t="shared" si="280"/>
        <v>9.25</v>
      </c>
      <c r="XN23" s="11">
        <f t="shared" si="281"/>
        <v>9.2149999999999999</v>
      </c>
      <c r="XO23" s="11">
        <f t="shared" si="282"/>
        <v>32.664999999999999</v>
      </c>
      <c r="XP23" s="11">
        <f t="shared" si="283"/>
        <v>32.664999999999999</v>
      </c>
      <c r="XQ23" s="11">
        <f t="shared" si="284"/>
        <v>8.25</v>
      </c>
      <c r="XR23" s="11">
        <f t="shared" si="285"/>
        <v>8.3849999999999998</v>
      </c>
      <c r="XS23" s="11">
        <f t="shared" si="286"/>
        <v>28.884999999999998</v>
      </c>
      <c r="XT23" s="11">
        <f t="shared" si="287"/>
        <v>61.55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7"/>
        <v/>
      </c>
      <c r="AP24" s="38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 t="str">
        <f t="shared" si="27"/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 t="shared" si="28"/>
        <v>3</v>
      </c>
      <c r="BQ24" s="39">
        <f t="shared" si="29"/>
        <v>3.29</v>
      </c>
      <c r="BR24" s="11">
        <f t="shared" si="30"/>
        <v>10.29</v>
      </c>
      <c r="BS24" s="11">
        <f t="shared" si="31"/>
        <v>14.4</v>
      </c>
      <c r="BT24" s="11">
        <f t="shared" si="32"/>
        <v>14.93</v>
      </c>
      <c r="BU24" s="11">
        <f t="shared" si="33"/>
        <v>51.53</v>
      </c>
      <c r="BV24" s="11">
        <f t="shared" si="34"/>
        <v>51.53</v>
      </c>
      <c r="BW24" s="11">
        <f t="shared" si="35"/>
        <v>12.5</v>
      </c>
      <c r="BX24" s="11">
        <f t="shared" si="36"/>
        <v>14.85</v>
      </c>
      <c r="BY24" s="11">
        <f t="shared" si="37"/>
        <v>46.45</v>
      </c>
      <c r="BZ24" s="11">
        <f t="shared" si="38"/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1.1499999999999999</v>
      </c>
      <c r="WU24" s="26">
        <f t="shared" si="263"/>
        <v>0.85</v>
      </c>
      <c r="WV24" s="26">
        <f t="shared" si="264"/>
        <v>1.5</v>
      </c>
      <c r="WW24" s="26">
        <f t="shared" si="265"/>
        <v>1.645</v>
      </c>
      <c r="WX24" s="26">
        <f t="shared" si="266"/>
        <v>0</v>
      </c>
      <c r="WY24" s="26">
        <f t="shared" si="267"/>
        <v>6.5</v>
      </c>
      <c r="WZ24" s="26">
        <f t="shared" si="268"/>
        <v>4.6500000000000004</v>
      </c>
      <c r="XA24" s="26">
        <f t="shared" si="269"/>
        <v>7.2</v>
      </c>
      <c r="XB24" s="26">
        <f t="shared" si="270"/>
        <v>7.4649999999999999</v>
      </c>
      <c r="XC24" s="26">
        <f t="shared" si="271"/>
        <v>0.05</v>
      </c>
      <c r="XD24" s="26">
        <f t="shared" si="272"/>
        <v>5.8</v>
      </c>
      <c r="XE24" s="26">
        <f t="shared" si="273"/>
        <v>4.75</v>
      </c>
      <c r="XF24" s="26">
        <f t="shared" si="274"/>
        <v>6.25</v>
      </c>
      <c r="XG24" s="26">
        <f t="shared" si="275"/>
        <v>7.4249999999999998</v>
      </c>
      <c r="XH24" s="26">
        <f t="shared" si="276"/>
        <v>1</v>
      </c>
      <c r="XI24" s="28" t="s">
        <v>53</v>
      </c>
      <c r="XJ24" s="11">
        <f t="shared" si="277"/>
        <v>1.5</v>
      </c>
      <c r="XK24" s="11">
        <f t="shared" si="278"/>
        <v>1.645</v>
      </c>
      <c r="XL24" s="11">
        <f t="shared" si="279"/>
        <v>5.1449999999999996</v>
      </c>
      <c r="XM24" s="11">
        <f t="shared" si="280"/>
        <v>7.2</v>
      </c>
      <c r="XN24" s="11">
        <f t="shared" si="281"/>
        <v>7.4649999999999999</v>
      </c>
      <c r="XO24" s="11">
        <f t="shared" si="282"/>
        <v>25.765000000000001</v>
      </c>
      <c r="XP24" s="11">
        <f t="shared" si="283"/>
        <v>25.765000000000001</v>
      </c>
      <c r="XQ24" s="11">
        <f t="shared" si="284"/>
        <v>6.25</v>
      </c>
      <c r="XR24" s="11">
        <f t="shared" si="285"/>
        <v>7.4249999999999998</v>
      </c>
      <c r="XS24" s="11">
        <f t="shared" si="286"/>
        <v>23.225000000000001</v>
      </c>
      <c r="XT24" s="11">
        <f t="shared" si="287"/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15.9</v>
      </c>
      <c r="FF27" s="5"/>
      <c r="FG27" s="5"/>
      <c r="FP27" s="2"/>
      <c r="FQ27" s="2"/>
      <c r="FS27" s="42">
        <v>15.9</v>
      </c>
      <c r="GN27" s="5"/>
      <c r="GO27" s="5"/>
      <c r="GX27" s="2"/>
      <c r="GY27" s="2"/>
      <c r="HA27" s="42">
        <v>15.9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17</v>
      </c>
      <c r="FF28" s="5"/>
      <c r="FG28" s="5"/>
      <c r="FP28" s="2"/>
      <c r="FQ28" s="2"/>
      <c r="FS28" s="43">
        <v>17</v>
      </c>
      <c r="GN28" s="5"/>
      <c r="GO28" s="5"/>
      <c r="GX28" s="2"/>
      <c r="GY28" s="2"/>
      <c r="HA28" s="43">
        <v>17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0</v>
      </c>
      <c r="FF29" s="5"/>
      <c r="FG29" s="5"/>
      <c r="FP29" s="2"/>
      <c r="FQ29" s="2"/>
      <c r="FS29" s="44">
        <v>0</v>
      </c>
      <c r="GN29" s="5"/>
      <c r="GO29" s="5"/>
      <c r="GX29" s="2"/>
      <c r="GY29" s="2"/>
      <c r="HA29" s="44">
        <v>0</v>
      </c>
      <c r="HV29" s="5"/>
      <c r="HW29" s="5"/>
      <c r="IF29" s="2"/>
      <c r="IG29" s="2"/>
      <c r="II29" s="44">
        <v>0</v>
      </c>
      <c r="JD29" s="5"/>
      <c r="JE29" s="5"/>
      <c r="JN29" s="2"/>
      <c r="JO29" s="2"/>
      <c r="JQ29" s="44">
        <v>0</v>
      </c>
      <c r="KL29" s="5"/>
      <c r="KM29" s="5"/>
      <c r="KV29" s="2"/>
      <c r="KW29" s="2"/>
      <c r="KY29" s="44">
        <v>0</v>
      </c>
      <c r="LT29" s="5"/>
      <c r="LU29" s="5"/>
      <c r="MD29" s="2"/>
      <c r="ME29" s="2"/>
      <c r="MG29" s="44">
        <v>0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0</v>
      </c>
      <c r="PR29" s="5"/>
      <c r="PS29" s="5"/>
      <c r="QB29" s="2"/>
      <c r="QC29" s="2"/>
      <c r="QE29" s="44">
        <v>0</v>
      </c>
      <c r="QZ29" s="5"/>
      <c r="RA29" s="5"/>
      <c r="RJ29" s="2"/>
      <c r="RK29" s="2"/>
      <c r="RM29" s="44">
        <v>0</v>
      </c>
      <c r="SH29" s="5"/>
      <c r="SI29" s="5"/>
      <c r="SR29" s="2"/>
      <c r="SS29" s="2"/>
      <c r="SU29" s="44">
        <v>0</v>
      </c>
      <c r="TP29" s="5"/>
      <c r="TQ29" s="5"/>
      <c r="TZ29" s="2"/>
      <c r="UA29" s="2"/>
      <c r="UC29" s="44">
        <v>0</v>
      </c>
      <c r="UX29" s="5"/>
      <c r="UY29" s="5"/>
      <c r="VH29" s="2"/>
      <c r="VI29" s="2"/>
      <c r="VK29" s="44">
        <v>0</v>
      </c>
      <c r="WF29" s="5"/>
      <c r="WG29" s="5"/>
      <c r="WP29" s="2"/>
      <c r="WQ29" s="2"/>
      <c r="WS29" s="44">
        <v>0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0</v>
      </c>
      <c r="FF30" s="5"/>
      <c r="FG30" s="5"/>
      <c r="FP30" s="2"/>
      <c r="FQ30" s="2"/>
      <c r="FS30" s="45">
        <v>0</v>
      </c>
      <c r="GN30" s="5"/>
      <c r="GO30" s="5"/>
      <c r="GX30" s="2"/>
      <c r="GY30" s="2"/>
      <c r="HA30" s="45">
        <v>0</v>
      </c>
      <c r="HV30" s="5"/>
      <c r="HW30" s="5"/>
      <c r="IF30" s="2"/>
      <c r="IG30" s="2"/>
      <c r="II30" s="45">
        <v>0</v>
      </c>
      <c r="JD30" s="5"/>
      <c r="JE30" s="5"/>
      <c r="JN30" s="2"/>
      <c r="JO30" s="2"/>
      <c r="JQ30" s="45">
        <v>0</v>
      </c>
      <c r="KL30" s="5"/>
      <c r="KM30" s="5"/>
      <c r="KV30" s="2"/>
      <c r="KW30" s="2"/>
      <c r="KY30" s="45">
        <v>0</v>
      </c>
      <c r="LT30" s="5"/>
      <c r="LU30" s="5"/>
      <c r="MD30" s="2"/>
      <c r="ME30" s="2"/>
      <c r="MG30" s="45">
        <v>0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0</v>
      </c>
      <c r="PR30" s="5"/>
      <c r="PS30" s="5"/>
      <c r="QB30" s="2"/>
      <c r="QC30" s="2"/>
      <c r="QE30" s="45">
        <v>0</v>
      </c>
      <c r="QZ30" s="5"/>
      <c r="RA30" s="5"/>
      <c r="RJ30" s="2"/>
      <c r="RK30" s="2"/>
      <c r="RM30" s="45">
        <v>0</v>
      </c>
      <c r="SH30" s="5"/>
      <c r="SI30" s="5"/>
      <c r="SR30" s="2"/>
      <c r="SS30" s="2"/>
      <c r="SU30" s="45">
        <v>0</v>
      </c>
      <c r="TP30" s="5"/>
      <c r="TQ30" s="5"/>
      <c r="TZ30" s="2"/>
      <c r="UA30" s="2"/>
      <c r="UC30" s="45">
        <v>0</v>
      </c>
      <c r="UX30" s="5"/>
      <c r="UY30" s="5"/>
      <c r="VH30" s="2"/>
      <c r="VI30" s="2"/>
      <c r="VK30" s="45">
        <v>0</v>
      </c>
      <c r="WF30" s="5"/>
      <c r="WG30" s="5"/>
      <c r="WP30" s="2"/>
      <c r="WQ30" s="2"/>
      <c r="WS30" s="45">
        <v>0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54.9</v>
      </c>
      <c r="FF31" s="5"/>
      <c r="FG31" s="5"/>
      <c r="FP31" s="2"/>
      <c r="FQ31" s="2"/>
      <c r="FS31" s="46">
        <v>54.9</v>
      </c>
      <c r="GN31" s="5"/>
      <c r="GO31" s="5"/>
      <c r="GX31" s="2"/>
      <c r="GY31" s="2"/>
      <c r="HA31" s="46">
        <v>54.9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56.7</v>
      </c>
      <c r="FF32" s="5"/>
      <c r="FG32" s="5"/>
      <c r="FP32" s="2"/>
      <c r="FQ32" s="2"/>
      <c r="FS32" s="47">
        <v>56.7</v>
      </c>
      <c r="GN32" s="5"/>
      <c r="GO32" s="5"/>
      <c r="GX32" s="2"/>
      <c r="GY32" s="2"/>
      <c r="HA32" s="47">
        <v>56.7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58.4</v>
      </c>
      <c r="FF33" s="5"/>
      <c r="FG33" s="5"/>
      <c r="FP33" s="2"/>
      <c r="FQ33" s="2"/>
      <c r="FR33" s="37"/>
      <c r="FS33" s="48">
        <v>58.4</v>
      </c>
      <c r="GN33" s="5"/>
      <c r="GO33" s="5"/>
      <c r="GX33" s="2"/>
      <c r="GY33" s="2"/>
      <c r="GZ33" s="37"/>
      <c r="HA33" s="48">
        <v>58.4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60</v>
      </c>
      <c r="FF34" s="5"/>
      <c r="FG34" s="5"/>
      <c r="FP34" s="41"/>
      <c r="FQ34" s="2"/>
      <c r="FS34" s="49">
        <v>60</v>
      </c>
      <c r="GN34" s="5"/>
      <c r="GO34" s="5"/>
      <c r="GX34" s="2"/>
      <c r="GY34" s="2"/>
      <c r="HA34" s="49">
        <v>60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4">
    <cfRule type="expression" dxfId="799" priority="52" stopIfTrue="1">
      <formula>IF($AN4&lt;&gt;"",1,0)</formula>
    </cfRule>
  </conditionalFormatting>
  <conditionalFormatting sqref="AZ4:BZ24">
    <cfRule type="expression" dxfId="798" priority="240" stopIfTrue="1">
      <formula>IF($BO4&lt;&gt;"",1,0)</formula>
    </cfRule>
  </conditionalFormatting>
  <conditionalFormatting sqref="CA4:DA24">
    <cfRule type="expression" dxfId="797" priority="236" stopIfTrue="1">
      <formula>IF($CP4&lt;&gt;"",1,0)</formula>
    </cfRule>
  </conditionalFormatting>
  <conditionalFormatting sqref="BW35:BW1048576 BP1:BP1048576 BS1:BS1048576 BW1:BW33">
    <cfRule type="cellIs" dxfId="796" priority="52662" operator="between">
      <formula>$BZ$30</formula>
      <formula>1000</formula>
    </cfRule>
    <cfRule type="cellIs" dxfId="795" priority="52663" operator="between">
      <formula>$BZ$29</formula>
      <formula>$BZ$30</formula>
    </cfRule>
    <cfRule type="cellIs" dxfId="794" priority="52664" operator="between">
      <formula>$BZ$28</formula>
      <formula>$BZ$29</formula>
    </cfRule>
    <cfRule type="cellIs" dxfId="793" priority="52665" operator="between">
      <formula>$BZ$27</formula>
      <formula>$BZ$28</formula>
    </cfRule>
  </conditionalFormatting>
  <conditionalFormatting sqref="CX35:CX1048576 CQ1:CQ1048576 CT1:CT1048576 CX1:CX33">
    <cfRule type="cellIs" dxfId="792" priority="51539" operator="between">
      <formula>$DA$30</formula>
      <formula>1000</formula>
    </cfRule>
    <cfRule type="cellIs" dxfId="791" priority="51540" operator="between">
      <formula>$DA$29</formula>
      <formula>$DA$30</formula>
    </cfRule>
    <cfRule type="cellIs" dxfId="790" priority="51541" operator="between">
      <formula>$DA$28</formula>
      <formula>$DA$29</formula>
    </cfRule>
    <cfRule type="cellIs" dxfId="789" priority="51542" operator="between">
      <formula>$DA$27</formula>
      <formula>$DA$28</formula>
    </cfRule>
  </conditionalFormatting>
  <conditionalFormatting sqref="EH35:EH1048576 DX1:DX1048576 EA1:EA1048576 EE1:EE1048576 EH1:EH33">
    <cfRule type="cellIs" dxfId="788" priority="52693" operator="between">
      <formula>$EK$27</formula>
      <formula>$EK$28</formula>
    </cfRule>
  </conditionalFormatting>
  <conditionalFormatting sqref="FP35:FP1048576 FF1:FF1048576 FI1:FI1048576 FM1:FM1048576 FP1:FP33">
    <cfRule type="cellIs" dxfId="787" priority="223" operator="between">
      <formula>$FS$27</formula>
      <formula>$FS$28</formula>
    </cfRule>
  </conditionalFormatting>
  <conditionalFormatting sqref="IF35:IF1048576 HV1:HV1048576 HY1:HY1048576 IC1:IC1048576 IF1:IF33">
    <cfRule type="cellIs" dxfId="786" priority="191" operator="between">
      <formula>$II$27</formula>
      <formula>$II$28</formula>
    </cfRule>
  </conditionalFormatting>
  <conditionalFormatting sqref="AW34 AO1:AO1048576 AR1:AR1048576 AV1:AV1048576">
    <cfRule type="cellIs" dxfId="785" priority="53" operator="between">
      <formula>$AY$30</formula>
      <formula>1000</formula>
    </cfRule>
    <cfRule type="cellIs" dxfId="784" priority="54" operator="between">
      <formula>$AY$29</formula>
      <formula>$AY$30</formula>
    </cfRule>
    <cfRule type="cellIs" dxfId="783" priority="55" operator="between">
      <formula>$AY$28</formula>
      <formula>$AY$29</formula>
    </cfRule>
    <cfRule type="cellIs" dxfId="782" priority="51305" operator="between">
      <formula>$AY$27</formula>
      <formula>$AY$28</formula>
    </cfRule>
  </conditionalFormatting>
  <conditionalFormatting sqref="BW34">
    <cfRule type="cellIs" dxfId="781" priority="48" operator="between">
      <formula>$AY$30</formula>
      <formula>1000</formula>
    </cfRule>
    <cfRule type="cellIs" dxfId="780" priority="49" operator="between">
      <formula>$AY$29</formula>
      <formula>$AY$30</formula>
    </cfRule>
    <cfRule type="cellIs" dxfId="779" priority="50" operator="between">
      <formula>$AY$28</formula>
      <formula>$AY$29</formula>
    </cfRule>
    <cfRule type="cellIs" dxfId="778" priority="51" operator="between">
      <formula>$AY$27</formula>
      <formula>$AY$28</formula>
    </cfRule>
  </conditionalFormatting>
  <conditionalFormatting sqref="CX34">
    <cfRule type="cellIs" dxfId="777" priority="44" operator="between">
      <formula>$AY$30</formula>
      <formula>1000</formula>
    </cfRule>
    <cfRule type="cellIs" dxfId="776" priority="45" operator="between">
      <formula>$AY$29</formula>
      <formula>$AY$30</formula>
    </cfRule>
    <cfRule type="cellIs" dxfId="775" priority="46" operator="between">
      <formula>$AY$28</formula>
      <formula>$AY$29</formula>
    </cfRule>
    <cfRule type="cellIs" dxfId="774" priority="47" operator="between">
      <formula>$AY$27</formula>
      <formula>$AY$28</formula>
    </cfRule>
  </conditionalFormatting>
  <conditionalFormatting sqref="EH34">
    <cfRule type="cellIs" dxfId="773" priority="40" operator="between">
      <formula>$AY$30</formula>
      <formula>1000</formula>
    </cfRule>
    <cfRule type="cellIs" dxfId="772" priority="41" operator="between">
      <formula>$AY$29</formula>
      <formula>$AY$30</formula>
    </cfRule>
    <cfRule type="cellIs" dxfId="771" priority="42" operator="between">
      <formula>$AY$28</formula>
      <formula>$AY$29</formula>
    </cfRule>
    <cfRule type="cellIs" dxfId="770" priority="43" operator="between">
      <formula>$AY$27</formula>
      <formula>$AY$28</formula>
    </cfRule>
  </conditionalFormatting>
  <conditionalFormatting sqref="FP34">
    <cfRule type="cellIs" dxfId="769" priority="36" operator="between">
      <formula>$AY$30</formula>
      <formula>1000</formula>
    </cfRule>
    <cfRule type="cellIs" dxfId="768" priority="37" operator="between">
      <formula>$AY$29</formula>
      <formula>$AY$30</formula>
    </cfRule>
    <cfRule type="cellIs" dxfId="767" priority="38" operator="between">
      <formula>$AY$28</formula>
      <formula>$AY$29</formula>
    </cfRule>
    <cfRule type="cellIs" dxfId="766" priority="39" operator="between">
      <formula>$AY$27</formula>
      <formula>$AY$28</formula>
    </cfRule>
  </conditionalFormatting>
  <conditionalFormatting sqref="IF34">
    <cfRule type="cellIs" dxfId="765" priority="32" operator="between">
      <formula>$AY$30</formula>
      <formula>1000</formula>
    </cfRule>
    <cfRule type="cellIs" dxfId="764" priority="33" operator="between">
      <formula>$AY$29</formula>
      <formula>$AY$30</formula>
    </cfRule>
    <cfRule type="cellIs" dxfId="763" priority="34" operator="between">
      <formula>$AY$28</formula>
      <formula>$AY$29</formula>
    </cfRule>
    <cfRule type="cellIs" dxfId="762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AY$34</formula>
      <formula>1000</formula>
    </cfRule>
    <cfRule type="cellIs" dxfId="755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54" priority="151082" operator="between">
      <formula>EK$34</formula>
      <formula>1000</formula>
    </cfRule>
    <cfRule type="cellIs" dxfId="753" priority="151083" operator="between">
      <formula>EK$33</formula>
      <formula>EK$34</formula>
    </cfRule>
  </conditionalFormatting>
  <conditionalFormatting sqref="AQ1:AQ1048576 AT1:AT1048576 AX1:AX1048576">
    <cfRule type="cellIs" dxfId="752" priority="151166" operator="between">
      <formula>$AY$34</formula>
      <formula>1000</formula>
    </cfRule>
    <cfRule type="cellIs" dxfId="751" priority="151167" operator="between">
      <formula>$AY$33</formula>
      <formula>$AY$34</formula>
    </cfRule>
    <cfRule type="cellIs" dxfId="750" priority="151168" operator="between">
      <formula>$AY$32</formula>
      <formula>$AY$33</formula>
    </cfRule>
    <cfRule type="cellIs" dxfId="749" priority="151169" operator="between">
      <formula>$AY$31</formula>
      <formula>$AY$32</formula>
    </cfRule>
  </conditionalFormatting>
  <conditionalFormatting sqref="BR1:BR1048576 BU1:BU1048576 BY1:BY1048576">
    <cfRule type="cellIs" dxfId="748" priority="151202" operator="between">
      <formula>$BZ$34</formula>
      <formula>1000</formula>
    </cfRule>
    <cfRule type="cellIs" dxfId="747" priority="151203" operator="between">
      <formula>$BZ$33</formula>
      <formula>$BZ$34</formula>
    </cfRule>
    <cfRule type="cellIs" dxfId="746" priority="151204" operator="between">
      <formula>$BZ$32</formula>
      <formula>$BZ$33</formula>
    </cfRule>
    <cfRule type="cellIs" dxfId="745" priority="151205" operator="between">
      <formula>$BZ$31</formula>
      <formula>$BZ$32</formula>
    </cfRule>
  </conditionalFormatting>
  <conditionalFormatting sqref="CS1:CS1048576 CV1:CV1048576 CZ1:CZ1048576">
    <cfRule type="cellIs" dxfId="744" priority="151238" operator="between">
      <formula>$DA$34</formula>
      <formula>1000</formula>
    </cfRule>
    <cfRule type="cellIs" dxfId="743" priority="151239" operator="between">
      <formula>$DA$33</formula>
      <formula>$DA$34</formula>
    </cfRule>
    <cfRule type="cellIs" dxfId="742" priority="151240" operator="between">
      <formula>$DA$32</formula>
      <formula>$DA$33</formula>
    </cfRule>
    <cfRule type="cellIs" dxfId="741" priority="151241" operator="between">
      <formula>$DA$31</formula>
      <formula>$DA$32</formula>
    </cfRule>
  </conditionalFormatting>
  <conditionalFormatting sqref="NB1:NB1048576 NE1:NE1048576 NI1:NI1048576 NL1:NL1048576">
    <cfRule type="cellIs" dxfId="740" priority="151816" operator="between">
      <formula>$NO$27</formula>
      <formula>$NO$28</formula>
    </cfRule>
  </conditionalFormatting>
  <conditionalFormatting sqref="DZ1:DZ1048576 EC1:EC1048576 EG1:EG1048576 EJ1:EJ1048576">
    <cfRule type="cellIs" dxfId="739" priority="151286" operator="between">
      <formula>$EK$34</formula>
      <formula>1000</formula>
    </cfRule>
    <cfRule type="cellIs" dxfId="738" priority="151287" operator="between">
      <formula>$EK$33</formula>
      <formula>$EK$34</formula>
    </cfRule>
    <cfRule type="cellIs" dxfId="737" priority="151288" operator="between">
      <formula>$EK$32</formula>
      <formula>$EK$33</formula>
    </cfRule>
    <cfRule type="cellIs" dxfId="736" priority="151289" operator="between">
      <formula>$EK$31</formula>
      <formula>$EK$32</formula>
    </cfRule>
  </conditionalFormatting>
  <conditionalFormatting sqref="FH1:FH1048576 FK1:FK1048576 FO1:FO1048576 FR1:FR1048576">
    <cfRule type="cellIs" dxfId="735" priority="151334" operator="between">
      <formula>$FS$34</formula>
      <formula>1000</formula>
    </cfRule>
    <cfRule type="cellIs" dxfId="734" priority="151335" operator="between">
      <formula>$FS$33</formula>
      <formula>$FS$34</formula>
    </cfRule>
    <cfRule type="cellIs" dxfId="733" priority="151336" operator="between">
      <formula>$FS$32</formula>
      <formula>$FS$33</formula>
    </cfRule>
    <cfRule type="cellIs" dxfId="732" priority="151337" operator="between">
      <formula>$FS$31</formula>
      <formula>$FS$32</formula>
    </cfRule>
  </conditionalFormatting>
  <conditionalFormatting sqref="GN1:GN1048576 GQ1:GQ1048576 GU1:GU1048576 GX1:GX1048576">
    <cfRule type="cellIs" dxfId="731" priority="151384" stopIfTrue="1" operator="between">
      <formula>$HA$28</formula>
      <formula>1000</formula>
    </cfRule>
    <cfRule type="cellIs" dxfId="730" priority="151385" operator="between">
      <formula>$HA$27</formula>
      <formula>$HA$28</formula>
    </cfRule>
  </conditionalFormatting>
  <conditionalFormatting sqref="GP1:GP1048576 GS1:GS1048576 GW1:GW1048576 GZ1:GZ1048576">
    <cfRule type="cellIs" dxfId="729" priority="151430" operator="between">
      <formula>$HA$34</formula>
      <formula>1000</formula>
    </cfRule>
    <cfRule type="cellIs" dxfId="728" priority="151431" operator="between">
      <formula>$HA$33</formula>
      <formula>$HA$34</formula>
    </cfRule>
    <cfRule type="cellIs" dxfId="727" priority="151432" operator="between">
      <formula>$HA$32</formula>
      <formula>$HA$33</formula>
    </cfRule>
    <cfRule type="cellIs" dxfId="726" priority="151433" operator="between">
      <formula>$HA$31</formula>
      <formula>$HA$32</formula>
    </cfRule>
  </conditionalFormatting>
  <conditionalFormatting sqref="HX1:HX1048576 IA1:IA1048576 IE1:IE1048576 IH1:IH1048576">
    <cfRule type="cellIs" dxfId="725" priority="151478" operator="between">
      <formula>$II$34</formula>
      <formula>1000</formula>
    </cfRule>
    <cfRule type="cellIs" dxfId="724" priority="151479" operator="between">
      <formula>$II$33</formula>
      <formula>$II$34</formula>
    </cfRule>
    <cfRule type="cellIs" dxfId="723" priority="151480" operator="between">
      <formula>$II$32</formula>
      <formula>$II$33</formula>
    </cfRule>
    <cfRule type="cellIs" dxfId="722" priority="151481" operator="between">
      <formula>$II$31</formula>
      <formula>$II$32</formula>
    </cfRule>
  </conditionalFormatting>
  <conditionalFormatting sqref="JD1:JD1048576 JG1:JG1048576 JK1:JK1048576 JN1:JN1048576">
    <cfRule type="cellIs" dxfId="721" priority="151528" stopIfTrue="1" operator="between">
      <formula>$JQ$28</formula>
      <formula>1000</formula>
    </cfRule>
    <cfRule type="cellIs" dxfId="720" priority="151529" operator="between">
      <formula>$JQ$27</formula>
      <formula>$JQ$28</formula>
    </cfRule>
  </conditionalFormatting>
  <conditionalFormatting sqref="JF1:JF1048576 JI1:JI1048576 JM1:JM1048576 JP1:JP1048576">
    <cfRule type="cellIs" dxfId="719" priority="151574" operator="between">
      <formula>$JQ$34</formula>
      <formula>1000</formula>
    </cfRule>
    <cfRule type="cellIs" dxfId="718" priority="151575" operator="between">
      <formula>$JQ$33</formula>
      <formula>$JQ$34</formula>
    </cfRule>
    <cfRule type="cellIs" dxfId="717" priority="151576" operator="between">
      <formula>$JQ$32</formula>
      <formula>$JQ$33</formula>
    </cfRule>
    <cfRule type="cellIs" dxfId="716" priority="151577" operator="between">
      <formula>$JQ$31</formula>
      <formula>$JQ$32</formula>
    </cfRule>
  </conditionalFormatting>
  <conditionalFormatting sqref="KL1:KL1048576 KO1:KO1048576 KS1:KS1048576 KV1:KV1048576">
    <cfRule type="cellIs" dxfId="715" priority="151624" stopIfTrue="1" operator="between">
      <formula>$KY$28</formula>
      <formula>1000</formula>
    </cfRule>
    <cfRule type="cellIs" dxfId="714" priority="151625" operator="between">
      <formula>$KY$27</formula>
      <formula>$KY$28</formula>
    </cfRule>
  </conditionalFormatting>
  <conditionalFormatting sqref="KN1:KN1048576 KQ1:KQ1048576 KU1:KU1048576 KX1:KX1048576">
    <cfRule type="cellIs" dxfId="713" priority="151670" operator="between">
      <formula>$KY$34</formula>
      <formula>1000</formula>
    </cfRule>
    <cfRule type="cellIs" dxfId="712" priority="151671" operator="between">
      <formula>$KY$33</formula>
      <formula>$KY$34</formula>
    </cfRule>
    <cfRule type="cellIs" dxfId="711" priority="151672" operator="between">
      <formula>$KY$32</formula>
      <formula>$KY$33</formula>
    </cfRule>
    <cfRule type="cellIs" dxfId="710" priority="151673" operator="between">
      <formula>$KY$31</formula>
      <formula>$KY$32</formula>
    </cfRule>
  </conditionalFormatting>
  <conditionalFormatting sqref="LT1:LT1048576 LW1:LW1048576 MA1:MA1048576 MD1:MD1048576">
    <cfRule type="cellIs" dxfId="709" priority="151720" stopIfTrue="1" operator="between">
      <formula>$MG$28</formula>
      <formula>1000</formula>
    </cfRule>
    <cfRule type="cellIs" dxfId="708" priority="151721" operator="between">
      <formula>$MG$27</formula>
      <formula>$MG$28</formula>
    </cfRule>
  </conditionalFormatting>
  <conditionalFormatting sqref="LV1:LV1048576 LY1:LY1048576 MC1:MC1048576 MF1:MF1048576">
    <cfRule type="cellIs" dxfId="707" priority="151766" operator="between">
      <formula>$MG$34</formula>
      <formula>1000</formula>
    </cfRule>
    <cfRule type="cellIs" dxfId="706" priority="151767" operator="between">
      <formula>$MG$33</formula>
      <formula>$MG$34</formula>
    </cfRule>
    <cfRule type="cellIs" dxfId="705" priority="151768" operator="between">
      <formula>$MG$32</formula>
      <formula>$MG$33</formula>
    </cfRule>
    <cfRule type="cellIs" dxfId="704" priority="151769" operator="between">
      <formula>$MG$31</formula>
      <formula>$MG$32</formula>
    </cfRule>
  </conditionalFormatting>
  <conditionalFormatting sqref="NB1:NB1048576 NE1:NE1048576 NI1:NI1048576">
    <cfRule type="cellIs" dxfId="703" priority="151815" operator="between">
      <formula>$NO$28</formula>
      <formula>1000</formula>
    </cfRule>
  </conditionalFormatting>
  <conditionalFormatting sqref="ND1:ND1048576 NG1:NG1048576 NK1:NK1048576 NN1:NN1048576">
    <cfRule type="cellIs" dxfId="702" priority="151841" operator="between">
      <formula>$NO$34</formula>
      <formula>1000</formula>
    </cfRule>
    <cfRule type="cellIs" dxfId="701" priority="151842" operator="between">
      <formula>$NO$33</formula>
      <formula>$NO$34</formula>
    </cfRule>
    <cfRule type="cellIs" dxfId="700" priority="151843" operator="between">
      <formula>$NO$32</formula>
      <formula>$NO$33</formula>
    </cfRule>
    <cfRule type="cellIs" dxfId="699" priority="151844" operator="between">
      <formula>$NO$31</formula>
      <formula>$NO$32</formula>
    </cfRule>
  </conditionalFormatting>
  <conditionalFormatting sqref="OJ1:OJ1048576 OM1:OM1048576 OQ1:OQ1048576 OT1:OT1048576">
    <cfRule type="cellIs" dxfId="698" priority="151891" stopIfTrue="1" operator="between">
      <formula>$OW$28</formula>
      <formula>1000</formula>
    </cfRule>
    <cfRule type="cellIs" dxfId="697" priority="151892" operator="between">
      <formula>$OW$27</formula>
      <formula>$OW$28</formula>
    </cfRule>
  </conditionalFormatting>
  <conditionalFormatting sqref="OL1:OL1048576 OO1:OO1048576 OS1:OS1048576 OV1:OV1048576">
    <cfRule type="cellIs" dxfId="696" priority="151937" operator="between">
      <formula>$OW$34</formula>
      <formula>1000</formula>
    </cfRule>
    <cfRule type="cellIs" dxfId="695" priority="151938" operator="between">
      <formula>$OW$33</formula>
      <formula>$OW$34</formula>
    </cfRule>
    <cfRule type="cellIs" dxfId="694" priority="151939" operator="between">
      <formula>$OW$32</formula>
      <formula>$OW$33</formula>
    </cfRule>
    <cfRule type="cellIs" dxfId="693" priority="151940" operator="between">
      <formula>$OW$31</formula>
      <formula>$OW$32</formula>
    </cfRule>
  </conditionalFormatting>
  <conditionalFormatting sqref="PR1:PR1048576 PU1:PU1048576 PY1:PY1048576 QB1:QB1048576">
    <cfRule type="cellIs" dxfId="692" priority="151987" stopIfTrue="1" operator="between">
      <formula>$QE$28</formula>
      <formula>1000</formula>
    </cfRule>
    <cfRule type="cellIs" dxfId="691" priority="151988" operator="between">
      <formula>$QE$27</formula>
      <formula>$QE$28</formula>
    </cfRule>
  </conditionalFormatting>
  <conditionalFormatting sqref="PT1:PT1048576 PW1:PW1048576 QA1:QA1048576 QD1:QD1048576">
    <cfRule type="cellIs" dxfId="690" priority="152033" operator="between">
      <formula>$QE$34</formula>
      <formula>1000</formula>
    </cfRule>
    <cfRule type="cellIs" dxfId="689" priority="152034" operator="between">
      <formula>$QE$33</formula>
      <formula>$QE$34</formula>
    </cfRule>
    <cfRule type="cellIs" dxfId="688" priority="152035" operator="between">
      <formula>$QE$32</formula>
      <formula>$QE$33</formula>
    </cfRule>
    <cfRule type="cellIs" dxfId="687" priority="152036" operator="between">
      <formula>$QE$31</formula>
      <formula>$QE$32</formula>
    </cfRule>
  </conditionalFormatting>
  <conditionalFormatting sqref="QZ1:QZ1048576 RC1:RC1048576 RG1:RG1048576 RJ1:RJ1048576">
    <cfRule type="cellIs" dxfId="686" priority="152083" stopIfTrue="1" operator="between">
      <formula>$RM$28</formula>
      <formula>1000</formula>
    </cfRule>
    <cfRule type="cellIs" dxfId="685" priority="152084" operator="between">
      <formula>$RM$27</formula>
      <formula>$RM$28</formula>
    </cfRule>
  </conditionalFormatting>
  <conditionalFormatting sqref="RB1:RB1048576 RE1:RE1048576 RI1:RI1048576 RL1:RL1048576">
    <cfRule type="cellIs" dxfId="684" priority="152129" operator="between">
      <formula>$RM$34</formula>
      <formula>1000</formula>
    </cfRule>
    <cfRule type="cellIs" dxfId="683" priority="152130" operator="between">
      <formula>$RM$33</formula>
      <formula>$RM$34</formula>
    </cfRule>
    <cfRule type="cellIs" dxfId="682" priority="152131" operator="between">
      <formula>$RM$32</formula>
      <formula>$RM$33</formula>
    </cfRule>
    <cfRule type="cellIs" dxfId="681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80" priority="152179" operator="between">
      <formula>$SU$28</formula>
      <formula>1000</formula>
    </cfRule>
    <cfRule type="cellIs" dxfId="679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78" priority="152321" operator="between">
      <formula>$SU$34</formula>
      <formula>1000</formula>
    </cfRule>
    <cfRule type="cellIs" dxfId="677" priority="152322" operator="between">
      <formula>$SU$33</formula>
      <formula>$SU$34</formula>
    </cfRule>
    <cfRule type="cellIs" dxfId="676" priority="152323" operator="between">
      <formula>$SU$32</formula>
      <formula>$SU$33</formula>
    </cfRule>
    <cfRule type="cellIs" dxfId="675" priority="152324" operator="between">
      <formula>$SU$31</formula>
      <formula>$SU$32</formula>
    </cfRule>
  </conditionalFormatting>
  <conditionalFormatting sqref="EH1:EH1048576 DX1:DX1048576 EA1:EA1048576 EE1:EE1048576">
    <cfRule type="cellIs" dxfId="674" priority="52692" stopIfTrue="1" operator="between">
      <formula>$EK$28</formula>
      <formula>1000</formula>
    </cfRule>
  </conditionalFormatting>
  <conditionalFormatting sqref="FP1:FP1048576 FF1:FF1048576 FI1:FI1048576 FM1:FM1048576">
    <cfRule type="cellIs" dxfId="673" priority="222" stopIfTrue="1" operator="between">
      <formula>$FS$28</formula>
      <formula>1000</formula>
    </cfRule>
  </conditionalFormatting>
  <conditionalFormatting sqref="IF1:IF1048576 HV1:HV1048576 HY1:HY1048576 IC1:IC1048576">
    <cfRule type="cellIs" dxfId="672" priority="190" stopIfTrue="1" operator="between">
      <formula>$II$28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200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189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227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230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248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251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 t="shared" ref="E4:E14" si="0">SUM(J4:V4)+SUM(J4:T4)*0.0000001+SUM(J4)*0.0000000000001</f>
        <v>256.95002567200572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 t="shared" ref="K4:K14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 t="shared" ref="M4:M14" si="6"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 t="shared" ref="O4:O14" si="7">IF(N4="","",IF(OR(N4=CS4,N4=CV4),$CA$1,IF(OR(N4=BR4,N4=BU4),$AZ$1,IF(OR(N4=AQ4,N4=AT4),$Y$1,""))))</f>
        <v>2025 Elite Canada</v>
      </c>
      <c r="P4" s="8">
        <f t="shared" ref="P4:P14" si="8">IF(MAX(AX4,BY4,CZ4)&gt;0,MAX(AX4,BY4,CZ4),0)</f>
        <v>56.61999999999999</v>
      </c>
      <c r="Q4" s="8" t="str">
        <f t="shared" ref="Q4:Q14" si="9">IF(P4="","",IF(P4=CZ4,$CA$1,IF(P4=BY4,$AZ$1,IF(P4=AX4,$Y$1,""))))</f>
        <v>2025 Nationals</v>
      </c>
      <c r="R4" s="8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4" si="12"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15.25</v>
      </c>
      <c r="U4" s="8" t="str">
        <f t="shared" ref="U4:U1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Olympic Games (Aug 2)</v>
      </c>
      <c r="V4" s="8">
        <f t="shared" ref="V4:V14" si="14">IF(MAX(DB4,DC4)&gt;0,MAX(DB4,DC4),"")</f>
        <v>0.23000000000000398</v>
      </c>
      <c r="W4" s="11" t="str">
        <f t="shared" ref="W4:W14" si="15">IF(V4="","",IF(V4=DB4,"("&amp;DB$2&amp;")",IF(V4=DC4,"("&amp;DC$2&amp;")")))</f>
        <v>(Prelim)</v>
      </c>
      <c r="X4" s="8" t="str">
        <f t="shared" ref="X4:X1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 t="shared" ref="AO4:AO14" si="17">IF(AA4&gt;0,AA4,"")</f>
        <v>14.2</v>
      </c>
      <c r="AP4" s="38">
        <f t="shared" ref="AP4:AP14" si="18">IF(AB4&gt;0,AB4,"")</f>
        <v>14.969999999999999</v>
      </c>
      <c r="AQ4" s="40">
        <f t="shared" ref="AQ4:AQ14" si="19">IF(SUM(Y4:AB4)-AC4&gt;0,SUM(Y4:AB4)-AC4,"")</f>
        <v>54.87</v>
      </c>
      <c r="AR4" s="40">
        <f t="shared" ref="AR4:AR14" si="20">IF(AF4&gt;0,AF4,"")</f>
        <v>14.4</v>
      </c>
      <c r="AS4" s="40">
        <f t="shared" ref="AS4:AS14" si="21">IF(AG4&gt;0,AG4,"")</f>
        <v>15.129999999999999</v>
      </c>
      <c r="AT4" s="40">
        <f t="shared" ref="AT4:AT14" si="22">IF(SUM(AD4:AG4)-AH4&gt;0,SUM(AD4:AG4)-AH4,"")</f>
        <v>55.980000000000004</v>
      </c>
      <c r="AU4" s="40">
        <f t="shared" ref="AU4:AU14" si="23">IF(AQ4="","",MAX(AQ4,AT4))</f>
        <v>55.980000000000004</v>
      </c>
      <c r="AV4" s="40">
        <f t="shared" ref="AV4:AV14" si="24">IF(AK4&gt;0,AK4,"")</f>
        <v>14.5</v>
      </c>
      <c r="AW4" s="40">
        <f t="shared" ref="AW4:AW14" si="25">IF(AL4&gt;0,AL4,"")</f>
        <v>14.95</v>
      </c>
      <c r="AX4" s="40">
        <f t="shared" ref="AX4:AX14" si="26">IF(SUM(AI4:AL4)-AM4&gt;0,SUM(AI4:AL4)-AM4,"")</f>
        <v>55.650000000000006</v>
      </c>
      <c r="AY4" s="40">
        <f t="shared" ref="AY4:AY14" si="27"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 t="shared" ref="BP4:BP14" si="28">IF(BB4&gt;0,BB4,"")</f>
        <v>14.9</v>
      </c>
      <c r="BQ4" s="39">
        <f t="shared" ref="BQ4:BQ14" si="29">IF(BC4&gt;0,BC4,"")</f>
        <v>15.24</v>
      </c>
      <c r="BR4" s="11">
        <f t="shared" ref="BR4:BR14" si="30">IF(SUM(AZ4:BC4)-BD4&gt;0,SUM(AZ4:BC4)-BD4,"")</f>
        <v>56.94</v>
      </c>
      <c r="BS4" s="11">
        <f t="shared" ref="BS4:BS14" si="31">IF(BG4&gt;0,BG4,"")</f>
        <v>14.9</v>
      </c>
      <c r="BT4" s="11">
        <f t="shared" ref="BT4:BT14" si="32">IF(BH4&gt;0,BH4,"")</f>
        <v>14.91</v>
      </c>
      <c r="BU4" s="11">
        <f t="shared" ref="BU4:BU14" si="33">IF(SUM(BE4:BH4)-BI4&gt;0,SUM(BE4:BH4)-BI4,"")</f>
        <v>56.11</v>
      </c>
      <c r="BV4" s="11">
        <f t="shared" ref="BV4:BV14" si="34">IF(BR4="","",MAX(BR4,BU4))</f>
        <v>56.94</v>
      </c>
      <c r="BW4" s="11">
        <f t="shared" ref="BW4:BW14" si="35">IF(BL4&gt;0,BL4,"")</f>
        <v>14.5</v>
      </c>
      <c r="BX4" s="11">
        <f t="shared" ref="BX4:BX14" si="36">IF(BM4&gt;0,BM4,"")</f>
        <v>15.01</v>
      </c>
      <c r="BY4" s="11">
        <f t="shared" ref="BY4:BY14" si="37">IF(SUM(BJ4:BM4)-BN4&gt;0,SUM(BJ4:BM4)-BN4,"")</f>
        <v>55.61</v>
      </c>
      <c r="BZ4" s="11">
        <f t="shared" ref="BZ4:BZ14" si="38"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 t="shared" ref="CQ4:CQ14" si="39">IF(CC4&gt;0,CC4,"")</f>
        <v>14.9</v>
      </c>
      <c r="CR4" s="38">
        <f t="shared" ref="CR4:CR14" si="40">IF(CD4&gt;0,CD4,"")</f>
        <v>15.1</v>
      </c>
      <c r="CS4" s="40">
        <f t="shared" ref="CS4:CS14" si="41">IF(SUM(CA4:CD4)-CE4&gt;0,SUM(CA4:CD4)-CE4,"")</f>
        <v>56.300000000000004</v>
      </c>
      <c r="CT4" s="40">
        <f t="shared" ref="CT4:CT14" si="42">IF(CH4&gt;0,CH4,"")</f>
        <v>3.3</v>
      </c>
      <c r="CU4" s="40">
        <f t="shared" ref="CU4:CU14" si="43">IF(CI4&gt;0,CI4,"")</f>
        <v>3.31</v>
      </c>
      <c r="CV4" s="40">
        <f t="shared" ref="CV4:CV14" si="44">IF(SUM(CF4:CI4)-CJ4&gt;0,SUM(CF4:CI4)-CJ4,"")</f>
        <v>12.41</v>
      </c>
      <c r="CW4" s="40">
        <f t="shared" ref="CW4:CW14" si="45">IF(CS4="","",MAX(CS4,CV4))</f>
        <v>56.300000000000004</v>
      </c>
      <c r="CX4" s="40">
        <f t="shared" ref="CX4:CX14" si="46">IF(CM4&gt;0,CM4,"")</f>
        <v>15.5</v>
      </c>
      <c r="CY4" s="40">
        <f t="shared" ref="CY4:CY14" si="47">IF(CN4&gt;0,CN4,"")</f>
        <v>15.02</v>
      </c>
      <c r="CZ4" s="40">
        <f t="shared" ref="CZ4:CZ14" si="48">IF(SUM(CK4:CN4)-CO4&gt;0,SUM(CK4:CN4)-CO4,"")</f>
        <v>56.61999999999999</v>
      </c>
      <c r="DA4" s="40">
        <f t="shared" ref="DA4:DA14" si="49">IF(SUM(CW4,CZ4)&gt;0,SUM(CW4,CZ4),"")</f>
        <v>112.91999999999999</v>
      </c>
      <c r="DB4" s="51">
        <f t="shared" ref="DB4:DB14" si="50">IF(MAX(ED4,FL4,GT4,IB4,JJ4,KR4,LZ4,NH4,OP4,PX4,RF4,SN4,TV4,VD4,WWL4)-IF(N4="",0,N4)&gt;0.001,MAX(ED4,FL4,GT4,IB4,JJ4,KR4,LZ4,NH4,OP4,PX4,RF4,SN4,TV4,VD4,WL4)-IF(N4="",0,N4),"")</f>
        <v>0.23000000000000398</v>
      </c>
      <c r="DC4" s="51" t="str">
        <f t="shared" ref="DC4:DC1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15.6</v>
      </c>
      <c r="DE4" s="17">
        <v>9.6</v>
      </c>
      <c r="DF4" s="17">
        <v>14.4</v>
      </c>
      <c r="DG4" s="17">
        <v>15.04</v>
      </c>
      <c r="DH4" s="17">
        <v>0</v>
      </c>
      <c r="DI4" s="17">
        <v>14.8</v>
      </c>
      <c r="DJ4" s="17">
        <v>9.1999999999999993</v>
      </c>
      <c r="DK4" s="17">
        <v>14.4</v>
      </c>
      <c r="DL4" s="17">
        <v>14.96</v>
      </c>
      <c r="DM4" s="17">
        <v>0.2</v>
      </c>
      <c r="DN4" s="17"/>
      <c r="DO4" s="17"/>
      <c r="DP4" s="17"/>
      <c r="DQ4" s="17"/>
      <c r="DR4" s="17"/>
      <c r="DS4" s="17">
        <v>15.6</v>
      </c>
      <c r="DT4" s="17">
        <v>9.8000000000000007</v>
      </c>
      <c r="DU4" s="17">
        <v>15</v>
      </c>
      <c r="DV4" s="17">
        <v>15.25</v>
      </c>
      <c r="DW4" s="17">
        <v>0</v>
      </c>
      <c r="DX4" s="40">
        <f t="shared" ref="DX4:DX14" si="52">IF(DF4&gt;0,DF4,"")</f>
        <v>14.4</v>
      </c>
      <c r="DY4" s="40">
        <f t="shared" ref="DY4:DY14" si="53">IF(DG4&gt;0,DG4,"")</f>
        <v>15.04</v>
      </c>
      <c r="DZ4" s="40">
        <f t="shared" ref="DZ4:DZ14" si="54">IF(SUM(DD4:DG4)-DH4&gt;0,SUM(DD4:DG4)-DH4,"")</f>
        <v>54.64</v>
      </c>
      <c r="EA4" s="40">
        <f t="shared" ref="EA4:EA14" si="55">IF(DK4&gt;0,DK4,"")</f>
        <v>14.4</v>
      </c>
      <c r="EB4" s="40">
        <f t="shared" ref="EB4:EB14" si="56">IF(DL4&gt;0,DL4,"")</f>
        <v>14.96</v>
      </c>
      <c r="EC4" s="40">
        <f t="shared" ref="EC4:EC14" si="57">IF(SUM(DI4:DL4)-DM4&gt;0,SUM(DI4:DL4)-DM4,"")</f>
        <v>53.16</v>
      </c>
      <c r="ED4" s="40">
        <f t="shared" ref="ED4:ED14" si="58">IF(MAX(DZ4,EC4)&gt;0,MAX(DZ4,EC4),"")</f>
        <v>54.64</v>
      </c>
      <c r="EE4" s="40" t="str">
        <f t="shared" ref="EE4:EE14" si="59">IF(DP4&gt;0,DP4,"")</f>
        <v/>
      </c>
      <c r="EF4" s="40" t="str">
        <f t="shared" ref="EF4:EF14" si="60">IF(DQ4&gt;0,DQ4,"")</f>
        <v/>
      </c>
      <c r="EG4" s="40" t="str">
        <f t="shared" ref="EG4:EG14" si="61">IF(SUM(DN4:DQ4)-DR4&gt;0,SUM(DN4:DQ4)-DR4,"")</f>
        <v/>
      </c>
      <c r="EH4" s="40">
        <f t="shared" ref="EH4:EH14" si="62">IF(DU4&gt;0,DU4,"")</f>
        <v>15</v>
      </c>
      <c r="EI4" s="40">
        <f t="shared" ref="EI4:EI14" si="63">IF(DV4&gt;0,DV4,"")</f>
        <v>15.25</v>
      </c>
      <c r="EJ4" s="40">
        <f t="shared" ref="EJ4:EJ14" si="64">IF(SUM(DS4:DV4)-DW4&gt;0,SUM(DS4:DV4)-DW4,"")</f>
        <v>55.65</v>
      </c>
      <c r="EK4" s="40">
        <f t="shared" ref="EK4:EK14" si="65">IF(SUM(ED4,EG4,EJ4)&gt;0,SUM(ED4,EG4,EJ4),"")</f>
        <v>110.28999999999999</v>
      </c>
      <c r="EL4" s="18">
        <v>15.8</v>
      </c>
      <c r="EM4" s="18">
        <v>9.4</v>
      </c>
      <c r="EN4" s="18">
        <v>13.6</v>
      </c>
      <c r="EO4" s="18">
        <v>14.94</v>
      </c>
      <c r="EP4" s="18">
        <v>0.2</v>
      </c>
      <c r="EQ4" s="18">
        <v>16.600000000000001</v>
      </c>
      <c r="ER4" s="18">
        <v>9.6999999999999993</v>
      </c>
      <c r="ES4" s="18">
        <v>14.5</v>
      </c>
      <c r="ET4" s="18">
        <v>15.22</v>
      </c>
      <c r="EU4" s="18">
        <v>0</v>
      </c>
      <c r="EV4" s="18">
        <v>16.399999999999999</v>
      </c>
      <c r="EW4" s="18">
        <v>9.6</v>
      </c>
      <c r="EX4" s="18">
        <v>14.9</v>
      </c>
      <c r="EY4" s="18">
        <v>15.01</v>
      </c>
      <c r="EZ4" s="18">
        <v>0</v>
      </c>
      <c r="FA4" s="18">
        <v>16.100000000000001</v>
      </c>
      <c r="FB4" s="18">
        <v>9.4</v>
      </c>
      <c r="FC4" s="18">
        <v>14.9</v>
      </c>
      <c r="FD4" s="18">
        <v>14.91</v>
      </c>
      <c r="FE4" s="18">
        <v>0</v>
      </c>
      <c r="FF4" s="11">
        <f t="shared" ref="FF4:FF14" si="66">IF(EN4&gt;0,EN4,"")</f>
        <v>13.6</v>
      </c>
      <c r="FG4" s="11">
        <f t="shared" ref="FG4:FG14" si="67">IF(EO4&gt;0,EO4,"")</f>
        <v>14.94</v>
      </c>
      <c r="FH4" s="11">
        <f t="shared" ref="FH4:FH14" si="68">IF(SUM(EL4:EO4)-EP4&gt;0,SUM(EL4:EO4)-EP4,"")</f>
        <v>53.54</v>
      </c>
      <c r="FI4" s="11">
        <f t="shared" ref="FI4:FI14" si="69">IF(ES4&gt;0,ES4,"")</f>
        <v>14.5</v>
      </c>
      <c r="FJ4" s="11">
        <f t="shared" ref="FJ4:FJ14" si="70">IF(ET4&gt;0,ET4,"")</f>
        <v>15.22</v>
      </c>
      <c r="FK4" s="11">
        <f t="shared" ref="FK4:FK14" si="71">IF(SUM(EQ4:ET4)-EU4&gt;0,SUM(EQ4:ET4)-EU4,"")</f>
        <v>56.019999999999996</v>
      </c>
      <c r="FL4" s="11">
        <f t="shared" ref="FL4:FL14" si="72">IF(MAX(FH4,FK4)&gt;0,MAX(FH4,FK4),"")</f>
        <v>56.019999999999996</v>
      </c>
      <c r="FM4" s="11">
        <f t="shared" ref="FM4:FM14" si="73">IF(EX4&gt;0,EX4,"")</f>
        <v>14.9</v>
      </c>
      <c r="FN4" s="11">
        <f t="shared" ref="FN4:FN14" si="74">IF(EY4&gt;0,EY4,"")</f>
        <v>15.01</v>
      </c>
      <c r="FO4" s="11">
        <f t="shared" ref="FO4:FO14" si="75">IF(SUM(EV4:EY4)-EZ4&gt;0,SUM(EV4:EY4)-EZ4,"")</f>
        <v>55.91</v>
      </c>
      <c r="FP4" s="11">
        <f t="shared" ref="FP4:FP14" si="76">IF(FC4&gt;0,FC4,"")</f>
        <v>14.9</v>
      </c>
      <c r="FQ4" s="11">
        <f t="shared" ref="FQ4:FQ14" si="77">IF(FD4&gt;0,FD4,"")</f>
        <v>14.91</v>
      </c>
      <c r="FR4" s="11">
        <f t="shared" ref="FR4:FR14" si="78">IF(SUM(FA4:FD4)-FE4&gt;0,SUM(FA4:FD4)-FE4,"")</f>
        <v>55.31</v>
      </c>
      <c r="FS4" s="11">
        <f t="shared" ref="FS4:FS14" si="79">IF(SUM(FL4,FO4,FR4)&gt;0,SUM(FL4,FO4,FR4),"")</f>
        <v>167.24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4" si="80">IF(FV4&gt;0,FV4,"")</f>
        <v/>
      </c>
      <c r="GO4" s="40" t="str">
        <f t="shared" ref="GO4:GO14" si="81">IF(FW4&gt;0,FW4,"")</f>
        <v/>
      </c>
      <c r="GP4" s="40" t="str">
        <f t="shared" ref="GP4:GP14" si="82">IF(SUM(FT4:FW4)-FX4&gt;0,SUM(FT4:FW4)-FX4,"")</f>
        <v/>
      </c>
      <c r="GQ4" s="40" t="str">
        <f t="shared" ref="GQ4:GQ14" si="83">IF(GA4&gt;0,GA4,"")</f>
        <v/>
      </c>
      <c r="GR4" s="40" t="str">
        <f t="shared" ref="GR4:GR14" si="84">IF(GB4&gt;0,GB4,"")</f>
        <v/>
      </c>
      <c r="GS4" s="40" t="str">
        <f t="shared" ref="GS4:GS14" si="85">IF(SUM(FY4:GB4)-GC4&gt;0,SUM(FY4:GB4)-GC4,"")</f>
        <v/>
      </c>
      <c r="GT4" s="40" t="str">
        <f t="shared" ref="GT4:GT14" si="86">IF(MAX(GP4,GS4)&gt;0,MAX(GP4,GS4),"")</f>
        <v/>
      </c>
      <c r="GU4" s="40" t="str">
        <f t="shared" ref="GU4:GU14" si="87">IF(GF4&gt;0,GF4,"")</f>
        <v/>
      </c>
      <c r="GV4" s="40" t="str">
        <f t="shared" ref="GV4:GV14" si="88">IF(GG4&gt;0,GG4,"")</f>
        <v/>
      </c>
      <c r="GW4" s="40" t="str">
        <f t="shared" ref="GW4:GW14" si="89">IF(SUM(GD4:GG4)-GH4&gt;0,SUM(GD4:GG4)-GH4,"")</f>
        <v/>
      </c>
      <c r="GX4" s="40" t="str">
        <f t="shared" ref="GX4:GX14" si="90">IF(GK4&gt;0,GK4,"")</f>
        <v/>
      </c>
      <c r="GY4" s="40" t="str">
        <f t="shared" ref="GY4:GY14" si="91">IF(GL4&gt;0,GL4,"")</f>
        <v/>
      </c>
      <c r="GZ4" s="40" t="str">
        <f t="shared" ref="GZ4:GZ14" si="92">IF(SUM(GI4:GL4)-GM4&gt;0,SUM(GI4:GL4)-GM4,"")</f>
        <v/>
      </c>
      <c r="HA4" s="40" t="str">
        <f t="shared" ref="HA4:HA14" si="93">IF(SUM(GT4,GW4,GZ4)&gt;0,SUM(GT4,GW4,GZ4),"")</f>
        <v/>
      </c>
      <c r="HB4" s="18">
        <v>15.9</v>
      </c>
      <c r="HC4" s="18">
        <v>9.1999999999999993</v>
      </c>
      <c r="HD4" s="18">
        <v>14.9</v>
      </c>
      <c r="HE4" s="18">
        <v>15.22</v>
      </c>
      <c r="HF4" s="18">
        <v>0</v>
      </c>
      <c r="HG4" s="18">
        <v>16.5</v>
      </c>
      <c r="HH4" s="18">
        <v>9.6999999999999993</v>
      </c>
      <c r="HI4" s="18">
        <v>14.9</v>
      </c>
      <c r="HJ4" s="18">
        <v>15.24</v>
      </c>
      <c r="HK4" s="18">
        <v>0</v>
      </c>
      <c r="HL4" s="18">
        <v>16.3</v>
      </c>
      <c r="HM4" s="18">
        <v>9.6</v>
      </c>
      <c r="HN4" s="18">
        <v>14.9</v>
      </c>
      <c r="HO4" s="18">
        <v>15.17</v>
      </c>
      <c r="HP4" s="18">
        <v>0.2</v>
      </c>
      <c r="HQ4" s="18">
        <v>15.9</v>
      </c>
      <c r="HR4" s="18">
        <v>9.5</v>
      </c>
      <c r="HS4" s="18">
        <v>15.5</v>
      </c>
      <c r="HT4" s="18">
        <v>14.83</v>
      </c>
      <c r="HU4" s="18">
        <v>0</v>
      </c>
      <c r="HV4" s="11">
        <f t="shared" ref="HV4:HV14" si="94">IF(HD4&gt;0,HD4,"")</f>
        <v>14.9</v>
      </c>
      <c r="HW4" s="11">
        <f t="shared" ref="HW4:HW14" si="95">IF(HE4&gt;0,HE4,"")</f>
        <v>15.22</v>
      </c>
      <c r="HX4" s="11">
        <f t="shared" ref="HX4:HX14" si="96">IF(SUM(HB4:HE4)-HF4&gt;0,SUM(HB4:HE4)-HF4,"")</f>
        <v>55.22</v>
      </c>
      <c r="HY4" s="11">
        <f t="shared" ref="HY4:HY14" si="97">IF(HI4&gt;0,HI4,"")</f>
        <v>14.9</v>
      </c>
      <c r="HZ4" s="11">
        <f t="shared" ref="HZ4:HZ14" si="98">IF(HJ4&gt;0,HJ4,"")</f>
        <v>15.24</v>
      </c>
      <c r="IA4" s="11">
        <f t="shared" ref="IA4:IA14" si="99">IF(SUM(HG4:HJ4)-HK4&gt;0,SUM(HG4:HJ4)-HK4,"")</f>
        <v>56.34</v>
      </c>
      <c r="IB4" s="11">
        <f t="shared" ref="IB4:IB14" si="100">IF(MAX(HX4,IA4)&gt;0,MAX(HX4,IA4),"")</f>
        <v>56.34</v>
      </c>
      <c r="IC4" s="11">
        <f t="shared" ref="IC4:IC14" si="101">IF(HN4&gt;0,HN4,"")</f>
        <v>14.9</v>
      </c>
      <c r="ID4" s="11">
        <f t="shared" ref="ID4:ID14" si="102">IF(HO4&gt;0,HO4,"")</f>
        <v>15.17</v>
      </c>
      <c r="IE4" s="11">
        <f t="shared" ref="IE4:IE14" si="103">IF(SUM(HL4:HO4)-HP4&gt;0,SUM(HL4:HO4)-HP4,"")</f>
        <v>55.769999999999996</v>
      </c>
      <c r="IF4" s="11">
        <f t="shared" ref="IF4:IF14" si="104">IF(HS4&gt;0,HS4,"")</f>
        <v>15.5</v>
      </c>
      <c r="IG4" s="11">
        <f t="shared" ref="IG4:IG14" si="105">IF(HT4&gt;0,HT4,"")</f>
        <v>14.83</v>
      </c>
      <c r="IH4" s="11">
        <f t="shared" ref="IH4:IH14" si="106">IF(SUM(HQ4:HT4)-HU4&gt;0,SUM(HQ4:HT4)-HU4,"")</f>
        <v>55.73</v>
      </c>
      <c r="II4" s="11">
        <f t="shared" ref="II4:II14" si="107">IF(SUM(IB4,IE4,IH4)&gt;0,SUM(IB4,IE4,IH4),"")</f>
        <v>167.84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4" si="108">IF(IL4&gt;0,IL4,"")</f>
        <v/>
      </c>
      <c r="JE4" s="40" t="str">
        <f t="shared" ref="JE4:JE14" si="109">IF(IM4&gt;0,IM4,"")</f>
        <v/>
      </c>
      <c r="JF4" s="40" t="str">
        <f t="shared" ref="JF4:JF14" si="110">IF(SUM(IJ4:IM4)-IN4&gt;0,SUM(IJ4:IM4)-IN4,"")</f>
        <v/>
      </c>
      <c r="JG4" s="40" t="str">
        <f t="shared" ref="JG4:JG14" si="111">IF(IQ4&gt;0,IQ4,"")</f>
        <v/>
      </c>
      <c r="JH4" s="40" t="str">
        <f t="shared" ref="JH4:JH14" si="112">IF(IR4&gt;0,IR4,"")</f>
        <v/>
      </c>
      <c r="JI4" s="40" t="str">
        <f t="shared" ref="JI4:JI14" si="113">IF(SUM(IO4:IR4)-IS4&gt;0,SUM(IO4:IR4)-IS4,"")</f>
        <v/>
      </c>
      <c r="JJ4" s="40" t="str">
        <f t="shared" ref="JJ4:JJ14" si="114">IF(MAX(JF4,JI4)&gt;0,MAX(JF4,JI4),"")</f>
        <v/>
      </c>
      <c r="JK4" s="40" t="str">
        <f t="shared" ref="JK4:JK14" si="115">IF(IV4&gt;0,IV4,"")</f>
        <v/>
      </c>
      <c r="JL4" s="40" t="str">
        <f t="shared" ref="JL4:JL14" si="116">IF(IW4&gt;0,IW4,"")</f>
        <v/>
      </c>
      <c r="JM4" s="40" t="str">
        <f t="shared" ref="JM4:JM14" si="117">IF(SUM(IT4:IW4)-IX4&gt;0,SUM(IT4:IW4)-IX4,"")</f>
        <v/>
      </c>
      <c r="JN4" s="40" t="str">
        <f t="shared" ref="JN4:JN14" si="118">IF(JA4&gt;0,JA4,"")</f>
        <v/>
      </c>
      <c r="JO4" s="40" t="str">
        <f t="shared" ref="JO4:JO14" si="119">IF(JB4&gt;0,JB4,"")</f>
        <v/>
      </c>
      <c r="JP4" s="40" t="str">
        <f t="shared" ref="JP4:JP14" si="120">IF(SUM(IY4:JB4)-JC4&gt;0,SUM(IY4:JB4)-JC4,"")</f>
        <v/>
      </c>
      <c r="JQ4" s="40" t="str">
        <f t="shared" ref="JQ4:JQ1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4" si="122">IF(JT4&gt;0,JT4,"")</f>
        <v/>
      </c>
      <c r="KM4" s="11" t="str">
        <f t="shared" ref="KM4:KM14" si="123">IF(JU4&gt;0,JU4,"")</f>
        <v/>
      </c>
      <c r="KN4" s="11" t="str">
        <f t="shared" ref="KN4:KN14" si="124">IF(SUM(JR4:JU4)-JV4&gt;0,SUM(JR4:JU4)-JV4,"")</f>
        <v/>
      </c>
      <c r="KO4" s="11" t="str">
        <f t="shared" ref="KO4:KO14" si="125">IF(JY4&gt;0,JY4,"")</f>
        <v/>
      </c>
      <c r="KP4" s="11" t="str">
        <f t="shared" ref="KP4:KP14" si="126">IF(JZ4&gt;0,JZ4,"")</f>
        <v/>
      </c>
      <c r="KQ4" s="11" t="str">
        <f t="shared" ref="KQ4:KQ14" si="127">IF(SUM(JW4:JZ4)-KA4&gt;0,SUM(JW4:JZ4)-KA4,"")</f>
        <v/>
      </c>
      <c r="KR4" s="11" t="str">
        <f t="shared" ref="KR4:KR14" si="128">IF(MAX(KN4,KQ4)&gt;0,MAX(KN4,KQ4),"")</f>
        <v/>
      </c>
      <c r="KS4" s="11" t="str">
        <f t="shared" ref="KS4:KS14" si="129">IF(KD4&gt;0,KD4,"")</f>
        <v/>
      </c>
      <c r="KT4" s="11" t="str">
        <f t="shared" ref="KT4:KT14" si="130">IF(KE4&gt;0,KE4,"")</f>
        <v/>
      </c>
      <c r="KU4" s="11" t="str">
        <f t="shared" ref="KU4:KU14" si="131">IF(SUM(KB4:KE4)-KF4&gt;0,SUM(KB4:KE4)-KF4,"")</f>
        <v/>
      </c>
      <c r="KV4" s="11" t="str">
        <f t="shared" ref="KV4:KV14" si="132">IF(KI4&gt;0,KI4,"")</f>
        <v/>
      </c>
      <c r="KW4" s="11" t="str">
        <f t="shared" ref="KW4:KW14" si="133">IF(KJ4&gt;0,KJ4,"")</f>
        <v/>
      </c>
      <c r="KX4" s="11" t="str">
        <f t="shared" ref="KX4:KX14" si="134">IF(SUM(KG4:KJ4)-KK4&gt;0,SUM(KG4:KJ4)-KK4,"")</f>
        <v/>
      </c>
      <c r="KY4" s="11" t="str">
        <f t="shared" ref="KY4:KY1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4" si="136">IF(LB4&gt;0,LB4,"")</f>
        <v/>
      </c>
      <c r="LU4" s="40" t="str">
        <f t="shared" ref="LU4:LU14" si="137">IF(LC4&gt;0,LC4,"")</f>
        <v/>
      </c>
      <c r="LV4" s="40" t="str">
        <f t="shared" ref="LV4:LV14" si="138">IF(SUM(KZ4:LC4)-LD4&gt;0,SUM(KZ4:LC4)-LD4,"")</f>
        <v/>
      </c>
      <c r="LW4" s="40" t="str">
        <f t="shared" ref="LW4:LW14" si="139">IF(LG4&gt;0,LG4,"")</f>
        <v/>
      </c>
      <c r="LX4" s="40" t="str">
        <f t="shared" ref="LX4:LX14" si="140">IF(LH4&gt;0,LH4,"")</f>
        <v/>
      </c>
      <c r="LY4" s="40" t="str">
        <f t="shared" ref="LY4:LY14" si="141">IF(SUM(LE4:LH4)-LI4&gt;0,SUM(LE4:LH4)-LI4,"")</f>
        <v/>
      </c>
      <c r="LZ4" s="40" t="str">
        <f t="shared" ref="LZ4:LZ14" si="142">IF(MAX(LV4,LY4)&gt;0,MAX(LV4,LY4),"")</f>
        <v/>
      </c>
      <c r="MA4" s="40" t="str">
        <f t="shared" ref="MA4:MA14" si="143">IF(LL4&gt;0,LL4,"")</f>
        <v/>
      </c>
      <c r="MB4" s="40" t="str">
        <f t="shared" ref="MB4:MB14" si="144">IF(LM4&gt;0,LM4,"")</f>
        <v/>
      </c>
      <c r="MC4" s="40" t="str">
        <f t="shared" ref="MC4:MC14" si="145">IF(SUM(LJ4:LM4)-LN4&gt;0,SUM(LJ4:LM4)-LN4,"")</f>
        <v/>
      </c>
      <c r="MD4" s="40" t="str">
        <f t="shared" ref="MD4:MD14" si="146">IF(LQ4&gt;0,LQ4,"")</f>
        <v/>
      </c>
      <c r="ME4" s="40" t="str">
        <f t="shared" ref="ME4:ME14" si="147">IF(LR4&gt;0,LR4,"")</f>
        <v/>
      </c>
      <c r="MF4" s="40" t="str">
        <f t="shared" ref="MF4:MF14" si="148">IF(SUM(LO4:LR4)-LS4&gt;0,SUM(LO4:LR4)-LS4,"")</f>
        <v/>
      </c>
      <c r="MG4" s="40" t="str">
        <f t="shared" ref="MG4:MG1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4" si="150">IF(MJ4&gt;0,MJ4,"")</f>
        <v/>
      </c>
      <c r="NC4" s="11" t="str">
        <f t="shared" ref="NC4:NC14" si="151">IF(MK4&gt;0,MK4,"")</f>
        <v/>
      </c>
      <c r="ND4" s="11" t="str">
        <f t="shared" ref="ND4:ND14" si="152">IF(SUM(MH4:MK4)-ML4&gt;0,SUM(MH4:MK4)-ML4,"")</f>
        <v/>
      </c>
      <c r="NE4" s="11" t="str">
        <f t="shared" ref="NE4:NE14" si="153">IF(MO4&gt;0,MO4,"")</f>
        <v/>
      </c>
      <c r="NF4" s="11" t="str">
        <f t="shared" ref="NF4:NF14" si="154">IF(MP4&gt;0,MP4,"")</f>
        <v/>
      </c>
      <c r="NG4" s="11" t="str">
        <f t="shared" ref="NG4:NG14" si="155">IF(SUM(MM4:MP4)-MQ4&gt;0,SUM(MM4:MP4)-MQ4,"")</f>
        <v/>
      </c>
      <c r="NH4" s="11" t="str">
        <f t="shared" ref="NH4:NH14" si="156">IF(MAX(ND4,NG4)&gt;0,MAX(ND4,NG4),"")</f>
        <v/>
      </c>
      <c r="NI4" s="11" t="str">
        <f t="shared" ref="NI4:NI14" si="157">IF(MT4&gt;0,MT4,"")</f>
        <v/>
      </c>
      <c r="NJ4" s="11" t="str">
        <f t="shared" ref="NJ4:NJ14" si="158">IF(MU4&gt;0,MU4,"")</f>
        <v/>
      </c>
      <c r="NK4" s="11" t="str">
        <f t="shared" ref="NK4:NK14" si="159">IF(SUM(MR4:MU4)-MV4&gt;0,SUM(MR4:MU4)-MV4,"")</f>
        <v/>
      </c>
      <c r="NL4" s="11" t="str">
        <f t="shared" ref="NL4:NL14" si="160">IF(MY4&gt;0,MY4,"")</f>
        <v/>
      </c>
      <c r="NM4" s="11" t="str">
        <f t="shared" ref="NM4:NM14" si="161">IF(MZ4&gt;0,MZ4,"")</f>
        <v/>
      </c>
      <c r="NN4" s="11" t="str">
        <f t="shared" ref="NN4:NN14" si="162">IF(SUM(MW4:MZ4)-NA4&gt;0,SUM(MW4:MZ4)-NA4,"")</f>
        <v/>
      </c>
      <c r="NO4" s="11" t="str">
        <f t="shared" ref="NO4:NO1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4" si="164">IF(NR4&gt;0,NR4,"")</f>
        <v/>
      </c>
      <c r="OK4" s="40" t="str">
        <f t="shared" ref="OK4:OK14" si="165">IF(NS4&gt;0,NS4,"")</f>
        <v/>
      </c>
      <c r="OL4" s="40" t="str">
        <f t="shared" ref="OL4:OL14" si="166">IF(SUM(NP4:NS4)-NT4&gt;0,SUM(NP4:NS4)-NT4,"")</f>
        <v/>
      </c>
      <c r="OM4" s="40" t="str">
        <f t="shared" ref="OM4:OM14" si="167">IF(NW4&gt;0,NW4,"")</f>
        <v/>
      </c>
      <c r="ON4" s="40" t="str">
        <f t="shared" ref="ON4:ON14" si="168">IF(NX4&gt;0,NX4,"")</f>
        <v/>
      </c>
      <c r="OO4" s="40" t="str">
        <f t="shared" ref="OO4:OO14" si="169">IF(SUM(NU4:NX4)-NY4&gt;0,SUM(NU4:NX4)-NY4,"")</f>
        <v/>
      </c>
      <c r="OP4" s="40" t="str">
        <f t="shared" ref="OP4:OP14" si="170">IF(MAX(OL4,OO4)&gt;0,MAX(OL4,OO4),"")</f>
        <v/>
      </c>
      <c r="OQ4" s="40" t="str">
        <f t="shared" ref="OQ4:OQ14" si="171">IF(OB4&gt;0,OB4,"")</f>
        <v/>
      </c>
      <c r="OR4" s="40" t="str">
        <f t="shared" ref="OR4:OR14" si="172">IF(OC4&gt;0,OC4,"")</f>
        <v/>
      </c>
      <c r="OS4" s="40" t="str">
        <f t="shared" ref="OS4:OS14" si="173">IF(SUM(NZ4:OC4)-OD4&gt;0,SUM(NZ4:OC4)-OD4,"")</f>
        <v/>
      </c>
      <c r="OT4" s="40" t="str">
        <f t="shared" ref="OT4:OT14" si="174">IF(OG4&gt;0,OG4,"")</f>
        <v/>
      </c>
      <c r="OU4" s="40" t="str">
        <f t="shared" ref="OU4:OU14" si="175">IF(OH4&gt;0,OH4,"")</f>
        <v/>
      </c>
      <c r="OV4" s="40" t="str">
        <f t="shared" ref="OV4:OV14" si="176">IF(SUM(OE4:OH4)-OI4&gt;0,SUM(OE4:OH4)-OI4,"")</f>
        <v/>
      </c>
      <c r="OW4" s="40" t="str">
        <f t="shared" ref="OW4:OW1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4" si="178">IF(OZ4&gt;0,OZ4,"")</f>
        <v/>
      </c>
      <c r="PS4" s="11" t="str">
        <f t="shared" ref="PS4:PS14" si="179">IF(PA4&gt;0,PA4,"")</f>
        <v/>
      </c>
      <c r="PT4" s="11" t="str">
        <f t="shared" ref="PT4:PT14" si="180">IF(SUM(OX4:PA4)-PB4&gt;0,SUM(OX4:PA4)-PB4,"")</f>
        <v/>
      </c>
      <c r="PU4" s="11" t="str">
        <f t="shared" ref="PU4:PU14" si="181">IF(PE4&gt;0,PE4,"")</f>
        <v/>
      </c>
      <c r="PV4" s="11" t="str">
        <f t="shared" ref="PV4:PV14" si="182">IF(PF4&gt;0,PF4,"")</f>
        <v/>
      </c>
      <c r="PW4" s="11" t="str">
        <f t="shared" ref="PW4:PW14" si="183">IF(SUM(PC4:PF4)-PG4&gt;0,SUM(PC4:PF4)-PG4,"")</f>
        <v/>
      </c>
      <c r="PX4" s="11" t="str">
        <f t="shared" ref="PX4:PX14" si="184">IF(MAX(PT4,PW4)&gt;0,MAX(PT4,PW4),"")</f>
        <v/>
      </c>
      <c r="PY4" s="11" t="str">
        <f t="shared" ref="PY4:PY14" si="185">IF(PJ4&gt;0,PJ4,"")</f>
        <v/>
      </c>
      <c r="PZ4" s="11" t="str">
        <f t="shared" ref="PZ4:PZ14" si="186">IF(PK4&gt;0,PK4,"")</f>
        <v/>
      </c>
      <c r="QA4" s="11" t="str">
        <f t="shared" ref="QA4:QA14" si="187">IF(SUM(PH4:PK4)-PL4&gt;0,SUM(PH4:PK4)-PL4,"")</f>
        <v/>
      </c>
      <c r="QB4" s="11" t="str">
        <f t="shared" ref="QB4:QB14" si="188">IF(PO4&gt;0,PO4,"")</f>
        <v/>
      </c>
      <c r="QC4" s="11" t="str">
        <f t="shared" ref="QC4:QC14" si="189">IF(PP4&gt;0,PP4,"")</f>
        <v/>
      </c>
      <c r="QD4" s="11" t="str">
        <f t="shared" ref="QD4:QD14" si="190">IF(SUM(PM4:PP4)-PQ4&gt;0,SUM(PM4:PP4)-PQ4,"")</f>
        <v/>
      </c>
      <c r="QE4" s="11" t="str">
        <f t="shared" ref="QE4:QE1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4" si="192">IF(QH4&gt;0,QH4,"")</f>
        <v/>
      </c>
      <c r="RA4" s="40" t="str">
        <f t="shared" ref="RA4:RA14" si="193">IF(QI4&gt;0,QI4,"")</f>
        <v/>
      </c>
      <c r="RB4" s="40" t="str">
        <f t="shared" ref="RB4:RB14" si="194">IF(SUM(QF4:QI4)-QJ4&gt;0,SUM(QF4:QI4)-QJ4,"")</f>
        <v/>
      </c>
      <c r="RC4" s="40" t="str">
        <f t="shared" ref="RC4:RC14" si="195">IF(QM4&gt;0,QM4,"")</f>
        <v/>
      </c>
      <c r="RD4" s="40" t="str">
        <f t="shared" ref="RD4:RD14" si="196">IF(QN4&gt;0,QN4,"")</f>
        <v/>
      </c>
      <c r="RE4" s="40" t="str">
        <f t="shared" ref="RE4:RE14" si="197">IF(SUM(QK4:QN4)-QO4&gt;0,SUM(QK4:QN4)-QO4,"")</f>
        <v/>
      </c>
      <c r="RF4" s="40" t="str">
        <f t="shared" ref="RF4:RF14" si="198">IF(MAX(RB4,RE4)&gt;0,MAX(RB4,RE4),"")</f>
        <v/>
      </c>
      <c r="RG4" s="40" t="str">
        <f t="shared" ref="RG4:RG14" si="199">IF(QR4&gt;0,QR4,"")</f>
        <v/>
      </c>
      <c r="RH4" s="40" t="str">
        <f t="shared" ref="RH4:RH14" si="200">IF(QS4&gt;0,QS4,"")</f>
        <v/>
      </c>
      <c r="RI4" s="40" t="str">
        <f t="shared" ref="RI4:RI14" si="201">IF(SUM(QP4:QS4)-QT4&gt;0,SUM(QP4:QS4)-QT4,"")</f>
        <v/>
      </c>
      <c r="RJ4" s="40" t="str">
        <f t="shared" ref="RJ4:RJ14" si="202">IF(QW4&gt;0,QW4,"")</f>
        <v/>
      </c>
      <c r="RK4" s="40" t="str">
        <f t="shared" ref="RK4:RK14" si="203">IF(QX4&gt;0,QX4,"")</f>
        <v/>
      </c>
      <c r="RL4" s="40" t="str">
        <f t="shared" ref="RL4:RL14" si="204">IF(SUM(QU4:QX4)-QY4&gt;0,SUM(QU4:QX4)-QY4,"")</f>
        <v/>
      </c>
      <c r="RM4" s="40" t="str">
        <f t="shared" ref="RM4:RM1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4" si="206">IF(RP4&gt;0,RP4,"")</f>
        <v/>
      </c>
      <c r="SI4" s="11" t="str">
        <f t="shared" ref="SI4:SI14" si="207">IF(RQ4&gt;0,RQ4,"")</f>
        <v/>
      </c>
      <c r="SJ4" s="11" t="str">
        <f t="shared" ref="SJ4:SJ14" si="208">IF(SUM(RN4:RQ4)-RR4&gt;0,SUM(RN4:RQ4)-RR4,"")</f>
        <v/>
      </c>
      <c r="SK4" s="11" t="str">
        <f t="shared" ref="SK4:SK14" si="209">IF(RU4&gt;0,RU4,"")</f>
        <v/>
      </c>
      <c r="SL4" s="11" t="str">
        <f t="shared" ref="SL4:SL14" si="210">IF(RV4&gt;0,RV4,"")</f>
        <v/>
      </c>
      <c r="SM4" s="11" t="str">
        <f t="shared" ref="SM4:SM14" si="211">IF(SUM(RS4:RV4)-RW4&gt;0,SUM(RS4:RV4)-RW4,"")</f>
        <v/>
      </c>
      <c r="SN4" s="11" t="str">
        <f t="shared" ref="SN4:SN14" si="212">IF(MAX(SJ4,SM4)&gt;0,MAX(SJ4,SM4),"")</f>
        <v/>
      </c>
      <c r="SO4" s="11" t="str">
        <f t="shared" ref="SO4:SO14" si="213">IF(RZ4&gt;0,RZ4,"")</f>
        <v/>
      </c>
      <c r="SP4" s="11" t="str">
        <f t="shared" ref="SP4:SP14" si="214">IF(SA4&gt;0,SA4,"")</f>
        <v/>
      </c>
      <c r="SQ4" s="11" t="str">
        <f t="shared" ref="SQ4:SQ14" si="215">IF(SUM(RX4:SA4)-SB4&gt;0,SUM(RX4:SA4)-SB4,"")</f>
        <v/>
      </c>
      <c r="SR4" s="11" t="str">
        <f t="shared" ref="SR4:SR14" si="216">IF(SE4&gt;0,SE4,"")</f>
        <v/>
      </c>
      <c r="SS4" s="11" t="str">
        <f t="shared" ref="SS4:SS14" si="217">IF(SF4&gt;0,SF4,"")</f>
        <v/>
      </c>
      <c r="ST4" s="11" t="str">
        <f t="shared" ref="ST4:ST14" si="218">IF(SUM(SC4:SF4)-SG4&gt;0,SUM(SC4:SF4)-SG4,"")</f>
        <v/>
      </c>
      <c r="SU4" s="11" t="str">
        <f t="shared" ref="SU4:SU1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4" si="220">IF(SX4&gt;0,SX4,"")</f>
        <v/>
      </c>
      <c r="TQ4" s="40" t="str">
        <f t="shared" ref="TQ4:TQ14" si="221">IF(SY4&gt;0,SY4,"")</f>
        <v/>
      </c>
      <c r="TR4" s="40" t="str">
        <f t="shared" ref="TR4:TR14" si="222">IF(SUM(SV4:SY4)-SZ4&gt;0,SUM(SV4:SY4)-SZ4,"")</f>
        <v/>
      </c>
      <c r="TS4" s="40" t="str">
        <f t="shared" ref="TS4:TS14" si="223">IF(TC4&gt;0,TC4,"")</f>
        <v/>
      </c>
      <c r="TT4" s="40" t="str">
        <f t="shared" ref="TT4:TT14" si="224">IF(TD4&gt;0,TD4,"")</f>
        <v/>
      </c>
      <c r="TU4" s="40" t="str">
        <f t="shared" ref="TU4:TU14" si="225">IF(SUM(TA4:TD4)-TE4&gt;0,SUM(TA4:TD4)-TE4,"")</f>
        <v/>
      </c>
      <c r="TV4" s="40" t="str">
        <f t="shared" ref="TV4:TV14" si="226">IF(MAX(TR4,TU4)&gt;0,MAX(TR4,TU4),"")</f>
        <v/>
      </c>
      <c r="TW4" s="40" t="str">
        <f t="shared" ref="TW4:TW14" si="227">IF(TH4&gt;0,TH4,"")</f>
        <v/>
      </c>
      <c r="TX4" s="40" t="str">
        <f t="shared" ref="TX4:TX14" si="228">IF(TI4&gt;0,TI4,"")</f>
        <v/>
      </c>
      <c r="TY4" s="40" t="str">
        <f t="shared" ref="TY4:TY14" si="229">IF(SUM(TF4:TI4)-TJ4&gt;0,SUM(TF4:TI4)-TJ4,"")</f>
        <v/>
      </c>
      <c r="TZ4" s="40" t="str">
        <f t="shared" ref="TZ4:TZ14" si="230">IF(TM4&gt;0,TM4,"")</f>
        <v/>
      </c>
      <c r="UA4" s="40" t="str">
        <f t="shared" ref="UA4:UA14" si="231">IF(TN4&gt;0,TN4,"")</f>
        <v/>
      </c>
      <c r="UB4" s="40" t="str">
        <f t="shared" ref="UB4:UB14" si="232">IF(SUM(TK4:TN4)-TO4&gt;0,SUM(TK4:TN4)-TO4,"")</f>
        <v/>
      </c>
      <c r="UC4" s="40" t="str">
        <f t="shared" ref="UC4:UC1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4" si="234">IF(UF4&gt;0,UF4,"")</f>
        <v/>
      </c>
      <c r="UY4" s="11" t="str">
        <f t="shared" ref="UY4:UY14" si="235">IF(UG4&gt;0,UG4,"")</f>
        <v/>
      </c>
      <c r="UZ4" s="11" t="str">
        <f t="shared" ref="UZ4:UZ14" si="236">IF(SUM(UD4:UG4)-UH4&gt;0,SUM(UD4:UG4)-UH4,"")</f>
        <v/>
      </c>
      <c r="VA4" s="11" t="str">
        <f t="shared" ref="VA4:VA14" si="237">IF(UK4&gt;0,UK4,"")</f>
        <v/>
      </c>
      <c r="VB4" s="11" t="str">
        <f t="shared" ref="VB4:VB14" si="238">IF(UL4&gt;0,UL4,"")</f>
        <v/>
      </c>
      <c r="VC4" s="11" t="str">
        <f t="shared" ref="VC4:VC14" si="239">IF(SUM(UI4:UL4)-UM4&gt;0,SUM(UI4:UL4)-UM4,"")</f>
        <v/>
      </c>
      <c r="VD4" s="11" t="str">
        <f t="shared" ref="VD4:VD14" si="240">IF(MAX(UZ4,VC4)&gt;0,MAX(UZ4,VC4),"")</f>
        <v/>
      </c>
      <c r="VE4" s="11" t="str">
        <f t="shared" ref="VE4:VE14" si="241">IF(UP4&gt;0,UP4,"")</f>
        <v/>
      </c>
      <c r="VF4" s="11" t="str">
        <f t="shared" ref="VF4:VF14" si="242">IF(UQ4&gt;0,UQ4,"")</f>
        <v/>
      </c>
      <c r="VG4" s="11" t="str">
        <f t="shared" ref="VG4:VG14" si="243">IF(SUM(UN4:UQ4)-UR4&gt;0,SUM(UN4:UQ4)-UR4,"")</f>
        <v/>
      </c>
      <c r="VH4" s="11" t="str">
        <f t="shared" ref="VH4:VH14" si="244">IF(UU4&gt;0,UU4,"")</f>
        <v/>
      </c>
      <c r="VI4" s="11" t="str">
        <f t="shared" ref="VI4:VI14" si="245">IF(UV4&gt;0,UV4,"")</f>
        <v/>
      </c>
      <c r="VJ4" s="11" t="str">
        <f t="shared" ref="VJ4:VJ14" si="246">IF(SUM(US4:UV4)-UW4&gt;0,SUM(US4:UV4)-UW4,"")</f>
        <v/>
      </c>
      <c r="VK4" s="11" t="str">
        <f t="shared" ref="VK4:VK1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4" si="248">IF(VN4&gt;0,VN4,"")</f>
        <v/>
      </c>
      <c r="WG4" s="40" t="str">
        <f t="shared" ref="WG4:WG14" si="249">IF(VO4&gt;0,VO4,"")</f>
        <v/>
      </c>
      <c r="WH4" s="40" t="str">
        <f t="shared" ref="WH4:WH14" si="250">IF(SUM(VL4:VO4)-VP4&gt;0,SUM(VL4:VO4)-VP4,"")</f>
        <v/>
      </c>
      <c r="WI4" s="40" t="str">
        <f t="shared" ref="WI4:WI14" si="251">IF(VS4&gt;0,VS4,"")</f>
        <v/>
      </c>
      <c r="WJ4" s="40" t="str">
        <f t="shared" ref="WJ4:WJ14" si="252">IF(VT4&gt;0,VT4,"")</f>
        <v/>
      </c>
      <c r="WK4" s="40" t="str">
        <f t="shared" ref="WK4:WK14" si="253">IF(SUM(VQ4:VT4)-VU4&gt;0,SUM(VQ4:VT4)-VU4,"")</f>
        <v/>
      </c>
      <c r="WL4" s="40" t="str">
        <f t="shared" ref="WL4:WL14" si="254">IF(MAX(WH4,WK4)&gt;0,MAX(WH4,WK4),"")</f>
        <v/>
      </c>
      <c r="WM4" s="40" t="str">
        <f t="shared" ref="WM4:WM14" si="255">IF(VX4&gt;0,VX4,"")</f>
        <v/>
      </c>
      <c r="WN4" s="40" t="str">
        <f t="shared" ref="WN4:WN14" si="256">IF(VY4&gt;0,VY4,"")</f>
        <v/>
      </c>
      <c r="WO4" s="40" t="str">
        <f t="shared" ref="WO4:WO14" si="257">IF(SUM(VV4:VY4)-VZ4&gt;0,SUM(VV4:VY4)-VZ4,"")</f>
        <v/>
      </c>
      <c r="WP4" s="40" t="str">
        <f t="shared" ref="WP4:WP14" si="258">IF(WC4&gt;0,WC4,"")</f>
        <v/>
      </c>
      <c r="WQ4" s="40" t="str">
        <f t="shared" ref="WQ4:WQ14" si="259">IF(WD4&gt;0,WD4,"")</f>
        <v/>
      </c>
      <c r="WR4" s="40" t="str">
        <f t="shared" ref="WR4:WR14" si="260">IF(SUM(WA4:WD4)-WE4&gt;0,SUM(WA4:WD4)-WE4,"")</f>
        <v/>
      </c>
      <c r="WS4" s="40" t="str">
        <f t="shared" ref="WS4:WS14" si="261">IF(SUM(WL4,WO4,WR4)&gt;0,SUM(WL4,WO4,WR4),"")</f>
        <v/>
      </c>
      <c r="WT4" s="26">
        <f t="shared" ref="WT4:WT14" si="262">IF($CP4="P",CA4,(CA4+AZ4)/2)</f>
        <v>17.350000000000001</v>
      </c>
      <c r="WU4" s="26">
        <f t="shared" ref="WU4:WU14" si="263">IF($CP4="P",CB4,(CB4+BA4)/2)</f>
        <v>9.1999999999999993</v>
      </c>
      <c r="WV4" s="26">
        <f t="shared" ref="WV4:WV14" si="264">IF($CP4="P",CC4,(CC4+BB4)/2)</f>
        <v>14.9</v>
      </c>
      <c r="WW4" s="26">
        <f t="shared" ref="WW4:WW14" si="265">IF($CP4="P",CD4,(CD4+BC4)/2)</f>
        <v>15.17</v>
      </c>
      <c r="WX4" s="26">
        <f t="shared" ref="WX4:WX14" si="266">IF($CP4="P",CE4,(CE4+BD4)/2)</f>
        <v>0</v>
      </c>
      <c r="WY4" s="26">
        <f t="shared" ref="WY4:WY14" si="267">IF($CP4="P",CF4,(CF4+BE4)/2)</f>
        <v>10.4</v>
      </c>
      <c r="WZ4" s="26">
        <f t="shared" ref="WZ4:WZ14" si="268">IF($CP4="P",CG4,(CG4+BF4)/2)</f>
        <v>5.65</v>
      </c>
      <c r="XA4" s="26">
        <f t="shared" ref="XA4:XA14" si="269">IF($CP4="P",CH4,(CH4+BG4)/2)</f>
        <v>9.1</v>
      </c>
      <c r="XB4" s="26">
        <f t="shared" ref="XB4:XB14" si="270">IF($CP4="P",CI4,(CI4+BH4)/2)</f>
        <v>9.11</v>
      </c>
      <c r="XC4" s="26">
        <f t="shared" ref="XC4:XC14" si="271">IF($CP4="P",CJ4,(CJ4+BI4)/2)</f>
        <v>0</v>
      </c>
      <c r="XD4" s="26">
        <f t="shared" ref="XD4:XD14" si="272">IF($CP4="P",CK4,(CK4+BJ4)/2)</f>
        <v>16.600000000000001</v>
      </c>
      <c r="XE4" s="26">
        <f t="shared" ref="XE4:XE14" si="273">IF($CP4="P",CL4,(CL4+BK4)/2)</f>
        <v>9.6</v>
      </c>
      <c r="XF4" s="26">
        <f t="shared" ref="XF4:XF14" si="274">IF($CP4="P",CM4,(CM4+BL4)/2)</f>
        <v>15</v>
      </c>
      <c r="XG4" s="26">
        <f t="shared" ref="XG4:XG14" si="275">IF($CP4="P",CN4,(CN4+BM4)/2)</f>
        <v>15.015000000000001</v>
      </c>
      <c r="XH4" s="26">
        <f t="shared" ref="XH4:XH14" si="276">IF($CP4="P",CO4,(CO4+BN4)/2)</f>
        <v>0.1</v>
      </c>
      <c r="XI4" s="28" t="s">
        <v>53</v>
      </c>
      <c r="XJ4" s="11">
        <f t="shared" ref="XJ4:XJ14" si="277">IF(WV4&gt;0,WV4,"")</f>
        <v>14.9</v>
      </c>
      <c r="XK4" s="11">
        <f t="shared" ref="XK4:XK14" si="278">IF(WW4&gt;0,WW4,"")</f>
        <v>15.17</v>
      </c>
      <c r="XL4" s="11">
        <f t="shared" ref="XL4:XL14" si="279">IF(SUM(WT4:WW4)-WX4&gt;0,SUM(WT4:WW4)-WX4,"")</f>
        <v>56.620000000000005</v>
      </c>
      <c r="XM4" s="11">
        <f t="shared" ref="XM4:XM14" si="280">IF(XA4&gt;0,XA4,"")</f>
        <v>9.1</v>
      </c>
      <c r="XN4" s="11">
        <f t="shared" ref="XN4:XN14" si="281">IF(XB4&gt;0,XB4,"")</f>
        <v>9.11</v>
      </c>
      <c r="XO4" s="11">
        <f t="shared" ref="XO4:XO14" si="282">IF(SUM(WY4:XB4)-XC4&gt;0,SUM(WY4:XB4)-XC4,"")</f>
        <v>34.26</v>
      </c>
      <c r="XP4" s="11">
        <f t="shared" ref="XP4:XP14" si="283">IF(MAX(XL4,XO4)&gt;0,MAX(XL4,XO4),"")</f>
        <v>56.620000000000005</v>
      </c>
      <c r="XQ4" s="11">
        <f t="shared" ref="XQ4:XQ14" si="284">IF(XF4&gt;0,XF4,"")</f>
        <v>15</v>
      </c>
      <c r="XR4" s="11">
        <f t="shared" ref="XR4:XR14" si="285">IF(XG4&gt;0,XG4,"")</f>
        <v>15.015000000000001</v>
      </c>
      <c r="XS4" s="11">
        <f t="shared" ref="XS4:XS14" si="286">IF(SUM(XD4:XG4)-XH4&gt;0,SUM(XD4:XG4)-XH4,"")</f>
        <v>56.115000000000002</v>
      </c>
      <c r="XT4" s="11">
        <f t="shared" ref="XT4:XT14" si="287"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246.48502445650553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55.150000000000006</v>
      </c>
      <c r="K5" s="8" t="str">
        <f t="shared" si="5"/>
        <v>2025 Nationals</v>
      </c>
      <c r="L5" s="8">
        <f>IF(COUNT(AQ5,AT5,BR5,BU5,CS5,CV5)&gt;1,LARGE((AQ5,AT5,BR5,BU5,CS5,CV5),2),0)</f>
        <v>53.21</v>
      </c>
      <c r="M5" s="8" t="str">
        <f t="shared" si="6"/>
        <v>2025 Elite Canada</v>
      </c>
      <c r="N5" s="8">
        <f>IF(COUNT(AQ5,AT5,BR5,BU5,CS5,CV5)&gt;2,LARGE((AQ5,AT5,BR5,BU5,CS5,CV5),3),0)</f>
        <v>52.97</v>
      </c>
      <c r="O5" s="8" t="str">
        <f t="shared" si="7"/>
        <v>2024 3rd Domestic Trial</v>
      </c>
      <c r="P5" s="8">
        <f t="shared" si="8"/>
        <v>53.044999999999995</v>
      </c>
      <c r="Q5" s="8" t="str">
        <f t="shared" si="9"/>
        <v>2024 3rd Domestic Trial</v>
      </c>
      <c r="R5" s="8">
        <f t="shared" si="10"/>
        <v>14.5</v>
      </c>
      <c r="S5" s="8" t="str">
        <f t="shared" si="11"/>
        <v>2025 World Cup POR (July 6)</v>
      </c>
      <c r="T5" s="8">
        <f t="shared" si="12"/>
        <v>15.69</v>
      </c>
      <c r="U5" s="8" t="str">
        <f t="shared" si="13"/>
        <v>2025 World Cup POR (July 6)</v>
      </c>
      <c r="V5" s="8">
        <f t="shared" si="14"/>
        <v>1.9200000000000017</v>
      </c>
      <c r="W5" s="11" t="str">
        <f t="shared" si="15"/>
        <v>(Prelim)</v>
      </c>
      <c r="X5" s="8" t="str">
        <f t="shared" si="16"/>
        <v>2025 World Cup POR (July 6)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 t="shared" si="17"/>
        <v>2.6</v>
      </c>
      <c r="AP5" s="38">
        <f t="shared" si="18"/>
        <v>2.4900000000000002</v>
      </c>
      <c r="AQ5" s="40">
        <f t="shared" si="19"/>
        <v>8.64</v>
      </c>
      <c r="AR5" s="40">
        <f t="shared" si="20"/>
        <v>12.95</v>
      </c>
      <c r="AS5" s="40">
        <f t="shared" si="21"/>
        <v>15.02</v>
      </c>
      <c r="AT5" s="40">
        <f t="shared" si="22"/>
        <v>52.97</v>
      </c>
      <c r="AU5" s="40">
        <f t="shared" si="23"/>
        <v>52.97</v>
      </c>
      <c r="AV5" s="40">
        <f t="shared" si="24"/>
        <v>12.8</v>
      </c>
      <c r="AW5" s="40">
        <f t="shared" si="25"/>
        <v>14.895</v>
      </c>
      <c r="AX5" s="40">
        <f t="shared" si="26"/>
        <v>53.044999999999995</v>
      </c>
      <c r="AY5" s="40">
        <f t="shared" si="27"/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 t="shared" si="28"/>
        <v>13.6</v>
      </c>
      <c r="BQ5" s="39">
        <f t="shared" si="29"/>
        <v>14.61</v>
      </c>
      <c r="BR5" s="11">
        <f t="shared" si="30"/>
        <v>53.21</v>
      </c>
      <c r="BS5" s="11">
        <f t="shared" si="31"/>
        <v>3.3</v>
      </c>
      <c r="BT5" s="11">
        <f t="shared" si="32"/>
        <v>3.23</v>
      </c>
      <c r="BU5" s="11">
        <f t="shared" si="33"/>
        <v>11.93</v>
      </c>
      <c r="BV5" s="11">
        <f t="shared" si="34"/>
        <v>53.21</v>
      </c>
      <c r="BW5" s="11">
        <f t="shared" si="35"/>
        <v>13.4</v>
      </c>
      <c r="BX5" s="11">
        <f t="shared" si="36"/>
        <v>14.56</v>
      </c>
      <c r="BY5" s="11">
        <f t="shared" si="37"/>
        <v>52.760000000000005</v>
      </c>
      <c r="BZ5" s="11">
        <f t="shared" si="38"/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 t="shared" si="39"/>
        <v>6.1</v>
      </c>
      <c r="CR5" s="38">
        <f t="shared" si="40"/>
        <v>6.27</v>
      </c>
      <c r="CS5" s="40">
        <f t="shared" si="41"/>
        <v>21.27</v>
      </c>
      <c r="CT5" s="40">
        <f t="shared" si="42"/>
        <v>14.3</v>
      </c>
      <c r="CU5" s="40">
        <f t="shared" si="43"/>
        <v>15.25</v>
      </c>
      <c r="CV5" s="40">
        <f t="shared" si="44"/>
        <v>55.150000000000006</v>
      </c>
      <c r="CW5" s="40">
        <f t="shared" si="45"/>
        <v>55.150000000000006</v>
      </c>
      <c r="CX5" s="40">
        <f t="shared" si="46"/>
        <v>3.3</v>
      </c>
      <c r="CY5" s="40">
        <f t="shared" si="47"/>
        <v>3.25</v>
      </c>
      <c r="CZ5" s="40">
        <f t="shared" si="48"/>
        <v>11.350000000000001</v>
      </c>
      <c r="DA5" s="40">
        <f t="shared" si="49"/>
        <v>66.5</v>
      </c>
      <c r="DB5" s="51">
        <f t="shared" si="50"/>
        <v>1.9200000000000017</v>
      </c>
      <c r="DC5" s="51">
        <f t="shared" si="51"/>
        <v>1.7450000000000045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>
        <v>13</v>
      </c>
      <c r="EM5" s="18">
        <v>9.1999999999999993</v>
      </c>
      <c r="EN5" s="18">
        <v>13.6</v>
      </c>
      <c r="EO5" s="18">
        <v>15.06</v>
      </c>
      <c r="EP5" s="18">
        <v>0</v>
      </c>
      <c r="EQ5" s="18">
        <v>10.3</v>
      </c>
      <c r="ER5" s="18">
        <v>5.8</v>
      </c>
      <c r="ES5" s="18">
        <v>8.5</v>
      </c>
      <c r="ET5" s="18">
        <v>10.52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13.6</v>
      </c>
      <c r="FG5" s="11">
        <f t="shared" si="67"/>
        <v>15.06</v>
      </c>
      <c r="FH5" s="11">
        <f t="shared" si="68"/>
        <v>50.86</v>
      </c>
      <c r="FI5" s="11">
        <f t="shared" si="69"/>
        <v>8.5</v>
      </c>
      <c r="FJ5" s="11">
        <f t="shared" si="70"/>
        <v>10.52</v>
      </c>
      <c r="FK5" s="11">
        <f t="shared" si="71"/>
        <v>35.120000000000005</v>
      </c>
      <c r="FL5" s="11">
        <f t="shared" si="72"/>
        <v>50.86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50.86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>
        <v>15.7</v>
      </c>
      <c r="HC5" s="18">
        <v>9</v>
      </c>
      <c r="HD5" s="18">
        <v>14.5</v>
      </c>
      <c r="HE5" s="18">
        <v>15.69</v>
      </c>
      <c r="HF5" s="18">
        <v>0</v>
      </c>
      <c r="HG5" s="18">
        <v>4.7</v>
      </c>
      <c r="HH5" s="18">
        <v>2.6</v>
      </c>
      <c r="HI5" s="18">
        <v>5</v>
      </c>
      <c r="HJ5" s="18">
        <v>4.99</v>
      </c>
      <c r="HK5" s="18">
        <v>0</v>
      </c>
      <c r="HL5" s="18">
        <v>15.4</v>
      </c>
      <c r="HM5" s="18">
        <v>9.1999999999999993</v>
      </c>
      <c r="HN5" s="18">
        <v>14.5</v>
      </c>
      <c r="HO5" s="18">
        <v>15.69</v>
      </c>
      <c r="HP5" s="18">
        <v>0</v>
      </c>
      <c r="HQ5" s="18"/>
      <c r="HR5" s="18"/>
      <c r="HS5" s="18"/>
      <c r="HT5" s="18"/>
      <c r="HU5" s="18"/>
      <c r="HV5" s="11">
        <f t="shared" si="94"/>
        <v>14.5</v>
      </c>
      <c r="HW5" s="11">
        <f t="shared" si="95"/>
        <v>15.69</v>
      </c>
      <c r="HX5" s="11">
        <f t="shared" si="96"/>
        <v>54.89</v>
      </c>
      <c r="HY5" s="11">
        <f t="shared" si="97"/>
        <v>5</v>
      </c>
      <c r="HZ5" s="11">
        <f t="shared" si="98"/>
        <v>4.99</v>
      </c>
      <c r="IA5" s="11">
        <f t="shared" si="99"/>
        <v>17.29</v>
      </c>
      <c r="IB5" s="11">
        <f t="shared" si="100"/>
        <v>54.89</v>
      </c>
      <c r="IC5" s="11">
        <f t="shared" si="101"/>
        <v>14.5</v>
      </c>
      <c r="ID5" s="11">
        <f t="shared" si="102"/>
        <v>15.69</v>
      </c>
      <c r="IE5" s="11">
        <f t="shared" si="103"/>
        <v>54.79</v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109.68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10.6</v>
      </c>
      <c r="WU5" s="26">
        <f t="shared" si="263"/>
        <v>6.3500000000000005</v>
      </c>
      <c r="WV5" s="26">
        <f t="shared" si="264"/>
        <v>9.85</v>
      </c>
      <c r="WW5" s="26">
        <f t="shared" si="265"/>
        <v>10.44</v>
      </c>
      <c r="WX5" s="26">
        <f t="shared" si="266"/>
        <v>0</v>
      </c>
      <c r="WY5" s="26">
        <f t="shared" si="267"/>
        <v>9.85</v>
      </c>
      <c r="WZ5" s="26">
        <f t="shared" si="268"/>
        <v>5.65</v>
      </c>
      <c r="XA5" s="26">
        <f t="shared" si="269"/>
        <v>8.8000000000000007</v>
      </c>
      <c r="XB5" s="26">
        <f t="shared" si="270"/>
        <v>9.24</v>
      </c>
      <c r="XC5" s="26">
        <f t="shared" si="271"/>
        <v>0</v>
      </c>
      <c r="XD5" s="26">
        <f t="shared" si="272"/>
        <v>9.25</v>
      </c>
      <c r="XE5" s="26">
        <f t="shared" si="273"/>
        <v>5.55</v>
      </c>
      <c r="XF5" s="26">
        <f t="shared" si="274"/>
        <v>8.35</v>
      </c>
      <c r="XG5" s="26">
        <f t="shared" si="275"/>
        <v>8.9050000000000011</v>
      </c>
      <c r="XH5" s="26">
        <f t="shared" si="276"/>
        <v>0</v>
      </c>
      <c r="XI5" s="28" t="s">
        <v>53</v>
      </c>
      <c r="XJ5" s="11">
        <f t="shared" si="277"/>
        <v>9.85</v>
      </c>
      <c r="XK5" s="11">
        <f t="shared" si="278"/>
        <v>10.44</v>
      </c>
      <c r="XL5" s="11">
        <f t="shared" si="279"/>
        <v>37.239999999999995</v>
      </c>
      <c r="XM5" s="11">
        <f t="shared" si="280"/>
        <v>8.8000000000000007</v>
      </c>
      <c r="XN5" s="11">
        <f t="shared" si="281"/>
        <v>9.24</v>
      </c>
      <c r="XO5" s="11">
        <f t="shared" si="282"/>
        <v>33.54</v>
      </c>
      <c r="XP5" s="11">
        <f t="shared" si="283"/>
        <v>37.239999999999995</v>
      </c>
      <c r="XQ5" s="11">
        <f t="shared" si="284"/>
        <v>8.35</v>
      </c>
      <c r="XR5" s="11">
        <f t="shared" si="285"/>
        <v>8.9050000000000011</v>
      </c>
      <c r="XS5" s="11">
        <f t="shared" si="286"/>
        <v>32.055</v>
      </c>
      <c r="XT5" s="11">
        <f t="shared" si="287"/>
        <v>69.294999999999987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26</v>
      </c>
      <c r="C6" s="4" t="s">
        <v>3</v>
      </c>
      <c r="D6" s="4">
        <v>1998</v>
      </c>
      <c r="E6" s="9">
        <f t="shared" si="0"/>
        <v>240.77002229200539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53.745000000000005</v>
      </c>
      <c r="K6" s="8" t="str">
        <f t="shared" si="5"/>
        <v>2025 Nationals</v>
      </c>
      <c r="L6" s="8">
        <f>IF(COUNT(AQ6,AT6,BR6,BU6,CS6,CV6)&gt;1,LARGE((AQ6,AT6,BR6,BU6,CS6,CV6),2),0)</f>
        <v>53.745000000000005</v>
      </c>
      <c r="M6" s="8" t="str">
        <f t="shared" si="6"/>
        <v>2025 Nationals</v>
      </c>
      <c r="N6" s="8">
        <f>IF(COUNT(AQ6,AT6,BR6,BU6,CS6,CV6)&gt;2,LARGE((AQ6,AT6,BR6,BU6,CS6,CV6),3),0)</f>
        <v>53.745000000000005</v>
      </c>
      <c r="O6" s="8" t="str">
        <f t="shared" si="7"/>
        <v>2025 Nationals</v>
      </c>
      <c r="P6" s="8">
        <f t="shared" si="8"/>
        <v>32.94</v>
      </c>
      <c r="Q6" s="8" t="str">
        <f t="shared" si="9"/>
        <v>2025 Nationals</v>
      </c>
      <c r="R6" s="8">
        <f t="shared" si="10"/>
        <v>14.1</v>
      </c>
      <c r="S6" s="8" t="str">
        <f t="shared" si="11"/>
        <v>2025 Nationals</v>
      </c>
      <c r="T6" s="8">
        <f t="shared" si="12"/>
        <v>14.645</v>
      </c>
      <c r="U6" s="8" t="str">
        <f t="shared" si="13"/>
        <v>2025 Nationals</v>
      </c>
      <c r="V6" s="8">
        <f t="shared" si="14"/>
        <v>17.850000000000001</v>
      </c>
      <c r="W6" s="11" t="str">
        <f t="shared" si="15"/>
        <v>(Final)</v>
      </c>
      <c r="X6" s="8" t="str">
        <f t="shared" si="16"/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 t="shared" si="17"/>
        <v>14.1</v>
      </c>
      <c r="AP6" s="38">
        <f t="shared" si="18"/>
        <v>14.645</v>
      </c>
      <c r="AQ6" s="40">
        <f t="shared" si="19"/>
        <v>53.745000000000005</v>
      </c>
      <c r="AR6" s="40">
        <f t="shared" si="20"/>
        <v>8</v>
      </c>
      <c r="AS6" s="40">
        <f t="shared" si="21"/>
        <v>8.3000000000000007</v>
      </c>
      <c r="AT6" s="40">
        <f t="shared" si="22"/>
        <v>29.8</v>
      </c>
      <c r="AU6" s="40">
        <f t="shared" si="23"/>
        <v>53.745000000000005</v>
      </c>
      <c r="AV6" s="40">
        <f t="shared" si="24"/>
        <v>8.6999999999999993</v>
      </c>
      <c r="AW6" s="40">
        <f t="shared" si="25"/>
        <v>8.84</v>
      </c>
      <c r="AX6" s="40">
        <f t="shared" si="26"/>
        <v>32.94</v>
      </c>
      <c r="AY6" s="40">
        <f t="shared" si="27"/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 t="shared" si="28"/>
        <v>14.1</v>
      </c>
      <c r="BQ6" s="39">
        <f t="shared" si="29"/>
        <v>14.645</v>
      </c>
      <c r="BR6" s="11">
        <f t="shared" si="30"/>
        <v>53.745000000000005</v>
      </c>
      <c r="BS6" s="11">
        <f t="shared" si="31"/>
        <v>8</v>
      </c>
      <c r="BT6" s="11">
        <f t="shared" si="32"/>
        <v>8.3000000000000007</v>
      </c>
      <c r="BU6" s="11">
        <f t="shared" si="33"/>
        <v>29.8</v>
      </c>
      <c r="BV6" s="11">
        <f t="shared" si="34"/>
        <v>53.745000000000005</v>
      </c>
      <c r="BW6" s="11">
        <f t="shared" si="35"/>
        <v>8.6999999999999993</v>
      </c>
      <c r="BX6" s="11">
        <f t="shared" si="36"/>
        <v>8.84</v>
      </c>
      <c r="BY6" s="11">
        <f t="shared" si="37"/>
        <v>32.94</v>
      </c>
      <c r="BZ6" s="11">
        <f t="shared" si="38"/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 t="shared" si="39"/>
        <v>14.1</v>
      </c>
      <c r="CR6" s="38">
        <f t="shared" si="40"/>
        <v>14.645</v>
      </c>
      <c r="CS6" s="40">
        <f t="shared" si="41"/>
        <v>53.745000000000005</v>
      </c>
      <c r="CT6" s="40">
        <f t="shared" si="42"/>
        <v>8</v>
      </c>
      <c r="CU6" s="40">
        <f t="shared" si="43"/>
        <v>8.3000000000000007</v>
      </c>
      <c r="CV6" s="40">
        <f t="shared" si="44"/>
        <v>29.8</v>
      </c>
      <c r="CW6" s="40">
        <f t="shared" si="45"/>
        <v>53.745000000000005</v>
      </c>
      <c r="CX6" s="40">
        <f t="shared" si="46"/>
        <v>8.6999999999999993</v>
      </c>
      <c r="CY6" s="40">
        <f t="shared" si="47"/>
        <v>8.84</v>
      </c>
      <c r="CZ6" s="40">
        <f t="shared" si="48"/>
        <v>32.94</v>
      </c>
      <c r="DA6" s="40">
        <f t="shared" si="49"/>
        <v>86.685000000000002</v>
      </c>
      <c r="DB6" s="51" t="str">
        <f t="shared" si="50"/>
        <v/>
      </c>
      <c r="DC6" s="51">
        <f t="shared" si="51"/>
        <v>17.850000000000001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14.2</v>
      </c>
      <c r="EM6" s="18">
        <v>9</v>
      </c>
      <c r="EN6" s="18">
        <v>13.4</v>
      </c>
      <c r="EO6" s="18">
        <v>13.79</v>
      </c>
      <c r="EP6" s="18">
        <v>0</v>
      </c>
      <c r="EQ6" s="18">
        <v>15</v>
      </c>
      <c r="ER6" s="18">
        <v>9</v>
      </c>
      <c r="ES6" s="18">
        <v>13.4</v>
      </c>
      <c r="ET6" s="18">
        <v>14.27</v>
      </c>
      <c r="EU6" s="18">
        <v>0</v>
      </c>
      <c r="EV6" s="18">
        <v>13.6</v>
      </c>
      <c r="EW6" s="18">
        <v>9.8000000000000007</v>
      </c>
      <c r="EX6" s="18">
        <v>13.4</v>
      </c>
      <c r="EY6" s="18">
        <v>13.99</v>
      </c>
      <c r="EZ6" s="18">
        <v>0</v>
      </c>
      <c r="FA6" s="18"/>
      <c r="FB6" s="18"/>
      <c r="FC6" s="18"/>
      <c r="FD6" s="18"/>
      <c r="FE6" s="18"/>
      <c r="FF6" s="11">
        <f t="shared" si="66"/>
        <v>13.4</v>
      </c>
      <c r="FG6" s="11">
        <f t="shared" si="67"/>
        <v>13.79</v>
      </c>
      <c r="FH6" s="11">
        <f t="shared" si="68"/>
        <v>50.39</v>
      </c>
      <c r="FI6" s="11">
        <f t="shared" si="69"/>
        <v>13.4</v>
      </c>
      <c r="FJ6" s="11">
        <f t="shared" si="70"/>
        <v>14.27</v>
      </c>
      <c r="FK6" s="11">
        <f t="shared" si="71"/>
        <v>51.67</v>
      </c>
      <c r="FL6" s="11">
        <f t="shared" si="72"/>
        <v>51.67</v>
      </c>
      <c r="FM6" s="11">
        <f t="shared" si="73"/>
        <v>13.4</v>
      </c>
      <c r="FN6" s="11">
        <f t="shared" si="74"/>
        <v>13.99</v>
      </c>
      <c r="FO6" s="11">
        <f t="shared" si="75"/>
        <v>50.79</v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102.46000000000001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15.75</v>
      </c>
      <c r="WU6" s="26">
        <f t="shared" si="263"/>
        <v>9.25</v>
      </c>
      <c r="WV6" s="26">
        <f t="shared" si="264"/>
        <v>14.1</v>
      </c>
      <c r="WW6" s="26">
        <f t="shared" si="265"/>
        <v>14.645</v>
      </c>
      <c r="WX6" s="26">
        <f t="shared" si="266"/>
        <v>0</v>
      </c>
      <c r="WY6" s="26">
        <f t="shared" si="267"/>
        <v>8.7000000000000011</v>
      </c>
      <c r="WZ6" s="26">
        <f t="shared" si="268"/>
        <v>4.8000000000000007</v>
      </c>
      <c r="XA6" s="26">
        <f t="shared" si="269"/>
        <v>8</v>
      </c>
      <c r="XB6" s="26">
        <f t="shared" si="270"/>
        <v>8.3000000000000007</v>
      </c>
      <c r="XC6" s="26">
        <f t="shared" si="271"/>
        <v>0</v>
      </c>
      <c r="XD6" s="26">
        <f t="shared" si="272"/>
        <v>9.7999999999999989</v>
      </c>
      <c r="XE6" s="26">
        <f t="shared" si="273"/>
        <v>5.6000000000000005</v>
      </c>
      <c r="XF6" s="26">
        <f t="shared" si="274"/>
        <v>8.6999999999999993</v>
      </c>
      <c r="XG6" s="26">
        <f t="shared" si="275"/>
        <v>8.84</v>
      </c>
      <c r="XH6" s="26">
        <f t="shared" si="276"/>
        <v>0</v>
      </c>
      <c r="XI6" s="28" t="s">
        <v>53</v>
      </c>
      <c r="XJ6" s="11">
        <f t="shared" si="277"/>
        <v>14.1</v>
      </c>
      <c r="XK6" s="11">
        <f t="shared" si="278"/>
        <v>14.645</v>
      </c>
      <c r="XL6" s="11">
        <f t="shared" si="279"/>
        <v>53.745000000000005</v>
      </c>
      <c r="XM6" s="11">
        <f t="shared" si="280"/>
        <v>8</v>
      </c>
      <c r="XN6" s="11">
        <f t="shared" si="281"/>
        <v>8.3000000000000007</v>
      </c>
      <c r="XO6" s="11">
        <f t="shared" si="282"/>
        <v>29.8</v>
      </c>
      <c r="XP6" s="11">
        <f t="shared" si="283"/>
        <v>53.745000000000005</v>
      </c>
      <c r="XQ6" s="11">
        <f t="shared" si="284"/>
        <v>8.6999999999999993</v>
      </c>
      <c r="XR6" s="11">
        <f t="shared" si="285"/>
        <v>8.84</v>
      </c>
      <c r="XS6" s="11">
        <f t="shared" si="286"/>
        <v>32.94</v>
      </c>
      <c r="XT6" s="11">
        <f t="shared" si="287"/>
        <v>86.685000000000002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115</v>
      </c>
      <c r="C7" s="4" t="s">
        <v>3</v>
      </c>
      <c r="D7" s="4">
        <v>2001</v>
      </c>
      <c r="E7" s="9">
        <f t="shared" si="0"/>
        <v>237.93002379300535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52.22</v>
      </c>
      <c r="Q7" s="8" t="str">
        <f t="shared" si="9"/>
        <v>2025 Nationals</v>
      </c>
      <c r="R7" s="8">
        <f t="shared" si="10"/>
        <v>14.3</v>
      </c>
      <c r="S7" s="8" t="str">
        <f t="shared" si="11"/>
        <v>2025 Nationals</v>
      </c>
      <c r="T7" s="8">
        <f t="shared" si="12"/>
        <v>14.91</v>
      </c>
      <c r="U7" s="8" t="str">
        <f t="shared" si="13"/>
        <v>2025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 t="shared" si="17"/>
        <v>11.7</v>
      </c>
      <c r="AP7" s="38">
        <f t="shared" si="18"/>
        <v>15.04</v>
      </c>
      <c r="AQ7" s="40">
        <f t="shared" si="19"/>
        <v>50.339999999999996</v>
      </c>
      <c r="AR7" s="40">
        <f t="shared" si="20"/>
        <v>10.8</v>
      </c>
      <c r="AS7" s="40">
        <f t="shared" si="21"/>
        <v>15.07</v>
      </c>
      <c r="AT7" s="40">
        <f t="shared" si="22"/>
        <v>48.870000000000005</v>
      </c>
      <c r="AU7" s="40">
        <f t="shared" si="23"/>
        <v>50.339999999999996</v>
      </c>
      <c r="AV7" s="40">
        <f t="shared" si="24"/>
        <v>10.1</v>
      </c>
      <c r="AW7" s="40">
        <f t="shared" si="25"/>
        <v>13.53</v>
      </c>
      <c r="AX7" s="40">
        <f t="shared" si="26"/>
        <v>44.13</v>
      </c>
      <c r="AY7" s="40">
        <f t="shared" si="27"/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 t="shared" si="28"/>
        <v>14.3</v>
      </c>
      <c r="BQ7" s="39">
        <f t="shared" si="29"/>
        <v>14.75</v>
      </c>
      <c r="BR7" s="11">
        <f t="shared" si="30"/>
        <v>53.55</v>
      </c>
      <c r="BS7" s="11">
        <f t="shared" si="31"/>
        <v>14.3</v>
      </c>
      <c r="BT7" s="11">
        <f t="shared" si="32"/>
        <v>14.91</v>
      </c>
      <c r="BU7" s="11">
        <f t="shared" si="33"/>
        <v>52.609999999999992</v>
      </c>
      <c r="BV7" s="11">
        <f t="shared" si="34"/>
        <v>53.55</v>
      </c>
      <c r="BW7" s="11">
        <f t="shared" si="35"/>
        <v>14.3</v>
      </c>
      <c r="BX7" s="11">
        <f t="shared" si="36"/>
        <v>14.76</v>
      </c>
      <c r="BY7" s="11">
        <f t="shared" si="37"/>
        <v>52.160000000000004</v>
      </c>
      <c r="BZ7" s="11">
        <f t="shared" si="38"/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 t="shared" si="39"/>
        <v>3.3</v>
      </c>
      <c r="CR7" s="38">
        <f t="shared" si="40"/>
        <v>3.13</v>
      </c>
      <c r="CS7" s="40">
        <f t="shared" si="41"/>
        <v>10.43</v>
      </c>
      <c r="CT7" s="40">
        <f t="shared" si="42"/>
        <v>12</v>
      </c>
      <c r="CU7" s="40">
        <f t="shared" si="43"/>
        <v>13.95</v>
      </c>
      <c r="CV7" s="40">
        <f t="shared" si="44"/>
        <v>47.55</v>
      </c>
      <c r="CW7" s="40">
        <f t="shared" si="45"/>
        <v>47.55</v>
      </c>
      <c r="CX7" s="40">
        <f t="shared" si="46"/>
        <v>14.3</v>
      </c>
      <c r="CY7" s="40">
        <f t="shared" si="47"/>
        <v>14.72</v>
      </c>
      <c r="CZ7" s="40">
        <f t="shared" si="48"/>
        <v>52.22</v>
      </c>
      <c r="DA7" s="40">
        <f t="shared" si="49"/>
        <v>99.77</v>
      </c>
      <c r="DB7" s="51" t="str">
        <f t="shared" si="50"/>
        <v/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</v>
      </c>
      <c r="WU7" s="26">
        <f t="shared" si="263"/>
        <v>5.25</v>
      </c>
      <c r="WV7" s="26">
        <f t="shared" si="264"/>
        <v>8.8000000000000007</v>
      </c>
      <c r="WW7" s="26">
        <f t="shared" si="265"/>
        <v>8.94</v>
      </c>
      <c r="WX7" s="26">
        <f t="shared" si="266"/>
        <v>0</v>
      </c>
      <c r="WY7" s="26">
        <f t="shared" si="267"/>
        <v>14.05</v>
      </c>
      <c r="WZ7" s="26">
        <f t="shared" si="268"/>
        <v>9</v>
      </c>
      <c r="XA7" s="26">
        <f t="shared" si="269"/>
        <v>13.15</v>
      </c>
      <c r="XB7" s="26">
        <f t="shared" si="270"/>
        <v>14.43</v>
      </c>
      <c r="XC7" s="26">
        <f t="shared" si="271"/>
        <v>0.55000000000000004</v>
      </c>
      <c r="XD7" s="26">
        <f t="shared" si="272"/>
        <v>14.5</v>
      </c>
      <c r="XE7" s="26">
        <f t="shared" si="273"/>
        <v>8.9499999999999993</v>
      </c>
      <c r="XF7" s="26">
        <f t="shared" si="274"/>
        <v>14.3</v>
      </c>
      <c r="XG7" s="26">
        <f t="shared" si="275"/>
        <v>14.74</v>
      </c>
      <c r="XH7" s="26">
        <f t="shared" si="276"/>
        <v>0.3</v>
      </c>
      <c r="XI7" s="28" t="s">
        <v>53</v>
      </c>
      <c r="XJ7" s="11">
        <f t="shared" si="277"/>
        <v>8.8000000000000007</v>
      </c>
      <c r="XK7" s="11">
        <f t="shared" si="278"/>
        <v>8.94</v>
      </c>
      <c r="XL7" s="11">
        <f t="shared" si="279"/>
        <v>31.990000000000002</v>
      </c>
      <c r="XM7" s="11">
        <f t="shared" si="280"/>
        <v>13.15</v>
      </c>
      <c r="XN7" s="11">
        <f t="shared" si="281"/>
        <v>14.43</v>
      </c>
      <c r="XO7" s="11">
        <f t="shared" si="282"/>
        <v>50.080000000000005</v>
      </c>
      <c r="XP7" s="11">
        <f t="shared" si="283"/>
        <v>50.080000000000005</v>
      </c>
      <c r="XQ7" s="11">
        <f t="shared" si="284"/>
        <v>14.3</v>
      </c>
      <c r="XR7" s="11">
        <f t="shared" si="285"/>
        <v>14.74</v>
      </c>
      <c r="XS7" s="11">
        <f t="shared" si="286"/>
        <v>52.190000000000005</v>
      </c>
      <c r="XT7" s="11">
        <f t="shared" si="287"/>
        <v>102.27000000000001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88</v>
      </c>
      <c r="C8" s="4" t="s">
        <v>5</v>
      </c>
      <c r="D8" s="4">
        <v>1999</v>
      </c>
      <c r="E8" s="9">
        <f t="shared" si="0"/>
        <v>236.53002362150522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IF(COUNT(AQ8,AT8,BR8,BU8,CS8,CV8)&gt;0,LARGE((AQ8,AT8,BR8,BU8,CS8,CV8),1),0)</f>
        <v>52.379999999999995</v>
      </c>
      <c r="K8" s="8" t="str">
        <f t="shared" si="5"/>
        <v>2025 Nationals</v>
      </c>
      <c r="L8" s="8">
        <f>IF(COUNT(AQ8,AT8,BR8,BU8,CS8,CV8)&gt;1,LARGE((AQ8,AT8,BR8,BU8,CS8,CV8),2),0)</f>
        <v>51.69</v>
      </c>
      <c r="M8" s="8" t="str">
        <f t="shared" si="6"/>
        <v>2025 Elite Canada</v>
      </c>
      <c r="N8" s="8">
        <f>IF(COUNT(AQ8,AT8,BR8,BU8,CS8,CV8)&gt;2,LARGE((AQ8,AT8,BR8,BU8,CS8,CV8),3),0)</f>
        <v>51.27</v>
      </c>
      <c r="O8" s="8" t="str">
        <f t="shared" si="7"/>
        <v>2024 3rd Domestic Trial</v>
      </c>
      <c r="P8" s="8">
        <f t="shared" si="8"/>
        <v>52.7</v>
      </c>
      <c r="Q8" s="8" t="str">
        <f t="shared" si="9"/>
        <v>2024 3rd Domestic Trial</v>
      </c>
      <c r="R8" s="8">
        <f t="shared" si="10"/>
        <v>13.6</v>
      </c>
      <c r="S8" s="8" t="str">
        <f t="shared" si="11"/>
        <v>2025 Nationals</v>
      </c>
      <c r="T8" s="8">
        <f t="shared" si="12"/>
        <v>14.574999999999999</v>
      </c>
      <c r="U8" s="8" t="str">
        <f t="shared" si="13"/>
        <v>2025 Pan Am Championships (May 18)</v>
      </c>
      <c r="V8" s="8">
        <f t="shared" si="14"/>
        <v>0.31499999999999773</v>
      </c>
      <c r="W8" s="11" t="str">
        <f t="shared" si="15"/>
        <v>(Prelim)</v>
      </c>
      <c r="X8" s="8" t="str">
        <f t="shared" si="16"/>
        <v>2025 Pan Am Championships (May 18)</v>
      </c>
      <c r="Y8" s="22">
        <v>14.8</v>
      </c>
      <c r="Z8" s="22">
        <v>9.1999999999999993</v>
      </c>
      <c r="AA8" s="22">
        <v>13.1</v>
      </c>
      <c r="AB8" s="22">
        <v>14.17</v>
      </c>
      <c r="AC8" s="22">
        <v>0</v>
      </c>
      <c r="AD8" s="22">
        <v>14</v>
      </c>
      <c r="AE8" s="22">
        <v>8.8000000000000007</v>
      </c>
      <c r="AF8" s="22">
        <v>13.1</v>
      </c>
      <c r="AG8" s="22">
        <v>14.36</v>
      </c>
      <c r="AH8" s="22">
        <v>0</v>
      </c>
      <c r="AI8" s="22">
        <v>15.6</v>
      </c>
      <c r="AJ8" s="22">
        <v>9.8000000000000007</v>
      </c>
      <c r="AK8" s="22">
        <v>13.1</v>
      </c>
      <c r="AL8" s="22">
        <v>14.2</v>
      </c>
      <c r="AM8" s="22">
        <v>0</v>
      </c>
      <c r="AN8" s="27"/>
      <c r="AO8" s="38">
        <f t="shared" si="17"/>
        <v>13.1</v>
      </c>
      <c r="AP8" s="38">
        <f t="shared" si="18"/>
        <v>14.17</v>
      </c>
      <c r="AQ8" s="40">
        <f t="shared" si="19"/>
        <v>51.27</v>
      </c>
      <c r="AR8" s="40">
        <f t="shared" si="20"/>
        <v>13.1</v>
      </c>
      <c r="AS8" s="40">
        <f t="shared" si="21"/>
        <v>14.36</v>
      </c>
      <c r="AT8" s="40">
        <f t="shared" si="22"/>
        <v>50.26</v>
      </c>
      <c r="AU8" s="40">
        <f t="shared" si="23"/>
        <v>51.27</v>
      </c>
      <c r="AV8" s="40">
        <f t="shared" si="24"/>
        <v>13.1</v>
      </c>
      <c r="AW8" s="40">
        <f t="shared" si="25"/>
        <v>14.2</v>
      </c>
      <c r="AX8" s="40">
        <f t="shared" si="26"/>
        <v>52.7</v>
      </c>
      <c r="AY8" s="40">
        <f t="shared" si="27"/>
        <v>103.97</v>
      </c>
      <c r="AZ8" s="26">
        <v>11.5</v>
      </c>
      <c r="BA8" s="26">
        <v>7.3</v>
      </c>
      <c r="BB8" s="26">
        <v>10</v>
      </c>
      <c r="BC8" s="26">
        <v>10.98</v>
      </c>
      <c r="BD8" s="26">
        <v>0</v>
      </c>
      <c r="BE8" s="26">
        <v>14.9</v>
      </c>
      <c r="BF8" s="26">
        <v>9.4</v>
      </c>
      <c r="BG8" s="26">
        <v>13.6</v>
      </c>
      <c r="BH8" s="26">
        <v>13.79</v>
      </c>
      <c r="BI8" s="26">
        <v>0</v>
      </c>
      <c r="BJ8" s="26">
        <v>13.6</v>
      </c>
      <c r="BK8" s="26">
        <v>9.6999999999999993</v>
      </c>
      <c r="BL8" s="26">
        <v>13.6</v>
      </c>
      <c r="BM8" s="26">
        <v>13.59</v>
      </c>
      <c r="BN8" s="26">
        <v>0</v>
      </c>
      <c r="BO8" s="28"/>
      <c r="BP8" s="39">
        <f t="shared" si="28"/>
        <v>10</v>
      </c>
      <c r="BQ8" s="39">
        <f t="shared" si="29"/>
        <v>10.98</v>
      </c>
      <c r="BR8" s="11">
        <f t="shared" si="30"/>
        <v>39.78</v>
      </c>
      <c r="BS8" s="11">
        <f t="shared" si="31"/>
        <v>13.6</v>
      </c>
      <c r="BT8" s="11">
        <f t="shared" si="32"/>
        <v>13.79</v>
      </c>
      <c r="BU8" s="11">
        <f t="shared" si="33"/>
        <v>51.69</v>
      </c>
      <c r="BV8" s="11">
        <f t="shared" si="34"/>
        <v>51.69</v>
      </c>
      <c r="BW8" s="11">
        <f t="shared" si="35"/>
        <v>13.6</v>
      </c>
      <c r="BX8" s="11">
        <f t="shared" si="36"/>
        <v>13.59</v>
      </c>
      <c r="BY8" s="11">
        <f t="shared" si="37"/>
        <v>50.489999999999995</v>
      </c>
      <c r="BZ8" s="11">
        <f t="shared" si="38"/>
        <v>102.17999999999999</v>
      </c>
      <c r="CA8" s="22">
        <v>15.3</v>
      </c>
      <c r="CB8" s="22">
        <v>9.5</v>
      </c>
      <c r="CC8" s="22">
        <v>13.6</v>
      </c>
      <c r="CD8" s="22">
        <v>13.98</v>
      </c>
      <c r="CE8" s="22">
        <v>0</v>
      </c>
      <c r="CF8" s="22">
        <v>14.3</v>
      </c>
      <c r="CG8" s="22">
        <v>8.6999999999999993</v>
      </c>
      <c r="CH8" s="22">
        <v>13.6</v>
      </c>
      <c r="CI8" s="22">
        <v>14.21</v>
      </c>
      <c r="CJ8" s="22">
        <v>0</v>
      </c>
      <c r="CK8" s="22">
        <v>14</v>
      </c>
      <c r="CL8" s="22">
        <v>8.9</v>
      </c>
      <c r="CM8" s="22">
        <v>13.6</v>
      </c>
      <c r="CN8" s="22">
        <v>13.78</v>
      </c>
      <c r="CO8" s="22">
        <v>0</v>
      </c>
      <c r="CP8" s="27"/>
      <c r="CQ8" s="38">
        <f t="shared" si="39"/>
        <v>13.6</v>
      </c>
      <c r="CR8" s="38">
        <f t="shared" si="40"/>
        <v>13.98</v>
      </c>
      <c r="CS8" s="40">
        <f t="shared" si="41"/>
        <v>52.379999999999995</v>
      </c>
      <c r="CT8" s="40">
        <f t="shared" si="42"/>
        <v>13.6</v>
      </c>
      <c r="CU8" s="40">
        <f t="shared" si="43"/>
        <v>14.21</v>
      </c>
      <c r="CV8" s="40">
        <f t="shared" si="44"/>
        <v>50.81</v>
      </c>
      <c r="CW8" s="40">
        <f t="shared" si="45"/>
        <v>52.379999999999995</v>
      </c>
      <c r="CX8" s="40">
        <f t="shared" si="46"/>
        <v>13.6</v>
      </c>
      <c r="CY8" s="40">
        <f t="shared" si="47"/>
        <v>13.78</v>
      </c>
      <c r="CZ8" s="40">
        <f t="shared" si="48"/>
        <v>50.28</v>
      </c>
      <c r="DA8" s="40">
        <f t="shared" si="49"/>
        <v>102.66</v>
      </c>
      <c r="DB8" s="51">
        <f t="shared" si="50"/>
        <v>0.31499999999999773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13.8</v>
      </c>
      <c r="FU8" s="17">
        <v>9.1</v>
      </c>
      <c r="FV8" s="17">
        <v>13.6</v>
      </c>
      <c r="FW8" s="17">
        <v>14.074999999999999</v>
      </c>
      <c r="FX8" s="17">
        <v>0</v>
      </c>
      <c r="FY8" s="17">
        <v>14.4</v>
      </c>
      <c r="FZ8" s="17">
        <v>9.4</v>
      </c>
      <c r="GA8" s="17">
        <v>13.6</v>
      </c>
      <c r="GB8" s="17">
        <v>14.185</v>
      </c>
      <c r="GC8" s="17">
        <v>0</v>
      </c>
      <c r="GD8" s="17"/>
      <c r="GE8" s="17"/>
      <c r="GF8" s="17"/>
      <c r="GG8" s="17"/>
      <c r="GH8" s="17"/>
      <c r="GI8" s="17">
        <v>13.6</v>
      </c>
      <c r="GJ8" s="17">
        <v>9.4</v>
      </c>
      <c r="GK8" s="17">
        <v>13.6</v>
      </c>
      <c r="GL8" s="17">
        <v>14.574999999999999</v>
      </c>
      <c r="GM8" s="17">
        <v>0</v>
      </c>
      <c r="GN8" s="40">
        <f t="shared" si="80"/>
        <v>13.6</v>
      </c>
      <c r="GO8" s="40">
        <f t="shared" si="81"/>
        <v>14.074999999999999</v>
      </c>
      <c r="GP8" s="40">
        <f t="shared" si="82"/>
        <v>50.575000000000003</v>
      </c>
      <c r="GQ8" s="40">
        <f t="shared" si="83"/>
        <v>13.6</v>
      </c>
      <c r="GR8" s="40">
        <f t="shared" si="84"/>
        <v>14.185</v>
      </c>
      <c r="GS8" s="40">
        <f t="shared" si="85"/>
        <v>51.585000000000001</v>
      </c>
      <c r="GT8" s="40">
        <f t="shared" si="86"/>
        <v>51.585000000000001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>
        <f t="shared" si="90"/>
        <v>13.6</v>
      </c>
      <c r="GY8" s="40">
        <f t="shared" si="91"/>
        <v>14.574999999999999</v>
      </c>
      <c r="GZ8" s="40">
        <f t="shared" si="92"/>
        <v>51.174999999999997</v>
      </c>
      <c r="HA8" s="40">
        <f t="shared" si="93"/>
        <v>102.75999999999999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13.4</v>
      </c>
      <c r="WU8" s="26">
        <f t="shared" si="263"/>
        <v>8.4</v>
      </c>
      <c r="WV8" s="26">
        <f t="shared" si="264"/>
        <v>11.8</v>
      </c>
      <c r="WW8" s="26">
        <f t="shared" si="265"/>
        <v>12.48</v>
      </c>
      <c r="WX8" s="26">
        <f t="shared" si="266"/>
        <v>0</v>
      </c>
      <c r="WY8" s="26">
        <f t="shared" si="267"/>
        <v>14.600000000000001</v>
      </c>
      <c r="WZ8" s="26">
        <f t="shared" si="268"/>
        <v>9.0500000000000007</v>
      </c>
      <c r="XA8" s="26">
        <f t="shared" si="269"/>
        <v>13.6</v>
      </c>
      <c r="XB8" s="26">
        <f t="shared" si="270"/>
        <v>14</v>
      </c>
      <c r="XC8" s="26">
        <f t="shared" si="271"/>
        <v>0</v>
      </c>
      <c r="XD8" s="26">
        <f t="shared" si="272"/>
        <v>13.8</v>
      </c>
      <c r="XE8" s="26">
        <f t="shared" si="273"/>
        <v>9.3000000000000007</v>
      </c>
      <c r="XF8" s="26">
        <f t="shared" si="274"/>
        <v>13.6</v>
      </c>
      <c r="XG8" s="26">
        <f t="shared" si="275"/>
        <v>13.684999999999999</v>
      </c>
      <c r="XH8" s="26">
        <f t="shared" si="276"/>
        <v>0</v>
      </c>
      <c r="XI8" s="28" t="s">
        <v>53</v>
      </c>
      <c r="XJ8" s="11">
        <f t="shared" si="277"/>
        <v>11.8</v>
      </c>
      <c r="XK8" s="11">
        <f t="shared" si="278"/>
        <v>12.48</v>
      </c>
      <c r="XL8" s="11">
        <f t="shared" si="279"/>
        <v>46.08</v>
      </c>
      <c r="XM8" s="11">
        <f t="shared" si="280"/>
        <v>13.6</v>
      </c>
      <c r="XN8" s="11">
        <f t="shared" si="281"/>
        <v>14</v>
      </c>
      <c r="XO8" s="11">
        <f t="shared" si="282"/>
        <v>51.25</v>
      </c>
      <c r="XP8" s="11">
        <f t="shared" si="283"/>
        <v>51.25</v>
      </c>
      <c r="XQ8" s="11">
        <f t="shared" si="284"/>
        <v>13.6</v>
      </c>
      <c r="XR8" s="11">
        <f t="shared" si="285"/>
        <v>13.684999999999999</v>
      </c>
      <c r="XS8" s="11">
        <f t="shared" si="286"/>
        <v>50.385000000000005</v>
      </c>
      <c r="XT8" s="11">
        <f t="shared" si="287"/>
        <v>101.63500000000001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 t="shared" si="0"/>
        <v>236.4100236410053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52.86</v>
      </c>
      <c r="K9" s="8" t="str">
        <f t="shared" si="5"/>
        <v>2025 Elite Canada</v>
      </c>
      <c r="L9" s="8">
        <f>IF(COUNT(AQ9,AT9,BR9,BU9,CS9,CV9)&gt;1,LARGE((AQ9,AT9,BR9,BU9,CS9,CV9),2),0)</f>
        <v>52.16</v>
      </c>
      <c r="M9" s="8" t="str">
        <f t="shared" si="6"/>
        <v>2025 Nationals</v>
      </c>
      <c r="N9" s="8">
        <f>IF(COUNT(AQ9,AT9,BR9,BU9,CS9,CV9)&gt;2,LARGE((AQ9,AT9,BR9,BU9,CS9,CV9),3),0)</f>
        <v>52.15</v>
      </c>
      <c r="O9" s="8" t="str">
        <f t="shared" si="7"/>
        <v>2024 3rd Domestic Trial</v>
      </c>
      <c r="P9" s="8">
        <f t="shared" si="8"/>
        <v>50.39</v>
      </c>
      <c r="Q9" s="8" t="str">
        <f t="shared" si="9"/>
        <v>2024 3rd Domestic Trial</v>
      </c>
      <c r="R9" s="8">
        <f t="shared" si="10"/>
        <v>13.9</v>
      </c>
      <c r="S9" s="8" t="str">
        <f t="shared" si="11"/>
        <v>2025 Nationals</v>
      </c>
      <c r="T9" s="8">
        <f t="shared" si="12"/>
        <v>14.95</v>
      </c>
      <c r="U9" s="8" t="str">
        <f t="shared" si="13"/>
        <v>2024 3rd Domestic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15.7</v>
      </c>
      <c r="Z9" s="22">
        <v>8.6999999999999993</v>
      </c>
      <c r="AA9" s="22">
        <v>12.5</v>
      </c>
      <c r="AB9" s="22">
        <v>15.25</v>
      </c>
      <c r="AC9" s="22">
        <v>0</v>
      </c>
      <c r="AD9" s="22">
        <v>14.8</v>
      </c>
      <c r="AE9" s="22">
        <v>9.1</v>
      </c>
      <c r="AF9" s="22">
        <v>13.2</v>
      </c>
      <c r="AG9" s="22">
        <v>14.95</v>
      </c>
      <c r="AH9" s="22">
        <v>0</v>
      </c>
      <c r="AI9" s="22">
        <v>15.6</v>
      </c>
      <c r="AJ9" s="22">
        <v>8.4</v>
      </c>
      <c r="AK9" s="22">
        <v>11.6</v>
      </c>
      <c r="AL9" s="22">
        <v>14.79</v>
      </c>
      <c r="AM9" s="22">
        <v>0</v>
      </c>
      <c r="AN9" s="27"/>
      <c r="AO9" s="38">
        <f t="shared" si="17"/>
        <v>12.5</v>
      </c>
      <c r="AP9" s="38">
        <f t="shared" si="18"/>
        <v>15.25</v>
      </c>
      <c r="AQ9" s="40">
        <f t="shared" si="19"/>
        <v>52.15</v>
      </c>
      <c r="AR9" s="40">
        <f t="shared" si="20"/>
        <v>13.2</v>
      </c>
      <c r="AS9" s="40">
        <f t="shared" si="21"/>
        <v>14.95</v>
      </c>
      <c r="AT9" s="40">
        <f t="shared" si="22"/>
        <v>52.05</v>
      </c>
      <c r="AU9" s="40">
        <f t="shared" si="23"/>
        <v>52.15</v>
      </c>
      <c r="AV9" s="40">
        <f t="shared" si="24"/>
        <v>11.6</v>
      </c>
      <c r="AW9" s="40">
        <f t="shared" si="25"/>
        <v>14.79</v>
      </c>
      <c r="AX9" s="40">
        <f t="shared" si="26"/>
        <v>50.39</v>
      </c>
      <c r="AY9" s="40">
        <f t="shared" si="27"/>
        <v>102.53999999999999</v>
      </c>
      <c r="AZ9" s="26">
        <v>15.1</v>
      </c>
      <c r="BA9" s="26">
        <v>9</v>
      </c>
      <c r="BB9" s="26">
        <v>13.9</v>
      </c>
      <c r="BC9" s="26">
        <v>14.86</v>
      </c>
      <c r="BD9" s="26">
        <v>0</v>
      </c>
      <c r="BE9" s="26">
        <v>15</v>
      </c>
      <c r="BF9" s="26">
        <v>8.8000000000000007</v>
      </c>
      <c r="BG9" s="26">
        <v>13.2</v>
      </c>
      <c r="BH9" s="26">
        <v>14.71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8"/>
      <c r="BP9" s="39">
        <f t="shared" si="28"/>
        <v>13.9</v>
      </c>
      <c r="BQ9" s="39">
        <f t="shared" si="29"/>
        <v>14.86</v>
      </c>
      <c r="BR9" s="11">
        <f t="shared" si="30"/>
        <v>52.86</v>
      </c>
      <c r="BS9" s="11">
        <f t="shared" si="31"/>
        <v>13.2</v>
      </c>
      <c r="BT9" s="11">
        <f t="shared" si="32"/>
        <v>14.71</v>
      </c>
      <c r="BU9" s="11">
        <f t="shared" si="33"/>
        <v>51.71</v>
      </c>
      <c r="BV9" s="11">
        <f t="shared" si="34"/>
        <v>52.86</v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>
        <f t="shared" si="38"/>
        <v>52.86</v>
      </c>
      <c r="CA9" s="22">
        <v>14.6</v>
      </c>
      <c r="CB9" s="22">
        <v>9.3000000000000007</v>
      </c>
      <c r="CC9" s="22">
        <v>13.9</v>
      </c>
      <c r="CD9" s="22">
        <v>14.36</v>
      </c>
      <c r="CE9" s="22">
        <v>0</v>
      </c>
      <c r="CF9" s="22">
        <v>2.7</v>
      </c>
      <c r="CG9" s="22">
        <v>1.7</v>
      </c>
      <c r="CH9" s="22">
        <v>3.5</v>
      </c>
      <c r="CI9" s="22">
        <v>3.13</v>
      </c>
      <c r="CJ9" s="22">
        <v>0</v>
      </c>
      <c r="CK9" s="22">
        <v>1.3</v>
      </c>
      <c r="CL9" s="22">
        <v>0.8</v>
      </c>
      <c r="CM9" s="22">
        <v>2</v>
      </c>
      <c r="CN9" s="22">
        <v>1.62</v>
      </c>
      <c r="CO9" s="22">
        <v>0</v>
      </c>
      <c r="CP9" s="27"/>
      <c r="CQ9" s="38">
        <f t="shared" si="39"/>
        <v>13.9</v>
      </c>
      <c r="CR9" s="38">
        <f t="shared" si="40"/>
        <v>14.36</v>
      </c>
      <c r="CS9" s="40">
        <f t="shared" si="41"/>
        <v>52.16</v>
      </c>
      <c r="CT9" s="40">
        <f t="shared" si="42"/>
        <v>3.5</v>
      </c>
      <c r="CU9" s="40">
        <f t="shared" si="43"/>
        <v>3.13</v>
      </c>
      <c r="CV9" s="40">
        <f t="shared" si="44"/>
        <v>11.030000000000001</v>
      </c>
      <c r="CW9" s="40">
        <f t="shared" si="45"/>
        <v>52.16</v>
      </c>
      <c r="CX9" s="40">
        <f t="shared" si="46"/>
        <v>2</v>
      </c>
      <c r="CY9" s="40">
        <f t="shared" si="47"/>
        <v>1.62</v>
      </c>
      <c r="CZ9" s="40">
        <f t="shared" si="48"/>
        <v>5.72</v>
      </c>
      <c r="DA9" s="40">
        <f t="shared" si="49"/>
        <v>57.879999999999995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13.5</v>
      </c>
      <c r="FU9" s="17">
        <v>8.9</v>
      </c>
      <c r="FV9" s="17">
        <v>13</v>
      </c>
      <c r="FW9" s="17">
        <v>14.7</v>
      </c>
      <c r="FX9" s="17">
        <v>0</v>
      </c>
      <c r="FY9" s="17">
        <v>13.4</v>
      </c>
      <c r="FZ9" s="17">
        <v>9.1999999999999993</v>
      </c>
      <c r="GA9" s="17">
        <v>13.9</v>
      </c>
      <c r="GB9" s="17">
        <v>14.54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>
        <f t="shared" si="80"/>
        <v>13</v>
      </c>
      <c r="GO9" s="40">
        <f t="shared" si="81"/>
        <v>14.7</v>
      </c>
      <c r="GP9" s="40">
        <f t="shared" si="82"/>
        <v>50.099999999999994</v>
      </c>
      <c r="GQ9" s="40">
        <f t="shared" si="83"/>
        <v>13.9</v>
      </c>
      <c r="GR9" s="40">
        <f t="shared" si="84"/>
        <v>14.54</v>
      </c>
      <c r="GS9" s="40">
        <f t="shared" si="85"/>
        <v>51.04</v>
      </c>
      <c r="GT9" s="40">
        <f t="shared" si="86"/>
        <v>51.04</v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>
        <f t="shared" si="93"/>
        <v>51.04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14.85</v>
      </c>
      <c r="WU9" s="26">
        <f t="shared" si="263"/>
        <v>9.15</v>
      </c>
      <c r="WV9" s="26">
        <f t="shared" si="264"/>
        <v>13.9</v>
      </c>
      <c r="WW9" s="26">
        <f t="shared" si="265"/>
        <v>14.61</v>
      </c>
      <c r="WX9" s="26">
        <f t="shared" si="266"/>
        <v>0</v>
      </c>
      <c r="WY9" s="26">
        <f t="shared" si="267"/>
        <v>8.85</v>
      </c>
      <c r="WZ9" s="26">
        <f t="shared" si="268"/>
        <v>5.25</v>
      </c>
      <c r="XA9" s="26">
        <f t="shared" si="269"/>
        <v>8.35</v>
      </c>
      <c r="XB9" s="26">
        <f t="shared" si="270"/>
        <v>8.92</v>
      </c>
      <c r="XC9" s="26">
        <f t="shared" si="271"/>
        <v>0</v>
      </c>
      <c r="XD9" s="26">
        <f t="shared" si="272"/>
        <v>0.65</v>
      </c>
      <c r="XE9" s="26">
        <f t="shared" si="273"/>
        <v>0.4</v>
      </c>
      <c r="XF9" s="26">
        <f t="shared" si="274"/>
        <v>1</v>
      </c>
      <c r="XG9" s="26">
        <f t="shared" si="275"/>
        <v>0.81</v>
      </c>
      <c r="XH9" s="26">
        <f t="shared" si="276"/>
        <v>0</v>
      </c>
      <c r="XI9" s="28" t="s">
        <v>53</v>
      </c>
      <c r="XJ9" s="11">
        <f t="shared" si="277"/>
        <v>13.9</v>
      </c>
      <c r="XK9" s="11">
        <f t="shared" si="278"/>
        <v>14.61</v>
      </c>
      <c r="XL9" s="11">
        <f t="shared" si="279"/>
        <v>52.51</v>
      </c>
      <c r="XM9" s="11">
        <f t="shared" si="280"/>
        <v>8.35</v>
      </c>
      <c r="XN9" s="11">
        <f t="shared" si="281"/>
        <v>8.92</v>
      </c>
      <c r="XO9" s="11">
        <f t="shared" si="282"/>
        <v>31.369999999999997</v>
      </c>
      <c r="XP9" s="11">
        <f t="shared" si="283"/>
        <v>52.51</v>
      </c>
      <c r="XQ9" s="11">
        <f t="shared" si="284"/>
        <v>1</v>
      </c>
      <c r="XR9" s="11">
        <f t="shared" si="285"/>
        <v>0.81</v>
      </c>
      <c r="XS9" s="11">
        <f t="shared" si="286"/>
        <v>2.86</v>
      </c>
      <c r="XT9" s="11">
        <f t="shared" si="287"/>
        <v>55.37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180</v>
      </c>
      <c r="C10" s="4" t="s">
        <v>7</v>
      </c>
      <c r="D10" s="4">
        <v>2007</v>
      </c>
      <c r="E10" s="9">
        <f t="shared" si="0"/>
        <v>235.98002334900522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52.15</v>
      </c>
      <c r="K10" s="8" t="str">
        <f t="shared" si="5"/>
        <v>2025 Nationals</v>
      </c>
      <c r="L10" s="8">
        <f>IF(COUNT(AQ10,AT10,BR10,BU10,CS10,CV10)&gt;1,LARGE((AQ10,AT10,BR10,BU10,CS10,CV10),2),0)</f>
        <v>51.489999999999995</v>
      </c>
      <c r="M10" s="8" t="str">
        <f t="shared" si="6"/>
        <v>2025 Elite Canada</v>
      </c>
      <c r="N10" s="8">
        <f>IF(COUNT(AQ10,AT10,BR10,BU10,CS10,CV10)&gt;2,LARGE((AQ10,AT10,BR10,BU10,CS10,CV10),3),0)</f>
        <v>49.050000000000004</v>
      </c>
      <c r="O10" s="8" t="str">
        <f t="shared" si="7"/>
        <v>2025 Elite Canada</v>
      </c>
      <c r="P10" s="8">
        <f t="shared" si="8"/>
        <v>51.86999999999999</v>
      </c>
      <c r="Q10" s="8" t="str">
        <f t="shared" si="9"/>
        <v>2025 Nationals</v>
      </c>
      <c r="R10" s="8">
        <f t="shared" si="10"/>
        <v>14.3</v>
      </c>
      <c r="S10" s="8" t="str">
        <f t="shared" si="11"/>
        <v>2025 Nationals</v>
      </c>
      <c r="T10" s="8">
        <f t="shared" si="12"/>
        <v>14.63</v>
      </c>
      <c r="U10" s="8" t="str">
        <f t="shared" si="13"/>
        <v>2024 3rd Domestic Trial</v>
      </c>
      <c r="V10" s="8">
        <f t="shared" si="14"/>
        <v>2.4899999999999949</v>
      </c>
      <c r="W10" s="11" t="str">
        <f t="shared" si="15"/>
        <v>(Prelim)</v>
      </c>
      <c r="X10" s="8" t="str">
        <f t="shared" si="16"/>
        <v>2025 World Cup POR (July 6)</v>
      </c>
      <c r="Y10" s="22">
        <v>4.4000000000000004</v>
      </c>
      <c r="Z10" s="22">
        <v>2.5</v>
      </c>
      <c r="AA10" s="22">
        <v>4.2</v>
      </c>
      <c r="AB10" s="22">
        <v>4.68</v>
      </c>
      <c r="AC10" s="22">
        <v>0</v>
      </c>
      <c r="AD10" s="22">
        <v>13.6</v>
      </c>
      <c r="AE10" s="22">
        <v>8.3000000000000007</v>
      </c>
      <c r="AF10" s="22">
        <v>11.9</v>
      </c>
      <c r="AG10" s="22">
        <v>13.44</v>
      </c>
      <c r="AH10" s="22">
        <v>0</v>
      </c>
      <c r="AI10" s="22">
        <v>14.5</v>
      </c>
      <c r="AJ10" s="22">
        <v>9.1</v>
      </c>
      <c r="AK10" s="22">
        <v>13.5</v>
      </c>
      <c r="AL10" s="22">
        <v>14.63</v>
      </c>
      <c r="AM10" s="22">
        <v>0</v>
      </c>
      <c r="AN10" s="27"/>
      <c r="AO10" s="38">
        <f t="shared" si="17"/>
        <v>4.2</v>
      </c>
      <c r="AP10" s="38">
        <f t="shared" si="18"/>
        <v>4.68</v>
      </c>
      <c r="AQ10" s="40">
        <f t="shared" si="19"/>
        <v>15.780000000000001</v>
      </c>
      <c r="AR10" s="40">
        <f t="shared" si="20"/>
        <v>11.9</v>
      </c>
      <c r="AS10" s="40">
        <f t="shared" si="21"/>
        <v>13.44</v>
      </c>
      <c r="AT10" s="40">
        <f t="shared" si="22"/>
        <v>47.239999999999995</v>
      </c>
      <c r="AU10" s="40">
        <f t="shared" si="23"/>
        <v>47.239999999999995</v>
      </c>
      <c r="AV10" s="40">
        <f t="shared" si="24"/>
        <v>13.5</v>
      </c>
      <c r="AW10" s="40">
        <f t="shared" si="25"/>
        <v>14.63</v>
      </c>
      <c r="AX10" s="40">
        <f t="shared" si="26"/>
        <v>51.730000000000004</v>
      </c>
      <c r="AY10" s="40">
        <f t="shared" si="27"/>
        <v>98.97</v>
      </c>
      <c r="AZ10" s="26">
        <v>13.5</v>
      </c>
      <c r="BA10" s="26">
        <v>9.1</v>
      </c>
      <c r="BB10" s="26">
        <v>12.4</v>
      </c>
      <c r="BC10" s="26">
        <v>14.35</v>
      </c>
      <c r="BD10" s="26">
        <v>0.3</v>
      </c>
      <c r="BE10" s="26">
        <v>14.8</v>
      </c>
      <c r="BF10" s="26">
        <v>9.1999999999999993</v>
      </c>
      <c r="BG10" s="26">
        <v>13.4</v>
      </c>
      <c r="BH10" s="26">
        <v>14.09</v>
      </c>
      <c r="BI10" s="26">
        <v>0</v>
      </c>
      <c r="BJ10" s="26">
        <v>13.7</v>
      </c>
      <c r="BK10" s="26">
        <v>9.1999999999999993</v>
      </c>
      <c r="BL10" s="26">
        <v>14.3</v>
      </c>
      <c r="BM10" s="26">
        <v>14.26</v>
      </c>
      <c r="BN10" s="26">
        <v>0</v>
      </c>
      <c r="BO10" s="28"/>
      <c r="BP10" s="39">
        <f t="shared" si="28"/>
        <v>12.4</v>
      </c>
      <c r="BQ10" s="39">
        <f t="shared" si="29"/>
        <v>14.35</v>
      </c>
      <c r="BR10" s="11">
        <f t="shared" si="30"/>
        <v>49.050000000000004</v>
      </c>
      <c r="BS10" s="11">
        <f t="shared" si="31"/>
        <v>13.4</v>
      </c>
      <c r="BT10" s="11">
        <f t="shared" si="32"/>
        <v>14.09</v>
      </c>
      <c r="BU10" s="11">
        <f t="shared" si="33"/>
        <v>51.489999999999995</v>
      </c>
      <c r="BV10" s="11">
        <f t="shared" si="34"/>
        <v>51.489999999999995</v>
      </c>
      <c r="BW10" s="11">
        <f t="shared" si="35"/>
        <v>14.3</v>
      </c>
      <c r="BX10" s="11">
        <f t="shared" si="36"/>
        <v>14.26</v>
      </c>
      <c r="BY10" s="11">
        <f t="shared" si="37"/>
        <v>51.46</v>
      </c>
      <c r="BZ10" s="11">
        <f t="shared" si="38"/>
        <v>102.94999999999999</v>
      </c>
      <c r="CA10" s="22">
        <v>14.1</v>
      </c>
      <c r="CB10" s="22">
        <v>9.6999999999999993</v>
      </c>
      <c r="CC10" s="22">
        <v>10.8</v>
      </c>
      <c r="CD10" s="22">
        <v>14.25</v>
      </c>
      <c r="CE10" s="22">
        <v>1.9</v>
      </c>
      <c r="CF10" s="22">
        <v>14.6</v>
      </c>
      <c r="CG10" s="22">
        <v>9.1</v>
      </c>
      <c r="CH10" s="22">
        <v>14.3</v>
      </c>
      <c r="CI10" s="22">
        <v>14.15</v>
      </c>
      <c r="CJ10" s="22">
        <v>0</v>
      </c>
      <c r="CK10" s="22">
        <v>13.7</v>
      </c>
      <c r="CL10" s="22">
        <v>9.6</v>
      </c>
      <c r="CM10" s="22">
        <v>14.3</v>
      </c>
      <c r="CN10" s="22">
        <v>14.27</v>
      </c>
      <c r="CO10" s="22">
        <v>0</v>
      </c>
      <c r="CP10" s="27"/>
      <c r="CQ10" s="38">
        <f t="shared" si="39"/>
        <v>10.8</v>
      </c>
      <c r="CR10" s="38">
        <f t="shared" si="40"/>
        <v>14.25</v>
      </c>
      <c r="CS10" s="40">
        <f t="shared" si="41"/>
        <v>46.949999999999996</v>
      </c>
      <c r="CT10" s="40">
        <f t="shared" si="42"/>
        <v>14.3</v>
      </c>
      <c r="CU10" s="40">
        <f t="shared" si="43"/>
        <v>14.15</v>
      </c>
      <c r="CV10" s="40">
        <f t="shared" si="44"/>
        <v>52.15</v>
      </c>
      <c r="CW10" s="40">
        <f t="shared" si="45"/>
        <v>52.15</v>
      </c>
      <c r="CX10" s="40">
        <f t="shared" si="46"/>
        <v>14.3</v>
      </c>
      <c r="CY10" s="40">
        <f t="shared" si="47"/>
        <v>14.27</v>
      </c>
      <c r="CZ10" s="40">
        <f t="shared" si="48"/>
        <v>51.86999999999999</v>
      </c>
      <c r="DA10" s="40">
        <f t="shared" si="49"/>
        <v>104.01999999999998</v>
      </c>
      <c r="DB10" s="51">
        <f t="shared" si="50"/>
        <v>2.4899999999999949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>
        <v>13.5</v>
      </c>
      <c r="HC10" s="18">
        <v>9.3000000000000007</v>
      </c>
      <c r="HD10" s="18">
        <v>14.3</v>
      </c>
      <c r="HE10" s="18">
        <v>14.44</v>
      </c>
      <c r="HF10" s="18">
        <v>0</v>
      </c>
      <c r="HG10" s="18">
        <v>13.3</v>
      </c>
      <c r="HH10" s="18">
        <v>9.3000000000000007</v>
      </c>
      <c r="HI10" s="18">
        <v>14.3</v>
      </c>
      <c r="HJ10" s="18">
        <v>14.25</v>
      </c>
      <c r="HK10" s="18">
        <v>0</v>
      </c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>
        <f t="shared" si="94"/>
        <v>14.3</v>
      </c>
      <c r="HW10" s="11">
        <f t="shared" si="95"/>
        <v>14.44</v>
      </c>
      <c r="HX10" s="11">
        <f t="shared" si="96"/>
        <v>51.54</v>
      </c>
      <c r="HY10" s="11">
        <f t="shared" si="97"/>
        <v>14.3</v>
      </c>
      <c r="HZ10" s="11">
        <f t="shared" si="98"/>
        <v>14.25</v>
      </c>
      <c r="IA10" s="11">
        <f t="shared" si="99"/>
        <v>51.150000000000006</v>
      </c>
      <c r="IB10" s="11">
        <f t="shared" si="100"/>
        <v>51.54</v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>
        <f t="shared" si="107"/>
        <v>51.54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13.8</v>
      </c>
      <c r="WU10" s="26">
        <f t="shared" si="263"/>
        <v>9.3999999999999986</v>
      </c>
      <c r="WV10" s="26">
        <f t="shared" si="264"/>
        <v>11.600000000000001</v>
      </c>
      <c r="WW10" s="26">
        <f t="shared" si="265"/>
        <v>14.3</v>
      </c>
      <c r="WX10" s="26">
        <f t="shared" si="266"/>
        <v>1.0999999999999999</v>
      </c>
      <c r="WY10" s="26">
        <f t="shared" si="267"/>
        <v>14.7</v>
      </c>
      <c r="WZ10" s="26">
        <f t="shared" si="268"/>
        <v>9.1499999999999986</v>
      </c>
      <c r="XA10" s="26">
        <f t="shared" si="269"/>
        <v>13.850000000000001</v>
      </c>
      <c r="XB10" s="26">
        <f t="shared" si="270"/>
        <v>14.120000000000001</v>
      </c>
      <c r="XC10" s="26">
        <f t="shared" si="271"/>
        <v>0</v>
      </c>
      <c r="XD10" s="26">
        <f t="shared" si="272"/>
        <v>13.7</v>
      </c>
      <c r="XE10" s="26">
        <f t="shared" si="273"/>
        <v>9.3999999999999986</v>
      </c>
      <c r="XF10" s="26">
        <f t="shared" si="274"/>
        <v>14.3</v>
      </c>
      <c r="XG10" s="26">
        <f t="shared" si="275"/>
        <v>14.265000000000001</v>
      </c>
      <c r="XH10" s="26">
        <f t="shared" si="276"/>
        <v>0</v>
      </c>
      <c r="XI10" s="28" t="s">
        <v>53</v>
      </c>
      <c r="XJ10" s="11">
        <f t="shared" si="277"/>
        <v>11.600000000000001</v>
      </c>
      <c r="XK10" s="11">
        <f t="shared" si="278"/>
        <v>14.3</v>
      </c>
      <c r="XL10" s="11">
        <f t="shared" si="279"/>
        <v>47.999999999999993</v>
      </c>
      <c r="XM10" s="11">
        <f t="shared" si="280"/>
        <v>13.850000000000001</v>
      </c>
      <c r="XN10" s="11">
        <f t="shared" si="281"/>
        <v>14.120000000000001</v>
      </c>
      <c r="XO10" s="11">
        <f t="shared" si="282"/>
        <v>51.820000000000007</v>
      </c>
      <c r="XP10" s="11">
        <f t="shared" si="283"/>
        <v>51.820000000000007</v>
      </c>
      <c r="XQ10" s="11">
        <f t="shared" si="284"/>
        <v>14.3</v>
      </c>
      <c r="XR10" s="11">
        <f t="shared" si="285"/>
        <v>14.265000000000001</v>
      </c>
      <c r="XS10" s="11">
        <f t="shared" si="286"/>
        <v>51.664999999999999</v>
      </c>
      <c r="XT10" s="11">
        <f t="shared" si="287"/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130</v>
      </c>
      <c r="C11" s="4" t="s">
        <v>3</v>
      </c>
      <c r="D11" s="4">
        <v>2004</v>
      </c>
      <c r="E11" s="9">
        <f t="shared" si="0"/>
        <v>235.58002334700518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51.6</v>
      </c>
      <c r="K11" s="8" t="str">
        <f t="shared" si="5"/>
        <v>2025 Nationals</v>
      </c>
      <c r="L11" s="8">
        <f>IF(COUNT(AQ11,AT11,BR11,BU11,CS11,CV11)&gt;1,LARGE((AQ11,AT11,BR11,BU11,CS11,CV11),2),0)</f>
        <v>51.150000000000006</v>
      </c>
      <c r="M11" s="8" t="str">
        <f t="shared" si="6"/>
        <v>2025 Elite Canada</v>
      </c>
      <c r="N11" s="8">
        <f>IF(COUNT(AQ11,AT11,BR11,BU11,CS11,CV11)&gt;2,LARGE((AQ11,AT11,BR11,BU11,CS11,CV11),3),0)</f>
        <v>49.669999999999995</v>
      </c>
      <c r="O11" s="8" t="str">
        <f t="shared" si="7"/>
        <v>2024 3rd Domestic Trial</v>
      </c>
      <c r="P11" s="8">
        <f t="shared" si="8"/>
        <v>51.269999999999996</v>
      </c>
      <c r="Q11" s="8" t="str">
        <f t="shared" si="9"/>
        <v>2025 Nationals</v>
      </c>
      <c r="R11" s="8">
        <f t="shared" si="10"/>
        <v>14.5</v>
      </c>
      <c r="S11" s="8" t="str">
        <f t="shared" si="11"/>
        <v>2025 Nationals</v>
      </c>
      <c r="T11" s="8">
        <f t="shared" si="12"/>
        <v>15.28</v>
      </c>
      <c r="U11" s="8" t="str">
        <f t="shared" si="13"/>
        <v>2025 World Cup ITA (April 6)</v>
      </c>
      <c r="V11" s="8">
        <f t="shared" si="14"/>
        <v>2.1100000000000065</v>
      </c>
      <c r="W11" s="11" t="str">
        <f t="shared" si="15"/>
        <v>(Prelim)</v>
      </c>
      <c r="X11" s="8" t="str">
        <f t="shared" si="16"/>
        <v>2025 World Cup ITA (April 6)</v>
      </c>
      <c r="Y11" s="22">
        <v>9.3999999999999986</v>
      </c>
      <c r="Z11" s="22">
        <v>5.75</v>
      </c>
      <c r="AA11" s="22">
        <v>9.25</v>
      </c>
      <c r="AB11" s="22">
        <v>9.6649999999999991</v>
      </c>
      <c r="AC11" s="22">
        <v>0</v>
      </c>
      <c r="AD11" s="22">
        <v>12.45</v>
      </c>
      <c r="AE11" s="22">
        <v>9.3000000000000007</v>
      </c>
      <c r="AF11" s="22">
        <v>13.3</v>
      </c>
      <c r="AG11" s="22">
        <v>14.62</v>
      </c>
      <c r="AH11" s="22">
        <v>0</v>
      </c>
      <c r="AI11" s="22">
        <v>10.5</v>
      </c>
      <c r="AJ11" s="22">
        <v>6.85</v>
      </c>
      <c r="AK11" s="22">
        <v>10.6</v>
      </c>
      <c r="AL11" s="22">
        <v>11.315</v>
      </c>
      <c r="AM11" s="22">
        <v>0</v>
      </c>
      <c r="AN11" s="27" t="s">
        <v>53</v>
      </c>
      <c r="AO11" s="38">
        <f t="shared" si="17"/>
        <v>9.25</v>
      </c>
      <c r="AP11" s="38">
        <f t="shared" si="18"/>
        <v>9.6649999999999991</v>
      </c>
      <c r="AQ11" s="40">
        <f t="shared" si="19"/>
        <v>34.064999999999998</v>
      </c>
      <c r="AR11" s="40">
        <f t="shared" si="20"/>
        <v>13.3</v>
      </c>
      <c r="AS11" s="40">
        <f t="shared" si="21"/>
        <v>14.62</v>
      </c>
      <c r="AT11" s="40">
        <f t="shared" si="22"/>
        <v>49.669999999999995</v>
      </c>
      <c r="AU11" s="40">
        <f t="shared" si="23"/>
        <v>49.669999999999995</v>
      </c>
      <c r="AV11" s="40">
        <f t="shared" si="24"/>
        <v>10.6</v>
      </c>
      <c r="AW11" s="40">
        <f t="shared" si="25"/>
        <v>11.315</v>
      </c>
      <c r="AX11" s="40">
        <f t="shared" si="26"/>
        <v>39.265000000000001</v>
      </c>
      <c r="AY11" s="40">
        <f t="shared" si="27"/>
        <v>88.935000000000002</v>
      </c>
      <c r="AZ11" s="26">
        <v>14</v>
      </c>
      <c r="BA11" s="26">
        <v>8.6999999999999993</v>
      </c>
      <c r="BB11" s="26">
        <v>13.9</v>
      </c>
      <c r="BC11" s="26">
        <v>14.55</v>
      </c>
      <c r="BD11" s="26">
        <v>0</v>
      </c>
      <c r="BE11" s="26">
        <v>1.4</v>
      </c>
      <c r="BF11" s="26">
        <v>0.9</v>
      </c>
      <c r="BG11" s="26">
        <v>2</v>
      </c>
      <c r="BH11" s="26">
        <v>1.55</v>
      </c>
      <c r="BI11" s="26">
        <v>0</v>
      </c>
      <c r="BJ11" s="26">
        <v>12.5</v>
      </c>
      <c r="BK11" s="26">
        <v>9.3000000000000007</v>
      </c>
      <c r="BL11" s="26">
        <v>14.3</v>
      </c>
      <c r="BM11" s="26">
        <v>14.79</v>
      </c>
      <c r="BN11" s="26">
        <v>0</v>
      </c>
      <c r="BO11" s="28"/>
      <c r="BP11" s="39">
        <f t="shared" si="28"/>
        <v>13.9</v>
      </c>
      <c r="BQ11" s="39">
        <f t="shared" si="29"/>
        <v>14.55</v>
      </c>
      <c r="BR11" s="11">
        <f t="shared" si="30"/>
        <v>51.150000000000006</v>
      </c>
      <c r="BS11" s="11">
        <f t="shared" si="31"/>
        <v>2</v>
      </c>
      <c r="BT11" s="11">
        <f t="shared" si="32"/>
        <v>1.55</v>
      </c>
      <c r="BU11" s="11">
        <f t="shared" si="33"/>
        <v>5.85</v>
      </c>
      <c r="BV11" s="11">
        <f t="shared" si="34"/>
        <v>51.150000000000006</v>
      </c>
      <c r="BW11" s="11">
        <f t="shared" si="35"/>
        <v>14.3</v>
      </c>
      <c r="BX11" s="11">
        <f t="shared" si="36"/>
        <v>14.79</v>
      </c>
      <c r="BY11" s="11">
        <f t="shared" si="37"/>
        <v>50.89</v>
      </c>
      <c r="BZ11" s="11">
        <f t="shared" si="38"/>
        <v>102.04</v>
      </c>
      <c r="CA11" s="22">
        <v>11.8</v>
      </c>
      <c r="CB11" s="22">
        <v>9.4</v>
      </c>
      <c r="CC11" s="22">
        <v>11.3</v>
      </c>
      <c r="CD11" s="22">
        <v>14.35</v>
      </c>
      <c r="CE11" s="22">
        <v>1.4</v>
      </c>
      <c r="CF11" s="22">
        <v>13</v>
      </c>
      <c r="CG11" s="22">
        <v>9.1999999999999993</v>
      </c>
      <c r="CH11" s="22">
        <v>14.5</v>
      </c>
      <c r="CI11" s="22">
        <v>14.9</v>
      </c>
      <c r="CJ11" s="22">
        <v>0</v>
      </c>
      <c r="CK11" s="22">
        <v>13.1</v>
      </c>
      <c r="CL11" s="22">
        <v>9.1999999999999993</v>
      </c>
      <c r="CM11" s="22">
        <v>14.1</v>
      </c>
      <c r="CN11" s="22">
        <v>14.87</v>
      </c>
      <c r="CO11" s="22">
        <v>0</v>
      </c>
      <c r="CP11" s="27"/>
      <c r="CQ11" s="38">
        <f t="shared" si="39"/>
        <v>11.3</v>
      </c>
      <c r="CR11" s="38">
        <f t="shared" si="40"/>
        <v>14.35</v>
      </c>
      <c r="CS11" s="40">
        <f t="shared" si="41"/>
        <v>45.45</v>
      </c>
      <c r="CT11" s="40">
        <f t="shared" si="42"/>
        <v>14.5</v>
      </c>
      <c r="CU11" s="40">
        <f t="shared" si="43"/>
        <v>14.9</v>
      </c>
      <c r="CV11" s="40">
        <f t="shared" si="44"/>
        <v>51.6</v>
      </c>
      <c r="CW11" s="40">
        <f t="shared" si="45"/>
        <v>51.6</v>
      </c>
      <c r="CX11" s="40">
        <f t="shared" si="46"/>
        <v>14.1</v>
      </c>
      <c r="CY11" s="40">
        <f t="shared" si="47"/>
        <v>14.87</v>
      </c>
      <c r="CZ11" s="40">
        <f t="shared" si="48"/>
        <v>51.269999999999996</v>
      </c>
      <c r="DA11" s="40">
        <f t="shared" si="49"/>
        <v>102.87</v>
      </c>
      <c r="DB11" s="51">
        <f t="shared" si="50"/>
        <v>2.1100000000000065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>
        <v>13.4</v>
      </c>
      <c r="EM11" s="18">
        <v>8.6</v>
      </c>
      <c r="EN11" s="18">
        <v>14.5</v>
      </c>
      <c r="EO11" s="18">
        <v>15.28</v>
      </c>
      <c r="EP11" s="18">
        <v>0</v>
      </c>
      <c r="EQ11" s="18">
        <v>9.8000000000000007</v>
      </c>
      <c r="ER11" s="18">
        <v>6.2</v>
      </c>
      <c r="ES11" s="18">
        <v>10.199999999999999</v>
      </c>
      <c r="ET11" s="18">
        <v>10.88</v>
      </c>
      <c r="EU11" s="18">
        <v>0</v>
      </c>
      <c r="EV11" s="18">
        <v>4</v>
      </c>
      <c r="EW11" s="18">
        <v>2.6</v>
      </c>
      <c r="EX11" s="18">
        <v>4.5999999999999996</v>
      </c>
      <c r="EY11" s="18">
        <v>4.58</v>
      </c>
      <c r="EZ11" s="18">
        <v>0</v>
      </c>
      <c r="FA11" s="18"/>
      <c r="FB11" s="18"/>
      <c r="FC11" s="18"/>
      <c r="FD11" s="18"/>
      <c r="FE11" s="18"/>
      <c r="FF11" s="11">
        <f t="shared" si="66"/>
        <v>14.5</v>
      </c>
      <c r="FG11" s="11">
        <f t="shared" si="67"/>
        <v>15.28</v>
      </c>
      <c r="FH11" s="11">
        <f t="shared" si="68"/>
        <v>51.78</v>
      </c>
      <c r="FI11" s="11">
        <f t="shared" si="69"/>
        <v>10.199999999999999</v>
      </c>
      <c r="FJ11" s="11">
        <f t="shared" si="70"/>
        <v>10.88</v>
      </c>
      <c r="FK11" s="11">
        <f t="shared" si="71"/>
        <v>37.08</v>
      </c>
      <c r="FL11" s="11">
        <f t="shared" si="72"/>
        <v>51.78</v>
      </c>
      <c r="FM11" s="11">
        <f t="shared" si="73"/>
        <v>4.5999999999999996</v>
      </c>
      <c r="FN11" s="11">
        <f t="shared" si="74"/>
        <v>4.58</v>
      </c>
      <c r="FO11" s="11">
        <f t="shared" si="75"/>
        <v>15.78</v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67.56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10.4</v>
      </c>
      <c r="HC11" s="18">
        <v>8.6</v>
      </c>
      <c r="HD11" s="18">
        <v>14.1</v>
      </c>
      <c r="HE11" s="18">
        <v>14.96</v>
      </c>
      <c r="HF11" s="18">
        <v>0</v>
      </c>
      <c r="HG11" s="18">
        <v>12.9</v>
      </c>
      <c r="HH11" s="18">
        <v>9.1999999999999993</v>
      </c>
      <c r="HI11" s="18">
        <v>13.9</v>
      </c>
      <c r="HJ11" s="18">
        <v>15.01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14.1</v>
      </c>
      <c r="HW11" s="11">
        <f t="shared" si="95"/>
        <v>14.96</v>
      </c>
      <c r="HX11" s="11">
        <f t="shared" si="96"/>
        <v>48.06</v>
      </c>
      <c r="HY11" s="11">
        <f t="shared" si="97"/>
        <v>13.9</v>
      </c>
      <c r="HZ11" s="11">
        <f t="shared" si="98"/>
        <v>15.01</v>
      </c>
      <c r="IA11" s="11">
        <f t="shared" si="99"/>
        <v>51.01</v>
      </c>
      <c r="IB11" s="11">
        <f t="shared" si="100"/>
        <v>51.01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51.01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12.9</v>
      </c>
      <c r="WU11" s="26">
        <f t="shared" si="263"/>
        <v>9.0500000000000007</v>
      </c>
      <c r="WV11" s="26">
        <f t="shared" si="264"/>
        <v>12.600000000000001</v>
      </c>
      <c r="WW11" s="26">
        <f t="shared" si="265"/>
        <v>14.45</v>
      </c>
      <c r="WX11" s="26">
        <f t="shared" si="266"/>
        <v>0.7</v>
      </c>
      <c r="WY11" s="26">
        <f t="shared" si="267"/>
        <v>7.2</v>
      </c>
      <c r="WZ11" s="26">
        <f t="shared" si="268"/>
        <v>5.05</v>
      </c>
      <c r="XA11" s="26">
        <f t="shared" si="269"/>
        <v>8.25</v>
      </c>
      <c r="XB11" s="26">
        <f t="shared" si="270"/>
        <v>8.2249999999999996</v>
      </c>
      <c r="XC11" s="26">
        <f t="shared" si="271"/>
        <v>0</v>
      </c>
      <c r="XD11" s="26">
        <f t="shared" si="272"/>
        <v>12.8</v>
      </c>
      <c r="XE11" s="26">
        <f t="shared" si="273"/>
        <v>9.25</v>
      </c>
      <c r="XF11" s="26">
        <f t="shared" si="274"/>
        <v>14.2</v>
      </c>
      <c r="XG11" s="26">
        <f t="shared" si="275"/>
        <v>14.829999999999998</v>
      </c>
      <c r="XH11" s="26">
        <f t="shared" si="276"/>
        <v>0</v>
      </c>
      <c r="XI11" s="28" t="s">
        <v>53</v>
      </c>
      <c r="XJ11" s="11">
        <f t="shared" si="277"/>
        <v>12.600000000000001</v>
      </c>
      <c r="XK11" s="11">
        <f t="shared" si="278"/>
        <v>14.45</v>
      </c>
      <c r="XL11" s="11">
        <f t="shared" si="279"/>
        <v>48.3</v>
      </c>
      <c r="XM11" s="11">
        <f t="shared" si="280"/>
        <v>8.25</v>
      </c>
      <c r="XN11" s="11">
        <f t="shared" si="281"/>
        <v>8.2249999999999996</v>
      </c>
      <c r="XO11" s="11">
        <f t="shared" si="282"/>
        <v>28.725000000000001</v>
      </c>
      <c r="XP11" s="11">
        <f t="shared" si="283"/>
        <v>48.3</v>
      </c>
      <c r="XQ11" s="11">
        <f t="shared" si="284"/>
        <v>14.2</v>
      </c>
      <c r="XR11" s="11">
        <f t="shared" si="285"/>
        <v>14.829999999999998</v>
      </c>
      <c r="XS11" s="11">
        <f t="shared" si="286"/>
        <v>51.08</v>
      </c>
      <c r="XT11" s="11">
        <f t="shared" si="287"/>
        <v>99.38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77</v>
      </c>
      <c r="C12" s="4" t="s">
        <v>6</v>
      </c>
      <c r="D12" s="4">
        <v>2002</v>
      </c>
      <c r="E12" s="9">
        <f t="shared" si="0"/>
        <v>227.70002277000512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50.77</v>
      </c>
      <c r="O12" s="8" t="str">
        <f t="shared" si="7"/>
        <v>2025 Nationals</v>
      </c>
      <c r="P12" s="8">
        <f t="shared" si="8"/>
        <v>46.35</v>
      </c>
      <c r="Q12" s="8" t="str">
        <f t="shared" si="9"/>
        <v>2025 Elite Canada</v>
      </c>
      <c r="R12" s="8">
        <f t="shared" si="10"/>
        <v>13.4</v>
      </c>
      <c r="S12" s="8" t="str">
        <f t="shared" si="11"/>
        <v>2025 Nationals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 t="shared" si="17"/>
        <v>12.9</v>
      </c>
      <c r="AP12" s="38">
        <f t="shared" si="18"/>
        <v>14.5</v>
      </c>
      <c r="AQ12" s="40">
        <f t="shared" si="19"/>
        <v>51.4</v>
      </c>
      <c r="AR12" s="40">
        <f t="shared" si="20"/>
        <v>12.9</v>
      </c>
      <c r="AS12" s="40">
        <f t="shared" si="21"/>
        <v>14.64</v>
      </c>
      <c r="AT12" s="40">
        <f t="shared" si="22"/>
        <v>51.14</v>
      </c>
      <c r="AU12" s="40">
        <f t="shared" si="23"/>
        <v>51.4</v>
      </c>
      <c r="AV12" s="40">
        <f t="shared" si="24"/>
        <v>10.199999999999999</v>
      </c>
      <c r="AW12" s="40">
        <f t="shared" si="25"/>
        <v>11.69</v>
      </c>
      <c r="AX12" s="40">
        <f t="shared" si="26"/>
        <v>39.99</v>
      </c>
      <c r="AY12" s="40">
        <f t="shared" si="27"/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 t="shared" si="28"/>
        <v>6.4</v>
      </c>
      <c r="BQ12" s="39">
        <f t="shared" si="29"/>
        <v>7.74</v>
      </c>
      <c r="BR12" s="11">
        <f t="shared" si="30"/>
        <v>26.340000000000003</v>
      </c>
      <c r="BS12" s="11">
        <f t="shared" si="31"/>
        <v>11.8</v>
      </c>
      <c r="BT12" s="11">
        <f t="shared" si="32"/>
        <v>14.1</v>
      </c>
      <c r="BU12" s="11">
        <f t="shared" si="33"/>
        <v>49.2</v>
      </c>
      <c r="BV12" s="11">
        <f t="shared" si="34"/>
        <v>49.2</v>
      </c>
      <c r="BW12" s="11">
        <f t="shared" si="35"/>
        <v>11.4</v>
      </c>
      <c r="BX12" s="11">
        <f t="shared" si="36"/>
        <v>13.85</v>
      </c>
      <c r="BY12" s="11">
        <f t="shared" si="37"/>
        <v>46.35</v>
      </c>
      <c r="BZ12" s="11">
        <f t="shared" si="38"/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 t="shared" si="39"/>
        <v>13.4</v>
      </c>
      <c r="CR12" s="38">
        <f t="shared" si="40"/>
        <v>13.67</v>
      </c>
      <c r="CS12" s="40">
        <f t="shared" si="41"/>
        <v>50.77</v>
      </c>
      <c r="CT12" s="40">
        <f t="shared" si="42"/>
        <v>13.4</v>
      </c>
      <c r="CU12" s="40">
        <f t="shared" si="43"/>
        <v>14.01</v>
      </c>
      <c r="CV12" s="40">
        <f t="shared" si="44"/>
        <v>50.51</v>
      </c>
      <c r="CW12" s="40">
        <f t="shared" si="45"/>
        <v>50.77</v>
      </c>
      <c r="CX12" s="40">
        <f t="shared" si="46"/>
        <v>5.6</v>
      </c>
      <c r="CY12" s="40">
        <f t="shared" si="47"/>
        <v>5.95</v>
      </c>
      <c r="CZ12" s="40">
        <f t="shared" si="48"/>
        <v>21.15</v>
      </c>
      <c r="DA12" s="40">
        <f t="shared" si="49"/>
        <v>71.92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10.85</v>
      </c>
      <c r="WU12" s="26">
        <f t="shared" si="263"/>
        <v>7.1</v>
      </c>
      <c r="WV12" s="26">
        <f t="shared" si="264"/>
        <v>9.9</v>
      </c>
      <c r="WW12" s="26">
        <f t="shared" si="265"/>
        <v>10.705</v>
      </c>
      <c r="WX12" s="26">
        <f t="shared" si="266"/>
        <v>0</v>
      </c>
      <c r="WY12" s="26">
        <f t="shared" si="267"/>
        <v>14.6</v>
      </c>
      <c r="WZ12" s="26">
        <f t="shared" si="268"/>
        <v>9.0500000000000007</v>
      </c>
      <c r="XA12" s="26">
        <f t="shared" si="269"/>
        <v>12.600000000000001</v>
      </c>
      <c r="XB12" s="26">
        <f t="shared" si="270"/>
        <v>14.055</v>
      </c>
      <c r="XC12" s="26">
        <f t="shared" si="271"/>
        <v>0.45</v>
      </c>
      <c r="XD12" s="26">
        <f t="shared" si="272"/>
        <v>9.85</v>
      </c>
      <c r="XE12" s="26">
        <f t="shared" si="273"/>
        <v>6.15</v>
      </c>
      <c r="XF12" s="26">
        <f t="shared" si="274"/>
        <v>8.5</v>
      </c>
      <c r="XG12" s="26">
        <f t="shared" si="275"/>
        <v>9.9</v>
      </c>
      <c r="XH12" s="26">
        <f t="shared" si="276"/>
        <v>0.65</v>
      </c>
      <c r="XI12" s="28" t="s">
        <v>53</v>
      </c>
      <c r="XJ12" s="11">
        <f t="shared" si="277"/>
        <v>9.9</v>
      </c>
      <c r="XK12" s="11">
        <f t="shared" si="278"/>
        <v>10.705</v>
      </c>
      <c r="XL12" s="11">
        <f t="shared" si="279"/>
        <v>38.555</v>
      </c>
      <c r="XM12" s="11">
        <f t="shared" si="280"/>
        <v>12.600000000000001</v>
      </c>
      <c r="XN12" s="11">
        <f t="shared" si="281"/>
        <v>14.055</v>
      </c>
      <c r="XO12" s="11">
        <f t="shared" si="282"/>
        <v>49.854999999999997</v>
      </c>
      <c r="XP12" s="11">
        <f t="shared" si="283"/>
        <v>49.854999999999997</v>
      </c>
      <c r="XQ12" s="11">
        <f t="shared" si="284"/>
        <v>8.5</v>
      </c>
      <c r="XR12" s="11">
        <f t="shared" si="285"/>
        <v>9.9</v>
      </c>
      <c r="XS12" s="11">
        <f t="shared" si="286"/>
        <v>33.75</v>
      </c>
      <c r="XT12" s="11">
        <f t="shared" si="287"/>
        <v>83.60499999999999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139</v>
      </c>
      <c r="C13" s="4" t="s">
        <v>3</v>
      </c>
      <c r="D13" s="4">
        <v>2006</v>
      </c>
      <c r="E13" s="9">
        <f t="shared" si="0"/>
        <v>209.24002083600502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50.180000000000007</v>
      </c>
      <c r="K13" s="8" t="str">
        <f t="shared" si="5"/>
        <v>2025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48.699999999999996</v>
      </c>
      <c r="Q13" s="8" t="str">
        <f t="shared" si="9"/>
        <v>2025 Nationals</v>
      </c>
      <c r="R13" s="8">
        <f t="shared" si="10"/>
        <v>12.7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0.87999999999999545</v>
      </c>
      <c r="W13" s="11" t="str">
        <f t="shared" si="15"/>
        <v>(Prelim)</v>
      </c>
      <c r="X13" s="8" t="str">
        <f t="shared" si="16"/>
        <v>2025 Coimbra Gym Fest (July 6)</v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 t="shared" si="17"/>
        <v>11.7</v>
      </c>
      <c r="AP13" s="38">
        <f t="shared" si="18"/>
        <v>13.84</v>
      </c>
      <c r="AQ13" s="40">
        <f t="shared" si="19"/>
        <v>48.39</v>
      </c>
      <c r="AR13" s="40">
        <f t="shared" si="20"/>
        <v>7.2</v>
      </c>
      <c r="AS13" s="40">
        <f t="shared" si="21"/>
        <v>8.26</v>
      </c>
      <c r="AT13" s="40">
        <f t="shared" si="22"/>
        <v>29.060000000000002</v>
      </c>
      <c r="AU13" s="40">
        <f t="shared" si="23"/>
        <v>48.39</v>
      </c>
      <c r="AV13" s="40">
        <f t="shared" si="24"/>
        <v>12</v>
      </c>
      <c r="AW13" s="40">
        <f t="shared" si="25"/>
        <v>14.02</v>
      </c>
      <c r="AX13" s="40">
        <f t="shared" si="26"/>
        <v>46.57</v>
      </c>
      <c r="AY13" s="40">
        <f t="shared" si="27"/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 t="shared" si="39"/>
        <v>12.7</v>
      </c>
      <c r="CR13" s="38">
        <f t="shared" si="40"/>
        <v>13.78</v>
      </c>
      <c r="CS13" s="40">
        <f t="shared" si="41"/>
        <v>50.180000000000007</v>
      </c>
      <c r="CT13" s="40">
        <f t="shared" si="42"/>
        <v>3</v>
      </c>
      <c r="CU13" s="40">
        <f t="shared" si="43"/>
        <v>3</v>
      </c>
      <c r="CV13" s="40">
        <f t="shared" si="44"/>
        <v>10.7</v>
      </c>
      <c r="CW13" s="40">
        <f t="shared" si="45"/>
        <v>50.180000000000007</v>
      </c>
      <c r="CX13" s="40">
        <f t="shared" si="46"/>
        <v>12.5</v>
      </c>
      <c r="CY13" s="40">
        <f t="shared" si="47"/>
        <v>14.4</v>
      </c>
      <c r="CZ13" s="40">
        <f t="shared" si="48"/>
        <v>48.699999999999996</v>
      </c>
      <c r="DA13" s="40">
        <f t="shared" si="49"/>
        <v>98.88</v>
      </c>
      <c r="DB13" s="51">
        <f t="shared" si="50"/>
        <v>0.87999999999999545</v>
      </c>
      <c r="DC13" s="51">
        <f t="shared" si="51"/>
        <v>0.25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13.7</v>
      </c>
      <c r="IK13" s="17">
        <v>9</v>
      </c>
      <c r="IL13" s="17">
        <v>12.7</v>
      </c>
      <c r="IM13" s="17">
        <v>13.87</v>
      </c>
      <c r="IN13" s="17">
        <v>0</v>
      </c>
      <c r="IO13" s="17">
        <v>11.7</v>
      </c>
      <c r="IP13" s="17">
        <v>7.2</v>
      </c>
      <c r="IQ13" s="17">
        <v>8.3000000000000007</v>
      </c>
      <c r="IR13" s="17">
        <v>11.08</v>
      </c>
      <c r="IS13" s="17">
        <v>0.2</v>
      </c>
      <c r="IT13" s="17">
        <v>13.3</v>
      </c>
      <c r="IU13" s="17">
        <v>9.1</v>
      </c>
      <c r="IV13" s="17">
        <v>12.7</v>
      </c>
      <c r="IW13" s="17">
        <v>13.85</v>
      </c>
      <c r="IX13" s="17">
        <v>0</v>
      </c>
      <c r="IY13" s="17"/>
      <c r="IZ13" s="17"/>
      <c r="JA13" s="17"/>
      <c r="JB13" s="17"/>
      <c r="JC13" s="17"/>
      <c r="JD13" s="40">
        <f t="shared" si="108"/>
        <v>12.7</v>
      </c>
      <c r="JE13" s="40">
        <f t="shared" si="109"/>
        <v>13.87</v>
      </c>
      <c r="JF13" s="40">
        <f t="shared" si="110"/>
        <v>49.269999999999996</v>
      </c>
      <c r="JG13" s="40">
        <f t="shared" si="111"/>
        <v>8.3000000000000007</v>
      </c>
      <c r="JH13" s="40">
        <f t="shared" si="112"/>
        <v>11.08</v>
      </c>
      <c r="JI13" s="40">
        <f t="shared" si="113"/>
        <v>38.08</v>
      </c>
      <c r="JJ13" s="40">
        <f t="shared" si="114"/>
        <v>49.269999999999996</v>
      </c>
      <c r="JK13" s="40">
        <f t="shared" si="115"/>
        <v>12.7</v>
      </c>
      <c r="JL13" s="40">
        <f t="shared" si="116"/>
        <v>13.85</v>
      </c>
      <c r="JM13" s="40">
        <f t="shared" si="117"/>
        <v>48.949999999999996</v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>
        <f t="shared" si="121"/>
        <v>98.22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13.975000000000001</v>
      </c>
      <c r="WU13" s="26">
        <f t="shared" si="263"/>
        <v>9.3000000000000007</v>
      </c>
      <c r="WV13" s="26">
        <f t="shared" si="264"/>
        <v>12.2</v>
      </c>
      <c r="WW13" s="26">
        <f t="shared" si="265"/>
        <v>13.809999999999999</v>
      </c>
      <c r="WX13" s="26">
        <f t="shared" si="266"/>
        <v>0</v>
      </c>
      <c r="WY13" s="26">
        <f t="shared" si="267"/>
        <v>5.65</v>
      </c>
      <c r="WZ13" s="26">
        <f t="shared" si="268"/>
        <v>3.4999999999999996</v>
      </c>
      <c r="XA13" s="26">
        <f t="shared" si="269"/>
        <v>5.0999999999999996</v>
      </c>
      <c r="XB13" s="26">
        <f t="shared" si="270"/>
        <v>5.63</v>
      </c>
      <c r="XC13" s="26">
        <f t="shared" si="271"/>
        <v>0</v>
      </c>
      <c r="XD13" s="26">
        <f t="shared" si="272"/>
        <v>12.3</v>
      </c>
      <c r="XE13" s="26">
        <f t="shared" si="273"/>
        <v>9.0249999999999986</v>
      </c>
      <c r="XF13" s="26">
        <f t="shared" si="274"/>
        <v>12.25</v>
      </c>
      <c r="XG13" s="26">
        <f t="shared" si="275"/>
        <v>14.21</v>
      </c>
      <c r="XH13" s="26">
        <f t="shared" si="276"/>
        <v>0.15000000000000002</v>
      </c>
      <c r="XI13" s="28" t="s">
        <v>53</v>
      </c>
      <c r="XJ13" s="11">
        <f t="shared" si="277"/>
        <v>12.2</v>
      </c>
      <c r="XK13" s="11">
        <f t="shared" si="278"/>
        <v>13.809999999999999</v>
      </c>
      <c r="XL13" s="11">
        <f t="shared" si="279"/>
        <v>49.284999999999997</v>
      </c>
      <c r="XM13" s="11">
        <f t="shared" si="280"/>
        <v>5.0999999999999996</v>
      </c>
      <c r="XN13" s="11">
        <f t="shared" si="281"/>
        <v>5.63</v>
      </c>
      <c r="XO13" s="11">
        <f t="shared" si="282"/>
        <v>19.88</v>
      </c>
      <c r="XP13" s="11">
        <f t="shared" si="283"/>
        <v>49.284999999999997</v>
      </c>
      <c r="XQ13" s="11">
        <f t="shared" si="284"/>
        <v>12.25</v>
      </c>
      <c r="XR13" s="11">
        <f t="shared" si="285"/>
        <v>14.21</v>
      </c>
      <c r="XS13" s="11">
        <f t="shared" si="286"/>
        <v>47.635000000000005</v>
      </c>
      <c r="XT13" s="11">
        <f t="shared" si="287"/>
        <v>96.92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129</v>
      </c>
      <c r="C14" s="4" t="s">
        <v>5</v>
      </c>
      <c r="D14" s="4">
        <v>2004</v>
      </c>
      <c r="E14" s="9">
        <f t="shared" si="0"/>
        <v>160.85001608500454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45.38</v>
      </c>
      <c r="K14" s="8" t="str">
        <f t="shared" si="5"/>
        <v>2024 3rd Domestic Trial</v>
      </c>
      <c r="L14" s="8">
        <f>IF(COUNT(AQ14,AT14,BR14,BU14,CS14,CV14)&gt;1,LARGE((AQ14,AT14,BR14,BU14,CS14,CV14),2),0)</f>
        <v>41.37</v>
      </c>
      <c r="M14" s="8" t="str">
        <f t="shared" si="6"/>
        <v>2025 Elite Canada</v>
      </c>
      <c r="N14" s="8">
        <f>IF(COUNT(AQ14,AT14,BR14,BU14,CS14,CV14)&gt;2,LARGE((AQ14,AT14,BR14,BU14,CS14,CV14),3),0)</f>
        <v>23.55</v>
      </c>
      <c r="O14" s="8" t="str">
        <f t="shared" si="7"/>
        <v>2025 Elite Canada</v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 t="shared" si="17"/>
        <v>9.1</v>
      </c>
      <c r="AP14" s="38">
        <f t="shared" si="18"/>
        <v>14.68</v>
      </c>
      <c r="AQ14" s="40">
        <f t="shared" si="19"/>
        <v>45.38</v>
      </c>
      <c r="AR14" s="40">
        <f t="shared" si="20"/>
        <v>2.7</v>
      </c>
      <c r="AS14" s="40">
        <f t="shared" si="21"/>
        <v>3.1</v>
      </c>
      <c r="AT14" s="40">
        <f t="shared" si="22"/>
        <v>10.8</v>
      </c>
      <c r="AU14" s="40">
        <f t="shared" si="23"/>
        <v>45.38</v>
      </c>
      <c r="AV14" s="40">
        <f t="shared" si="24"/>
        <v>2.7</v>
      </c>
      <c r="AW14" s="40">
        <f t="shared" si="25"/>
        <v>3.12</v>
      </c>
      <c r="AX14" s="40">
        <f t="shared" si="26"/>
        <v>10.620000000000001</v>
      </c>
      <c r="AY14" s="40">
        <f t="shared" si="27"/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 t="shared" si="28"/>
        <v>5.8</v>
      </c>
      <c r="BQ14" s="39">
        <f t="shared" si="29"/>
        <v>6.75</v>
      </c>
      <c r="BR14" s="11">
        <f t="shared" si="30"/>
        <v>23.55</v>
      </c>
      <c r="BS14" s="11">
        <f t="shared" si="31"/>
        <v>7.6</v>
      </c>
      <c r="BT14" s="11">
        <f t="shared" si="32"/>
        <v>12.47</v>
      </c>
      <c r="BU14" s="11">
        <f t="shared" si="33"/>
        <v>41.37</v>
      </c>
      <c r="BV14" s="11">
        <f t="shared" si="34"/>
        <v>41.37</v>
      </c>
      <c r="BW14" s="11">
        <f t="shared" si="35"/>
        <v>9.1</v>
      </c>
      <c r="BX14" s="11">
        <f t="shared" si="36"/>
        <v>13.35</v>
      </c>
      <c r="BY14" s="11">
        <f t="shared" si="37"/>
        <v>41.45</v>
      </c>
      <c r="BZ14" s="11">
        <f t="shared" si="38"/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3.15</v>
      </c>
      <c r="WU14" s="26">
        <f t="shared" si="263"/>
        <v>2.35</v>
      </c>
      <c r="WV14" s="26">
        <f t="shared" si="264"/>
        <v>2.9</v>
      </c>
      <c r="WW14" s="26">
        <f t="shared" si="265"/>
        <v>3.375</v>
      </c>
      <c r="WX14" s="26">
        <f t="shared" si="266"/>
        <v>0</v>
      </c>
      <c r="WY14" s="26">
        <f t="shared" si="267"/>
        <v>6.35</v>
      </c>
      <c r="WZ14" s="26">
        <f t="shared" si="268"/>
        <v>4.3</v>
      </c>
      <c r="XA14" s="26">
        <f t="shared" si="269"/>
        <v>3.8</v>
      </c>
      <c r="XB14" s="26">
        <f t="shared" si="270"/>
        <v>6.2350000000000003</v>
      </c>
      <c r="XC14" s="26">
        <f t="shared" si="271"/>
        <v>0</v>
      </c>
      <c r="XD14" s="26">
        <f t="shared" si="272"/>
        <v>6.85</v>
      </c>
      <c r="XE14" s="26">
        <f t="shared" si="273"/>
        <v>4.45</v>
      </c>
      <c r="XF14" s="26">
        <f t="shared" si="274"/>
        <v>4.55</v>
      </c>
      <c r="XG14" s="26">
        <f t="shared" si="275"/>
        <v>6.6749999999999998</v>
      </c>
      <c r="XH14" s="26">
        <f t="shared" si="276"/>
        <v>1.8</v>
      </c>
      <c r="XI14" s="28" t="s">
        <v>53</v>
      </c>
      <c r="XJ14" s="11">
        <f t="shared" si="277"/>
        <v>2.9</v>
      </c>
      <c r="XK14" s="11">
        <f t="shared" si="278"/>
        <v>3.375</v>
      </c>
      <c r="XL14" s="11">
        <f t="shared" si="279"/>
        <v>11.775</v>
      </c>
      <c r="XM14" s="11">
        <f t="shared" si="280"/>
        <v>3.8</v>
      </c>
      <c r="XN14" s="11">
        <f t="shared" si="281"/>
        <v>6.2350000000000003</v>
      </c>
      <c r="XO14" s="11">
        <f t="shared" si="282"/>
        <v>20.684999999999999</v>
      </c>
      <c r="XP14" s="11">
        <f t="shared" si="283"/>
        <v>20.684999999999999</v>
      </c>
      <c r="XQ14" s="11">
        <f t="shared" si="284"/>
        <v>4.55</v>
      </c>
      <c r="XR14" s="11">
        <f t="shared" si="285"/>
        <v>6.6749999999999998</v>
      </c>
      <c r="XS14" s="11">
        <f t="shared" si="286"/>
        <v>20.725000000000001</v>
      </c>
      <c r="XT14" s="11">
        <f t="shared" si="287"/>
        <v>41.41</v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12.7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12.7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13.1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13.1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13.5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14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49.5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49.5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51.3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51.3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52.2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52.2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54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54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4">
      <sortCondition descending="1" ref="F1:F15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200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230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163</v>
      </c>
      <c r="C4" s="4" t="s">
        <v>7</v>
      </c>
      <c r="D4" s="4" t="s">
        <v>164</v>
      </c>
      <c r="E4" s="9">
        <f t="shared" ref="E4:E15" si="0">SUM(J4,L4,N4)</f>
        <v>97.16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Excellence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47.7</v>
      </c>
      <c r="K4" s="8" t="str">
        <f t="shared" ref="K4:K15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 t="shared" ref="M4:M15" si="6">IF(L4="","",IF(OR(L4=CK4,L4=CN4,L4=CR4),$BS$1,IF(OR(L4=BJ4,L4=BM4,L4=BQ4),$AR$1,IF(OR(L4=AI4,L4=AL4,L4=AP4),$Q$1,""))))</f>
        <v>2025 Elite Canada</v>
      </c>
      <c r="N4" s="8">
        <f t="shared" ref="N4:N15" si="7">IF(MAX(CT4,CU4)&gt;0,MAX(CT4,CU4),"")</f>
        <v>1.9299999999999926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5" si="10">IF(S4&gt;0,S4,"")</f>
        <v/>
      </c>
      <c r="AH4" s="38" t="str">
        <f t="shared" ref="AH4:AH15" si="11">IF(T4&gt;0,T4,"")</f>
        <v/>
      </c>
      <c r="AI4" s="40" t="str">
        <f t="shared" ref="AI4:AI15" si="12">IF(SUM(Q4:T4)-U4&gt;0,SUM(Q4:T4)-U4,"")</f>
        <v/>
      </c>
      <c r="AJ4" s="40" t="str">
        <f t="shared" ref="AJ4:AJ15" si="13">IF(X4&gt;0,X4,"")</f>
        <v/>
      </c>
      <c r="AK4" s="40" t="str">
        <f t="shared" ref="AK4:AK15" si="14">IF(Y4&gt;0,Y4,"")</f>
        <v/>
      </c>
      <c r="AL4" s="40" t="str">
        <f t="shared" ref="AL4:AL15" si="15">IF(SUM(V4:Y4)-Z4&gt;0,SUM(V4:Y4)-Z4,"")</f>
        <v/>
      </c>
      <c r="AM4" s="40" t="str">
        <f t="shared" ref="AM4:AM15" si="16">IF(AI4="","",MAX(AI4,AL4))</f>
        <v/>
      </c>
      <c r="AN4" s="40" t="str">
        <f t="shared" ref="AN4:AN15" si="17">IF(AC4&gt;0,AC4,"")</f>
        <v/>
      </c>
      <c r="AO4" s="40" t="str">
        <f t="shared" ref="AO4:AO15" si="18">IF(AD4&gt;0,AD4,"")</f>
        <v/>
      </c>
      <c r="AP4" s="40" t="str">
        <f t="shared" ref="AP4:AP15" si="19">IF(SUM(AA4:AD4)-AE4&gt;0,SUM(AA4:AD4)-AE4,"")</f>
        <v/>
      </c>
      <c r="AQ4" s="40" t="str">
        <f t="shared" ref="AQ4:AQ15" si="20">IF(SUM(AM4,AP4)&gt;0,SUM(AM4,AP4),"")</f>
        <v/>
      </c>
      <c r="AR4" s="26">
        <v>7.7</v>
      </c>
      <c r="AS4" s="26">
        <v>9.0500000000000007</v>
      </c>
      <c r="AT4" s="26">
        <v>14.3</v>
      </c>
      <c r="AU4" s="26">
        <v>16.48</v>
      </c>
      <c r="AV4" s="26">
        <v>0</v>
      </c>
      <c r="AW4" s="26">
        <v>0.75</v>
      </c>
      <c r="AX4" s="26">
        <v>0.95</v>
      </c>
      <c r="AY4" s="26">
        <v>2</v>
      </c>
      <c r="AZ4" s="26">
        <v>1.58</v>
      </c>
      <c r="BA4" s="26">
        <v>0</v>
      </c>
      <c r="BB4" s="26">
        <v>8.43</v>
      </c>
      <c r="BC4" s="26">
        <v>9.25</v>
      </c>
      <c r="BD4" s="26">
        <v>11.6</v>
      </c>
      <c r="BE4" s="26">
        <v>18.420000000000002</v>
      </c>
      <c r="BF4" s="26">
        <v>0</v>
      </c>
      <c r="BG4" s="28"/>
      <c r="BH4" s="39">
        <f t="shared" ref="BH4:BH15" si="21">IF(AT4&gt;0,AT4,"")</f>
        <v>14.3</v>
      </c>
      <c r="BI4" s="39">
        <f t="shared" ref="BI4:BI15" si="22">IF(AU4&gt;0,AU4,"")</f>
        <v>16.48</v>
      </c>
      <c r="BJ4" s="11">
        <f t="shared" ref="BJ4:BJ15" si="23">IF(SUM(AR4:AU4)-AV4&gt;0,SUM(AR4:AU4)-AV4,"")</f>
        <v>47.53</v>
      </c>
      <c r="BK4" s="11">
        <f t="shared" ref="BK4:BK15" si="24">IF(AY4&gt;0,AY4,"")</f>
        <v>2</v>
      </c>
      <c r="BL4" s="11">
        <f t="shared" ref="BL4:BL15" si="25">IF(AZ4&gt;0,AZ4,"")</f>
        <v>1.58</v>
      </c>
      <c r="BM4" s="11">
        <f t="shared" ref="BM4:BM15" si="26">IF(SUM(AW4:AZ4)-BA4&gt;0,SUM(AW4:AZ4)-BA4,"")</f>
        <v>5.28</v>
      </c>
      <c r="BN4" s="11">
        <f t="shared" ref="BN4:BN15" si="27">IF(BJ4="","",MAX(BJ4,BM4))</f>
        <v>47.53</v>
      </c>
      <c r="BO4" s="11">
        <f t="shared" ref="BO4:BO15" si="28">IF(BD4&gt;0,BD4,"")</f>
        <v>11.6</v>
      </c>
      <c r="BP4" s="11">
        <f t="shared" ref="BP4:BP15" si="29">IF(BE4&gt;0,BE4,"")</f>
        <v>18.420000000000002</v>
      </c>
      <c r="BQ4" s="11">
        <f t="shared" ref="BQ4:BQ15" si="30">IF(SUM(BB4:BE4)-BF4&gt;0,SUM(BB4:BE4)-BF4,"")</f>
        <v>47.7</v>
      </c>
      <c r="BR4" s="11">
        <f t="shared" ref="BR4:BR15" si="31">IF(SUM(BN4,BQ4)&gt;0,SUM(BN4,BQ4),"")</f>
        <v>95.23</v>
      </c>
      <c r="BS4" s="22">
        <v>3.28</v>
      </c>
      <c r="BT4" s="22">
        <v>3.75</v>
      </c>
      <c r="BU4" s="22">
        <v>5.2</v>
      </c>
      <c r="BV4" s="22">
        <v>7.66</v>
      </c>
      <c r="BW4" s="22">
        <v>0</v>
      </c>
      <c r="BX4" s="22">
        <v>8.4499999999999993</v>
      </c>
      <c r="BY4" s="22">
        <v>9.0500000000000007</v>
      </c>
      <c r="BZ4" s="22">
        <v>11.6</v>
      </c>
      <c r="CA4" s="22">
        <v>16.88</v>
      </c>
      <c r="CB4" s="22">
        <v>0.4</v>
      </c>
      <c r="CC4" s="22">
        <v>8.3800000000000008</v>
      </c>
      <c r="CD4" s="22">
        <v>9.35</v>
      </c>
      <c r="CE4" s="22">
        <v>11.6</v>
      </c>
      <c r="CF4" s="22">
        <v>18.04</v>
      </c>
      <c r="CG4" s="22">
        <v>0.4</v>
      </c>
      <c r="CH4" s="27"/>
      <c r="CI4" s="38">
        <f t="shared" ref="CI4:CI15" si="32">IF(BU4&gt;0,BU4,"")</f>
        <v>5.2</v>
      </c>
      <c r="CJ4" s="38">
        <f t="shared" ref="CJ4:CJ15" si="33">IF(BV4&gt;0,BV4,"")</f>
        <v>7.66</v>
      </c>
      <c r="CK4" s="40">
        <f t="shared" ref="CK4:CK15" si="34">IF(SUM(BS4:BV4)-BW4&gt;0,SUM(BS4:BV4)-BW4,"")</f>
        <v>19.89</v>
      </c>
      <c r="CL4" s="40">
        <f t="shared" ref="CL4:CL15" si="35">IF(BZ4&gt;0,BZ4,"")</f>
        <v>11.6</v>
      </c>
      <c r="CM4" s="40">
        <f t="shared" ref="CM4:CM15" si="36">IF(CA4&gt;0,CA4,"")</f>
        <v>16.88</v>
      </c>
      <c r="CN4" s="40">
        <f t="shared" ref="CN4:CN15" si="37">IF(SUM(BX4:CA4)-CB4&gt;0,SUM(BX4:CA4)-CB4,"")</f>
        <v>45.580000000000005</v>
      </c>
      <c r="CO4" s="40">
        <f t="shared" ref="CO4:CO15" si="38">IF(CK4="","",MAX(CK4,CN4))</f>
        <v>45.580000000000005</v>
      </c>
      <c r="CP4" s="40">
        <f t="shared" ref="CP4:CP15" si="39">IF(CE4&gt;0,CE4,"")</f>
        <v>11.6</v>
      </c>
      <c r="CQ4" s="40">
        <f t="shared" ref="CQ4:CQ15" si="40">IF(CF4&gt;0,CF4,"")</f>
        <v>18.04</v>
      </c>
      <c r="CR4" s="40">
        <f t="shared" ref="CR4:CR15" si="41">IF(SUM(CC4:CF4)-CG4&gt;0,SUM(CC4:CF4)-CG4,"")</f>
        <v>46.97</v>
      </c>
      <c r="CS4" s="40">
        <f t="shared" ref="CS4:CS15" si="42">IF(SUM(CO4,CR4)&gt;0,SUM(CO4,CR4),"")</f>
        <v>92.550000000000011</v>
      </c>
      <c r="CT4" s="51">
        <f t="shared" ref="CT4:CT15" si="43">IF(MAX(DV4,FD4,GL4,HT4,JB4,KJ4,LR4,MZ4,OH4,PP4,QX4,SF4,TN4,UV4,WD4)-IF(L4="",0,L4)&gt;0.001,MAX(DV4,FD4,GL4,HT4,JB4,KJ4,LR4,MZ4,OH4,PP4,QX4,SF4,TN4,UV4,WD4)-IF(L4="",0,L4),"")</f>
        <v>1.9299999999999926</v>
      </c>
      <c r="CU4" s="51" t="str">
        <f t="shared" ref="CU4:CU15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5" si="45">IF(CX4&gt;0,CX4,"")</f>
        <v/>
      </c>
      <c r="DQ4" s="40" t="str">
        <f t="shared" ref="DQ4:DQ15" si="46">IF(CY4&gt;0,CY4,"")</f>
        <v/>
      </c>
      <c r="DR4" s="40" t="str">
        <f t="shared" ref="DR4:DR15" si="47">IF(SUM(CV4:CY4)-CZ4&gt;0,SUM(CV4:CY4)-CZ4,"")</f>
        <v/>
      </c>
      <c r="DS4" s="40" t="str">
        <f t="shared" ref="DS4:DS15" si="48">IF(DC4&gt;0,DC4,"")</f>
        <v/>
      </c>
      <c r="DT4" s="40" t="str">
        <f t="shared" ref="DT4:DT15" si="49">IF(DD4&gt;0,DD4,"")</f>
        <v/>
      </c>
      <c r="DU4" s="40" t="str">
        <f t="shared" ref="DU4:DU15" si="50">IF(SUM(DA4:DD4)-DE4&gt;0,SUM(DA4:DD4)-DE4,"")</f>
        <v/>
      </c>
      <c r="DV4" s="40" t="str">
        <f t="shared" ref="DV4:DV15" si="51">IF(MAX(DR4,DU4)&gt;0,MAX(DR4,DU4),"")</f>
        <v/>
      </c>
      <c r="DW4" s="40" t="str">
        <f t="shared" ref="DW4:DW15" si="52">IF(DH4&gt;0,DH4,"")</f>
        <v/>
      </c>
      <c r="DX4" s="40" t="str">
        <f t="shared" ref="DX4:DX15" si="53">IF(DI4&gt;0,DI4,"")</f>
        <v/>
      </c>
      <c r="DY4" s="40" t="str">
        <f t="shared" ref="DY4:DY15" si="54">IF(SUM(DF4:DI4)-DJ4&gt;0,SUM(DF4:DI4)-DJ4,"")</f>
        <v/>
      </c>
      <c r="DZ4" s="40" t="str">
        <f t="shared" ref="DZ4:DZ15" si="55">IF(DM4&gt;0,DM4,"")</f>
        <v/>
      </c>
      <c r="EA4" s="40" t="str">
        <f t="shared" ref="EA4:EA15" si="56">IF(DN4&gt;0,DN4,"")</f>
        <v/>
      </c>
      <c r="EB4" s="40" t="str">
        <f t="shared" ref="EB4:EB15" si="57">IF(SUM(DK4:DN4)-DO4&gt;0,SUM(DK4:DN4)-DO4,"")</f>
        <v/>
      </c>
      <c r="EC4" s="40" t="str">
        <f t="shared" ref="EC4:EC15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 t="shared" ref="GF4:GF15" si="73">IF(FN4&gt;0,FN4,"")</f>
        <v>14.9</v>
      </c>
      <c r="GG4" s="40">
        <f t="shared" ref="GG4:GG15" si="74">IF(FO4&gt;0,FO4,"")</f>
        <v>18.059999999999999</v>
      </c>
      <c r="GH4" s="40">
        <f t="shared" ref="GH4:GH15" si="75">IF(SUM(FL4:FO4)-FP4&gt;0,SUM(FL4:FO4)-FP4,"")</f>
        <v>49.459999999999994</v>
      </c>
      <c r="GI4" s="40">
        <f t="shared" ref="GI4:GI15" si="76">IF(FS4&gt;0,FS4,"")</f>
        <v>2</v>
      </c>
      <c r="GJ4" s="40">
        <f t="shared" ref="GJ4:GJ15" si="77">IF(FT4&gt;0,FT4,"")</f>
        <v>1.76</v>
      </c>
      <c r="GK4" s="40">
        <f t="shared" ref="GK4:GK15" si="78">IF(SUM(FQ4:FT4)-FU4&gt;0,SUM(FQ4:FT4)-FU4,"")</f>
        <v>5.56</v>
      </c>
      <c r="GL4" s="40">
        <f t="shared" ref="GL4:GL15" si="79">IF(MAX(GH4,GK4)&gt;0,MAX(GH4,GK4),"")</f>
        <v>49.459999999999994</v>
      </c>
      <c r="GM4" s="40" t="str">
        <f t="shared" ref="GM4:GM15" si="80">IF(FX4&gt;0,FX4,"")</f>
        <v/>
      </c>
      <c r="GN4" s="40" t="str">
        <f t="shared" ref="GN4:GN15" si="81">IF(FY4&gt;0,FY4,"")</f>
        <v/>
      </c>
      <c r="GO4" s="40" t="str">
        <f t="shared" ref="GO4:GO15" si="82">IF(SUM(FV4:FY4)-FZ4&gt;0,SUM(FV4:FY4)-FZ4,"")</f>
        <v/>
      </c>
      <c r="GP4" s="40" t="str">
        <f t="shared" ref="GP4:GP15" si="83">IF(GC4&gt;0,GC4,"")</f>
        <v/>
      </c>
      <c r="GQ4" s="40" t="str">
        <f t="shared" ref="GQ4:GQ15" si="84">IF(GD4&gt;0,GD4,"")</f>
        <v/>
      </c>
      <c r="GR4" s="40" t="str">
        <f t="shared" ref="GR4:GR15" si="85">IF(SUM(GA4:GD4)-GE4&gt;0,SUM(GA4:GD4)-GE4,"")</f>
        <v/>
      </c>
      <c r="GS4" s="40">
        <f t="shared" ref="GS4:GS15" si="86"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5" si="101">IF(ID4&gt;0,ID4,"")</f>
        <v/>
      </c>
      <c r="IW4" s="40" t="str">
        <f t="shared" ref="IW4:IW15" si="102">IF(IE4&gt;0,IE4,"")</f>
        <v/>
      </c>
      <c r="IX4" s="40" t="str">
        <f t="shared" ref="IX4:IX15" si="103">IF(SUM(IB4:IE4)-IF4&gt;0,SUM(IB4:IE4)-IF4,"")</f>
        <v/>
      </c>
      <c r="IY4" s="40" t="str">
        <f t="shared" ref="IY4:IY15" si="104">IF(II4&gt;0,II4,"")</f>
        <v/>
      </c>
      <c r="IZ4" s="40" t="str">
        <f t="shared" ref="IZ4:IZ15" si="105">IF(IJ4&gt;0,IJ4,"")</f>
        <v/>
      </c>
      <c r="JA4" s="40" t="str">
        <f t="shared" ref="JA4:JA15" si="106">IF(SUM(IG4:IJ4)-IK4&gt;0,SUM(IG4:IJ4)-IK4,"")</f>
        <v/>
      </c>
      <c r="JB4" s="40" t="str">
        <f t="shared" ref="JB4:JB15" si="107">IF(MAX(IX4,JA4)&gt;0,MAX(IX4,JA4),"")</f>
        <v/>
      </c>
      <c r="JC4" s="40" t="str">
        <f t="shared" ref="JC4:JC15" si="108">IF(IN4&gt;0,IN4,"")</f>
        <v/>
      </c>
      <c r="JD4" s="40" t="str">
        <f t="shared" ref="JD4:JD15" si="109">IF(IO4&gt;0,IO4,"")</f>
        <v/>
      </c>
      <c r="JE4" s="40" t="str">
        <f t="shared" ref="JE4:JE15" si="110">IF(SUM(IL4:IO4)-IP4&gt;0,SUM(IL4:IO4)-IP4,"")</f>
        <v/>
      </c>
      <c r="JF4" s="40" t="str">
        <f t="shared" ref="JF4:JF15" si="111">IF(IS4&gt;0,IS4,"")</f>
        <v/>
      </c>
      <c r="JG4" s="40" t="str">
        <f t="shared" ref="JG4:JG15" si="112">IF(IT4&gt;0,IT4,"")</f>
        <v/>
      </c>
      <c r="JH4" s="40" t="str">
        <f t="shared" ref="JH4:JH15" si="113">IF(SUM(IQ4:IT4)-IU4&gt;0,SUM(IQ4:IT4)-IU4,"")</f>
        <v/>
      </c>
      <c r="JI4" s="40" t="str">
        <f t="shared" ref="JI4:JI15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5" si="129">IF(KT4&gt;0,KT4,"")</f>
        <v/>
      </c>
      <c r="LM4" s="40" t="str">
        <f t="shared" ref="LM4:LM15" si="130">IF(KU4&gt;0,KU4,"")</f>
        <v/>
      </c>
      <c r="LN4" s="40" t="str">
        <f t="shared" ref="LN4:LN15" si="131">IF(SUM(KR4:KU4)-KV4&gt;0,SUM(KR4:KU4)-KV4,"")</f>
        <v/>
      </c>
      <c r="LO4" s="40" t="str">
        <f t="shared" ref="LO4:LO15" si="132">IF(KY4&gt;0,KY4,"")</f>
        <v/>
      </c>
      <c r="LP4" s="40" t="str">
        <f t="shared" ref="LP4:LP15" si="133">IF(KZ4&gt;0,KZ4,"")</f>
        <v/>
      </c>
      <c r="LQ4" s="40" t="str">
        <f t="shared" ref="LQ4:LQ15" si="134">IF(SUM(KW4:KZ4)-LA4&gt;0,SUM(KW4:KZ4)-LA4,"")</f>
        <v/>
      </c>
      <c r="LR4" s="40" t="str">
        <f t="shared" ref="LR4:LR15" si="135">IF(MAX(LN4,LQ4)&gt;0,MAX(LN4,LQ4),"")</f>
        <v/>
      </c>
      <c r="LS4" s="40" t="str">
        <f t="shared" ref="LS4:LS15" si="136">IF(LD4&gt;0,LD4,"")</f>
        <v/>
      </c>
      <c r="LT4" s="40" t="str">
        <f t="shared" ref="LT4:LT15" si="137">IF(LE4&gt;0,LE4,"")</f>
        <v/>
      </c>
      <c r="LU4" s="40" t="str">
        <f t="shared" ref="LU4:LU15" si="138">IF(SUM(LB4:LE4)-LF4&gt;0,SUM(LB4:LE4)-LF4,"")</f>
        <v/>
      </c>
      <c r="LV4" s="40" t="str">
        <f t="shared" ref="LV4:LV15" si="139">IF(LI4&gt;0,LI4,"")</f>
        <v/>
      </c>
      <c r="LW4" s="40" t="str">
        <f t="shared" ref="LW4:LW15" si="140">IF(LJ4&gt;0,LJ4,"")</f>
        <v/>
      </c>
      <c r="LX4" s="40" t="str">
        <f t="shared" ref="LX4:LX15" si="141">IF(SUM(LG4:LJ4)-LK4&gt;0,SUM(LG4:LJ4)-LK4,"")</f>
        <v/>
      </c>
      <c r="LY4" s="40" t="str">
        <f t="shared" ref="LY4:LY15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5" si="157">IF(NJ4&gt;0,NJ4,"")</f>
        <v/>
      </c>
      <c r="OC4" s="40" t="str">
        <f t="shared" ref="OC4:OC15" si="158">IF(NK4&gt;0,NK4,"")</f>
        <v/>
      </c>
      <c r="OD4" s="40" t="str">
        <f t="shared" ref="OD4:OD15" si="159">IF(SUM(NH4:NK4)-NL4&gt;0,SUM(NH4:NK4)-NL4,"")</f>
        <v/>
      </c>
      <c r="OE4" s="40" t="str">
        <f t="shared" ref="OE4:OE15" si="160">IF(NO4&gt;0,NO4,"")</f>
        <v/>
      </c>
      <c r="OF4" s="40" t="str">
        <f t="shared" ref="OF4:OF15" si="161">IF(NP4&gt;0,NP4,"")</f>
        <v/>
      </c>
      <c r="OG4" s="40" t="str">
        <f t="shared" ref="OG4:OG15" si="162">IF(SUM(NM4:NP4)-NQ4&gt;0,SUM(NM4:NP4)-NQ4,"")</f>
        <v/>
      </c>
      <c r="OH4" s="40" t="str">
        <f t="shared" ref="OH4:OH15" si="163">IF(MAX(OD4,OG4)&gt;0,MAX(OD4,OG4),"")</f>
        <v/>
      </c>
      <c r="OI4" s="40" t="str">
        <f t="shared" ref="OI4:OI15" si="164">IF(NT4&gt;0,NT4,"")</f>
        <v/>
      </c>
      <c r="OJ4" s="40" t="str">
        <f t="shared" ref="OJ4:OJ15" si="165">IF(NU4&gt;0,NU4,"")</f>
        <v/>
      </c>
      <c r="OK4" s="40" t="str">
        <f t="shared" ref="OK4:OK15" si="166">IF(SUM(NR4:NU4)-NV4&gt;0,SUM(NR4:NU4)-NV4,"")</f>
        <v/>
      </c>
      <c r="OL4" s="40" t="str">
        <f t="shared" ref="OL4:OL15" si="167">IF(NY4&gt;0,NY4,"")</f>
        <v/>
      </c>
      <c r="OM4" s="40" t="str">
        <f t="shared" ref="OM4:OM15" si="168">IF(NZ4&gt;0,NZ4,"")</f>
        <v/>
      </c>
      <c r="ON4" s="40" t="str">
        <f t="shared" ref="ON4:ON15" si="169">IF(SUM(NW4:NZ4)-OA4&gt;0,SUM(NW4:NZ4)-OA4,"")</f>
        <v/>
      </c>
      <c r="OO4" s="40" t="str">
        <f t="shared" ref="OO4:OO15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5" si="185">IF(PZ4&gt;0,PZ4,"")</f>
        <v/>
      </c>
      <c r="QS4" s="40" t="str">
        <f t="shared" ref="QS4:QS15" si="186">IF(QA4&gt;0,QA4,"")</f>
        <v/>
      </c>
      <c r="QT4" s="40" t="str">
        <f t="shared" ref="QT4:QT15" si="187">IF(SUM(PX4:QA4)-QB4&gt;0,SUM(PX4:QA4)-QB4,"")</f>
        <v/>
      </c>
      <c r="QU4" s="40" t="str">
        <f t="shared" ref="QU4:QU15" si="188">IF(QE4&gt;0,QE4,"")</f>
        <v/>
      </c>
      <c r="QV4" s="40" t="str">
        <f t="shared" ref="QV4:QV15" si="189">IF(QF4&gt;0,QF4,"")</f>
        <v/>
      </c>
      <c r="QW4" s="40" t="str">
        <f t="shared" ref="QW4:QW15" si="190">IF(SUM(QC4:QF4)-QG4&gt;0,SUM(QC4:QF4)-QG4,"")</f>
        <v/>
      </c>
      <c r="QX4" s="40" t="str">
        <f t="shared" ref="QX4:QX15" si="191">IF(MAX(QT4,QW4)&gt;0,MAX(QT4,QW4),"")</f>
        <v/>
      </c>
      <c r="QY4" s="40" t="str">
        <f t="shared" ref="QY4:QY15" si="192">IF(QJ4&gt;0,QJ4,"")</f>
        <v/>
      </c>
      <c r="QZ4" s="40" t="str">
        <f t="shared" ref="QZ4:QZ15" si="193">IF(QK4&gt;0,QK4,"")</f>
        <v/>
      </c>
      <c r="RA4" s="40" t="str">
        <f t="shared" ref="RA4:RA15" si="194">IF(SUM(QH4:QK4)-QL4&gt;0,SUM(QH4:QK4)-QL4,"")</f>
        <v/>
      </c>
      <c r="RB4" s="40" t="str">
        <f t="shared" ref="RB4:RB15" si="195">IF(QO4&gt;0,QO4,"")</f>
        <v/>
      </c>
      <c r="RC4" s="40" t="str">
        <f t="shared" ref="RC4:RC15" si="196">IF(QP4&gt;0,QP4,"")</f>
        <v/>
      </c>
      <c r="RD4" s="40" t="str">
        <f t="shared" ref="RD4:RD15" si="197">IF(SUM(QM4:QP4)-QQ4&gt;0,SUM(QM4:QP4)-QQ4,"")</f>
        <v/>
      </c>
      <c r="RE4" s="40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5" si="213">IF(SP4&gt;0,SP4,"")</f>
        <v/>
      </c>
      <c r="TI4" s="40" t="str">
        <f t="shared" ref="TI4:TI15" si="214">IF(SQ4&gt;0,SQ4,"")</f>
        <v/>
      </c>
      <c r="TJ4" s="40" t="str">
        <f t="shared" ref="TJ4:TJ15" si="215">IF(SUM(SN4:SQ4)-SR4&gt;0,SUM(SN4:SQ4)-SR4,"")</f>
        <v/>
      </c>
      <c r="TK4" s="40" t="str">
        <f t="shared" ref="TK4:TK15" si="216">IF(SU4&gt;0,SU4,"")</f>
        <v/>
      </c>
      <c r="TL4" s="40" t="str">
        <f t="shared" ref="TL4:TL15" si="217">IF(SV4&gt;0,SV4,"")</f>
        <v/>
      </c>
      <c r="TM4" s="40" t="str">
        <f t="shared" ref="TM4:TM15" si="218">IF(SUM(SS4:SV4)-SW4&gt;0,SUM(SS4:SV4)-SW4,"")</f>
        <v/>
      </c>
      <c r="TN4" s="40" t="str">
        <f t="shared" ref="TN4:TN15" si="219">IF(MAX(TJ4,TM4)&gt;0,MAX(TJ4,TM4),"")</f>
        <v/>
      </c>
      <c r="TO4" s="40" t="str">
        <f t="shared" ref="TO4:TO15" si="220">IF(SZ4&gt;0,SZ4,"")</f>
        <v/>
      </c>
      <c r="TP4" s="40" t="str">
        <f t="shared" ref="TP4:TP15" si="221">IF(TA4&gt;0,TA4,"")</f>
        <v/>
      </c>
      <c r="TQ4" s="40" t="str">
        <f t="shared" ref="TQ4:TQ15" si="222">IF(SUM(SX4:TA4)-TB4&gt;0,SUM(SX4:TA4)-TB4,"")</f>
        <v/>
      </c>
      <c r="TR4" s="40" t="str">
        <f t="shared" ref="TR4:TR15" si="223">IF(TE4&gt;0,TE4,"")</f>
        <v/>
      </c>
      <c r="TS4" s="40" t="str">
        <f t="shared" ref="TS4:TS15" si="224">IF(TF4&gt;0,TF4,"")</f>
        <v/>
      </c>
      <c r="TT4" s="40" t="str">
        <f t="shared" ref="TT4:TT15" si="225">IF(SUM(TC4:TF4)-TG4&gt;0,SUM(TC4:TF4)-TG4,"")</f>
        <v/>
      </c>
      <c r="TU4" s="40" t="str">
        <f t="shared" ref="TU4:TU15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5" si="227">IF(TX4&gt;0,TX4,"")</f>
        <v/>
      </c>
      <c r="UQ4" s="11" t="str">
        <f t="shared" ref="UQ4:UQ15" si="228">IF(TY4&gt;0,TY4,"")</f>
        <v/>
      </c>
      <c r="UR4" s="11" t="str">
        <f t="shared" ref="UR4:UR15" si="229">IF(SUM(TV4:TY4)-TZ4&gt;0,SUM(TV4:TY4)-TZ4,"")</f>
        <v/>
      </c>
      <c r="US4" s="11" t="str">
        <f t="shared" ref="US4:US15" si="230">IF(UC4&gt;0,UC4,"")</f>
        <v/>
      </c>
      <c r="UT4" s="11" t="str">
        <f t="shared" ref="UT4:UT15" si="231">IF(UD4&gt;0,UD4,"")</f>
        <v/>
      </c>
      <c r="UU4" s="11" t="str">
        <f t="shared" ref="UU4:UU15" si="232">IF(SUM(UA4:UD4)-UE4&gt;0,SUM(UA4:UD4)-UE4,"")</f>
        <v/>
      </c>
      <c r="UV4" s="11" t="str">
        <f t="shared" ref="UV4:UV15" si="233">IF(MAX(UR4,UU4)&gt;0,MAX(UR4,UU4),"")</f>
        <v/>
      </c>
      <c r="UW4" s="11" t="str">
        <f t="shared" ref="UW4:UW15" si="234">IF(UH4&gt;0,UH4,"")</f>
        <v/>
      </c>
      <c r="UX4" s="11" t="str">
        <f t="shared" ref="UX4:UX15" si="235">IF(UI4&gt;0,UI4,"")</f>
        <v/>
      </c>
      <c r="UY4" s="11" t="str">
        <f t="shared" ref="UY4:UY15" si="236">IF(SUM(UF4:UI4)-UJ4&gt;0,SUM(UF4:UI4)-UJ4,"")</f>
        <v/>
      </c>
      <c r="UZ4" s="11" t="str">
        <f t="shared" ref="UZ4:UZ15" si="237">IF(UM4&gt;0,UM4,"")</f>
        <v/>
      </c>
      <c r="VA4" s="11" t="str">
        <f t="shared" ref="VA4:VA15" si="238">IF(UN4&gt;0,UN4,"")</f>
        <v/>
      </c>
      <c r="VB4" s="11" t="str">
        <f t="shared" ref="VB4:VB15" si="239">IF(SUM(UK4:UN4)-UO4&gt;0,SUM(UK4:UN4)-UO4,"")</f>
        <v/>
      </c>
      <c r="VC4" s="11" t="str">
        <f t="shared" ref="VC4:VC15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5" si="241">IF(VF4&gt;0,VF4,"")</f>
        <v/>
      </c>
      <c r="VY4" s="40" t="str">
        <f t="shared" ref="VY4:VY15" si="242">IF(VG4&gt;0,VG4,"")</f>
        <v/>
      </c>
      <c r="VZ4" s="40" t="str">
        <f t="shared" ref="VZ4:VZ15" si="243">IF(SUM(VD4:VG4)-VH4&gt;0,SUM(VD4:VG4)-VH4,"")</f>
        <v/>
      </c>
      <c r="WA4" s="40" t="str">
        <f t="shared" ref="WA4:WA15" si="244">IF(VK4&gt;0,VK4,"")</f>
        <v/>
      </c>
      <c r="WB4" s="40" t="str">
        <f t="shared" ref="WB4:WB15" si="245">IF(VL4&gt;0,VL4,"")</f>
        <v/>
      </c>
      <c r="WC4" s="40" t="str">
        <f t="shared" ref="WC4:WC15" si="246">IF(SUM(VI4:VL4)-VM4&gt;0,SUM(VI4:VL4)-VM4,"")</f>
        <v/>
      </c>
      <c r="WD4" s="40" t="str">
        <f t="shared" ref="WD4:WD15" si="247">IF(MAX(VZ4,WC4)&gt;0,MAX(VZ4,WC4),"")</f>
        <v/>
      </c>
      <c r="WE4" s="40" t="str">
        <f t="shared" ref="WE4:WE15" si="248">IF(VP4&gt;0,VP4,"")</f>
        <v/>
      </c>
      <c r="WF4" s="40" t="str">
        <f t="shared" ref="WF4:WF15" si="249">IF(VQ4&gt;0,VQ4,"")</f>
        <v/>
      </c>
      <c r="WG4" s="40" t="str">
        <f t="shared" ref="WG4:WG15" si="250">IF(SUM(VN4:VQ4)-VR4&gt;0,SUM(VN4:VQ4)-VR4,"")</f>
        <v/>
      </c>
      <c r="WH4" s="40" t="str">
        <f t="shared" ref="WH4:WH15" si="251">IF(VU4&gt;0,VU4,"")</f>
        <v/>
      </c>
      <c r="WI4" s="40" t="str">
        <f t="shared" ref="WI4:WI15" si="252">IF(VV4&gt;0,VV4,"")</f>
        <v/>
      </c>
      <c r="WJ4" s="40" t="str">
        <f t="shared" ref="WJ4:WJ15" si="253">IF(SUM(VS4:VV4)-VW4&gt;0,SUM(VS4:VV4)-VW4,"")</f>
        <v/>
      </c>
      <c r="WK4" s="40" t="str">
        <f t="shared" ref="WK4:WK15" si="254">IF(SUM(WD4,WJ4)&gt;0,SUM(WD4,WJ4),"")</f>
        <v/>
      </c>
      <c r="WL4" s="26">
        <f t="shared" ref="WL4:WL15" si="255">IF($CH4="P",BS4,(BS4+AR4)/2)</f>
        <v>5.49</v>
      </c>
      <c r="WM4" s="26">
        <f t="shared" ref="WM4:WM15" si="256">IF($CH4="P",BT4,(BT4+AS4)/2)</f>
        <v>6.4</v>
      </c>
      <c r="WN4" s="26">
        <f t="shared" ref="WN4:WN15" si="257">IF($CH4="P",BU4,(BU4+AT4)/2)</f>
        <v>9.75</v>
      </c>
      <c r="WO4" s="26">
        <f t="shared" ref="WO4:WO15" si="258">IF($CH4="P",BV4,(BV4+AU4)/2)</f>
        <v>12.07</v>
      </c>
      <c r="WP4" s="26">
        <f t="shared" ref="WP4:WP15" si="259">IF($CH4="P",BW4,(BW4+AV4)/2)</f>
        <v>0</v>
      </c>
      <c r="WQ4" s="26">
        <f t="shared" ref="WQ4:WQ15" si="260">IF($CH4="P",BX4,(BX4+AW4)/2)</f>
        <v>4.5999999999999996</v>
      </c>
      <c r="WR4" s="26">
        <f t="shared" ref="WR4:WR15" si="261">IF($CH4="P",BY4,(BY4+AX4)/2)</f>
        <v>5</v>
      </c>
      <c r="WS4" s="26">
        <f t="shared" ref="WS4:WS15" si="262">IF($CH4="P",BZ4,(BZ4+AY4)/2)</f>
        <v>6.8</v>
      </c>
      <c r="WT4" s="26">
        <f t="shared" ref="WT4:WT15" si="263">IF($CH4="P",CA4,(CA4+AZ4)/2)</f>
        <v>9.23</v>
      </c>
      <c r="WU4" s="26">
        <f t="shared" ref="WU4:WU15" si="264">IF($CH4="P",CB4,(CB4+BA4)/2)</f>
        <v>0.2</v>
      </c>
      <c r="WV4" s="26">
        <f t="shared" ref="WV4:WV15" si="265">IF($CH4="P",CC4,(CC4+BB4)/2)</f>
        <v>8.4050000000000011</v>
      </c>
      <c r="WW4" s="26">
        <f t="shared" ref="WW4:WW15" si="266">IF($CH4="P",CD4,(CD4+BC4)/2)</f>
        <v>9.3000000000000007</v>
      </c>
      <c r="WX4" s="26">
        <f t="shared" ref="WX4:WX15" si="267">IF($CH4="P",CE4,(CE4+BD4)/2)</f>
        <v>11.6</v>
      </c>
      <c r="WY4" s="26">
        <f t="shared" ref="WY4:WY15" si="268">IF($CH4="P",CF4,(CF4+BE4)/2)</f>
        <v>18.23</v>
      </c>
      <c r="WZ4" s="26">
        <f t="shared" ref="WZ4:WZ15" si="269">IF($CH4="P",CG4,(CG4+BF4)/2)</f>
        <v>0.2</v>
      </c>
      <c r="XA4" s="28" t="s">
        <v>53</v>
      </c>
      <c r="XB4" s="11">
        <f t="shared" ref="XB4:XB15" si="270">IF(WN4&gt;0,WN4,"")</f>
        <v>9.75</v>
      </c>
      <c r="XC4" s="11">
        <f t="shared" ref="XC4:XC15" si="271">IF(WO4&gt;0,WO4,"")</f>
        <v>12.07</v>
      </c>
      <c r="XD4" s="11">
        <f t="shared" ref="XD4:XD15" si="272">IF(SUM(WL4:WO4)-WP4&gt;0,SUM(WL4:WO4)-WP4,"")</f>
        <v>33.71</v>
      </c>
      <c r="XE4" s="11">
        <f t="shared" ref="XE4:XE15" si="273">IF(WS4&gt;0,WS4,"")</f>
        <v>6.8</v>
      </c>
      <c r="XF4" s="11">
        <f t="shared" ref="XF4:XF15" si="274">IF(WT4&gt;0,WT4,"")</f>
        <v>9.23</v>
      </c>
      <c r="XG4" s="11">
        <f t="shared" ref="XG4:XG15" si="275">IF(SUM(WQ4:WT4)-WU4&gt;0,SUM(WQ4:WT4)-WU4,"")</f>
        <v>25.43</v>
      </c>
      <c r="XH4" s="11">
        <f t="shared" ref="XH4:XH15" si="276">IF(MAX(XD4,XG4)&gt;0,MAX(XD4,XG4),"")</f>
        <v>33.71</v>
      </c>
      <c r="XI4" s="11">
        <f t="shared" ref="XI4:XI15" si="277">IF(WX4&gt;0,WX4,"")</f>
        <v>11.6</v>
      </c>
      <c r="XJ4" s="11">
        <f t="shared" ref="XJ4:XJ15" si="278">IF(WY4&gt;0,WY4,"")</f>
        <v>18.23</v>
      </c>
      <c r="XK4" s="11">
        <f t="shared" ref="XK4:XK15" si="279">IF(SUM(WV4:WY4)-WZ4&gt;0,SUM(WV4:WY4)-WZ4,"")</f>
        <v>47.334999999999994</v>
      </c>
      <c r="XL4" s="11">
        <f t="shared" ref="XL4:XL15" si="280">IF(SUM(XH4,XK4)&gt;0,SUM(XH4,XK4),"")</f>
        <v>81.044999999999987</v>
      </c>
    </row>
    <row r="5" spans="1:636" x14ac:dyDescent="0.2">
      <c r="A5" s="4" t="str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/>
      </c>
      <c r="B5" s="5" t="s">
        <v>166</v>
      </c>
      <c r="C5" s="4" t="s">
        <v>5</v>
      </c>
      <c r="D5" s="4" t="s">
        <v>165</v>
      </c>
      <c r="E5" s="9">
        <f t="shared" si="0"/>
        <v>67.099999999999994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38.33</v>
      </c>
      <c r="K5" s="8" t="str">
        <f t="shared" si="5"/>
        <v>2025 Elite Canada</v>
      </c>
      <c r="L5" s="8">
        <f>IF(COUNT(AI5,AL5,AP5,BJ5,BM5,BQ5,CK5,CN5,CR5)&gt;1,LARGE((AI5,AL5,AP5,BJ5,BM5,BQ5,CK5,CN5,CR5),2),0)</f>
        <v>28.77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1"/>
        <v/>
      </c>
      <c r="AI5" s="40" t="str">
        <f t="shared" si="12"/>
        <v/>
      </c>
      <c r="AJ5" s="40" t="str">
        <f t="shared" si="13"/>
        <v/>
      </c>
      <c r="AK5" s="40" t="str">
        <f t="shared" si="14"/>
        <v/>
      </c>
      <c r="AL5" s="40" t="str">
        <f t="shared" si="15"/>
        <v/>
      </c>
      <c r="AM5" s="40" t="str">
        <f t="shared" si="16"/>
        <v/>
      </c>
      <c r="AN5" s="40" t="str">
        <f t="shared" si="17"/>
        <v/>
      </c>
      <c r="AO5" s="40" t="str">
        <f t="shared" si="18"/>
        <v/>
      </c>
      <c r="AP5" s="40" t="str">
        <f t="shared" si="19"/>
        <v/>
      </c>
      <c r="AQ5" s="40" t="str">
        <f t="shared" si="20"/>
        <v/>
      </c>
      <c r="AR5" s="26">
        <v>4.5999999999999996</v>
      </c>
      <c r="AS5" s="26">
        <v>6.45</v>
      </c>
      <c r="AT5" s="26">
        <v>10.199999999999999</v>
      </c>
      <c r="AU5" s="26">
        <v>7.72</v>
      </c>
      <c r="AV5" s="26">
        <v>0.2</v>
      </c>
      <c r="AW5" s="26">
        <v>5.35</v>
      </c>
      <c r="AX5" s="26">
        <v>7.5</v>
      </c>
      <c r="AY5" s="26">
        <v>11.3</v>
      </c>
      <c r="AZ5" s="26">
        <v>14.18</v>
      </c>
      <c r="BA5" s="26">
        <v>0</v>
      </c>
      <c r="BB5" s="26">
        <v>0.68</v>
      </c>
      <c r="BC5" s="26">
        <v>0.95</v>
      </c>
      <c r="BD5" s="26">
        <v>2</v>
      </c>
      <c r="BE5" s="26">
        <v>1.36</v>
      </c>
      <c r="BF5" s="26">
        <v>0</v>
      </c>
      <c r="BG5" s="28"/>
      <c r="BH5" s="39">
        <f t="shared" si="21"/>
        <v>10.199999999999999</v>
      </c>
      <c r="BI5" s="39">
        <f t="shared" si="22"/>
        <v>7.72</v>
      </c>
      <c r="BJ5" s="11">
        <f t="shared" si="23"/>
        <v>28.77</v>
      </c>
      <c r="BK5" s="11">
        <f t="shared" si="24"/>
        <v>11.3</v>
      </c>
      <c r="BL5" s="11">
        <f t="shared" si="25"/>
        <v>14.18</v>
      </c>
      <c r="BM5" s="11">
        <f t="shared" si="26"/>
        <v>38.33</v>
      </c>
      <c r="BN5" s="11">
        <f t="shared" si="27"/>
        <v>38.33</v>
      </c>
      <c r="BO5" s="11">
        <f t="shared" si="28"/>
        <v>2</v>
      </c>
      <c r="BP5" s="11">
        <f t="shared" si="29"/>
        <v>1.36</v>
      </c>
      <c r="BQ5" s="11">
        <f t="shared" si="30"/>
        <v>4.99</v>
      </c>
      <c r="BR5" s="11">
        <f t="shared" si="31"/>
        <v>43.32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1.78</v>
      </c>
      <c r="CD5" s="22">
        <v>2.7</v>
      </c>
      <c r="CE5" s="22">
        <v>5</v>
      </c>
      <c r="CF5" s="22">
        <v>5.0199999999999996</v>
      </c>
      <c r="CG5" s="22">
        <v>0</v>
      </c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>
        <f t="shared" si="39"/>
        <v>5</v>
      </c>
      <c r="CQ5" s="40">
        <f t="shared" si="40"/>
        <v>5.0199999999999996</v>
      </c>
      <c r="CR5" s="40">
        <f t="shared" si="41"/>
        <v>14.5</v>
      </c>
      <c r="CS5" s="40">
        <f t="shared" si="42"/>
        <v>14.5</v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2.2999999999999998</v>
      </c>
      <c r="WM5" s="26">
        <f t="shared" si="256"/>
        <v>3.2250000000000001</v>
      </c>
      <c r="WN5" s="26">
        <f t="shared" si="257"/>
        <v>5.0999999999999996</v>
      </c>
      <c r="WO5" s="26">
        <f t="shared" si="258"/>
        <v>3.86</v>
      </c>
      <c r="WP5" s="26">
        <f t="shared" si="259"/>
        <v>0.1</v>
      </c>
      <c r="WQ5" s="26">
        <f t="shared" si="260"/>
        <v>2.6749999999999998</v>
      </c>
      <c r="WR5" s="26">
        <f t="shared" si="261"/>
        <v>3.75</v>
      </c>
      <c r="WS5" s="26">
        <f t="shared" si="262"/>
        <v>5.65</v>
      </c>
      <c r="WT5" s="26">
        <f t="shared" si="263"/>
        <v>7.09</v>
      </c>
      <c r="WU5" s="26">
        <f t="shared" si="264"/>
        <v>0</v>
      </c>
      <c r="WV5" s="26">
        <f t="shared" si="265"/>
        <v>1.23</v>
      </c>
      <c r="WW5" s="26">
        <f t="shared" si="266"/>
        <v>1.8250000000000002</v>
      </c>
      <c r="WX5" s="26">
        <f t="shared" si="267"/>
        <v>3.5</v>
      </c>
      <c r="WY5" s="26">
        <f t="shared" si="268"/>
        <v>3.19</v>
      </c>
      <c r="WZ5" s="26">
        <f t="shared" si="269"/>
        <v>0</v>
      </c>
      <c r="XA5" s="28" t="s">
        <v>53</v>
      </c>
      <c r="XB5" s="11">
        <f t="shared" si="270"/>
        <v>5.0999999999999996</v>
      </c>
      <c r="XC5" s="11">
        <f t="shared" si="271"/>
        <v>3.86</v>
      </c>
      <c r="XD5" s="11">
        <f t="shared" si="272"/>
        <v>14.385</v>
      </c>
      <c r="XE5" s="11">
        <f t="shared" si="273"/>
        <v>5.65</v>
      </c>
      <c r="XF5" s="11">
        <f t="shared" si="274"/>
        <v>7.09</v>
      </c>
      <c r="XG5" s="11">
        <f t="shared" si="275"/>
        <v>19.164999999999999</v>
      </c>
      <c r="XH5" s="11">
        <f t="shared" si="276"/>
        <v>19.164999999999999</v>
      </c>
      <c r="XI5" s="11">
        <f t="shared" si="277"/>
        <v>3.5</v>
      </c>
      <c r="XJ5" s="11">
        <f t="shared" si="278"/>
        <v>3.19</v>
      </c>
      <c r="XK5" s="11">
        <f t="shared" si="279"/>
        <v>9.7449999999999992</v>
      </c>
      <c r="XL5" s="11">
        <f t="shared" si="280"/>
        <v>28.909999999999997</v>
      </c>
    </row>
    <row r="6" spans="1:636" x14ac:dyDescent="0.2">
      <c r="A6" s="4" t="str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/>
      </c>
      <c r="B6" s="5" t="s">
        <v>241</v>
      </c>
      <c r="C6" s="4" t="s">
        <v>5</v>
      </c>
      <c r="D6" s="4" t="s">
        <v>240</v>
      </c>
      <c r="E6" s="9">
        <f t="shared" si="0"/>
        <v>62.68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45.35</v>
      </c>
      <c r="K6" s="8" t="str">
        <f t="shared" si="5"/>
        <v>2025 Nationals</v>
      </c>
      <c r="L6" s="8">
        <f>IF(COUNT(AI6,AL6,AP6,BJ6,BM6,BQ6,CK6,CN6,CR6)&gt;1,LARGE((AI6,AL6,AP6,BJ6,BM6,BQ6,CK6,CN6,CR6),2),0)</f>
        <v>17.329999999999998</v>
      </c>
      <c r="M6" s="8" t="str">
        <f t="shared" si="6"/>
        <v>2025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 t="shared" si="21"/>
        <v/>
      </c>
      <c r="BI6" s="39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2">
        <v>7</v>
      </c>
      <c r="BT6" s="22">
        <v>9.25</v>
      </c>
      <c r="BU6" s="22">
        <v>13.2</v>
      </c>
      <c r="BV6" s="22">
        <v>16.3</v>
      </c>
      <c r="BW6" s="22">
        <v>0.4</v>
      </c>
      <c r="BX6" s="22">
        <v>2.83</v>
      </c>
      <c r="BY6" s="22">
        <v>3.5</v>
      </c>
      <c r="BZ6" s="22">
        <v>4.8</v>
      </c>
      <c r="CA6" s="22">
        <v>6.2</v>
      </c>
      <c r="CB6" s="22">
        <v>0</v>
      </c>
      <c r="CC6" s="22">
        <v>0.73</v>
      </c>
      <c r="CD6" s="22">
        <v>1</v>
      </c>
      <c r="CE6" s="22">
        <v>2</v>
      </c>
      <c r="CF6" s="22">
        <v>1.78</v>
      </c>
      <c r="CG6" s="22">
        <v>0</v>
      </c>
      <c r="CH6" s="27"/>
      <c r="CI6" s="38">
        <f t="shared" si="32"/>
        <v>13.2</v>
      </c>
      <c r="CJ6" s="38">
        <f t="shared" si="33"/>
        <v>16.3</v>
      </c>
      <c r="CK6" s="40">
        <f t="shared" si="34"/>
        <v>45.35</v>
      </c>
      <c r="CL6" s="40">
        <f t="shared" si="35"/>
        <v>4.8</v>
      </c>
      <c r="CM6" s="40">
        <f t="shared" si="36"/>
        <v>6.2</v>
      </c>
      <c r="CN6" s="40">
        <f t="shared" si="37"/>
        <v>17.329999999999998</v>
      </c>
      <c r="CO6" s="40">
        <f t="shared" si="38"/>
        <v>45.35</v>
      </c>
      <c r="CP6" s="40">
        <f t="shared" si="39"/>
        <v>2</v>
      </c>
      <c r="CQ6" s="40">
        <f t="shared" si="40"/>
        <v>1.78</v>
      </c>
      <c r="CR6" s="40">
        <f t="shared" si="41"/>
        <v>5.51</v>
      </c>
      <c r="CS6" s="40">
        <f t="shared" si="42"/>
        <v>50.86</v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3.5</v>
      </c>
      <c r="WM6" s="26">
        <f t="shared" si="256"/>
        <v>4.625</v>
      </c>
      <c r="WN6" s="26">
        <f t="shared" si="257"/>
        <v>6.6</v>
      </c>
      <c r="WO6" s="26">
        <f t="shared" si="258"/>
        <v>8.15</v>
      </c>
      <c r="WP6" s="26">
        <f t="shared" si="259"/>
        <v>0.2</v>
      </c>
      <c r="WQ6" s="26">
        <f t="shared" si="260"/>
        <v>1.415</v>
      </c>
      <c r="WR6" s="26">
        <f t="shared" si="261"/>
        <v>1.75</v>
      </c>
      <c r="WS6" s="26">
        <f t="shared" si="262"/>
        <v>2.4</v>
      </c>
      <c r="WT6" s="26">
        <f t="shared" si="263"/>
        <v>3.1</v>
      </c>
      <c r="WU6" s="26">
        <f t="shared" si="264"/>
        <v>0</v>
      </c>
      <c r="WV6" s="26">
        <f t="shared" si="265"/>
        <v>0.36499999999999999</v>
      </c>
      <c r="WW6" s="26">
        <f t="shared" si="266"/>
        <v>0.5</v>
      </c>
      <c r="WX6" s="26">
        <f t="shared" si="267"/>
        <v>1</v>
      </c>
      <c r="WY6" s="26">
        <f t="shared" si="268"/>
        <v>0.89</v>
      </c>
      <c r="WZ6" s="26">
        <f t="shared" si="269"/>
        <v>0</v>
      </c>
      <c r="XA6" s="28" t="s">
        <v>53</v>
      </c>
      <c r="XB6" s="11">
        <f t="shared" si="270"/>
        <v>6.6</v>
      </c>
      <c r="XC6" s="11">
        <f t="shared" si="271"/>
        <v>8.15</v>
      </c>
      <c r="XD6" s="11">
        <f t="shared" si="272"/>
        <v>22.675000000000001</v>
      </c>
      <c r="XE6" s="11">
        <f t="shared" si="273"/>
        <v>2.4</v>
      </c>
      <c r="XF6" s="11">
        <f t="shared" si="274"/>
        <v>3.1</v>
      </c>
      <c r="XG6" s="11">
        <f t="shared" si="275"/>
        <v>8.6649999999999991</v>
      </c>
      <c r="XH6" s="11">
        <f t="shared" si="276"/>
        <v>22.675000000000001</v>
      </c>
      <c r="XI6" s="11">
        <f t="shared" si="277"/>
        <v>1</v>
      </c>
      <c r="XJ6" s="11">
        <f t="shared" si="278"/>
        <v>0.89</v>
      </c>
      <c r="XK6" s="11">
        <f t="shared" si="279"/>
        <v>2.7549999999999999</v>
      </c>
      <c r="XL6" s="11">
        <f t="shared" si="280"/>
        <v>25.43</v>
      </c>
    </row>
    <row r="7" spans="1:636" x14ac:dyDescent="0.2">
      <c r="A7" s="4" t="str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/>
      </c>
      <c r="B7" s="5" t="s">
        <v>211</v>
      </c>
      <c r="C7" s="4" t="s">
        <v>7</v>
      </c>
      <c r="D7" s="4" t="s">
        <v>214</v>
      </c>
      <c r="E7" s="9">
        <f t="shared" si="0"/>
        <v>59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45.02</v>
      </c>
      <c r="K7" s="8" t="str">
        <f t="shared" si="5"/>
        <v>2025 Nationals</v>
      </c>
      <c r="L7" s="8">
        <f>IF(COUNT(AI7,AL7,AP7,BJ7,BM7,BQ7,CK7,CN7,CR7)&gt;1,LARGE((AI7,AL7,AP7,BJ7,BM7,BQ7,CK7,CN7,CR7),2),0)</f>
        <v>13.98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>
        <v>2.2999999999999998</v>
      </c>
      <c r="AS7" s="26">
        <v>2.7</v>
      </c>
      <c r="AT7" s="26">
        <v>4.3</v>
      </c>
      <c r="AU7" s="26">
        <v>4.68</v>
      </c>
      <c r="AV7" s="26">
        <v>0</v>
      </c>
      <c r="AW7" s="26">
        <v>0.75</v>
      </c>
      <c r="AX7" s="26">
        <v>0.8</v>
      </c>
      <c r="AY7" s="26">
        <v>1.7</v>
      </c>
      <c r="AZ7" s="26">
        <v>1.3</v>
      </c>
      <c r="BA7" s="26">
        <v>0</v>
      </c>
      <c r="BB7" s="26"/>
      <c r="BC7" s="26"/>
      <c r="BD7" s="26"/>
      <c r="BE7" s="26"/>
      <c r="BF7" s="26"/>
      <c r="BG7" s="28"/>
      <c r="BH7" s="39">
        <f t="shared" si="21"/>
        <v>4.3</v>
      </c>
      <c r="BI7" s="39">
        <f t="shared" si="22"/>
        <v>4.68</v>
      </c>
      <c r="BJ7" s="11">
        <f t="shared" si="23"/>
        <v>13.98</v>
      </c>
      <c r="BK7" s="11">
        <f t="shared" si="24"/>
        <v>1.7</v>
      </c>
      <c r="BL7" s="11">
        <f t="shared" si="25"/>
        <v>1.3</v>
      </c>
      <c r="BM7" s="11">
        <f t="shared" si="26"/>
        <v>4.55</v>
      </c>
      <c r="BN7" s="11">
        <f t="shared" si="27"/>
        <v>13.98</v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>
        <f t="shared" si="31"/>
        <v>13.98</v>
      </c>
      <c r="BS7" s="22">
        <v>0.8</v>
      </c>
      <c r="BT7" s="22">
        <v>0.95</v>
      </c>
      <c r="BU7" s="22">
        <v>1.7</v>
      </c>
      <c r="BV7" s="22">
        <v>1.9</v>
      </c>
      <c r="BW7" s="22">
        <v>0</v>
      </c>
      <c r="BX7" s="22">
        <v>7.7</v>
      </c>
      <c r="BY7" s="22">
        <v>9.1</v>
      </c>
      <c r="BZ7" s="22">
        <v>12.8</v>
      </c>
      <c r="CA7" s="22">
        <v>15.42</v>
      </c>
      <c r="CB7" s="22">
        <v>0</v>
      </c>
      <c r="CC7" s="22">
        <v>1.58</v>
      </c>
      <c r="CD7" s="22">
        <v>2</v>
      </c>
      <c r="CE7" s="22">
        <v>2.8</v>
      </c>
      <c r="CF7" s="22">
        <v>3.9</v>
      </c>
      <c r="CG7" s="22">
        <v>0</v>
      </c>
      <c r="CH7" s="27"/>
      <c r="CI7" s="38">
        <f t="shared" si="32"/>
        <v>1.7</v>
      </c>
      <c r="CJ7" s="38">
        <f t="shared" si="33"/>
        <v>1.9</v>
      </c>
      <c r="CK7" s="40">
        <f t="shared" si="34"/>
        <v>5.35</v>
      </c>
      <c r="CL7" s="40">
        <f t="shared" si="35"/>
        <v>12.8</v>
      </c>
      <c r="CM7" s="40">
        <f t="shared" si="36"/>
        <v>15.42</v>
      </c>
      <c r="CN7" s="40">
        <f t="shared" si="37"/>
        <v>45.02</v>
      </c>
      <c r="CO7" s="40">
        <f t="shared" si="38"/>
        <v>45.02</v>
      </c>
      <c r="CP7" s="40">
        <f t="shared" si="39"/>
        <v>2.8</v>
      </c>
      <c r="CQ7" s="40">
        <f t="shared" si="40"/>
        <v>3.9</v>
      </c>
      <c r="CR7" s="40">
        <f t="shared" si="41"/>
        <v>10.28</v>
      </c>
      <c r="CS7" s="40">
        <f t="shared" si="42"/>
        <v>55.300000000000004</v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1.5499999999999998</v>
      </c>
      <c r="WM7" s="26">
        <f t="shared" si="256"/>
        <v>1.8250000000000002</v>
      </c>
      <c r="WN7" s="26">
        <f t="shared" si="257"/>
        <v>3</v>
      </c>
      <c r="WO7" s="26">
        <f t="shared" si="258"/>
        <v>3.29</v>
      </c>
      <c r="WP7" s="26">
        <f t="shared" si="259"/>
        <v>0</v>
      </c>
      <c r="WQ7" s="26">
        <f t="shared" si="260"/>
        <v>4.2249999999999996</v>
      </c>
      <c r="WR7" s="26">
        <f t="shared" si="261"/>
        <v>4.95</v>
      </c>
      <c r="WS7" s="26">
        <f t="shared" si="262"/>
        <v>7.25</v>
      </c>
      <c r="WT7" s="26">
        <f t="shared" si="263"/>
        <v>8.36</v>
      </c>
      <c r="WU7" s="26">
        <f t="shared" si="264"/>
        <v>0</v>
      </c>
      <c r="WV7" s="26">
        <f t="shared" si="265"/>
        <v>0.79</v>
      </c>
      <c r="WW7" s="26">
        <f t="shared" si="266"/>
        <v>1</v>
      </c>
      <c r="WX7" s="26">
        <f t="shared" si="267"/>
        <v>1.4</v>
      </c>
      <c r="WY7" s="26">
        <f t="shared" si="268"/>
        <v>1.95</v>
      </c>
      <c r="WZ7" s="26">
        <f t="shared" si="269"/>
        <v>0</v>
      </c>
      <c r="XA7" s="28" t="s">
        <v>53</v>
      </c>
      <c r="XB7" s="11">
        <f t="shared" si="270"/>
        <v>3</v>
      </c>
      <c r="XC7" s="11">
        <f t="shared" si="271"/>
        <v>3.29</v>
      </c>
      <c r="XD7" s="11">
        <f t="shared" si="272"/>
        <v>9.6649999999999991</v>
      </c>
      <c r="XE7" s="11">
        <f t="shared" si="273"/>
        <v>7.25</v>
      </c>
      <c r="XF7" s="11">
        <f t="shared" si="274"/>
        <v>8.36</v>
      </c>
      <c r="XG7" s="11">
        <f t="shared" si="275"/>
        <v>24.785</v>
      </c>
      <c r="XH7" s="11">
        <f t="shared" si="276"/>
        <v>24.785</v>
      </c>
      <c r="XI7" s="11">
        <f t="shared" si="277"/>
        <v>1.4</v>
      </c>
      <c r="XJ7" s="11">
        <f t="shared" si="278"/>
        <v>1.95</v>
      </c>
      <c r="XK7" s="11">
        <f t="shared" si="279"/>
        <v>5.14</v>
      </c>
      <c r="XL7" s="11">
        <f t="shared" si="280"/>
        <v>29.925000000000001</v>
      </c>
    </row>
    <row r="8" spans="1:636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237</v>
      </c>
      <c r="C8" s="4" t="s">
        <v>3</v>
      </c>
      <c r="D8" s="4" t="s">
        <v>236</v>
      </c>
      <c r="E8" s="9">
        <f t="shared" si="0"/>
        <v>58.67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42.870000000000005</v>
      </c>
      <c r="K8" s="8" t="str">
        <f t="shared" si="5"/>
        <v>2025 Nationals</v>
      </c>
      <c r="L8" s="8">
        <f>IF(COUNT(AI8,AL8,AP8,BJ8,BM8,BQ8,CK8,CN8,CR8)&gt;1,LARGE((AI8,AL8,AP8,BJ8,BM8,BQ8,CK8,CN8,CR8),2),0)</f>
        <v>15.8</v>
      </c>
      <c r="M8" s="8" t="str">
        <f t="shared" si="6"/>
        <v>2025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>
        <v>6.73</v>
      </c>
      <c r="BT8" s="22">
        <v>8.3000000000000007</v>
      </c>
      <c r="BU8" s="22">
        <v>10.8</v>
      </c>
      <c r="BV8" s="22">
        <v>17.04</v>
      </c>
      <c r="BW8" s="22">
        <v>0</v>
      </c>
      <c r="BX8" s="22">
        <v>1.5</v>
      </c>
      <c r="BY8" s="22">
        <v>1.95</v>
      </c>
      <c r="BZ8" s="22">
        <v>2.6</v>
      </c>
      <c r="CA8" s="22">
        <v>2.44</v>
      </c>
      <c r="CB8" s="22">
        <v>0</v>
      </c>
      <c r="CC8" s="22">
        <v>2.8</v>
      </c>
      <c r="CD8" s="22">
        <v>3.7</v>
      </c>
      <c r="CE8" s="22">
        <v>5.4</v>
      </c>
      <c r="CF8" s="22">
        <v>3.9</v>
      </c>
      <c r="CG8" s="22">
        <v>0</v>
      </c>
      <c r="CH8" s="27"/>
      <c r="CI8" s="38">
        <f t="shared" si="32"/>
        <v>10.8</v>
      </c>
      <c r="CJ8" s="38">
        <f t="shared" si="33"/>
        <v>17.04</v>
      </c>
      <c r="CK8" s="40">
        <f t="shared" si="34"/>
        <v>42.870000000000005</v>
      </c>
      <c r="CL8" s="40">
        <f t="shared" si="35"/>
        <v>2.6</v>
      </c>
      <c r="CM8" s="40">
        <f t="shared" si="36"/>
        <v>2.44</v>
      </c>
      <c r="CN8" s="40">
        <f t="shared" si="37"/>
        <v>8.49</v>
      </c>
      <c r="CO8" s="40">
        <f t="shared" si="38"/>
        <v>42.870000000000005</v>
      </c>
      <c r="CP8" s="40">
        <f t="shared" si="39"/>
        <v>5.4</v>
      </c>
      <c r="CQ8" s="40">
        <f t="shared" si="40"/>
        <v>3.9</v>
      </c>
      <c r="CR8" s="40">
        <f t="shared" si="41"/>
        <v>15.8</v>
      </c>
      <c r="CS8" s="40">
        <f t="shared" si="42"/>
        <v>58.67</v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3.3650000000000002</v>
      </c>
      <c r="WM8" s="26">
        <f t="shared" si="256"/>
        <v>4.1500000000000004</v>
      </c>
      <c r="WN8" s="26">
        <f t="shared" si="257"/>
        <v>5.4</v>
      </c>
      <c r="WO8" s="26">
        <f t="shared" si="258"/>
        <v>8.52</v>
      </c>
      <c r="WP8" s="26">
        <f t="shared" si="259"/>
        <v>0</v>
      </c>
      <c r="WQ8" s="26">
        <f t="shared" si="260"/>
        <v>0.75</v>
      </c>
      <c r="WR8" s="26">
        <f t="shared" si="261"/>
        <v>0.97499999999999998</v>
      </c>
      <c r="WS8" s="26">
        <f t="shared" si="262"/>
        <v>1.3</v>
      </c>
      <c r="WT8" s="26">
        <f t="shared" si="263"/>
        <v>1.22</v>
      </c>
      <c r="WU8" s="26">
        <f t="shared" si="264"/>
        <v>0</v>
      </c>
      <c r="WV8" s="26">
        <f t="shared" si="265"/>
        <v>1.4</v>
      </c>
      <c r="WW8" s="26">
        <f t="shared" si="266"/>
        <v>1.85</v>
      </c>
      <c r="WX8" s="26">
        <f t="shared" si="267"/>
        <v>2.7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5.4</v>
      </c>
      <c r="XC8" s="11">
        <f t="shared" si="271"/>
        <v>8.52</v>
      </c>
      <c r="XD8" s="11">
        <f t="shared" si="272"/>
        <v>21.435000000000002</v>
      </c>
      <c r="XE8" s="11">
        <f t="shared" si="273"/>
        <v>1.3</v>
      </c>
      <c r="XF8" s="11">
        <f t="shared" si="274"/>
        <v>1.22</v>
      </c>
      <c r="XG8" s="11">
        <f t="shared" si="275"/>
        <v>4.2450000000000001</v>
      </c>
      <c r="XH8" s="11">
        <f t="shared" si="276"/>
        <v>21.435000000000002</v>
      </c>
      <c r="XI8" s="11">
        <f t="shared" si="277"/>
        <v>2.7</v>
      </c>
      <c r="XJ8" s="11">
        <f t="shared" si="278"/>
        <v>1.95</v>
      </c>
      <c r="XK8" s="11">
        <f t="shared" si="279"/>
        <v>7.9</v>
      </c>
      <c r="XL8" s="11">
        <f t="shared" si="280"/>
        <v>29.335000000000001</v>
      </c>
    </row>
    <row r="9" spans="1:636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239</v>
      </c>
      <c r="C9" s="4" t="s">
        <v>71</v>
      </c>
      <c r="D9" s="4" t="s">
        <v>238</v>
      </c>
      <c r="E9" s="9">
        <f t="shared" si="0"/>
        <v>56.419999999999995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33.799999999999997</v>
      </c>
      <c r="K9" s="8" t="str">
        <f t="shared" si="5"/>
        <v>2025 Nationals</v>
      </c>
      <c r="L9" s="8">
        <f>IF(COUNT(AI9,AL9,AP9,BJ9,BM9,BQ9,CK9,CN9,CR9)&gt;1,LARGE((AI9,AL9,AP9,BJ9,BM9,BQ9,CK9,CN9,CR9),2),0)</f>
        <v>22.619999999999997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>
        <v>2.85</v>
      </c>
      <c r="BT9" s="22">
        <v>3.75</v>
      </c>
      <c r="BU9" s="22">
        <v>5.8</v>
      </c>
      <c r="BV9" s="22">
        <v>4.3</v>
      </c>
      <c r="BW9" s="22">
        <v>0</v>
      </c>
      <c r="BX9" s="22">
        <v>10</v>
      </c>
      <c r="BY9" s="22">
        <v>9.8000000000000007</v>
      </c>
      <c r="BZ9" s="22">
        <v>0</v>
      </c>
      <c r="CA9" s="22">
        <v>14</v>
      </c>
      <c r="CB9" s="22">
        <v>0</v>
      </c>
      <c r="CC9" s="22">
        <v>4.43</v>
      </c>
      <c r="CD9" s="22">
        <v>5.45</v>
      </c>
      <c r="CE9" s="22">
        <v>7</v>
      </c>
      <c r="CF9" s="22">
        <v>5.74</v>
      </c>
      <c r="CG9" s="22">
        <v>0</v>
      </c>
      <c r="CH9" s="27"/>
      <c r="CI9" s="38">
        <f t="shared" si="32"/>
        <v>5.8</v>
      </c>
      <c r="CJ9" s="38">
        <f t="shared" si="33"/>
        <v>4.3</v>
      </c>
      <c r="CK9" s="40">
        <f t="shared" si="34"/>
        <v>16.7</v>
      </c>
      <c r="CL9" s="40" t="str">
        <f t="shared" si="35"/>
        <v/>
      </c>
      <c r="CM9" s="40">
        <f t="shared" si="36"/>
        <v>14</v>
      </c>
      <c r="CN9" s="40">
        <f t="shared" si="37"/>
        <v>33.799999999999997</v>
      </c>
      <c r="CO9" s="40">
        <f t="shared" si="38"/>
        <v>33.799999999999997</v>
      </c>
      <c r="CP9" s="40">
        <f t="shared" si="39"/>
        <v>7</v>
      </c>
      <c r="CQ9" s="40">
        <f t="shared" si="40"/>
        <v>5.74</v>
      </c>
      <c r="CR9" s="40">
        <f t="shared" si="41"/>
        <v>22.619999999999997</v>
      </c>
      <c r="CS9" s="40">
        <f t="shared" si="42"/>
        <v>56.419999999999995</v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1.425</v>
      </c>
      <c r="WM9" s="26">
        <f t="shared" si="256"/>
        <v>1.875</v>
      </c>
      <c r="WN9" s="26">
        <f t="shared" si="257"/>
        <v>2.9</v>
      </c>
      <c r="WO9" s="26">
        <f t="shared" si="258"/>
        <v>2.15</v>
      </c>
      <c r="WP9" s="26">
        <f t="shared" si="259"/>
        <v>0</v>
      </c>
      <c r="WQ9" s="26">
        <f t="shared" si="260"/>
        <v>5</v>
      </c>
      <c r="WR9" s="26">
        <f t="shared" si="261"/>
        <v>4.9000000000000004</v>
      </c>
      <c r="WS9" s="26">
        <f t="shared" si="262"/>
        <v>0</v>
      </c>
      <c r="WT9" s="26">
        <f t="shared" si="263"/>
        <v>7</v>
      </c>
      <c r="WU9" s="26">
        <f t="shared" si="264"/>
        <v>0</v>
      </c>
      <c r="WV9" s="26">
        <f t="shared" si="265"/>
        <v>2.2149999999999999</v>
      </c>
      <c r="WW9" s="26">
        <f t="shared" si="266"/>
        <v>2.7250000000000001</v>
      </c>
      <c r="WX9" s="26">
        <f t="shared" si="267"/>
        <v>3.5</v>
      </c>
      <c r="WY9" s="26">
        <f t="shared" si="268"/>
        <v>2.87</v>
      </c>
      <c r="WZ9" s="26">
        <f t="shared" si="269"/>
        <v>0</v>
      </c>
      <c r="XA9" s="28" t="s">
        <v>53</v>
      </c>
      <c r="XB9" s="11">
        <f t="shared" si="270"/>
        <v>2.9</v>
      </c>
      <c r="XC9" s="11">
        <f t="shared" si="271"/>
        <v>2.15</v>
      </c>
      <c r="XD9" s="11">
        <f t="shared" si="272"/>
        <v>8.35</v>
      </c>
      <c r="XE9" s="11" t="str">
        <f t="shared" si="273"/>
        <v/>
      </c>
      <c r="XF9" s="11">
        <f t="shared" si="274"/>
        <v>7</v>
      </c>
      <c r="XG9" s="11">
        <f t="shared" si="275"/>
        <v>16.899999999999999</v>
      </c>
      <c r="XH9" s="11">
        <f t="shared" si="276"/>
        <v>16.899999999999999</v>
      </c>
      <c r="XI9" s="11">
        <f t="shared" si="277"/>
        <v>3.5</v>
      </c>
      <c r="XJ9" s="11">
        <f t="shared" si="278"/>
        <v>2.87</v>
      </c>
      <c r="XK9" s="11">
        <f t="shared" si="279"/>
        <v>11.309999999999999</v>
      </c>
      <c r="XL9" s="11">
        <f t="shared" si="280"/>
        <v>28.209999999999997</v>
      </c>
    </row>
    <row r="10" spans="1:636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157</v>
      </c>
      <c r="C10" s="4" t="s">
        <v>7</v>
      </c>
      <c r="D10" s="4" t="s">
        <v>156</v>
      </c>
      <c r="E10" s="9">
        <f t="shared" si="0"/>
        <v>42.2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42.2</v>
      </c>
      <c r="O10" s="11" t="str">
        <f t="shared" si="8"/>
        <v>(Prelim)</v>
      </c>
      <c r="P10" s="8" t="str">
        <f t="shared" si="9"/>
        <v>2025 World Cup ITA (April 5)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>
        <f t="shared" si="43"/>
        <v>42.2</v>
      </c>
      <c r="CU10" s="51" t="str">
        <f t="shared" si="44"/>
        <v/>
      </c>
      <c r="CV10" s="17">
        <v>6.6</v>
      </c>
      <c r="CW10" s="17">
        <v>8.3000000000000007</v>
      </c>
      <c r="CX10" s="17">
        <v>12.6</v>
      </c>
      <c r="CY10" s="17">
        <v>14.7</v>
      </c>
      <c r="CZ10" s="17">
        <v>0</v>
      </c>
      <c r="DA10" s="17">
        <v>2.15</v>
      </c>
      <c r="DB10" s="17">
        <v>2.8</v>
      </c>
      <c r="DC10" s="17">
        <v>4.8</v>
      </c>
      <c r="DD10" s="17">
        <v>4.96</v>
      </c>
      <c r="DE10" s="17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>
        <f t="shared" si="45"/>
        <v>12.6</v>
      </c>
      <c r="DQ10" s="40">
        <f t="shared" si="46"/>
        <v>14.7</v>
      </c>
      <c r="DR10" s="40">
        <f t="shared" si="47"/>
        <v>42.2</v>
      </c>
      <c r="DS10" s="40">
        <f t="shared" si="48"/>
        <v>4.8</v>
      </c>
      <c r="DT10" s="40">
        <f t="shared" si="49"/>
        <v>4.96</v>
      </c>
      <c r="DU10" s="40">
        <f t="shared" si="50"/>
        <v>14.71</v>
      </c>
      <c r="DV10" s="40">
        <f t="shared" si="51"/>
        <v>42.2</v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>
        <f t="shared" si="58"/>
        <v>42.2</v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0</v>
      </c>
      <c r="WM10" s="26">
        <f t="shared" si="256"/>
        <v>0</v>
      </c>
      <c r="WN10" s="26">
        <f t="shared" si="257"/>
        <v>0</v>
      </c>
      <c r="WO10" s="26">
        <f t="shared" si="258"/>
        <v>0</v>
      </c>
      <c r="WP10" s="26">
        <f t="shared" si="259"/>
        <v>0</v>
      </c>
      <c r="WQ10" s="26">
        <f t="shared" si="260"/>
        <v>0</v>
      </c>
      <c r="WR10" s="26">
        <f t="shared" si="261"/>
        <v>0</v>
      </c>
      <c r="WS10" s="26">
        <f t="shared" si="262"/>
        <v>0</v>
      </c>
      <c r="WT10" s="26">
        <f t="shared" si="263"/>
        <v>0</v>
      </c>
      <c r="WU10" s="26">
        <f t="shared" si="264"/>
        <v>0</v>
      </c>
      <c r="WV10" s="26">
        <f t="shared" si="265"/>
        <v>0</v>
      </c>
      <c r="WW10" s="26">
        <f t="shared" si="266"/>
        <v>0</v>
      </c>
      <c r="WX10" s="26">
        <f t="shared" si="267"/>
        <v>0</v>
      </c>
      <c r="WY10" s="26">
        <f t="shared" si="268"/>
        <v>0</v>
      </c>
      <c r="WZ10" s="26">
        <f t="shared" si="269"/>
        <v>0</v>
      </c>
      <c r="XA10" s="28" t="s">
        <v>53</v>
      </c>
      <c r="XB10" s="11" t="str">
        <f t="shared" si="270"/>
        <v/>
      </c>
      <c r="XC10" s="11" t="str">
        <f t="shared" si="271"/>
        <v/>
      </c>
      <c r="XD10" s="11" t="str">
        <f t="shared" si="272"/>
        <v/>
      </c>
      <c r="XE10" s="11" t="str">
        <f t="shared" si="273"/>
        <v/>
      </c>
      <c r="XF10" s="11" t="str">
        <f t="shared" si="274"/>
        <v/>
      </c>
      <c r="XG10" s="11" t="str">
        <f t="shared" si="275"/>
        <v/>
      </c>
      <c r="XH10" s="11" t="str">
        <f t="shared" si="276"/>
        <v/>
      </c>
      <c r="XI10" s="11" t="str">
        <f t="shared" si="277"/>
        <v/>
      </c>
      <c r="XJ10" s="11" t="str">
        <f t="shared" si="278"/>
        <v/>
      </c>
      <c r="XK10" s="11" t="str">
        <f t="shared" si="279"/>
        <v/>
      </c>
      <c r="XL10" s="11" t="str">
        <f t="shared" si="280"/>
        <v/>
      </c>
    </row>
    <row r="11" spans="1:636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249</v>
      </c>
      <c r="C11" s="4" t="s">
        <v>233</v>
      </c>
      <c r="D11" s="4" t="s">
        <v>250</v>
      </c>
      <c r="E11" s="9">
        <f t="shared" si="0"/>
        <v>39.010000000000005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39.010000000000005</v>
      </c>
      <c r="O11" s="11" t="str">
        <f t="shared" si="8"/>
        <v>(Prelim)</v>
      </c>
      <c r="P11" s="8" t="str">
        <f t="shared" si="9"/>
        <v>2025 World Cup POR (July 6)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39.010000000000005</v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>
        <v>5.95</v>
      </c>
      <c r="FM11" s="17">
        <v>7.4</v>
      </c>
      <c r="FN11" s="17">
        <v>12.3</v>
      </c>
      <c r="FO11" s="17">
        <v>13.36</v>
      </c>
      <c r="FP11" s="17">
        <v>0</v>
      </c>
      <c r="FQ11" s="17">
        <v>1.6</v>
      </c>
      <c r="FR11" s="17">
        <v>1.85</v>
      </c>
      <c r="FS11" s="17">
        <v>3.5</v>
      </c>
      <c r="FT11" s="17">
        <v>3.06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>
        <f t="shared" si="73"/>
        <v>12.3</v>
      </c>
      <c r="GG11" s="40">
        <f t="shared" si="74"/>
        <v>13.36</v>
      </c>
      <c r="GH11" s="40">
        <f t="shared" si="75"/>
        <v>39.010000000000005</v>
      </c>
      <c r="GI11" s="40">
        <f t="shared" si="76"/>
        <v>3.5</v>
      </c>
      <c r="GJ11" s="40">
        <f t="shared" si="77"/>
        <v>3.06</v>
      </c>
      <c r="GK11" s="40">
        <f t="shared" si="78"/>
        <v>10.01</v>
      </c>
      <c r="GL11" s="40">
        <f t="shared" si="79"/>
        <v>39.010000000000005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39.010000000000005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167</v>
      </c>
      <c r="C12" s="4" t="s">
        <v>5</v>
      </c>
      <c r="D12" s="4" t="s">
        <v>168</v>
      </c>
      <c r="E12" s="9">
        <f t="shared" si="0"/>
        <v>35.519999999999996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19.66</v>
      </c>
      <c r="K12" s="8" t="str">
        <f t="shared" si="5"/>
        <v>2025 Nationals</v>
      </c>
      <c r="L12" s="8">
        <f>IF(COUNT(AI12,AL12,AP12,BJ12,BM12,BQ12,CK12,CN12,CR12)&gt;1,LARGE((AI12,AL12,AP12,BJ12,BM12,BQ12,CK12,CN12,CR12),2),0)</f>
        <v>15.86</v>
      </c>
      <c r="M12" s="8" t="str">
        <f t="shared" si="6"/>
        <v>2025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0.7</v>
      </c>
      <c r="AS12" s="26">
        <v>0.95</v>
      </c>
      <c r="AT12" s="26">
        <v>1.7</v>
      </c>
      <c r="AU12" s="26">
        <v>1.88</v>
      </c>
      <c r="AV12" s="26">
        <v>0</v>
      </c>
      <c r="AW12" s="26">
        <v>0.75</v>
      </c>
      <c r="AX12" s="26">
        <v>0.95</v>
      </c>
      <c r="AY12" s="26">
        <v>1.7</v>
      </c>
      <c r="AZ12" s="26">
        <v>2</v>
      </c>
      <c r="BA12" s="26">
        <v>0</v>
      </c>
      <c r="BB12" s="26"/>
      <c r="BC12" s="26"/>
      <c r="BD12" s="26"/>
      <c r="BE12" s="26"/>
      <c r="BF12" s="26"/>
      <c r="BG12" s="28"/>
      <c r="BH12" s="39">
        <f t="shared" si="21"/>
        <v>1.7</v>
      </c>
      <c r="BI12" s="39">
        <f t="shared" si="22"/>
        <v>1.88</v>
      </c>
      <c r="BJ12" s="11">
        <f t="shared" si="23"/>
        <v>5.2299999999999995</v>
      </c>
      <c r="BK12" s="11">
        <f t="shared" si="24"/>
        <v>1.7</v>
      </c>
      <c r="BL12" s="11">
        <f t="shared" si="25"/>
        <v>2</v>
      </c>
      <c r="BM12" s="11">
        <f t="shared" si="26"/>
        <v>5.4</v>
      </c>
      <c r="BN12" s="11">
        <f t="shared" si="27"/>
        <v>5.4</v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>
        <f t="shared" si="31"/>
        <v>5.4</v>
      </c>
      <c r="BS12" s="22">
        <v>3.83</v>
      </c>
      <c r="BT12" s="22">
        <v>4.8499999999999996</v>
      </c>
      <c r="BU12" s="22">
        <v>6.4</v>
      </c>
      <c r="BV12" s="22">
        <v>4.58</v>
      </c>
      <c r="BW12" s="22">
        <v>0</v>
      </c>
      <c r="BX12" s="22">
        <v>3.13</v>
      </c>
      <c r="BY12" s="22">
        <v>2.75</v>
      </c>
      <c r="BZ12" s="22">
        <v>5.0999999999999996</v>
      </c>
      <c r="CA12" s="22">
        <v>4.88</v>
      </c>
      <c r="CB12" s="22">
        <v>0</v>
      </c>
      <c r="CC12" s="22">
        <v>0.7</v>
      </c>
      <c r="CD12" s="22">
        <v>0.95</v>
      </c>
      <c r="CE12" s="22">
        <v>1.7</v>
      </c>
      <c r="CF12" s="22">
        <v>1.74</v>
      </c>
      <c r="CG12" s="22">
        <v>0</v>
      </c>
      <c r="CH12" s="27"/>
      <c r="CI12" s="38">
        <f t="shared" si="32"/>
        <v>6.4</v>
      </c>
      <c r="CJ12" s="38">
        <f t="shared" si="33"/>
        <v>4.58</v>
      </c>
      <c r="CK12" s="40">
        <f t="shared" si="34"/>
        <v>19.66</v>
      </c>
      <c r="CL12" s="40">
        <f t="shared" si="35"/>
        <v>5.0999999999999996</v>
      </c>
      <c r="CM12" s="40">
        <f t="shared" si="36"/>
        <v>4.88</v>
      </c>
      <c r="CN12" s="40">
        <f t="shared" si="37"/>
        <v>15.86</v>
      </c>
      <c r="CO12" s="40">
        <f t="shared" si="38"/>
        <v>19.66</v>
      </c>
      <c r="CP12" s="40">
        <f t="shared" si="39"/>
        <v>1.7</v>
      </c>
      <c r="CQ12" s="40">
        <f t="shared" si="40"/>
        <v>1.74</v>
      </c>
      <c r="CR12" s="40">
        <f t="shared" si="41"/>
        <v>5.09</v>
      </c>
      <c r="CS12" s="40">
        <f t="shared" si="42"/>
        <v>24.75</v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2.2650000000000001</v>
      </c>
      <c r="WM12" s="26">
        <f t="shared" si="256"/>
        <v>2.9</v>
      </c>
      <c r="WN12" s="26">
        <f t="shared" si="257"/>
        <v>4.05</v>
      </c>
      <c r="WO12" s="26">
        <f t="shared" si="258"/>
        <v>3.23</v>
      </c>
      <c r="WP12" s="26">
        <f t="shared" si="259"/>
        <v>0</v>
      </c>
      <c r="WQ12" s="26">
        <f t="shared" si="260"/>
        <v>1.94</v>
      </c>
      <c r="WR12" s="26">
        <f t="shared" si="261"/>
        <v>1.85</v>
      </c>
      <c r="WS12" s="26">
        <f t="shared" si="262"/>
        <v>3.4</v>
      </c>
      <c r="WT12" s="26">
        <f t="shared" si="263"/>
        <v>3.44</v>
      </c>
      <c r="WU12" s="26">
        <f t="shared" si="264"/>
        <v>0</v>
      </c>
      <c r="WV12" s="26">
        <f t="shared" si="265"/>
        <v>0.35</v>
      </c>
      <c r="WW12" s="26">
        <f t="shared" si="266"/>
        <v>0.47499999999999998</v>
      </c>
      <c r="WX12" s="26">
        <f t="shared" si="267"/>
        <v>0.85</v>
      </c>
      <c r="WY12" s="26">
        <f t="shared" si="268"/>
        <v>0.87</v>
      </c>
      <c r="WZ12" s="26">
        <f t="shared" si="269"/>
        <v>0</v>
      </c>
      <c r="XA12" s="28" t="s">
        <v>53</v>
      </c>
      <c r="XB12" s="11">
        <f t="shared" si="270"/>
        <v>4.05</v>
      </c>
      <c r="XC12" s="11">
        <f t="shared" si="271"/>
        <v>3.23</v>
      </c>
      <c r="XD12" s="11">
        <f t="shared" si="272"/>
        <v>12.445</v>
      </c>
      <c r="XE12" s="11">
        <f t="shared" si="273"/>
        <v>3.4</v>
      </c>
      <c r="XF12" s="11">
        <f t="shared" si="274"/>
        <v>3.44</v>
      </c>
      <c r="XG12" s="11">
        <f t="shared" si="275"/>
        <v>10.629999999999999</v>
      </c>
      <c r="XH12" s="11">
        <f t="shared" si="276"/>
        <v>12.445</v>
      </c>
      <c r="XI12" s="11">
        <f t="shared" si="277"/>
        <v>0.85</v>
      </c>
      <c r="XJ12" s="11">
        <f t="shared" si="278"/>
        <v>0.87</v>
      </c>
      <c r="XK12" s="11">
        <f t="shared" si="279"/>
        <v>2.5449999999999999</v>
      </c>
      <c r="XL12" s="11">
        <f t="shared" si="280"/>
        <v>14.99</v>
      </c>
    </row>
    <row r="13" spans="1:636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210</v>
      </c>
      <c r="C13" s="4" t="s">
        <v>3</v>
      </c>
      <c r="D13" s="4" t="s">
        <v>213</v>
      </c>
      <c r="E13" s="9">
        <f t="shared" si="0"/>
        <v>34.61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30.009999999999998</v>
      </c>
      <c r="K13" s="8" t="str">
        <f t="shared" si="5"/>
        <v>2025 Elite Canada</v>
      </c>
      <c r="L13" s="8">
        <f>IF(COUNT(AI13,AL13,AP13,BJ13,BM13,BQ13,CK13,CN13,CR13)&gt;1,LARGE((AI13,AL13,AP13,BJ13,BM13,BQ13,CK13,CN13,CR13),2),0)</f>
        <v>4.5999999999999996</v>
      </c>
      <c r="M13" s="8" t="str">
        <f t="shared" si="6"/>
        <v>2025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>
        <v>5.0999999999999996</v>
      </c>
      <c r="AS13" s="26">
        <v>6.55</v>
      </c>
      <c r="AT13" s="26">
        <v>7.9</v>
      </c>
      <c r="AU13" s="26">
        <v>10.46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0.75</v>
      </c>
      <c r="BC13" s="26">
        <v>0.95</v>
      </c>
      <c r="BD13" s="26">
        <v>1.5</v>
      </c>
      <c r="BE13" s="26">
        <v>1.4</v>
      </c>
      <c r="BF13" s="26">
        <v>0</v>
      </c>
      <c r="BG13" s="28"/>
      <c r="BH13" s="39">
        <f t="shared" si="21"/>
        <v>7.9</v>
      </c>
      <c r="BI13" s="39">
        <f t="shared" si="22"/>
        <v>10.46</v>
      </c>
      <c r="BJ13" s="11">
        <f t="shared" si="23"/>
        <v>30.009999999999998</v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>
        <f t="shared" si="27"/>
        <v>30.009999999999998</v>
      </c>
      <c r="BO13" s="11">
        <f t="shared" si="28"/>
        <v>1.5</v>
      </c>
      <c r="BP13" s="11">
        <f t="shared" si="29"/>
        <v>1.4</v>
      </c>
      <c r="BQ13" s="11">
        <f t="shared" si="30"/>
        <v>4.5999999999999996</v>
      </c>
      <c r="BR13" s="11">
        <f t="shared" si="31"/>
        <v>34.61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2.5499999999999998</v>
      </c>
      <c r="WM13" s="26">
        <f t="shared" si="256"/>
        <v>3.2749999999999999</v>
      </c>
      <c r="WN13" s="26">
        <f t="shared" si="257"/>
        <v>3.95</v>
      </c>
      <c r="WO13" s="26">
        <f t="shared" si="258"/>
        <v>5.23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0.375</v>
      </c>
      <c r="WW13" s="26">
        <f t="shared" si="266"/>
        <v>0.47499999999999998</v>
      </c>
      <c r="WX13" s="26">
        <f t="shared" si="267"/>
        <v>0.75</v>
      </c>
      <c r="WY13" s="26">
        <f t="shared" si="268"/>
        <v>0.7</v>
      </c>
      <c r="WZ13" s="26">
        <f t="shared" si="269"/>
        <v>0</v>
      </c>
      <c r="XA13" s="28" t="s">
        <v>53</v>
      </c>
      <c r="XB13" s="11">
        <f t="shared" si="270"/>
        <v>3.95</v>
      </c>
      <c r="XC13" s="11">
        <f t="shared" si="271"/>
        <v>5.23</v>
      </c>
      <c r="XD13" s="11">
        <f t="shared" si="272"/>
        <v>15.004999999999999</v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>
        <f t="shared" si="276"/>
        <v>15.004999999999999</v>
      </c>
      <c r="XI13" s="11">
        <f t="shared" si="277"/>
        <v>0.75</v>
      </c>
      <c r="XJ13" s="11">
        <f t="shared" si="278"/>
        <v>0.7</v>
      </c>
      <c r="XK13" s="11">
        <f t="shared" si="279"/>
        <v>2.2999999999999998</v>
      </c>
      <c r="XL13" s="11">
        <f t="shared" si="280"/>
        <v>17.305</v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183</v>
      </c>
      <c r="D14" s="4" t="s">
        <v>127</v>
      </c>
      <c r="E14" s="9">
        <f t="shared" si="0"/>
        <v>23.860000000000003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23.860000000000003</v>
      </c>
      <c r="O14" s="11" t="str">
        <f t="shared" si="8"/>
        <v>(Prelim)</v>
      </c>
      <c r="P14" s="8" t="str">
        <f t="shared" si="9"/>
        <v>2025 Pan Am Championships (May 18)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23.860000000000003</v>
      </c>
      <c r="CU14" s="51">
        <f t="shared" si="44"/>
        <v>17.39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>
        <v>0</v>
      </c>
      <c r="EE14" s="18">
        <v>0</v>
      </c>
      <c r="EF14" s="18">
        <v>0</v>
      </c>
      <c r="EG14" s="18">
        <v>0</v>
      </c>
      <c r="EH14" s="18">
        <v>0</v>
      </c>
      <c r="EI14" s="18">
        <v>4.45</v>
      </c>
      <c r="EJ14" s="18">
        <v>5.35</v>
      </c>
      <c r="EK14" s="18">
        <v>8.9</v>
      </c>
      <c r="EL14" s="18">
        <v>5.16</v>
      </c>
      <c r="EM14" s="18">
        <v>0</v>
      </c>
      <c r="EN14" s="18"/>
      <c r="EO14" s="18"/>
      <c r="EP14" s="18"/>
      <c r="EQ14" s="18"/>
      <c r="ER14" s="18"/>
      <c r="ES14" s="18">
        <v>3.05</v>
      </c>
      <c r="ET14" s="18">
        <v>3.7</v>
      </c>
      <c r="EU14" s="18">
        <v>6.3</v>
      </c>
      <c r="EV14" s="18">
        <v>4.34</v>
      </c>
      <c r="EW14" s="18">
        <v>0</v>
      </c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>
        <f t="shared" si="62"/>
        <v>8.9</v>
      </c>
      <c r="FB14" s="11">
        <f t="shared" si="63"/>
        <v>5.16</v>
      </c>
      <c r="FC14" s="11">
        <f t="shared" si="64"/>
        <v>23.860000000000003</v>
      </c>
      <c r="FD14" s="11">
        <f t="shared" si="65"/>
        <v>23.860000000000003</v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>
        <f t="shared" si="69"/>
        <v>6.3</v>
      </c>
      <c r="FI14" s="11">
        <f t="shared" si="70"/>
        <v>4.34</v>
      </c>
      <c r="FJ14" s="11">
        <f t="shared" si="71"/>
        <v>17.39</v>
      </c>
      <c r="FK14" s="11">
        <f t="shared" si="72"/>
        <v>41.25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212</v>
      </c>
      <c r="C15" s="4" t="s">
        <v>3</v>
      </c>
      <c r="D15" s="4" t="s">
        <v>215</v>
      </c>
      <c r="E15" s="9">
        <f t="shared" si="0"/>
        <v>15.09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9.93</v>
      </c>
      <c r="K15" s="8" t="str">
        <f t="shared" si="5"/>
        <v>2025 Elite Canada</v>
      </c>
      <c r="L15" s="8">
        <f>IF(COUNT(AI15,AL15,AP15,BJ15,BM15,BQ15,CK15,CN15,CR15)&gt;1,LARGE((AI15,AL15,AP15,BJ15,BM15,BQ15,CK15,CN15,CR15),2),0)</f>
        <v>5.16</v>
      </c>
      <c r="M15" s="8" t="str">
        <f t="shared" si="6"/>
        <v>2025 Elite Canada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>
        <v>0.7</v>
      </c>
      <c r="AS15" s="26">
        <v>1</v>
      </c>
      <c r="AT15" s="26">
        <v>1.5</v>
      </c>
      <c r="AU15" s="26">
        <v>1.96</v>
      </c>
      <c r="AV15" s="26">
        <v>0</v>
      </c>
      <c r="AW15" s="26">
        <v>1.4</v>
      </c>
      <c r="AX15" s="26">
        <v>1.75</v>
      </c>
      <c r="AY15" s="26">
        <v>3</v>
      </c>
      <c r="AZ15" s="26">
        <v>3.78</v>
      </c>
      <c r="BA15" s="26">
        <v>0</v>
      </c>
      <c r="BB15" s="26"/>
      <c r="BC15" s="26"/>
      <c r="BD15" s="26"/>
      <c r="BE15" s="26"/>
      <c r="BF15" s="26"/>
      <c r="BG15" s="28"/>
      <c r="BH15" s="39">
        <f t="shared" si="21"/>
        <v>1.5</v>
      </c>
      <c r="BI15" s="39">
        <f t="shared" si="22"/>
        <v>1.96</v>
      </c>
      <c r="BJ15" s="11">
        <f t="shared" si="23"/>
        <v>5.16</v>
      </c>
      <c r="BK15" s="11">
        <f t="shared" si="24"/>
        <v>3</v>
      </c>
      <c r="BL15" s="11">
        <f t="shared" si="25"/>
        <v>3.78</v>
      </c>
      <c r="BM15" s="11">
        <f t="shared" si="26"/>
        <v>9.93</v>
      </c>
      <c r="BN15" s="11">
        <f t="shared" si="27"/>
        <v>9.93</v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>
        <f t="shared" si="31"/>
        <v>9.93</v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 t="str">
        <f t="shared" si="43"/>
        <v/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0.35</v>
      </c>
      <c r="WM15" s="26">
        <f t="shared" si="256"/>
        <v>0.5</v>
      </c>
      <c r="WN15" s="26">
        <f t="shared" si="257"/>
        <v>0.75</v>
      </c>
      <c r="WO15" s="26">
        <f t="shared" si="258"/>
        <v>0.98</v>
      </c>
      <c r="WP15" s="26">
        <f t="shared" si="259"/>
        <v>0</v>
      </c>
      <c r="WQ15" s="26">
        <f t="shared" si="260"/>
        <v>0.7</v>
      </c>
      <c r="WR15" s="26">
        <f t="shared" si="261"/>
        <v>0.875</v>
      </c>
      <c r="WS15" s="26">
        <f t="shared" si="262"/>
        <v>1.5</v>
      </c>
      <c r="WT15" s="26">
        <f t="shared" si="263"/>
        <v>1.89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>
        <f t="shared" si="270"/>
        <v>0.75</v>
      </c>
      <c r="XC15" s="11">
        <f t="shared" si="271"/>
        <v>0.98</v>
      </c>
      <c r="XD15" s="11">
        <f t="shared" si="272"/>
        <v>2.58</v>
      </c>
      <c r="XE15" s="11">
        <f t="shared" si="273"/>
        <v>1.5</v>
      </c>
      <c r="XF15" s="11">
        <f t="shared" si="274"/>
        <v>1.89</v>
      </c>
      <c r="XG15" s="11">
        <f t="shared" si="275"/>
        <v>4.9649999999999999</v>
      </c>
      <c r="XH15" s="11">
        <f t="shared" si="276"/>
        <v>4.9649999999999999</v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>
        <f t="shared" si="280"/>
        <v>4.9649999999999999</v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53">
        <v>14.2</v>
      </c>
      <c r="BK18" s="41"/>
      <c r="BL18" s="41"/>
      <c r="BM18" s="41"/>
      <c r="BO18" s="32"/>
      <c r="BP18" s="32"/>
      <c r="BR18" s="53">
        <v>14.5</v>
      </c>
      <c r="CL18" s="41"/>
      <c r="CM18" s="41"/>
      <c r="CN18" s="41"/>
      <c r="CP18" s="32"/>
      <c r="CQ18" s="32"/>
      <c r="CS18" s="53">
        <v>14.5</v>
      </c>
      <c r="DP18" s="5"/>
      <c r="DQ18" s="5"/>
      <c r="DZ18" s="2"/>
      <c r="EA18" s="2"/>
      <c r="EC18" s="42">
        <v>14.5</v>
      </c>
      <c r="EX18" s="5"/>
      <c r="EY18" s="5"/>
      <c r="FH18" s="2"/>
      <c r="FI18" s="2"/>
      <c r="FK18" s="42">
        <v>14.5</v>
      </c>
      <c r="GF18" s="5"/>
      <c r="GG18" s="5"/>
      <c r="GP18" s="2"/>
      <c r="GQ18" s="2"/>
      <c r="GS18" s="53">
        <v>14.5</v>
      </c>
      <c r="HN18" s="5"/>
      <c r="HO18" s="5"/>
      <c r="HX18" s="2"/>
      <c r="HY18" s="2"/>
      <c r="IA18" s="53">
        <v>14.5</v>
      </c>
      <c r="IV18" s="5"/>
      <c r="IW18" s="5"/>
      <c r="JF18" s="2"/>
      <c r="JG18" s="2"/>
      <c r="JI18" s="53">
        <v>14.5</v>
      </c>
      <c r="KD18" s="5"/>
      <c r="KE18" s="5"/>
      <c r="KN18" s="2"/>
      <c r="KO18" s="2"/>
      <c r="KQ18" s="53">
        <v>14.5</v>
      </c>
      <c r="LL18" s="5"/>
      <c r="LM18" s="5"/>
      <c r="LV18" s="2"/>
      <c r="LW18" s="2"/>
      <c r="LY18" s="53">
        <v>14.5</v>
      </c>
      <c r="MT18" s="5"/>
      <c r="MU18" s="5"/>
      <c r="ND18" s="2"/>
      <c r="NE18" s="2"/>
      <c r="NG18" s="53">
        <v>14.5</v>
      </c>
      <c r="OB18" s="5"/>
      <c r="OC18" s="5"/>
      <c r="OL18" s="2"/>
      <c r="OM18" s="2"/>
      <c r="OO18" s="53">
        <v>14.5</v>
      </c>
      <c r="PJ18" s="5"/>
      <c r="PK18" s="5"/>
      <c r="PT18" s="2"/>
      <c r="PU18" s="2"/>
      <c r="PW18" s="53">
        <v>14.5</v>
      </c>
      <c r="QR18" s="5"/>
      <c r="QS18" s="5"/>
      <c r="RB18" s="2"/>
      <c r="RC18" s="2"/>
      <c r="RE18" s="53">
        <v>14.5</v>
      </c>
      <c r="RZ18" s="5"/>
      <c r="SA18" s="5"/>
      <c r="SJ18" s="2"/>
      <c r="SK18" s="2"/>
      <c r="SM18" s="53">
        <v>14.5</v>
      </c>
      <c r="TH18" s="5"/>
      <c r="TI18" s="5"/>
      <c r="TR18" s="2"/>
      <c r="TS18" s="2"/>
      <c r="TU18" s="53">
        <v>14.5</v>
      </c>
      <c r="UP18" s="5"/>
      <c r="UQ18" s="5"/>
      <c r="UZ18" s="2"/>
      <c r="VA18" s="2"/>
      <c r="VC18" s="53">
        <v>14.5</v>
      </c>
      <c r="VX18" s="5"/>
      <c r="VY18" s="5"/>
      <c r="WH18" s="2"/>
      <c r="WI18" s="2"/>
      <c r="WK18" s="53">
        <v>14.5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14.6</v>
      </c>
      <c r="BK19" s="41"/>
      <c r="BL19" s="41"/>
      <c r="BM19" s="41"/>
      <c r="BO19" s="32"/>
      <c r="BP19" s="32"/>
      <c r="BR19" s="43">
        <v>14.9</v>
      </c>
      <c r="CL19" s="41"/>
      <c r="CM19" s="41"/>
      <c r="CN19" s="41"/>
      <c r="CP19" s="32"/>
      <c r="CQ19" s="32"/>
      <c r="CS19" s="43">
        <v>14.9</v>
      </c>
      <c r="DP19" s="5"/>
      <c r="DQ19" s="5"/>
      <c r="DZ19" s="2"/>
      <c r="EA19" s="2"/>
      <c r="EC19" s="43">
        <v>14.9</v>
      </c>
      <c r="EX19" s="5"/>
      <c r="EY19" s="5"/>
      <c r="FH19" s="2"/>
      <c r="FI19" s="2"/>
      <c r="FK19" s="43">
        <v>14.9</v>
      </c>
      <c r="GF19" s="5"/>
      <c r="GG19" s="5"/>
      <c r="GP19" s="2"/>
      <c r="GQ19" s="2"/>
      <c r="GS19" s="43">
        <v>14.9</v>
      </c>
      <c r="HN19" s="5"/>
      <c r="HO19" s="5"/>
      <c r="HX19" s="2"/>
      <c r="HY19" s="2"/>
      <c r="IA19" s="43">
        <v>14.9</v>
      </c>
      <c r="IV19" s="5"/>
      <c r="IW19" s="5"/>
      <c r="JF19" s="2"/>
      <c r="JG19" s="2"/>
      <c r="JI19" s="43">
        <v>14.9</v>
      </c>
      <c r="KD19" s="5"/>
      <c r="KE19" s="5"/>
      <c r="KN19" s="2"/>
      <c r="KO19" s="2"/>
      <c r="KQ19" s="43">
        <v>14.9</v>
      </c>
      <c r="LL19" s="5"/>
      <c r="LM19" s="5"/>
      <c r="LV19" s="2"/>
      <c r="LW19" s="2"/>
      <c r="LY19" s="43">
        <v>14.9</v>
      </c>
      <c r="MT19" s="5"/>
      <c r="MU19" s="5"/>
      <c r="ND19" s="2"/>
      <c r="NE19" s="2"/>
      <c r="NG19" s="43">
        <v>14.9</v>
      </c>
      <c r="OB19" s="5"/>
      <c r="OC19" s="5"/>
      <c r="OL19" s="2"/>
      <c r="OM19" s="2"/>
      <c r="OO19" s="43">
        <v>14.9</v>
      </c>
      <c r="PJ19" s="5"/>
      <c r="PK19" s="5"/>
      <c r="PT19" s="2"/>
      <c r="PU19" s="2"/>
      <c r="PW19" s="43">
        <v>14.9</v>
      </c>
      <c r="QR19" s="5"/>
      <c r="QS19" s="5"/>
      <c r="RB19" s="2"/>
      <c r="RC19" s="2"/>
      <c r="RE19" s="43">
        <v>14.9</v>
      </c>
      <c r="RZ19" s="5"/>
      <c r="SA19" s="5"/>
      <c r="SJ19" s="2"/>
      <c r="SK19" s="2"/>
      <c r="SM19" s="43">
        <v>14.9</v>
      </c>
      <c r="TH19" s="5"/>
      <c r="TI19" s="5"/>
      <c r="TR19" s="2"/>
      <c r="TS19" s="2"/>
      <c r="TU19" s="43">
        <v>14.9</v>
      </c>
      <c r="UP19" s="5"/>
      <c r="UQ19" s="5"/>
      <c r="UZ19" s="2"/>
      <c r="VA19" s="2"/>
      <c r="VC19" s="43">
        <v>14.9</v>
      </c>
      <c r="VX19" s="5"/>
      <c r="VY19" s="5"/>
      <c r="WH19" s="2"/>
      <c r="WI19" s="2"/>
      <c r="WK19" s="43">
        <v>14.9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54">
        <v>15.2</v>
      </c>
      <c r="BK20" s="41"/>
      <c r="BL20" s="41"/>
      <c r="BM20" s="41"/>
      <c r="BO20" s="32"/>
      <c r="BP20" s="32"/>
      <c r="BR20" s="54">
        <v>15.5</v>
      </c>
      <c r="CL20" s="41"/>
      <c r="CM20" s="41"/>
      <c r="CN20" s="41"/>
      <c r="CO20" s="32"/>
      <c r="CP20" s="32"/>
      <c r="CQ20" s="32"/>
      <c r="CR20" s="32"/>
      <c r="CS20" s="54">
        <v>15.5</v>
      </c>
      <c r="DP20" s="5"/>
      <c r="DQ20" s="5"/>
      <c r="DZ20" s="2"/>
      <c r="EA20" s="2"/>
      <c r="EC20" s="44">
        <v>0</v>
      </c>
      <c r="EX20" s="5"/>
      <c r="EY20" s="5"/>
      <c r="FH20" s="2"/>
      <c r="FI20" s="2"/>
      <c r="FK20" s="44">
        <v>0</v>
      </c>
      <c r="GF20" s="5"/>
      <c r="GG20" s="5"/>
      <c r="GP20" s="2"/>
      <c r="GQ20" s="2"/>
      <c r="GS20" s="54">
        <v>0</v>
      </c>
      <c r="HN20" s="5"/>
      <c r="HO20" s="5"/>
      <c r="HX20" s="2"/>
      <c r="HY20" s="2"/>
      <c r="IA20" s="54">
        <v>0</v>
      </c>
      <c r="IV20" s="5"/>
      <c r="IW20" s="5"/>
      <c r="JF20" s="2"/>
      <c r="JG20" s="2"/>
      <c r="JI20" s="54">
        <v>0</v>
      </c>
      <c r="KD20" s="5"/>
      <c r="KE20" s="5"/>
      <c r="KN20" s="2"/>
      <c r="KO20" s="2"/>
      <c r="KQ20" s="54">
        <v>0</v>
      </c>
      <c r="LL20" s="5"/>
      <c r="LM20" s="5"/>
      <c r="LV20" s="2"/>
      <c r="LW20" s="2"/>
      <c r="LY20" s="54">
        <v>0</v>
      </c>
      <c r="MT20" s="5"/>
      <c r="MU20" s="5"/>
      <c r="ND20" s="2"/>
      <c r="NE20" s="2"/>
      <c r="NG20" s="54">
        <v>0</v>
      </c>
      <c r="OB20" s="5"/>
      <c r="OC20" s="5"/>
      <c r="OL20" s="2"/>
      <c r="OM20" s="2"/>
      <c r="OO20" s="54">
        <v>0</v>
      </c>
      <c r="PJ20" s="5"/>
      <c r="PK20" s="5"/>
      <c r="PT20" s="2"/>
      <c r="PU20" s="2"/>
      <c r="PW20" s="54">
        <v>0</v>
      </c>
      <c r="QR20" s="5"/>
      <c r="QS20" s="5"/>
      <c r="RB20" s="2"/>
      <c r="RC20" s="2"/>
      <c r="RE20" s="54">
        <v>0</v>
      </c>
      <c r="RZ20" s="5"/>
      <c r="SA20" s="5"/>
      <c r="SJ20" s="2"/>
      <c r="SK20" s="2"/>
      <c r="SM20" s="54">
        <v>0</v>
      </c>
      <c r="TH20" s="5"/>
      <c r="TI20" s="5"/>
      <c r="TR20" s="2"/>
      <c r="TS20" s="2"/>
      <c r="TU20" s="54">
        <v>0</v>
      </c>
      <c r="UP20" s="5"/>
      <c r="UQ20" s="5"/>
      <c r="UZ20" s="2"/>
      <c r="VA20" s="2"/>
      <c r="VC20" s="54">
        <v>0</v>
      </c>
      <c r="VX20" s="5"/>
      <c r="VY20" s="5"/>
      <c r="WH20" s="2"/>
      <c r="WI20" s="2"/>
      <c r="WK20" s="54">
        <v>0</v>
      </c>
    </row>
    <row r="21" spans="1:609" x14ac:dyDescent="0.2">
      <c r="A21" s="5"/>
      <c r="B21" s="35" t="s">
        <v>75</v>
      </c>
      <c r="C21" s="5"/>
      <c r="E21" s="2"/>
      <c r="AJ21" s="41"/>
      <c r="AK21" s="41"/>
      <c r="AL21" s="41"/>
      <c r="AM21" s="32"/>
      <c r="AN21" s="32"/>
      <c r="AO21" s="32"/>
      <c r="AP21" s="32"/>
      <c r="AQ21" s="55">
        <v>16</v>
      </c>
      <c r="BK21" s="41"/>
      <c r="BL21" s="41"/>
      <c r="BM21" s="41"/>
      <c r="BO21" s="32"/>
      <c r="BP21" s="32"/>
      <c r="BR21" s="55">
        <v>16.3</v>
      </c>
      <c r="CL21" s="41"/>
      <c r="CM21" s="41"/>
      <c r="CN21" s="41"/>
      <c r="CO21" s="32"/>
      <c r="CP21" s="32"/>
      <c r="CQ21" s="32"/>
      <c r="CR21" s="32"/>
      <c r="CS21" s="55">
        <v>16.3</v>
      </c>
      <c r="DP21" s="5"/>
      <c r="DQ21" s="5"/>
      <c r="DZ21" s="2"/>
      <c r="EA21" s="2"/>
      <c r="EC21" s="45">
        <v>0</v>
      </c>
      <c r="EX21" s="5"/>
      <c r="EY21" s="5"/>
      <c r="FH21" s="2"/>
      <c r="FI21" s="2"/>
      <c r="FK21" s="45">
        <v>0</v>
      </c>
      <c r="GF21" s="5"/>
      <c r="GG21" s="5"/>
      <c r="GP21" s="2"/>
      <c r="GQ21" s="2"/>
      <c r="GS21" s="55">
        <v>0</v>
      </c>
      <c r="HN21" s="5"/>
      <c r="HO21" s="5"/>
      <c r="HX21" s="2"/>
      <c r="HY21" s="2"/>
      <c r="IA21" s="55">
        <v>0</v>
      </c>
      <c r="IV21" s="5"/>
      <c r="IW21" s="5"/>
      <c r="JF21" s="2"/>
      <c r="JG21" s="2"/>
      <c r="JI21" s="55">
        <v>0</v>
      </c>
      <c r="KD21" s="5"/>
      <c r="KE21" s="5"/>
      <c r="KN21" s="2"/>
      <c r="KO21" s="2"/>
      <c r="KQ21" s="55">
        <v>0</v>
      </c>
      <c r="LL21" s="5"/>
      <c r="LM21" s="5"/>
      <c r="LV21" s="2"/>
      <c r="LW21" s="2"/>
      <c r="LY21" s="55">
        <v>0</v>
      </c>
      <c r="MT21" s="5"/>
      <c r="MU21" s="5"/>
      <c r="ND21" s="2"/>
      <c r="NE21" s="2"/>
      <c r="NG21" s="55">
        <v>0</v>
      </c>
      <c r="OB21" s="5"/>
      <c r="OC21" s="5"/>
      <c r="OL21" s="2"/>
      <c r="OM21" s="2"/>
      <c r="OO21" s="55">
        <v>0</v>
      </c>
      <c r="PJ21" s="5"/>
      <c r="PK21" s="5"/>
      <c r="PT21" s="2"/>
      <c r="PU21" s="2"/>
      <c r="PW21" s="55">
        <v>0</v>
      </c>
      <c r="QR21" s="5"/>
      <c r="QS21" s="5"/>
      <c r="RB21" s="2"/>
      <c r="RC21" s="2"/>
      <c r="RE21" s="55">
        <v>0</v>
      </c>
      <c r="RZ21" s="5"/>
      <c r="SA21" s="5"/>
      <c r="SJ21" s="2"/>
      <c r="SK21" s="2"/>
      <c r="SM21" s="55">
        <v>0</v>
      </c>
      <c r="TH21" s="5"/>
      <c r="TI21" s="5"/>
      <c r="TR21" s="2"/>
      <c r="TS21" s="2"/>
      <c r="TU21" s="55">
        <v>0</v>
      </c>
      <c r="UP21" s="5"/>
      <c r="UQ21" s="5"/>
      <c r="UZ21" s="2"/>
      <c r="VA21" s="2"/>
      <c r="VC21" s="55">
        <v>0</v>
      </c>
      <c r="VX21" s="5"/>
      <c r="VY21" s="5"/>
      <c r="WH21" s="2"/>
      <c r="WI21" s="2"/>
      <c r="WK21" s="55">
        <v>0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56">
        <v>47.2</v>
      </c>
      <c r="BK22" s="41"/>
      <c r="BL22" s="41"/>
      <c r="BM22" s="41"/>
      <c r="BO22" s="32"/>
      <c r="BP22" s="32"/>
      <c r="BR22" s="56">
        <v>48</v>
      </c>
      <c r="CL22" s="41"/>
      <c r="CM22" s="41"/>
      <c r="CN22" s="41"/>
      <c r="CO22" s="32"/>
      <c r="CP22" s="32"/>
      <c r="CQ22" s="32"/>
      <c r="CR22" s="32"/>
      <c r="CS22" s="56">
        <v>48</v>
      </c>
      <c r="DP22" s="5"/>
      <c r="DQ22" s="5"/>
      <c r="DZ22" s="2"/>
      <c r="EA22" s="2"/>
      <c r="EC22" s="46">
        <v>48</v>
      </c>
      <c r="EX22" s="5"/>
      <c r="EY22" s="5"/>
      <c r="FH22" s="2"/>
      <c r="FI22" s="2"/>
      <c r="FK22" s="46">
        <v>48</v>
      </c>
      <c r="GF22" s="5"/>
      <c r="GG22" s="5"/>
      <c r="GP22" s="2"/>
      <c r="GQ22" s="2"/>
      <c r="GS22" s="56">
        <v>48</v>
      </c>
      <c r="HN22" s="5"/>
      <c r="HO22" s="5"/>
      <c r="HX22" s="2"/>
      <c r="HY22" s="2"/>
      <c r="IA22" s="56">
        <v>48</v>
      </c>
      <c r="IV22" s="5"/>
      <c r="IW22" s="5"/>
      <c r="JF22" s="2"/>
      <c r="JG22" s="2"/>
      <c r="JI22" s="56">
        <v>48</v>
      </c>
      <c r="KD22" s="5"/>
      <c r="KE22" s="5"/>
      <c r="KN22" s="2"/>
      <c r="KO22" s="2"/>
      <c r="KQ22" s="56">
        <v>48</v>
      </c>
      <c r="LL22" s="5"/>
      <c r="LM22" s="5"/>
      <c r="LV22" s="2"/>
      <c r="LW22" s="2"/>
      <c r="LY22" s="56">
        <v>48</v>
      </c>
      <c r="MT22" s="5"/>
      <c r="MU22" s="5"/>
      <c r="ND22" s="2"/>
      <c r="NE22" s="2"/>
      <c r="NG22" s="56">
        <v>48</v>
      </c>
      <c r="OB22" s="5"/>
      <c r="OC22" s="5"/>
      <c r="OL22" s="2"/>
      <c r="OM22" s="2"/>
      <c r="OO22" s="56">
        <v>48</v>
      </c>
      <c r="PJ22" s="5"/>
      <c r="PK22" s="5"/>
      <c r="PT22" s="2"/>
      <c r="PU22" s="2"/>
      <c r="PW22" s="56">
        <v>48</v>
      </c>
      <c r="QR22" s="5"/>
      <c r="QS22" s="5"/>
      <c r="RB22" s="2"/>
      <c r="RC22" s="2"/>
      <c r="RE22" s="56">
        <v>48</v>
      </c>
      <c r="RZ22" s="5"/>
      <c r="SA22" s="5"/>
      <c r="SJ22" s="2"/>
      <c r="SK22" s="2"/>
      <c r="SM22" s="56">
        <v>48</v>
      </c>
      <c r="TH22" s="5"/>
      <c r="TI22" s="5"/>
      <c r="TR22" s="2"/>
      <c r="TS22" s="2"/>
      <c r="TU22" s="56">
        <v>48</v>
      </c>
      <c r="UP22" s="5"/>
      <c r="UQ22" s="5"/>
      <c r="UZ22" s="2"/>
      <c r="VA22" s="2"/>
      <c r="VC22" s="56">
        <v>48</v>
      </c>
      <c r="VX22" s="5"/>
      <c r="VY22" s="5"/>
      <c r="WH22" s="2"/>
      <c r="WI22" s="2"/>
      <c r="WK22" s="56">
        <v>48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57">
        <v>48.5</v>
      </c>
      <c r="BK23" s="41"/>
      <c r="BL23" s="41"/>
      <c r="BM23" s="41"/>
      <c r="BO23" s="32"/>
      <c r="BP23" s="32"/>
      <c r="BR23" s="57">
        <v>48.6</v>
      </c>
      <c r="CL23" s="41"/>
      <c r="CM23" s="41"/>
      <c r="CN23" s="41"/>
      <c r="CO23" s="32"/>
      <c r="CP23" s="32"/>
      <c r="CQ23" s="32"/>
      <c r="CR23" s="32"/>
      <c r="CS23" s="57">
        <v>48.6</v>
      </c>
      <c r="DP23" s="5"/>
      <c r="DQ23" s="5"/>
      <c r="DZ23" s="2"/>
      <c r="EA23" s="2"/>
      <c r="EC23" s="47">
        <v>48.6</v>
      </c>
      <c r="EX23" s="5"/>
      <c r="EY23" s="5"/>
      <c r="FH23" s="2"/>
      <c r="FI23" s="2"/>
      <c r="FK23" s="47">
        <v>48.6</v>
      </c>
      <c r="GF23" s="5"/>
      <c r="GG23" s="5"/>
      <c r="GP23" s="2"/>
      <c r="GQ23" s="2"/>
      <c r="GS23" s="57">
        <v>48.6</v>
      </c>
      <c r="HN23" s="5"/>
      <c r="HO23" s="5"/>
      <c r="HX23" s="2"/>
      <c r="HY23" s="2"/>
      <c r="IA23" s="57">
        <v>48.6</v>
      </c>
      <c r="IV23" s="5"/>
      <c r="IW23" s="5"/>
      <c r="JF23" s="2"/>
      <c r="JG23" s="2"/>
      <c r="JI23" s="57">
        <v>48.6</v>
      </c>
      <c r="KD23" s="5"/>
      <c r="KE23" s="5"/>
      <c r="KN23" s="2"/>
      <c r="KO23" s="2"/>
      <c r="KQ23" s="57">
        <v>48.6</v>
      </c>
      <c r="LL23" s="5"/>
      <c r="LM23" s="5"/>
      <c r="LV23" s="2"/>
      <c r="LW23" s="2"/>
      <c r="LY23" s="57">
        <v>48.6</v>
      </c>
      <c r="MT23" s="5"/>
      <c r="MU23" s="5"/>
      <c r="ND23" s="2"/>
      <c r="NE23" s="2"/>
      <c r="NG23" s="57">
        <v>48.6</v>
      </c>
      <c r="OB23" s="5"/>
      <c r="OC23" s="5"/>
      <c r="OL23" s="2"/>
      <c r="OM23" s="2"/>
      <c r="OO23" s="57">
        <v>48.6</v>
      </c>
      <c r="PJ23" s="5"/>
      <c r="PK23" s="5"/>
      <c r="PT23" s="2"/>
      <c r="PU23" s="2"/>
      <c r="PW23" s="57">
        <v>48.6</v>
      </c>
      <c r="QR23" s="5"/>
      <c r="QS23" s="5"/>
      <c r="RB23" s="2"/>
      <c r="RC23" s="2"/>
      <c r="RE23" s="57">
        <v>48.6</v>
      </c>
      <c r="RZ23" s="5"/>
      <c r="SA23" s="5"/>
      <c r="SJ23" s="2"/>
      <c r="SK23" s="2"/>
      <c r="SM23" s="57">
        <v>48.6</v>
      </c>
      <c r="TH23" s="5"/>
      <c r="TI23" s="5"/>
      <c r="TR23" s="2"/>
      <c r="TS23" s="2"/>
      <c r="TU23" s="57">
        <v>48.6</v>
      </c>
      <c r="UP23" s="5"/>
      <c r="UQ23" s="5"/>
      <c r="UZ23" s="2"/>
      <c r="VA23" s="2"/>
      <c r="VC23" s="57">
        <v>48.6</v>
      </c>
      <c r="VX23" s="5"/>
      <c r="VY23" s="5"/>
      <c r="WH23" s="2"/>
      <c r="WI23" s="2"/>
      <c r="WK23" s="57">
        <v>48.6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58">
        <v>49.2</v>
      </c>
      <c r="BK24" s="41"/>
      <c r="BL24" s="41"/>
      <c r="BM24" s="41"/>
      <c r="BO24" s="32"/>
      <c r="BP24" s="32"/>
      <c r="BR24" s="58">
        <v>49.3</v>
      </c>
      <c r="CL24" s="41"/>
      <c r="CM24" s="41"/>
      <c r="CN24" s="41"/>
      <c r="CO24" s="32"/>
      <c r="CP24" s="32"/>
      <c r="CQ24" s="32"/>
      <c r="CR24" s="32"/>
      <c r="CS24" s="58">
        <v>49.3</v>
      </c>
      <c r="DP24" s="5"/>
      <c r="DQ24" s="5"/>
      <c r="DZ24" s="2"/>
      <c r="EA24" s="2"/>
      <c r="EB24" s="37"/>
      <c r="EC24" s="48">
        <v>49.3</v>
      </c>
      <c r="EX24" s="5"/>
      <c r="EY24" s="5"/>
      <c r="FH24" s="2"/>
      <c r="FI24" s="2"/>
      <c r="FJ24" s="37"/>
      <c r="FK24" s="48">
        <v>49.3</v>
      </c>
      <c r="GF24" s="5"/>
      <c r="GG24" s="5"/>
      <c r="GP24" s="2"/>
      <c r="GQ24" s="2"/>
      <c r="GR24" s="37"/>
      <c r="GS24" s="58">
        <v>49.3</v>
      </c>
      <c r="HN24" s="5"/>
      <c r="HO24" s="5"/>
      <c r="HX24" s="2"/>
      <c r="HY24" s="2"/>
      <c r="HZ24" s="37"/>
      <c r="IA24" s="58">
        <v>49.3</v>
      </c>
      <c r="IV24" s="5"/>
      <c r="IW24" s="5"/>
      <c r="JF24" s="2"/>
      <c r="JG24" s="2"/>
      <c r="JH24" s="37"/>
      <c r="JI24" s="58">
        <v>49.3</v>
      </c>
      <c r="KD24" s="5"/>
      <c r="KE24" s="5"/>
      <c r="KN24" s="2"/>
      <c r="KO24" s="2"/>
      <c r="KP24" s="37"/>
      <c r="KQ24" s="58">
        <v>49.3</v>
      </c>
      <c r="LL24" s="5"/>
      <c r="LM24" s="5"/>
      <c r="LV24" s="2"/>
      <c r="LW24" s="2"/>
      <c r="LX24" s="37"/>
      <c r="LY24" s="58">
        <v>49.3</v>
      </c>
      <c r="MT24" s="5"/>
      <c r="MU24" s="5"/>
      <c r="ND24" s="2"/>
      <c r="NE24" s="2"/>
      <c r="NF24" s="37"/>
      <c r="NG24" s="58">
        <v>49.3</v>
      </c>
      <c r="OB24" s="5"/>
      <c r="OC24" s="5"/>
      <c r="OL24" s="2"/>
      <c r="OM24" s="2"/>
      <c r="ON24" s="37"/>
      <c r="OO24" s="58">
        <v>49.3</v>
      </c>
      <c r="PJ24" s="5"/>
      <c r="PK24" s="5"/>
      <c r="PT24" s="2"/>
      <c r="PU24" s="2"/>
      <c r="PV24" s="37"/>
      <c r="PW24" s="58">
        <v>49.3</v>
      </c>
      <c r="QR24" s="5"/>
      <c r="QS24" s="5"/>
      <c r="RB24" s="2"/>
      <c r="RC24" s="2"/>
      <c r="RD24" s="37"/>
      <c r="RE24" s="58">
        <v>49.3</v>
      </c>
      <c r="RZ24" s="5"/>
      <c r="SA24" s="5"/>
      <c r="SJ24" s="2"/>
      <c r="SK24" s="2"/>
      <c r="SL24" s="37"/>
      <c r="SM24" s="58">
        <v>49.3</v>
      </c>
      <c r="TH24" s="5"/>
      <c r="TI24" s="5"/>
      <c r="TR24" s="2"/>
      <c r="TS24" s="2"/>
      <c r="TT24" s="37"/>
      <c r="TU24" s="58">
        <v>49.3</v>
      </c>
      <c r="UP24" s="5"/>
      <c r="UQ24" s="5"/>
      <c r="UZ24" s="2"/>
      <c r="VA24" s="2"/>
      <c r="VB24" s="37"/>
      <c r="VC24" s="58">
        <v>49.3</v>
      </c>
      <c r="VX24" s="5"/>
      <c r="VY24" s="5"/>
      <c r="WH24" s="2"/>
      <c r="WI24" s="2"/>
      <c r="WJ24" s="37"/>
      <c r="WK24" s="58">
        <v>49.3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59">
        <v>50</v>
      </c>
      <c r="BK25" s="41"/>
      <c r="BL25" s="41"/>
      <c r="BM25" s="41"/>
      <c r="BO25" s="41"/>
      <c r="BP25" s="32"/>
      <c r="BR25" s="59">
        <v>50.2</v>
      </c>
      <c r="CL25" s="41"/>
      <c r="CM25" s="41"/>
      <c r="CN25" s="41"/>
      <c r="CO25" s="32"/>
      <c r="CP25" s="41"/>
      <c r="CQ25" s="32"/>
      <c r="CR25" s="32"/>
      <c r="CS25" s="59">
        <v>50.2</v>
      </c>
      <c r="DP25" s="5"/>
      <c r="DQ25" s="5"/>
      <c r="DZ25" s="41"/>
      <c r="EA25" s="2"/>
      <c r="EC25" s="49">
        <v>50.2</v>
      </c>
      <c r="EX25" s="5"/>
      <c r="EY25" s="5"/>
      <c r="FH25" s="41"/>
      <c r="FI25" s="2"/>
      <c r="FK25" s="49">
        <v>50.2</v>
      </c>
      <c r="GF25" s="5"/>
      <c r="GG25" s="5"/>
      <c r="GP25" s="2"/>
      <c r="GQ25" s="2"/>
      <c r="GS25" s="59">
        <v>50.2</v>
      </c>
      <c r="HN25" s="5"/>
      <c r="HO25" s="5"/>
      <c r="HX25" s="41"/>
      <c r="HY25" s="2"/>
      <c r="IA25" s="59">
        <v>50.2</v>
      </c>
      <c r="IV25" s="5"/>
      <c r="IW25" s="5"/>
      <c r="JF25" s="2"/>
      <c r="JG25" s="2"/>
      <c r="JI25" s="59">
        <v>50.2</v>
      </c>
      <c r="KD25" s="5"/>
      <c r="KE25" s="5"/>
      <c r="KN25" s="2"/>
      <c r="KO25" s="2"/>
      <c r="KQ25" s="59">
        <v>50.2</v>
      </c>
      <c r="LL25" s="5"/>
      <c r="LM25" s="5"/>
      <c r="LV25" s="2"/>
      <c r="LW25" s="2"/>
      <c r="LY25" s="59">
        <v>50.2</v>
      </c>
      <c r="MT25" s="5"/>
      <c r="MU25" s="5"/>
      <c r="ND25" s="2"/>
      <c r="NE25" s="2"/>
      <c r="NG25" s="59">
        <v>50.2</v>
      </c>
      <c r="OB25" s="5"/>
      <c r="OC25" s="5"/>
      <c r="OL25" s="2"/>
      <c r="OM25" s="2"/>
      <c r="OO25" s="59">
        <v>50.2</v>
      </c>
      <c r="PJ25" s="5"/>
      <c r="PK25" s="5"/>
      <c r="PT25" s="2"/>
      <c r="PU25" s="2"/>
      <c r="PW25" s="59">
        <v>50.2</v>
      </c>
      <c r="QR25" s="5"/>
      <c r="QS25" s="5"/>
      <c r="RB25" s="2"/>
      <c r="RC25" s="2"/>
      <c r="RE25" s="59">
        <v>50.2</v>
      </c>
      <c r="RZ25" s="5"/>
      <c r="SA25" s="5"/>
      <c r="SJ25" s="2"/>
      <c r="SK25" s="2"/>
      <c r="SM25" s="59">
        <v>50.2</v>
      </c>
      <c r="TH25" s="5"/>
      <c r="TI25" s="5"/>
      <c r="TR25" s="2"/>
      <c r="TS25" s="2"/>
      <c r="TU25" s="59">
        <v>50.2</v>
      </c>
      <c r="UP25" s="5"/>
      <c r="UQ25" s="5"/>
      <c r="UZ25" s="2"/>
      <c r="VA25" s="2"/>
      <c r="VC25" s="59">
        <v>50.2</v>
      </c>
      <c r="VX25" s="5"/>
      <c r="VY25" s="5"/>
      <c r="WH25" s="2"/>
      <c r="WI25" s="2"/>
      <c r="WK25" s="59">
        <v>50.2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ht="17" x14ac:dyDescent="0.2">
      <c r="N42" s="10"/>
      <c r="O42" s="10"/>
      <c r="P42" s="10"/>
    </row>
    <row r="43" spans="1:519" ht="17" x14ac:dyDescent="0.2">
      <c r="N43" s="10"/>
      <c r="O43" s="10"/>
      <c r="P43" s="10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5">
      <sortCondition descending="1" ref="F1:F16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5">
    <cfRule type="expression" dxfId="531" priority="70" stopIfTrue="1">
      <formula>IF($AF4&lt;&gt;"",1,0)</formula>
    </cfRule>
  </conditionalFormatting>
  <conditionalFormatting sqref="AR4:BR15">
    <cfRule type="expression" dxfId="530" priority="63" stopIfTrue="1">
      <formula>IF($BG4&lt;&gt;"",1,0)</formula>
    </cfRule>
  </conditionalFormatting>
  <conditionalFormatting sqref="BS4:CS15">
    <cfRule type="expression" dxfId="529" priority="62" stopIfTrue="1">
      <formula>IF($CH4&lt;&gt;"",1,0)</formula>
    </cfRule>
  </conditionalFormatting>
  <conditionalFormatting sqref="BO26:BO1048576 BH1:BH1048576 BK1:BK1048576 BO1:BO24">
    <cfRule type="cellIs" dxfId="528" priority="75" operator="between">
      <formula>$BR$21</formula>
      <formula>1000</formula>
    </cfRule>
    <cfRule type="cellIs" dxfId="527" priority="76" operator="between">
      <formula>$BR$20</formula>
      <formula>$BR$21</formula>
    </cfRule>
    <cfRule type="cellIs" dxfId="526" priority="77" operator="between">
      <formula>$BR$19</formula>
      <formula>$BR$20</formula>
    </cfRule>
    <cfRule type="cellIs" dxfId="525" priority="78" operator="between">
      <formula>$BR$18</formula>
      <formula>$BR$19</formula>
    </cfRule>
  </conditionalFormatting>
  <conditionalFormatting sqref="CP26:CP1048576 CI1:CI1048576 CL1:CL1048576 CP1:CP24">
    <cfRule type="cellIs" dxfId="524" priority="71" operator="between">
      <formula>$CS$21</formula>
      <formula>1000</formula>
    </cfRule>
    <cfRule type="cellIs" dxfId="523" priority="72" operator="between">
      <formula>$CS$20</formula>
      <formula>$CS$21</formula>
    </cfRule>
    <cfRule type="cellIs" dxfId="522" priority="73" operator="between">
      <formula>$CS$19</formula>
      <formula>$CS$20</formula>
    </cfRule>
    <cfRule type="cellIs" dxfId="521" priority="74" operator="between">
      <formula>$CS$18</formula>
      <formula>$CS$19</formula>
    </cfRule>
  </conditionalFormatting>
  <conditionalFormatting sqref="DZ26:DZ1048576 DP1:DP1048576 DS1:DS1048576 DW1:DW1048576 DZ1:DZ24">
    <cfRule type="cellIs" dxfId="520" priority="85" operator="between">
      <formula>$EC$18</formula>
      <formula>$EC$19</formula>
    </cfRule>
  </conditionalFormatting>
  <conditionalFormatting sqref="AO25 AG1:AG1048576 AJ1:AJ1048576 AN1:AN1048576">
    <cfRule type="cellIs" dxfId="519" priority="50" operator="between">
      <formula>$AQ$21</formula>
      <formula>1000</formula>
    </cfRule>
    <cfRule type="cellIs" dxfId="518" priority="51" operator="between">
      <formula>$AQ$20</formula>
      <formula>$AQ$21</formula>
    </cfRule>
    <cfRule type="cellIs" dxfId="517" priority="52" operator="between">
      <formula>$AQ$19</formula>
      <formula>$AQ$20</formula>
    </cfRule>
    <cfRule type="cellIs" dxfId="516" priority="53" operator="between">
      <formula>$AQ$18</formula>
      <formula>$AQ$19</formula>
    </cfRule>
  </conditionalFormatting>
  <conditionalFormatting sqref="BO25">
    <cfRule type="cellIs" dxfId="515" priority="46" operator="between">
      <formula>$AQ$21</formula>
      <formula>1000</formula>
    </cfRule>
    <cfRule type="cellIs" dxfId="514" priority="47" operator="between">
      <formula>$AQ$20</formula>
      <formula>$AQ$21</formula>
    </cfRule>
    <cfRule type="cellIs" dxfId="513" priority="48" operator="between">
      <formula>$AQ$19</formula>
      <formula>$AQ$20</formula>
    </cfRule>
    <cfRule type="cellIs" dxfId="512" priority="49" operator="between">
      <formula>$AQ$18</formula>
      <formula>$AQ$19</formula>
    </cfRule>
  </conditionalFormatting>
  <conditionalFormatting sqref="CP25">
    <cfRule type="cellIs" dxfId="511" priority="42" operator="between">
      <formula>$AQ$21</formula>
      <formula>1000</formula>
    </cfRule>
    <cfRule type="cellIs" dxfId="510" priority="43" operator="between">
      <formula>$AQ$20</formula>
      <formula>$AQ$21</formula>
    </cfRule>
    <cfRule type="cellIs" dxfId="509" priority="44" operator="between">
      <formula>$AQ$19</formula>
      <formula>$AQ$20</formula>
    </cfRule>
    <cfRule type="cellIs" dxfId="508" priority="45" operator="between">
      <formula>$AQ$18</formula>
      <formula>$AQ$19</formula>
    </cfRule>
  </conditionalFormatting>
  <conditionalFormatting sqref="DZ25">
    <cfRule type="cellIs" dxfId="507" priority="38" operator="between">
      <formula>$AQ$21</formula>
      <formula>1000</formula>
    </cfRule>
    <cfRule type="cellIs" dxfId="506" priority="39" operator="between">
      <formula>$AQ$20</formula>
      <formula>$AQ$21</formula>
    </cfRule>
    <cfRule type="cellIs" dxfId="505" priority="40" operator="between">
      <formula>$AQ$19</formula>
      <formula>$AQ$20</formula>
    </cfRule>
    <cfRule type="cellIs" dxfId="504" priority="41" operator="between">
      <formula>$AQ$18</formula>
      <formula>$AQ$19</formula>
    </cfRule>
  </conditionalFormatting>
  <conditionalFormatting sqref="FH25">
    <cfRule type="cellIs" dxfId="503" priority="34" operator="between">
      <formula>$AQ$21</formula>
      <formula>1000</formula>
    </cfRule>
    <cfRule type="cellIs" dxfId="502" priority="35" operator="between">
      <formula>$AQ$20</formula>
      <formula>$AQ$21</formula>
    </cfRule>
    <cfRule type="cellIs" dxfId="501" priority="36" operator="between">
      <formula>$AQ$19</formula>
      <formula>$AQ$20</formula>
    </cfRule>
    <cfRule type="cellIs" dxfId="500" priority="37" operator="between">
      <formula>$AQ$18</formula>
      <formula>$AQ$19</formula>
    </cfRule>
  </conditionalFormatting>
  <conditionalFormatting sqref="HX25">
    <cfRule type="cellIs" dxfId="499" priority="30" operator="between">
      <formula>$AQ$21</formula>
      <formula>1000</formula>
    </cfRule>
    <cfRule type="cellIs" dxfId="498" priority="31" operator="between">
      <formula>$AQ$20</formula>
      <formula>$AQ$21</formula>
    </cfRule>
    <cfRule type="cellIs" dxfId="497" priority="32" operator="between">
      <formula>$AQ$19</formula>
      <formula>$AQ$20</formula>
    </cfRule>
    <cfRule type="cellIs" dxfId="496" priority="33" operator="between">
      <formula>$AQ$18</formula>
      <formula>$AQ$19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AQ$25</formula>
      <formula>1000</formula>
    </cfRule>
    <cfRule type="cellIs" dxfId="491" priority="16645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UU1:UU25 TM1:TM25 WC1:WC25">
    <cfRule type="cellIs" dxfId="490" priority="166464" operator="between">
      <formula>EC$25</formula>
      <formula>1000</formula>
    </cfRule>
    <cfRule type="cellIs" dxfId="489" priority="166465" operator="between">
      <formula>EC$24</formula>
      <formula>EC$25</formula>
    </cfRule>
  </conditionalFormatting>
  <conditionalFormatting sqref="AI1:AI1048576 AL1:AL1048576 AP1:AP1048576">
    <cfRule type="cellIs" dxfId="488" priority="166548" operator="between">
      <formula>$AQ$25</formula>
      <formula>1000</formula>
    </cfRule>
    <cfRule type="cellIs" dxfId="487" priority="166549" operator="between">
      <formula>$AQ$24</formula>
      <formula>$AQ$25</formula>
    </cfRule>
    <cfRule type="cellIs" dxfId="486" priority="166550" operator="between">
      <formula>$AQ$23</formula>
      <formula>$AQ$24</formula>
    </cfRule>
    <cfRule type="cellIs" dxfId="485" priority="166551" operator="between">
      <formula>$AQ$22</formula>
      <formula>$AQ$23</formula>
    </cfRule>
  </conditionalFormatting>
  <conditionalFormatting sqref="BJ1:BJ1048576 BM1:BM1048576 BQ1:BQ1048576">
    <cfRule type="cellIs" dxfId="484" priority="166584" operator="between">
      <formula>$BR$25</formula>
      <formula>1000</formula>
    </cfRule>
    <cfRule type="cellIs" dxfId="483" priority="166585" operator="between">
      <formula>$BR$24</formula>
      <formula>$BR$25</formula>
    </cfRule>
    <cfRule type="cellIs" dxfId="482" priority="166586" operator="between">
      <formula>$BR$23</formula>
      <formula>$BR$24</formula>
    </cfRule>
    <cfRule type="cellIs" dxfId="481" priority="166587" operator="between">
      <formula>$BR$22</formula>
      <formula>$BR$23</formula>
    </cfRule>
  </conditionalFormatting>
  <conditionalFormatting sqref="CK1:CK1048576 CN1:CN1048576 CR1:CR1048576">
    <cfRule type="cellIs" dxfId="480" priority="166620" operator="between">
      <formula>$CS$25</formula>
      <formula>1000</formula>
    </cfRule>
    <cfRule type="cellIs" dxfId="479" priority="166621" operator="between">
      <formula>$CS$24</formula>
      <formula>$CS$25</formula>
    </cfRule>
    <cfRule type="cellIs" dxfId="478" priority="166622" operator="between">
      <formula>$CS$23</formula>
      <formula>$CS$24</formula>
    </cfRule>
    <cfRule type="cellIs" dxfId="477" priority="166623" operator="between">
      <formula>$CS$22</formula>
      <formula>$CS$23</formula>
    </cfRule>
  </conditionalFormatting>
  <conditionalFormatting sqref="MT1:MT1048576 MW1:MW1048576 NA1:NA1048576 ND1:ND1048576">
    <cfRule type="cellIs" dxfId="476" priority="167198" operator="between">
      <formula>$NG$18</formula>
      <formula>$NG$19</formula>
    </cfRule>
  </conditionalFormatting>
  <conditionalFormatting sqref="DR1:DR1048576 DU1:DU1048576 DY1:DY1048576 EB1:EB1048576">
    <cfRule type="cellIs" dxfId="475" priority="166668" operator="between">
      <formula>$EC$25</formula>
      <formula>1000</formula>
    </cfRule>
    <cfRule type="cellIs" dxfId="474" priority="166669" operator="between">
      <formula>$EC$24</formula>
      <formula>$EC$25</formula>
    </cfRule>
    <cfRule type="cellIs" dxfId="473" priority="166670" operator="between">
      <formula>$EC$23</formula>
      <formula>$EC$24</formula>
    </cfRule>
    <cfRule type="cellIs" dxfId="472" priority="166671" operator="between">
      <formula>$EC$22</formula>
      <formula>$EC$23</formula>
    </cfRule>
  </conditionalFormatting>
  <conditionalFormatting sqref="EZ1:EZ1048576 FC1:FC1048576 FG1:FG1048576 FJ1:FJ1048576">
    <cfRule type="cellIs" dxfId="471" priority="166716" operator="between">
      <formula>$FK$25</formula>
      <formula>1000</formula>
    </cfRule>
    <cfRule type="cellIs" dxfId="470" priority="166717" operator="between">
      <formula>$FK$24</formula>
      <formula>$FK$25</formula>
    </cfRule>
    <cfRule type="cellIs" dxfId="469" priority="166718" operator="between">
      <formula>$FK$23</formula>
      <formula>$FK$24</formula>
    </cfRule>
    <cfRule type="cellIs" dxfId="468" priority="166719" operator="between">
      <formula>$FK$22</formula>
      <formula>$FK$23</formula>
    </cfRule>
  </conditionalFormatting>
  <conditionalFormatting sqref="GF1:GF1048576 GI1:GI1048576 GM1:GM1048576 GP1:GP1048576">
    <cfRule type="cellIs" dxfId="467" priority="166766" stopIfTrue="1" operator="between">
      <formula>$GS$19</formula>
      <formula>1000</formula>
    </cfRule>
    <cfRule type="cellIs" dxfId="466" priority="166767" operator="between">
      <formula>$GS$18</formula>
      <formula>$GS$19</formula>
    </cfRule>
  </conditionalFormatting>
  <conditionalFormatting sqref="GH1:GH1048576 GK1:GK1048576 GO1:GO1048576 GR1:GR1048576">
    <cfRule type="cellIs" dxfId="465" priority="166812" operator="between">
      <formula>$GS$25</formula>
      <formula>1000</formula>
    </cfRule>
    <cfRule type="cellIs" dxfId="464" priority="166813" operator="between">
      <formula>$GS$24</formula>
      <formula>$GS$25</formula>
    </cfRule>
    <cfRule type="cellIs" dxfId="463" priority="166814" operator="between">
      <formula>$GS$23</formula>
      <formula>$GS$24</formula>
    </cfRule>
    <cfRule type="cellIs" dxfId="462" priority="166815" operator="between">
      <formula>$GS$22</formula>
      <formula>$GS$23</formula>
    </cfRule>
  </conditionalFormatting>
  <conditionalFormatting sqref="HP1:HP1048576 HS1:HS1048576 HW1:HW1048576 HZ1:HZ1048576">
    <cfRule type="cellIs" dxfId="461" priority="166860" operator="between">
      <formula>$IA$25</formula>
      <formula>1000</formula>
    </cfRule>
    <cfRule type="cellIs" dxfId="460" priority="166861" operator="between">
      <formula>$IA$24</formula>
      <formula>$IA$25</formula>
    </cfRule>
    <cfRule type="cellIs" dxfId="459" priority="166862" operator="between">
      <formula>$IA$23</formula>
      <formula>$IA$24</formula>
    </cfRule>
    <cfRule type="cellIs" dxfId="458" priority="166863" operator="between">
      <formula>$IA$22</formula>
      <formula>$IA$23</formula>
    </cfRule>
  </conditionalFormatting>
  <conditionalFormatting sqref="IV1:IV1048576 IY1:IY1048576 JC1:JC1048576 JF1:JF1048576">
    <cfRule type="cellIs" dxfId="457" priority="166910" stopIfTrue="1" operator="between">
      <formula>$JI$19</formula>
      <formula>1000</formula>
    </cfRule>
    <cfRule type="cellIs" dxfId="456" priority="166911" operator="between">
      <formula>$JI$18</formula>
      <formula>$JI$19</formula>
    </cfRule>
  </conditionalFormatting>
  <conditionalFormatting sqref="IX1:IX1048576 JA1:JA1048576 JE1:JE1048576 JH1:JH1048576">
    <cfRule type="cellIs" dxfId="455" priority="166956" operator="between">
      <formula>$JI$25</formula>
      <formula>1000</formula>
    </cfRule>
    <cfRule type="cellIs" dxfId="454" priority="166957" operator="between">
      <formula>$JI$24</formula>
      <formula>$JI$25</formula>
    </cfRule>
    <cfRule type="cellIs" dxfId="453" priority="166958" operator="between">
      <formula>$JI$23</formula>
      <formula>$JI$24</formula>
    </cfRule>
    <cfRule type="cellIs" dxfId="452" priority="166959" operator="between">
      <formula>$JI$22</formula>
      <formula>$JI$23</formula>
    </cfRule>
  </conditionalFormatting>
  <conditionalFormatting sqref="KD1:KD1048576 KG1:KG1048576 KK1:KK1048576 KN1:KN1048576">
    <cfRule type="cellIs" dxfId="451" priority="167006" stopIfTrue="1" operator="between">
      <formula>$KQ$19</formula>
      <formula>1000</formula>
    </cfRule>
    <cfRule type="cellIs" dxfId="450" priority="167007" operator="between">
      <formula>$KQ$18</formula>
      <formula>$KQ$19</formula>
    </cfRule>
  </conditionalFormatting>
  <conditionalFormatting sqref="KF1:KF1048576 KI1:KI1048576 KM1:KM1048576 KP1:KP1048576">
    <cfRule type="cellIs" dxfId="449" priority="167052" operator="between">
      <formula>$KQ$25</formula>
      <formula>1000</formula>
    </cfRule>
    <cfRule type="cellIs" dxfId="448" priority="167053" operator="between">
      <formula>$KQ$24</formula>
      <formula>$KQ$25</formula>
    </cfRule>
    <cfRule type="cellIs" dxfId="447" priority="167054" operator="between">
      <formula>$KQ$23</formula>
      <formula>$KQ$24</formula>
    </cfRule>
    <cfRule type="cellIs" dxfId="446" priority="167055" operator="between">
      <formula>$KQ$22</formula>
      <formula>$KQ$23</formula>
    </cfRule>
  </conditionalFormatting>
  <conditionalFormatting sqref="LL1:LL1048576 LO1:LO1048576 LS1:LS1048576 LV1:LV1048576">
    <cfRule type="cellIs" dxfId="445" priority="167102" stopIfTrue="1" operator="between">
      <formula>$LY$19</formula>
      <formula>1000</formula>
    </cfRule>
    <cfRule type="cellIs" dxfId="444" priority="167103" operator="between">
      <formula>$LY$18</formula>
      <formula>$LY$19</formula>
    </cfRule>
  </conditionalFormatting>
  <conditionalFormatting sqref="LN1:LN1048576 LQ1:LQ1048576 LU1:LU1048576 LX1:LX1048576">
    <cfRule type="cellIs" dxfId="443" priority="167148" operator="between">
      <formula>$LY$25</formula>
      <formula>1000</formula>
    </cfRule>
    <cfRule type="cellIs" dxfId="442" priority="167149" operator="between">
      <formula>$LY$24</formula>
      <formula>$LY$25</formula>
    </cfRule>
    <cfRule type="cellIs" dxfId="441" priority="167150" operator="between">
      <formula>$LY$23</formula>
      <formula>$LY$24</formula>
    </cfRule>
    <cfRule type="cellIs" dxfId="440" priority="167151" operator="between">
      <formula>$LY$22</formula>
      <formula>$LY$23</formula>
    </cfRule>
  </conditionalFormatting>
  <conditionalFormatting sqref="MT1:MT1048576 MW1:MW1048576 NA1:NA1048576">
    <cfRule type="cellIs" dxfId="439" priority="167197" operator="between">
      <formula>$NG$19</formula>
      <formula>1000</formula>
    </cfRule>
  </conditionalFormatting>
  <conditionalFormatting sqref="MV1:MV1048576 MY1:MY1048576 NC1:NC1048576 NF1:NF1048576">
    <cfRule type="cellIs" dxfId="438" priority="167223" operator="between">
      <formula>$NG$25</formula>
      <formula>1000</formula>
    </cfRule>
    <cfRule type="cellIs" dxfId="437" priority="167224" operator="between">
      <formula>$NG$24</formula>
      <formula>$NG$25</formula>
    </cfRule>
    <cfRule type="cellIs" dxfId="436" priority="167225" operator="between">
      <formula>$NG$23</formula>
      <formula>$NG$24</formula>
    </cfRule>
    <cfRule type="cellIs" dxfId="435" priority="167226" operator="between">
      <formula>$NG$22</formula>
      <formula>$NG$23</formula>
    </cfRule>
  </conditionalFormatting>
  <conditionalFormatting sqref="OB1:OB1048576 OE1:OE1048576 OI1:OI1048576 OL1:OL1048576">
    <cfRule type="cellIs" dxfId="434" priority="167273" stopIfTrue="1" operator="between">
      <formula>$OO$19</formula>
      <formula>1000</formula>
    </cfRule>
    <cfRule type="cellIs" dxfId="433" priority="167274" operator="between">
      <formula>$OO$18</formula>
      <formula>$OO$19</formula>
    </cfRule>
  </conditionalFormatting>
  <conditionalFormatting sqref="OD1:OD1048576 OG1:OG1048576 OK1:OK1048576 ON1:ON1048576">
    <cfRule type="cellIs" dxfId="432" priority="167319" operator="between">
      <formula>$OO$25</formula>
      <formula>1000</formula>
    </cfRule>
    <cfRule type="cellIs" dxfId="431" priority="167320" operator="between">
      <formula>$OO$24</formula>
      <formula>$OO$25</formula>
    </cfRule>
    <cfRule type="cellIs" dxfId="430" priority="167321" operator="between">
      <formula>$OO$23</formula>
      <formula>$OO$24</formula>
    </cfRule>
    <cfRule type="cellIs" dxfId="429" priority="167322" operator="between">
      <formula>$OO$22</formula>
      <formula>$OO$23</formula>
    </cfRule>
  </conditionalFormatting>
  <conditionalFormatting sqref="PJ1:PJ1048576 PM1:PM1048576 PQ1:PQ1048576 PT1:PT1048576">
    <cfRule type="cellIs" dxfId="428" priority="167369" stopIfTrue="1" operator="between">
      <formula>$PW$19</formula>
      <formula>1000</formula>
    </cfRule>
    <cfRule type="cellIs" dxfId="427" priority="167370" operator="between">
      <formula>$PW$18</formula>
      <formula>$PW$19</formula>
    </cfRule>
  </conditionalFormatting>
  <conditionalFormatting sqref="PL1:PL1048576 PO1:PO1048576 PS1:PS1048576 PV1:PV1048576">
    <cfRule type="cellIs" dxfId="426" priority="167415" operator="between">
      <formula>$PW$25</formula>
      <formula>1000</formula>
    </cfRule>
    <cfRule type="cellIs" dxfId="425" priority="167416" operator="between">
      <formula>$PW$24</formula>
      <formula>$PW$25</formula>
    </cfRule>
    <cfRule type="cellIs" dxfId="424" priority="167417" operator="between">
      <formula>$PW$23</formula>
      <formula>$PW$24</formula>
    </cfRule>
    <cfRule type="cellIs" dxfId="423" priority="167418" operator="between">
      <formula>$PW$22</formula>
      <formula>$PW$23</formula>
    </cfRule>
  </conditionalFormatting>
  <conditionalFormatting sqref="QR1:QR1048576 QU1:QU1048576 QY1:QY1048576 RB1:RB1048576 TK1:TK25 TO1:TO25 TR1:TR25 WA1:WA25 WE1:WE25 WH1:WH25 TH1:TH25 VX1:VX25">
    <cfRule type="cellIs" dxfId="422" priority="167465" stopIfTrue="1" operator="between">
      <formula>$RE$19</formula>
      <formula>1000</formula>
    </cfRule>
    <cfRule type="cellIs" dxfId="421" priority="167466" operator="between">
      <formula>$RE$18</formula>
      <formula>$RE$19</formula>
    </cfRule>
  </conditionalFormatting>
  <conditionalFormatting sqref="QT1:QT1048576 QW1:QW1048576 RA1:RA1048576 RD1:RD1048576 TM1:TM25 TQ1:TQ25 TT1:TT25 WC1:WC25 WG1:WG25 WJ1:WJ25 TJ1:TJ25 VZ1:VZ25">
    <cfRule type="cellIs" dxfId="420" priority="167575" operator="between">
      <formula>$RE$25</formula>
      <formula>1000</formula>
    </cfRule>
    <cfRule type="cellIs" dxfId="419" priority="167576" operator="between">
      <formula>$RE$24</formula>
      <formula>$RE$25</formula>
    </cfRule>
    <cfRule type="cellIs" dxfId="418" priority="167577" operator="between">
      <formula>$RE$23</formula>
      <formula>$RE$24</formula>
    </cfRule>
    <cfRule type="cellIs" dxfId="417" priority="167578" operator="between">
      <formula>$RE$22</formula>
      <formula>$RE$23</formula>
    </cfRule>
  </conditionalFormatting>
  <conditionalFormatting sqref="RZ1:RZ1048576 SC1:SC1048576 SG1:SG1048576 SJ1:SJ1048576 US1:US25 UW1:UW25 UZ1:UZ25 UP1:UP25">
    <cfRule type="cellIs" dxfId="416" priority="167689" stopIfTrue="1" operator="between">
      <formula>$SM$19</formula>
      <formula>1000</formula>
    </cfRule>
    <cfRule type="cellIs" dxfId="415" priority="167690" operator="between">
      <formula>$SM$18</formula>
      <formula>$SM$19</formula>
    </cfRule>
  </conditionalFormatting>
  <conditionalFormatting sqref="SB1:SB1048576 SE1:SE1048576 SI1:SI1048576 SL1:SL1048576 UU1:UU25 UY1:UY25 VB1:VB25 UR1:UR25">
    <cfRule type="cellIs" dxfId="414" priority="167767" operator="between">
      <formula>$SM$25</formula>
      <formula>1000</formula>
    </cfRule>
    <cfRule type="cellIs" dxfId="413" priority="167768" operator="between">
      <formula>$SM$24</formula>
      <formula>$SM$25</formula>
    </cfRule>
    <cfRule type="cellIs" dxfId="412" priority="167769" operator="between">
      <formula>$SM$23</formula>
      <formula>$SM$24</formula>
    </cfRule>
    <cfRule type="cellIs" dxfId="411" priority="167770" operator="between">
      <formula>$SM$22</formula>
      <formula>$SM$23</formula>
    </cfRule>
  </conditionalFormatting>
  <conditionalFormatting sqref="DZ1:DZ1048576 DP1:DP1048576 DS1:DS1048576 DW1:DW1048576">
    <cfRule type="cellIs" dxfId="410" priority="84" stopIfTrue="1" operator="between">
      <formula>$EC$19</formula>
      <formula>1000</formula>
    </cfRule>
  </conditionalFormatting>
  <conditionalFormatting sqref="FH1:FH1048576 EX1:EX1048576 FA1:FA1048576 FE1:FE1048576">
    <cfRule type="cellIs" dxfId="409" priority="60" stopIfTrue="1" operator="between">
      <formula>$FK$19</formula>
      <formula>1000</formula>
    </cfRule>
    <cfRule type="cellIs" dxfId="408" priority="61" operator="between">
      <formula>$FK$18</formula>
      <formula>$FK$19</formula>
    </cfRule>
  </conditionalFormatting>
  <conditionalFormatting sqref="HX1:HX1048576 HN1:HN1048576 HQ1:HQ1048576 HU1:HU1048576">
    <cfRule type="cellIs" dxfId="407" priority="56" stopIfTrue="1" operator="between">
      <formula>$IA$19</formula>
      <formula>1000</formula>
    </cfRule>
    <cfRule type="cellIs" dxfId="406" priority="57" operator="between">
      <formula>$IA$18</formula>
      <formula>$IA$19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200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227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230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199</v>
      </c>
      <c r="E4" s="9">
        <f t="shared" ref="E4:E11" si="0">SUM(J4,L4,N4)</f>
        <v>98.16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1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1" si="6">IF(L4="","",IF(OR(L4=CK4,L4=CN4,L4=CR4),$BS$1,IF(OR(L4=BJ4,L4=BM4,L4=BQ4),$AR$1,IF(OR(L4=AI4,L4=AL4,L4=AP4),$Q$1,""))))</f>
        <v>2025 Elite Canada</v>
      </c>
      <c r="N4" s="8">
        <f t="shared" ref="N4:N11" si="7">IF(MAX(CT4,CU4)&gt;0,MAX(CT4,CU4),"")</f>
        <v>0.21999999999999886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11" si="10">IF(S4&gt;0,S4,"")</f>
        <v/>
      </c>
      <c r="AH4" s="38" t="str">
        <f t="shared" si="10"/>
        <v/>
      </c>
      <c r="AI4" s="40" t="str">
        <f t="shared" ref="AI4:AI11" si="11">IF(SUM(Q4:T4)-U4&gt;0,SUM(Q4:T4)-U4,"")</f>
        <v/>
      </c>
      <c r="AJ4" s="40" t="str">
        <f t="shared" ref="AJ4:AK11" si="12">IF(X4&gt;0,X4,"")</f>
        <v/>
      </c>
      <c r="AK4" s="40" t="str">
        <f t="shared" si="12"/>
        <v/>
      </c>
      <c r="AL4" s="40" t="str">
        <f t="shared" ref="AL4:AL11" si="13">IF(SUM(V4:Y4)-Z4&gt;0,SUM(V4:Y4)-Z4,"")</f>
        <v/>
      </c>
      <c r="AM4" s="40" t="str">
        <f t="shared" ref="AM4:AM11" si="14">IF(AI4="","",MAX(AI4,AL4))</f>
        <v/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 t="str">
        <f t="shared" ref="AQ4:AQ11" si="17"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 t="shared" ref="BH4:BI11" si="18">IF(AT4&gt;0,AT4,"")</f>
        <v>12.2</v>
      </c>
      <c r="BI4" s="39">
        <f t="shared" si="18"/>
        <v>19.059999999999999</v>
      </c>
      <c r="BJ4" s="11">
        <f t="shared" ref="BJ4:BJ11" si="19">IF(SUM(AR4:AU4)-AV4&gt;0,SUM(AR4:AU4)-AV4,"")</f>
        <v>48.81</v>
      </c>
      <c r="BK4" s="11">
        <f t="shared" ref="BK4:BL11" si="20">IF(AY4&gt;0,AY4,"")</f>
        <v>12.2</v>
      </c>
      <c r="BL4" s="11">
        <f t="shared" si="20"/>
        <v>18.899999999999999</v>
      </c>
      <c r="BM4" s="11">
        <f t="shared" ref="BM4:BM11" si="21">IF(SUM(AW4:AZ4)-BA4&gt;0,SUM(AW4:AZ4)-BA4,"")</f>
        <v>49.129999999999995</v>
      </c>
      <c r="BN4" s="11">
        <f t="shared" ref="BN4:BN11" si="22">IF(BJ4="","",MAX(BJ4,BM4))</f>
        <v>49.129999999999995</v>
      </c>
      <c r="BO4" s="11">
        <f t="shared" ref="BO4:BP11" si="23">IF(BD4&gt;0,BD4,"")</f>
        <v>3</v>
      </c>
      <c r="BP4" s="11">
        <f t="shared" si="23"/>
        <v>3.26</v>
      </c>
      <c r="BQ4" s="11">
        <f t="shared" ref="BQ4:BQ11" si="24">IF(SUM(BB4:BE4)-BF4&gt;0,SUM(BB4:BE4)-BF4,"")</f>
        <v>9.69</v>
      </c>
      <c r="BR4" s="11">
        <f t="shared" ref="BR4:BR11" si="25"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 t="shared" ref="CI4:CJ11" si="26">IF(BU4&gt;0,BU4,"")</f>
        <v>7.1</v>
      </c>
      <c r="CJ4" s="38">
        <f t="shared" si="26"/>
        <v>8.7200000000000006</v>
      </c>
      <c r="CK4" s="40">
        <f t="shared" ref="CK4:CK11" si="27">IF(SUM(BS4:BV4)-BW4&gt;0,SUM(BS4:BV4)-BW4,"")</f>
        <v>24.66</v>
      </c>
      <c r="CL4" s="40">
        <f t="shared" ref="CL4:CM11" si="28">IF(BZ4&gt;0,BZ4,"")</f>
        <v>1.7</v>
      </c>
      <c r="CM4" s="40">
        <f t="shared" si="28"/>
        <v>1.48</v>
      </c>
      <c r="CN4" s="40">
        <f t="shared" ref="CN4:CN11" si="29">IF(SUM(BX4:CA4)-CB4&gt;0,SUM(BX4:CA4)-CB4,"")</f>
        <v>4.83</v>
      </c>
      <c r="CO4" s="40">
        <f t="shared" ref="CO4:CO11" si="30">IF(CK4="","",MAX(CK4,CN4))</f>
        <v>24.66</v>
      </c>
      <c r="CP4" s="40">
        <f t="shared" ref="CP4:CQ11" si="31">IF(CE4&gt;0,CE4,"")</f>
        <v>14</v>
      </c>
      <c r="CQ4" s="40">
        <f t="shared" si="31"/>
        <v>14.28</v>
      </c>
      <c r="CR4" s="40">
        <f t="shared" ref="CR4:CR11" si="32">IF(SUM(CC4:CF4)-CG4&gt;0,SUM(CC4:CF4)-CG4,"")</f>
        <v>45.42</v>
      </c>
      <c r="CS4" s="40">
        <f t="shared" ref="CS4:CS11" si="33">IF(SUM(CO4,CR4)&gt;0,SUM(CO4,CR4),"")</f>
        <v>70.08</v>
      </c>
      <c r="CT4" s="51">
        <f t="shared" ref="CT4:CT11" si="34">IF(MAX(DV4,FD4,GL4,HT4,JB4,KJ4,LR4,MZ4,OH4,PP4,QX4,SF4,TN4,UV4,WD4)-IF(L4="",0,L4)&gt;0.001,MAX(DV4,FD4,GL4,HT4,JB4,KJ4,LR4,MZ4,OH4,PP4,QX4,SF4,TN4,UV4,WD4)-IF(L4="",0,L4),"")</f>
        <v>0.21999999999999886</v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 t="shared" ref="DP4:DQ11" si="36">IF(CX4&gt;0,CX4,"")</f>
        <v>12.2</v>
      </c>
      <c r="DQ4" s="40">
        <f t="shared" si="36"/>
        <v>18.38</v>
      </c>
      <c r="DR4" s="40">
        <f t="shared" ref="DR4:DR11" si="37">IF(SUM(CV4:CY4)-CZ4&gt;0,SUM(CV4:CY4)-CZ4,"")</f>
        <v>48.379999999999995</v>
      </c>
      <c r="DS4" s="40">
        <f t="shared" ref="DS4:DT11" si="38">IF(DC4&gt;0,DC4,"")</f>
        <v>14</v>
      </c>
      <c r="DT4" s="40">
        <f t="shared" si="38"/>
        <v>17.88</v>
      </c>
      <c r="DU4" s="40">
        <f t="shared" ref="DU4:DU11" si="39">IF(SUM(DA4:DD4)-DE4&gt;0,SUM(DA4:DD4)-DE4,"")</f>
        <v>49.03</v>
      </c>
      <c r="DV4" s="40">
        <f t="shared" ref="DV4:DV11" si="40">IF(MAX(DR4,DU4)&gt;0,MAX(DR4,DU4),"")</f>
        <v>49.03</v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>
        <f t="shared" ref="DZ4:EA11" si="43">IF(DM4&gt;0,DM4,"")</f>
        <v>7.1</v>
      </c>
      <c r="EA4" s="40">
        <f t="shared" si="43"/>
        <v>9.1999999999999993</v>
      </c>
      <c r="EB4" s="40">
        <f t="shared" ref="EB4:EB11" si="44">IF(SUM(DK4:DN4)-DO4&gt;0,SUM(DK4:DN4)-DO4,"")</f>
        <v>25.049999999999997</v>
      </c>
      <c r="EC4" s="40">
        <f t="shared" ref="EC4:EC11" si="45"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11" si="46">IF(EF4&gt;0,EF4,"")</f>
        <v/>
      </c>
      <c r="EY4" s="11" t="str">
        <f t="shared" si="46"/>
        <v/>
      </c>
      <c r="EZ4" s="11" t="str">
        <f t="shared" ref="EZ4:EZ11" si="47">IF(SUM(ED4:EG4)-EH4&gt;0,SUM(ED4:EG4)-EH4,"")</f>
        <v/>
      </c>
      <c r="FA4" s="11" t="str">
        <f t="shared" ref="FA4:FB11" si="48">IF(EK4&gt;0,EK4,"")</f>
        <v/>
      </c>
      <c r="FB4" s="11" t="str">
        <f t="shared" si="48"/>
        <v/>
      </c>
      <c r="FC4" s="11" t="str">
        <f t="shared" ref="FC4:FC11" si="49">IF(SUM(EI4:EL4)-EM4&gt;0,SUM(EI4:EL4)-EM4,"")</f>
        <v/>
      </c>
      <c r="FD4" s="11" t="str">
        <f t="shared" ref="FD4:FD11" si="50">IF(MAX(EZ4,FC4)&gt;0,MAX(EZ4,FC4),"")</f>
        <v/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 t="str">
        <f t="shared" ref="FK4:FK11" si="55"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 t="shared" ref="GF4:GG11" si="56">IF(FN4&gt;0,FN4,"")</f>
        <v>14</v>
      </c>
      <c r="GG4" s="40">
        <f t="shared" si="56"/>
        <v>17.739999999999998</v>
      </c>
      <c r="GH4" s="40">
        <f t="shared" ref="GH4:GH11" si="57">IF(SUM(FL4:FO4)-FP4&gt;0,SUM(FL4:FO4)-FP4,"")</f>
        <v>48.289999999999992</v>
      </c>
      <c r="GI4" s="40">
        <f t="shared" ref="GI4:GJ11" si="58">IF(FS4&gt;0,FS4,"")</f>
        <v>14</v>
      </c>
      <c r="GJ4" s="40">
        <f t="shared" si="58"/>
        <v>15.78</v>
      </c>
      <c r="GK4" s="40">
        <f t="shared" ref="GK4:GK11" si="59">IF(SUM(FQ4:FT4)-FU4&gt;0,SUM(FQ4:FT4)-FU4,"")</f>
        <v>46.73</v>
      </c>
      <c r="GL4" s="40">
        <f t="shared" ref="GL4:GL11" si="60">IF(MAX(GH4,GK4)&gt;0,MAX(GH4,GK4),"")</f>
        <v>48.289999999999992</v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>
        <f t="shared" ref="GP4:GQ11" si="63">IF(GC4&gt;0,GC4,"")</f>
        <v>14</v>
      </c>
      <c r="GQ4" s="40">
        <f t="shared" si="63"/>
        <v>17.28</v>
      </c>
      <c r="GR4" s="40">
        <f t="shared" ref="GR4:GR11" si="64">IF(SUM(GA4:GD4)-GE4&gt;0,SUM(GA4:GD4)-GE4,"")</f>
        <v>48.58</v>
      </c>
      <c r="GS4" s="40">
        <f t="shared" ref="GS4:GS11" si="65">IF(SUM(GL4,GO4,GR4)&gt;0,SUM(GL4,GO4,GR4),"")</f>
        <v>96.86999999999999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6.2949999999999999</v>
      </c>
      <c r="WM4" s="26">
        <f t="shared" si="186"/>
        <v>6.9</v>
      </c>
      <c r="WN4" s="26">
        <f t="shared" si="186"/>
        <v>9.6499999999999986</v>
      </c>
      <c r="WO4" s="26">
        <f t="shared" si="186"/>
        <v>13.89</v>
      </c>
      <c r="WP4" s="26">
        <f t="shared" si="186"/>
        <v>0</v>
      </c>
      <c r="WQ4" s="26">
        <f t="shared" si="186"/>
        <v>4.7149999999999999</v>
      </c>
      <c r="WR4" s="26">
        <f t="shared" si="186"/>
        <v>5.125</v>
      </c>
      <c r="WS4" s="26">
        <f t="shared" si="186"/>
        <v>6.9499999999999993</v>
      </c>
      <c r="WT4" s="26">
        <f t="shared" si="186"/>
        <v>10.19</v>
      </c>
      <c r="WU4" s="26">
        <f t="shared" si="186"/>
        <v>0</v>
      </c>
      <c r="WV4" s="26">
        <f t="shared" si="186"/>
        <v>4.91</v>
      </c>
      <c r="WW4" s="26">
        <f t="shared" si="186"/>
        <v>5.375</v>
      </c>
      <c r="WX4" s="26">
        <f t="shared" si="186"/>
        <v>8.5</v>
      </c>
      <c r="WY4" s="26">
        <f t="shared" si="186"/>
        <v>8.77</v>
      </c>
      <c r="WZ4" s="26">
        <f t="shared" si="186"/>
        <v>0</v>
      </c>
      <c r="XA4" s="28" t="s">
        <v>53</v>
      </c>
      <c r="XB4" s="11">
        <f t="shared" ref="XB4:XC11" si="187">IF(WN4&gt;0,WN4,"")</f>
        <v>9.6499999999999986</v>
      </c>
      <c r="XC4" s="11">
        <f t="shared" si="187"/>
        <v>13.89</v>
      </c>
      <c r="XD4" s="11">
        <f t="shared" ref="XD4:XD11" si="188">IF(SUM(WL4:WO4)-WP4&gt;0,SUM(WL4:WO4)-WP4,"")</f>
        <v>36.734999999999999</v>
      </c>
      <c r="XE4" s="11">
        <f t="shared" ref="XE4:XF11" si="189">IF(WS4&gt;0,WS4,"")</f>
        <v>6.9499999999999993</v>
      </c>
      <c r="XF4" s="11">
        <f t="shared" si="189"/>
        <v>10.19</v>
      </c>
      <c r="XG4" s="11">
        <f t="shared" ref="XG4:XG11" si="190">IF(SUM(WQ4:WT4)-WU4&gt;0,SUM(WQ4:WT4)-WU4,"")</f>
        <v>26.979999999999997</v>
      </c>
      <c r="XH4" s="11">
        <f t="shared" ref="XH4:XH11" si="191">IF(MAX(XD4,XG4)&gt;0,MAX(XD4,XG4),"")</f>
        <v>36.734999999999999</v>
      </c>
      <c r="XI4" s="11">
        <f t="shared" ref="XI4:XJ11" si="192">IF(WX4&gt;0,WX4,"")</f>
        <v>8.5</v>
      </c>
      <c r="XJ4" s="11">
        <f t="shared" si="192"/>
        <v>8.77</v>
      </c>
      <c r="XK4" s="11">
        <f t="shared" ref="XK4:XK11" si="193">IF(SUM(WV4:WY4)-WZ4&gt;0,SUM(WV4:WY4)-WZ4,"")</f>
        <v>27.555</v>
      </c>
      <c r="XL4" s="11">
        <f t="shared" ref="XL4:XL11" si="194"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6</v>
      </c>
      <c r="D5" s="4" t="s">
        <v>127</v>
      </c>
      <c r="E5" s="9">
        <f t="shared" si="0"/>
        <v>95.14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47.78</v>
      </c>
      <c r="K5" s="8" t="str">
        <f t="shared" si="5"/>
        <v>2025 Nationals</v>
      </c>
      <c r="L5" s="8">
        <f>IF(COUNT(AI5,AL5,AP5,BJ5,BM5,BQ5,CK5,CN5,CR5)&gt;1,LARGE((AI5,AL5,AP5,BJ5,BM5,BQ5,CK5,CN5,CR5),2),0)</f>
        <v>47.36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7.2</v>
      </c>
      <c r="AS5" s="26">
        <v>9.0500000000000007</v>
      </c>
      <c r="AT5" s="26">
        <v>11.8</v>
      </c>
      <c r="AU5" s="26">
        <v>14.28</v>
      </c>
      <c r="AV5" s="26">
        <v>0.4</v>
      </c>
      <c r="AW5" s="26">
        <v>7.55</v>
      </c>
      <c r="AX5" s="26">
        <v>9.15</v>
      </c>
      <c r="AY5" s="26">
        <v>11.8</v>
      </c>
      <c r="AZ5" s="26">
        <v>17.48</v>
      </c>
      <c r="BA5" s="26">
        <v>0</v>
      </c>
      <c r="BB5" s="26">
        <v>7.5</v>
      </c>
      <c r="BC5" s="26">
        <v>9.1999999999999993</v>
      </c>
      <c r="BD5" s="26">
        <v>11.8</v>
      </c>
      <c r="BE5" s="26">
        <v>18.86</v>
      </c>
      <c r="BF5" s="26">
        <v>0</v>
      </c>
      <c r="BG5" s="28"/>
      <c r="BH5" s="39">
        <f t="shared" si="18"/>
        <v>11.8</v>
      </c>
      <c r="BI5" s="39">
        <f t="shared" si="18"/>
        <v>14.28</v>
      </c>
      <c r="BJ5" s="11">
        <f t="shared" si="19"/>
        <v>41.93</v>
      </c>
      <c r="BK5" s="11">
        <f t="shared" si="20"/>
        <v>11.8</v>
      </c>
      <c r="BL5" s="11">
        <f t="shared" si="20"/>
        <v>17.48</v>
      </c>
      <c r="BM5" s="11">
        <f t="shared" si="21"/>
        <v>45.980000000000004</v>
      </c>
      <c r="BN5" s="11">
        <f t="shared" si="22"/>
        <v>45.980000000000004</v>
      </c>
      <c r="BO5" s="11">
        <f t="shared" si="23"/>
        <v>11.8</v>
      </c>
      <c r="BP5" s="11">
        <f t="shared" si="23"/>
        <v>18.86</v>
      </c>
      <c r="BQ5" s="11">
        <f t="shared" si="24"/>
        <v>47.36</v>
      </c>
      <c r="BR5" s="11">
        <f t="shared" si="25"/>
        <v>93.34</v>
      </c>
      <c r="BS5" s="22">
        <v>7.83</v>
      </c>
      <c r="BT5" s="22">
        <v>9.35</v>
      </c>
      <c r="BU5" s="22">
        <v>11.8</v>
      </c>
      <c r="BV5" s="22">
        <v>17.96</v>
      </c>
      <c r="BW5" s="22">
        <v>0</v>
      </c>
      <c r="BX5" s="22">
        <v>7.45</v>
      </c>
      <c r="BY5" s="22">
        <v>9.25</v>
      </c>
      <c r="BZ5" s="22">
        <v>11.8</v>
      </c>
      <c r="CA5" s="22">
        <v>15.94</v>
      </c>
      <c r="CB5" s="22">
        <v>0</v>
      </c>
      <c r="CC5" s="22">
        <v>8.15</v>
      </c>
      <c r="CD5" s="22">
        <v>9.35</v>
      </c>
      <c r="CE5" s="22">
        <v>11.8</v>
      </c>
      <c r="CF5" s="22">
        <v>18.48</v>
      </c>
      <c r="CG5" s="22">
        <v>0</v>
      </c>
      <c r="CH5" s="27"/>
      <c r="CI5" s="38">
        <f t="shared" si="26"/>
        <v>11.8</v>
      </c>
      <c r="CJ5" s="38">
        <f t="shared" si="26"/>
        <v>17.96</v>
      </c>
      <c r="CK5" s="40">
        <f t="shared" si="27"/>
        <v>46.94</v>
      </c>
      <c r="CL5" s="40">
        <f t="shared" si="28"/>
        <v>11.8</v>
      </c>
      <c r="CM5" s="40">
        <f t="shared" si="28"/>
        <v>15.94</v>
      </c>
      <c r="CN5" s="40">
        <f t="shared" si="29"/>
        <v>44.44</v>
      </c>
      <c r="CO5" s="40">
        <f t="shared" si="30"/>
        <v>46.94</v>
      </c>
      <c r="CP5" s="40">
        <f t="shared" si="31"/>
        <v>11.8</v>
      </c>
      <c r="CQ5" s="40">
        <f t="shared" si="31"/>
        <v>18.48</v>
      </c>
      <c r="CR5" s="40">
        <f t="shared" si="32"/>
        <v>47.78</v>
      </c>
      <c r="CS5" s="40">
        <f t="shared" si="33"/>
        <v>94.72</v>
      </c>
      <c r="CT5" s="51" t="str">
        <f t="shared" si="34"/>
        <v/>
      </c>
      <c r="CU5" s="51" t="str">
        <f t="shared" si="35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36"/>
        <v/>
      </c>
      <c r="DQ5" s="40" t="str">
        <f t="shared" si="36"/>
        <v/>
      </c>
      <c r="DR5" s="40" t="str">
        <f t="shared" si="37"/>
        <v/>
      </c>
      <c r="DS5" s="40" t="str">
        <f t="shared" si="38"/>
        <v/>
      </c>
      <c r="DT5" s="40" t="str">
        <f t="shared" si="38"/>
        <v/>
      </c>
      <c r="DU5" s="40" t="str">
        <f t="shared" si="39"/>
        <v/>
      </c>
      <c r="DV5" s="40" t="str">
        <f t="shared" si="40"/>
        <v/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 t="str">
        <f t="shared" si="45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7.5150000000000006</v>
      </c>
      <c r="WM5" s="26">
        <f t="shared" si="186"/>
        <v>9.1999999999999993</v>
      </c>
      <c r="WN5" s="26">
        <f t="shared" si="186"/>
        <v>11.8</v>
      </c>
      <c r="WO5" s="26">
        <f t="shared" si="186"/>
        <v>16.12</v>
      </c>
      <c r="WP5" s="26">
        <f t="shared" si="186"/>
        <v>0.2</v>
      </c>
      <c r="WQ5" s="26">
        <f t="shared" si="186"/>
        <v>7.5</v>
      </c>
      <c r="WR5" s="26">
        <f t="shared" si="186"/>
        <v>9.1999999999999993</v>
      </c>
      <c r="WS5" s="26">
        <f t="shared" si="186"/>
        <v>11.8</v>
      </c>
      <c r="WT5" s="26">
        <f t="shared" si="186"/>
        <v>16.71</v>
      </c>
      <c r="WU5" s="26">
        <f t="shared" si="186"/>
        <v>0</v>
      </c>
      <c r="WV5" s="26">
        <f t="shared" si="186"/>
        <v>7.8250000000000002</v>
      </c>
      <c r="WW5" s="26">
        <f t="shared" si="186"/>
        <v>9.2749999999999986</v>
      </c>
      <c r="WX5" s="26">
        <f t="shared" si="186"/>
        <v>11.8</v>
      </c>
      <c r="WY5" s="26">
        <f t="shared" si="186"/>
        <v>18.670000000000002</v>
      </c>
      <c r="WZ5" s="26">
        <f t="shared" si="186"/>
        <v>0</v>
      </c>
      <c r="XA5" s="28" t="s">
        <v>53</v>
      </c>
      <c r="XB5" s="11">
        <f t="shared" si="187"/>
        <v>11.8</v>
      </c>
      <c r="XC5" s="11">
        <f t="shared" si="187"/>
        <v>16.12</v>
      </c>
      <c r="XD5" s="11">
        <f t="shared" si="188"/>
        <v>44.435000000000002</v>
      </c>
      <c r="XE5" s="11">
        <f t="shared" si="189"/>
        <v>11.8</v>
      </c>
      <c r="XF5" s="11">
        <f t="shared" si="189"/>
        <v>16.71</v>
      </c>
      <c r="XG5" s="11">
        <f t="shared" si="190"/>
        <v>45.21</v>
      </c>
      <c r="XH5" s="11">
        <f t="shared" si="191"/>
        <v>45.21</v>
      </c>
      <c r="XI5" s="11">
        <f t="shared" si="192"/>
        <v>11.8</v>
      </c>
      <c r="XJ5" s="11">
        <f t="shared" si="192"/>
        <v>18.670000000000002</v>
      </c>
      <c r="XK5" s="11">
        <f t="shared" si="193"/>
        <v>47.57</v>
      </c>
      <c r="XL5" s="11">
        <f t="shared" si="194"/>
        <v>92.78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188</v>
      </c>
      <c r="C6" s="4" t="s">
        <v>169</v>
      </c>
      <c r="D6" s="4" t="s">
        <v>187</v>
      </c>
      <c r="E6" s="9">
        <f t="shared" si="0"/>
        <v>94.99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IF(COUNT(AI6,AL6,AP6,BJ6,BM6,BQ6,CK6,CN6,CR6)&gt;0,LARGE((AI6,AL6,AP6,BJ6,BM6,BQ6,CK6,CN6,CR6),1),0)</f>
        <v>47.71</v>
      </c>
      <c r="K6" s="8" t="str">
        <f t="shared" si="5"/>
        <v>2025 Elite Canada</v>
      </c>
      <c r="L6" s="8">
        <f>IF(COUNT(AI6,AL6,AP6,BJ6,BM6,BQ6,CK6,CN6,CR6)&gt;1,LARGE((AI6,AL6,AP6,BJ6,BM6,BQ6,CK6,CN6,CR6),2),0)</f>
        <v>47.14</v>
      </c>
      <c r="M6" s="8" t="str">
        <f t="shared" si="6"/>
        <v>2025 Elite Canada</v>
      </c>
      <c r="N6" s="8">
        <f t="shared" si="7"/>
        <v>0.14000000000000057</v>
      </c>
      <c r="O6" s="11" t="str">
        <f t="shared" si="8"/>
        <v>(Prelim)</v>
      </c>
      <c r="P6" s="8" t="str">
        <f t="shared" si="9"/>
        <v>2025 World Cup POR (July 6)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7.43</v>
      </c>
      <c r="AS6" s="26">
        <v>9.5</v>
      </c>
      <c r="AT6" s="26">
        <v>11.8</v>
      </c>
      <c r="AU6" s="26">
        <v>18.98</v>
      </c>
      <c r="AV6" s="26">
        <v>0</v>
      </c>
      <c r="AW6" s="26">
        <v>7.48</v>
      </c>
      <c r="AX6" s="26">
        <v>9.3000000000000007</v>
      </c>
      <c r="AY6" s="26">
        <v>11.8</v>
      </c>
      <c r="AZ6" s="26">
        <v>18.559999999999999</v>
      </c>
      <c r="BA6" s="26">
        <v>0</v>
      </c>
      <c r="BB6" s="26">
        <v>7.63</v>
      </c>
      <c r="BC6" s="26">
        <v>9.3000000000000007</v>
      </c>
      <c r="BD6" s="26">
        <v>11.8</v>
      </c>
      <c r="BE6" s="26">
        <v>17.72</v>
      </c>
      <c r="BF6" s="26">
        <v>0</v>
      </c>
      <c r="BG6" s="28"/>
      <c r="BH6" s="39">
        <f t="shared" si="18"/>
        <v>11.8</v>
      </c>
      <c r="BI6" s="39">
        <f t="shared" si="18"/>
        <v>18.98</v>
      </c>
      <c r="BJ6" s="11">
        <f t="shared" si="19"/>
        <v>47.71</v>
      </c>
      <c r="BK6" s="11">
        <f t="shared" si="20"/>
        <v>11.8</v>
      </c>
      <c r="BL6" s="11">
        <f t="shared" si="20"/>
        <v>18.559999999999999</v>
      </c>
      <c r="BM6" s="11">
        <f t="shared" si="21"/>
        <v>47.14</v>
      </c>
      <c r="BN6" s="11">
        <f t="shared" si="22"/>
        <v>47.71</v>
      </c>
      <c r="BO6" s="11">
        <f t="shared" si="23"/>
        <v>11.8</v>
      </c>
      <c r="BP6" s="11">
        <f t="shared" si="23"/>
        <v>17.72</v>
      </c>
      <c r="BQ6" s="11">
        <f t="shared" si="24"/>
        <v>46.45</v>
      </c>
      <c r="BR6" s="11">
        <f t="shared" si="25"/>
        <v>94.16</v>
      </c>
      <c r="BS6" s="22">
        <v>7.4</v>
      </c>
      <c r="BT6" s="22">
        <v>9.5500000000000007</v>
      </c>
      <c r="BU6" s="22">
        <v>11.8</v>
      </c>
      <c r="BV6" s="22">
        <v>18.04</v>
      </c>
      <c r="BW6" s="22">
        <v>0</v>
      </c>
      <c r="BX6" s="22">
        <v>1.99</v>
      </c>
      <c r="BY6" s="22">
        <v>2.7</v>
      </c>
      <c r="BZ6" s="22">
        <v>4.0999999999999996</v>
      </c>
      <c r="CA6" s="22">
        <v>5.76</v>
      </c>
      <c r="CB6" s="22">
        <v>0</v>
      </c>
      <c r="CC6" s="22">
        <v>7.55</v>
      </c>
      <c r="CD6" s="22">
        <v>9.4</v>
      </c>
      <c r="CE6" s="22">
        <v>11.8</v>
      </c>
      <c r="CF6" s="22">
        <v>17.96</v>
      </c>
      <c r="CG6" s="22">
        <v>0</v>
      </c>
      <c r="CH6" s="27"/>
      <c r="CI6" s="38">
        <f t="shared" si="26"/>
        <v>11.8</v>
      </c>
      <c r="CJ6" s="38">
        <f t="shared" si="26"/>
        <v>18.04</v>
      </c>
      <c r="CK6" s="40">
        <f t="shared" si="27"/>
        <v>46.790000000000006</v>
      </c>
      <c r="CL6" s="40">
        <f t="shared" si="28"/>
        <v>4.0999999999999996</v>
      </c>
      <c r="CM6" s="40">
        <f t="shared" si="28"/>
        <v>5.76</v>
      </c>
      <c r="CN6" s="40">
        <f t="shared" si="29"/>
        <v>14.549999999999999</v>
      </c>
      <c r="CO6" s="40">
        <f t="shared" si="30"/>
        <v>46.790000000000006</v>
      </c>
      <c r="CP6" s="40">
        <f t="shared" si="31"/>
        <v>11.8</v>
      </c>
      <c r="CQ6" s="40">
        <f t="shared" si="31"/>
        <v>17.96</v>
      </c>
      <c r="CR6" s="40">
        <f t="shared" si="32"/>
        <v>46.71</v>
      </c>
      <c r="CS6" s="40">
        <f t="shared" si="33"/>
        <v>93.5</v>
      </c>
      <c r="CT6" s="51">
        <f t="shared" si="34"/>
        <v>0.14000000000000057</v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>
        <v>6.95</v>
      </c>
      <c r="FM6" s="17">
        <v>9.25</v>
      </c>
      <c r="FN6" s="17">
        <v>12.9</v>
      </c>
      <c r="FO6" s="17">
        <v>18.18</v>
      </c>
      <c r="FP6" s="17">
        <v>0</v>
      </c>
      <c r="FQ6" s="17">
        <v>7.2</v>
      </c>
      <c r="FR6" s="17">
        <v>9</v>
      </c>
      <c r="FS6" s="17">
        <v>12.9</v>
      </c>
      <c r="FT6" s="17">
        <v>18.100000000000001</v>
      </c>
      <c r="FU6" s="17">
        <v>0</v>
      </c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>
        <f t="shared" si="56"/>
        <v>12.9</v>
      </c>
      <c r="GG6" s="40">
        <f t="shared" si="56"/>
        <v>18.18</v>
      </c>
      <c r="GH6" s="40">
        <f t="shared" si="57"/>
        <v>47.28</v>
      </c>
      <c r="GI6" s="40">
        <f t="shared" si="58"/>
        <v>12.9</v>
      </c>
      <c r="GJ6" s="40">
        <f t="shared" si="58"/>
        <v>18.100000000000001</v>
      </c>
      <c r="GK6" s="40">
        <f t="shared" si="59"/>
        <v>47.2</v>
      </c>
      <c r="GL6" s="40">
        <f t="shared" si="60"/>
        <v>47.28</v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>
        <f t="shared" si="65"/>
        <v>47.28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7.415</v>
      </c>
      <c r="WM6" s="26">
        <f t="shared" si="186"/>
        <v>9.5250000000000004</v>
      </c>
      <c r="WN6" s="26">
        <f t="shared" si="186"/>
        <v>11.8</v>
      </c>
      <c r="WO6" s="26">
        <f t="shared" si="186"/>
        <v>18.509999999999998</v>
      </c>
      <c r="WP6" s="26">
        <f t="shared" si="186"/>
        <v>0</v>
      </c>
      <c r="WQ6" s="26">
        <f t="shared" si="186"/>
        <v>4.7350000000000003</v>
      </c>
      <c r="WR6" s="26">
        <f t="shared" si="186"/>
        <v>6</v>
      </c>
      <c r="WS6" s="26">
        <f t="shared" si="186"/>
        <v>7.95</v>
      </c>
      <c r="WT6" s="26">
        <f t="shared" si="186"/>
        <v>12.16</v>
      </c>
      <c r="WU6" s="26">
        <f t="shared" si="186"/>
        <v>0</v>
      </c>
      <c r="WV6" s="26">
        <f t="shared" si="186"/>
        <v>7.59</v>
      </c>
      <c r="WW6" s="26">
        <f t="shared" si="186"/>
        <v>9.3500000000000014</v>
      </c>
      <c r="WX6" s="26">
        <f t="shared" si="186"/>
        <v>11.8</v>
      </c>
      <c r="WY6" s="26">
        <f t="shared" si="186"/>
        <v>17.84</v>
      </c>
      <c r="WZ6" s="26">
        <f t="shared" si="186"/>
        <v>0</v>
      </c>
      <c r="XA6" s="28" t="s">
        <v>53</v>
      </c>
      <c r="XB6" s="11">
        <f t="shared" si="187"/>
        <v>11.8</v>
      </c>
      <c r="XC6" s="11">
        <f t="shared" si="187"/>
        <v>18.509999999999998</v>
      </c>
      <c r="XD6" s="11">
        <f t="shared" si="188"/>
        <v>47.25</v>
      </c>
      <c r="XE6" s="11">
        <f t="shared" si="189"/>
        <v>7.95</v>
      </c>
      <c r="XF6" s="11">
        <f t="shared" si="189"/>
        <v>12.16</v>
      </c>
      <c r="XG6" s="11">
        <f t="shared" si="190"/>
        <v>30.844999999999999</v>
      </c>
      <c r="XH6" s="11">
        <f t="shared" si="191"/>
        <v>47.25</v>
      </c>
      <c r="XI6" s="11">
        <f t="shared" si="192"/>
        <v>11.8</v>
      </c>
      <c r="XJ6" s="11">
        <f t="shared" si="192"/>
        <v>17.84</v>
      </c>
      <c r="XK6" s="11">
        <f t="shared" si="193"/>
        <v>46.58</v>
      </c>
      <c r="XL6" s="11">
        <f t="shared" si="194"/>
        <v>93.83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186</v>
      </c>
      <c r="C7" s="4" t="s">
        <v>3</v>
      </c>
      <c r="D7" s="4" t="s">
        <v>148</v>
      </c>
      <c r="E7" s="9">
        <f t="shared" si="0"/>
        <v>65.88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 t="shared" si="26"/>
        <v>5.6</v>
      </c>
      <c r="CJ7" s="38">
        <f t="shared" si="26"/>
        <v>6.78</v>
      </c>
      <c r="CK7" s="40">
        <f t="shared" si="27"/>
        <v>18.78</v>
      </c>
      <c r="CL7" s="40">
        <f t="shared" si="28"/>
        <v>1.5</v>
      </c>
      <c r="CM7" s="40">
        <f t="shared" si="28"/>
        <v>1.7</v>
      </c>
      <c r="CN7" s="40">
        <f t="shared" si="29"/>
        <v>4.8</v>
      </c>
      <c r="CO7" s="40">
        <f t="shared" si="30"/>
        <v>18.78</v>
      </c>
      <c r="CP7" s="40">
        <f t="shared" si="31"/>
        <v>13.6</v>
      </c>
      <c r="CQ7" s="40">
        <f t="shared" si="31"/>
        <v>16.52</v>
      </c>
      <c r="CR7" s="40">
        <f t="shared" si="32"/>
        <v>47.099999999999994</v>
      </c>
      <c r="CS7" s="40">
        <f t="shared" si="33"/>
        <v>65.88</v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1.425</v>
      </c>
      <c r="WM7" s="26">
        <f t="shared" si="186"/>
        <v>1.7749999999999999</v>
      </c>
      <c r="WN7" s="26">
        <f t="shared" si="186"/>
        <v>2.8</v>
      </c>
      <c r="WO7" s="26">
        <f t="shared" si="186"/>
        <v>3.39</v>
      </c>
      <c r="WP7" s="26">
        <f t="shared" si="186"/>
        <v>0</v>
      </c>
      <c r="WQ7" s="26">
        <f t="shared" si="186"/>
        <v>0.35</v>
      </c>
      <c r="WR7" s="26">
        <f t="shared" si="186"/>
        <v>0.45</v>
      </c>
      <c r="WS7" s="26">
        <f t="shared" si="186"/>
        <v>0.75</v>
      </c>
      <c r="WT7" s="26">
        <f t="shared" si="186"/>
        <v>0.85</v>
      </c>
      <c r="WU7" s="26">
        <f t="shared" si="186"/>
        <v>0</v>
      </c>
      <c r="WV7" s="26">
        <f t="shared" si="186"/>
        <v>3.94</v>
      </c>
      <c r="WW7" s="26">
        <f t="shared" si="186"/>
        <v>4.55</v>
      </c>
      <c r="WX7" s="26">
        <f t="shared" si="186"/>
        <v>6.8</v>
      </c>
      <c r="WY7" s="26">
        <f t="shared" si="186"/>
        <v>8.26</v>
      </c>
      <c r="WZ7" s="26">
        <f t="shared" si="186"/>
        <v>0</v>
      </c>
      <c r="XA7" s="28" t="s">
        <v>53</v>
      </c>
      <c r="XB7" s="11">
        <f t="shared" si="187"/>
        <v>2.8</v>
      </c>
      <c r="XC7" s="11">
        <f t="shared" si="187"/>
        <v>3.39</v>
      </c>
      <c r="XD7" s="11">
        <f t="shared" si="188"/>
        <v>9.39</v>
      </c>
      <c r="XE7" s="11">
        <f t="shared" si="189"/>
        <v>0.75</v>
      </c>
      <c r="XF7" s="11">
        <f t="shared" si="189"/>
        <v>0.85</v>
      </c>
      <c r="XG7" s="11">
        <f t="shared" si="190"/>
        <v>2.4</v>
      </c>
      <c r="XH7" s="11">
        <f t="shared" si="191"/>
        <v>9.39</v>
      </c>
      <c r="XI7" s="11">
        <f t="shared" si="192"/>
        <v>6.8</v>
      </c>
      <c r="XJ7" s="11">
        <f t="shared" si="192"/>
        <v>8.26</v>
      </c>
      <c r="XK7" s="11">
        <f t="shared" si="193"/>
        <v>23.549999999999997</v>
      </c>
      <c r="XL7" s="11">
        <f t="shared" si="194"/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182</v>
      </c>
      <c r="C8" s="4" t="s">
        <v>119</v>
      </c>
      <c r="D8" s="4" t="s">
        <v>131</v>
      </c>
      <c r="E8" s="9">
        <f t="shared" si="0"/>
        <v>46.21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46.21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46.21</v>
      </c>
      <c r="CU8" s="51" t="str">
        <f t="shared" si="35"/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 t="shared" si="36"/>
        <v>11.8</v>
      </c>
      <c r="DQ8" s="40">
        <f t="shared" si="36"/>
        <v>17.86</v>
      </c>
      <c r="DR8" s="40">
        <f t="shared" si="37"/>
        <v>46.21</v>
      </c>
      <c r="DS8" s="40">
        <f t="shared" si="38"/>
        <v>1.5</v>
      </c>
      <c r="DT8" s="40">
        <f t="shared" si="38"/>
        <v>1.7</v>
      </c>
      <c r="DU8" s="40">
        <f t="shared" si="39"/>
        <v>4.9000000000000004</v>
      </c>
      <c r="DV8" s="40">
        <f t="shared" si="40"/>
        <v>46.21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>
        <f t="shared" si="45"/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170</v>
      </c>
      <c r="C9" s="4" t="s">
        <v>6</v>
      </c>
      <c r="D9" s="4" t="s">
        <v>171</v>
      </c>
      <c r="E9" s="9">
        <f t="shared" si="0"/>
        <v>84.06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44.2</v>
      </c>
      <c r="K9" s="8" t="str">
        <f t="shared" si="5"/>
        <v>2025 Elite Canada</v>
      </c>
      <c r="L9" s="8">
        <f>IF(COUNT(AI9,AL9,AP9,BJ9,BM9,BQ9,CK9,CN9,CR9)&gt;1,LARGE((AI9,AL9,AP9,BJ9,BM9,BQ9,CK9,CN9,CR9),2),0)</f>
        <v>39.86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 t="shared" si="18"/>
        <v>10.7</v>
      </c>
      <c r="BI9" s="39">
        <f t="shared" si="18"/>
        <v>17.5</v>
      </c>
      <c r="BJ9" s="11">
        <f t="shared" si="19"/>
        <v>44.2</v>
      </c>
      <c r="BK9" s="11">
        <f t="shared" si="20"/>
        <v>6.4</v>
      </c>
      <c r="BL9" s="11">
        <f t="shared" si="20"/>
        <v>10.199999999999999</v>
      </c>
      <c r="BM9" s="11">
        <f t="shared" si="21"/>
        <v>26.45</v>
      </c>
      <c r="BN9" s="11">
        <f t="shared" si="22"/>
        <v>44.2</v>
      </c>
      <c r="BO9" s="11">
        <f t="shared" si="23"/>
        <v>4.9000000000000004</v>
      </c>
      <c r="BP9" s="11">
        <f t="shared" si="23"/>
        <v>9.9</v>
      </c>
      <c r="BQ9" s="11">
        <f t="shared" si="24"/>
        <v>23.1</v>
      </c>
      <c r="BR9" s="11">
        <f t="shared" si="25"/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 t="shared" si="26"/>
        <v>9.4</v>
      </c>
      <c r="CJ9" s="38">
        <f t="shared" si="26"/>
        <v>15.86</v>
      </c>
      <c r="CK9" s="40">
        <f t="shared" si="27"/>
        <v>39.86</v>
      </c>
      <c r="CL9" s="40">
        <f t="shared" si="28"/>
        <v>4.9000000000000004</v>
      </c>
      <c r="CM9" s="40" t="str">
        <f t="shared" si="28"/>
        <v/>
      </c>
      <c r="CN9" s="40">
        <f t="shared" si="29"/>
        <v>8.73</v>
      </c>
      <c r="CO9" s="40">
        <f t="shared" si="30"/>
        <v>39.86</v>
      </c>
      <c r="CP9" s="40">
        <f t="shared" si="31"/>
        <v>4.9000000000000004</v>
      </c>
      <c r="CQ9" s="40">
        <f t="shared" si="31"/>
        <v>8.6</v>
      </c>
      <c r="CR9" s="40">
        <f t="shared" si="32"/>
        <v>22.09</v>
      </c>
      <c r="CS9" s="40">
        <f t="shared" si="33"/>
        <v>61.95</v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6.55</v>
      </c>
      <c r="WM9" s="26">
        <f t="shared" si="186"/>
        <v>8.75</v>
      </c>
      <c r="WN9" s="26">
        <f t="shared" si="186"/>
        <v>10.050000000000001</v>
      </c>
      <c r="WO9" s="26">
        <f t="shared" si="186"/>
        <v>16.68</v>
      </c>
      <c r="WP9" s="26">
        <f t="shared" si="186"/>
        <v>0</v>
      </c>
      <c r="WQ9" s="26">
        <f t="shared" si="186"/>
        <v>4.0150000000000006</v>
      </c>
      <c r="WR9" s="26">
        <f t="shared" si="186"/>
        <v>2.8250000000000002</v>
      </c>
      <c r="WS9" s="26">
        <f t="shared" si="186"/>
        <v>5.65</v>
      </c>
      <c r="WT9" s="26">
        <f t="shared" si="186"/>
        <v>5.0999999999999996</v>
      </c>
      <c r="WU9" s="26">
        <f t="shared" si="186"/>
        <v>0</v>
      </c>
      <c r="WV9" s="26">
        <f t="shared" si="186"/>
        <v>3.895</v>
      </c>
      <c r="WW9" s="26">
        <f t="shared" si="186"/>
        <v>4.55</v>
      </c>
      <c r="WX9" s="26">
        <f t="shared" si="186"/>
        <v>4.9000000000000004</v>
      </c>
      <c r="WY9" s="26">
        <f t="shared" si="186"/>
        <v>9.25</v>
      </c>
      <c r="WZ9" s="26">
        <f t="shared" si="186"/>
        <v>0</v>
      </c>
      <c r="XA9" s="28" t="s">
        <v>53</v>
      </c>
      <c r="XB9" s="11">
        <f t="shared" si="187"/>
        <v>10.050000000000001</v>
      </c>
      <c r="XC9" s="11">
        <f t="shared" si="187"/>
        <v>16.68</v>
      </c>
      <c r="XD9" s="11">
        <f t="shared" si="188"/>
        <v>42.03</v>
      </c>
      <c r="XE9" s="11">
        <f t="shared" si="189"/>
        <v>5.65</v>
      </c>
      <c r="XF9" s="11">
        <f t="shared" si="189"/>
        <v>5.0999999999999996</v>
      </c>
      <c r="XG9" s="11">
        <f t="shared" si="190"/>
        <v>17.590000000000003</v>
      </c>
      <c r="XH9" s="11">
        <f t="shared" si="191"/>
        <v>42.03</v>
      </c>
      <c r="XI9" s="11">
        <f t="shared" si="192"/>
        <v>4.9000000000000004</v>
      </c>
      <c r="XJ9" s="11">
        <f t="shared" si="192"/>
        <v>9.25</v>
      </c>
      <c r="XK9" s="11">
        <f t="shared" si="193"/>
        <v>22.594999999999999</v>
      </c>
      <c r="XL9" s="11">
        <f t="shared" si="194"/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 t="shared" si="0"/>
        <v>56.04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30.29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25.75</v>
      </c>
      <c r="M10" s="8" t="str">
        <f t="shared" si="6"/>
        <v>2025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 t="shared" si="18"/>
        <v>1.5</v>
      </c>
      <c r="BI10" s="39">
        <f t="shared" si="18"/>
        <v>1.88</v>
      </c>
      <c r="BJ10" s="11">
        <f t="shared" si="19"/>
        <v>5.01</v>
      </c>
      <c r="BK10" s="11">
        <f t="shared" si="20"/>
        <v>6.6</v>
      </c>
      <c r="BL10" s="11">
        <f t="shared" si="20"/>
        <v>9.7200000000000006</v>
      </c>
      <c r="BM10" s="11">
        <f t="shared" si="21"/>
        <v>25.75</v>
      </c>
      <c r="BN10" s="11">
        <f t="shared" si="22"/>
        <v>25.75</v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>
        <f t="shared" si="25"/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 t="shared" si="26"/>
        <v>2.1</v>
      </c>
      <c r="CJ10" s="38">
        <f t="shared" si="26"/>
        <v>3.66</v>
      </c>
      <c r="CK10" s="40">
        <f t="shared" si="27"/>
        <v>9.15</v>
      </c>
      <c r="CL10" s="40">
        <f t="shared" si="28"/>
        <v>7.8</v>
      </c>
      <c r="CM10" s="40">
        <f t="shared" si="28"/>
        <v>10.84</v>
      </c>
      <c r="CN10" s="40">
        <f t="shared" si="29"/>
        <v>30.29</v>
      </c>
      <c r="CO10" s="40">
        <f t="shared" si="30"/>
        <v>30.29</v>
      </c>
      <c r="CP10" s="40">
        <f t="shared" si="31"/>
        <v>1.5</v>
      </c>
      <c r="CQ10" s="40">
        <f t="shared" si="31"/>
        <v>1.7</v>
      </c>
      <c r="CR10" s="40">
        <f t="shared" si="32"/>
        <v>4.93</v>
      </c>
      <c r="CS10" s="40">
        <f t="shared" si="33"/>
        <v>35.22</v>
      </c>
      <c r="CT10" s="51" t="str">
        <f t="shared" si="34"/>
        <v/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1.1099999999999999</v>
      </c>
      <c r="WM10" s="26">
        <f t="shared" si="186"/>
        <v>1.4</v>
      </c>
      <c r="WN10" s="26">
        <f t="shared" si="186"/>
        <v>1.8</v>
      </c>
      <c r="WO10" s="26">
        <f t="shared" si="186"/>
        <v>2.77</v>
      </c>
      <c r="WP10" s="26">
        <f t="shared" si="186"/>
        <v>0</v>
      </c>
      <c r="WQ10" s="26">
        <f t="shared" si="186"/>
        <v>4.54</v>
      </c>
      <c r="WR10" s="26">
        <f t="shared" si="186"/>
        <v>6</v>
      </c>
      <c r="WS10" s="26">
        <f t="shared" si="186"/>
        <v>7.1999999999999993</v>
      </c>
      <c r="WT10" s="26">
        <f t="shared" si="186"/>
        <v>10.280000000000001</v>
      </c>
      <c r="WU10" s="26">
        <f t="shared" si="186"/>
        <v>0</v>
      </c>
      <c r="WV10" s="26">
        <f t="shared" si="186"/>
        <v>0.36499999999999999</v>
      </c>
      <c r="WW10" s="26">
        <f t="shared" si="186"/>
        <v>0.5</v>
      </c>
      <c r="WX10" s="26">
        <f t="shared" si="186"/>
        <v>0.75</v>
      </c>
      <c r="WY10" s="26">
        <f t="shared" si="186"/>
        <v>0.85</v>
      </c>
      <c r="WZ10" s="26">
        <f t="shared" si="186"/>
        <v>0</v>
      </c>
      <c r="XA10" s="28" t="s">
        <v>53</v>
      </c>
      <c r="XB10" s="11">
        <f t="shared" si="187"/>
        <v>1.8</v>
      </c>
      <c r="XC10" s="11">
        <f t="shared" si="187"/>
        <v>2.77</v>
      </c>
      <c r="XD10" s="11">
        <f t="shared" si="188"/>
        <v>7.08</v>
      </c>
      <c r="XE10" s="11">
        <f t="shared" si="189"/>
        <v>7.1999999999999993</v>
      </c>
      <c r="XF10" s="11">
        <f t="shared" si="189"/>
        <v>10.280000000000001</v>
      </c>
      <c r="XG10" s="11">
        <f t="shared" si="190"/>
        <v>28.02</v>
      </c>
      <c r="XH10" s="11">
        <f t="shared" si="191"/>
        <v>28.02</v>
      </c>
      <c r="XI10" s="11">
        <f t="shared" si="192"/>
        <v>0.75</v>
      </c>
      <c r="XJ10" s="11">
        <f t="shared" si="192"/>
        <v>0.85</v>
      </c>
      <c r="XK10" s="11">
        <f t="shared" si="193"/>
        <v>2.4649999999999999</v>
      </c>
      <c r="XL10" s="11">
        <f t="shared" si="194"/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232</v>
      </c>
      <c r="C11" s="4" t="s">
        <v>233</v>
      </c>
      <c r="D11" s="4" t="s">
        <v>234</v>
      </c>
      <c r="E11" s="9">
        <f t="shared" si="0"/>
        <v>44.92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44.92</v>
      </c>
      <c r="O11" s="11" t="str">
        <f t="shared" si="8"/>
        <v>(Final)</v>
      </c>
      <c r="P11" s="8" t="str">
        <f t="shared" si="9"/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0"/>
        <v/>
      </c>
      <c r="AI11" s="40" t="str">
        <f t="shared" si="11"/>
        <v/>
      </c>
      <c r="AJ11" s="40" t="str">
        <f t="shared" si="12"/>
        <v/>
      </c>
      <c r="AK11" s="40" t="str">
        <f t="shared" si="12"/>
        <v/>
      </c>
      <c r="AL11" s="40" t="str">
        <f t="shared" si="13"/>
        <v/>
      </c>
      <c r="AM11" s="40" t="str">
        <f t="shared" si="14"/>
        <v/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 t="str">
        <f t="shared" si="17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>
        <f t="shared" si="34"/>
        <v>44.9</v>
      </c>
      <c r="CU11" s="51">
        <f t="shared" si="35"/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 t="shared" si="46"/>
        <v>7.2</v>
      </c>
      <c r="EY11" s="11">
        <f t="shared" si="46"/>
        <v>11.7</v>
      </c>
      <c r="EZ11" s="11">
        <f t="shared" si="47"/>
        <v>31</v>
      </c>
      <c r="FA11" s="11">
        <f t="shared" si="48"/>
        <v>10.9</v>
      </c>
      <c r="FB11" s="11">
        <f t="shared" si="48"/>
        <v>17.5</v>
      </c>
      <c r="FC11" s="11">
        <f t="shared" si="49"/>
        <v>44.9</v>
      </c>
      <c r="FD11" s="11">
        <f t="shared" si="50"/>
        <v>44.9</v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>
        <f t="shared" si="53"/>
        <v>10.9</v>
      </c>
      <c r="FI11" s="11">
        <f t="shared" si="53"/>
        <v>17.32</v>
      </c>
      <c r="FJ11" s="11">
        <f t="shared" si="54"/>
        <v>44.92</v>
      </c>
      <c r="FK11" s="11">
        <f t="shared" si="55"/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11</v>
      </c>
      <c r="EX14" s="5"/>
      <c r="EY14" s="5"/>
      <c r="FH14" s="2"/>
      <c r="FI14" s="2"/>
      <c r="FK14" s="42">
        <v>11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11.4</v>
      </c>
      <c r="EX15" s="5"/>
      <c r="EY15" s="5"/>
      <c r="FH15" s="2"/>
      <c r="FI15" s="2"/>
      <c r="FK15" s="43">
        <v>11.4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43.7</v>
      </c>
      <c r="EX18" s="5"/>
      <c r="EY18" s="5"/>
      <c r="FH18" s="2"/>
      <c r="FI18" s="2"/>
      <c r="FK18" s="46">
        <v>43.7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44.7</v>
      </c>
      <c r="EX19" s="5"/>
      <c r="EY19" s="5"/>
      <c r="FH19" s="2"/>
      <c r="FI19" s="2"/>
      <c r="FK19" s="47">
        <v>44.7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45.6</v>
      </c>
      <c r="EX20" s="5"/>
      <c r="EY20" s="5"/>
      <c r="FH20" s="2"/>
      <c r="FI20" s="2"/>
      <c r="FJ20" s="37"/>
      <c r="FK20" s="48">
        <v>45.6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46.7</v>
      </c>
      <c r="EX21" s="5"/>
      <c r="EY21" s="5"/>
      <c r="FH21" s="41"/>
      <c r="FI21" s="2"/>
      <c r="FK21" s="49">
        <v>46.7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1">
    <cfRule type="expression" dxfId="398" priority="56" stopIfTrue="1">
      <formula>IF($AF4&lt;&gt;"",1,0)</formula>
    </cfRule>
  </conditionalFormatting>
  <conditionalFormatting sqref="AR4:BR11">
    <cfRule type="expression" dxfId="397" priority="69" stopIfTrue="1">
      <formula>IF($BG4&lt;&gt;"",1,0)</formula>
    </cfRule>
  </conditionalFormatting>
  <conditionalFormatting sqref="BS4:CS11">
    <cfRule type="expression" dxfId="396" priority="68" stopIfTrue="1">
      <formula>IF($CH4&lt;&gt;"",1,0)</formula>
    </cfRule>
  </conditionalFormatting>
  <conditionalFormatting sqref="BO22:BO1048576 BH1:BH1048576 BK1:BK1048576 BO1:BO20">
    <cfRule type="cellIs" dxfId="395" priority="81" operator="between">
      <formula>$BR$17</formula>
      <formula>1000</formula>
    </cfRule>
    <cfRule type="cellIs" dxfId="394" priority="82" operator="between">
      <formula>$BR$16</formula>
      <formula>$BR$17</formula>
    </cfRule>
    <cfRule type="cellIs" dxfId="393" priority="83" operator="between">
      <formula>$BR$15</formula>
      <formula>$BR$16</formula>
    </cfRule>
    <cfRule type="cellIs" dxfId="392" priority="84" operator="between">
      <formula>$BR$14</formula>
      <formula>$BR$15</formula>
    </cfRule>
  </conditionalFormatting>
  <conditionalFormatting sqref="CP22:CP1048576 CI1:CI1048576 CL1:CL1048576 CP1:CP20">
    <cfRule type="cellIs" dxfId="391" priority="77" operator="between">
      <formula>$CS$17</formula>
      <formula>1000</formula>
    </cfRule>
    <cfRule type="cellIs" dxfId="390" priority="78" operator="between">
      <formula>$CS$16</formula>
      <formula>$CS$17</formula>
    </cfRule>
    <cfRule type="cellIs" dxfId="389" priority="79" operator="between">
      <formula>$CS$15</formula>
      <formula>$CS$16</formula>
    </cfRule>
    <cfRule type="cellIs" dxfId="388" priority="80" operator="between">
      <formula>$CS$14</formula>
      <formula>$CS$15</formula>
    </cfRule>
  </conditionalFormatting>
  <conditionalFormatting sqref="HX22:HX1048576 HN1:HN1048576 HQ1:HQ1048576 HU1:HU1048576 HX1:HX20">
    <cfRule type="cellIs" dxfId="387" priority="63" operator="between">
      <formula>$IA$14</formula>
      <formula>$IA$15</formula>
    </cfRule>
  </conditionalFormatting>
  <conditionalFormatting sqref="AO21 AG1:AG1048576 AJ1:AJ1048576 AN1:AN1048576">
    <cfRule type="cellIs" dxfId="386" priority="57" operator="between">
      <formula>$AQ$17</formula>
      <formula>1000</formula>
    </cfRule>
    <cfRule type="cellIs" dxfId="385" priority="58" operator="between">
      <formula>$AQ$16</formula>
      <formula>$AQ$17</formula>
    </cfRule>
    <cfRule type="cellIs" dxfId="384" priority="59" operator="between">
      <formula>$AQ$15</formula>
      <formula>$AQ$16</formula>
    </cfRule>
    <cfRule type="cellIs" dxfId="383" priority="76" operator="between">
      <formula>$AQ$14</formula>
      <formula>$AQ$15</formula>
    </cfRule>
  </conditionalFormatting>
  <conditionalFormatting sqref="BO21">
    <cfRule type="cellIs" dxfId="382" priority="52" operator="between">
      <formula>$AQ$17</formula>
      <formula>1000</formula>
    </cfRule>
    <cfRule type="cellIs" dxfId="381" priority="53" operator="between">
      <formula>$AQ$16</formula>
      <formula>$AQ$17</formula>
    </cfRule>
    <cfRule type="cellIs" dxfId="380" priority="54" operator="between">
      <formula>$AQ$15</formula>
      <formula>$AQ$16</formula>
    </cfRule>
    <cfRule type="cellIs" dxfId="379" priority="55" operator="between">
      <formula>$AQ$14</formula>
      <formula>$AQ$15</formula>
    </cfRule>
  </conditionalFormatting>
  <conditionalFormatting sqref="CP21">
    <cfRule type="cellIs" dxfId="378" priority="48" operator="between">
      <formula>$AQ$17</formula>
      <formula>1000</formula>
    </cfRule>
    <cfRule type="cellIs" dxfId="377" priority="49" operator="between">
      <formula>$AQ$16</formula>
      <formula>$AQ$17</formula>
    </cfRule>
    <cfRule type="cellIs" dxfId="376" priority="50" operator="between">
      <formula>$AQ$15</formula>
      <formula>$AQ$16</formula>
    </cfRule>
    <cfRule type="cellIs" dxfId="375" priority="51" operator="between">
      <formula>$AQ$14</formula>
      <formula>$AQ$15</formula>
    </cfRule>
  </conditionalFormatting>
  <conditionalFormatting sqref="DZ21">
    <cfRule type="cellIs" dxfId="374" priority="44" operator="between">
      <formula>$AQ$17</formula>
      <formula>1000</formula>
    </cfRule>
    <cfRule type="cellIs" dxfId="373" priority="45" operator="between">
      <formula>$AQ$16</formula>
      <formula>$AQ$17</formula>
    </cfRule>
    <cfRule type="cellIs" dxfId="372" priority="46" operator="between">
      <formula>$AQ$15</formula>
      <formula>$AQ$16</formula>
    </cfRule>
    <cfRule type="cellIs" dxfId="371" priority="47" operator="between">
      <formula>$AQ$14</formula>
      <formula>$AQ$15</formula>
    </cfRule>
  </conditionalFormatting>
  <conditionalFormatting sqref="FH21">
    <cfRule type="cellIs" dxfId="370" priority="40" operator="between">
      <formula>$AQ$17</formula>
      <formula>1000</formula>
    </cfRule>
    <cfRule type="cellIs" dxfId="369" priority="41" operator="between">
      <formula>$AQ$16</formula>
      <formula>$AQ$17</formula>
    </cfRule>
    <cfRule type="cellIs" dxfId="368" priority="42" operator="between">
      <formula>$AQ$15</formula>
      <formula>$AQ$16</formula>
    </cfRule>
    <cfRule type="cellIs" dxfId="367" priority="43" operator="between">
      <formula>$AQ$14</formula>
      <formula>$AQ$15</formula>
    </cfRule>
  </conditionalFormatting>
  <conditionalFormatting sqref="HX21">
    <cfRule type="cellIs" dxfId="366" priority="36" operator="between">
      <formula>$AQ$17</formula>
      <formula>1000</formula>
    </cfRule>
    <cfRule type="cellIs" dxfId="365" priority="37" operator="between">
      <formula>$AQ$16</formula>
      <formula>$AQ$17</formula>
    </cfRule>
    <cfRule type="cellIs" dxfId="364" priority="38" operator="between">
      <formula>$AQ$15</formula>
      <formula>$AQ$16</formula>
    </cfRule>
    <cfRule type="cellIs" dxfId="363" priority="39" operator="between">
      <formula>$AQ$14</formula>
      <formula>$AQ$15</formula>
    </cfRule>
  </conditionalFormatting>
  <conditionalFormatting sqref="GP21">
    <cfRule type="cellIs" dxfId="362" priority="32" operator="between">
      <formula>$AQ$17</formula>
      <formula>1000</formula>
    </cfRule>
    <cfRule type="cellIs" dxfId="361" priority="33" operator="between">
      <formula>$AQ$16</formula>
      <formula>$AQ$17</formula>
    </cfRule>
    <cfRule type="cellIs" dxfId="360" priority="34" operator="between">
      <formula>$AQ$15</formula>
      <formula>$AQ$16</formula>
    </cfRule>
    <cfRule type="cellIs" dxfId="359" priority="35" operator="between">
      <formula>$AQ$14</formula>
      <formula>$AQ$15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AQ$21</formula>
      <formula>1000</formula>
    </cfRule>
    <cfRule type="cellIs" dxfId="354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53" priority="146417" operator="between">
      <formula>EC$21</formula>
      <formula>1000</formula>
    </cfRule>
    <cfRule type="cellIs" dxfId="352" priority="146418" operator="between">
      <formula>EC$20</formula>
      <formula>EC$21</formula>
    </cfRule>
  </conditionalFormatting>
  <conditionalFormatting sqref="AI1:AI1048576 AL1:AL1048576 AP1:AP1048576">
    <cfRule type="cellIs" dxfId="351" priority="146501" operator="between">
      <formula>$AQ$21</formula>
      <formula>1000</formula>
    </cfRule>
    <cfRule type="cellIs" dxfId="350" priority="146502" operator="between">
      <formula>$AQ$20</formula>
      <formula>$AQ$21</formula>
    </cfRule>
    <cfRule type="cellIs" dxfId="349" priority="146503" operator="between">
      <formula>$AQ$19</formula>
      <formula>$AQ$20</formula>
    </cfRule>
    <cfRule type="cellIs" dxfId="348" priority="146504" operator="between">
      <formula>$AQ$18</formula>
      <formula>$AQ$19</formula>
    </cfRule>
  </conditionalFormatting>
  <conditionalFormatting sqref="BJ1:BJ1048576 BM1:BM1048576 BQ1:BQ1048576">
    <cfRule type="cellIs" dxfId="347" priority="146537" operator="between">
      <formula>$BR$21</formula>
      <formula>1000</formula>
    </cfRule>
    <cfRule type="cellIs" dxfId="346" priority="146538" operator="between">
      <formula>$BR$20</formula>
      <formula>$BR$21</formula>
    </cfRule>
    <cfRule type="cellIs" dxfId="345" priority="146539" operator="between">
      <formula>$BR$19</formula>
      <formula>$BR$20</formula>
    </cfRule>
    <cfRule type="cellIs" dxfId="344" priority="146540" operator="between">
      <formula>$BR$18</formula>
      <formula>$BR$19</formula>
    </cfRule>
  </conditionalFormatting>
  <conditionalFormatting sqref="CK1:CK1048576 CN1:CN1048576 CR1:CR1048576">
    <cfRule type="cellIs" dxfId="343" priority="146573" operator="between">
      <formula>$CS$21</formula>
      <formula>1000</formula>
    </cfRule>
    <cfRule type="cellIs" dxfId="342" priority="146574" operator="between">
      <formula>$CS$20</formula>
      <formula>$CS$21</formula>
    </cfRule>
    <cfRule type="cellIs" dxfId="341" priority="146575" operator="between">
      <formula>$CS$19</formula>
      <formula>$CS$20</formula>
    </cfRule>
    <cfRule type="cellIs" dxfId="340" priority="146576" operator="between">
      <formula>$CS$18</formula>
      <formula>$CS$19</formula>
    </cfRule>
  </conditionalFormatting>
  <conditionalFormatting sqref="MT1:MT1048576 MW1:MW1048576 NA1:NA1048576 ND1:ND1048576">
    <cfRule type="cellIs" dxfId="339" priority="146612" operator="between">
      <formula>$NG$14</formula>
      <formula>$NG$15</formula>
    </cfRule>
    <cfRule type="cellIs" dxfId="338" priority="146611" operator="between">
      <formula>$NG$15</formula>
      <formula>1000</formula>
    </cfRule>
  </conditionalFormatting>
  <conditionalFormatting sqref="DR1:DR1048576 DU1:DU1048576 DY1:DY1048576 EB1:EB1048576">
    <cfRule type="cellIs" dxfId="337" priority="146657" operator="between">
      <formula>$EC$21</formula>
      <formula>1000</formula>
    </cfRule>
    <cfRule type="cellIs" dxfId="336" priority="146658" operator="between">
      <formula>$EC$20</formula>
      <formula>$EC$21</formula>
    </cfRule>
    <cfRule type="cellIs" dxfId="335" priority="146659" operator="between">
      <formula>$EC$19</formula>
      <formula>$EC$20</formula>
    </cfRule>
    <cfRule type="cellIs" dxfId="334" priority="146660" operator="between">
      <formula>$EC$18</formula>
      <formula>$EC$19</formula>
    </cfRule>
  </conditionalFormatting>
  <conditionalFormatting sqref="EZ1:EZ1048576 FC1:FC1048576 FG1:FG1048576 FJ1:FJ1048576">
    <cfRule type="cellIs" dxfId="333" priority="146705" operator="between">
      <formula>$FK$21</formula>
      <formula>1000</formula>
    </cfRule>
    <cfRule type="cellIs" dxfId="332" priority="146706" operator="between">
      <formula>$FK$20</formula>
      <formula>$FK$21</formula>
    </cfRule>
    <cfRule type="cellIs" dxfId="331" priority="146707" operator="between">
      <formula>$FK$19</formula>
      <formula>$FK$20</formula>
    </cfRule>
    <cfRule type="cellIs" dxfId="330" priority="146708" operator="between">
      <formula>$FK$18</formula>
      <formula>$FK$19</formula>
    </cfRule>
  </conditionalFormatting>
  <conditionalFormatting sqref="GH1:GH1048576 GK1:GK1048576 GO1:GO1048576 GR1:GR1048576">
    <cfRule type="cellIs" dxfId="329" priority="146753" operator="between">
      <formula>$GS$21</formula>
      <formula>1000</formula>
    </cfRule>
    <cfRule type="cellIs" dxfId="328" priority="146754" operator="between">
      <formula>$GS$20</formula>
      <formula>$GS$21</formula>
    </cfRule>
    <cfRule type="cellIs" dxfId="327" priority="146755" operator="between">
      <formula>$GS$19</formula>
      <formula>$GS$20</formula>
    </cfRule>
    <cfRule type="cellIs" dxfId="326" priority="146756" operator="between">
      <formula>$GS$18</formula>
      <formula>$GS$19</formula>
    </cfRule>
  </conditionalFormatting>
  <conditionalFormatting sqref="HP1:HP1048576 HS1:HS1048576 HW1:HW1048576 HZ1:HZ1048576">
    <cfRule type="cellIs" dxfId="325" priority="146801" operator="between">
      <formula>$IA$21</formula>
      <formula>1000</formula>
    </cfRule>
    <cfRule type="cellIs" dxfId="324" priority="146802" operator="between">
      <formula>$IA$20</formula>
      <formula>$IA$21</formula>
    </cfRule>
    <cfRule type="cellIs" dxfId="323" priority="146803" operator="between">
      <formula>$IA$19</formula>
      <formula>$IA$20</formula>
    </cfRule>
    <cfRule type="cellIs" dxfId="322" priority="146804" operator="between">
      <formula>$IA$18</formula>
      <formula>$IA$19</formula>
    </cfRule>
  </conditionalFormatting>
  <conditionalFormatting sqref="IV1:IV1048576 IY1:IY1048576 JC1:JC1048576 JF1:JF1048576">
    <cfRule type="cellIs" dxfId="321" priority="146851" stopIfTrue="1" operator="between">
      <formula>$JI$15</formula>
      <formula>1000</formula>
    </cfRule>
    <cfRule type="cellIs" dxfId="320" priority="146852" operator="between">
      <formula>$JI$14</formula>
      <formula>$JI$15</formula>
    </cfRule>
  </conditionalFormatting>
  <conditionalFormatting sqref="IX1:IX1048576 JA1:JA1048576 JE1:JE1048576 JH1:JH1048576">
    <cfRule type="cellIs" dxfId="319" priority="146897" operator="between">
      <formula>$JI$21</formula>
      <formula>1000</formula>
    </cfRule>
    <cfRule type="cellIs" dxfId="318" priority="146898" operator="between">
      <formula>$JI$20</formula>
      <formula>$JI$21</formula>
    </cfRule>
    <cfRule type="cellIs" dxfId="317" priority="146899" operator="between">
      <formula>$JI$19</formula>
      <formula>$JI$20</formula>
    </cfRule>
    <cfRule type="cellIs" dxfId="316" priority="146900" operator="between">
      <formula>$JI$18</formula>
      <formula>$JI$19</formula>
    </cfRule>
  </conditionalFormatting>
  <conditionalFormatting sqref="KD1:KD1048576 KG1:KG1048576 KK1:KK1048576 KN1:KN1048576">
    <cfRule type="cellIs" dxfId="315" priority="146947" stopIfTrue="1" operator="between">
      <formula>$KQ$15</formula>
      <formula>1000</formula>
    </cfRule>
    <cfRule type="cellIs" dxfId="314" priority="146948" operator="between">
      <formula>$KQ$14</formula>
      <formula>$KQ$15</formula>
    </cfRule>
  </conditionalFormatting>
  <conditionalFormatting sqref="KF1:KF1048576 KI1:KI1048576 KM1:KM1048576 KP1:KP1048576">
    <cfRule type="cellIs" dxfId="313" priority="146993" operator="between">
      <formula>$KQ$21</formula>
      <formula>1000</formula>
    </cfRule>
    <cfRule type="cellIs" dxfId="312" priority="146994" operator="between">
      <formula>$KQ$20</formula>
      <formula>$KQ$21</formula>
    </cfRule>
    <cfRule type="cellIs" dxfId="311" priority="146995" operator="between">
      <formula>$KQ$19</formula>
      <formula>$KQ$20</formula>
    </cfRule>
    <cfRule type="cellIs" dxfId="310" priority="146996" operator="between">
      <formula>$KQ$18</formula>
      <formula>$KQ$19</formula>
    </cfRule>
  </conditionalFormatting>
  <conditionalFormatting sqref="LL1:LL1048576 LO1:LO1048576 LS1:LS1048576 LV1:LV1048576">
    <cfRule type="cellIs" dxfId="309" priority="147043" stopIfTrue="1" operator="between">
      <formula>$LY$15</formula>
      <formula>1000</formula>
    </cfRule>
    <cfRule type="cellIs" dxfId="308" priority="147044" operator="between">
      <formula>$LY$14</formula>
      <formula>$LY$15</formula>
    </cfRule>
  </conditionalFormatting>
  <conditionalFormatting sqref="LN1:LN1048576 LQ1:LQ1048576 LU1:LU1048576 LX1:LX1048576">
    <cfRule type="cellIs" dxfId="307" priority="147089" operator="between">
      <formula>$LY$21</formula>
      <formula>1000</formula>
    </cfRule>
    <cfRule type="cellIs" dxfId="306" priority="147090" operator="between">
      <formula>$LY$20</formula>
      <formula>$LY$21</formula>
    </cfRule>
    <cfRule type="cellIs" dxfId="305" priority="147091" operator="between">
      <formula>$LY$19</formula>
      <formula>$LY$20</formula>
    </cfRule>
    <cfRule type="cellIs" dxfId="304" priority="147092" operator="between">
      <formula>$LY$18</formula>
      <formula>$LY$19</formula>
    </cfRule>
  </conditionalFormatting>
  <conditionalFormatting sqref="MV1:MV1048576 MY1:MY1048576 NC1:NC1048576 NF1:NF1048576">
    <cfRule type="cellIs" dxfId="303" priority="147137" operator="between">
      <formula>$NG$21</formula>
      <formula>1000</formula>
    </cfRule>
    <cfRule type="cellIs" dxfId="302" priority="147138" operator="between">
      <formula>$NG$20</formula>
      <formula>$NG$21</formula>
    </cfRule>
    <cfRule type="cellIs" dxfId="301" priority="147139" operator="between">
      <formula>$NG$19</formula>
      <formula>$NG$20</formula>
    </cfRule>
    <cfRule type="cellIs" dxfId="300" priority="147140" operator="between">
      <formula>$NG$18</formula>
      <formula>$NG$19</formula>
    </cfRule>
  </conditionalFormatting>
  <conditionalFormatting sqref="OB1:OB1048576 OE1:OE1048576 OI1:OI1048576 OL1:OL1048576">
    <cfRule type="cellIs" dxfId="299" priority="147187" stopIfTrue="1" operator="between">
      <formula>$OO$15</formula>
      <formula>1000</formula>
    </cfRule>
    <cfRule type="cellIs" dxfId="298" priority="147188" operator="between">
      <formula>$OO$14</formula>
      <formula>$OO$15</formula>
    </cfRule>
  </conditionalFormatting>
  <conditionalFormatting sqref="OD1:OD1048576 OG1:OG1048576 OK1:OK1048576 ON1:ON1048576">
    <cfRule type="cellIs" dxfId="297" priority="147233" operator="between">
      <formula>$OO$21</formula>
      <formula>1000</formula>
    </cfRule>
    <cfRule type="cellIs" dxfId="296" priority="147234" operator="between">
      <formula>$OO$20</formula>
      <formula>$OO$21</formula>
    </cfRule>
    <cfRule type="cellIs" dxfId="295" priority="147235" operator="between">
      <formula>$OO$19</formula>
      <formula>$OO$20</formula>
    </cfRule>
    <cfRule type="cellIs" dxfId="294" priority="147236" operator="between">
      <formula>$OO$18</formula>
      <formula>$OO$19</formula>
    </cfRule>
  </conditionalFormatting>
  <conditionalFormatting sqref="PJ1:PJ1048576 PM1:PM1048576 PQ1:PQ1048576 PT1:PT1048576">
    <cfRule type="cellIs" dxfId="293" priority="147283" stopIfTrue="1" operator="between">
      <formula>$PW$15</formula>
      <formula>1000</formula>
    </cfRule>
    <cfRule type="cellIs" dxfId="292" priority="147284" operator="between">
      <formula>$PW$14</formula>
      <formula>$PW$15</formula>
    </cfRule>
  </conditionalFormatting>
  <conditionalFormatting sqref="PL1:PL1048576 PO1:PO1048576 PS1:PS1048576 PV1:PV1048576">
    <cfRule type="cellIs" dxfId="291" priority="147329" operator="between">
      <formula>$PW$21</formula>
      <formula>1000</formula>
    </cfRule>
    <cfRule type="cellIs" dxfId="290" priority="147330" operator="between">
      <formula>$PW$20</formula>
      <formula>$PW$21</formula>
    </cfRule>
    <cfRule type="cellIs" dxfId="289" priority="147331" operator="between">
      <formula>$PW$19</formula>
      <formula>$PW$20</formula>
    </cfRule>
    <cfRule type="cellIs" dxfId="288" priority="147332" operator="between">
      <formula>$PW$18</formula>
      <formula>$PW$19</formula>
    </cfRule>
  </conditionalFormatting>
  <conditionalFormatting sqref="QR1:QR1048576 QU1:QU1048576 QY1:QY1048576 RB1:RB1048576">
    <cfRule type="cellIs" dxfId="287" priority="147379" stopIfTrue="1" operator="between">
      <formula>$RE$15</formula>
      <formula>1000</formula>
    </cfRule>
    <cfRule type="cellIs" dxfId="286" priority="147380" operator="between">
      <formula>$RE$14</formula>
      <formula>$RE$15</formula>
    </cfRule>
  </conditionalFormatting>
  <conditionalFormatting sqref="QT1:QT1048576 QW1:QW1048576 RA1:RA1048576 RD1:RD1048576">
    <cfRule type="cellIs" dxfId="285" priority="147425" operator="between">
      <formula>$RE$21</formula>
      <formula>1000</formula>
    </cfRule>
    <cfRule type="cellIs" dxfId="284" priority="147426" operator="between">
      <formula>$RE$20</formula>
      <formula>$RE$21</formula>
    </cfRule>
    <cfRule type="cellIs" dxfId="283" priority="147427" operator="between">
      <formula>$RE$19</formula>
      <formula>$RE$20</formula>
    </cfRule>
    <cfRule type="cellIs" dxfId="282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81" priority="147475" stopIfTrue="1" operator="between">
      <formula>$SM$15</formula>
      <formula>1000</formula>
    </cfRule>
    <cfRule type="cellIs" dxfId="280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79" priority="147617" operator="between">
      <formula>$SM$21</formula>
      <formula>1000</formula>
    </cfRule>
    <cfRule type="cellIs" dxfId="278" priority="147618" operator="between">
      <formula>$SM$20</formula>
      <formula>$SM$21</formula>
    </cfRule>
    <cfRule type="cellIs" dxfId="277" priority="147619" operator="between">
      <formula>$SM$19</formula>
      <formula>$SM$20</formula>
    </cfRule>
    <cfRule type="cellIs" dxfId="276" priority="147620" operator="between">
      <formula>$SM$18</formula>
      <formula>$SM$19</formula>
    </cfRule>
  </conditionalFormatting>
  <conditionalFormatting sqref="DZ1:DZ1048576 DP1:DP1048576 DS1:DS1048576 DW1:DW1048576">
    <cfRule type="cellIs" dxfId="275" priority="90" stopIfTrue="1" operator="between">
      <formula>$EC$15</formula>
      <formula>100</formula>
    </cfRule>
    <cfRule type="cellIs" dxfId="274" priority="91" operator="between">
      <formula>$EC$14</formula>
      <formula>$EC$15</formula>
    </cfRule>
  </conditionalFormatting>
  <conditionalFormatting sqref="FH1:FH1048576 EX1:EX1048576 FA1:FA1048576 FE1:FE1048576">
    <cfRule type="cellIs" dxfId="273" priority="66" operator="between">
      <formula>$FK$15</formula>
      <formula>1000</formula>
    </cfRule>
    <cfRule type="cellIs" dxfId="272" priority="67" stopIfTrue="1" operator="between">
      <formula>$FK$14</formula>
      <formula>$FK$15</formula>
    </cfRule>
  </conditionalFormatting>
  <conditionalFormatting sqref="GP1:GP1048576 GF1:GF1048576 GI1:GI1048576 GM1:GM1048576">
    <cfRule type="cellIs" dxfId="271" priority="121" stopIfTrue="1" operator="between">
      <formula>$GS$15</formula>
      <formula>1000</formula>
    </cfRule>
    <cfRule type="cellIs" dxfId="270" priority="122" operator="between">
      <formula>$GS$14</formula>
      <formula>$GS$15</formula>
    </cfRule>
  </conditionalFormatting>
  <conditionalFormatting sqref="HX1:HX1048576 HN1:HN1048576 HQ1:HQ1048576 HU1:HU1048576">
    <cfRule type="cellIs" dxfId="269" priority="62" stopIfTrue="1" operator="between">
      <formula>$IA$15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200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227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225</v>
      </c>
      <c r="C4" s="4" t="s">
        <v>6</v>
      </c>
      <c r="D4" s="4" t="s">
        <v>224</v>
      </c>
      <c r="E4" s="9">
        <f t="shared" ref="E4:E9" si="0">SUM(J4,L4,N4)</f>
        <v>92.64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9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9" si="6">IF(L4="","",IF(OR(L4=CK4,L4=CN4,L4=CR4),$BS$1,IF(OR(L4=BJ4,L4=BM4,L4=BQ4),$AR$1,IF(OR(L4=AI4,L4=AL4,L4=AP4),$Q$1,""))))</f>
        <v>2025 Nationals</v>
      </c>
      <c r="N4" s="8" t="str">
        <f t="shared" ref="N4:N9" si="7">IF(MAX(CT4,CU4)&gt;0,MAX(CT4,CU4),"")</f>
        <v/>
      </c>
      <c r="O4" s="11" t="str">
        <f t="shared" ref="O4:O9" si="8">IF(N4="","",IF(N4=CT4,"("&amp;CT$2&amp;")",IF(N4=CU4,"("&amp;CU$2&amp;")")))</f>
        <v/>
      </c>
      <c r="P4" s="8" t="str">
        <f t="shared" ref="P4:P9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9" si="10">IF(S4&gt;0,S4,"")</f>
        <v/>
      </c>
      <c r="AH4" s="38" t="str">
        <f t="shared" si="10"/>
        <v/>
      </c>
      <c r="AI4" s="40" t="str">
        <f t="shared" ref="AI4:AI9" si="11">IF(SUM(Q4:T4)-U4&gt;0,SUM(Q4:T4)-U4,"")</f>
        <v/>
      </c>
      <c r="AJ4" s="40" t="str">
        <f t="shared" ref="AJ4:AK9" si="12">IF(X4&gt;0,X4,"")</f>
        <v/>
      </c>
      <c r="AK4" s="40" t="str">
        <f t="shared" si="12"/>
        <v/>
      </c>
      <c r="AL4" s="40" t="str">
        <f t="shared" ref="AL4:AL9" si="13">IF(SUM(V4:Y4)-Z4&gt;0,SUM(V4:Y4)-Z4,"")</f>
        <v/>
      </c>
      <c r="AM4" s="40" t="str">
        <f t="shared" ref="AM4:AM9" si="14">IF(AI4="","",MAX(AI4,AL4))</f>
        <v/>
      </c>
      <c r="AN4" s="40" t="str">
        <f t="shared" ref="AN4:AO9" si="15">IF(AC4&gt;0,AC4,"")</f>
        <v/>
      </c>
      <c r="AO4" s="40" t="str">
        <f t="shared" si="15"/>
        <v/>
      </c>
      <c r="AP4" s="40" t="str">
        <f t="shared" ref="AP4:AP9" si="16">IF(SUM(AA4:AD4)-AE4&gt;0,SUM(AA4:AD4)-AE4,"")</f>
        <v/>
      </c>
      <c r="AQ4" s="40" t="str">
        <f t="shared" ref="AQ4:AQ9" si="17"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 t="shared" ref="BH4:BI9" si="18">IF(AT4&gt;0,AT4,"")</f>
        <v>9.8000000000000007</v>
      </c>
      <c r="BI4" s="39">
        <f t="shared" si="18"/>
        <v>15.56</v>
      </c>
      <c r="BJ4" s="11">
        <f t="shared" ref="BJ4:BJ9" si="19">IF(SUM(AR4:AU4)-AV4&gt;0,SUM(AR4:AU4)-AV4,"")</f>
        <v>40.69</v>
      </c>
      <c r="BK4" s="11">
        <f t="shared" ref="BK4:BL9" si="20">IF(AY4&gt;0,AY4,"")</f>
        <v>10.9</v>
      </c>
      <c r="BL4" s="11">
        <f t="shared" si="20"/>
        <v>15.86</v>
      </c>
      <c r="BM4" s="11">
        <f t="shared" ref="BM4:BM9" si="21">IF(SUM(AW4:AZ4)-BA4&gt;0,SUM(AW4:AZ4)-BA4,"")</f>
        <v>41.26</v>
      </c>
      <c r="BN4" s="11">
        <f t="shared" ref="BN4:BN9" si="22">IF(BJ4="","",MAX(BJ4,BM4))</f>
        <v>41.26</v>
      </c>
      <c r="BO4" s="11" t="str">
        <f t="shared" ref="BO4:BP9" si="23">IF(BD4&gt;0,BD4,"")</f>
        <v/>
      </c>
      <c r="BP4" s="11" t="str">
        <f t="shared" si="23"/>
        <v/>
      </c>
      <c r="BQ4" s="11" t="str">
        <f t="shared" ref="BQ4:BQ9" si="24">IF(SUM(BB4:BE4)-BF4&gt;0,SUM(BB4:BE4)-BF4,"")</f>
        <v/>
      </c>
      <c r="BR4" s="11">
        <f t="shared" ref="BR4:BR9" si="25"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 t="shared" ref="CI4:CJ9" si="26">IF(BU4&gt;0,BU4,"")</f>
        <v>11.7</v>
      </c>
      <c r="CJ4" s="38">
        <f t="shared" si="26"/>
        <v>15.94</v>
      </c>
      <c r="CK4" s="40">
        <f t="shared" ref="CK4:CK9" si="27">IF(SUM(BS4:BV4)-BW4&gt;0,SUM(BS4:BV4)-BW4,"")</f>
        <v>44.67</v>
      </c>
      <c r="CL4" s="40">
        <f t="shared" ref="CL4:CM9" si="28">IF(BZ4&gt;0,BZ4,"")</f>
        <v>11.7</v>
      </c>
      <c r="CM4" s="40">
        <f t="shared" si="28"/>
        <v>17.079999999999998</v>
      </c>
      <c r="CN4" s="40">
        <f t="shared" ref="CN4:CN9" si="29">IF(SUM(BX4:CA4)-CB4&gt;0,SUM(BX4:CA4)-CB4,"")</f>
        <v>45.28</v>
      </c>
      <c r="CO4" s="40">
        <f t="shared" ref="CO4:CO9" si="30">IF(CK4="","",MAX(CK4,CN4))</f>
        <v>45.28</v>
      </c>
      <c r="CP4" s="40">
        <f t="shared" ref="CP4:CQ9" si="31">IF(CE4&gt;0,CE4,"")</f>
        <v>11.7</v>
      </c>
      <c r="CQ4" s="40">
        <f t="shared" si="31"/>
        <v>18.059999999999999</v>
      </c>
      <c r="CR4" s="40">
        <f t="shared" ref="CR4:CR9" si="32">IF(SUM(CC4:CF4)-CG4&gt;0,SUM(CC4:CF4)-CG4,"")</f>
        <v>47.36</v>
      </c>
      <c r="CS4" s="40">
        <f t="shared" ref="CS4:CS9" si="33">IF(SUM(CO4,CR4)&gt;0,SUM(CO4,CR4),"")</f>
        <v>92.64</v>
      </c>
      <c r="CT4" s="51" t="str">
        <f t="shared" ref="CT4:CT9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9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9" si="36">IF(CX4&gt;0,CX4,"")</f>
        <v/>
      </c>
      <c r="DQ4" s="40" t="str">
        <f t="shared" si="36"/>
        <v/>
      </c>
      <c r="DR4" s="40" t="str">
        <f t="shared" ref="DR4:DR9" si="37">IF(SUM(CV4:CY4)-CZ4&gt;0,SUM(CV4:CY4)-CZ4,"")</f>
        <v/>
      </c>
      <c r="DS4" s="40" t="str">
        <f t="shared" ref="DS4:DT9" si="38">IF(DC4&gt;0,DC4,"")</f>
        <v/>
      </c>
      <c r="DT4" s="40" t="str">
        <f t="shared" si="38"/>
        <v/>
      </c>
      <c r="DU4" s="40" t="str">
        <f t="shared" ref="DU4:DU9" si="39">IF(SUM(DA4:DD4)-DE4&gt;0,SUM(DA4:DD4)-DE4,"")</f>
        <v/>
      </c>
      <c r="DV4" s="40" t="str">
        <f t="shared" ref="DV4:DV9" si="40">IF(MAX(DR4,DU4)&gt;0,MAX(DR4,DU4),"")</f>
        <v/>
      </c>
      <c r="DW4" s="40" t="str">
        <f t="shared" ref="DW4:DX9" si="41">IF(DH4&gt;0,DH4,"")</f>
        <v/>
      </c>
      <c r="DX4" s="40" t="str">
        <f t="shared" si="41"/>
        <v/>
      </c>
      <c r="DY4" s="40" t="str">
        <f t="shared" ref="DY4:DY9" si="42">IF(SUM(DF4:DI4)-DJ4&gt;0,SUM(DF4:DI4)-DJ4,"")</f>
        <v/>
      </c>
      <c r="DZ4" s="40" t="str">
        <f t="shared" ref="DZ4:EA9" si="43">IF(DM4&gt;0,DM4,"")</f>
        <v/>
      </c>
      <c r="EA4" s="40" t="str">
        <f t="shared" si="43"/>
        <v/>
      </c>
      <c r="EB4" s="40" t="str">
        <f t="shared" ref="EB4:EB9" si="44">IF(SUM(DK4:DN4)-DO4&gt;0,SUM(DK4:DN4)-DO4,"")</f>
        <v/>
      </c>
      <c r="EC4" s="40" t="str">
        <f t="shared" ref="EC4:EC9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9" si="46">IF(EF4&gt;0,EF4,"")</f>
        <v/>
      </c>
      <c r="EY4" s="11" t="str">
        <f t="shared" si="46"/>
        <v/>
      </c>
      <c r="EZ4" s="11" t="str">
        <f t="shared" ref="EZ4:EZ9" si="47">IF(SUM(ED4:EG4)-EH4&gt;0,SUM(ED4:EG4)-EH4,"")</f>
        <v/>
      </c>
      <c r="FA4" s="11" t="str">
        <f t="shared" ref="FA4:FB9" si="48">IF(EK4&gt;0,EK4,"")</f>
        <v/>
      </c>
      <c r="FB4" s="11" t="str">
        <f t="shared" si="48"/>
        <v/>
      </c>
      <c r="FC4" s="11" t="str">
        <f t="shared" ref="FC4:FC9" si="49">IF(SUM(EI4:EL4)-EM4&gt;0,SUM(EI4:EL4)-EM4,"")</f>
        <v/>
      </c>
      <c r="FD4" s="11" t="str">
        <f t="shared" ref="FD4:FD9" si="50">IF(MAX(EZ4,FC4)&gt;0,MAX(EZ4,FC4),"")</f>
        <v/>
      </c>
      <c r="FE4" s="11" t="str">
        <f t="shared" ref="FE4:FF9" si="51">IF(EP4&gt;0,EP4,"")</f>
        <v/>
      </c>
      <c r="FF4" s="11" t="str">
        <f t="shared" si="51"/>
        <v/>
      </c>
      <c r="FG4" s="11" t="str">
        <f t="shared" ref="FG4:FG9" si="52">IF(SUM(EN4:EQ4)-ER4&gt;0,SUM(EN4:EQ4)-ER4,"")</f>
        <v/>
      </c>
      <c r="FH4" s="11" t="str">
        <f t="shared" ref="FH4:FI9" si="53">IF(EU4&gt;0,EU4,"")</f>
        <v/>
      </c>
      <c r="FI4" s="11" t="str">
        <f t="shared" si="53"/>
        <v/>
      </c>
      <c r="FJ4" s="11" t="str">
        <f t="shared" ref="FJ4:FJ9" si="54">IF(SUM(ES4:EV4)-EW4&gt;0,SUM(ES4:EV4)-EW4,"")</f>
        <v/>
      </c>
      <c r="FK4" s="11" t="str">
        <f t="shared" ref="FK4:FK9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9" si="56">IF(FN4&gt;0,FN4,"")</f>
        <v/>
      </c>
      <c r="GG4" s="40" t="str">
        <f t="shared" si="56"/>
        <v/>
      </c>
      <c r="GH4" s="40" t="str">
        <f t="shared" ref="GH4:GH9" si="57">IF(SUM(FL4:FO4)-FP4&gt;0,SUM(FL4:FO4)-FP4,"")</f>
        <v/>
      </c>
      <c r="GI4" s="40" t="str">
        <f t="shared" ref="GI4:GJ9" si="58">IF(FS4&gt;0,FS4,"")</f>
        <v/>
      </c>
      <c r="GJ4" s="40" t="str">
        <f t="shared" si="58"/>
        <v/>
      </c>
      <c r="GK4" s="40" t="str">
        <f t="shared" ref="GK4:GK9" si="59">IF(SUM(FQ4:FT4)-FU4&gt;0,SUM(FQ4:FT4)-FU4,"")</f>
        <v/>
      </c>
      <c r="GL4" s="40" t="str">
        <f t="shared" ref="GL4:GL9" si="60">IF(MAX(GH4,GK4)&gt;0,MAX(GH4,GK4),"")</f>
        <v/>
      </c>
      <c r="GM4" s="40" t="str">
        <f t="shared" ref="GM4:GN9" si="61">IF(FX4&gt;0,FX4,"")</f>
        <v/>
      </c>
      <c r="GN4" s="40" t="str">
        <f t="shared" si="61"/>
        <v/>
      </c>
      <c r="GO4" s="40" t="str">
        <f t="shared" ref="GO4:GO9" si="62">IF(SUM(FV4:FY4)-FZ4&gt;0,SUM(FV4:FY4)-FZ4,"")</f>
        <v/>
      </c>
      <c r="GP4" s="40" t="str">
        <f t="shared" ref="GP4:GQ9" si="63">IF(GC4&gt;0,GC4,"")</f>
        <v/>
      </c>
      <c r="GQ4" s="40" t="str">
        <f t="shared" si="63"/>
        <v/>
      </c>
      <c r="GR4" s="40" t="str">
        <f t="shared" ref="GR4:GR9" si="64">IF(SUM(GA4:GD4)-GE4&gt;0,SUM(GA4:GD4)-GE4,"")</f>
        <v/>
      </c>
      <c r="GS4" s="40" t="str">
        <f t="shared" ref="GS4:GS9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9" si="66">IF(GV4&gt;0,GV4,"")</f>
        <v/>
      </c>
      <c r="HO4" s="11" t="str">
        <f t="shared" si="66"/>
        <v/>
      </c>
      <c r="HP4" s="11" t="str">
        <f t="shared" ref="HP4:HP9" si="67">IF(SUM(GT4:GW4)-GX4&gt;0,SUM(GT4:GW4)-GX4,"")</f>
        <v/>
      </c>
      <c r="HQ4" s="11" t="str">
        <f t="shared" ref="HQ4:HR9" si="68">IF(HA4&gt;0,HA4,"")</f>
        <v/>
      </c>
      <c r="HR4" s="11" t="str">
        <f t="shared" si="68"/>
        <v/>
      </c>
      <c r="HS4" s="11" t="str">
        <f t="shared" ref="HS4:HS9" si="69">IF(SUM(GY4:HB4)-HC4&gt;0,SUM(GY4:HB4)-HC4,"")</f>
        <v/>
      </c>
      <c r="HT4" s="11" t="str">
        <f t="shared" ref="HT4:HT9" si="70">IF(MAX(HP4,HS4)&gt;0,MAX(HP4,HS4),"")</f>
        <v/>
      </c>
      <c r="HU4" s="11" t="str">
        <f t="shared" ref="HU4:HV9" si="71">IF(HF4&gt;0,HF4,"")</f>
        <v/>
      </c>
      <c r="HV4" s="11" t="str">
        <f t="shared" si="71"/>
        <v/>
      </c>
      <c r="HW4" s="11" t="str">
        <f t="shared" ref="HW4:HW9" si="72">IF(SUM(HD4:HG4)-HH4&gt;0,SUM(HD4:HG4)-HH4,"")</f>
        <v/>
      </c>
      <c r="HX4" s="11" t="str">
        <f t="shared" ref="HX4:HY9" si="73">IF(HK4&gt;0,HK4,"")</f>
        <v/>
      </c>
      <c r="HY4" s="11" t="str">
        <f t="shared" si="73"/>
        <v/>
      </c>
      <c r="HZ4" s="11" t="str">
        <f t="shared" ref="HZ4:HZ9" si="74">IF(SUM(HI4:HL4)-HM4&gt;0,SUM(HI4:HL4)-HM4,"")</f>
        <v/>
      </c>
      <c r="IA4" s="11" t="str">
        <f t="shared" ref="IA4:IA9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9" si="76">IF(ID4&gt;0,ID4,"")</f>
        <v/>
      </c>
      <c r="IW4" s="40" t="str">
        <f t="shared" si="76"/>
        <v/>
      </c>
      <c r="IX4" s="40" t="str">
        <f t="shared" ref="IX4:IX9" si="77">IF(SUM(IB4:IE4)-IF4&gt;0,SUM(IB4:IE4)-IF4,"")</f>
        <v/>
      </c>
      <c r="IY4" s="40" t="str">
        <f t="shared" ref="IY4:IZ9" si="78">IF(II4&gt;0,II4,"")</f>
        <v/>
      </c>
      <c r="IZ4" s="40" t="str">
        <f t="shared" si="78"/>
        <v/>
      </c>
      <c r="JA4" s="40" t="str">
        <f t="shared" ref="JA4:JA9" si="79">IF(SUM(IG4:IJ4)-IK4&gt;0,SUM(IG4:IJ4)-IK4,"")</f>
        <v/>
      </c>
      <c r="JB4" s="40" t="str">
        <f t="shared" ref="JB4:JB9" si="80">IF(MAX(IX4,JA4)&gt;0,MAX(IX4,JA4),"")</f>
        <v/>
      </c>
      <c r="JC4" s="40" t="str">
        <f t="shared" ref="JC4:JD9" si="81">IF(IN4&gt;0,IN4,"")</f>
        <v/>
      </c>
      <c r="JD4" s="40" t="str">
        <f t="shared" si="81"/>
        <v/>
      </c>
      <c r="JE4" s="40" t="str">
        <f t="shared" ref="JE4:JE9" si="82">IF(SUM(IL4:IO4)-IP4&gt;0,SUM(IL4:IO4)-IP4,"")</f>
        <v/>
      </c>
      <c r="JF4" s="40" t="str">
        <f t="shared" ref="JF4:JG9" si="83">IF(IS4&gt;0,IS4,"")</f>
        <v/>
      </c>
      <c r="JG4" s="40" t="str">
        <f t="shared" si="83"/>
        <v/>
      </c>
      <c r="JH4" s="40" t="str">
        <f t="shared" ref="JH4:JH9" si="84">IF(SUM(IQ4:IT4)-IU4&gt;0,SUM(IQ4:IT4)-IU4,"")</f>
        <v/>
      </c>
      <c r="JI4" s="40" t="str">
        <f t="shared" ref="JI4:JI9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6">IF(JL4&gt;0,JL4,"")</f>
        <v/>
      </c>
      <c r="KE4" s="11" t="str">
        <f t="shared" si="86"/>
        <v/>
      </c>
      <c r="KF4" s="11" t="str">
        <f t="shared" ref="KF4:KF9" si="87">IF(SUM(JJ4:JM4)-JN4&gt;0,SUM(JJ4:JM4)-JN4,"")</f>
        <v/>
      </c>
      <c r="KG4" s="11" t="str">
        <f t="shared" ref="KG4:KH9" si="88">IF(JQ4&gt;0,JQ4,"")</f>
        <v/>
      </c>
      <c r="KH4" s="11" t="str">
        <f t="shared" si="88"/>
        <v/>
      </c>
      <c r="KI4" s="11" t="str">
        <f t="shared" ref="KI4:KI9" si="89">IF(SUM(JO4:JR4)-JS4&gt;0,SUM(JO4:JR4)-JS4,"")</f>
        <v/>
      </c>
      <c r="KJ4" s="11" t="str">
        <f t="shared" ref="KJ4:KJ9" si="90">IF(MAX(KF4,KI4)&gt;0,MAX(KF4,KI4),"")</f>
        <v/>
      </c>
      <c r="KK4" s="11" t="str">
        <f t="shared" ref="KK4:KL9" si="91">IF(JV4&gt;0,JV4,"")</f>
        <v/>
      </c>
      <c r="KL4" s="11" t="str">
        <f t="shared" si="91"/>
        <v/>
      </c>
      <c r="KM4" s="11" t="str">
        <f t="shared" ref="KM4:KM9" si="92">IF(SUM(JT4:JW4)-JX4&gt;0,SUM(JT4:JW4)-JX4,"")</f>
        <v/>
      </c>
      <c r="KN4" s="11" t="str">
        <f t="shared" ref="KN4:KO9" si="93">IF(KA4&gt;0,KA4,"")</f>
        <v/>
      </c>
      <c r="KO4" s="11" t="str">
        <f t="shared" si="93"/>
        <v/>
      </c>
      <c r="KP4" s="11" t="str">
        <f t="shared" ref="KP4:KP9" si="94">IF(SUM(JY4:KB4)-KC4&gt;0,SUM(JY4:KB4)-KC4,"")</f>
        <v/>
      </c>
      <c r="KQ4" s="11" t="str">
        <f t="shared" ref="KQ4:KQ9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9" si="96">IF(KT4&gt;0,KT4,"")</f>
        <v/>
      </c>
      <c r="LM4" s="40" t="str">
        <f t="shared" si="96"/>
        <v/>
      </c>
      <c r="LN4" s="40" t="str">
        <f t="shared" ref="LN4:LN9" si="97">IF(SUM(KR4:KU4)-KV4&gt;0,SUM(KR4:KU4)-KV4,"")</f>
        <v/>
      </c>
      <c r="LO4" s="40" t="str">
        <f t="shared" ref="LO4:LP9" si="98">IF(KY4&gt;0,KY4,"")</f>
        <v/>
      </c>
      <c r="LP4" s="40" t="str">
        <f t="shared" si="98"/>
        <v/>
      </c>
      <c r="LQ4" s="40" t="str">
        <f t="shared" ref="LQ4:LQ9" si="99">IF(SUM(KW4:KZ4)-LA4&gt;0,SUM(KW4:KZ4)-LA4,"")</f>
        <v/>
      </c>
      <c r="LR4" s="40" t="str">
        <f t="shared" ref="LR4:LR9" si="100">IF(MAX(LN4,LQ4)&gt;0,MAX(LN4,LQ4),"")</f>
        <v/>
      </c>
      <c r="LS4" s="40" t="str">
        <f t="shared" ref="LS4:LT9" si="101">IF(LD4&gt;0,LD4,"")</f>
        <v/>
      </c>
      <c r="LT4" s="40" t="str">
        <f t="shared" si="101"/>
        <v/>
      </c>
      <c r="LU4" s="40" t="str">
        <f t="shared" ref="LU4:LU9" si="102">IF(SUM(LB4:LE4)-LF4&gt;0,SUM(LB4:LE4)-LF4,"")</f>
        <v/>
      </c>
      <c r="LV4" s="40" t="str">
        <f t="shared" ref="LV4:LW9" si="103">IF(LI4&gt;0,LI4,"")</f>
        <v/>
      </c>
      <c r="LW4" s="40" t="str">
        <f t="shared" si="103"/>
        <v/>
      </c>
      <c r="LX4" s="40" t="str">
        <f t="shared" ref="LX4:LX9" si="104">IF(SUM(LG4:LJ4)-LK4&gt;0,SUM(LG4:LJ4)-LK4,"")</f>
        <v/>
      </c>
      <c r="LY4" s="40" t="str">
        <f t="shared" ref="LY4:LY9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6">IF(MB4&gt;0,MB4,"")</f>
        <v/>
      </c>
      <c r="MU4" s="11" t="str">
        <f t="shared" si="106"/>
        <v/>
      </c>
      <c r="MV4" s="11" t="str">
        <f t="shared" ref="MV4:MV9" si="107">IF(SUM(LZ4:MC4)-MD4&gt;0,SUM(LZ4:MC4)-MD4,"")</f>
        <v/>
      </c>
      <c r="MW4" s="11" t="str">
        <f t="shared" ref="MW4:MX9" si="108">IF(MG4&gt;0,MG4,"")</f>
        <v/>
      </c>
      <c r="MX4" s="11" t="str">
        <f t="shared" si="108"/>
        <v/>
      </c>
      <c r="MY4" s="11" t="str">
        <f t="shared" ref="MY4:MY9" si="109">IF(SUM(ME4:MH4)-MI4&gt;0,SUM(ME4:MH4)-MI4,"")</f>
        <v/>
      </c>
      <c r="MZ4" s="11" t="str">
        <f t="shared" ref="MZ4:MZ9" si="110">IF(MAX(MV4,MY4)&gt;0,MAX(MV4,MY4),"")</f>
        <v/>
      </c>
      <c r="NA4" s="11" t="str">
        <f t="shared" ref="NA4:NB9" si="111">IF(ML4&gt;0,ML4,"")</f>
        <v/>
      </c>
      <c r="NB4" s="11" t="str">
        <f t="shared" si="111"/>
        <v/>
      </c>
      <c r="NC4" s="11" t="str">
        <f t="shared" ref="NC4:NC9" si="112">IF(SUM(MJ4:MM4)-MN4&gt;0,SUM(MJ4:MM4)-MN4,"")</f>
        <v/>
      </c>
      <c r="ND4" s="11" t="str">
        <f t="shared" ref="ND4:NE9" si="113">IF(MQ4&gt;0,MQ4,"")</f>
        <v/>
      </c>
      <c r="NE4" s="11" t="str">
        <f t="shared" si="113"/>
        <v/>
      </c>
      <c r="NF4" s="11" t="str">
        <f t="shared" ref="NF4:NF9" si="114">IF(SUM(MO4:MR4)-MS4&gt;0,SUM(MO4:MR4)-MS4,"")</f>
        <v/>
      </c>
      <c r="NG4" s="11" t="str">
        <f t="shared" ref="NG4:NG9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9" si="116">IF(NJ4&gt;0,NJ4,"")</f>
        <v/>
      </c>
      <c r="OC4" s="40" t="str">
        <f t="shared" si="116"/>
        <v/>
      </c>
      <c r="OD4" s="40" t="str">
        <f t="shared" ref="OD4:OD9" si="117">IF(SUM(NH4:NK4)-NL4&gt;0,SUM(NH4:NK4)-NL4,"")</f>
        <v/>
      </c>
      <c r="OE4" s="40" t="str">
        <f t="shared" ref="OE4:OF9" si="118">IF(NO4&gt;0,NO4,"")</f>
        <v/>
      </c>
      <c r="OF4" s="40" t="str">
        <f t="shared" si="118"/>
        <v/>
      </c>
      <c r="OG4" s="40" t="str">
        <f t="shared" ref="OG4:OG9" si="119">IF(SUM(NM4:NP4)-NQ4&gt;0,SUM(NM4:NP4)-NQ4,"")</f>
        <v/>
      </c>
      <c r="OH4" s="40" t="str">
        <f t="shared" ref="OH4:OH9" si="120">IF(MAX(OD4,OG4)&gt;0,MAX(OD4,OG4),"")</f>
        <v/>
      </c>
      <c r="OI4" s="40" t="str">
        <f t="shared" ref="OI4:OJ9" si="121">IF(NT4&gt;0,NT4,"")</f>
        <v/>
      </c>
      <c r="OJ4" s="40" t="str">
        <f t="shared" si="121"/>
        <v/>
      </c>
      <c r="OK4" s="40" t="str">
        <f t="shared" ref="OK4:OK9" si="122">IF(SUM(NR4:NU4)-NV4&gt;0,SUM(NR4:NU4)-NV4,"")</f>
        <v/>
      </c>
      <c r="OL4" s="40" t="str">
        <f t="shared" ref="OL4:OM9" si="123">IF(NY4&gt;0,NY4,"")</f>
        <v/>
      </c>
      <c r="OM4" s="40" t="str">
        <f t="shared" si="123"/>
        <v/>
      </c>
      <c r="ON4" s="40" t="str">
        <f t="shared" ref="ON4:ON9" si="124">IF(SUM(NW4:NZ4)-OA4&gt;0,SUM(NW4:NZ4)-OA4,"")</f>
        <v/>
      </c>
      <c r="OO4" s="40" t="str">
        <f t="shared" ref="OO4:OO9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6">IF(OR4&gt;0,OR4,"")</f>
        <v/>
      </c>
      <c r="PK4" s="11" t="str">
        <f t="shared" si="126"/>
        <v/>
      </c>
      <c r="PL4" s="11" t="str">
        <f t="shared" ref="PL4:PL9" si="127">IF(SUM(OP4:OS4)-OT4&gt;0,SUM(OP4:OS4)-OT4,"")</f>
        <v/>
      </c>
      <c r="PM4" s="11" t="str">
        <f t="shared" ref="PM4:PN9" si="128">IF(OW4&gt;0,OW4,"")</f>
        <v/>
      </c>
      <c r="PN4" s="11" t="str">
        <f t="shared" si="128"/>
        <v/>
      </c>
      <c r="PO4" s="11" t="str">
        <f t="shared" ref="PO4:PO9" si="129">IF(SUM(OU4:OX4)-OY4&gt;0,SUM(OU4:OX4)-OY4,"")</f>
        <v/>
      </c>
      <c r="PP4" s="11" t="str">
        <f t="shared" ref="PP4:PP9" si="130">IF(MAX(PL4,PO4)&gt;0,MAX(PL4,PO4),"")</f>
        <v/>
      </c>
      <c r="PQ4" s="11" t="str">
        <f t="shared" ref="PQ4:PR9" si="131">IF(PB4&gt;0,PB4,"")</f>
        <v/>
      </c>
      <c r="PR4" s="11" t="str">
        <f t="shared" si="131"/>
        <v/>
      </c>
      <c r="PS4" s="11" t="str">
        <f t="shared" ref="PS4:PS9" si="132">IF(SUM(OZ4:PC4)-PD4&gt;0,SUM(OZ4:PC4)-PD4,"")</f>
        <v/>
      </c>
      <c r="PT4" s="11" t="str">
        <f t="shared" ref="PT4:PU9" si="133">IF(PG4&gt;0,PG4,"")</f>
        <v/>
      </c>
      <c r="PU4" s="11" t="str">
        <f t="shared" si="133"/>
        <v/>
      </c>
      <c r="PV4" s="11" t="str">
        <f t="shared" ref="PV4:PV9" si="134">IF(SUM(PE4:PH4)-PI4&gt;0,SUM(PE4:PH4)-PI4,"")</f>
        <v/>
      </c>
      <c r="PW4" s="11" t="str">
        <f t="shared" ref="PW4:PW9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9" si="136">IF(PZ4&gt;0,PZ4,"")</f>
        <v/>
      </c>
      <c r="QS4" s="40" t="str">
        <f t="shared" si="136"/>
        <v/>
      </c>
      <c r="QT4" s="40" t="str">
        <f t="shared" ref="QT4:QT9" si="137">IF(SUM(PX4:QA4)-QB4&gt;0,SUM(PX4:QA4)-QB4,"")</f>
        <v/>
      </c>
      <c r="QU4" s="40" t="str">
        <f t="shared" ref="QU4:QV9" si="138">IF(QE4&gt;0,QE4,"")</f>
        <v/>
      </c>
      <c r="QV4" s="40" t="str">
        <f t="shared" si="138"/>
        <v/>
      </c>
      <c r="QW4" s="40" t="str">
        <f t="shared" ref="QW4:QW9" si="139">IF(SUM(QC4:QF4)-QG4&gt;0,SUM(QC4:QF4)-QG4,"")</f>
        <v/>
      </c>
      <c r="QX4" s="40" t="str">
        <f t="shared" ref="QX4:QX9" si="140">IF(MAX(QT4,QW4)&gt;0,MAX(QT4,QW4),"")</f>
        <v/>
      </c>
      <c r="QY4" s="40" t="str">
        <f t="shared" ref="QY4:QZ9" si="141">IF(QJ4&gt;0,QJ4,"")</f>
        <v/>
      </c>
      <c r="QZ4" s="40" t="str">
        <f t="shared" si="141"/>
        <v/>
      </c>
      <c r="RA4" s="40" t="str">
        <f t="shared" ref="RA4:RA9" si="142">IF(SUM(QH4:QK4)-QL4&gt;0,SUM(QH4:QK4)-QL4,"")</f>
        <v/>
      </c>
      <c r="RB4" s="40" t="str">
        <f t="shared" ref="RB4:RC9" si="143">IF(QO4&gt;0,QO4,"")</f>
        <v/>
      </c>
      <c r="RC4" s="40" t="str">
        <f t="shared" si="143"/>
        <v/>
      </c>
      <c r="RD4" s="40" t="str">
        <f t="shared" ref="RD4:RD9" si="144">IF(SUM(QM4:QP4)-QQ4&gt;0,SUM(QM4:QP4)-QQ4,"")</f>
        <v/>
      </c>
      <c r="RE4" s="40" t="str">
        <f t="shared" ref="RE4:RE9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6">IF(RH4&gt;0,RH4,"")</f>
        <v/>
      </c>
      <c r="SA4" s="11" t="str">
        <f t="shared" si="146"/>
        <v/>
      </c>
      <c r="SB4" s="11" t="str">
        <f t="shared" ref="SB4:SB9" si="147">IF(SUM(RF4:RI4)-RJ4&gt;0,SUM(RF4:RI4)-RJ4,"")</f>
        <v/>
      </c>
      <c r="SC4" s="11" t="str">
        <f t="shared" ref="SC4:SD9" si="148">IF(RM4&gt;0,RM4,"")</f>
        <v/>
      </c>
      <c r="SD4" s="11" t="str">
        <f t="shared" si="148"/>
        <v/>
      </c>
      <c r="SE4" s="11" t="str">
        <f t="shared" ref="SE4:SE9" si="149">IF(SUM(RK4:RN4)-RO4&gt;0,SUM(RK4:RN4)-RO4,"")</f>
        <v/>
      </c>
      <c r="SF4" s="11" t="str">
        <f t="shared" ref="SF4:SF9" si="150">IF(MAX(SB4,SE4)&gt;0,MAX(SB4,SE4),"")</f>
        <v/>
      </c>
      <c r="SG4" s="11" t="str">
        <f t="shared" ref="SG4:SH9" si="151">IF(RR4&gt;0,RR4,"")</f>
        <v/>
      </c>
      <c r="SH4" s="11" t="str">
        <f t="shared" si="151"/>
        <v/>
      </c>
      <c r="SI4" s="11" t="str">
        <f t="shared" ref="SI4:SI9" si="152">IF(SUM(RP4:RS4)-RT4&gt;0,SUM(RP4:RS4)-RT4,"")</f>
        <v/>
      </c>
      <c r="SJ4" s="11" t="str">
        <f t="shared" ref="SJ4:SK9" si="153">IF(RW4&gt;0,RW4,"")</f>
        <v/>
      </c>
      <c r="SK4" s="11" t="str">
        <f t="shared" si="153"/>
        <v/>
      </c>
      <c r="SL4" s="11" t="str">
        <f t="shared" ref="SL4:SL9" si="154">IF(SUM(RU4:RX4)-RY4&gt;0,SUM(RU4:RX4)-RY4,"")</f>
        <v/>
      </c>
      <c r="SM4" s="11" t="str">
        <f t="shared" ref="SM4:SM9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9" si="156">IF(SP4&gt;0,SP4,"")</f>
        <v/>
      </c>
      <c r="TI4" s="40" t="str">
        <f t="shared" si="156"/>
        <v/>
      </c>
      <c r="TJ4" s="40" t="str">
        <f t="shared" ref="TJ4:TJ9" si="157">IF(SUM(SN4:SQ4)-SR4&gt;0,SUM(SN4:SQ4)-SR4,"")</f>
        <v/>
      </c>
      <c r="TK4" s="40" t="str">
        <f t="shared" ref="TK4:TL9" si="158">IF(SU4&gt;0,SU4,"")</f>
        <v/>
      </c>
      <c r="TL4" s="40" t="str">
        <f t="shared" si="158"/>
        <v/>
      </c>
      <c r="TM4" s="40" t="str">
        <f t="shared" ref="TM4:TM9" si="159">IF(SUM(SS4:SV4)-SW4&gt;0,SUM(SS4:SV4)-SW4,"")</f>
        <v/>
      </c>
      <c r="TN4" s="40" t="str">
        <f t="shared" ref="TN4:TN9" si="160">IF(MAX(TJ4,TM4)&gt;0,MAX(TJ4,TM4),"")</f>
        <v/>
      </c>
      <c r="TO4" s="40" t="str">
        <f t="shared" ref="TO4:TP9" si="161">IF(SZ4&gt;0,SZ4,"")</f>
        <v/>
      </c>
      <c r="TP4" s="40" t="str">
        <f t="shared" si="161"/>
        <v/>
      </c>
      <c r="TQ4" s="40" t="str">
        <f t="shared" ref="TQ4:TQ9" si="162">IF(SUM(SX4:TA4)-TB4&gt;0,SUM(SX4:TA4)-TB4,"")</f>
        <v/>
      </c>
      <c r="TR4" s="40" t="str">
        <f t="shared" ref="TR4:TS9" si="163">IF(TE4&gt;0,TE4,"")</f>
        <v/>
      </c>
      <c r="TS4" s="40" t="str">
        <f t="shared" si="163"/>
        <v/>
      </c>
      <c r="TT4" s="40" t="str">
        <f t="shared" ref="TT4:TT9" si="164">IF(SUM(TC4:TF4)-TG4&gt;0,SUM(TC4:TF4)-TG4,"")</f>
        <v/>
      </c>
      <c r="TU4" s="40" t="str">
        <f t="shared" ref="TU4:TU9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9" si="166">IF(TX4&gt;0,TX4,"")</f>
        <v/>
      </c>
      <c r="UQ4" s="11" t="str">
        <f t="shared" si="166"/>
        <v/>
      </c>
      <c r="UR4" s="11" t="str">
        <f t="shared" ref="UR4:UR9" si="167">IF(SUM(TV4:TY4)-TZ4&gt;0,SUM(TV4:TY4)-TZ4,"")</f>
        <v/>
      </c>
      <c r="US4" s="11" t="str">
        <f t="shared" ref="US4:UT9" si="168">IF(UC4&gt;0,UC4,"")</f>
        <v/>
      </c>
      <c r="UT4" s="11" t="str">
        <f t="shared" si="168"/>
        <v/>
      </c>
      <c r="UU4" s="11" t="str">
        <f t="shared" ref="UU4:UU9" si="169">IF(SUM(UA4:UD4)-UE4&gt;0,SUM(UA4:UD4)-UE4,"")</f>
        <v/>
      </c>
      <c r="UV4" s="11" t="str">
        <f t="shared" ref="UV4:UV9" si="170">IF(MAX(UR4,UU4)&gt;0,MAX(UR4,UU4),"")</f>
        <v/>
      </c>
      <c r="UW4" s="11" t="str">
        <f t="shared" ref="UW4:UX9" si="171">IF(UH4&gt;0,UH4,"")</f>
        <v/>
      </c>
      <c r="UX4" s="11" t="str">
        <f t="shared" si="171"/>
        <v/>
      </c>
      <c r="UY4" s="11" t="str">
        <f t="shared" ref="UY4:UY9" si="172">IF(SUM(UF4:UI4)-UJ4&gt;0,SUM(UF4:UI4)-UJ4,"")</f>
        <v/>
      </c>
      <c r="UZ4" s="11" t="str">
        <f t="shared" ref="UZ4:VA9" si="173">IF(UM4&gt;0,UM4,"")</f>
        <v/>
      </c>
      <c r="VA4" s="11" t="str">
        <f t="shared" si="173"/>
        <v/>
      </c>
      <c r="VB4" s="11" t="str">
        <f t="shared" ref="VB4:VB9" si="174">IF(SUM(UK4:UN4)-UO4&gt;0,SUM(UK4:UN4)-UO4,"")</f>
        <v/>
      </c>
      <c r="VC4" s="11" t="str">
        <f t="shared" ref="VC4:VC9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9" si="176">IF(VF4&gt;0,VF4,"")</f>
        <v/>
      </c>
      <c r="VY4" s="40" t="str">
        <f t="shared" si="176"/>
        <v/>
      </c>
      <c r="VZ4" s="40" t="str">
        <f t="shared" ref="VZ4:VZ9" si="177">IF(SUM(VD4:VG4)-VH4&gt;0,SUM(VD4:VG4)-VH4,"")</f>
        <v/>
      </c>
      <c r="WA4" s="40" t="str">
        <f t="shared" ref="WA4:WB9" si="178">IF(VK4&gt;0,VK4,"")</f>
        <v/>
      </c>
      <c r="WB4" s="40" t="str">
        <f t="shared" si="178"/>
        <v/>
      </c>
      <c r="WC4" s="40" t="str">
        <f t="shared" ref="WC4:WC9" si="179">IF(SUM(VI4:VL4)-VM4&gt;0,SUM(VI4:VL4)-VM4,"")</f>
        <v/>
      </c>
      <c r="WD4" s="40" t="str">
        <f t="shared" ref="WD4:WD9" si="180">IF(MAX(VZ4,WC4)&gt;0,MAX(VZ4,WC4),"")</f>
        <v/>
      </c>
      <c r="WE4" s="40" t="str">
        <f t="shared" ref="WE4:WF9" si="181">IF(VP4&gt;0,VP4,"")</f>
        <v/>
      </c>
      <c r="WF4" s="40" t="str">
        <f t="shared" si="181"/>
        <v/>
      </c>
      <c r="WG4" s="40" t="str">
        <f t="shared" ref="WG4:WG9" si="182">IF(SUM(VN4:VQ4)-VR4&gt;0,SUM(VN4:VQ4)-VR4,"")</f>
        <v/>
      </c>
      <c r="WH4" s="40" t="str">
        <f t="shared" ref="WH4:WI9" si="183">IF(VU4&gt;0,VU4,"")</f>
        <v/>
      </c>
      <c r="WI4" s="40" t="str">
        <f t="shared" si="183"/>
        <v/>
      </c>
      <c r="WJ4" s="40" t="str">
        <f t="shared" ref="WJ4:WJ9" si="184">IF(SUM(VS4:VV4)-VW4&gt;0,SUM(VS4:VV4)-VW4,"")</f>
        <v/>
      </c>
      <c r="WK4" s="40" t="str">
        <f t="shared" ref="WK4:WK9" si="185">IF(SUM(WD4,WG4,WJ4)&gt;0,SUM(WD4,WG4,WJ4),"")</f>
        <v/>
      </c>
      <c r="WL4" s="26">
        <f t="shared" ref="WL4:WZ9" si="186">IF($CH4="P",BS4,(BS4+AR4)/2)</f>
        <v>7.2549999999999999</v>
      </c>
      <c r="WM4" s="26">
        <f t="shared" si="186"/>
        <v>8.9250000000000007</v>
      </c>
      <c r="WN4" s="26">
        <f t="shared" si="186"/>
        <v>10.75</v>
      </c>
      <c r="WO4" s="26">
        <f t="shared" si="186"/>
        <v>15.75</v>
      </c>
      <c r="WP4" s="26">
        <f t="shared" si="186"/>
        <v>0</v>
      </c>
      <c r="WQ4" s="26">
        <f t="shared" si="186"/>
        <v>6.9</v>
      </c>
      <c r="WR4" s="26">
        <f t="shared" si="186"/>
        <v>8.6000000000000014</v>
      </c>
      <c r="WS4" s="26">
        <f t="shared" si="186"/>
        <v>11.3</v>
      </c>
      <c r="WT4" s="26">
        <f t="shared" si="186"/>
        <v>16.47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9" si="187">IF(WN4&gt;0,WN4,"")</f>
        <v>10.75</v>
      </c>
      <c r="XC4" s="11">
        <f t="shared" si="187"/>
        <v>15.75</v>
      </c>
      <c r="XD4" s="11">
        <f t="shared" ref="XD4:XD9" si="188">IF(SUM(WL4:WO4)-WP4&gt;0,SUM(WL4:WO4)-WP4,"")</f>
        <v>42.68</v>
      </c>
      <c r="XE4" s="11">
        <f t="shared" ref="XE4:XF9" si="189">IF(WS4&gt;0,WS4,"")</f>
        <v>11.3</v>
      </c>
      <c r="XF4" s="11">
        <f t="shared" si="189"/>
        <v>16.47</v>
      </c>
      <c r="XG4" s="11">
        <f t="shared" ref="XG4:XG9" si="190">IF(SUM(WQ4:WT4)-WU4&gt;0,SUM(WQ4:WT4)-WU4,"")</f>
        <v>43.27</v>
      </c>
      <c r="XH4" s="11">
        <f t="shared" ref="XH4:XH9" si="191">IF(MAX(XD4,XG4)&gt;0,MAX(XD4,XG4),"")</f>
        <v>43.27</v>
      </c>
      <c r="XI4" s="11">
        <f t="shared" ref="XI4:XJ9" si="192">IF(WX4&gt;0,WX4,"")</f>
        <v>5.85</v>
      </c>
      <c r="XJ4" s="11">
        <f t="shared" si="192"/>
        <v>9.0299999999999994</v>
      </c>
      <c r="XK4" s="11">
        <f t="shared" ref="XK4:XK9" si="193">IF(SUM(WV4:WY4)-WZ4&gt;0,SUM(WV4:WY4)-WZ4,"")</f>
        <v>23.68</v>
      </c>
      <c r="XL4" s="11">
        <f t="shared" ref="XL4:XL9" si="194"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219</v>
      </c>
      <c r="C5" s="4" t="s">
        <v>220</v>
      </c>
      <c r="D5" s="4" t="s">
        <v>223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 t="shared" si="18"/>
        <v>9.6999999999999993</v>
      </c>
      <c r="BI5" s="39">
        <f t="shared" si="18"/>
        <v>11.14</v>
      </c>
      <c r="BJ5" s="11">
        <f t="shared" si="19"/>
        <v>32.54</v>
      </c>
      <c r="BK5" s="11">
        <f t="shared" si="20"/>
        <v>13.4</v>
      </c>
      <c r="BL5" s="11">
        <f t="shared" si="20"/>
        <v>17.02</v>
      </c>
      <c r="BM5" s="11">
        <f t="shared" si="21"/>
        <v>47.870000000000005</v>
      </c>
      <c r="BN5" s="11">
        <f t="shared" si="22"/>
        <v>47.870000000000005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 t="shared" si="26"/>
        <v>4.8499999999999996</v>
      </c>
      <c r="CJ5" s="38">
        <f t="shared" si="26"/>
        <v>5.57</v>
      </c>
      <c r="CK5" s="40">
        <f t="shared" si="27"/>
        <v>16.27</v>
      </c>
      <c r="CL5" s="40">
        <f t="shared" si="28"/>
        <v>6.7</v>
      </c>
      <c r="CM5" s="40">
        <f t="shared" si="28"/>
        <v>8.51</v>
      </c>
      <c r="CN5" s="40">
        <f t="shared" si="29"/>
        <v>23.935000000000002</v>
      </c>
      <c r="CO5" s="40">
        <f t="shared" si="30"/>
        <v>23.935000000000002</v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>
        <f t="shared" si="33"/>
        <v>23.935000000000002</v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2.7250000000000001</v>
      </c>
      <c r="WM5" s="26">
        <f t="shared" si="186"/>
        <v>3.125</v>
      </c>
      <c r="WN5" s="26">
        <f t="shared" si="186"/>
        <v>4.8499999999999996</v>
      </c>
      <c r="WO5" s="26">
        <f t="shared" si="186"/>
        <v>5.57</v>
      </c>
      <c r="WP5" s="26">
        <f t="shared" si="186"/>
        <v>0</v>
      </c>
      <c r="WQ5" s="26">
        <f t="shared" si="186"/>
        <v>4.0250000000000004</v>
      </c>
      <c r="WR5" s="26">
        <f t="shared" si="186"/>
        <v>4.7</v>
      </c>
      <c r="WS5" s="26">
        <f t="shared" si="186"/>
        <v>6.7</v>
      </c>
      <c r="WT5" s="26">
        <f t="shared" si="186"/>
        <v>8.51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4.8499999999999996</v>
      </c>
      <c r="XC5" s="11">
        <f t="shared" si="187"/>
        <v>5.57</v>
      </c>
      <c r="XD5" s="11">
        <f t="shared" si="188"/>
        <v>16.27</v>
      </c>
      <c r="XE5" s="11">
        <f t="shared" si="189"/>
        <v>6.7</v>
      </c>
      <c r="XF5" s="11">
        <f t="shared" si="189"/>
        <v>8.51</v>
      </c>
      <c r="XG5" s="11">
        <f t="shared" si="190"/>
        <v>23.935000000000002</v>
      </c>
      <c r="XH5" s="11">
        <f t="shared" si="191"/>
        <v>23.935000000000002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218</v>
      </c>
      <c r="C6" s="4" t="s">
        <v>3</v>
      </c>
      <c r="D6" s="4" t="s">
        <v>222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 t="shared" si="18"/>
        <v>11.8</v>
      </c>
      <c r="BI6" s="39">
        <f t="shared" si="18"/>
        <v>15.92</v>
      </c>
      <c r="BJ6" s="11">
        <f t="shared" si="19"/>
        <v>43.97</v>
      </c>
      <c r="BK6" s="11">
        <f t="shared" si="20"/>
        <v>11.8</v>
      </c>
      <c r="BL6" s="11">
        <f t="shared" si="20"/>
        <v>16.36</v>
      </c>
      <c r="BM6" s="11">
        <f t="shared" si="21"/>
        <v>44.19</v>
      </c>
      <c r="BN6" s="11">
        <f t="shared" si="22"/>
        <v>44.19</v>
      </c>
      <c r="BO6" s="11">
        <f t="shared" si="23"/>
        <v>11.8</v>
      </c>
      <c r="BP6" s="11">
        <f t="shared" si="23"/>
        <v>16.899999999999999</v>
      </c>
      <c r="BQ6" s="11">
        <f t="shared" si="24"/>
        <v>44.83</v>
      </c>
      <c r="BR6" s="11">
        <f t="shared" si="25"/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 t="shared" si="26"/>
        <v>9</v>
      </c>
      <c r="CJ6" s="38">
        <f t="shared" si="26"/>
        <v>9.8800000000000008</v>
      </c>
      <c r="CK6" s="40">
        <f t="shared" si="27"/>
        <v>31.410000000000004</v>
      </c>
      <c r="CL6" s="40">
        <f t="shared" si="28"/>
        <v>2.6</v>
      </c>
      <c r="CM6" s="40">
        <f t="shared" si="28"/>
        <v>3.26</v>
      </c>
      <c r="CN6" s="40">
        <f t="shared" si="29"/>
        <v>9.11</v>
      </c>
      <c r="CO6" s="40">
        <f t="shared" si="30"/>
        <v>31.410000000000004</v>
      </c>
      <c r="CP6" s="40">
        <f t="shared" si="31"/>
        <v>11.8</v>
      </c>
      <c r="CQ6" s="40">
        <f t="shared" si="31"/>
        <v>18.28</v>
      </c>
      <c r="CR6" s="40">
        <f t="shared" si="32"/>
        <v>46.38</v>
      </c>
      <c r="CS6" s="40">
        <f t="shared" si="33"/>
        <v>77.790000000000006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6.2650000000000006</v>
      </c>
      <c r="WM6" s="26">
        <f t="shared" si="186"/>
        <v>8.125</v>
      </c>
      <c r="WN6" s="26">
        <f t="shared" si="186"/>
        <v>10.4</v>
      </c>
      <c r="WO6" s="26">
        <f t="shared" si="186"/>
        <v>12.9</v>
      </c>
      <c r="WP6" s="26">
        <f t="shared" si="186"/>
        <v>0</v>
      </c>
      <c r="WQ6" s="26">
        <f t="shared" si="186"/>
        <v>4.0650000000000004</v>
      </c>
      <c r="WR6" s="26">
        <f t="shared" si="186"/>
        <v>5.5750000000000002</v>
      </c>
      <c r="WS6" s="26">
        <f t="shared" si="186"/>
        <v>7.2</v>
      </c>
      <c r="WT6" s="26">
        <f t="shared" si="186"/>
        <v>9.8099999999999987</v>
      </c>
      <c r="WU6" s="26">
        <f t="shared" si="186"/>
        <v>0</v>
      </c>
      <c r="WV6" s="26">
        <f t="shared" si="186"/>
        <v>7.0649999999999995</v>
      </c>
      <c r="WW6" s="26">
        <f t="shared" si="186"/>
        <v>9.1499999999999986</v>
      </c>
      <c r="WX6" s="26">
        <f t="shared" si="186"/>
        <v>11.8</v>
      </c>
      <c r="WY6" s="26">
        <f t="shared" si="186"/>
        <v>17.59</v>
      </c>
      <c r="WZ6" s="26">
        <f t="shared" si="186"/>
        <v>0</v>
      </c>
      <c r="XA6" s="28" t="s">
        <v>53</v>
      </c>
      <c r="XB6" s="11">
        <f t="shared" si="187"/>
        <v>10.4</v>
      </c>
      <c r="XC6" s="11">
        <f t="shared" si="187"/>
        <v>12.9</v>
      </c>
      <c r="XD6" s="11">
        <f t="shared" si="188"/>
        <v>37.69</v>
      </c>
      <c r="XE6" s="11">
        <f t="shared" si="189"/>
        <v>7.2</v>
      </c>
      <c r="XF6" s="11">
        <f t="shared" si="189"/>
        <v>9.8099999999999987</v>
      </c>
      <c r="XG6" s="11">
        <f t="shared" si="190"/>
        <v>26.65</v>
      </c>
      <c r="XH6" s="11">
        <f t="shared" si="191"/>
        <v>37.69</v>
      </c>
      <c r="XI6" s="11">
        <f t="shared" si="192"/>
        <v>11.8</v>
      </c>
      <c r="XJ6" s="11">
        <f t="shared" si="192"/>
        <v>17.59</v>
      </c>
      <c r="XK6" s="11">
        <f t="shared" si="193"/>
        <v>45.604999999999997</v>
      </c>
      <c r="XL6" s="11">
        <f t="shared" si="194"/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217</v>
      </c>
      <c r="C7" s="4" t="s">
        <v>7</v>
      </c>
      <c r="D7" s="4" t="s">
        <v>216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 t="shared" si="18"/>
        <v>2.6</v>
      </c>
      <c r="BI7" s="39">
        <f t="shared" si="18"/>
        <v>2.72</v>
      </c>
      <c r="BJ7" s="11">
        <f t="shared" si="19"/>
        <v>8.7200000000000006</v>
      </c>
      <c r="BK7" s="11">
        <f t="shared" si="20"/>
        <v>10.3</v>
      </c>
      <c r="BL7" s="11">
        <f t="shared" si="20"/>
        <v>5.42</v>
      </c>
      <c r="BM7" s="11">
        <f t="shared" si="21"/>
        <v>30.72</v>
      </c>
      <c r="BN7" s="11">
        <f t="shared" si="22"/>
        <v>30.72</v>
      </c>
      <c r="BO7" s="11">
        <f t="shared" si="23"/>
        <v>11.8</v>
      </c>
      <c r="BP7" s="11">
        <f t="shared" si="23"/>
        <v>17.64</v>
      </c>
      <c r="BQ7" s="11">
        <f t="shared" si="24"/>
        <v>46.24</v>
      </c>
      <c r="BR7" s="11">
        <f t="shared" si="25"/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0.8</v>
      </c>
      <c r="WM7" s="26">
        <f t="shared" si="186"/>
        <v>0.9</v>
      </c>
      <c r="WN7" s="26">
        <f t="shared" si="186"/>
        <v>1.3</v>
      </c>
      <c r="WO7" s="26">
        <f t="shared" si="186"/>
        <v>1.36</v>
      </c>
      <c r="WP7" s="26">
        <f t="shared" si="186"/>
        <v>0</v>
      </c>
      <c r="WQ7" s="26">
        <f t="shared" si="186"/>
        <v>3.3250000000000002</v>
      </c>
      <c r="WR7" s="26">
        <f t="shared" si="186"/>
        <v>4.1749999999999998</v>
      </c>
      <c r="WS7" s="26">
        <f t="shared" si="186"/>
        <v>5.15</v>
      </c>
      <c r="WT7" s="26">
        <f t="shared" si="186"/>
        <v>2.71</v>
      </c>
      <c r="WU7" s="26">
        <f t="shared" si="186"/>
        <v>0</v>
      </c>
      <c r="WV7" s="26">
        <f t="shared" si="186"/>
        <v>3.7</v>
      </c>
      <c r="WW7" s="26">
        <f t="shared" si="186"/>
        <v>4.7</v>
      </c>
      <c r="WX7" s="26">
        <f t="shared" si="186"/>
        <v>5.9</v>
      </c>
      <c r="WY7" s="26">
        <f t="shared" si="186"/>
        <v>8.82</v>
      </c>
      <c r="WZ7" s="26">
        <f t="shared" si="186"/>
        <v>0</v>
      </c>
      <c r="XA7" s="28" t="s">
        <v>53</v>
      </c>
      <c r="XB7" s="11">
        <f t="shared" si="187"/>
        <v>1.3</v>
      </c>
      <c r="XC7" s="11">
        <f t="shared" si="187"/>
        <v>1.36</v>
      </c>
      <c r="XD7" s="11">
        <f t="shared" si="188"/>
        <v>4.3600000000000003</v>
      </c>
      <c r="XE7" s="11">
        <f t="shared" si="189"/>
        <v>5.15</v>
      </c>
      <c r="XF7" s="11">
        <f t="shared" si="189"/>
        <v>2.71</v>
      </c>
      <c r="XG7" s="11">
        <f t="shared" si="190"/>
        <v>15.36</v>
      </c>
      <c r="XH7" s="11">
        <f t="shared" si="191"/>
        <v>15.36</v>
      </c>
      <c r="XI7" s="11">
        <f t="shared" si="192"/>
        <v>5.9</v>
      </c>
      <c r="XJ7" s="11">
        <f t="shared" si="192"/>
        <v>8.82</v>
      </c>
      <c r="XK7" s="11">
        <f t="shared" si="193"/>
        <v>23.12</v>
      </c>
      <c r="XL7" s="11">
        <f t="shared" si="194"/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229</v>
      </c>
      <c r="C8" s="4" t="s">
        <v>169</v>
      </c>
      <c r="D8" s="4" t="s">
        <v>146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46.94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46.94</v>
      </c>
      <c r="CU8" s="51">
        <f t="shared" si="35"/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 t="shared" si="36"/>
        <v>11.8</v>
      </c>
      <c r="DQ8" s="40">
        <f t="shared" si="36"/>
        <v>18.34</v>
      </c>
      <c r="DR8" s="40">
        <f t="shared" si="37"/>
        <v>46.59</v>
      </c>
      <c r="DS8" s="40">
        <f t="shared" si="38"/>
        <v>11.8</v>
      </c>
      <c r="DT8" s="40">
        <f t="shared" si="38"/>
        <v>18.239999999999998</v>
      </c>
      <c r="DU8" s="40">
        <f t="shared" si="39"/>
        <v>46.94</v>
      </c>
      <c r="DV8" s="40">
        <f t="shared" si="40"/>
        <v>46.94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>
        <f t="shared" si="43"/>
        <v>11.8</v>
      </c>
      <c r="EA8" s="40">
        <f t="shared" si="43"/>
        <v>16.32</v>
      </c>
      <c r="EB8" s="40">
        <f t="shared" si="44"/>
        <v>44.769999999999996</v>
      </c>
      <c r="EC8" s="40">
        <f t="shared" si="45"/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221</v>
      </c>
      <c r="C9" s="4" t="s">
        <v>3</v>
      </c>
      <c r="D9" s="4" t="s">
        <v>215</v>
      </c>
      <c r="E9" s="9">
        <f t="shared" si="0"/>
        <v>27.259999999999998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17.27</v>
      </c>
      <c r="K9" s="8" t="str">
        <f t="shared" si="5"/>
        <v>2025 Elite Canada</v>
      </c>
      <c r="L9" s="8">
        <f>IF(COUNT(AI9,AL9,AP9,BJ9,BM9,BQ9,CK9,CN9,CR9)&gt;1,LARGE((AI9,AL9,AP9,BJ9,BM9,BQ9,CK9,CN9,CR9),2),0)</f>
        <v>9.99</v>
      </c>
      <c r="M9" s="8" t="str">
        <f t="shared" si="6"/>
        <v>2025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 t="shared" si="18"/>
        <v>5.8</v>
      </c>
      <c r="BI9" s="39">
        <f t="shared" si="18"/>
        <v>4.84</v>
      </c>
      <c r="BJ9" s="11">
        <f t="shared" si="19"/>
        <v>17.27</v>
      </c>
      <c r="BK9" s="11">
        <f t="shared" si="20"/>
        <v>3</v>
      </c>
      <c r="BL9" s="11">
        <f t="shared" si="20"/>
        <v>3.74</v>
      </c>
      <c r="BM9" s="11">
        <f t="shared" si="21"/>
        <v>9.99</v>
      </c>
      <c r="BN9" s="11">
        <f t="shared" si="22"/>
        <v>17.27</v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>
        <f t="shared" si="25"/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1.5149999999999999</v>
      </c>
      <c r="WM9" s="26">
        <f t="shared" si="186"/>
        <v>1.8</v>
      </c>
      <c r="WN9" s="26">
        <f t="shared" si="186"/>
        <v>2.9</v>
      </c>
      <c r="WO9" s="26">
        <f t="shared" si="186"/>
        <v>2.42</v>
      </c>
      <c r="WP9" s="26">
        <f t="shared" si="186"/>
        <v>0</v>
      </c>
      <c r="WQ9" s="26">
        <f t="shared" si="186"/>
        <v>0.72499999999999998</v>
      </c>
      <c r="WR9" s="26">
        <f t="shared" si="186"/>
        <v>0.9</v>
      </c>
      <c r="WS9" s="26">
        <f t="shared" si="186"/>
        <v>1.5</v>
      </c>
      <c r="WT9" s="26">
        <f t="shared" si="186"/>
        <v>1.87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>
        <f t="shared" si="187"/>
        <v>2.9</v>
      </c>
      <c r="XC9" s="11">
        <f t="shared" si="187"/>
        <v>2.42</v>
      </c>
      <c r="XD9" s="11">
        <f t="shared" si="188"/>
        <v>8.6349999999999998</v>
      </c>
      <c r="XE9" s="11">
        <f t="shared" si="189"/>
        <v>1.5</v>
      </c>
      <c r="XF9" s="11">
        <f t="shared" si="189"/>
        <v>1.87</v>
      </c>
      <c r="XG9" s="11">
        <f t="shared" si="190"/>
        <v>4.9950000000000001</v>
      </c>
      <c r="XH9" s="11">
        <f t="shared" si="191"/>
        <v>8.6349999999999998</v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>
        <f t="shared" si="194"/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0</v>
      </c>
      <c r="EX14" s="5"/>
      <c r="EY14" s="5"/>
      <c r="FH14" s="2"/>
      <c r="FI14" s="2"/>
      <c r="FK14" s="44">
        <v>0</v>
      </c>
      <c r="GF14" s="5"/>
      <c r="GG14" s="5"/>
      <c r="GP14" s="2"/>
      <c r="GQ14" s="2"/>
      <c r="GS14" s="44">
        <v>0</v>
      </c>
      <c r="HN14" s="5"/>
      <c r="HO14" s="5"/>
      <c r="HX14" s="2"/>
      <c r="HY14" s="2"/>
      <c r="IA14" s="44">
        <v>0</v>
      </c>
      <c r="IV14" s="5"/>
      <c r="IW14" s="5"/>
      <c r="JF14" s="2"/>
      <c r="JG14" s="2"/>
      <c r="JI14" s="44">
        <v>0</v>
      </c>
      <c r="KD14" s="5"/>
      <c r="KE14" s="5"/>
      <c r="KN14" s="2"/>
      <c r="KO14" s="2"/>
      <c r="KQ14" s="44">
        <v>0</v>
      </c>
      <c r="LL14" s="5"/>
      <c r="LM14" s="5"/>
      <c r="LV14" s="2"/>
      <c r="LW14" s="2"/>
      <c r="LY14" s="44">
        <v>0</v>
      </c>
      <c r="MT14" s="5"/>
      <c r="MU14" s="5"/>
      <c r="ND14" s="2"/>
      <c r="NE14" s="2"/>
      <c r="NG14" s="44">
        <v>0</v>
      </c>
      <c r="OB14" s="5"/>
      <c r="OC14" s="5"/>
      <c r="OL14" s="2"/>
      <c r="OM14" s="2"/>
      <c r="OO14" s="44">
        <v>0</v>
      </c>
      <c r="PJ14" s="5"/>
      <c r="PK14" s="5"/>
      <c r="PT14" s="2"/>
      <c r="PU14" s="2"/>
      <c r="PW14" s="44">
        <v>0</v>
      </c>
      <c r="QR14" s="5"/>
      <c r="QS14" s="5"/>
      <c r="RB14" s="2"/>
      <c r="RC14" s="2"/>
      <c r="RE14" s="44">
        <v>0</v>
      </c>
      <c r="RZ14" s="5"/>
      <c r="SA14" s="5"/>
      <c r="SJ14" s="2"/>
      <c r="SK14" s="2"/>
      <c r="SM14" s="44">
        <v>0</v>
      </c>
      <c r="TH14" s="5"/>
      <c r="TI14" s="5"/>
      <c r="TR14" s="2"/>
      <c r="TS14" s="2"/>
      <c r="TU14" s="44">
        <v>0</v>
      </c>
      <c r="UP14" s="5"/>
      <c r="UQ14" s="5"/>
      <c r="UZ14" s="2"/>
      <c r="VA14" s="2"/>
      <c r="VC14" s="44">
        <v>0</v>
      </c>
      <c r="VX14" s="5"/>
      <c r="VY14" s="5"/>
      <c r="WH14" s="2"/>
      <c r="WI14" s="2"/>
      <c r="WK14" s="44">
        <v>0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0</v>
      </c>
      <c r="EX15" s="5"/>
      <c r="EY15" s="5"/>
      <c r="FH15" s="2"/>
      <c r="FI15" s="2"/>
      <c r="FK15" s="45">
        <v>0</v>
      </c>
      <c r="GF15" s="5"/>
      <c r="GG15" s="5"/>
      <c r="GP15" s="2"/>
      <c r="GQ15" s="2"/>
      <c r="GS15" s="45">
        <v>0</v>
      </c>
      <c r="HN15" s="5"/>
      <c r="HO15" s="5"/>
      <c r="HX15" s="2"/>
      <c r="HY15" s="2"/>
      <c r="IA15" s="45">
        <v>0</v>
      </c>
      <c r="IV15" s="5"/>
      <c r="IW15" s="5"/>
      <c r="JF15" s="2"/>
      <c r="JG15" s="2"/>
      <c r="JI15" s="45">
        <v>0</v>
      </c>
      <c r="KD15" s="5"/>
      <c r="KE15" s="5"/>
      <c r="KN15" s="2"/>
      <c r="KO15" s="2"/>
      <c r="KQ15" s="45">
        <v>0</v>
      </c>
      <c r="LL15" s="5"/>
      <c r="LM15" s="5"/>
      <c r="LV15" s="2"/>
      <c r="LW15" s="2"/>
      <c r="LY15" s="45">
        <v>0</v>
      </c>
      <c r="MT15" s="5"/>
      <c r="MU15" s="5"/>
      <c r="ND15" s="2"/>
      <c r="NE15" s="2"/>
      <c r="NG15" s="45">
        <v>0</v>
      </c>
      <c r="OB15" s="5"/>
      <c r="OC15" s="5"/>
      <c r="OL15" s="2"/>
      <c r="OM15" s="2"/>
      <c r="OO15" s="45">
        <v>0</v>
      </c>
      <c r="PJ15" s="5"/>
      <c r="PK15" s="5"/>
      <c r="PT15" s="2"/>
      <c r="PU15" s="2"/>
      <c r="PW15" s="45">
        <v>0</v>
      </c>
      <c r="QR15" s="5"/>
      <c r="QS15" s="5"/>
      <c r="RB15" s="2"/>
      <c r="RC15" s="2"/>
      <c r="RE15" s="45">
        <v>0</v>
      </c>
      <c r="RZ15" s="5"/>
      <c r="SA15" s="5"/>
      <c r="SJ15" s="2"/>
      <c r="SK15" s="2"/>
      <c r="SM15" s="45">
        <v>0</v>
      </c>
      <c r="TH15" s="5"/>
      <c r="TI15" s="5"/>
      <c r="TR15" s="2"/>
      <c r="TS15" s="2"/>
      <c r="TU15" s="45">
        <v>0</v>
      </c>
      <c r="UP15" s="5"/>
      <c r="UQ15" s="5"/>
      <c r="UZ15" s="2"/>
      <c r="VA15" s="2"/>
      <c r="VC15" s="45">
        <v>0</v>
      </c>
      <c r="VX15" s="5"/>
      <c r="VY15" s="5"/>
      <c r="WH15" s="2"/>
      <c r="WI15" s="2"/>
      <c r="WK15" s="45">
        <v>0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9">
    <cfRule type="expression" dxfId="261" priority="154" stopIfTrue="1">
      <formula>IF($AF4&lt;&gt;"",1,0)</formula>
    </cfRule>
  </conditionalFormatting>
  <conditionalFormatting sqref="AR4:BR9">
    <cfRule type="expression" dxfId="260" priority="148" stopIfTrue="1">
      <formula>IF($BG4&lt;&gt;"",1,0)</formula>
    </cfRule>
  </conditionalFormatting>
  <conditionalFormatting sqref="BS4:CS9">
    <cfRule type="expression" dxfId="259" priority="152" stopIfTrue="1">
      <formula>IF($CH4&lt;&gt;"",1,0)</formula>
    </cfRule>
  </conditionalFormatting>
  <conditionalFormatting sqref="BO20:BO1048576 BH1:BH1048576 BK1:BK1048576 BO1:BO18">
    <cfRule type="cellIs" dxfId="258" priority="149" operator="between">
      <formula>$BR$15</formula>
      <formula>1000</formula>
    </cfRule>
    <cfRule type="cellIs" dxfId="257" priority="150" operator="between">
      <formula>$BR$14</formula>
      <formula>$BR$15</formula>
    </cfRule>
    <cfRule type="cellIs" dxfId="256" priority="151" operator="between">
      <formula>$BR$13</formula>
      <formula>$BR$14</formula>
    </cfRule>
    <cfRule type="cellIs" dxfId="255" priority="153" operator="between">
      <formula>$BR$12</formula>
      <formula>$BR$13</formula>
    </cfRule>
  </conditionalFormatting>
  <conditionalFormatting sqref="CP20:CP1048576 CI1:CI1048576 CL1:CL1048576 CP1:CP18">
    <cfRule type="cellIs" dxfId="254" priority="144" operator="between">
      <formula>$CS$15</formula>
      <formula>1000</formula>
    </cfRule>
    <cfRule type="cellIs" dxfId="253" priority="145" operator="between">
      <formula>$CS$14</formula>
      <formula>$CS$15</formula>
    </cfRule>
    <cfRule type="cellIs" dxfId="252" priority="146" operator="between">
      <formula>$CS$13</formula>
      <formula>$CS$14</formula>
    </cfRule>
    <cfRule type="cellIs" dxfId="251" priority="147" operator="between">
      <formula>$CS$12</formula>
      <formula>$CS$13</formula>
    </cfRule>
  </conditionalFormatting>
  <conditionalFormatting sqref="DZ20:DZ1048576 DP1:DP1048576 DS1:DS1048576 DW1:DW1048576 DZ1:DZ18">
    <cfRule type="cellIs" dxfId="250" priority="143" operator="between">
      <formula>$EC$12</formula>
      <formula>$EC$13</formula>
    </cfRule>
  </conditionalFormatting>
  <conditionalFormatting sqref="AO19 AG1:AG1048576 AJ1:AJ1048576 AN1:AN1048576">
    <cfRule type="cellIs" dxfId="249" priority="128" operator="between">
      <formula>$AQ$15</formula>
      <formula>1000</formula>
    </cfRule>
    <cfRule type="cellIs" dxfId="248" priority="129" operator="between">
      <formula>$AQ$14</formula>
      <formula>$AQ$15</formula>
    </cfRule>
    <cfRule type="cellIs" dxfId="247" priority="130" operator="between">
      <formula>$AQ$13</formula>
      <formula>$AQ$14</formula>
    </cfRule>
    <cfRule type="cellIs" dxfId="246" priority="131" operator="between">
      <formula>$AQ$12</formula>
      <formula>$AQ$13</formula>
    </cfRule>
  </conditionalFormatting>
  <conditionalFormatting sqref="BO19">
    <cfRule type="cellIs" dxfId="245" priority="124" operator="between">
      <formula>$AQ$15</formula>
      <formula>1000</formula>
    </cfRule>
    <cfRule type="cellIs" dxfId="244" priority="125" operator="between">
      <formula>$AQ$14</formula>
      <formula>$AQ$15</formula>
    </cfRule>
    <cfRule type="cellIs" dxfId="243" priority="126" operator="between">
      <formula>$AQ$13</formula>
      <formula>$AQ$14</formula>
    </cfRule>
    <cfRule type="cellIs" dxfId="242" priority="127" operator="between">
      <formula>$AQ$12</formula>
      <formula>$AQ$13</formula>
    </cfRule>
  </conditionalFormatting>
  <conditionalFormatting sqref="CP19">
    <cfRule type="cellIs" dxfId="241" priority="120" operator="between">
      <formula>$AQ$15</formula>
      <formula>1000</formula>
    </cfRule>
    <cfRule type="cellIs" dxfId="240" priority="121" operator="between">
      <formula>$AQ$14</formula>
      <formula>$AQ$15</formula>
    </cfRule>
    <cfRule type="cellIs" dxfId="239" priority="122" operator="between">
      <formula>$AQ$13</formula>
      <formula>$AQ$14</formula>
    </cfRule>
    <cfRule type="cellIs" dxfId="238" priority="123" operator="between">
      <formula>$AQ$12</formula>
      <formula>$AQ$13</formula>
    </cfRule>
  </conditionalFormatting>
  <conditionalFormatting sqref="DZ19">
    <cfRule type="cellIs" dxfId="237" priority="116" operator="between">
      <formula>$AQ$15</formula>
      <formula>1000</formula>
    </cfRule>
    <cfRule type="cellIs" dxfId="236" priority="117" operator="between">
      <formula>$AQ$14</formula>
      <formula>$AQ$15</formula>
    </cfRule>
    <cfRule type="cellIs" dxfId="235" priority="118" operator="between">
      <formula>$AQ$13</formula>
      <formula>$AQ$14</formula>
    </cfRule>
    <cfRule type="cellIs" dxfId="234" priority="119" operator="between">
      <formula>$AQ$12</formula>
      <formula>$AQ$13</formula>
    </cfRule>
  </conditionalFormatting>
  <conditionalFormatting sqref="FH19">
    <cfRule type="cellIs" dxfId="233" priority="112" operator="between">
      <formula>$AQ$15</formula>
      <formula>1000</formula>
    </cfRule>
    <cfRule type="cellIs" dxfId="232" priority="113" operator="between">
      <formula>$AQ$14</formula>
      <formula>$AQ$15</formula>
    </cfRule>
    <cfRule type="cellIs" dxfId="231" priority="114" operator="between">
      <formula>$AQ$13</formula>
      <formula>$AQ$14</formula>
    </cfRule>
    <cfRule type="cellIs" dxfId="230" priority="115" operator="between">
      <formula>$AQ$12</formula>
      <formula>$AQ$13</formula>
    </cfRule>
  </conditionalFormatting>
  <conditionalFormatting sqref="HX19">
    <cfRule type="cellIs" dxfId="229" priority="108" operator="between">
      <formula>$AQ$15</formula>
      <formula>1000</formula>
    </cfRule>
    <cfRule type="cellIs" dxfId="228" priority="109" operator="between">
      <formula>$AQ$14</formula>
      <formula>$AQ$15</formula>
    </cfRule>
    <cfRule type="cellIs" dxfId="227" priority="110" operator="between">
      <formula>$AQ$13</formula>
      <formula>$AQ$14</formula>
    </cfRule>
    <cfRule type="cellIs" dxfId="226" priority="111" operator="between">
      <formula>$AQ$12</formula>
      <formula>$AQ$13</formula>
    </cfRule>
  </conditionalFormatting>
  <conditionalFormatting sqref="GP19">
    <cfRule type="cellIs" dxfId="225" priority="100" operator="between">
      <formula>$AQ$15</formula>
      <formula>1000</formula>
    </cfRule>
    <cfRule type="cellIs" dxfId="224" priority="101" operator="between">
      <formula>$AQ$14</formula>
      <formula>$AQ$15</formula>
    </cfRule>
    <cfRule type="cellIs" dxfId="223" priority="102" operator="between">
      <formula>$AQ$13</formula>
      <formula>$AQ$14</formula>
    </cfRule>
    <cfRule type="cellIs" dxfId="222" priority="103" operator="between">
      <formula>$AQ$12</formula>
      <formula>$AQ$13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AQ$19</formula>
      <formula>1000</formula>
    </cfRule>
    <cfRule type="cellIs" dxfId="217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6" priority="137361" operator="between">
      <formula>EC$19</formula>
      <formula>1000</formula>
    </cfRule>
    <cfRule type="cellIs" dxfId="215" priority="137362" operator="between">
      <formula>EC$18</formula>
      <formula>EC$19</formula>
    </cfRule>
  </conditionalFormatting>
  <conditionalFormatting sqref="AI1:AI1048576 AL1:AL1048576 AP1:AP1048576">
    <cfRule type="cellIs" dxfId="214" priority="137445" operator="between">
      <formula>$AQ$19</formula>
      <formula>1000</formula>
    </cfRule>
    <cfRule type="cellIs" dxfId="213" priority="137446" operator="between">
      <formula>$AQ$18</formula>
      <formula>$AQ$19</formula>
    </cfRule>
    <cfRule type="cellIs" dxfId="212" priority="137447" operator="between">
      <formula>$AQ$17</formula>
      <formula>$AQ$18</formula>
    </cfRule>
    <cfRule type="cellIs" dxfId="211" priority="137448" operator="between">
      <formula>$AQ$16</formula>
      <formula>$AQ$17</formula>
    </cfRule>
  </conditionalFormatting>
  <conditionalFormatting sqref="BJ1:BJ1048576 BM1:BM1048576 BQ1:BQ1048576">
    <cfRule type="cellIs" dxfId="210" priority="137481" operator="between">
      <formula>$BR$19</formula>
      <formula>1000</formula>
    </cfRule>
    <cfRule type="cellIs" dxfId="209" priority="137482" operator="between">
      <formula>$BR$18</formula>
      <formula>$BR$19</formula>
    </cfRule>
    <cfRule type="cellIs" dxfId="208" priority="137483" operator="between">
      <formula>$BR$17</formula>
      <formula>$BR$18</formula>
    </cfRule>
    <cfRule type="cellIs" dxfId="207" priority="137484" operator="between">
      <formula>$BR$16</formula>
      <formula>$BR$17</formula>
    </cfRule>
  </conditionalFormatting>
  <conditionalFormatting sqref="CK1:CK1048576 CN1:CN1048576 CR1:CR1048576">
    <cfRule type="cellIs" dxfId="206" priority="137517" operator="between">
      <formula>$CS$19</formula>
      <formula>1000</formula>
    </cfRule>
    <cfRule type="cellIs" dxfId="205" priority="137518" operator="between">
      <formula>$CS$18</formula>
      <formula>$CS$19</formula>
    </cfRule>
    <cfRule type="cellIs" dxfId="204" priority="137519" operator="between">
      <formula>$CS$17</formula>
      <formula>$CS$18</formula>
    </cfRule>
    <cfRule type="cellIs" dxfId="203" priority="137520" operator="between">
      <formula>$CS$16</formula>
      <formula>$CS$17</formula>
    </cfRule>
  </conditionalFormatting>
  <conditionalFormatting sqref="MT1:MT1048576 MW1:MW1048576 NA1:NA1048576 ND1:ND1048576">
    <cfRule type="cellIs" dxfId="202" priority="137554" operator="between">
      <formula>$NG$12</formula>
      <formula>$NG$13</formula>
    </cfRule>
    <cfRule type="cellIs" dxfId="201" priority="137553" stopIfTrue="1" operator="between">
      <formula>$NG$13</formula>
      <formula>1000</formula>
    </cfRule>
  </conditionalFormatting>
  <conditionalFormatting sqref="DR1:DR1048576 DU1:DU1048576 DY1:DY1048576 EB1:EB1048576">
    <cfRule type="cellIs" dxfId="200" priority="137601" operator="between">
      <formula>$EC$19</formula>
      <formula>1000</formula>
    </cfRule>
    <cfRule type="cellIs" dxfId="199" priority="137602" operator="between">
      <formula>$EC$18</formula>
      <formula>$EC$19</formula>
    </cfRule>
    <cfRule type="cellIs" dxfId="198" priority="137603" operator="between">
      <formula>$EC$17</formula>
      <formula>$EC$18</formula>
    </cfRule>
    <cfRule type="cellIs" dxfId="197" priority="137604" operator="between">
      <formula>$EC$16</formula>
      <formula>$EC$17</formula>
    </cfRule>
  </conditionalFormatting>
  <conditionalFormatting sqref="EZ1:EZ1048576 FC1:FC1048576 FG1:FG1048576 FJ1:FJ1048576">
    <cfRule type="cellIs" dxfId="196" priority="137649" operator="between">
      <formula>$FK$19</formula>
      <formula>1000</formula>
    </cfRule>
    <cfRule type="cellIs" dxfId="195" priority="137650" operator="between">
      <formula>$FK$18</formula>
      <formula>$FK$19</formula>
    </cfRule>
    <cfRule type="cellIs" dxfId="194" priority="137651" operator="between">
      <formula>$FK$17</formula>
      <formula>$FK$18</formula>
    </cfRule>
    <cfRule type="cellIs" dxfId="193" priority="137652" operator="between">
      <formula>$FK$16</formula>
      <formula>$FK$17</formula>
    </cfRule>
  </conditionalFormatting>
  <conditionalFormatting sqref="GH1:GH1048576 GK1:GK1048576 GO1:GO1048576 GR1:GR1048576">
    <cfRule type="cellIs" dxfId="192" priority="137697" operator="between">
      <formula>$GS$19</formula>
      <formula>1000</formula>
    </cfRule>
    <cfRule type="cellIs" dxfId="191" priority="137698" operator="between">
      <formula>$GS$18</formula>
      <formula>$GS$19</formula>
    </cfRule>
    <cfRule type="cellIs" dxfId="190" priority="137699" operator="between">
      <formula>$GS$17</formula>
      <formula>$GS$18</formula>
    </cfRule>
    <cfRule type="cellIs" dxfId="189" priority="137700" operator="between">
      <formula>$GS$16</formula>
      <formula>$GS$17</formula>
    </cfRule>
  </conditionalFormatting>
  <conditionalFormatting sqref="HP1:HP1048576 HS1:HS1048576 HW1:HW1048576 HZ1:HZ1048576">
    <cfRule type="cellIs" dxfId="188" priority="137745" operator="between">
      <formula>$IA$19</formula>
      <formula>1000</formula>
    </cfRule>
    <cfRule type="cellIs" dxfId="187" priority="137746" operator="between">
      <formula>$IA$18</formula>
      <formula>$IA$19</formula>
    </cfRule>
    <cfRule type="cellIs" dxfId="186" priority="137747" operator="between">
      <formula>$IA$17</formula>
      <formula>$IA$18</formula>
    </cfRule>
    <cfRule type="cellIs" dxfId="185" priority="137748" operator="between">
      <formula>$IA$16</formula>
      <formula>$IA$17</formula>
    </cfRule>
  </conditionalFormatting>
  <conditionalFormatting sqref="IV1:IV1048576 IY1:IY1048576 JC1:JC1048576 JF1:JF1048576">
    <cfRule type="cellIs" dxfId="184" priority="137795" stopIfTrue="1" operator="between">
      <formula>$JI$13</formula>
      <formula>1000</formula>
    </cfRule>
    <cfRule type="cellIs" dxfId="183" priority="137796" operator="between">
      <formula>$JI$12</formula>
      <formula>$JI$13</formula>
    </cfRule>
  </conditionalFormatting>
  <conditionalFormatting sqref="IX1:IX1048576 JA1:JA1048576 JE1:JE1048576 JH1:JH1048576">
    <cfRule type="cellIs" dxfId="182" priority="137841" operator="between">
      <formula>$JI$19</formula>
      <formula>1000</formula>
    </cfRule>
    <cfRule type="cellIs" dxfId="181" priority="137842" operator="between">
      <formula>$JI$18</formula>
      <formula>$JI$19</formula>
    </cfRule>
    <cfRule type="cellIs" dxfId="180" priority="137843" operator="between">
      <formula>$JI$17</formula>
      <formula>$JI$18</formula>
    </cfRule>
    <cfRule type="cellIs" dxfId="179" priority="137844" operator="between">
      <formula>$JI$16</formula>
      <formula>$JI$17</formula>
    </cfRule>
  </conditionalFormatting>
  <conditionalFormatting sqref="KD1:KD1048576 KG1:KG1048576 KK1:KK1048576 KN1:KN1048576">
    <cfRule type="cellIs" dxfId="178" priority="137891" stopIfTrue="1" operator="between">
      <formula>$KQ$13</formula>
      <formula>1000</formula>
    </cfRule>
    <cfRule type="cellIs" dxfId="177" priority="137892" operator="between">
      <formula>$KQ$12</formula>
      <formula>$KQ$13</formula>
    </cfRule>
  </conditionalFormatting>
  <conditionalFormatting sqref="KF1:KF1048576 KI1:KI1048576 KM1:KM1048576 KP1:KP1048576">
    <cfRule type="cellIs" dxfId="176" priority="137937" operator="between">
      <formula>$KQ$19</formula>
      <formula>1000</formula>
    </cfRule>
    <cfRule type="cellIs" dxfId="175" priority="137938" operator="between">
      <formula>$KQ$18</formula>
      <formula>$KQ$19</formula>
    </cfRule>
    <cfRule type="cellIs" dxfId="174" priority="137939" operator="between">
      <formula>$KQ$17</formula>
      <formula>$KQ$18</formula>
    </cfRule>
    <cfRule type="cellIs" dxfId="173" priority="137940" operator="between">
      <formula>$KQ$16</formula>
      <formula>$KQ$17</formula>
    </cfRule>
  </conditionalFormatting>
  <conditionalFormatting sqref="LL1:LL1048576 LO1:LO1048576 LS1:LS1048576 LV1:LV1048576">
    <cfRule type="cellIs" dxfId="172" priority="137987" stopIfTrue="1" operator="between">
      <formula>$LY$13</formula>
      <formula>1000</formula>
    </cfRule>
    <cfRule type="cellIs" dxfId="171" priority="137988" operator="between">
      <formula>$LY$12</formula>
      <formula>$LY$13</formula>
    </cfRule>
  </conditionalFormatting>
  <conditionalFormatting sqref="LN1:LN1048576 LQ1:LQ1048576 LU1:LU1048576 LX1:LX1048576">
    <cfRule type="cellIs" dxfId="170" priority="138033" operator="between">
      <formula>$LY$19</formula>
      <formula>1000</formula>
    </cfRule>
    <cfRule type="cellIs" dxfId="169" priority="138034" operator="between">
      <formula>$LY$18</formula>
      <formula>$LY$19</formula>
    </cfRule>
    <cfRule type="cellIs" dxfId="168" priority="138035" operator="between">
      <formula>$LY$17</formula>
      <formula>$LY$18</formula>
    </cfRule>
    <cfRule type="cellIs" dxfId="167" priority="138036" operator="between">
      <formula>$LY$16</formula>
      <formula>$LY$17</formula>
    </cfRule>
  </conditionalFormatting>
  <conditionalFormatting sqref="MV1:MV1048576 MY1:MY1048576 NC1:NC1048576 NF1:NF1048576">
    <cfRule type="cellIs" dxfId="166" priority="138081" operator="between">
      <formula>$NG$19</formula>
      <formula>1000</formula>
    </cfRule>
    <cfRule type="cellIs" dxfId="165" priority="138082" operator="between">
      <formula>$NG$18</formula>
      <formula>$NG$19</formula>
    </cfRule>
    <cfRule type="cellIs" dxfId="164" priority="138083" operator="between">
      <formula>$NG$17</formula>
      <formula>$NG$18</formula>
    </cfRule>
    <cfRule type="cellIs" dxfId="163" priority="138084" operator="between">
      <formula>$NG$16</formula>
      <formula>$NG$17</formula>
    </cfRule>
  </conditionalFormatting>
  <conditionalFormatting sqref="OB1:OB1048576 OE1:OE1048576 OI1:OI1048576 OL1:OL1048576">
    <cfRule type="cellIs" dxfId="162" priority="138131" stopIfTrue="1" operator="between">
      <formula>$OO$13</formula>
      <formula>1000</formula>
    </cfRule>
    <cfRule type="cellIs" dxfId="161" priority="138132" operator="between">
      <formula>$OO$12</formula>
      <formula>$OO$13</formula>
    </cfRule>
  </conditionalFormatting>
  <conditionalFormatting sqref="OD1:OD1048576 OG1:OG1048576 OK1:OK1048576 ON1:ON1048576">
    <cfRule type="cellIs" dxfId="160" priority="138177" operator="between">
      <formula>$OO$19</formula>
      <formula>1000</formula>
    </cfRule>
    <cfRule type="cellIs" dxfId="159" priority="138178" operator="between">
      <formula>$OO$18</formula>
      <formula>$OO$19</formula>
    </cfRule>
    <cfRule type="cellIs" dxfId="158" priority="138179" operator="between">
      <formula>$OO$17</formula>
      <formula>$OO$18</formula>
    </cfRule>
    <cfRule type="cellIs" dxfId="157" priority="138180" operator="between">
      <formula>$OO$16</formula>
      <formula>$OO$17</formula>
    </cfRule>
  </conditionalFormatting>
  <conditionalFormatting sqref="PJ1:PJ1048576 PM1:PM1048576 PQ1:PQ1048576 PT1:PT1048576">
    <cfRule type="cellIs" dxfId="156" priority="138227" stopIfTrue="1" operator="between">
      <formula>$PW$13</formula>
      <formula>1000</formula>
    </cfRule>
    <cfRule type="cellIs" dxfId="155" priority="138228" operator="between">
      <formula>$PW$12</formula>
      <formula>$PW$13</formula>
    </cfRule>
  </conditionalFormatting>
  <conditionalFormatting sqref="PL1:PL1048576 PO1:PO1048576 PS1:PS1048576 PV1:PV1048576">
    <cfRule type="cellIs" dxfId="154" priority="138273" operator="between">
      <formula>$PW$19</formula>
      <formula>1000</formula>
    </cfRule>
    <cfRule type="cellIs" dxfId="153" priority="138274" operator="between">
      <formula>$PW$18</formula>
      <formula>$PW$19</formula>
    </cfRule>
    <cfRule type="cellIs" dxfId="152" priority="138275" operator="between">
      <formula>$PW$17</formula>
      <formula>$PW$18</formula>
    </cfRule>
    <cfRule type="cellIs" dxfId="151" priority="138276" operator="between">
      <formula>$PW$16</formula>
      <formula>$PW$17</formula>
    </cfRule>
  </conditionalFormatting>
  <conditionalFormatting sqref="QR1:QR1048576 QU1:QU1048576 QY1:QY1048576 RB1:RB1048576">
    <cfRule type="cellIs" dxfId="150" priority="138323" stopIfTrue="1" operator="between">
      <formula>$RE$13</formula>
      <formula>1000</formula>
    </cfRule>
    <cfRule type="cellIs" dxfId="149" priority="138324" operator="between">
      <formula>$RE$12</formula>
      <formula>$RE$13</formula>
    </cfRule>
  </conditionalFormatting>
  <conditionalFormatting sqref="QT1:QT1048576 QW1:QW1048576 RA1:RA1048576 RD1:RD1048576">
    <cfRule type="cellIs" dxfId="148" priority="138369" operator="between">
      <formula>$RE$19</formula>
      <formula>1000</formula>
    </cfRule>
    <cfRule type="cellIs" dxfId="147" priority="138370" operator="between">
      <formula>$RE$18</formula>
      <formula>$RE$19</formula>
    </cfRule>
    <cfRule type="cellIs" dxfId="146" priority="138371" operator="between">
      <formula>$RE$17</formula>
      <formula>$RE$18</formula>
    </cfRule>
    <cfRule type="cellIs" dxfId="145" priority="138372" operator="between">
      <formula>$RE$16</formula>
      <formula>$RE$17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44" priority="138561" operator="between">
      <formula>$SM$19</formula>
      <formula>1000</formula>
    </cfRule>
    <cfRule type="cellIs" dxfId="143" priority="138562" operator="between">
      <formula>$SM$18</formula>
      <formula>$SM$19</formula>
    </cfRule>
    <cfRule type="cellIs" dxfId="142" priority="138563" operator="between">
      <formula>$SM$17</formula>
      <formula>$SM$18</formula>
    </cfRule>
    <cfRule type="cellIs" dxfId="141" priority="138564" operator="between">
      <formula>$SM$16</formula>
      <formula>$SM$17</formula>
    </cfRule>
  </conditionalFormatting>
  <conditionalFormatting sqref="DZ1:DZ1048576 DP1:DP1048576 DS1:DS1048576 DW1:DW1048576">
    <cfRule type="cellIs" dxfId="140" priority="142" stopIfTrue="1" operator="between">
      <formula>$EC$13</formula>
      <formula>1000</formula>
    </cfRule>
  </conditionalFormatting>
  <conditionalFormatting sqref="FH1:FH1048576 EX1:EX1048576 FA1:FA1048576 FE1:FE1048576">
    <cfRule type="cellIs" dxfId="139" priority="138" operator="between">
      <formula>$FK$13</formula>
      <formula>1000</formula>
    </cfRule>
    <cfRule type="cellIs" dxfId="138" priority="139" operator="between">
      <formula>$FK$12</formula>
      <formula>$FK$13</formula>
    </cfRule>
  </conditionalFormatting>
  <conditionalFormatting sqref="GP1:GP1048576 GF1:GF1048576 GI1:GI1048576 GM1:GM1048576">
    <cfRule type="cellIs" dxfId="137" priority="106" stopIfTrue="1" operator="between">
      <formula>$GS$13</formula>
      <formula>1000</formula>
    </cfRule>
    <cfRule type="cellIs" dxfId="136" priority="107" operator="between">
      <formula>$GS$12</formula>
      <formula>$GS$13</formula>
    </cfRule>
  </conditionalFormatting>
  <conditionalFormatting sqref="HX1:HX1048576 HN1:HN1048576 HQ1:HQ1048576 HU1:HU1048576">
    <cfRule type="cellIs" dxfId="135" priority="134" operator="between">
      <formula>$IA$13</formula>
      <formula>1000</formula>
    </cfRule>
    <cfRule type="cellIs" dxfId="134" priority="135" stopIfTrue="1" operator="between">
      <formula>$IA$12</formula>
      <formula>$IA$13</formula>
    </cfRule>
  </conditionalFormatting>
  <conditionalFormatting sqref="RZ1:RZ1048576 SC1:SC1048576 SG1:SG1048576 SJ1:SJ1048576 TK1:TK19 TO1:TO1048576 TR1:TR1048576 US1:US1048576 UW1:UW1048576 UZ1:UZ1048576 WA1:WA1048576 WE1:WE1048576 WH1:WH1048576 TH1:TH1048576 UP1:UP1048576 VX1:VX1048576">
    <cfRule type="cellIs" dxfId="133" priority="138419" stopIfTrue="1" operator="between">
      <formula>$SM$13</formula>
      <formula>1000</formula>
    </cfRule>
    <cfRule type="cellIs" dxfId="132" priority="138420" operator="between">
      <formula>$SM$12</formula>
      <formula>$SM$13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200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140</v>
      </c>
      <c r="C4" s="4" t="s">
        <v>3</v>
      </c>
      <c r="D4" s="4">
        <v>2006</v>
      </c>
      <c r="E4" s="9">
        <f t="shared" ref="E4:E13" si="0">SUM(J4:P4)+SUM(J4:M4)*0.0000001+SUM(J4)*0.0000000000001</f>
        <v>159.80001050000536</v>
      </c>
      <c r="F4" s="3" t="str">
        <f t="shared" ref="F4:F13" si="1"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 t="shared" ref="G4:G13" si="2"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 t="shared" ref="H4:H13" si="3"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 t="shared" ref="I4:I13" si="4"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 t="shared" ref="K4:K13" si="5">IF(J4=0,"",IF(J4=CU4,$BY$1,IF(J4=BR4,$AV$1,IF(J4=AO4,$S$1,""))))</f>
        <v>2025 Elite Canada</v>
      </c>
      <c r="L4" s="8">
        <f>IF(COUNT(AO4,BR4,CU4)&gt;1,LARGE((AO4,BR4,CU4),2),0)</f>
        <v>51.6</v>
      </c>
      <c r="M4" s="8" t="str">
        <f t="shared" ref="M4:M13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3" si="7">IF(MAX(AT4,BW4,CZ4)&gt;0,MAX(AT4,BW4,CZ4),0)</f>
        <v>54.8</v>
      </c>
      <c r="O4" s="8" t="str">
        <f t="shared" ref="O4:O13" si="8">IF(N4=0,"",IF(N4=CZ4,$BY$1,IF(N4=BW4,$AV$1,IF(N4=AT4,$S$1,""))))</f>
        <v>2025 Nationals</v>
      </c>
      <c r="P4" s="8" t="str">
        <f t="shared" ref="P4:P13" si="9">IF(MAX(DB4:DC4)&gt;0,MAX(DB4:DC4),"")</f>
        <v/>
      </c>
      <c r="Q4" s="11" t="str">
        <f t="shared" ref="Q4:Q13" si="10">IF(P4="","",IF(P4=DB4,"("&amp;DB$2&amp;")",IF(P4=DC4,"("&amp;DC$2&amp;")")))</f>
        <v/>
      </c>
      <c r="R4" s="8" t="str">
        <f t="shared" ref="R4:R13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 t="shared" ref="AN4:AN13" si="12">IF(SUM(T4,X4)&gt;0,SUM(T4,X4),"")</f>
        <v>15</v>
      </c>
      <c r="AO4" s="40">
        <f t="shared" ref="AO4:AO13" si="13">IF(SUM(S4:T4,V4:X4,Z4)-U4-Y4&gt;0,SUM(S4:T4,V4:X4,Z4)-U4-Y4,"")</f>
        <v>51.6</v>
      </c>
      <c r="AP4" s="40">
        <f t="shared" ref="AP4:AP13" si="14">IF(SUM(AA4:AB4,AD4)-AC4&gt;0,SUM(AA4:AB4,AD4)-AC4,"")</f>
        <v>26.8</v>
      </c>
      <c r="AQ4" s="40">
        <f t="shared" ref="AQ4:AQ13" si="15">IF(SUM(T4,X4,AB4)&gt;0,SUM(T4,X4,AB4),"")</f>
        <v>23.5</v>
      </c>
      <c r="AR4" s="40">
        <f t="shared" ref="AR4:AR13" si="16">IF(SUM(AO4,AP4)&gt;0,SUM(AO4,AP4),"")</f>
        <v>78.400000000000006</v>
      </c>
      <c r="AS4" s="40">
        <f t="shared" ref="AS4:AS13" si="17">IF(SUM(AF4,AJ4)&gt;0,SUM(AF4,AJ4),"")</f>
        <v>16.2</v>
      </c>
      <c r="AT4" s="40">
        <f t="shared" ref="AT4:AT13" si="18">IF(SUM(AE4:AF4,AH4:AJ4,AL4)-SUM(AG4,AK4)&gt;0,SUM(AE4:AF4,AH4:AJ4,AL4)-SUM(AG4,AK4),"")</f>
        <v>52.8</v>
      </c>
      <c r="AU4" s="40">
        <f t="shared" ref="AU4:AU13" si="19"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 t="shared" ref="BQ4:BQ13" si="20">IF(SUM(AW4,BA4)&gt;0,SUM(AW4,BA4),"")</f>
        <v>16.7</v>
      </c>
      <c r="BR4" s="11">
        <f t="shared" ref="BR4:BR13" si="21">IF(SUM(AV4:AW4,AY4:BA4,BC4)-AX4-BB4&gt;0,SUM(AV4:AW4,AY4:BA4,BC4)-AX4-BB4,"")</f>
        <v>53.399999999999991</v>
      </c>
      <c r="BS4" s="11" t="str">
        <f t="shared" ref="BS4:BS13" si="22">IF(SUM(BD4:BE4,BG4)-BF4&gt;0,SUM(BD4:BE4,BG4)-BF4,"")</f>
        <v/>
      </c>
      <c r="BT4" s="11">
        <f t="shared" ref="BT4:BT13" si="23">IF(SUM(AW4,BA4,BE4)&gt;0,SUM(AW4,BA4,BE4),"")</f>
        <v>16.7</v>
      </c>
      <c r="BU4" s="11">
        <f t="shared" ref="BU4:BU13" si="24">IF(SUM(BR4,BS4)&gt;0,SUM(BR4,BS4),"")</f>
        <v>53.399999999999991</v>
      </c>
      <c r="BV4" s="11">
        <f t="shared" ref="BV4:BV13" si="25">IF(SUM(BI4,BM4)&gt;0,SUM(BI4,BM4),"")</f>
        <v>17.3</v>
      </c>
      <c r="BW4" s="11">
        <f t="shared" ref="BW4:BW13" si="26">IF(SUM(BH4:BI4,BK4:BM4,BO4)-SUM(BJ4,BN4)&gt;0,SUM(BH4:BI4,BK4:BM4,BO4)-SUM(BJ4,BN4),"")</f>
        <v>54.599999999999994</v>
      </c>
      <c r="BX4" s="11">
        <f t="shared" ref="BX4:BX13" si="27"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 t="shared" ref="CT4:CT13" si="28">IF(SUM(BZ4,CD4)&gt;0,SUM(BZ4,CD4),"")</f>
        <v>14.2</v>
      </c>
      <c r="CU4" s="40">
        <f t="shared" ref="CU4:CU13" si="29">IF(SUM(BY4:BZ4,CB4:CD4,CF4)-CA4-CE4&gt;0,SUM(BY4:BZ4,CB4:CD4,CF4)-CA4-CE4,"")</f>
        <v>50.499999999999993</v>
      </c>
      <c r="CV4" s="40" t="str">
        <f t="shared" ref="CV4:CV13" si="30">IF(SUM(CG4:CH4,CJ4)-CI4&gt;0,SUM(CG4:CH4,CJ4)-CI4,"")</f>
        <v/>
      </c>
      <c r="CW4" s="40">
        <f t="shared" ref="CW4:CW13" si="31">IF(SUM(BZ4,CD4,CH4)&gt;0,SUM(BZ4,CD4,CH4),"")</f>
        <v>14.2</v>
      </c>
      <c r="CX4" s="40">
        <f t="shared" ref="CX4:CX13" si="32">IF(SUM(CU4,CV4)&gt;0,SUM(CU4,CV4),"")</f>
        <v>50.499999999999993</v>
      </c>
      <c r="CY4" s="40">
        <f t="shared" ref="CY4:CY13" si="33">IF(SUM(CL4,CP4)&gt;0,SUM(CL4,CP4),"")</f>
        <v>18.100000000000001</v>
      </c>
      <c r="CZ4" s="40">
        <f t="shared" ref="CZ4:CZ13" si="34">IF(SUM(CK4:CL4,CN4:CP4,CR4)-SUM(CM4,CQ4)&gt;0,SUM(CK4:CL4,CN4:CP4,CR4)-SUM(CM4,CQ4),"")</f>
        <v>54.8</v>
      </c>
      <c r="DA4" s="40">
        <f t="shared" ref="DA4:DA13" si="35">IF(SUM(CU4,CV4,CZ4)&gt;0,SUM(CU4,CV4,CZ4),"")</f>
        <v>105.29999999999998</v>
      </c>
      <c r="DB4" s="51" t="str">
        <f t="shared" ref="DB4:DB13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3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38">IF(SUM(DE4,DI4)&gt;0,SUM(DE4,DI4),"")</f>
        <v/>
      </c>
      <c r="DY4" s="40" t="str">
        <f t="shared" ref="DY4:DY13" si="39">IF(SUM(DD4:DE4,DG4:DI4,DK4)-DF4-DJ4&gt;0,SUM(DD4:DE4,DG4:DI4,DK4)-DF4-DJ4,"")</f>
        <v/>
      </c>
      <c r="DZ4" s="40" t="str">
        <f t="shared" ref="DZ4:DZ13" si="40">IF(SUM(DL4:DM4,DO4)-DN4&gt;0,SUM(DL4:DM4,DO4)-DN4,"")</f>
        <v/>
      </c>
      <c r="EA4" s="40" t="str">
        <f t="shared" ref="EA4:EA13" si="41">IF(SUM(DE4,DI4,DM4)&gt;0,SUM(DE4,DI4,DM4),"")</f>
        <v/>
      </c>
      <c r="EB4" s="40" t="str">
        <f t="shared" ref="EB4:EB13" si="42">IF(SUM(DY4,DZ4)&gt;0,SUM(DY4,DZ4),"")</f>
        <v/>
      </c>
      <c r="EC4" s="40" t="str">
        <f t="shared" ref="EC4:EC13" si="43">IF(SUM(DQ4,DU4)&gt;0,SUM(DQ4,DU4),"")</f>
        <v/>
      </c>
      <c r="ED4" s="40" t="str">
        <f t="shared" ref="ED4:ED13" si="44">IF(SUM(DP4:DQ4,DS4:DU4,DW4)-SUM(DR4,DV4)&gt;0,SUM(DP4:DQ4,DS4:DU4,DW4)-SUM(DR4,DV4),"")</f>
        <v/>
      </c>
      <c r="EE4" s="40" t="str">
        <f t="shared" ref="EE4:EE13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3" si="46">IF(SUM(EG4,EK4)&gt;0,SUM(EG4,EK4),"")</f>
        <v/>
      </c>
      <c r="FA4" s="11" t="str">
        <f t="shared" ref="FA4:FA13" si="47">IF(SUM(EF4:EG4,EI4:EK4,EM4)-EH4-EL4&gt;0,SUM(EF4:EG4,EI4:EK4,EM4)-EH4-EL4,"")</f>
        <v/>
      </c>
      <c r="FB4" s="11" t="str">
        <f t="shared" ref="FB4:FB13" si="48">IF(SUM(EN4:EO4,EQ4)-EP4&gt;0,SUM(EN4:EO4,EQ4)-EP4,"")</f>
        <v/>
      </c>
      <c r="FC4" s="11" t="str">
        <f t="shared" ref="FC4:FC13" si="49">IF(SUM(EG4,EK4,EO4)&gt;0,SUM(EG4,EK4,EO4),"")</f>
        <v/>
      </c>
      <c r="FD4" s="11" t="str">
        <f t="shared" ref="FD4:FD13" si="50">IF(SUM(FA4,FB4)&gt;0,SUM(FA4,FB4),"")</f>
        <v/>
      </c>
      <c r="FE4" s="11" t="str">
        <f t="shared" ref="FE4:FE13" si="51">IF(SUM(ES4,EW4)&gt;0,SUM(ES4,EW4),"")</f>
        <v/>
      </c>
      <c r="FF4" s="11" t="str">
        <f t="shared" ref="FF4:FF13" si="52">IF(SUM(ER4:ES4,EU4:EW4,EY4)-SUM(ET4,EX4)&gt;0,SUM(ER4:ES4,EU4:EW4,EY4)-SUM(ET4,EX4),"")</f>
        <v/>
      </c>
      <c r="FG4" s="11" t="str">
        <f t="shared" ref="FG4:FG13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3" si="54">IF(SUM(FI4,FM4)&gt;0,SUM(FI4,FM4),"")</f>
        <v/>
      </c>
      <c r="GC4" s="40" t="str">
        <f t="shared" ref="GC4:GC13" si="55">IF(SUM(FH4:FI4,FK4:FM4,FO4)-FJ4-FN4&gt;0,SUM(FH4:FI4,FK4:FM4,FO4)-FJ4-FN4,"")</f>
        <v/>
      </c>
      <c r="GD4" s="40" t="str">
        <f t="shared" ref="GD4:GD13" si="56">IF(SUM(FP4:FQ4,FS4)-FR4&gt;0,SUM(FP4:FQ4,FS4)-FR4,"")</f>
        <v/>
      </c>
      <c r="GE4" s="40" t="str">
        <f t="shared" ref="GE4:GE13" si="57">IF(SUM(FI4,FM4,FQ4)&gt;0,SUM(FI4,FM4,FQ4),"")</f>
        <v/>
      </c>
      <c r="GF4" s="40" t="str">
        <f t="shared" ref="GF4:GF13" si="58">IF(SUM(GC4,GD4)&gt;0,SUM(GC4,GD4),"")</f>
        <v/>
      </c>
      <c r="GG4" s="40" t="str">
        <f t="shared" ref="GG4:GG13" si="59">IF(SUM(FU4,FY4)&gt;0,SUM(FU4,FY4),"")</f>
        <v/>
      </c>
      <c r="GH4" s="40" t="str">
        <f t="shared" ref="GH4:GH13" si="60">IF(SUM(FT4:FU4,FW4:FY4,GA4)-SUM(FV4,FZ4)&gt;0,SUM(FT4:FU4,FW4:FY4,GA4)-SUM(FV4,FZ4),"")</f>
        <v/>
      </c>
      <c r="GI4" s="40" t="str">
        <f t="shared" ref="GI4:GI13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3" si="62">IF(SUM(GK4,GO4)&gt;0,SUM(GK4,GO4),"")</f>
        <v/>
      </c>
      <c r="HE4" s="11" t="str">
        <f t="shared" ref="HE4:HE13" si="63">IF(SUM(GJ4:GK4,GM4:GO4,GQ4)-GL4-GP4&gt;0,SUM(GJ4:GK4,GM4:GO4,GQ4)-GL4-GP4,"")</f>
        <v/>
      </c>
      <c r="HF4" s="11" t="str">
        <f t="shared" ref="HF4:HF13" si="64">IF(SUM(GR4:GS4,GU4)-GT4&gt;0,SUM(GR4:GS4,GU4)-GT4,"")</f>
        <v/>
      </c>
      <c r="HG4" s="11" t="str">
        <f t="shared" ref="HG4:HG13" si="65">IF(SUM(GK4,GO4,GS4)&gt;0,SUM(GK4,GO4,GS4),"")</f>
        <v/>
      </c>
      <c r="HH4" s="11" t="str">
        <f t="shared" ref="HH4:HH13" si="66">IF(SUM(HE4,HF4)&gt;0,SUM(HE4,HF4),"")</f>
        <v/>
      </c>
      <c r="HI4" s="11" t="str">
        <f t="shared" ref="HI4:HI13" si="67">IF(SUM(GW4,HA4)&gt;0,SUM(GW4,HA4),"")</f>
        <v/>
      </c>
      <c r="HJ4" s="11" t="str">
        <f t="shared" ref="HJ4:HJ13" si="68">IF(SUM(GV4:GW4,GY4:HA4,HC4)-SUM(GX4,HB4)&gt;0,SUM(GV4:GW4,GY4:HA4,HC4)-SUM(GX4,HB4),"")</f>
        <v/>
      </c>
      <c r="HK4" s="11" t="str">
        <f t="shared" ref="HK4:HK13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3" si="70">IF(SUM(HM4,HQ4)&gt;0,SUM(HM4,HQ4),"")</f>
        <v/>
      </c>
      <c r="IG4" s="40" t="str">
        <f t="shared" ref="IG4:IG13" si="71">IF(SUM(HL4:HM4,HO4:HQ4,HS4)-HN4-HR4&gt;0,SUM(HL4:HM4,HO4:HQ4,HS4)-HN4-HR4,"")</f>
        <v/>
      </c>
      <c r="IH4" s="40" t="str">
        <f t="shared" ref="IH4:IH13" si="72">IF(SUM(HT4:HU4,HW4)-HV4&gt;0,SUM(HT4:HU4,HW4)-HV4,"")</f>
        <v/>
      </c>
      <c r="II4" s="40" t="str">
        <f t="shared" ref="II4:II13" si="73">IF(SUM(HM4,HQ4,HU4)&gt;0,SUM(HM4,HQ4,HU4),"")</f>
        <v/>
      </c>
      <c r="IJ4" s="40" t="str">
        <f t="shared" ref="IJ4:IJ13" si="74">IF(SUM(IG4,IH4)&gt;0,SUM(IG4,IH4),"")</f>
        <v/>
      </c>
      <c r="IK4" s="40" t="str">
        <f t="shared" ref="IK4:IK13" si="75">IF(SUM(HY4,IC4)&gt;0,SUM(HY4,IC4),"")</f>
        <v/>
      </c>
      <c r="IL4" s="40" t="str">
        <f t="shared" ref="IL4:IL13" si="76">IF(SUM(HX4:HY4,IA4:IC4,IE4)-SUM(HZ4,ID4)&gt;0,SUM(HX4:HY4,IA4:IC4,IE4)-SUM(HZ4,ID4),"")</f>
        <v/>
      </c>
      <c r="IM4" s="40" t="str">
        <f t="shared" ref="IM4:IM13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3" si="78">IF(SUM(IO4,IS4)&gt;0,SUM(IO4,IS4),"")</f>
        <v/>
      </c>
      <c r="JI4" s="11" t="str">
        <f t="shared" ref="JI4:JI13" si="79">IF(SUM(IN4:IO4,IQ4:IS4,IU4)-IP4-IT4&gt;0,SUM(IN4:IO4,IQ4:IS4,IU4)-IP4-IT4,"")</f>
        <v/>
      </c>
      <c r="JJ4" s="11" t="str">
        <f t="shared" ref="JJ4:JJ13" si="80">IF(SUM(IV4:IW4,IY4)-IX4&gt;0,SUM(IV4:IW4,IY4)-IX4,"")</f>
        <v/>
      </c>
      <c r="JK4" s="11" t="str">
        <f t="shared" ref="JK4:JK13" si="81">IF(SUM(IO4,IS4,IW4)&gt;0,SUM(IO4,IS4,IW4),"")</f>
        <v/>
      </c>
      <c r="JL4" s="11" t="str">
        <f t="shared" ref="JL4:JL13" si="82">IF(SUM(JI4,JJ4)&gt;0,SUM(JI4,JJ4),"")</f>
        <v/>
      </c>
      <c r="JM4" s="11" t="str">
        <f t="shared" ref="JM4:JM13" si="83">IF(SUM(JA4,JE4)&gt;0,SUM(JA4,JE4),"")</f>
        <v/>
      </c>
      <c r="JN4" s="11" t="str">
        <f t="shared" ref="JN4:JN13" si="84">IF(SUM(IZ4:JA4,JC4:JE4,JG4)-SUM(JB4,JF4)&gt;0,SUM(IZ4:JA4,JC4:JE4,JG4)-SUM(JB4,JF4),"")</f>
        <v/>
      </c>
      <c r="JO4" s="11" t="str">
        <f t="shared" ref="JO4:JO13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3" si="86">IF(SUM(JQ4,JU4)&gt;0,SUM(JQ4,JU4),"")</f>
        <v/>
      </c>
      <c r="KK4" s="40" t="str">
        <f t="shared" ref="KK4:KK13" si="87">IF(SUM(JP4:JQ4,JS4:JU4,JW4)-JR4-JV4&gt;0,SUM(JP4:JQ4,JS4:JU4,JW4)-JR4-JV4,"")</f>
        <v/>
      </c>
      <c r="KL4" s="40" t="str">
        <f t="shared" ref="KL4:KL13" si="88">IF(SUM(JX4:JY4,KA4)-JZ4&gt;0,SUM(JX4:JY4,KA4)-JZ4,"")</f>
        <v/>
      </c>
      <c r="KM4" s="40" t="str">
        <f t="shared" ref="KM4:KM13" si="89">IF(SUM(JQ4,JU4,JY4)&gt;0,SUM(JQ4,JU4,JY4),"")</f>
        <v/>
      </c>
      <c r="KN4" s="40" t="str">
        <f t="shared" ref="KN4:KN13" si="90">IF(SUM(KK4,KL4)&gt;0,SUM(KK4,KL4),"")</f>
        <v/>
      </c>
      <c r="KO4" s="40" t="str">
        <f t="shared" ref="KO4:KO13" si="91">IF(SUM(KC4,KG4)&gt;0,SUM(KC4,KG4),"")</f>
        <v/>
      </c>
      <c r="KP4" s="40" t="str">
        <f t="shared" ref="KP4:KP13" si="92">IF(SUM(KB4:KC4,KE4:KG4,KI4)-SUM(KD4,KH4)&gt;0,SUM(KB4:KC4,KE4:KG4,KI4)-SUM(KD4,KH4),"")</f>
        <v/>
      </c>
      <c r="KQ4" s="40" t="str">
        <f t="shared" ref="KQ4:KQ13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3" si="94">IF(SUM(KS4,KW4)&gt;0,SUM(KS4,KW4),"")</f>
        <v/>
      </c>
      <c r="LM4" s="11" t="str">
        <f t="shared" ref="LM4:LM13" si="95">IF(SUM(KR4:KS4,KU4:KW4,KY4)-KT4-KX4&gt;0,SUM(KR4:KS4,KU4:KW4,KY4)-KT4-KX4,"")</f>
        <v/>
      </c>
      <c r="LN4" s="11" t="str">
        <f t="shared" ref="LN4:LN13" si="96">IF(SUM(KZ4:LA4,LC4)-LB4&gt;0,SUM(KZ4:LA4,LC4)-LB4,"")</f>
        <v/>
      </c>
      <c r="LO4" s="11" t="str">
        <f t="shared" ref="LO4:LO13" si="97">IF(SUM(KS4,KW4,LA4)&gt;0,SUM(KS4,KW4,LA4),"")</f>
        <v/>
      </c>
      <c r="LP4" s="11" t="str">
        <f t="shared" ref="LP4:LP13" si="98">IF(SUM(LM4,LN4)&gt;0,SUM(LM4,LN4),"")</f>
        <v/>
      </c>
      <c r="LQ4" s="11" t="str">
        <f t="shared" ref="LQ4:LQ13" si="99">IF(SUM(LE4,LI4)&gt;0,SUM(LE4,LI4),"")</f>
        <v/>
      </c>
      <c r="LR4" s="11" t="str">
        <f t="shared" ref="LR4:LR13" si="100">IF(SUM(LD4:LE4,LG4:LI4,LK4)-SUM(LF4,LJ4)&gt;0,SUM(LD4:LE4,LG4:LI4,LK4)-SUM(LF4,LJ4),"")</f>
        <v/>
      </c>
      <c r="LS4" s="11" t="str">
        <f t="shared" ref="LS4:LS13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3" si="102">IF(SUM(LU4,LY4)&gt;0,SUM(LU4,LY4),"")</f>
        <v/>
      </c>
      <c r="MO4" s="40" t="str">
        <f t="shared" ref="MO4:MO13" si="103">IF(SUM(LT4:LU4,LW4:LY4,MA4)-LV4-LZ4&gt;0,SUM(LT4:LU4,LW4:LY4,MA4)-LV4-LZ4,"")</f>
        <v/>
      </c>
      <c r="MP4" s="40" t="str">
        <f t="shared" ref="MP4:MP13" si="104">IF(SUM(MB4:MC4,ME4)-MD4&gt;0,SUM(MB4:MC4,ME4)-MD4,"")</f>
        <v/>
      </c>
      <c r="MQ4" s="40" t="str">
        <f t="shared" ref="MQ4:MQ13" si="105">IF(SUM(LU4,LY4,MC4)&gt;0,SUM(LU4,LY4,MC4),"")</f>
        <v/>
      </c>
      <c r="MR4" s="40" t="str">
        <f t="shared" ref="MR4:MR13" si="106">IF(SUM(MO4,MP4)&gt;0,SUM(MO4,MP4),"")</f>
        <v/>
      </c>
      <c r="MS4" s="40" t="str">
        <f t="shared" ref="MS4:MS13" si="107">IF(SUM(MG4,MK4)&gt;0,SUM(MG4,MK4),"")</f>
        <v/>
      </c>
      <c r="MT4" s="40" t="str">
        <f t="shared" ref="MT4:MT13" si="108">IF(SUM(MF4:MG4,MI4:MK4,MM4)-SUM(MH4,ML4)&gt;0,SUM(MF4:MG4,MI4:MK4,MM4)-SUM(MH4,ML4),"")</f>
        <v/>
      </c>
      <c r="MU4" s="40" t="str">
        <f t="shared" ref="MU4:MU13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3" si="110">IF(SUM(MW4,NA4)&gt;0,SUM(MW4,NA4),"")</f>
        <v/>
      </c>
      <c r="NQ4" s="11" t="str">
        <f t="shared" ref="NQ4:NQ13" si="111">IF(SUM(MV4:MW4,MY4:NA4,NC4)-MX4-NB4&gt;0,SUM(MV4:MW4,MY4:NA4,NC4)-MX4-NB4,"")</f>
        <v/>
      </c>
      <c r="NR4" s="11" t="str">
        <f t="shared" ref="NR4:NR13" si="112">IF(SUM(ND4:NE4,NG4)-NF4&gt;0,SUM(ND4:NE4,NG4)-NF4,"")</f>
        <v/>
      </c>
      <c r="NS4" s="11" t="str">
        <f t="shared" ref="NS4:NS13" si="113">IF(SUM(MW4,NA4,NE4)&gt;0,SUM(MW4,NA4,NE4),"")</f>
        <v/>
      </c>
      <c r="NT4" s="11" t="str">
        <f t="shared" ref="NT4:NT13" si="114">IF(SUM(NQ4,NR4)&gt;0,SUM(NQ4,NR4),"")</f>
        <v/>
      </c>
      <c r="NU4" s="11" t="str">
        <f t="shared" ref="NU4:NU13" si="115">IF(SUM(NI4,NM4)&gt;0,SUM(NI4,NM4),"")</f>
        <v/>
      </c>
      <c r="NV4" s="11" t="str">
        <f t="shared" ref="NV4:NV13" si="116">IF(SUM(NH4:NI4,NK4:NM4,NO4)-SUM(NJ4,NN4)&gt;0,SUM(NH4:NI4,NK4:NM4,NO4)-SUM(NJ4,NN4),"")</f>
        <v/>
      </c>
      <c r="NW4" s="11" t="str">
        <f t="shared" ref="NW4:NW13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3" si="118">IF(SUM(NY4,OC4)&gt;0,SUM(NY4,OC4),"")</f>
        <v/>
      </c>
      <c r="OS4" s="40" t="str">
        <f t="shared" ref="OS4:OS13" si="119">IF(SUM(NX4:NY4,OA4:OC4,OE4)-NZ4-OD4&gt;0,SUM(NX4:NY4,OA4:OC4,OE4)-NZ4-OD4,"")</f>
        <v/>
      </c>
      <c r="OT4" s="40" t="str">
        <f t="shared" ref="OT4:OT13" si="120">IF(SUM(OF4:OG4,OI4)-OH4&gt;0,SUM(OF4:OG4,OI4)-OH4,"")</f>
        <v/>
      </c>
      <c r="OU4" s="40" t="str">
        <f t="shared" ref="OU4:OU13" si="121">IF(SUM(NY4,OC4,OG4)&gt;0,SUM(NY4,OC4,OG4),"")</f>
        <v/>
      </c>
      <c r="OV4" s="40" t="str">
        <f t="shared" ref="OV4:OV13" si="122">IF(SUM(OS4,OT4)&gt;0,SUM(OS4,OT4),"")</f>
        <v/>
      </c>
      <c r="OW4" s="40" t="str">
        <f t="shared" ref="OW4:OW13" si="123">IF(SUM(OK4,OO4)&gt;0,SUM(OK4,OO4),"")</f>
        <v/>
      </c>
      <c r="OX4" s="40" t="str">
        <f t="shared" ref="OX4:OX13" si="124">IF(SUM(OJ4:OK4,OM4:OO4,OQ4)-SUM(OL4,OP4)&gt;0,SUM(OJ4:OK4,OM4:OO4,OQ4)-SUM(OL4,OP4),"")</f>
        <v/>
      </c>
      <c r="OY4" s="40" t="str">
        <f t="shared" ref="OY4:OY13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3" si="126">IF(SUM(PA4,PE4)&gt;0,SUM(PA4,PE4),"")</f>
        <v/>
      </c>
      <c r="PU4" s="11" t="str">
        <f t="shared" ref="PU4:PU13" si="127">IF(SUM(OZ4:PA4,PC4:PE4,PG4)-PB4-PF4&gt;0,SUM(OZ4:PA4,PC4:PE4,PG4)-PB4-PF4,"")</f>
        <v/>
      </c>
      <c r="PV4" s="11" t="str">
        <f t="shared" ref="PV4:PV13" si="128">IF(SUM(PH4:PI4,PK4)-PJ4&gt;0,SUM(PH4:PI4,PK4)-PJ4,"")</f>
        <v/>
      </c>
      <c r="PW4" s="11" t="str">
        <f t="shared" ref="PW4:PW13" si="129">IF(SUM(PA4,PE4,PI4)&gt;0,SUM(PA4,PE4,PI4),"")</f>
        <v/>
      </c>
      <c r="PX4" s="11" t="str">
        <f t="shared" ref="PX4:PX13" si="130">IF(SUM(PU4,PV4)&gt;0,SUM(PU4,PV4),"")</f>
        <v/>
      </c>
      <c r="PY4" s="11" t="str">
        <f t="shared" ref="PY4:PY13" si="131">IF(SUM(PM4,PQ4)&gt;0,SUM(PM4,PQ4),"")</f>
        <v/>
      </c>
      <c r="PZ4" s="11" t="str">
        <f t="shared" ref="PZ4:PZ13" si="132">IF(SUM(PL4:PM4,PO4:PQ4,PS4)-SUM(PN4,PR4)&gt;0,SUM(PL4:PM4,PO4:PQ4,PS4)-SUM(PN4,PR4),"")</f>
        <v/>
      </c>
      <c r="QA4" s="11" t="str">
        <f t="shared" ref="QA4:QA13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3" si="134">IF(SUM(QC4,QG4)&gt;0,SUM(QC4,QG4),"")</f>
        <v/>
      </c>
      <c r="QW4" s="40" t="str">
        <f t="shared" ref="QW4:QW13" si="135">IF(SUM(QB4:QC4,QE4:QG4,QI4)-QD4-QH4&gt;0,SUM(QB4:QC4,QE4:QG4,QI4)-QD4-QH4,"")</f>
        <v/>
      </c>
      <c r="QX4" s="40" t="str">
        <f t="shared" ref="QX4:QX13" si="136">IF(SUM(QJ4:QK4,QM4)-QL4&gt;0,SUM(QJ4:QK4,QM4)-QL4,"")</f>
        <v/>
      </c>
      <c r="QY4" s="40" t="str">
        <f t="shared" ref="QY4:QY13" si="137">IF(SUM(QC4,QG4,QK4)&gt;0,SUM(QC4,QG4,QK4),"")</f>
        <v/>
      </c>
      <c r="QZ4" s="40" t="str">
        <f t="shared" ref="QZ4:QZ13" si="138">IF(SUM(QW4,QX4)&gt;0,SUM(QW4,QX4),"")</f>
        <v/>
      </c>
      <c r="RA4" s="40" t="str">
        <f t="shared" ref="RA4:RA13" si="139">IF(SUM(QO4,QS4)&gt;0,SUM(QO4,QS4),"")</f>
        <v/>
      </c>
      <c r="RB4" s="40" t="str">
        <f t="shared" ref="RB4:RB13" si="140">IF(SUM(QN4:QO4,QQ4:QS4,QU4)-SUM(QP4,QT4)&gt;0,SUM(QN4:QO4,QQ4:QS4,QU4)-SUM(QP4,QT4),"")</f>
        <v/>
      </c>
      <c r="RC4" s="40" t="str">
        <f t="shared" ref="RC4:RC13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3" si="142">IF(SUM(RE4,RI4)&gt;0,SUM(RE4,RI4),"")</f>
        <v/>
      </c>
      <c r="RY4" s="11" t="str">
        <f t="shared" ref="RY4:RY13" si="143">IF(SUM(RD4:RE4,RG4:RI4,RK4)-RF4-RJ4&gt;0,SUM(RD4:RE4,RG4:RI4,RK4)-RF4-RJ4,"")</f>
        <v/>
      </c>
      <c r="RZ4" s="11" t="str">
        <f t="shared" ref="RZ4:RZ13" si="144">IF(SUM(RL4:RM4,RO4)-RN4&gt;0,SUM(RL4:RM4,RO4)-RN4,"")</f>
        <v/>
      </c>
      <c r="SA4" s="11" t="str">
        <f t="shared" ref="SA4:SA13" si="145">IF(SUM(RE4,RI4,RM4)&gt;0,SUM(RE4,RI4,RM4),"")</f>
        <v/>
      </c>
      <c r="SB4" s="11" t="str">
        <f t="shared" ref="SB4:SB13" si="146">IF(SUM(RY4,RZ4)&gt;0,SUM(RY4,RZ4),"")</f>
        <v/>
      </c>
      <c r="SC4" s="11" t="str">
        <f t="shared" ref="SC4:SC13" si="147">IF(SUM(RQ4,RU4)&gt;0,SUM(RQ4,RU4),"")</f>
        <v/>
      </c>
      <c r="SD4" s="11" t="str">
        <f t="shared" ref="SD4:SD13" si="148">IF(SUM(RP4:RQ4,RS4:RU4,RW4)-SUM(RR4,RV4)&gt;0,SUM(RP4:RQ4,RS4:RU4,RW4)-SUM(RR4,RV4),"")</f>
        <v/>
      </c>
      <c r="SE4" s="11" t="str">
        <f t="shared" ref="SE4:SE13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3" si="150">IF(SUM(SG4,SK4)&gt;0,SUM(SG4,SK4),"")</f>
        <v/>
      </c>
      <c r="TA4" s="40" t="str">
        <f t="shared" ref="TA4:TA13" si="151">IF(SUM(SF4:SG4,SI4:SK4,SM4)-SH4-SL4&gt;0,SUM(SF4:SG4,SI4:SK4,SM4)-SH4-SL4,"")</f>
        <v/>
      </c>
      <c r="TB4" s="40" t="str">
        <f t="shared" ref="TB4:TB13" si="152">IF(SUM(SN4:SO4,SQ4)-SP4&gt;0,SUM(SN4:SO4,SQ4)-SP4,"")</f>
        <v/>
      </c>
      <c r="TC4" s="40" t="str">
        <f t="shared" ref="TC4:TC13" si="153">IF(SUM(SG4,SK4,SO4)&gt;0,SUM(SG4,SK4,SO4),"")</f>
        <v/>
      </c>
      <c r="TD4" s="40" t="str">
        <f t="shared" ref="TD4:TD13" si="154">IF(SUM(TA4,TB4)&gt;0,SUM(TA4,TB4),"")</f>
        <v/>
      </c>
      <c r="TE4" s="40" t="str">
        <f t="shared" ref="TE4:TE13" si="155">IF(SUM(SS4,SW4)&gt;0,SUM(SS4,SW4),"")</f>
        <v/>
      </c>
      <c r="TF4" s="40" t="str">
        <f t="shared" ref="TF4:TF13" si="156">IF(SUM(SR4:SS4,SU4:SW4,SY4)-SUM(ST4,SX4)&gt;0,SUM(SR4:SS4,SU4:SW4,SY4)-SUM(ST4,SX4),"")</f>
        <v/>
      </c>
      <c r="TG4" s="40" t="str">
        <f t="shared" ref="TG4:TG13" si="157">IF(SUM(TA4,TB4,TF4)&gt;0,SUM(TA4,TB4,TF4),"")</f>
        <v/>
      </c>
      <c r="TH4" s="26">
        <f t="shared" ref="TH4:TH13" si="158">IF($CS4="P",BY4,(BY4+AV4)/2)</f>
        <v>18.399999999999999</v>
      </c>
      <c r="TI4" s="26">
        <f t="shared" ref="TI4:TI13" si="159">IF($CS4="P",BZ4,(BZ4+AW4)/2)</f>
        <v>7.9</v>
      </c>
      <c r="TJ4" s="26">
        <f t="shared" ref="TJ4:TJ13" si="160">IF($CS4="P",CA4,(CA4+AX4)/2)</f>
        <v>0.1</v>
      </c>
      <c r="TK4" s="26">
        <f t="shared" ref="TK4:TK13" si="161">IF($CS4="P",CB4,(CB4+AY4)/2)</f>
        <v>0</v>
      </c>
      <c r="TL4" s="26">
        <f t="shared" ref="TL4:TL13" si="162">IF($CS4="P",CC4,(CC4+AZ4)/2)</f>
        <v>18.2</v>
      </c>
      <c r="TM4" s="26">
        <f t="shared" ref="TM4:TM13" si="163">IF($CS4="P",CD4,(CD4+BA4)/2)</f>
        <v>7.55</v>
      </c>
      <c r="TN4" s="26">
        <f t="shared" ref="TN4:TN13" si="164">IF($CS4="P",CE4,(CE4+BB4)/2)</f>
        <v>0</v>
      </c>
      <c r="TO4" s="26">
        <f t="shared" ref="TO4:TO13" si="165">IF($CS4="P",CF4,(CF4+BC4)/2)</f>
        <v>0</v>
      </c>
      <c r="TP4" s="26">
        <f t="shared" ref="TP4:TP13" si="166">IF($CS4="P",CG4,(CG4+BD4)/2)</f>
        <v>0</v>
      </c>
      <c r="TQ4" s="26">
        <f t="shared" ref="TQ4:TQ13" si="167">IF($CS4="P",CH4,(CH4+BE4)/2)</f>
        <v>0</v>
      </c>
      <c r="TR4" s="26">
        <f t="shared" ref="TR4:TR13" si="168">IF($CS4="P",CI4,(CI4+BF4)/2)</f>
        <v>0</v>
      </c>
      <c r="TS4" s="26">
        <f t="shared" ref="TS4:TS13" si="169">IF($CS4="P",CJ4,(CJ4+BG4)/2)</f>
        <v>0</v>
      </c>
      <c r="TT4" s="26">
        <f t="shared" ref="TT4:TT13" si="170">IF($CS4="P",CK4,(CK4+BH4)/2)</f>
        <v>18.700000000000003</v>
      </c>
      <c r="TU4" s="26">
        <f t="shared" ref="TU4:TU13" si="171">IF($CS4="P",CL4,(CL4+BI4)/2)</f>
        <v>8.65</v>
      </c>
      <c r="TV4" s="26">
        <f t="shared" ref="TV4:TV13" si="172">IF($CS4="P",CM4,(CM4+BJ4)/2)</f>
        <v>0.1</v>
      </c>
      <c r="TW4" s="26">
        <f t="shared" ref="TW4:TW13" si="173">IF($CS4="P",CN4,(CN4+BK4)/2)</f>
        <v>0</v>
      </c>
      <c r="TX4" s="26">
        <f t="shared" ref="TX4:TX13" si="174">IF($CS4="P",CO4,(CO4+BL4)/2)</f>
        <v>18.399999999999999</v>
      </c>
      <c r="TY4" s="26">
        <f t="shared" ref="TY4:TY13" si="175">IF($CS4="P",CP4,(CP4+BM4)/2)</f>
        <v>9.0500000000000007</v>
      </c>
      <c r="TZ4" s="26">
        <f t="shared" ref="TZ4:TZ13" si="176">IF($CS4="P",CQ4,(CQ4+BN4)/2)</f>
        <v>0</v>
      </c>
      <c r="UA4" s="26">
        <f t="shared" ref="UA4:UA13" si="177">IF($CS4="P",CR4,(CR4+BO4)/2)</f>
        <v>0</v>
      </c>
      <c r="UB4" s="28" t="s">
        <v>53</v>
      </c>
      <c r="UC4" s="11">
        <f t="shared" ref="UC4:UC13" si="178">IF(SUM(TI4,TM4)&gt;0,SUM(TI4,TM4),"")</f>
        <v>15.45</v>
      </c>
      <c r="UD4" s="11">
        <f t="shared" ref="UD4:UD13" si="179">IF(SUM(TH4:TI4,TK4:TM4,TO4)-TJ4-TN4&gt;0,SUM(TH4:TI4,TK4:TM4,TO4)-TJ4-TN4,"")</f>
        <v>51.949999999999996</v>
      </c>
      <c r="UE4" s="11" t="str">
        <f t="shared" ref="UE4:UE13" si="180">IF(SUM(TP4:TQ4,TS4)-TR4&gt;0,SUM(TP4:TQ4,TS4)-TR4,"")</f>
        <v/>
      </c>
      <c r="UF4" s="11">
        <f t="shared" ref="UF4:UF13" si="181">IF(SUM(TI4,TM4,TQ4)&gt;0,SUM(TI4,TM4,TQ4),"")</f>
        <v>15.45</v>
      </c>
      <c r="UG4" s="11">
        <f t="shared" ref="UG4:UG13" si="182">IF(SUM(UD4,UE4)&gt;0,SUM(UD4,UE4),"")</f>
        <v>51.949999999999996</v>
      </c>
      <c r="UH4" s="11">
        <f t="shared" ref="UH4:UH13" si="183">IF(SUM(TU4,TY4)&gt;0,SUM(TU4,TY4),"")</f>
        <v>17.700000000000003</v>
      </c>
      <c r="UI4" s="11">
        <f t="shared" ref="UI4:UI13" si="184">IF(SUM(TT4:TU4,TW4:TY4,UA4)-SUM(TV4,TZ4)&gt;0,SUM(TT4:TU4,TW4:TY4,UA4)-SUM(TV4,TZ4),"")</f>
        <v>54.699999999999996</v>
      </c>
      <c r="UJ4" s="11">
        <f t="shared" ref="UJ4:UJ13" si="185"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154</v>
      </c>
      <c r="C5" s="4" t="s">
        <v>7</v>
      </c>
      <c r="D5" s="4">
        <v>2006</v>
      </c>
      <c r="E5" s="9">
        <f t="shared" si="0"/>
        <v>157.90001035000518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51.6</v>
      </c>
      <c r="M5" s="8" t="str">
        <f t="shared" si="6"/>
        <v>2025 Nationals</v>
      </c>
      <c r="N5" s="8">
        <f t="shared" si="7"/>
        <v>53.5</v>
      </c>
      <c r="O5" s="8" t="str">
        <f t="shared" si="8"/>
        <v>2025 Elite Canada</v>
      </c>
      <c r="P5" s="8">
        <f t="shared" si="9"/>
        <v>0.89999999999999147</v>
      </c>
      <c r="Q5" s="11" t="str">
        <f t="shared" si="10"/>
        <v>(Q1)</v>
      </c>
      <c r="R5" s="8" t="str">
        <f t="shared" si="11"/>
        <v>2025 World Cup POR (July 6)</v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 t="shared" si="12"/>
        <v>15</v>
      </c>
      <c r="AO5" s="40">
        <f t="shared" si="13"/>
        <v>51.900000000000006</v>
      </c>
      <c r="AP5" s="40">
        <f t="shared" si="14"/>
        <v>25.6</v>
      </c>
      <c r="AQ5" s="40">
        <f t="shared" si="15"/>
        <v>22.3</v>
      </c>
      <c r="AR5" s="40">
        <f t="shared" si="16"/>
        <v>77.5</v>
      </c>
      <c r="AS5" s="40">
        <f t="shared" si="17"/>
        <v>14.4</v>
      </c>
      <c r="AT5" s="40">
        <f t="shared" si="18"/>
        <v>50.8</v>
      </c>
      <c r="AU5" s="40">
        <f t="shared" si="19"/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 t="shared" si="20"/>
        <v>14.600000000000001</v>
      </c>
      <c r="BR5" s="11">
        <f t="shared" si="21"/>
        <v>50.6</v>
      </c>
      <c r="BS5" s="11" t="str">
        <f t="shared" si="22"/>
        <v/>
      </c>
      <c r="BT5" s="11">
        <f t="shared" si="23"/>
        <v>14.600000000000001</v>
      </c>
      <c r="BU5" s="11">
        <f t="shared" si="24"/>
        <v>50.6</v>
      </c>
      <c r="BV5" s="11">
        <f t="shared" si="25"/>
        <v>16.200000000000003</v>
      </c>
      <c r="BW5" s="11">
        <f t="shared" si="26"/>
        <v>53.5</v>
      </c>
      <c r="BX5" s="11">
        <f t="shared" si="27"/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 t="shared" si="28"/>
        <v>14.4</v>
      </c>
      <c r="CU5" s="40">
        <f t="shared" si="29"/>
        <v>51.6</v>
      </c>
      <c r="CV5" s="40" t="str">
        <f t="shared" si="30"/>
        <v/>
      </c>
      <c r="CW5" s="40">
        <f t="shared" si="31"/>
        <v>14.4</v>
      </c>
      <c r="CX5" s="40">
        <f t="shared" si="32"/>
        <v>51.6</v>
      </c>
      <c r="CY5" s="40">
        <f t="shared" si="33"/>
        <v>12.8</v>
      </c>
      <c r="CZ5" s="40">
        <f t="shared" si="34"/>
        <v>46.599999999999994</v>
      </c>
      <c r="DA5" s="40">
        <f t="shared" si="35"/>
        <v>98.199999999999989</v>
      </c>
      <c r="DB5" s="51">
        <f t="shared" si="36"/>
        <v>0.89999999999999147</v>
      </c>
      <c r="DC5" s="51" t="str">
        <f t="shared" si="37"/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16.200000000000003</v>
      </c>
      <c r="DY5" s="40">
        <f t="shared" si="39"/>
        <v>52.499999999999993</v>
      </c>
      <c r="DZ5" s="40">
        <f t="shared" si="40"/>
        <v>21.1</v>
      </c>
      <c r="EA5" s="40">
        <f t="shared" si="41"/>
        <v>20.700000000000003</v>
      </c>
      <c r="EB5" s="40">
        <f t="shared" si="42"/>
        <v>73.599999999999994</v>
      </c>
      <c r="EC5" s="40" t="str">
        <f t="shared" si="43"/>
        <v/>
      </c>
      <c r="ED5" s="40" t="str">
        <f t="shared" si="44"/>
        <v/>
      </c>
      <c r="EE5" s="40">
        <f t="shared" si="45"/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17.850000000000001</v>
      </c>
      <c r="TI5" s="26">
        <f t="shared" si="159"/>
        <v>6.6</v>
      </c>
      <c r="TJ5" s="26">
        <f t="shared" si="160"/>
        <v>0</v>
      </c>
      <c r="TK5" s="26">
        <f t="shared" si="161"/>
        <v>0</v>
      </c>
      <c r="TL5" s="26">
        <f t="shared" si="162"/>
        <v>18.75</v>
      </c>
      <c r="TM5" s="26">
        <f t="shared" si="163"/>
        <v>7.9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17.450000000000003</v>
      </c>
      <c r="TU5" s="26">
        <f t="shared" si="171"/>
        <v>6.4</v>
      </c>
      <c r="TV5" s="26">
        <f t="shared" si="172"/>
        <v>0</v>
      </c>
      <c r="TW5" s="26">
        <f t="shared" si="173"/>
        <v>0</v>
      </c>
      <c r="TX5" s="26">
        <f t="shared" si="174"/>
        <v>18.100000000000001</v>
      </c>
      <c r="TY5" s="26">
        <f t="shared" si="175"/>
        <v>8.1000000000000014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14.5</v>
      </c>
      <c r="UD5" s="11">
        <f t="shared" si="179"/>
        <v>51.1</v>
      </c>
      <c r="UE5" s="11" t="str">
        <f t="shared" si="180"/>
        <v/>
      </c>
      <c r="UF5" s="11">
        <f t="shared" si="181"/>
        <v>14.5</v>
      </c>
      <c r="UG5" s="11">
        <f t="shared" si="182"/>
        <v>51.1</v>
      </c>
      <c r="UH5" s="11">
        <f t="shared" si="183"/>
        <v>14.500000000000002</v>
      </c>
      <c r="UI5" s="11">
        <f t="shared" si="184"/>
        <v>50.050000000000004</v>
      </c>
      <c r="UJ5" s="11">
        <f t="shared" si="185"/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150</v>
      </c>
      <c r="C6" s="4" t="s">
        <v>135</v>
      </c>
      <c r="D6" s="4">
        <v>2005</v>
      </c>
      <c r="E6" s="9">
        <f t="shared" si="0"/>
        <v>143.00000950000484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48.3</v>
      </c>
      <c r="K6" s="8" t="str">
        <f t="shared" si="5"/>
        <v>2025 Elite Canada</v>
      </c>
      <c r="L6" s="8">
        <f>IF(COUNT(AO6,BR6,CU6)&gt;1,LARGE((AO6,BR6,CU6),2),0)</f>
        <v>46.7</v>
      </c>
      <c r="M6" s="8" t="str">
        <f t="shared" si="6"/>
        <v>2024 3rd Domestic Trial</v>
      </c>
      <c r="N6" s="8">
        <f t="shared" si="7"/>
        <v>46.800000000000004</v>
      </c>
      <c r="O6" s="8" t="str">
        <f t="shared" si="8"/>
        <v>2025 Nationals</v>
      </c>
      <c r="P6" s="8">
        <f t="shared" si="9"/>
        <v>1.1999999999999886</v>
      </c>
      <c r="Q6" s="11" t="str">
        <f t="shared" si="10"/>
        <v>(Q1)</v>
      </c>
      <c r="R6" s="8" t="str">
        <f t="shared" si="11"/>
        <v>2025 World Cup POR (July 6)</v>
      </c>
      <c r="S6" s="19">
        <v>17.5</v>
      </c>
      <c r="T6" s="19">
        <v>6.3</v>
      </c>
      <c r="U6" s="19">
        <v>0</v>
      </c>
      <c r="V6" s="19"/>
      <c r="W6" s="19">
        <v>17.600000000000001</v>
      </c>
      <c r="X6" s="19">
        <v>5.3</v>
      </c>
      <c r="Y6" s="19">
        <v>0</v>
      </c>
      <c r="Z6" s="19"/>
      <c r="AA6" s="19">
        <v>17.3</v>
      </c>
      <c r="AB6" s="19">
        <v>6.3</v>
      </c>
      <c r="AC6" s="19">
        <v>0</v>
      </c>
      <c r="AD6" s="19"/>
      <c r="AE6" s="19">
        <v>15.2</v>
      </c>
      <c r="AF6" s="19">
        <v>3.1</v>
      </c>
      <c r="AG6" s="19">
        <v>0.3</v>
      </c>
      <c r="AH6" s="19"/>
      <c r="AI6" s="19">
        <v>17</v>
      </c>
      <c r="AJ6" s="19">
        <v>6.1</v>
      </c>
      <c r="AK6" s="19">
        <v>0</v>
      </c>
      <c r="AL6" s="19"/>
      <c r="AM6" s="27"/>
      <c r="AN6" s="40">
        <f t="shared" si="12"/>
        <v>11.6</v>
      </c>
      <c r="AO6" s="40">
        <f t="shared" si="13"/>
        <v>46.7</v>
      </c>
      <c r="AP6" s="40">
        <f t="shared" si="14"/>
        <v>23.6</v>
      </c>
      <c r="AQ6" s="40">
        <f t="shared" si="15"/>
        <v>17.899999999999999</v>
      </c>
      <c r="AR6" s="40">
        <f t="shared" si="16"/>
        <v>70.300000000000011</v>
      </c>
      <c r="AS6" s="40">
        <f t="shared" si="17"/>
        <v>9.1999999999999993</v>
      </c>
      <c r="AT6" s="40">
        <f t="shared" si="18"/>
        <v>41.1</v>
      </c>
      <c r="AU6" s="40">
        <f t="shared" si="19"/>
        <v>111.4</v>
      </c>
      <c r="AV6" s="18">
        <v>18.3</v>
      </c>
      <c r="AW6" s="18">
        <v>6.5</v>
      </c>
      <c r="AX6" s="18">
        <v>0</v>
      </c>
      <c r="AY6" s="18">
        <v>0</v>
      </c>
      <c r="AZ6" s="18">
        <v>18</v>
      </c>
      <c r="BA6" s="18">
        <v>5.5</v>
      </c>
      <c r="BB6" s="18">
        <v>0</v>
      </c>
      <c r="BC6" s="18">
        <v>0</v>
      </c>
      <c r="BD6" s="18"/>
      <c r="BE6" s="18"/>
      <c r="BF6" s="18"/>
      <c r="BG6" s="18"/>
      <c r="BH6" s="18">
        <v>16.600000000000001</v>
      </c>
      <c r="BI6" s="18">
        <v>3.3</v>
      </c>
      <c r="BJ6" s="18">
        <v>0</v>
      </c>
      <c r="BK6" s="18">
        <v>0</v>
      </c>
      <c r="BL6" s="18">
        <v>14.9</v>
      </c>
      <c r="BM6" s="18">
        <v>6.1</v>
      </c>
      <c r="BN6" s="18">
        <v>0.2</v>
      </c>
      <c r="BO6" s="18">
        <v>0</v>
      </c>
      <c r="BP6" s="28"/>
      <c r="BQ6" s="11">
        <f t="shared" si="20"/>
        <v>12</v>
      </c>
      <c r="BR6" s="11">
        <f t="shared" si="21"/>
        <v>48.3</v>
      </c>
      <c r="BS6" s="11" t="str">
        <f t="shared" si="22"/>
        <v/>
      </c>
      <c r="BT6" s="11">
        <f t="shared" si="23"/>
        <v>12</v>
      </c>
      <c r="BU6" s="11">
        <f t="shared" si="24"/>
        <v>48.3</v>
      </c>
      <c r="BV6" s="11">
        <f t="shared" si="25"/>
        <v>9.3999999999999986</v>
      </c>
      <c r="BW6" s="11">
        <f t="shared" si="26"/>
        <v>40.700000000000003</v>
      </c>
      <c r="BX6" s="11">
        <f t="shared" si="27"/>
        <v>89</v>
      </c>
      <c r="BY6" s="19">
        <v>13.7</v>
      </c>
      <c r="BZ6" s="19">
        <v>5.0999999999999996</v>
      </c>
      <c r="CA6" s="19">
        <v>2.4</v>
      </c>
      <c r="CB6" s="19">
        <v>0</v>
      </c>
      <c r="CC6" s="19">
        <v>15.1</v>
      </c>
      <c r="CD6" s="19">
        <v>6.5</v>
      </c>
      <c r="CE6" s="19">
        <v>0.2</v>
      </c>
      <c r="CF6" s="19">
        <v>0</v>
      </c>
      <c r="CG6" s="19"/>
      <c r="CH6" s="19"/>
      <c r="CI6" s="19"/>
      <c r="CJ6" s="19"/>
      <c r="CK6" s="19">
        <v>18.3</v>
      </c>
      <c r="CL6" s="19">
        <v>6.5</v>
      </c>
      <c r="CM6" s="19">
        <v>0</v>
      </c>
      <c r="CN6" s="19">
        <v>0</v>
      </c>
      <c r="CO6" s="19">
        <v>16.899999999999999</v>
      </c>
      <c r="CP6" s="19">
        <v>5.0999999999999996</v>
      </c>
      <c r="CQ6" s="19">
        <v>0</v>
      </c>
      <c r="CR6" s="19">
        <v>0</v>
      </c>
      <c r="CS6" s="27"/>
      <c r="CT6" s="40">
        <f t="shared" si="28"/>
        <v>11.6</v>
      </c>
      <c r="CU6" s="40">
        <f t="shared" si="29"/>
        <v>37.799999999999997</v>
      </c>
      <c r="CV6" s="40" t="str">
        <f t="shared" si="30"/>
        <v/>
      </c>
      <c r="CW6" s="40">
        <f t="shared" si="31"/>
        <v>11.6</v>
      </c>
      <c r="CX6" s="40">
        <f t="shared" si="32"/>
        <v>37.799999999999997</v>
      </c>
      <c r="CY6" s="40">
        <f t="shared" si="33"/>
        <v>11.6</v>
      </c>
      <c r="CZ6" s="40">
        <f t="shared" si="34"/>
        <v>46.800000000000004</v>
      </c>
      <c r="DA6" s="40">
        <f t="shared" si="35"/>
        <v>84.6</v>
      </c>
      <c r="DB6" s="51">
        <f t="shared" si="36"/>
        <v>1.1999999999999886</v>
      </c>
      <c r="DC6" s="51" t="str">
        <f t="shared" si="37"/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13.2</v>
      </c>
      <c r="DY6" s="40">
        <f t="shared" si="39"/>
        <v>47.899999999999991</v>
      </c>
      <c r="DZ6" s="40" t="str">
        <f t="shared" si="40"/>
        <v/>
      </c>
      <c r="EA6" s="40">
        <f t="shared" si="41"/>
        <v>13.2</v>
      </c>
      <c r="EB6" s="40">
        <f t="shared" si="42"/>
        <v>47.899999999999991</v>
      </c>
      <c r="EC6" s="40" t="str">
        <f t="shared" si="43"/>
        <v/>
      </c>
      <c r="ED6" s="40" t="str">
        <f t="shared" si="44"/>
        <v/>
      </c>
      <c r="EE6" s="40">
        <f t="shared" si="45"/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16</v>
      </c>
      <c r="TI6" s="26">
        <f t="shared" si="159"/>
        <v>5.8</v>
      </c>
      <c r="TJ6" s="26">
        <f t="shared" si="160"/>
        <v>1.2</v>
      </c>
      <c r="TK6" s="26">
        <f t="shared" si="161"/>
        <v>0</v>
      </c>
      <c r="TL6" s="26">
        <f t="shared" si="162"/>
        <v>16.55</v>
      </c>
      <c r="TM6" s="26">
        <f t="shared" si="163"/>
        <v>6</v>
      </c>
      <c r="TN6" s="26">
        <f t="shared" si="164"/>
        <v>0.1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17.450000000000003</v>
      </c>
      <c r="TU6" s="26">
        <f t="shared" si="171"/>
        <v>4.9000000000000004</v>
      </c>
      <c r="TV6" s="26">
        <f t="shared" si="172"/>
        <v>0</v>
      </c>
      <c r="TW6" s="26">
        <f t="shared" si="173"/>
        <v>0</v>
      </c>
      <c r="TX6" s="26">
        <f t="shared" si="174"/>
        <v>15.899999999999999</v>
      </c>
      <c r="TY6" s="26">
        <f t="shared" si="175"/>
        <v>5.6</v>
      </c>
      <c r="TZ6" s="26">
        <f t="shared" si="176"/>
        <v>0.1</v>
      </c>
      <c r="UA6" s="26">
        <f t="shared" si="177"/>
        <v>0</v>
      </c>
      <c r="UB6" s="28" t="s">
        <v>53</v>
      </c>
      <c r="UC6" s="11">
        <f t="shared" si="178"/>
        <v>11.8</v>
      </c>
      <c r="UD6" s="11">
        <f t="shared" si="179"/>
        <v>43.05</v>
      </c>
      <c r="UE6" s="11" t="str">
        <f t="shared" si="180"/>
        <v/>
      </c>
      <c r="UF6" s="11">
        <f t="shared" si="181"/>
        <v>11.8</v>
      </c>
      <c r="UG6" s="11">
        <f t="shared" si="182"/>
        <v>43.05</v>
      </c>
      <c r="UH6" s="11">
        <f t="shared" si="183"/>
        <v>10.5</v>
      </c>
      <c r="UI6" s="11">
        <f t="shared" si="184"/>
        <v>43.75</v>
      </c>
      <c r="UJ6" s="11">
        <f t="shared" si="185"/>
        <v>86.8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78</v>
      </c>
      <c r="C7" s="4" t="s">
        <v>5</v>
      </c>
      <c r="D7" s="4">
        <v>2002</v>
      </c>
      <c r="E7" s="9">
        <f t="shared" si="0"/>
        <v>143.0000094300047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47.199999999999996</v>
      </c>
      <c r="K7" s="8" t="str">
        <f t="shared" si="5"/>
        <v>2025 Elite Canada</v>
      </c>
      <c r="L7" s="8">
        <f>IF(COUNT(AO7,BR7,CU7)&gt;1,LARGE((AO7,BR7,CU7),2),0)</f>
        <v>47.099999999999994</v>
      </c>
      <c r="M7" s="8" t="str">
        <f t="shared" si="6"/>
        <v>2024 3rd Domestic Trial</v>
      </c>
      <c r="N7" s="8">
        <f t="shared" si="7"/>
        <v>48.699999999999996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17.3</v>
      </c>
      <c r="T7" s="19">
        <v>5.5</v>
      </c>
      <c r="U7" s="19">
        <v>0.2</v>
      </c>
      <c r="V7" s="19">
        <v>0</v>
      </c>
      <c r="W7" s="19">
        <v>17.399999999999999</v>
      </c>
      <c r="X7" s="19">
        <v>7.3</v>
      </c>
      <c r="Y7" s="19">
        <v>0.2</v>
      </c>
      <c r="Z7" s="19">
        <v>0</v>
      </c>
      <c r="AA7" s="19">
        <v>17.5</v>
      </c>
      <c r="AB7" s="19">
        <v>5.5</v>
      </c>
      <c r="AC7" s="19">
        <v>0</v>
      </c>
      <c r="AD7" s="19">
        <v>0</v>
      </c>
      <c r="AE7" s="19">
        <v>17.3</v>
      </c>
      <c r="AF7" s="19">
        <v>5.9</v>
      </c>
      <c r="AG7" s="19">
        <v>0</v>
      </c>
      <c r="AH7" s="19">
        <v>0</v>
      </c>
      <c r="AI7" s="19">
        <v>17.2</v>
      </c>
      <c r="AJ7" s="19">
        <v>5.9</v>
      </c>
      <c r="AK7" s="19">
        <v>0</v>
      </c>
      <c r="AL7" s="19">
        <v>0</v>
      </c>
      <c r="AM7" s="27"/>
      <c r="AN7" s="40">
        <f t="shared" si="12"/>
        <v>12.8</v>
      </c>
      <c r="AO7" s="40">
        <f t="shared" si="13"/>
        <v>47.099999999999994</v>
      </c>
      <c r="AP7" s="40">
        <f t="shared" si="14"/>
        <v>23</v>
      </c>
      <c r="AQ7" s="40">
        <f t="shared" si="15"/>
        <v>18.3</v>
      </c>
      <c r="AR7" s="40">
        <f t="shared" si="16"/>
        <v>70.099999999999994</v>
      </c>
      <c r="AS7" s="40">
        <f t="shared" si="17"/>
        <v>11.8</v>
      </c>
      <c r="AT7" s="40">
        <f t="shared" si="18"/>
        <v>46.300000000000004</v>
      </c>
      <c r="AU7" s="40">
        <f t="shared" si="19"/>
        <v>116.4</v>
      </c>
      <c r="AV7" s="18">
        <v>18.2</v>
      </c>
      <c r="AW7" s="18">
        <v>6.1</v>
      </c>
      <c r="AX7" s="18">
        <v>0</v>
      </c>
      <c r="AY7" s="18">
        <v>0</v>
      </c>
      <c r="AZ7" s="18">
        <v>17</v>
      </c>
      <c r="BA7" s="18">
        <v>5.9</v>
      </c>
      <c r="BB7" s="18">
        <v>0</v>
      </c>
      <c r="BC7" s="18">
        <v>0</v>
      </c>
      <c r="BD7" s="18"/>
      <c r="BE7" s="18"/>
      <c r="BF7" s="18"/>
      <c r="BG7" s="18"/>
      <c r="BH7" s="18">
        <v>17.8</v>
      </c>
      <c r="BI7" s="18">
        <v>6.1</v>
      </c>
      <c r="BJ7" s="18">
        <v>0</v>
      </c>
      <c r="BK7" s="18">
        <v>0</v>
      </c>
      <c r="BL7" s="18">
        <v>16.3</v>
      </c>
      <c r="BM7" s="18">
        <v>5.9</v>
      </c>
      <c r="BN7" s="18">
        <v>0</v>
      </c>
      <c r="BO7" s="18">
        <v>0</v>
      </c>
      <c r="BP7" s="28"/>
      <c r="BQ7" s="11">
        <f t="shared" si="20"/>
        <v>12</v>
      </c>
      <c r="BR7" s="11">
        <f t="shared" si="21"/>
        <v>47.199999999999996</v>
      </c>
      <c r="BS7" s="11" t="str">
        <f t="shared" si="22"/>
        <v/>
      </c>
      <c r="BT7" s="11">
        <f t="shared" si="23"/>
        <v>12</v>
      </c>
      <c r="BU7" s="11">
        <f t="shared" si="24"/>
        <v>47.199999999999996</v>
      </c>
      <c r="BV7" s="11">
        <f t="shared" si="25"/>
        <v>12</v>
      </c>
      <c r="BW7" s="11">
        <f t="shared" si="26"/>
        <v>46.1</v>
      </c>
      <c r="BX7" s="11">
        <f t="shared" si="27"/>
        <v>93.3</v>
      </c>
      <c r="BY7" s="19">
        <v>15.6</v>
      </c>
      <c r="BZ7" s="19">
        <v>3.3</v>
      </c>
      <c r="CA7" s="19">
        <v>0</v>
      </c>
      <c r="CB7" s="19">
        <v>0</v>
      </c>
      <c r="CC7" s="19">
        <v>16.3</v>
      </c>
      <c r="CD7" s="19">
        <v>6.1</v>
      </c>
      <c r="CE7" s="19">
        <v>0.2</v>
      </c>
      <c r="CF7" s="19">
        <v>0</v>
      </c>
      <c r="CG7" s="19"/>
      <c r="CH7" s="19"/>
      <c r="CI7" s="19"/>
      <c r="CJ7" s="19"/>
      <c r="CK7" s="19">
        <v>18.100000000000001</v>
      </c>
      <c r="CL7" s="19">
        <v>6.5</v>
      </c>
      <c r="CM7" s="19">
        <v>0.2</v>
      </c>
      <c r="CN7" s="19">
        <v>0</v>
      </c>
      <c r="CO7" s="19">
        <v>18.2</v>
      </c>
      <c r="CP7" s="19">
        <v>6.1</v>
      </c>
      <c r="CQ7" s="19">
        <v>0</v>
      </c>
      <c r="CR7" s="19">
        <v>0</v>
      </c>
      <c r="CS7" s="27"/>
      <c r="CT7" s="40">
        <f t="shared" si="28"/>
        <v>9.3999999999999986</v>
      </c>
      <c r="CU7" s="40">
        <f t="shared" si="29"/>
        <v>41.1</v>
      </c>
      <c r="CV7" s="40" t="str">
        <f t="shared" si="30"/>
        <v/>
      </c>
      <c r="CW7" s="40">
        <f t="shared" si="31"/>
        <v>9.3999999999999986</v>
      </c>
      <c r="CX7" s="40">
        <f t="shared" si="32"/>
        <v>41.1</v>
      </c>
      <c r="CY7" s="40">
        <f t="shared" si="33"/>
        <v>12.6</v>
      </c>
      <c r="CZ7" s="40">
        <f t="shared" si="34"/>
        <v>48.699999999999996</v>
      </c>
      <c r="DA7" s="40">
        <f t="shared" si="35"/>
        <v>89.8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16.899999999999999</v>
      </c>
      <c r="TI7" s="26">
        <f t="shared" si="159"/>
        <v>4.6999999999999993</v>
      </c>
      <c r="TJ7" s="26">
        <f t="shared" si="160"/>
        <v>0</v>
      </c>
      <c r="TK7" s="26">
        <f t="shared" si="161"/>
        <v>0</v>
      </c>
      <c r="TL7" s="26">
        <f t="shared" si="162"/>
        <v>16.649999999999999</v>
      </c>
      <c r="TM7" s="26">
        <f t="shared" si="163"/>
        <v>6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17.950000000000003</v>
      </c>
      <c r="TU7" s="26">
        <f t="shared" si="171"/>
        <v>6.3</v>
      </c>
      <c r="TV7" s="26">
        <f t="shared" si="172"/>
        <v>0.1</v>
      </c>
      <c r="TW7" s="26">
        <f t="shared" si="173"/>
        <v>0</v>
      </c>
      <c r="TX7" s="26">
        <f t="shared" si="174"/>
        <v>17.25</v>
      </c>
      <c r="TY7" s="26">
        <f t="shared" si="175"/>
        <v>6</v>
      </c>
      <c r="TZ7" s="26">
        <f t="shared" si="176"/>
        <v>0</v>
      </c>
      <c r="UA7" s="26">
        <f t="shared" si="177"/>
        <v>0</v>
      </c>
      <c r="UB7" s="28" t="s">
        <v>53</v>
      </c>
      <c r="UC7" s="11">
        <f t="shared" si="178"/>
        <v>10.7</v>
      </c>
      <c r="UD7" s="11">
        <f t="shared" si="179"/>
        <v>44.15</v>
      </c>
      <c r="UE7" s="11" t="str">
        <f t="shared" si="180"/>
        <v/>
      </c>
      <c r="UF7" s="11">
        <f t="shared" si="181"/>
        <v>10.7</v>
      </c>
      <c r="UG7" s="11">
        <f t="shared" si="182"/>
        <v>44.15</v>
      </c>
      <c r="UH7" s="11">
        <f t="shared" si="183"/>
        <v>12.3</v>
      </c>
      <c r="UI7" s="11">
        <f t="shared" si="184"/>
        <v>47.4</v>
      </c>
      <c r="UJ7" s="11">
        <f t="shared" si="185"/>
        <v>91.55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 t="shared" si="0"/>
        <v>141.40000926000491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48.8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 t="shared" si="12"/>
        <v>10.100000000000001</v>
      </c>
      <c r="AO8" s="40">
        <f t="shared" si="13"/>
        <v>37.9</v>
      </c>
      <c r="AP8" s="40">
        <f t="shared" si="14"/>
        <v>23.6</v>
      </c>
      <c r="AQ8" s="40">
        <f t="shared" si="15"/>
        <v>17</v>
      </c>
      <c r="AR8" s="40">
        <f t="shared" si="16"/>
        <v>61.5</v>
      </c>
      <c r="AS8" s="40">
        <f t="shared" si="17"/>
        <v>13.4</v>
      </c>
      <c r="AT8" s="40">
        <f t="shared" si="18"/>
        <v>48.8</v>
      </c>
      <c r="AU8" s="40">
        <f t="shared" si="19"/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 t="shared" si="20"/>
        <v>13</v>
      </c>
      <c r="BR8" s="11">
        <f t="shared" si="21"/>
        <v>49.1</v>
      </c>
      <c r="BS8" s="11" t="str">
        <f t="shared" si="22"/>
        <v/>
      </c>
      <c r="BT8" s="11">
        <f t="shared" si="23"/>
        <v>13</v>
      </c>
      <c r="BU8" s="11">
        <f t="shared" si="24"/>
        <v>49.1</v>
      </c>
      <c r="BV8" s="11">
        <f t="shared" si="25"/>
        <v>9.1000000000000014</v>
      </c>
      <c r="BW8" s="11">
        <f t="shared" si="26"/>
        <v>41.1</v>
      </c>
      <c r="BX8" s="11">
        <f t="shared" si="27"/>
        <v>90.2</v>
      </c>
      <c r="BY8" s="19">
        <f t="shared" ref="BY8:CF8" si="186">(AV8+S8)/2</f>
        <v>17.850000000000001</v>
      </c>
      <c r="BZ8" s="19">
        <f t="shared" si="186"/>
        <v>6.9</v>
      </c>
      <c r="CA8" s="19">
        <f t="shared" si="186"/>
        <v>0</v>
      </c>
      <c r="CB8" s="19">
        <f t="shared" si="186"/>
        <v>0</v>
      </c>
      <c r="CC8" s="19">
        <f t="shared" si="186"/>
        <v>14.100000000000001</v>
      </c>
      <c r="CD8" s="19">
        <f t="shared" si="186"/>
        <v>4.6500000000000004</v>
      </c>
      <c r="CE8" s="19">
        <f t="shared" si="186"/>
        <v>0</v>
      </c>
      <c r="CF8" s="19">
        <f t="shared" si="186"/>
        <v>0</v>
      </c>
      <c r="CG8" s="19"/>
      <c r="CH8" s="19"/>
      <c r="CI8" s="19"/>
      <c r="CJ8" s="19"/>
      <c r="CK8" s="19">
        <f t="shared" ref="CK8:CR8" si="187">(BH8+AE8)/2</f>
        <v>16.350000000000001</v>
      </c>
      <c r="CL8" s="19">
        <f t="shared" si="187"/>
        <v>5.0500000000000007</v>
      </c>
      <c r="CM8" s="19">
        <f t="shared" si="187"/>
        <v>0</v>
      </c>
      <c r="CN8" s="19">
        <f t="shared" si="187"/>
        <v>0</v>
      </c>
      <c r="CO8" s="19">
        <f t="shared" si="187"/>
        <v>17.350000000000001</v>
      </c>
      <c r="CP8" s="19">
        <f t="shared" si="187"/>
        <v>6.2</v>
      </c>
      <c r="CQ8" s="19">
        <f t="shared" si="187"/>
        <v>0</v>
      </c>
      <c r="CR8" s="19">
        <f t="shared" si="187"/>
        <v>0</v>
      </c>
      <c r="CS8" s="27" t="s">
        <v>53</v>
      </c>
      <c r="CT8" s="40">
        <f t="shared" si="28"/>
        <v>11.55</v>
      </c>
      <c r="CU8" s="40">
        <f t="shared" si="29"/>
        <v>43.5</v>
      </c>
      <c r="CV8" s="40" t="str">
        <f t="shared" si="30"/>
        <v/>
      </c>
      <c r="CW8" s="40">
        <f t="shared" si="31"/>
        <v>11.55</v>
      </c>
      <c r="CX8" s="40">
        <f t="shared" si="32"/>
        <v>43.5</v>
      </c>
      <c r="CY8" s="40">
        <f t="shared" si="33"/>
        <v>11.25</v>
      </c>
      <c r="CZ8" s="40">
        <f t="shared" si="34"/>
        <v>44.95</v>
      </c>
      <c r="DA8" s="40">
        <f t="shared" si="35"/>
        <v>88.45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17.850000000000001</v>
      </c>
      <c r="TI8" s="26">
        <f t="shared" si="159"/>
        <v>6.9</v>
      </c>
      <c r="TJ8" s="26">
        <f t="shared" si="160"/>
        <v>0</v>
      </c>
      <c r="TK8" s="26">
        <f t="shared" si="161"/>
        <v>0</v>
      </c>
      <c r="TL8" s="26">
        <f t="shared" si="162"/>
        <v>14.100000000000001</v>
      </c>
      <c r="TM8" s="26">
        <f t="shared" si="163"/>
        <v>4.6500000000000004</v>
      </c>
      <c r="TN8" s="26">
        <f t="shared" si="164"/>
        <v>0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16.350000000000001</v>
      </c>
      <c r="TU8" s="26">
        <f t="shared" si="171"/>
        <v>5.0500000000000007</v>
      </c>
      <c r="TV8" s="26">
        <f t="shared" si="172"/>
        <v>0</v>
      </c>
      <c r="TW8" s="26">
        <f t="shared" si="173"/>
        <v>0</v>
      </c>
      <c r="TX8" s="26">
        <f t="shared" si="174"/>
        <v>17.350000000000001</v>
      </c>
      <c r="TY8" s="26">
        <f t="shared" si="175"/>
        <v>6.2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11.55</v>
      </c>
      <c r="UD8" s="11">
        <f t="shared" si="179"/>
        <v>43.5</v>
      </c>
      <c r="UE8" s="11" t="str">
        <f t="shared" si="180"/>
        <v/>
      </c>
      <c r="UF8" s="11">
        <f t="shared" si="181"/>
        <v>11.55</v>
      </c>
      <c r="UG8" s="11">
        <f t="shared" si="182"/>
        <v>43.5</v>
      </c>
      <c r="UH8" s="11">
        <f t="shared" si="183"/>
        <v>11.25</v>
      </c>
      <c r="UI8" s="11">
        <f t="shared" si="184"/>
        <v>44.95</v>
      </c>
      <c r="UJ8" s="11">
        <f t="shared" si="185"/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143</v>
      </c>
      <c r="C9" s="4" t="s">
        <v>7</v>
      </c>
      <c r="D9" s="4">
        <v>2006</v>
      </c>
      <c r="E9" s="9">
        <f t="shared" si="0"/>
        <v>136.00000890000464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42.6</v>
      </c>
      <c r="M9" s="8" t="str">
        <f t="shared" si="6"/>
        <v>2025 Nationals</v>
      </c>
      <c r="N9" s="8">
        <f t="shared" si="7"/>
        <v>47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 t="shared" si="12"/>
        <v>7.6</v>
      </c>
      <c r="AO9" s="40">
        <f t="shared" si="13"/>
        <v>37.6</v>
      </c>
      <c r="AP9" s="40">
        <f t="shared" si="14"/>
        <v>22.099999999999998</v>
      </c>
      <c r="AQ9" s="40">
        <f t="shared" si="15"/>
        <v>12.8</v>
      </c>
      <c r="AR9" s="40">
        <f t="shared" si="16"/>
        <v>59.7</v>
      </c>
      <c r="AS9" s="40">
        <f t="shared" si="17"/>
        <v>10.199999999999999</v>
      </c>
      <c r="AT9" s="40">
        <f t="shared" si="18"/>
        <v>43.8</v>
      </c>
      <c r="AU9" s="40">
        <f t="shared" si="19"/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 t="shared" si="20"/>
        <v>11.7</v>
      </c>
      <c r="BR9" s="11">
        <f t="shared" si="21"/>
        <v>46.4</v>
      </c>
      <c r="BS9" s="11" t="str">
        <f t="shared" si="22"/>
        <v/>
      </c>
      <c r="BT9" s="11">
        <f t="shared" si="23"/>
        <v>11.7</v>
      </c>
      <c r="BU9" s="11">
        <f t="shared" si="24"/>
        <v>46.4</v>
      </c>
      <c r="BV9" s="11">
        <f t="shared" si="25"/>
        <v>11.5</v>
      </c>
      <c r="BW9" s="11">
        <f t="shared" si="26"/>
        <v>47</v>
      </c>
      <c r="BX9" s="11">
        <f t="shared" si="27"/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 t="shared" si="28"/>
        <v>11.3</v>
      </c>
      <c r="CU9" s="40">
        <f t="shared" si="29"/>
        <v>42.6</v>
      </c>
      <c r="CV9" s="40" t="str">
        <f t="shared" si="30"/>
        <v/>
      </c>
      <c r="CW9" s="40">
        <f t="shared" si="31"/>
        <v>11.3</v>
      </c>
      <c r="CX9" s="40">
        <f t="shared" si="32"/>
        <v>42.6</v>
      </c>
      <c r="CY9" s="40">
        <f t="shared" si="33"/>
        <v>8.5</v>
      </c>
      <c r="CZ9" s="40">
        <f t="shared" si="34"/>
        <v>41.7</v>
      </c>
      <c r="DA9" s="40">
        <f t="shared" si="35"/>
        <v>84.300000000000011</v>
      </c>
      <c r="DB9" s="51" t="str">
        <f t="shared" si="36"/>
        <v/>
      </c>
      <c r="DC9" s="51" t="str">
        <f t="shared" si="37"/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38"/>
        <v>9.4</v>
      </c>
      <c r="DY9" s="40">
        <f t="shared" si="39"/>
        <v>41.9</v>
      </c>
      <c r="DZ9" s="40" t="str">
        <f t="shared" si="40"/>
        <v/>
      </c>
      <c r="EA9" s="40">
        <f t="shared" si="41"/>
        <v>9.4</v>
      </c>
      <c r="EB9" s="40">
        <f t="shared" si="42"/>
        <v>41.9</v>
      </c>
      <c r="EC9" s="40" t="str">
        <f t="shared" si="43"/>
        <v/>
      </c>
      <c r="ED9" s="40" t="str">
        <f t="shared" si="44"/>
        <v/>
      </c>
      <c r="EE9" s="40">
        <f t="shared" si="45"/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16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17.149999999999999</v>
      </c>
      <c r="TM9" s="26">
        <f t="shared" si="163"/>
        <v>5.5500000000000007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17.45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17.5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11.5</v>
      </c>
      <c r="UD9" s="11">
        <f t="shared" si="179"/>
        <v>44.499999999999993</v>
      </c>
      <c r="UE9" s="11" t="str">
        <f t="shared" si="180"/>
        <v/>
      </c>
      <c r="UF9" s="11">
        <f t="shared" si="181"/>
        <v>11.5</v>
      </c>
      <c r="UG9" s="11">
        <f t="shared" si="182"/>
        <v>44.499999999999993</v>
      </c>
      <c r="UH9" s="11">
        <f t="shared" si="183"/>
        <v>10</v>
      </c>
      <c r="UI9" s="11">
        <f t="shared" si="184"/>
        <v>44.35</v>
      </c>
      <c r="UJ9" s="11">
        <f t="shared" si="185"/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 t="shared" si="0"/>
        <v>73.350007335004889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Nationals</v>
      </c>
      <c r="N10" s="8">
        <f t="shared" si="7"/>
        <v>0</v>
      </c>
      <c r="O10" s="8" t="str">
        <f t="shared" si="8"/>
        <v/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 t="shared" si="12"/>
        <v/>
      </c>
      <c r="AO10" s="40" t="str">
        <f t="shared" si="13"/>
        <v/>
      </c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20"/>
        <v>13.8</v>
      </c>
      <c r="BR10" s="11">
        <f t="shared" si="21"/>
        <v>48.899999999999991</v>
      </c>
      <c r="BS10" s="11" t="str">
        <f t="shared" si="22"/>
        <v/>
      </c>
      <c r="BT10" s="11">
        <f t="shared" si="23"/>
        <v>13.8</v>
      </c>
      <c r="BU10" s="11">
        <f t="shared" si="24"/>
        <v>48.899999999999991</v>
      </c>
      <c r="BV10" s="11" t="str">
        <f t="shared" si="25"/>
        <v/>
      </c>
      <c r="BW10" s="11" t="str">
        <f t="shared" si="26"/>
        <v/>
      </c>
      <c r="BX10" s="11">
        <f t="shared" si="27"/>
        <v>48.899999999999991</v>
      </c>
      <c r="BY10" s="19">
        <f t="shared" ref="BY10:CF10" si="188">(AV10+S10)/2</f>
        <v>8.85</v>
      </c>
      <c r="BZ10" s="19">
        <f t="shared" si="188"/>
        <v>3.25</v>
      </c>
      <c r="CA10" s="19">
        <f t="shared" si="188"/>
        <v>0</v>
      </c>
      <c r="CB10" s="19">
        <f t="shared" si="188"/>
        <v>0</v>
      </c>
      <c r="CC10" s="19">
        <f t="shared" si="188"/>
        <v>8.6999999999999993</v>
      </c>
      <c r="CD10" s="19">
        <f t="shared" si="188"/>
        <v>3.65</v>
      </c>
      <c r="CE10" s="19">
        <f t="shared" si="188"/>
        <v>0</v>
      </c>
      <c r="CF10" s="19">
        <f t="shared" si="188"/>
        <v>0</v>
      </c>
      <c r="CG10" s="19"/>
      <c r="CH10" s="19"/>
      <c r="CI10" s="19"/>
      <c r="CJ10" s="19"/>
      <c r="CK10" s="19">
        <f t="shared" ref="CK10:CR10" si="189">(BH10+AE10)/2</f>
        <v>0</v>
      </c>
      <c r="CL10" s="19">
        <f t="shared" si="189"/>
        <v>0</v>
      </c>
      <c r="CM10" s="19">
        <f t="shared" si="189"/>
        <v>0</v>
      </c>
      <c r="CN10" s="19">
        <f t="shared" si="189"/>
        <v>0</v>
      </c>
      <c r="CO10" s="19">
        <f t="shared" si="189"/>
        <v>0</v>
      </c>
      <c r="CP10" s="19">
        <f t="shared" si="189"/>
        <v>0</v>
      </c>
      <c r="CQ10" s="19">
        <f t="shared" si="189"/>
        <v>0</v>
      </c>
      <c r="CR10" s="19">
        <f t="shared" si="189"/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196</v>
      </c>
      <c r="C11" s="4" t="s">
        <v>5</v>
      </c>
      <c r="D11" s="4">
        <v>2008</v>
      </c>
      <c r="E11" s="9">
        <f t="shared" si="0"/>
        <v>131.50000865000445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 t="shared" si="12"/>
        <v>14</v>
      </c>
      <c r="AO11" s="40">
        <f t="shared" si="13"/>
        <v>41.499999999999993</v>
      </c>
      <c r="AP11" s="40">
        <f t="shared" si="14"/>
        <v>23.9</v>
      </c>
      <c r="AQ11" s="40">
        <f t="shared" si="15"/>
        <v>22.2</v>
      </c>
      <c r="AR11" s="40">
        <f t="shared" si="16"/>
        <v>65.399999999999991</v>
      </c>
      <c r="AS11" s="40">
        <f t="shared" si="17"/>
        <v>14.5</v>
      </c>
      <c r="AT11" s="40">
        <f t="shared" si="18"/>
        <v>44.5</v>
      </c>
      <c r="AU11" s="40">
        <f t="shared" si="19"/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 t="shared" si="20"/>
        <v>12</v>
      </c>
      <c r="BR11" s="11">
        <f t="shared" si="21"/>
        <v>42.199999999999996</v>
      </c>
      <c r="BS11" s="11" t="str">
        <f t="shared" si="22"/>
        <v/>
      </c>
      <c r="BT11" s="11">
        <f t="shared" si="23"/>
        <v>12</v>
      </c>
      <c r="BU11" s="11">
        <f t="shared" si="24"/>
        <v>42.199999999999996</v>
      </c>
      <c r="BV11" s="11">
        <f t="shared" si="25"/>
        <v>9.6999999999999993</v>
      </c>
      <c r="BW11" s="11">
        <f t="shared" si="26"/>
        <v>41.4</v>
      </c>
      <c r="BX11" s="11">
        <f t="shared" si="27"/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 t="shared" si="28"/>
        <v>12.3</v>
      </c>
      <c r="CU11" s="40">
        <f t="shared" si="29"/>
        <v>44.3</v>
      </c>
      <c r="CV11" s="40" t="str">
        <f t="shared" si="30"/>
        <v/>
      </c>
      <c r="CW11" s="40">
        <f t="shared" si="31"/>
        <v>12.3</v>
      </c>
      <c r="CX11" s="40">
        <f t="shared" si="32"/>
        <v>44.3</v>
      </c>
      <c r="CY11" s="40">
        <f t="shared" si="33"/>
        <v>12.5</v>
      </c>
      <c r="CZ11" s="40">
        <f t="shared" si="34"/>
        <v>45</v>
      </c>
      <c r="DA11" s="40">
        <f t="shared" si="35"/>
        <v>89.3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15.85</v>
      </c>
      <c r="TI11" s="26">
        <f t="shared" si="159"/>
        <v>6.15</v>
      </c>
      <c r="TJ11" s="26">
        <f t="shared" si="160"/>
        <v>0.1</v>
      </c>
      <c r="TK11" s="26">
        <f t="shared" si="161"/>
        <v>0</v>
      </c>
      <c r="TL11" s="26">
        <f t="shared" si="162"/>
        <v>15.35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16.399999999999999</v>
      </c>
      <c r="TU11" s="26">
        <f t="shared" si="171"/>
        <v>5.7</v>
      </c>
      <c r="TV11" s="26">
        <f t="shared" si="172"/>
        <v>0</v>
      </c>
      <c r="TW11" s="26">
        <f t="shared" si="173"/>
        <v>0</v>
      </c>
      <c r="TX11" s="26">
        <f t="shared" si="174"/>
        <v>15.7</v>
      </c>
      <c r="TY11" s="26">
        <f t="shared" si="175"/>
        <v>5.4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12.15</v>
      </c>
      <c r="UD11" s="11">
        <f t="shared" si="179"/>
        <v>43.25</v>
      </c>
      <c r="UE11" s="11" t="str">
        <f t="shared" si="180"/>
        <v/>
      </c>
      <c r="UF11" s="11">
        <f t="shared" si="181"/>
        <v>12.15</v>
      </c>
      <c r="UG11" s="11">
        <f t="shared" si="182"/>
        <v>43.25</v>
      </c>
      <c r="UH11" s="11">
        <f t="shared" si="183"/>
        <v>11.100000000000001</v>
      </c>
      <c r="UI11" s="11">
        <f t="shared" si="184"/>
        <v>43.199999999999996</v>
      </c>
      <c r="UJ11" s="11">
        <f t="shared" si="185"/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203</v>
      </c>
      <c r="C12" s="4" t="s">
        <v>3</v>
      </c>
      <c r="D12" s="4">
        <v>2008</v>
      </c>
      <c r="E12" s="9">
        <f t="shared" si="0"/>
        <v>129.90000853000427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42.5</v>
      </c>
      <c r="M12" s="8" t="str">
        <f t="shared" si="6"/>
        <v>2024 3rd Domestic Trial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 t="shared" si="12"/>
        <v>11.2</v>
      </c>
      <c r="AO12" s="40">
        <f t="shared" si="13"/>
        <v>42.5</v>
      </c>
      <c r="AP12" s="40">
        <f t="shared" si="14"/>
        <v>22.5</v>
      </c>
      <c r="AQ12" s="40">
        <f t="shared" si="15"/>
        <v>16.899999999999999</v>
      </c>
      <c r="AR12" s="40">
        <f t="shared" si="16"/>
        <v>65</v>
      </c>
      <c r="AS12" s="40">
        <f t="shared" si="17"/>
        <v>11.4</v>
      </c>
      <c r="AT12" s="40">
        <f t="shared" si="18"/>
        <v>44.599999999999994</v>
      </c>
      <c r="AU12" s="40">
        <f t="shared" si="19"/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 t="shared" si="20"/>
        <v>11.4</v>
      </c>
      <c r="BR12" s="11">
        <f t="shared" si="21"/>
        <v>42.8</v>
      </c>
      <c r="BS12" s="11" t="str">
        <f t="shared" si="22"/>
        <v/>
      </c>
      <c r="BT12" s="11">
        <f t="shared" si="23"/>
        <v>11.4</v>
      </c>
      <c r="BU12" s="11">
        <f t="shared" si="24"/>
        <v>42.8</v>
      </c>
      <c r="BV12" s="11">
        <f t="shared" si="25"/>
        <v>8.6999999999999993</v>
      </c>
      <c r="BW12" s="11">
        <f t="shared" si="26"/>
        <v>38.799999999999997</v>
      </c>
      <c r="BX12" s="11">
        <f t="shared" si="27"/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8.65</v>
      </c>
      <c r="TI12" s="26">
        <f t="shared" si="159"/>
        <v>2.75</v>
      </c>
      <c r="TJ12" s="26">
        <f t="shared" si="160"/>
        <v>0</v>
      </c>
      <c r="TK12" s="26">
        <f t="shared" si="161"/>
        <v>0</v>
      </c>
      <c r="TL12" s="26">
        <f t="shared" si="162"/>
        <v>7.15</v>
      </c>
      <c r="TM12" s="26">
        <f t="shared" si="163"/>
        <v>2.95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7.1</v>
      </c>
      <c r="TU12" s="26">
        <f t="shared" si="171"/>
        <v>1.6</v>
      </c>
      <c r="TV12" s="26">
        <f t="shared" si="172"/>
        <v>0</v>
      </c>
      <c r="TW12" s="26">
        <f t="shared" si="173"/>
        <v>0</v>
      </c>
      <c r="TX12" s="26">
        <f t="shared" si="174"/>
        <v>7.95</v>
      </c>
      <c r="TY12" s="26">
        <f t="shared" si="175"/>
        <v>2.75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5.7</v>
      </c>
      <c r="UD12" s="11">
        <f t="shared" si="179"/>
        <v>21.4</v>
      </c>
      <c r="UE12" s="11" t="str">
        <f t="shared" si="180"/>
        <v/>
      </c>
      <c r="UF12" s="11">
        <f t="shared" si="181"/>
        <v>5.7</v>
      </c>
      <c r="UG12" s="11">
        <f t="shared" si="182"/>
        <v>21.4</v>
      </c>
      <c r="UH12" s="11">
        <f t="shared" si="183"/>
        <v>4.3499999999999996</v>
      </c>
      <c r="UI12" s="11">
        <f t="shared" si="184"/>
        <v>19.399999999999999</v>
      </c>
      <c r="UJ12" s="11">
        <f t="shared" si="185"/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 t="shared" si="0"/>
        <v>36.400003640003639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0</v>
      </c>
      <c r="O13" s="8" t="str">
        <f t="shared" si="8"/>
        <v/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6.6</v>
      </c>
      <c r="BR13" s="11">
        <f t="shared" si="21"/>
        <v>36.4</v>
      </c>
      <c r="BS13" s="11" t="str">
        <f t="shared" si="22"/>
        <v/>
      </c>
      <c r="BT13" s="11">
        <f t="shared" si="23"/>
        <v>6.6</v>
      </c>
      <c r="BU13" s="11">
        <f t="shared" si="24"/>
        <v>36.4</v>
      </c>
      <c r="BV13" s="11" t="str">
        <f t="shared" si="25"/>
        <v/>
      </c>
      <c r="BW13" s="11" t="str">
        <f t="shared" si="26"/>
        <v/>
      </c>
      <c r="BX13" s="11">
        <f t="shared" si="27"/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7.9</v>
      </c>
      <c r="TI13" s="26">
        <f t="shared" si="159"/>
        <v>2.2999999999999998</v>
      </c>
      <c r="TJ13" s="26">
        <f t="shared" si="160"/>
        <v>0.55000000000000004</v>
      </c>
      <c r="TK13" s="26">
        <f t="shared" si="161"/>
        <v>0</v>
      </c>
      <c r="TL13" s="26">
        <f t="shared" si="162"/>
        <v>7.55</v>
      </c>
      <c r="TM13" s="26">
        <f t="shared" si="163"/>
        <v>1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3.3</v>
      </c>
      <c r="UD13" s="11">
        <f t="shared" si="179"/>
        <v>18.2</v>
      </c>
      <c r="UE13" s="11" t="str">
        <f t="shared" si="180"/>
        <v/>
      </c>
      <c r="UF13" s="11">
        <f t="shared" si="181"/>
        <v>3.3</v>
      </c>
      <c r="UG13" s="11">
        <f t="shared" si="182"/>
        <v>18.2</v>
      </c>
      <c r="UH13" s="11" t="str">
        <f t="shared" si="183"/>
        <v/>
      </c>
      <c r="UI13" s="11" t="str">
        <f t="shared" si="184"/>
        <v/>
      </c>
      <c r="UJ13" s="11">
        <f t="shared" si="185"/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12.4</v>
      </c>
      <c r="EZ17" s="4"/>
      <c r="FG17" s="52">
        <v>12.4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0</v>
      </c>
      <c r="EZ18" s="4"/>
      <c r="FG18" s="44">
        <v>0</v>
      </c>
      <c r="GB18" s="4"/>
      <c r="GI18" s="44">
        <v>0</v>
      </c>
      <c r="HD18" s="4"/>
      <c r="HK18" s="44">
        <v>0</v>
      </c>
      <c r="IF18" s="4"/>
      <c r="IM18" s="44">
        <v>0</v>
      </c>
      <c r="JH18" s="4"/>
      <c r="JO18" s="44">
        <v>0</v>
      </c>
      <c r="KJ18" s="4"/>
      <c r="KQ18" s="44">
        <v>0</v>
      </c>
      <c r="LL18" s="4"/>
      <c r="LS18" s="44">
        <v>0</v>
      </c>
      <c r="MN18" s="4"/>
      <c r="MU18" s="44">
        <v>0</v>
      </c>
      <c r="NP18" s="4"/>
      <c r="NW18" s="44">
        <v>0</v>
      </c>
      <c r="OR18" s="4"/>
      <c r="OY18" s="44">
        <v>0</v>
      </c>
      <c r="PT18" s="4"/>
      <c r="QA18" s="44">
        <v>0</v>
      </c>
      <c r="QV18" s="4"/>
      <c r="RC18" s="44">
        <v>0</v>
      </c>
      <c r="RD18"/>
      <c r="RX18" s="4"/>
      <c r="RY18" s="36"/>
      <c r="RZ18" s="36"/>
      <c r="SA18" s="36"/>
      <c r="SB18" s="36"/>
      <c r="SC18" s="36"/>
      <c r="SD18" s="36"/>
      <c r="SE18" s="44">
        <v>0</v>
      </c>
      <c r="SZ18" s="4"/>
      <c r="TA18" s="36"/>
      <c r="TB18" s="36"/>
      <c r="TC18" s="36"/>
      <c r="TD18" s="36"/>
      <c r="TE18" s="36"/>
      <c r="TF18" s="36"/>
      <c r="TG18" s="44">
        <v>0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0</v>
      </c>
      <c r="EZ19" s="4"/>
      <c r="FG19" s="45">
        <v>0</v>
      </c>
      <c r="GB19" s="4"/>
      <c r="GI19" s="45">
        <v>0</v>
      </c>
      <c r="HD19" s="4"/>
      <c r="HK19" s="45">
        <v>0</v>
      </c>
      <c r="IF19" s="4"/>
      <c r="IM19" s="45">
        <v>0</v>
      </c>
      <c r="JH19" s="4"/>
      <c r="JO19" s="45">
        <v>0</v>
      </c>
      <c r="KJ19" s="4"/>
      <c r="KQ19" s="45">
        <v>0</v>
      </c>
      <c r="LL19" s="4"/>
      <c r="LS19" s="45">
        <v>0</v>
      </c>
      <c r="MN19" s="4"/>
      <c r="MU19" s="45">
        <v>0</v>
      </c>
      <c r="NP19" s="4"/>
      <c r="NW19" s="45">
        <v>0</v>
      </c>
      <c r="OR19" s="4"/>
      <c r="OY19" s="45">
        <v>0</v>
      </c>
      <c r="PT19" s="4"/>
      <c r="QA19" s="45">
        <v>0</v>
      </c>
      <c r="QV19" s="4"/>
      <c r="RC19" s="45">
        <v>0</v>
      </c>
      <c r="RD19"/>
      <c r="RX19" s="4"/>
      <c r="RY19" s="36"/>
      <c r="RZ19" s="36"/>
      <c r="SA19" s="36"/>
      <c r="SB19" s="36"/>
      <c r="SC19" s="36"/>
      <c r="SD19" s="36"/>
      <c r="SE19" s="45">
        <v>0</v>
      </c>
      <c r="SZ19" s="4"/>
      <c r="TA19" s="36"/>
      <c r="TB19" s="36"/>
      <c r="TC19" s="36"/>
      <c r="TD19" s="36"/>
      <c r="TE19" s="36"/>
      <c r="TF19" s="36"/>
      <c r="TG19" s="45">
        <v>0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46.6</v>
      </c>
      <c r="EZ20" s="4"/>
      <c r="FG20" s="46">
        <v>46.6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47.6</v>
      </c>
      <c r="EZ21" s="4"/>
      <c r="FG21" s="47">
        <v>47.6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50.2</v>
      </c>
      <c r="EZ22" s="4"/>
      <c r="FG22" s="48">
        <v>50.2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80</v>
      </c>
      <c r="EZ23" s="4"/>
      <c r="FG23" s="49">
        <v>54.7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EE25" s="36" t="s">
        <v>253</v>
      </c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3">
      <sortCondition descending="1" ref="F1:F1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3">
    <cfRule type="expression" dxfId="131" priority="63" stopIfTrue="1">
      <formula>IF($AM4&lt;&gt;"",1,0)</formula>
    </cfRule>
  </conditionalFormatting>
  <conditionalFormatting sqref="AV4:BX13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3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8" priority="50" operator="between">
      <formula>AU$23</formula>
      <formula>1000</formula>
    </cfRule>
    <cfRule type="cellIs" dxfId="117" priority="51" operator="between">
      <formula>AU$22</formula>
      <formula>AU$23</formula>
    </cfRule>
    <cfRule type="cellIs" dxfId="116" priority="58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15" priority="158912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14" priority="158963" operator="between">
      <formula>AU$20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3 RA1:RA23 TE1:TE23">
    <cfRule type="cellIs" dxfId="113" priority="159017" stopIfTrue="1" operator="between">
      <formula>EE$17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12" priority="159218" operator="between">
      <formula>AU$20</formula>
      <formula>AU$21</formula>
    </cfRule>
    <cfRule type="cellIs" dxfId="111" priority="159219" operator="between">
      <formula>AU$21</formula>
      <formula>AU$22</formula>
    </cfRule>
    <cfRule type="cellIs" dxfId="110" priority="159220" operator="between">
      <formula>AU$22</formula>
      <formula>AU$23</formula>
    </cfRule>
    <cfRule type="cellIs" dxfId="109" priority="159221" operator="between">
      <formula>AU$23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3 QY1:QY23 TC1:TC23">
    <cfRule type="cellIs" dxfId="108" priority="159424" operator="between">
      <formula>EE$17</formula>
      <formula>1000</formula>
    </cfRule>
  </conditionalFormatting>
  <conditionalFormatting sqref="AQ1:AQ1048576 BT1:BT1048576 CW1:CW1048576">
    <cfRule type="cellIs" dxfId="107" priority="159422" operator="between">
      <formula>AU$19</formula>
      <formula>1000</formula>
    </cfRule>
    <cfRule type="cellIs" dxfId="106" priority="159423" operator="between">
      <formula>AU$18</formula>
      <formula>AU$19</formula>
    </cfRule>
    <cfRule type="cellIs" dxfId="105" priority="2" operator="between">
      <formula>AU$17</formula>
      <formula>AU$18</formula>
    </cfRule>
  </conditionalFormatting>
  <conditionalFormatting sqref="AS1:AS1048576 BV1:BV1048576 CY1:CY1048576">
    <cfRule type="cellIs" dxfId="104" priority="159014" operator="between">
      <formula>AU$19</formula>
      <formula>1000</formula>
    </cfRule>
    <cfRule type="cellIs" dxfId="103" priority="159016" operator="between">
      <formula>AU$16</formula>
      <formula>AU$17</formula>
    </cfRule>
    <cfRule type="cellIs" dxfId="102" priority="159015" operator="between">
      <formula>AU$18</formula>
      <formula>AU$19</formula>
    </cfRule>
    <cfRule type="cellIs" dxfId="101" priority="1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200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184</v>
      </c>
      <c r="C4" s="4" t="s">
        <v>7</v>
      </c>
      <c r="D4" s="4">
        <v>2003</v>
      </c>
      <c r="E4" s="9">
        <f t="shared" ref="E4:E18" si="0">SUM(J4:P4)+SUM(J4:M4)*0.0000001+SUM(J4)*0.0000000000001</f>
        <v>138.00000915000462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</v>
      </c>
      <c r="K4" s="8" t="str">
        <f t="shared" ref="K4:K18" si="5"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 t="shared" ref="M4:M18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8" si="7">IF(MAX(AT4,BW4,CZ4)&gt;0,MAX(AT4,BW4,CZ4),0)</f>
        <v>45.6</v>
      </c>
      <c r="O4" s="8" t="str">
        <f t="shared" ref="O4:O18" si="8">IF(N4=0,"",IF(N4=CZ4,$BY$1,IF(N4=BW4,$AV$1,IF(N4=AT4,$S$1,""))))</f>
        <v>2025 Elite Canada</v>
      </c>
      <c r="P4" s="8">
        <f t="shared" ref="P4:P18" si="9">IF(MAX(DB4:DC4)&gt;0,MAX(DB4:DC4),"")</f>
        <v>0.90000000000001279</v>
      </c>
      <c r="Q4" s="11" t="str">
        <f t="shared" ref="Q4:Q18" si="10">IF(P4="","",IF(P4=DB4,"("&amp;DB$2&amp;")",IF(P4=DC4,"("&amp;DC$2&amp;")")))</f>
        <v>(Q1)</v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POR (July 6)</v>
      </c>
      <c r="S4" s="19">
        <v>16.8</v>
      </c>
      <c r="T4" s="19">
        <v>6.1</v>
      </c>
      <c r="U4" s="19">
        <v>0</v>
      </c>
      <c r="V4" s="19">
        <v>0.3</v>
      </c>
      <c r="W4" s="19">
        <v>17.7</v>
      </c>
      <c r="X4" s="19">
        <v>4.3</v>
      </c>
      <c r="Y4" s="19">
        <v>0</v>
      </c>
      <c r="Z4" s="19">
        <v>0.3</v>
      </c>
      <c r="AA4" s="19">
        <v>17.7</v>
      </c>
      <c r="AB4" s="19">
        <v>4.3</v>
      </c>
      <c r="AC4" s="19">
        <v>0</v>
      </c>
      <c r="AD4" s="19">
        <v>0.3</v>
      </c>
      <c r="AE4" s="19">
        <v>16.3</v>
      </c>
      <c r="AF4" s="19">
        <v>3.8</v>
      </c>
      <c r="AG4" s="19">
        <v>0</v>
      </c>
      <c r="AH4" s="19">
        <v>0.3</v>
      </c>
      <c r="AI4" s="19">
        <v>17.8</v>
      </c>
      <c r="AJ4" s="19">
        <v>4.3</v>
      </c>
      <c r="AK4" s="19">
        <v>0</v>
      </c>
      <c r="AL4" s="19">
        <v>0.3</v>
      </c>
      <c r="AM4" s="27"/>
      <c r="AN4" s="40">
        <f t="shared" ref="AN4:AN18" si="12">IF(SUM(T4,X4)&gt;0,SUM(T4,X4),"")</f>
        <v>10.399999999999999</v>
      </c>
      <c r="AO4" s="40">
        <f t="shared" ref="AO4:AO18" si="13">IF(SUM(S4:T4,V4:X4,Z4)-U4-Y4&gt;0,SUM(S4:T4,V4:X4,Z4)-U4-Y4,"")</f>
        <v>45.499999999999993</v>
      </c>
      <c r="AP4" s="40">
        <f t="shared" ref="AP4:AP18" si="14">IF(SUM(AA4:AB4,AD4)-AC4&gt;0,SUM(AA4:AB4,AD4)-AC4,"")</f>
        <v>22.3</v>
      </c>
      <c r="AQ4" s="40">
        <f t="shared" ref="AQ4:AQ18" si="15">IF(SUM(T4,X4,AB4)&gt;0,SUM(T4,X4,AB4),"")</f>
        <v>14.7</v>
      </c>
      <c r="AR4" s="40">
        <f t="shared" ref="AR4:AR18" si="16">IF(SUM(AO4,AP4)&gt;0,SUM(AO4,AP4),"")</f>
        <v>67.8</v>
      </c>
      <c r="AS4" s="40">
        <f t="shared" ref="AS4:AS18" si="17">IF(SUM(AF4,AJ4)&gt;0,SUM(AF4,AJ4),"")</f>
        <v>8.1</v>
      </c>
      <c r="AT4" s="40">
        <f t="shared" ref="AT4:AT18" si="18">IF(SUM(AE4:AF4,AH4:AJ4,AL4)-SUM(AG4,AK4)&gt;0,SUM(AE4:AF4,AH4:AJ4,AL4)-SUM(AG4,AK4),"")</f>
        <v>42.8</v>
      </c>
      <c r="AU4" s="40">
        <f t="shared" ref="AU4:AU18" si="19">IF(SUM(AO4,AP4,AT4)&gt;0,SUM(AO4,AP4,AT4),"")</f>
        <v>110.6</v>
      </c>
      <c r="AV4" s="18">
        <v>17.100000000000001</v>
      </c>
      <c r="AW4" s="18">
        <v>6.1</v>
      </c>
      <c r="AX4" s="18">
        <v>0</v>
      </c>
      <c r="AY4" s="18">
        <v>0.7</v>
      </c>
      <c r="AZ4" s="18">
        <v>17.100000000000001</v>
      </c>
      <c r="BA4" s="18">
        <v>4.3</v>
      </c>
      <c r="BB4" s="18">
        <v>0</v>
      </c>
      <c r="BC4" s="18">
        <v>0.7</v>
      </c>
      <c r="BD4" s="18"/>
      <c r="BE4" s="18"/>
      <c r="BF4" s="18"/>
      <c r="BG4" s="18"/>
      <c r="BH4" s="18">
        <v>16.100000000000001</v>
      </c>
      <c r="BI4" s="18">
        <v>6.1</v>
      </c>
      <c r="BJ4" s="18">
        <v>0</v>
      </c>
      <c r="BK4" s="18">
        <v>0.7</v>
      </c>
      <c r="BL4" s="18">
        <v>17.7</v>
      </c>
      <c r="BM4" s="18">
        <v>4.3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46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46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45.6</v>
      </c>
      <c r="BX4" s="11">
        <f t="shared" ref="BX4:BX18" si="27">IF(SUM(BR4,BS4,BW4)&gt;0,SUM(BR4,BS4,BW4),"")</f>
        <v>91.6</v>
      </c>
      <c r="BY4" s="19">
        <v>16.7</v>
      </c>
      <c r="BZ4" s="19">
        <v>6.5</v>
      </c>
      <c r="CA4" s="19">
        <v>0.4</v>
      </c>
      <c r="CB4" s="19">
        <v>0.7</v>
      </c>
      <c r="CC4" s="19">
        <v>17.2</v>
      </c>
      <c r="CD4" s="19">
        <v>3.8</v>
      </c>
      <c r="CE4" s="19">
        <v>0</v>
      </c>
      <c r="CF4" s="19">
        <v>0.7</v>
      </c>
      <c r="CG4" s="19"/>
      <c r="CH4" s="19"/>
      <c r="CI4" s="19"/>
      <c r="CJ4" s="19"/>
      <c r="CK4" s="19">
        <v>16.2</v>
      </c>
      <c r="CL4" s="19">
        <v>4.2</v>
      </c>
      <c r="CM4" s="19">
        <v>0.4</v>
      </c>
      <c r="CN4" s="19">
        <v>0.7</v>
      </c>
      <c r="CO4" s="19">
        <v>17.2</v>
      </c>
      <c r="CP4" s="19">
        <v>6.1</v>
      </c>
      <c r="CQ4" s="19">
        <v>0</v>
      </c>
      <c r="CR4" s="19">
        <v>0.7</v>
      </c>
      <c r="CS4" s="27"/>
      <c r="CT4" s="40">
        <f t="shared" ref="CT4:CT18" si="28">IF(SUM(BZ4,CD4)&gt;0,SUM(BZ4,CD4),"")</f>
        <v>10.3</v>
      </c>
      <c r="CU4" s="40">
        <f t="shared" ref="CU4:CU18" si="29">IF(SUM(BY4:BZ4,CB4:CD4,CF4)-CA4-CE4&gt;0,SUM(BY4:BZ4,CB4:CD4,CF4)-CA4-CE4,"")</f>
        <v>45.199999999999996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</v>
      </c>
      <c r="CX4" s="40">
        <f t="shared" ref="CX4:CX18" si="32">IF(SUM(CU4,CV4)&gt;0,SUM(CU4,CV4),"")</f>
        <v>45.199999999999996</v>
      </c>
      <c r="CY4" s="40">
        <f t="shared" ref="CY4:CY18" si="33">IF(SUM(CL4,CP4)&gt;0,SUM(CL4,CP4),"")</f>
        <v>10.3</v>
      </c>
      <c r="CZ4" s="40">
        <f t="shared" ref="CZ4:CZ18" si="34">IF(SUM(CK4:CL4,CN4:CP4,CR4)-SUM(CM4,CQ4)&gt;0,SUM(CK4:CL4,CN4:CP4,CR4)-SUM(CM4,CQ4),"")</f>
        <v>44.7</v>
      </c>
      <c r="DA4" s="40">
        <f t="shared" ref="DA4:DA18" si="35">IF(SUM(CU4,CV4,CZ4)&gt;0,SUM(CU4,CV4,CZ4),"")</f>
        <v>89.9</v>
      </c>
      <c r="DB4" s="51">
        <f t="shared" ref="DB4:DB18" si="36">IF(MAX(DY4,FA4,GC4,HE4,IG4,JI4,KK4,LM4,MO4,NQ4,OS4,PU4,QW4,RY4,TA4)-IF(L4="",0,L4)&gt;0.001,MAX(DY4,FA4,GC4,HE4,IG4,JI4,KK4,LM4,MO4,NQ4,OS4,PU4,QW4,RY4,TA4)-IF(L4="",0,L4),"")</f>
        <v>0.90000000000001279</v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>
        <v>16.8</v>
      </c>
      <c r="DE4" s="17">
        <v>5.3</v>
      </c>
      <c r="DF4" s="17">
        <v>0</v>
      </c>
      <c r="DG4" s="17">
        <v>1</v>
      </c>
      <c r="DH4" s="17">
        <v>16.8</v>
      </c>
      <c r="DI4" s="17">
        <v>5.5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18" si="38">IF(SUM(DE4,DI4)&gt;0,SUM(DE4,DI4),"")</f>
        <v>10.8</v>
      </c>
      <c r="DY4" s="40">
        <f t="shared" ref="DY4:DY18" si="39">IF(SUM(DD4:DE4,DG4:DI4,DK4)-DF4-DJ4&gt;0,SUM(DD4:DE4,DG4:DI4,DK4)-DF4-DJ4,"")</f>
        <v>46.400000000000006</v>
      </c>
      <c r="DZ4" s="40" t="str">
        <f t="shared" ref="DZ4:DZ18" si="40">IF(SUM(DL4:DM4,DO4)-DN4&gt;0,SUM(DL4:DM4,DO4)-DN4,"")</f>
        <v/>
      </c>
      <c r="EA4" s="40">
        <f t="shared" ref="EA4:EA18" si="41">IF(SUM(DE4,DI4,DM4)&gt;0,SUM(DE4,DI4,DM4),"")</f>
        <v>10.8</v>
      </c>
      <c r="EB4" s="40">
        <f t="shared" ref="EB4:EB18" si="42">IF(SUM(DY4,DZ4)&gt;0,SUM(DY4,DZ4),"")</f>
        <v>46.400000000000006</v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>
        <f t="shared" ref="EE4:EE18" si="45">IF(SUM(DY4,DZ4,ED4)&gt;0,SUM(DY4,DZ4,ED4),"")</f>
        <v>46.400000000000006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8" si="46">IF(SUM(EG4,EK4)&gt;0,SUM(EG4,EK4),"")</f>
        <v/>
      </c>
      <c r="FA4" s="11" t="str">
        <f t="shared" ref="FA4:FA18" si="47">IF(SUM(EF4:EG4,EI4:EK4,EM4)-EH4-EL4&gt;0,SUM(EF4:EG4,EI4:EK4,EM4)-EH4-EL4,"")</f>
        <v/>
      </c>
      <c r="FB4" s="11" t="str">
        <f t="shared" ref="FB4:FB18" si="48">IF(SUM(EN4:EO4,EQ4)-EP4&gt;0,SUM(EN4:EO4,EQ4)-EP4,"")</f>
        <v/>
      </c>
      <c r="FC4" s="11" t="str">
        <f t="shared" ref="FC4:FC18" si="49">IF(SUM(EG4,EK4,EO4)&gt;0,SUM(EG4,EK4,EO4),"")</f>
        <v/>
      </c>
      <c r="FD4" s="11" t="str">
        <f t="shared" ref="FD4:FD18" si="50">IF(SUM(FA4,FB4)&gt;0,SUM(FA4,FB4),"")</f>
        <v/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 t="str">
        <f t="shared" ref="FG4:FG18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16.899999999999999</v>
      </c>
      <c r="TI4" s="26">
        <f t="shared" ref="TI4:TI18" si="159">IF($CS4="P",BZ4,(BZ4+AW4)/2)</f>
        <v>6.3</v>
      </c>
      <c r="TJ4" s="26">
        <f t="shared" ref="TJ4:TJ18" si="160">IF($CS4="P",CA4,(CA4+AX4)/2)</f>
        <v>0.2</v>
      </c>
      <c r="TK4" s="26">
        <f t="shared" ref="TK4:TK18" si="161">IF($CS4="P",CB4,(CB4+AY4)/2)</f>
        <v>0.7</v>
      </c>
      <c r="TL4" s="26">
        <f t="shared" ref="TL4:TL18" si="162">IF($CS4="P",CC4,(CC4+AZ4)/2)</f>
        <v>17.149999999999999</v>
      </c>
      <c r="TM4" s="26">
        <f t="shared" ref="TM4:TM18" si="163">IF($CS4="P",CD4,(CD4+BA4)/2)</f>
        <v>4.05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16.149999999999999</v>
      </c>
      <c r="TU4" s="26">
        <f t="shared" ref="TU4:TU18" si="171">IF($CS4="P",CL4,(CL4+BI4)/2)</f>
        <v>5.15</v>
      </c>
      <c r="TV4" s="26">
        <f t="shared" ref="TV4:TV18" si="172">IF($CS4="P",CM4,(CM4+BJ4)/2)</f>
        <v>0.2</v>
      </c>
      <c r="TW4" s="26">
        <f t="shared" ref="TW4:TW18" si="173">IF($CS4="P",CN4,(CN4+BK4)/2)</f>
        <v>0.7</v>
      </c>
      <c r="TX4" s="26">
        <f t="shared" ref="TX4:TX18" si="174">IF($CS4="P",CO4,(CO4+BL4)/2)</f>
        <v>17.45</v>
      </c>
      <c r="TY4" s="26">
        <f t="shared" ref="TY4:TY18" si="175">IF($CS4="P",CP4,(CP4+BM4)/2)</f>
        <v>5.1999999999999993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10.35</v>
      </c>
      <c r="UD4" s="11">
        <f t="shared" ref="UD4:UD18" si="179">IF(SUM(TH4:TI4,TK4:TM4,TO4)-TJ4-TN4&gt;0,SUM(TH4:TI4,TK4:TM4,TO4)-TJ4-TN4,"")</f>
        <v>45.599999999999994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10.35</v>
      </c>
      <c r="UG4" s="11">
        <f t="shared" ref="UG4:UG18" si="182">IF(SUM(UD4,UE4)&gt;0,SUM(UD4,UE4),"")</f>
        <v>45.599999999999994</v>
      </c>
      <c r="UH4" s="11">
        <f t="shared" ref="UH4:UH18" si="183">IF(SUM(TU4,TY4)&gt;0,SUM(TU4,TY4),"")</f>
        <v>10.35</v>
      </c>
      <c r="UI4" s="11">
        <f t="shared" ref="UI4:UI18" si="184">IF(SUM(TT4:TU4,TW4:TY4,UA4)-SUM(TV4,TZ4)&gt;0,SUM(TT4:TU4,TW4:TY4,UA4)-SUM(TV4,TZ4),"")</f>
        <v>45.149999999999991</v>
      </c>
      <c r="UJ4" s="11">
        <f t="shared" ref="UJ4:UJ18" si="185">IF(SUM(UD4,UE4,UI4)&gt;0,SUM(UD4,UE4,UI4),"")</f>
        <v>90.749999999999986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149</v>
      </c>
      <c r="C5" s="4" t="s">
        <v>5</v>
      </c>
      <c r="D5" s="4">
        <v>2006</v>
      </c>
      <c r="E5" s="9">
        <f t="shared" si="0"/>
        <v>137.90000911000462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46.1</v>
      </c>
      <c r="K5" s="8" t="str">
        <f t="shared" si="5"/>
        <v>2025 Nationals</v>
      </c>
      <c r="L5" s="8">
        <f>IF(COUNT(AO5,BR5,CU5)&gt;1,LARGE((AO5,BR5,CU5),2),0)</f>
        <v>45.000000000000007</v>
      </c>
      <c r="M5" s="8" t="str">
        <f t="shared" si="6"/>
        <v>2025 Elite Canada</v>
      </c>
      <c r="N5" s="8">
        <f t="shared" si="7"/>
        <v>46.800000000000004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16.2</v>
      </c>
      <c r="T5" s="19">
        <v>3.6</v>
      </c>
      <c r="U5" s="19">
        <v>0.2</v>
      </c>
      <c r="V5" s="19">
        <v>0</v>
      </c>
      <c r="W5" s="19">
        <v>16.3</v>
      </c>
      <c r="X5" s="19">
        <v>3.9</v>
      </c>
      <c r="Y5" s="19">
        <v>0</v>
      </c>
      <c r="Z5" s="19">
        <v>0.3</v>
      </c>
      <c r="AA5" s="19">
        <v>16.8</v>
      </c>
      <c r="AB5" s="19">
        <v>4.8</v>
      </c>
      <c r="AC5" s="19">
        <v>0</v>
      </c>
      <c r="AD5" s="19">
        <v>0.6</v>
      </c>
      <c r="AE5" s="19">
        <v>18.100000000000001</v>
      </c>
      <c r="AF5" s="19">
        <v>3.6</v>
      </c>
      <c r="AG5" s="19">
        <v>0</v>
      </c>
      <c r="AH5" s="19">
        <v>0</v>
      </c>
      <c r="AI5" s="19">
        <v>17.100000000000001</v>
      </c>
      <c r="AJ5" s="19">
        <v>4.0999999999999996</v>
      </c>
      <c r="AK5" s="19">
        <v>0</v>
      </c>
      <c r="AL5" s="19">
        <v>0.3</v>
      </c>
      <c r="AM5" s="27"/>
      <c r="AN5" s="40">
        <f t="shared" si="12"/>
        <v>7.5</v>
      </c>
      <c r="AO5" s="40">
        <f t="shared" si="13"/>
        <v>40.099999999999994</v>
      </c>
      <c r="AP5" s="40">
        <f t="shared" si="14"/>
        <v>22.200000000000003</v>
      </c>
      <c r="AQ5" s="40">
        <f t="shared" si="15"/>
        <v>12.3</v>
      </c>
      <c r="AR5" s="40">
        <f t="shared" si="16"/>
        <v>62.3</v>
      </c>
      <c r="AS5" s="40">
        <f t="shared" si="17"/>
        <v>7.6999999999999993</v>
      </c>
      <c r="AT5" s="40">
        <f t="shared" si="18"/>
        <v>43.2</v>
      </c>
      <c r="AU5" s="40">
        <f t="shared" si="19"/>
        <v>105.5</v>
      </c>
      <c r="AV5" s="18">
        <v>17.7</v>
      </c>
      <c r="AW5" s="18">
        <v>4.3</v>
      </c>
      <c r="AX5" s="18">
        <v>0</v>
      </c>
      <c r="AY5" s="18">
        <v>0.7</v>
      </c>
      <c r="AZ5" s="18">
        <v>15.5</v>
      </c>
      <c r="BA5" s="18">
        <v>6.1</v>
      </c>
      <c r="BB5" s="18">
        <v>0</v>
      </c>
      <c r="BC5" s="18">
        <v>0.7</v>
      </c>
      <c r="BD5" s="18"/>
      <c r="BE5" s="18"/>
      <c r="BF5" s="18"/>
      <c r="BG5" s="18"/>
      <c r="BH5" s="18">
        <v>18.100000000000001</v>
      </c>
      <c r="BI5" s="18">
        <v>4.3</v>
      </c>
      <c r="BJ5" s="18">
        <v>0</v>
      </c>
      <c r="BK5" s="18">
        <v>0.7</v>
      </c>
      <c r="BL5" s="18">
        <v>16.899999999999999</v>
      </c>
      <c r="BM5" s="18">
        <v>6.1</v>
      </c>
      <c r="BN5" s="18">
        <v>0</v>
      </c>
      <c r="BO5" s="18">
        <v>0.7</v>
      </c>
      <c r="BP5" s="28"/>
      <c r="BQ5" s="11">
        <f t="shared" si="20"/>
        <v>10.399999999999999</v>
      </c>
      <c r="BR5" s="11">
        <f t="shared" si="21"/>
        <v>45.000000000000007</v>
      </c>
      <c r="BS5" s="11" t="str">
        <f t="shared" si="22"/>
        <v/>
      </c>
      <c r="BT5" s="11">
        <f t="shared" si="23"/>
        <v>10.399999999999999</v>
      </c>
      <c r="BU5" s="11">
        <f t="shared" si="24"/>
        <v>45.000000000000007</v>
      </c>
      <c r="BV5" s="11">
        <f t="shared" si="25"/>
        <v>10.399999999999999</v>
      </c>
      <c r="BW5" s="11">
        <f t="shared" si="26"/>
        <v>46.800000000000004</v>
      </c>
      <c r="BX5" s="11">
        <f t="shared" si="27"/>
        <v>91.800000000000011</v>
      </c>
      <c r="BY5" s="19">
        <v>17.5</v>
      </c>
      <c r="BZ5" s="19">
        <v>4.3</v>
      </c>
      <c r="CA5" s="19">
        <v>0</v>
      </c>
      <c r="CB5" s="19">
        <v>0.7</v>
      </c>
      <c r="CC5" s="19">
        <v>16.8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17.7</v>
      </c>
      <c r="CL5" s="19">
        <v>4.3</v>
      </c>
      <c r="CM5" s="19">
        <v>0</v>
      </c>
      <c r="CN5" s="19">
        <v>0.7</v>
      </c>
      <c r="CO5" s="19">
        <v>16.8</v>
      </c>
      <c r="CP5" s="19">
        <v>6.1</v>
      </c>
      <c r="CQ5" s="19">
        <v>0</v>
      </c>
      <c r="CR5" s="19">
        <v>0.7</v>
      </c>
      <c r="CS5" s="27"/>
      <c r="CT5" s="40">
        <f t="shared" si="28"/>
        <v>10.399999999999999</v>
      </c>
      <c r="CU5" s="40">
        <f t="shared" si="29"/>
        <v>46.1</v>
      </c>
      <c r="CV5" s="40" t="str">
        <f t="shared" si="30"/>
        <v/>
      </c>
      <c r="CW5" s="40">
        <f t="shared" si="31"/>
        <v>10.399999999999999</v>
      </c>
      <c r="CX5" s="40">
        <f t="shared" si="32"/>
        <v>46.1</v>
      </c>
      <c r="CY5" s="40">
        <f t="shared" si="33"/>
        <v>10.399999999999999</v>
      </c>
      <c r="CZ5" s="40">
        <f t="shared" si="34"/>
        <v>46.300000000000004</v>
      </c>
      <c r="DA5" s="40">
        <f t="shared" si="35"/>
        <v>92.4</v>
      </c>
      <c r="DB5" s="51" t="str">
        <f t="shared" si="36"/>
        <v/>
      </c>
      <c r="DC5" s="51" t="str">
        <f t="shared" si="37"/>
        <v/>
      </c>
      <c r="DD5" s="17">
        <v>17.600000000000001</v>
      </c>
      <c r="DE5" s="17">
        <v>4.3</v>
      </c>
      <c r="DF5" s="17">
        <v>0.2</v>
      </c>
      <c r="DG5" s="17">
        <v>0</v>
      </c>
      <c r="DH5" s="17">
        <v>16.899999999999999</v>
      </c>
      <c r="DI5" s="17">
        <v>5.0999999999999996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38"/>
        <v>9.3999999999999986</v>
      </c>
      <c r="DY5" s="40">
        <f t="shared" si="39"/>
        <v>44.699999999999996</v>
      </c>
      <c r="DZ5" s="40" t="str">
        <f t="shared" si="40"/>
        <v/>
      </c>
      <c r="EA5" s="40">
        <f t="shared" si="41"/>
        <v>9.3999999999999986</v>
      </c>
      <c r="EB5" s="40">
        <f t="shared" si="42"/>
        <v>44.699999999999996</v>
      </c>
      <c r="EC5" s="40" t="str">
        <f t="shared" si="43"/>
        <v/>
      </c>
      <c r="ED5" s="40" t="str">
        <f t="shared" si="44"/>
        <v/>
      </c>
      <c r="EE5" s="40">
        <f t="shared" si="45"/>
        <v>44.699999999999996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17.600000000000001</v>
      </c>
      <c r="TI5" s="26">
        <f t="shared" si="159"/>
        <v>4.3</v>
      </c>
      <c r="TJ5" s="26">
        <f t="shared" si="160"/>
        <v>0</v>
      </c>
      <c r="TK5" s="26">
        <f t="shared" si="161"/>
        <v>0.7</v>
      </c>
      <c r="TL5" s="26">
        <f t="shared" si="162"/>
        <v>16.149999999999999</v>
      </c>
      <c r="TM5" s="26">
        <f t="shared" si="163"/>
        <v>6.1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17.899999999999999</v>
      </c>
      <c r="TU5" s="26">
        <f t="shared" si="171"/>
        <v>4.3</v>
      </c>
      <c r="TV5" s="26">
        <f t="shared" si="172"/>
        <v>0</v>
      </c>
      <c r="TW5" s="26">
        <f t="shared" si="173"/>
        <v>0.7</v>
      </c>
      <c r="TX5" s="26">
        <f t="shared" si="174"/>
        <v>16.850000000000001</v>
      </c>
      <c r="TY5" s="26">
        <f t="shared" si="175"/>
        <v>6.1</v>
      </c>
      <c r="TZ5" s="26">
        <f t="shared" si="176"/>
        <v>0</v>
      </c>
      <c r="UA5" s="26">
        <f t="shared" si="177"/>
        <v>0.7</v>
      </c>
      <c r="UB5" s="28" t="s">
        <v>53</v>
      </c>
      <c r="UC5" s="11">
        <f t="shared" si="178"/>
        <v>10.399999999999999</v>
      </c>
      <c r="UD5" s="11">
        <f t="shared" si="179"/>
        <v>45.550000000000004</v>
      </c>
      <c r="UE5" s="11" t="str">
        <f t="shared" si="180"/>
        <v/>
      </c>
      <c r="UF5" s="11">
        <f t="shared" si="181"/>
        <v>10.399999999999999</v>
      </c>
      <c r="UG5" s="11">
        <f t="shared" si="182"/>
        <v>45.550000000000004</v>
      </c>
      <c r="UH5" s="11">
        <f t="shared" si="183"/>
        <v>10.399999999999999</v>
      </c>
      <c r="UI5" s="11">
        <f t="shared" si="184"/>
        <v>46.550000000000004</v>
      </c>
      <c r="UJ5" s="11">
        <f t="shared" si="185"/>
        <v>92.100000000000009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 t="shared" si="0"/>
        <v>133.80000863000433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43.2</v>
      </c>
      <c r="K6" s="8" t="str">
        <f t="shared" si="5"/>
        <v>2025 Elite Canada</v>
      </c>
      <c r="L6" s="8">
        <f>IF(COUNT(AO6,BR6,CU6)&gt;1,LARGE((AO6,BR6,CU6),2),0)</f>
        <v>43.1</v>
      </c>
      <c r="M6" s="8" t="str">
        <f t="shared" si="6"/>
        <v>2025 Nationals</v>
      </c>
      <c r="N6" s="8">
        <f t="shared" si="7"/>
        <v>46.5</v>
      </c>
      <c r="O6" s="8" t="str">
        <f t="shared" si="8"/>
        <v>2025 Nationals</v>
      </c>
      <c r="P6" s="8">
        <f t="shared" si="9"/>
        <v>1.0000000000000071</v>
      </c>
      <c r="Q6" s="11" t="str">
        <f t="shared" si="10"/>
        <v>(Q1)</v>
      </c>
      <c r="R6" s="8" t="str">
        <f t="shared" si="11"/>
        <v>2025 World Cup POR (July 6)</v>
      </c>
      <c r="S6" s="19">
        <v>15</v>
      </c>
      <c r="T6" s="19">
        <v>5</v>
      </c>
      <c r="U6" s="19">
        <v>0.2</v>
      </c>
      <c r="V6" s="19">
        <v>0.6</v>
      </c>
      <c r="W6" s="19">
        <v>16.5</v>
      </c>
      <c r="X6" s="19">
        <v>5.2</v>
      </c>
      <c r="Y6" s="19">
        <v>0</v>
      </c>
      <c r="Z6" s="19">
        <v>0.6</v>
      </c>
      <c r="AA6" s="19">
        <v>16.8</v>
      </c>
      <c r="AB6" s="19">
        <v>5</v>
      </c>
      <c r="AC6" s="19">
        <v>0</v>
      </c>
      <c r="AD6" s="19">
        <v>0.6</v>
      </c>
      <c r="AE6" s="19">
        <v>17.100000000000001</v>
      </c>
      <c r="AF6" s="19">
        <v>5</v>
      </c>
      <c r="AG6" s="19">
        <v>0</v>
      </c>
      <c r="AH6" s="19">
        <v>0.6</v>
      </c>
      <c r="AI6" s="19">
        <v>16.899999999999999</v>
      </c>
      <c r="AJ6" s="19">
        <v>5.2</v>
      </c>
      <c r="AK6" s="19">
        <v>0</v>
      </c>
      <c r="AL6" s="19">
        <v>0.6</v>
      </c>
      <c r="AM6" s="27"/>
      <c r="AN6" s="40">
        <f t="shared" si="12"/>
        <v>10.199999999999999</v>
      </c>
      <c r="AO6" s="40">
        <f t="shared" si="13"/>
        <v>42.7</v>
      </c>
      <c r="AP6" s="40">
        <f t="shared" si="14"/>
        <v>22.400000000000002</v>
      </c>
      <c r="AQ6" s="40">
        <f t="shared" si="15"/>
        <v>15.2</v>
      </c>
      <c r="AR6" s="40">
        <f t="shared" si="16"/>
        <v>65.100000000000009</v>
      </c>
      <c r="AS6" s="40">
        <f t="shared" si="17"/>
        <v>10.199999999999999</v>
      </c>
      <c r="AT6" s="40">
        <f t="shared" si="18"/>
        <v>45.400000000000006</v>
      </c>
      <c r="AU6" s="40">
        <f t="shared" si="19"/>
        <v>110.50000000000001</v>
      </c>
      <c r="AV6" s="18">
        <v>15</v>
      </c>
      <c r="AW6" s="18">
        <v>5</v>
      </c>
      <c r="AX6" s="18">
        <v>0</v>
      </c>
      <c r="AY6" s="18">
        <v>0.7</v>
      </c>
      <c r="AZ6" s="18">
        <v>16.600000000000001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16.5</v>
      </c>
      <c r="BI6" s="18">
        <v>5</v>
      </c>
      <c r="BJ6" s="18">
        <v>0</v>
      </c>
      <c r="BK6" s="18">
        <v>0.7</v>
      </c>
      <c r="BL6" s="18">
        <v>14.7</v>
      </c>
      <c r="BM6" s="18">
        <v>5.2</v>
      </c>
      <c r="BN6" s="18">
        <v>0.2</v>
      </c>
      <c r="BO6" s="18">
        <v>0.7</v>
      </c>
      <c r="BP6" s="28"/>
      <c r="BQ6" s="11">
        <f t="shared" si="20"/>
        <v>10.199999999999999</v>
      </c>
      <c r="BR6" s="11">
        <f t="shared" si="21"/>
        <v>43.2</v>
      </c>
      <c r="BS6" s="11" t="str">
        <f t="shared" si="22"/>
        <v/>
      </c>
      <c r="BT6" s="11">
        <f t="shared" si="23"/>
        <v>10.199999999999999</v>
      </c>
      <c r="BU6" s="11">
        <f t="shared" si="24"/>
        <v>43.2</v>
      </c>
      <c r="BV6" s="11">
        <f t="shared" si="25"/>
        <v>10.199999999999999</v>
      </c>
      <c r="BW6" s="11">
        <f t="shared" si="26"/>
        <v>42.6</v>
      </c>
      <c r="BX6" s="11">
        <f t="shared" si="27"/>
        <v>85.800000000000011</v>
      </c>
      <c r="BY6" s="19">
        <v>14.9</v>
      </c>
      <c r="BZ6" s="19">
        <v>5</v>
      </c>
      <c r="CA6" s="19">
        <v>0.2</v>
      </c>
      <c r="CB6" s="19">
        <v>0.7</v>
      </c>
      <c r="CC6" s="19">
        <v>16.8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17.5</v>
      </c>
      <c r="CL6" s="19">
        <v>5</v>
      </c>
      <c r="CM6" s="19">
        <v>0</v>
      </c>
      <c r="CN6" s="19">
        <v>0.7</v>
      </c>
      <c r="CO6" s="19">
        <v>17.399999999999999</v>
      </c>
      <c r="CP6" s="19">
        <v>5.2</v>
      </c>
      <c r="CQ6" s="19">
        <v>0</v>
      </c>
      <c r="CR6" s="19">
        <v>0.7</v>
      </c>
      <c r="CS6" s="27"/>
      <c r="CT6" s="40">
        <f t="shared" si="28"/>
        <v>10.199999999999999</v>
      </c>
      <c r="CU6" s="40">
        <f t="shared" si="29"/>
        <v>43.1</v>
      </c>
      <c r="CV6" s="40" t="str">
        <f t="shared" si="30"/>
        <v/>
      </c>
      <c r="CW6" s="40">
        <f t="shared" si="31"/>
        <v>10.199999999999999</v>
      </c>
      <c r="CX6" s="40">
        <f t="shared" si="32"/>
        <v>43.1</v>
      </c>
      <c r="CY6" s="40">
        <f t="shared" si="33"/>
        <v>10.199999999999999</v>
      </c>
      <c r="CZ6" s="40">
        <f t="shared" si="34"/>
        <v>46.5</v>
      </c>
      <c r="DA6" s="40">
        <f t="shared" si="35"/>
        <v>89.6</v>
      </c>
      <c r="DB6" s="51">
        <f t="shared" si="36"/>
        <v>1.0000000000000071</v>
      </c>
      <c r="DC6" s="51" t="str">
        <f t="shared" si="37"/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10.199999999999999</v>
      </c>
      <c r="DY6" s="40">
        <f t="shared" si="39"/>
        <v>44.100000000000009</v>
      </c>
      <c r="DZ6" s="40" t="str">
        <f t="shared" si="40"/>
        <v/>
      </c>
      <c r="EA6" s="40">
        <f t="shared" si="41"/>
        <v>10.199999999999999</v>
      </c>
      <c r="EB6" s="40">
        <f t="shared" si="42"/>
        <v>44.100000000000009</v>
      </c>
      <c r="EC6" s="40" t="str">
        <f t="shared" si="43"/>
        <v/>
      </c>
      <c r="ED6" s="40" t="str">
        <f t="shared" si="44"/>
        <v/>
      </c>
      <c r="EE6" s="40">
        <f t="shared" si="45"/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14.95</v>
      </c>
      <c r="TI6" s="26">
        <f t="shared" si="159"/>
        <v>5</v>
      </c>
      <c r="TJ6" s="26">
        <f t="shared" si="160"/>
        <v>0.1</v>
      </c>
      <c r="TK6" s="26">
        <f t="shared" si="161"/>
        <v>0.7</v>
      </c>
      <c r="TL6" s="26">
        <f t="shared" si="162"/>
        <v>16.700000000000003</v>
      </c>
      <c r="TM6" s="26">
        <f t="shared" si="163"/>
        <v>5.2</v>
      </c>
      <c r="TN6" s="26">
        <f t="shared" si="164"/>
        <v>0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</v>
      </c>
      <c r="TU6" s="26">
        <f t="shared" si="171"/>
        <v>5</v>
      </c>
      <c r="TV6" s="26">
        <f t="shared" si="172"/>
        <v>0</v>
      </c>
      <c r="TW6" s="26">
        <f t="shared" si="173"/>
        <v>0.7</v>
      </c>
      <c r="TX6" s="26">
        <f t="shared" si="174"/>
        <v>16.049999999999997</v>
      </c>
      <c r="TY6" s="26">
        <f t="shared" si="175"/>
        <v>5.2</v>
      </c>
      <c r="TZ6" s="26">
        <f t="shared" si="176"/>
        <v>0.1</v>
      </c>
      <c r="UA6" s="26">
        <f t="shared" si="177"/>
        <v>0.7</v>
      </c>
      <c r="UB6" s="28" t="s">
        <v>53</v>
      </c>
      <c r="UC6" s="11">
        <f t="shared" si="178"/>
        <v>10.199999999999999</v>
      </c>
      <c r="UD6" s="11">
        <f t="shared" si="179"/>
        <v>43.150000000000006</v>
      </c>
      <c r="UE6" s="11" t="str">
        <f t="shared" si="180"/>
        <v/>
      </c>
      <c r="UF6" s="11">
        <f t="shared" si="181"/>
        <v>10.199999999999999</v>
      </c>
      <c r="UG6" s="11">
        <f t="shared" si="182"/>
        <v>43.150000000000006</v>
      </c>
      <c r="UH6" s="11">
        <f t="shared" si="183"/>
        <v>10.199999999999999</v>
      </c>
      <c r="UI6" s="11">
        <f t="shared" si="184"/>
        <v>44.550000000000004</v>
      </c>
      <c r="UJ6" s="11">
        <f t="shared" si="185"/>
        <v>87.700000000000017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137</v>
      </c>
      <c r="C7" s="4" t="s">
        <v>5</v>
      </c>
      <c r="D7" s="4">
        <v>2003</v>
      </c>
      <c r="E7" s="9">
        <f t="shared" si="0"/>
        <v>133.50000881000443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44.300000000000004</v>
      </c>
      <c r="K7" s="8" t="str">
        <f t="shared" si="5"/>
        <v>2025 Elite Canada</v>
      </c>
      <c r="L7" s="8">
        <f>IF(COUNT(AO7,BR7,CU7)&gt;1,LARGE((AO7,BR7,CU7),2),0)</f>
        <v>43.800000000000004</v>
      </c>
      <c r="M7" s="8" t="str">
        <f t="shared" si="6"/>
        <v>2024 3rd Domestic Trial</v>
      </c>
      <c r="N7" s="8">
        <f t="shared" si="7"/>
        <v>45.4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16.2</v>
      </c>
      <c r="T7" s="19">
        <v>4.8</v>
      </c>
      <c r="U7" s="19">
        <v>0</v>
      </c>
      <c r="V7" s="19">
        <v>0.6</v>
      </c>
      <c r="W7" s="19">
        <v>16.600000000000001</v>
      </c>
      <c r="X7" s="19">
        <v>5</v>
      </c>
      <c r="Y7" s="19">
        <v>0</v>
      </c>
      <c r="Z7" s="19">
        <v>0.6</v>
      </c>
      <c r="AA7" s="19">
        <v>16.399999999999999</v>
      </c>
      <c r="AB7" s="19">
        <v>4.5999999999999996</v>
      </c>
      <c r="AC7" s="19">
        <v>0</v>
      </c>
      <c r="AD7" s="19">
        <v>0.6</v>
      </c>
      <c r="AE7" s="19">
        <v>16.899999999999999</v>
      </c>
      <c r="AF7" s="19">
        <v>4.8</v>
      </c>
      <c r="AG7" s="19">
        <v>0</v>
      </c>
      <c r="AH7" s="19">
        <v>0.6</v>
      </c>
      <c r="AI7" s="19">
        <v>15.7</v>
      </c>
      <c r="AJ7" s="19">
        <v>2.6</v>
      </c>
      <c r="AK7" s="19">
        <v>0</v>
      </c>
      <c r="AL7" s="19">
        <v>0.6</v>
      </c>
      <c r="AM7" s="27"/>
      <c r="AN7" s="40">
        <f t="shared" si="12"/>
        <v>9.8000000000000007</v>
      </c>
      <c r="AO7" s="40">
        <f t="shared" si="13"/>
        <v>43.800000000000004</v>
      </c>
      <c r="AP7" s="40">
        <f t="shared" si="14"/>
        <v>21.6</v>
      </c>
      <c r="AQ7" s="40">
        <f t="shared" si="15"/>
        <v>14.4</v>
      </c>
      <c r="AR7" s="40">
        <f t="shared" si="16"/>
        <v>65.400000000000006</v>
      </c>
      <c r="AS7" s="40">
        <f t="shared" si="17"/>
        <v>7.4</v>
      </c>
      <c r="AT7" s="40">
        <f t="shared" si="18"/>
        <v>41.2</v>
      </c>
      <c r="AU7" s="40">
        <f t="shared" si="19"/>
        <v>106.60000000000001</v>
      </c>
      <c r="AV7" s="18">
        <v>17.7</v>
      </c>
      <c r="AW7" s="18">
        <v>4.0999999999999996</v>
      </c>
      <c r="AX7" s="18">
        <v>0</v>
      </c>
      <c r="AY7" s="18">
        <v>0</v>
      </c>
      <c r="AZ7" s="18">
        <v>18.2</v>
      </c>
      <c r="BA7" s="18">
        <v>3.6</v>
      </c>
      <c r="BB7" s="18">
        <v>0</v>
      </c>
      <c r="BC7" s="18">
        <v>0.7</v>
      </c>
      <c r="BD7" s="18"/>
      <c r="BE7" s="18"/>
      <c r="BF7" s="18"/>
      <c r="BG7" s="18"/>
      <c r="BH7" s="18">
        <v>14.3</v>
      </c>
      <c r="BI7" s="18">
        <v>2.9</v>
      </c>
      <c r="BJ7" s="18">
        <v>1.1000000000000001</v>
      </c>
      <c r="BK7" s="18">
        <v>0.7</v>
      </c>
      <c r="BL7" s="18">
        <v>17.100000000000001</v>
      </c>
      <c r="BM7" s="18">
        <v>4.3</v>
      </c>
      <c r="BN7" s="18">
        <v>0</v>
      </c>
      <c r="BO7" s="18">
        <v>0.7</v>
      </c>
      <c r="BP7" s="28"/>
      <c r="BQ7" s="11">
        <f t="shared" si="20"/>
        <v>7.6999999999999993</v>
      </c>
      <c r="BR7" s="11">
        <f t="shared" si="21"/>
        <v>44.300000000000004</v>
      </c>
      <c r="BS7" s="11" t="str">
        <f t="shared" si="22"/>
        <v/>
      </c>
      <c r="BT7" s="11">
        <f t="shared" si="23"/>
        <v>7.6999999999999993</v>
      </c>
      <c r="BU7" s="11">
        <f t="shared" si="24"/>
        <v>44.300000000000004</v>
      </c>
      <c r="BV7" s="11">
        <f t="shared" si="25"/>
        <v>7.1999999999999993</v>
      </c>
      <c r="BW7" s="11">
        <f t="shared" si="26"/>
        <v>38.9</v>
      </c>
      <c r="BX7" s="11">
        <f t="shared" si="27"/>
        <v>83.2</v>
      </c>
      <c r="BY7" s="19">
        <v>14</v>
      </c>
      <c r="BZ7" s="19">
        <v>2.9</v>
      </c>
      <c r="CA7" s="19">
        <v>0</v>
      </c>
      <c r="CB7" s="19">
        <v>0.7</v>
      </c>
      <c r="CC7" s="19">
        <v>17.399999999999999</v>
      </c>
      <c r="CD7" s="19">
        <v>3.6</v>
      </c>
      <c r="CE7" s="19">
        <v>0.2</v>
      </c>
      <c r="CF7" s="19">
        <v>0.7</v>
      </c>
      <c r="CG7" s="19"/>
      <c r="CH7" s="19"/>
      <c r="CI7" s="19"/>
      <c r="CJ7" s="19"/>
      <c r="CK7" s="19">
        <v>16.7</v>
      </c>
      <c r="CL7" s="19">
        <v>6.1</v>
      </c>
      <c r="CM7" s="19">
        <v>0</v>
      </c>
      <c r="CN7" s="19">
        <v>0.7</v>
      </c>
      <c r="CO7" s="19">
        <v>17.600000000000001</v>
      </c>
      <c r="CP7" s="19">
        <v>3.6</v>
      </c>
      <c r="CQ7" s="19">
        <v>0</v>
      </c>
      <c r="CR7" s="61">
        <v>0.7</v>
      </c>
      <c r="CS7" s="27"/>
      <c r="CT7" s="40">
        <f t="shared" si="28"/>
        <v>6.5</v>
      </c>
      <c r="CU7" s="40">
        <f t="shared" si="29"/>
        <v>39.1</v>
      </c>
      <c r="CV7" s="40" t="str">
        <f t="shared" si="30"/>
        <v/>
      </c>
      <c r="CW7" s="40">
        <f t="shared" si="31"/>
        <v>6.5</v>
      </c>
      <c r="CX7" s="40">
        <f t="shared" si="32"/>
        <v>39.1</v>
      </c>
      <c r="CY7" s="40">
        <f t="shared" si="33"/>
        <v>9.6999999999999993</v>
      </c>
      <c r="CZ7" s="40">
        <f t="shared" si="34"/>
        <v>45.4</v>
      </c>
      <c r="DA7" s="40">
        <f t="shared" si="35"/>
        <v>84.5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15.85</v>
      </c>
      <c r="TI7" s="26">
        <f t="shared" si="159"/>
        <v>3.5</v>
      </c>
      <c r="TJ7" s="26">
        <f t="shared" si="160"/>
        <v>0</v>
      </c>
      <c r="TK7" s="26">
        <f t="shared" si="161"/>
        <v>0.35</v>
      </c>
      <c r="TL7" s="26">
        <f t="shared" si="162"/>
        <v>17.799999999999997</v>
      </c>
      <c r="TM7" s="26">
        <f t="shared" si="163"/>
        <v>3.6</v>
      </c>
      <c r="TN7" s="26">
        <f t="shared" si="164"/>
        <v>0.1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15.5</v>
      </c>
      <c r="TU7" s="26">
        <f t="shared" si="171"/>
        <v>4.5</v>
      </c>
      <c r="TV7" s="26">
        <f t="shared" si="172"/>
        <v>0.55000000000000004</v>
      </c>
      <c r="TW7" s="26">
        <f t="shared" si="173"/>
        <v>0.7</v>
      </c>
      <c r="TX7" s="26">
        <f t="shared" si="174"/>
        <v>17.350000000000001</v>
      </c>
      <c r="TY7" s="26">
        <f t="shared" si="175"/>
        <v>3.95</v>
      </c>
      <c r="TZ7" s="26">
        <f t="shared" si="176"/>
        <v>0</v>
      </c>
      <c r="UA7" s="26">
        <f t="shared" si="177"/>
        <v>0.7</v>
      </c>
      <c r="UB7" s="28" t="s">
        <v>53</v>
      </c>
      <c r="UC7" s="11">
        <f t="shared" si="178"/>
        <v>7.1</v>
      </c>
      <c r="UD7" s="11">
        <f t="shared" si="179"/>
        <v>41.7</v>
      </c>
      <c r="UE7" s="11" t="str">
        <f t="shared" si="180"/>
        <v/>
      </c>
      <c r="UF7" s="11">
        <f t="shared" si="181"/>
        <v>7.1</v>
      </c>
      <c r="UG7" s="11">
        <f t="shared" si="182"/>
        <v>41.7</v>
      </c>
      <c r="UH7" s="11">
        <f t="shared" si="183"/>
        <v>8.4499999999999993</v>
      </c>
      <c r="UI7" s="11">
        <f t="shared" si="184"/>
        <v>42.150000000000006</v>
      </c>
      <c r="UJ7" s="11">
        <f t="shared" si="185"/>
        <v>83.850000000000009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174</v>
      </c>
      <c r="C8" s="4" t="s">
        <v>5</v>
      </c>
      <c r="D8" s="4">
        <v>2002</v>
      </c>
      <c r="E8" s="9">
        <f t="shared" si="0"/>
        <v>129.30000849500428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42.449999999999996</v>
      </c>
      <c r="M8" s="8" t="str">
        <f t="shared" si="6"/>
        <v>2025 Nationals</v>
      </c>
      <c r="N8" s="8">
        <f t="shared" si="7"/>
        <v>43.300000000000011</v>
      </c>
      <c r="O8" s="8" t="str">
        <f t="shared" si="8"/>
        <v>2024 3rd Domestic Trial</v>
      </c>
      <c r="P8" s="8">
        <f t="shared" si="9"/>
        <v>1.0500000000000043</v>
      </c>
      <c r="Q8" s="11" t="str">
        <f t="shared" si="10"/>
        <v>(Q1)</v>
      </c>
      <c r="R8" s="8" t="str">
        <f t="shared" si="11"/>
        <v>2025 World Cup POR (July 6)</v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 t="shared" si="12"/>
        <v>8.4</v>
      </c>
      <c r="AO8" s="40">
        <f t="shared" si="13"/>
        <v>42.499999999999993</v>
      </c>
      <c r="AP8" s="40">
        <f t="shared" si="14"/>
        <v>21.200000000000003</v>
      </c>
      <c r="AQ8" s="40">
        <f t="shared" si="15"/>
        <v>13.2</v>
      </c>
      <c r="AR8" s="40">
        <f t="shared" si="16"/>
        <v>63.699999999999996</v>
      </c>
      <c r="AS8" s="40">
        <f t="shared" si="17"/>
        <v>9.3999999999999986</v>
      </c>
      <c r="AT8" s="40">
        <f t="shared" si="18"/>
        <v>43.300000000000011</v>
      </c>
      <c r="AU8" s="40">
        <f t="shared" si="19"/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 t="shared" si="20"/>
        <v>10.8</v>
      </c>
      <c r="BR8" s="11">
        <f t="shared" si="21"/>
        <v>42.400000000000006</v>
      </c>
      <c r="BS8" s="11" t="str">
        <f t="shared" si="22"/>
        <v/>
      </c>
      <c r="BT8" s="11">
        <f t="shared" si="23"/>
        <v>10.8</v>
      </c>
      <c r="BU8" s="11">
        <f t="shared" si="24"/>
        <v>42.400000000000006</v>
      </c>
      <c r="BV8" s="11">
        <f t="shared" si="25"/>
        <v>5</v>
      </c>
      <c r="BW8" s="11">
        <f t="shared" si="26"/>
        <v>36.300000000000004</v>
      </c>
      <c r="BX8" s="11">
        <f t="shared" si="27"/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 t="shared" si="28"/>
        <v>9.6000000000000014</v>
      </c>
      <c r="CU8" s="40">
        <f t="shared" si="29"/>
        <v>42.449999999999996</v>
      </c>
      <c r="CV8" s="40" t="str">
        <f t="shared" si="30"/>
        <v/>
      </c>
      <c r="CW8" s="40">
        <f t="shared" si="31"/>
        <v>9.6000000000000014</v>
      </c>
      <c r="CX8" s="40">
        <f t="shared" si="32"/>
        <v>42.449999999999996</v>
      </c>
      <c r="CY8" s="40">
        <f t="shared" si="33"/>
        <v>7.1999999999999993</v>
      </c>
      <c r="CZ8" s="40">
        <f t="shared" si="34"/>
        <v>39.800000000000004</v>
      </c>
      <c r="DA8" s="40">
        <f t="shared" si="35"/>
        <v>82.25</v>
      </c>
      <c r="DB8" s="51">
        <f t="shared" si="36"/>
        <v>1.0500000000000043</v>
      </c>
      <c r="DC8" s="51" t="str">
        <f t="shared" si="37"/>
        <v/>
      </c>
      <c r="DD8" s="17">
        <v>16.2</v>
      </c>
      <c r="DE8" s="17">
        <v>5.3</v>
      </c>
      <c r="DF8" s="17">
        <v>0</v>
      </c>
      <c r="DG8" s="17">
        <v>0</v>
      </c>
      <c r="DH8" s="17">
        <v>16.5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38"/>
        <v>10.8</v>
      </c>
      <c r="DY8" s="40">
        <f t="shared" si="39"/>
        <v>43.5</v>
      </c>
      <c r="DZ8" s="40" t="str">
        <f t="shared" si="40"/>
        <v/>
      </c>
      <c r="EA8" s="40">
        <f t="shared" si="41"/>
        <v>10.8</v>
      </c>
      <c r="EB8" s="40">
        <f t="shared" si="42"/>
        <v>43.5</v>
      </c>
      <c r="EC8" s="40" t="str">
        <f t="shared" si="43"/>
        <v/>
      </c>
      <c r="ED8" s="40" t="str">
        <f t="shared" si="44"/>
        <v/>
      </c>
      <c r="EE8" s="40">
        <f t="shared" si="45"/>
        <v>43.5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16.55</v>
      </c>
      <c r="TI8" s="26">
        <f t="shared" si="159"/>
        <v>4.45</v>
      </c>
      <c r="TJ8" s="26">
        <f t="shared" si="160"/>
        <v>0.1</v>
      </c>
      <c r="TK8" s="26">
        <f t="shared" si="161"/>
        <v>0</v>
      </c>
      <c r="TL8" s="26">
        <f t="shared" si="162"/>
        <v>16.100000000000001</v>
      </c>
      <c r="TM8" s="26">
        <f t="shared" si="163"/>
        <v>5.15</v>
      </c>
      <c r="TN8" s="26">
        <f t="shared" si="164"/>
        <v>0</v>
      </c>
      <c r="TO8" s="26">
        <f t="shared" si="165"/>
        <v>0.3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16.600000000000001</v>
      </c>
      <c r="TU8" s="26">
        <f t="shared" si="171"/>
        <v>3.5999999999999996</v>
      </c>
      <c r="TV8" s="26">
        <f t="shared" si="172"/>
        <v>0.5</v>
      </c>
      <c r="TW8" s="26">
        <f t="shared" si="173"/>
        <v>0.3</v>
      </c>
      <c r="TX8" s="26">
        <f t="shared" si="174"/>
        <v>15.9</v>
      </c>
      <c r="TY8" s="26">
        <f t="shared" si="175"/>
        <v>3.5999999999999996</v>
      </c>
      <c r="TZ8" s="26">
        <f t="shared" si="176"/>
        <v>0</v>
      </c>
      <c r="UA8" s="26">
        <f t="shared" si="177"/>
        <v>0.3</v>
      </c>
      <c r="UB8" s="28" t="s">
        <v>53</v>
      </c>
      <c r="UC8" s="11">
        <f t="shared" si="178"/>
        <v>9.6000000000000014</v>
      </c>
      <c r="UD8" s="11">
        <f t="shared" si="179"/>
        <v>42.449999999999996</v>
      </c>
      <c r="UE8" s="11" t="str">
        <f t="shared" si="180"/>
        <v/>
      </c>
      <c r="UF8" s="11">
        <f t="shared" si="181"/>
        <v>9.6000000000000014</v>
      </c>
      <c r="UG8" s="11">
        <f t="shared" si="182"/>
        <v>42.449999999999996</v>
      </c>
      <c r="UH8" s="11">
        <f t="shared" si="183"/>
        <v>7.1999999999999993</v>
      </c>
      <c r="UI8" s="11">
        <f t="shared" si="184"/>
        <v>39.800000000000004</v>
      </c>
      <c r="UJ8" s="11">
        <f t="shared" si="185"/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 t="shared" si="12"/>
        <v>6.9</v>
      </c>
      <c r="AO9" s="40">
        <f t="shared" si="13"/>
        <v>39.400000000000006</v>
      </c>
      <c r="AP9" s="40">
        <f t="shared" si="14"/>
        <v>17.3</v>
      </c>
      <c r="AQ9" s="40">
        <f t="shared" si="15"/>
        <v>10.4</v>
      </c>
      <c r="AR9" s="40">
        <f t="shared" si="16"/>
        <v>56.7</v>
      </c>
      <c r="AS9" s="40">
        <f t="shared" si="17"/>
        <v>8.3999999999999986</v>
      </c>
      <c r="AT9" s="40">
        <f t="shared" si="18"/>
        <v>42.7</v>
      </c>
      <c r="AU9" s="40">
        <f t="shared" si="19"/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 t="shared" si="20"/>
        <v>8.8000000000000007</v>
      </c>
      <c r="BR9" s="11">
        <f t="shared" si="21"/>
        <v>44</v>
      </c>
      <c r="BS9" s="11" t="str">
        <f t="shared" si="22"/>
        <v/>
      </c>
      <c r="BT9" s="11">
        <f t="shared" si="23"/>
        <v>8.8000000000000007</v>
      </c>
      <c r="BU9" s="11">
        <f t="shared" si="24"/>
        <v>44</v>
      </c>
      <c r="BV9" s="11">
        <f t="shared" si="25"/>
        <v>8.8000000000000007</v>
      </c>
      <c r="BW9" s="11">
        <f t="shared" si="26"/>
        <v>44.5</v>
      </c>
      <c r="BX9" s="11">
        <f t="shared" si="27"/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 t="shared" si="28"/>
        <v>6.1999999999999993</v>
      </c>
      <c r="CU9" s="40">
        <f t="shared" si="29"/>
        <v>39</v>
      </c>
      <c r="CV9" s="40" t="str">
        <f t="shared" si="30"/>
        <v/>
      </c>
      <c r="CW9" s="40">
        <f t="shared" si="31"/>
        <v>6.1999999999999993</v>
      </c>
      <c r="CX9" s="40">
        <f t="shared" si="32"/>
        <v>39</v>
      </c>
      <c r="CY9" s="40">
        <f t="shared" si="33"/>
        <v>5.5</v>
      </c>
      <c r="CZ9" s="40">
        <f t="shared" si="34"/>
        <v>39.500000000000007</v>
      </c>
      <c r="DA9" s="40">
        <f t="shared" si="35"/>
        <v>78.5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15.899999999999999</v>
      </c>
      <c r="TI9" s="26">
        <f t="shared" si="159"/>
        <v>3.0999999999999996</v>
      </c>
      <c r="TJ9" s="26">
        <f t="shared" si="160"/>
        <v>0.1</v>
      </c>
      <c r="TK9" s="26">
        <f t="shared" si="161"/>
        <v>0.35</v>
      </c>
      <c r="TL9" s="26">
        <f t="shared" si="162"/>
        <v>17.149999999999999</v>
      </c>
      <c r="TM9" s="26">
        <f t="shared" si="163"/>
        <v>4.4000000000000004</v>
      </c>
      <c r="TN9" s="26">
        <f t="shared" si="164"/>
        <v>0</v>
      </c>
      <c r="TO9" s="26">
        <f t="shared" si="165"/>
        <v>0.7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16.649999999999999</v>
      </c>
      <c r="TU9" s="26">
        <f t="shared" si="171"/>
        <v>3.2</v>
      </c>
      <c r="TV9" s="26">
        <f t="shared" si="172"/>
        <v>0</v>
      </c>
      <c r="TW9" s="26">
        <f t="shared" si="173"/>
        <v>0.35</v>
      </c>
      <c r="TX9" s="26">
        <f t="shared" si="174"/>
        <v>17.25</v>
      </c>
      <c r="TY9" s="26">
        <f t="shared" si="175"/>
        <v>3.95</v>
      </c>
      <c r="TZ9" s="26">
        <f t="shared" si="176"/>
        <v>0.1</v>
      </c>
      <c r="UA9" s="26">
        <f t="shared" si="177"/>
        <v>0.7</v>
      </c>
      <c r="UB9" s="28" t="s">
        <v>53</v>
      </c>
      <c r="UC9" s="11">
        <f t="shared" si="178"/>
        <v>7.5</v>
      </c>
      <c r="UD9" s="11">
        <f t="shared" si="179"/>
        <v>41.5</v>
      </c>
      <c r="UE9" s="11" t="str">
        <f t="shared" si="180"/>
        <v/>
      </c>
      <c r="UF9" s="11">
        <f t="shared" si="181"/>
        <v>7.5</v>
      </c>
      <c r="UG9" s="11">
        <f t="shared" si="182"/>
        <v>41.5</v>
      </c>
      <c r="UH9" s="11">
        <f t="shared" si="183"/>
        <v>7.15</v>
      </c>
      <c r="UI9" s="11">
        <f t="shared" si="184"/>
        <v>42.000000000000007</v>
      </c>
      <c r="UJ9" s="11">
        <f t="shared" si="185"/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204</v>
      </c>
      <c r="C10" s="4" t="s">
        <v>5</v>
      </c>
      <c r="D10" s="4">
        <v>2008</v>
      </c>
      <c r="E10" s="9">
        <f t="shared" si="0"/>
        <v>125.0000079500041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41</v>
      </c>
      <c r="K10" s="8" t="str">
        <f t="shared" si="5"/>
        <v>2025 Nationals</v>
      </c>
      <c r="L10" s="8">
        <f>IF(COUNT(AO10,BR10,CU10)&gt;1,LARGE((AO10,BR10,CU10),2),0)</f>
        <v>38.5</v>
      </c>
      <c r="M10" s="8" t="str">
        <f t="shared" si="6"/>
        <v>2025 Elite Canada</v>
      </c>
      <c r="N10" s="8">
        <f t="shared" si="7"/>
        <v>45.5</v>
      </c>
      <c r="O10" s="8" t="str">
        <f t="shared" si="8"/>
        <v>2025 Elite Canada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9.9</v>
      </c>
      <c r="T10" s="19">
        <v>2.4</v>
      </c>
      <c r="U10" s="19">
        <v>0</v>
      </c>
      <c r="V10" s="19"/>
      <c r="W10" s="19">
        <v>16.5</v>
      </c>
      <c r="X10" s="19">
        <v>1.8</v>
      </c>
      <c r="Y10" s="19">
        <v>1</v>
      </c>
      <c r="Z10" s="19"/>
      <c r="AA10" s="19">
        <v>9.8000000000000007</v>
      </c>
      <c r="AB10" s="19">
        <v>2.4</v>
      </c>
      <c r="AC10" s="19">
        <v>0</v>
      </c>
      <c r="AD10" s="19"/>
      <c r="AE10" s="19">
        <v>9.9</v>
      </c>
      <c r="AF10" s="19">
        <v>2.4</v>
      </c>
      <c r="AG10" s="19">
        <v>0</v>
      </c>
      <c r="AH10" s="19"/>
      <c r="AI10" s="19">
        <v>14.3</v>
      </c>
      <c r="AJ10" s="19">
        <v>2.1</v>
      </c>
      <c r="AK10" s="19">
        <v>1</v>
      </c>
      <c r="AL10" s="19"/>
      <c r="AM10" s="27"/>
      <c r="AN10" s="40">
        <f t="shared" si="12"/>
        <v>4.2</v>
      </c>
      <c r="AO10" s="40">
        <f t="shared" si="13"/>
        <v>29.6</v>
      </c>
      <c r="AP10" s="40">
        <f t="shared" si="14"/>
        <v>12.200000000000001</v>
      </c>
      <c r="AQ10" s="40">
        <f t="shared" si="15"/>
        <v>6.6</v>
      </c>
      <c r="AR10" s="40">
        <f t="shared" si="16"/>
        <v>41.800000000000004</v>
      </c>
      <c r="AS10" s="40">
        <f t="shared" si="17"/>
        <v>4.5</v>
      </c>
      <c r="AT10" s="40">
        <f t="shared" si="18"/>
        <v>27.700000000000003</v>
      </c>
      <c r="AU10" s="40">
        <f t="shared" si="19"/>
        <v>69.5</v>
      </c>
      <c r="AV10" s="18">
        <v>16.5</v>
      </c>
      <c r="AW10" s="18">
        <v>3.5</v>
      </c>
      <c r="AX10" s="18">
        <v>0.1</v>
      </c>
      <c r="AY10" s="18">
        <v>0</v>
      </c>
      <c r="AZ10" s="18">
        <v>14.3</v>
      </c>
      <c r="BA10" s="18">
        <v>4</v>
      </c>
      <c r="BB10" s="18">
        <v>0.4</v>
      </c>
      <c r="BC10" s="18">
        <v>0.7</v>
      </c>
      <c r="BD10" s="18"/>
      <c r="BE10" s="18"/>
      <c r="BF10" s="18"/>
      <c r="BG10" s="18"/>
      <c r="BH10" s="18">
        <v>16.399999999999999</v>
      </c>
      <c r="BI10" s="18">
        <v>6.3</v>
      </c>
      <c r="BJ10" s="18">
        <v>0</v>
      </c>
      <c r="BK10" s="18">
        <v>0.7</v>
      </c>
      <c r="BL10" s="18">
        <v>17.600000000000001</v>
      </c>
      <c r="BM10" s="18">
        <v>3.8</v>
      </c>
      <c r="BN10" s="18">
        <v>0</v>
      </c>
      <c r="BO10" s="18">
        <v>0.7</v>
      </c>
      <c r="BP10" s="28"/>
      <c r="BQ10" s="11">
        <f t="shared" si="20"/>
        <v>7.5</v>
      </c>
      <c r="BR10" s="11">
        <f t="shared" si="21"/>
        <v>38.5</v>
      </c>
      <c r="BS10" s="11" t="str">
        <f t="shared" si="22"/>
        <v/>
      </c>
      <c r="BT10" s="11">
        <f t="shared" si="23"/>
        <v>7.5</v>
      </c>
      <c r="BU10" s="11">
        <f t="shared" si="24"/>
        <v>38.5</v>
      </c>
      <c r="BV10" s="11">
        <f t="shared" si="25"/>
        <v>10.1</v>
      </c>
      <c r="BW10" s="11">
        <f t="shared" si="26"/>
        <v>45.5</v>
      </c>
      <c r="BX10" s="11">
        <f t="shared" si="27"/>
        <v>84</v>
      </c>
      <c r="BY10" s="19">
        <v>15.5</v>
      </c>
      <c r="BZ10" s="19">
        <v>3.4</v>
      </c>
      <c r="CA10" s="19">
        <v>0.2</v>
      </c>
      <c r="CB10" s="19">
        <v>0.7</v>
      </c>
      <c r="CC10" s="19">
        <v>17.100000000000001</v>
      </c>
      <c r="CD10" s="19">
        <v>3.8</v>
      </c>
      <c r="CE10" s="19">
        <v>0</v>
      </c>
      <c r="CF10" s="19">
        <v>0.7</v>
      </c>
      <c r="CG10" s="19"/>
      <c r="CH10" s="19"/>
      <c r="CI10" s="19"/>
      <c r="CJ10" s="19"/>
      <c r="CK10" s="19">
        <v>14.8</v>
      </c>
      <c r="CL10" s="19">
        <v>6.1</v>
      </c>
      <c r="CM10" s="19">
        <v>0</v>
      </c>
      <c r="CN10" s="19">
        <v>0.7</v>
      </c>
      <c r="CO10" s="19">
        <v>16.100000000000001</v>
      </c>
      <c r="CP10" s="19">
        <v>1.2</v>
      </c>
      <c r="CQ10" s="19">
        <v>0</v>
      </c>
      <c r="CR10" s="19">
        <v>0</v>
      </c>
      <c r="CS10" s="27"/>
      <c r="CT10" s="40">
        <f t="shared" si="28"/>
        <v>7.1999999999999993</v>
      </c>
      <c r="CU10" s="40">
        <f t="shared" si="29"/>
        <v>41</v>
      </c>
      <c r="CV10" s="40" t="str">
        <f t="shared" si="30"/>
        <v/>
      </c>
      <c r="CW10" s="40">
        <f t="shared" si="31"/>
        <v>7.1999999999999993</v>
      </c>
      <c r="CX10" s="40">
        <f t="shared" si="32"/>
        <v>41</v>
      </c>
      <c r="CY10" s="40">
        <f t="shared" si="33"/>
        <v>7.3</v>
      </c>
      <c r="CZ10" s="40">
        <f t="shared" si="34"/>
        <v>38.900000000000006</v>
      </c>
      <c r="DA10" s="40">
        <f t="shared" si="35"/>
        <v>79.900000000000006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16</v>
      </c>
      <c r="TI10" s="26">
        <f t="shared" si="159"/>
        <v>3.45</v>
      </c>
      <c r="TJ10" s="26">
        <f t="shared" si="160"/>
        <v>0.15000000000000002</v>
      </c>
      <c r="TK10" s="26">
        <f t="shared" si="161"/>
        <v>0.35</v>
      </c>
      <c r="TL10" s="26">
        <f t="shared" si="162"/>
        <v>15.700000000000001</v>
      </c>
      <c r="TM10" s="26">
        <f t="shared" si="163"/>
        <v>3.9</v>
      </c>
      <c r="TN10" s="26">
        <f t="shared" si="164"/>
        <v>0.2</v>
      </c>
      <c r="TO10" s="26">
        <f t="shared" si="165"/>
        <v>0.7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15.6</v>
      </c>
      <c r="TU10" s="26">
        <f t="shared" si="171"/>
        <v>6.1999999999999993</v>
      </c>
      <c r="TV10" s="26">
        <f t="shared" si="172"/>
        <v>0</v>
      </c>
      <c r="TW10" s="26">
        <f t="shared" si="173"/>
        <v>0.7</v>
      </c>
      <c r="TX10" s="26">
        <f t="shared" si="174"/>
        <v>16.850000000000001</v>
      </c>
      <c r="TY10" s="26">
        <f t="shared" si="175"/>
        <v>2.5</v>
      </c>
      <c r="TZ10" s="26">
        <f t="shared" si="176"/>
        <v>0</v>
      </c>
      <c r="UA10" s="26">
        <f t="shared" si="177"/>
        <v>0.35</v>
      </c>
      <c r="UB10" s="28" t="s">
        <v>53</v>
      </c>
      <c r="UC10" s="11">
        <f t="shared" si="178"/>
        <v>7.35</v>
      </c>
      <c r="UD10" s="11">
        <f t="shared" si="179"/>
        <v>39.75</v>
      </c>
      <c r="UE10" s="11" t="str">
        <f t="shared" si="180"/>
        <v/>
      </c>
      <c r="UF10" s="11">
        <f t="shared" si="181"/>
        <v>7.35</v>
      </c>
      <c r="UG10" s="11">
        <f t="shared" si="182"/>
        <v>39.75</v>
      </c>
      <c r="UH10" s="11">
        <f t="shared" si="183"/>
        <v>8.6999999999999993</v>
      </c>
      <c r="UI10" s="11">
        <f t="shared" si="184"/>
        <v>42.199999999999996</v>
      </c>
      <c r="UJ10" s="11">
        <f t="shared" si="185"/>
        <v>81.949999999999989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126</v>
      </c>
      <c r="C11" s="4" t="s">
        <v>5</v>
      </c>
      <c r="D11" s="4">
        <v>2001</v>
      </c>
      <c r="E11" s="9">
        <f t="shared" si="0"/>
        <v>119.40000761000384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IF(COUNT(AO11,BR11,CU11)&gt;0,LARGE((AO11,BR11,CU11),1),0)</f>
        <v>38.4</v>
      </c>
      <c r="K11" s="8" t="str">
        <f t="shared" si="5"/>
        <v>2025 Nationals</v>
      </c>
      <c r="L11" s="8">
        <f>IF(COUNT(AO11,BR11,CU11)&gt;1,LARGE((AO11,BR11,CU11),2),0)</f>
        <v>37.70000000000001</v>
      </c>
      <c r="M11" s="8" t="str">
        <f t="shared" si="6"/>
        <v>2024 3rd Domestic Trial</v>
      </c>
      <c r="N11" s="8">
        <f t="shared" si="7"/>
        <v>43.300000000000004</v>
      </c>
      <c r="O11" s="8" t="str">
        <f t="shared" si="8"/>
        <v>2024 3rd Domestic Trial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16.8</v>
      </c>
      <c r="T11" s="19">
        <v>3.2</v>
      </c>
      <c r="U11" s="19">
        <v>2.4</v>
      </c>
      <c r="V11" s="19">
        <v>0.6</v>
      </c>
      <c r="W11" s="19">
        <v>16.3</v>
      </c>
      <c r="X11" s="19">
        <v>4.5999999999999996</v>
      </c>
      <c r="Y11" s="19">
        <v>2</v>
      </c>
      <c r="Z11" s="19">
        <v>0.6</v>
      </c>
      <c r="AA11" s="19">
        <v>17</v>
      </c>
      <c r="AB11" s="19">
        <v>3.2</v>
      </c>
      <c r="AC11" s="19">
        <v>0.4</v>
      </c>
      <c r="AD11" s="19">
        <v>0.6</v>
      </c>
      <c r="AE11" s="19">
        <v>16.5</v>
      </c>
      <c r="AF11" s="19">
        <v>4.8</v>
      </c>
      <c r="AG11" s="19">
        <v>0</v>
      </c>
      <c r="AH11" s="19">
        <v>0.6</v>
      </c>
      <c r="AI11" s="19">
        <v>16.2</v>
      </c>
      <c r="AJ11" s="19">
        <v>4.5999999999999996</v>
      </c>
      <c r="AK11" s="19">
        <v>0</v>
      </c>
      <c r="AL11" s="19">
        <v>0.6</v>
      </c>
      <c r="AM11" s="27"/>
      <c r="AN11" s="40">
        <f t="shared" si="12"/>
        <v>7.8</v>
      </c>
      <c r="AO11" s="40">
        <f t="shared" si="13"/>
        <v>37.70000000000001</v>
      </c>
      <c r="AP11" s="40">
        <f t="shared" si="14"/>
        <v>20.400000000000002</v>
      </c>
      <c r="AQ11" s="40">
        <f t="shared" si="15"/>
        <v>11</v>
      </c>
      <c r="AR11" s="40">
        <f t="shared" si="16"/>
        <v>58.100000000000009</v>
      </c>
      <c r="AS11" s="40">
        <f t="shared" si="17"/>
        <v>9.3999999999999986</v>
      </c>
      <c r="AT11" s="40">
        <f t="shared" si="18"/>
        <v>43.300000000000004</v>
      </c>
      <c r="AU11" s="40">
        <f t="shared" si="19"/>
        <v>101.4</v>
      </c>
      <c r="AV11" s="18">
        <v>14.5</v>
      </c>
      <c r="AW11" s="18">
        <v>2.6</v>
      </c>
      <c r="AX11" s="18">
        <v>0</v>
      </c>
      <c r="AY11" s="18">
        <v>0</v>
      </c>
      <c r="AZ11" s="18">
        <v>16.3</v>
      </c>
      <c r="BA11" s="18">
        <v>3.2</v>
      </c>
      <c r="BB11" s="18">
        <v>2.4</v>
      </c>
      <c r="BC11" s="18">
        <v>0</v>
      </c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>
        <f t="shared" si="20"/>
        <v>5.8000000000000007</v>
      </c>
      <c r="BR11" s="11">
        <f t="shared" si="21"/>
        <v>34.20000000000001</v>
      </c>
      <c r="BS11" s="11" t="str">
        <f t="shared" si="22"/>
        <v/>
      </c>
      <c r="BT11" s="11">
        <f t="shared" si="23"/>
        <v>5.8000000000000007</v>
      </c>
      <c r="BU11" s="11">
        <f t="shared" si="24"/>
        <v>34.20000000000001</v>
      </c>
      <c r="BV11" s="11" t="str">
        <f t="shared" si="25"/>
        <v/>
      </c>
      <c r="BW11" s="11" t="str">
        <f t="shared" si="26"/>
        <v/>
      </c>
      <c r="BX11" s="11">
        <f t="shared" si="27"/>
        <v>34.20000000000001</v>
      </c>
      <c r="BY11" s="19">
        <v>15.8</v>
      </c>
      <c r="BZ11" s="19">
        <v>1.9</v>
      </c>
      <c r="CA11" s="19">
        <v>0</v>
      </c>
      <c r="CB11" s="19">
        <v>0</v>
      </c>
      <c r="CC11" s="19">
        <v>16.8</v>
      </c>
      <c r="CD11" s="19">
        <v>3.9</v>
      </c>
      <c r="CE11" s="19">
        <v>0</v>
      </c>
      <c r="CF11" s="19">
        <v>0</v>
      </c>
      <c r="CG11" s="19"/>
      <c r="CH11" s="19"/>
      <c r="CI11" s="19"/>
      <c r="CJ11" s="19"/>
      <c r="CK11" s="19">
        <v>15.9</v>
      </c>
      <c r="CL11" s="19">
        <v>1.9</v>
      </c>
      <c r="CM11" s="19">
        <v>0</v>
      </c>
      <c r="CN11" s="19">
        <v>0</v>
      </c>
      <c r="CO11" s="19">
        <v>17.5</v>
      </c>
      <c r="CP11" s="19">
        <v>2.5</v>
      </c>
      <c r="CQ11" s="19">
        <v>1</v>
      </c>
      <c r="CR11" s="19">
        <v>0</v>
      </c>
      <c r="CS11" s="27"/>
      <c r="CT11" s="40">
        <f t="shared" si="28"/>
        <v>5.8</v>
      </c>
      <c r="CU11" s="40">
        <f t="shared" si="29"/>
        <v>38.4</v>
      </c>
      <c r="CV11" s="40" t="str">
        <f t="shared" si="30"/>
        <v/>
      </c>
      <c r="CW11" s="40">
        <f t="shared" si="31"/>
        <v>5.8</v>
      </c>
      <c r="CX11" s="40">
        <f t="shared" si="32"/>
        <v>38.4</v>
      </c>
      <c r="CY11" s="40">
        <f t="shared" si="33"/>
        <v>4.4000000000000004</v>
      </c>
      <c r="CZ11" s="40">
        <f t="shared" si="34"/>
        <v>36.799999999999997</v>
      </c>
      <c r="DA11" s="40">
        <f t="shared" si="35"/>
        <v>75.199999999999989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15.15</v>
      </c>
      <c r="TI11" s="26">
        <f t="shared" si="159"/>
        <v>2.25</v>
      </c>
      <c r="TJ11" s="26">
        <f t="shared" si="160"/>
        <v>0</v>
      </c>
      <c r="TK11" s="26">
        <f t="shared" si="161"/>
        <v>0</v>
      </c>
      <c r="TL11" s="26">
        <f t="shared" si="162"/>
        <v>16.55</v>
      </c>
      <c r="TM11" s="26">
        <f t="shared" si="163"/>
        <v>3.55</v>
      </c>
      <c r="TN11" s="26">
        <f t="shared" si="164"/>
        <v>1.2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7.95</v>
      </c>
      <c r="TU11" s="26">
        <f t="shared" si="171"/>
        <v>0.95</v>
      </c>
      <c r="TV11" s="26">
        <f t="shared" si="172"/>
        <v>0</v>
      </c>
      <c r="TW11" s="26">
        <f t="shared" si="173"/>
        <v>0</v>
      </c>
      <c r="TX11" s="26">
        <f t="shared" si="174"/>
        <v>8.75</v>
      </c>
      <c r="TY11" s="26">
        <f t="shared" si="175"/>
        <v>1.25</v>
      </c>
      <c r="TZ11" s="26">
        <f t="shared" si="176"/>
        <v>0.5</v>
      </c>
      <c r="UA11" s="26">
        <f t="shared" si="177"/>
        <v>0</v>
      </c>
      <c r="UB11" s="28" t="s">
        <v>53</v>
      </c>
      <c r="UC11" s="11">
        <f t="shared" si="178"/>
        <v>5.8</v>
      </c>
      <c r="UD11" s="11">
        <f t="shared" si="179"/>
        <v>36.299999999999997</v>
      </c>
      <c r="UE11" s="11" t="str">
        <f t="shared" si="180"/>
        <v/>
      </c>
      <c r="UF11" s="11">
        <f t="shared" si="181"/>
        <v>5.8</v>
      </c>
      <c r="UG11" s="11">
        <f t="shared" si="182"/>
        <v>36.299999999999997</v>
      </c>
      <c r="UH11" s="11">
        <f t="shared" si="183"/>
        <v>2.2000000000000002</v>
      </c>
      <c r="UI11" s="11">
        <f t="shared" si="184"/>
        <v>18.399999999999999</v>
      </c>
      <c r="UJ11" s="11">
        <f t="shared" si="185"/>
        <v>54.699999999999996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242</v>
      </c>
      <c r="C12" s="4" t="s">
        <v>7</v>
      </c>
      <c r="D12" s="4">
        <v>2005</v>
      </c>
      <c r="E12" s="9">
        <f t="shared" si="0"/>
        <v>126.60000842000423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42.300000000000004</v>
      </c>
      <c r="K12" s="8" t="str">
        <f t="shared" si="5"/>
        <v>2025 Nationals</v>
      </c>
      <c r="L12" s="8">
        <f>IF(COUNT(AO12,BR12,CU12)&gt;1,LARGE((AO12,BR12,CU12),2),0)</f>
        <v>41.9</v>
      </c>
      <c r="M12" s="8" t="str">
        <f t="shared" si="6"/>
        <v>2025 Elite Canada</v>
      </c>
      <c r="N12" s="8">
        <f t="shared" si="7"/>
        <v>42.4</v>
      </c>
      <c r="O12" s="8" t="str">
        <f t="shared" si="8"/>
        <v>2025 Nationals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27"/>
      <c r="AN12" s="40" t="str">
        <f t="shared" si="12"/>
        <v/>
      </c>
      <c r="AO12" s="40" t="str">
        <f t="shared" si="13"/>
        <v/>
      </c>
      <c r="AP12" s="40" t="str">
        <f t="shared" si="14"/>
        <v/>
      </c>
      <c r="AQ12" s="40" t="str">
        <f t="shared" si="15"/>
        <v/>
      </c>
      <c r="AR12" s="40" t="str">
        <f t="shared" si="16"/>
        <v/>
      </c>
      <c r="AS12" s="40" t="str">
        <f t="shared" si="17"/>
        <v/>
      </c>
      <c r="AT12" s="40" t="str">
        <f t="shared" si="18"/>
        <v/>
      </c>
      <c r="AU12" s="40" t="str">
        <f t="shared" si="19"/>
        <v/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17</v>
      </c>
      <c r="BA12" s="18">
        <v>3.9</v>
      </c>
      <c r="BB12" s="18">
        <v>0</v>
      </c>
      <c r="BC12" s="18">
        <v>0</v>
      </c>
      <c r="BD12" s="18"/>
      <c r="BE12" s="18"/>
      <c r="BF12" s="18"/>
      <c r="BG12" s="18"/>
      <c r="BH12" s="18">
        <v>16.8</v>
      </c>
      <c r="BI12" s="18">
        <v>4.0999999999999996</v>
      </c>
      <c r="BJ12" s="18">
        <v>0</v>
      </c>
      <c r="BK12" s="18">
        <v>0</v>
      </c>
      <c r="BL12" s="18">
        <v>14.8</v>
      </c>
      <c r="BM12" s="18">
        <v>4.5999999999999996</v>
      </c>
      <c r="BN12" s="18">
        <v>0</v>
      </c>
      <c r="BO12" s="18">
        <v>0</v>
      </c>
      <c r="BP12" s="28"/>
      <c r="BQ12" s="11">
        <f t="shared" si="20"/>
        <v>8</v>
      </c>
      <c r="BR12" s="11">
        <f t="shared" si="21"/>
        <v>41.9</v>
      </c>
      <c r="BS12" s="11" t="str">
        <f t="shared" si="22"/>
        <v/>
      </c>
      <c r="BT12" s="11">
        <f t="shared" si="23"/>
        <v>8</v>
      </c>
      <c r="BU12" s="11">
        <f t="shared" si="24"/>
        <v>41.9</v>
      </c>
      <c r="BV12" s="11">
        <f t="shared" si="25"/>
        <v>8.6999999999999993</v>
      </c>
      <c r="BW12" s="11">
        <f t="shared" si="26"/>
        <v>40.300000000000004</v>
      </c>
      <c r="BX12" s="11">
        <f t="shared" si="27"/>
        <v>82.2</v>
      </c>
      <c r="BY12" s="19">
        <v>16.899999999999999</v>
      </c>
      <c r="BZ12" s="19">
        <v>4.0999999999999996</v>
      </c>
      <c r="CA12" s="19">
        <v>0</v>
      </c>
      <c r="CB12" s="19">
        <v>0</v>
      </c>
      <c r="CC12" s="19">
        <v>16.7</v>
      </c>
      <c r="CD12" s="19">
        <v>4.5999999999999996</v>
      </c>
      <c r="CE12" s="19">
        <v>0</v>
      </c>
      <c r="CF12" s="19">
        <v>0</v>
      </c>
      <c r="CG12" s="19"/>
      <c r="CH12" s="19"/>
      <c r="CI12" s="19"/>
      <c r="CJ12" s="19"/>
      <c r="CK12" s="19">
        <v>16.5</v>
      </c>
      <c r="CL12" s="19">
        <v>4.8</v>
      </c>
      <c r="CM12" s="19">
        <v>0</v>
      </c>
      <c r="CN12" s="19">
        <v>0</v>
      </c>
      <c r="CO12" s="19">
        <v>16.5</v>
      </c>
      <c r="CP12" s="19">
        <v>4.5999999999999996</v>
      </c>
      <c r="CQ12" s="19">
        <v>0</v>
      </c>
      <c r="CR12" s="19">
        <v>0</v>
      </c>
      <c r="CS12" s="27"/>
      <c r="CT12" s="40">
        <f t="shared" si="28"/>
        <v>8.6999999999999993</v>
      </c>
      <c r="CU12" s="40">
        <f t="shared" si="29"/>
        <v>42.300000000000004</v>
      </c>
      <c r="CV12" s="40" t="str">
        <f t="shared" si="30"/>
        <v/>
      </c>
      <c r="CW12" s="40">
        <f t="shared" si="31"/>
        <v>8.6999999999999993</v>
      </c>
      <c r="CX12" s="40">
        <f t="shared" si="32"/>
        <v>42.300000000000004</v>
      </c>
      <c r="CY12" s="40">
        <f t="shared" si="33"/>
        <v>9.3999999999999986</v>
      </c>
      <c r="CZ12" s="40">
        <f t="shared" si="34"/>
        <v>42.4</v>
      </c>
      <c r="DA12" s="40">
        <f t="shared" si="35"/>
        <v>84.7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16.899999999999999</v>
      </c>
      <c r="TI12" s="26">
        <f t="shared" si="159"/>
        <v>4.0999999999999996</v>
      </c>
      <c r="TJ12" s="26">
        <f t="shared" si="160"/>
        <v>0</v>
      </c>
      <c r="TK12" s="26">
        <f t="shared" si="161"/>
        <v>0</v>
      </c>
      <c r="TL12" s="26">
        <f t="shared" si="162"/>
        <v>16.850000000000001</v>
      </c>
      <c r="TM12" s="26">
        <f t="shared" si="163"/>
        <v>4.25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16.649999999999999</v>
      </c>
      <c r="TU12" s="26">
        <f t="shared" si="171"/>
        <v>4.4499999999999993</v>
      </c>
      <c r="TV12" s="26">
        <f t="shared" si="172"/>
        <v>0</v>
      </c>
      <c r="TW12" s="26">
        <f t="shared" si="173"/>
        <v>0</v>
      </c>
      <c r="TX12" s="26">
        <f t="shared" si="174"/>
        <v>15.65</v>
      </c>
      <c r="TY12" s="26">
        <f t="shared" si="175"/>
        <v>4.5999999999999996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8.35</v>
      </c>
      <c r="UD12" s="11">
        <f t="shared" si="179"/>
        <v>42.1</v>
      </c>
      <c r="UE12" s="11" t="str">
        <f t="shared" si="180"/>
        <v/>
      </c>
      <c r="UF12" s="11">
        <f t="shared" si="181"/>
        <v>8.35</v>
      </c>
      <c r="UG12" s="11">
        <f t="shared" si="182"/>
        <v>42.1</v>
      </c>
      <c r="UH12" s="11">
        <f t="shared" si="183"/>
        <v>9.0499999999999989</v>
      </c>
      <c r="UI12" s="11">
        <f t="shared" si="184"/>
        <v>41.35</v>
      </c>
      <c r="UJ12" s="11">
        <f t="shared" si="185"/>
        <v>83.45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172</v>
      </c>
      <c r="C13" s="4" t="s">
        <v>3</v>
      </c>
      <c r="D13" s="4">
        <v>2007</v>
      </c>
      <c r="E13" s="9">
        <f t="shared" si="0"/>
        <v>123.70000820000418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41.9</v>
      </c>
      <c r="K13" s="8" t="str">
        <f t="shared" si="5"/>
        <v>2025 Nationals</v>
      </c>
      <c r="L13" s="8">
        <f>IF(COUNT(AO13,BR13,CU13)&gt;1,LARGE((AO13,BR13,CU13),2),0)</f>
        <v>40.1</v>
      </c>
      <c r="M13" s="8" t="str">
        <f t="shared" si="6"/>
        <v>2025 Elite Canada</v>
      </c>
      <c r="N13" s="8">
        <f t="shared" si="7"/>
        <v>41.699999999999996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11.7</v>
      </c>
      <c r="T13" s="19">
        <v>3</v>
      </c>
      <c r="U13" s="19">
        <v>0</v>
      </c>
      <c r="V13" s="19">
        <v>0.6</v>
      </c>
      <c r="W13" s="19">
        <v>16.399999999999999</v>
      </c>
      <c r="X13" s="19">
        <v>4.5999999999999996</v>
      </c>
      <c r="Y13" s="19">
        <v>0</v>
      </c>
      <c r="Z13" s="19">
        <v>0.6</v>
      </c>
      <c r="AA13" s="19">
        <v>16.2</v>
      </c>
      <c r="AB13" s="19">
        <v>4.5999999999999996</v>
      </c>
      <c r="AC13" s="19">
        <v>0</v>
      </c>
      <c r="AD13" s="19">
        <v>0.6</v>
      </c>
      <c r="AE13" s="19">
        <v>16.3</v>
      </c>
      <c r="AF13" s="19">
        <v>4.4000000000000004</v>
      </c>
      <c r="AG13" s="19">
        <v>0.2</v>
      </c>
      <c r="AH13" s="19">
        <v>0.44999999999999996</v>
      </c>
      <c r="AI13" s="19">
        <v>16.25</v>
      </c>
      <c r="AJ13" s="19">
        <v>3.5999999999999996</v>
      </c>
      <c r="AK13" s="19">
        <v>0</v>
      </c>
      <c r="AL13" s="19">
        <v>0.6</v>
      </c>
      <c r="AM13" s="27" t="s">
        <v>53</v>
      </c>
      <c r="AN13" s="40">
        <f t="shared" si="12"/>
        <v>7.6</v>
      </c>
      <c r="AO13" s="40">
        <f t="shared" si="13"/>
        <v>36.9</v>
      </c>
      <c r="AP13" s="40">
        <f t="shared" si="14"/>
        <v>21.4</v>
      </c>
      <c r="AQ13" s="40">
        <f t="shared" si="15"/>
        <v>12.2</v>
      </c>
      <c r="AR13" s="40">
        <f t="shared" si="16"/>
        <v>58.3</v>
      </c>
      <c r="AS13" s="40">
        <f t="shared" si="17"/>
        <v>8</v>
      </c>
      <c r="AT13" s="40">
        <f t="shared" si="18"/>
        <v>41.400000000000006</v>
      </c>
      <c r="AU13" s="40">
        <f t="shared" si="19"/>
        <v>99.7</v>
      </c>
      <c r="AV13" s="18">
        <v>15.3</v>
      </c>
      <c r="AW13" s="18">
        <v>4.2</v>
      </c>
      <c r="AX13" s="18">
        <v>0.4</v>
      </c>
      <c r="AY13" s="18">
        <v>0.7</v>
      </c>
      <c r="AZ13" s="18">
        <v>15.7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15.6</v>
      </c>
      <c r="BI13" s="18">
        <v>4.0999999999999996</v>
      </c>
      <c r="BJ13" s="18">
        <v>0</v>
      </c>
      <c r="BK13" s="18">
        <v>0.7</v>
      </c>
      <c r="BL13" s="18">
        <v>16.399999999999999</v>
      </c>
      <c r="BM13" s="18">
        <v>4.8</v>
      </c>
      <c r="BN13" s="18">
        <v>0</v>
      </c>
      <c r="BO13" s="18">
        <v>0</v>
      </c>
      <c r="BP13" s="28"/>
      <c r="BQ13" s="11">
        <f t="shared" si="20"/>
        <v>8.8000000000000007</v>
      </c>
      <c r="BR13" s="11">
        <f t="shared" si="21"/>
        <v>40.1</v>
      </c>
      <c r="BS13" s="11" t="str">
        <f t="shared" si="22"/>
        <v/>
      </c>
      <c r="BT13" s="11">
        <f t="shared" si="23"/>
        <v>8.8000000000000007</v>
      </c>
      <c r="BU13" s="11">
        <f t="shared" si="24"/>
        <v>40.1</v>
      </c>
      <c r="BV13" s="11">
        <f t="shared" si="25"/>
        <v>8.8999999999999986</v>
      </c>
      <c r="BW13" s="11">
        <f t="shared" si="26"/>
        <v>41.599999999999994</v>
      </c>
      <c r="BX13" s="11">
        <f t="shared" si="27"/>
        <v>81.699999999999989</v>
      </c>
      <c r="BY13" s="19">
        <v>16.399999999999999</v>
      </c>
      <c r="BZ13" s="19">
        <v>4.2</v>
      </c>
      <c r="CA13" s="19">
        <v>0</v>
      </c>
      <c r="CB13" s="19">
        <v>0.7</v>
      </c>
      <c r="CC13" s="19">
        <v>16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16.2</v>
      </c>
      <c r="CL13" s="19">
        <v>3.3</v>
      </c>
      <c r="CM13" s="19">
        <v>0</v>
      </c>
      <c r="CN13" s="19">
        <v>0.7</v>
      </c>
      <c r="CO13" s="19">
        <v>16.7</v>
      </c>
      <c r="CP13" s="19">
        <v>4.8</v>
      </c>
      <c r="CQ13" s="19">
        <v>0</v>
      </c>
      <c r="CR13" s="19">
        <v>0</v>
      </c>
      <c r="CS13" s="27"/>
      <c r="CT13" s="40">
        <f t="shared" si="28"/>
        <v>8.8000000000000007</v>
      </c>
      <c r="CU13" s="40">
        <f t="shared" si="29"/>
        <v>41.9</v>
      </c>
      <c r="CV13" s="40" t="str">
        <f t="shared" si="30"/>
        <v/>
      </c>
      <c r="CW13" s="40">
        <f t="shared" si="31"/>
        <v>8.8000000000000007</v>
      </c>
      <c r="CX13" s="40">
        <f t="shared" si="32"/>
        <v>41.9</v>
      </c>
      <c r="CY13" s="40">
        <f t="shared" si="33"/>
        <v>8.1</v>
      </c>
      <c r="CZ13" s="40">
        <f t="shared" si="34"/>
        <v>41.699999999999996</v>
      </c>
      <c r="DA13" s="40">
        <f t="shared" si="35"/>
        <v>83.6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15.85</v>
      </c>
      <c r="TI13" s="26">
        <f t="shared" si="159"/>
        <v>4.2</v>
      </c>
      <c r="TJ13" s="26">
        <f t="shared" si="160"/>
        <v>0.2</v>
      </c>
      <c r="TK13" s="26">
        <f t="shared" si="161"/>
        <v>0.7</v>
      </c>
      <c r="TL13" s="26">
        <f t="shared" si="162"/>
        <v>15.85</v>
      </c>
      <c r="TM13" s="26">
        <f t="shared" si="163"/>
        <v>4.5999999999999996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15.899999999999999</v>
      </c>
      <c r="TU13" s="26">
        <f t="shared" si="171"/>
        <v>3.6999999999999997</v>
      </c>
      <c r="TV13" s="26">
        <f t="shared" si="172"/>
        <v>0</v>
      </c>
      <c r="TW13" s="26">
        <f t="shared" si="173"/>
        <v>0.7</v>
      </c>
      <c r="TX13" s="26">
        <f t="shared" si="174"/>
        <v>16.549999999999997</v>
      </c>
      <c r="TY13" s="26">
        <f t="shared" si="175"/>
        <v>4.8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8.8000000000000007</v>
      </c>
      <c r="UD13" s="11">
        <f t="shared" si="179"/>
        <v>41</v>
      </c>
      <c r="UE13" s="11" t="str">
        <f t="shared" si="180"/>
        <v/>
      </c>
      <c r="UF13" s="11">
        <f t="shared" si="181"/>
        <v>8.8000000000000007</v>
      </c>
      <c r="UG13" s="11">
        <f t="shared" si="182"/>
        <v>41</v>
      </c>
      <c r="UH13" s="11">
        <f t="shared" si="183"/>
        <v>8.5</v>
      </c>
      <c r="UI13" s="11">
        <f t="shared" si="184"/>
        <v>41.649999999999991</v>
      </c>
      <c r="UJ13" s="11">
        <f t="shared" si="185"/>
        <v>82.649999999999991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118.20000768000412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4.4000000000000004</v>
      </c>
      <c r="AO14" s="40">
        <f t="shared" si="13"/>
        <v>35.4</v>
      </c>
      <c r="AP14" s="40">
        <f t="shared" si="14"/>
        <v>19.899999999999999</v>
      </c>
      <c r="AQ14" s="40">
        <f t="shared" si="15"/>
        <v>7.8000000000000007</v>
      </c>
      <c r="AR14" s="40">
        <f t="shared" si="16"/>
        <v>55.3</v>
      </c>
      <c r="AS14" s="40" t="str">
        <f t="shared" si="17"/>
        <v/>
      </c>
      <c r="AT14" s="40" t="str">
        <f t="shared" si="18"/>
        <v/>
      </c>
      <c r="AU14" s="40">
        <f t="shared" si="19"/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 t="shared" si="20"/>
        <v>8.6999999999999993</v>
      </c>
      <c r="BR14" s="11">
        <f t="shared" si="21"/>
        <v>41.4</v>
      </c>
      <c r="BS14" s="11" t="str">
        <f t="shared" si="22"/>
        <v/>
      </c>
      <c r="BT14" s="11">
        <f t="shared" si="23"/>
        <v>8.6999999999999993</v>
      </c>
      <c r="BU14" s="11">
        <f t="shared" si="24"/>
        <v>41.4</v>
      </c>
      <c r="BV14" s="11">
        <f t="shared" si="25"/>
        <v>9.3999999999999986</v>
      </c>
      <c r="BW14" s="11">
        <f t="shared" si="26"/>
        <v>41.4</v>
      </c>
      <c r="BX14" s="11">
        <f t="shared" si="27"/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6</v>
      </c>
      <c r="CU14" s="40">
        <f t="shared" si="29"/>
        <v>34.4</v>
      </c>
      <c r="CV14" s="40" t="str">
        <f t="shared" si="30"/>
        <v/>
      </c>
      <c r="CW14" s="40">
        <f t="shared" si="31"/>
        <v>6</v>
      </c>
      <c r="CX14" s="40">
        <f t="shared" si="32"/>
        <v>34.4</v>
      </c>
      <c r="CY14" s="40" t="str">
        <f t="shared" si="33"/>
        <v/>
      </c>
      <c r="CZ14" s="40" t="str">
        <f t="shared" si="34"/>
        <v/>
      </c>
      <c r="DA14" s="40">
        <f t="shared" si="35"/>
        <v>34.4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173</v>
      </c>
      <c r="C15" s="4" t="s">
        <v>5</v>
      </c>
      <c r="D15" s="4">
        <v>2005</v>
      </c>
      <c r="E15" s="9">
        <f t="shared" si="0"/>
        <v>116.50000739000399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40.099999999999994</v>
      </c>
      <c r="K15" s="8" t="str">
        <f t="shared" si="5"/>
        <v>2024 3rd Domestic Trial</v>
      </c>
      <c r="L15" s="8">
        <f>IF(COUNT(AO15,BR15,CU15)&gt;1,LARGE((AO15,BR15,CU15),2),0)</f>
        <v>33.799999999999997</v>
      </c>
      <c r="M15" s="8" t="str">
        <f t="shared" si="6"/>
        <v>2025 Elite Canada</v>
      </c>
      <c r="N15" s="8">
        <f t="shared" si="7"/>
        <v>42.599999999999994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16.899999999999999</v>
      </c>
      <c r="T15" s="19">
        <v>4.3</v>
      </c>
      <c r="U15" s="19">
        <v>0.2</v>
      </c>
      <c r="V15" s="19">
        <v>0.3</v>
      </c>
      <c r="W15" s="19">
        <v>15</v>
      </c>
      <c r="X15" s="19">
        <v>3.9</v>
      </c>
      <c r="Y15" s="19">
        <v>0.4</v>
      </c>
      <c r="Z15" s="19">
        <v>0.3</v>
      </c>
      <c r="AA15" s="19">
        <v>16.100000000000001</v>
      </c>
      <c r="AB15" s="19">
        <v>1.9</v>
      </c>
      <c r="AC15" s="19">
        <v>0</v>
      </c>
      <c r="AD15" s="19">
        <v>0.3</v>
      </c>
      <c r="AE15" s="19">
        <v>17.2</v>
      </c>
      <c r="AF15" s="19">
        <v>4.0999999999999996</v>
      </c>
      <c r="AG15" s="19">
        <v>0</v>
      </c>
      <c r="AH15" s="19">
        <v>0.3</v>
      </c>
      <c r="AI15" s="19">
        <v>16.399999999999999</v>
      </c>
      <c r="AJ15" s="19">
        <v>4.3</v>
      </c>
      <c r="AK15" s="19">
        <v>0</v>
      </c>
      <c r="AL15" s="19">
        <v>0.3</v>
      </c>
      <c r="AM15" s="27"/>
      <c r="AN15" s="40">
        <f t="shared" si="12"/>
        <v>8.1999999999999993</v>
      </c>
      <c r="AO15" s="40">
        <f t="shared" si="13"/>
        <v>40.099999999999994</v>
      </c>
      <c r="AP15" s="40">
        <f t="shared" si="14"/>
        <v>18.3</v>
      </c>
      <c r="AQ15" s="40">
        <f t="shared" si="15"/>
        <v>10.1</v>
      </c>
      <c r="AR15" s="40">
        <f t="shared" si="16"/>
        <v>58.399999999999991</v>
      </c>
      <c r="AS15" s="40">
        <f t="shared" si="17"/>
        <v>8.3999999999999986</v>
      </c>
      <c r="AT15" s="40">
        <f t="shared" si="18"/>
        <v>42.599999999999994</v>
      </c>
      <c r="AU15" s="40">
        <f t="shared" si="19"/>
        <v>100.99999999999999</v>
      </c>
      <c r="AV15" s="18">
        <v>16.100000000000001</v>
      </c>
      <c r="AW15" s="18">
        <v>4.2</v>
      </c>
      <c r="AX15" s="18">
        <v>0.2</v>
      </c>
      <c r="AY15" s="18">
        <v>0</v>
      </c>
      <c r="AZ15" s="18">
        <v>10.6</v>
      </c>
      <c r="BA15" s="18">
        <v>2.4</v>
      </c>
      <c r="BB15" s="18">
        <v>0</v>
      </c>
      <c r="BC15" s="18">
        <v>0.7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6.6</v>
      </c>
      <c r="BR15" s="11">
        <f t="shared" si="21"/>
        <v>33.799999999999997</v>
      </c>
      <c r="BS15" s="11" t="str">
        <f t="shared" si="22"/>
        <v/>
      </c>
      <c r="BT15" s="11">
        <f t="shared" si="23"/>
        <v>6.6</v>
      </c>
      <c r="BU15" s="11">
        <f t="shared" si="24"/>
        <v>33.799999999999997</v>
      </c>
      <c r="BV15" s="11" t="str">
        <f t="shared" si="25"/>
        <v/>
      </c>
      <c r="BW15" s="11" t="str">
        <f t="shared" si="26"/>
        <v/>
      </c>
      <c r="BX15" s="11">
        <f t="shared" si="27"/>
        <v>33.799999999999997</v>
      </c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 t="str">
        <f t="shared" si="28"/>
        <v/>
      </c>
      <c r="CU15" s="40" t="str">
        <f t="shared" si="29"/>
        <v/>
      </c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8.0500000000000007</v>
      </c>
      <c r="TI15" s="26">
        <f t="shared" si="159"/>
        <v>2.1</v>
      </c>
      <c r="TJ15" s="26">
        <f t="shared" si="160"/>
        <v>0.1</v>
      </c>
      <c r="TK15" s="26">
        <f t="shared" si="161"/>
        <v>0</v>
      </c>
      <c r="TL15" s="26">
        <f t="shared" si="162"/>
        <v>5.3</v>
      </c>
      <c r="TM15" s="26">
        <f t="shared" si="163"/>
        <v>1.2</v>
      </c>
      <c r="TN15" s="26">
        <f t="shared" si="164"/>
        <v>0</v>
      </c>
      <c r="TO15" s="26">
        <f t="shared" si="165"/>
        <v>0.35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0</v>
      </c>
      <c r="TU15" s="26">
        <f t="shared" si="171"/>
        <v>0</v>
      </c>
      <c r="TV15" s="26">
        <f t="shared" si="172"/>
        <v>0</v>
      </c>
      <c r="TW15" s="26">
        <f t="shared" si="173"/>
        <v>0</v>
      </c>
      <c r="TX15" s="26">
        <f t="shared" si="174"/>
        <v>0</v>
      </c>
      <c r="TY15" s="26">
        <f t="shared" si="175"/>
        <v>0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3.3</v>
      </c>
      <c r="UD15" s="11">
        <f t="shared" si="179"/>
        <v>16.899999999999999</v>
      </c>
      <c r="UE15" s="11" t="str">
        <f t="shared" si="180"/>
        <v/>
      </c>
      <c r="UF15" s="11">
        <f t="shared" si="181"/>
        <v>3.3</v>
      </c>
      <c r="UG15" s="11">
        <f t="shared" si="182"/>
        <v>16.899999999999999</v>
      </c>
      <c r="UH15" s="11" t="str">
        <f t="shared" si="183"/>
        <v/>
      </c>
      <c r="UI15" s="11" t="str">
        <f t="shared" si="184"/>
        <v/>
      </c>
      <c r="UJ15" s="11">
        <f t="shared" si="185"/>
        <v>16.899999999999999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87</v>
      </c>
      <c r="C16" s="4" t="s">
        <v>6</v>
      </c>
      <c r="D16" s="4">
        <v>2004</v>
      </c>
      <c r="E16" s="9">
        <f t="shared" si="0"/>
        <v>115.20000768000394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39.200000000000003</v>
      </c>
      <c r="K16" s="8" t="str">
        <f t="shared" si="5"/>
        <v>2025 Elite Canada</v>
      </c>
      <c r="L16" s="8">
        <f>IF(COUNT(AO16,BR16,CU16)&gt;1,LARGE((AO16,BR16,CU16),2),0)</f>
        <v>37.6</v>
      </c>
      <c r="M16" s="8" t="str">
        <f t="shared" si="6"/>
        <v>2025 Nationals</v>
      </c>
      <c r="N16" s="8">
        <f t="shared" si="7"/>
        <v>38.4</v>
      </c>
      <c r="O16" s="8" t="str">
        <f t="shared" si="8"/>
        <v>2025 Elite Canada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16.8</v>
      </c>
      <c r="AW16" s="18">
        <v>3.5</v>
      </c>
      <c r="AX16" s="18">
        <v>0.5</v>
      </c>
      <c r="AY16" s="18">
        <v>0.7</v>
      </c>
      <c r="AZ16" s="18">
        <v>14.6</v>
      </c>
      <c r="BA16" s="18">
        <v>4.0999999999999996</v>
      </c>
      <c r="BB16" s="18">
        <v>0</v>
      </c>
      <c r="BC16" s="18">
        <v>0</v>
      </c>
      <c r="BD16" s="18"/>
      <c r="BE16" s="18"/>
      <c r="BF16" s="18"/>
      <c r="BG16" s="18"/>
      <c r="BH16" s="18">
        <v>16.899999999999999</v>
      </c>
      <c r="BI16" s="18">
        <v>3.8</v>
      </c>
      <c r="BJ16" s="18">
        <v>0.4</v>
      </c>
      <c r="BK16" s="18">
        <v>0.7</v>
      </c>
      <c r="BL16" s="18">
        <v>15.5</v>
      </c>
      <c r="BM16" s="18">
        <v>1.9</v>
      </c>
      <c r="BN16" s="18">
        <v>0</v>
      </c>
      <c r="BO16" s="18">
        <v>0</v>
      </c>
      <c r="BP16" s="28"/>
      <c r="BQ16" s="11">
        <f t="shared" si="20"/>
        <v>7.6</v>
      </c>
      <c r="BR16" s="11">
        <f t="shared" si="21"/>
        <v>39.200000000000003</v>
      </c>
      <c r="BS16" s="11" t="str">
        <f t="shared" si="22"/>
        <v/>
      </c>
      <c r="BT16" s="11">
        <f t="shared" si="23"/>
        <v>7.6</v>
      </c>
      <c r="BU16" s="11">
        <f t="shared" si="24"/>
        <v>39.200000000000003</v>
      </c>
      <c r="BV16" s="11">
        <f t="shared" si="25"/>
        <v>5.6999999999999993</v>
      </c>
      <c r="BW16" s="11">
        <f t="shared" si="26"/>
        <v>38.4</v>
      </c>
      <c r="BX16" s="11">
        <f t="shared" si="27"/>
        <v>77.599999999999994</v>
      </c>
      <c r="BY16" s="19">
        <v>16.100000000000001</v>
      </c>
      <c r="BZ16" s="19">
        <v>3.8</v>
      </c>
      <c r="CA16" s="19">
        <v>0.4</v>
      </c>
      <c r="CB16" s="19">
        <v>0.7</v>
      </c>
      <c r="CC16" s="19">
        <v>15.5</v>
      </c>
      <c r="CD16" s="19">
        <v>1.9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5.6999999999999993</v>
      </c>
      <c r="CU16" s="40">
        <f t="shared" si="29"/>
        <v>37.6</v>
      </c>
      <c r="CV16" s="40" t="str">
        <f t="shared" si="30"/>
        <v/>
      </c>
      <c r="CW16" s="40">
        <f t="shared" si="31"/>
        <v>5.6999999999999993</v>
      </c>
      <c r="CX16" s="40">
        <f t="shared" si="32"/>
        <v>37.6</v>
      </c>
      <c r="CY16" s="40" t="str">
        <f t="shared" si="33"/>
        <v/>
      </c>
      <c r="CZ16" s="40" t="str">
        <f t="shared" si="34"/>
        <v/>
      </c>
      <c r="DA16" s="40">
        <f t="shared" si="35"/>
        <v>37.6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16.450000000000003</v>
      </c>
      <c r="TI16" s="26">
        <f t="shared" si="159"/>
        <v>3.65</v>
      </c>
      <c r="TJ16" s="26">
        <f t="shared" si="160"/>
        <v>0.45</v>
      </c>
      <c r="TK16" s="26">
        <f t="shared" si="161"/>
        <v>0.7</v>
      </c>
      <c r="TL16" s="26">
        <f t="shared" si="162"/>
        <v>15.05</v>
      </c>
      <c r="TM16" s="26">
        <f t="shared" si="163"/>
        <v>3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8.4499999999999993</v>
      </c>
      <c r="TU16" s="26">
        <f t="shared" si="171"/>
        <v>1.9</v>
      </c>
      <c r="TV16" s="26">
        <f t="shared" si="172"/>
        <v>0.2</v>
      </c>
      <c r="TW16" s="26">
        <f t="shared" si="173"/>
        <v>0.35</v>
      </c>
      <c r="TX16" s="26">
        <f t="shared" si="174"/>
        <v>7.75</v>
      </c>
      <c r="TY16" s="26">
        <f t="shared" si="175"/>
        <v>0.95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6.65</v>
      </c>
      <c r="UD16" s="11">
        <f t="shared" si="179"/>
        <v>38.4</v>
      </c>
      <c r="UE16" s="11" t="str">
        <f t="shared" si="180"/>
        <v/>
      </c>
      <c r="UF16" s="11">
        <f t="shared" si="181"/>
        <v>6.65</v>
      </c>
      <c r="UG16" s="11">
        <f t="shared" si="182"/>
        <v>38.4</v>
      </c>
      <c r="UH16" s="11">
        <f t="shared" si="183"/>
        <v>2.8499999999999996</v>
      </c>
      <c r="UI16" s="11">
        <f t="shared" si="184"/>
        <v>19.2</v>
      </c>
      <c r="UJ16" s="11">
        <f t="shared" si="185"/>
        <v>57.599999999999994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191</v>
      </c>
      <c r="C17" s="4" t="s">
        <v>5</v>
      </c>
      <c r="D17" s="4">
        <v>2004</v>
      </c>
      <c r="E17" s="9">
        <f t="shared" si="0"/>
        <v>115.10000730000395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39.6</v>
      </c>
      <c r="K17" s="8" t="str">
        <f t="shared" si="5"/>
        <v>2025 Nationals</v>
      </c>
      <c r="L17" s="8">
        <f>IF(COUNT(AO17,BR17,CU17)&gt;1,LARGE((AO17,BR17,CU17),2),0)</f>
        <v>33.4</v>
      </c>
      <c r="M17" s="8" t="str">
        <f t="shared" si="6"/>
        <v>2024 3rd Domestic Trial</v>
      </c>
      <c r="N17" s="8">
        <f t="shared" si="7"/>
        <v>42.1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 t="shared" si="12"/>
        <v>7.6999999999999993</v>
      </c>
      <c r="AO17" s="40">
        <f t="shared" si="13"/>
        <v>33.4</v>
      </c>
      <c r="AP17" s="40">
        <f t="shared" si="14"/>
        <v>17.899999999999999</v>
      </c>
      <c r="AQ17" s="40">
        <f t="shared" si="15"/>
        <v>11</v>
      </c>
      <c r="AR17" s="40">
        <f t="shared" si="16"/>
        <v>51.3</v>
      </c>
      <c r="AS17" s="40">
        <f t="shared" si="17"/>
        <v>6.8</v>
      </c>
      <c r="AT17" s="40">
        <f t="shared" si="18"/>
        <v>36.300000000000004</v>
      </c>
      <c r="AU17" s="40">
        <f t="shared" si="19"/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 t="shared" si="28"/>
        <v>8.1999999999999993</v>
      </c>
      <c r="CU17" s="40">
        <f t="shared" si="29"/>
        <v>39.6</v>
      </c>
      <c r="CV17" s="40" t="str">
        <f t="shared" si="30"/>
        <v/>
      </c>
      <c r="CW17" s="40">
        <f t="shared" si="31"/>
        <v>8.1999999999999993</v>
      </c>
      <c r="CX17" s="40">
        <f t="shared" si="32"/>
        <v>39.6</v>
      </c>
      <c r="CY17" s="40">
        <f t="shared" si="33"/>
        <v>8.1999999999999993</v>
      </c>
      <c r="CZ17" s="40">
        <f t="shared" si="34"/>
        <v>42.1</v>
      </c>
      <c r="DA17" s="40">
        <f t="shared" si="35"/>
        <v>81.7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8.3000000000000007</v>
      </c>
      <c r="TI17" s="26">
        <f t="shared" si="159"/>
        <v>3.05</v>
      </c>
      <c r="TJ17" s="26">
        <f t="shared" si="160"/>
        <v>0</v>
      </c>
      <c r="TK17" s="26">
        <f t="shared" si="161"/>
        <v>0.35</v>
      </c>
      <c r="TL17" s="26">
        <f t="shared" si="162"/>
        <v>8.5500000000000007</v>
      </c>
      <c r="TM17" s="26">
        <f t="shared" si="163"/>
        <v>1.05</v>
      </c>
      <c r="TN17" s="26">
        <f t="shared" si="164"/>
        <v>1.5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8.4499999999999993</v>
      </c>
      <c r="TU17" s="26">
        <f t="shared" si="171"/>
        <v>3.05</v>
      </c>
      <c r="TV17" s="26">
        <f t="shared" si="172"/>
        <v>0</v>
      </c>
      <c r="TW17" s="26">
        <f t="shared" si="173"/>
        <v>0.35</v>
      </c>
      <c r="TX17" s="26">
        <f t="shared" si="174"/>
        <v>8.75</v>
      </c>
      <c r="TY17" s="26">
        <f t="shared" si="175"/>
        <v>1.05</v>
      </c>
      <c r="TZ17" s="26">
        <f t="shared" si="176"/>
        <v>0.6</v>
      </c>
      <c r="UA17" s="26">
        <f t="shared" si="177"/>
        <v>0</v>
      </c>
      <c r="UB17" s="28" t="s">
        <v>53</v>
      </c>
      <c r="UC17" s="11">
        <f t="shared" si="178"/>
        <v>4.0999999999999996</v>
      </c>
      <c r="UD17" s="11">
        <f t="shared" si="179"/>
        <v>19.8</v>
      </c>
      <c r="UE17" s="11" t="str">
        <f t="shared" si="180"/>
        <v/>
      </c>
      <c r="UF17" s="11">
        <f t="shared" si="181"/>
        <v>4.0999999999999996</v>
      </c>
      <c r="UG17" s="11">
        <f t="shared" si="182"/>
        <v>19.8</v>
      </c>
      <c r="UH17" s="11">
        <f t="shared" si="183"/>
        <v>4.0999999999999996</v>
      </c>
      <c r="UI17" s="11">
        <f t="shared" si="184"/>
        <v>21.05</v>
      </c>
      <c r="UJ17" s="11">
        <f t="shared" si="185"/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205</v>
      </c>
      <c r="C18" s="4" t="s">
        <v>3</v>
      </c>
      <c r="D18" s="4">
        <v>2008</v>
      </c>
      <c r="E18" s="9">
        <f t="shared" si="0"/>
        <v>96.300006060003284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27.599999999999998</v>
      </c>
      <c r="M18" s="8" t="str">
        <f t="shared" si="6"/>
        <v>2024 3rd Domestic Trial</v>
      </c>
      <c r="N18" s="8">
        <f t="shared" si="7"/>
        <v>35.699999999999996</v>
      </c>
      <c r="O18" s="8" t="str">
        <f t="shared" si="8"/>
        <v>2024 3rd Domestic Trial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 t="shared" si="12"/>
        <v>4.4000000000000004</v>
      </c>
      <c r="AO18" s="40">
        <f t="shared" si="13"/>
        <v>27.599999999999998</v>
      </c>
      <c r="AP18" s="40">
        <f t="shared" si="14"/>
        <v>17.3</v>
      </c>
      <c r="AQ18" s="40">
        <f t="shared" si="15"/>
        <v>7.2</v>
      </c>
      <c r="AR18" s="40">
        <f t="shared" si="16"/>
        <v>44.9</v>
      </c>
      <c r="AS18" s="40">
        <f t="shared" si="17"/>
        <v>4.6999999999999993</v>
      </c>
      <c r="AT18" s="40">
        <f t="shared" si="18"/>
        <v>35.699999999999996</v>
      </c>
      <c r="AU18" s="40">
        <f t="shared" si="19"/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4.3</v>
      </c>
      <c r="BR18" s="11">
        <f t="shared" si="21"/>
        <v>32.999999999999993</v>
      </c>
      <c r="BS18" s="11" t="str">
        <f t="shared" si="22"/>
        <v/>
      </c>
      <c r="BT18" s="11">
        <f t="shared" si="23"/>
        <v>4.3</v>
      </c>
      <c r="BU18" s="11">
        <f t="shared" si="24"/>
        <v>32.999999999999993</v>
      </c>
      <c r="BV18" s="11" t="str">
        <f t="shared" si="25"/>
        <v/>
      </c>
      <c r="BW18" s="11" t="str">
        <f t="shared" si="26"/>
        <v/>
      </c>
      <c r="BX18" s="11">
        <f t="shared" si="27"/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7.85</v>
      </c>
      <c r="TI18" s="26">
        <f t="shared" si="159"/>
        <v>0.95</v>
      </c>
      <c r="TJ18" s="26">
        <f t="shared" si="160"/>
        <v>0</v>
      </c>
      <c r="TK18" s="26">
        <f t="shared" si="161"/>
        <v>0</v>
      </c>
      <c r="TL18" s="26">
        <f t="shared" si="162"/>
        <v>8</v>
      </c>
      <c r="TM18" s="26">
        <f t="shared" si="163"/>
        <v>1.2</v>
      </c>
      <c r="TN18" s="26">
        <f t="shared" si="164"/>
        <v>1.5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2.15</v>
      </c>
      <c r="UD18" s="11">
        <f t="shared" si="179"/>
        <v>16.499999999999996</v>
      </c>
      <c r="UE18" s="11" t="str">
        <f t="shared" si="180"/>
        <v/>
      </c>
      <c r="UF18" s="11">
        <f t="shared" si="181"/>
        <v>2.15</v>
      </c>
      <c r="UG18" s="11">
        <f t="shared" si="182"/>
        <v>16.499999999999996</v>
      </c>
      <c r="UH18" s="11" t="str">
        <f t="shared" si="183"/>
        <v/>
      </c>
      <c r="UI18" s="11" t="str">
        <f t="shared" si="184"/>
        <v/>
      </c>
      <c r="UJ18" s="11">
        <f t="shared" si="185"/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140727" operator="between">
      <formula>AU$24</formula>
      <formula>1000</formula>
    </cfRule>
    <cfRule type="cellIs" dxfId="71" priority="140728" operator="between">
      <formula>AU$23</formula>
      <formula>AU$24</formula>
    </cfRule>
    <cfRule type="cellIs" dxfId="70" priority="2" stopIfTrue="1" operator="between">
      <formula>AU$22</formula>
      <formula>AU$23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200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248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251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 t="shared" ref="E4:E31" si="0">SUM(J4:P4)+SUM(J4:M4)*0.0000001+SUM(J4)*0.0000000000001</f>
        <v>174.30001152000577</v>
      </c>
      <c r="F4" s="3" t="str">
        <f t="shared" ref="F4:F31" si="1"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 t="shared" ref="G4:G31" si="2"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 t="shared" ref="H4:H31" si="3"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 t="shared" ref="I4:I31" si="4"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57.800000000000004</v>
      </c>
      <c r="K4" s="8" t="str">
        <f t="shared" ref="K4:K31" si="5"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 t="shared" ref="M4:M31" si="6">IF(K4=0,"",IF(AND(L4=J4,L4=AO4,K4=BR4),$S$1,IF(AND(L4=J4,L4=AO4,L4=CU4),$S$1,IF(AND(L4=J4,L4=CU4,L4=BR4),$AV$1,IF(L4=CU4,$BY$1,IF(L4=BR4,$AV$1,IF(L4=AO4,$S$1,"")))))))</f>
        <v>2025 Nationals</v>
      </c>
      <c r="N4" s="8">
        <f t="shared" ref="N4:N31" si="7">IF(MAX(AT4,BW4,CZ4)&gt;0,MAX(AT4,BW4,CZ4),0)</f>
        <v>59.099999999999994</v>
      </c>
      <c r="O4" s="8" t="str">
        <f t="shared" ref="O4:O31" si="8">IF(N4=0,"",IF(N4=CZ4,$BY$1,IF(N4=BW4,$AV$1,IF(N4=AT4,$S$1,""))))</f>
        <v>2024 3rd Domestic Trial</v>
      </c>
      <c r="P4" s="8" t="str">
        <f t="shared" ref="P4:P31" si="9">IF(MAX(DB4:DC4)&gt;0,MAX(DB4:DC4),"")</f>
        <v/>
      </c>
      <c r="Q4" s="11" t="str">
        <f t="shared" ref="Q4:Q31" si="10">IF(P4="","",IF(P4=DB4,"("&amp;DB$2&amp;")",IF(P4=DC4,"("&amp;DC$2&amp;")")))</f>
        <v/>
      </c>
      <c r="R4" s="8" t="str">
        <f t="shared" ref="R4:R31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 t="shared" ref="AN4:AN31" si="12">IF(SUM(T4,X4)&gt;0,SUM(T4,X4),"")</f>
        <v>19.600000000000001</v>
      </c>
      <c r="AO4" s="40">
        <f t="shared" ref="AO4:AO31" si="13">IF(SUM(S4:T4,V4:X4,Z4)-U4-Y4&gt;0,SUM(S4:T4,V4:X4,Z4)-U4-Y4,"")</f>
        <v>57.800000000000004</v>
      </c>
      <c r="AP4" s="40">
        <f t="shared" ref="AP4:AP31" si="14">IF(SUM(AA4:AB4,AD4)-AC4&gt;0,SUM(AA4:AB4,AD4)-AC4,"")</f>
        <v>28</v>
      </c>
      <c r="AQ4" s="40">
        <f t="shared" ref="AQ4:AQ31" si="15">IF(SUM(T4,X4,AB4)&gt;0,SUM(T4,X4,AB4),"")</f>
        <v>28.900000000000002</v>
      </c>
      <c r="AR4" s="40">
        <f t="shared" ref="AR4:AR31" si="16">IF(SUM(AO4,AP4)&gt;0,SUM(AO4,AP4),"")</f>
        <v>85.800000000000011</v>
      </c>
      <c r="AS4" s="40">
        <f t="shared" ref="AS4:AS31" si="17">IF(SUM(AF4,AJ4)&gt;0,SUM(AF4,AJ4),"")</f>
        <v>20.8</v>
      </c>
      <c r="AT4" s="40">
        <f t="shared" ref="AT4:AT31" si="18">IF(SUM(AE4:AF4,AH4:AJ4,AL4)-SUM(AG4,AK4)&gt;0,SUM(AE4:AF4,AH4:AJ4,AL4)-SUM(AG4,AK4),"")</f>
        <v>59.099999999999994</v>
      </c>
      <c r="AU4" s="40">
        <f t="shared" ref="AU4:AU31" si="19"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 t="shared" ref="BQ4:BQ31" si="20">IF(SUM(AW4,BA4)&gt;0,SUM(AW4,BA4),"")</f>
        <v>10.1</v>
      </c>
      <c r="BR4" s="11">
        <f t="shared" ref="BR4:BR31" si="21">IF(SUM(AV4:AW4,AY4:BA4,BC4)-AX4-BB4&gt;0,SUM(AV4:AW4,AY4:BA4,BC4)-AX4-BB4,"")</f>
        <v>29.6</v>
      </c>
      <c r="BS4" s="11" t="str">
        <f t="shared" ref="BS4:BS31" si="22">IF(SUM(BD4:BE4,BG4)-BF4&gt;0,SUM(BD4:BE4,BG4)-BF4,"")</f>
        <v/>
      </c>
      <c r="BT4" s="11">
        <f t="shared" ref="BT4:BT31" si="23">IF(SUM(AW4,BA4,BE4)&gt;0,SUM(AW4,BA4,BE4),"")</f>
        <v>10.1</v>
      </c>
      <c r="BU4" s="11">
        <f t="shared" ref="BU4:BU31" si="24">IF(SUM(BR4,BS4)&gt;0,SUM(BR4,BS4),"")</f>
        <v>29.6</v>
      </c>
      <c r="BV4" s="11" t="str">
        <f t="shared" ref="BV4:BV31" si="25">IF(SUM(BI4,BM4)&gt;0,SUM(BI4,BM4),"")</f>
        <v/>
      </c>
      <c r="BW4" s="11" t="str">
        <f t="shared" ref="BW4:BW31" si="26">IF(SUM(BH4:BI4,BK4:BM4,BO4)-SUM(BJ4,BN4)&gt;0,SUM(BH4:BI4,BK4:BM4,BO4)-SUM(BJ4,BN4),"")</f>
        <v/>
      </c>
      <c r="BX4" s="11">
        <f t="shared" ref="BX4:BX31" si="27"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 t="shared" ref="CT4:CT31" si="28">IF(SUM(BZ4,CD4)&gt;0,SUM(BZ4,CD4),"")</f>
        <v>19.600000000000001</v>
      </c>
      <c r="CU4" s="40">
        <f t="shared" ref="CU4:CU31" si="29">IF(SUM(BY4:BZ4,CB4:CD4,CF4)-CA4-CE4&gt;0,SUM(BY4:BZ4,CB4:CD4,CF4)-CA4-CE4,"")</f>
        <v>57.400000000000006</v>
      </c>
      <c r="CV4" s="40" t="str">
        <f t="shared" ref="CV4:CV31" si="30">IF(SUM(CG4:CH4,CJ4)-CI4&gt;0,SUM(CG4:CH4,CJ4)-CI4,"")</f>
        <v/>
      </c>
      <c r="CW4" s="40">
        <f t="shared" ref="CW4:CW31" si="31">IF(SUM(BZ4,CD4,CH4)&gt;0,SUM(BZ4,CD4,CH4),"")</f>
        <v>19.600000000000001</v>
      </c>
      <c r="CX4" s="40">
        <f t="shared" ref="CX4:CX31" si="32">IF(SUM(CU4,CV4)&gt;0,SUM(CU4,CV4),"")</f>
        <v>57.400000000000006</v>
      </c>
      <c r="CY4" s="40">
        <f t="shared" ref="CY4:CY31" si="33">IF(SUM(CL4,CP4)&gt;0,SUM(CL4,CP4),"")</f>
        <v>19.600000000000001</v>
      </c>
      <c r="CZ4" s="40">
        <f t="shared" ref="CZ4:CZ31" si="34">IF(SUM(CK4:CL4,CN4:CP4,CR4)-SUM(CM4,CQ4)&gt;0,SUM(CK4:CL4,CN4:CP4,CR4)-SUM(CM4,CQ4),"")</f>
        <v>57.4</v>
      </c>
      <c r="DA4" s="40">
        <f t="shared" ref="DA4:DA31" si="35">IF(SUM(CU4,CV4,CZ4)&gt;0,SUM(CU4,CV4,CZ4),"")</f>
        <v>114.80000000000001</v>
      </c>
      <c r="DB4" s="51" t="str">
        <f t="shared" ref="DB4:DB31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31" si="37"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 t="shared" ref="DX4:DX31" si="38">IF(SUM(DE4,DI4)&gt;0,SUM(DE4,DI4),"")</f>
        <v>20</v>
      </c>
      <c r="DY4" s="40">
        <f t="shared" ref="DY4:DY31" si="39">IF(SUM(DD4:DE4,DG4:DI4,DK4)-DF4-DJ4&gt;0,SUM(DD4:DE4,DG4:DI4,DK4)-DF4-DJ4,"")</f>
        <v>56.499999999999993</v>
      </c>
      <c r="DZ4" s="40">
        <f t="shared" ref="DZ4:DZ31" si="40">IF(SUM(DL4:DM4,DO4)-DN4&gt;0,SUM(DL4:DM4,DO4)-DN4,"")</f>
        <v>28.8</v>
      </c>
      <c r="EA4" s="40">
        <f t="shared" ref="EA4:EA31" si="41">IF(SUM(DE4,DI4,DM4)&gt;0,SUM(DE4,DI4,DM4),"")</f>
        <v>30.8</v>
      </c>
      <c r="EB4" s="40">
        <f t="shared" ref="EB4:EB31" si="42">IF(SUM(DY4,DZ4)&gt;0,SUM(DY4,DZ4),"")</f>
        <v>85.3</v>
      </c>
      <c r="EC4" s="40">
        <f t="shared" ref="EC4:EC31" si="43">IF(SUM(DQ4,DU4)&gt;0,SUM(DQ4,DU4),"")</f>
        <v>22</v>
      </c>
      <c r="ED4" s="40">
        <f t="shared" ref="ED4:ED31" si="44">IF(SUM(DP4:DQ4,DS4:DU4,DW4)-SUM(DR4,DV4)&gt;0,SUM(DP4:DQ4,DS4:DU4,DW4)-SUM(DR4,DV4),"")</f>
        <v>57</v>
      </c>
      <c r="EE4" s="40">
        <f t="shared" ref="EE4:EE31" si="45"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31" si="46">IF(SUM(EG4,EK4)&gt;0,SUM(EG4,EK4),"")</f>
        <v>20.100000000000001</v>
      </c>
      <c r="FA4" s="11">
        <f t="shared" ref="FA4:FA31" si="47">IF(SUM(EF4:EG4,EI4:EK4,EM4)-EH4-EL4&gt;0,SUM(EF4:EG4,EI4:EK4,EM4)-EH4-EL4,"")</f>
        <v>56.699999999999996</v>
      </c>
      <c r="FB4" s="11" t="str">
        <f t="shared" ref="FB4:FB31" si="48">IF(SUM(EN4:EO4,EQ4)-EP4&gt;0,SUM(EN4:EO4,EQ4)-EP4,"")</f>
        <v/>
      </c>
      <c r="FC4" s="11">
        <f t="shared" ref="FC4:FC31" si="49">IF(SUM(EG4,EK4,EO4)&gt;0,SUM(EG4,EK4,EO4),"")</f>
        <v>20.100000000000001</v>
      </c>
      <c r="FD4" s="11">
        <f t="shared" ref="FD4:FD31" si="50">IF(SUM(FA4,FB4)&gt;0,SUM(FA4,FB4),"")</f>
        <v>56.699999999999996</v>
      </c>
      <c r="FE4" s="11" t="str">
        <f t="shared" ref="FE4:FE31" si="51">IF(SUM(ES4,EW4)&gt;0,SUM(ES4,EW4),"")</f>
        <v/>
      </c>
      <c r="FF4" s="11" t="str">
        <f t="shared" ref="FF4:FF31" si="52">IF(SUM(ER4:ES4,EU4:EW4,EY4)-SUM(ET4,EX4)&gt;0,SUM(ER4:ES4,EU4:EW4,EY4)-SUM(ET4,EX4),"")</f>
        <v/>
      </c>
      <c r="FG4" s="11">
        <f t="shared" ref="FG4:FG31" si="53">IF(SUM(FA4,FB4,FF4)&gt;0,SUM(FA4,FB4,FF4),"")</f>
        <v>56.699999999999996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31" si="54">IF(SUM(FI4,FM4)&gt;0,SUM(FI4,FM4),"")</f>
        <v/>
      </c>
      <c r="GC4" s="40" t="str">
        <f t="shared" ref="GC4:GC31" si="55">IF(SUM(FH4:FI4,FK4:FM4,FO4)-FJ4-FN4&gt;0,SUM(FH4:FI4,FK4:FM4,FO4)-FJ4-FN4,"")</f>
        <v/>
      </c>
      <c r="GD4" s="40" t="str">
        <f t="shared" ref="GD4:GD31" si="56">IF(SUM(FP4:FQ4,FS4)-FR4&gt;0,SUM(FP4:FQ4,FS4)-FR4,"")</f>
        <v/>
      </c>
      <c r="GE4" s="40" t="str">
        <f t="shared" ref="GE4:GE31" si="57">IF(SUM(FI4,FM4,FQ4)&gt;0,SUM(FI4,FM4,FQ4),"")</f>
        <v/>
      </c>
      <c r="GF4" s="40" t="str">
        <f t="shared" ref="GF4:GF31" si="58">IF(SUM(GC4,GD4)&gt;0,SUM(GC4,GD4),"")</f>
        <v/>
      </c>
      <c r="GG4" s="40" t="str">
        <f t="shared" ref="GG4:GG31" si="59">IF(SUM(FU4,FY4)&gt;0,SUM(FU4,FY4),"")</f>
        <v/>
      </c>
      <c r="GH4" s="40" t="str">
        <f t="shared" ref="GH4:GH31" si="60">IF(SUM(FT4:FU4,FW4:FY4,GA4)-SUM(FV4,FZ4)&gt;0,SUM(FT4:FU4,FW4:FY4,GA4)-SUM(FV4,FZ4),"")</f>
        <v/>
      </c>
      <c r="GI4" s="40" t="str">
        <f t="shared" ref="GI4:GI31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1" si="62">IF(SUM(GK4,GO4)&gt;0,SUM(GK4,GO4),"")</f>
        <v/>
      </c>
      <c r="HE4" s="11" t="str">
        <f t="shared" ref="HE4:HE31" si="63">IF(SUM(GJ4:GK4,GM4:GO4,GQ4)-GL4-GP4&gt;0,SUM(GJ4:GK4,GM4:GO4,GQ4)-GL4-GP4,"")</f>
        <v/>
      </c>
      <c r="HF4" s="11" t="str">
        <f t="shared" ref="HF4:HF31" si="64">IF(SUM(GR4:GS4,GU4)-GT4&gt;0,SUM(GR4:GS4,GU4)-GT4,"")</f>
        <v/>
      </c>
      <c r="HG4" s="11" t="str">
        <f t="shared" ref="HG4:HG31" si="65">IF(SUM(GK4,GO4,GS4)&gt;0,SUM(GK4,GO4,GS4),"")</f>
        <v/>
      </c>
      <c r="HH4" s="11" t="str">
        <f t="shared" ref="HH4:HH31" si="66">IF(SUM(HE4,HF4)&gt;0,SUM(HE4,HF4),"")</f>
        <v/>
      </c>
      <c r="HI4" s="11" t="str">
        <f t="shared" ref="HI4:HI31" si="67">IF(SUM(GW4,HA4)&gt;0,SUM(GW4,HA4),"")</f>
        <v/>
      </c>
      <c r="HJ4" s="11" t="str">
        <f t="shared" ref="HJ4:HJ31" si="68">IF(SUM(GV4:GW4,GY4:HA4,HC4)-SUM(GX4,HB4)&gt;0,SUM(GV4:GW4,GY4:HA4,HC4)-SUM(GX4,HB4),"")</f>
        <v/>
      </c>
      <c r="HK4" s="11" t="str">
        <f t="shared" ref="HK4:HK31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1" si="70">IF(SUM(HM4,HQ4)&gt;0,SUM(HM4,HQ4),"")</f>
        <v/>
      </c>
      <c r="IG4" s="40" t="str">
        <f t="shared" ref="IG4:IG31" si="71">IF(SUM(HL4:HM4,HO4:HQ4,HS4)-HN4-HR4&gt;0,SUM(HL4:HM4,HO4:HQ4,HS4)-HN4-HR4,"")</f>
        <v/>
      </c>
      <c r="IH4" s="40" t="str">
        <f t="shared" ref="IH4:IH31" si="72">IF(SUM(HT4:HU4,HW4)-HV4&gt;0,SUM(HT4:HU4,HW4)-HV4,"")</f>
        <v/>
      </c>
      <c r="II4" s="40" t="str">
        <f t="shared" ref="II4:II31" si="73">IF(SUM(HM4,HQ4,HU4)&gt;0,SUM(HM4,HQ4,HU4),"")</f>
        <v/>
      </c>
      <c r="IJ4" s="40" t="str">
        <f t="shared" ref="IJ4:IJ31" si="74">IF(SUM(IG4,IH4)&gt;0,SUM(IG4,IH4),"")</f>
        <v/>
      </c>
      <c r="IK4" s="40" t="str">
        <f t="shared" ref="IK4:IK31" si="75">IF(SUM(HY4,IC4)&gt;0,SUM(HY4,IC4),"")</f>
        <v/>
      </c>
      <c r="IL4" s="40" t="str">
        <f t="shared" ref="IL4:IL31" si="76">IF(SUM(HX4:HY4,IA4:IC4,IE4)-SUM(HZ4,ID4)&gt;0,SUM(HX4:HY4,IA4:IC4,IE4)-SUM(HZ4,ID4),"")</f>
        <v/>
      </c>
      <c r="IM4" s="40" t="str">
        <f t="shared" ref="IM4:IM31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1" si="78">IF(SUM(IO4,IS4)&gt;0,SUM(IO4,IS4),"")</f>
        <v/>
      </c>
      <c r="JI4" s="11" t="str">
        <f t="shared" ref="JI4:JI31" si="79">IF(SUM(IN4:IO4,IQ4:IS4,IU4)-IP4-IT4&gt;0,SUM(IN4:IO4,IQ4:IS4,IU4)-IP4-IT4,"")</f>
        <v/>
      </c>
      <c r="JJ4" s="11" t="str">
        <f t="shared" ref="JJ4:JJ31" si="80">IF(SUM(IV4:IW4,IY4)-IX4&gt;0,SUM(IV4:IW4,IY4)-IX4,"")</f>
        <v/>
      </c>
      <c r="JK4" s="11" t="str">
        <f t="shared" ref="JK4:JK31" si="81">IF(SUM(IO4,IS4,IW4)&gt;0,SUM(IO4,IS4,IW4),"")</f>
        <v/>
      </c>
      <c r="JL4" s="11" t="str">
        <f t="shared" ref="JL4:JL31" si="82">IF(SUM(JI4,JJ4)&gt;0,SUM(JI4,JJ4),"")</f>
        <v/>
      </c>
      <c r="JM4" s="11" t="str">
        <f t="shared" ref="JM4:JM31" si="83">IF(SUM(JA4,JE4)&gt;0,SUM(JA4,JE4),"")</f>
        <v/>
      </c>
      <c r="JN4" s="11" t="str">
        <f t="shared" ref="JN4:JN31" si="84">IF(SUM(IZ4:JA4,JC4:JE4,JG4)-SUM(JB4,JF4)&gt;0,SUM(IZ4:JA4,JC4:JE4,JG4)-SUM(JB4,JF4),"")</f>
        <v/>
      </c>
      <c r="JO4" s="11" t="str">
        <f t="shared" ref="JO4:JO31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1" si="86">IF(SUM(JQ4,JU4)&gt;0,SUM(JQ4,JU4),"")</f>
        <v/>
      </c>
      <c r="KK4" s="40" t="str">
        <f t="shared" ref="KK4:KK31" si="87">IF(SUM(JP4:JQ4,JS4:JU4,JW4)-JR4-JV4&gt;0,SUM(JP4:JQ4,JS4:JU4,JW4)-JR4-JV4,"")</f>
        <v/>
      </c>
      <c r="KL4" s="40" t="str">
        <f t="shared" ref="KL4:KL31" si="88">IF(SUM(JX4:JY4,KA4)-JZ4&gt;0,SUM(JX4:JY4,KA4)-JZ4,"")</f>
        <v/>
      </c>
      <c r="KM4" s="40" t="str">
        <f t="shared" ref="KM4:KM31" si="89">IF(SUM(JQ4,JU4,JY4)&gt;0,SUM(JQ4,JU4,JY4),"")</f>
        <v/>
      </c>
      <c r="KN4" s="40" t="str">
        <f t="shared" ref="KN4:KN31" si="90">IF(SUM(KK4,KL4)&gt;0,SUM(KK4,KL4),"")</f>
        <v/>
      </c>
      <c r="KO4" s="40" t="str">
        <f t="shared" ref="KO4:KO31" si="91">IF(SUM(KC4,KG4)&gt;0,SUM(KC4,KG4),"")</f>
        <v/>
      </c>
      <c r="KP4" s="40" t="str">
        <f t="shared" ref="KP4:KP31" si="92">IF(SUM(KB4:KC4,KE4:KG4,KI4)-SUM(KD4,KH4)&gt;0,SUM(KB4:KC4,KE4:KG4,KI4)-SUM(KD4,KH4),"")</f>
        <v/>
      </c>
      <c r="KQ4" s="40" t="str">
        <f t="shared" ref="KQ4:KQ31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1" si="94">IF(SUM(KS4,KW4)&gt;0,SUM(KS4,KW4),"")</f>
        <v/>
      </c>
      <c r="LM4" s="11" t="str">
        <f t="shared" ref="LM4:LM31" si="95">IF(SUM(KR4:KS4,KU4:KW4,KY4)-KT4-KX4&gt;0,SUM(KR4:KS4,KU4:KW4,KY4)-KT4-KX4,"")</f>
        <v/>
      </c>
      <c r="LN4" s="11" t="str">
        <f t="shared" ref="LN4:LN31" si="96">IF(SUM(KZ4:LA4,LC4)-LB4&gt;0,SUM(KZ4:LA4,LC4)-LB4,"")</f>
        <v/>
      </c>
      <c r="LO4" s="11" t="str">
        <f t="shared" ref="LO4:LO31" si="97">IF(SUM(KS4,KW4,LA4)&gt;0,SUM(KS4,KW4,LA4),"")</f>
        <v/>
      </c>
      <c r="LP4" s="11" t="str">
        <f t="shared" ref="LP4:LP31" si="98">IF(SUM(LM4,LN4)&gt;0,SUM(LM4,LN4),"")</f>
        <v/>
      </c>
      <c r="LQ4" s="11" t="str">
        <f t="shared" ref="LQ4:LQ31" si="99">IF(SUM(LE4,LI4)&gt;0,SUM(LE4,LI4),"")</f>
        <v/>
      </c>
      <c r="LR4" s="11" t="str">
        <f t="shared" ref="LR4:LR31" si="100">IF(SUM(LD4:LE4,LG4:LI4,LK4)-SUM(LF4,LJ4)&gt;0,SUM(LD4:LE4,LG4:LI4,LK4)-SUM(LF4,LJ4),"")</f>
        <v/>
      </c>
      <c r="LS4" s="11" t="str">
        <f t="shared" ref="LS4:LS31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1" si="102">IF(SUM(LU4,LY4)&gt;0,SUM(LU4,LY4),"")</f>
        <v/>
      </c>
      <c r="MO4" s="40" t="str">
        <f t="shared" ref="MO4:MO31" si="103">IF(SUM(LT4:LU4,LW4:LY4,MA4)-LV4-LZ4&gt;0,SUM(LT4:LU4,LW4:LY4,MA4)-LV4-LZ4,"")</f>
        <v/>
      </c>
      <c r="MP4" s="40" t="str">
        <f t="shared" ref="MP4:MP31" si="104">IF(SUM(MB4:MC4,ME4)-MD4&gt;0,SUM(MB4:MC4,ME4)-MD4,"")</f>
        <v/>
      </c>
      <c r="MQ4" s="40" t="str">
        <f t="shared" ref="MQ4:MQ31" si="105">IF(SUM(LU4,LY4,MC4)&gt;0,SUM(LU4,LY4,MC4),"")</f>
        <v/>
      </c>
      <c r="MR4" s="40" t="str">
        <f t="shared" ref="MR4:MR31" si="106">IF(SUM(MO4,MP4)&gt;0,SUM(MO4,MP4),"")</f>
        <v/>
      </c>
      <c r="MS4" s="40" t="str">
        <f t="shared" ref="MS4:MS31" si="107">IF(SUM(MG4,MK4)&gt;0,SUM(MG4,MK4),"")</f>
        <v/>
      </c>
      <c r="MT4" s="40" t="str">
        <f t="shared" ref="MT4:MT31" si="108">IF(SUM(MF4:MG4,MI4:MK4,MM4)-SUM(MH4,ML4)&gt;0,SUM(MF4:MG4,MI4:MK4,MM4)-SUM(MH4,ML4),"")</f>
        <v/>
      </c>
      <c r="MU4" s="40" t="str">
        <f t="shared" ref="MU4:MU31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1" si="110">IF(SUM(MW4,NA4)&gt;0,SUM(MW4,NA4),"")</f>
        <v/>
      </c>
      <c r="NQ4" s="11" t="str">
        <f t="shared" ref="NQ4:NQ31" si="111">IF(SUM(MV4:MW4,MY4:NA4,NC4)-MX4-NB4&gt;0,SUM(MV4:MW4,MY4:NA4,NC4)-MX4-NB4,"")</f>
        <v/>
      </c>
      <c r="NR4" s="11" t="str">
        <f t="shared" ref="NR4:NR31" si="112">IF(SUM(ND4:NE4,NG4)-NF4&gt;0,SUM(ND4:NE4,NG4)-NF4,"")</f>
        <v/>
      </c>
      <c r="NS4" s="11" t="str">
        <f t="shared" ref="NS4:NS31" si="113">IF(SUM(MW4,NA4,NE4)&gt;0,SUM(MW4,NA4,NE4),"")</f>
        <v/>
      </c>
      <c r="NT4" s="11" t="str">
        <f t="shared" ref="NT4:NT31" si="114">IF(SUM(NQ4,NR4)&gt;0,SUM(NQ4,NR4),"")</f>
        <v/>
      </c>
      <c r="NU4" s="11" t="str">
        <f t="shared" ref="NU4:NU31" si="115">IF(SUM(NI4,NM4)&gt;0,SUM(NI4,NM4),"")</f>
        <v/>
      </c>
      <c r="NV4" s="11" t="str">
        <f t="shared" ref="NV4:NV31" si="116">IF(SUM(NH4:NI4,NK4:NM4,NO4)-SUM(NJ4,NN4)&gt;0,SUM(NH4:NI4,NK4:NM4,NO4)-SUM(NJ4,NN4),"")</f>
        <v/>
      </c>
      <c r="NW4" s="11" t="str">
        <f t="shared" ref="NW4:NW31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1" si="118">IF(SUM(NY4,OC4)&gt;0,SUM(NY4,OC4),"")</f>
        <v/>
      </c>
      <c r="OS4" s="40" t="str">
        <f t="shared" ref="OS4:OS31" si="119">IF(SUM(NX4:NY4,OA4:OC4,OE4)-NZ4-OD4&gt;0,SUM(NX4:NY4,OA4:OC4,OE4)-NZ4-OD4,"")</f>
        <v/>
      </c>
      <c r="OT4" s="40" t="str">
        <f t="shared" ref="OT4:OT31" si="120">IF(SUM(OF4:OG4,OI4)-OH4&gt;0,SUM(OF4:OG4,OI4)-OH4,"")</f>
        <v/>
      </c>
      <c r="OU4" s="40" t="str">
        <f t="shared" ref="OU4:OU31" si="121">IF(SUM(NY4,OC4,OG4)&gt;0,SUM(NY4,OC4,OG4),"")</f>
        <v/>
      </c>
      <c r="OV4" s="40" t="str">
        <f t="shared" ref="OV4:OV31" si="122">IF(SUM(OS4,OT4)&gt;0,SUM(OS4,OT4),"")</f>
        <v/>
      </c>
      <c r="OW4" s="40" t="str">
        <f t="shared" ref="OW4:OW31" si="123">IF(SUM(OK4,OO4)&gt;0,SUM(OK4,OO4),"")</f>
        <v/>
      </c>
      <c r="OX4" s="40" t="str">
        <f t="shared" ref="OX4:OX31" si="124">IF(SUM(OJ4:OK4,OM4:OO4,OQ4)-SUM(OL4,OP4)&gt;0,SUM(OJ4:OK4,OM4:OO4,OQ4)-SUM(OL4,OP4),"")</f>
        <v/>
      </c>
      <c r="OY4" s="40" t="str">
        <f t="shared" ref="OY4:OY31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1" si="126">IF(SUM(PA4,PE4)&gt;0,SUM(PA4,PE4),"")</f>
        <v/>
      </c>
      <c r="PU4" s="11" t="str">
        <f t="shared" ref="PU4:PU31" si="127">IF(SUM(OZ4:PA4,PC4:PE4,PG4)-PB4-PF4&gt;0,SUM(OZ4:PA4,PC4:PE4,PG4)-PB4-PF4,"")</f>
        <v/>
      </c>
      <c r="PV4" s="11" t="str">
        <f t="shared" ref="PV4:PV31" si="128">IF(SUM(PH4:PI4,PK4)-PJ4&gt;0,SUM(PH4:PI4,PK4)-PJ4,"")</f>
        <v/>
      </c>
      <c r="PW4" s="11" t="str">
        <f t="shared" ref="PW4:PW31" si="129">IF(SUM(PA4,PE4,PI4)&gt;0,SUM(PA4,PE4,PI4),"")</f>
        <v/>
      </c>
      <c r="PX4" s="11" t="str">
        <f t="shared" ref="PX4:PX31" si="130">IF(SUM(PU4,PV4)&gt;0,SUM(PU4,PV4),"")</f>
        <v/>
      </c>
      <c r="PY4" s="11" t="str">
        <f t="shared" ref="PY4:PY31" si="131">IF(SUM(PM4,PQ4)&gt;0,SUM(PM4,PQ4),"")</f>
        <v/>
      </c>
      <c r="PZ4" s="11" t="str">
        <f t="shared" ref="PZ4:PZ31" si="132">IF(SUM(PL4:PM4,PO4:PQ4,PS4)-SUM(PN4,PR4)&gt;0,SUM(PL4:PM4,PO4:PQ4,PS4)-SUM(PN4,PR4),"")</f>
        <v/>
      </c>
      <c r="QA4" s="11" t="str">
        <f t="shared" ref="QA4:QA31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1" si="134">IF(SUM(QC4,QG4)&gt;0,SUM(QC4,QG4),"")</f>
        <v/>
      </c>
      <c r="QW4" s="40" t="str">
        <f t="shared" ref="QW4:QW31" si="135">IF(SUM(QB4:QC4,QE4:QG4,QI4)-QD4-QH4&gt;0,SUM(QB4:QC4,QE4:QG4,QI4)-QD4-QH4,"")</f>
        <v/>
      </c>
      <c r="QX4" s="40" t="str">
        <f t="shared" ref="QX4:QX31" si="136">IF(SUM(QJ4:QK4,QM4)-QL4&gt;0,SUM(QJ4:QK4,QM4)-QL4,"")</f>
        <v/>
      </c>
      <c r="QY4" s="40" t="str">
        <f t="shared" ref="QY4:QY31" si="137">IF(SUM(QC4,QG4,QK4)&gt;0,SUM(QC4,QG4,QK4),"")</f>
        <v/>
      </c>
      <c r="QZ4" s="40" t="str">
        <f t="shared" ref="QZ4:QZ31" si="138">IF(SUM(QW4,QX4)&gt;0,SUM(QW4,QX4),"")</f>
        <v/>
      </c>
      <c r="RA4" s="40" t="str">
        <f t="shared" ref="RA4:RA31" si="139">IF(SUM(QO4,QS4)&gt;0,SUM(QO4,QS4),"")</f>
        <v/>
      </c>
      <c r="RB4" s="40" t="str">
        <f t="shared" ref="RB4:RB31" si="140">IF(SUM(QN4:QO4,QQ4:QS4,QU4)-SUM(QP4,QT4)&gt;0,SUM(QN4:QO4,QQ4:QS4,QU4)-SUM(QP4,QT4),"")</f>
        <v/>
      </c>
      <c r="RC4" s="40" t="str">
        <f t="shared" ref="RC4:RC31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1" si="142">IF(SUM(RE4,RI4)&gt;0,SUM(RE4,RI4),"")</f>
        <v/>
      </c>
      <c r="RY4" s="11" t="str">
        <f t="shared" ref="RY4:RY31" si="143">IF(SUM(RD4:RE4,RG4:RI4,RK4)-RF4-RJ4&gt;0,SUM(RD4:RE4,RG4:RI4,RK4)-RF4-RJ4,"")</f>
        <v/>
      </c>
      <c r="RZ4" s="11" t="str">
        <f t="shared" ref="RZ4:RZ31" si="144">IF(SUM(RL4:RM4,RO4)-RN4&gt;0,SUM(RL4:RM4,RO4)-RN4,"")</f>
        <v/>
      </c>
      <c r="SA4" s="11" t="str">
        <f t="shared" ref="SA4:SA31" si="145">IF(SUM(RE4,RI4,RM4)&gt;0,SUM(RE4,RI4,RM4),"")</f>
        <v/>
      </c>
      <c r="SB4" s="11" t="str">
        <f t="shared" ref="SB4:SB31" si="146">IF(SUM(RY4,RZ4)&gt;0,SUM(RY4,RZ4),"")</f>
        <v/>
      </c>
      <c r="SC4" s="11" t="str">
        <f t="shared" ref="SC4:SC31" si="147">IF(SUM(RQ4,RU4)&gt;0,SUM(RQ4,RU4),"")</f>
        <v/>
      </c>
      <c r="SD4" s="11" t="str">
        <f t="shared" ref="SD4:SD31" si="148">IF(SUM(RP4:RQ4,RS4:RU4,RW4)-SUM(RR4,RV4)&gt;0,SUM(RP4:RQ4,RS4:RU4,RW4)-SUM(RR4,RV4),"")</f>
        <v/>
      </c>
      <c r="SE4" s="11" t="str">
        <f t="shared" ref="SE4:SE31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1" si="150">IF(SUM(SG4,SK4)&gt;0,SUM(SG4,SK4),"")</f>
        <v/>
      </c>
      <c r="TA4" s="40" t="str">
        <f t="shared" ref="TA4:TA31" si="151">IF(SUM(SF4:SG4,SI4:SK4,SM4)-SH4-SL4&gt;0,SUM(SF4:SG4,SI4:SK4,SM4)-SH4-SL4,"")</f>
        <v/>
      </c>
      <c r="TB4" s="40" t="str">
        <f t="shared" ref="TB4:TB31" si="152">IF(SUM(SN4:SO4,SQ4)-SP4&gt;0,SUM(SN4:SO4,SQ4)-SP4,"")</f>
        <v/>
      </c>
      <c r="TC4" s="40" t="str">
        <f t="shared" ref="TC4:TC31" si="153">IF(SUM(SG4,SK4,SO4)&gt;0,SUM(SG4,SK4,SO4),"")</f>
        <v/>
      </c>
      <c r="TD4" s="40" t="str">
        <f t="shared" ref="TD4:TD31" si="154">IF(SUM(TA4,TB4)&gt;0,SUM(TA4,TB4),"")</f>
        <v/>
      </c>
      <c r="TE4" s="40" t="str">
        <f t="shared" ref="TE4:TE31" si="155">IF(SUM(SS4,SW4)&gt;0,SUM(SS4,SW4),"")</f>
        <v/>
      </c>
      <c r="TF4" s="40" t="str">
        <f t="shared" ref="TF4:TF31" si="156">IF(SUM(SR4:SS4,SU4:SW4,SY4)-SUM(ST4,SX4)&gt;0,SUM(SR4:SS4,SU4:SW4,SY4)-SUM(ST4,SX4),"")</f>
        <v/>
      </c>
      <c r="TG4" s="40" t="str">
        <f t="shared" ref="TG4:TG31" si="157">IF(SUM(TA4,TB4,TF4)&gt;0,SUM(TA4,TB4,TF4),"")</f>
        <v/>
      </c>
      <c r="TH4" s="26">
        <f t="shared" ref="TH4:TH31" si="158">IF($CS4="P",BY4,(BY4+AV4)/2)</f>
        <v>19</v>
      </c>
      <c r="TI4" s="26">
        <f t="shared" ref="TI4:TI31" si="159">IF($CS4="P",BZ4,(BZ4+AW4)/2)</f>
        <v>9.4499999999999993</v>
      </c>
      <c r="TJ4" s="26">
        <f t="shared" ref="TJ4:TJ31" si="160">IF($CS4="P",CA4,(CA4+AX4)/2)</f>
        <v>0</v>
      </c>
      <c r="TK4" s="26">
        <f t="shared" ref="TK4:TK31" si="161">IF($CS4="P",CB4,(CB4+AY4)/2)</f>
        <v>0.44999999999999996</v>
      </c>
      <c r="TL4" s="26">
        <f t="shared" ref="TL4:TL31" si="162">IF($CS4="P",CC4,(CC4+AZ4)/2)</f>
        <v>9.1999999999999993</v>
      </c>
      <c r="TM4" s="26">
        <f t="shared" ref="TM4:TM31" si="163">IF($CS4="P",CD4,(CD4+BA4)/2)</f>
        <v>5.4</v>
      </c>
      <c r="TN4" s="26">
        <f t="shared" ref="TN4:TN31" si="164">IF($CS4="P",CE4,(CE4+BB4)/2)</f>
        <v>0.3</v>
      </c>
      <c r="TO4" s="26">
        <f t="shared" ref="TO4:TO31" si="165">IF($CS4="P",CF4,(CF4+BC4)/2)</f>
        <v>0.3</v>
      </c>
      <c r="TP4" s="26">
        <f t="shared" ref="TP4:TP31" si="166">IF($CS4="P",CG4,(CG4+BD4)/2)</f>
        <v>0</v>
      </c>
      <c r="TQ4" s="26">
        <f t="shared" ref="TQ4:TQ31" si="167">IF($CS4="P",CH4,(CH4+BE4)/2)</f>
        <v>0</v>
      </c>
      <c r="TR4" s="26">
        <f t="shared" ref="TR4:TR31" si="168">IF($CS4="P",CI4,(CI4+BF4)/2)</f>
        <v>0</v>
      </c>
      <c r="TS4" s="26">
        <f t="shared" ref="TS4:TS31" si="169">IF($CS4="P",CJ4,(CJ4+BG4)/2)</f>
        <v>0</v>
      </c>
      <c r="TT4" s="26">
        <f t="shared" ref="TT4:TT31" si="170">IF($CS4="P",CK4,(CK4+BH4)/2)</f>
        <v>9.5</v>
      </c>
      <c r="TU4" s="26">
        <f t="shared" ref="TU4:TU31" si="171">IF($CS4="P",CL4,(CL4+BI4)/2)</f>
        <v>4.4000000000000004</v>
      </c>
      <c r="TV4" s="26">
        <f t="shared" ref="TV4:TV31" si="172">IF($CS4="P",CM4,(CM4+BJ4)/2)</f>
        <v>0.1</v>
      </c>
      <c r="TW4" s="26">
        <f t="shared" ref="TW4:TW31" si="173">IF($CS4="P",CN4,(CN4+BK4)/2)</f>
        <v>0.15</v>
      </c>
      <c r="TX4" s="26">
        <f t="shared" ref="TX4:TX31" si="174">IF($CS4="P",CO4,(CO4+BL4)/2)</f>
        <v>9.35</v>
      </c>
      <c r="TY4" s="26">
        <f t="shared" ref="TY4:TY31" si="175">IF($CS4="P",CP4,(CP4+BM4)/2)</f>
        <v>5.4</v>
      </c>
      <c r="TZ4" s="26">
        <f t="shared" ref="TZ4:TZ31" si="176">IF($CS4="P",CQ4,(CQ4+BN4)/2)</f>
        <v>0.3</v>
      </c>
      <c r="UA4" s="26">
        <f t="shared" ref="UA4:UA31" si="177">IF($CS4="P",CR4,(CR4+BO4)/2)</f>
        <v>0.3</v>
      </c>
      <c r="UB4" s="28" t="s">
        <v>53</v>
      </c>
      <c r="UC4" s="11">
        <f t="shared" ref="UC4:UC31" si="178">IF(SUM(TI4,TM4)&gt;0,SUM(TI4,TM4),"")</f>
        <v>14.85</v>
      </c>
      <c r="UD4" s="11">
        <f t="shared" ref="UD4:UD31" si="179">IF(SUM(TH4:TI4,TK4:TM4,TO4)-TJ4-TN4&gt;0,SUM(TH4:TI4,TK4:TM4,TO4)-TJ4-TN4,"")</f>
        <v>43.499999999999993</v>
      </c>
      <c r="UE4" s="11" t="str">
        <f t="shared" ref="UE4:UE31" si="180">IF(SUM(TP4:TQ4,TS4)-TR4&gt;0,SUM(TP4:TQ4,TS4)-TR4,"")</f>
        <v/>
      </c>
      <c r="UF4" s="11">
        <f t="shared" ref="UF4:UF31" si="181">IF(SUM(TI4,TM4,TQ4)&gt;0,SUM(TI4,TM4,TQ4),"")</f>
        <v>14.85</v>
      </c>
      <c r="UG4" s="11">
        <f t="shared" ref="UG4:UG31" si="182">IF(SUM(UD4,UE4)&gt;0,SUM(UD4,UE4),"")</f>
        <v>43.499999999999993</v>
      </c>
      <c r="UH4" s="11">
        <f t="shared" ref="UH4:UH31" si="183">IF(SUM(TU4,TY4)&gt;0,SUM(TU4,TY4),"")</f>
        <v>9.8000000000000007</v>
      </c>
      <c r="UI4" s="11">
        <f t="shared" ref="UI4:UI31" si="184">IF(SUM(TT4:TU4,TW4:TY4,UA4)-SUM(TV4,TZ4)&gt;0,SUM(TT4:TU4,TW4:TY4,UA4)-SUM(TV4,TZ4),"")</f>
        <v>28.7</v>
      </c>
      <c r="UJ4" s="11">
        <f t="shared" ref="UJ4:UJ31" si="185">IF(SUM(UD4,UE4,UI4)&gt;0,SUM(UD4,UE4,UI4),"")</f>
        <v>72.199999999999989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164.50001090000552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 t="shared" si="12"/>
        <v>16.399999999999999</v>
      </c>
      <c r="AO5" s="40">
        <f t="shared" si="13"/>
        <v>55.4</v>
      </c>
      <c r="AP5" s="40">
        <f t="shared" si="14"/>
        <v>26.500000000000004</v>
      </c>
      <c r="AQ5" s="40">
        <f t="shared" si="15"/>
        <v>24.5</v>
      </c>
      <c r="AR5" s="40">
        <f t="shared" si="16"/>
        <v>81.900000000000006</v>
      </c>
      <c r="AS5" s="40">
        <f t="shared" si="17"/>
        <v>16.399999999999999</v>
      </c>
      <c r="AT5" s="40">
        <f t="shared" si="18"/>
        <v>54.8</v>
      </c>
      <c r="AU5" s="40">
        <f t="shared" si="19"/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 t="shared" si="20"/>
        <v>15.6</v>
      </c>
      <c r="BR5" s="11">
        <f t="shared" si="21"/>
        <v>53.6</v>
      </c>
      <c r="BS5" s="11" t="str">
        <f t="shared" si="22"/>
        <v/>
      </c>
      <c r="BT5" s="11">
        <f t="shared" si="23"/>
        <v>15.6</v>
      </c>
      <c r="BU5" s="11">
        <f t="shared" si="24"/>
        <v>53.6</v>
      </c>
      <c r="BV5" s="11">
        <f t="shared" si="25"/>
        <v>16.8</v>
      </c>
      <c r="BW5" s="11">
        <f t="shared" si="26"/>
        <v>54.899999999999991</v>
      </c>
      <c r="BX5" s="11">
        <f t="shared" si="27"/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 t="shared" si="28"/>
        <v>12.9</v>
      </c>
      <c r="CU5" s="40">
        <f t="shared" si="29"/>
        <v>45.5</v>
      </c>
      <c r="CV5" s="40" t="str">
        <f t="shared" si="30"/>
        <v/>
      </c>
      <c r="CW5" s="40">
        <f t="shared" si="31"/>
        <v>12.9</v>
      </c>
      <c r="CX5" s="40">
        <f t="shared" si="32"/>
        <v>45.5</v>
      </c>
      <c r="CY5" s="40" t="str">
        <f t="shared" si="33"/>
        <v/>
      </c>
      <c r="CZ5" s="40" t="str">
        <f t="shared" si="34"/>
        <v/>
      </c>
      <c r="DA5" s="40">
        <f t="shared" si="35"/>
        <v>45.5</v>
      </c>
      <c r="DB5" s="51">
        <f t="shared" si="36"/>
        <v>0.59999999999999432</v>
      </c>
      <c r="DC5" s="51" t="str">
        <f t="shared" si="37"/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17.600000000000001</v>
      </c>
      <c r="DY5" s="40">
        <f t="shared" si="39"/>
        <v>54.199999999999996</v>
      </c>
      <c r="DZ5" s="40">
        <f t="shared" si="40"/>
        <v>27</v>
      </c>
      <c r="EA5" s="40">
        <f t="shared" si="41"/>
        <v>26.8</v>
      </c>
      <c r="EB5" s="40">
        <f t="shared" si="42"/>
        <v>81.199999999999989</v>
      </c>
      <c r="EC5" s="40" t="str">
        <f t="shared" si="43"/>
        <v/>
      </c>
      <c r="ED5" s="40" t="str">
        <f t="shared" si="44"/>
        <v/>
      </c>
      <c r="EE5" s="40">
        <f t="shared" si="45"/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6.25</v>
      </c>
      <c r="TJ5" s="26">
        <f t="shared" si="160"/>
        <v>0.9</v>
      </c>
      <c r="TK5" s="26">
        <f t="shared" si="161"/>
        <v>0.15</v>
      </c>
      <c r="TL5" s="26">
        <f t="shared" si="162"/>
        <v>18.5</v>
      </c>
      <c r="TM5" s="26">
        <f t="shared" si="163"/>
        <v>8</v>
      </c>
      <c r="TN5" s="26">
        <f t="shared" si="164"/>
        <v>0.6</v>
      </c>
      <c r="TO5" s="26">
        <f t="shared" si="165"/>
        <v>0.15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9.6</v>
      </c>
      <c r="TY5" s="26">
        <f t="shared" si="175"/>
        <v>4.2</v>
      </c>
      <c r="TZ5" s="26">
        <f t="shared" si="176"/>
        <v>0.3</v>
      </c>
      <c r="UA5" s="26">
        <f t="shared" si="177"/>
        <v>0.15</v>
      </c>
      <c r="UB5" s="28" t="s">
        <v>53</v>
      </c>
      <c r="UC5" s="11">
        <f t="shared" si="178"/>
        <v>14.25</v>
      </c>
      <c r="UD5" s="11">
        <f t="shared" si="179"/>
        <v>49.55</v>
      </c>
      <c r="UE5" s="11" t="str">
        <f t="shared" si="180"/>
        <v/>
      </c>
      <c r="UF5" s="11">
        <f t="shared" si="181"/>
        <v>14.25</v>
      </c>
      <c r="UG5" s="11">
        <f t="shared" si="182"/>
        <v>49.55</v>
      </c>
      <c r="UH5" s="11">
        <f t="shared" si="183"/>
        <v>8.4</v>
      </c>
      <c r="UI5" s="11">
        <f t="shared" si="184"/>
        <v>27.449999999999996</v>
      </c>
      <c r="UJ5" s="11">
        <f t="shared" si="185"/>
        <v>77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144</v>
      </c>
      <c r="C6" s="4" t="s">
        <v>6</v>
      </c>
      <c r="D6" s="4">
        <v>2005</v>
      </c>
      <c r="E6" s="9">
        <f t="shared" si="0"/>
        <v>161.00001057000529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IF(COUNT(AO6,BR6,CU6)&gt;0,LARGE((AO6,BR6,CU6),1),0)</f>
        <v>53.099999999999994</v>
      </c>
      <c r="K6" s="8" t="str">
        <f t="shared" si="5"/>
        <v>2024 3rd Domestic Trial</v>
      </c>
      <c r="L6" s="8">
        <f>IF(COUNT(AO6,BR6,CU6)&gt;1,LARGE((AO6,BR6,CU6),2),0)</f>
        <v>52.600000000000009</v>
      </c>
      <c r="M6" s="8" t="str">
        <f t="shared" si="6"/>
        <v>2025 Elite Canada</v>
      </c>
      <c r="N6" s="8">
        <f t="shared" si="7"/>
        <v>54</v>
      </c>
      <c r="O6" s="8" t="str">
        <f t="shared" si="8"/>
        <v>2025 Elite Canada</v>
      </c>
      <c r="P6" s="8">
        <f t="shared" si="9"/>
        <v>1.2999999999999829</v>
      </c>
      <c r="Q6" s="11" t="str">
        <f t="shared" si="10"/>
        <v>(Q1)</v>
      </c>
      <c r="R6" s="8" t="str">
        <f t="shared" si="11"/>
        <v>2025 World Cup POR (July 6)</v>
      </c>
      <c r="S6" s="19">
        <v>18.5</v>
      </c>
      <c r="T6" s="19">
        <v>8.4</v>
      </c>
      <c r="U6" s="19">
        <v>0.6</v>
      </c>
      <c r="V6" s="19">
        <v>0.3</v>
      </c>
      <c r="W6" s="19">
        <v>18.899999999999999</v>
      </c>
      <c r="X6" s="19">
        <v>7.6</v>
      </c>
      <c r="Y6" s="19">
        <v>0</v>
      </c>
      <c r="Z6" s="19">
        <v>0</v>
      </c>
      <c r="AA6" s="19">
        <v>18.399999999999999</v>
      </c>
      <c r="AB6" s="19">
        <v>8.1</v>
      </c>
      <c r="AC6" s="19">
        <v>0</v>
      </c>
      <c r="AD6" s="19">
        <v>0.3</v>
      </c>
      <c r="AE6" s="19">
        <v>18.399999999999999</v>
      </c>
      <c r="AF6" s="19">
        <v>8.4</v>
      </c>
      <c r="AG6" s="19">
        <v>0.8</v>
      </c>
      <c r="AH6" s="19">
        <v>0.3</v>
      </c>
      <c r="AI6" s="19">
        <v>18.8</v>
      </c>
      <c r="AJ6" s="19">
        <v>8</v>
      </c>
      <c r="AK6" s="19">
        <v>0.2</v>
      </c>
      <c r="AL6" s="19">
        <v>0</v>
      </c>
      <c r="AM6" s="27"/>
      <c r="AN6" s="40">
        <f t="shared" si="12"/>
        <v>16</v>
      </c>
      <c r="AO6" s="40">
        <f t="shared" si="13"/>
        <v>53.099999999999994</v>
      </c>
      <c r="AP6" s="40">
        <f t="shared" si="14"/>
        <v>26.8</v>
      </c>
      <c r="AQ6" s="40">
        <f t="shared" si="15"/>
        <v>24.1</v>
      </c>
      <c r="AR6" s="40">
        <f t="shared" si="16"/>
        <v>79.899999999999991</v>
      </c>
      <c r="AS6" s="40">
        <f t="shared" si="17"/>
        <v>16.399999999999999</v>
      </c>
      <c r="AT6" s="40">
        <f t="shared" si="18"/>
        <v>52.9</v>
      </c>
      <c r="AU6" s="40">
        <f t="shared" si="19"/>
        <v>132.79999999999998</v>
      </c>
      <c r="AV6" s="18">
        <v>18.2</v>
      </c>
      <c r="AW6" s="18">
        <v>8.4</v>
      </c>
      <c r="AX6" s="18">
        <v>0.8</v>
      </c>
      <c r="AY6" s="18">
        <v>0.3</v>
      </c>
      <c r="AZ6" s="18">
        <v>18.5</v>
      </c>
      <c r="BA6" s="18">
        <v>8</v>
      </c>
      <c r="BB6" s="18">
        <v>0</v>
      </c>
      <c r="BC6" s="18">
        <v>0</v>
      </c>
      <c r="BD6" s="18"/>
      <c r="BE6" s="18"/>
      <c r="BF6" s="18"/>
      <c r="BG6" s="18"/>
      <c r="BH6" s="18">
        <v>18.100000000000001</v>
      </c>
      <c r="BI6" s="18">
        <v>8.5</v>
      </c>
      <c r="BJ6" s="18">
        <v>0.2</v>
      </c>
      <c r="BK6" s="18">
        <v>0.3</v>
      </c>
      <c r="BL6" s="18">
        <v>18.8</v>
      </c>
      <c r="BM6" s="18">
        <v>8.8000000000000007</v>
      </c>
      <c r="BN6" s="18">
        <v>0.6</v>
      </c>
      <c r="BO6" s="18">
        <v>0.3</v>
      </c>
      <c r="BP6" s="28"/>
      <c r="BQ6" s="11">
        <f t="shared" si="20"/>
        <v>16.399999999999999</v>
      </c>
      <c r="BR6" s="11">
        <f t="shared" si="21"/>
        <v>52.600000000000009</v>
      </c>
      <c r="BS6" s="11" t="str">
        <f t="shared" si="22"/>
        <v/>
      </c>
      <c r="BT6" s="11">
        <f t="shared" si="23"/>
        <v>16.399999999999999</v>
      </c>
      <c r="BU6" s="11">
        <f t="shared" si="24"/>
        <v>52.600000000000009</v>
      </c>
      <c r="BV6" s="11">
        <f t="shared" si="25"/>
        <v>17.3</v>
      </c>
      <c r="BW6" s="11">
        <f t="shared" si="26"/>
        <v>54</v>
      </c>
      <c r="BX6" s="11">
        <f t="shared" si="27"/>
        <v>106.60000000000001</v>
      </c>
      <c r="BY6" s="19">
        <v>18.2</v>
      </c>
      <c r="BZ6" s="19">
        <v>8.5</v>
      </c>
      <c r="CA6" s="19">
        <v>0.8</v>
      </c>
      <c r="CB6" s="19">
        <v>0.3</v>
      </c>
      <c r="CC6" s="19">
        <v>18.2</v>
      </c>
      <c r="CD6" s="19">
        <v>6.4</v>
      </c>
      <c r="CE6" s="19">
        <v>0.4</v>
      </c>
      <c r="CF6" s="19">
        <v>0</v>
      </c>
      <c r="CG6" s="19"/>
      <c r="CH6" s="19"/>
      <c r="CI6" s="19"/>
      <c r="CJ6" s="19"/>
      <c r="CK6" s="19">
        <v>0</v>
      </c>
      <c r="CL6" s="19">
        <v>0</v>
      </c>
      <c r="CM6" s="19">
        <v>0</v>
      </c>
      <c r="CN6" s="19">
        <v>0</v>
      </c>
      <c r="CO6" s="19">
        <v>18.100000000000001</v>
      </c>
      <c r="CP6" s="19">
        <v>7.6</v>
      </c>
      <c r="CQ6" s="19">
        <v>0</v>
      </c>
      <c r="CR6" s="19">
        <v>0</v>
      </c>
      <c r="CS6" s="27"/>
      <c r="CT6" s="40">
        <f t="shared" si="28"/>
        <v>14.9</v>
      </c>
      <c r="CU6" s="40">
        <f t="shared" si="29"/>
        <v>50.400000000000006</v>
      </c>
      <c r="CV6" s="40" t="str">
        <f t="shared" si="30"/>
        <v/>
      </c>
      <c r="CW6" s="40">
        <f t="shared" si="31"/>
        <v>14.9</v>
      </c>
      <c r="CX6" s="40">
        <f t="shared" si="32"/>
        <v>50.400000000000006</v>
      </c>
      <c r="CY6" s="40">
        <f t="shared" si="33"/>
        <v>7.6</v>
      </c>
      <c r="CZ6" s="40">
        <f t="shared" si="34"/>
        <v>25.700000000000003</v>
      </c>
      <c r="DA6" s="40">
        <f t="shared" si="35"/>
        <v>76.100000000000009</v>
      </c>
      <c r="DB6" s="51">
        <f t="shared" si="36"/>
        <v>1.2999999999999829</v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>
        <v>18.399999999999999</v>
      </c>
      <c r="EG6" s="18">
        <v>8.8000000000000007</v>
      </c>
      <c r="EH6" s="18">
        <v>0.6</v>
      </c>
      <c r="EI6" s="18">
        <v>0</v>
      </c>
      <c r="EJ6" s="18">
        <v>18.899999999999999</v>
      </c>
      <c r="EK6" s="18">
        <v>8.4</v>
      </c>
      <c r="EL6" s="18">
        <v>0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17.200000000000003</v>
      </c>
      <c r="FA6" s="11">
        <f t="shared" si="47"/>
        <v>53.899999999999991</v>
      </c>
      <c r="FB6" s="11" t="str">
        <f t="shared" si="48"/>
        <v/>
      </c>
      <c r="FC6" s="11">
        <f t="shared" si="49"/>
        <v>17.200000000000003</v>
      </c>
      <c r="FD6" s="11">
        <f t="shared" si="50"/>
        <v>53.899999999999991</v>
      </c>
      <c r="FE6" s="11" t="str">
        <f t="shared" si="51"/>
        <v/>
      </c>
      <c r="FF6" s="11" t="str">
        <f t="shared" si="52"/>
        <v/>
      </c>
      <c r="FG6" s="11">
        <f t="shared" si="53"/>
        <v>53.899999999999991</v>
      </c>
      <c r="FH6" s="17">
        <v>18.5</v>
      </c>
      <c r="FI6" s="17">
        <v>8</v>
      </c>
      <c r="FJ6" s="17">
        <v>0.6</v>
      </c>
      <c r="FK6" s="17">
        <v>0</v>
      </c>
      <c r="FL6" s="17">
        <v>18.399999999999999</v>
      </c>
      <c r="FM6" s="17">
        <v>8.4</v>
      </c>
      <c r="FN6" s="17">
        <v>0</v>
      </c>
      <c r="FO6" s="17">
        <v>0</v>
      </c>
      <c r="FP6" s="17"/>
      <c r="FQ6" s="17"/>
      <c r="FR6" s="17"/>
      <c r="FS6" s="17"/>
      <c r="FT6" s="17">
        <v>16.899999999999999</v>
      </c>
      <c r="FU6" s="17">
        <v>8.8000000000000007</v>
      </c>
      <c r="FV6" s="17">
        <v>0.2</v>
      </c>
      <c r="FW6" s="17">
        <v>0</v>
      </c>
      <c r="FX6" s="17"/>
      <c r="FY6" s="17"/>
      <c r="FZ6" s="17"/>
      <c r="GA6" s="17"/>
      <c r="GB6" s="40">
        <f t="shared" si="54"/>
        <v>16.399999999999999</v>
      </c>
      <c r="GC6" s="40">
        <f t="shared" si="55"/>
        <v>52.699999999999996</v>
      </c>
      <c r="GD6" s="40" t="str">
        <f t="shared" si="56"/>
        <v/>
      </c>
      <c r="GE6" s="40">
        <f t="shared" si="57"/>
        <v>16.399999999999999</v>
      </c>
      <c r="GF6" s="40">
        <f t="shared" si="58"/>
        <v>52.699999999999996</v>
      </c>
      <c r="GG6" s="40">
        <f t="shared" si="59"/>
        <v>8.8000000000000007</v>
      </c>
      <c r="GH6" s="40">
        <f t="shared" si="60"/>
        <v>25.5</v>
      </c>
      <c r="GI6" s="40">
        <f t="shared" si="61"/>
        <v>78.199999999999989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18.2</v>
      </c>
      <c r="TI6" s="26">
        <f t="shared" si="159"/>
        <v>8.4499999999999993</v>
      </c>
      <c r="TJ6" s="26">
        <f t="shared" si="160"/>
        <v>0.8</v>
      </c>
      <c r="TK6" s="26">
        <f t="shared" si="161"/>
        <v>0.3</v>
      </c>
      <c r="TL6" s="26">
        <f t="shared" si="162"/>
        <v>18.350000000000001</v>
      </c>
      <c r="TM6" s="26">
        <f t="shared" si="163"/>
        <v>7.2</v>
      </c>
      <c r="TN6" s="26">
        <f t="shared" si="164"/>
        <v>0.2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9.0500000000000007</v>
      </c>
      <c r="TU6" s="26">
        <f t="shared" si="171"/>
        <v>4.25</v>
      </c>
      <c r="TV6" s="26">
        <f t="shared" si="172"/>
        <v>0.1</v>
      </c>
      <c r="TW6" s="26">
        <f t="shared" si="173"/>
        <v>0.15</v>
      </c>
      <c r="TX6" s="26">
        <f t="shared" si="174"/>
        <v>18.450000000000003</v>
      </c>
      <c r="TY6" s="26">
        <f t="shared" si="175"/>
        <v>8.1999999999999993</v>
      </c>
      <c r="TZ6" s="26">
        <f t="shared" si="176"/>
        <v>0.3</v>
      </c>
      <c r="UA6" s="26">
        <f t="shared" si="177"/>
        <v>0.15</v>
      </c>
      <c r="UB6" s="28" t="s">
        <v>53</v>
      </c>
      <c r="UC6" s="11">
        <f t="shared" si="178"/>
        <v>15.649999999999999</v>
      </c>
      <c r="UD6" s="11">
        <f t="shared" si="179"/>
        <v>51.5</v>
      </c>
      <c r="UE6" s="11" t="str">
        <f t="shared" si="180"/>
        <v/>
      </c>
      <c r="UF6" s="11">
        <f t="shared" si="181"/>
        <v>15.649999999999999</v>
      </c>
      <c r="UG6" s="11">
        <f t="shared" si="182"/>
        <v>51.5</v>
      </c>
      <c r="UH6" s="11">
        <f t="shared" si="183"/>
        <v>12.45</v>
      </c>
      <c r="UI6" s="11">
        <f t="shared" si="184"/>
        <v>39.850000000000009</v>
      </c>
      <c r="UJ6" s="11">
        <f t="shared" si="185"/>
        <v>91.350000000000009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197</v>
      </c>
      <c r="C7" s="4" t="s">
        <v>5</v>
      </c>
      <c r="D7" s="4">
        <v>2008</v>
      </c>
      <c r="E7" s="9">
        <f t="shared" si="0"/>
        <v>160.40001076000544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54.199999999999996</v>
      </c>
      <c r="K7" s="8" t="str">
        <f t="shared" si="5"/>
        <v>2025 Elite Canada</v>
      </c>
      <c r="L7" s="8">
        <f>IF(COUNT(AO7,BR7,CU7)&gt;1,LARGE((AO7,BR7,CU7),2),0)</f>
        <v>53.4</v>
      </c>
      <c r="M7" s="8" t="str">
        <f t="shared" si="6"/>
        <v>2025 Nationals</v>
      </c>
      <c r="N7" s="8">
        <f t="shared" si="7"/>
        <v>52.499999999999993</v>
      </c>
      <c r="O7" s="8" t="str">
        <f t="shared" si="8"/>
        <v>2025 Elite Canada</v>
      </c>
      <c r="P7" s="8">
        <f t="shared" si="9"/>
        <v>0.30000000000000426</v>
      </c>
      <c r="Q7" s="11" t="str">
        <f t="shared" si="10"/>
        <v>(Q1)</v>
      </c>
      <c r="R7" s="8" t="str">
        <f t="shared" si="11"/>
        <v>2025 World Cup ITA (April 6)</v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 t="shared" si="12"/>
        <v/>
      </c>
      <c r="AO7" s="40" t="str">
        <f t="shared" si="13"/>
        <v/>
      </c>
      <c r="AP7" s="40" t="str">
        <f t="shared" si="14"/>
        <v/>
      </c>
      <c r="AQ7" s="40" t="str">
        <f t="shared" si="15"/>
        <v/>
      </c>
      <c r="AR7" s="40" t="str">
        <f t="shared" si="16"/>
        <v/>
      </c>
      <c r="AS7" s="40" t="str">
        <f t="shared" si="17"/>
        <v/>
      </c>
      <c r="AT7" s="40" t="str">
        <f t="shared" si="18"/>
        <v/>
      </c>
      <c r="AU7" s="40" t="str">
        <f t="shared" si="19"/>
        <v/>
      </c>
      <c r="AV7" s="18">
        <v>19</v>
      </c>
      <c r="AW7" s="18">
        <v>8.4</v>
      </c>
      <c r="AX7" s="18">
        <v>0</v>
      </c>
      <c r="AY7" s="18">
        <v>0</v>
      </c>
      <c r="AZ7" s="18">
        <v>18.600000000000001</v>
      </c>
      <c r="BA7" s="18">
        <v>8.1</v>
      </c>
      <c r="BB7" s="18">
        <v>0.2</v>
      </c>
      <c r="BC7" s="18">
        <v>0.3</v>
      </c>
      <c r="BD7" s="18"/>
      <c r="BE7" s="18"/>
      <c r="BF7" s="18"/>
      <c r="BG7" s="18"/>
      <c r="BH7" s="18">
        <v>19</v>
      </c>
      <c r="BI7" s="18">
        <v>8.4</v>
      </c>
      <c r="BJ7" s="18">
        <v>0.6</v>
      </c>
      <c r="BK7" s="18">
        <v>0</v>
      </c>
      <c r="BL7" s="18">
        <v>18.399999999999999</v>
      </c>
      <c r="BM7" s="18">
        <v>7.3</v>
      </c>
      <c r="BN7" s="18">
        <v>0</v>
      </c>
      <c r="BO7" s="18">
        <v>0</v>
      </c>
      <c r="BP7" s="28"/>
      <c r="BQ7" s="11">
        <f t="shared" si="20"/>
        <v>16.5</v>
      </c>
      <c r="BR7" s="11">
        <f t="shared" si="21"/>
        <v>54.199999999999996</v>
      </c>
      <c r="BS7" s="11" t="str">
        <f t="shared" si="22"/>
        <v/>
      </c>
      <c r="BT7" s="11">
        <f t="shared" si="23"/>
        <v>16.5</v>
      </c>
      <c r="BU7" s="11">
        <f t="shared" si="24"/>
        <v>54.199999999999996</v>
      </c>
      <c r="BV7" s="11">
        <f t="shared" si="25"/>
        <v>15.7</v>
      </c>
      <c r="BW7" s="11">
        <f t="shared" si="26"/>
        <v>52.499999999999993</v>
      </c>
      <c r="BX7" s="11">
        <f t="shared" si="27"/>
        <v>106.69999999999999</v>
      </c>
      <c r="BY7" s="19">
        <v>19.100000000000001</v>
      </c>
      <c r="BZ7" s="19">
        <v>8.4</v>
      </c>
      <c r="CA7" s="19">
        <v>0</v>
      </c>
      <c r="CB7" s="19">
        <v>0</v>
      </c>
      <c r="CC7" s="19">
        <v>18.600000000000001</v>
      </c>
      <c r="CD7" s="19">
        <v>7.3</v>
      </c>
      <c r="CE7" s="19">
        <v>0</v>
      </c>
      <c r="CF7" s="19">
        <v>0</v>
      </c>
      <c r="CG7" s="19"/>
      <c r="CH7" s="19"/>
      <c r="CI7" s="19"/>
      <c r="CJ7" s="19"/>
      <c r="CK7" s="19">
        <v>18.7</v>
      </c>
      <c r="CL7" s="19">
        <v>7.6</v>
      </c>
      <c r="CM7" s="19">
        <v>0</v>
      </c>
      <c r="CN7" s="19">
        <v>0</v>
      </c>
      <c r="CO7" s="19">
        <v>15.1</v>
      </c>
      <c r="CP7" s="19">
        <v>5.0999999999999996</v>
      </c>
      <c r="CQ7" s="19">
        <v>0</v>
      </c>
      <c r="CR7" s="19">
        <v>0.3</v>
      </c>
      <c r="CS7" s="27"/>
      <c r="CT7" s="40">
        <f t="shared" si="28"/>
        <v>15.7</v>
      </c>
      <c r="CU7" s="40">
        <f t="shared" si="29"/>
        <v>53.4</v>
      </c>
      <c r="CV7" s="40" t="str">
        <f t="shared" si="30"/>
        <v/>
      </c>
      <c r="CW7" s="40">
        <f t="shared" si="31"/>
        <v>15.7</v>
      </c>
      <c r="CX7" s="40">
        <f t="shared" si="32"/>
        <v>53.4</v>
      </c>
      <c r="CY7" s="40">
        <f t="shared" si="33"/>
        <v>12.7</v>
      </c>
      <c r="CZ7" s="40">
        <f t="shared" si="34"/>
        <v>46.8</v>
      </c>
      <c r="DA7" s="40">
        <f t="shared" si="35"/>
        <v>100.19999999999999</v>
      </c>
      <c r="DB7" s="51">
        <f t="shared" si="36"/>
        <v>0.30000000000000426</v>
      </c>
      <c r="DC7" s="51" t="str">
        <f t="shared" si="37"/>
        <v/>
      </c>
      <c r="DD7" s="17">
        <v>18.8</v>
      </c>
      <c r="DE7" s="17">
        <v>8.4</v>
      </c>
      <c r="DF7" s="17">
        <v>0</v>
      </c>
      <c r="DG7" s="17">
        <v>0</v>
      </c>
      <c r="DH7" s="17">
        <v>18.399999999999999</v>
      </c>
      <c r="DI7" s="17">
        <v>8.1</v>
      </c>
      <c r="DJ7" s="17">
        <v>0</v>
      </c>
      <c r="DK7" s="17">
        <v>0</v>
      </c>
      <c r="DL7" s="17">
        <v>17.8</v>
      </c>
      <c r="DM7" s="17">
        <v>9.3000000000000007</v>
      </c>
      <c r="DN7" s="17">
        <v>0.8</v>
      </c>
      <c r="DO7" s="17">
        <v>0</v>
      </c>
      <c r="DP7" s="17"/>
      <c r="DQ7" s="17"/>
      <c r="DR7" s="17"/>
      <c r="DS7" s="17"/>
      <c r="DT7" s="17"/>
      <c r="DU7" s="17"/>
      <c r="DV7" s="17"/>
      <c r="DW7" s="17"/>
      <c r="DX7" s="40">
        <f t="shared" si="38"/>
        <v>16.5</v>
      </c>
      <c r="DY7" s="40">
        <f t="shared" si="39"/>
        <v>53.7</v>
      </c>
      <c r="DZ7" s="40">
        <f t="shared" si="40"/>
        <v>26.3</v>
      </c>
      <c r="EA7" s="40">
        <f t="shared" si="41"/>
        <v>25.8</v>
      </c>
      <c r="EB7" s="40">
        <f t="shared" si="42"/>
        <v>80</v>
      </c>
      <c r="EC7" s="40" t="str">
        <f t="shared" si="43"/>
        <v/>
      </c>
      <c r="ED7" s="40" t="str">
        <f t="shared" si="44"/>
        <v/>
      </c>
      <c r="EE7" s="40">
        <f t="shared" si="45"/>
        <v>80</v>
      </c>
      <c r="EF7" s="18">
        <v>16.600000000000001</v>
      </c>
      <c r="EG7" s="18">
        <v>9.1999999999999993</v>
      </c>
      <c r="EH7" s="18">
        <v>0.8</v>
      </c>
      <c r="EI7" s="18">
        <v>0</v>
      </c>
      <c r="EJ7" s="18">
        <v>18</v>
      </c>
      <c r="EK7" s="18">
        <v>8.9</v>
      </c>
      <c r="EL7" s="18">
        <v>0.8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 t="shared" si="46"/>
        <v>18.100000000000001</v>
      </c>
      <c r="FA7" s="11">
        <f t="shared" si="47"/>
        <v>51.1</v>
      </c>
      <c r="FB7" s="11" t="str">
        <f t="shared" si="48"/>
        <v/>
      </c>
      <c r="FC7" s="11">
        <f t="shared" si="49"/>
        <v>18.100000000000001</v>
      </c>
      <c r="FD7" s="11">
        <f t="shared" si="50"/>
        <v>51.1</v>
      </c>
      <c r="FE7" s="11" t="str">
        <f t="shared" si="51"/>
        <v/>
      </c>
      <c r="FF7" s="11" t="str">
        <f t="shared" si="52"/>
        <v/>
      </c>
      <c r="FG7" s="11">
        <f t="shared" si="53"/>
        <v>51.1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19.05</v>
      </c>
      <c r="TI7" s="26">
        <f t="shared" si="159"/>
        <v>8.4</v>
      </c>
      <c r="TJ7" s="26">
        <f t="shared" si="160"/>
        <v>0</v>
      </c>
      <c r="TK7" s="26">
        <f t="shared" si="161"/>
        <v>0</v>
      </c>
      <c r="TL7" s="26">
        <f t="shared" si="162"/>
        <v>18.600000000000001</v>
      </c>
      <c r="TM7" s="26">
        <f t="shared" si="163"/>
        <v>7.6999999999999993</v>
      </c>
      <c r="TN7" s="26">
        <f t="shared" si="164"/>
        <v>0.1</v>
      </c>
      <c r="TO7" s="26">
        <f t="shared" si="165"/>
        <v>0.15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18.850000000000001</v>
      </c>
      <c r="TU7" s="26">
        <f t="shared" si="171"/>
        <v>8</v>
      </c>
      <c r="TV7" s="26">
        <f t="shared" si="172"/>
        <v>0.3</v>
      </c>
      <c r="TW7" s="26">
        <f t="shared" si="173"/>
        <v>0</v>
      </c>
      <c r="TX7" s="26">
        <f t="shared" si="174"/>
        <v>16.75</v>
      </c>
      <c r="TY7" s="26">
        <f t="shared" si="175"/>
        <v>6.1999999999999993</v>
      </c>
      <c r="TZ7" s="26">
        <f t="shared" si="176"/>
        <v>0</v>
      </c>
      <c r="UA7" s="26">
        <f t="shared" si="177"/>
        <v>0.15</v>
      </c>
      <c r="UB7" s="28" t="s">
        <v>53</v>
      </c>
      <c r="UC7" s="11">
        <f t="shared" si="178"/>
        <v>16.100000000000001</v>
      </c>
      <c r="UD7" s="11">
        <f t="shared" si="179"/>
        <v>53.8</v>
      </c>
      <c r="UE7" s="11" t="str">
        <f t="shared" si="180"/>
        <v/>
      </c>
      <c r="UF7" s="11">
        <f t="shared" si="181"/>
        <v>16.100000000000001</v>
      </c>
      <c r="UG7" s="11">
        <f t="shared" si="182"/>
        <v>53.8</v>
      </c>
      <c r="UH7" s="11">
        <f t="shared" si="183"/>
        <v>14.2</v>
      </c>
      <c r="UI7" s="11">
        <f t="shared" si="184"/>
        <v>49.65</v>
      </c>
      <c r="UJ7" s="11">
        <f t="shared" si="185"/>
        <v>103.44999999999999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80</v>
      </c>
      <c r="C8" s="4" t="s">
        <v>5</v>
      </c>
      <c r="D8" s="4">
        <v>2003</v>
      </c>
      <c r="E8" s="9">
        <f t="shared" si="0"/>
        <v>159.50001056000534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53.300000000000004</v>
      </c>
      <c r="K8" s="8" t="str">
        <f t="shared" si="5"/>
        <v>2025 Nationals</v>
      </c>
      <c r="L8" s="8">
        <f>IF(COUNT(AO8,BR8,CU8)&gt;1,LARGE((AO8,BR8,CU8),2),0)</f>
        <v>52.300000000000004</v>
      </c>
      <c r="M8" s="8" t="str">
        <f t="shared" si="6"/>
        <v>2024 3rd Domestic Trial</v>
      </c>
      <c r="N8" s="8">
        <f t="shared" si="7"/>
        <v>53.9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16</v>
      </c>
      <c r="AO8" s="40">
        <f t="shared" si="13"/>
        <v>52.300000000000004</v>
      </c>
      <c r="AP8" s="40">
        <f t="shared" si="14"/>
        <v>21.4</v>
      </c>
      <c r="AQ8" s="40">
        <f t="shared" si="15"/>
        <v>20</v>
      </c>
      <c r="AR8" s="40">
        <f t="shared" si="16"/>
        <v>73.7</v>
      </c>
      <c r="AS8" s="40" t="str">
        <f t="shared" si="17"/>
        <v/>
      </c>
      <c r="AT8" s="40" t="str">
        <f t="shared" si="18"/>
        <v/>
      </c>
      <c r="AU8" s="40">
        <f t="shared" si="19"/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6.8</v>
      </c>
      <c r="BR8" s="11">
        <f t="shared" si="21"/>
        <v>24.099999999999998</v>
      </c>
      <c r="BS8" s="11" t="str">
        <f t="shared" si="22"/>
        <v/>
      </c>
      <c r="BT8" s="11">
        <f t="shared" si="23"/>
        <v>6.8</v>
      </c>
      <c r="BU8" s="11">
        <f t="shared" si="24"/>
        <v>24.099999999999998</v>
      </c>
      <c r="BV8" s="11" t="str">
        <f t="shared" si="25"/>
        <v/>
      </c>
      <c r="BW8" s="11" t="str">
        <f t="shared" si="26"/>
        <v/>
      </c>
      <c r="BX8" s="11">
        <f t="shared" si="27"/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 t="shared" si="28"/>
        <v>16</v>
      </c>
      <c r="CU8" s="40">
        <f t="shared" si="29"/>
        <v>53.300000000000004</v>
      </c>
      <c r="CV8" s="40" t="str">
        <f t="shared" si="30"/>
        <v/>
      </c>
      <c r="CW8" s="40">
        <f t="shared" si="31"/>
        <v>16</v>
      </c>
      <c r="CX8" s="40">
        <f t="shared" si="32"/>
        <v>53.300000000000004</v>
      </c>
      <c r="CY8" s="40">
        <f t="shared" si="33"/>
        <v>16</v>
      </c>
      <c r="CZ8" s="40">
        <f t="shared" si="34"/>
        <v>53.9</v>
      </c>
      <c r="DA8" s="40">
        <f t="shared" si="35"/>
        <v>107.2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18.049999999999997</v>
      </c>
      <c r="TI8" s="26">
        <f t="shared" si="159"/>
        <v>7.6</v>
      </c>
      <c r="TJ8" s="26">
        <f t="shared" si="160"/>
        <v>0.3</v>
      </c>
      <c r="TK8" s="26">
        <f t="shared" si="161"/>
        <v>0.15</v>
      </c>
      <c r="TL8" s="26">
        <f t="shared" si="162"/>
        <v>9.25</v>
      </c>
      <c r="TM8" s="26">
        <f t="shared" si="163"/>
        <v>3.8</v>
      </c>
      <c r="TN8" s="26">
        <f t="shared" si="164"/>
        <v>0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4.2</v>
      </c>
      <c r="TV8" s="26">
        <f t="shared" si="172"/>
        <v>0</v>
      </c>
      <c r="TW8" s="26">
        <f t="shared" si="173"/>
        <v>0.15</v>
      </c>
      <c r="TX8" s="26">
        <f t="shared" si="174"/>
        <v>9.35</v>
      </c>
      <c r="TY8" s="26">
        <f t="shared" si="175"/>
        <v>3.8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11.399999999999999</v>
      </c>
      <c r="UD8" s="11">
        <f t="shared" si="179"/>
        <v>38.699999999999996</v>
      </c>
      <c r="UE8" s="11" t="str">
        <f t="shared" si="180"/>
        <v/>
      </c>
      <c r="UF8" s="11">
        <f t="shared" si="181"/>
        <v>11.399999999999999</v>
      </c>
      <c r="UG8" s="11">
        <f t="shared" si="182"/>
        <v>38.699999999999996</v>
      </c>
      <c r="UH8" s="11">
        <f t="shared" si="183"/>
        <v>8</v>
      </c>
      <c r="UI8" s="11">
        <f t="shared" si="184"/>
        <v>26.95</v>
      </c>
      <c r="UJ8" s="11">
        <f t="shared" si="185"/>
        <v>65.649999999999991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125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2"/>
        <v>15.600000000000001</v>
      </c>
      <c r="AO9" s="40">
        <f t="shared" si="13"/>
        <v>46.2</v>
      </c>
      <c r="AP9" s="40">
        <f t="shared" si="14"/>
        <v>24.4</v>
      </c>
      <c r="AQ9" s="40">
        <f t="shared" si="15"/>
        <v>21.200000000000003</v>
      </c>
      <c r="AR9" s="40">
        <f t="shared" si="16"/>
        <v>70.599999999999994</v>
      </c>
      <c r="AS9" s="40" t="str">
        <f t="shared" si="17"/>
        <v/>
      </c>
      <c r="AT9" s="40" t="str">
        <f t="shared" si="18"/>
        <v/>
      </c>
      <c r="AU9" s="40">
        <f t="shared" si="19"/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 t="shared" si="20"/>
        <v>15.7</v>
      </c>
      <c r="BR9" s="11">
        <f t="shared" si="21"/>
        <v>50.900000000000006</v>
      </c>
      <c r="BS9" s="11" t="str">
        <f t="shared" si="22"/>
        <v/>
      </c>
      <c r="BT9" s="11">
        <f t="shared" si="23"/>
        <v>15.7</v>
      </c>
      <c r="BU9" s="11">
        <f t="shared" si="24"/>
        <v>50.900000000000006</v>
      </c>
      <c r="BV9" s="11">
        <f t="shared" si="25"/>
        <v>14.9</v>
      </c>
      <c r="BW9" s="11">
        <f t="shared" si="26"/>
        <v>49.500000000000007</v>
      </c>
      <c r="BX9" s="11">
        <f t="shared" si="27"/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 t="shared" si="28"/>
        <v>17.100000000000001</v>
      </c>
      <c r="CU9" s="40">
        <f t="shared" si="29"/>
        <v>54.399999999999991</v>
      </c>
      <c r="CV9" s="40" t="str">
        <f t="shared" si="30"/>
        <v/>
      </c>
      <c r="CW9" s="40">
        <f t="shared" si="31"/>
        <v>17.100000000000001</v>
      </c>
      <c r="CX9" s="40">
        <f t="shared" si="32"/>
        <v>54.399999999999991</v>
      </c>
      <c r="CY9" s="40">
        <f t="shared" si="33"/>
        <v>17.100000000000001</v>
      </c>
      <c r="CZ9" s="40">
        <f t="shared" si="34"/>
        <v>53.099999999999994</v>
      </c>
      <c r="DA9" s="40">
        <f t="shared" si="35"/>
        <v>107.49999999999999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18.7</v>
      </c>
      <c r="TI9" s="26">
        <f t="shared" si="159"/>
        <v>8.1999999999999993</v>
      </c>
      <c r="TJ9" s="26">
        <f t="shared" si="160"/>
        <v>0.1</v>
      </c>
      <c r="TK9" s="26">
        <f t="shared" si="161"/>
        <v>0</v>
      </c>
      <c r="TL9" s="26">
        <f t="shared" si="162"/>
        <v>17.899999999999999</v>
      </c>
      <c r="TM9" s="26">
        <f t="shared" si="163"/>
        <v>8.1999999999999993</v>
      </c>
      <c r="TN9" s="26">
        <f t="shared" si="164"/>
        <v>0.4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7.8000000000000007</v>
      </c>
      <c r="TV9" s="26">
        <f t="shared" si="172"/>
        <v>0.8</v>
      </c>
      <c r="TW9" s="26">
        <f t="shared" si="173"/>
        <v>0</v>
      </c>
      <c r="TX9" s="26">
        <f t="shared" si="174"/>
        <v>18.049999999999997</v>
      </c>
      <c r="TY9" s="26">
        <f t="shared" si="175"/>
        <v>8.1999999999999993</v>
      </c>
      <c r="TZ9" s="26">
        <f t="shared" si="176"/>
        <v>0.5</v>
      </c>
      <c r="UA9" s="26">
        <f t="shared" si="177"/>
        <v>0.15</v>
      </c>
      <c r="UB9" s="28" t="s">
        <v>53</v>
      </c>
      <c r="UC9" s="11">
        <f t="shared" si="178"/>
        <v>16.399999999999999</v>
      </c>
      <c r="UD9" s="11">
        <f t="shared" si="179"/>
        <v>52.65</v>
      </c>
      <c r="UE9" s="11" t="str">
        <f t="shared" si="180"/>
        <v/>
      </c>
      <c r="UF9" s="11">
        <f t="shared" si="181"/>
        <v>16.399999999999999</v>
      </c>
      <c r="UG9" s="11">
        <f t="shared" si="182"/>
        <v>52.65</v>
      </c>
      <c r="UH9" s="11">
        <f t="shared" si="183"/>
        <v>16</v>
      </c>
      <c r="UI9" s="11">
        <f t="shared" si="184"/>
        <v>51.300000000000004</v>
      </c>
      <c r="UJ9" s="11">
        <f t="shared" si="185"/>
        <v>103.95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206</v>
      </c>
      <c r="C10" s="4" t="s">
        <v>5</v>
      </c>
      <c r="D10" s="4">
        <v>2007</v>
      </c>
      <c r="E10" s="9">
        <f t="shared" si="0"/>
        <v>158.10001058000532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53.099999999999994</v>
      </c>
      <c r="K10" s="8" t="str">
        <f t="shared" si="5"/>
        <v>2025 Nationals</v>
      </c>
      <c r="L10" s="8">
        <f>IF(COUNT(AO10,BR10,CU10)&gt;1,LARGE((AO10,BR10,CU10),2),0)</f>
        <v>52.7</v>
      </c>
      <c r="M10" s="8" t="str">
        <f t="shared" si="6"/>
        <v>2025 Elite Canada</v>
      </c>
      <c r="N10" s="8">
        <f t="shared" si="7"/>
        <v>52.300000000000004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 t="shared" si="12"/>
        <v>15.600000000000001</v>
      </c>
      <c r="AO10" s="40">
        <f t="shared" si="13"/>
        <v>52.4</v>
      </c>
      <c r="AP10" s="40">
        <f t="shared" si="14"/>
        <v>26.2</v>
      </c>
      <c r="AQ10" s="40">
        <f t="shared" si="15"/>
        <v>23.3</v>
      </c>
      <c r="AR10" s="40">
        <f t="shared" si="16"/>
        <v>78.599999999999994</v>
      </c>
      <c r="AS10" s="40">
        <f t="shared" si="17"/>
        <v>10</v>
      </c>
      <c r="AT10" s="40">
        <f t="shared" si="18"/>
        <v>45.599999999999994</v>
      </c>
      <c r="AU10" s="40">
        <f t="shared" si="19"/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 t="shared" si="20"/>
        <v>16.100000000000001</v>
      </c>
      <c r="BR10" s="11">
        <f t="shared" si="21"/>
        <v>52.7</v>
      </c>
      <c r="BS10" s="11" t="str">
        <f t="shared" si="22"/>
        <v/>
      </c>
      <c r="BT10" s="11">
        <f t="shared" si="23"/>
        <v>16.100000000000001</v>
      </c>
      <c r="BU10" s="11">
        <f t="shared" si="24"/>
        <v>52.7</v>
      </c>
      <c r="BV10" s="11">
        <f t="shared" si="25"/>
        <v>16.100000000000001</v>
      </c>
      <c r="BW10" s="11">
        <f t="shared" si="26"/>
        <v>52.100000000000009</v>
      </c>
      <c r="BX10" s="11">
        <f t="shared" si="27"/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 t="shared" si="28"/>
        <v>16.100000000000001</v>
      </c>
      <c r="CU10" s="40">
        <f t="shared" si="29"/>
        <v>53.099999999999994</v>
      </c>
      <c r="CV10" s="40" t="str">
        <f t="shared" si="30"/>
        <v/>
      </c>
      <c r="CW10" s="40">
        <f t="shared" si="31"/>
        <v>16.100000000000001</v>
      </c>
      <c r="CX10" s="40">
        <f t="shared" si="32"/>
        <v>53.099999999999994</v>
      </c>
      <c r="CY10" s="40">
        <f t="shared" si="33"/>
        <v>16.100000000000001</v>
      </c>
      <c r="CZ10" s="40">
        <f t="shared" si="34"/>
        <v>52.300000000000004</v>
      </c>
      <c r="DA10" s="40">
        <f t="shared" si="35"/>
        <v>105.4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>
        <v>18.399999999999999</v>
      </c>
      <c r="EG10" s="18">
        <v>5.2</v>
      </c>
      <c r="EH10" s="18">
        <v>0.6</v>
      </c>
      <c r="EI10" s="18">
        <v>0</v>
      </c>
      <c r="EJ10" s="18">
        <v>19</v>
      </c>
      <c r="EK10" s="18">
        <v>8.4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 t="shared" si="46"/>
        <v>13.600000000000001</v>
      </c>
      <c r="FA10" s="11">
        <f t="shared" si="47"/>
        <v>50.399999999999991</v>
      </c>
      <c r="FB10" s="11" t="str">
        <f t="shared" si="48"/>
        <v/>
      </c>
      <c r="FC10" s="11">
        <f t="shared" si="49"/>
        <v>13.600000000000001</v>
      </c>
      <c r="FD10" s="11">
        <f t="shared" si="50"/>
        <v>50.399999999999991</v>
      </c>
      <c r="FE10" s="11" t="str">
        <f t="shared" si="51"/>
        <v/>
      </c>
      <c r="FF10" s="11" t="str">
        <f t="shared" si="52"/>
        <v/>
      </c>
      <c r="FG10" s="11">
        <f t="shared" si="53"/>
        <v>50.399999999999991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</v>
      </c>
      <c r="TI10" s="26">
        <f t="shared" si="159"/>
        <v>8.4</v>
      </c>
      <c r="TJ10" s="26">
        <f t="shared" si="160"/>
        <v>0.1</v>
      </c>
      <c r="TK10" s="26">
        <f t="shared" si="161"/>
        <v>0</v>
      </c>
      <c r="TL10" s="26">
        <f t="shared" si="162"/>
        <v>18.2</v>
      </c>
      <c r="TM10" s="26">
        <f t="shared" si="163"/>
        <v>7.7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18.649999999999999</v>
      </c>
      <c r="TU10" s="26">
        <f t="shared" si="171"/>
        <v>8.4</v>
      </c>
      <c r="TV10" s="26">
        <f t="shared" si="172"/>
        <v>0.7</v>
      </c>
      <c r="TW10" s="26">
        <f t="shared" si="173"/>
        <v>0</v>
      </c>
      <c r="TX10" s="26">
        <f t="shared" si="174"/>
        <v>18.350000000000001</v>
      </c>
      <c r="TY10" s="26">
        <f t="shared" si="175"/>
        <v>7.7</v>
      </c>
      <c r="TZ10" s="26">
        <f t="shared" si="176"/>
        <v>0.2</v>
      </c>
      <c r="UA10" s="26">
        <f t="shared" si="177"/>
        <v>0</v>
      </c>
      <c r="UB10" s="28" t="s">
        <v>53</v>
      </c>
      <c r="UC10" s="11">
        <f t="shared" si="178"/>
        <v>16.100000000000001</v>
      </c>
      <c r="UD10" s="11">
        <f t="shared" si="179"/>
        <v>52.900000000000006</v>
      </c>
      <c r="UE10" s="11" t="str">
        <f t="shared" si="180"/>
        <v/>
      </c>
      <c r="UF10" s="11">
        <f t="shared" si="181"/>
        <v>16.100000000000001</v>
      </c>
      <c r="UG10" s="11">
        <f t="shared" si="182"/>
        <v>52.900000000000006</v>
      </c>
      <c r="UH10" s="11">
        <f t="shared" si="183"/>
        <v>16.100000000000001</v>
      </c>
      <c r="UI10" s="11">
        <f t="shared" si="184"/>
        <v>52.2</v>
      </c>
      <c r="UJ10" s="11">
        <f t="shared" si="185"/>
        <v>105.10000000000001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155</v>
      </c>
      <c r="C11" s="4" t="s">
        <v>5</v>
      </c>
      <c r="D11" s="4">
        <v>2005</v>
      </c>
      <c r="E11" s="9">
        <f t="shared" si="0"/>
        <v>155.90001053000532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53.1</v>
      </c>
      <c r="K11" s="8" t="str">
        <f t="shared" si="5"/>
        <v>2024 3rd Domestic Trial</v>
      </c>
      <c r="L11" s="8">
        <f>IF(COUNT(AO11,BR11,CU11)&gt;1,LARGE((AO11,BR11,CU11),2),0)</f>
        <v>52.199999999999996</v>
      </c>
      <c r="M11" s="8" t="str">
        <f t="shared" si="6"/>
        <v>2025 Nationals</v>
      </c>
      <c r="N11" s="8">
        <f t="shared" si="7"/>
        <v>50.6</v>
      </c>
      <c r="O11" s="8" t="str">
        <f t="shared" si="8"/>
        <v>2024 3rd Domestic Trial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18.899999999999999</v>
      </c>
      <c r="T11" s="19">
        <v>7.7</v>
      </c>
      <c r="U11" s="19">
        <v>0</v>
      </c>
      <c r="V11" s="19">
        <v>0.3</v>
      </c>
      <c r="W11" s="19">
        <v>19</v>
      </c>
      <c r="X11" s="19">
        <v>7.2</v>
      </c>
      <c r="Y11" s="19">
        <v>0</v>
      </c>
      <c r="Z11" s="19">
        <v>0</v>
      </c>
      <c r="AA11" s="19">
        <v>18.600000000000001</v>
      </c>
      <c r="AB11" s="19">
        <v>7.2</v>
      </c>
      <c r="AC11" s="19">
        <v>0.6</v>
      </c>
      <c r="AD11" s="19">
        <v>0</v>
      </c>
      <c r="AE11" s="19">
        <v>18.5</v>
      </c>
      <c r="AF11" s="19">
        <v>6.9</v>
      </c>
      <c r="AG11" s="19">
        <v>0.2</v>
      </c>
      <c r="AH11" s="19">
        <v>0</v>
      </c>
      <c r="AI11" s="19">
        <v>18.399999999999999</v>
      </c>
      <c r="AJ11" s="19">
        <v>7.2</v>
      </c>
      <c r="AK11" s="19">
        <v>0.2</v>
      </c>
      <c r="AL11" s="19">
        <v>0</v>
      </c>
      <c r="AM11" s="27"/>
      <c r="AN11" s="40">
        <f t="shared" si="12"/>
        <v>14.9</v>
      </c>
      <c r="AO11" s="40">
        <f t="shared" si="13"/>
        <v>53.1</v>
      </c>
      <c r="AP11" s="40">
        <f t="shared" si="14"/>
        <v>25.2</v>
      </c>
      <c r="AQ11" s="40">
        <f t="shared" si="15"/>
        <v>22.1</v>
      </c>
      <c r="AR11" s="40">
        <f t="shared" si="16"/>
        <v>78.3</v>
      </c>
      <c r="AS11" s="40">
        <f t="shared" si="17"/>
        <v>14.100000000000001</v>
      </c>
      <c r="AT11" s="40">
        <f t="shared" si="18"/>
        <v>50.6</v>
      </c>
      <c r="AU11" s="40">
        <f t="shared" si="19"/>
        <v>128.9</v>
      </c>
      <c r="AV11" s="18">
        <v>17.600000000000001</v>
      </c>
      <c r="AW11" s="18">
        <v>5.3</v>
      </c>
      <c r="AX11" s="18">
        <v>1</v>
      </c>
      <c r="AY11" s="18">
        <v>0.15</v>
      </c>
      <c r="AZ11" s="18">
        <v>18.7</v>
      </c>
      <c r="BA11" s="18">
        <v>7.65</v>
      </c>
      <c r="BB11" s="18">
        <v>0</v>
      </c>
      <c r="BC11" s="18">
        <v>0.15</v>
      </c>
      <c r="BD11" s="18"/>
      <c r="BE11" s="18"/>
      <c r="BF11" s="18"/>
      <c r="BG11" s="18"/>
      <c r="BH11" s="18">
        <v>9.25</v>
      </c>
      <c r="BI11" s="18">
        <v>3.45</v>
      </c>
      <c r="BJ11" s="18">
        <v>0.1</v>
      </c>
      <c r="BK11" s="18">
        <v>0</v>
      </c>
      <c r="BL11" s="18">
        <v>9.1999999999999993</v>
      </c>
      <c r="BM11" s="18">
        <v>3.6</v>
      </c>
      <c r="BN11" s="18">
        <v>0.1</v>
      </c>
      <c r="BO11" s="18">
        <v>0</v>
      </c>
      <c r="BP11" s="28" t="s">
        <v>53</v>
      </c>
      <c r="BQ11" s="11">
        <f t="shared" si="20"/>
        <v>12.95</v>
      </c>
      <c r="BR11" s="11">
        <f t="shared" si="21"/>
        <v>48.55</v>
      </c>
      <c r="BS11" s="11" t="str">
        <f t="shared" si="22"/>
        <v/>
      </c>
      <c r="BT11" s="11">
        <f t="shared" si="23"/>
        <v>12.95</v>
      </c>
      <c r="BU11" s="11">
        <f t="shared" si="24"/>
        <v>48.55</v>
      </c>
      <c r="BV11" s="11">
        <f t="shared" si="25"/>
        <v>7.0500000000000007</v>
      </c>
      <c r="BW11" s="11">
        <f t="shared" si="26"/>
        <v>25.3</v>
      </c>
      <c r="BX11" s="11">
        <f t="shared" si="27"/>
        <v>73.849999999999994</v>
      </c>
      <c r="BY11" s="19">
        <v>18.8</v>
      </c>
      <c r="BZ11" s="19">
        <v>8.4</v>
      </c>
      <c r="CA11" s="19">
        <v>0</v>
      </c>
      <c r="CB11" s="19">
        <v>0</v>
      </c>
      <c r="CC11" s="19">
        <v>16.8</v>
      </c>
      <c r="CD11" s="19">
        <v>8.1</v>
      </c>
      <c r="CE11" s="19">
        <v>0.2</v>
      </c>
      <c r="CF11" s="19">
        <v>0.3</v>
      </c>
      <c r="CG11" s="19"/>
      <c r="CH11" s="19"/>
      <c r="CI11" s="19"/>
      <c r="CJ11" s="19"/>
      <c r="CK11" s="19">
        <v>16.3</v>
      </c>
      <c r="CL11" s="19">
        <v>7.6</v>
      </c>
      <c r="CM11" s="19">
        <v>1</v>
      </c>
      <c r="CN11" s="19">
        <v>0</v>
      </c>
      <c r="CO11" s="19">
        <v>18.399999999999999</v>
      </c>
      <c r="CP11" s="19">
        <v>8.1</v>
      </c>
      <c r="CQ11" s="19">
        <v>0.2</v>
      </c>
      <c r="CR11" s="19">
        <v>0.3</v>
      </c>
      <c r="CS11" s="27"/>
      <c r="CT11" s="40">
        <f t="shared" si="28"/>
        <v>16.5</v>
      </c>
      <c r="CU11" s="40">
        <f t="shared" si="29"/>
        <v>52.199999999999996</v>
      </c>
      <c r="CV11" s="40" t="str">
        <f t="shared" si="30"/>
        <v/>
      </c>
      <c r="CW11" s="40">
        <f t="shared" si="31"/>
        <v>16.5</v>
      </c>
      <c r="CX11" s="40">
        <f t="shared" si="32"/>
        <v>52.199999999999996</v>
      </c>
      <c r="CY11" s="40">
        <f t="shared" si="33"/>
        <v>15.7</v>
      </c>
      <c r="CZ11" s="40">
        <f t="shared" si="34"/>
        <v>49.499999999999993</v>
      </c>
      <c r="DA11" s="40">
        <f t="shared" si="35"/>
        <v>101.69999999999999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18.200000000000003</v>
      </c>
      <c r="TI11" s="26">
        <f t="shared" si="159"/>
        <v>6.85</v>
      </c>
      <c r="TJ11" s="26">
        <f t="shared" si="160"/>
        <v>0.5</v>
      </c>
      <c r="TK11" s="26">
        <f t="shared" si="161"/>
        <v>7.4999999999999997E-2</v>
      </c>
      <c r="TL11" s="26">
        <f t="shared" si="162"/>
        <v>17.75</v>
      </c>
      <c r="TM11" s="26">
        <f t="shared" si="163"/>
        <v>7.875</v>
      </c>
      <c r="TN11" s="26">
        <f t="shared" si="164"/>
        <v>0.1</v>
      </c>
      <c r="TO11" s="26">
        <f t="shared" si="165"/>
        <v>0.22499999999999998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12.775</v>
      </c>
      <c r="TU11" s="26">
        <f t="shared" si="171"/>
        <v>5.5250000000000004</v>
      </c>
      <c r="TV11" s="26">
        <f t="shared" si="172"/>
        <v>0.55000000000000004</v>
      </c>
      <c r="TW11" s="26">
        <f t="shared" si="173"/>
        <v>0</v>
      </c>
      <c r="TX11" s="26">
        <f t="shared" si="174"/>
        <v>13.799999999999999</v>
      </c>
      <c r="TY11" s="26">
        <f t="shared" si="175"/>
        <v>5.85</v>
      </c>
      <c r="TZ11" s="26">
        <f t="shared" si="176"/>
        <v>0.15000000000000002</v>
      </c>
      <c r="UA11" s="26">
        <f t="shared" si="177"/>
        <v>0.15</v>
      </c>
      <c r="UB11" s="28" t="s">
        <v>53</v>
      </c>
      <c r="UC11" s="11">
        <f t="shared" si="178"/>
        <v>14.725</v>
      </c>
      <c r="UD11" s="11">
        <f t="shared" si="179"/>
        <v>50.375</v>
      </c>
      <c r="UE11" s="11" t="str">
        <f t="shared" si="180"/>
        <v/>
      </c>
      <c r="UF11" s="11">
        <f t="shared" si="181"/>
        <v>14.725</v>
      </c>
      <c r="UG11" s="11">
        <f t="shared" si="182"/>
        <v>50.375</v>
      </c>
      <c r="UH11" s="11">
        <f t="shared" si="183"/>
        <v>11.375</v>
      </c>
      <c r="UI11" s="11">
        <f t="shared" si="184"/>
        <v>37.4</v>
      </c>
      <c r="UJ11" s="11">
        <f t="shared" si="185"/>
        <v>87.775000000000006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143</v>
      </c>
      <c r="C12" s="4" t="s">
        <v>7</v>
      </c>
      <c r="D12" s="4">
        <v>2006</v>
      </c>
      <c r="E12" s="9">
        <f t="shared" si="0"/>
        <v>155.60001051000529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52.999999999999993</v>
      </c>
      <c r="K12" s="8" t="str">
        <f t="shared" si="5"/>
        <v>2025 Elite Canada</v>
      </c>
      <c r="L12" s="8">
        <f>IF(COUNT(AO12,BR12,CU12)&gt;1,LARGE((AO12,BR12,CU12),2),0)</f>
        <v>52.099999999999994</v>
      </c>
      <c r="M12" s="8" t="str">
        <f t="shared" si="6"/>
        <v>2024 3rd Domestic Trial</v>
      </c>
      <c r="N12" s="8">
        <f t="shared" si="7"/>
        <v>50.499999999999993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19</v>
      </c>
      <c r="T12" s="19">
        <v>8.4</v>
      </c>
      <c r="U12" s="19">
        <v>0</v>
      </c>
      <c r="V12" s="19">
        <v>0</v>
      </c>
      <c r="W12" s="19">
        <v>18.7</v>
      </c>
      <c r="X12" s="19">
        <v>6</v>
      </c>
      <c r="Y12" s="19">
        <v>0</v>
      </c>
      <c r="Z12" s="19">
        <v>0</v>
      </c>
      <c r="AA12" s="19">
        <v>18.8</v>
      </c>
      <c r="AB12" s="19">
        <v>7.3</v>
      </c>
      <c r="AC12" s="19">
        <v>0</v>
      </c>
      <c r="AD12" s="19">
        <v>0</v>
      </c>
      <c r="AE12" s="19">
        <v>17.2</v>
      </c>
      <c r="AF12" s="19">
        <v>4</v>
      </c>
      <c r="AG12" s="19">
        <v>0</v>
      </c>
      <c r="AH12" s="19">
        <v>0</v>
      </c>
      <c r="AI12" s="19">
        <v>18.2</v>
      </c>
      <c r="AJ12" s="19">
        <v>7.3</v>
      </c>
      <c r="AK12" s="19">
        <v>0</v>
      </c>
      <c r="AL12" s="19">
        <v>0</v>
      </c>
      <c r="AM12" s="27"/>
      <c r="AN12" s="40">
        <f t="shared" si="12"/>
        <v>14.4</v>
      </c>
      <c r="AO12" s="40">
        <f t="shared" si="13"/>
        <v>52.099999999999994</v>
      </c>
      <c r="AP12" s="40">
        <f t="shared" si="14"/>
        <v>26.1</v>
      </c>
      <c r="AQ12" s="40">
        <f t="shared" si="15"/>
        <v>21.7</v>
      </c>
      <c r="AR12" s="40">
        <f t="shared" si="16"/>
        <v>78.199999999999989</v>
      </c>
      <c r="AS12" s="40">
        <f t="shared" si="17"/>
        <v>11.3</v>
      </c>
      <c r="AT12" s="40">
        <f t="shared" si="18"/>
        <v>46.699999999999996</v>
      </c>
      <c r="AU12" s="40">
        <f t="shared" si="19"/>
        <v>124.89999999999998</v>
      </c>
      <c r="AV12" s="18">
        <v>19.2</v>
      </c>
      <c r="AW12" s="18">
        <v>8.4</v>
      </c>
      <c r="AX12" s="18">
        <v>0.6</v>
      </c>
      <c r="AY12" s="18">
        <v>0</v>
      </c>
      <c r="AZ12" s="18">
        <v>18.7</v>
      </c>
      <c r="BA12" s="18">
        <v>7.3</v>
      </c>
      <c r="BB12" s="18">
        <v>0</v>
      </c>
      <c r="BC12" s="18">
        <v>0</v>
      </c>
      <c r="BD12" s="18"/>
      <c r="BE12" s="18"/>
      <c r="BF12" s="18"/>
      <c r="BG12" s="18"/>
      <c r="BH12" s="18">
        <v>18.7</v>
      </c>
      <c r="BI12" s="18">
        <v>6</v>
      </c>
      <c r="BJ12" s="18">
        <v>1.4</v>
      </c>
      <c r="BK12" s="18">
        <v>0</v>
      </c>
      <c r="BL12" s="18">
        <v>17.899999999999999</v>
      </c>
      <c r="BM12" s="18">
        <v>9.6</v>
      </c>
      <c r="BN12" s="18">
        <v>0.6</v>
      </c>
      <c r="BO12" s="18">
        <v>0.3</v>
      </c>
      <c r="BP12" s="28"/>
      <c r="BQ12" s="11">
        <f t="shared" si="20"/>
        <v>15.7</v>
      </c>
      <c r="BR12" s="11">
        <f t="shared" si="21"/>
        <v>52.999999999999993</v>
      </c>
      <c r="BS12" s="11" t="str">
        <f t="shared" si="22"/>
        <v/>
      </c>
      <c r="BT12" s="11">
        <f t="shared" si="23"/>
        <v>15.7</v>
      </c>
      <c r="BU12" s="11">
        <f t="shared" si="24"/>
        <v>52.999999999999993</v>
      </c>
      <c r="BV12" s="11">
        <f t="shared" si="25"/>
        <v>15.6</v>
      </c>
      <c r="BW12" s="11">
        <f t="shared" si="26"/>
        <v>50.499999999999993</v>
      </c>
      <c r="BX12" s="11">
        <f t="shared" si="27"/>
        <v>103.49999999999999</v>
      </c>
      <c r="BY12" s="19">
        <v>18.2</v>
      </c>
      <c r="BZ12" s="19">
        <v>8.4</v>
      </c>
      <c r="CA12" s="19">
        <v>0.8</v>
      </c>
      <c r="CB12" s="19">
        <v>0</v>
      </c>
      <c r="CC12" s="19">
        <v>15.4</v>
      </c>
      <c r="CD12" s="19">
        <v>3.6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12</v>
      </c>
      <c r="CU12" s="40">
        <f t="shared" si="29"/>
        <v>44.800000000000004</v>
      </c>
      <c r="CV12" s="40" t="str">
        <f t="shared" si="30"/>
        <v/>
      </c>
      <c r="CW12" s="40">
        <f t="shared" si="31"/>
        <v>12</v>
      </c>
      <c r="CX12" s="40">
        <f t="shared" si="32"/>
        <v>44.800000000000004</v>
      </c>
      <c r="CY12" s="40" t="str">
        <f t="shared" si="33"/>
        <v/>
      </c>
      <c r="CZ12" s="40" t="str">
        <f t="shared" si="34"/>
        <v/>
      </c>
      <c r="DA12" s="40">
        <f t="shared" si="35"/>
        <v>44.800000000000004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18.7</v>
      </c>
      <c r="TI12" s="26">
        <f t="shared" si="159"/>
        <v>8.4</v>
      </c>
      <c r="TJ12" s="26">
        <f t="shared" si="160"/>
        <v>0.7</v>
      </c>
      <c r="TK12" s="26">
        <f t="shared" si="161"/>
        <v>0</v>
      </c>
      <c r="TL12" s="26">
        <f t="shared" si="162"/>
        <v>17.05</v>
      </c>
      <c r="TM12" s="26">
        <f t="shared" si="163"/>
        <v>5.45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9.35</v>
      </c>
      <c r="TU12" s="26">
        <f t="shared" si="171"/>
        <v>3</v>
      </c>
      <c r="TV12" s="26">
        <f t="shared" si="172"/>
        <v>0.7</v>
      </c>
      <c r="TW12" s="26">
        <f t="shared" si="173"/>
        <v>0</v>
      </c>
      <c r="TX12" s="26">
        <f t="shared" si="174"/>
        <v>8.9499999999999993</v>
      </c>
      <c r="TY12" s="26">
        <f t="shared" si="175"/>
        <v>4.8</v>
      </c>
      <c r="TZ12" s="26">
        <f t="shared" si="176"/>
        <v>0.3</v>
      </c>
      <c r="UA12" s="26">
        <f t="shared" si="177"/>
        <v>0.15</v>
      </c>
      <c r="UB12" s="28" t="s">
        <v>53</v>
      </c>
      <c r="UC12" s="11">
        <f t="shared" si="178"/>
        <v>13.850000000000001</v>
      </c>
      <c r="UD12" s="11">
        <f t="shared" si="179"/>
        <v>48.900000000000006</v>
      </c>
      <c r="UE12" s="11" t="str">
        <f t="shared" si="180"/>
        <v/>
      </c>
      <c r="UF12" s="11">
        <f t="shared" si="181"/>
        <v>13.850000000000001</v>
      </c>
      <c r="UG12" s="11">
        <f t="shared" si="182"/>
        <v>48.900000000000006</v>
      </c>
      <c r="UH12" s="11">
        <f t="shared" si="183"/>
        <v>7.8</v>
      </c>
      <c r="UI12" s="11">
        <f t="shared" si="184"/>
        <v>25.249999999999996</v>
      </c>
      <c r="UJ12" s="11">
        <f t="shared" si="185"/>
        <v>74.150000000000006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78</v>
      </c>
      <c r="C13" s="4" t="s">
        <v>5</v>
      </c>
      <c r="D13" s="4">
        <v>2002</v>
      </c>
      <c r="E13" s="9">
        <f t="shared" si="0"/>
        <v>153.40001012000525</v>
      </c>
      <c r="F13" s="3" t="str">
        <f t="shared" si="1"/>
        <v>P</v>
      </c>
      <c r="G13" s="3" t="str">
        <f t="shared" si="2"/>
        <v>P</v>
      </c>
      <c r="H13" s="36" t="str">
        <f t="shared" si="3"/>
        <v>Worlds Team</v>
      </c>
      <c r="I13" s="3" t="str">
        <f t="shared" si="4"/>
        <v>P</v>
      </c>
      <c r="J13" s="8">
        <f>IF(COUNT(AO13,BR13,CU13)&gt;0,LARGE((AO13,BR13,CU13),1),0)</f>
        <v>52.2</v>
      </c>
      <c r="K13" s="8" t="str">
        <f t="shared" si="5"/>
        <v>2024 3rd Domestic Trial</v>
      </c>
      <c r="L13" s="8">
        <f>IF(COUNT(AO13,BR13,CU13)&gt;1,LARGE((AO13,BR13,CU13),2),0)</f>
        <v>49.000000000000007</v>
      </c>
      <c r="M13" s="8" t="str">
        <f t="shared" si="6"/>
        <v>2025 Elite Canada</v>
      </c>
      <c r="N13" s="8">
        <f t="shared" si="7"/>
        <v>52.199999999999996</v>
      </c>
      <c r="O13" s="8" t="str">
        <f t="shared" si="8"/>
        <v>2024 3rd Domestic Trial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18.8</v>
      </c>
      <c r="T13" s="19">
        <v>7.2</v>
      </c>
      <c r="U13" s="19">
        <v>0.8</v>
      </c>
      <c r="V13" s="19">
        <v>0</v>
      </c>
      <c r="W13" s="19">
        <v>18.600000000000001</v>
      </c>
      <c r="X13" s="19">
        <v>8.4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18.399999999999999</v>
      </c>
      <c r="AF13" s="19">
        <v>7.2</v>
      </c>
      <c r="AG13" s="19">
        <v>0</v>
      </c>
      <c r="AH13" s="19">
        <v>0</v>
      </c>
      <c r="AI13" s="19">
        <v>18.8</v>
      </c>
      <c r="AJ13" s="19">
        <v>8.4</v>
      </c>
      <c r="AK13" s="19">
        <v>0.6</v>
      </c>
      <c r="AL13" s="19">
        <v>0</v>
      </c>
      <c r="AM13" s="27"/>
      <c r="AN13" s="40">
        <f t="shared" si="12"/>
        <v>15.600000000000001</v>
      </c>
      <c r="AO13" s="40">
        <f t="shared" si="13"/>
        <v>52.2</v>
      </c>
      <c r="AP13" s="40">
        <f t="shared" si="14"/>
        <v>25.7</v>
      </c>
      <c r="AQ13" s="40">
        <f t="shared" si="15"/>
        <v>22.900000000000002</v>
      </c>
      <c r="AR13" s="40">
        <f t="shared" si="16"/>
        <v>77.900000000000006</v>
      </c>
      <c r="AS13" s="40">
        <f t="shared" si="17"/>
        <v>15.600000000000001</v>
      </c>
      <c r="AT13" s="40">
        <f t="shared" si="18"/>
        <v>52.199999999999996</v>
      </c>
      <c r="AU13" s="40">
        <f t="shared" si="19"/>
        <v>130.1</v>
      </c>
      <c r="AV13" s="18">
        <v>18.600000000000001</v>
      </c>
      <c r="AW13" s="18">
        <v>6</v>
      </c>
      <c r="AX13" s="18">
        <v>1.4</v>
      </c>
      <c r="AY13" s="18">
        <v>0</v>
      </c>
      <c r="AZ13" s="18">
        <v>18.8</v>
      </c>
      <c r="BA13" s="18">
        <v>7.6</v>
      </c>
      <c r="BB13" s="18">
        <v>0.6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13.6</v>
      </c>
      <c r="BR13" s="11">
        <f t="shared" si="21"/>
        <v>49.000000000000007</v>
      </c>
      <c r="BS13" s="11" t="str">
        <f t="shared" si="22"/>
        <v/>
      </c>
      <c r="BT13" s="11">
        <f t="shared" si="23"/>
        <v>13.6</v>
      </c>
      <c r="BU13" s="11">
        <f t="shared" si="24"/>
        <v>49.000000000000007</v>
      </c>
      <c r="BV13" s="11" t="str">
        <f t="shared" si="25"/>
        <v/>
      </c>
      <c r="BW13" s="11" t="str">
        <f t="shared" si="26"/>
        <v/>
      </c>
      <c r="BX13" s="11">
        <f t="shared" si="27"/>
        <v>49.000000000000007</v>
      </c>
      <c r="BY13" s="19">
        <v>18.399999999999999</v>
      </c>
      <c r="BZ13" s="19">
        <v>8.4</v>
      </c>
      <c r="CA13" s="19">
        <v>0.8</v>
      </c>
      <c r="CB13" s="19">
        <v>0</v>
      </c>
      <c r="CC13" s="19">
        <v>15.4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</v>
      </c>
      <c r="CU13" s="40">
        <f t="shared" si="29"/>
        <v>45</v>
      </c>
      <c r="CV13" s="40" t="str">
        <f t="shared" si="30"/>
        <v/>
      </c>
      <c r="CW13" s="40">
        <f t="shared" si="31"/>
        <v>12</v>
      </c>
      <c r="CX13" s="40">
        <f t="shared" si="32"/>
        <v>45</v>
      </c>
      <c r="CY13" s="40" t="str">
        <f t="shared" si="33"/>
        <v/>
      </c>
      <c r="CZ13" s="40" t="str">
        <f t="shared" si="34"/>
        <v/>
      </c>
      <c r="DA13" s="40">
        <f t="shared" si="35"/>
        <v>45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18.5</v>
      </c>
      <c r="TI13" s="26">
        <f t="shared" si="159"/>
        <v>7.2</v>
      </c>
      <c r="TJ13" s="26">
        <f t="shared" si="160"/>
        <v>1.1000000000000001</v>
      </c>
      <c r="TK13" s="26">
        <f t="shared" si="161"/>
        <v>0</v>
      </c>
      <c r="TL13" s="26">
        <f t="shared" si="162"/>
        <v>17.100000000000001</v>
      </c>
      <c r="TM13" s="26">
        <f t="shared" si="163"/>
        <v>5.6</v>
      </c>
      <c r="TN13" s="26">
        <f t="shared" si="164"/>
        <v>0.3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12.8</v>
      </c>
      <c r="UD13" s="11">
        <f t="shared" si="179"/>
        <v>47</v>
      </c>
      <c r="UE13" s="11" t="str">
        <f t="shared" si="180"/>
        <v/>
      </c>
      <c r="UF13" s="11">
        <f t="shared" si="181"/>
        <v>12.8</v>
      </c>
      <c r="UG13" s="11">
        <f t="shared" si="182"/>
        <v>47</v>
      </c>
      <c r="UH13" s="11" t="str">
        <f t="shared" si="183"/>
        <v/>
      </c>
      <c r="UI13" s="11" t="str">
        <f t="shared" si="184"/>
        <v/>
      </c>
      <c r="UJ13" s="11">
        <f t="shared" si="185"/>
        <v>47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193</v>
      </c>
      <c r="C14" s="4" t="s">
        <v>6</v>
      </c>
      <c r="D14" s="4">
        <v>2008</v>
      </c>
      <c r="E14" s="9">
        <f t="shared" si="0"/>
        <v>152.50001013000511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51.2</v>
      </c>
      <c r="K14" s="8" t="str">
        <f t="shared" si="5"/>
        <v>2024 3rd Domestic Trial</v>
      </c>
      <c r="L14" s="8">
        <f>IF(COUNT(AO14,BR14,CU14)&gt;1,LARGE((AO14,BR14,CU14),2),0)</f>
        <v>50.099999999999994</v>
      </c>
      <c r="M14" s="8" t="str">
        <f t="shared" si="6"/>
        <v>2025 Nationals</v>
      </c>
      <c r="N14" s="8">
        <f t="shared" si="7"/>
        <v>51.2</v>
      </c>
      <c r="O14" s="8" t="str">
        <f t="shared" si="8"/>
        <v>2024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18.600000000000001</v>
      </c>
      <c r="T14" s="19">
        <v>7.2</v>
      </c>
      <c r="U14" s="19">
        <v>0</v>
      </c>
      <c r="V14" s="19">
        <v>0</v>
      </c>
      <c r="W14" s="19">
        <v>18.600000000000001</v>
      </c>
      <c r="X14" s="19">
        <v>6.8</v>
      </c>
      <c r="Y14" s="19">
        <v>0</v>
      </c>
      <c r="Z14" s="19">
        <v>0</v>
      </c>
      <c r="AA14" s="19">
        <v>18.2</v>
      </c>
      <c r="AB14" s="19">
        <v>6.9</v>
      </c>
      <c r="AC14" s="19">
        <v>0</v>
      </c>
      <c r="AD14" s="19">
        <v>0</v>
      </c>
      <c r="AE14" s="19">
        <v>18.7</v>
      </c>
      <c r="AF14" s="19">
        <v>7.3</v>
      </c>
      <c r="AG14" s="19">
        <v>0</v>
      </c>
      <c r="AH14" s="19">
        <v>0</v>
      </c>
      <c r="AI14" s="19">
        <v>18.399999999999999</v>
      </c>
      <c r="AJ14" s="19">
        <v>7.6</v>
      </c>
      <c r="AK14" s="19">
        <v>0.8</v>
      </c>
      <c r="AL14" s="19">
        <v>0</v>
      </c>
      <c r="AM14" s="27"/>
      <c r="AN14" s="40">
        <f t="shared" si="12"/>
        <v>14</v>
      </c>
      <c r="AO14" s="40">
        <f t="shared" si="13"/>
        <v>51.2</v>
      </c>
      <c r="AP14" s="40">
        <f t="shared" si="14"/>
        <v>25.1</v>
      </c>
      <c r="AQ14" s="40">
        <f t="shared" si="15"/>
        <v>20.9</v>
      </c>
      <c r="AR14" s="40">
        <f t="shared" si="16"/>
        <v>76.300000000000011</v>
      </c>
      <c r="AS14" s="40">
        <f t="shared" si="17"/>
        <v>14.899999999999999</v>
      </c>
      <c r="AT14" s="40">
        <f t="shared" si="18"/>
        <v>51.2</v>
      </c>
      <c r="AU14" s="40">
        <f t="shared" si="19"/>
        <v>127.50000000000001</v>
      </c>
      <c r="AV14" s="18">
        <v>18.600000000000001</v>
      </c>
      <c r="AW14" s="18">
        <v>7.2</v>
      </c>
      <c r="AX14" s="18">
        <v>0.6</v>
      </c>
      <c r="AY14" s="18">
        <v>0</v>
      </c>
      <c r="AZ14" s="18">
        <v>18.100000000000001</v>
      </c>
      <c r="BA14" s="18">
        <v>5.2</v>
      </c>
      <c r="BB14" s="18">
        <v>1.8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12.4</v>
      </c>
      <c r="BR14" s="11">
        <f t="shared" si="21"/>
        <v>46.70000000000001</v>
      </c>
      <c r="BS14" s="11" t="str">
        <f t="shared" si="22"/>
        <v/>
      </c>
      <c r="BT14" s="11">
        <f t="shared" si="23"/>
        <v>12.4</v>
      </c>
      <c r="BU14" s="11">
        <f t="shared" si="24"/>
        <v>46.70000000000001</v>
      </c>
      <c r="BV14" s="11" t="str">
        <f t="shared" si="25"/>
        <v/>
      </c>
      <c r="BW14" s="11" t="str">
        <f t="shared" si="26"/>
        <v/>
      </c>
      <c r="BX14" s="11">
        <f t="shared" si="27"/>
        <v>46.70000000000001</v>
      </c>
      <c r="BY14" s="19">
        <v>18.899999999999999</v>
      </c>
      <c r="BZ14" s="19">
        <v>7.2</v>
      </c>
      <c r="CA14" s="19">
        <v>0.2</v>
      </c>
      <c r="CB14" s="19">
        <v>0</v>
      </c>
      <c r="CC14" s="19">
        <v>18.399999999999999</v>
      </c>
      <c r="CD14" s="19">
        <v>6.8</v>
      </c>
      <c r="CE14" s="19">
        <v>1</v>
      </c>
      <c r="CF14" s="19">
        <v>0</v>
      </c>
      <c r="CG14" s="19"/>
      <c r="CH14" s="19"/>
      <c r="CI14" s="19"/>
      <c r="CJ14" s="19"/>
      <c r="CK14" s="19">
        <v>17.8</v>
      </c>
      <c r="CL14" s="19">
        <v>5.2</v>
      </c>
      <c r="CM14" s="19">
        <v>1</v>
      </c>
      <c r="CN14" s="19">
        <v>0</v>
      </c>
      <c r="CO14" s="19">
        <v>16.5</v>
      </c>
      <c r="CP14" s="19">
        <v>7.2</v>
      </c>
      <c r="CQ14" s="19">
        <v>0.8</v>
      </c>
      <c r="CR14" s="19">
        <v>0</v>
      </c>
      <c r="CS14" s="27"/>
      <c r="CT14" s="40">
        <f t="shared" si="28"/>
        <v>14</v>
      </c>
      <c r="CU14" s="40">
        <f t="shared" si="29"/>
        <v>50.099999999999994</v>
      </c>
      <c r="CV14" s="40" t="str">
        <f t="shared" si="30"/>
        <v/>
      </c>
      <c r="CW14" s="40">
        <f t="shared" si="31"/>
        <v>14</v>
      </c>
      <c r="CX14" s="40">
        <f t="shared" si="32"/>
        <v>50.099999999999994</v>
      </c>
      <c r="CY14" s="40">
        <f t="shared" si="33"/>
        <v>12.4</v>
      </c>
      <c r="CZ14" s="40">
        <f t="shared" si="34"/>
        <v>44.900000000000006</v>
      </c>
      <c r="DA14" s="40">
        <f t="shared" si="35"/>
        <v>95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18.75</v>
      </c>
      <c r="TI14" s="26">
        <f t="shared" si="159"/>
        <v>7.2</v>
      </c>
      <c r="TJ14" s="26">
        <f t="shared" si="160"/>
        <v>0.4</v>
      </c>
      <c r="TK14" s="26">
        <f t="shared" si="161"/>
        <v>0</v>
      </c>
      <c r="TL14" s="26">
        <f t="shared" si="162"/>
        <v>18.25</v>
      </c>
      <c r="TM14" s="26">
        <f t="shared" si="163"/>
        <v>6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8.9</v>
      </c>
      <c r="TU14" s="26">
        <f t="shared" si="171"/>
        <v>2.6</v>
      </c>
      <c r="TV14" s="26">
        <f t="shared" si="172"/>
        <v>0.5</v>
      </c>
      <c r="TW14" s="26">
        <f t="shared" si="173"/>
        <v>0</v>
      </c>
      <c r="TX14" s="26">
        <f t="shared" si="174"/>
        <v>8.25</v>
      </c>
      <c r="TY14" s="26">
        <f t="shared" si="175"/>
        <v>3.6</v>
      </c>
      <c r="TZ14" s="26">
        <f t="shared" si="176"/>
        <v>0.4</v>
      </c>
      <c r="UA14" s="26">
        <f t="shared" si="177"/>
        <v>0</v>
      </c>
      <c r="UB14" s="28" t="s">
        <v>53</v>
      </c>
      <c r="UC14" s="11">
        <f t="shared" si="178"/>
        <v>13.2</v>
      </c>
      <c r="UD14" s="11">
        <f t="shared" si="179"/>
        <v>48.400000000000006</v>
      </c>
      <c r="UE14" s="11" t="str">
        <f t="shared" si="180"/>
        <v/>
      </c>
      <c r="UF14" s="11">
        <f t="shared" si="181"/>
        <v>13.2</v>
      </c>
      <c r="UG14" s="11">
        <f t="shared" si="182"/>
        <v>48.400000000000006</v>
      </c>
      <c r="UH14" s="11">
        <f t="shared" si="183"/>
        <v>6.2</v>
      </c>
      <c r="UI14" s="11">
        <f t="shared" si="184"/>
        <v>22.450000000000003</v>
      </c>
      <c r="UJ14" s="11">
        <f t="shared" si="185"/>
        <v>70.850000000000009</v>
      </c>
    </row>
    <row r="15" spans="1:556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8</v>
      </c>
      <c r="C15" s="4" t="s">
        <v>5</v>
      </c>
      <c r="D15" s="4">
        <v>1994</v>
      </c>
      <c r="E15" s="9">
        <f t="shared" si="0"/>
        <v>151.70001035000521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52.4</v>
      </c>
      <c r="K15" s="8" t="str">
        <f t="shared" si="5"/>
        <v>2024 3rd Domestic Trial</v>
      </c>
      <c r="L15" s="8">
        <f>IF(COUNT(AO15,BR15,CU15)&gt;1,LARGE((AO15,BR15,CU15),2),0)</f>
        <v>51.1</v>
      </c>
      <c r="M15" s="8" t="str">
        <f t="shared" si="6"/>
        <v>2025 Elite Canada</v>
      </c>
      <c r="N15" s="8">
        <f t="shared" si="7"/>
        <v>48.2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18.899999999999999</v>
      </c>
      <c r="T15" s="19">
        <v>8.4</v>
      </c>
      <c r="U15" s="19">
        <v>0.2</v>
      </c>
      <c r="V15" s="19">
        <v>0</v>
      </c>
      <c r="W15" s="19">
        <v>18.899999999999999</v>
      </c>
      <c r="X15" s="19">
        <v>7.2</v>
      </c>
      <c r="Y15" s="19">
        <v>0.8</v>
      </c>
      <c r="Z15" s="19">
        <v>0</v>
      </c>
      <c r="AA15" s="19">
        <v>17.5</v>
      </c>
      <c r="AB15" s="19">
        <v>4.8</v>
      </c>
      <c r="AC15" s="19">
        <v>0</v>
      </c>
      <c r="AD15" s="19">
        <v>0</v>
      </c>
      <c r="AE15" s="19">
        <v>18.7</v>
      </c>
      <c r="AF15" s="19">
        <v>8.4</v>
      </c>
      <c r="AG15" s="19">
        <v>0.8</v>
      </c>
      <c r="AH15" s="19">
        <v>0.3</v>
      </c>
      <c r="AI15" s="19">
        <v>17.600000000000001</v>
      </c>
      <c r="AJ15" s="19">
        <v>4</v>
      </c>
      <c r="AK15" s="19">
        <v>0</v>
      </c>
      <c r="AL15" s="19">
        <v>0</v>
      </c>
      <c r="AM15" s="27"/>
      <c r="AN15" s="40">
        <f t="shared" si="12"/>
        <v>15.600000000000001</v>
      </c>
      <c r="AO15" s="40">
        <f t="shared" si="13"/>
        <v>52.4</v>
      </c>
      <c r="AP15" s="40">
        <f t="shared" si="14"/>
        <v>22.3</v>
      </c>
      <c r="AQ15" s="40">
        <f t="shared" si="15"/>
        <v>20.400000000000002</v>
      </c>
      <c r="AR15" s="40">
        <f t="shared" si="16"/>
        <v>74.7</v>
      </c>
      <c r="AS15" s="40">
        <f t="shared" si="17"/>
        <v>12.4</v>
      </c>
      <c r="AT15" s="40">
        <f t="shared" si="18"/>
        <v>48.2</v>
      </c>
      <c r="AU15" s="40">
        <f t="shared" si="19"/>
        <v>122.9</v>
      </c>
      <c r="AV15" s="18">
        <v>18.5</v>
      </c>
      <c r="AW15" s="18">
        <v>7.6</v>
      </c>
      <c r="AX15" s="18">
        <v>0</v>
      </c>
      <c r="AY15" s="18">
        <v>0</v>
      </c>
      <c r="AZ15" s="18">
        <v>18.2</v>
      </c>
      <c r="BA15" s="18">
        <v>7.6</v>
      </c>
      <c r="BB15" s="18">
        <v>0.8</v>
      </c>
      <c r="BC15" s="18">
        <v>0</v>
      </c>
      <c r="BD15" s="18"/>
      <c r="BE15" s="18"/>
      <c r="BF15" s="18"/>
      <c r="BG15" s="18"/>
      <c r="BH15" s="18">
        <v>15.4</v>
      </c>
      <c r="BI15" s="18">
        <v>4.8</v>
      </c>
      <c r="BJ15" s="18">
        <v>0</v>
      </c>
      <c r="BK15" s="18">
        <v>0.3</v>
      </c>
      <c r="BL15" s="18">
        <v>19</v>
      </c>
      <c r="BM15" s="18">
        <v>7.6</v>
      </c>
      <c r="BN15" s="18">
        <v>0</v>
      </c>
      <c r="BO15" s="18">
        <v>0</v>
      </c>
      <c r="BP15" s="28"/>
      <c r="BQ15" s="11">
        <f t="shared" si="20"/>
        <v>15.2</v>
      </c>
      <c r="BR15" s="11">
        <f t="shared" si="21"/>
        <v>51.1</v>
      </c>
      <c r="BS15" s="11" t="str">
        <f t="shared" si="22"/>
        <v/>
      </c>
      <c r="BT15" s="11">
        <f t="shared" si="23"/>
        <v>15.2</v>
      </c>
      <c r="BU15" s="11">
        <f t="shared" si="24"/>
        <v>51.1</v>
      </c>
      <c r="BV15" s="11">
        <f t="shared" si="25"/>
        <v>12.399999999999999</v>
      </c>
      <c r="BW15" s="11">
        <f t="shared" si="26"/>
        <v>47.1</v>
      </c>
      <c r="BX15" s="11">
        <f t="shared" si="27"/>
        <v>98.2</v>
      </c>
      <c r="BY15" s="19">
        <v>18.5</v>
      </c>
      <c r="BZ15" s="19">
        <v>7.6</v>
      </c>
      <c r="CA15" s="19">
        <v>0.8</v>
      </c>
      <c r="CB15" s="19">
        <v>0</v>
      </c>
      <c r="CC15" s="19">
        <v>17.8</v>
      </c>
      <c r="CD15" s="19">
        <v>6.8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14.399999999999999</v>
      </c>
      <c r="CU15" s="40">
        <f t="shared" si="29"/>
        <v>49.900000000000006</v>
      </c>
      <c r="CV15" s="40" t="str">
        <f t="shared" si="30"/>
        <v/>
      </c>
      <c r="CW15" s="40">
        <f t="shared" si="31"/>
        <v>14.399999999999999</v>
      </c>
      <c r="CX15" s="40">
        <f t="shared" si="32"/>
        <v>49.900000000000006</v>
      </c>
      <c r="CY15" s="40" t="str">
        <f t="shared" si="33"/>
        <v/>
      </c>
      <c r="CZ15" s="40" t="str">
        <f t="shared" si="34"/>
        <v/>
      </c>
      <c r="DA15" s="40">
        <f t="shared" si="35"/>
        <v>49.900000000000006</v>
      </c>
      <c r="DB15" s="51" t="str">
        <f t="shared" si="36"/>
        <v/>
      </c>
      <c r="DC15" s="51" t="str">
        <f t="shared" si="37"/>
        <v/>
      </c>
      <c r="DD15" s="17">
        <v>18.7</v>
      </c>
      <c r="DE15" s="17">
        <v>7.6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38"/>
        <v>7.6</v>
      </c>
      <c r="DY15" s="40">
        <f t="shared" si="39"/>
        <v>26.299999999999997</v>
      </c>
      <c r="DZ15" s="40" t="str">
        <f t="shared" si="40"/>
        <v/>
      </c>
      <c r="EA15" s="40">
        <f t="shared" si="41"/>
        <v>7.6</v>
      </c>
      <c r="EB15" s="40">
        <f t="shared" si="42"/>
        <v>26.299999999999997</v>
      </c>
      <c r="EC15" s="40" t="str">
        <f t="shared" si="43"/>
        <v/>
      </c>
      <c r="ED15" s="40" t="str">
        <f t="shared" si="44"/>
        <v/>
      </c>
      <c r="EE15" s="40">
        <f t="shared" si="45"/>
        <v>26.299999999999997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18.5</v>
      </c>
      <c r="TI15" s="26">
        <f t="shared" si="159"/>
        <v>7.6</v>
      </c>
      <c r="TJ15" s="26">
        <f t="shared" si="160"/>
        <v>0.4</v>
      </c>
      <c r="TK15" s="26">
        <f t="shared" si="161"/>
        <v>0</v>
      </c>
      <c r="TL15" s="26">
        <f t="shared" si="162"/>
        <v>18</v>
      </c>
      <c r="TM15" s="26">
        <f t="shared" si="163"/>
        <v>7.1999999999999993</v>
      </c>
      <c r="TN15" s="26">
        <f t="shared" si="164"/>
        <v>0.4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7.7</v>
      </c>
      <c r="TU15" s="26">
        <f t="shared" si="171"/>
        <v>2.4</v>
      </c>
      <c r="TV15" s="26">
        <f t="shared" si="172"/>
        <v>0</v>
      </c>
      <c r="TW15" s="26">
        <f t="shared" si="173"/>
        <v>0.15</v>
      </c>
      <c r="TX15" s="26">
        <f t="shared" si="174"/>
        <v>9.5</v>
      </c>
      <c r="TY15" s="26">
        <f t="shared" si="175"/>
        <v>3.8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14.799999999999999</v>
      </c>
      <c r="UD15" s="11">
        <f t="shared" si="179"/>
        <v>50.5</v>
      </c>
      <c r="UE15" s="11" t="str">
        <f t="shared" si="180"/>
        <v/>
      </c>
      <c r="UF15" s="11">
        <f t="shared" si="181"/>
        <v>14.799999999999999</v>
      </c>
      <c r="UG15" s="11">
        <f t="shared" si="182"/>
        <v>50.5</v>
      </c>
      <c r="UH15" s="11">
        <f t="shared" si="183"/>
        <v>6.1999999999999993</v>
      </c>
      <c r="UI15" s="11">
        <f t="shared" si="184"/>
        <v>23.55</v>
      </c>
      <c r="UJ15" s="11">
        <f t="shared" si="185"/>
        <v>74.05</v>
      </c>
    </row>
    <row r="16" spans="1:556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117</v>
      </c>
      <c r="C16" s="4" t="s">
        <v>5</v>
      </c>
      <c r="D16" s="4">
        <v>2004</v>
      </c>
      <c r="E16" s="9">
        <f t="shared" si="0"/>
        <v>151.55000963500484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48.2</v>
      </c>
      <c r="K16" s="8" t="str">
        <f t="shared" si="5"/>
        <v>2025 Elite Canada</v>
      </c>
      <c r="L16" s="8">
        <f>IF(COUNT(AO16,BR16,CU16)&gt;1,LARGE((AO16,BR16,CU16),2),0)</f>
        <v>48.150000000000006</v>
      </c>
      <c r="M16" s="8" t="str">
        <f t="shared" si="6"/>
        <v>2025 Nationals</v>
      </c>
      <c r="N16" s="8">
        <f t="shared" si="7"/>
        <v>55.2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17.2</v>
      </c>
      <c r="T16" s="19">
        <v>3.6</v>
      </c>
      <c r="U16" s="19">
        <v>0</v>
      </c>
      <c r="V16" s="19">
        <v>0</v>
      </c>
      <c r="W16" s="19">
        <v>18.600000000000001</v>
      </c>
      <c r="X16" s="19">
        <v>9.1999999999999993</v>
      </c>
      <c r="Y16" s="19">
        <v>0.8</v>
      </c>
      <c r="Z16" s="19">
        <v>0.3</v>
      </c>
      <c r="AA16" s="19">
        <v>18.100000000000001</v>
      </c>
      <c r="AB16" s="19">
        <v>9.3000000000000007</v>
      </c>
      <c r="AC16" s="19">
        <v>0.6</v>
      </c>
      <c r="AD16" s="19">
        <v>0.3</v>
      </c>
      <c r="AE16" s="19">
        <v>18.399999999999999</v>
      </c>
      <c r="AF16" s="19">
        <v>8.9</v>
      </c>
      <c r="AG16" s="19">
        <v>0.8</v>
      </c>
      <c r="AH16" s="19">
        <v>0.3</v>
      </c>
      <c r="AI16" s="19">
        <v>19.100000000000001</v>
      </c>
      <c r="AJ16" s="19">
        <v>9.1999999999999993</v>
      </c>
      <c r="AK16" s="19">
        <v>0.2</v>
      </c>
      <c r="AL16" s="19">
        <v>0.3</v>
      </c>
      <c r="AM16" s="27"/>
      <c r="AN16" s="40">
        <f t="shared" si="12"/>
        <v>12.799999999999999</v>
      </c>
      <c r="AO16" s="40">
        <f t="shared" si="13"/>
        <v>48.100000000000009</v>
      </c>
      <c r="AP16" s="40">
        <f t="shared" si="14"/>
        <v>27.1</v>
      </c>
      <c r="AQ16" s="40">
        <f t="shared" si="15"/>
        <v>22.1</v>
      </c>
      <c r="AR16" s="40">
        <f t="shared" si="16"/>
        <v>75.200000000000017</v>
      </c>
      <c r="AS16" s="40">
        <f t="shared" si="17"/>
        <v>18.100000000000001</v>
      </c>
      <c r="AT16" s="40">
        <f t="shared" si="18"/>
        <v>55.2</v>
      </c>
      <c r="AU16" s="40">
        <f t="shared" si="19"/>
        <v>130.40000000000003</v>
      </c>
      <c r="AV16" s="18">
        <v>15.3</v>
      </c>
      <c r="AW16" s="18">
        <v>4</v>
      </c>
      <c r="AX16" s="18">
        <v>0</v>
      </c>
      <c r="AY16" s="18">
        <v>0</v>
      </c>
      <c r="AZ16" s="18">
        <v>18.3</v>
      </c>
      <c r="BA16" s="18">
        <v>10</v>
      </c>
      <c r="BB16" s="18">
        <v>0</v>
      </c>
      <c r="BC16" s="18">
        <v>0.6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14</v>
      </c>
      <c r="BR16" s="11">
        <f t="shared" si="21"/>
        <v>48.2</v>
      </c>
      <c r="BS16" s="11" t="str">
        <f t="shared" si="22"/>
        <v/>
      </c>
      <c r="BT16" s="11">
        <f t="shared" si="23"/>
        <v>14</v>
      </c>
      <c r="BU16" s="11">
        <f t="shared" si="24"/>
        <v>48.2</v>
      </c>
      <c r="BV16" s="11" t="str">
        <f t="shared" si="25"/>
        <v/>
      </c>
      <c r="BW16" s="11" t="str">
        <f t="shared" si="26"/>
        <v/>
      </c>
      <c r="BX16" s="11">
        <f t="shared" si="27"/>
        <v>48.2</v>
      </c>
      <c r="BY16" s="19">
        <f t="shared" ref="BY16:CF16" si="186">(AV16+S16)/2</f>
        <v>16.25</v>
      </c>
      <c r="BZ16" s="19">
        <f t="shared" si="186"/>
        <v>3.8</v>
      </c>
      <c r="CA16" s="19">
        <f t="shared" si="186"/>
        <v>0</v>
      </c>
      <c r="CB16" s="19">
        <f t="shared" si="186"/>
        <v>0</v>
      </c>
      <c r="CC16" s="19">
        <f t="shared" si="186"/>
        <v>18.450000000000003</v>
      </c>
      <c r="CD16" s="19">
        <f t="shared" si="186"/>
        <v>9.6</v>
      </c>
      <c r="CE16" s="19">
        <f t="shared" si="186"/>
        <v>0.4</v>
      </c>
      <c r="CF16" s="19">
        <f t="shared" si="186"/>
        <v>0.44999999999999996</v>
      </c>
      <c r="CG16" s="19"/>
      <c r="CH16" s="19"/>
      <c r="CI16" s="19"/>
      <c r="CJ16" s="19"/>
      <c r="CK16" s="19">
        <f t="shared" ref="CK16:CR16" si="187">(BH16+AE16)/2</f>
        <v>9.1999999999999993</v>
      </c>
      <c r="CL16" s="19">
        <f t="shared" si="187"/>
        <v>4.45</v>
      </c>
      <c r="CM16" s="19">
        <f t="shared" si="187"/>
        <v>0.4</v>
      </c>
      <c r="CN16" s="19">
        <f t="shared" si="187"/>
        <v>0.15</v>
      </c>
      <c r="CO16" s="19">
        <f t="shared" si="187"/>
        <v>9.5500000000000007</v>
      </c>
      <c r="CP16" s="19">
        <f t="shared" si="187"/>
        <v>4.5999999999999996</v>
      </c>
      <c r="CQ16" s="19">
        <f t="shared" si="187"/>
        <v>0.1</v>
      </c>
      <c r="CR16" s="19">
        <f t="shared" si="187"/>
        <v>0.15</v>
      </c>
      <c r="CS16" s="27" t="s">
        <v>53</v>
      </c>
      <c r="CT16" s="40">
        <f t="shared" si="28"/>
        <v>13.399999999999999</v>
      </c>
      <c r="CU16" s="40">
        <f t="shared" si="29"/>
        <v>48.150000000000006</v>
      </c>
      <c r="CV16" s="40" t="str">
        <f t="shared" si="30"/>
        <v/>
      </c>
      <c r="CW16" s="40">
        <f t="shared" si="31"/>
        <v>13.399999999999999</v>
      </c>
      <c r="CX16" s="40">
        <f t="shared" si="32"/>
        <v>48.150000000000006</v>
      </c>
      <c r="CY16" s="40">
        <f t="shared" si="33"/>
        <v>9.0500000000000007</v>
      </c>
      <c r="CZ16" s="40">
        <f t="shared" si="34"/>
        <v>27.6</v>
      </c>
      <c r="DA16" s="40">
        <f t="shared" si="35"/>
        <v>75.75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16.25</v>
      </c>
      <c r="TI16" s="26">
        <f t="shared" si="159"/>
        <v>3.8</v>
      </c>
      <c r="TJ16" s="26">
        <f t="shared" si="160"/>
        <v>0</v>
      </c>
      <c r="TK16" s="26">
        <f t="shared" si="161"/>
        <v>0</v>
      </c>
      <c r="TL16" s="26">
        <f t="shared" si="162"/>
        <v>18.450000000000003</v>
      </c>
      <c r="TM16" s="26">
        <f t="shared" si="163"/>
        <v>9.6</v>
      </c>
      <c r="TN16" s="26">
        <f t="shared" si="164"/>
        <v>0.4</v>
      </c>
      <c r="TO16" s="26">
        <f t="shared" si="165"/>
        <v>0.44999999999999996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9.1999999999999993</v>
      </c>
      <c r="TU16" s="26">
        <f t="shared" si="171"/>
        <v>4.45</v>
      </c>
      <c r="TV16" s="26">
        <f t="shared" si="172"/>
        <v>0.4</v>
      </c>
      <c r="TW16" s="26">
        <f t="shared" si="173"/>
        <v>0.15</v>
      </c>
      <c r="TX16" s="26">
        <f t="shared" si="174"/>
        <v>9.5500000000000007</v>
      </c>
      <c r="TY16" s="26">
        <f t="shared" si="175"/>
        <v>4.5999999999999996</v>
      </c>
      <c r="TZ16" s="26">
        <f t="shared" si="176"/>
        <v>0.1</v>
      </c>
      <c r="UA16" s="26">
        <f t="shared" si="177"/>
        <v>0.15</v>
      </c>
      <c r="UB16" s="28" t="s">
        <v>53</v>
      </c>
      <c r="UC16" s="11">
        <f t="shared" si="178"/>
        <v>13.399999999999999</v>
      </c>
      <c r="UD16" s="11">
        <f t="shared" si="179"/>
        <v>48.150000000000006</v>
      </c>
      <c r="UE16" s="11" t="str">
        <f t="shared" si="180"/>
        <v/>
      </c>
      <c r="UF16" s="11">
        <f t="shared" si="181"/>
        <v>13.399999999999999</v>
      </c>
      <c r="UG16" s="11">
        <f t="shared" si="182"/>
        <v>48.150000000000006</v>
      </c>
      <c r="UH16" s="11">
        <f t="shared" si="183"/>
        <v>9.0500000000000007</v>
      </c>
      <c r="UI16" s="11">
        <f t="shared" si="184"/>
        <v>27.6</v>
      </c>
      <c r="UJ16" s="11">
        <f t="shared" si="185"/>
        <v>75.75</v>
      </c>
    </row>
    <row r="17" spans="1:556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196</v>
      </c>
      <c r="C17" s="4" t="s">
        <v>5</v>
      </c>
      <c r="D17" s="4">
        <v>2008</v>
      </c>
      <c r="E17" s="9">
        <f t="shared" si="0"/>
        <v>149.3500094800051</v>
      </c>
      <c r="F17" s="3" t="str">
        <f t="shared" si="1"/>
        <v>P</v>
      </c>
      <c r="G17" s="3" t="str">
        <f t="shared" si="2"/>
        <v>P</v>
      </c>
      <c r="H17" s="36" t="str">
        <f t="shared" si="3"/>
        <v>Worlds Team</v>
      </c>
      <c r="I17" s="3" t="str">
        <f t="shared" si="4"/>
        <v>P</v>
      </c>
      <c r="J17" s="8">
        <f>IF(COUNT(AO17,BR17,CU17)&gt;0,LARGE((AO17,BR17,CU17),1),0)</f>
        <v>51.1</v>
      </c>
      <c r="K17" s="8" t="str">
        <f t="shared" si="5"/>
        <v>2024 3rd Domestic Trial</v>
      </c>
      <c r="L17" s="8">
        <f>IF(COUNT(AO17,BR17,CU17)&gt;1,LARGE((AO17,BR17,CU17),2),0)</f>
        <v>43.699999999999996</v>
      </c>
      <c r="M17" s="8" t="str">
        <f t="shared" si="6"/>
        <v>2025 Nationals</v>
      </c>
      <c r="N17" s="8">
        <f t="shared" si="7"/>
        <v>46.15</v>
      </c>
      <c r="O17" s="8" t="str">
        <f t="shared" si="8"/>
        <v>2024 3rd Domestic Trial</v>
      </c>
      <c r="P17" s="8">
        <f t="shared" si="9"/>
        <v>8.4000000000000128</v>
      </c>
      <c r="Q17" s="11" t="str">
        <f t="shared" si="10"/>
        <v>(Q1)</v>
      </c>
      <c r="R17" s="8" t="str">
        <f t="shared" si="11"/>
        <v>2025 Coimbra Gym Fest (July 6)</v>
      </c>
      <c r="S17" s="19">
        <v>16.7</v>
      </c>
      <c r="T17" s="19">
        <v>8.1</v>
      </c>
      <c r="U17" s="19">
        <v>0</v>
      </c>
      <c r="V17" s="19">
        <v>0</v>
      </c>
      <c r="W17" s="19">
        <v>18.7</v>
      </c>
      <c r="X17" s="19">
        <v>8.4</v>
      </c>
      <c r="Y17" s="19">
        <v>0.8</v>
      </c>
      <c r="Z17" s="19">
        <v>0</v>
      </c>
      <c r="AA17" s="19">
        <v>18.399999999999999</v>
      </c>
      <c r="AB17" s="19">
        <v>8.1</v>
      </c>
      <c r="AC17" s="19">
        <v>0</v>
      </c>
      <c r="AD17" s="19">
        <v>0</v>
      </c>
      <c r="AE17" s="19">
        <v>19</v>
      </c>
      <c r="AF17" s="19">
        <v>8.4</v>
      </c>
      <c r="AG17" s="19">
        <v>0</v>
      </c>
      <c r="AH17" s="19">
        <v>0</v>
      </c>
      <c r="AI17" s="19">
        <v>18.75</v>
      </c>
      <c r="AJ17" s="19">
        <v>0</v>
      </c>
      <c r="AK17" s="19">
        <v>0</v>
      </c>
      <c r="AL17" s="19">
        <v>0</v>
      </c>
      <c r="AM17" s="27"/>
      <c r="AN17" s="40">
        <f t="shared" si="12"/>
        <v>16.5</v>
      </c>
      <c r="AO17" s="40">
        <f t="shared" si="13"/>
        <v>51.1</v>
      </c>
      <c r="AP17" s="40">
        <f t="shared" si="14"/>
        <v>26.5</v>
      </c>
      <c r="AQ17" s="40">
        <f t="shared" si="15"/>
        <v>24.6</v>
      </c>
      <c r="AR17" s="40">
        <f t="shared" si="16"/>
        <v>77.599999999999994</v>
      </c>
      <c r="AS17" s="40">
        <f t="shared" si="17"/>
        <v>8.4</v>
      </c>
      <c r="AT17" s="40">
        <f t="shared" si="18"/>
        <v>46.15</v>
      </c>
      <c r="AU17" s="40">
        <f t="shared" si="19"/>
        <v>123.75</v>
      </c>
      <c r="AV17" s="18">
        <v>0</v>
      </c>
      <c r="AW17" s="18">
        <v>0</v>
      </c>
      <c r="AX17" s="18">
        <v>0</v>
      </c>
      <c r="AY17" s="18">
        <v>0</v>
      </c>
      <c r="AZ17" s="18">
        <v>18.2</v>
      </c>
      <c r="BA17" s="18">
        <v>8.1</v>
      </c>
      <c r="BB17" s="18">
        <v>0.2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8.1</v>
      </c>
      <c r="BR17" s="11">
        <f t="shared" si="21"/>
        <v>26.099999999999998</v>
      </c>
      <c r="BS17" s="11" t="str">
        <f t="shared" si="22"/>
        <v/>
      </c>
      <c r="BT17" s="11">
        <f t="shared" si="23"/>
        <v>8.1</v>
      </c>
      <c r="BU17" s="11">
        <f t="shared" si="24"/>
        <v>26.099999999999998</v>
      </c>
      <c r="BV17" s="11" t="str">
        <f t="shared" si="25"/>
        <v/>
      </c>
      <c r="BW17" s="11" t="str">
        <f t="shared" si="26"/>
        <v/>
      </c>
      <c r="BX17" s="11">
        <f t="shared" si="27"/>
        <v>26.099999999999998</v>
      </c>
      <c r="BY17" s="19">
        <v>15.4</v>
      </c>
      <c r="BZ17" s="19">
        <v>2.8</v>
      </c>
      <c r="CA17" s="19">
        <v>0</v>
      </c>
      <c r="CB17" s="19">
        <v>0</v>
      </c>
      <c r="CC17" s="19">
        <v>18.100000000000001</v>
      </c>
      <c r="CD17" s="19">
        <v>8</v>
      </c>
      <c r="CE17" s="19">
        <v>0.6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 t="shared" si="28"/>
        <v>10.8</v>
      </c>
      <c r="CU17" s="40">
        <f t="shared" si="29"/>
        <v>43.699999999999996</v>
      </c>
      <c r="CV17" s="40" t="str">
        <f t="shared" si="30"/>
        <v/>
      </c>
      <c r="CW17" s="40">
        <f t="shared" si="31"/>
        <v>10.8</v>
      </c>
      <c r="CX17" s="40">
        <f t="shared" si="32"/>
        <v>43.699999999999996</v>
      </c>
      <c r="CY17" s="40" t="str">
        <f t="shared" si="33"/>
        <v/>
      </c>
      <c r="CZ17" s="40" t="str">
        <f t="shared" si="34"/>
        <v/>
      </c>
      <c r="DA17" s="40">
        <f t="shared" si="35"/>
        <v>43.699999999999996</v>
      </c>
      <c r="DB17" s="51">
        <f t="shared" si="36"/>
        <v>8.4000000000000128</v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>
        <v>18.5</v>
      </c>
      <c r="FI17" s="17">
        <v>8</v>
      </c>
      <c r="FJ17" s="17">
        <v>0</v>
      </c>
      <c r="FK17" s="17">
        <v>0</v>
      </c>
      <c r="FL17" s="17">
        <v>17.2</v>
      </c>
      <c r="FM17" s="17">
        <v>9.1999999999999993</v>
      </c>
      <c r="FN17" s="17">
        <v>0.8</v>
      </c>
      <c r="FO17" s="17">
        <v>0</v>
      </c>
      <c r="FP17" s="17"/>
      <c r="FQ17" s="17"/>
      <c r="FR17" s="17"/>
      <c r="FS17" s="17"/>
      <c r="FT17" s="17">
        <v>18.399999999999999</v>
      </c>
      <c r="FU17" s="17">
        <v>8.4</v>
      </c>
      <c r="FV17" s="17">
        <v>0</v>
      </c>
      <c r="FW17" s="17">
        <v>0</v>
      </c>
      <c r="FX17" s="17">
        <v>15.2</v>
      </c>
      <c r="FY17" s="17">
        <v>3.6</v>
      </c>
      <c r="FZ17" s="17">
        <v>0</v>
      </c>
      <c r="GA17" s="17">
        <v>0</v>
      </c>
      <c r="GB17" s="40">
        <f t="shared" si="54"/>
        <v>17.2</v>
      </c>
      <c r="GC17" s="40">
        <f t="shared" si="55"/>
        <v>52.100000000000009</v>
      </c>
      <c r="GD17" s="40" t="str">
        <f t="shared" si="56"/>
        <v/>
      </c>
      <c r="GE17" s="40">
        <f t="shared" si="57"/>
        <v>17.2</v>
      </c>
      <c r="GF17" s="40">
        <f t="shared" si="58"/>
        <v>52.100000000000009</v>
      </c>
      <c r="GG17" s="40">
        <f t="shared" si="59"/>
        <v>12</v>
      </c>
      <c r="GH17" s="40">
        <f t="shared" si="60"/>
        <v>45.6</v>
      </c>
      <c r="GI17" s="40">
        <f t="shared" si="61"/>
        <v>97.700000000000017</v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7.7</v>
      </c>
      <c r="TI17" s="26">
        <f t="shared" si="159"/>
        <v>1.4</v>
      </c>
      <c r="TJ17" s="26">
        <f t="shared" si="160"/>
        <v>0</v>
      </c>
      <c r="TK17" s="26">
        <f t="shared" si="161"/>
        <v>0</v>
      </c>
      <c r="TL17" s="26">
        <f t="shared" si="162"/>
        <v>18.149999999999999</v>
      </c>
      <c r="TM17" s="26">
        <f t="shared" si="163"/>
        <v>8.0500000000000007</v>
      </c>
      <c r="TN17" s="26">
        <f t="shared" si="164"/>
        <v>0.4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0</v>
      </c>
      <c r="TU17" s="26">
        <f t="shared" si="171"/>
        <v>0</v>
      </c>
      <c r="TV17" s="26">
        <f t="shared" si="172"/>
        <v>0</v>
      </c>
      <c r="TW17" s="26">
        <f t="shared" si="173"/>
        <v>0</v>
      </c>
      <c r="TX17" s="26">
        <f t="shared" si="174"/>
        <v>0</v>
      </c>
      <c r="TY17" s="26">
        <f t="shared" si="175"/>
        <v>0</v>
      </c>
      <c r="TZ17" s="26">
        <f t="shared" si="176"/>
        <v>0</v>
      </c>
      <c r="UA17" s="26">
        <f t="shared" si="177"/>
        <v>0</v>
      </c>
      <c r="UB17" s="28" t="s">
        <v>53</v>
      </c>
      <c r="UC17" s="11">
        <f t="shared" si="178"/>
        <v>9.4500000000000011</v>
      </c>
      <c r="UD17" s="11">
        <f t="shared" si="179"/>
        <v>34.9</v>
      </c>
      <c r="UE17" s="11" t="str">
        <f t="shared" si="180"/>
        <v/>
      </c>
      <c r="UF17" s="11">
        <f t="shared" si="181"/>
        <v>9.4500000000000011</v>
      </c>
      <c r="UG17" s="11">
        <f t="shared" si="182"/>
        <v>34.9</v>
      </c>
      <c r="UH17" s="11" t="str">
        <f t="shared" si="183"/>
        <v/>
      </c>
      <c r="UI17" s="11" t="str">
        <f t="shared" si="184"/>
        <v/>
      </c>
      <c r="UJ17" s="11">
        <f t="shared" si="185"/>
        <v>34.9</v>
      </c>
    </row>
    <row r="18" spans="1:556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150</v>
      </c>
      <c r="C18" s="4" t="s">
        <v>135</v>
      </c>
      <c r="D18" s="4">
        <v>2005</v>
      </c>
      <c r="E18" s="9">
        <f t="shared" si="0"/>
        <v>94.700009470005114</v>
      </c>
      <c r="F18" s="3" t="str">
        <f t="shared" si="1"/>
        <v>P</v>
      </c>
      <c r="G18" s="3" t="str">
        <f t="shared" si="2"/>
        <v>P</v>
      </c>
      <c r="H18" s="36" t="str">
        <f t="shared" si="3"/>
        <v>National Team</v>
      </c>
      <c r="I18" s="3" t="str">
        <f t="shared" si="4"/>
        <v/>
      </c>
      <c r="J18" s="8">
        <f>IF(COUNT(AO18,BR18,CU18)&gt;0,LARGE((AO18,BR18,CU18),1),0)</f>
        <v>51.3</v>
      </c>
      <c r="K18" s="8" t="str">
        <f t="shared" si="5"/>
        <v>2024 3rd Domestic Trial</v>
      </c>
      <c r="L18" s="8">
        <f>IF(COUNT(AO18,BR18,CU18)&gt;1,LARGE((AO18,BR18,CU18),2),0)</f>
        <v>43.4</v>
      </c>
      <c r="M18" s="8" t="str">
        <f t="shared" si="6"/>
        <v>2025 Elite Canada</v>
      </c>
      <c r="N18" s="8">
        <f t="shared" si="7"/>
        <v>0</v>
      </c>
      <c r="O18" s="8" t="str">
        <f t="shared" si="8"/>
        <v/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18.899999999999999</v>
      </c>
      <c r="T18" s="19">
        <v>8</v>
      </c>
      <c r="U18" s="19">
        <v>0.6</v>
      </c>
      <c r="V18" s="19">
        <v>0.3</v>
      </c>
      <c r="W18" s="19">
        <v>18.5</v>
      </c>
      <c r="X18" s="19">
        <v>6.8</v>
      </c>
      <c r="Y18" s="19">
        <v>0.6</v>
      </c>
      <c r="Z18" s="19">
        <v>0</v>
      </c>
      <c r="AA18" s="19">
        <v>17.600000000000001</v>
      </c>
      <c r="AB18" s="19">
        <v>2.4</v>
      </c>
      <c r="AC18" s="19">
        <v>0</v>
      </c>
      <c r="AD18" s="19">
        <v>0</v>
      </c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 t="shared" si="12"/>
        <v>14.8</v>
      </c>
      <c r="AO18" s="40">
        <f t="shared" si="13"/>
        <v>51.3</v>
      </c>
      <c r="AP18" s="40">
        <f t="shared" si="14"/>
        <v>20</v>
      </c>
      <c r="AQ18" s="40">
        <f t="shared" si="15"/>
        <v>17.2</v>
      </c>
      <c r="AR18" s="40">
        <f t="shared" si="16"/>
        <v>71.3</v>
      </c>
      <c r="AS18" s="40" t="str">
        <f t="shared" si="17"/>
        <v/>
      </c>
      <c r="AT18" s="40" t="str">
        <f t="shared" si="18"/>
        <v/>
      </c>
      <c r="AU18" s="40">
        <f t="shared" si="19"/>
        <v>71.3</v>
      </c>
      <c r="AV18" s="18">
        <v>15.4</v>
      </c>
      <c r="AW18" s="18">
        <v>2.8</v>
      </c>
      <c r="AX18" s="18">
        <v>0</v>
      </c>
      <c r="AY18" s="18">
        <v>0</v>
      </c>
      <c r="AZ18" s="18">
        <v>18.2</v>
      </c>
      <c r="BA18" s="18">
        <v>7.2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10</v>
      </c>
      <c r="BR18" s="11">
        <f t="shared" si="21"/>
        <v>43.4</v>
      </c>
      <c r="BS18" s="11" t="str">
        <f t="shared" si="22"/>
        <v/>
      </c>
      <c r="BT18" s="11">
        <f t="shared" si="23"/>
        <v>10</v>
      </c>
      <c r="BU18" s="11">
        <f t="shared" si="24"/>
        <v>43.4</v>
      </c>
      <c r="BV18" s="11" t="str">
        <f t="shared" si="25"/>
        <v/>
      </c>
      <c r="BW18" s="11" t="str">
        <f t="shared" si="26"/>
        <v/>
      </c>
      <c r="BX18" s="11">
        <f t="shared" si="27"/>
        <v>43.4</v>
      </c>
      <c r="BY18" s="19">
        <v>16.7</v>
      </c>
      <c r="BZ18" s="19">
        <v>8</v>
      </c>
      <c r="CA18" s="19">
        <v>0.2</v>
      </c>
      <c r="CB18" s="19">
        <v>0.3</v>
      </c>
      <c r="CC18" s="19">
        <v>15.2</v>
      </c>
      <c r="CD18" s="19">
        <v>3.2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11.2</v>
      </c>
      <c r="CU18" s="40">
        <f t="shared" si="29"/>
        <v>43.2</v>
      </c>
      <c r="CV18" s="40" t="str">
        <f t="shared" si="30"/>
        <v/>
      </c>
      <c r="CW18" s="40">
        <f t="shared" si="31"/>
        <v>11.2</v>
      </c>
      <c r="CX18" s="40">
        <f t="shared" si="32"/>
        <v>43.2</v>
      </c>
      <c r="CY18" s="40" t="str">
        <f t="shared" si="33"/>
        <v/>
      </c>
      <c r="CZ18" s="40" t="str">
        <f t="shared" si="34"/>
        <v/>
      </c>
      <c r="DA18" s="40">
        <f t="shared" si="35"/>
        <v>43.2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16.05</v>
      </c>
      <c r="TI18" s="26">
        <f t="shared" si="159"/>
        <v>5.4</v>
      </c>
      <c r="TJ18" s="26">
        <f t="shared" si="160"/>
        <v>0.1</v>
      </c>
      <c r="TK18" s="26">
        <f t="shared" si="161"/>
        <v>0.15</v>
      </c>
      <c r="TL18" s="26">
        <f t="shared" si="162"/>
        <v>16.7</v>
      </c>
      <c r="TM18" s="26">
        <f t="shared" si="163"/>
        <v>5.2</v>
      </c>
      <c r="TN18" s="26">
        <f t="shared" si="164"/>
        <v>0.1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10.600000000000001</v>
      </c>
      <c r="UD18" s="11">
        <f t="shared" si="179"/>
        <v>43.3</v>
      </c>
      <c r="UE18" s="11" t="str">
        <f t="shared" si="180"/>
        <v/>
      </c>
      <c r="UF18" s="11">
        <f t="shared" si="181"/>
        <v>10.600000000000001</v>
      </c>
      <c r="UG18" s="11">
        <f t="shared" si="182"/>
        <v>43.3</v>
      </c>
      <c r="UH18" s="11" t="str">
        <f t="shared" si="183"/>
        <v/>
      </c>
      <c r="UI18" s="11" t="str">
        <f t="shared" si="184"/>
        <v/>
      </c>
      <c r="UJ18" s="11">
        <f t="shared" si="185"/>
        <v>43.3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243</v>
      </c>
      <c r="C19" s="4" t="s">
        <v>36</v>
      </c>
      <c r="D19" s="4">
        <v>2007</v>
      </c>
      <c r="E19" s="9">
        <f t="shared" si="0"/>
        <v>152.00001016000508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50.999999999999993</v>
      </c>
      <c r="K19" s="8" t="str">
        <f t="shared" si="5"/>
        <v>2025 Elite Canada</v>
      </c>
      <c r="L19" s="8">
        <f>IF(COUNT(AO19,BR19,CU19)&gt;1,LARGE((AO19,BR19,CU19),2),0)</f>
        <v>50.599999999999994</v>
      </c>
      <c r="M19" s="8" t="str">
        <f t="shared" si="6"/>
        <v>2025 Nationals</v>
      </c>
      <c r="N19" s="8">
        <f t="shared" si="7"/>
        <v>50.4</v>
      </c>
      <c r="O19" s="8" t="str">
        <f t="shared" si="8"/>
        <v>2025 Elite Canada</v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18.7</v>
      </c>
      <c r="T19" s="19">
        <v>5.6</v>
      </c>
      <c r="U19" s="19">
        <v>0.2</v>
      </c>
      <c r="V19" s="19">
        <v>0</v>
      </c>
      <c r="W19" s="19">
        <v>18.8</v>
      </c>
      <c r="X19" s="19">
        <v>6</v>
      </c>
      <c r="Y19" s="19">
        <v>0</v>
      </c>
      <c r="Z19" s="19">
        <v>0</v>
      </c>
      <c r="AA19" s="19">
        <v>18.8</v>
      </c>
      <c r="AB19" s="19">
        <v>4</v>
      </c>
      <c r="AC19" s="19">
        <v>0</v>
      </c>
      <c r="AD19" s="19">
        <v>0</v>
      </c>
      <c r="AE19" s="19">
        <v>19</v>
      </c>
      <c r="AF19" s="19">
        <v>5.6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0.6</v>
      </c>
      <c r="AL19" s="19">
        <v>0</v>
      </c>
      <c r="AM19" s="27"/>
      <c r="AN19" s="40">
        <f t="shared" si="12"/>
        <v>11.6</v>
      </c>
      <c r="AO19" s="40">
        <f t="shared" si="13"/>
        <v>48.899999999999991</v>
      </c>
      <c r="AP19" s="40">
        <f t="shared" si="14"/>
        <v>22.8</v>
      </c>
      <c r="AQ19" s="40">
        <f t="shared" si="15"/>
        <v>15.6</v>
      </c>
      <c r="AR19" s="40">
        <f t="shared" si="16"/>
        <v>71.699999999999989</v>
      </c>
      <c r="AS19" s="40">
        <f t="shared" si="17"/>
        <v>11.6</v>
      </c>
      <c r="AT19" s="40">
        <f t="shared" si="18"/>
        <v>48.6</v>
      </c>
      <c r="AU19" s="40">
        <f t="shared" si="19"/>
        <v>120.29999999999998</v>
      </c>
      <c r="AV19" s="18">
        <v>18.8</v>
      </c>
      <c r="AW19" s="18">
        <v>7.2</v>
      </c>
      <c r="AX19" s="18">
        <v>0.2</v>
      </c>
      <c r="AY19" s="18">
        <v>0</v>
      </c>
      <c r="AZ19" s="18">
        <v>18.600000000000001</v>
      </c>
      <c r="BA19" s="18">
        <v>6.8</v>
      </c>
      <c r="BB19" s="18">
        <v>0.2</v>
      </c>
      <c r="BC19" s="18">
        <v>0</v>
      </c>
      <c r="BD19" s="18"/>
      <c r="BE19" s="18"/>
      <c r="BF19" s="18"/>
      <c r="BG19" s="18"/>
      <c r="BH19" s="18">
        <v>18.5</v>
      </c>
      <c r="BI19" s="18">
        <v>7.2</v>
      </c>
      <c r="BJ19" s="18">
        <v>0</v>
      </c>
      <c r="BK19" s="18">
        <v>0</v>
      </c>
      <c r="BL19" s="18">
        <v>18.5</v>
      </c>
      <c r="BM19" s="18">
        <v>6.8</v>
      </c>
      <c r="BN19" s="18">
        <v>0.6</v>
      </c>
      <c r="BO19" s="18">
        <v>0</v>
      </c>
      <c r="BP19" s="28"/>
      <c r="BQ19" s="11">
        <f t="shared" si="20"/>
        <v>14</v>
      </c>
      <c r="BR19" s="11">
        <f t="shared" si="21"/>
        <v>50.999999999999993</v>
      </c>
      <c r="BS19" s="11" t="str">
        <f t="shared" si="22"/>
        <v/>
      </c>
      <c r="BT19" s="11">
        <f t="shared" si="23"/>
        <v>14</v>
      </c>
      <c r="BU19" s="11">
        <f t="shared" si="24"/>
        <v>50.999999999999993</v>
      </c>
      <c r="BV19" s="11">
        <f t="shared" si="25"/>
        <v>14</v>
      </c>
      <c r="BW19" s="11">
        <f t="shared" si="26"/>
        <v>50.4</v>
      </c>
      <c r="BX19" s="11">
        <f t="shared" si="27"/>
        <v>101.39999999999999</v>
      </c>
      <c r="BY19" s="19">
        <v>18.600000000000001</v>
      </c>
      <c r="BZ19" s="19">
        <v>7.2</v>
      </c>
      <c r="CA19" s="19">
        <v>0.2</v>
      </c>
      <c r="CB19" s="19">
        <v>0</v>
      </c>
      <c r="CC19" s="19">
        <v>18.399999999999999</v>
      </c>
      <c r="CD19" s="19">
        <v>6.8</v>
      </c>
      <c r="CE19" s="19">
        <v>0.2</v>
      </c>
      <c r="CF19" s="19">
        <v>0</v>
      </c>
      <c r="CG19" s="19"/>
      <c r="CH19" s="19"/>
      <c r="CI19" s="19"/>
      <c r="CJ19" s="19"/>
      <c r="CK19" s="19">
        <v>18.600000000000001</v>
      </c>
      <c r="CL19" s="19">
        <v>6.8</v>
      </c>
      <c r="CM19" s="19">
        <v>0</v>
      </c>
      <c r="CN19" s="19">
        <v>0</v>
      </c>
      <c r="CO19" s="19">
        <v>18.5</v>
      </c>
      <c r="CP19" s="19">
        <v>6.8</v>
      </c>
      <c r="CQ19" s="19">
        <v>0.6</v>
      </c>
      <c r="CR19" s="19">
        <v>0</v>
      </c>
      <c r="CS19" s="27"/>
      <c r="CT19" s="40">
        <f t="shared" si="28"/>
        <v>14</v>
      </c>
      <c r="CU19" s="40">
        <f t="shared" si="29"/>
        <v>50.599999999999994</v>
      </c>
      <c r="CV19" s="40" t="str">
        <f t="shared" si="30"/>
        <v/>
      </c>
      <c r="CW19" s="40">
        <f t="shared" si="31"/>
        <v>14</v>
      </c>
      <c r="CX19" s="40">
        <f t="shared" si="32"/>
        <v>50.599999999999994</v>
      </c>
      <c r="CY19" s="40">
        <f t="shared" si="33"/>
        <v>13.6</v>
      </c>
      <c r="CZ19" s="40">
        <f t="shared" si="34"/>
        <v>50.1</v>
      </c>
      <c r="DA19" s="40">
        <f t="shared" si="35"/>
        <v>100.69999999999999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18.700000000000003</v>
      </c>
      <c r="TI19" s="26">
        <f t="shared" si="159"/>
        <v>7.2</v>
      </c>
      <c r="TJ19" s="26">
        <f t="shared" si="160"/>
        <v>0.2</v>
      </c>
      <c r="TK19" s="26">
        <f t="shared" si="161"/>
        <v>0</v>
      </c>
      <c r="TL19" s="26">
        <f t="shared" si="162"/>
        <v>18.5</v>
      </c>
      <c r="TM19" s="26">
        <f t="shared" si="163"/>
        <v>6.8</v>
      </c>
      <c r="TN19" s="26">
        <f t="shared" si="164"/>
        <v>0.2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18.55</v>
      </c>
      <c r="TU19" s="26">
        <f t="shared" si="171"/>
        <v>7</v>
      </c>
      <c r="TV19" s="26">
        <f t="shared" si="172"/>
        <v>0</v>
      </c>
      <c r="TW19" s="26">
        <f t="shared" si="173"/>
        <v>0</v>
      </c>
      <c r="TX19" s="26">
        <f t="shared" si="174"/>
        <v>18.5</v>
      </c>
      <c r="TY19" s="26">
        <f t="shared" si="175"/>
        <v>6.8</v>
      </c>
      <c r="TZ19" s="26">
        <f t="shared" si="176"/>
        <v>0.6</v>
      </c>
      <c r="UA19" s="26">
        <f t="shared" si="177"/>
        <v>0</v>
      </c>
      <c r="UB19" s="28" t="s">
        <v>53</v>
      </c>
      <c r="UC19" s="11">
        <f t="shared" si="178"/>
        <v>14</v>
      </c>
      <c r="UD19" s="11">
        <f t="shared" si="179"/>
        <v>50.8</v>
      </c>
      <c r="UE19" s="11" t="str">
        <f t="shared" si="180"/>
        <v/>
      </c>
      <c r="UF19" s="11">
        <f t="shared" si="181"/>
        <v>14</v>
      </c>
      <c r="UG19" s="11">
        <f t="shared" si="182"/>
        <v>50.8</v>
      </c>
      <c r="UH19" s="11">
        <f t="shared" si="183"/>
        <v>13.8</v>
      </c>
      <c r="UI19" s="11">
        <f t="shared" si="184"/>
        <v>50.249999999999993</v>
      </c>
      <c r="UJ19" s="11">
        <f t="shared" si="185"/>
        <v>101.04999999999998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142</v>
      </c>
      <c r="C20" s="4" t="s">
        <v>3</v>
      </c>
      <c r="D20" s="4">
        <v>2005</v>
      </c>
      <c r="E20" s="9">
        <f t="shared" si="0"/>
        <v>151.80001013000512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51.2</v>
      </c>
      <c r="K20" s="8" t="str">
        <f t="shared" si="5"/>
        <v>2025 Nationals</v>
      </c>
      <c r="L20" s="8">
        <f>IF(COUNT(AO20,BR20,CU20)&gt;1,LARGE((AO20,BR20,CU20),2),0)</f>
        <v>50.099999999999994</v>
      </c>
      <c r="M20" s="8" t="str">
        <f t="shared" si="6"/>
        <v>2025 Elite Canada</v>
      </c>
      <c r="N20" s="8">
        <f t="shared" si="7"/>
        <v>50.5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19</v>
      </c>
      <c r="T20" s="19">
        <v>7.2</v>
      </c>
      <c r="U20" s="19">
        <v>0</v>
      </c>
      <c r="V20" s="19">
        <v>0</v>
      </c>
      <c r="W20" s="19">
        <v>17.3</v>
      </c>
      <c r="X20" s="19">
        <v>3.2</v>
      </c>
      <c r="Y20" s="19">
        <v>0</v>
      </c>
      <c r="Z20" s="19">
        <v>0</v>
      </c>
      <c r="AA20" s="19">
        <v>16.8</v>
      </c>
      <c r="AB20" s="19">
        <v>6.9</v>
      </c>
      <c r="AC20" s="19">
        <v>0.2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 t="shared" si="12"/>
        <v>10.4</v>
      </c>
      <c r="AO20" s="40">
        <f t="shared" si="13"/>
        <v>46.7</v>
      </c>
      <c r="AP20" s="40">
        <f t="shared" si="14"/>
        <v>23.500000000000004</v>
      </c>
      <c r="AQ20" s="40">
        <f t="shared" si="15"/>
        <v>17.3</v>
      </c>
      <c r="AR20" s="40">
        <f t="shared" si="16"/>
        <v>70.2</v>
      </c>
      <c r="AS20" s="40" t="str">
        <f t="shared" si="17"/>
        <v/>
      </c>
      <c r="AT20" s="40" t="str">
        <f t="shared" si="18"/>
        <v/>
      </c>
      <c r="AU20" s="40">
        <f t="shared" si="19"/>
        <v>70.2</v>
      </c>
      <c r="AV20" s="18">
        <v>18.600000000000001</v>
      </c>
      <c r="AW20" s="18">
        <v>7.2</v>
      </c>
      <c r="AX20" s="18">
        <v>0.8</v>
      </c>
      <c r="AY20" s="18">
        <v>0</v>
      </c>
      <c r="AZ20" s="18">
        <v>18.5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19.2</v>
      </c>
      <c r="BI20" s="18">
        <v>7.2</v>
      </c>
      <c r="BJ20" s="18">
        <v>0</v>
      </c>
      <c r="BK20" s="18">
        <v>0</v>
      </c>
      <c r="BL20" s="18">
        <v>18.100000000000001</v>
      </c>
      <c r="BM20" s="18">
        <v>6.8</v>
      </c>
      <c r="BN20" s="18">
        <v>0.8</v>
      </c>
      <c r="BO20" s="18">
        <v>0</v>
      </c>
      <c r="BP20" s="28"/>
      <c r="BQ20" s="11">
        <f t="shared" si="20"/>
        <v>14</v>
      </c>
      <c r="BR20" s="11">
        <f t="shared" si="21"/>
        <v>50.099999999999994</v>
      </c>
      <c r="BS20" s="11" t="str">
        <f t="shared" si="22"/>
        <v/>
      </c>
      <c r="BT20" s="11">
        <f t="shared" si="23"/>
        <v>14</v>
      </c>
      <c r="BU20" s="11">
        <f t="shared" si="24"/>
        <v>50.099999999999994</v>
      </c>
      <c r="BV20" s="11">
        <f t="shared" si="25"/>
        <v>14</v>
      </c>
      <c r="BW20" s="11">
        <f t="shared" si="26"/>
        <v>50.5</v>
      </c>
      <c r="BX20" s="11">
        <f t="shared" si="27"/>
        <v>100.6</v>
      </c>
      <c r="BY20" s="19">
        <v>18.8</v>
      </c>
      <c r="BZ20" s="19">
        <v>8</v>
      </c>
      <c r="CA20" s="19">
        <v>0</v>
      </c>
      <c r="CB20" s="19">
        <v>0.3</v>
      </c>
      <c r="CC20" s="19">
        <v>18.100000000000001</v>
      </c>
      <c r="CD20" s="19">
        <v>6.8</v>
      </c>
      <c r="CE20" s="19">
        <v>0.8</v>
      </c>
      <c r="CF20" s="19">
        <v>0</v>
      </c>
      <c r="CG20" s="19"/>
      <c r="CH20" s="19"/>
      <c r="CI20" s="19"/>
      <c r="CJ20" s="19"/>
      <c r="CK20" s="19">
        <v>15.4</v>
      </c>
      <c r="CL20" s="19">
        <v>2.8</v>
      </c>
      <c r="CM20" s="19">
        <v>0</v>
      </c>
      <c r="CN20" s="19">
        <v>0</v>
      </c>
      <c r="CO20" s="19">
        <v>18.7</v>
      </c>
      <c r="CP20" s="19">
        <v>6.8</v>
      </c>
      <c r="CQ20" s="19">
        <v>0.2</v>
      </c>
      <c r="CR20" s="19">
        <v>0</v>
      </c>
      <c r="CS20" s="27"/>
      <c r="CT20" s="40">
        <f t="shared" si="28"/>
        <v>14.8</v>
      </c>
      <c r="CU20" s="40">
        <f t="shared" si="29"/>
        <v>51.2</v>
      </c>
      <c r="CV20" s="40" t="str">
        <f t="shared" si="30"/>
        <v/>
      </c>
      <c r="CW20" s="40">
        <f t="shared" si="31"/>
        <v>14.8</v>
      </c>
      <c r="CX20" s="40">
        <f t="shared" si="32"/>
        <v>51.2</v>
      </c>
      <c r="CY20" s="40">
        <f t="shared" si="33"/>
        <v>9.6</v>
      </c>
      <c r="CZ20" s="40">
        <f t="shared" si="34"/>
        <v>43.499999999999993</v>
      </c>
      <c r="DA20" s="40">
        <f t="shared" si="35"/>
        <v>94.699999999999989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18.700000000000003</v>
      </c>
      <c r="TI20" s="26">
        <f t="shared" si="159"/>
        <v>7.6</v>
      </c>
      <c r="TJ20" s="26">
        <f t="shared" si="160"/>
        <v>0.4</v>
      </c>
      <c r="TK20" s="26">
        <f t="shared" si="161"/>
        <v>0.15</v>
      </c>
      <c r="TL20" s="26">
        <f t="shared" si="162"/>
        <v>18.3</v>
      </c>
      <c r="TM20" s="26">
        <f t="shared" si="163"/>
        <v>6.8</v>
      </c>
      <c r="TN20" s="26">
        <f t="shared" si="164"/>
        <v>0.5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17.3</v>
      </c>
      <c r="TU20" s="26">
        <f t="shared" si="171"/>
        <v>5</v>
      </c>
      <c r="TV20" s="26">
        <f t="shared" si="172"/>
        <v>0</v>
      </c>
      <c r="TW20" s="26">
        <f t="shared" si="173"/>
        <v>0</v>
      </c>
      <c r="TX20" s="26">
        <f t="shared" si="174"/>
        <v>18.399999999999999</v>
      </c>
      <c r="TY20" s="26">
        <f t="shared" si="175"/>
        <v>6.8</v>
      </c>
      <c r="TZ20" s="26">
        <f t="shared" si="176"/>
        <v>0.5</v>
      </c>
      <c r="UA20" s="26">
        <f t="shared" si="177"/>
        <v>0</v>
      </c>
      <c r="UB20" s="28" t="s">
        <v>53</v>
      </c>
      <c r="UC20" s="11">
        <f t="shared" si="178"/>
        <v>14.399999999999999</v>
      </c>
      <c r="UD20" s="11">
        <f t="shared" si="179"/>
        <v>50.65</v>
      </c>
      <c r="UE20" s="11" t="str">
        <f t="shared" si="180"/>
        <v/>
      </c>
      <c r="UF20" s="11">
        <f t="shared" si="181"/>
        <v>14.399999999999999</v>
      </c>
      <c r="UG20" s="11">
        <f t="shared" si="182"/>
        <v>50.65</v>
      </c>
      <c r="UH20" s="11">
        <f t="shared" si="183"/>
        <v>11.8</v>
      </c>
      <c r="UI20" s="11">
        <f t="shared" si="184"/>
        <v>47</v>
      </c>
      <c r="UJ20" s="11">
        <f t="shared" si="185"/>
        <v>97.65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178</v>
      </c>
      <c r="C21" s="4" t="s">
        <v>6</v>
      </c>
      <c r="D21" s="4">
        <v>2007</v>
      </c>
      <c r="E21" s="9">
        <f t="shared" si="0"/>
        <v>149.00000992000503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50.4</v>
      </c>
      <c r="K21" s="8" t="str">
        <f t="shared" si="5"/>
        <v>2024 3rd Domestic Trial</v>
      </c>
      <c r="L21" s="8">
        <f>IF(COUNT(AO21,BR21,CU21)&gt;1,LARGE((AO21,BR21,CU21),2),0)</f>
        <v>48.8</v>
      </c>
      <c r="M21" s="8" t="str">
        <f t="shared" si="6"/>
        <v>2025 Nationals</v>
      </c>
      <c r="N21" s="8">
        <f t="shared" si="7"/>
        <v>49.800000000000004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18.7</v>
      </c>
      <c r="T21" s="19">
        <v>6.8</v>
      </c>
      <c r="U21" s="19">
        <v>0</v>
      </c>
      <c r="V21" s="19">
        <v>0</v>
      </c>
      <c r="W21" s="19">
        <v>18.5</v>
      </c>
      <c r="X21" s="19">
        <v>6.4</v>
      </c>
      <c r="Y21" s="19">
        <v>0</v>
      </c>
      <c r="Z21" s="19">
        <v>0</v>
      </c>
      <c r="AA21" s="19">
        <v>18.399999999999999</v>
      </c>
      <c r="AB21" s="19">
        <v>6</v>
      </c>
      <c r="AC21" s="19">
        <v>0</v>
      </c>
      <c r="AD21" s="19">
        <v>0</v>
      </c>
      <c r="AE21" s="19">
        <v>18.8</v>
      </c>
      <c r="AF21" s="19">
        <v>6.8</v>
      </c>
      <c r="AG21" s="19">
        <v>0.6</v>
      </c>
      <c r="AH21" s="19">
        <v>0</v>
      </c>
      <c r="AI21" s="19">
        <v>18.600000000000001</v>
      </c>
      <c r="AJ21" s="19">
        <v>6.4</v>
      </c>
      <c r="AK21" s="19">
        <v>0.2</v>
      </c>
      <c r="AL21" s="19">
        <v>0</v>
      </c>
      <c r="AM21" s="27"/>
      <c r="AN21" s="40">
        <f t="shared" si="12"/>
        <v>13.2</v>
      </c>
      <c r="AO21" s="40">
        <f t="shared" si="13"/>
        <v>50.4</v>
      </c>
      <c r="AP21" s="40">
        <f t="shared" si="14"/>
        <v>24.4</v>
      </c>
      <c r="AQ21" s="40">
        <f t="shared" si="15"/>
        <v>19.2</v>
      </c>
      <c r="AR21" s="40">
        <f t="shared" si="16"/>
        <v>74.8</v>
      </c>
      <c r="AS21" s="40">
        <f t="shared" si="17"/>
        <v>13.2</v>
      </c>
      <c r="AT21" s="40">
        <f t="shared" si="18"/>
        <v>49.800000000000004</v>
      </c>
      <c r="AU21" s="40">
        <f t="shared" si="19"/>
        <v>124.6</v>
      </c>
      <c r="AV21" s="18">
        <v>18.2</v>
      </c>
      <c r="AW21" s="18">
        <v>6.4</v>
      </c>
      <c r="AX21" s="18">
        <v>0.6</v>
      </c>
      <c r="AY21" s="18">
        <v>0</v>
      </c>
      <c r="AZ21" s="18">
        <v>17.8</v>
      </c>
      <c r="BA21" s="18">
        <v>6</v>
      </c>
      <c r="BB21" s="18">
        <v>1.6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12.4</v>
      </c>
      <c r="BR21" s="11">
        <f t="shared" si="21"/>
        <v>46.2</v>
      </c>
      <c r="BS21" s="11" t="str">
        <f t="shared" si="22"/>
        <v/>
      </c>
      <c r="BT21" s="11">
        <f t="shared" si="23"/>
        <v>12.4</v>
      </c>
      <c r="BU21" s="11">
        <f t="shared" si="24"/>
        <v>46.2</v>
      </c>
      <c r="BV21" s="11" t="str">
        <f t="shared" si="25"/>
        <v/>
      </c>
      <c r="BW21" s="11" t="str">
        <f t="shared" si="26"/>
        <v/>
      </c>
      <c r="BX21" s="11">
        <f t="shared" si="27"/>
        <v>46.2</v>
      </c>
      <c r="BY21" s="19">
        <v>18.600000000000001</v>
      </c>
      <c r="BZ21" s="19">
        <v>7.2</v>
      </c>
      <c r="CA21" s="19">
        <v>0.2</v>
      </c>
      <c r="CB21" s="19">
        <v>0</v>
      </c>
      <c r="CC21" s="19">
        <v>18</v>
      </c>
      <c r="CD21" s="19">
        <v>6</v>
      </c>
      <c r="CE21" s="19">
        <v>0.8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13.2</v>
      </c>
      <c r="CU21" s="40">
        <f t="shared" si="29"/>
        <v>48.8</v>
      </c>
      <c r="CV21" s="40" t="str">
        <f t="shared" si="30"/>
        <v/>
      </c>
      <c r="CW21" s="40">
        <f t="shared" si="31"/>
        <v>13.2</v>
      </c>
      <c r="CX21" s="40">
        <f t="shared" si="32"/>
        <v>48.8</v>
      </c>
      <c r="CY21" s="40" t="str">
        <f t="shared" si="33"/>
        <v/>
      </c>
      <c r="CZ21" s="40" t="str">
        <f t="shared" si="34"/>
        <v/>
      </c>
      <c r="DA21" s="40">
        <f t="shared" si="35"/>
        <v>48.8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6.8000000000000007</v>
      </c>
      <c r="TJ21" s="26">
        <f t="shared" si="160"/>
        <v>0.4</v>
      </c>
      <c r="TK21" s="26">
        <f t="shared" si="161"/>
        <v>0</v>
      </c>
      <c r="TL21" s="26">
        <f t="shared" si="162"/>
        <v>17.899999999999999</v>
      </c>
      <c r="TM21" s="26">
        <f t="shared" si="163"/>
        <v>6</v>
      </c>
      <c r="TN21" s="26">
        <f t="shared" si="164"/>
        <v>1.2000000000000002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12.8</v>
      </c>
      <c r="UD21" s="11">
        <f t="shared" si="179"/>
        <v>47.499999999999993</v>
      </c>
      <c r="UE21" s="11" t="str">
        <f t="shared" si="180"/>
        <v/>
      </c>
      <c r="UF21" s="11">
        <f t="shared" si="181"/>
        <v>12.8</v>
      </c>
      <c r="UG21" s="11">
        <f t="shared" si="182"/>
        <v>47.499999999999993</v>
      </c>
      <c r="UH21" s="11" t="str">
        <f t="shared" si="183"/>
        <v/>
      </c>
      <c r="UI21" s="11" t="str">
        <f t="shared" si="184"/>
        <v/>
      </c>
      <c r="UJ21" s="11">
        <f t="shared" si="185"/>
        <v>47.499999999999993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 t="shared" si="0"/>
        <v>148.30000985000504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48.099999999999994</v>
      </c>
      <c r="M22" s="8" t="str">
        <f t="shared" si="6"/>
        <v>2025 Elite Canada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18.8</v>
      </c>
      <c r="T22" s="19">
        <v>6</v>
      </c>
      <c r="U22" s="19">
        <v>0.2</v>
      </c>
      <c r="V22" s="19">
        <v>0</v>
      </c>
      <c r="W22" s="19">
        <v>18.8</v>
      </c>
      <c r="X22" s="19">
        <v>7.2</v>
      </c>
      <c r="Y22" s="19">
        <v>0.2</v>
      </c>
      <c r="Z22" s="19">
        <v>0</v>
      </c>
      <c r="AA22" s="19">
        <v>18.600000000000001</v>
      </c>
      <c r="AB22" s="19">
        <v>5.6</v>
      </c>
      <c r="AC22" s="19">
        <v>0.4</v>
      </c>
      <c r="AD22" s="19">
        <v>0</v>
      </c>
      <c r="AE22" s="19">
        <v>19</v>
      </c>
      <c r="AF22" s="19">
        <v>6</v>
      </c>
      <c r="AG22" s="19">
        <v>0</v>
      </c>
      <c r="AH22" s="19">
        <v>0</v>
      </c>
      <c r="AI22" s="19">
        <v>18.399999999999999</v>
      </c>
      <c r="AJ22" s="19">
        <v>7.2</v>
      </c>
      <c r="AK22" s="19">
        <v>0.8</v>
      </c>
      <c r="AL22" s="19">
        <v>0</v>
      </c>
      <c r="AM22" s="27"/>
      <c r="AN22" s="40">
        <f t="shared" si="12"/>
        <v>13.2</v>
      </c>
      <c r="AO22" s="40">
        <f t="shared" si="13"/>
        <v>50.4</v>
      </c>
      <c r="AP22" s="40">
        <f t="shared" si="14"/>
        <v>23.800000000000004</v>
      </c>
      <c r="AQ22" s="40">
        <f t="shared" si="15"/>
        <v>18.799999999999997</v>
      </c>
      <c r="AR22" s="40">
        <f t="shared" si="16"/>
        <v>74.2</v>
      </c>
      <c r="AS22" s="40">
        <f t="shared" si="17"/>
        <v>13.2</v>
      </c>
      <c r="AT22" s="40">
        <f t="shared" si="18"/>
        <v>49.800000000000004</v>
      </c>
      <c r="AU22" s="40">
        <f t="shared" si="19"/>
        <v>124</v>
      </c>
      <c r="AV22" s="18">
        <v>18</v>
      </c>
      <c r="AW22" s="18">
        <v>6.8</v>
      </c>
      <c r="AX22" s="18">
        <v>0.2</v>
      </c>
      <c r="AY22" s="18">
        <v>0</v>
      </c>
      <c r="AZ22" s="18">
        <v>18.3</v>
      </c>
      <c r="BA22" s="18">
        <v>6.4</v>
      </c>
      <c r="BB22" s="18">
        <v>1.2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13.2</v>
      </c>
      <c r="BR22" s="11">
        <f t="shared" si="21"/>
        <v>48.099999999999994</v>
      </c>
      <c r="BS22" s="11" t="str">
        <f t="shared" si="22"/>
        <v/>
      </c>
      <c r="BT22" s="11">
        <f t="shared" si="23"/>
        <v>13.2</v>
      </c>
      <c r="BU22" s="11">
        <f t="shared" si="24"/>
        <v>48.099999999999994</v>
      </c>
      <c r="BV22" s="11" t="str">
        <f t="shared" si="25"/>
        <v/>
      </c>
      <c r="BW22" s="11" t="str">
        <f t="shared" si="26"/>
        <v/>
      </c>
      <c r="BX22" s="11">
        <f t="shared" si="27"/>
        <v>48.099999999999994</v>
      </c>
      <c r="BY22" s="19">
        <v>16.8</v>
      </c>
      <c r="BZ22" s="19">
        <v>6.8</v>
      </c>
      <c r="CA22" s="19">
        <v>0.8</v>
      </c>
      <c r="CB22" s="19">
        <v>0</v>
      </c>
      <c r="CC22" s="19">
        <v>18.3</v>
      </c>
      <c r="CD22" s="19">
        <v>5.6</v>
      </c>
      <c r="CE22" s="19">
        <v>1.8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12.399999999999999</v>
      </c>
      <c r="CU22" s="40">
        <f t="shared" si="29"/>
        <v>44.900000000000013</v>
      </c>
      <c r="CV22" s="40" t="str">
        <f t="shared" si="30"/>
        <v/>
      </c>
      <c r="CW22" s="40">
        <f t="shared" si="31"/>
        <v>12.399999999999999</v>
      </c>
      <c r="CX22" s="40">
        <f t="shared" si="32"/>
        <v>44.900000000000013</v>
      </c>
      <c r="CY22" s="40" t="str">
        <f t="shared" si="33"/>
        <v/>
      </c>
      <c r="CZ22" s="40" t="str">
        <f t="shared" si="34"/>
        <v/>
      </c>
      <c r="DA22" s="40">
        <f t="shared" si="35"/>
        <v>44.900000000000013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17.399999999999999</v>
      </c>
      <c r="TI22" s="26">
        <f t="shared" si="159"/>
        <v>6.8</v>
      </c>
      <c r="TJ22" s="26">
        <f t="shared" si="160"/>
        <v>0.5</v>
      </c>
      <c r="TK22" s="26">
        <f t="shared" si="161"/>
        <v>0</v>
      </c>
      <c r="TL22" s="26">
        <f t="shared" si="162"/>
        <v>18.3</v>
      </c>
      <c r="TM22" s="26">
        <f t="shared" si="163"/>
        <v>6</v>
      </c>
      <c r="TN22" s="26">
        <f t="shared" si="164"/>
        <v>1.5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12.8</v>
      </c>
      <c r="UD22" s="11">
        <f t="shared" si="179"/>
        <v>46.5</v>
      </c>
      <c r="UE22" s="11" t="str">
        <f t="shared" si="180"/>
        <v/>
      </c>
      <c r="UF22" s="11">
        <f t="shared" si="181"/>
        <v>12.8</v>
      </c>
      <c r="UG22" s="11">
        <f t="shared" si="182"/>
        <v>46.5</v>
      </c>
      <c r="UH22" s="11" t="str">
        <f t="shared" si="183"/>
        <v/>
      </c>
      <c r="UI22" s="11" t="str">
        <f t="shared" si="184"/>
        <v/>
      </c>
      <c r="UJ22" s="11">
        <f t="shared" si="185"/>
        <v>46.5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202</v>
      </c>
      <c r="C23" s="4" t="s">
        <v>5</v>
      </c>
      <c r="D23" s="4">
        <v>2007</v>
      </c>
      <c r="E23" s="9">
        <f t="shared" si="0"/>
        <v>148.00000975000512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51.099999999999994</v>
      </c>
      <c r="K23" s="8" t="str">
        <f t="shared" si="5"/>
        <v>2024 3rd Domestic Trial</v>
      </c>
      <c r="L23" s="8">
        <f>IF(COUNT(AO23,BR23,CU23)&gt;1,LARGE((AO23,BR23,CU23),2),0)</f>
        <v>46.4</v>
      </c>
      <c r="M23" s="8" t="str">
        <f t="shared" si="6"/>
        <v>2025 Elite Canada</v>
      </c>
      <c r="N23" s="8">
        <f t="shared" si="7"/>
        <v>50.5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18.899999999999999</v>
      </c>
      <c r="T23" s="19">
        <v>7.2</v>
      </c>
      <c r="U23" s="19">
        <v>0.6</v>
      </c>
      <c r="V23" s="19"/>
      <c r="W23" s="19">
        <v>18.8</v>
      </c>
      <c r="X23" s="19">
        <v>6.8</v>
      </c>
      <c r="Y23" s="19">
        <v>0</v>
      </c>
      <c r="Z23" s="19"/>
      <c r="AA23" s="19">
        <v>18.7</v>
      </c>
      <c r="AB23" s="19">
        <v>6</v>
      </c>
      <c r="AC23" s="19">
        <v>0</v>
      </c>
      <c r="AD23" s="19"/>
      <c r="AE23" s="19">
        <v>18.7</v>
      </c>
      <c r="AF23" s="19">
        <v>7.2</v>
      </c>
      <c r="AG23" s="19">
        <v>0.6</v>
      </c>
      <c r="AH23" s="19"/>
      <c r="AI23" s="19">
        <v>18.600000000000001</v>
      </c>
      <c r="AJ23" s="19">
        <v>6.8</v>
      </c>
      <c r="AK23" s="19">
        <v>0.2</v>
      </c>
      <c r="AL23" s="19"/>
      <c r="AM23" s="27"/>
      <c r="AN23" s="40">
        <f t="shared" si="12"/>
        <v>14</v>
      </c>
      <c r="AO23" s="40">
        <f t="shared" si="13"/>
        <v>51.099999999999994</v>
      </c>
      <c r="AP23" s="40">
        <f t="shared" si="14"/>
        <v>24.7</v>
      </c>
      <c r="AQ23" s="40">
        <f t="shared" si="15"/>
        <v>20</v>
      </c>
      <c r="AR23" s="40">
        <f t="shared" si="16"/>
        <v>75.8</v>
      </c>
      <c r="AS23" s="40">
        <f t="shared" si="17"/>
        <v>14</v>
      </c>
      <c r="AT23" s="40">
        <f t="shared" si="18"/>
        <v>50.5</v>
      </c>
      <c r="AU23" s="40">
        <f t="shared" si="19"/>
        <v>126.3</v>
      </c>
      <c r="AV23" s="18">
        <v>19</v>
      </c>
      <c r="AW23" s="18">
        <v>7.2</v>
      </c>
      <c r="AX23" s="18">
        <v>0.2</v>
      </c>
      <c r="AY23" s="18">
        <v>0</v>
      </c>
      <c r="AZ23" s="18">
        <v>16.2</v>
      </c>
      <c r="BA23" s="18">
        <v>6</v>
      </c>
      <c r="BB23" s="18">
        <v>1.8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13.2</v>
      </c>
      <c r="BR23" s="11">
        <f t="shared" si="21"/>
        <v>46.4</v>
      </c>
      <c r="BS23" s="11" t="str">
        <f t="shared" si="22"/>
        <v/>
      </c>
      <c r="BT23" s="11">
        <f t="shared" si="23"/>
        <v>13.2</v>
      </c>
      <c r="BU23" s="11">
        <f t="shared" si="24"/>
        <v>46.4</v>
      </c>
      <c r="BV23" s="11" t="str">
        <f t="shared" si="25"/>
        <v/>
      </c>
      <c r="BW23" s="11" t="str">
        <f t="shared" si="26"/>
        <v/>
      </c>
      <c r="BX23" s="11">
        <f t="shared" si="27"/>
        <v>46.4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 t="shared" si="28"/>
        <v/>
      </c>
      <c r="CU23" s="40" t="str">
        <f t="shared" si="29"/>
        <v/>
      </c>
      <c r="CV23" s="40" t="str">
        <f t="shared" si="30"/>
        <v/>
      </c>
      <c r="CW23" s="40" t="str">
        <f t="shared" si="31"/>
        <v/>
      </c>
      <c r="CX23" s="40" t="str">
        <f t="shared" si="32"/>
        <v/>
      </c>
      <c r="CY23" s="40" t="str">
        <f t="shared" si="33"/>
        <v/>
      </c>
      <c r="CZ23" s="40" t="str">
        <f t="shared" si="34"/>
        <v/>
      </c>
      <c r="DA23" s="40" t="str">
        <f t="shared" si="35"/>
        <v/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9.5</v>
      </c>
      <c r="TI23" s="26">
        <f t="shared" si="159"/>
        <v>3.6</v>
      </c>
      <c r="TJ23" s="26">
        <f t="shared" si="160"/>
        <v>0.1</v>
      </c>
      <c r="TK23" s="26">
        <f t="shared" si="161"/>
        <v>0</v>
      </c>
      <c r="TL23" s="26">
        <f t="shared" si="162"/>
        <v>8.1</v>
      </c>
      <c r="TM23" s="26">
        <f t="shared" si="163"/>
        <v>3</v>
      </c>
      <c r="TN23" s="26">
        <f t="shared" si="164"/>
        <v>0.9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6.6</v>
      </c>
      <c r="UD23" s="11">
        <f t="shared" si="179"/>
        <v>23.2</v>
      </c>
      <c r="UE23" s="11" t="str">
        <f t="shared" si="180"/>
        <v/>
      </c>
      <c r="UF23" s="11">
        <f t="shared" si="181"/>
        <v>6.6</v>
      </c>
      <c r="UG23" s="11">
        <f t="shared" si="182"/>
        <v>23.2</v>
      </c>
      <c r="UH23" s="11" t="str">
        <f t="shared" si="183"/>
        <v/>
      </c>
      <c r="UI23" s="11" t="str">
        <f t="shared" si="184"/>
        <v/>
      </c>
      <c r="UJ23" s="11">
        <f t="shared" si="185"/>
        <v>23.2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159</v>
      </c>
      <c r="C24" s="4" t="s">
        <v>6</v>
      </c>
      <c r="D24" s="4">
        <v>2007</v>
      </c>
      <c r="E24" s="9">
        <f t="shared" si="0"/>
        <v>146.90000961000501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49.999999999999993</v>
      </c>
      <c r="K24" s="8" t="str">
        <f t="shared" si="5"/>
        <v>2025 Elite Canada</v>
      </c>
      <c r="L24" s="8">
        <f>IF(COUNT(AO24,BR24,CU24)&gt;1,LARGE((AO24,BR24,CU24),2),0)</f>
        <v>46.099999999999994</v>
      </c>
      <c r="M24" s="8" t="str">
        <f t="shared" si="6"/>
        <v>2025 Nationals</v>
      </c>
      <c r="N24" s="8">
        <f t="shared" si="7"/>
        <v>50.800000000000004</v>
      </c>
      <c r="O24" s="8" t="str">
        <f t="shared" si="8"/>
        <v>2025 Elite Canada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0</v>
      </c>
      <c r="T24" s="19">
        <v>0</v>
      </c>
      <c r="U24" s="19">
        <v>0</v>
      </c>
      <c r="V24" s="19">
        <v>0</v>
      </c>
      <c r="W24" s="19">
        <v>17.600000000000001</v>
      </c>
      <c r="X24" s="19">
        <v>4</v>
      </c>
      <c r="Y24" s="19">
        <v>0</v>
      </c>
      <c r="Z24" s="19">
        <v>0</v>
      </c>
      <c r="AA24" s="19">
        <v>18.399999999999999</v>
      </c>
      <c r="AB24" s="19">
        <v>6</v>
      </c>
      <c r="AC24" s="19">
        <v>0.6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 t="shared" si="12"/>
        <v>4</v>
      </c>
      <c r="AO24" s="40">
        <f t="shared" si="13"/>
        <v>21.6</v>
      </c>
      <c r="AP24" s="40">
        <f t="shared" si="14"/>
        <v>23.799999999999997</v>
      </c>
      <c r="AQ24" s="40">
        <f t="shared" si="15"/>
        <v>10</v>
      </c>
      <c r="AR24" s="40">
        <f t="shared" si="16"/>
        <v>45.4</v>
      </c>
      <c r="AS24" s="40" t="str">
        <f t="shared" si="17"/>
        <v/>
      </c>
      <c r="AT24" s="40" t="str">
        <f t="shared" si="18"/>
        <v/>
      </c>
      <c r="AU24" s="40">
        <f t="shared" si="19"/>
        <v>45.4</v>
      </c>
      <c r="AV24" s="18">
        <v>18.899999999999999</v>
      </c>
      <c r="AW24" s="18">
        <v>6.4</v>
      </c>
      <c r="AX24" s="18">
        <v>0.4</v>
      </c>
      <c r="AY24" s="18">
        <v>0</v>
      </c>
      <c r="AZ24" s="18">
        <v>18.600000000000001</v>
      </c>
      <c r="BA24" s="18">
        <v>6.8</v>
      </c>
      <c r="BB24" s="18">
        <v>0.6</v>
      </c>
      <c r="BC24" s="18">
        <v>0.3</v>
      </c>
      <c r="BD24" s="18"/>
      <c r="BE24" s="18"/>
      <c r="BF24" s="18"/>
      <c r="BG24" s="18"/>
      <c r="BH24" s="18">
        <v>16.8</v>
      </c>
      <c r="BI24" s="18">
        <v>9.3000000000000007</v>
      </c>
      <c r="BJ24" s="18">
        <v>1</v>
      </c>
      <c r="BK24" s="18">
        <v>0.3</v>
      </c>
      <c r="BL24" s="18">
        <v>18.7</v>
      </c>
      <c r="BM24" s="18">
        <v>7.2</v>
      </c>
      <c r="BN24" s="18">
        <v>0.8</v>
      </c>
      <c r="BO24" s="18">
        <v>0.3</v>
      </c>
      <c r="BP24" s="28"/>
      <c r="BQ24" s="11">
        <f t="shared" si="20"/>
        <v>13.2</v>
      </c>
      <c r="BR24" s="11">
        <f t="shared" si="21"/>
        <v>49.999999999999993</v>
      </c>
      <c r="BS24" s="11" t="str">
        <f t="shared" si="22"/>
        <v/>
      </c>
      <c r="BT24" s="11">
        <f t="shared" si="23"/>
        <v>13.2</v>
      </c>
      <c r="BU24" s="11">
        <f t="shared" si="24"/>
        <v>49.999999999999993</v>
      </c>
      <c r="BV24" s="11">
        <f t="shared" si="25"/>
        <v>16.5</v>
      </c>
      <c r="BW24" s="11">
        <f t="shared" si="26"/>
        <v>50.800000000000004</v>
      </c>
      <c r="BX24" s="11">
        <f t="shared" si="27"/>
        <v>100.8</v>
      </c>
      <c r="BY24" s="19">
        <v>18.3</v>
      </c>
      <c r="BZ24" s="19">
        <v>9.3000000000000007</v>
      </c>
      <c r="CA24" s="19">
        <v>0.2</v>
      </c>
      <c r="CB24" s="19">
        <v>0.3</v>
      </c>
      <c r="CC24" s="19">
        <v>15.6</v>
      </c>
      <c r="CD24" s="19">
        <v>2.8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12.100000000000001</v>
      </c>
      <c r="CU24" s="40">
        <f t="shared" si="29"/>
        <v>46.099999999999994</v>
      </c>
      <c r="CV24" s="40" t="str">
        <f t="shared" si="30"/>
        <v/>
      </c>
      <c r="CW24" s="40">
        <f t="shared" si="31"/>
        <v>12.100000000000001</v>
      </c>
      <c r="CX24" s="40">
        <f t="shared" si="32"/>
        <v>46.099999999999994</v>
      </c>
      <c r="CY24" s="40" t="str">
        <f t="shared" si="33"/>
        <v/>
      </c>
      <c r="CZ24" s="40" t="str">
        <f t="shared" si="34"/>
        <v/>
      </c>
      <c r="DA24" s="40">
        <f t="shared" si="35"/>
        <v>46.099999999999994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18.600000000000001</v>
      </c>
      <c r="TI24" s="26">
        <f t="shared" si="159"/>
        <v>7.8500000000000005</v>
      </c>
      <c r="TJ24" s="26">
        <f t="shared" si="160"/>
        <v>0.30000000000000004</v>
      </c>
      <c r="TK24" s="26">
        <f t="shared" si="161"/>
        <v>0.15</v>
      </c>
      <c r="TL24" s="26">
        <f t="shared" si="162"/>
        <v>17.100000000000001</v>
      </c>
      <c r="TM24" s="26">
        <f t="shared" si="163"/>
        <v>4.8</v>
      </c>
      <c r="TN24" s="26">
        <f t="shared" si="164"/>
        <v>0.3</v>
      </c>
      <c r="TO24" s="26">
        <f t="shared" si="165"/>
        <v>0.15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8.4</v>
      </c>
      <c r="TU24" s="26">
        <f t="shared" si="171"/>
        <v>4.6500000000000004</v>
      </c>
      <c r="TV24" s="26">
        <f t="shared" si="172"/>
        <v>0.5</v>
      </c>
      <c r="TW24" s="26">
        <f t="shared" si="173"/>
        <v>0.15</v>
      </c>
      <c r="TX24" s="26">
        <f t="shared" si="174"/>
        <v>9.35</v>
      </c>
      <c r="TY24" s="26">
        <f t="shared" si="175"/>
        <v>3.6</v>
      </c>
      <c r="TZ24" s="26">
        <f t="shared" si="176"/>
        <v>0.4</v>
      </c>
      <c r="UA24" s="26">
        <f t="shared" si="177"/>
        <v>0.15</v>
      </c>
      <c r="UB24" s="28" t="s">
        <v>53</v>
      </c>
      <c r="UC24" s="11">
        <f t="shared" si="178"/>
        <v>12.65</v>
      </c>
      <c r="UD24" s="11">
        <f t="shared" si="179"/>
        <v>48.050000000000004</v>
      </c>
      <c r="UE24" s="11" t="str">
        <f t="shared" si="180"/>
        <v/>
      </c>
      <c r="UF24" s="11">
        <f t="shared" si="181"/>
        <v>12.65</v>
      </c>
      <c r="UG24" s="11">
        <f t="shared" si="182"/>
        <v>48.050000000000004</v>
      </c>
      <c r="UH24" s="11">
        <f t="shared" si="183"/>
        <v>8.25</v>
      </c>
      <c r="UI24" s="11">
        <f t="shared" si="184"/>
        <v>25.400000000000002</v>
      </c>
      <c r="UJ24" s="11">
        <f t="shared" si="185"/>
        <v>73.45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175</v>
      </c>
      <c r="C25" s="4" t="s">
        <v>7</v>
      </c>
      <c r="D25" s="4">
        <v>2004</v>
      </c>
      <c r="E25" s="9">
        <f t="shared" si="0"/>
        <v>135.6000085500049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49.2</v>
      </c>
      <c r="K25" s="8" t="str">
        <f t="shared" si="5"/>
        <v>2025 Elite Canada</v>
      </c>
      <c r="L25" s="8">
        <f>IF(COUNT(AO25,BR25,CU25)&gt;1,LARGE((AO25,BR25,CU25),2),0)</f>
        <v>36.299999999999997</v>
      </c>
      <c r="M25" s="8" t="str">
        <f t="shared" si="6"/>
        <v>2025 Nationals</v>
      </c>
      <c r="N25" s="8">
        <f t="shared" si="7"/>
        <v>50.1</v>
      </c>
      <c r="O25" s="8" t="str">
        <f t="shared" si="8"/>
        <v>2025 Elite Canada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 t="shared" si="12"/>
        <v/>
      </c>
      <c r="AO25" s="40" t="str">
        <f t="shared" si="13"/>
        <v/>
      </c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 t="shared" si="20"/>
        <v>13.6</v>
      </c>
      <c r="BR25" s="11">
        <f t="shared" si="21"/>
        <v>49.2</v>
      </c>
      <c r="BS25" s="11" t="str">
        <f t="shared" si="22"/>
        <v/>
      </c>
      <c r="BT25" s="11">
        <f t="shared" si="23"/>
        <v>13.6</v>
      </c>
      <c r="BU25" s="11">
        <f t="shared" si="24"/>
        <v>49.2</v>
      </c>
      <c r="BV25" s="11">
        <f t="shared" si="25"/>
        <v>13.6</v>
      </c>
      <c r="BW25" s="11">
        <f t="shared" si="26"/>
        <v>50.1</v>
      </c>
      <c r="BX25" s="11">
        <f t="shared" si="27"/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5.1999999999999993</v>
      </c>
      <c r="CU25" s="40">
        <f t="shared" si="29"/>
        <v>36.299999999999997</v>
      </c>
      <c r="CV25" s="40" t="str">
        <f t="shared" si="30"/>
        <v/>
      </c>
      <c r="CW25" s="40">
        <f t="shared" si="31"/>
        <v>5.1999999999999993</v>
      </c>
      <c r="CX25" s="40">
        <f t="shared" si="32"/>
        <v>36.299999999999997</v>
      </c>
      <c r="CY25" s="40" t="str">
        <f t="shared" si="33"/>
        <v/>
      </c>
      <c r="CZ25" s="40" t="str">
        <f t="shared" si="34"/>
        <v/>
      </c>
      <c r="DA25" s="40">
        <f t="shared" si="35"/>
        <v>36.299999999999997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17.149999999999999</v>
      </c>
      <c r="TI25" s="26">
        <f t="shared" si="159"/>
        <v>4.5999999999999996</v>
      </c>
      <c r="TJ25" s="26">
        <f t="shared" si="160"/>
        <v>0.4</v>
      </c>
      <c r="TK25" s="26">
        <f t="shared" si="161"/>
        <v>0</v>
      </c>
      <c r="TL25" s="26">
        <f t="shared" si="162"/>
        <v>16.7</v>
      </c>
      <c r="TM25" s="26">
        <f t="shared" si="163"/>
        <v>4.8</v>
      </c>
      <c r="TN25" s="26">
        <f t="shared" si="164"/>
        <v>0.1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9.5500000000000007</v>
      </c>
      <c r="TU25" s="26">
        <f t="shared" si="171"/>
        <v>3.4</v>
      </c>
      <c r="TV25" s="26">
        <f t="shared" si="172"/>
        <v>0</v>
      </c>
      <c r="TW25" s="26">
        <f t="shared" si="173"/>
        <v>0</v>
      </c>
      <c r="TX25" s="26">
        <f t="shared" si="174"/>
        <v>9</v>
      </c>
      <c r="TY25" s="26">
        <f t="shared" si="175"/>
        <v>3.4</v>
      </c>
      <c r="TZ25" s="26">
        <f t="shared" si="176"/>
        <v>0.3</v>
      </c>
      <c r="UA25" s="26">
        <f t="shared" si="177"/>
        <v>0</v>
      </c>
      <c r="UB25" s="28" t="s">
        <v>53</v>
      </c>
      <c r="UC25" s="11">
        <f t="shared" si="178"/>
        <v>9.3999999999999986</v>
      </c>
      <c r="UD25" s="11">
        <f t="shared" si="179"/>
        <v>42.75</v>
      </c>
      <c r="UE25" s="11" t="str">
        <f t="shared" si="180"/>
        <v/>
      </c>
      <c r="UF25" s="11">
        <f t="shared" si="181"/>
        <v>9.3999999999999986</v>
      </c>
      <c r="UG25" s="11">
        <f t="shared" si="182"/>
        <v>42.75</v>
      </c>
      <c r="UH25" s="11">
        <f t="shared" si="183"/>
        <v>6.8</v>
      </c>
      <c r="UI25" s="11">
        <f t="shared" si="184"/>
        <v>25.05</v>
      </c>
      <c r="UJ25" s="11">
        <f t="shared" si="185"/>
        <v>67.8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176</v>
      </c>
      <c r="C26" s="4" t="s">
        <v>6</v>
      </c>
      <c r="D26" s="4">
        <v>2006</v>
      </c>
      <c r="E26" s="9">
        <f t="shared" si="0"/>
        <v>99.000009900004983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49.900000000000006</v>
      </c>
      <c r="K26" s="8" t="str">
        <f t="shared" si="5"/>
        <v>2025 Nationals</v>
      </c>
      <c r="L26" s="8">
        <f>IF(COUNT(AO26,BR26,CU26)&gt;1,LARGE((AO26,BR26,CU26),2),0)</f>
        <v>49.099999999999994</v>
      </c>
      <c r="M26" s="8" t="str">
        <f t="shared" si="6"/>
        <v>2024 3rd Domestic Trial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12</v>
      </c>
      <c r="AO26" s="40">
        <f t="shared" si="13"/>
        <v>49.099999999999994</v>
      </c>
      <c r="AP26" s="40">
        <f t="shared" si="14"/>
        <v>20.3</v>
      </c>
      <c r="AQ26" s="40">
        <f t="shared" si="15"/>
        <v>15.2</v>
      </c>
      <c r="AR26" s="40">
        <f t="shared" si="16"/>
        <v>69.399999999999991</v>
      </c>
      <c r="AS26" s="40" t="str">
        <f t="shared" si="17"/>
        <v/>
      </c>
      <c r="AT26" s="40" t="str">
        <f t="shared" si="18"/>
        <v/>
      </c>
      <c r="AU26" s="40">
        <f t="shared" si="19"/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12.8</v>
      </c>
      <c r="BR26" s="11">
        <f t="shared" si="21"/>
        <v>46.800000000000004</v>
      </c>
      <c r="BS26" s="11" t="str">
        <f t="shared" si="22"/>
        <v/>
      </c>
      <c r="BT26" s="11">
        <f t="shared" si="23"/>
        <v>12.8</v>
      </c>
      <c r="BU26" s="11">
        <f t="shared" si="24"/>
        <v>46.800000000000004</v>
      </c>
      <c r="BV26" s="11" t="str">
        <f t="shared" si="25"/>
        <v/>
      </c>
      <c r="BW26" s="11" t="str">
        <f t="shared" si="26"/>
        <v/>
      </c>
      <c r="BX26" s="11">
        <f t="shared" si="27"/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15.3</v>
      </c>
      <c r="CU26" s="40">
        <f t="shared" si="29"/>
        <v>49.900000000000006</v>
      </c>
      <c r="CV26" s="40" t="str">
        <f t="shared" si="30"/>
        <v/>
      </c>
      <c r="CW26" s="40">
        <f t="shared" si="31"/>
        <v>15.3</v>
      </c>
      <c r="CX26" s="40">
        <f t="shared" si="32"/>
        <v>49.900000000000006</v>
      </c>
      <c r="CY26" s="40" t="str">
        <f t="shared" si="33"/>
        <v/>
      </c>
      <c r="CZ26" s="40" t="str">
        <f t="shared" si="34"/>
        <v/>
      </c>
      <c r="DA26" s="40">
        <f t="shared" si="35"/>
        <v>49.900000000000006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17.95</v>
      </c>
      <c r="TI26" s="26">
        <f t="shared" si="159"/>
        <v>6.8</v>
      </c>
      <c r="TJ26" s="26">
        <f t="shared" si="160"/>
        <v>1.2000000000000002</v>
      </c>
      <c r="TK26" s="26">
        <f t="shared" si="161"/>
        <v>0</v>
      </c>
      <c r="TL26" s="26">
        <f t="shared" si="162"/>
        <v>18.350000000000001</v>
      </c>
      <c r="TM26" s="26">
        <f t="shared" si="163"/>
        <v>7.25</v>
      </c>
      <c r="TN26" s="26">
        <f t="shared" si="164"/>
        <v>0.8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14.05</v>
      </c>
      <c r="UD26" s="11">
        <f t="shared" si="179"/>
        <v>48.35</v>
      </c>
      <c r="UE26" s="11" t="str">
        <f t="shared" si="180"/>
        <v/>
      </c>
      <c r="UF26" s="11">
        <f t="shared" si="181"/>
        <v>14.05</v>
      </c>
      <c r="UG26" s="11">
        <f t="shared" si="182"/>
        <v>48.35</v>
      </c>
      <c r="UH26" s="11" t="str">
        <f t="shared" si="183"/>
        <v/>
      </c>
      <c r="UI26" s="11" t="str">
        <f t="shared" si="184"/>
        <v/>
      </c>
      <c r="UJ26" s="11">
        <f t="shared" si="185"/>
        <v>48.35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158</v>
      </c>
      <c r="C27" s="4" t="s">
        <v>5</v>
      </c>
      <c r="D27" s="4">
        <v>2007</v>
      </c>
      <c r="E27" s="9">
        <f t="shared" si="0"/>
        <v>92.300009230004648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46.5</v>
      </c>
      <c r="K27" s="8" t="str">
        <f t="shared" si="5"/>
        <v>2025 Elite Canada</v>
      </c>
      <c r="L27" s="8">
        <f>IF(COUNT(AO27,BR27,CU27)&gt;1,LARGE((AO27,BR27,CU27),2),0)</f>
        <v>45.8</v>
      </c>
      <c r="M27" s="8" t="str">
        <f t="shared" si="6"/>
        <v>2024 3rd Domestic Trial</v>
      </c>
      <c r="N27" s="8">
        <f t="shared" si="7"/>
        <v>0</v>
      </c>
      <c r="O27" s="8" t="str">
        <f t="shared" si="8"/>
        <v/>
      </c>
      <c r="P27" s="8" t="str">
        <f t="shared" si="9"/>
        <v/>
      </c>
      <c r="Q27" s="11" t="str">
        <f t="shared" si="10"/>
        <v/>
      </c>
      <c r="R27" s="8" t="str">
        <f t="shared" si="11"/>
        <v/>
      </c>
      <c r="S27" s="19">
        <v>19.2</v>
      </c>
      <c r="T27" s="19">
        <v>6</v>
      </c>
      <c r="U27" s="19">
        <v>0</v>
      </c>
      <c r="V27" s="19">
        <v>0</v>
      </c>
      <c r="W27" s="19">
        <v>17.399999999999999</v>
      </c>
      <c r="X27" s="19">
        <v>3.2</v>
      </c>
      <c r="Y27" s="19">
        <v>0</v>
      </c>
      <c r="Z27" s="19">
        <v>0</v>
      </c>
      <c r="AA27" s="19">
        <v>18.899999999999999</v>
      </c>
      <c r="AB27" s="19">
        <v>6.4</v>
      </c>
      <c r="AC27" s="19">
        <v>0.6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9.1999999999999993</v>
      </c>
      <c r="AO27" s="40">
        <f t="shared" si="13"/>
        <v>45.8</v>
      </c>
      <c r="AP27" s="40">
        <f t="shared" si="14"/>
        <v>24.699999999999996</v>
      </c>
      <c r="AQ27" s="40">
        <f t="shared" si="15"/>
        <v>15.6</v>
      </c>
      <c r="AR27" s="40">
        <f t="shared" si="16"/>
        <v>70.5</v>
      </c>
      <c r="AS27" s="40" t="str">
        <f t="shared" si="17"/>
        <v/>
      </c>
      <c r="AT27" s="40" t="str">
        <f t="shared" si="18"/>
        <v/>
      </c>
      <c r="AU27" s="40">
        <f t="shared" si="19"/>
        <v>70.5</v>
      </c>
      <c r="AV27" s="18">
        <v>18.899999999999999</v>
      </c>
      <c r="AW27" s="18">
        <v>5.6</v>
      </c>
      <c r="AX27" s="18">
        <v>1.6</v>
      </c>
      <c r="AY27" s="18">
        <v>0</v>
      </c>
      <c r="AZ27" s="18">
        <v>19</v>
      </c>
      <c r="BA27" s="18">
        <v>5.6</v>
      </c>
      <c r="BB27" s="18">
        <v>1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11.2</v>
      </c>
      <c r="BR27" s="11">
        <f t="shared" si="21"/>
        <v>46.5</v>
      </c>
      <c r="BS27" s="11" t="str">
        <f t="shared" si="22"/>
        <v/>
      </c>
      <c r="BT27" s="11">
        <f t="shared" si="23"/>
        <v>11.2</v>
      </c>
      <c r="BU27" s="11">
        <f t="shared" si="24"/>
        <v>46.5</v>
      </c>
      <c r="BV27" s="11" t="str">
        <f t="shared" si="25"/>
        <v/>
      </c>
      <c r="BW27" s="11" t="str">
        <f t="shared" si="26"/>
        <v/>
      </c>
      <c r="BX27" s="11">
        <f t="shared" si="27"/>
        <v>46.5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 t="shared" si="28"/>
        <v/>
      </c>
      <c r="CU27" s="40" t="str">
        <f t="shared" si="29"/>
        <v/>
      </c>
      <c r="CV27" s="40" t="str">
        <f t="shared" si="30"/>
        <v/>
      </c>
      <c r="CW27" s="40" t="str">
        <f t="shared" si="31"/>
        <v/>
      </c>
      <c r="CX27" s="40" t="str">
        <f t="shared" si="32"/>
        <v/>
      </c>
      <c r="CY27" s="40" t="str">
        <f t="shared" si="33"/>
        <v/>
      </c>
      <c r="CZ27" s="40" t="str">
        <f t="shared" si="34"/>
        <v/>
      </c>
      <c r="DA27" s="40" t="str">
        <f t="shared" si="35"/>
        <v/>
      </c>
      <c r="DB27" s="51" t="str">
        <f t="shared" si="36"/>
        <v/>
      </c>
      <c r="DC27" s="51" t="str">
        <f t="shared" si="37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38"/>
        <v/>
      </c>
      <c r="DY27" s="40" t="str">
        <f t="shared" si="39"/>
        <v/>
      </c>
      <c r="DZ27" s="40" t="str">
        <f t="shared" si="40"/>
        <v/>
      </c>
      <c r="EA27" s="40" t="str">
        <f t="shared" si="41"/>
        <v/>
      </c>
      <c r="EB27" s="40" t="str">
        <f t="shared" si="42"/>
        <v/>
      </c>
      <c r="EC27" s="40" t="str">
        <f t="shared" si="43"/>
        <v/>
      </c>
      <c r="ED27" s="40" t="str">
        <f t="shared" si="44"/>
        <v/>
      </c>
      <c r="EE27" s="40" t="str">
        <f t="shared" si="45"/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9.4499999999999993</v>
      </c>
      <c r="TI27" s="26">
        <f t="shared" si="159"/>
        <v>2.8</v>
      </c>
      <c r="TJ27" s="26">
        <f t="shared" si="160"/>
        <v>0.8</v>
      </c>
      <c r="TK27" s="26">
        <f t="shared" si="161"/>
        <v>0</v>
      </c>
      <c r="TL27" s="26">
        <f t="shared" si="162"/>
        <v>9.5</v>
      </c>
      <c r="TM27" s="26">
        <f t="shared" si="163"/>
        <v>2.8</v>
      </c>
      <c r="TN27" s="26">
        <f t="shared" si="164"/>
        <v>0.5</v>
      </c>
      <c r="TO27" s="26">
        <f t="shared" si="165"/>
        <v>0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5.6</v>
      </c>
      <c r="UD27" s="11">
        <f t="shared" si="179"/>
        <v>23.25</v>
      </c>
      <c r="UE27" s="11" t="str">
        <f t="shared" si="180"/>
        <v/>
      </c>
      <c r="UF27" s="11">
        <f t="shared" si="181"/>
        <v>5.6</v>
      </c>
      <c r="UG27" s="11">
        <f t="shared" si="182"/>
        <v>23.25</v>
      </c>
      <c r="UH27" s="11" t="str">
        <f t="shared" si="183"/>
        <v/>
      </c>
      <c r="UI27" s="11" t="str">
        <f t="shared" si="184"/>
        <v/>
      </c>
      <c r="UJ27" s="11">
        <f t="shared" si="185"/>
        <v>23.25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136</v>
      </c>
      <c r="C28" s="4" t="s">
        <v>3</v>
      </c>
      <c r="D28" s="4">
        <v>2000</v>
      </c>
      <c r="E28" s="9">
        <f t="shared" si="0"/>
        <v>91.600009160005015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50.099999999999994</v>
      </c>
      <c r="K28" s="8" t="str">
        <f t="shared" si="5"/>
        <v>2024 3rd Domestic Trial</v>
      </c>
      <c r="L28" s="8">
        <f>IF(COUNT(AO28,BR28,CU28)&gt;1,LARGE((AO28,BR28,CU28),2),0)</f>
        <v>41.500000000000007</v>
      </c>
      <c r="M28" s="8" t="str">
        <f t="shared" si="6"/>
        <v>2025 Elite Canada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19.2</v>
      </c>
      <c r="T28" s="19">
        <v>6</v>
      </c>
      <c r="U28" s="19">
        <v>0</v>
      </c>
      <c r="V28" s="19">
        <v>0</v>
      </c>
      <c r="W28" s="19">
        <v>18.3</v>
      </c>
      <c r="X28" s="19">
        <v>6.8</v>
      </c>
      <c r="Y28" s="19">
        <v>0.2</v>
      </c>
      <c r="Z28" s="19">
        <v>0</v>
      </c>
      <c r="AA28" s="19">
        <v>18.8</v>
      </c>
      <c r="AB28" s="19">
        <v>5.6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12.8</v>
      </c>
      <c r="AO28" s="40">
        <f t="shared" si="13"/>
        <v>50.099999999999994</v>
      </c>
      <c r="AP28" s="40">
        <f t="shared" si="14"/>
        <v>23.799999999999997</v>
      </c>
      <c r="AQ28" s="40">
        <f t="shared" si="15"/>
        <v>18.399999999999999</v>
      </c>
      <c r="AR28" s="40">
        <f t="shared" si="16"/>
        <v>73.899999999999991</v>
      </c>
      <c r="AS28" s="40" t="str">
        <f t="shared" si="17"/>
        <v/>
      </c>
      <c r="AT28" s="40" t="str">
        <f t="shared" si="18"/>
        <v/>
      </c>
      <c r="AU28" s="40">
        <f t="shared" si="19"/>
        <v>73.899999999999991</v>
      </c>
      <c r="AV28" s="18">
        <v>17.8</v>
      </c>
      <c r="AW28" s="18">
        <v>4.4000000000000004</v>
      </c>
      <c r="AX28" s="18">
        <v>1</v>
      </c>
      <c r="AY28" s="18">
        <v>0</v>
      </c>
      <c r="AZ28" s="18">
        <v>17.600000000000001</v>
      </c>
      <c r="BA28" s="18">
        <v>3.7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8.1000000000000014</v>
      </c>
      <c r="BR28" s="11">
        <f t="shared" si="21"/>
        <v>41.500000000000007</v>
      </c>
      <c r="BS28" s="11" t="str">
        <f t="shared" si="22"/>
        <v/>
      </c>
      <c r="BT28" s="11">
        <f t="shared" si="23"/>
        <v>8.1000000000000014</v>
      </c>
      <c r="BU28" s="11">
        <f t="shared" si="24"/>
        <v>41.500000000000007</v>
      </c>
      <c r="BV28" s="11" t="str">
        <f t="shared" si="25"/>
        <v/>
      </c>
      <c r="BW28" s="11" t="str">
        <f t="shared" si="26"/>
        <v/>
      </c>
      <c r="BX28" s="11">
        <f t="shared" si="27"/>
        <v>41.500000000000007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8.9</v>
      </c>
      <c r="TI28" s="26">
        <f t="shared" si="159"/>
        <v>2.2000000000000002</v>
      </c>
      <c r="TJ28" s="26">
        <f t="shared" si="160"/>
        <v>0.5</v>
      </c>
      <c r="TK28" s="26">
        <f t="shared" si="161"/>
        <v>0</v>
      </c>
      <c r="TL28" s="26">
        <f t="shared" si="162"/>
        <v>8.8000000000000007</v>
      </c>
      <c r="TM28" s="26">
        <f t="shared" si="163"/>
        <v>1.85</v>
      </c>
      <c r="TN28" s="26">
        <f t="shared" si="164"/>
        <v>0.5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4.0500000000000007</v>
      </c>
      <c r="UD28" s="11">
        <f t="shared" si="179"/>
        <v>20.750000000000004</v>
      </c>
      <c r="UE28" s="11" t="str">
        <f t="shared" si="180"/>
        <v/>
      </c>
      <c r="UF28" s="11">
        <f t="shared" si="181"/>
        <v>4.0500000000000007</v>
      </c>
      <c r="UG28" s="11">
        <f t="shared" si="182"/>
        <v>20.750000000000004</v>
      </c>
      <c r="UH28" s="11" t="str">
        <f t="shared" si="183"/>
        <v/>
      </c>
      <c r="UI28" s="11" t="str">
        <f t="shared" si="184"/>
        <v/>
      </c>
      <c r="UJ28" s="11">
        <f t="shared" si="185"/>
        <v>20.750000000000004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116</v>
      </c>
      <c r="C29" s="4" t="s">
        <v>6</v>
      </c>
      <c r="D29" s="4">
        <v>2003</v>
      </c>
      <c r="E29" s="9">
        <f t="shared" si="0"/>
        <v>87.100008710004673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46.7</v>
      </c>
      <c r="K29" s="8" t="str">
        <f t="shared" si="5"/>
        <v>2025 Elite Canada</v>
      </c>
      <c r="L29" s="8">
        <f>IF(COUNT(AO29,BR29,CU29)&gt;1,LARGE((AO29,BR29,CU29),2),0)</f>
        <v>40.4</v>
      </c>
      <c r="M29" s="8" t="str">
        <f t="shared" si="6"/>
        <v>2024 3rd Domestic Trial</v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17.600000000000001</v>
      </c>
      <c r="T29" s="19">
        <v>2.4</v>
      </c>
      <c r="U29" s="19">
        <v>0</v>
      </c>
      <c r="V29" s="19">
        <v>0</v>
      </c>
      <c r="W29" s="19">
        <v>17.600000000000001</v>
      </c>
      <c r="X29" s="19">
        <v>2.8</v>
      </c>
      <c r="Y29" s="19">
        <v>0</v>
      </c>
      <c r="Z29" s="19">
        <v>0</v>
      </c>
      <c r="AA29" s="19">
        <v>18.5</v>
      </c>
      <c r="AB29" s="19">
        <v>5.2</v>
      </c>
      <c r="AC29" s="19">
        <v>1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5.1999999999999993</v>
      </c>
      <c r="AO29" s="40">
        <f t="shared" si="13"/>
        <v>40.4</v>
      </c>
      <c r="AP29" s="40">
        <f t="shared" si="14"/>
        <v>22.7</v>
      </c>
      <c r="AQ29" s="40">
        <f t="shared" si="15"/>
        <v>10.399999999999999</v>
      </c>
      <c r="AR29" s="40">
        <f t="shared" si="16"/>
        <v>63.099999999999994</v>
      </c>
      <c r="AS29" s="40" t="str">
        <f t="shared" si="17"/>
        <v/>
      </c>
      <c r="AT29" s="40" t="str">
        <f t="shared" si="18"/>
        <v/>
      </c>
      <c r="AU29" s="40">
        <f t="shared" si="19"/>
        <v>63.099999999999994</v>
      </c>
      <c r="AV29" s="18">
        <v>18.399999999999999</v>
      </c>
      <c r="AW29" s="18">
        <v>7.3</v>
      </c>
      <c r="AX29" s="18">
        <v>1</v>
      </c>
      <c r="AY29" s="18">
        <v>0</v>
      </c>
      <c r="AZ29" s="18">
        <v>18.600000000000001</v>
      </c>
      <c r="BA29" s="18">
        <v>5.2</v>
      </c>
      <c r="BB29" s="18">
        <v>1.8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 t="shared" si="20"/>
        <v>12.5</v>
      </c>
      <c r="BR29" s="11">
        <f t="shared" si="21"/>
        <v>46.7</v>
      </c>
      <c r="BS29" s="11" t="str">
        <f t="shared" si="22"/>
        <v/>
      </c>
      <c r="BT29" s="11">
        <f t="shared" si="23"/>
        <v>12.5</v>
      </c>
      <c r="BU29" s="11">
        <f t="shared" si="24"/>
        <v>46.7</v>
      </c>
      <c r="BV29" s="11" t="str">
        <f t="shared" si="25"/>
        <v/>
      </c>
      <c r="BW29" s="11" t="str">
        <f t="shared" si="26"/>
        <v/>
      </c>
      <c r="BX29" s="11">
        <f t="shared" si="27"/>
        <v>46.7</v>
      </c>
      <c r="BY29" s="19">
        <v>15.5</v>
      </c>
      <c r="BZ29" s="19">
        <v>2.4</v>
      </c>
      <c r="CA29" s="19">
        <v>0</v>
      </c>
      <c r="CB29" s="19">
        <v>0</v>
      </c>
      <c r="CC29" s="19">
        <v>0</v>
      </c>
      <c r="CD29" s="19">
        <v>0</v>
      </c>
      <c r="CE29" s="19">
        <v>0</v>
      </c>
      <c r="CF29" s="19">
        <v>0</v>
      </c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>
        <f t="shared" si="28"/>
        <v>2.4</v>
      </c>
      <c r="CU29" s="40">
        <f t="shared" si="29"/>
        <v>17.899999999999999</v>
      </c>
      <c r="CV29" s="40" t="str">
        <f t="shared" si="30"/>
        <v/>
      </c>
      <c r="CW29" s="40">
        <f t="shared" si="31"/>
        <v>2.4</v>
      </c>
      <c r="CX29" s="40">
        <f t="shared" si="32"/>
        <v>17.899999999999999</v>
      </c>
      <c r="CY29" s="40" t="str">
        <f t="shared" si="33"/>
        <v/>
      </c>
      <c r="CZ29" s="40" t="str">
        <f t="shared" si="34"/>
        <v/>
      </c>
      <c r="DA29" s="40">
        <f t="shared" si="35"/>
        <v>17.899999999999999</v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16.95</v>
      </c>
      <c r="TI29" s="26">
        <f t="shared" si="159"/>
        <v>4.8499999999999996</v>
      </c>
      <c r="TJ29" s="26">
        <f t="shared" si="160"/>
        <v>0.5</v>
      </c>
      <c r="TK29" s="26">
        <f t="shared" si="161"/>
        <v>0</v>
      </c>
      <c r="TL29" s="26">
        <f t="shared" si="162"/>
        <v>9.3000000000000007</v>
      </c>
      <c r="TM29" s="26">
        <f t="shared" si="163"/>
        <v>2.6</v>
      </c>
      <c r="TN29" s="26">
        <f t="shared" si="164"/>
        <v>0.9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>
        <f t="shared" si="178"/>
        <v>7.4499999999999993</v>
      </c>
      <c r="UD29" s="11">
        <f t="shared" si="179"/>
        <v>32.299999999999997</v>
      </c>
      <c r="UE29" s="11" t="str">
        <f t="shared" si="180"/>
        <v/>
      </c>
      <c r="UF29" s="11">
        <f t="shared" si="181"/>
        <v>7.4499999999999993</v>
      </c>
      <c r="UG29" s="11">
        <f t="shared" si="182"/>
        <v>32.299999999999997</v>
      </c>
      <c r="UH29" s="11" t="str">
        <f t="shared" si="183"/>
        <v/>
      </c>
      <c r="UI29" s="11" t="str">
        <f t="shared" si="184"/>
        <v/>
      </c>
      <c r="UJ29" s="11">
        <f t="shared" si="185"/>
        <v>32.299999999999997</v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207</v>
      </c>
      <c r="C30" s="4" t="s">
        <v>5</v>
      </c>
      <c r="D30" s="4">
        <v>2008</v>
      </c>
      <c r="E30" s="9">
        <f t="shared" si="0"/>
        <v>83.200008320004429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44.300000000000004</v>
      </c>
      <c r="K30" s="8" t="str">
        <f t="shared" si="5"/>
        <v>2025 Elite Canada</v>
      </c>
      <c r="L30" s="8">
        <f>IF(COUNT(AO30,BR30,CU30)&gt;1,LARGE((AO30,BR30,CU30),2),0)</f>
        <v>38.899999999999991</v>
      </c>
      <c r="M30" s="8" t="str">
        <f t="shared" si="6"/>
        <v>2025 Nationals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 t="shared" si="12"/>
        <v/>
      </c>
      <c r="AO30" s="40" t="str">
        <f t="shared" si="13"/>
        <v/>
      </c>
      <c r="AP30" s="40" t="str">
        <f t="shared" si="14"/>
        <v/>
      </c>
      <c r="AQ30" s="40" t="str">
        <f t="shared" si="15"/>
        <v/>
      </c>
      <c r="AR30" s="40" t="str">
        <f t="shared" si="16"/>
        <v/>
      </c>
      <c r="AS30" s="40" t="str">
        <f t="shared" si="17"/>
        <v/>
      </c>
      <c r="AT30" s="40" t="str">
        <f t="shared" si="18"/>
        <v/>
      </c>
      <c r="AU30" s="40" t="str">
        <f t="shared" si="19"/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20"/>
        <v>10.5</v>
      </c>
      <c r="BR30" s="11">
        <f t="shared" si="21"/>
        <v>44.300000000000004</v>
      </c>
      <c r="BS30" s="11" t="str">
        <f t="shared" si="22"/>
        <v/>
      </c>
      <c r="BT30" s="11">
        <f t="shared" si="23"/>
        <v>10.5</v>
      </c>
      <c r="BU30" s="11">
        <f t="shared" si="24"/>
        <v>44.300000000000004</v>
      </c>
      <c r="BV30" s="11" t="str">
        <f t="shared" si="25"/>
        <v/>
      </c>
      <c r="BW30" s="11" t="str">
        <f t="shared" si="26"/>
        <v/>
      </c>
      <c r="BX30" s="11">
        <f t="shared" si="27"/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8"/>
        <v>8</v>
      </c>
      <c r="CU30" s="40">
        <f t="shared" si="29"/>
        <v>38.899999999999991</v>
      </c>
      <c r="CV30" s="40" t="str">
        <f t="shared" si="30"/>
        <v/>
      </c>
      <c r="CW30" s="40">
        <f t="shared" si="31"/>
        <v>8</v>
      </c>
      <c r="CX30" s="40">
        <f t="shared" si="32"/>
        <v>38.899999999999991</v>
      </c>
      <c r="CY30" s="40" t="str">
        <f t="shared" si="33"/>
        <v/>
      </c>
      <c r="CZ30" s="40" t="str">
        <f t="shared" si="34"/>
        <v/>
      </c>
      <c r="DA30" s="40">
        <f t="shared" si="35"/>
        <v>38.899999999999991</v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16.899999999999999</v>
      </c>
      <c r="TI30" s="26">
        <f t="shared" si="159"/>
        <v>5.25</v>
      </c>
      <c r="TJ30" s="26">
        <f t="shared" si="160"/>
        <v>0</v>
      </c>
      <c r="TK30" s="26">
        <f t="shared" si="161"/>
        <v>0</v>
      </c>
      <c r="TL30" s="26">
        <f t="shared" si="162"/>
        <v>15.3</v>
      </c>
      <c r="TM30" s="26">
        <f t="shared" si="163"/>
        <v>4</v>
      </c>
      <c r="TN30" s="26">
        <f t="shared" si="164"/>
        <v>0</v>
      </c>
      <c r="TO30" s="26">
        <f t="shared" si="165"/>
        <v>0.15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>
        <f t="shared" si="178"/>
        <v>9.25</v>
      </c>
      <c r="UD30" s="11">
        <f t="shared" si="179"/>
        <v>41.6</v>
      </c>
      <c r="UE30" s="11" t="str">
        <f t="shared" si="180"/>
        <v/>
      </c>
      <c r="UF30" s="11">
        <f t="shared" si="181"/>
        <v>9.25</v>
      </c>
      <c r="UG30" s="11">
        <f t="shared" si="182"/>
        <v>41.6</v>
      </c>
      <c r="UH30" s="11" t="str">
        <f t="shared" si="183"/>
        <v/>
      </c>
      <c r="UI30" s="11" t="str">
        <f t="shared" si="184"/>
        <v/>
      </c>
      <c r="UJ30" s="11">
        <f t="shared" si="185"/>
        <v>41.6</v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181</v>
      </c>
      <c r="C31" s="4" t="s">
        <v>6</v>
      </c>
      <c r="D31" s="4">
        <v>2004</v>
      </c>
      <c r="E31" s="9">
        <f t="shared" si="0"/>
        <v>81.450008145004617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46.3</v>
      </c>
      <c r="K31" s="8" t="str">
        <f t="shared" si="5"/>
        <v>2024 3rd Domestic Trial</v>
      </c>
      <c r="L31" s="8">
        <f>IF(COUNT(AO31,BR31,CU31)&gt;1,LARGE((AO31,BR31,CU31),2),0)</f>
        <v>35.15</v>
      </c>
      <c r="M31" s="8" t="str">
        <f t="shared" si="6"/>
        <v>2025 Elite Canada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2"/>
        <v>12.4</v>
      </c>
      <c r="AO31" s="40">
        <f t="shared" si="13"/>
        <v>46.3</v>
      </c>
      <c r="AP31" s="40">
        <f t="shared" si="14"/>
        <v>24</v>
      </c>
      <c r="AQ31" s="40">
        <f t="shared" si="15"/>
        <v>18</v>
      </c>
      <c r="AR31" s="40">
        <f t="shared" si="16"/>
        <v>70.3</v>
      </c>
      <c r="AS31" s="40" t="str">
        <f t="shared" si="17"/>
        <v/>
      </c>
      <c r="AT31" s="40" t="str">
        <f t="shared" si="18"/>
        <v/>
      </c>
      <c r="AU31" s="40">
        <f t="shared" si="19"/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 t="shared" si="20"/>
        <v>9.6</v>
      </c>
      <c r="BR31" s="11">
        <f t="shared" si="21"/>
        <v>35.15</v>
      </c>
      <c r="BS31" s="11" t="str">
        <f t="shared" si="22"/>
        <v/>
      </c>
      <c r="BT31" s="11">
        <f t="shared" si="23"/>
        <v>9.6</v>
      </c>
      <c r="BU31" s="11">
        <f t="shared" si="24"/>
        <v>35.15</v>
      </c>
      <c r="BV31" s="11" t="str">
        <f t="shared" si="25"/>
        <v/>
      </c>
      <c r="BW31" s="11" t="str">
        <f t="shared" si="26"/>
        <v/>
      </c>
      <c r="BX31" s="11">
        <f t="shared" si="27"/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4.1749999999999998</v>
      </c>
      <c r="TI31" s="26">
        <f t="shared" si="159"/>
        <v>1.5</v>
      </c>
      <c r="TJ31" s="26">
        <f t="shared" si="160"/>
        <v>0.25</v>
      </c>
      <c r="TK31" s="26">
        <f t="shared" si="161"/>
        <v>0</v>
      </c>
      <c r="TL31" s="26">
        <f t="shared" si="162"/>
        <v>9.1999999999999993</v>
      </c>
      <c r="TM31" s="26">
        <f t="shared" si="163"/>
        <v>3.3</v>
      </c>
      <c r="TN31" s="26">
        <f t="shared" si="164"/>
        <v>0.35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>
        <f t="shared" si="178"/>
        <v>4.8</v>
      </c>
      <c r="UD31" s="11">
        <f t="shared" si="179"/>
        <v>17.574999999999999</v>
      </c>
      <c r="UE31" s="11" t="str">
        <f t="shared" si="180"/>
        <v/>
      </c>
      <c r="UF31" s="11">
        <f t="shared" si="181"/>
        <v>4.8</v>
      </c>
      <c r="UG31" s="11">
        <f t="shared" si="182"/>
        <v>17.574999999999999</v>
      </c>
      <c r="UH31" s="11" t="str">
        <f t="shared" si="183"/>
        <v/>
      </c>
      <c r="UI31" s="11" t="str">
        <f t="shared" si="184"/>
        <v/>
      </c>
      <c r="UJ31" s="11">
        <f t="shared" si="185"/>
        <v>17.574999999999999</v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14.4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21.6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23.2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25.6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51.2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77.2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79.8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82.2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1">
      <sortCondition descending="1" ref="F1:F32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168484" operator="between">
      <formula>AU$37</formula>
      <formula>1000</formula>
    </cfRule>
    <cfRule type="cellIs" dxfId="40" priority="168485" operator="between">
      <formula>AU$36</formula>
      <formula>AU$37</formula>
    </cfRule>
    <cfRule type="cellIs" dxfId="39" priority="2" stopIfTrue="1" operator="between">
      <formula>AU$35</formula>
      <formula>AU$36</formula>
    </cfRule>
  </conditionalFormatting>
  <conditionalFormatting sqref="AS1:AS1048576 BV1:BV1048576 CY1:CY1048576">
    <cfRule type="cellIs" dxfId="38" priority="168076" stopIfTrue="1" operator="between">
      <formula>AU$37</formula>
      <formula>1000</formula>
    </cfRule>
    <cfRule type="cellIs" dxfId="37" priority="168077" stopIfTrue="1" operator="between">
      <formula>AU$36</formula>
      <formula>AU$37</formula>
    </cfRule>
    <cfRule type="cellIs" dxfId="36" priority="1" stopIfTrue="1" operator="between">
      <formula>AU$35</formula>
      <formula>AU$36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200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248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 t="shared" ref="E4:E26" si="0">SUM(J4:P4)+SUM(J4:M4)*0.0000001+SUM(J4)*0.0000000000001</f>
        <v>156.10001025000517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 t="shared" ref="I4:I26" si="4"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 t="shared" ref="M4:M26" si="6">IF(K4=0,"",IF(AND(L4=J4,L4=AO4,K4=BR4),$S$1,IF(AND(L4=J4,L4=AO4,L4=CU4),$S$1,IF(AND(L4=J4,L4=CU4,L4=BR4),$AV$1,IF(L4=CU4,$BY$1,IF(L4=BR4,$AV$1,IF(L4=AO4,$S$1,"")))))))</f>
        <v>2025 Nationals</v>
      </c>
      <c r="N4" s="8">
        <f t="shared" ref="N4:N26" si="7">IF(MAX(AT4,BW4,CZ4)&gt;0,MAX(AT4,BW4,CZ4),0)</f>
        <v>52.7</v>
      </c>
      <c r="O4" s="8" t="str">
        <f t="shared" ref="O4:O26" si="8">IF(N4=0,"",IF(N4=CZ4,$BY$1,IF(N4=BW4,$AV$1,IF(N4=AT4,$S$1,""))))</f>
        <v>2025 Nationals</v>
      </c>
      <c r="P4" s="8">
        <f t="shared" ref="P4:P26" si="9">IF(MAX(DB4:DC4)&gt;0,MAX(DB4:DC4),"")</f>
        <v>0.89999999999999858</v>
      </c>
      <c r="Q4" s="11" t="str">
        <f t="shared" ref="Q4:Q26" si="10">IF(P4="","",IF(P4=DB4,"("&amp;DB$2&amp;")",IF(P4=DC4,"("&amp;DC$2&amp;")")))</f>
        <v>(Q1)</v>
      </c>
      <c r="R4" s="8" t="str">
        <f t="shared" ref="R4:R26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 t="shared" ref="AN4:AN26" si="12">IF(SUM(T4,X4)&gt;0,SUM(T4,X4),"")</f>
        <v>12.8</v>
      </c>
      <c r="AO4" s="40">
        <f t="shared" ref="AO4:AO26" si="13">IF(SUM(S4:T4,V4:X4,Z4)-U4-Y4&gt;0,SUM(S4:T4,V4:X4,Z4)-U4-Y4,"")</f>
        <v>49.5</v>
      </c>
      <c r="AP4" s="40">
        <f t="shared" ref="AP4:AP26" si="14">IF(SUM(AA4:AB4,AD4)-AC4&gt;0,SUM(AA4:AB4,AD4)-AC4,"")</f>
        <v>25.450000000000003</v>
      </c>
      <c r="AQ4" s="40">
        <f t="shared" ref="AQ4:AQ26" si="15">IF(SUM(T4,X4,AB4)&gt;0,SUM(T4,X4,AB4),"")</f>
        <v>19.600000000000001</v>
      </c>
      <c r="AR4" s="40">
        <f t="shared" ref="AR4:AR26" si="16">IF(SUM(AO4,AP4)&gt;0,SUM(AO4,AP4),"")</f>
        <v>74.95</v>
      </c>
      <c r="AS4" s="40">
        <f t="shared" ref="AS4:AS26" si="17">IF(SUM(AF4,AJ4)&gt;0,SUM(AF4,AJ4),"")</f>
        <v>13.600000000000001</v>
      </c>
      <c r="AT4" s="40">
        <f t="shared" ref="AT4:AT26" si="18">IF(SUM(AE4:AF4,AH4:AJ4,AL4)-SUM(AG4,AK4)&gt;0,SUM(AE4:AF4,AH4:AJ4,AL4)-SUM(AG4,AK4),"")</f>
        <v>51.399999999999991</v>
      </c>
      <c r="AU4" s="40">
        <f t="shared" ref="AU4:AU26" si="19"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 t="shared" ref="BQ4:BQ26" si="20">IF(SUM(AW4,BA4)&gt;0,SUM(AW4,BA4),"")</f>
        <v>14</v>
      </c>
      <c r="BR4" s="11">
        <f t="shared" ref="BR4:BR26" si="21">IF(SUM(AV4:AW4,AY4:BA4,BC4)-AX4-BB4&gt;0,SUM(AV4:AW4,AY4:BA4,BC4)-AX4-BB4,"")</f>
        <v>51.800000000000004</v>
      </c>
      <c r="BS4" s="11" t="str">
        <f t="shared" ref="BS4:BS26" si="22">IF(SUM(BD4:BE4,BG4)-BF4&gt;0,SUM(BD4:BE4,BG4)-BF4,"")</f>
        <v/>
      </c>
      <c r="BT4" s="11">
        <f t="shared" ref="BT4:BT26" si="23">IF(SUM(AW4,BA4,BE4)&gt;0,SUM(AW4,BA4,BE4),"")</f>
        <v>14</v>
      </c>
      <c r="BU4" s="11">
        <f t="shared" ref="BU4:BU26" si="24">IF(SUM(BR4,BS4)&gt;0,SUM(BR4,BS4),"")</f>
        <v>51.800000000000004</v>
      </c>
      <c r="BV4" s="11">
        <f t="shared" ref="BV4:BV26" si="25">IF(SUM(BI4,BM4)&gt;0,SUM(BI4,BM4),"")</f>
        <v>13.2</v>
      </c>
      <c r="BW4" s="11">
        <f t="shared" ref="BW4:BW26" si="26">IF(SUM(BH4:BI4,BK4:BM4,BO4)-SUM(BJ4,BN4)&gt;0,SUM(BH4:BI4,BK4:BM4,BO4)-SUM(BJ4,BN4),"")</f>
        <v>48.999999999999993</v>
      </c>
      <c r="BX4" s="11">
        <f t="shared" ref="BX4:BX26" si="27"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 t="shared" ref="CT4:CT26" si="28">IF(SUM(BZ4,CD4)&gt;0,SUM(BZ4,CD4),"")</f>
        <v>14</v>
      </c>
      <c r="CU4" s="40">
        <f t="shared" ref="CU4:CU26" si="29">IF(SUM(BY4:BZ4,CB4:CD4,CF4)-CA4-CE4&gt;0,SUM(BY4:BZ4,CB4:CD4,CF4)-CA4-CE4,"")</f>
        <v>50.699999999999996</v>
      </c>
      <c r="CV4" s="40" t="str">
        <f t="shared" ref="CV4:CV26" si="30">IF(SUM(CG4:CH4,CJ4)-CI4&gt;0,SUM(CG4:CH4,CJ4)-CI4,"")</f>
        <v/>
      </c>
      <c r="CW4" s="40">
        <f t="shared" ref="CW4:CW26" si="31">IF(SUM(BZ4,CD4,CH4)&gt;0,SUM(BZ4,CD4,CH4),"")</f>
        <v>14</v>
      </c>
      <c r="CX4" s="40">
        <f t="shared" ref="CX4:CX26" si="32">IF(SUM(CU4,CV4)&gt;0,SUM(CU4,CV4),"")</f>
        <v>50.699999999999996</v>
      </c>
      <c r="CY4" s="40">
        <f t="shared" ref="CY4:CY26" si="33">IF(SUM(CL4,CP4)&gt;0,SUM(CL4,CP4),"")</f>
        <v>15.2</v>
      </c>
      <c r="CZ4" s="40">
        <f t="shared" ref="CZ4:CZ26" si="34">IF(SUM(CK4:CL4,CN4:CP4,CR4)-SUM(CM4,CQ4)&gt;0,SUM(CK4:CL4,CN4:CP4,CR4)-SUM(CM4,CQ4),"")</f>
        <v>52.7</v>
      </c>
      <c r="DA4" s="40">
        <f t="shared" ref="DA4:DA26" si="35">IF(SUM(CU4,CV4,CZ4)&gt;0,SUM(CU4,CV4,CZ4),"")</f>
        <v>103.4</v>
      </c>
      <c r="DB4" s="51">
        <f t="shared" ref="DB4:DB26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7"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 t="shared" ref="DX4:DX26" si="38">IF(SUM(DE4,DI4)&gt;0,SUM(DE4,DI4),"")</f>
        <v>14</v>
      </c>
      <c r="DY4" s="40">
        <f t="shared" ref="DY4:DY26" si="39">IF(SUM(DD4:DE4,DG4:DI4,DK4)-DF4-DJ4&gt;0,SUM(DD4:DE4,DG4:DI4,DK4)-DF4-DJ4,"")</f>
        <v>51.599999999999994</v>
      </c>
      <c r="DZ4" s="40" t="str">
        <f t="shared" ref="DZ4:DZ26" si="40">IF(SUM(DL4:DM4,DO4)-DN4&gt;0,SUM(DL4:DM4,DO4)-DN4,"")</f>
        <v/>
      </c>
      <c r="EA4" s="40">
        <f t="shared" ref="EA4:EA26" si="41">IF(SUM(DE4,DI4,DM4)&gt;0,SUM(DE4,DI4,DM4),"")</f>
        <v>14</v>
      </c>
      <c r="EB4" s="40">
        <f t="shared" ref="EB4:EB26" si="42">IF(SUM(DY4,DZ4)&gt;0,SUM(DY4,DZ4),"")</f>
        <v>51.599999999999994</v>
      </c>
      <c r="EC4" s="40">
        <f t="shared" ref="EC4:EC26" si="43">IF(SUM(DQ4,DU4)&gt;0,SUM(DQ4,DU4),"")</f>
        <v>7.2</v>
      </c>
      <c r="ED4" s="40">
        <f t="shared" ref="ED4:ED26" si="44">IF(SUM(DP4:DQ4,DS4:DU4,DW4)-SUM(DR4,DV4)&gt;0,SUM(DP4:DQ4,DS4:DU4,DW4)-SUM(DR4,DV4),"")</f>
        <v>25.4</v>
      </c>
      <c r="EE4" s="40">
        <f t="shared" ref="EE4:EE26" si="45"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26" si="46">IF(SUM(EG4,EK4)&gt;0,SUM(EG4,EK4),"")</f>
        <v/>
      </c>
      <c r="FA4" s="11" t="str">
        <f t="shared" ref="FA4:FA26" si="47">IF(SUM(EF4:EG4,EI4:EK4,EM4)-EH4-EL4&gt;0,SUM(EF4:EG4,EI4:EK4,EM4)-EH4-EL4,"")</f>
        <v/>
      </c>
      <c r="FB4" s="11" t="str">
        <f t="shared" ref="FB4:FB26" si="48">IF(SUM(EN4:EO4,EQ4)-EP4&gt;0,SUM(EN4:EO4,EQ4)-EP4,"")</f>
        <v/>
      </c>
      <c r="FC4" s="11" t="str">
        <f t="shared" ref="FC4:FC26" si="49">IF(SUM(EG4,EK4,EO4)&gt;0,SUM(EG4,EK4,EO4),"")</f>
        <v/>
      </c>
      <c r="FD4" s="11" t="str">
        <f t="shared" ref="FD4:FD26" si="50">IF(SUM(FA4,FB4)&gt;0,SUM(FA4,FB4),"")</f>
        <v/>
      </c>
      <c r="FE4" s="11" t="str">
        <f t="shared" ref="FE4:FE26" si="51">IF(SUM(ES4,EW4)&gt;0,SUM(ES4,EW4),"")</f>
        <v/>
      </c>
      <c r="FF4" s="11" t="str">
        <f t="shared" ref="FF4:FF26" si="52">IF(SUM(ER4:ES4,EU4:EW4,EY4)-SUM(ET4,EX4)&gt;0,SUM(ER4:ES4,EU4:EW4,EY4)-SUM(ET4,EX4),"")</f>
        <v/>
      </c>
      <c r="FG4" s="11" t="str">
        <f t="shared" ref="FG4:FG26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26" si="54">IF(SUM(FI4,FM4)&gt;0,SUM(FI4,FM4),"")</f>
        <v/>
      </c>
      <c r="GC4" s="40" t="str">
        <f t="shared" ref="GC4:GC26" si="55">IF(SUM(FH4:FI4,FK4:FM4,FO4)-FJ4-FN4&gt;0,SUM(FH4:FI4,FK4:FM4,FO4)-FJ4-FN4,"")</f>
        <v/>
      </c>
      <c r="GD4" s="40" t="str">
        <f t="shared" ref="GD4:GD26" si="56">IF(SUM(FP4:FQ4,FS4)-FR4&gt;0,SUM(FP4:FQ4,FS4)-FR4,"")</f>
        <v/>
      </c>
      <c r="GE4" s="40" t="str">
        <f t="shared" ref="GE4:GE26" si="57">IF(SUM(FI4,FM4,FQ4)&gt;0,SUM(FI4,FM4,FQ4),"")</f>
        <v/>
      </c>
      <c r="GF4" s="40" t="str">
        <f t="shared" ref="GF4:GF26" si="58">IF(SUM(GC4,GD4)&gt;0,SUM(GC4,GD4),"")</f>
        <v/>
      </c>
      <c r="GG4" s="40" t="str">
        <f t="shared" ref="GG4:GG26" si="59">IF(SUM(FU4,FY4)&gt;0,SUM(FU4,FY4),"")</f>
        <v/>
      </c>
      <c r="GH4" s="40" t="str">
        <f t="shared" ref="GH4:GH26" si="60">IF(SUM(FT4:FU4,FW4:FY4,GA4)-SUM(FV4,FZ4)&gt;0,SUM(FT4:FU4,FW4:FY4,GA4)-SUM(FV4,FZ4),"")</f>
        <v/>
      </c>
      <c r="GI4" s="40" t="str">
        <f t="shared" ref="GI4:GI26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2">IF(SUM(GK4,GO4)&gt;0,SUM(GK4,GO4),"")</f>
        <v/>
      </c>
      <c r="HE4" s="11" t="str">
        <f t="shared" ref="HE4:HE26" si="63">IF(SUM(GJ4:GK4,GM4:GO4,GQ4)-GL4-GP4&gt;0,SUM(GJ4:GK4,GM4:GO4,GQ4)-GL4-GP4,"")</f>
        <v/>
      </c>
      <c r="HF4" s="11" t="str">
        <f t="shared" ref="HF4:HF26" si="64">IF(SUM(GR4:GS4,GU4)-GT4&gt;0,SUM(GR4:GS4,GU4)-GT4,"")</f>
        <v/>
      </c>
      <c r="HG4" s="11" t="str">
        <f t="shared" ref="HG4:HG26" si="65">IF(SUM(GK4,GO4,GS4)&gt;0,SUM(GK4,GO4,GS4),"")</f>
        <v/>
      </c>
      <c r="HH4" s="11" t="str">
        <f t="shared" ref="HH4:HH26" si="66">IF(SUM(HE4,HF4)&gt;0,SUM(HE4,HF4),"")</f>
        <v/>
      </c>
      <c r="HI4" s="11" t="str">
        <f t="shared" ref="HI4:HI26" si="67">IF(SUM(GW4,HA4)&gt;0,SUM(GW4,HA4),"")</f>
        <v/>
      </c>
      <c r="HJ4" s="11" t="str">
        <f t="shared" ref="HJ4:HJ26" si="68">IF(SUM(GV4:GW4,GY4:HA4,HC4)-SUM(GX4,HB4)&gt;0,SUM(GV4:GW4,GY4:HA4,HC4)-SUM(GX4,HB4),"")</f>
        <v/>
      </c>
      <c r="HK4" s="11" t="str">
        <f t="shared" ref="HK4:HK26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70">IF(SUM(HM4,HQ4)&gt;0,SUM(HM4,HQ4),"")</f>
        <v/>
      </c>
      <c r="IG4" s="40" t="str">
        <f t="shared" ref="IG4:IG26" si="71">IF(SUM(HL4:HM4,HO4:HQ4,HS4)-HN4-HR4&gt;0,SUM(HL4:HM4,HO4:HQ4,HS4)-HN4-HR4,"")</f>
        <v/>
      </c>
      <c r="IH4" s="40" t="str">
        <f t="shared" ref="IH4:IH26" si="72">IF(SUM(HT4:HU4,HW4)-HV4&gt;0,SUM(HT4:HU4,HW4)-HV4,"")</f>
        <v/>
      </c>
      <c r="II4" s="40" t="str">
        <f t="shared" ref="II4:II26" si="73">IF(SUM(HM4,HQ4,HU4)&gt;0,SUM(HM4,HQ4,HU4),"")</f>
        <v/>
      </c>
      <c r="IJ4" s="40" t="str">
        <f t="shared" ref="IJ4:IJ26" si="74">IF(SUM(IG4,IH4)&gt;0,SUM(IG4,IH4),"")</f>
        <v/>
      </c>
      <c r="IK4" s="40" t="str">
        <f t="shared" ref="IK4:IK26" si="75">IF(SUM(HY4,IC4)&gt;0,SUM(HY4,IC4),"")</f>
        <v/>
      </c>
      <c r="IL4" s="40" t="str">
        <f t="shared" ref="IL4:IL26" si="76">IF(SUM(HX4:HY4,IA4:IC4,IE4)-SUM(HZ4,ID4)&gt;0,SUM(HX4:HY4,IA4:IC4,IE4)-SUM(HZ4,ID4),"")</f>
        <v/>
      </c>
      <c r="IM4" s="40" t="str">
        <f t="shared" ref="IM4:IM26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8">IF(SUM(IO4,IS4)&gt;0,SUM(IO4,IS4),"")</f>
        <v/>
      </c>
      <c r="JI4" s="11" t="str">
        <f t="shared" ref="JI4:JI26" si="79">IF(SUM(IN4:IO4,IQ4:IS4,IU4)-IP4-IT4&gt;0,SUM(IN4:IO4,IQ4:IS4,IU4)-IP4-IT4,"")</f>
        <v/>
      </c>
      <c r="JJ4" s="11" t="str">
        <f t="shared" ref="JJ4:JJ26" si="80">IF(SUM(IV4:IW4,IY4)-IX4&gt;0,SUM(IV4:IW4,IY4)-IX4,"")</f>
        <v/>
      </c>
      <c r="JK4" s="11" t="str">
        <f t="shared" ref="JK4:JK26" si="81">IF(SUM(IO4,IS4,IW4)&gt;0,SUM(IO4,IS4,IW4),"")</f>
        <v/>
      </c>
      <c r="JL4" s="11" t="str">
        <f t="shared" ref="JL4:JL26" si="82">IF(SUM(JI4,JJ4)&gt;0,SUM(JI4,JJ4),"")</f>
        <v/>
      </c>
      <c r="JM4" s="11" t="str">
        <f t="shared" ref="JM4:JM26" si="83">IF(SUM(JA4,JE4)&gt;0,SUM(JA4,JE4),"")</f>
        <v/>
      </c>
      <c r="JN4" s="11" t="str">
        <f t="shared" ref="JN4:JN26" si="84">IF(SUM(IZ4:JA4,JC4:JE4,JG4)-SUM(JB4,JF4)&gt;0,SUM(IZ4:JA4,JC4:JE4,JG4)-SUM(JB4,JF4),"")</f>
        <v/>
      </c>
      <c r="JO4" s="11" t="str">
        <f t="shared" ref="JO4:JO26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6">IF(SUM(JQ4,JU4)&gt;0,SUM(JQ4,JU4),"")</f>
        <v/>
      </c>
      <c r="KK4" s="40" t="str">
        <f t="shared" ref="KK4:KK26" si="87">IF(SUM(JP4:JQ4,JS4:JU4,JW4)-JR4-JV4&gt;0,SUM(JP4:JQ4,JS4:JU4,JW4)-JR4-JV4,"")</f>
        <v/>
      </c>
      <c r="KL4" s="40" t="str">
        <f t="shared" ref="KL4:KL26" si="88">IF(SUM(JX4:JY4,KA4)-JZ4&gt;0,SUM(JX4:JY4,KA4)-JZ4,"")</f>
        <v/>
      </c>
      <c r="KM4" s="40" t="str">
        <f t="shared" ref="KM4:KM26" si="89">IF(SUM(JQ4,JU4,JY4)&gt;0,SUM(JQ4,JU4,JY4),"")</f>
        <v/>
      </c>
      <c r="KN4" s="40" t="str">
        <f t="shared" ref="KN4:KN26" si="90">IF(SUM(KK4,KL4)&gt;0,SUM(KK4,KL4),"")</f>
        <v/>
      </c>
      <c r="KO4" s="40" t="str">
        <f t="shared" ref="KO4:KO26" si="91">IF(SUM(KC4,KG4)&gt;0,SUM(KC4,KG4),"")</f>
        <v/>
      </c>
      <c r="KP4" s="40" t="str">
        <f t="shared" ref="KP4:KP26" si="92">IF(SUM(KB4:KC4,KE4:KG4,KI4)-SUM(KD4,KH4)&gt;0,SUM(KB4:KC4,KE4:KG4,KI4)-SUM(KD4,KH4),"")</f>
        <v/>
      </c>
      <c r="KQ4" s="40" t="str">
        <f t="shared" ref="KQ4:KQ26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4">IF(SUM(KS4,KW4)&gt;0,SUM(KS4,KW4),"")</f>
        <v/>
      </c>
      <c r="LM4" s="11" t="str">
        <f t="shared" ref="LM4:LM26" si="95">IF(SUM(KR4:KS4,KU4:KW4,KY4)-KT4-KX4&gt;0,SUM(KR4:KS4,KU4:KW4,KY4)-KT4-KX4,"")</f>
        <v/>
      </c>
      <c r="LN4" s="11" t="str">
        <f t="shared" ref="LN4:LN26" si="96">IF(SUM(KZ4:LA4,LC4)-LB4&gt;0,SUM(KZ4:LA4,LC4)-LB4,"")</f>
        <v/>
      </c>
      <c r="LO4" s="11" t="str">
        <f t="shared" ref="LO4:LO26" si="97">IF(SUM(KS4,KW4,LA4)&gt;0,SUM(KS4,KW4,LA4),"")</f>
        <v/>
      </c>
      <c r="LP4" s="11" t="str">
        <f t="shared" ref="LP4:LP26" si="98">IF(SUM(LM4,LN4)&gt;0,SUM(LM4,LN4),"")</f>
        <v/>
      </c>
      <c r="LQ4" s="11" t="str">
        <f t="shared" ref="LQ4:LQ26" si="99">IF(SUM(LE4,LI4)&gt;0,SUM(LE4,LI4),"")</f>
        <v/>
      </c>
      <c r="LR4" s="11" t="str">
        <f t="shared" ref="LR4:LR26" si="100">IF(SUM(LD4:LE4,LG4:LI4,LK4)-SUM(LF4,LJ4)&gt;0,SUM(LD4:LE4,LG4:LI4,LK4)-SUM(LF4,LJ4),"")</f>
        <v/>
      </c>
      <c r="LS4" s="11" t="str">
        <f t="shared" ref="LS4:LS26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2">IF(SUM(LU4,LY4)&gt;0,SUM(LU4,LY4),"")</f>
        <v/>
      </c>
      <c r="MO4" s="40" t="str">
        <f t="shared" ref="MO4:MO26" si="103">IF(SUM(LT4:LU4,LW4:LY4,MA4)-LV4-LZ4&gt;0,SUM(LT4:LU4,LW4:LY4,MA4)-LV4-LZ4,"")</f>
        <v/>
      </c>
      <c r="MP4" s="40" t="str">
        <f t="shared" ref="MP4:MP26" si="104">IF(SUM(MB4:MC4,ME4)-MD4&gt;0,SUM(MB4:MC4,ME4)-MD4,"")</f>
        <v/>
      </c>
      <c r="MQ4" s="40" t="str">
        <f t="shared" ref="MQ4:MQ26" si="105">IF(SUM(LU4,LY4,MC4)&gt;0,SUM(LU4,LY4,MC4),"")</f>
        <v/>
      </c>
      <c r="MR4" s="40" t="str">
        <f t="shared" ref="MR4:MR26" si="106">IF(SUM(MO4,MP4)&gt;0,SUM(MO4,MP4),"")</f>
        <v/>
      </c>
      <c r="MS4" s="40" t="str">
        <f t="shared" ref="MS4:MS26" si="107">IF(SUM(MG4,MK4)&gt;0,SUM(MG4,MK4),"")</f>
        <v/>
      </c>
      <c r="MT4" s="40" t="str">
        <f t="shared" ref="MT4:MT26" si="108">IF(SUM(MF4:MG4,MI4:MK4,MM4)-SUM(MH4,ML4)&gt;0,SUM(MF4:MG4,MI4:MK4,MM4)-SUM(MH4,ML4),"")</f>
        <v/>
      </c>
      <c r="MU4" s="40" t="str">
        <f t="shared" ref="MU4:MU26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10">IF(SUM(MW4,NA4)&gt;0,SUM(MW4,NA4),"")</f>
        <v/>
      </c>
      <c r="NQ4" s="11" t="str">
        <f t="shared" ref="NQ4:NQ26" si="111">IF(SUM(MV4:MW4,MY4:NA4,NC4)-MX4-NB4&gt;0,SUM(MV4:MW4,MY4:NA4,NC4)-MX4-NB4,"")</f>
        <v/>
      </c>
      <c r="NR4" s="11" t="str">
        <f t="shared" ref="NR4:NR26" si="112">IF(SUM(ND4:NE4,NG4)-NF4&gt;0,SUM(ND4:NE4,NG4)-NF4,"")</f>
        <v/>
      </c>
      <c r="NS4" s="11" t="str">
        <f t="shared" ref="NS4:NS26" si="113">IF(SUM(MW4,NA4,NE4)&gt;0,SUM(MW4,NA4,NE4),"")</f>
        <v/>
      </c>
      <c r="NT4" s="11" t="str">
        <f t="shared" ref="NT4:NT26" si="114">IF(SUM(NQ4,NR4)&gt;0,SUM(NQ4,NR4),"")</f>
        <v/>
      </c>
      <c r="NU4" s="11" t="str">
        <f t="shared" ref="NU4:NU26" si="115">IF(SUM(NI4,NM4)&gt;0,SUM(NI4,NM4),"")</f>
        <v/>
      </c>
      <c r="NV4" s="11" t="str">
        <f t="shared" ref="NV4:NV26" si="116">IF(SUM(NH4:NI4,NK4:NM4,NO4)-SUM(NJ4,NN4)&gt;0,SUM(NH4:NI4,NK4:NM4,NO4)-SUM(NJ4,NN4),"")</f>
        <v/>
      </c>
      <c r="NW4" s="11" t="str">
        <f t="shared" ref="NW4:NW26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8">IF(SUM(NY4,OC4)&gt;0,SUM(NY4,OC4),"")</f>
        <v/>
      </c>
      <c r="OS4" s="40" t="str">
        <f t="shared" ref="OS4:OS26" si="119">IF(SUM(NX4:NY4,OA4:OC4,OE4)-NZ4-OD4&gt;0,SUM(NX4:NY4,OA4:OC4,OE4)-NZ4-OD4,"")</f>
        <v/>
      </c>
      <c r="OT4" s="40" t="str">
        <f t="shared" ref="OT4:OT26" si="120">IF(SUM(OF4:OG4,OI4)-OH4&gt;0,SUM(OF4:OG4,OI4)-OH4,"")</f>
        <v/>
      </c>
      <c r="OU4" s="40" t="str">
        <f t="shared" ref="OU4:OU26" si="121">IF(SUM(NY4,OC4,OG4)&gt;0,SUM(NY4,OC4,OG4),"")</f>
        <v/>
      </c>
      <c r="OV4" s="40" t="str">
        <f t="shared" ref="OV4:OV26" si="122">IF(SUM(OS4,OT4)&gt;0,SUM(OS4,OT4),"")</f>
        <v/>
      </c>
      <c r="OW4" s="40" t="str">
        <f t="shared" ref="OW4:OW26" si="123">IF(SUM(OK4,OO4)&gt;0,SUM(OK4,OO4),"")</f>
        <v/>
      </c>
      <c r="OX4" s="40" t="str">
        <f t="shared" ref="OX4:OX26" si="124">IF(SUM(OJ4:OK4,OM4:OO4,OQ4)-SUM(OL4,OP4)&gt;0,SUM(OJ4:OK4,OM4:OO4,OQ4)-SUM(OL4,OP4),"")</f>
        <v/>
      </c>
      <c r="OY4" s="40" t="str">
        <f t="shared" ref="OY4:OY26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6">IF(SUM(PA4,PE4)&gt;0,SUM(PA4,PE4),"")</f>
        <v/>
      </c>
      <c r="PU4" s="11" t="str">
        <f t="shared" ref="PU4:PU26" si="127">IF(SUM(OZ4:PA4,PC4:PE4,PG4)-PB4-PF4&gt;0,SUM(OZ4:PA4,PC4:PE4,PG4)-PB4-PF4,"")</f>
        <v/>
      </c>
      <c r="PV4" s="11" t="str">
        <f t="shared" ref="PV4:PV26" si="128">IF(SUM(PH4:PI4,PK4)-PJ4&gt;0,SUM(PH4:PI4,PK4)-PJ4,"")</f>
        <v/>
      </c>
      <c r="PW4" s="11" t="str">
        <f t="shared" ref="PW4:PW26" si="129">IF(SUM(PA4,PE4,PI4)&gt;0,SUM(PA4,PE4,PI4),"")</f>
        <v/>
      </c>
      <c r="PX4" s="11" t="str">
        <f t="shared" ref="PX4:PX26" si="130">IF(SUM(PU4,PV4)&gt;0,SUM(PU4,PV4),"")</f>
        <v/>
      </c>
      <c r="PY4" s="11" t="str">
        <f t="shared" ref="PY4:PY26" si="131">IF(SUM(PM4,PQ4)&gt;0,SUM(PM4,PQ4),"")</f>
        <v/>
      </c>
      <c r="PZ4" s="11" t="str">
        <f t="shared" ref="PZ4:PZ26" si="132">IF(SUM(PL4:PM4,PO4:PQ4,PS4)-SUM(PN4,PR4)&gt;0,SUM(PL4:PM4,PO4:PQ4,PS4)-SUM(PN4,PR4),"")</f>
        <v/>
      </c>
      <c r="QA4" s="11" t="str">
        <f t="shared" ref="QA4:QA26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4">IF(SUM(QC4,QG4)&gt;0,SUM(QC4,QG4),"")</f>
        <v/>
      </c>
      <c r="QW4" s="40" t="str">
        <f t="shared" ref="QW4:QW26" si="135">IF(SUM(QB4:QC4,QE4:QG4,QI4)-QD4-QH4&gt;0,SUM(QB4:QC4,QE4:QG4,QI4)-QD4-QH4,"")</f>
        <v/>
      </c>
      <c r="QX4" s="40" t="str">
        <f t="shared" ref="QX4:QX26" si="136">IF(SUM(QJ4:QK4,QM4)-QL4&gt;0,SUM(QJ4:QK4,QM4)-QL4,"")</f>
        <v/>
      </c>
      <c r="QY4" s="40" t="str">
        <f t="shared" ref="QY4:QY26" si="137">IF(SUM(QC4,QG4,QK4)&gt;0,SUM(QC4,QG4,QK4),"")</f>
        <v/>
      </c>
      <c r="QZ4" s="40" t="str">
        <f t="shared" ref="QZ4:QZ26" si="138">IF(SUM(QW4,QX4)&gt;0,SUM(QW4,QX4),"")</f>
        <v/>
      </c>
      <c r="RA4" s="40" t="str">
        <f t="shared" ref="RA4:RA26" si="139">IF(SUM(QO4,QS4)&gt;0,SUM(QO4,QS4),"")</f>
        <v/>
      </c>
      <c r="RB4" s="40" t="str">
        <f t="shared" ref="RB4:RB26" si="140">IF(SUM(QN4:QO4,QQ4:QS4,QU4)-SUM(QP4,QT4)&gt;0,SUM(QN4:QO4,QQ4:QS4,QU4)-SUM(QP4,QT4),"")</f>
        <v/>
      </c>
      <c r="RC4" s="40" t="str">
        <f t="shared" ref="RC4:RC26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2">IF(SUM(RE4,RI4)&gt;0,SUM(RE4,RI4),"")</f>
        <v/>
      </c>
      <c r="RY4" s="11" t="str">
        <f t="shared" ref="RY4:RY26" si="143">IF(SUM(RD4:RE4,RG4:RI4,RK4)-RF4-RJ4&gt;0,SUM(RD4:RE4,RG4:RI4,RK4)-RF4-RJ4,"")</f>
        <v/>
      </c>
      <c r="RZ4" s="11" t="str">
        <f t="shared" ref="RZ4:RZ26" si="144">IF(SUM(RL4:RM4,RO4)-RN4&gt;0,SUM(RL4:RM4,RO4)-RN4,"")</f>
        <v/>
      </c>
      <c r="SA4" s="11" t="str">
        <f t="shared" ref="SA4:SA26" si="145">IF(SUM(RE4,RI4,RM4)&gt;0,SUM(RE4,RI4,RM4),"")</f>
        <v/>
      </c>
      <c r="SB4" s="11" t="str">
        <f t="shared" ref="SB4:SB26" si="146">IF(SUM(RY4,RZ4)&gt;0,SUM(RY4,RZ4),"")</f>
        <v/>
      </c>
      <c r="SC4" s="11" t="str">
        <f t="shared" ref="SC4:SC26" si="147">IF(SUM(RQ4,RU4)&gt;0,SUM(RQ4,RU4),"")</f>
        <v/>
      </c>
      <c r="SD4" s="11" t="str">
        <f t="shared" ref="SD4:SD26" si="148">IF(SUM(RP4:RQ4,RS4:RU4,RW4)-SUM(RR4,RV4)&gt;0,SUM(RP4:RQ4,RS4:RU4,RW4)-SUM(RR4,RV4),"")</f>
        <v/>
      </c>
      <c r="SE4" s="11" t="str">
        <f t="shared" ref="SE4:SE26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50">IF(SUM(SG4,SK4)&gt;0,SUM(SG4,SK4),"")</f>
        <v/>
      </c>
      <c r="TA4" s="40" t="str">
        <f t="shared" ref="TA4:TA26" si="151">IF(SUM(SF4:SG4,SI4:SK4,SM4)-SH4-SL4&gt;0,SUM(SF4:SG4,SI4:SK4,SM4)-SH4-SL4,"")</f>
        <v/>
      </c>
      <c r="TB4" s="40" t="str">
        <f t="shared" ref="TB4:TB26" si="152">IF(SUM(SN4:SO4,SQ4)-SP4&gt;0,SUM(SN4:SO4,SQ4)-SP4,"")</f>
        <v/>
      </c>
      <c r="TC4" s="40" t="str">
        <f t="shared" ref="TC4:TC26" si="153">IF(SUM(SG4,SK4,SO4)&gt;0,SUM(SG4,SK4,SO4),"")</f>
        <v/>
      </c>
      <c r="TD4" s="40" t="str">
        <f t="shared" ref="TD4:TD26" si="154">IF(SUM(TA4,TB4)&gt;0,SUM(TA4,TB4),"")</f>
        <v/>
      </c>
      <c r="TE4" s="40" t="str">
        <f t="shared" ref="TE4:TE26" si="155">IF(SUM(SS4,SW4)&gt;0,SUM(SS4,SW4),"")</f>
        <v/>
      </c>
      <c r="TF4" s="40" t="str">
        <f t="shared" ref="TF4:TF26" si="156">IF(SUM(SR4:SS4,SU4:SW4,SY4)-SUM(ST4,SX4)&gt;0,SUM(SR4:SS4,SU4:SW4,SY4)-SUM(ST4,SX4),"")</f>
        <v/>
      </c>
      <c r="TG4" s="40" t="str">
        <f t="shared" ref="TG4:TG26" si="157">IF(SUM(TA4,TB4,TF4)&gt;0,SUM(TA4,TB4,TF4),"")</f>
        <v/>
      </c>
      <c r="TH4" s="26">
        <f t="shared" ref="TH4:TH26" si="158">IF($CS4="P",BY4,(BY4+AV4)/2)</f>
        <v>18.8</v>
      </c>
      <c r="TI4" s="26">
        <f t="shared" ref="TI4:TI26" si="159">IF($CS4="P",BZ4,(BZ4+AW4)/2)</f>
        <v>7</v>
      </c>
      <c r="TJ4" s="26">
        <f t="shared" ref="TJ4:TJ26" si="160">IF($CS4="P",CA4,(CA4+AX4)/2)</f>
        <v>0</v>
      </c>
      <c r="TK4" s="26">
        <f t="shared" ref="TK4:TK26" si="161">IF($CS4="P",CB4,(CB4+AY4)/2)</f>
        <v>0.3</v>
      </c>
      <c r="TL4" s="26">
        <f t="shared" ref="TL4:TL26" si="162">IF($CS4="P",CC4,(CC4+AZ4)/2)</f>
        <v>18.25</v>
      </c>
      <c r="TM4" s="26">
        <f t="shared" ref="TM4:TM26" si="163">IF($CS4="P",CD4,(CD4+BA4)/2)</f>
        <v>7</v>
      </c>
      <c r="TN4" s="26">
        <f t="shared" ref="TN4:TN26" si="164">IF($CS4="P",CE4,(CE4+BB4)/2)</f>
        <v>0.4</v>
      </c>
      <c r="TO4" s="26">
        <f t="shared" ref="TO4:TO26" si="165">IF($CS4="P",CF4,(CF4+BC4)/2)</f>
        <v>0.3</v>
      </c>
      <c r="TP4" s="26">
        <f t="shared" ref="TP4:TP26" si="166">IF($CS4="P",CG4,(CG4+BD4)/2)</f>
        <v>0</v>
      </c>
      <c r="TQ4" s="26">
        <f t="shared" ref="TQ4:TQ26" si="167">IF($CS4="P",CH4,(CH4+BE4)/2)</f>
        <v>0</v>
      </c>
      <c r="TR4" s="26">
        <f t="shared" ref="TR4:TR26" si="168">IF($CS4="P",CI4,(CI4+BF4)/2)</f>
        <v>0</v>
      </c>
      <c r="TS4" s="26">
        <f t="shared" ref="TS4:TS26" si="169">IF($CS4="P",CJ4,(CJ4+BG4)/2)</f>
        <v>0</v>
      </c>
      <c r="TT4" s="26">
        <f t="shared" ref="TT4:TT26" si="170">IF($CS4="P",CK4,(CK4+BH4)/2)</f>
        <v>18.5</v>
      </c>
      <c r="TU4" s="26">
        <f t="shared" ref="TU4:TU26" si="171">IF($CS4="P",CL4,(CL4+BI4)/2)</f>
        <v>7.6</v>
      </c>
      <c r="TV4" s="26">
        <f t="shared" ref="TV4:TV26" si="172">IF($CS4="P",CM4,(CM4+BJ4)/2)</f>
        <v>0.3</v>
      </c>
      <c r="TW4" s="26">
        <f t="shared" ref="TW4:TW26" si="173">IF($CS4="P",CN4,(CN4+BK4)/2)</f>
        <v>0.6</v>
      </c>
      <c r="TX4" s="26">
        <f t="shared" ref="TX4:TX26" si="174">IF($CS4="P",CO4,(CO4+BL4)/2)</f>
        <v>17.899999999999999</v>
      </c>
      <c r="TY4" s="26">
        <f t="shared" ref="TY4:TY26" si="175">IF($CS4="P",CP4,(CP4+BM4)/2)</f>
        <v>6.6</v>
      </c>
      <c r="TZ4" s="26">
        <f t="shared" ref="TZ4:TZ26" si="176">IF($CS4="P",CQ4,(CQ4+BN4)/2)</f>
        <v>0.2</v>
      </c>
      <c r="UA4" s="26">
        <f t="shared" ref="UA4:UA26" si="177">IF($CS4="P",CR4,(CR4+BO4)/2)</f>
        <v>0.15</v>
      </c>
      <c r="UB4" s="28" t="s">
        <v>53</v>
      </c>
      <c r="UC4" s="11">
        <f t="shared" ref="UC4:UC26" si="178">IF(SUM(TI4,TM4)&gt;0,SUM(TI4,TM4),"")</f>
        <v>14</v>
      </c>
      <c r="UD4" s="11">
        <f t="shared" ref="UD4:UD26" si="179">IF(SUM(TH4:TI4,TK4:TM4,TO4)-TJ4-TN4&gt;0,SUM(TH4:TI4,TK4:TM4,TO4)-TJ4-TN4,"")</f>
        <v>51.25</v>
      </c>
      <c r="UE4" s="11" t="str">
        <f t="shared" ref="UE4:UE26" si="180">IF(SUM(TP4:TQ4,TS4)-TR4&gt;0,SUM(TP4:TQ4,TS4)-TR4,"")</f>
        <v/>
      </c>
      <c r="UF4" s="11">
        <f t="shared" ref="UF4:UF26" si="181">IF(SUM(TI4,TM4,TQ4)&gt;0,SUM(TI4,TM4,TQ4),"")</f>
        <v>14</v>
      </c>
      <c r="UG4" s="11">
        <f t="shared" ref="UG4:UG26" si="182">IF(SUM(UD4,UE4)&gt;0,SUM(UD4,UE4),"")</f>
        <v>51.25</v>
      </c>
      <c r="UH4" s="11">
        <f t="shared" ref="UH4:UH26" si="183">IF(SUM(TU4,TY4)&gt;0,SUM(TU4,TY4),"")</f>
        <v>14.2</v>
      </c>
      <c r="UI4" s="11">
        <f t="shared" ref="UI4:UI26" si="184">IF(SUM(TT4:TU4,TW4:TY4,UA4)-SUM(TV4,TZ4)&gt;0,SUM(TT4:TU4,TW4:TY4,UA4)-SUM(TV4,TZ4),"")</f>
        <v>50.85</v>
      </c>
      <c r="UJ4" s="11">
        <f t="shared" ref="UJ4:UJ26" si="185"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160</v>
      </c>
      <c r="C5" s="4" t="s">
        <v>6</v>
      </c>
      <c r="D5" s="4">
        <v>2007</v>
      </c>
      <c r="E5" s="9">
        <f t="shared" si="0"/>
        <v>153.70001023500515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 t="shared" si="12"/>
        <v>13.2</v>
      </c>
      <c r="AO5" s="40">
        <f t="shared" si="13"/>
        <v>50.65</v>
      </c>
      <c r="AP5" s="40">
        <f t="shared" si="14"/>
        <v>23.599999999999998</v>
      </c>
      <c r="AQ5" s="40">
        <f t="shared" si="15"/>
        <v>18.799999999999997</v>
      </c>
      <c r="AR5" s="40">
        <f t="shared" si="16"/>
        <v>74.25</v>
      </c>
      <c r="AS5" s="40">
        <f t="shared" si="17"/>
        <v>13.2</v>
      </c>
      <c r="AT5" s="40">
        <f t="shared" si="18"/>
        <v>51.35</v>
      </c>
      <c r="AU5" s="40">
        <f t="shared" si="19"/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 t="shared" si="20"/>
        <v>11.6</v>
      </c>
      <c r="BR5" s="11">
        <f t="shared" si="21"/>
        <v>48.260000000000005</v>
      </c>
      <c r="BS5" s="11" t="str">
        <f t="shared" si="22"/>
        <v/>
      </c>
      <c r="BT5" s="11">
        <f t="shared" si="23"/>
        <v>11.6</v>
      </c>
      <c r="BU5" s="11">
        <f t="shared" si="24"/>
        <v>48.260000000000005</v>
      </c>
      <c r="BV5" s="11">
        <f t="shared" si="25"/>
        <v>13.2</v>
      </c>
      <c r="BW5" s="11">
        <f t="shared" si="26"/>
        <v>50.099999999999994</v>
      </c>
      <c r="BX5" s="11">
        <f t="shared" si="27"/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 t="shared" si="28"/>
        <v>13.2</v>
      </c>
      <c r="CU5" s="40">
        <f t="shared" si="29"/>
        <v>51.7</v>
      </c>
      <c r="CV5" s="40" t="str">
        <f t="shared" si="30"/>
        <v/>
      </c>
      <c r="CW5" s="40">
        <f t="shared" si="31"/>
        <v>13.2</v>
      </c>
      <c r="CX5" s="40">
        <f t="shared" si="32"/>
        <v>51.7</v>
      </c>
      <c r="CY5" s="40">
        <f t="shared" si="33"/>
        <v>12.4</v>
      </c>
      <c r="CZ5" s="40">
        <f t="shared" si="34"/>
        <v>49.9</v>
      </c>
      <c r="DA5" s="40">
        <f t="shared" si="35"/>
        <v>101.6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18.93</v>
      </c>
      <c r="TI5" s="26">
        <f t="shared" si="159"/>
        <v>7</v>
      </c>
      <c r="TJ5" s="26">
        <f t="shared" si="160"/>
        <v>0.4</v>
      </c>
      <c r="TK5" s="26">
        <f t="shared" si="161"/>
        <v>0.3</v>
      </c>
      <c r="TL5" s="26">
        <f t="shared" si="162"/>
        <v>18.75</v>
      </c>
      <c r="TM5" s="26">
        <f t="shared" si="163"/>
        <v>5.4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18.649999999999999</v>
      </c>
      <c r="TU5" s="26">
        <f t="shared" si="171"/>
        <v>7.2</v>
      </c>
      <c r="TV5" s="26">
        <f t="shared" si="172"/>
        <v>0.4</v>
      </c>
      <c r="TW5" s="26">
        <f t="shared" si="173"/>
        <v>0.3</v>
      </c>
      <c r="TX5" s="26">
        <f t="shared" si="174"/>
        <v>18.5</v>
      </c>
      <c r="TY5" s="26">
        <f t="shared" si="175"/>
        <v>5.6</v>
      </c>
      <c r="TZ5" s="26">
        <f t="shared" si="176"/>
        <v>0</v>
      </c>
      <c r="UA5" s="26">
        <f t="shared" si="177"/>
        <v>0.15</v>
      </c>
      <c r="UB5" s="28" t="s">
        <v>53</v>
      </c>
      <c r="UC5" s="11">
        <f t="shared" si="178"/>
        <v>12.4</v>
      </c>
      <c r="UD5" s="11">
        <f t="shared" si="179"/>
        <v>49.980000000000004</v>
      </c>
      <c r="UE5" s="11" t="str">
        <f t="shared" si="180"/>
        <v/>
      </c>
      <c r="UF5" s="11">
        <f t="shared" si="181"/>
        <v>12.4</v>
      </c>
      <c r="UG5" s="11">
        <f t="shared" si="182"/>
        <v>49.980000000000004</v>
      </c>
      <c r="UH5" s="11">
        <f t="shared" si="183"/>
        <v>12.8</v>
      </c>
      <c r="UI5" s="11">
        <f t="shared" si="184"/>
        <v>50</v>
      </c>
      <c r="UJ5" s="11">
        <f t="shared" si="185"/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 t="shared" si="0"/>
        <v>151.90001010000515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49.3</v>
      </c>
      <c r="M6" s="8" t="str">
        <f t="shared" si="6"/>
        <v>2024 3rd Domestic Trial</v>
      </c>
      <c r="N6" s="8">
        <f t="shared" si="7"/>
        <v>50.400000000000006</v>
      </c>
      <c r="O6" s="8" t="str">
        <f t="shared" si="8"/>
        <v>2024 3rd Domestic Trial</v>
      </c>
      <c r="P6" s="8">
        <f t="shared" si="9"/>
        <v>0.5</v>
      </c>
      <c r="Q6" s="11" t="str">
        <f t="shared" si="10"/>
        <v>(Q1)</v>
      </c>
      <c r="R6" s="8" t="str">
        <f t="shared" si="11"/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 t="shared" si="12"/>
        <v>12.4</v>
      </c>
      <c r="AO6" s="40">
        <f t="shared" si="13"/>
        <v>49.3</v>
      </c>
      <c r="AP6" s="40">
        <f t="shared" si="14"/>
        <v>24.7</v>
      </c>
      <c r="AQ6" s="40">
        <f t="shared" si="15"/>
        <v>18.399999999999999</v>
      </c>
      <c r="AR6" s="40">
        <f t="shared" si="16"/>
        <v>74</v>
      </c>
      <c r="AS6" s="40">
        <f t="shared" si="17"/>
        <v>12.4</v>
      </c>
      <c r="AT6" s="40">
        <f t="shared" si="18"/>
        <v>50.400000000000006</v>
      </c>
      <c r="AU6" s="40">
        <f t="shared" si="19"/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 t="shared" si="20"/>
        <v>11.600000000000001</v>
      </c>
      <c r="BR6" s="11">
        <f t="shared" si="21"/>
        <v>49.099999999999994</v>
      </c>
      <c r="BS6" s="11" t="str">
        <f t="shared" si="22"/>
        <v/>
      </c>
      <c r="BT6" s="11">
        <f t="shared" si="23"/>
        <v>11.600000000000001</v>
      </c>
      <c r="BU6" s="11">
        <f t="shared" si="24"/>
        <v>49.099999999999994</v>
      </c>
      <c r="BV6" s="11">
        <f t="shared" si="25"/>
        <v>11.6</v>
      </c>
      <c r="BW6" s="11">
        <f t="shared" si="26"/>
        <v>48.6</v>
      </c>
      <c r="BX6" s="11">
        <f t="shared" si="27"/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 t="shared" si="28"/>
        <v>14</v>
      </c>
      <c r="CU6" s="40">
        <f t="shared" si="29"/>
        <v>51.699999999999989</v>
      </c>
      <c r="CV6" s="40" t="str">
        <f t="shared" si="30"/>
        <v/>
      </c>
      <c r="CW6" s="40">
        <f t="shared" si="31"/>
        <v>14</v>
      </c>
      <c r="CX6" s="40">
        <f t="shared" si="32"/>
        <v>51.699999999999989</v>
      </c>
      <c r="CY6" s="40">
        <f t="shared" si="33"/>
        <v>10.4</v>
      </c>
      <c r="CZ6" s="40">
        <f t="shared" si="34"/>
        <v>47.199999999999996</v>
      </c>
      <c r="DA6" s="40">
        <f t="shared" si="35"/>
        <v>98.899999999999977</v>
      </c>
      <c r="DB6" s="51">
        <f t="shared" si="36"/>
        <v>0.5</v>
      </c>
      <c r="DC6" s="51" t="str">
        <f t="shared" si="37"/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12.8</v>
      </c>
      <c r="DY6" s="40">
        <f t="shared" si="39"/>
        <v>49.8</v>
      </c>
      <c r="DZ6" s="40" t="str">
        <f t="shared" si="40"/>
        <v/>
      </c>
      <c r="EA6" s="40">
        <f t="shared" si="41"/>
        <v>12.8</v>
      </c>
      <c r="EB6" s="40">
        <f t="shared" si="42"/>
        <v>49.8</v>
      </c>
      <c r="EC6" s="40" t="str">
        <f t="shared" si="43"/>
        <v/>
      </c>
      <c r="ED6" s="40" t="str">
        <f t="shared" si="44"/>
        <v/>
      </c>
      <c r="EE6" s="40">
        <f t="shared" si="45"/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173</v>
      </c>
      <c r="C7" s="4" t="s">
        <v>5</v>
      </c>
      <c r="D7" s="4">
        <v>2005</v>
      </c>
      <c r="E7" s="9">
        <f t="shared" si="0"/>
        <v>150.75001002500505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50.599999999999994</v>
      </c>
      <c r="K7" s="8" t="str">
        <f t="shared" si="5"/>
        <v>2024 3rd Domestic Trial</v>
      </c>
      <c r="L7" s="8">
        <f>IF(COUNT(AO7,BR7,CU7)&gt;1,LARGE((AO7,BR7,CU7),2),0)</f>
        <v>49.65</v>
      </c>
      <c r="M7" s="8" t="str">
        <f t="shared" si="6"/>
        <v>2025 Nationals</v>
      </c>
      <c r="N7" s="8">
        <f t="shared" si="7"/>
        <v>50.5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18.7</v>
      </c>
      <c r="T7" s="19">
        <v>6.8</v>
      </c>
      <c r="U7" s="19">
        <v>0.6</v>
      </c>
      <c r="V7" s="19">
        <v>0.3</v>
      </c>
      <c r="W7" s="19">
        <v>19</v>
      </c>
      <c r="X7" s="19">
        <v>6.4</v>
      </c>
      <c r="Y7" s="19">
        <v>0</v>
      </c>
      <c r="Z7" s="19">
        <v>0</v>
      </c>
      <c r="AA7" s="19">
        <v>18.600000000000001</v>
      </c>
      <c r="AB7" s="19">
        <v>5.2</v>
      </c>
      <c r="AC7" s="19">
        <v>0.6</v>
      </c>
      <c r="AD7" s="19">
        <v>0</v>
      </c>
      <c r="AE7" s="19">
        <v>18.2</v>
      </c>
      <c r="AF7" s="19">
        <v>6.8</v>
      </c>
      <c r="AG7" s="19">
        <v>0.2</v>
      </c>
      <c r="AH7" s="19">
        <v>0.3</v>
      </c>
      <c r="AI7" s="19">
        <v>18.399999999999999</v>
      </c>
      <c r="AJ7" s="19">
        <v>6.4</v>
      </c>
      <c r="AK7" s="19">
        <v>0.6</v>
      </c>
      <c r="AL7" s="19">
        <v>0</v>
      </c>
      <c r="AM7" s="27"/>
      <c r="AN7" s="40">
        <f t="shared" si="12"/>
        <v>13.2</v>
      </c>
      <c r="AO7" s="40">
        <f t="shared" si="13"/>
        <v>50.599999999999994</v>
      </c>
      <c r="AP7" s="40">
        <f t="shared" si="14"/>
        <v>23.2</v>
      </c>
      <c r="AQ7" s="40">
        <f t="shared" si="15"/>
        <v>18.399999999999999</v>
      </c>
      <c r="AR7" s="40">
        <f t="shared" si="16"/>
        <v>73.8</v>
      </c>
      <c r="AS7" s="40">
        <f t="shared" si="17"/>
        <v>13.2</v>
      </c>
      <c r="AT7" s="40">
        <f t="shared" si="18"/>
        <v>49.300000000000004</v>
      </c>
      <c r="AU7" s="40">
        <f t="shared" si="19"/>
        <v>123.1</v>
      </c>
      <c r="AV7" s="18">
        <v>18.399999999999999</v>
      </c>
      <c r="AW7" s="18">
        <v>6</v>
      </c>
      <c r="AX7" s="18">
        <v>0.2</v>
      </c>
      <c r="AY7" s="18">
        <v>0.3</v>
      </c>
      <c r="AZ7" s="18">
        <v>18.600000000000001</v>
      </c>
      <c r="BA7" s="18">
        <v>6.4</v>
      </c>
      <c r="BB7" s="18">
        <v>0.8</v>
      </c>
      <c r="BC7" s="18">
        <v>0</v>
      </c>
      <c r="BD7" s="18"/>
      <c r="BE7" s="18"/>
      <c r="BF7" s="18"/>
      <c r="BG7" s="18"/>
      <c r="BH7" s="18">
        <v>18.600000000000001</v>
      </c>
      <c r="BI7" s="18">
        <v>6.8</v>
      </c>
      <c r="BJ7" s="18">
        <v>0.2</v>
      </c>
      <c r="BK7" s="18">
        <v>0.3</v>
      </c>
      <c r="BL7" s="18">
        <v>18.600000000000001</v>
      </c>
      <c r="BM7" s="18">
        <v>6.4</v>
      </c>
      <c r="BN7" s="18">
        <v>0</v>
      </c>
      <c r="BO7" s="18">
        <v>0</v>
      </c>
      <c r="BP7" s="28"/>
      <c r="BQ7" s="11">
        <f t="shared" si="20"/>
        <v>12.4</v>
      </c>
      <c r="BR7" s="11">
        <f t="shared" si="21"/>
        <v>48.699999999999996</v>
      </c>
      <c r="BS7" s="11" t="str">
        <f t="shared" si="22"/>
        <v/>
      </c>
      <c r="BT7" s="11">
        <f t="shared" si="23"/>
        <v>12.4</v>
      </c>
      <c r="BU7" s="11">
        <f t="shared" si="24"/>
        <v>48.699999999999996</v>
      </c>
      <c r="BV7" s="11">
        <f t="shared" si="25"/>
        <v>13.2</v>
      </c>
      <c r="BW7" s="11">
        <f t="shared" si="26"/>
        <v>50.5</v>
      </c>
      <c r="BX7" s="11">
        <f t="shared" si="27"/>
        <v>99.199999999999989</v>
      </c>
      <c r="BY7" s="19">
        <v>18.549999999999997</v>
      </c>
      <c r="BZ7" s="19">
        <v>6.4</v>
      </c>
      <c r="CA7" s="19">
        <v>0.4</v>
      </c>
      <c r="CB7" s="19">
        <v>0.3</v>
      </c>
      <c r="CC7" s="19">
        <v>18.8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6.8</v>
      </c>
      <c r="CM7" s="19">
        <v>0.2</v>
      </c>
      <c r="CN7" s="19">
        <v>0.3</v>
      </c>
      <c r="CO7" s="19">
        <v>18.5</v>
      </c>
      <c r="CP7" s="19">
        <v>6.4</v>
      </c>
      <c r="CQ7" s="19">
        <v>0.3</v>
      </c>
      <c r="CR7" s="19">
        <v>0</v>
      </c>
      <c r="CS7" s="27" t="s">
        <v>53</v>
      </c>
      <c r="CT7" s="40">
        <f t="shared" si="28"/>
        <v>12.8</v>
      </c>
      <c r="CU7" s="40">
        <f t="shared" si="29"/>
        <v>49.65</v>
      </c>
      <c r="CV7" s="40" t="str">
        <f t="shared" si="30"/>
        <v/>
      </c>
      <c r="CW7" s="40">
        <f t="shared" si="31"/>
        <v>12.8</v>
      </c>
      <c r="CX7" s="40">
        <f t="shared" si="32"/>
        <v>49.65</v>
      </c>
      <c r="CY7" s="40">
        <f t="shared" si="33"/>
        <v>13.2</v>
      </c>
      <c r="CZ7" s="40">
        <f t="shared" si="34"/>
        <v>49.9</v>
      </c>
      <c r="DA7" s="40">
        <f t="shared" si="35"/>
        <v>99.55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18.549999999999997</v>
      </c>
      <c r="TI7" s="26">
        <f t="shared" si="159"/>
        <v>6.4</v>
      </c>
      <c r="TJ7" s="26">
        <f t="shared" si="160"/>
        <v>0.4</v>
      </c>
      <c r="TK7" s="26">
        <f t="shared" si="161"/>
        <v>0.3</v>
      </c>
      <c r="TL7" s="26">
        <f t="shared" si="162"/>
        <v>18.8</v>
      </c>
      <c r="TM7" s="26">
        <f t="shared" si="163"/>
        <v>6.4</v>
      </c>
      <c r="TN7" s="26">
        <f t="shared" si="164"/>
        <v>0.4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18.399999999999999</v>
      </c>
      <c r="TU7" s="26">
        <f t="shared" si="171"/>
        <v>6.8</v>
      </c>
      <c r="TV7" s="26">
        <f t="shared" si="172"/>
        <v>0.2</v>
      </c>
      <c r="TW7" s="26">
        <f t="shared" si="173"/>
        <v>0.3</v>
      </c>
      <c r="TX7" s="26">
        <f t="shared" si="174"/>
        <v>18.5</v>
      </c>
      <c r="TY7" s="26">
        <f t="shared" si="175"/>
        <v>6.4</v>
      </c>
      <c r="TZ7" s="26">
        <f t="shared" si="176"/>
        <v>0.3</v>
      </c>
      <c r="UA7" s="26">
        <f t="shared" si="177"/>
        <v>0</v>
      </c>
      <c r="UB7" s="28" t="s">
        <v>53</v>
      </c>
      <c r="UC7" s="11">
        <f t="shared" si="178"/>
        <v>12.8</v>
      </c>
      <c r="UD7" s="11">
        <f t="shared" si="179"/>
        <v>49.65</v>
      </c>
      <c r="UE7" s="11" t="str">
        <f t="shared" si="180"/>
        <v/>
      </c>
      <c r="UF7" s="11">
        <f t="shared" si="181"/>
        <v>12.8</v>
      </c>
      <c r="UG7" s="11">
        <f t="shared" si="182"/>
        <v>49.65</v>
      </c>
      <c r="UH7" s="11">
        <f t="shared" si="183"/>
        <v>13.2</v>
      </c>
      <c r="UI7" s="11">
        <f t="shared" si="184"/>
        <v>49.9</v>
      </c>
      <c r="UJ7" s="11">
        <f t="shared" si="185"/>
        <v>99.55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179</v>
      </c>
      <c r="C8" s="4" t="s">
        <v>3</v>
      </c>
      <c r="D8" s="4">
        <v>2002</v>
      </c>
      <c r="E8" s="9">
        <f t="shared" si="0"/>
        <v>147.10000961000489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IF(COUNT(AO8,BR8,CU8)&gt;0,LARGE((AO8,BR8,CU8),1),0)</f>
        <v>48.899999999999991</v>
      </c>
      <c r="K8" s="8" t="str">
        <f t="shared" si="5"/>
        <v>2024 3rd Domestic Trial</v>
      </c>
      <c r="L8" s="8">
        <f>IF(COUNT(AO8,BR8,CU8)&gt;1,LARGE((AO8,BR8,CU8),2),0)</f>
        <v>47.20000000000001</v>
      </c>
      <c r="M8" s="8" t="str">
        <f t="shared" si="6"/>
        <v>2025 Elite Canada</v>
      </c>
      <c r="N8" s="8">
        <f t="shared" si="7"/>
        <v>48.800000000000004</v>
      </c>
      <c r="O8" s="8" t="str">
        <f t="shared" si="8"/>
        <v>2025 Elite Canada</v>
      </c>
      <c r="P8" s="8">
        <f t="shared" si="9"/>
        <v>2.1999999999999886</v>
      </c>
      <c r="Q8" s="11" t="str">
        <f t="shared" si="10"/>
        <v>(Q1)</v>
      </c>
      <c r="R8" s="8" t="str">
        <f t="shared" si="11"/>
        <v>2025 World Cup POR (July 6)</v>
      </c>
      <c r="S8" s="19">
        <v>18.600000000000001</v>
      </c>
      <c r="T8" s="19">
        <v>6.4</v>
      </c>
      <c r="U8" s="19">
        <v>0.2</v>
      </c>
      <c r="V8" s="19">
        <v>0</v>
      </c>
      <c r="W8" s="19">
        <v>18.399999999999999</v>
      </c>
      <c r="X8" s="19">
        <v>6</v>
      </c>
      <c r="Y8" s="19">
        <v>0.6</v>
      </c>
      <c r="Z8" s="19">
        <v>0.3</v>
      </c>
      <c r="AA8" s="19">
        <v>18.2</v>
      </c>
      <c r="AB8" s="19">
        <v>5.2</v>
      </c>
      <c r="AC8" s="19">
        <v>0.2</v>
      </c>
      <c r="AD8" s="19">
        <v>0.3</v>
      </c>
      <c r="AE8" s="19">
        <v>19</v>
      </c>
      <c r="AF8" s="19">
        <v>6.4</v>
      </c>
      <c r="AG8" s="19">
        <v>0</v>
      </c>
      <c r="AH8" s="19">
        <v>0</v>
      </c>
      <c r="AI8" s="19">
        <v>18.8</v>
      </c>
      <c r="AJ8" s="19">
        <v>5.2</v>
      </c>
      <c r="AK8" s="19">
        <v>0.6</v>
      </c>
      <c r="AL8" s="19">
        <v>0</v>
      </c>
      <c r="AM8" s="27"/>
      <c r="AN8" s="40">
        <f t="shared" si="12"/>
        <v>12.4</v>
      </c>
      <c r="AO8" s="40">
        <f t="shared" si="13"/>
        <v>48.899999999999991</v>
      </c>
      <c r="AP8" s="40">
        <f t="shared" si="14"/>
        <v>23.5</v>
      </c>
      <c r="AQ8" s="40">
        <f t="shared" si="15"/>
        <v>17.600000000000001</v>
      </c>
      <c r="AR8" s="40">
        <f t="shared" si="16"/>
        <v>72.399999999999991</v>
      </c>
      <c r="AS8" s="40">
        <f t="shared" si="17"/>
        <v>11.600000000000001</v>
      </c>
      <c r="AT8" s="40">
        <f t="shared" si="18"/>
        <v>48.800000000000004</v>
      </c>
      <c r="AU8" s="40">
        <f t="shared" si="19"/>
        <v>121.19999999999999</v>
      </c>
      <c r="AV8" s="18">
        <v>17.8</v>
      </c>
      <c r="AW8" s="18">
        <v>6.4</v>
      </c>
      <c r="AX8" s="18">
        <v>0.8</v>
      </c>
      <c r="AY8" s="18">
        <v>0</v>
      </c>
      <c r="AZ8" s="18">
        <v>18.600000000000001</v>
      </c>
      <c r="BA8" s="18">
        <v>5.2</v>
      </c>
      <c r="BB8" s="18">
        <v>0</v>
      </c>
      <c r="BC8" s="18">
        <v>0</v>
      </c>
      <c r="BD8" s="18"/>
      <c r="BE8" s="18"/>
      <c r="BF8" s="18"/>
      <c r="BG8" s="18"/>
      <c r="BH8" s="18">
        <v>18.100000000000001</v>
      </c>
      <c r="BI8" s="18">
        <v>6.4</v>
      </c>
      <c r="BJ8" s="18">
        <v>0.2</v>
      </c>
      <c r="BK8" s="18">
        <v>0</v>
      </c>
      <c r="BL8" s="18">
        <v>18.2</v>
      </c>
      <c r="BM8" s="18">
        <v>6</v>
      </c>
      <c r="BN8" s="18">
        <v>0</v>
      </c>
      <c r="BO8" s="18">
        <v>0.3</v>
      </c>
      <c r="BP8" s="28"/>
      <c r="BQ8" s="11">
        <f t="shared" si="20"/>
        <v>11.600000000000001</v>
      </c>
      <c r="BR8" s="11">
        <f t="shared" si="21"/>
        <v>47.20000000000001</v>
      </c>
      <c r="BS8" s="11" t="str">
        <f t="shared" si="22"/>
        <v/>
      </c>
      <c r="BT8" s="11">
        <f t="shared" si="23"/>
        <v>11.600000000000001</v>
      </c>
      <c r="BU8" s="11">
        <f t="shared" si="24"/>
        <v>47.20000000000001</v>
      </c>
      <c r="BV8" s="11">
        <f t="shared" si="25"/>
        <v>12.4</v>
      </c>
      <c r="BW8" s="11">
        <f t="shared" si="26"/>
        <v>48.8</v>
      </c>
      <c r="BX8" s="11">
        <f t="shared" si="27"/>
        <v>96</v>
      </c>
      <c r="BY8" s="19">
        <v>18.600000000000001</v>
      </c>
      <c r="BZ8" s="19">
        <v>4.8</v>
      </c>
      <c r="CA8" s="19">
        <v>0.6</v>
      </c>
      <c r="CB8" s="19">
        <v>0</v>
      </c>
      <c r="CC8" s="19">
        <v>17.600000000000001</v>
      </c>
      <c r="CD8" s="19">
        <v>3.2</v>
      </c>
      <c r="CE8" s="19">
        <v>1.6</v>
      </c>
      <c r="CF8" s="19">
        <v>0.3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 t="shared" si="28"/>
        <v>8</v>
      </c>
      <c r="CU8" s="40">
        <f t="shared" si="29"/>
        <v>42.3</v>
      </c>
      <c r="CV8" s="40" t="str">
        <f t="shared" si="30"/>
        <v/>
      </c>
      <c r="CW8" s="40">
        <f t="shared" si="31"/>
        <v>8</v>
      </c>
      <c r="CX8" s="40">
        <f t="shared" si="32"/>
        <v>42.3</v>
      </c>
      <c r="CY8" s="40" t="str">
        <f t="shared" si="33"/>
        <v/>
      </c>
      <c r="CZ8" s="40" t="str">
        <f t="shared" si="34"/>
        <v/>
      </c>
      <c r="DA8" s="40">
        <f t="shared" si="35"/>
        <v>42.3</v>
      </c>
      <c r="DB8" s="51">
        <f t="shared" si="36"/>
        <v>2.1999999999999886</v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18.7</v>
      </c>
      <c r="EG8" s="18">
        <v>6</v>
      </c>
      <c r="EH8" s="18">
        <v>0</v>
      </c>
      <c r="EI8" s="18">
        <v>0</v>
      </c>
      <c r="EJ8" s="18">
        <v>18.3</v>
      </c>
      <c r="EK8" s="18">
        <v>6.4</v>
      </c>
      <c r="EL8" s="18">
        <v>0</v>
      </c>
      <c r="EM8" s="18">
        <v>0</v>
      </c>
      <c r="EN8" s="18"/>
      <c r="EO8" s="18"/>
      <c r="EP8" s="18"/>
      <c r="EQ8" s="18"/>
      <c r="ER8" s="18">
        <v>18.399999999999999</v>
      </c>
      <c r="ES8" s="18">
        <v>6.4</v>
      </c>
      <c r="ET8" s="18">
        <v>0</v>
      </c>
      <c r="EU8" s="18">
        <v>0</v>
      </c>
      <c r="EV8" s="18"/>
      <c r="EW8" s="18"/>
      <c r="EX8" s="18"/>
      <c r="EY8" s="18"/>
      <c r="EZ8" s="11">
        <f t="shared" si="46"/>
        <v>12.4</v>
      </c>
      <c r="FA8" s="11">
        <f t="shared" si="47"/>
        <v>49.4</v>
      </c>
      <c r="FB8" s="11" t="str">
        <f t="shared" si="48"/>
        <v/>
      </c>
      <c r="FC8" s="11">
        <f t="shared" si="49"/>
        <v>12.4</v>
      </c>
      <c r="FD8" s="11">
        <f t="shared" si="50"/>
        <v>49.4</v>
      </c>
      <c r="FE8" s="11">
        <f t="shared" si="51"/>
        <v>6.4</v>
      </c>
      <c r="FF8" s="11">
        <f t="shared" si="52"/>
        <v>24.799999999999997</v>
      </c>
      <c r="FG8" s="11">
        <f t="shared" si="53"/>
        <v>74.199999999999989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18.200000000000003</v>
      </c>
      <c r="TI8" s="26">
        <f t="shared" si="159"/>
        <v>5.6</v>
      </c>
      <c r="TJ8" s="26">
        <f t="shared" si="160"/>
        <v>0.7</v>
      </c>
      <c r="TK8" s="26">
        <f t="shared" si="161"/>
        <v>0</v>
      </c>
      <c r="TL8" s="26">
        <f t="shared" si="162"/>
        <v>18.100000000000001</v>
      </c>
      <c r="TM8" s="26">
        <f t="shared" si="163"/>
        <v>4.2</v>
      </c>
      <c r="TN8" s="26">
        <f t="shared" si="164"/>
        <v>0.8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9.0500000000000007</v>
      </c>
      <c r="TU8" s="26">
        <f t="shared" si="171"/>
        <v>3.2</v>
      </c>
      <c r="TV8" s="26">
        <f t="shared" si="172"/>
        <v>0.1</v>
      </c>
      <c r="TW8" s="26">
        <f t="shared" si="173"/>
        <v>0</v>
      </c>
      <c r="TX8" s="26">
        <f t="shared" si="174"/>
        <v>9.1</v>
      </c>
      <c r="TY8" s="26">
        <f t="shared" si="175"/>
        <v>3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9.8000000000000007</v>
      </c>
      <c r="UD8" s="11">
        <f t="shared" si="179"/>
        <v>44.750000000000007</v>
      </c>
      <c r="UE8" s="11" t="str">
        <f t="shared" si="180"/>
        <v/>
      </c>
      <c r="UF8" s="11">
        <f t="shared" si="181"/>
        <v>9.8000000000000007</v>
      </c>
      <c r="UG8" s="11">
        <f t="shared" si="182"/>
        <v>44.750000000000007</v>
      </c>
      <c r="UH8" s="11">
        <f t="shared" si="183"/>
        <v>6.2</v>
      </c>
      <c r="UI8" s="11">
        <f t="shared" si="184"/>
        <v>24.4</v>
      </c>
      <c r="UJ8" s="11">
        <f t="shared" si="185"/>
        <v>69.150000000000006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145</v>
      </c>
      <c r="C9" s="4" t="s">
        <v>7</v>
      </c>
      <c r="D9" s="4">
        <v>2002</v>
      </c>
      <c r="E9" s="9">
        <f t="shared" si="0"/>
        <v>146.30000979000491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48.999999999999993</v>
      </c>
      <c r="K9" s="8" t="str">
        <f t="shared" si="5"/>
        <v>2025 Nationals</v>
      </c>
      <c r="L9" s="8">
        <f>IF(COUNT(AO9,BR9,CU9)&gt;1,LARGE((AO9,BR9,CU9),2),0)</f>
        <v>48.9</v>
      </c>
      <c r="M9" s="8" t="str">
        <f t="shared" si="6"/>
        <v>2025 Elite Canada</v>
      </c>
      <c r="N9" s="8">
        <f t="shared" si="7"/>
        <v>48.400000000000006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 t="shared" si="12"/>
        <v>10</v>
      </c>
      <c r="AO9" s="40">
        <f t="shared" si="13"/>
        <v>46.199999999999996</v>
      </c>
      <c r="AP9" s="40">
        <f t="shared" si="14"/>
        <v>23.2</v>
      </c>
      <c r="AQ9" s="40">
        <f t="shared" si="15"/>
        <v>14.3</v>
      </c>
      <c r="AR9" s="40">
        <f t="shared" si="16"/>
        <v>69.399999999999991</v>
      </c>
      <c r="AS9" s="40">
        <f t="shared" si="17"/>
        <v>10</v>
      </c>
      <c r="AT9" s="40">
        <f t="shared" si="18"/>
        <v>44.500000000000007</v>
      </c>
      <c r="AU9" s="40">
        <f t="shared" si="19"/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 t="shared" si="20"/>
        <v>11.600000000000001</v>
      </c>
      <c r="BR9" s="11">
        <f t="shared" si="21"/>
        <v>48.9</v>
      </c>
      <c r="BS9" s="11" t="str">
        <f t="shared" si="22"/>
        <v/>
      </c>
      <c r="BT9" s="11">
        <f t="shared" si="23"/>
        <v>11.600000000000001</v>
      </c>
      <c r="BU9" s="11">
        <f t="shared" si="24"/>
        <v>48.9</v>
      </c>
      <c r="BV9" s="11">
        <f t="shared" si="25"/>
        <v>5.2</v>
      </c>
      <c r="BW9" s="11">
        <f t="shared" si="26"/>
        <v>38.199999999999996</v>
      </c>
      <c r="BX9" s="11">
        <f t="shared" si="27"/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 t="shared" si="28"/>
        <v>11.6</v>
      </c>
      <c r="CU9" s="40">
        <f t="shared" si="29"/>
        <v>48.999999999999993</v>
      </c>
      <c r="CV9" s="40" t="str">
        <f t="shared" si="30"/>
        <v/>
      </c>
      <c r="CW9" s="40">
        <f t="shared" si="31"/>
        <v>11.6</v>
      </c>
      <c r="CX9" s="40">
        <f t="shared" si="32"/>
        <v>48.999999999999993</v>
      </c>
      <c r="CY9" s="40">
        <f t="shared" si="33"/>
        <v>11.6</v>
      </c>
      <c r="CZ9" s="40">
        <f t="shared" si="34"/>
        <v>48.400000000000006</v>
      </c>
      <c r="DA9" s="40">
        <f t="shared" si="35"/>
        <v>97.4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>
        <v>18.8</v>
      </c>
      <c r="EG9" s="18">
        <v>6</v>
      </c>
      <c r="EH9" s="18">
        <v>0.6</v>
      </c>
      <c r="EI9" s="18">
        <v>0</v>
      </c>
      <c r="EJ9" s="18">
        <v>18.8</v>
      </c>
      <c r="EK9" s="18">
        <v>5.6</v>
      </c>
      <c r="EL9" s="18">
        <v>0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 t="shared" si="46"/>
        <v>11.6</v>
      </c>
      <c r="FA9" s="11">
        <f t="shared" si="47"/>
        <v>48.6</v>
      </c>
      <c r="FB9" s="11" t="str">
        <f t="shared" si="48"/>
        <v/>
      </c>
      <c r="FC9" s="11">
        <f t="shared" si="49"/>
        <v>11.6</v>
      </c>
      <c r="FD9" s="11">
        <f t="shared" si="50"/>
        <v>48.6</v>
      </c>
      <c r="FE9" s="11" t="str">
        <f t="shared" si="51"/>
        <v/>
      </c>
      <c r="FF9" s="11" t="str">
        <f t="shared" si="52"/>
        <v/>
      </c>
      <c r="FG9" s="11">
        <f t="shared" si="53"/>
        <v>48.6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18.899999999999999</v>
      </c>
      <c r="TI9" s="26">
        <f t="shared" si="159"/>
        <v>5.6</v>
      </c>
      <c r="TJ9" s="26">
        <f t="shared" si="160"/>
        <v>0.1</v>
      </c>
      <c r="TK9" s="26">
        <f t="shared" si="161"/>
        <v>0.15</v>
      </c>
      <c r="TL9" s="26">
        <f t="shared" si="162"/>
        <v>18.600000000000001</v>
      </c>
      <c r="TM9" s="26">
        <f t="shared" si="163"/>
        <v>6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5.6</v>
      </c>
      <c r="TV9" s="26">
        <f t="shared" si="172"/>
        <v>0.5</v>
      </c>
      <c r="TW9" s="26">
        <f t="shared" si="173"/>
        <v>0.15</v>
      </c>
      <c r="TX9" s="26">
        <f t="shared" si="174"/>
        <v>16.95</v>
      </c>
      <c r="TY9" s="26">
        <f t="shared" si="175"/>
        <v>2.8</v>
      </c>
      <c r="TZ9" s="26">
        <f t="shared" si="176"/>
        <v>0.1</v>
      </c>
      <c r="UA9" s="26">
        <f t="shared" si="177"/>
        <v>0</v>
      </c>
      <c r="UB9" s="28" t="s">
        <v>53</v>
      </c>
      <c r="UC9" s="11">
        <f t="shared" si="178"/>
        <v>11.6</v>
      </c>
      <c r="UD9" s="11">
        <f t="shared" si="179"/>
        <v>48.949999999999996</v>
      </c>
      <c r="UE9" s="11" t="str">
        <f t="shared" si="180"/>
        <v/>
      </c>
      <c r="UF9" s="11">
        <f t="shared" si="181"/>
        <v>11.6</v>
      </c>
      <c r="UG9" s="11">
        <f t="shared" si="182"/>
        <v>48.949999999999996</v>
      </c>
      <c r="UH9" s="11">
        <f t="shared" si="183"/>
        <v>8.3999999999999986</v>
      </c>
      <c r="UI9" s="11">
        <f t="shared" si="184"/>
        <v>43.29999999999999</v>
      </c>
      <c r="UJ9" s="11">
        <f t="shared" si="185"/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 t="shared" si="0"/>
        <v>145.80000965000488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48.5</v>
      </c>
      <c r="K10" s="8" t="str">
        <f t="shared" si="5"/>
        <v>2025 Nationals</v>
      </c>
      <c r="L10" s="8">
        <f>IF(COUNT(AO10,BR10,CU10)&gt;1,LARGE((AO10,BR10,CU10),2),0)</f>
        <v>48</v>
      </c>
      <c r="M10" s="8" t="str">
        <f t="shared" si="6"/>
        <v>2024 3rd Domestic Trial</v>
      </c>
      <c r="N10" s="8">
        <f t="shared" si="7"/>
        <v>49.3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 t="shared" si="12"/>
        <v>11.600000000000001</v>
      </c>
      <c r="AO10" s="40">
        <f t="shared" si="13"/>
        <v>48</v>
      </c>
      <c r="AP10" s="40">
        <f t="shared" si="14"/>
        <v>23.6</v>
      </c>
      <c r="AQ10" s="40">
        <f t="shared" si="15"/>
        <v>16.400000000000002</v>
      </c>
      <c r="AR10" s="40">
        <f t="shared" si="16"/>
        <v>71.599999999999994</v>
      </c>
      <c r="AS10" s="40">
        <f t="shared" si="17"/>
        <v>11.600000000000001</v>
      </c>
      <c r="AT10" s="40">
        <f t="shared" si="18"/>
        <v>48.7</v>
      </c>
      <c r="AU10" s="40">
        <f t="shared" si="19"/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 t="shared" si="20"/>
        <v/>
      </c>
      <c r="BR10" s="11" t="str">
        <f t="shared" si="21"/>
        <v/>
      </c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 t="shared" si="28"/>
        <v>11.2</v>
      </c>
      <c r="CU10" s="40">
        <f t="shared" si="29"/>
        <v>48.5</v>
      </c>
      <c r="CV10" s="40" t="str">
        <f t="shared" si="30"/>
        <v/>
      </c>
      <c r="CW10" s="40">
        <f t="shared" si="31"/>
        <v>11.2</v>
      </c>
      <c r="CX10" s="40">
        <f t="shared" si="32"/>
        <v>48.5</v>
      </c>
      <c r="CY10" s="40">
        <f t="shared" si="33"/>
        <v>12.4</v>
      </c>
      <c r="CZ10" s="40">
        <f t="shared" si="34"/>
        <v>49.3</v>
      </c>
      <c r="DA10" s="40">
        <f t="shared" si="35"/>
        <v>97.8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9.35</v>
      </c>
      <c r="TI10" s="26">
        <f t="shared" si="159"/>
        <v>3</v>
      </c>
      <c r="TJ10" s="26">
        <f t="shared" si="160"/>
        <v>0</v>
      </c>
      <c r="TK10" s="26">
        <f t="shared" si="161"/>
        <v>0</v>
      </c>
      <c r="TL10" s="26">
        <f t="shared" si="162"/>
        <v>9.3000000000000007</v>
      </c>
      <c r="TM10" s="26">
        <f t="shared" si="163"/>
        <v>2.6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9.3000000000000007</v>
      </c>
      <c r="TU10" s="26">
        <f t="shared" si="171"/>
        <v>3.2</v>
      </c>
      <c r="TV10" s="26">
        <f t="shared" si="172"/>
        <v>0.1</v>
      </c>
      <c r="TW10" s="26">
        <f t="shared" si="173"/>
        <v>0</v>
      </c>
      <c r="TX10" s="26">
        <f t="shared" si="174"/>
        <v>9.25</v>
      </c>
      <c r="TY10" s="26">
        <f t="shared" si="175"/>
        <v>3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5.6</v>
      </c>
      <c r="UD10" s="11">
        <f t="shared" si="179"/>
        <v>24.25</v>
      </c>
      <c r="UE10" s="11" t="str">
        <f t="shared" si="180"/>
        <v/>
      </c>
      <c r="UF10" s="11">
        <f t="shared" si="181"/>
        <v>5.6</v>
      </c>
      <c r="UG10" s="11">
        <f t="shared" si="182"/>
        <v>24.25</v>
      </c>
      <c r="UH10" s="11">
        <f t="shared" si="183"/>
        <v>6.2</v>
      </c>
      <c r="UI10" s="11">
        <f t="shared" si="184"/>
        <v>24.65</v>
      </c>
      <c r="UJ10" s="11">
        <f t="shared" si="185"/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 t="shared" si="0"/>
        <v>145.00000956000477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48.099999999999994</v>
      </c>
      <c r="K11" s="8" t="str">
        <f t="shared" si="5"/>
        <v>2025 Elite Canada</v>
      </c>
      <c r="L11" s="8">
        <f>IF(COUNT(AO11,BR11,CU11)&gt;1,LARGE((AO11,BR11,CU11),2),0)</f>
        <v>47.5</v>
      </c>
      <c r="M11" s="8" t="str">
        <f t="shared" si="6"/>
        <v>2025 Nationals</v>
      </c>
      <c r="N11" s="8">
        <f t="shared" si="7"/>
        <v>49.3</v>
      </c>
      <c r="O11" s="8" t="str">
        <f t="shared" si="8"/>
        <v>2024 3rd Domestic Trial</v>
      </c>
      <c r="P11" s="8">
        <f t="shared" si="9"/>
        <v>9.9999999999994316E-2</v>
      </c>
      <c r="Q11" s="11" t="str">
        <f t="shared" si="10"/>
        <v>(Q1)</v>
      </c>
      <c r="R11" s="8" t="str">
        <f t="shared" si="11"/>
        <v>2025 World Cup POR (July 6)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 t="shared" si="12"/>
        <v>8</v>
      </c>
      <c r="AO11" s="40">
        <f t="shared" si="13"/>
        <v>44.3</v>
      </c>
      <c r="AP11" s="40">
        <f t="shared" si="14"/>
        <v>22.700000000000003</v>
      </c>
      <c r="AQ11" s="40">
        <f t="shared" si="15"/>
        <v>12.4</v>
      </c>
      <c r="AR11" s="40">
        <f t="shared" si="16"/>
        <v>67</v>
      </c>
      <c r="AS11" s="40">
        <f t="shared" si="17"/>
        <v>11.6</v>
      </c>
      <c r="AT11" s="40">
        <f t="shared" si="18"/>
        <v>49.3</v>
      </c>
      <c r="AU11" s="40">
        <f t="shared" si="19"/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48.099999999999994</v>
      </c>
      <c r="BS11" s="11" t="str">
        <f t="shared" si="22"/>
        <v/>
      </c>
      <c r="BT11" s="11">
        <f t="shared" si="23"/>
        <v>11.6</v>
      </c>
      <c r="BU11" s="11">
        <f t="shared" si="24"/>
        <v>48.099999999999994</v>
      </c>
      <c r="BV11" s="11">
        <f t="shared" si="25"/>
        <v>11.6</v>
      </c>
      <c r="BW11" s="11">
        <f t="shared" si="26"/>
        <v>49</v>
      </c>
      <c r="BX11" s="11">
        <f t="shared" si="27"/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 t="shared" si="28"/>
        <v>10.8</v>
      </c>
      <c r="CU11" s="40">
        <f t="shared" si="29"/>
        <v>47.5</v>
      </c>
      <c r="CV11" s="40" t="str">
        <f t="shared" si="30"/>
        <v/>
      </c>
      <c r="CW11" s="40">
        <f t="shared" si="31"/>
        <v>10.8</v>
      </c>
      <c r="CX11" s="40">
        <f t="shared" si="32"/>
        <v>47.5</v>
      </c>
      <c r="CY11" s="40">
        <f t="shared" si="33"/>
        <v>8.8000000000000007</v>
      </c>
      <c r="CZ11" s="40">
        <f t="shared" si="34"/>
        <v>42.6</v>
      </c>
      <c r="DA11" s="40">
        <f t="shared" si="35"/>
        <v>90.1</v>
      </c>
      <c r="DB11" s="51">
        <f t="shared" si="36"/>
        <v>9.9999999999994316E-2</v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>
        <v>18.8</v>
      </c>
      <c r="EG11" s="18">
        <v>5.6</v>
      </c>
      <c r="EH11" s="18">
        <v>0.6</v>
      </c>
      <c r="EI11" s="18">
        <v>0</v>
      </c>
      <c r="EJ11" s="18">
        <v>18.399999999999999</v>
      </c>
      <c r="EK11" s="18">
        <v>6</v>
      </c>
      <c r="EL11" s="18">
        <v>0.6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 t="shared" si="46"/>
        <v>11.6</v>
      </c>
      <c r="FA11" s="11">
        <f t="shared" si="47"/>
        <v>47.599999999999994</v>
      </c>
      <c r="FB11" s="11" t="str">
        <f t="shared" si="48"/>
        <v/>
      </c>
      <c r="FC11" s="11">
        <f t="shared" si="49"/>
        <v>11.6</v>
      </c>
      <c r="FD11" s="11">
        <f t="shared" si="50"/>
        <v>47.599999999999994</v>
      </c>
      <c r="FE11" s="11" t="str">
        <f t="shared" si="51"/>
        <v/>
      </c>
      <c r="FF11" s="11" t="str">
        <f t="shared" si="52"/>
        <v/>
      </c>
      <c r="FG11" s="11">
        <f t="shared" si="53"/>
        <v>47.599999999999994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</v>
      </c>
      <c r="TI11" s="26">
        <f t="shared" si="159"/>
        <v>5.1999999999999993</v>
      </c>
      <c r="TJ11" s="26">
        <f t="shared" si="160"/>
        <v>0.4</v>
      </c>
      <c r="TK11" s="26">
        <f t="shared" si="161"/>
        <v>0</v>
      </c>
      <c r="TL11" s="26">
        <f t="shared" si="162"/>
        <v>18.5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17.05</v>
      </c>
      <c r="TU11" s="26">
        <f t="shared" si="171"/>
        <v>4.1999999999999993</v>
      </c>
      <c r="TV11" s="26">
        <f t="shared" si="172"/>
        <v>0</v>
      </c>
      <c r="TW11" s="26">
        <f t="shared" si="173"/>
        <v>0</v>
      </c>
      <c r="TX11" s="26">
        <f t="shared" si="174"/>
        <v>18.55</v>
      </c>
      <c r="TY11" s="26">
        <f t="shared" si="175"/>
        <v>6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11.2</v>
      </c>
      <c r="UD11" s="11">
        <f t="shared" si="179"/>
        <v>47.800000000000004</v>
      </c>
      <c r="UE11" s="11" t="str">
        <f t="shared" si="180"/>
        <v/>
      </c>
      <c r="UF11" s="11">
        <f t="shared" si="181"/>
        <v>11.2</v>
      </c>
      <c r="UG11" s="11">
        <f t="shared" si="182"/>
        <v>47.800000000000004</v>
      </c>
      <c r="UH11" s="11">
        <f t="shared" si="183"/>
        <v>10.199999999999999</v>
      </c>
      <c r="UI11" s="11">
        <f t="shared" si="184"/>
        <v>45.8</v>
      </c>
      <c r="UJ11" s="11">
        <f t="shared" si="185"/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195</v>
      </c>
      <c r="C12" s="4" t="s">
        <v>6</v>
      </c>
      <c r="D12" s="4">
        <v>2008</v>
      </c>
      <c r="E12" s="9">
        <f t="shared" si="0"/>
        <v>143.70000924000493</v>
      </c>
      <c r="F12" s="3" t="str">
        <f t="shared" si="1"/>
        <v>P</v>
      </c>
      <c r="G12" s="3" t="str">
        <f t="shared" si="2"/>
        <v>P</v>
      </c>
      <c r="H12" s="36" t="str">
        <f t="shared" si="3"/>
        <v>Merit</v>
      </c>
      <c r="I12" s="3" t="str">
        <f t="shared" si="4"/>
        <v>P</v>
      </c>
      <c r="J12" s="8">
        <f>IF(COUNT(AO12,BR12,CU12)&gt;0,LARGE((AO12,BR12,CU12),1),0)</f>
        <v>49.499999999999993</v>
      </c>
      <c r="K12" s="8" t="str">
        <f t="shared" si="5"/>
        <v>2025 Nationals</v>
      </c>
      <c r="L12" s="8">
        <f>IF(COUNT(AO12,BR12,CU12)&gt;1,LARGE((AO12,BR12,CU12),2),0)</f>
        <v>42.900000000000006</v>
      </c>
      <c r="M12" s="8" t="str">
        <f t="shared" si="6"/>
        <v>2024 3rd Domestic Trial</v>
      </c>
      <c r="N12" s="8">
        <f t="shared" si="7"/>
        <v>51.3</v>
      </c>
      <c r="O12" s="8" t="str">
        <f t="shared" si="8"/>
        <v>2025 Nationals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17.8</v>
      </c>
      <c r="T12" s="19">
        <v>4.4000000000000004</v>
      </c>
      <c r="U12" s="19">
        <v>0.6</v>
      </c>
      <c r="V12" s="19">
        <v>0</v>
      </c>
      <c r="W12" s="19">
        <v>19</v>
      </c>
      <c r="X12" s="19">
        <v>3.1</v>
      </c>
      <c r="Y12" s="19">
        <v>0.8</v>
      </c>
      <c r="Z12" s="19">
        <v>0</v>
      </c>
      <c r="AA12" s="19">
        <v>16.2</v>
      </c>
      <c r="AB12" s="19">
        <v>2.8</v>
      </c>
      <c r="AC12" s="19">
        <v>1.2</v>
      </c>
      <c r="AD12" s="19">
        <v>0</v>
      </c>
      <c r="AE12" s="19">
        <v>17.8</v>
      </c>
      <c r="AF12" s="19">
        <v>5.6</v>
      </c>
      <c r="AG12" s="19">
        <v>1</v>
      </c>
      <c r="AH12" s="19">
        <v>0</v>
      </c>
      <c r="AI12" s="19">
        <v>17.2</v>
      </c>
      <c r="AJ12" s="19">
        <v>2.4</v>
      </c>
      <c r="AK12" s="19">
        <v>0</v>
      </c>
      <c r="AL12" s="19">
        <v>0</v>
      </c>
      <c r="AM12" s="27"/>
      <c r="AN12" s="40">
        <f t="shared" si="12"/>
        <v>7.5</v>
      </c>
      <c r="AO12" s="40">
        <f t="shared" si="13"/>
        <v>42.900000000000006</v>
      </c>
      <c r="AP12" s="40">
        <f t="shared" si="14"/>
        <v>17.8</v>
      </c>
      <c r="AQ12" s="40">
        <f t="shared" si="15"/>
        <v>10.3</v>
      </c>
      <c r="AR12" s="40">
        <f t="shared" si="16"/>
        <v>60.7</v>
      </c>
      <c r="AS12" s="40">
        <f t="shared" si="17"/>
        <v>8</v>
      </c>
      <c r="AT12" s="40">
        <f t="shared" si="18"/>
        <v>41.999999999999993</v>
      </c>
      <c r="AU12" s="40">
        <f t="shared" si="19"/>
        <v>102.69999999999999</v>
      </c>
      <c r="AV12" s="18">
        <v>18.7</v>
      </c>
      <c r="AW12" s="18">
        <v>5.2</v>
      </c>
      <c r="AX12" s="18">
        <v>0</v>
      </c>
      <c r="AY12" s="18">
        <v>0</v>
      </c>
      <c r="AZ12" s="18">
        <v>15.2</v>
      </c>
      <c r="BA12" s="18">
        <v>0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5.2</v>
      </c>
      <c r="BR12" s="11">
        <f t="shared" si="21"/>
        <v>39.099999999999994</v>
      </c>
      <c r="BS12" s="11" t="str">
        <f t="shared" si="22"/>
        <v/>
      </c>
      <c r="BT12" s="11">
        <f t="shared" si="23"/>
        <v>5.2</v>
      </c>
      <c r="BU12" s="11">
        <f t="shared" si="24"/>
        <v>39.099999999999994</v>
      </c>
      <c r="BV12" s="11" t="str">
        <f t="shared" si="25"/>
        <v/>
      </c>
      <c r="BW12" s="11" t="str">
        <f t="shared" si="26"/>
        <v/>
      </c>
      <c r="BX12" s="11">
        <f t="shared" si="27"/>
        <v>39.099999999999994</v>
      </c>
      <c r="BY12" s="19">
        <v>18.5</v>
      </c>
      <c r="BZ12" s="19">
        <v>6</v>
      </c>
      <c r="CA12" s="19">
        <v>0.2</v>
      </c>
      <c r="CB12" s="19">
        <v>0.3</v>
      </c>
      <c r="CC12" s="19">
        <v>18.7</v>
      </c>
      <c r="CD12" s="19">
        <v>6.4</v>
      </c>
      <c r="CE12" s="19">
        <v>0.2</v>
      </c>
      <c r="CF12" s="19">
        <v>0</v>
      </c>
      <c r="CG12" s="19"/>
      <c r="CH12" s="19"/>
      <c r="CI12" s="19"/>
      <c r="CJ12" s="19"/>
      <c r="CK12" s="19">
        <v>18.600000000000001</v>
      </c>
      <c r="CL12" s="19">
        <v>7.2</v>
      </c>
      <c r="CM12" s="19">
        <v>0</v>
      </c>
      <c r="CN12" s="19">
        <v>0.3</v>
      </c>
      <c r="CO12" s="19">
        <v>18.3</v>
      </c>
      <c r="CP12" s="19">
        <v>6.8</v>
      </c>
      <c r="CQ12" s="19">
        <v>0.2</v>
      </c>
      <c r="CR12" s="19">
        <v>0.3</v>
      </c>
      <c r="CS12" s="27"/>
      <c r="CT12" s="40">
        <f t="shared" si="28"/>
        <v>12.4</v>
      </c>
      <c r="CU12" s="40">
        <f t="shared" si="29"/>
        <v>49.499999999999993</v>
      </c>
      <c r="CV12" s="40" t="str">
        <f t="shared" si="30"/>
        <v/>
      </c>
      <c r="CW12" s="40">
        <f t="shared" si="31"/>
        <v>12.4</v>
      </c>
      <c r="CX12" s="40">
        <f t="shared" si="32"/>
        <v>49.499999999999993</v>
      </c>
      <c r="CY12" s="40">
        <f t="shared" si="33"/>
        <v>14</v>
      </c>
      <c r="CZ12" s="40">
        <f t="shared" si="34"/>
        <v>51.3</v>
      </c>
      <c r="DA12" s="40">
        <f t="shared" si="35"/>
        <v>100.79999999999998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18.600000000000001</v>
      </c>
      <c r="TI12" s="26">
        <f t="shared" si="159"/>
        <v>5.6</v>
      </c>
      <c r="TJ12" s="26">
        <f t="shared" si="160"/>
        <v>0.1</v>
      </c>
      <c r="TK12" s="26">
        <f t="shared" si="161"/>
        <v>0.15</v>
      </c>
      <c r="TL12" s="26">
        <f t="shared" si="162"/>
        <v>16.95</v>
      </c>
      <c r="TM12" s="26">
        <f t="shared" si="163"/>
        <v>3.2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9.3000000000000007</v>
      </c>
      <c r="TU12" s="26">
        <f t="shared" si="171"/>
        <v>3.6</v>
      </c>
      <c r="TV12" s="26">
        <f t="shared" si="172"/>
        <v>0</v>
      </c>
      <c r="TW12" s="26">
        <f t="shared" si="173"/>
        <v>0.15</v>
      </c>
      <c r="TX12" s="26">
        <f t="shared" si="174"/>
        <v>9.15</v>
      </c>
      <c r="TY12" s="26">
        <f t="shared" si="175"/>
        <v>3.4</v>
      </c>
      <c r="TZ12" s="26">
        <f t="shared" si="176"/>
        <v>0.1</v>
      </c>
      <c r="UA12" s="26">
        <f t="shared" si="177"/>
        <v>0.15</v>
      </c>
      <c r="UB12" s="28" t="s">
        <v>53</v>
      </c>
      <c r="UC12" s="11">
        <f t="shared" si="178"/>
        <v>8.8000000000000007</v>
      </c>
      <c r="UD12" s="11">
        <f t="shared" si="179"/>
        <v>44.3</v>
      </c>
      <c r="UE12" s="11" t="str">
        <f t="shared" si="180"/>
        <v/>
      </c>
      <c r="UF12" s="11">
        <f t="shared" si="181"/>
        <v>8.8000000000000007</v>
      </c>
      <c r="UG12" s="11">
        <f t="shared" si="182"/>
        <v>44.3</v>
      </c>
      <c r="UH12" s="11">
        <f t="shared" si="183"/>
        <v>7</v>
      </c>
      <c r="UI12" s="11">
        <f t="shared" si="184"/>
        <v>25.65</v>
      </c>
      <c r="UJ12" s="11">
        <f t="shared" si="185"/>
        <v>69.949999999999989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 t="shared" si="0"/>
        <v>139.10000950000511</v>
      </c>
      <c r="F13" s="3" t="str">
        <f t="shared" si="1"/>
        <v>P</v>
      </c>
      <c r="G13" s="3" t="str">
        <f t="shared" si="2"/>
        <v>P</v>
      </c>
      <c r="H13" s="36" t="str">
        <f t="shared" si="3"/>
        <v>Merit</v>
      </c>
      <c r="I13" s="3" t="str">
        <f t="shared" si="4"/>
        <v>P</v>
      </c>
      <c r="J13" s="8">
        <f>IF(COUNT(AO13,BR13,CU13)&gt;0,LARGE((AO13,BR13,CU13),1),0)</f>
        <v>51.1</v>
      </c>
      <c r="K13" s="8" t="str">
        <f t="shared" si="5"/>
        <v>2025 Elite Canada</v>
      </c>
      <c r="L13" s="8">
        <f>IF(COUNT(AO13,BR13,CU13)&gt;1,LARGE((AO13,BR13,CU13),2),0)</f>
        <v>43.9</v>
      </c>
      <c r="M13" s="8" t="str">
        <f t="shared" si="6"/>
        <v>2025 Nationals</v>
      </c>
      <c r="N13" s="8">
        <f t="shared" si="7"/>
        <v>44.099999999999994</v>
      </c>
      <c r="O13" s="8" t="str">
        <f t="shared" si="8"/>
        <v>2025 Elite Canada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6.8</v>
      </c>
      <c r="AO13" s="40">
        <f t="shared" si="13"/>
        <v>25.5</v>
      </c>
      <c r="AP13" s="40">
        <f t="shared" si="14"/>
        <v>24.1</v>
      </c>
      <c r="AQ13" s="40">
        <f t="shared" si="15"/>
        <v>12.399999999999999</v>
      </c>
      <c r="AR13" s="40">
        <f t="shared" si="16"/>
        <v>49.6</v>
      </c>
      <c r="AS13" s="40" t="str">
        <f t="shared" si="17"/>
        <v/>
      </c>
      <c r="AT13" s="40" t="str">
        <f t="shared" si="18"/>
        <v/>
      </c>
      <c r="AU13" s="40">
        <f t="shared" si="19"/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 t="shared" si="20"/>
        <v>13.2</v>
      </c>
      <c r="BR13" s="11">
        <f t="shared" si="21"/>
        <v>51.1</v>
      </c>
      <c r="BS13" s="11" t="str">
        <f t="shared" si="22"/>
        <v/>
      </c>
      <c r="BT13" s="11">
        <f t="shared" si="23"/>
        <v>13.2</v>
      </c>
      <c r="BU13" s="11">
        <f t="shared" si="24"/>
        <v>51.1</v>
      </c>
      <c r="BV13" s="11">
        <f t="shared" si="25"/>
        <v>9.6</v>
      </c>
      <c r="BW13" s="11">
        <f t="shared" si="26"/>
        <v>44.099999999999994</v>
      </c>
      <c r="BX13" s="11">
        <f t="shared" si="27"/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9.6</v>
      </c>
      <c r="CU13" s="40">
        <f t="shared" si="29"/>
        <v>43.9</v>
      </c>
      <c r="CV13" s="40" t="str">
        <f t="shared" si="30"/>
        <v/>
      </c>
      <c r="CW13" s="40">
        <f t="shared" si="31"/>
        <v>9.6</v>
      </c>
      <c r="CX13" s="40">
        <f t="shared" si="32"/>
        <v>43.9</v>
      </c>
      <c r="CY13" s="40" t="str">
        <f t="shared" si="33"/>
        <v/>
      </c>
      <c r="CZ13" s="40" t="str">
        <f t="shared" si="34"/>
        <v/>
      </c>
      <c r="DA13" s="40">
        <f t="shared" si="35"/>
        <v>43.9</v>
      </c>
      <c r="DB13" s="51" t="str">
        <f t="shared" si="36"/>
        <v/>
      </c>
      <c r="DC13" s="51" t="str">
        <f t="shared" si="37"/>
        <v/>
      </c>
      <c r="DD13" s="17">
        <v>15.6</v>
      </c>
      <c r="DE13" s="17">
        <v>2.4</v>
      </c>
      <c r="DF13" s="17">
        <v>0</v>
      </c>
      <c r="DG13" s="17">
        <v>0</v>
      </c>
      <c r="DH13" s="17">
        <v>18.7</v>
      </c>
      <c r="DI13" s="17">
        <v>6.4</v>
      </c>
      <c r="DJ13" s="17">
        <v>0</v>
      </c>
      <c r="DK13" s="17">
        <v>0</v>
      </c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>
        <f t="shared" si="38"/>
        <v>8.8000000000000007</v>
      </c>
      <c r="DY13" s="40">
        <f t="shared" si="39"/>
        <v>43.1</v>
      </c>
      <c r="DZ13" s="40" t="str">
        <f t="shared" si="40"/>
        <v/>
      </c>
      <c r="EA13" s="40">
        <f t="shared" si="41"/>
        <v>8.8000000000000007</v>
      </c>
      <c r="EB13" s="40">
        <f t="shared" si="42"/>
        <v>43.1</v>
      </c>
      <c r="EC13" s="40" t="str">
        <f t="shared" si="43"/>
        <v/>
      </c>
      <c r="ED13" s="40" t="str">
        <f t="shared" si="44"/>
        <v/>
      </c>
      <c r="EE13" s="40">
        <f t="shared" si="45"/>
        <v>43.1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17.350000000000001</v>
      </c>
      <c r="TI13" s="26">
        <f t="shared" si="159"/>
        <v>4.5999999999999996</v>
      </c>
      <c r="TJ13" s="26">
        <f t="shared" si="160"/>
        <v>0.1</v>
      </c>
      <c r="TK13" s="26">
        <f t="shared" si="161"/>
        <v>0.15</v>
      </c>
      <c r="TL13" s="26">
        <f t="shared" si="162"/>
        <v>18.55</v>
      </c>
      <c r="TM13" s="26">
        <f t="shared" si="163"/>
        <v>6.8000000000000007</v>
      </c>
      <c r="TN13" s="26">
        <f t="shared" si="164"/>
        <v>0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9.4</v>
      </c>
      <c r="TU13" s="26">
        <f t="shared" si="171"/>
        <v>3.4</v>
      </c>
      <c r="TV13" s="26">
        <f t="shared" si="172"/>
        <v>0.1</v>
      </c>
      <c r="TW13" s="26">
        <f t="shared" si="173"/>
        <v>0.15</v>
      </c>
      <c r="TX13" s="26">
        <f t="shared" si="174"/>
        <v>7.8</v>
      </c>
      <c r="TY13" s="26">
        <f t="shared" si="175"/>
        <v>1.4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11.4</v>
      </c>
      <c r="UD13" s="11">
        <f t="shared" si="179"/>
        <v>47.5</v>
      </c>
      <c r="UE13" s="11" t="str">
        <f t="shared" si="180"/>
        <v/>
      </c>
      <c r="UF13" s="11">
        <f t="shared" si="181"/>
        <v>11.4</v>
      </c>
      <c r="UG13" s="11">
        <f t="shared" si="182"/>
        <v>47.5</v>
      </c>
      <c r="UH13" s="11">
        <f t="shared" si="183"/>
        <v>4.8</v>
      </c>
      <c r="UI13" s="11">
        <f t="shared" si="184"/>
        <v>22.049999999999997</v>
      </c>
      <c r="UJ13" s="11">
        <f t="shared" si="185"/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83</v>
      </c>
      <c r="C14" s="4" t="s">
        <v>6</v>
      </c>
      <c r="D14" s="4">
        <v>2003</v>
      </c>
      <c r="E14" s="9">
        <f t="shared" si="0"/>
        <v>129.00000937000493</v>
      </c>
      <c r="F14" s="3" t="str">
        <f t="shared" si="1"/>
        <v>P</v>
      </c>
      <c r="G14" s="3" t="str">
        <f t="shared" si="2"/>
        <v>P</v>
      </c>
      <c r="H14" s="36" t="str">
        <f t="shared" si="3"/>
        <v>Excellence</v>
      </c>
      <c r="I14" s="3" t="str">
        <f t="shared" si="4"/>
        <v>P</v>
      </c>
      <c r="J14" s="8">
        <f>IF(COUNT(AO14,BR14,CU14)&gt;0,LARGE((AO14,BR14,CU14),1),0)</f>
        <v>49.4</v>
      </c>
      <c r="K14" s="8" t="str">
        <f t="shared" si="5"/>
        <v>2025 Elite Canada</v>
      </c>
      <c r="L14" s="8">
        <f>IF(COUNT(AO14,BR14,CU14)&gt;1,LARGE((AO14,BR14,CU14),2),0)</f>
        <v>44.300000000000004</v>
      </c>
      <c r="M14" s="8" t="str">
        <f t="shared" si="6"/>
        <v>2025 Nationals</v>
      </c>
      <c r="N14" s="8">
        <f t="shared" si="7"/>
        <v>35.300000000000004</v>
      </c>
      <c r="O14" s="8" t="str">
        <f t="shared" si="8"/>
        <v>2025 Elite Canada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17.2</v>
      </c>
      <c r="T14" s="19">
        <v>2.4</v>
      </c>
      <c r="U14" s="19">
        <v>0</v>
      </c>
      <c r="V14" s="19">
        <v>0</v>
      </c>
      <c r="W14" s="19">
        <v>18.5</v>
      </c>
      <c r="X14" s="19">
        <v>5.6</v>
      </c>
      <c r="Y14" s="19">
        <v>0.2</v>
      </c>
      <c r="Z14" s="19">
        <v>0</v>
      </c>
      <c r="AA14" s="19">
        <v>18.899999999999999</v>
      </c>
      <c r="AB14" s="19">
        <v>3.1</v>
      </c>
      <c r="AC14" s="19">
        <v>1.2</v>
      </c>
      <c r="AD14" s="19">
        <v>0</v>
      </c>
      <c r="AE14" s="19">
        <v>17.399999999999999</v>
      </c>
      <c r="AF14" s="19">
        <v>2.8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 t="shared" si="12"/>
        <v>8</v>
      </c>
      <c r="AO14" s="40">
        <f t="shared" si="13"/>
        <v>43.499999999999993</v>
      </c>
      <c r="AP14" s="40">
        <f t="shared" si="14"/>
        <v>20.8</v>
      </c>
      <c r="AQ14" s="40">
        <f t="shared" si="15"/>
        <v>11.1</v>
      </c>
      <c r="AR14" s="40">
        <f t="shared" si="16"/>
        <v>64.3</v>
      </c>
      <c r="AS14" s="40">
        <f t="shared" si="17"/>
        <v>2.8</v>
      </c>
      <c r="AT14" s="40">
        <f t="shared" si="18"/>
        <v>20.2</v>
      </c>
      <c r="AU14" s="40">
        <f t="shared" si="19"/>
        <v>84.5</v>
      </c>
      <c r="AV14" s="18">
        <v>18.100000000000001</v>
      </c>
      <c r="AW14" s="18">
        <v>6.8</v>
      </c>
      <c r="AX14" s="18">
        <v>0.2</v>
      </c>
      <c r="AY14" s="18">
        <v>0.3</v>
      </c>
      <c r="AZ14" s="18">
        <v>18.8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15.4</v>
      </c>
      <c r="BI14" s="18">
        <v>2.4</v>
      </c>
      <c r="BJ14" s="18">
        <v>0</v>
      </c>
      <c r="BK14" s="18">
        <v>0</v>
      </c>
      <c r="BL14" s="18">
        <v>17.899999999999999</v>
      </c>
      <c r="BM14" s="18">
        <v>0.6</v>
      </c>
      <c r="BN14" s="18">
        <v>1</v>
      </c>
      <c r="BO14" s="18">
        <v>0</v>
      </c>
      <c r="BP14" s="28"/>
      <c r="BQ14" s="11">
        <f t="shared" si="20"/>
        <v>12.399999999999999</v>
      </c>
      <c r="BR14" s="11">
        <f t="shared" si="21"/>
        <v>49.4</v>
      </c>
      <c r="BS14" s="11" t="str">
        <f t="shared" si="22"/>
        <v/>
      </c>
      <c r="BT14" s="11">
        <f t="shared" si="23"/>
        <v>12.399999999999999</v>
      </c>
      <c r="BU14" s="11">
        <f t="shared" si="24"/>
        <v>49.4</v>
      </c>
      <c r="BV14" s="11">
        <f t="shared" si="25"/>
        <v>3</v>
      </c>
      <c r="BW14" s="11">
        <f t="shared" si="26"/>
        <v>35.300000000000004</v>
      </c>
      <c r="BX14" s="11">
        <f t="shared" si="27"/>
        <v>84.7</v>
      </c>
      <c r="BY14" s="19">
        <v>16.399999999999999</v>
      </c>
      <c r="BZ14" s="19">
        <v>4.8</v>
      </c>
      <c r="CA14" s="19">
        <v>0.8</v>
      </c>
      <c r="CB14" s="19">
        <v>0</v>
      </c>
      <c r="CC14" s="19">
        <v>18.5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10.399999999999999</v>
      </c>
      <c r="CU14" s="40">
        <f t="shared" si="29"/>
        <v>44.300000000000004</v>
      </c>
      <c r="CV14" s="40" t="str">
        <f t="shared" si="30"/>
        <v/>
      </c>
      <c r="CW14" s="40">
        <f t="shared" si="31"/>
        <v>10.399999999999999</v>
      </c>
      <c r="CX14" s="40">
        <f t="shared" si="32"/>
        <v>44.300000000000004</v>
      </c>
      <c r="CY14" s="40" t="str">
        <f t="shared" si="33"/>
        <v/>
      </c>
      <c r="CZ14" s="40" t="str">
        <f t="shared" si="34"/>
        <v/>
      </c>
      <c r="DA14" s="40">
        <f t="shared" si="35"/>
        <v>44.300000000000004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17.25</v>
      </c>
      <c r="TI14" s="26">
        <f t="shared" si="159"/>
        <v>5.8</v>
      </c>
      <c r="TJ14" s="26">
        <f t="shared" si="160"/>
        <v>0.5</v>
      </c>
      <c r="TK14" s="26">
        <f t="shared" si="161"/>
        <v>0.15</v>
      </c>
      <c r="TL14" s="26">
        <f t="shared" si="162"/>
        <v>18.649999999999999</v>
      </c>
      <c r="TM14" s="26">
        <f t="shared" si="163"/>
        <v>5.6</v>
      </c>
      <c r="TN14" s="26">
        <f t="shared" si="164"/>
        <v>0.1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7.7</v>
      </c>
      <c r="TU14" s="26">
        <f t="shared" si="171"/>
        <v>1.2</v>
      </c>
      <c r="TV14" s="26">
        <f t="shared" si="172"/>
        <v>0</v>
      </c>
      <c r="TW14" s="26">
        <f t="shared" si="173"/>
        <v>0</v>
      </c>
      <c r="TX14" s="26">
        <f t="shared" si="174"/>
        <v>8.9499999999999993</v>
      </c>
      <c r="TY14" s="26">
        <f t="shared" si="175"/>
        <v>0.3</v>
      </c>
      <c r="TZ14" s="26">
        <f t="shared" si="176"/>
        <v>0.5</v>
      </c>
      <c r="UA14" s="26">
        <f t="shared" si="177"/>
        <v>0</v>
      </c>
      <c r="UB14" s="28" t="s">
        <v>53</v>
      </c>
      <c r="UC14" s="11">
        <f t="shared" si="178"/>
        <v>11.399999999999999</v>
      </c>
      <c r="UD14" s="11">
        <f t="shared" si="179"/>
        <v>46.849999999999994</v>
      </c>
      <c r="UE14" s="11" t="str">
        <f t="shared" si="180"/>
        <v/>
      </c>
      <c r="UF14" s="11">
        <f t="shared" si="181"/>
        <v>11.399999999999999</v>
      </c>
      <c r="UG14" s="11">
        <f t="shared" si="182"/>
        <v>46.849999999999994</v>
      </c>
      <c r="UH14" s="11">
        <f t="shared" si="183"/>
        <v>1.5</v>
      </c>
      <c r="UI14" s="11">
        <f t="shared" si="184"/>
        <v>17.650000000000002</v>
      </c>
      <c r="UJ14" s="11">
        <f t="shared" si="185"/>
        <v>64.5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141</v>
      </c>
      <c r="C15" s="4" t="s">
        <v>5</v>
      </c>
      <c r="D15" s="4">
        <v>1999</v>
      </c>
      <c r="E15" s="9">
        <f t="shared" si="0"/>
        <v>122.70000735000491</v>
      </c>
      <c r="F15" s="3" t="str">
        <f t="shared" si="1"/>
        <v>P</v>
      </c>
      <c r="G15" s="3" t="str">
        <f t="shared" si="2"/>
        <v>P</v>
      </c>
      <c r="H15" s="36" t="str">
        <f t="shared" si="3"/>
        <v>Worlds Team</v>
      </c>
      <c r="I15" s="3" t="str">
        <f t="shared" si="4"/>
        <v>P</v>
      </c>
      <c r="J15" s="8">
        <f>IF(COUNT(AO15,BR15,CU15)&gt;0,LARGE((AO15,BR15,CU15),1),0)</f>
        <v>49</v>
      </c>
      <c r="K15" s="8" t="str">
        <f t="shared" si="5"/>
        <v>2025 Nationals</v>
      </c>
      <c r="L15" s="8">
        <f>IF(COUNT(AO15,BR15,CU15)&gt;1,LARGE((AO15,BR15,CU15),2),0)</f>
        <v>24.5</v>
      </c>
      <c r="M15" s="8" t="str">
        <f t="shared" si="6"/>
        <v>2025 Elite Canada</v>
      </c>
      <c r="N15" s="8">
        <f t="shared" si="7"/>
        <v>49.2</v>
      </c>
      <c r="O15" s="8" t="str">
        <f t="shared" si="8"/>
        <v>2025 Nationals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 t="shared" si="12"/>
        <v/>
      </c>
      <c r="AO15" s="40" t="str">
        <f t="shared" si="13"/>
        <v/>
      </c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18">
        <v>0</v>
      </c>
      <c r="AW15" s="18">
        <v>0</v>
      </c>
      <c r="AX15" s="18">
        <v>0</v>
      </c>
      <c r="AY15" s="18">
        <v>0</v>
      </c>
      <c r="AZ15" s="18">
        <v>18.7</v>
      </c>
      <c r="BA15" s="18">
        <v>6</v>
      </c>
      <c r="BB15" s="18">
        <v>0.2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6</v>
      </c>
      <c r="BR15" s="11">
        <f t="shared" si="21"/>
        <v>24.5</v>
      </c>
      <c r="BS15" s="11" t="str">
        <f t="shared" si="22"/>
        <v/>
      </c>
      <c r="BT15" s="11">
        <f t="shared" si="23"/>
        <v>6</v>
      </c>
      <c r="BU15" s="11">
        <f t="shared" si="24"/>
        <v>24.5</v>
      </c>
      <c r="BV15" s="11" t="str">
        <f t="shared" si="25"/>
        <v/>
      </c>
      <c r="BW15" s="11" t="str">
        <f t="shared" si="26"/>
        <v/>
      </c>
      <c r="BX15" s="11">
        <f t="shared" si="27"/>
        <v>24.5</v>
      </c>
      <c r="BY15" s="19">
        <v>18.600000000000001</v>
      </c>
      <c r="BZ15" s="19">
        <v>6</v>
      </c>
      <c r="CA15" s="19">
        <v>0.2</v>
      </c>
      <c r="CB15" s="19">
        <v>0</v>
      </c>
      <c r="CC15" s="19">
        <v>19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18.899999999999999</v>
      </c>
      <c r="CL15" s="19">
        <v>6</v>
      </c>
      <c r="CM15" s="19">
        <v>0.2</v>
      </c>
      <c r="CN15" s="19">
        <v>0</v>
      </c>
      <c r="CO15" s="19">
        <v>19.100000000000001</v>
      </c>
      <c r="CP15" s="19">
        <v>5.6</v>
      </c>
      <c r="CQ15" s="19">
        <v>0.2</v>
      </c>
      <c r="CR15" s="19">
        <v>0</v>
      </c>
      <c r="CS15" s="27"/>
      <c r="CT15" s="40">
        <f t="shared" si="28"/>
        <v>11.6</v>
      </c>
      <c r="CU15" s="40">
        <f t="shared" si="29"/>
        <v>49</v>
      </c>
      <c r="CV15" s="40" t="str">
        <f t="shared" si="30"/>
        <v/>
      </c>
      <c r="CW15" s="40">
        <f t="shared" si="31"/>
        <v>11.6</v>
      </c>
      <c r="CX15" s="40">
        <f t="shared" si="32"/>
        <v>49</v>
      </c>
      <c r="CY15" s="40">
        <f t="shared" si="33"/>
        <v>11.6</v>
      </c>
      <c r="CZ15" s="40">
        <f t="shared" si="34"/>
        <v>49.2</v>
      </c>
      <c r="DA15" s="40">
        <f t="shared" si="35"/>
        <v>98.2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9.3000000000000007</v>
      </c>
      <c r="TI15" s="26">
        <f t="shared" si="159"/>
        <v>3</v>
      </c>
      <c r="TJ15" s="26">
        <f t="shared" si="160"/>
        <v>0.1</v>
      </c>
      <c r="TK15" s="26">
        <f t="shared" si="161"/>
        <v>0</v>
      </c>
      <c r="TL15" s="26">
        <f t="shared" si="162"/>
        <v>18.850000000000001</v>
      </c>
      <c r="TM15" s="26">
        <f t="shared" si="163"/>
        <v>5.8</v>
      </c>
      <c r="TN15" s="26">
        <f t="shared" si="164"/>
        <v>0.1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9.4499999999999993</v>
      </c>
      <c r="TU15" s="26">
        <f t="shared" si="171"/>
        <v>3</v>
      </c>
      <c r="TV15" s="26">
        <f t="shared" si="172"/>
        <v>0.1</v>
      </c>
      <c r="TW15" s="26">
        <f t="shared" si="173"/>
        <v>0</v>
      </c>
      <c r="TX15" s="26">
        <f t="shared" si="174"/>
        <v>9.5500000000000007</v>
      </c>
      <c r="TY15" s="26">
        <f t="shared" si="175"/>
        <v>2.8</v>
      </c>
      <c r="TZ15" s="26">
        <f t="shared" si="176"/>
        <v>0.1</v>
      </c>
      <c r="UA15" s="26">
        <f t="shared" si="177"/>
        <v>0</v>
      </c>
      <c r="UB15" s="28" t="s">
        <v>53</v>
      </c>
      <c r="UC15" s="11">
        <f t="shared" si="178"/>
        <v>8.8000000000000007</v>
      </c>
      <c r="UD15" s="11">
        <f t="shared" si="179"/>
        <v>36.75</v>
      </c>
      <c r="UE15" s="11" t="str">
        <f t="shared" si="180"/>
        <v/>
      </c>
      <c r="UF15" s="11">
        <f t="shared" si="181"/>
        <v>8.8000000000000007</v>
      </c>
      <c r="UG15" s="11">
        <f t="shared" si="182"/>
        <v>36.75</v>
      </c>
      <c r="UH15" s="11">
        <f t="shared" si="183"/>
        <v>5.8</v>
      </c>
      <c r="UI15" s="11">
        <f t="shared" si="184"/>
        <v>24.6</v>
      </c>
      <c r="UJ15" s="11">
        <f t="shared" si="185"/>
        <v>61.35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198</v>
      </c>
      <c r="C16" s="4" t="s">
        <v>5</v>
      </c>
      <c r="D16" s="4">
        <v>2008</v>
      </c>
      <c r="E16" s="9">
        <f t="shared" si="0"/>
        <v>119.80000814000486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48.5</v>
      </c>
      <c r="K16" s="8" t="str">
        <f t="shared" si="5"/>
        <v>2025 Elite Canada</v>
      </c>
      <c r="L16" s="8">
        <f>IF(COUNT(AO16,BR16,CU16)&gt;1,LARGE((AO16,BR16,CU16),2),0)</f>
        <v>32.9</v>
      </c>
      <c r="M16" s="8" t="str">
        <f t="shared" si="6"/>
        <v>2025 Nationals</v>
      </c>
      <c r="N16" s="8">
        <f t="shared" si="7"/>
        <v>38.400000000000006</v>
      </c>
      <c r="O16" s="8" t="str">
        <f t="shared" si="8"/>
        <v>2025 Elite Canada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18.8</v>
      </c>
      <c r="AW16" s="18">
        <v>5.6</v>
      </c>
      <c r="AX16" s="18">
        <v>0</v>
      </c>
      <c r="AY16" s="18">
        <v>0</v>
      </c>
      <c r="AZ16" s="18">
        <v>18.5</v>
      </c>
      <c r="BA16" s="18">
        <v>5.6</v>
      </c>
      <c r="BB16" s="18">
        <v>0</v>
      </c>
      <c r="BC16" s="18">
        <v>0</v>
      </c>
      <c r="BD16" s="18"/>
      <c r="BE16" s="18"/>
      <c r="BF16" s="18"/>
      <c r="BG16" s="18"/>
      <c r="BH16" s="18">
        <v>16.600000000000001</v>
      </c>
      <c r="BI16" s="18">
        <v>4.8</v>
      </c>
      <c r="BJ16" s="18">
        <v>0.8</v>
      </c>
      <c r="BK16" s="18">
        <v>0</v>
      </c>
      <c r="BL16" s="18">
        <v>15.4</v>
      </c>
      <c r="BM16" s="18">
        <v>2.4</v>
      </c>
      <c r="BN16" s="18">
        <v>0</v>
      </c>
      <c r="BO16" s="18">
        <v>0</v>
      </c>
      <c r="BP16" s="28"/>
      <c r="BQ16" s="11">
        <f t="shared" si="20"/>
        <v>11.2</v>
      </c>
      <c r="BR16" s="11">
        <f t="shared" si="21"/>
        <v>48.5</v>
      </c>
      <c r="BS16" s="11" t="str">
        <f t="shared" si="22"/>
        <v/>
      </c>
      <c r="BT16" s="11">
        <f t="shared" si="23"/>
        <v>11.2</v>
      </c>
      <c r="BU16" s="11">
        <f t="shared" si="24"/>
        <v>48.5</v>
      </c>
      <c r="BV16" s="11">
        <f t="shared" si="25"/>
        <v>7.1999999999999993</v>
      </c>
      <c r="BW16" s="11">
        <f t="shared" si="26"/>
        <v>38.400000000000006</v>
      </c>
      <c r="BX16" s="11">
        <f t="shared" si="27"/>
        <v>86.9</v>
      </c>
      <c r="BY16" s="19">
        <v>15.2</v>
      </c>
      <c r="BZ16" s="19">
        <v>2.4</v>
      </c>
      <c r="CA16" s="19">
        <v>0</v>
      </c>
      <c r="CB16" s="19">
        <v>0</v>
      </c>
      <c r="CC16" s="19">
        <v>15.3</v>
      </c>
      <c r="CD16" s="19">
        <v>0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2.4</v>
      </c>
      <c r="CU16" s="40">
        <f t="shared" si="29"/>
        <v>32.9</v>
      </c>
      <c r="CV16" s="40" t="str">
        <f t="shared" si="30"/>
        <v/>
      </c>
      <c r="CW16" s="40">
        <f t="shared" si="31"/>
        <v>2.4</v>
      </c>
      <c r="CX16" s="40">
        <f t="shared" si="32"/>
        <v>32.9</v>
      </c>
      <c r="CY16" s="40" t="str">
        <f t="shared" si="33"/>
        <v/>
      </c>
      <c r="CZ16" s="40" t="str">
        <f t="shared" si="34"/>
        <v/>
      </c>
      <c r="DA16" s="40">
        <f t="shared" si="35"/>
        <v>32.9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17</v>
      </c>
      <c r="TI16" s="26">
        <f t="shared" si="159"/>
        <v>4</v>
      </c>
      <c r="TJ16" s="26">
        <f t="shared" si="160"/>
        <v>0</v>
      </c>
      <c r="TK16" s="26">
        <f t="shared" si="161"/>
        <v>0</v>
      </c>
      <c r="TL16" s="26">
        <f t="shared" si="162"/>
        <v>16.899999999999999</v>
      </c>
      <c r="TM16" s="26">
        <f t="shared" si="163"/>
        <v>2.8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8.3000000000000007</v>
      </c>
      <c r="TU16" s="26">
        <f t="shared" si="171"/>
        <v>2.4</v>
      </c>
      <c r="TV16" s="26">
        <f t="shared" si="172"/>
        <v>0.4</v>
      </c>
      <c r="TW16" s="26">
        <f t="shared" si="173"/>
        <v>0</v>
      </c>
      <c r="TX16" s="26">
        <f t="shared" si="174"/>
        <v>7.7</v>
      </c>
      <c r="TY16" s="26">
        <f t="shared" si="175"/>
        <v>1.2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6.8</v>
      </c>
      <c r="UD16" s="11">
        <f t="shared" si="179"/>
        <v>40.699999999999996</v>
      </c>
      <c r="UE16" s="11" t="str">
        <f t="shared" si="180"/>
        <v/>
      </c>
      <c r="UF16" s="11">
        <f t="shared" si="181"/>
        <v>6.8</v>
      </c>
      <c r="UG16" s="11">
        <f t="shared" si="182"/>
        <v>40.699999999999996</v>
      </c>
      <c r="UH16" s="11">
        <f t="shared" si="183"/>
        <v>3.5999999999999996</v>
      </c>
      <c r="UI16" s="11">
        <f t="shared" si="184"/>
        <v>19.200000000000003</v>
      </c>
      <c r="UJ16" s="11">
        <f t="shared" si="185"/>
        <v>59.9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209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 t="shared" si="12"/>
        <v/>
      </c>
      <c r="AO17" s="40" t="str">
        <f t="shared" si="13"/>
        <v/>
      </c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10.4</v>
      </c>
      <c r="BR17" s="11">
        <f t="shared" si="21"/>
        <v>47.2</v>
      </c>
      <c r="BS17" s="11" t="str">
        <f t="shared" si="22"/>
        <v/>
      </c>
      <c r="BT17" s="11">
        <f t="shared" si="23"/>
        <v>10.4</v>
      </c>
      <c r="BU17" s="11">
        <f t="shared" si="24"/>
        <v>47.2</v>
      </c>
      <c r="BV17" s="11" t="str">
        <f t="shared" si="25"/>
        <v/>
      </c>
      <c r="BW17" s="11" t="str">
        <f t="shared" si="26"/>
        <v/>
      </c>
      <c r="BX17" s="11">
        <f t="shared" si="27"/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 t="shared" si="28"/>
        <v>10.8</v>
      </c>
      <c r="CU17" s="40">
        <f t="shared" si="29"/>
        <v>46.8</v>
      </c>
      <c r="CV17" s="40" t="str">
        <f t="shared" si="30"/>
        <v/>
      </c>
      <c r="CW17" s="40">
        <f t="shared" si="31"/>
        <v>10.8</v>
      </c>
      <c r="CX17" s="40">
        <f t="shared" si="32"/>
        <v>46.8</v>
      </c>
      <c r="CY17" s="40">
        <f t="shared" si="33"/>
        <v>11.6</v>
      </c>
      <c r="CZ17" s="40">
        <f t="shared" si="34"/>
        <v>47.6</v>
      </c>
      <c r="DA17" s="40">
        <f t="shared" si="35"/>
        <v>94.4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18.350000000000001</v>
      </c>
      <c r="TI17" s="26">
        <f t="shared" si="159"/>
        <v>5.2</v>
      </c>
      <c r="TJ17" s="26">
        <f t="shared" si="160"/>
        <v>0.1</v>
      </c>
      <c r="TK17" s="26">
        <f t="shared" si="161"/>
        <v>0</v>
      </c>
      <c r="TL17" s="26">
        <f t="shared" si="162"/>
        <v>18.25</v>
      </c>
      <c r="TM17" s="26">
        <f t="shared" si="163"/>
        <v>5.4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10.600000000000001</v>
      </c>
      <c r="UD17" s="11">
        <f t="shared" si="179"/>
        <v>46.999999999999993</v>
      </c>
      <c r="UE17" s="11" t="str">
        <f t="shared" si="180"/>
        <v/>
      </c>
      <c r="UF17" s="11">
        <f t="shared" si="181"/>
        <v>10.600000000000001</v>
      </c>
      <c r="UG17" s="11">
        <f t="shared" si="182"/>
        <v>46.999999999999993</v>
      </c>
      <c r="UH17" s="11">
        <f t="shared" si="183"/>
        <v>5.8</v>
      </c>
      <c r="UI17" s="11">
        <f t="shared" si="184"/>
        <v>23.8</v>
      </c>
      <c r="UJ17" s="11">
        <f t="shared" si="185"/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244</v>
      </c>
      <c r="C18" s="4" t="s">
        <v>6</v>
      </c>
      <c r="D18" s="4">
        <v>2005</v>
      </c>
      <c r="E18" s="9">
        <f t="shared" si="0"/>
        <v>139.20000925000465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46.6</v>
      </c>
      <c r="K18" s="8" t="str">
        <f t="shared" si="5"/>
        <v>2025 Nationals</v>
      </c>
      <c r="L18" s="8">
        <f>IF(COUNT(AO18,BR18,CU18)&gt;1,LARGE((AO18,BR18,CU18),2),0)</f>
        <v>45.9</v>
      </c>
      <c r="M18" s="8" t="str">
        <f t="shared" si="6"/>
        <v>2025 Elite Canada</v>
      </c>
      <c r="N18" s="8">
        <f t="shared" si="7"/>
        <v>46.7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 t="shared" si="12"/>
        <v>7.6</v>
      </c>
      <c r="AO18" s="40">
        <f t="shared" si="13"/>
        <v>40.79999999999999</v>
      </c>
      <c r="AP18" s="40">
        <f t="shared" si="14"/>
        <v>19.400000000000002</v>
      </c>
      <c r="AQ18" s="40">
        <f t="shared" si="15"/>
        <v>10.6</v>
      </c>
      <c r="AR18" s="40">
        <f t="shared" si="16"/>
        <v>60.199999999999989</v>
      </c>
      <c r="AS18" s="40">
        <f t="shared" si="17"/>
        <v>5.1999999999999993</v>
      </c>
      <c r="AT18" s="40">
        <f t="shared" si="18"/>
        <v>39.6</v>
      </c>
      <c r="AU18" s="40">
        <f t="shared" si="19"/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 t="shared" si="20"/>
        <v>9.6</v>
      </c>
      <c r="BR18" s="11">
        <f t="shared" si="21"/>
        <v>45.9</v>
      </c>
      <c r="BS18" s="11" t="str">
        <f t="shared" si="22"/>
        <v/>
      </c>
      <c r="BT18" s="11">
        <f t="shared" si="23"/>
        <v>9.6</v>
      </c>
      <c r="BU18" s="11">
        <f t="shared" si="24"/>
        <v>45.9</v>
      </c>
      <c r="BV18" s="11">
        <f t="shared" si="25"/>
        <v>9.6</v>
      </c>
      <c r="BW18" s="11">
        <f t="shared" si="26"/>
        <v>45.8</v>
      </c>
      <c r="BX18" s="11">
        <f t="shared" si="27"/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 t="shared" si="28"/>
        <v>10.4</v>
      </c>
      <c r="CU18" s="40">
        <f t="shared" si="29"/>
        <v>46.6</v>
      </c>
      <c r="CV18" s="40" t="str">
        <f t="shared" si="30"/>
        <v/>
      </c>
      <c r="CW18" s="40">
        <f t="shared" si="31"/>
        <v>10.4</v>
      </c>
      <c r="CX18" s="40">
        <f t="shared" si="32"/>
        <v>46.6</v>
      </c>
      <c r="CY18" s="40">
        <f t="shared" si="33"/>
        <v>10.4</v>
      </c>
      <c r="CZ18" s="40">
        <f t="shared" si="34"/>
        <v>46.7</v>
      </c>
      <c r="DA18" s="40">
        <f t="shared" si="35"/>
        <v>93.300000000000011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18.3</v>
      </c>
      <c r="TI18" s="26">
        <f t="shared" si="159"/>
        <v>5</v>
      </c>
      <c r="TJ18" s="26">
        <f t="shared" si="160"/>
        <v>0.3</v>
      </c>
      <c r="TK18" s="26">
        <f t="shared" si="161"/>
        <v>0</v>
      </c>
      <c r="TL18" s="26">
        <f t="shared" si="162"/>
        <v>18.55</v>
      </c>
      <c r="TM18" s="26">
        <f t="shared" si="163"/>
        <v>5</v>
      </c>
      <c r="TN18" s="26">
        <f t="shared" si="164"/>
        <v>0.3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18.3</v>
      </c>
      <c r="TU18" s="26">
        <f t="shared" si="171"/>
        <v>5</v>
      </c>
      <c r="TV18" s="26">
        <f t="shared" si="172"/>
        <v>0.1</v>
      </c>
      <c r="TW18" s="26">
        <f t="shared" si="173"/>
        <v>0</v>
      </c>
      <c r="TX18" s="26">
        <f t="shared" si="174"/>
        <v>18.149999999999999</v>
      </c>
      <c r="TY18" s="26">
        <f t="shared" si="175"/>
        <v>5</v>
      </c>
      <c r="TZ18" s="26">
        <f t="shared" si="176"/>
        <v>0.1</v>
      </c>
      <c r="UA18" s="26">
        <f t="shared" si="177"/>
        <v>0</v>
      </c>
      <c r="UB18" s="28" t="s">
        <v>53</v>
      </c>
      <c r="UC18" s="11">
        <f t="shared" si="178"/>
        <v>10</v>
      </c>
      <c r="UD18" s="11">
        <f t="shared" si="179"/>
        <v>46.250000000000007</v>
      </c>
      <c r="UE18" s="11" t="str">
        <f t="shared" si="180"/>
        <v/>
      </c>
      <c r="UF18" s="11">
        <f t="shared" si="181"/>
        <v>10</v>
      </c>
      <c r="UG18" s="11">
        <f t="shared" si="182"/>
        <v>46.250000000000007</v>
      </c>
      <c r="UH18" s="11">
        <f t="shared" si="183"/>
        <v>10</v>
      </c>
      <c r="UI18" s="11">
        <f t="shared" si="184"/>
        <v>46.25</v>
      </c>
      <c r="UJ18" s="11">
        <f t="shared" si="185"/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 t="shared" si="0"/>
        <v>138.50000849000435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43.4</v>
      </c>
      <c r="K19" s="8" t="str">
        <f t="shared" si="5"/>
        <v>2024 3rd Domestic Trial</v>
      </c>
      <c r="L19" s="8">
        <f>IF(COUNT(AO19,BR19,CU19)&gt;1,LARGE((AO19,BR19,CU19),2),0)</f>
        <v>41.5</v>
      </c>
      <c r="M19" s="8" t="str">
        <f t="shared" si="6"/>
        <v>2025 Elite Canada</v>
      </c>
      <c r="N19" s="8">
        <f t="shared" si="7"/>
        <v>47.1</v>
      </c>
      <c r="O19" s="8" t="str">
        <f t="shared" si="8"/>
        <v>2024 3rd Domestic Trial</v>
      </c>
      <c r="P19" s="8">
        <f t="shared" si="9"/>
        <v>6.5</v>
      </c>
      <c r="Q19" s="11" t="str">
        <f t="shared" si="10"/>
        <v>(Q1)</v>
      </c>
      <c r="R19" s="8" t="str">
        <f t="shared" si="11"/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 t="shared" si="12"/>
        <v>7.5</v>
      </c>
      <c r="AO19" s="40">
        <f t="shared" si="13"/>
        <v>43.4</v>
      </c>
      <c r="AP19" s="40">
        <f t="shared" si="14"/>
        <v>24.5</v>
      </c>
      <c r="AQ19" s="40">
        <f t="shared" si="15"/>
        <v>13.1</v>
      </c>
      <c r="AR19" s="40">
        <f t="shared" si="16"/>
        <v>67.900000000000006</v>
      </c>
      <c r="AS19" s="40">
        <f t="shared" si="17"/>
        <v>10.399999999999999</v>
      </c>
      <c r="AT19" s="40">
        <f t="shared" si="18"/>
        <v>47.1</v>
      </c>
      <c r="AU19" s="40">
        <f t="shared" si="19"/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8</v>
      </c>
      <c r="BR19" s="11">
        <f t="shared" si="21"/>
        <v>41.5</v>
      </c>
      <c r="BS19" s="11" t="str">
        <f t="shared" si="22"/>
        <v/>
      </c>
      <c r="BT19" s="11">
        <f t="shared" si="23"/>
        <v>8</v>
      </c>
      <c r="BU19" s="11">
        <f t="shared" si="24"/>
        <v>41.5</v>
      </c>
      <c r="BV19" s="11" t="str">
        <f t="shared" si="25"/>
        <v/>
      </c>
      <c r="BW19" s="11" t="str">
        <f t="shared" si="26"/>
        <v/>
      </c>
      <c r="BX19" s="11">
        <f t="shared" si="27"/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>
        <f t="shared" si="36"/>
        <v>6.5</v>
      </c>
      <c r="DC19" s="51" t="str">
        <f t="shared" si="37"/>
        <v/>
      </c>
      <c r="DD19" s="17">
        <v>18.399999999999999</v>
      </c>
      <c r="DE19" s="17">
        <v>5.6</v>
      </c>
      <c r="DF19" s="17">
        <v>0</v>
      </c>
      <c r="DG19" s="17">
        <v>0</v>
      </c>
      <c r="DH19" s="17">
        <v>18.2</v>
      </c>
      <c r="DI19" s="17">
        <v>6</v>
      </c>
      <c r="DJ19" s="17">
        <v>0.2</v>
      </c>
      <c r="DK19" s="17">
        <v>0</v>
      </c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 t="shared" si="38"/>
        <v>11.6</v>
      </c>
      <c r="DY19" s="40">
        <f t="shared" si="39"/>
        <v>48</v>
      </c>
      <c r="DZ19" s="40" t="str">
        <f t="shared" si="40"/>
        <v/>
      </c>
      <c r="EA19" s="40">
        <f t="shared" si="41"/>
        <v>11.6</v>
      </c>
      <c r="EB19" s="40">
        <f t="shared" si="42"/>
        <v>48</v>
      </c>
      <c r="EC19" s="40" t="str">
        <f t="shared" si="43"/>
        <v/>
      </c>
      <c r="ED19" s="40" t="str">
        <f t="shared" si="44"/>
        <v/>
      </c>
      <c r="EE19" s="40">
        <f t="shared" si="45"/>
        <v>48</v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7.7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9.15</v>
      </c>
      <c r="TM19" s="26">
        <f t="shared" si="163"/>
        <v>2.8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4</v>
      </c>
      <c r="UD19" s="11">
        <f t="shared" si="179"/>
        <v>20.75</v>
      </c>
      <c r="UE19" s="11" t="str">
        <f t="shared" si="180"/>
        <v/>
      </c>
      <c r="UF19" s="11">
        <f t="shared" si="181"/>
        <v>4</v>
      </c>
      <c r="UG19" s="11">
        <f t="shared" si="182"/>
        <v>20.75</v>
      </c>
      <c r="UH19" s="11" t="str">
        <f t="shared" si="183"/>
        <v/>
      </c>
      <c r="UI19" s="11" t="str">
        <f t="shared" si="184"/>
        <v/>
      </c>
      <c r="UJ19" s="11">
        <f t="shared" si="185"/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246</v>
      </c>
      <c r="C20" s="4" t="s">
        <v>36</v>
      </c>
      <c r="D20" s="4">
        <v>2005</v>
      </c>
      <c r="E20" s="9">
        <f t="shared" si="0"/>
        <v>137.4000091000047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46.8</v>
      </c>
      <c r="K20" s="8" t="str">
        <f t="shared" si="5"/>
        <v>2025 Elite Canada</v>
      </c>
      <c r="L20" s="8">
        <f>IF(COUNT(AO20,BR20,CU20)&gt;1,LARGE((AO20,BR20,CU20),2),0)</f>
        <v>44.199999999999996</v>
      </c>
      <c r="M20" s="8" t="str">
        <f t="shared" si="6"/>
        <v>2025 Nationals</v>
      </c>
      <c r="N20" s="8">
        <f t="shared" si="7"/>
        <v>46.4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 t="shared" si="12"/>
        <v/>
      </c>
      <c r="AO20" s="40" t="str">
        <f t="shared" si="13"/>
        <v/>
      </c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 t="shared" si="20"/>
        <v>10.8</v>
      </c>
      <c r="BR20" s="11">
        <f t="shared" si="21"/>
        <v>46.8</v>
      </c>
      <c r="BS20" s="11" t="str">
        <f t="shared" si="22"/>
        <v/>
      </c>
      <c r="BT20" s="11">
        <f t="shared" si="23"/>
        <v>10.8</v>
      </c>
      <c r="BU20" s="11">
        <f t="shared" si="24"/>
        <v>46.8</v>
      </c>
      <c r="BV20" s="11">
        <f t="shared" si="25"/>
        <v>10.8</v>
      </c>
      <c r="BW20" s="11">
        <f t="shared" si="26"/>
        <v>46.4</v>
      </c>
      <c r="BX20" s="11">
        <f t="shared" si="27"/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8"/>
        <v>10.399999999999999</v>
      </c>
      <c r="CU20" s="40">
        <f t="shared" si="29"/>
        <v>44.199999999999996</v>
      </c>
      <c r="CV20" s="40" t="str">
        <f t="shared" si="30"/>
        <v/>
      </c>
      <c r="CW20" s="40">
        <f t="shared" si="31"/>
        <v>10.399999999999999</v>
      </c>
      <c r="CX20" s="40">
        <f t="shared" si="32"/>
        <v>44.199999999999996</v>
      </c>
      <c r="CY20" s="40" t="str">
        <f t="shared" si="33"/>
        <v/>
      </c>
      <c r="CZ20" s="40" t="str">
        <f t="shared" si="34"/>
        <v/>
      </c>
      <c r="DA20" s="40">
        <f t="shared" si="35"/>
        <v>44.199999999999996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17.350000000000001</v>
      </c>
      <c r="TI20" s="26">
        <f t="shared" si="159"/>
        <v>5.1999999999999993</v>
      </c>
      <c r="TJ20" s="26">
        <f t="shared" si="160"/>
        <v>0.7</v>
      </c>
      <c r="TK20" s="26">
        <f t="shared" si="161"/>
        <v>0</v>
      </c>
      <c r="TL20" s="26">
        <f t="shared" si="162"/>
        <v>18.45</v>
      </c>
      <c r="TM20" s="26">
        <f t="shared" si="163"/>
        <v>5.4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9.25</v>
      </c>
      <c r="TU20" s="26">
        <f t="shared" si="171"/>
        <v>2.8</v>
      </c>
      <c r="TV20" s="26">
        <f t="shared" si="172"/>
        <v>0.3</v>
      </c>
      <c r="TW20" s="26">
        <f t="shared" si="173"/>
        <v>0</v>
      </c>
      <c r="TX20" s="26">
        <f t="shared" si="174"/>
        <v>8.85</v>
      </c>
      <c r="TY20" s="26">
        <f t="shared" si="175"/>
        <v>2.6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10.6</v>
      </c>
      <c r="UD20" s="11">
        <f t="shared" si="179"/>
        <v>45.499999999999993</v>
      </c>
      <c r="UE20" s="11" t="str">
        <f t="shared" si="180"/>
        <v/>
      </c>
      <c r="UF20" s="11">
        <f t="shared" si="181"/>
        <v>10.6</v>
      </c>
      <c r="UG20" s="11">
        <f t="shared" si="182"/>
        <v>45.499999999999993</v>
      </c>
      <c r="UH20" s="11">
        <f t="shared" si="183"/>
        <v>5.4</v>
      </c>
      <c r="UI20" s="11">
        <f t="shared" si="184"/>
        <v>23.2</v>
      </c>
      <c r="UJ20" s="11">
        <f t="shared" si="185"/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192</v>
      </c>
      <c r="C21" s="4" t="s">
        <v>36</v>
      </c>
      <c r="D21" s="4">
        <v>2003</v>
      </c>
      <c r="E21" s="9">
        <f t="shared" si="0"/>
        <v>135.00000908000465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44.400000000000006</v>
      </c>
      <c r="M21" s="8" t="str">
        <f t="shared" si="6"/>
        <v>2024 3rd Domestic Trial</v>
      </c>
      <c r="N21" s="8">
        <f t="shared" si="7"/>
        <v>44.199999999999996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 t="shared" si="12"/>
        <v>10.4</v>
      </c>
      <c r="AO21" s="40">
        <f t="shared" si="13"/>
        <v>44.400000000000006</v>
      </c>
      <c r="AP21" s="40">
        <f t="shared" si="14"/>
        <v>22.099999999999998</v>
      </c>
      <c r="AQ21" s="40">
        <f t="shared" si="15"/>
        <v>14.8</v>
      </c>
      <c r="AR21" s="40">
        <f t="shared" si="16"/>
        <v>66.5</v>
      </c>
      <c r="AS21" s="40">
        <f t="shared" si="17"/>
        <v>8</v>
      </c>
      <c r="AT21" s="40">
        <f t="shared" si="18"/>
        <v>44.199999999999996</v>
      </c>
      <c r="AU21" s="40">
        <f t="shared" si="19"/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9.6000000000000014</v>
      </c>
      <c r="BR21" s="11">
        <f t="shared" si="21"/>
        <v>46.400000000000006</v>
      </c>
      <c r="BS21" s="11" t="str">
        <f t="shared" si="22"/>
        <v/>
      </c>
      <c r="BT21" s="11">
        <f t="shared" si="23"/>
        <v>9.6000000000000014</v>
      </c>
      <c r="BU21" s="11">
        <f t="shared" si="24"/>
        <v>46.400000000000006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10.4</v>
      </c>
      <c r="CU21" s="40">
        <f t="shared" si="29"/>
        <v>43.500000000000007</v>
      </c>
      <c r="CV21" s="40" t="str">
        <f t="shared" si="30"/>
        <v/>
      </c>
      <c r="CW21" s="40">
        <f t="shared" si="31"/>
        <v>10.4</v>
      </c>
      <c r="CX21" s="40">
        <f t="shared" si="32"/>
        <v>43.500000000000007</v>
      </c>
      <c r="CY21" s="40" t="str">
        <f t="shared" si="33"/>
        <v/>
      </c>
      <c r="CZ21" s="40" t="str">
        <f t="shared" si="34"/>
        <v/>
      </c>
      <c r="DA21" s="40">
        <f t="shared" si="35"/>
        <v>43.500000000000007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4.8000000000000007</v>
      </c>
      <c r="TJ21" s="26">
        <f t="shared" si="160"/>
        <v>0.60000000000000009</v>
      </c>
      <c r="TK21" s="26">
        <f t="shared" si="161"/>
        <v>0</v>
      </c>
      <c r="TL21" s="26">
        <f t="shared" si="162"/>
        <v>17.649999999999999</v>
      </c>
      <c r="TM21" s="26">
        <f t="shared" si="163"/>
        <v>5.2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10</v>
      </c>
      <c r="UD21" s="11">
        <f t="shared" si="179"/>
        <v>44.949999999999996</v>
      </c>
      <c r="UE21" s="11" t="str">
        <f t="shared" si="180"/>
        <v/>
      </c>
      <c r="UF21" s="11">
        <f t="shared" si="181"/>
        <v>10</v>
      </c>
      <c r="UG21" s="11">
        <f t="shared" si="182"/>
        <v>44.949999999999996</v>
      </c>
      <c r="UH21" s="11" t="str">
        <f t="shared" si="183"/>
        <v/>
      </c>
      <c r="UI21" s="11" t="str">
        <f t="shared" si="184"/>
        <v/>
      </c>
      <c r="UJ21" s="11">
        <f t="shared" si="185"/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245</v>
      </c>
      <c r="C22" s="4" t="s">
        <v>36</v>
      </c>
      <c r="D22" s="4">
        <v>2007</v>
      </c>
      <c r="E22" s="9">
        <f t="shared" si="0"/>
        <v>134.30000892000447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44.8</v>
      </c>
      <c r="K22" s="8" t="str">
        <f t="shared" si="5"/>
        <v>2025 Elite Canada</v>
      </c>
      <c r="L22" s="8">
        <f>IF(COUNT(AO22,BR22,CU22)&gt;1,LARGE((AO22,BR22,CU22),2),0)</f>
        <v>44.4</v>
      </c>
      <c r="M22" s="8" t="str">
        <f t="shared" si="6"/>
        <v>2025 Nationals</v>
      </c>
      <c r="N22" s="8">
        <f t="shared" si="7"/>
        <v>45.1</v>
      </c>
      <c r="O22" s="8" t="str">
        <f t="shared" si="8"/>
        <v>2025 Elite Canada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 t="shared" si="12"/>
        <v/>
      </c>
      <c r="AO22" s="40" t="str">
        <f t="shared" si="13"/>
        <v/>
      </c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 t="shared" si="20"/>
        <v>9.6</v>
      </c>
      <c r="BR22" s="11">
        <f t="shared" si="21"/>
        <v>44.8</v>
      </c>
      <c r="BS22" s="11" t="str">
        <f t="shared" si="22"/>
        <v/>
      </c>
      <c r="BT22" s="11">
        <f t="shared" si="23"/>
        <v>9.6</v>
      </c>
      <c r="BU22" s="11">
        <f t="shared" si="24"/>
        <v>44.8</v>
      </c>
      <c r="BV22" s="11">
        <f t="shared" si="25"/>
        <v>9.6000000000000014</v>
      </c>
      <c r="BW22" s="11">
        <f t="shared" si="26"/>
        <v>45.1</v>
      </c>
      <c r="BX22" s="11">
        <f t="shared" si="27"/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11.2</v>
      </c>
      <c r="CU22" s="40">
        <f t="shared" si="29"/>
        <v>44.4</v>
      </c>
      <c r="CV22" s="40" t="str">
        <f t="shared" si="30"/>
        <v/>
      </c>
      <c r="CW22" s="40">
        <f t="shared" si="31"/>
        <v>11.2</v>
      </c>
      <c r="CX22" s="40">
        <f t="shared" si="32"/>
        <v>44.4</v>
      </c>
      <c r="CY22" s="40" t="str">
        <f t="shared" si="33"/>
        <v/>
      </c>
      <c r="CZ22" s="40" t="str">
        <f t="shared" si="34"/>
        <v/>
      </c>
      <c r="DA22" s="40">
        <f t="shared" si="35"/>
        <v>44.4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18.149999999999999</v>
      </c>
      <c r="TI22" s="26">
        <f t="shared" si="159"/>
        <v>5.1999999999999993</v>
      </c>
      <c r="TJ22" s="26">
        <f t="shared" si="160"/>
        <v>0.6</v>
      </c>
      <c r="TK22" s="26">
        <f t="shared" si="161"/>
        <v>0</v>
      </c>
      <c r="TL22" s="26">
        <f t="shared" si="162"/>
        <v>17.149999999999999</v>
      </c>
      <c r="TM22" s="26">
        <f t="shared" si="163"/>
        <v>5.1999999999999993</v>
      </c>
      <c r="TN22" s="26">
        <f t="shared" si="164"/>
        <v>0.5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9.15</v>
      </c>
      <c r="TU22" s="26">
        <f t="shared" si="171"/>
        <v>2.6</v>
      </c>
      <c r="TV22" s="26">
        <f t="shared" si="172"/>
        <v>0.4</v>
      </c>
      <c r="TW22" s="26">
        <f t="shared" si="173"/>
        <v>0</v>
      </c>
      <c r="TX22" s="26">
        <f t="shared" si="174"/>
        <v>9.1</v>
      </c>
      <c r="TY22" s="26">
        <f t="shared" si="175"/>
        <v>2.2000000000000002</v>
      </c>
      <c r="TZ22" s="26">
        <f t="shared" si="176"/>
        <v>0.1</v>
      </c>
      <c r="UA22" s="26">
        <f t="shared" si="177"/>
        <v>0</v>
      </c>
      <c r="UB22" s="28" t="s">
        <v>53</v>
      </c>
      <c r="UC22" s="11">
        <f t="shared" si="178"/>
        <v>10.399999999999999</v>
      </c>
      <c r="UD22" s="11">
        <f t="shared" si="179"/>
        <v>44.6</v>
      </c>
      <c r="UE22" s="11" t="str">
        <f t="shared" si="180"/>
        <v/>
      </c>
      <c r="UF22" s="11">
        <f t="shared" si="181"/>
        <v>10.399999999999999</v>
      </c>
      <c r="UG22" s="11">
        <f t="shared" si="182"/>
        <v>44.6</v>
      </c>
      <c r="UH22" s="11">
        <f t="shared" si="183"/>
        <v>4.8000000000000007</v>
      </c>
      <c r="UI22" s="11">
        <f t="shared" si="184"/>
        <v>22.55</v>
      </c>
      <c r="UJ22" s="11">
        <f t="shared" si="185"/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5</v>
      </c>
      <c r="D23" s="4">
        <v>1999</v>
      </c>
      <c r="E23" s="9">
        <f t="shared" si="0"/>
        <v>133.90000872000465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46.2</v>
      </c>
      <c r="K23" s="8" t="str">
        <f t="shared" si="5"/>
        <v>2024 3rd Domestic Trial</v>
      </c>
      <c r="L23" s="8">
        <f>IF(COUNT(AO23,BR23,CU23)&gt;1,LARGE((AO23,BR23,CU23),2),0)</f>
        <v>41</v>
      </c>
      <c r="M23" s="8" t="str">
        <f t="shared" si="6"/>
        <v>2025 Elite Canada</v>
      </c>
      <c r="N23" s="8">
        <f t="shared" si="7"/>
        <v>46.699999999999996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 t="shared" si="12"/>
        <v>10.4</v>
      </c>
      <c r="AO23" s="40">
        <f t="shared" si="13"/>
        <v>46.2</v>
      </c>
      <c r="AP23" s="40">
        <f t="shared" si="14"/>
        <v>22.500000000000004</v>
      </c>
      <c r="AQ23" s="40">
        <f t="shared" si="15"/>
        <v>14.8</v>
      </c>
      <c r="AR23" s="40">
        <f t="shared" si="16"/>
        <v>68.7</v>
      </c>
      <c r="AS23" s="40">
        <f t="shared" si="17"/>
        <v>10.4</v>
      </c>
      <c r="AT23" s="40">
        <f t="shared" si="18"/>
        <v>46.699999999999996</v>
      </c>
      <c r="AU23" s="40">
        <f t="shared" si="19"/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8</v>
      </c>
      <c r="BR23" s="11">
        <f t="shared" si="21"/>
        <v>41</v>
      </c>
      <c r="BS23" s="11" t="str">
        <f t="shared" si="22"/>
        <v/>
      </c>
      <c r="BT23" s="11">
        <f t="shared" si="23"/>
        <v>8</v>
      </c>
      <c r="BU23" s="11">
        <f t="shared" si="24"/>
        <v>41</v>
      </c>
      <c r="BV23" s="11" t="str">
        <f t="shared" si="25"/>
        <v/>
      </c>
      <c r="BW23" s="11" t="str">
        <f t="shared" si="26"/>
        <v/>
      </c>
      <c r="BX23" s="11">
        <f t="shared" si="27"/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4.4000000000000004</v>
      </c>
      <c r="CU23" s="40">
        <f t="shared" si="29"/>
        <v>19.200000000000003</v>
      </c>
      <c r="CV23" s="40" t="str">
        <f t="shared" si="30"/>
        <v/>
      </c>
      <c r="CW23" s="40">
        <f t="shared" si="31"/>
        <v>4.4000000000000004</v>
      </c>
      <c r="CX23" s="40">
        <f t="shared" si="32"/>
        <v>19.200000000000003</v>
      </c>
      <c r="CY23" s="40" t="str">
        <f t="shared" si="33"/>
        <v/>
      </c>
      <c r="CZ23" s="40" t="str">
        <f t="shared" si="34"/>
        <v/>
      </c>
      <c r="DA23" s="40">
        <f t="shared" si="35"/>
        <v>19.200000000000003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15.7</v>
      </c>
      <c r="TI23" s="26">
        <f t="shared" si="159"/>
        <v>3.4000000000000004</v>
      </c>
      <c r="TJ23" s="26">
        <f t="shared" si="160"/>
        <v>0.7</v>
      </c>
      <c r="TK23" s="26">
        <f t="shared" si="161"/>
        <v>0</v>
      </c>
      <c r="TL23" s="26">
        <f t="shared" si="162"/>
        <v>9.1999999999999993</v>
      </c>
      <c r="TM23" s="26">
        <f t="shared" si="163"/>
        <v>2.8</v>
      </c>
      <c r="TN23" s="26">
        <f t="shared" si="164"/>
        <v>0.3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6.2</v>
      </c>
      <c r="UD23" s="11">
        <f t="shared" si="179"/>
        <v>30.1</v>
      </c>
      <c r="UE23" s="11" t="str">
        <f t="shared" si="180"/>
        <v/>
      </c>
      <c r="UF23" s="11">
        <f t="shared" si="181"/>
        <v>6.2</v>
      </c>
      <c r="UG23" s="11">
        <f t="shared" si="182"/>
        <v>30.1</v>
      </c>
      <c r="UH23" s="11" t="str">
        <f t="shared" si="183"/>
        <v/>
      </c>
      <c r="UI23" s="11" t="str">
        <f t="shared" si="184"/>
        <v/>
      </c>
      <c r="UJ23" s="11">
        <f t="shared" si="185"/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208</v>
      </c>
      <c r="C24" s="4" t="s">
        <v>6</v>
      </c>
      <c r="D24" s="4">
        <v>2008</v>
      </c>
      <c r="E24" s="9">
        <f t="shared" si="0"/>
        <v>132.20000867000442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44.1</v>
      </c>
      <c r="K24" s="8" t="str">
        <f t="shared" si="5"/>
        <v>2025 Nationals</v>
      </c>
      <c r="L24" s="8">
        <f>IF(COUNT(AO24,BR24,CU24)&gt;1,LARGE((AO24,BR24,CU24),2),0)</f>
        <v>42.6</v>
      </c>
      <c r="M24" s="8" t="str">
        <f t="shared" si="6"/>
        <v>2024 3rd Domestic Trial</v>
      </c>
      <c r="N24" s="8">
        <f t="shared" si="7"/>
        <v>45.500000000000007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 t="shared" si="12"/>
        <v>7.6</v>
      </c>
      <c r="AO24" s="40">
        <f t="shared" si="13"/>
        <v>42.6</v>
      </c>
      <c r="AP24" s="40">
        <f t="shared" si="14"/>
        <v>21.5</v>
      </c>
      <c r="AQ24" s="40">
        <f t="shared" si="15"/>
        <v>10.399999999999999</v>
      </c>
      <c r="AR24" s="40">
        <f t="shared" si="16"/>
        <v>64.099999999999994</v>
      </c>
      <c r="AS24" s="40">
        <f t="shared" si="17"/>
        <v>10.4</v>
      </c>
      <c r="AT24" s="40">
        <f t="shared" si="18"/>
        <v>45.500000000000007</v>
      </c>
      <c r="AU24" s="40">
        <f t="shared" si="19"/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2.4</v>
      </c>
      <c r="BR24" s="11">
        <f t="shared" si="21"/>
        <v>32.799999999999997</v>
      </c>
      <c r="BS24" s="11" t="str">
        <f t="shared" si="22"/>
        <v/>
      </c>
      <c r="BT24" s="11">
        <f t="shared" si="23"/>
        <v>2.4</v>
      </c>
      <c r="BU24" s="11">
        <f t="shared" si="24"/>
        <v>32.799999999999997</v>
      </c>
      <c r="BV24" s="11" t="str">
        <f t="shared" si="25"/>
        <v/>
      </c>
      <c r="BW24" s="11" t="str">
        <f t="shared" si="26"/>
        <v/>
      </c>
      <c r="BX24" s="11">
        <f t="shared" si="27"/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10.8</v>
      </c>
      <c r="CU24" s="40">
        <f t="shared" si="29"/>
        <v>44.1</v>
      </c>
      <c r="CV24" s="40" t="str">
        <f t="shared" si="30"/>
        <v/>
      </c>
      <c r="CW24" s="40">
        <f t="shared" si="31"/>
        <v>10.8</v>
      </c>
      <c r="CX24" s="40">
        <f t="shared" si="32"/>
        <v>44.1</v>
      </c>
      <c r="CY24" s="40" t="str">
        <f t="shared" si="33"/>
        <v/>
      </c>
      <c r="CZ24" s="40" t="str">
        <f t="shared" si="34"/>
        <v/>
      </c>
      <c r="DA24" s="40">
        <f t="shared" si="35"/>
        <v>44.1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15.9</v>
      </c>
      <c r="TI24" s="26">
        <f t="shared" si="159"/>
        <v>4.2</v>
      </c>
      <c r="TJ24" s="26">
        <f t="shared" si="160"/>
        <v>0.3</v>
      </c>
      <c r="TK24" s="26">
        <f t="shared" si="161"/>
        <v>0</v>
      </c>
      <c r="TL24" s="26">
        <f t="shared" si="162"/>
        <v>16.75</v>
      </c>
      <c r="TM24" s="26">
        <f t="shared" si="163"/>
        <v>2.4</v>
      </c>
      <c r="TN24" s="26">
        <f t="shared" si="164"/>
        <v>0.5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38.450000000000003</v>
      </c>
      <c r="UE24" s="11" t="str">
        <f t="shared" si="180"/>
        <v/>
      </c>
      <c r="UF24" s="11">
        <f t="shared" si="181"/>
        <v>6.6</v>
      </c>
      <c r="UG24" s="11">
        <f t="shared" si="182"/>
        <v>38.450000000000003</v>
      </c>
      <c r="UH24" s="11" t="str">
        <f t="shared" si="183"/>
        <v/>
      </c>
      <c r="UI24" s="11" t="str">
        <f t="shared" si="184"/>
        <v/>
      </c>
      <c r="UJ24" s="11">
        <f t="shared" si="185"/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 t="shared" si="0"/>
        <v>94.775004527504521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45.274999999999999</v>
      </c>
      <c r="K25" s="8" t="str">
        <f t="shared" si="5"/>
        <v>2024 3rd Domestic Trial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49.499999999999993</v>
      </c>
      <c r="O25" s="8" t="str">
        <f t="shared" si="8"/>
        <v>2024 3rd Domestic Trial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 t="shared" si="12"/>
        <v>9.1999999999999993</v>
      </c>
      <c r="AO25" s="40">
        <f t="shared" si="13"/>
        <v>45.274999999999999</v>
      </c>
      <c r="AP25" s="40">
        <f t="shared" si="14"/>
        <v>24.475000000000005</v>
      </c>
      <c r="AQ25" s="40">
        <f t="shared" si="15"/>
        <v>15.3</v>
      </c>
      <c r="AR25" s="40">
        <f t="shared" si="16"/>
        <v>69.75</v>
      </c>
      <c r="AS25" s="40">
        <f t="shared" si="17"/>
        <v>12.8</v>
      </c>
      <c r="AT25" s="40">
        <f t="shared" si="18"/>
        <v>49.499999999999993</v>
      </c>
      <c r="AU25" s="40">
        <f t="shared" si="19"/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185</v>
      </c>
      <c r="C26" s="4" t="s">
        <v>6</v>
      </c>
      <c r="D26" s="4">
        <v>2001</v>
      </c>
      <c r="E26" s="9">
        <f t="shared" si="0"/>
        <v>20.500002050002049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20.5</v>
      </c>
      <c r="K26" s="8" t="str">
        <f t="shared" si="5"/>
        <v>2025 Elite Canada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 t="shared" si="12"/>
        <v/>
      </c>
      <c r="AO26" s="40" t="str">
        <f t="shared" si="13"/>
        <v/>
      </c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3.1</v>
      </c>
      <c r="BR26" s="11">
        <f t="shared" si="21"/>
        <v>20.5</v>
      </c>
      <c r="BS26" s="11" t="str">
        <f t="shared" si="22"/>
        <v/>
      </c>
      <c r="BT26" s="11">
        <f t="shared" si="23"/>
        <v>3.1</v>
      </c>
      <c r="BU26" s="11">
        <f t="shared" si="24"/>
        <v>20.5</v>
      </c>
      <c r="BV26" s="11" t="str">
        <f t="shared" si="25"/>
        <v/>
      </c>
      <c r="BW26" s="11" t="str">
        <f t="shared" si="26"/>
        <v/>
      </c>
      <c r="BX26" s="11">
        <f t="shared" si="27"/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8"/>
        <v/>
      </c>
      <c r="CU26" s="40" t="str">
        <f t="shared" si="29"/>
        <v/>
      </c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9.1999999999999993</v>
      </c>
      <c r="TI26" s="26">
        <f t="shared" si="159"/>
        <v>1.55</v>
      </c>
      <c r="TJ26" s="26">
        <f t="shared" si="160"/>
        <v>0.5</v>
      </c>
      <c r="TK26" s="26">
        <f t="shared" si="161"/>
        <v>0</v>
      </c>
      <c r="TL26" s="26">
        <f t="shared" si="162"/>
        <v>0</v>
      </c>
      <c r="TM26" s="26">
        <f t="shared" si="163"/>
        <v>0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1.55</v>
      </c>
      <c r="UD26" s="11">
        <f t="shared" si="179"/>
        <v>10.25</v>
      </c>
      <c r="UE26" s="11" t="str">
        <f t="shared" si="180"/>
        <v/>
      </c>
      <c r="UF26" s="11">
        <f t="shared" si="181"/>
        <v>1.55</v>
      </c>
      <c r="UG26" s="11">
        <f t="shared" si="182"/>
        <v>10.25</v>
      </c>
      <c r="UH26" s="11" t="str">
        <f t="shared" si="183"/>
        <v/>
      </c>
      <c r="UI26" s="11" t="str">
        <f t="shared" si="184"/>
        <v/>
      </c>
      <c r="UJ26" s="11">
        <f t="shared" si="185"/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11.2</v>
      </c>
      <c r="EZ29" s="4"/>
      <c r="FG29" s="42">
        <v>11.2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11.6</v>
      </c>
      <c r="EZ30" s="4"/>
      <c r="FG30" s="52">
        <v>11.6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0</v>
      </c>
      <c r="EZ31" s="4"/>
      <c r="FG31" s="44">
        <v>0</v>
      </c>
      <c r="GB31" s="4"/>
      <c r="GI31" s="44">
        <v>0</v>
      </c>
      <c r="HD31" s="4"/>
      <c r="HK31" s="44">
        <v>0</v>
      </c>
      <c r="IF31" s="4"/>
      <c r="IM31" s="44">
        <v>0</v>
      </c>
      <c r="JH31" s="4"/>
      <c r="JO31" s="44">
        <v>0</v>
      </c>
      <c r="KJ31" s="4"/>
      <c r="KQ31" s="44">
        <v>0</v>
      </c>
      <c r="LL31" s="4"/>
      <c r="LS31" s="44">
        <v>0</v>
      </c>
      <c r="MN31" s="4"/>
      <c r="MU31" s="44">
        <v>0</v>
      </c>
      <c r="NP31" s="4"/>
      <c r="NW31" s="44">
        <v>0</v>
      </c>
      <c r="OR31" s="4"/>
      <c r="OY31" s="44">
        <v>0</v>
      </c>
      <c r="PT31" s="4"/>
      <c r="QA31" s="44">
        <v>0</v>
      </c>
      <c r="QV31" s="4"/>
      <c r="RC31" s="44">
        <v>0</v>
      </c>
      <c r="RD31"/>
      <c r="RX31" s="4"/>
      <c r="RY31" s="36"/>
      <c r="RZ31" s="36"/>
      <c r="SA31" s="36"/>
      <c r="SB31" s="36"/>
      <c r="SC31" s="36"/>
      <c r="SD31" s="36"/>
      <c r="SE31" s="44">
        <v>0</v>
      </c>
      <c r="SZ31" s="4"/>
      <c r="TA31" s="36"/>
      <c r="TB31" s="36"/>
      <c r="TC31" s="36"/>
      <c r="TD31" s="36"/>
      <c r="TE31" s="36"/>
      <c r="TF31" s="36"/>
      <c r="TG31" s="44">
        <v>0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0</v>
      </c>
      <c r="EZ32" s="4"/>
      <c r="FG32" s="45">
        <v>0</v>
      </c>
      <c r="GB32" s="4"/>
      <c r="GI32" s="45">
        <v>0</v>
      </c>
      <c r="HD32" s="4"/>
      <c r="HK32" s="45">
        <v>0</v>
      </c>
      <c r="IF32" s="4"/>
      <c r="IM32" s="45">
        <v>0</v>
      </c>
      <c r="JH32" s="4"/>
      <c r="JO32" s="45">
        <v>0</v>
      </c>
      <c r="KJ32" s="4"/>
      <c r="KQ32" s="45">
        <v>0</v>
      </c>
      <c r="LL32" s="4"/>
      <c r="LS32" s="45">
        <v>0</v>
      </c>
      <c r="MN32" s="4"/>
      <c r="MU32" s="45">
        <v>0</v>
      </c>
      <c r="NP32" s="4"/>
      <c r="NW32" s="45">
        <v>0</v>
      </c>
      <c r="OR32" s="4"/>
      <c r="OY32" s="45">
        <v>0</v>
      </c>
      <c r="PT32" s="4"/>
      <c r="QA32" s="45">
        <v>0</v>
      </c>
      <c r="QV32" s="4"/>
      <c r="RC32" s="45">
        <v>0</v>
      </c>
      <c r="RD32"/>
      <c r="RX32" s="4"/>
      <c r="RY32" s="36"/>
      <c r="RZ32" s="36"/>
      <c r="SA32" s="36"/>
      <c r="SB32" s="36"/>
      <c r="SC32" s="36"/>
      <c r="SD32" s="36"/>
      <c r="SE32" s="45">
        <v>0</v>
      </c>
      <c r="SZ32" s="4"/>
      <c r="TA32" s="36"/>
      <c r="TB32" s="36"/>
      <c r="TC32" s="36"/>
      <c r="TD32" s="36"/>
      <c r="TE32" s="36"/>
      <c r="TF32" s="36"/>
      <c r="TG32" s="45">
        <v>0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48.2</v>
      </c>
      <c r="EZ33" s="4"/>
      <c r="FG33" s="46">
        <v>48.2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48.6</v>
      </c>
      <c r="EZ34" s="4"/>
      <c r="FG34" s="47">
        <v>48.6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49.4</v>
      </c>
      <c r="EZ35" s="4"/>
      <c r="FG35" s="48">
        <v>49.4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50.2</v>
      </c>
      <c r="EZ36" s="4"/>
      <c r="FG36" s="49">
        <v>50.2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34" priority="41" stopIfTrue="1">
      <formula>IF($AM4&lt;&gt;"",1,0)</formula>
    </cfRule>
  </conditionalFormatting>
  <conditionalFormatting sqref="AV4:BX26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6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21" priority="60388" operator="between">
      <formula>AU$36</formula>
      <formula>1000</formula>
    </cfRule>
    <cfRule type="cellIs" dxfId="20" priority="60389" operator="between">
      <formula>AU$35</formula>
      <formula>AU$36</formula>
    </cfRule>
    <cfRule type="cellIs" dxfId="19" priority="60390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8" priority="90373" operator="between">
      <formula>AU$33</formula>
      <formula>AU$34</formula>
    </cfRule>
    <cfRule type="cellIs" dxfId="17" priority="90374" operator="between">
      <formula>AU$34</formula>
      <formula>AU$35</formula>
    </cfRule>
    <cfRule type="cellIs" dxfId="16" priority="90375" operator="between">
      <formula>AU$35</formula>
      <formula>AU$36</formula>
    </cfRule>
    <cfRule type="cellIs" dxfId="15" priority="90376" operator="between">
      <formula>AU$36</formula>
      <formula>1000</formula>
    </cfRule>
  </conditionalFormatting>
  <conditionalFormatting sqref="TH1:TH26">
    <cfRule type="cellIs" dxfId="14" priority="162705" operator="between">
      <formula>QA$33</formula>
      <formula>QA$34</formula>
    </cfRule>
    <cfRule type="cellIs" dxfId="13" priority="162706" operator="between">
      <formula>QA$34</formula>
      <formula>QA$35</formula>
    </cfRule>
    <cfRule type="cellIs" dxfId="12" priority="162707" operator="between">
      <formula>QA$35</formula>
      <formula>QA$36</formula>
    </cfRule>
    <cfRule type="cellIs" dxfId="11" priority="162708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10" priority="162713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9" priority="162764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8" priority="162818" operator="between">
      <formula>AU$29</formula>
      <formula>AU$30</formula>
    </cfRule>
  </conditionalFormatting>
  <conditionalFormatting sqref="FC1:FC1048576 GE1:GE1048576 HG1:HG1048576 II1:II1048576 JK1:JK1048576 KM1:KM1048576 LO1:LO1048576 MQ1:MQ1048576 NS1:NS1048576 OU1:OU1048576 PW1:PW1048576 EA1:EA1048576 SA1:SA36 QY1:QY36 TC1:TC36">
    <cfRule type="cellIs" dxfId="7" priority="163021" operator="between">
      <formula>EE$30</formula>
      <formula>1000</formula>
    </cfRule>
  </conditionalFormatting>
  <conditionalFormatting sqref="AQ1:AQ1048576 BT1:BT1048576 CW1:CW1048576">
    <cfRule type="cellIs" dxfId="6" priority="163019" operator="between">
      <formula>AU$32</formula>
      <formula>1000</formula>
    </cfRule>
    <cfRule type="cellIs" dxfId="5" priority="163020" operator="between">
      <formula>AU$31</formula>
      <formula>AU$32</formula>
    </cfRule>
    <cfRule type="cellIs" dxfId="4" priority="2" stopIfTrue="1" operator="between">
      <formula>AU$30</formula>
      <formula>AU$31</formula>
    </cfRule>
  </conditionalFormatting>
  <conditionalFormatting sqref="AS1:AS1048576 BV1:BV1048576 CY1:CY1048576">
    <cfRule type="cellIs" dxfId="3" priority="162815" operator="between">
      <formula>AU$32</formula>
      <formula>1000</formula>
    </cfRule>
    <cfRule type="cellIs" dxfId="2" priority="162816" operator="between">
      <formula>AU$31</formula>
      <formula>AU$32</formula>
    </cfRule>
    <cfRule type="cellIs" dxfId="1" priority="1" stopIfTrue="1" operator="between">
      <formula>AU$30</formula>
      <formula>AU$31</formula>
    </cfRule>
  </conditionalFormatting>
  <conditionalFormatting sqref="EC1:EC1048576 FE1:FE1048576 GG1:GG1048576 HI1:HI1048576 IK1:IK1048576 JM1:JM1048576 KO1:KO1048576 LQ1:LQ1048576 MS1:MS1048576 NU1:NU1048576 OW1:OW1048576 PY1:PY1048576 SC1:SC36 RA1:RA36 TE1:TE36">
    <cfRule type="cellIs" dxfId="0" priority="162817" stopIfTrue="1" operator="between">
      <formula>EE$30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2025-07-19T16:07:55Z</dcterms:modified>
</cp:coreProperties>
</file>